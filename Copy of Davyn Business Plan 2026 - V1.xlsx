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nership Info" sheetId="1" r:id="rId4"/>
    <sheet state="visible" name="Plan Summary" sheetId="2" r:id="rId5"/>
    <sheet state="visible" name="Business Plan" sheetId="3" r:id="rId6"/>
    <sheet state="visible" name="Demand Generation Plan" sheetId="4" r:id="rId7"/>
    <sheet state="visible" name="Headcount" sheetId="5" r:id="rId8"/>
    <sheet state="visible" name="B&amp;I" sheetId="6" r:id="rId9"/>
    <sheet state="visible" name="Actual Dashboard" sheetId="7" r:id="rId10"/>
    <sheet state="visible" name="Actual v Plan" sheetId="8" r:id="rId11"/>
    <sheet state="visible" name="Project Planner" sheetId="9" r:id="rId12"/>
    <sheet state="hidden" name="DATA-EXP" sheetId="10" r:id="rId13"/>
    <sheet state="hidden" name="MKT-EXP" sheetId="11" r:id="rId14"/>
    <sheet state="hidden" name="DATA-IMP" sheetId="12" r:id="rId15"/>
  </sheets>
  <definedNames>
    <definedName hidden="1" localSheetId="3" name="Z_C2DEA0A2_B222_4EAC_A578_3BE6F0504E29_.wvu.FilterData">'Demand Generation Plan'!$C$3:$W$999</definedName>
    <definedName name="SlicerCache_Table_1_Col_1">#N/A</definedName>
    <definedName name="SlicerCache_Table_1_Col_2">#N/A</definedName>
  </definedNames>
  <calcPr/>
  <customWorkbookViews>
    <customWorkbookView activeSheetId="0" maximized="1" windowHeight="0" windowWidth="0" guid="{C2DEA0A2-B222-4EAC-A578-3BE6F0504E29}" name="Filter 1"/>
  </customWorkbookViews>
  <extLst>
    <ext uri="{46BE6895-7355-4a93-B00E-2C351335B9C9}">
      <x15:slicerCaches>
        <x14:slicerCache r:id="rId16"/>
        <x14:slicerCache r:id="rId17"/>
      </x15:slicerCach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Final company cost: Salary + Social Security + Other costs</t>
      </text>
    </comment>
    <comment authorId="0" ref="C19">
      <text>
        <t xml:space="preserve">Final company cost: Salary + Social Security + Other costs</t>
      </text>
    </comment>
    <comment authorId="0" ref="C28">
      <text>
        <t xml:space="preserve">Final company cost: Salary + Social Security + Other costs</t>
      </text>
    </comment>
    <comment authorId="0" ref="C37">
      <text>
        <t xml:space="preserve">Final company cost: Salary + Social Security + Other costs</t>
      </text>
    </comment>
    <comment authorId="0" ref="C46">
      <text>
        <t xml:space="preserve">Final company cost: Salary + Social Security + Other costs</t>
      </text>
    </comment>
    <comment authorId="0" ref="C55">
      <text>
        <t xml:space="preserve">Final company cost: Salary + Social Security + Other costs</t>
      </text>
    </comment>
    <comment authorId="0" ref="C64">
      <text>
        <t xml:space="preserve">Final company cost: Salary + Social Security + Other costs</t>
      </text>
    </comment>
    <comment authorId="0" ref="C73">
      <text>
        <t xml:space="preserve">Final company cost: Salary + Social Security + Other costs</t>
      </text>
    </comment>
    <comment authorId="0" ref="C82">
      <text>
        <t xml:space="preserve">Final company cost: Salary + Social Security + Other costs</t>
      </text>
    </comment>
    <comment authorId="0" ref="C91">
      <text>
        <t xml:space="preserve">Final company cost: Salary + Social Security + Other costs</t>
      </text>
    </comment>
    <comment authorId="0" ref="C100">
      <text>
        <t xml:space="preserve">Final company cost: Salary + Social Security + Other costs</t>
      </text>
    </comment>
    <comment authorId="0" ref="C109">
      <text>
        <t xml:space="preserve">Final company cost: Salary + Social Security + Other costs</t>
      </text>
    </comment>
  </commentList>
</comments>
</file>

<file path=xl/sharedStrings.xml><?xml version="1.0" encoding="utf-8"?>
<sst xmlns="http://schemas.openxmlformats.org/spreadsheetml/2006/main" count="3881" uniqueCount="268">
  <si>
    <t>Partner Name:</t>
  </si>
  <si>
    <t>Partner</t>
  </si>
  <si>
    <t>Davyn Limited</t>
  </si>
  <si>
    <t>ID</t>
  </si>
  <si>
    <t>Partner Development Manager</t>
  </si>
  <si>
    <t>Leon Ribeiro</t>
  </si>
  <si>
    <t>🔗 Resources</t>
  </si>
  <si>
    <t>Partner Account Manager</t>
  </si>
  <si>
    <t>Edgar Balby</t>
  </si>
  <si>
    <t>Partner Portal</t>
  </si>
  <si>
    <t>Marketing Manager</t>
  </si>
  <si>
    <t>Agata Lech</t>
  </si>
  <si>
    <t>Partner Type</t>
  </si>
  <si>
    <t>Expert</t>
  </si>
  <si>
    <t>Market</t>
  </si>
  <si>
    <t>ROW</t>
  </si>
  <si>
    <t>Sale Commission % (12 months)</t>
  </si>
  <si>
    <t>Support</t>
  </si>
  <si>
    <t>Onboarding</t>
  </si>
  <si>
    <t>Avg. Onboarding amount</t>
  </si>
  <si>
    <t>Support Commission % (lifetime)</t>
  </si>
  <si>
    <t>Connector/Integration Price (if any)</t>
  </si>
  <si>
    <t>Partner Customer base #</t>
  </si>
  <si>
    <t>Partner Customer base ICP (nº seats)</t>
  </si>
  <si>
    <t>Plan Summary</t>
  </si>
  <si>
    <t>Q1</t>
  </si>
  <si>
    <t>Q2</t>
  </si>
  <si>
    <t>Q3</t>
  </si>
  <si>
    <t>Q4</t>
  </si>
  <si>
    <t>Total Year 1</t>
  </si>
  <si>
    <t>Year 2+ Services</t>
  </si>
  <si>
    <t>January</t>
  </si>
  <si>
    <t>February</t>
  </si>
  <si>
    <t>March</t>
  </si>
  <si>
    <t>April</t>
  </si>
  <si>
    <t>May</t>
  </si>
  <si>
    <t>June</t>
  </si>
  <si>
    <t>July</t>
  </si>
  <si>
    <t>August</t>
  </si>
  <si>
    <t>September</t>
  </si>
  <si>
    <t>October</t>
  </si>
  <si>
    <t>November</t>
  </si>
  <si>
    <t>December</t>
  </si>
  <si>
    <t>Won Customers #</t>
  </si>
  <si>
    <t>Won MRR</t>
  </si>
  <si>
    <t xml:space="preserve">Won ARR </t>
  </si>
  <si>
    <t>Total Commissions &amp; Incentives</t>
  </si>
  <si>
    <t>Total Invested</t>
  </si>
  <si>
    <t>Total Balance (12-month P&amp;L)</t>
  </si>
  <si>
    <t>Commissions cashflow (new MRR only)</t>
  </si>
  <si>
    <t>Commissions - Sales</t>
  </si>
  <si>
    <t>Commissions - Integrations</t>
  </si>
  <si>
    <t>Onboardings</t>
  </si>
  <si>
    <t>Bonus &amp; Incentives</t>
  </si>
  <si>
    <t>Headcount</t>
  </si>
  <si>
    <t>Monthly Salary</t>
  </si>
  <si>
    <t>Budget</t>
  </si>
  <si>
    <t>Factorial Support</t>
  </si>
  <si>
    <t>Total</t>
  </si>
  <si>
    <t>Required Demos #</t>
  </si>
  <si>
    <t>% Demo to Customer</t>
  </si>
  <si>
    <t>Planned Demos</t>
  </si>
  <si>
    <t>Action Review</t>
  </si>
  <si>
    <t>Quality Check</t>
  </si>
  <si>
    <t>Seasonality</t>
  </si>
  <si>
    <t>ARPU</t>
  </si>
  <si>
    <t>Won ARR (agg)</t>
  </si>
  <si>
    <t>Commissions Total</t>
  </si>
  <si>
    <t>Own Integrations</t>
  </si>
  <si>
    <t>Onboarding %</t>
  </si>
  <si>
    <t>Commissions Total (agg)</t>
  </si>
  <si>
    <t>Commissions - Sales new</t>
  </si>
  <si>
    <t>Commissions - Sales agg</t>
  </si>
  <si>
    <t>B&amp;I</t>
  </si>
  <si>
    <t>Demand Generation Plan</t>
  </si>
  <si>
    <t>Actions #</t>
  </si>
  <si>
    <t>Salary</t>
  </si>
  <si>
    <t>Fixed salary</t>
  </si>
  <si>
    <t>Variable salary</t>
  </si>
  <si>
    <t>Total Commissions + Incentives</t>
  </si>
  <si>
    <t>Approx net cashflow (sales FS only)</t>
  </si>
  <si>
    <t>DEMGEN PLAN CHECK</t>
  </si>
  <si>
    <t>Planned Actions</t>
  </si>
  <si>
    <t>Results</t>
  </si>
  <si>
    <t>Analysis</t>
  </si>
  <si>
    <t>Action Name</t>
  </si>
  <si>
    <t>Quarter</t>
  </si>
  <si>
    <t>Month</t>
  </si>
  <si>
    <t>Type of action</t>
  </si>
  <si>
    <t>Planned Cost</t>
  </si>
  <si>
    <t>Demos Goal</t>
  </si>
  <si>
    <t>M0</t>
  </si>
  <si>
    <t>M1</t>
  </si>
  <si>
    <t>M2</t>
  </si>
  <si>
    <t>Cost per demo</t>
  </si>
  <si>
    <t>Demos Actual</t>
  </si>
  <si>
    <t>Leads Actual</t>
  </si>
  <si>
    <t>Clients Won</t>
  </si>
  <si>
    <t>Total Cost</t>
  </si>
  <si>
    <t>Partner Actual Cost</t>
  </si>
  <si>
    <t>MRR won</t>
  </si>
  <si>
    <t>ROI (on ARR)</t>
  </si>
  <si>
    <t>% Lead to Demo</t>
  </si>
  <si>
    <t>% Demo to Won</t>
  </si>
  <si>
    <t>CAC</t>
  </si>
  <si>
    <t>Cost per Demo</t>
  </si>
  <si>
    <t>Outbound Q1</t>
  </si>
  <si>
    <t>Outbound Actions</t>
  </si>
  <si>
    <t>Outbound Q2</t>
  </si>
  <si>
    <t>Outbound Q3</t>
  </si>
  <si>
    <t>Outbound Q4</t>
  </si>
  <si>
    <t>Webinar</t>
  </si>
  <si>
    <t>Roadshow</t>
  </si>
  <si>
    <t>Co-hosted</t>
  </si>
  <si>
    <t>Event 2</t>
  </si>
  <si>
    <t>Fair / Trade Show</t>
  </si>
  <si>
    <t>Event 3</t>
  </si>
  <si>
    <t>Event 4</t>
  </si>
  <si>
    <t>Paid</t>
  </si>
  <si>
    <t>Other Inbound</t>
  </si>
  <si>
    <t>Dedicated Staff</t>
  </si>
  <si>
    <t>YES</t>
  </si>
  <si>
    <t>TOTAL</t>
  </si>
  <si>
    <t>Total Annual Investment</t>
  </si>
  <si>
    <t>Total Staff</t>
  </si>
  <si>
    <t>Dedicated Staff Member #1</t>
  </si>
  <si>
    <t>Start date</t>
  </si>
  <si>
    <t>Role name</t>
  </si>
  <si>
    <t>AE 1 (Umar)</t>
  </si>
  <si>
    <t>Final Annual Cost</t>
  </si>
  <si>
    <t>Factorial funds?</t>
  </si>
  <si>
    <t>NO</t>
  </si>
  <si>
    <t>% of Factorial Support?</t>
  </si>
  <si>
    <t>How many months?</t>
  </si>
  <si>
    <t>First month of funding</t>
  </si>
  <si>
    <t>Dedicated Staff Member #2</t>
  </si>
  <si>
    <t>SDR 1</t>
  </si>
  <si>
    <t>Dedicated Staff Member #3</t>
  </si>
  <si>
    <t>AE 2 50%</t>
  </si>
  <si>
    <t>Dedicated Staff Member #4</t>
  </si>
  <si>
    <t>OB/AM specialist</t>
  </si>
  <si>
    <t>Dedicated Staff Member #5</t>
  </si>
  <si>
    <t>Dedicated Staff Member #6</t>
  </si>
  <si>
    <t>Dedicated Staff Member #7</t>
  </si>
  <si>
    <t>Dedicated Staff Member #8</t>
  </si>
  <si>
    <t>Dedicated Staff Member #9</t>
  </si>
  <si>
    <t>Dedicated Staff Member #10</t>
  </si>
  <si>
    <t>Dedicated Staff Member #11</t>
  </si>
  <si>
    <t>Dedicated Staff Member #12</t>
  </si>
  <si>
    <t>Actual</t>
  </si>
  <si>
    <t>Plan</t>
  </si>
  <si>
    <t>Incentive Name</t>
  </si>
  <si>
    <t>KPI</t>
  </si>
  <si>
    <t>Period</t>
  </si>
  <si>
    <t>Incentive Type</t>
  </si>
  <si>
    <t>Amount</t>
  </si>
  <si>
    <t>Planned Pay Date</t>
  </si>
  <si>
    <t>Goal</t>
  </si>
  <si>
    <t>Achieved?</t>
  </si>
  <si>
    <t>Amount to pay</t>
  </si>
  <si>
    <t>MRR</t>
  </si>
  <si>
    <t>DEMO</t>
  </si>
  <si>
    <t>Sales Fund Q1</t>
  </si>
  <si>
    <t>Lump sum</t>
  </si>
  <si>
    <t>Yearly</t>
  </si>
  <si>
    <t>Sales Fund Q2</t>
  </si>
  <si>
    <t>H1</t>
  </si>
  <si>
    <t>Sales Fund Q3</t>
  </si>
  <si>
    <t>H2</t>
  </si>
  <si>
    <t>Sales Fund Q4</t>
  </si>
  <si>
    <t>Generation Fund (50% of DG costs) Q1</t>
  </si>
  <si>
    <t>DEMOs</t>
  </si>
  <si>
    <t>Generation Fund (50% of DG costs) Q2</t>
  </si>
  <si>
    <t>Generation Fund (50% of DG costs) Q3</t>
  </si>
  <si>
    <t>Generation Fund (50% of DG costs) Q4</t>
  </si>
  <si>
    <t>Actual Dashboard</t>
  </si>
  <si>
    <t>Demos #</t>
  </si>
  <si>
    <t>Plan v Actual Demos</t>
  </si>
  <si>
    <t>Plan v Actual MRR</t>
  </si>
  <si>
    <t>Total Commissions</t>
  </si>
  <si>
    <t>Total Balance (P v L)</t>
  </si>
  <si>
    <t>Funded Heads</t>
  </si>
  <si>
    <t xml:space="preserve">Plan </t>
  </si>
  <si>
    <t>Actual vs Plan</t>
  </si>
  <si>
    <t>Demos # (agg)</t>
  </si>
  <si>
    <t>Won Customers # (agg)</t>
  </si>
  <si>
    <t>Leads #</t>
  </si>
  <si>
    <t>-</t>
  </si>
  <si>
    <t>Funded Heads (agg)</t>
  </si>
  <si>
    <t>Project Name</t>
  </si>
  <si>
    <t>Project</t>
  </si>
  <si>
    <t>Task Name</t>
  </si>
  <si>
    <t>Task Owner</t>
  </si>
  <si>
    <t>Deliverable</t>
  </si>
  <si>
    <t>Status</t>
  </si>
  <si>
    <t>Deadline</t>
  </si>
  <si>
    <t>W1</t>
  </si>
  <si>
    <t>W2</t>
  </si>
  <si>
    <t>W3</t>
  </si>
  <si>
    <t>W4</t>
  </si>
  <si>
    <t>W5</t>
  </si>
  <si>
    <t>W6</t>
  </si>
  <si>
    <t>W7</t>
  </si>
  <si>
    <t>W8</t>
  </si>
  <si>
    <t>W9</t>
  </si>
  <si>
    <t>W10</t>
  </si>
  <si>
    <t>W11</t>
  </si>
  <si>
    <t>W12</t>
  </si>
  <si>
    <t>W13</t>
  </si>
  <si>
    <t>W14</t>
  </si>
  <si>
    <t>W15</t>
  </si>
  <si>
    <t>W16</t>
  </si>
  <si>
    <t>W17</t>
  </si>
  <si>
    <t>W18</t>
  </si>
  <si>
    <t>W19</t>
  </si>
  <si>
    <t>W20</t>
  </si>
  <si>
    <t>W21</t>
  </si>
  <si>
    <t>W22</t>
  </si>
  <si>
    <t>W23</t>
  </si>
  <si>
    <t>W24</t>
  </si>
  <si>
    <t>W25</t>
  </si>
  <si>
    <t>W26</t>
  </si>
  <si>
    <t>W27</t>
  </si>
  <si>
    <t>W28</t>
  </si>
  <si>
    <t>W29</t>
  </si>
  <si>
    <t>W30</t>
  </si>
  <si>
    <t>W31</t>
  </si>
  <si>
    <t>W32</t>
  </si>
  <si>
    <t>W33</t>
  </si>
  <si>
    <t>W34</t>
  </si>
  <si>
    <t>W35</t>
  </si>
  <si>
    <t>W36</t>
  </si>
  <si>
    <t>W37</t>
  </si>
  <si>
    <t>W38</t>
  </si>
  <si>
    <t>W39</t>
  </si>
  <si>
    <t>W40</t>
  </si>
  <si>
    <t>W41</t>
  </si>
  <si>
    <t>W42</t>
  </si>
  <si>
    <t>W43</t>
  </si>
  <si>
    <t>W44</t>
  </si>
  <si>
    <t>W45</t>
  </si>
  <si>
    <t>W46</t>
  </si>
  <si>
    <t>W47</t>
  </si>
  <si>
    <t>W48</t>
  </si>
  <si>
    <t>W49</t>
  </si>
  <si>
    <t>W50</t>
  </si>
  <si>
    <t>W51</t>
  </si>
  <si>
    <t>W52</t>
  </si>
  <si>
    <t>Project 1</t>
  </si>
  <si>
    <t>Task 1</t>
  </si>
  <si>
    <t>Partner + Factorial</t>
  </si>
  <si>
    <t>Deliverable 1</t>
  </si>
  <si>
    <t>Done</t>
  </si>
  <si>
    <t>Task 2</t>
  </si>
  <si>
    <t>Deliverable 2</t>
  </si>
  <si>
    <t>Task 3</t>
  </si>
  <si>
    <t>Deliverable 3</t>
  </si>
  <si>
    <t>Task 4</t>
  </si>
  <si>
    <t>Deliverable 4</t>
  </si>
  <si>
    <t>In progress</t>
  </si>
  <si>
    <t>Country Code</t>
  </si>
  <si>
    <t>Name</t>
  </si>
  <si>
    <t>PDM</t>
  </si>
  <si>
    <t>PAM</t>
  </si>
  <si>
    <t>Type</t>
  </si>
  <si>
    <t/>
  </si>
  <si>
    <t>COUNT DEMO</t>
  </si>
  <si>
    <t>COUNT CUSTOMER</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</si>
</sst>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m&quot; &quot;yyyy"/>
    <numFmt numFmtId="165" formatCode="[$€]#,##0"/>
    <numFmt numFmtId="166" formatCode="dd/MM/yyyy"/>
    <numFmt numFmtId="167" formatCode="[$€]#,##0.00"/>
    <numFmt numFmtId="168" formatCode="dd/mm/yyyy"/>
    <numFmt numFmtId="169" formatCode="d/m/yyyy"/>
    <numFmt numFmtId="170" formatCode="+#,##0;-#,##0;0"/>
    <numFmt numFmtId="171" formatCode="&quot;$&quot;#,##0.00"/>
    <numFmt numFmtId="172" formatCode="mmm&quot; &quot;d"/>
  </numFmts>
  <fonts count="40">
    <font>
      <sz val="10.0"/>
      <color rgb="FF000000"/>
      <name val="Arial"/>
      <scheme val="minor"/>
    </font>
    <font>
      <sz val="11.0"/>
      <color theme="1"/>
      <name val="DM Sans"/>
    </font>
    <font>
      <b/>
      <sz val="9.0"/>
      <color rgb="FF999999"/>
      <name val="DM Sans"/>
    </font>
    <font>
      <b/>
      <sz val="12.0"/>
      <color rgb="FFFFFFFF"/>
      <name val="DM Sans"/>
    </font>
    <font>
      <i/>
      <sz val="10.0"/>
      <color rgb="FF434343"/>
      <name val="DM Sans"/>
    </font>
    <font>
      <sz val="10.0"/>
      <color rgb="FF434343"/>
      <name val="DM Sans"/>
    </font>
    <font>
      <color theme="1"/>
      <name val="DM Sans"/>
    </font>
    <font>
      <b/>
      <sz val="10.0"/>
      <color theme="1"/>
      <name val="DM Sans"/>
    </font>
    <font>
      <sz val="10.0"/>
      <color rgb="FF000000"/>
      <name val="DM Sans"/>
    </font>
    <font>
      <b/>
      <sz val="11.0"/>
      <color theme="1"/>
      <name val="DM Sans"/>
    </font>
    <font>
      <sz val="10.0"/>
      <color theme="1"/>
      <name val="DM Sans"/>
    </font>
    <font>
      <u/>
      <sz val="11.0"/>
      <color rgb="FF0000FF"/>
      <name val="DM Sans"/>
    </font>
    <font>
      <i/>
      <sz val="11.0"/>
      <color rgb="FF666666"/>
      <name val="DM Sans"/>
    </font>
    <font>
      <b/>
      <sz val="9.0"/>
      <color rgb="FFFF355E"/>
      <name val="DM Sans"/>
    </font>
    <font>
      <b/>
      <sz val="9.0"/>
      <color rgb="FFFFFFFF"/>
      <name val="DM Sans"/>
    </font>
    <font>
      <b/>
      <sz val="15.0"/>
      <color theme="1"/>
      <name val="DM Sans"/>
    </font>
    <font/>
    <font>
      <b/>
      <sz val="9.0"/>
      <color theme="1"/>
      <name val="DM Sans"/>
    </font>
    <font>
      <sz val="9.0"/>
      <color rgb="FF666666"/>
      <name val="DM Sans"/>
    </font>
    <font>
      <sz val="9.0"/>
      <color theme="1"/>
      <name val="DM Sans"/>
    </font>
    <font>
      <b/>
      <sz val="9.0"/>
      <color rgb="FF000000"/>
      <name val="DM Sans"/>
    </font>
    <font>
      <color theme="1"/>
      <name val="Arial"/>
    </font>
    <font>
      <sz val="9.0"/>
      <color rgb="FF999999"/>
      <name val="DM Sans"/>
    </font>
    <font>
      <sz val="9.0"/>
      <color rgb="FF434343"/>
      <name val="DM Sans"/>
    </font>
    <font>
      <sz val="9.0"/>
      <color rgb="FFFFFFFF"/>
      <name val="DM Sans"/>
    </font>
    <font>
      <sz val="9.0"/>
      <color rgb="FF000000"/>
      <name val="DM Sans"/>
    </font>
    <font>
      <b/>
      <sz val="9.0"/>
      <color rgb="FF666666"/>
      <name val="DM Sans"/>
    </font>
    <font>
      <b/>
      <color rgb="FFFFFFFF"/>
      <name val="DM Sans"/>
    </font>
    <font>
      <b/>
      <color rgb="FF000000"/>
      <name val="DM Sans"/>
    </font>
    <font>
      <sz val="10.0"/>
      <color rgb="FFFFFFFF"/>
      <name val="DM Sans"/>
    </font>
    <font>
      <color rgb="FFFFFFFF"/>
      <name val="Arial"/>
      <scheme val="minor"/>
    </font>
    <font>
      <b/>
      <sz val="14.0"/>
      <color theme="1"/>
      <name val="DM Sans"/>
    </font>
    <font>
      <b/>
      <sz val="10.0"/>
      <color rgb="FFFFFFFF"/>
      <name val="DM Sans"/>
    </font>
    <font>
      <b/>
      <sz val="10.0"/>
      <color rgb="FF000000"/>
      <name val="DM Sans"/>
    </font>
    <font>
      <color rgb="FF000000"/>
      <name val="DM Sans"/>
    </font>
    <font>
      <color theme="1"/>
      <name val="Arial"/>
      <scheme val="minor"/>
    </font>
    <font>
      <color rgb="FF0B5394"/>
      <name val="DM Sans"/>
    </font>
    <font>
      <b/>
      <sz val="9.0"/>
      <color rgb="FFFF365E"/>
      <name val="DM Sans"/>
    </font>
    <font>
      <b/>
      <color theme="1"/>
      <name val="Arial"/>
    </font>
    <font>
      <b/>
      <color theme="1"/>
      <name val="Arial"/>
      <scheme val="minor"/>
    </font>
  </fonts>
  <fills count="16">
    <fill>
      <patternFill patternType="none"/>
    </fill>
    <fill>
      <patternFill patternType="lightGray"/>
    </fill>
    <fill>
      <patternFill patternType="solid">
        <fgColor rgb="FFFF355E"/>
        <bgColor rgb="FFFF355E"/>
      </patternFill>
    </fill>
    <fill>
      <patternFill patternType="solid">
        <fgColor rgb="FFF3F3F3"/>
        <bgColor rgb="FFF3F3F3"/>
      </patternFill>
    </fill>
    <fill>
      <patternFill patternType="solid">
        <fgColor rgb="FFC9DAF8"/>
        <bgColor rgb="FFC9DAF8"/>
      </patternFill>
    </fill>
    <fill>
      <patternFill patternType="solid">
        <fgColor rgb="FFEFEFEF"/>
        <bgColor rgb="FFEFEFEF"/>
      </patternFill>
    </fill>
    <fill>
      <patternFill patternType="solid">
        <fgColor rgb="FFF4CCCC"/>
        <bgColor rgb="FFF4CCCC"/>
      </patternFill>
    </fill>
    <fill>
      <patternFill patternType="solid">
        <fgColor rgb="FFFFFFFF"/>
        <bgColor rgb="FFFFFFFF"/>
      </patternFill>
    </fill>
    <fill>
      <patternFill patternType="solid">
        <fgColor rgb="FF666666"/>
        <bgColor rgb="FF666666"/>
      </patternFill>
    </fill>
    <fill>
      <patternFill patternType="solid">
        <fgColor rgb="FFD9D9D9"/>
        <bgColor rgb="FFD9D9D9"/>
      </patternFill>
    </fill>
    <fill>
      <patternFill patternType="solid">
        <fgColor rgb="FFD1D2D3"/>
        <bgColor rgb="FFD1D2D3"/>
      </patternFill>
    </fill>
    <fill>
      <patternFill patternType="solid">
        <fgColor rgb="FFCFE2F3"/>
        <bgColor rgb="FFCFE2F3"/>
      </patternFill>
    </fill>
    <fill>
      <patternFill patternType="solid">
        <fgColor rgb="FFB7B7B7"/>
        <bgColor rgb="FFB7B7B7"/>
      </patternFill>
    </fill>
    <fill>
      <patternFill patternType="solid">
        <fgColor rgb="FF999999"/>
        <bgColor rgb="FF999999"/>
      </patternFill>
    </fill>
    <fill>
      <patternFill patternType="solid">
        <fgColor rgb="FFFF365E"/>
        <bgColor rgb="FFFF365E"/>
      </patternFill>
    </fill>
    <fill>
      <patternFill patternType="solid">
        <fgColor rgb="FFCCCCCC"/>
        <bgColor rgb="FFCCCCCC"/>
      </patternFill>
    </fill>
  </fills>
  <borders count="59">
    <border/>
    <border>
      <right style="medium">
        <color rgb="FFFFFFFF"/>
      </right>
    </border>
    <border>
      <left style="medium">
        <color rgb="FFFFFFFF"/>
      </left>
    </border>
    <border>
      <right style="thin">
        <color rgb="FFFFFFFF"/>
      </right>
    </border>
    <border>
      <left style="thin">
        <color rgb="FFFFFFFF"/>
      </left>
      <right style="thin">
        <color rgb="FFFFFFFF"/>
      </right>
    </border>
    <border>
      <right style="dotted">
        <color rgb="FF000000"/>
      </right>
    </border>
    <border>
      <left style="dotted">
        <color rgb="FF000000"/>
      </left>
    </border>
    <border>
      <left style="dotted">
        <color rgb="FF000000"/>
      </left>
      <right style="dotted">
        <color rgb="FF000000"/>
      </right>
    </border>
    <border>
      <left style="medium">
        <color rgb="FF000000"/>
      </left>
      <right style="medium">
        <color rgb="FF000000"/>
      </right>
      <top style="medium">
        <color rgb="FF000000"/>
      </top>
      <bottom style="medium">
        <color rgb="FF000000"/>
      </bottom>
    </border>
    <border>
      <bottom style="thin">
        <color rgb="FF000000"/>
      </bottom>
    </border>
    <border>
      <right style="dotted">
        <color rgb="FF000000"/>
      </right>
      <bottom style="thin">
        <color rgb="FF000000"/>
      </bottom>
    </border>
    <border>
      <left style="dotted">
        <color rgb="FF000000"/>
      </left>
      <bottom style="thin">
        <color rgb="FF000000"/>
      </bottom>
    </border>
    <border>
      <top style="thin">
        <color rgb="FF000000"/>
      </top>
    </border>
    <border>
      <right style="dotted">
        <color rgb="FF000000"/>
      </right>
      <top style="thin">
        <color rgb="FF000000"/>
      </top>
    </border>
    <border>
      <left style="dotted">
        <color rgb="FF000000"/>
      </left>
      <top style="thin">
        <color rgb="FF000000"/>
      </top>
    </border>
    <border>
      <left style="dotted">
        <color rgb="FF000000"/>
      </left>
      <right style="dotted">
        <color rgb="FF000000"/>
      </right>
      <top style="thin">
        <color rgb="FF000000"/>
      </top>
    </border>
    <border>
      <bottom style="medium">
        <color rgb="FFFFFFFF"/>
      </bottom>
    </border>
    <border>
      <right style="thin">
        <color rgb="FFFFFFFF"/>
      </right>
      <bottom style="medium">
        <color rgb="FFFFFFFF"/>
      </bottom>
    </border>
    <border>
      <left style="thin">
        <color rgb="FFFFFFFF"/>
      </left>
      <bottom style="medium">
        <color rgb="FFFFFFFF"/>
      </bottom>
    </border>
    <border>
      <left style="thin">
        <color rgb="FFFFFFFF"/>
      </left>
      <right style="medium">
        <color rgb="FFFFFFFF"/>
      </right>
    </border>
    <border>
      <left style="medium">
        <color rgb="FFFFFFFF"/>
      </left>
      <right style="medium">
        <color rgb="FFFFFFFF"/>
      </right>
    </border>
    <border>
      <right style="thin">
        <color rgb="FF000000"/>
      </right>
    </border>
    <border>
      <left style="thin">
        <color rgb="FF000000"/>
      </left>
    </border>
    <border>
      <left style="thin">
        <color rgb="FFFFFFFF"/>
      </left>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top style="thin">
        <color rgb="FFFFFFFF"/>
      </top>
      <bottom style="thin">
        <color rgb="FFFFFFFF"/>
      </bottom>
    </border>
    <border>
      <left style="thin">
        <color rgb="FFFFFFFF"/>
      </left>
      <top style="thin">
        <color rgb="FFFFFFFF"/>
      </top>
    </border>
    <border>
      <top style="thin">
        <color rgb="FFFFFFFF"/>
      </top>
    </border>
    <border>
      <right style="medium">
        <color rgb="FFFFFFFF"/>
      </right>
      <top style="thin">
        <color rgb="FFFFFFFF"/>
      </top>
    </border>
    <border>
      <left style="medium">
        <color rgb="FFFFFFFF"/>
      </left>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medium">
        <color rgb="FFFFFFFF"/>
      </right>
      <bottom style="thin">
        <color rgb="FFFFFFFF"/>
      </bottom>
    </border>
    <border>
      <left style="medium">
        <color rgb="FFFFFFFF"/>
      </left>
      <bottom style="thin">
        <color rgb="FFFFFFFF"/>
      </bottom>
    </border>
    <border>
      <right style="thin">
        <color rgb="FFFFFFFF"/>
      </right>
      <bottom style="thin">
        <color rgb="FFFFFFFF"/>
      </bottom>
    </border>
    <border>
      <left/>
      <right/>
    </border>
    <border>
      <left/>
    </border>
    <border>
      <left style="thin">
        <color rgb="FFB7B7B7"/>
      </left>
      <bottom/>
    </border>
    <border>
      <bottom/>
    </border>
    <border>
      <right style="medium">
        <color rgb="FFFFFFFF"/>
      </right>
      <bottom/>
    </border>
    <border>
      <left style="medium">
        <color rgb="FFFFFFFF"/>
      </left>
      <bottom/>
    </border>
    <border>
      <right/>
      <bottom/>
    </border>
    <border>
      <left/>
      <right/>
      <bottom/>
    </border>
    <border>
      <left/>
      <bottom/>
    </border>
    <border>
      <left style="thin">
        <color rgb="FFB7B7B7"/>
      </left>
      <right/>
      <bottom style="thin">
        <color rgb="FFB7B7B7"/>
      </bottom>
    </border>
    <border>
      <left style="thin">
        <color rgb="FFB7B7B7"/>
      </left>
      <right style="medium">
        <color rgb="FFFFFFFF"/>
      </right>
      <bottom style="thin">
        <color rgb="FFB7B7B7"/>
      </bottom>
    </border>
    <border>
      <left style="medium">
        <color rgb="FFFFFFFF"/>
      </left>
      <right/>
      <bottom style="thin">
        <color rgb="FFB7B7B7"/>
      </bottom>
    </border>
    <border>
      <right/>
      <top/>
      <bottom/>
    </border>
    <border>
      <left/>
      <right/>
      <top/>
      <bottom/>
    </border>
    <border>
      <bottom style="dotted">
        <color rgb="FF000000"/>
      </bottom>
    </border>
    <border>
      <left style="hair">
        <color rgb="FFB7B7B7"/>
      </left>
      <right style="hair">
        <color rgb="FFB7B7B7"/>
      </right>
      <bottom style="hair">
        <color rgb="FFB7B7B7"/>
      </bottom>
    </border>
    <border>
      <top style="dotted">
        <color rgb="FF000000"/>
      </top>
      <bottom style="dotted">
        <color rgb="FF000000"/>
      </bottom>
    </border>
    <border>
      <left style="hair">
        <color rgb="FFB7B7B7"/>
      </left>
      <right style="hair">
        <color rgb="FFB7B7B7"/>
      </right>
      <top style="hair">
        <color rgb="FFB7B7B7"/>
      </top>
      <bottom style="hair">
        <color rgb="FFB7B7B7"/>
      </bottom>
    </border>
    <border>
      <right/>
    </border>
    <border>
      <left style="thin">
        <color rgb="FFB7B7B7"/>
      </left>
      <right style="hair">
        <color rgb="FFB7B7B7"/>
      </right>
      <top style="hair">
        <color rgb="FFB7B7B7"/>
      </top>
      <bottom style="hair">
        <color rgb="FFB7B7B7"/>
      </bottom>
    </border>
    <border>
      <top style="dotted">
        <color rgb="FF000000"/>
      </top>
    </border>
  </borders>
  <cellStyleXfs count="1">
    <xf borderId="0" fillId="0" fontId="0" numFmtId="0" applyAlignment="1" applyFont="1"/>
  </cellStyleXfs>
  <cellXfs count="383">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0" fillId="2" fontId="2" numFmtId="0" xfId="0" applyAlignment="1" applyFill="1" applyFont="1">
      <alignment readingOrder="0" vertical="center"/>
    </xf>
    <xf borderId="0" fillId="2" fontId="3" numFmtId="0" xfId="0" applyAlignment="1" applyFont="1">
      <alignment readingOrder="0"/>
    </xf>
    <xf borderId="0" fillId="2" fontId="3" numFmtId="0" xfId="0" applyAlignment="1" applyFont="1">
      <alignment horizontal="center" readingOrder="0"/>
    </xf>
    <xf borderId="0" fillId="3" fontId="4" numFmtId="0" xfId="0" applyAlignment="1" applyFill="1" applyFont="1">
      <alignment readingOrder="0"/>
    </xf>
    <xf borderId="0" fillId="4" fontId="5" numFmtId="0" xfId="0" applyAlignment="1" applyFill="1" applyFont="1">
      <alignment horizontal="center" readingOrder="0"/>
    </xf>
    <xf borderId="0" fillId="0" fontId="6" numFmtId="0" xfId="0" applyFont="1"/>
    <xf borderId="0" fillId="5" fontId="7" numFmtId="0" xfId="0" applyAlignment="1" applyFill="1" applyFont="1">
      <alignment readingOrder="0"/>
    </xf>
    <xf borderId="0" fillId="4" fontId="8" numFmtId="0" xfId="0" applyAlignment="1" applyFont="1">
      <alignment horizontal="center" readingOrder="0"/>
    </xf>
    <xf borderId="0" fillId="5" fontId="9" numFmtId="0" xfId="0" applyAlignment="1" applyFont="1">
      <alignment readingOrder="0"/>
    </xf>
    <xf borderId="0" fillId="4" fontId="10" numFmtId="0" xfId="0" applyAlignment="1" applyFont="1">
      <alignment horizontal="center" readingOrder="0"/>
    </xf>
    <xf borderId="0" fillId="5" fontId="11" numFmtId="0" xfId="0" applyAlignment="1" applyFont="1">
      <alignment horizontal="left" readingOrder="0"/>
    </xf>
    <xf borderId="0" fillId="0" fontId="1" numFmtId="0" xfId="0" applyAlignment="1" applyFont="1">
      <alignment horizontal="left" readingOrder="0"/>
    </xf>
    <xf borderId="0" fillId="0" fontId="1" numFmtId="0" xfId="0" applyAlignment="1" applyFont="1">
      <alignment horizontal="left" readingOrder="0"/>
    </xf>
    <xf borderId="0" fillId="0" fontId="12" numFmtId="0" xfId="0" applyAlignment="1" applyFont="1">
      <alignment horizontal="left" readingOrder="0"/>
    </xf>
    <xf borderId="0" fillId="0" fontId="7" numFmtId="0" xfId="0" applyFont="1"/>
    <xf borderId="0" fillId="0" fontId="10" numFmtId="0" xfId="0" applyAlignment="1" applyFont="1">
      <alignment horizontal="center"/>
    </xf>
    <xf borderId="0" fillId="4" fontId="10" numFmtId="9" xfId="0" applyAlignment="1" applyFont="1" applyNumberFormat="1">
      <alignment horizontal="center" readingOrder="0"/>
    </xf>
    <xf borderId="0" fillId="6" fontId="2" numFmtId="0" xfId="0" applyAlignment="1" applyFill="1" applyFont="1">
      <alignment readingOrder="0" vertical="center"/>
    </xf>
    <xf borderId="0" fillId="4" fontId="10" numFmtId="3" xfId="0" applyAlignment="1" applyFont="1" applyNumberFormat="1">
      <alignment horizontal="center" readingOrder="0"/>
    </xf>
    <xf borderId="0" fillId="7" fontId="1" numFmtId="0" xfId="0" applyFill="1" applyFont="1"/>
    <xf borderId="0" fillId="7" fontId="7" numFmtId="0" xfId="0" applyFont="1"/>
    <xf borderId="0" fillId="7" fontId="10" numFmtId="0" xfId="0" applyAlignment="1" applyFont="1">
      <alignment horizontal="center"/>
    </xf>
    <xf borderId="0" fillId="7" fontId="1" numFmtId="0" xfId="0" applyAlignment="1" applyFont="1">
      <alignment horizontal="left" readingOrder="0"/>
    </xf>
    <xf borderId="0" fillId="7" fontId="12" numFmtId="0" xfId="0" applyAlignment="1" applyFont="1">
      <alignment horizontal="left" readingOrder="0"/>
    </xf>
    <xf borderId="0" fillId="7" fontId="2" numFmtId="0" xfId="0" applyAlignment="1" applyFont="1">
      <alignment readingOrder="0" vertical="center"/>
    </xf>
    <xf borderId="0" fillId="7" fontId="13" numFmtId="0" xfId="0" applyAlignment="1" applyFont="1">
      <alignment readingOrder="0" vertical="center"/>
    </xf>
    <xf borderId="0" fillId="7" fontId="13" numFmtId="0" xfId="0" applyAlignment="1" applyFont="1">
      <alignment horizontal="center" readingOrder="0" vertical="center"/>
    </xf>
    <xf borderId="0" fillId="7" fontId="14" numFmtId="164" xfId="0" applyAlignment="1" applyFont="1" applyNumberFormat="1">
      <alignment readingOrder="0" vertical="center"/>
    </xf>
    <xf borderId="0" fillId="0" fontId="2" numFmtId="0" xfId="0" applyAlignment="1" applyFont="1">
      <alignment readingOrder="0" vertical="center"/>
    </xf>
    <xf borderId="0" fillId="7" fontId="15" numFmtId="0" xfId="0" applyAlignment="1" applyFont="1">
      <alignment readingOrder="0" vertical="center"/>
    </xf>
    <xf borderId="0" fillId="5" fontId="13" numFmtId="0" xfId="0" applyAlignment="1" applyFont="1">
      <alignment horizontal="center" readingOrder="0" vertical="center"/>
    </xf>
    <xf borderId="1" fillId="0" fontId="16" numFmtId="0" xfId="0" applyBorder="1" applyFont="1"/>
    <xf borderId="2" fillId="5" fontId="13" numFmtId="0" xfId="0" applyAlignment="1" applyBorder="1" applyFont="1">
      <alignment horizontal="center" readingOrder="0" vertical="center"/>
    </xf>
    <xf borderId="0" fillId="0" fontId="14" numFmtId="164" xfId="0" applyAlignment="1" applyFont="1" applyNumberFormat="1">
      <alignment readingOrder="0" vertical="center"/>
    </xf>
    <xf borderId="3" fillId="8" fontId="14" numFmtId="0" xfId="0" applyAlignment="1" applyBorder="1" applyFill="1" applyFont="1">
      <alignment horizontal="center" readingOrder="0" vertical="center"/>
    </xf>
    <xf borderId="4" fillId="8" fontId="14" numFmtId="0" xfId="0" applyAlignment="1" applyBorder="1" applyFont="1">
      <alignment horizontal="center" readingOrder="0" vertical="center"/>
    </xf>
    <xf borderId="4" fillId="2" fontId="14" numFmtId="0" xfId="0" applyAlignment="1" applyBorder="1" applyFont="1">
      <alignment horizontal="center" readingOrder="0" vertical="center"/>
    </xf>
    <xf borderId="0" fillId="2" fontId="14" numFmtId="0" xfId="0" applyAlignment="1" applyFont="1">
      <alignment horizontal="center" readingOrder="0" vertical="center"/>
    </xf>
    <xf borderId="1" fillId="2" fontId="14" numFmtId="0" xfId="0" applyAlignment="1" applyBorder="1" applyFont="1">
      <alignment horizontal="center" readingOrder="0" vertical="center"/>
    </xf>
    <xf borderId="2" fillId="2" fontId="14" numFmtId="0" xfId="0" applyAlignment="1" applyBorder="1" applyFont="1">
      <alignment horizontal="center" readingOrder="0" vertical="center"/>
    </xf>
    <xf borderId="3" fillId="0" fontId="16" numFmtId="0" xfId="0" applyBorder="1" applyFont="1"/>
    <xf borderId="4" fillId="0" fontId="16" numFmtId="0" xfId="0" applyBorder="1" applyFont="1"/>
    <xf borderId="0" fillId="3" fontId="17" numFmtId="0" xfId="0" applyAlignment="1" applyFont="1">
      <alignment readingOrder="0" vertical="center"/>
    </xf>
    <xf borderId="0" fillId="5" fontId="17" numFmtId="3" xfId="0" applyAlignment="1" applyFont="1" applyNumberFormat="1">
      <alignment horizontal="right" readingOrder="0" vertical="center"/>
    </xf>
    <xf borderId="5" fillId="5" fontId="17" numFmtId="3" xfId="0" applyAlignment="1" applyBorder="1" applyFont="1" applyNumberFormat="1">
      <alignment horizontal="right" readingOrder="0" vertical="center"/>
    </xf>
    <xf borderId="6" fillId="5" fontId="17" numFmtId="3" xfId="0" applyAlignment="1" applyBorder="1" applyFont="1" applyNumberFormat="1">
      <alignment horizontal="right" readingOrder="0" vertical="center"/>
    </xf>
    <xf borderId="0" fillId="0" fontId="17" numFmtId="0" xfId="0" applyAlignment="1" applyFont="1">
      <alignment vertical="center"/>
    </xf>
    <xf borderId="5" fillId="5" fontId="17" numFmtId="1" xfId="0" applyAlignment="1" applyBorder="1" applyFont="1" applyNumberFormat="1">
      <alignment horizontal="right" vertical="center"/>
    </xf>
    <xf borderId="6" fillId="5" fontId="17" numFmtId="1" xfId="0" applyAlignment="1" applyBorder="1" applyFont="1" applyNumberFormat="1">
      <alignment horizontal="right" readingOrder="0" vertical="center"/>
    </xf>
    <xf borderId="0" fillId="0" fontId="18" numFmtId="0" xfId="0" applyAlignment="1" applyFont="1">
      <alignment readingOrder="0" vertical="center"/>
    </xf>
    <xf borderId="0" fillId="0" fontId="19" numFmtId="9" xfId="0" applyAlignment="1" applyFont="1" applyNumberFormat="1">
      <alignment horizontal="right" readingOrder="0" vertical="center"/>
    </xf>
    <xf borderId="0" fillId="0" fontId="18" numFmtId="9" xfId="0" applyAlignment="1" applyFont="1" applyNumberFormat="1">
      <alignment horizontal="right" vertical="center"/>
    </xf>
    <xf borderId="0" fillId="0" fontId="19" numFmtId="0" xfId="0" applyAlignment="1" applyFont="1">
      <alignment vertical="center"/>
    </xf>
    <xf borderId="5" fillId="0" fontId="19" numFmtId="9" xfId="0" applyAlignment="1" applyBorder="1" applyFont="1" applyNumberFormat="1">
      <alignment horizontal="right" vertical="center"/>
    </xf>
    <xf borderId="6" fillId="0" fontId="18" numFmtId="9" xfId="0" applyAlignment="1" applyBorder="1" applyFont="1" applyNumberFormat="1">
      <alignment horizontal="right" vertical="center"/>
    </xf>
    <xf borderId="0" fillId="5" fontId="20" numFmtId="0" xfId="0" applyAlignment="1" applyFont="1">
      <alignment readingOrder="0" vertical="center"/>
    </xf>
    <xf borderId="5" fillId="5" fontId="17" numFmtId="3" xfId="0" applyAlignment="1" applyBorder="1" applyFont="1" applyNumberFormat="1">
      <alignment horizontal="right" vertical="center"/>
    </xf>
    <xf borderId="0" fillId="0" fontId="19" numFmtId="0" xfId="0" applyAlignment="1" applyFont="1">
      <alignment readingOrder="0" vertical="center"/>
    </xf>
    <xf borderId="0" fillId="0" fontId="19" numFmtId="3" xfId="0" applyAlignment="1" applyFont="1" applyNumberFormat="1">
      <alignment horizontal="right" vertical="center"/>
    </xf>
    <xf borderId="5" fillId="0" fontId="19" numFmtId="3" xfId="0" applyAlignment="1" applyBorder="1" applyFont="1" applyNumberFormat="1">
      <alignment horizontal="right" vertical="center"/>
    </xf>
    <xf borderId="6" fillId="0" fontId="19" numFmtId="3" xfId="0" applyAlignment="1" applyBorder="1" applyFont="1" applyNumberFormat="1">
      <alignment horizontal="right" vertical="center"/>
    </xf>
    <xf borderId="5" fillId="7" fontId="19" numFmtId="1" xfId="0" applyAlignment="1" applyBorder="1" applyFont="1" applyNumberFormat="1">
      <alignment horizontal="right" vertical="center"/>
    </xf>
    <xf borderId="6" fillId="7" fontId="13" numFmtId="0" xfId="0" applyAlignment="1" applyBorder="1" applyFont="1">
      <alignment horizontal="right" readingOrder="0" vertical="center"/>
    </xf>
    <xf borderId="0" fillId="5" fontId="17" numFmtId="0" xfId="0" applyAlignment="1" applyFont="1">
      <alignment readingOrder="0" vertical="center"/>
    </xf>
    <xf borderId="5" fillId="7" fontId="17" numFmtId="1" xfId="0" applyAlignment="1" applyBorder="1" applyFont="1" applyNumberFormat="1">
      <alignment horizontal="right" vertical="center"/>
    </xf>
    <xf borderId="0" fillId="9" fontId="17" numFmtId="0" xfId="0" applyAlignment="1" applyFill="1" applyFont="1">
      <alignment readingOrder="0" vertical="center"/>
    </xf>
    <xf borderId="0" fillId="9" fontId="17" numFmtId="3" xfId="0" applyAlignment="1" applyFont="1" applyNumberFormat="1">
      <alignment horizontal="right" readingOrder="0" vertical="center"/>
    </xf>
    <xf borderId="5" fillId="9" fontId="17" numFmtId="3" xfId="0" applyAlignment="1" applyBorder="1" applyFont="1" applyNumberFormat="1">
      <alignment horizontal="right" readingOrder="0" vertical="center"/>
    </xf>
    <xf borderId="6" fillId="9" fontId="17" numFmtId="3" xfId="0" applyAlignment="1" applyBorder="1" applyFont="1" applyNumberFormat="1">
      <alignment horizontal="right" readingOrder="0" vertical="center"/>
    </xf>
    <xf borderId="5" fillId="9" fontId="17" numFmtId="3" xfId="0" applyAlignment="1" applyBorder="1" applyFont="1" applyNumberFormat="1">
      <alignment horizontal="right" vertical="center"/>
    </xf>
    <xf borderId="0" fillId="0" fontId="13" numFmtId="0" xfId="0" applyAlignment="1" applyFont="1">
      <alignment readingOrder="0" vertical="center"/>
    </xf>
    <xf borderId="0" fillId="0" fontId="13" numFmtId="0" xfId="0" applyAlignment="1" applyFont="1">
      <alignment horizontal="center" readingOrder="0" vertical="center"/>
    </xf>
    <xf borderId="0" fillId="0" fontId="17" numFmtId="1" xfId="0" applyAlignment="1" applyFont="1" applyNumberFormat="1">
      <alignment horizontal="right" vertical="center"/>
    </xf>
    <xf borderId="0" fillId="0" fontId="19" numFmtId="3" xfId="0" applyAlignment="1" applyFont="1" applyNumberFormat="1">
      <alignment horizontal="center" vertical="center"/>
    </xf>
    <xf borderId="5" fillId="0" fontId="19" numFmtId="1" xfId="0" applyAlignment="1" applyBorder="1" applyFont="1" applyNumberFormat="1">
      <alignment horizontal="right" vertical="center"/>
    </xf>
    <xf borderId="0" fillId="7" fontId="19" numFmtId="0" xfId="0" applyAlignment="1" applyFont="1">
      <alignment vertical="center"/>
    </xf>
    <xf borderId="0" fillId="7" fontId="19" numFmtId="3" xfId="0" applyAlignment="1" applyFont="1" applyNumberFormat="1">
      <alignment horizontal="right" vertical="center"/>
    </xf>
    <xf borderId="5" fillId="7" fontId="19" numFmtId="165" xfId="0" applyAlignment="1" applyBorder="1" applyFont="1" applyNumberFormat="1">
      <alignment horizontal="right" vertical="center"/>
    </xf>
    <xf borderId="6" fillId="7" fontId="19" numFmtId="165" xfId="0" applyAlignment="1" applyBorder="1" applyFont="1" applyNumberFormat="1">
      <alignment horizontal="right" vertical="center"/>
    </xf>
    <xf borderId="0" fillId="6" fontId="21" numFmtId="0" xfId="0" applyFont="1"/>
    <xf borderId="5" fillId="5" fontId="19" numFmtId="3" xfId="0" applyAlignment="1" applyBorder="1" applyFont="1" applyNumberFormat="1">
      <alignment horizontal="right" vertical="center"/>
    </xf>
    <xf borderId="0" fillId="0" fontId="22" numFmtId="0" xfId="0" applyAlignment="1" applyFont="1">
      <alignment readingOrder="0" vertical="center"/>
    </xf>
    <xf borderId="0" fillId="5" fontId="17" numFmtId="1" xfId="0" applyAlignment="1" applyFont="1" applyNumberFormat="1">
      <alignment horizontal="center" readingOrder="0" vertical="center"/>
    </xf>
    <xf borderId="0" fillId="3" fontId="17" numFmtId="1" xfId="0" applyAlignment="1" applyFont="1" applyNumberFormat="1">
      <alignment horizontal="right" readingOrder="0" vertical="center"/>
    </xf>
    <xf borderId="5" fillId="3" fontId="17" numFmtId="1" xfId="0" applyAlignment="1" applyBorder="1" applyFont="1" applyNumberFormat="1">
      <alignment horizontal="right" readingOrder="0" vertical="center"/>
    </xf>
    <xf borderId="6" fillId="3" fontId="17" numFmtId="1" xfId="0" applyAlignment="1" applyBorder="1" applyFont="1" applyNumberFormat="1">
      <alignment horizontal="right" readingOrder="0" vertical="center"/>
    </xf>
    <xf borderId="7" fillId="3" fontId="17" numFmtId="1" xfId="0" applyAlignment="1" applyBorder="1" applyFont="1" applyNumberFormat="1">
      <alignment horizontal="right" readingOrder="0" vertical="center"/>
    </xf>
    <xf borderId="0" fillId="4" fontId="19" numFmtId="0" xfId="0" applyAlignment="1" applyFont="1">
      <alignment readingOrder="0" vertical="center"/>
    </xf>
    <xf borderId="0" fillId="4" fontId="19" numFmtId="10" xfId="0" applyAlignment="1" applyFont="1" applyNumberFormat="1">
      <alignment readingOrder="0" vertical="center"/>
    </xf>
    <xf borderId="0" fillId="4" fontId="19" numFmtId="9" xfId="0" applyAlignment="1" applyFont="1" applyNumberFormat="1">
      <alignment horizontal="right" readingOrder="0" vertical="center"/>
    </xf>
    <xf borderId="0" fillId="0" fontId="22" numFmtId="0" xfId="0" applyAlignment="1" applyFont="1">
      <alignment vertical="center"/>
    </xf>
    <xf borderId="5" fillId="0" fontId="22" numFmtId="9" xfId="0" applyAlignment="1" applyBorder="1" applyFont="1" applyNumberFormat="1">
      <alignment horizontal="right" vertical="center"/>
    </xf>
    <xf borderId="0" fillId="0" fontId="19" numFmtId="1" xfId="0" applyAlignment="1" applyFont="1" applyNumberFormat="1">
      <alignment horizontal="center" readingOrder="0" vertical="center"/>
    </xf>
    <xf borderId="0" fillId="0" fontId="23" numFmtId="3" xfId="0" applyAlignment="1" applyFont="1" applyNumberFormat="1">
      <alignment horizontal="right" readingOrder="0" shrinkToFit="0" vertical="center" wrapText="1"/>
    </xf>
    <xf borderId="5" fillId="3" fontId="19" numFmtId="1" xfId="0" applyAlignment="1" applyBorder="1" applyFont="1" applyNumberFormat="1">
      <alignment horizontal="right" readingOrder="0" vertical="center"/>
    </xf>
    <xf borderId="7" fillId="3" fontId="19" numFmtId="1" xfId="0" applyAlignment="1" applyBorder="1" applyFont="1" applyNumberFormat="1">
      <alignment horizontal="right" readingOrder="0" vertical="center"/>
    </xf>
    <xf borderId="0" fillId="0" fontId="23" numFmtId="3" xfId="0" applyAlignment="1" applyFont="1" applyNumberFormat="1">
      <alignment horizontal="center" readingOrder="0" shrinkToFit="0" vertical="center" wrapText="1"/>
    </xf>
    <xf borderId="5" fillId="0" fontId="23" numFmtId="3" xfId="0" applyAlignment="1" applyBorder="1" applyFont="1" applyNumberFormat="1">
      <alignment horizontal="center" readingOrder="0" shrinkToFit="0" vertical="center" wrapText="1"/>
    </xf>
    <xf borderId="6" fillId="0" fontId="23" numFmtId="3" xfId="0" applyAlignment="1" applyBorder="1" applyFont="1" applyNumberFormat="1">
      <alignment horizontal="center" readingOrder="0" shrinkToFit="0" vertical="center" wrapText="1"/>
    </xf>
    <xf borderId="7" fillId="0" fontId="23" numFmtId="3" xfId="0" applyAlignment="1" applyBorder="1" applyFont="1" applyNumberFormat="1">
      <alignment horizontal="center" readingOrder="0" shrinkToFit="0" vertical="center" wrapText="1"/>
    </xf>
    <xf borderId="0" fillId="0" fontId="18" numFmtId="9" xfId="0" applyAlignment="1" applyFont="1" applyNumberFormat="1">
      <alignment horizontal="center" vertical="center"/>
    </xf>
    <xf borderId="0" fillId="0" fontId="24" numFmtId="9" xfId="0" applyAlignment="1" applyFont="1" applyNumberFormat="1">
      <alignment horizontal="right" readingOrder="0" vertical="center"/>
    </xf>
    <xf borderId="0" fillId="5" fontId="20" numFmtId="1" xfId="0" applyAlignment="1" applyFont="1" applyNumberFormat="1">
      <alignment horizontal="right" readingOrder="0" vertical="center"/>
    </xf>
    <xf borderId="5" fillId="5" fontId="20" numFmtId="1" xfId="0" applyAlignment="1" applyBorder="1" applyFont="1" applyNumberFormat="1">
      <alignment horizontal="right" readingOrder="0" vertical="center"/>
    </xf>
    <xf borderId="6" fillId="5" fontId="20" numFmtId="1" xfId="0" applyAlignment="1" applyBorder="1" applyFont="1" applyNumberFormat="1">
      <alignment horizontal="right" readingOrder="0" vertical="center"/>
    </xf>
    <xf borderId="7" fillId="5" fontId="20" numFmtId="1" xfId="0" applyAlignment="1" applyBorder="1" applyFont="1" applyNumberFormat="1">
      <alignment horizontal="right" readingOrder="0" vertical="center"/>
    </xf>
    <xf borderId="0" fillId="0" fontId="20" numFmtId="4" xfId="0" applyAlignment="1" applyFont="1" applyNumberFormat="1">
      <alignment horizontal="right" vertical="center"/>
    </xf>
    <xf borderId="0" fillId="0" fontId="17" numFmtId="4" xfId="0" applyAlignment="1" applyFont="1" applyNumberFormat="1">
      <alignment horizontal="right" vertical="center"/>
    </xf>
    <xf borderId="0" fillId="0" fontId="17" numFmtId="0" xfId="0" applyAlignment="1" applyFont="1">
      <alignment readingOrder="0" vertical="center"/>
    </xf>
    <xf borderId="0" fillId="0" fontId="17" numFmtId="0" xfId="0" applyAlignment="1" applyFont="1">
      <alignment horizontal="center" vertical="center"/>
    </xf>
    <xf borderId="8" fillId="4" fontId="17" numFmtId="3" xfId="0" applyAlignment="1" applyBorder="1" applyFont="1" applyNumberFormat="1">
      <alignment horizontal="center" readingOrder="0" vertical="center"/>
    </xf>
    <xf borderId="0" fillId="5" fontId="20" numFmtId="3" xfId="0" applyAlignment="1" applyFont="1" applyNumberFormat="1">
      <alignment horizontal="right" readingOrder="0" vertical="center"/>
    </xf>
    <xf borderId="5" fillId="5" fontId="20" numFmtId="3" xfId="0" applyAlignment="1" applyBorder="1" applyFont="1" applyNumberFormat="1">
      <alignment horizontal="right" readingOrder="0" vertical="center"/>
    </xf>
    <xf borderId="6" fillId="5" fontId="20" numFmtId="3" xfId="0" applyAlignment="1" applyBorder="1" applyFont="1" applyNumberFormat="1">
      <alignment horizontal="right" readingOrder="0" vertical="center"/>
    </xf>
    <xf borderId="7" fillId="5" fontId="20" numFmtId="3" xfId="0" applyAlignment="1" applyBorder="1" applyFont="1" applyNumberFormat="1">
      <alignment horizontal="right" readingOrder="0" vertical="center"/>
    </xf>
    <xf borderId="0" fillId="0" fontId="19" numFmtId="9" xfId="0" applyAlignment="1" applyFont="1" applyNumberFormat="1">
      <alignment horizontal="center" vertical="center"/>
    </xf>
    <xf borderId="5" fillId="4" fontId="19" numFmtId="9" xfId="0" applyAlignment="1" applyBorder="1" applyFont="1" applyNumberFormat="1">
      <alignment horizontal="right" readingOrder="0" vertical="center"/>
    </xf>
    <xf borderId="6" fillId="4" fontId="19" numFmtId="9" xfId="0" applyAlignment="1" applyBorder="1" applyFont="1" applyNumberFormat="1">
      <alignment horizontal="right" readingOrder="0" vertical="center"/>
    </xf>
    <xf borderId="7" fillId="4" fontId="19" numFmtId="9" xfId="0" applyAlignment="1" applyBorder="1" applyFont="1" applyNumberFormat="1">
      <alignment horizontal="right" readingOrder="0" vertical="center"/>
    </xf>
    <xf borderId="0" fillId="4" fontId="19" numFmtId="3" xfId="0" applyAlignment="1" applyFont="1" applyNumberFormat="1">
      <alignment horizontal="center" readingOrder="0" vertical="center"/>
    </xf>
    <xf borderId="0" fillId="4" fontId="19" numFmtId="3" xfId="0" applyAlignment="1" applyFont="1" applyNumberFormat="1">
      <alignment horizontal="right" readingOrder="0" vertical="center"/>
    </xf>
    <xf borderId="5" fillId="4" fontId="19" numFmtId="3" xfId="0" applyAlignment="1" applyBorder="1" applyFont="1" applyNumberFormat="1">
      <alignment horizontal="right" readingOrder="0" vertical="center"/>
    </xf>
    <xf borderId="6" fillId="4" fontId="19" numFmtId="3" xfId="0" applyAlignment="1" applyBorder="1" applyFont="1" applyNumberFormat="1">
      <alignment horizontal="right" readingOrder="0" vertical="center"/>
    </xf>
    <xf borderId="9" fillId="0" fontId="19" numFmtId="0" xfId="0" applyAlignment="1" applyBorder="1" applyFont="1">
      <alignment readingOrder="0" vertical="center"/>
    </xf>
    <xf borderId="9" fillId="0" fontId="19" numFmtId="3" xfId="0" applyAlignment="1" applyBorder="1" applyFont="1" applyNumberFormat="1">
      <alignment horizontal="right" vertical="center"/>
    </xf>
    <xf borderId="10" fillId="0" fontId="19" numFmtId="3" xfId="0" applyAlignment="1" applyBorder="1" applyFont="1" applyNumberFormat="1">
      <alignment horizontal="right" vertical="center"/>
    </xf>
    <xf borderId="11" fillId="0" fontId="19" numFmtId="3" xfId="0" applyAlignment="1" applyBorder="1" applyFont="1" applyNumberFormat="1">
      <alignment horizontal="right" vertical="center"/>
    </xf>
    <xf borderId="7" fillId="0" fontId="19" numFmtId="3" xfId="0" applyAlignment="1" applyBorder="1" applyFont="1" applyNumberFormat="1">
      <alignment horizontal="right" vertical="center"/>
    </xf>
    <xf borderId="12" fillId="0" fontId="19" numFmtId="0" xfId="0" applyAlignment="1" applyBorder="1" applyFont="1">
      <alignment readingOrder="0" vertical="center"/>
    </xf>
    <xf borderId="12" fillId="0" fontId="17" numFmtId="3" xfId="0" applyAlignment="1" applyBorder="1" applyFont="1" applyNumberFormat="1">
      <alignment horizontal="center" vertical="center"/>
    </xf>
    <xf borderId="12" fillId="0" fontId="19" numFmtId="3" xfId="0" applyAlignment="1" applyBorder="1" applyFont="1" applyNumberFormat="1">
      <alignment horizontal="right" vertical="center"/>
    </xf>
    <xf borderId="13" fillId="0" fontId="19" numFmtId="3" xfId="0" applyAlignment="1" applyBorder="1" applyFont="1" applyNumberFormat="1">
      <alignment horizontal="right" vertical="center"/>
    </xf>
    <xf borderId="14" fillId="0" fontId="19" numFmtId="3" xfId="0" applyAlignment="1" applyBorder="1" applyFont="1" applyNumberFormat="1">
      <alignment horizontal="right" vertical="center"/>
    </xf>
    <xf borderId="12" fillId="0" fontId="25" numFmtId="3" xfId="0" applyAlignment="1" applyBorder="1" applyFont="1" applyNumberFormat="1">
      <alignment horizontal="right" vertical="center"/>
    </xf>
    <xf borderId="15" fillId="0" fontId="19" numFmtId="3" xfId="0" applyAlignment="1" applyBorder="1" applyFont="1" applyNumberFormat="1">
      <alignment horizontal="right" vertical="center"/>
    </xf>
    <xf borderId="0" fillId="0" fontId="19" numFmtId="0" xfId="0" applyAlignment="1" applyFont="1">
      <alignment horizontal="center" vertical="center"/>
    </xf>
    <xf borderId="0" fillId="0" fontId="19" numFmtId="4" xfId="0" applyAlignment="1" applyFont="1" applyNumberFormat="1">
      <alignment horizontal="right" vertical="center"/>
    </xf>
    <xf borderId="0" fillId="5" fontId="17" numFmtId="3" xfId="0" applyAlignment="1" applyFont="1" applyNumberFormat="1">
      <alignment horizontal="center" readingOrder="0" vertical="center"/>
    </xf>
    <xf borderId="7" fillId="5" fontId="17" numFmtId="3" xfId="0" applyAlignment="1" applyBorder="1" applyFont="1" applyNumberFormat="1">
      <alignment horizontal="right" readingOrder="0" vertical="center"/>
    </xf>
    <xf borderId="0" fillId="0" fontId="17" numFmtId="3" xfId="0" applyAlignment="1" applyFont="1" applyNumberFormat="1">
      <alignment horizontal="right" vertical="center"/>
    </xf>
    <xf borderId="5" fillId="0" fontId="17" numFmtId="3" xfId="0" applyAlignment="1" applyBorder="1" applyFont="1" applyNumberFormat="1">
      <alignment horizontal="right" vertical="center"/>
    </xf>
    <xf borderId="6" fillId="0" fontId="17" numFmtId="3" xfId="0" applyAlignment="1" applyBorder="1" applyFont="1" applyNumberFormat="1">
      <alignment horizontal="right" vertical="center"/>
    </xf>
    <xf borderId="12" fillId="0" fontId="20" numFmtId="3" xfId="0" applyAlignment="1" applyBorder="1" applyFont="1" applyNumberFormat="1">
      <alignment horizontal="center" vertical="center"/>
    </xf>
    <xf borderId="0" fillId="6" fontId="22" numFmtId="0" xfId="0" applyAlignment="1" applyFont="1">
      <alignment readingOrder="0" vertical="center"/>
    </xf>
    <xf borderId="7" fillId="0" fontId="17" numFmtId="3" xfId="0" applyAlignment="1" applyBorder="1" applyFont="1" applyNumberFormat="1">
      <alignment horizontal="right" vertical="center"/>
    </xf>
    <xf borderId="0" fillId="0" fontId="17" numFmtId="3" xfId="0" applyAlignment="1" applyFont="1" applyNumberFormat="1">
      <alignment horizontal="center" vertical="center"/>
    </xf>
    <xf borderId="0" fillId="9" fontId="17" numFmtId="3" xfId="0" applyAlignment="1" applyFont="1" applyNumberFormat="1">
      <alignment horizontal="center" readingOrder="0" vertical="center"/>
    </xf>
    <xf borderId="0" fillId="7" fontId="2" numFmtId="0" xfId="0" applyAlignment="1" applyFont="1">
      <alignment horizontal="center" readingOrder="0" vertical="center"/>
    </xf>
    <xf borderId="0" fillId="7" fontId="26" numFmtId="0" xfId="0" applyAlignment="1" applyFont="1">
      <alignment horizontal="center" readingOrder="0" vertical="center"/>
    </xf>
    <xf borderId="0" fillId="7" fontId="14" numFmtId="0" xfId="0" applyAlignment="1" applyFont="1">
      <alignment horizontal="center" readingOrder="0" vertical="center"/>
    </xf>
    <xf borderId="0" fillId="7" fontId="13" numFmtId="3" xfId="0" applyAlignment="1" applyFont="1" applyNumberFormat="1">
      <alignment horizontal="center" readingOrder="0" vertical="center"/>
    </xf>
    <xf borderId="0" fillId="7" fontId="14" numFmtId="1" xfId="0" applyAlignment="1" applyFont="1" applyNumberFormat="1">
      <alignment horizontal="center" readingOrder="0" vertical="center"/>
    </xf>
    <xf borderId="0" fillId="7" fontId="14" numFmtId="3" xfId="0" applyAlignment="1" applyFont="1" applyNumberFormat="1">
      <alignment horizontal="center" readingOrder="0" vertical="center"/>
    </xf>
    <xf borderId="0" fillId="0" fontId="10" numFmtId="0" xfId="0" applyFont="1"/>
    <xf borderId="16" fillId="2" fontId="27" numFmtId="0" xfId="0" applyAlignment="1" applyBorder="1" applyFont="1">
      <alignment horizontal="center" readingOrder="0" vertical="center"/>
    </xf>
    <xf borderId="16" fillId="2" fontId="27" numFmtId="0" xfId="0" applyAlignment="1" applyBorder="1" applyFont="1">
      <alignment horizontal="left" readingOrder="0" vertical="center"/>
    </xf>
    <xf borderId="16" fillId="2" fontId="27" numFmtId="3" xfId="0" applyAlignment="1" applyBorder="1" applyFont="1" applyNumberFormat="1">
      <alignment horizontal="center" readingOrder="0" vertical="center"/>
    </xf>
    <xf borderId="17" fillId="2" fontId="27" numFmtId="0" xfId="0" applyAlignment="1" applyBorder="1" applyFont="1">
      <alignment horizontal="center" readingOrder="0" vertical="center"/>
    </xf>
    <xf borderId="16" fillId="2" fontId="27" numFmtId="1" xfId="0" applyAlignment="1" applyBorder="1" applyFont="1" applyNumberFormat="1">
      <alignment horizontal="center" readingOrder="0" vertical="center"/>
    </xf>
    <xf borderId="18" fillId="8" fontId="27" numFmtId="0" xfId="0" applyAlignment="1" applyBorder="1" applyFont="1">
      <alignment horizontal="center" readingOrder="0" vertical="bottom"/>
    </xf>
    <xf borderId="16" fillId="0" fontId="16" numFmtId="0" xfId="0" applyBorder="1" applyFont="1"/>
    <xf borderId="16" fillId="10" fontId="28" numFmtId="0" xfId="0" applyAlignment="1" applyBorder="1" applyFill="1" applyFont="1">
      <alignment horizontal="center" readingOrder="0" vertical="bottom"/>
    </xf>
    <xf borderId="4" fillId="2" fontId="27" numFmtId="165" xfId="0" applyAlignment="1" applyBorder="1" applyFont="1" applyNumberFormat="1">
      <alignment horizontal="center" readingOrder="0" vertical="bottom"/>
    </xf>
    <xf borderId="3" fillId="2" fontId="27" numFmtId="0" xfId="0" applyAlignment="1" applyBorder="1" applyFont="1">
      <alignment horizontal="center" readingOrder="0" vertical="bottom"/>
    </xf>
    <xf borderId="4" fillId="2" fontId="27" numFmtId="0" xfId="0" applyAlignment="1" applyBorder="1" applyFont="1">
      <alignment horizontal="center" vertical="bottom"/>
    </xf>
    <xf borderId="4" fillId="2" fontId="27" numFmtId="0" xfId="0" applyAlignment="1" applyBorder="1" applyFont="1">
      <alignment horizontal="center" vertical="bottom"/>
    </xf>
    <xf borderId="4" fillId="2" fontId="27" numFmtId="3" xfId="0" applyAlignment="1" applyBorder="1" applyFont="1" applyNumberFormat="1">
      <alignment horizontal="center" readingOrder="0" vertical="bottom"/>
    </xf>
    <xf borderId="4" fillId="2" fontId="27" numFmtId="0" xfId="0" applyAlignment="1" applyBorder="1" applyFont="1">
      <alignment horizontal="center" readingOrder="0" vertical="bottom"/>
    </xf>
    <xf borderId="4" fillId="2" fontId="27" numFmtId="1" xfId="0" applyAlignment="1" applyBorder="1" applyFont="1" applyNumberFormat="1">
      <alignment horizontal="center" readingOrder="0" vertical="bottom"/>
    </xf>
    <xf borderId="4" fillId="8" fontId="27" numFmtId="0" xfId="0" applyAlignment="1" applyBorder="1" applyFont="1">
      <alignment horizontal="center" readingOrder="0" vertical="bottom"/>
    </xf>
    <xf borderId="4" fillId="8" fontId="27" numFmtId="3" xfId="0" applyAlignment="1" applyBorder="1" applyFont="1" applyNumberFormat="1">
      <alignment horizontal="center" vertical="bottom"/>
    </xf>
    <xf borderId="19" fillId="10" fontId="28" numFmtId="0" xfId="0" applyAlignment="1" applyBorder="1" applyFont="1">
      <alignment horizontal="center" readingOrder="0" vertical="bottom"/>
    </xf>
    <xf borderId="20" fillId="10" fontId="28" numFmtId="0" xfId="0" applyAlignment="1" applyBorder="1" applyFont="1">
      <alignment horizontal="center" readingOrder="0" vertical="bottom"/>
    </xf>
    <xf borderId="2" fillId="10" fontId="28" numFmtId="0" xfId="0" applyAlignment="1" applyBorder="1" applyFont="1">
      <alignment horizontal="center" readingOrder="0" vertical="bottom"/>
    </xf>
    <xf borderId="0" fillId="0" fontId="29" numFmtId="166" xfId="0" applyFont="1" applyNumberFormat="1"/>
    <xf borderId="0" fillId="0" fontId="10" numFmtId="165" xfId="0" applyAlignment="1" applyFont="1" applyNumberFormat="1">
      <alignment horizontal="center" readingOrder="0"/>
    </xf>
    <xf borderId="0" fillId="9" fontId="6" numFmtId="0" xfId="0" applyAlignment="1" applyFont="1">
      <alignment horizontal="center" readingOrder="0" vertical="bottom"/>
    </xf>
    <xf borderId="0" fillId="0" fontId="6" numFmtId="0" xfId="0" applyAlignment="1" applyFont="1">
      <alignment horizontal="center" readingOrder="0" vertical="bottom"/>
    </xf>
    <xf borderId="0" fillId="0" fontId="6" numFmtId="0" xfId="0" applyAlignment="1" applyFont="1">
      <alignment horizontal="center" readingOrder="0"/>
    </xf>
    <xf borderId="0" fillId="0" fontId="10" numFmtId="3" xfId="0" applyAlignment="1" applyFont="1" applyNumberFormat="1">
      <alignment horizontal="center" readingOrder="0"/>
    </xf>
    <xf borderId="0" fillId="11" fontId="7" numFmtId="0" xfId="0" applyAlignment="1" applyFill="1" applyFont="1">
      <alignment horizontal="center" readingOrder="0"/>
    </xf>
    <xf borderId="21" fillId="11" fontId="7" numFmtId="0" xfId="0" applyAlignment="1" applyBorder="1" applyFont="1">
      <alignment horizontal="center" readingOrder="0"/>
    </xf>
    <xf borderId="0" fillId="11" fontId="7" numFmtId="1" xfId="0" applyAlignment="1" applyFont="1" applyNumberFormat="1">
      <alignment horizontal="center" readingOrder="0"/>
    </xf>
    <xf borderId="22" fillId="11" fontId="7" numFmtId="3" xfId="0" applyAlignment="1" applyBorder="1" applyFont="1" applyNumberFormat="1">
      <alignment horizontal="center" readingOrder="0"/>
    </xf>
    <xf borderId="0" fillId="0" fontId="8" numFmtId="3" xfId="0" applyAlignment="1" applyFont="1" applyNumberFormat="1">
      <alignment horizontal="center" readingOrder="0"/>
    </xf>
    <xf borderId="21" fillId="0" fontId="8" numFmtId="3" xfId="0" applyAlignment="1" applyBorder="1" applyFont="1" applyNumberFormat="1">
      <alignment horizontal="center" readingOrder="0"/>
    </xf>
    <xf borderId="22" fillId="0" fontId="8" numFmtId="9" xfId="0" applyAlignment="1" applyBorder="1" applyFont="1" applyNumberFormat="1">
      <alignment horizontal="center" readingOrder="0"/>
    </xf>
    <xf borderId="0" fillId="0" fontId="8" numFmtId="9" xfId="0" applyAlignment="1" applyFont="1" applyNumberFormat="1">
      <alignment horizontal="center"/>
    </xf>
    <xf borderId="0" fillId="0" fontId="8" numFmtId="3" xfId="0" applyAlignment="1" applyFont="1" applyNumberFormat="1">
      <alignment horizontal="center"/>
    </xf>
    <xf borderId="21" fillId="0" fontId="8" numFmtId="3" xfId="0" applyAlignment="1" applyBorder="1" applyFont="1" applyNumberFormat="1">
      <alignment horizontal="center"/>
    </xf>
    <xf borderId="21" fillId="11" fontId="7" numFmtId="0" xfId="0" applyAlignment="1" applyBorder="1" applyFont="1">
      <alignment horizontal="center"/>
    </xf>
    <xf borderId="0" fillId="11" fontId="7" numFmtId="0" xfId="0" applyAlignment="1" applyFont="1">
      <alignment horizontal="center"/>
    </xf>
    <xf borderId="0" fillId="0" fontId="10" numFmtId="3" xfId="0" applyAlignment="1" applyFont="1" applyNumberFormat="1">
      <alignment horizontal="center" readingOrder="0"/>
    </xf>
    <xf borderId="0" fillId="0" fontId="10" numFmtId="165" xfId="0" applyAlignment="1" applyFont="1" applyNumberFormat="1">
      <alignment horizontal="center"/>
    </xf>
    <xf borderId="0" fillId="0" fontId="6" numFmtId="0" xfId="0" applyAlignment="1" applyFont="1">
      <alignment horizontal="center" vertical="bottom"/>
    </xf>
    <xf borderId="0" fillId="0" fontId="10" numFmtId="3" xfId="0" applyAlignment="1" applyFont="1" applyNumberFormat="1">
      <alignment horizontal="center"/>
    </xf>
    <xf borderId="22" fillId="11" fontId="7" numFmtId="0" xfId="0" applyAlignment="1" applyBorder="1" applyFont="1">
      <alignment horizontal="center" readingOrder="0"/>
    </xf>
    <xf borderId="0" fillId="0" fontId="7" numFmtId="0" xfId="0" applyAlignment="1" applyFont="1">
      <alignment horizontal="center" readingOrder="0"/>
    </xf>
    <xf borderId="0" fillId="0" fontId="7" numFmtId="0" xfId="0" applyAlignment="1" applyFont="1">
      <alignment horizontal="center"/>
    </xf>
    <xf borderId="21" fillId="0" fontId="7" numFmtId="0" xfId="0" applyAlignment="1" applyBorder="1" applyFont="1">
      <alignment horizontal="center"/>
    </xf>
    <xf borderId="0" fillId="0" fontId="7" numFmtId="1" xfId="0" applyAlignment="1" applyFont="1" applyNumberFormat="1">
      <alignment horizontal="center"/>
    </xf>
    <xf borderId="0" fillId="0" fontId="30" numFmtId="0" xfId="0" applyAlignment="1" applyFont="1">
      <alignment readingOrder="0"/>
    </xf>
    <xf borderId="0" fillId="9" fontId="7" numFmtId="0" xfId="0" applyAlignment="1" applyFont="1">
      <alignment readingOrder="0"/>
    </xf>
    <xf borderId="0" fillId="8" fontId="14" numFmtId="0" xfId="0" applyAlignment="1" applyFont="1">
      <alignment horizontal="center" readingOrder="0" vertical="center"/>
    </xf>
    <xf borderId="0" fillId="9" fontId="10" numFmtId="3" xfId="0" applyAlignment="1" applyFont="1" applyNumberFormat="1">
      <alignment horizontal="center" readingOrder="0"/>
    </xf>
    <xf borderId="0" fillId="0" fontId="7" numFmtId="0" xfId="0" applyAlignment="1" applyFont="1">
      <alignment readingOrder="0"/>
    </xf>
    <xf borderId="0" fillId="0" fontId="10" numFmtId="0" xfId="0" applyAlignment="1" applyFont="1">
      <alignment horizontal="center" readingOrder="0"/>
    </xf>
    <xf borderId="9" fillId="0" fontId="17" numFmtId="0" xfId="0" applyAlignment="1" applyBorder="1" applyFont="1">
      <alignment readingOrder="0" shrinkToFit="0" vertical="center" wrapText="1"/>
    </xf>
    <xf borderId="9" fillId="0" fontId="17" numFmtId="3" xfId="0" applyAlignment="1" applyBorder="1" applyFont="1" applyNumberFormat="1">
      <alignment horizontal="right" vertical="center"/>
    </xf>
    <xf borderId="10" fillId="0" fontId="17" numFmtId="3" xfId="0" applyAlignment="1" applyBorder="1" applyFont="1" applyNumberFormat="1">
      <alignment horizontal="right" vertical="center"/>
    </xf>
    <xf borderId="11" fillId="0" fontId="17" numFmtId="3" xfId="0" applyAlignment="1" applyBorder="1" applyFont="1" applyNumberFormat="1">
      <alignment horizontal="right" vertical="center"/>
    </xf>
    <xf borderId="0" fillId="9" fontId="7" numFmtId="0" xfId="0" applyAlignment="1" applyFont="1">
      <alignment readingOrder="0" vertical="center"/>
    </xf>
    <xf borderId="0" fillId="4" fontId="10" numFmtId="0" xfId="0" applyAlignment="1" applyFont="1">
      <alignment horizontal="center" readingOrder="0" vertical="center"/>
    </xf>
    <xf borderId="0" fillId="4" fontId="10" numFmtId="3" xfId="0" applyAlignment="1" applyFont="1" applyNumberFormat="1">
      <alignment horizontal="center" readingOrder="0" vertical="center"/>
    </xf>
    <xf borderId="0" fillId="5" fontId="17" numFmtId="3" xfId="0" applyAlignment="1" applyFont="1" applyNumberFormat="1">
      <alignment readingOrder="0" vertical="center"/>
    </xf>
    <xf borderId="0" fillId="4" fontId="10" numFmtId="9" xfId="0" applyAlignment="1" applyFont="1" applyNumberFormat="1">
      <alignment horizontal="center" readingOrder="0" vertical="center"/>
    </xf>
    <xf borderId="0" fillId="0" fontId="17" numFmtId="0" xfId="0" applyAlignment="1" applyFont="1">
      <alignment readingOrder="0" shrinkToFit="0" vertical="center" wrapText="1"/>
    </xf>
    <xf borderId="0" fillId="0" fontId="6" numFmtId="0" xfId="0" applyAlignment="1" applyFont="1">
      <alignment vertical="center"/>
    </xf>
    <xf borderId="0" fillId="0" fontId="31" numFmtId="0" xfId="0" applyAlignment="1" applyFont="1">
      <alignment horizontal="left" readingOrder="0" shrinkToFit="0" vertical="center" wrapText="1"/>
    </xf>
    <xf borderId="0" fillId="0" fontId="32" numFmtId="0" xfId="0" applyAlignment="1" applyFont="1">
      <alignment horizontal="center" readingOrder="0" shrinkToFit="0" vertical="center" wrapText="1"/>
    </xf>
    <xf borderId="0" fillId="0" fontId="32" numFmtId="3" xfId="0" applyAlignment="1" applyFont="1" applyNumberFormat="1">
      <alignment horizontal="left" readingOrder="0" shrinkToFit="0" vertical="center" wrapText="1"/>
    </xf>
    <xf borderId="0" fillId="0" fontId="6" numFmtId="0" xfId="0" applyAlignment="1" applyFont="1">
      <alignment horizontal="center" vertical="center"/>
    </xf>
    <xf borderId="0" fillId="0" fontId="6" numFmtId="0" xfId="0" applyAlignment="1" applyFont="1">
      <alignment readingOrder="0" vertical="center"/>
    </xf>
    <xf borderId="0" fillId="2" fontId="32" numFmtId="0" xfId="0" applyAlignment="1" applyFont="1">
      <alignment horizontal="center" readingOrder="0" shrinkToFit="0" vertical="center" wrapText="1"/>
    </xf>
    <xf borderId="0" fillId="2" fontId="32" numFmtId="3" xfId="0" applyAlignment="1" applyFont="1" applyNumberFormat="1">
      <alignment horizontal="center" readingOrder="0" shrinkToFit="0" vertical="center" wrapText="1"/>
    </xf>
    <xf borderId="3" fillId="2" fontId="32" numFmtId="3" xfId="0" applyAlignment="1" applyBorder="1" applyFont="1" applyNumberFormat="1">
      <alignment horizontal="center" readingOrder="0" shrinkToFit="0" vertical="center" wrapText="1"/>
    </xf>
    <xf borderId="23" fillId="8" fontId="32" numFmtId="3" xfId="0" applyAlignment="1" applyBorder="1" applyFont="1" applyNumberFormat="1">
      <alignment horizontal="center" readingOrder="0" shrinkToFit="0" vertical="center" wrapText="1"/>
    </xf>
    <xf borderId="3" fillId="8" fontId="32" numFmtId="0" xfId="0" applyAlignment="1" applyBorder="1" applyFont="1">
      <alignment horizontal="center" readingOrder="0" shrinkToFit="0" vertical="center" wrapText="1"/>
    </xf>
    <xf borderId="23" fillId="9" fontId="33" numFmtId="3" xfId="0" applyAlignment="1" applyBorder="1" applyFont="1" applyNumberFormat="1">
      <alignment horizontal="center" readingOrder="0" shrinkToFit="0" vertical="center" wrapText="1"/>
    </xf>
    <xf borderId="0" fillId="9" fontId="33" numFmtId="167" xfId="0" applyAlignment="1" applyFont="1" applyNumberFormat="1">
      <alignment horizontal="center" readingOrder="0" shrinkToFit="0" vertical="center" wrapText="1"/>
    </xf>
    <xf borderId="0" fillId="0" fontId="34" numFmtId="0" xfId="0" applyAlignment="1" applyFont="1">
      <alignment readingOrder="0" vertical="center"/>
    </xf>
    <xf borderId="0" fillId="0" fontId="34" numFmtId="0" xfId="0" applyAlignment="1" applyFont="1">
      <alignment horizontal="center" readingOrder="0" vertical="center"/>
    </xf>
    <xf borderId="0" fillId="0" fontId="34" numFmtId="3" xfId="0" applyAlignment="1" applyFont="1" applyNumberFormat="1">
      <alignment horizontal="right" readingOrder="0" vertical="center"/>
    </xf>
    <xf borderId="0" fillId="0" fontId="28" numFmtId="3" xfId="0" applyAlignment="1" applyFont="1" applyNumberFormat="1">
      <alignment horizontal="right" readingOrder="0" vertical="center"/>
    </xf>
    <xf borderId="5" fillId="0" fontId="34" numFmtId="3" xfId="0" applyAlignment="1" applyBorder="1" applyFont="1" applyNumberFormat="1">
      <alignment horizontal="right" readingOrder="0" vertical="center"/>
    </xf>
    <xf borderId="6" fillId="0" fontId="34" numFmtId="3" xfId="0" applyAlignment="1" applyBorder="1" applyFont="1" applyNumberFormat="1">
      <alignment horizontal="right" readingOrder="0" vertical="center"/>
    </xf>
    <xf borderId="5" fillId="0" fontId="34" numFmtId="0" xfId="0" applyAlignment="1" applyBorder="1" applyFont="1">
      <alignment horizontal="center" readingOrder="0" vertical="center"/>
    </xf>
    <xf borderId="6" fillId="0" fontId="34" numFmtId="3" xfId="0" applyAlignment="1" applyBorder="1" applyFont="1" applyNumberFormat="1">
      <alignment horizontal="right" vertical="center"/>
    </xf>
    <xf borderId="0" fillId="0" fontId="35" numFmtId="0" xfId="0" applyAlignment="1" applyFont="1">
      <alignment readingOrder="0"/>
    </xf>
    <xf borderId="0" fillId="0" fontId="6" numFmtId="3" xfId="0" applyAlignment="1" applyFont="1" applyNumberFormat="1">
      <alignment vertical="center"/>
    </xf>
    <xf borderId="0" fillId="0" fontId="28" numFmtId="3" xfId="0" applyAlignment="1" applyFont="1" applyNumberFormat="1">
      <alignment horizontal="right" vertical="center"/>
    </xf>
    <xf borderId="0" fillId="0" fontId="34" numFmtId="0" xfId="0" applyAlignment="1" applyFont="1">
      <alignment vertical="center"/>
    </xf>
    <xf borderId="0" fillId="0" fontId="34" numFmtId="0" xfId="0" applyAlignment="1" applyFont="1">
      <alignment horizontal="center" readingOrder="0" vertical="center"/>
    </xf>
    <xf borderId="0" fillId="0" fontId="34" numFmtId="0" xfId="0" applyAlignment="1" applyFont="1">
      <alignment horizontal="center" vertical="center"/>
    </xf>
    <xf borderId="0" fillId="0" fontId="36" numFmtId="3" xfId="0" applyAlignment="1" applyFont="1" applyNumberFormat="1">
      <alignment vertical="center"/>
    </xf>
    <xf borderId="0" fillId="0" fontId="36" numFmtId="0" xfId="0" applyAlignment="1" applyFont="1">
      <alignment horizontal="center" vertical="center"/>
    </xf>
    <xf borderId="0" fillId="7" fontId="14" numFmtId="0" xfId="0" applyAlignment="1" applyFont="1">
      <alignment readingOrder="0" vertical="center"/>
    </xf>
    <xf borderId="0" fillId="7" fontId="14" numFmtId="168" xfId="0" applyAlignment="1" applyFont="1" applyNumberFormat="1">
      <alignment horizontal="center" readingOrder="0" vertical="center"/>
    </xf>
    <xf borderId="0" fillId="2" fontId="21" numFmtId="0" xfId="0" applyFont="1"/>
    <xf borderId="0" fillId="0" fontId="21" numFmtId="0" xfId="0" applyFont="1"/>
    <xf borderId="0" fillId="0" fontId="21" numFmtId="0" xfId="0" applyFont="1"/>
    <xf borderId="5" fillId="0" fontId="19" numFmtId="3" xfId="0" applyAlignment="1" applyBorder="1" applyFont="1" applyNumberFormat="1">
      <alignment horizontal="right"/>
    </xf>
    <xf borderId="6" fillId="0" fontId="19" numFmtId="3" xfId="0" applyAlignment="1" applyBorder="1" applyFont="1" applyNumberFormat="1">
      <alignment horizontal="right"/>
    </xf>
    <xf borderId="6" fillId="0" fontId="19" numFmtId="0" xfId="0" applyAlignment="1" applyBorder="1" applyFont="1">
      <alignment horizontal="right" vertical="center"/>
    </xf>
    <xf borderId="0" fillId="7" fontId="14" numFmtId="9" xfId="0" applyAlignment="1" applyFont="1" applyNumberFormat="1">
      <alignment horizontal="center" readingOrder="0" vertical="center"/>
    </xf>
    <xf borderId="0" fillId="7" fontId="14" numFmtId="169" xfId="0" applyAlignment="1" applyFont="1" applyNumberFormat="1">
      <alignment horizontal="center" readingOrder="0" vertical="center"/>
    </xf>
    <xf borderId="0" fillId="3" fontId="13" numFmtId="0" xfId="0" applyAlignment="1" applyFont="1">
      <alignment horizontal="center" readingOrder="0" vertical="center"/>
    </xf>
    <xf borderId="0" fillId="0" fontId="14" numFmtId="0" xfId="0" applyAlignment="1" applyFont="1">
      <alignment readingOrder="0" vertical="center"/>
    </xf>
    <xf borderId="0" fillId="12" fontId="14" numFmtId="0" xfId="0" applyAlignment="1" applyFill="1" applyFont="1">
      <alignment horizontal="center" readingOrder="0" vertical="center"/>
    </xf>
    <xf borderId="0" fillId="13" fontId="14" numFmtId="0" xfId="0" applyAlignment="1" applyFill="1" applyFont="1">
      <alignment horizontal="center" readingOrder="0" vertical="center"/>
    </xf>
    <xf borderId="0" fillId="8" fontId="14" numFmtId="170" xfId="0" applyAlignment="1" applyFont="1" applyNumberFormat="1">
      <alignment horizontal="center" readingOrder="0" vertical="center"/>
    </xf>
    <xf borderId="0" fillId="5" fontId="17" numFmtId="170" xfId="0" applyAlignment="1" applyFont="1" applyNumberFormat="1">
      <alignment horizontal="right" readingOrder="0" vertical="center"/>
    </xf>
    <xf borderId="0" fillId="5" fontId="17" numFmtId="9" xfId="0" applyAlignment="1" applyFont="1" applyNumberFormat="1">
      <alignment horizontal="right" readingOrder="0" vertical="center"/>
    </xf>
    <xf borderId="0" fillId="0" fontId="2" numFmtId="9" xfId="0" applyAlignment="1" applyFont="1" applyNumberFormat="1">
      <alignment readingOrder="0" vertical="center"/>
    </xf>
    <xf borderId="0" fillId="0" fontId="22" numFmtId="9" xfId="0" applyAlignment="1" applyFont="1" applyNumberFormat="1">
      <alignment readingOrder="0" vertical="center"/>
    </xf>
    <xf borderId="0" fillId="0" fontId="22" numFmtId="9" xfId="0" applyAlignment="1" applyFont="1" applyNumberFormat="1">
      <alignment horizontal="right" readingOrder="0" vertical="center"/>
    </xf>
    <xf borderId="0" fillId="0" fontId="22" numFmtId="9" xfId="0" applyAlignment="1" applyFont="1" applyNumberFormat="1">
      <alignment vertical="center"/>
    </xf>
    <xf borderId="0" fillId="0" fontId="2" numFmtId="3" xfId="0" applyAlignment="1" applyFont="1" applyNumberFormat="1">
      <alignment readingOrder="0" vertical="center"/>
    </xf>
    <xf borderId="12" fillId="0" fontId="22" numFmtId="3" xfId="0" applyAlignment="1" applyBorder="1" applyFont="1" applyNumberFormat="1">
      <alignment readingOrder="0" vertical="center"/>
    </xf>
    <xf borderId="12" fillId="0" fontId="22" numFmtId="3" xfId="0" applyAlignment="1" applyBorder="1" applyFont="1" applyNumberFormat="1">
      <alignment horizontal="right" readingOrder="0" vertical="center"/>
    </xf>
    <xf borderId="0" fillId="0" fontId="22" numFmtId="3" xfId="0" applyAlignment="1" applyFont="1" applyNumberFormat="1">
      <alignment vertical="center"/>
    </xf>
    <xf borderId="12" fillId="0" fontId="22" numFmtId="3" xfId="0" applyAlignment="1" applyBorder="1" applyFont="1" applyNumberFormat="1">
      <alignment vertical="center"/>
    </xf>
    <xf borderId="0" fillId="0" fontId="19" numFmtId="170" xfId="0" applyAlignment="1" applyFont="1" applyNumberFormat="1">
      <alignment horizontal="right" readingOrder="0" vertical="center"/>
    </xf>
    <xf borderId="0" fillId="5" fontId="17" numFmtId="1" xfId="0" applyAlignment="1" applyFont="1" applyNumberFormat="1">
      <alignment horizontal="right" readingOrder="0" vertical="center"/>
    </xf>
    <xf borderId="0" fillId="0" fontId="17" numFmtId="0" xfId="0" applyAlignment="1" applyFont="1">
      <alignment horizontal="right" vertical="center"/>
    </xf>
    <xf borderId="0" fillId="0" fontId="17" numFmtId="170" xfId="0" applyAlignment="1" applyFont="1" applyNumberFormat="1">
      <alignment horizontal="right" vertical="center"/>
    </xf>
    <xf borderId="0" fillId="0" fontId="17" numFmtId="9" xfId="0" applyAlignment="1" applyFont="1" applyNumberFormat="1">
      <alignment horizontal="right" vertical="center"/>
    </xf>
    <xf borderId="0" fillId="0" fontId="19" numFmtId="3" xfId="0" applyAlignment="1" applyFont="1" applyNumberFormat="1">
      <alignment vertical="center"/>
    </xf>
    <xf borderId="0" fillId="0" fontId="19" numFmtId="3" xfId="0" applyAlignment="1" applyFont="1" applyNumberFormat="1">
      <alignment readingOrder="0" vertical="center"/>
    </xf>
    <xf borderId="0" fillId="0" fontId="17" numFmtId="3" xfId="0" applyAlignment="1" applyFont="1" applyNumberFormat="1">
      <alignment horizontal="right" readingOrder="0" vertical="center"/>
    </xf>
    <xf borderId="0" fillId="0" fontId="17" numFmtId="9" xfId="0" applyAlignment="1" applyFont="1" applyNumberFormat="1">
      <alignment horizontal="right" readingOrder="0" vertical="center"/>
    </xf>
    <xf borderId="0" fillId="0" fontId="19" numFmtId="170" xfId="0" applyAlignment="1" applyFont="1" applyNumberFormat="1">
      <alignment horizontal="right" vertical="center"/>
    </xf>
    <xf borderId="0" fillId="0" fontId="19" numFmtId="9" xfId="0" applyAlignment="1" applyFont="1" applyNumberFormat="1">
      <alignment horizontal="right" vertical="center"/>
    </xf>
    <xf borderId="12" fillId="0" fontId="19" numFmtId="170" xfId="0" applyAlignment="1" applyBorder="1" applyFont="1" applyNumberFormat="1">
      <alignment horizontal="right" vertical="center"/>
    </xf>
    <xf borderId="12" fillId="0" fontId="19" numFmtId="9" xfId="0" applyAlignment="1" applyBorder="1" applyFont="1" applyNumberFormat="1">
      <alignment horizontal="right" vertical="center"/>
    </xf>
    <xf borderId="0" fillId="0" fontId="19" numFmtId="0" xfId="0" applyAlignment="1" applyFont="1">
      <alignment horizontal="right" vertical="center"/>
    </xf>
    <xf borderId="0" fillId="0" fontId="19" numFmtId="3" xfId="0" applyAlignment="1" applyFont="1" applyNumberFormat="1">
      <alignment horizontal="right" readingOrder="0" vertical="center"/>
    </xf>
    <xf borderId="0" fillId="0" fontId="19" numFmtId="4" xfId="0" applyAlignment="1" applyFont="1" applyNumberFormat="1">
      <alignment vertical="center"/>
    </xf>
    <xf borderId="12" fillId="0" fontId="17" numFmtId="0" xfId="0" applyAlignment="1" applyBorder="1" applyFont="1">
      <alignment readingOrder="0" vertical="center"/>
    </xf>
    <xf borderId="12" fillId="0" fontId="17" numFmtId="3" xfId="0" applyAlignment="1" applyBorder="1" applyFont="1" applyNumberFormat="1">
      <alignment horizontal="right" vertical="center"/>
    </xf>
    <xf borderId="12" fillId="0" fontId="17" numFmtId="170" xfId="0" applyAlignment="1" applyBorder="1" applyFont="1" applyNumberFormat="1">
      <alignment horizontal="right" vertical="center"/>
    </xf>
    <xf borderId="12" fillId="0" fontId="17" numFmtId="9" xfId="0" applyAlignment="1" applyBorder="1" applyFont="1" applyNumberFormat="1">
      <alignment horizontal="right" vertical="center"/>
    </xf>
    <xf borderId="0" fillId="0" fontId="19" numFmtId="0" xfId="0" applyAlignment="1" applyFont="1">
      <alignment horizontal="right" readingOrder="0" vertical="center"/>
    </xf>
    <xf borderId="24" fillId="0" fontId="19" numFmtId="0" xfId="0" applyAlignment="1" applyBorder="1" applyFont="1">
      <alignment vertical="bottom"/>
    </xf>
    <xf borderId="24" fillId="7" fontId="19" numFmtId="0" xfId="0" applyAlignment="1" applyBorder="1" applyFont="1">
      <alignment horizontal="center" vertical="center"/>
    </xf>
    <xf borderId="24" fillId="0" fontId="19" numFmtId="0" xfId="0" applyAlignment="1" applyBorder="1" applyFont="1">
      <alignment horizontal="center" vertical="center"/>
    </xf>
    <xf borderId="24" fillId="7" fontId="19" numFmtId="0" xfId="0" applyAlignment="1" applyBorder="1" applyFont="1">
      <alignment vertical="bottom"/>
    </xf>
    <xf borderId="25" fillId="10" fontId="20" numFmtId="0" xfId="0" applyAlignment="1" applyBorder="1" applyFont="1">
      <alignment horizontal="center" vertical="center"/>
    </xf>
    <xf borderId="26" fillId="0" fontId="16" numFmtId="0" xfId="0" applyBorder="1" applyFont="1"/>
    <xf borderId="27" fillId="7" fontId="25" numFmtId="0" xfId="0" applyAlignment="1" applyBorder="1" applyFont="1">
      <alignment horizontal="center" readingOrder="0" vertical="center"/>
    </xf>
    <xf borderId="27" fillId="0" fontId="16" numFmtId="0" xfId="0" applyBorder="1" applyFont="1"/>
    <xf borderId="28" fillId="3" fontId="13" numFmtId="0" xfId="0" applyAlignment="1" applyBorder="1" applyFont="1">
      <alignment horizontal="center" readingOrder="0" vertical="bottom"/>
    </xf>
    <xf borderId="29" fillId="0" fontId="16" numFmtId="0" xfId="0" applyBorder="1" applyFont="1"/>
    <xf borderId="30" fillId="0" fontId="16" numFmtId="0" xfId="0" applyBorder="1" applyFont="1"/>
    <xf borderId="31" fillId="3" fontId="13" numFmtId="0" xfId="0" applyAlignment="1" applyBorder="1" applyFont="1">
      <alignment horizontal="center" readingOrder="0" vertical="bottom"/>
    </xf>
    <xf borderId="32" fillId="0" fontId="16" numFmtId="0" xfId="0" applyBorder="1" applyFont="1"/>
    <xf borderId="33" fillId="0" fontId="16" numFmtId="0" xfId="0" applyBorder="1" applyFont="1"/>
    <xf borderId="34" fillId="0" fontId="16" numFmtId="0" xfId="0" applyBorder="1" applyFont="1"/>
    <xf borderId="35" fillId="0" fontId="16" numFmtId="0" xfId="0" applyBorder="1" applyFont="1"/>
    <xf borderId="36" fillId="0" fontId="16" numFmtId="0" xfId="0" applyBorder="1" applyFont="1"/>
    <xf borderId="37" fillId="0" fontId="16" numFmtId="0" xfId="0" applyBorder="1" applyFont="1"/>
    <xf borderId="38" fillId="5" fontId="17" numFmtId="0" xfId="0" applyAlignment="1" applyBorder="1" applyFont="1">
      <alignment horizontal="center" readingOrder="0" shrinkToFit="0" vertical="center" wrapText="1"/>
    </xf>
    <xf borderId="38" fillId="5" fontId="17" numFmtId="0" xfId="0" applyAlignment="1" applyBorder="1" applyFont="1">
      <alignment horizontal="center" readingOrder="0" vertical="center"/>
    </xf>
    <xf borderId="39" fillId="5" fontId="17" numFmtId="0" xfId="0" applyAlignment="1" applyBorder="1" applyFont="1">
      <alignment horizontal="center" readingOrder="0" vertical="center"/>
    </xf>
    <xf borderId="39" fillId="5" fontId="17" numFmtId="0" xfId="0" applyAlignment="1" applyBorder="1" applyFont="1">
      <alignment horizontal="center" readingOrder="0" shrinkToFit="0" vertical="center" wrapText="1"/>
    </xf>
    <xf borderId="40" fillId="3" fontId="37" numFmtId="0" xfId="0" applyAlignment="1" applyBorder="1" applyFont="1">
      <alignment horizontal="center" readingOrder="0" vertical="bottom"/>
    </xf>
    <xf borderId="41" fillId="0" fontId="16" numFmtId="0" xfId="0" applyBorder="1" applyFont="1"/>
    <xf borderId="42" fillId="0" fontId="16" numFmtId="0" xfId="0" applyBorder="1" applyFont="1"/>
    <xf borderId="43" fillId="3" fontId="37" numFmtId="0" xfId="0" applyAlignment="1" applyBorder="1" applyFont="1">
      <alignment horizontal="center" readingOrder="0" vertical="bottom"/>
    </xf>
    <xf borderId="44" fillId="0" fontId="16" numFmtId="0" xfId="0" applyBorder="1" applyFont="1"/>
    <xf borderId="0" fillId="0" fontId="19" numFmtId="0" xfId="0" applyAlignment="1" applyFont="1">
      <alignment vertical="bottom"/>
    </xf>
    <xf borderId="24" fillId="0" fontId="17" numFmtId="0" xfId="0" applyAlignment="1" applyBorder="1" applyFont="1">
      <alignment vertical="bottom"/>
    </xf>
    <xf borderId="45" fillId="0" fontId="16" numFmtId="0" xfId="0" applyBorder="1" applyFont="1"/>
    <xf borderId="46" fillId="0" fontId="16" numFmtId="0" xfId="0" applyBorder="1" applyFont="1"/>
    <xf borderId="47" fillId="14" fontId="14" numFmtId="0" xfId="0" applyAlignment="1" applyBorder="1" applyFill="1" applyFont="1">
      <alignment horizontal="center" vertical="bottom"/>
    </xf>
    <xf borderId="48" fillId="14" fontId="14" numFmtId="0" xfId="0" applyAlignment="1" applyBorder="1" applyFont="1">
      <alignment horizontal="center" vertical="bottom"/>
    </xf>
    <xf borderId="49" fillId="14" fontId="14" numFmtId="0" xfId="0" applyAlignment="1" applyBorder="1" applyFont="1">
      <alignment horizontal="center" vertical="bottom"/>
    </xf>
    <xf borderId="0" fillId="0" fontId="17" numFmtId="0" xfId="0" applyAlignment="1" applyFont="1">
      <alignment vertical="bottom"/>
    </xf>
    <xf borderId="25" fillId="0" fontId="19" numFmtId="0" xfId="0" applyAlignment="1" applyBorder="1" applyFont="1">
      <alignment vertical="bottom"/>
    </xf>
    <xf borderId="0" fillId="15" fontId="17" numFmtId="0" xfId="0" applyAlignment="1" applyFill="1" applyFont="1">
      <alignment horizontal="left" readingOrder="0" vertical="center"/>
    </xf>
    <xf borderId="50" fillId="15" fontId="19" numFmtId="0" xfId="0" applyAlignment="1" applyBorder="1" applyFont="1">
      <alignment vertical="bottom"/>
    </xf>
    <xf borderId="51" fillId="15" fontId="19" numFmtId="171" xfId="0" applyAlignment="1" applyBorder="1" applyFont="1" applyNumberFormat="1">
      <alignment vertical="bottom"/>
    </xf>
    <xf borderId="51" fillId="15" fontId="19" numFmtId="3" xfId="0" applyAlignment="1" applyBorder="1" applyFont="1" applyNumberFormat="1">
      <alignment vertical="bottom"/>
    </xf>
    <xf borderId="51" fillId="15" fontId="19" numFmtId="0" xfId="0" applyAlignment="1" applyBorder="1" applyFont="1">
      <alignment vertical="bottom"/>
    </xf>
    <xf borderId="52" fillId="0" fontId="19" numFmtId="0" xfId="0" applyAlignment="1" applyBorder="1" applyFont="1">
      <alignment horizontal="center" readingOrder="0" shrinkToFit="0" vertical="center" wrapText="1"/>
    </xf>
    <xf borderId="52" fillId="0" fontId="19" numFmtId="172" xfId="0" applyAlignment="1" applyBorder="1" applyFont="1" applyNumberFormat="1">
      <alignment horizontal="center" readingOrder="0" shrinkToFit="0" vertical="center" wrapText="1"/>
    </xf>
    <xf borderId="53" fillId="6" fontId="19" numFmtId="0" xfId="0" applyAlignment="1" applyBorder="1" applyFont="1">
      <alignment vertical="bottom"/>
    </xf>
    <xf borderId="53" fillId="0" fontId="19" numFmtId="0" xfId="0" applyAlignment="1" applyBorder="1" applyFont="1">
      <alignment vertical="bottom"/>
    </xf>
    <xf borderId="53" fillId="0" fontId="19" numFmtId="0" xfId="0" applyAlignment="1" applyBorder="1" applyFont="1">
      <alignment horizontal="center" vertical="bottom"/>
    </xf>
    <xf borderId="52" fillId="0" fontId="19" numFmtId="0" xfId="0" applyAlignment="1" applyBorder="1" applyFont="1">
      <alignment horizontal="center" shrinkToFit="0" vertical="center" wrapText="1"/>
    </xf>
    <xf borderId="54" fillId="0" fontId="19" numFmtId="0" xfId="0" applyAlignment="1" applyBorder="1" applyFont="1">
      <alignment horizontal="center" readingOrder="0" shrinkToFit="0" vertical="center" wrapText="1"/>
    </xf>
    <xf borderId="54" fillId="0" fontId="19" numFmtId="0" xfId="0" applyAlignment="1" applyBorder="1" applyFont="1">
      <alignment horizontal="center" shrinkToFit="0" vertical="center" wrapText="1"/>
    </xf>
    <xf borderId="54" fillId="0" fontId="19" numFmtId="172" xfId="0" applyAlignment="1" applyBorder="1" applyFont="1" applyNumberFormat="1">
      <alignment horizontal="center" readingOrder="0" shrinkToFit="0" vertical="center" wrapText="1"/>
    </xf>
    <xf borderId="55" fillId="0" fontId="19" numFmtId="0" xfId="0" applyAlignment="1" applyBorder="1" applyFont="1">
      <alignment vertical="bottom"/>
    </xf>
    <xf borderId="55" fillId="0" fontId="19" numFmtId="0" xfId="0" applyAlignment="1" applyBorder="1" applyFont="1">
      <alignment horizontal="center" vertical="bottom"/>
    </xf>
    <xf borderId="25" fillId="7" fontId="19" numFmtId="0" xfId="0" applyAlignment="1" applyBorder="1" applyFont="1">
      <alignment vertical="bottom"/>
    </xf>
    <xf borderId="0" fillId="7" fontId="19" numFmtId="0" xfId="0" applyAlignment="1" applyFont="1">
      <alignment horizontal="center" readingOrder="0" shrinkToFit="0" vertical="center" wrapText="1"/>
    </xf>
    <xf borderId="0" fillId="7" fontId="19" numFmtId="172" xfId="0" applyAlignment="1" applyFont="1" applyNumberFormat="1">
      <alignment horizontal="center" readingOrder="0" shrinkToFit="0" vertical="center" wrapText="1"/>
    </xf>
    <xf borderId="0" fillId="7" fontId="19" numFmtId="0" xfId="0" applyAlignment="1" applyFont="1">
      <alignment vertical="bottom"/>
    </xf>
    <xf borderId="0" fillId="7" fontId="19" numFmtId="0" xfId="0" applyAlignment="1" applyFont="1">
      <alignment horizontal="center" vertical="bottom"/>
    </xf>
    <xf borderId="39" fillId="15" fontId="17" numFmtId="0" xfId="0" applyAlignment="1" applyBorder="1" applyFont="1">
      <alignment horizontal="left" readingOrder="0" vertical="center"/>
    </xf>
    <xf borderId="56" fillId="0" fontId="16" numFmtId="0" xfId="0" applyBorder="1" applyFont="1"/>
    <xf borderId="57" fillId="0" fontId="19" numFmtId="9" xfId="0" applyAlignment="1" applyBorder="1" applyFont="1" applyNumberFormat="1">
      <alignment vertical="bottom"/>
    </xf>
    <xf borderId="55" fillId="0" fontId="19" numFmtId="171" xfId="0" applyAlignment="1" applyBorder="1" applyFont="1" applyNumberFormat="1">
      <alignment vertical="bottom"/>
    </xf>
    <xf borderId="25" fillId="0" fontId="21" numFmtId="0" xfId="0" applyAlignment="1" applyBorder="1" applyFont="1">
      <alignment vertical="bottom"/>
    </xf>
    <xf borderId="54" fillId="0" fontId="19" numFmtId="0" xfId="0" applyAlignment="1" applyBorder="1" applyFont="1">
      <alignment horizontal="center" shrinkToFit="0" wrapText="1"/>
    </xf>
    <xf borderId="54" fillId="0" fontId="19" numFmtId="0" xfId="0" applyAlignment="1" applyBorder="1" applyFont="1">
      <alignment horizontal="center" shrinkToFit="0" wrapText="1"/>
    </xf>
    <xf borderId="52" fillId="0" fontId="19" numFmtId="172" xfId="0" applyAlignment="1" applyBorder="1" applyFont="1" applyNumberFormat="1">
      <alignment horizontal="center" shrinkToFit="0" vertical="center" wrapText="1"/>
    </xf>
    <xf borderId="57" fillId="0" fontId="21" numFmtId="9" xfId="0" applyAlignment="1" applyBorder="1" applyFont="1" applyNumberFormat="1">
      <alignment vertical="bottom"/>
    </xf>
    <xf borderId="55" fillId="0" fontId="21" numFmtId="171" xfId="0" applyAlignment="1" applyBorder="1" applyFont="1" applyNumberFormat="1">
      <alignment vertical="bottom"/>
    </xf>
    <xf borderId="55" fillId="0" fontId="21" numFmtId="0" xfId="0" applyAlignment="1" applyBorder="1" applyFont="1">
      <alignment vertical="bottom"/>
    </xf>
    <xf borderId="53" fillId="0" fontId="21" numFmtId="0" xfId="0" applyAlignment="1" applyBorder="1" applyFont="1">
      <alignment vertical="bottom"/>
    </xf>
    <xf borderId="0" fillId="0" fontId="21" numFmtId="0" xfId="0" applyAlignment="1" applyFont="1">
      <alignment vertical="bottom"/>
    </xf>
    <xf borderId="58" fillId="0" fontId="19" numFmtId="172" xfId="0" applyAlignment="1" applyBorder="1" applyFont="1" applyNumberFormat="1">
      <alignment horizontal="center" readingOrder="0" shrinkToFit="0" vertical="center" wrapText="1"/>
    </xf>
    <xf borderId="0" fillId="15" fontId="17" numFmtId="0" xfId="0" applyAlignment="1" applyFont="1">
      <alignment horizontal="left" vertical="center"/>
    </xf>
    <xf borderId="0" fillId="0" fontId="19" numFmtId="172" xfId="0" applyAlignment="1" applyFont="1" applyNumberFormat="1">
      <alignment horizontal="center" shrinkToFit="0" vertical="center" wrapText="1"/>
    </xf>
    <xf borderId="58" fillId="0" fontId="19" numFmtId="172" xfId="0" applyAlignment="1" applyBorder="1" applyFont="1" applyNumberFormat="1">
      <alignment horizontal="center" shrinkToFit="0" vertical="center" wrapText="1"/>
    </xf>
    <xf borderId="54" fillId="0" fontId="19" numFmtId="172" xfId="0" applyAlignment="1" applyBorder="1" applyFont="1" applyNumberFormat="1">
      <alignment horizontal="center" shrinkToFit="0" vertical="center" wrapText="1"/>
    </xf>
    <xf borderId="0" fillId="7" fontId="21" numFmtId="172" xfId="0" applyAlignment="1" applyFont="1" applyNumberFormat="1">
      <alignment vertical="center"/>
    </xf>
    <xf borderId="0" fillId="0" fontId="35" numFmtId="0" xfId="0" applyFont="1"/>
    <xf borderId="0" fillId="0" fontId="35" numFmtId="9" xfId="0" applyFont="1" applyNumberFormat="1"/>
    <xf borderId="0" fillId="0" fontId="35" numFmtId="3" xfId="0" applyFont="1" applyNumberFormat="1"/>
    <xf borderId="0" fillId="0" fontId="35" numFmtId="1" xfId="0" applyFont="1" applyNumberFormat="1"/>
    <xf borderId="0" fillId="0" fontId="35" numFmtId="165" xfId="0" applyFont="1" applyNumberFormat="1"/>
    <xf borderId="0" fillId="0" fontId="35" numFmtId="0" xfId="0" applyAlignment="1" applyFont="1">
      <alignment horizontal="center" readingOrder="0" vertical="center"/>
    </xf>
    <xf borderId="0" fillId="0" fontId="38" numFmtId="0" xfId="0" applyAlignment="1" applyFont="1">
      <alignment horizontal="center"/>
    </xf>
    <xf borderId="0" fillId="0" fontId="38" numFmtId="0" xfId="0" applyFont="1"/>
    <xf borderId="0" fillId="0" fontId="39" numFmtId="0" xfId="0" applyAlignment="1" applyFont="1">
      <alignment readingOrder="0"/>
    </xf>
    <xf borderId="0" fillId="0" fontId="35" numFmtId="168" xfId="0" applyAlignment="1" applyFont="1" applyNumberFormat="1">
      <alignment readingOrder="0"/>
    </xf>
    <xf borderId="0" fillId="0" fontId="21" numFmtId="0" xfId="0" applyAlignment="1" applyFont="1">
      <alignment horizontal="right" vertical="bottom"/>
    </xf>
  </cellXfs>
  <cellStyles count="1">
    <cellStyle xfId="0" name="Normal" builtinId="0"/>
  </cellStyles>
  <dxfs count="18">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FD966"/>
          <bgColor rgb="FFFFD966"/>
        </patternFill>
      </fill>
      <border/>
    </dxf>
    <dxf>
      <font/>
      <fill>
        <patternFill patternType="solid">
          <fgColor rgb="FFEA9999"/>
          <bgColor rgb="FFEA9999"/>
        </patternFill>
      </fill>
      <border/>
    </dxf>
    <dxf>
      <font/>
      <fill>
        <patternFill patternType="solid">
          <fgColor rgb="FFFFE599"/>
          <bgColor rgb="FFFFE599"/>
        </patternFill>
      </fill>
      <border/>
    </dxf>
    <dxf>
      <font/>
      <fill>
        <patternFill patternType="solid">
          <fgColor rgb="FFF6B26B"/>
          <bgColor rgb="FFF6B26B"/>
        </patternFill>
      </fill>
      <border/>
    </dxf>
    <dxf>
      <font/>
      <fill>
        <patternFill patternType="solid">
          <fgColor rgb="FFE06666"/>
          <bgColor rgb="FFE06666"/>
        </patternFill>
      </fill>
      <border/>
    </dxf>
    <dxf>
      <font>
        <color rgb="FF000000"/>
      </font>
      <fill>
        <patternFill patternType="solid">
          <fgColor rgb="FFE06666"/>
          <bgColor rgb="FFE06666"/>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b/>
        <color rgb="FF6AA84F"/>
      </font>
      <fill>
        <patternFill patternType="none"/>
      </fill>
      <border/>
    </dxf>
    <dxf>
      <font>
        <b/>
        <color rgb="FFCC0000"/>
      </font>
      <fill>
        <patternFill patternType="none"/>
      </fill>
      <border/>
    </dxf>
    <dxf>
      <font/>
      <fill>
        <patternFill patternType="solid">
          <fgColor rgb="FFD9D9D9"/>
          <bgColor rgb="FFD9D9D9"/>
        </patternFill>
      </fill>
      <border/>
    </dxf>
    <dxf>
      <font/>
      <fill>
        <patternFill patternType="solid">
          <fgColor rgb="FFCCCCCC"/>
          <bgColor rgb="FFCCCCCC"/>
        </patternFill>
      </fill>
      <border/>
    </dxf>
    <dxf>
      <font>
        <color rgb="FF000000"/>
      </font>
      <fill>
        <patternFill patternType="solid">
          <fgColor rgb="FFEA9999"/>
          <bgColor rgb="FFEA9999"/>
        </patternFill>
      </fill>
      <border/>
    </dxf>
    <dxf>
      <font>
        <color rgb="FFFF0000"/>
      </font>
      <fill>
        <patternFill patternType="none"/>
      </fill>
      <border/>
    </dxf>
    <dxf>
      <font>
        <color rgb="FF38761D"/>
      </font>
      <fill>
        <patternFill patternType="none"/>
      </fill>
      <border/>
    </dxf>
  </dxfs>
  <tableStyles count="4">
    <tableStyle count="2" pivot="0" name="Demand Generation Plan-style 2">
      <tableStyleElement dxfId="9" type="firstRowStripe"/>
      <tableStyleElement dxfId="10" type="secondRowStripe"/>
    </tableStyle>
    <tableStyle count="2" pivot="0" name="B&amp;I-style">
      <tableStyleElement dxfId="9" type="firstRowStripe"/>
      <tableStyleElement dxfId="10" type="secondRowStripe"/>
    </tableStyle>
    <tableStyle count="2" pivot="0" name="B&amp;I-style 2">
      <tableStyleElement dxfId="13" type="firstRowStripe"/>
      <tableStyleElement dxfId="14" type="secondRowStripe"/>
    </tableStyle>
    <tableStyle count="2" pivot="0" name="B&amp;I-style 3">
      <tableStyleElement dxfId="9" type="firstRowStripe"/>
      <tableStyleElement dxfId="10"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microsoft.com/office/2007/relationships/slicerCache" Target="slicerCaches/slicerCache2.xml"/><Relationship Id="rId16" Type="http://schemas.microsoft.com/office/2007/relationships/slicerCache" Target="slicerCaches/slicerCache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xdr:colOff>
      <xdr:row>0</xdr:row>
      <xdr:rowOff>85725</xdr:rowOff>
    </xdr:from>
    <xdr:ext cx="2000250" cy="4191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0</xdr:row>
      <xdr:rowOff>57150</xdr:rowOff>
    </xdr:from>
    <xdr:ext cx="1771650" cy="2857500"/>
    <mc:AlternateContent>
      <mc:Choice Requires="sle15">
        <xdr:graphicFrame>
          <xdr:nvGraphicFramePr>
            <xdr:cNvPr id="1" name="Column1_1"/>
            <xdr:cNvGraphicFramePr/>
          </xdr:nvGraphicFramePr>
          <xdr:xfrm>
            <a:off x="0" y="0"/>
            <a:ext cx="0" cy="0"/>
          </xdr:xfrm>
          <a:graphic>
            <a:graphicData uri="http://schemas.microsoft.com/office/drawing/2010/slicer">
              <x3Unk:slicer name="Column1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123825</xdr:colOff>
      <xdr:row>0</xdr:row>
      <xdr:rowOff>57150</xdr:rowOff>
    </xdr:from>
    <xdr:ext cx="1771650" cy="2857500"/>
    <mc:AlternateContent>
      <mc:Choice Requires="sle15">
        <xdr:graphicFrame>
          <xdr:nvGraphicFramePr>
            <xdr:cNvPr id="2" name="Column2_2"/>
            <xdr:cNvGraphicFramePr/>
          </xdr:nvGraphicFramePr>
          <xdr:xfrm>
            <a:off x="0" y="0"/>
            <a:ext cx="0" cy="0"/>
          </xdr:xfrm>
          <a:graphic>
            <a:graphicData uri="http://schemas.microsoft.com/office/drawing/2010/slicer">
              <x3Unk:slicer name="Column2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lumn1">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Column2">
  <x14:extLst>
    <ext uri="{2F2917AC-EB37-4324-AD4E-5DD8C200BD13}">
      <x15:tableSlicerCache tableId="1"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_1" cache="SlicerCache_Table_1_Col_1" caption="Column1" rowHeight="247650"/>
  <x14:slicer name="Column2_2" cache="SlicerCache_Table_1_Col_2" caption="Column2" rowHeight="247650"/>
</x14:slicers>
</file>

<file path=xl/tables/table1.xml><?xml version="1.0" encoding="utf-8"?>
<table xmlns="http://schemas.openxmlformats.org/spreadsheetml/2006/main" headerRowCount="0" ref="C3:W999" displayName="Table_1" name="Table_1" id="1">
  <autoFilter ref="$C$3:$W$999"/>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showColumnStripes="0" showFirstColumn="0" showLastColumn="0" showRowStripes="0"/>
  <extLst>
    <ext uri="GoogleSheetsCustomDataVersion1">
      <go:sheetsCustomData xmlns:go="http://customooxmlschemas.google.com/" headerRowCount="1"/>
    </ext>
  </extLst>
</table>
</file>

<file path=xl/tables/table2.xml><?xml version="1.0" encoding="utf-8"?>
<table xmlns="http://schemas.openxmlformats.org/spreadsheetml/2006/main" headerRowCount="0" ref="B4:B999" displayName="Table_2" name="Table_2" id="2">
  <tableColumns count="1">
    <tableColumn name="Column1" id="1"/>
  </tableColumns>
  <tableStyleInfo name="Demand Generation Plan-style 2" showColumnStripes="0" showFirstColumn="1" showLastColumn="1" showRowStripes="1"/>
</table>
</file>

<file path=xl/tables/table3.xml><?xml version="1.0" encoding="utf-8"?>
<table xmlns="http://schemas.openxmlformats.org/spreadsheetml/2006/main" headerRowCount="0" ref="B3:I291" displayName="Table_3" name="Table_3"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B&amp;I-style" showColumnStripes="0" showFirstColumn="1" showLastColumn="1" showRowStripes="1"/>
</table>
</file>

<file path=xl/tables/table4.xml><?xml version="1.0" encoding="utf-8"?>
<table xmlns="http://schemas.openxmlformats.org/spreadsheetml/2006/main" headerRowCount="0" ref="J3:J291" displayName="Table_4" name="Table_4" id="4">
  <tableColumns count="1">
    <tableColumn name="Column1" id="1"/>
  </tableColumns>
  <tableStyleInfo name="B&amp;I-style 2" showColumnStripes="0" showFirstColumn="1" showLastColumn="1" showRowStripes="1"/>
</table>
</file>

<file path=xl/tables/table5.xml><?xml version="1.0" encoding="utf-8"?>
<table xmlns="http://schemas.openxmlformats.org/spreadsheetml/2006/main" headerRowCount="0" ref="K3:L291" displayName="Table_5" name="Table_5" id="5">
  <tableColumns count="2">
    <tableColumn name="Column1" id="1"/>
    <tableColumn name="Column2" id="2"/>
  </tableColumns>
  <tableStyleInfo name="B&amp;I-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pp.introw.io/logi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1.xml"/><Relationship Id="rId5" Type="http://schemas.openxmlformats.org/officeDocument/2006/relationships/table" Target="../tables/table2.xml"/><Relationship Id="rId6"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355E"/>
    <outlinePr summaryBelow="0" summaryRight="0"/>
  </sheetPr>
  <sheetViews>
    <sheetView showGridLines="0" workbookViewId="0"/>
  </sheetViews>
  <sheetFormatPr customHeight="1" defaultColWidth="12.63" defaultRowHeight="15.75"/>
  <cols>
    <col customWidth="1" min="1" max="1" width="0.38"/>
    <col customWidth="1" min="2" max="2" width="1.63"/>
    <col customWidth="1" min="3" max="3" width="33.38"/>
    <col customWidth="1" min="4" max="4" width="17.5"/>
    <col customWidth="1" min="5" max="5" width="2.63"/>
    <col customWidth="1" min="6" max="6" width="27.13"/>
    <col customWidth="1" min="7" max="7" width="1.5"/>
  </cols>
  <sheetData>
    <row r="1" ht="7.5" customHeight="1">
      <c r="A1" s="1"/>
      <c r="B1" s="1"/>
      <c r="C1" s="1"/>
      <c r="D1" s="2"/>
      <c r="E1" s="1"/>
      <c r="F1" s="1"/>
      <c r="G1" s="1"/>
    </row>
    <row r="2">
      <c r="A2" s="3"/>
      <c r="B2" s="1"/>
      <c r="C2" s="4" t="s">
        <v>0</v>
      </c>
      <c r="D2" s="5" t="s">
        <v>1</v>
      </c>
      <c r="E2" s="1"/>
      <c r="F2" s="1"/>
      <c r="G2" s="1"/>
    </row>
    <row r="3">
      <c r="A3" s="3"/>
      <c r="B3" s="1"/>
      <c r="C3" s="6" t="s">
        <v>2</v>
      </c>
      <c r="D3" s="7" t="s">
        <v>3</v>
      </c>
      <c r="E3" s="1"/>
      <c r="F3" s="1"/>
      <c r="G3" s="1"/>
    </row>
    <row r="4" ht="7.5" customHeight="1">
      <c r="A4" s="1"/>
      <c r="B4" s="1"/>
      <c r="C4" s="1"/>
      <c r="D4" s="2"/>
      <c r="E4" s="1"/>
      <c r="F4" s="8"/>
      <c r="G4" s="8"/>
    </row>
    <row r="5">
      <c r="A5" s="3"/>
      <c r="B5" s="1"/>
      <c r="C5" s="9" t="s">
        <v>4</v>
      </c>
      <c r="D5" s="10" t="s">
        <v>5</v>
      </c>
      <c r="E5" s="1"/>
      <c r="F5" s="11" t="s">
        <v>6</v>
      </c>
      <c r="G5" s="8"/>
    </row>
    <row r="6">
      <c r="A6" s="3"/>
      <c r="B6" s="1"/>
      <c r="C6" s="9" t="s">
        <v>7</v>
      </c>
      <c r="D6" s="12" t="s">
        <v>8</v>
      </c>
      <c r="E6" s="1"/>
      <c r="F6" s="13" t="s">
        <v>9</v>
      </c>
      <c r="G6" s="14"/>
    </row>
    <row r="7">
      <c r="A7" s="3"/>
      <c r="B7" s="1"/>
      <c r="C7" s="9" t="s">
        <v>10</v>
      </c>
      <c r="D7" s="10" t="s">
        <v>11</v>
      </c>
      <c r="E7" s="1"/>
      <c r="F7" s="15"/>
      <c r="G7" s="16"/>
    </row>
    <row r="8" ht="7.5" customHeight="1">
      <c r="A8" s="1"/>
      <c r="B8" s="1"/>
      <c r="C8" s="17"/>
      <c r="D8" s="18"/>
      <c r="E8" s="1"/>
      <c r="F8" s="14"/>
      <c r="G8" s="16"/>
    </row>
    <row r="9">
      <c r="A9" s="3"/>
      <c r="B9" s="1"/>
      <c r="C9" s="9" t="s">
        <v>12</v>
      </c>
      <c r="D9" s="12" t="s">
        <v>13</v>
      </c>
      <c r="E9" s="1"/>
      <c r="F9" s="14"/>
      <c r="G9" s="16"/>
    </row>
    <row r="10">
      <c r="A10" s="3"/>
      <c r="B10" s="1"/>
      <c r="C10" s="9" t="s">
        <v>14</v>
      </c>
      <c r="D10" s="12" t="s">
        <v>15</v>
      </c>
      <c r="E10" s="1"/>
      <c r="F10" s="15"/>
      <c r="G10" s="16"/>
    </row>
    <row r="11">
      <c r="A11" s="3"/>
      <c r="B11" s="1"/>
      <c r="C11" s="9" t="s">
        <v>16</v>
      </c>
      <c r="D11" s="19">
        <v>0.35</v>
      </c>
      <c r="E11" s="1"/>
      <c r="F11" s="15"/>
      <c r="G11" s="16"/>
    </row>
    <row r="12">
      <c r="A12" s="20"/>
      <c r="B12" s="1"/>
      <c r="C12" s="9" t="s">
        <v>17</v>
      </c>
      <c r="D12" s="12" t="b">
        <v>1</v>
      </c>
      <c r="E12" s="1"/>
      <c r="F12" s="15"/>
      <c r="G12" s="16"/>
    </row>
    <row r="13">
      <c r="A13" s="20"/>
      <c r="B13" s="1"/>
      <c r="C13" s="9" t="s">
        <v>18</v>
      </c>
      <c r="D13" s="12" t="b">
        <v>1</v>
      </c>
      <c r="E13" s="1"/>
      <c r="F13" s="15"/>
      <c r="G13" s="16"/>
    </row>
    <row r="14">
      <c r="A14" s="20"/>
      <c r="B14" s="1"/>
      <c r="C14" s="9" t="s">
        <v>19</v>
      </c>
      <c r="D14" s="21">
        <v>3000.0</v>
      </c>
      <c r="E14" s="1"/>
      <c r="F14" s="15"/>
      <c r="G14" s="16"/>
    </row>
    <row r="15">
      <c r="A15" s="20"/>
      <c r="B15" s="1"/>
      <c r="C15" s="9" t="s">
        <v>20</v>
      </c>
      <c r="D15" s="19">
        <v>0.2</v>
      </c>
      <c r="E15" s="1"/>
      <c r="F15" s="15"/>
      <c r="G15" s="16"/>
    </row>
    <row r="16">
      <c r="A16" s="20"/>
      <c r="B16" s="1"/>
      <c r="C16" s="9" t="s">
        <v>21</v>
      </c>
      <c r="D16" s="21">
        <v>0.0</v>
      </c>
      <c r="E16" s="1"/>
      <c r="F16" s="15"/>
      <c r="G16" s="16"/>
    </row>
    <row r="17" ht="7.5" customHeight="1">
      <c r="A17" s="1"/>
      <c r="B17" s="1"/>
      <c r="C17" s="17"/>
      <c r="D17" s="18"/>
      <c r="E17" s="1"/>
      <c r="F17" s="14"/>
      <c r="G17" s="16"/>
    </row>
    <row r="18">
      <c r="A18" s="3"/>
      <c r="B18" s="1"/>
      <c r="C18" s="9" t="s">
        <v>22</v>
      </c>
      <c r="D18" s="21">
        <v>300.0</v>
      </c>
      <c r="E18" s="1"/>
      <c r="F18" s="15"/>
      <c r="G18" s="16"/>
    </row>
    <row r="19">
      <c r="A19" s="3"/>
      <c r="B19" s="1"/>
      <c r="C19" s="9" t="s">
        <v>23</v>
      </c>
      <c r="D19" s="21">
        <v>300.0</v>
      </c>
      <c r="E19" s="1"/>
      <c r="F19" s="15"/>
      <c r="G19" s="16"/>
    </row>
    <row r="20" ht="7.5" customHeight="1">
      <c r="A20" s="22"/>
      <c r="B20" s="22"/>
      <c r="C20" s="23"/>
      <c r="D20" s="24"/>
      <c r="E20" s="22"/>
      <c r="F20" s="25"/>
      <c r="G20" s="26"/>
    </row>
    <row r="21">
      <c r="A21" s="1"/>
      <c r="B21" s="1"/>
      <c r="C21" s="1"/>
      <c r="D21" s="2"/>
      <c r="E21" s="1"/>
      <c r="F21" s="1"/>
      <c r="G21" s="1"/>
    </row>
  </sheetData>
  <dataValidations>
    <dataValidation type="list" allowBlank="1" showErrorMessage="1" sqref="D10">
      <formula1>"ES,IT,DE,PT,FR,DACH,LATAM,ROW,BR"</formula1>
    </dataValidation>
    <dataValidation type="list" allowBlank="1" showErrorMessage="1" sqref="D9">
      <formula1>"Reseller,Referral,Expert,Distributor"</formula1>
    </dataValidation>
  </dataValidations>
  <hyperlinks>
    <hyperlink r:id="rId1" ref="F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0.38"/>
    <col customWidth="1" min="2" max="2" width="1.25"/>
    <col customWidth="1" min="3" max="3" width="31.38"/>
    <col customWidth="1" min="4" max="15" width="13.0"/>
    <col customWidth="1" min="16" max="16" width="2.25"/>
    <col customWidth="1" min="17" max="21" width="13.0"/>
    <col customWidth="1" min="22" max="22" width="1.63"/>
    <col customWidth="1" min="23" max="23" width="13.0"/>
    <col customWidth="1" min="24" max="24" width="1.63"/>
  </cols>
  <sheetData>
    <row r="1" ht="5.25" customHeight="1">
      <c r="A1" s="27"/>
      <c r="B1" s="27"/>
      <c r="C1" s="28"/>
      <c r="D1" s="29"/>
      <c r="E1" s="29"/>
      <c r="F1" s="29"/>
      <c r="G1" s="29"/>
      <c r="H1" s="29"/>
      <c r="I1" s="29"/>
      <c r="J1" s="29"/>
      <c r="K1" s="29"/>
      <c r="L1" s="29"/>
      <c r="M1" s="29"/>
      <c r="N1" s="29"/>
      <c r="O1" s="29"/>
      <c r="P1" s="29"/>
      <c r="Q1" s="29"/>
      <c r="R1" s="29"/>
      <c r="S1" s="29"/>
      <c r="T1" s="29"/>
      <c r="U1" s="29"/>
      <c r="V1" s="30"/>
      <c r="W1" s="29"/>
      <c r="X1" s="30"/>
    </row>
    <row r="2" ht="13.5" customHeight="1">
      <c r="A2" s="31"/>
      <c r="B2" s="31"/>
      <c r="C2" s="32" t="s">
        <v>24</v>
      </c>
      <c r="D2" s="33" t="s">
        <v>25</v>
      </c>
      <c r="F2" s="34"/>
      <c r="G2" s="35" t="s">
        <v>26</v>
      </c>
      <c r="I2" s="34"/>
      <c r="J2" s="35" t="s">
        <v>27</v>
      </c>
      <c r="L2" s="34"/>
      <c r="M2" s="35" t="s">
        <v>28</v>
      </c>
      <c r="P2" s="36"/>
      <c r="Q2" s="37" t="s">
        <v>25</v>
      </c>
      <c r="R2" s="38" t="s">
        <v>26</v>
      </c>
      <c r="S2" s="38" t="s">
        <v>27</v>
      </c>
      <c r="T2" s="38" t="s">
        <v>28</v>
      </c>
      <c r="U2" s="38" t="s">
        <v>29</v>
      </c>
      <c r="V2" s="36"/>
      <c r="W2" s="39" t="s">
        <v>30</v>
      </c>
      <c r="X2" s="36"/>
    </row>
    <row r="3" ht="16.5" customHeight="1">
      <c r="A3" s="31"/>
      <c r="B3" s="31"/>
      <c r="D3" s="40" t="s">
        <v>31</v>
      </c>
      <c r="E3" s="40" t="s">
        <v>32</v>
      </c>
      <c r="F3" s="41" t="s">
        <v>33</v>
      </c>
      <c r="G3" s="42" t="s">
        <v>34</v>
      </c>
      <c r="H3" s="40" t="s">
        <v>35</v>
      </c>
      <c r="I3" s="41" t="s">
        <v>36</v>
      </c>
      <c r="J3" s="42" t="s">
        <v>37</v>
      </c>
      <c r="K3" s="40" t="s">
        <v>38</v>
      </c>
      <c r="L3" s="41" t="s">
        <v>39</v>
      </c>
      <c r="M3" s="42" t="s">
        <v>40</v>
      </c>
      <c r="N3" s="40" t="s">
        <v>41</v>
      </c>
      <c r="O3" s="40" t="s">
        <v>42</v>
      </c>
      <c r="P3" s="36"/>
      <c r="Q3" s="43"/>
      <c r="R3" s="44"/>
      <c r="S3" s="44"/>
      <c r="T3" s="44"/>
      <c r="U3" s="44"/>
      <c r="V3" s="36"/>
      <c r="W3" s="44"/>
      <c r="X3" s="36"/>
    </row>
    <row r="4" ht="20.25" customHeight="1">
      <c r="A4" s="3"/>
      <c r="B4" s="31"/>
      <c r="C4" s="45" t="s">
        <v>43</v>
      </c>
      <c r="D4" s="46">
        <f>'Business Plan'!E9</f>
        <v>1</v>
      </c>
      <c r="E4" s="46">
        <f>'Business Plan'!F9</f>
        <v>1</v>
      </c>
      <c r="F4" s="47">
        <f>'Business Plan'!G9</f>
        <v>2</v>
      </c>
      <c r="G4" s="46">
        <f>'Business Plan'!H9</f>
        <v>1</v>
      </c>
      <c r="H4" s="46">
        <f>'Business Plan'!I9</f>
        <v>2</v>
      </c>
      <c r="I4" s="47">
        <f>'Business Plan'!J9</f>
        <v>3</v>
      </c>
      <c r="J4" s="48">
        <f>'Business Plan'!K9</f>
        <v>2</v>
      </c>
      <c r="K4" s="46">
        <f>'Business Plan'!L9</f>
        <v>3</v>
      </c>
      <c r="L4" s="47">
        <f>'Business Plan'!M9</f>
        <v>3</v>
      </c>
      <c r="M4" s="48">
        <f>'Business Plan'!N9</f>
        <v>3</v>
      </c>
      <c r="N4" s="46">
        <f>'Business Plan'!O9</f>
        <v>3</v>
      </c>
      <c r="O4" s="46">
        <f>'Business Plan'!P9</f>
        <v>1</v>
      </c>
      <c r="P4" s="49"/>
      <c r="Q4" s="50">
        <f>SUM(D4:F4)</f>
        <v>4</v>
      </c>
      <c r="R4" s="50">
        <f>SUM(G4:I4)</f>
        <v>6</v>
      </c>
      <c r="S4" s="50">
        <f>SUM(J4:L4)</f>
        <v>8</v>
      </c>
      <c r="T4" s="50">
        <f>SUM(M4:O4)</f>
        <v>7</v>
      </c>
      <c r="U4" s="51">
        <f>SUM(D4:O4)</f>
        <v>25</v>
      </c>
      <c r="V4" s="49"/>
      <c r="W4" s="51">
        <f>SUM(F4:Q4)</f>
        <v>27</v>
      </c>
      <c r="X4" s="49"/>
    </row>
    <row r="5" ht="7.5" customHeight="1">
      <c r="A5" s="31"/>
      <c r="B5" s="31"/>
      <c r="C5" s="52"/>
      <c r="D5" s="53"/>
      <c r="E5" s="54" t="str">
        <f t="shared" ref="E5:O5" si="1">D5</f>
        <v/>
      </c>
      <c r="F5" s="54" t="str">
        <f t="shared" si="1"/>
        <v/>
      </c>
      <c r="G5" s="54" t="str">
        <f t="shared" si="1"/>
        <v/>
      </c>
      <c r="H5" s="54" t="str">
        <f t="shared" si="1"/>
        <v/>
      </c>
      <c r="I5" s="54" t="str">
        <f t="shared" si="1"/>
        <v/>
      </c>
      <c r="J5" s="54" t="str">
        <f t="shared" si="1"/>
        <v/>
      </c>
      <c r="K5" s="54" t="str">
        <f t="shared" si="1"/>
        <v/>
      </c>
      <c r="L5" s="54" t="str">
        <f t="shared" si="1"/>
        <v/>
      </c>
      <c r="M5" s="54" t="str">
        <f t="shared" si="1"/>
        <v/>
      </c>
      <c r="N5" s="54" t="str">
        <f t="shared" si="1"/>
        <v/>
      </c>
      <c r="O5" s="54" t="str">
        <f t="shared" si="1"/>
        <v/>
      </c>
      <c r="P5" s="55"/>
      <c r="Q5" s="56"/>
      <c r="R5" s="56"/>
      <c r="S5" s="56"/>
      <c r="T5" s="56"/>
      <c r="U5" s="57"/>
      <c r="V5" s="55"/>
      <c r="W5" s="57"/>
      <c r="X5" s="55"/>
    </row>
    <row r="6" ht="20.25" customHeight="1">
      <c r="A6" s="3"/>
      <c r="B6" s="31"/>
      <c r="C6" s="58" t="s">
        <v>44</v>
      </c>
      <c r="D6" s="46">
        <f>'Business Plan'!E12</f>
        <v>1750</v>
      </c>
      <c r="E6" s="46">
        <f>'Business Plan'!F12</f>
        <v>2100</v>
      </c>
      <c r="F6" s="47">
        <f>'Business Plan'!G12</f>
        <v>2450</v>
      </c>
      <c r="G6" s="46">
        <f>'Business Plan'!H12</f>
        <v>2100</v>
      </c>
      <c r="H6" s="46">
        <f>'Business Plan'!I12</f>
        <v>2450</v>
      </c>
      <c r="I6" s="47">
        <f>'Business Plan'!J12</f>
        <v>4200</v>
      </c>
      <c r="J6" s="48">
        <f>'Business Plan'!K12</f>
        <v>2450</v>
      </c>
      <c r="K6" s="46">
        <f>'Business Plan'!L12</f>
        <v>2800</v>
      </c>
      <c r="L6" s="47">
        <f>'Business Plan'!M12</f>
        <v>3850</v>
      </c>
      <c r="M6" s="48">
        <f>'Business Plan'!N12</f>
        <v>4200</v>
      </c>
      <c r="N6" s="46">
        <f>'Business Plan'!O12</f>
        <v>4550</v>
      </c>
      <c r="O6" s="46">
        <f>'Business Plan'!P12</f>
        <v>2100</v>
      </c>
      <c r="P6" s="55"/>
      <c r="Q6" s="59">
        <f t="shared" ref="Q6:Q7" si="3">SUM(D6:F6)</f>
        <v>6300</v>
      </c>
      <c r="R6" s="59">
        <f t="shared" ref="R6:R7" si="4">SUM(G6:I6)</f>
        <v>8750</v>
      </c>
      <c r="S6" s="59">
        <f t="shared" ref="S6:S7" si="5">SUM(J6:L6)</f>
        <v>9100</v>
      </c>
      <c r="T6" s="59">
        <f t="shared" ref="T6:T7" si="6">SUM(M5:O6)</f>
        <v>10850</v>
      </c>
      <c r="U6" s="48">
        <f>SUM(D6:O6)</f>
        <v>35000</v>
      </c>
      <c r="V6" s="55"/>
      <c r="W6" s="48"/>
      <c r="X6" s="55"/>
    </row>
    <row r="7" ht="18.75" customHeight="1">
      <c r="A7" s="3"/>
      <c r="B7" s="31"/>
      <c r="C7" s="60" t="s">
        <v>45</v>
      </c>
      <c r="D7" s="61">
        <f t="shared" ref="D7:O7" si="2">D6*12</f>
        <v>21000</v>
      </c>
      <c r="E7" s="61">
        <f t="shared" si="2"/>
        <v>25200</v>
      </c>
      <c r="F7" s="62">
        <f t="shared" si="2"/>
        <v>29400</v>
      </c>
      <c r="G7" s="61">
        <f t="shared" si="2"/>
        <v>25200</v>
      </c>
      <c r="H7" s="61">
        <f t="shared" si="2"/>
        <v>29400</v>
      </c>
      <c r="I7" s="62">
        <f t="shared" si="2"/>
        <v>50400</v>
      </c>
      <c r="J7" s="63">
        <f t="shared" si="2"/>
        <v>29400</v>
      </c>
      <c r="K7" s="61">
        <f t="shared" si="2"/>
        <v>33600</v>
      </c>
      <c r="L7" s="62">
        <f t="shared" si="2"/>
        <v>46200</v>
      </c>
      <c r="M7" s="63">
        <f t="shared" si="2"/>
        <v>50400</v>
      </c>
      <c r="N7" s="61">
        <f t="shared" si="2"/>
        <v>54600</v>
      </c>
      <c r="O7" s="61">
        <f t="shared" si="2"/>
        <v>25200</v>
      </c>
      <c r="P7" s="55"/>
      <c r="Q7" s="62">
        <f t="shared" si="3"/>
        <v>75600</v>
      </c>
      <c r="R7" s="62">
        <f t="shared" si="4"/>
        <v>105000</v>
      </c>
      <c r="S7" s="62">
        <f t="shared" si="5"/>
        <v>109200</v>
      </c>
      <c r="T7" s="62">
        <f t="shared" si="6"/>
        <v>141050</v>
      </c>
      <c r="U7" s="63">
        <f>U6*12</f>
        <v>420000</v>
      </c>
      <c r="V7" s="55"/>
      <c r="W7" s="63"/>
      <c r="X7" s="55"/>
    </row>
    <row r="8" ht="7.5" customHeight="1">
      <c r="A8" s="27"/>
      <c r="B8" s="27"/>
      <c r="C8" s="28"/>
      <c r="D8" s="29"/>
      <c r="E8" s="29"/>
      <c r="F8" s="29"/>
      <c r="G8" s="29"/>
      <c r="H8" s="29"/>
      <c r="I8" s="29"/>
      <c r="J8" s="29"/>
      <c r="K8" s="29"/>
      <c r="L8" s="29"/>
      <c r="M8" s="29"/>
      <c r="N8" s="29"/>
      <c r="O8" s="29"/>
      <c r="P8" s="29"/>
      <c r="Q8" s="64"/>
      <c r="R8" s="64"/>
      <c r="S8" s="64"/>
      <c r="T8" s="64"/>
      <c r="U8" s="65"/>
      <c r="V8" s="30"/>
      <c r="W8" s="65"/>
      <c r="X8" s="30"/>
    </row>
    <row r="9" ht="21.75" customHeight="1">
      <c r="A9" s="3"/>
      <c r="B9" s="31"/>
      <c r="C9" s="66" t="s">
        <v>46</v>
      </c>
      <c r="D9" s="46">
        <f t="shared" ref="D9:O9" si="7">SUM(D19:D22)</f>
        <v>8100</v>
      </c>
      <c r="E9" s="46">
        <f t="shared" si="7"/>
        <v>9570</v>
      </c>
      <c r="F9" s="47">
        <f t="shared" si="7"/>
        <v>28990</v>
      </c>
      <c r="G9" s="46">
        <f t="shared" si="7"/>
        <v>10320</v>
      </c>
      <c r="H9" s="46">
        <f t="shared" si="7"/>
        <v>13290</v>
      </c>
      <c r="I9" s="47">
        <f t="shared" si="7"/>
        <v>35690</v>
      </c>
      <c r="J9" s="48">
        <f t="shared" si="7"/>
        <v>16290</v>
      </c>
      <c r="K9" s="46">
        <f t="shared" si="7"/>
        <v>20760</v>
      </c>
      <c r="L9" s="47">
        <f t="shared" si="7"/>
        <v>39220</v>
      </c>
      <c r="M9" s="48">
        <f t="shared" si="7"/>
        <v>26640</v>
      </c>
      <c r="N9" s="46">
        <f t="shared" si="7"/>
        <v>28110</v>
      </c>
      <c r="O9" s="46">
        <f t="shared" si="7"/>
        <v>26370</v>
      </c>
      <c r="P9" s="55"/>
      <c r="Q9" s="59">
        <f>SUM(D9:F9)</f>
        <v>46660</v>
      </c>
      <c r="R9" s="59">
        <f>SUM(G9:I9)</f>
        <v>59300</v>
      </c>
      <c r="S9" s="59">
        <f>SUM(J9:L9)</f>
        <v>76270</v>
      </c>
      <c r="T9" s="59">
        <f>SUM(M8:O9)</f>
        <v>81120</v>
      </c>
      <c r="U9" s="48">
        <f>SUM(D9:O9)</f>
        <v>263350</v>
      </c>
      <c r="V9" s="55"/>
      <c r="W9" s="48">
        <f>U7*'Partnership Info'!D15</f>
        <v>84000</v>
      </c>
      <c r="X9" s="55"/>
    </row>
    <row r="10" ht="7.5" customHeight="1">
      <c r="A10" s="27"/>
      <c r="B10" s="27"/>
      <c r="C10" s="28"/>
      <c r="D10" s="29"/>
      <c r="E10" s="29"/>
      <c r="F10" s="29"/>
      <c r="G10" s="29"/>
      <c r="H10" s="29"/>
      <c r="I10" s="29"/>
      <c r="J10" s="29"/>
      <c r="K10" s="29"/>
      <c r="L10" s="29"/>
      <c r="M10" s="29"/>
      <c r="N10" s="29"/>
      <c r="O10" s="29"/>
      <c r="P10" s="29"/>
      <c r="Q10" s="67"/>
      <c r="R10" s="67"/>
      <c r="S10" s="67"/>
      <c r="T10" s="67"/>
      <c r="U10" s="65"/>
      <c r="V10" s="30"/>
      <c r="W10" s="65"/>
      <c r="X10" s="30"/>
    </row>
    <row r="11" ht="21.75" customHeight="1">
      <c r="A11" s="3"/>
      <c r="B11" s="31"/>
      <c r="C11" s="66" t="s">
        <v>47</v>
      </c>
      <c r="D11" s="46">
        <f t="shared" ref="D11:O11" si="8">(D25+D27)+D26</f>
        <v>-15916.66667</v>
      </c>
      <c r="E11" s="46">
        <f t="shared" si="8"/>
        <v>-25216.66667</v>
      </c>
      <c r="F11" s="47">
        <f t="shared" si="8"/>
        <v>-15416.66667</v>
      </c>
      <c r="G11" s="46">
        <f t="shared" si="8"/>
        <v>-15916.66667</v>
      </c>
      <c r="H11" s="46">
        <f t="shared" si="8"/>
        <v>-22916.66667</v>
      </c>
      <c r="I11" s="47">
        <f t="shared" si="8"/>
        <v>-15416.66667</v>
      </c>
      <c r="J11" s="48">
        <f t="shared" si="8"/>
        <v>-23416.66667</v>
      </c>
      <c r="K11" s="46">
        <f t="shared" si="8"/>
        <v>-15416.66667</v>
      </c>
      <c r="L11" s="47">
        <f t="shared" si="8"/>
        <v>-15416.66667</v>
      </c>
      <c r="M11" s="48">
        <f t="shared" si="8"/>
        <v>-23416.66667</v>
      </c>
      <c r="N11" s="46">
        <f t="shared" si="8"/>
        <v>-15416.66667</v>
      </c>
      <c r="O11" s="46">
        <f t="shared" si="8"/>
        <v>-15416.66667</v>
      </c>
      <c r="P11" s="55"/>
      <c r="Q11" s="59">
        <f>SUM(D11:F11)</f>
        <v>-56550</v>
      </c>
      <c r="R11" s="59">
        <f>SUM(G11:I11)</f>
        <v>-54250</v>
      </c>
      <c r="S11" s="59">
        <f>SUM(J11:L11)</f>
        <v>-54250</v>
      </c>
      <c r="T11" s="59">
        <f>SUM(M10:O11)</f>
        <v>-54250</v>
      </c>
      <c r="U11" s="48">
        <f>SUM(D11:O11)</f>
        <v>-219300</v>
      </c>
      <c r="V11" s="55"/>
      <c r="W11" s="48">
        <f>Headcount!D37</f>
        <v>39750</v>
      </c>
      <c r="X11" s="55"/>
    </row>
    <row r="12" ht="7.5" customHeight="1">
      <c r="A12" s="27"/>
      <c r="B12" s="27"/>
      <c r="C12" s="28"/>
      <c r="D12" s="29"/>
      <c r="E12" s="29"/>
      <c r="F12" s="29"/>
      <c r="G12" s="29"/>
      <c r="H12" s="29"/>
      <c r="I12" s="29"/>
      <c r="J12" s="29"/>
      <c r="K12" s="29"/>
      <c r="L12" s="29"/>
      <c r="M12" s="29"/>
      <c r="N12" s="29"/>
      <c r="O12" s="29"/>
      <c r="P12" s="29"/>
      <c r="Q12" s="67"/>
      <c r="R12" s="67"/>
      <c r="S12" s="67"/>
      <c r="T12" s="67"/>
      <c r="U12" s="65"/>
      <c r="V12" s="30"/>
      <c r="W12" s="65"/>
      <c r="X12" s="30"/>
    </row>
    <row r="13" ht="21.75" customHeight="1">
      <c r="A13" s="3"/>
      <c r="B13" s="31"/>
      <c r="C13" s="68" t="s">
        <v>48</v>
      </c>
      <c r="D13" s="69">
        <f t="shared" ref="D13:O13" si="9">D9+D11</f>
        <v>-7816.666667</v>
      </c>
      <c r="E13" s="69">
        <f t="shared" si="9"/>
        <v>-15646.66667</v>
      </c>
      <c r="F13" s="70">
        <f t="shared" si="9"/>
        <v>13573.33333</v>
      </c>
      <c r="G13" s="69">
        <f t="shared" si="9"/>
        <v>-5596.666667</v>
      </c>
      <c r="H13" s="69">
        <f t="shared" si="9"/>
        <v>-9626.666667</v>
      </c>
      <c r="I13" s="70">
        <f t="shared" si="9"/>
        <v>20273.33333</v>
      </c>
      <c r="J13" s="71">
        <f t="shared" si="9"/>
        <v>-7126.666667</v>
      </c>
      <c r="K13" s="69">
        <f t="shared" si="9"/>
        <v>5343.333333</v>
      </c>
      <c r="L13" s="70">
        <f t="shared" si="9"/>
        <v>23803.33333</v>
      </c>
      <c r="M13" s="71">
        <f t="shared" si="9"/>
        <v>3223.333333</v>
      </c>
      <c r="N13" s="69">
        <f t="shared" si="9"/>
        <v>12693.33333</v>
      </c>
      <c r="O13" s="69">
        <f t="shared" si="9"/>
        <v>10953.33333</v>
      </c>
      <c r="P13" s="55"/>
      <c r="Q13" s="72">
        <f>SUM(D13:F13)</f>
        <v>-9890</v>
      </c>
      <c r="R13" s="72">
        <f>SUM(G13:I13)</f>
        <v>5050</v>
      </c>
      <c r="S13" s="72">
        <f>SUM(J13:L13)</f>
        <v>22020</v>
      </c>
      <c r="T13" s="72">
        <f>SUM(M12:O13)</f>
        <v>26870</v>
      </c>
      <c r="U13" s="71">
        <f>SUM(D13:O13)</f>
        <v>44050</v>
      </c>
      <c r="V13" s="55"/>
      <c r="W13" s="71">
        <f>SUM(F13:Q13)</f>
        <v>57623.33333</v>
      </c>
      <c r="X13" s="55"/>
    </row>
    <row r="14" ht="7.5" customHeight="1">
      <c r="A14" s="31"/>
      <c r="B14" s="31"/>
      <c r="C14" s="55"/>
      <c r="D14" s="61"/>
      <c r="E14" s="61"/>
      <c r="F14" s="61"/>
      <c r="G14" s="61"/>
      <c r="H14" s="61"/>
      <c r="I14" s="61"/>
      <c r="J14" s="61"/>
      <c r="K14" s="61"/>
      <c r="L14" s="61"/>
      <c r="M14" s="61"/>
      <c r="N14" s="61"/>
      <c r="O14" s="61"/>
      <c r="P14" s="61"/>
      <c r="Q14" s="61"/>
      <c r="R14" s="61"/>
      <c r="S14" s="61"/>
      <c r="T14" s="61"/>
      <c r="U14" s="61"/>
      <c r="V14" s="61"/>
      <c r="W14" s="61"/>
      <c r="X14" s="61"/>
    </row>
    <row r="15" ht="21.75" customHeight="1">
      <c r="A15" s="3"/>
      <c r="B15" s="31"/>
      <c r="C15" s="66" t="s">
        <v>49</v>
      </c>
      <c r="D15" s="46">
        <f>'Business Plan'!E26</f>
        <v>1362.5</v>
      </c>
      <c r="E15" s="46">
        <f>'Business Plan'!F26</f>
        <v>2097.5</v>
      </c>
      <c r="F15" s="47">
        <f>'Business Plan'!G26</f>
        <v>20905</v>
      </c>
      <c r="G15" s="46">
        <f>'Business Plan'!H26</f>
        <v>4440</v>
      </c>
      <c r="H15" s="46">
        <f>'Business Plan'!I26</f>
        <v>6797.5</v>
      </c>
      <c r="I15" s="47">
        <f>'Business Plan'!J26</f>
        <v>23317.5</v>
      </c>
      <c r="J15" s="48">
        <f>'Business Plan'!K26</f>
        <v>12125</v>
      </c>
      <c r="K15" s="46">
        <f>'Business Plan'!L26</f>
        <v>16105</v>
      </c>
      <c r="L15" s="47">
        <f>'Business Plan'!M26</f>
        <v>31502.5</v>
      </c>
      <c r="M15" s="48">
        <f>'Business Plan'!N26</f>
        <v>18922.5</v>
      </c>
      <c r="N15" s="46">
        <f>'Business Plan'!O26</f>
        <v>20515</v>
      </c>
      <c r="O15" s="46">
        <f>'Business Plan'!P26</f>
        <v>29800</v>
      </c>
      <c r="P15" s="55"/>
      <c r="Q15" s="59">
        <f>SUM(D15:F15)</f>
        <v>24365</v>
      </c>
      <c r="R15" s="59">
        <f>SUM(G15:I15)</f>
        <v>34555</v>
      </c>
      <c r="S15" s="59">
        <f>SUM(J15:L15)</f>
        <v>59732.5</v>
      </c>
      <c r="T15" s="59">
        <f>SUM(M14:O15)</f>
        <v>69237.5</v>
      </c>
      <c r="U15" s="48">
        <f>SUM(D15:O15)</f>
        <v>187890</v>
      </c>
      <c r="V15" s="55"/>
      <c r="W15" s="48"/>
      <c r="X15" s="55"/>
    </row>
    <row r="16" ht="7.5" customHeight="1">
      <c r="A16" s="31"/>
      <c r="B16" s="31"/>
      <c r="C16" s="73"/>
      <c r="D16" s="74"/>
      <c r="E16" s="74"/>
      <c r="F16" s="74"/>
      <c r="G16" s="74"/>
      <c r="H16" s="74"/>
      <c r="I16" s="74"/>
      <c r="J16" s="74"/>
      <c r="K16" s="74"/>
      <c r="L16" s="74"/>
      <c r="M16" s="74"/>
      <c r="N16" s="74"/>
      <c r="O16" s="74"/>
      <c r="P16" s="55"/>
      <c r="R16" s="75"/>
      <c r="S16" s="75"/>
      <c r="T16" s="75"/>
      <c r="U16" s="75"/>
      <c r="V16" s="36"/>
      <c r="W16" s="75"/>
      <c r="X16" s="36"/>
    </row>
    <row r="17" ht="21.75" customHeight="1">
      <c r="A17" s="3"/>
      <c r="B17" s="31"/>
      <c r="C17" s="68" t="str">
        <f>'Business Plan'!C48</f>
        <v>Approx net cashflow (sales FS only)</v>
      </c>
      <c r="D17" s="69">
        <f>'Business Plan'!E48</f>
        <v>-8254.166667</v>
      </c>
      <c r="E17" s="69">
        <f>'Business Plan'!F48</f>
        <v>-16819.16667</v>
      </c>
      <c r="F17" s="70">
        <f>'Business Plan'!G48</f>
        <v>11788.33333</v>
      </c>
      <c r="G17" s="69">
        <f>'Business Plan'!H48</f>
        <v>-5176.666667</v>
      </c>
      <c r="H17" s="69">
        <f>'Business Plan'!I48</f>
        <v>-9819.166667</v>
      </c>
      <c r="I17" s="70">
        <f>'Business Plan'!J48</f>
        <v>14200.83333</v>
      </c>
      <c r="J17" s="71">
        <f>'Business Plan'!K48</f>
        <v>-4991.666667</v>
      </c>
      <c r="K17" s="69">
        <f>'Business Plan'!L48</f>
        <v>6988.333333</v>
      </c>
      <c r="L17" s="70">
        <f>'Business Plan'!M48</f>
        <v>22385.83333</v>
      </c>
      <c r="M17" s="71">
        <f>'Business Plan'!N48</f>
        <v>1805.833333</v>
      </c>
      <c r="N17" s="69">
        <f>'Business Plan'!O48</f>
        <v>11398.33333</v>
      </c>
      <c r="O17" s="69">
        <f>'Business Plan'!P48</f>
        <v>20683.33333</v>
      </c>
      <c r="P17" s="55"/>
      <c r="Q17" s="72">
        <f>SUM(D17:F17)</f>
        <v>-13285</v>
      </c>
      <c r="R17" s="72">
        <f>SUM(G17:I17)</f>
        <v>-795</v>
      </c>
      <c r="S17" s="72">
        <f>SUM(J17:L17)</f>
        <v>24382.5</v>
      </c>
      <c r="T17" s="72">
        <f>SUM(M16:O17)</f>
        <v>33887.5</v>
      </c>
      <c r="U17" s="71">
        <f>SUM(D17:O17)</f>
        <v>44190</v>
      </c>
      <c r="V17" s="55"/>
      <c r="W17" s="71"/>
      <c r="X17" s="55"/>
    </row>
    <row r="18" ht="7.5" customHeight="1">
      <c r="A18" s="31"/>
      <c r="B18" s="31"/>
      <c r="C18" s="60"/>
      <c r="D18" s="61"/>
      <c r="E18" s="61"/>
      <c r="F18" s="61"/>
      <c r="G18" s="61"/>
      <c r="H18" s="61"/>
      <c r="I18" s="61"/>
      <c r="J18" s="61"/>
      <c r="K18" s="61"/>
      <c r="L18" s="61"/>
      <c r="M18" s="61"/>
      <c r="N18" s="61"/>
      <c r="O18" s="61"/>
      <c r="P18" s="55"/>
      <c r="Q18" s="76"/>
      <c r="R18" s="76"/>
      <c r="S18" s="76"/>
      <c r="T18" s="76"/>
      <c r="U18" s="76"/>
      <c r="V18" s="55"/>
      <c r="W18" s="76"/>
      <c r="X18" s="55"/>
    </row>
    <row r="19" ht="17.25" hidden="1" customHeight="1">
      <c r="A19" s="3"/>
      <c r="B19" s="31"/>
      <c r="C19" s="60" t="s">
        <v>50</v>
      </c>
      <c r="D19" s="61">
        <f>'Business Plan'!E19</f>
        <v>7350</v>
      </c>
      <c r="E19" s="61">
        <f>'Business Plan'!F19</f>
        <v>8820</v>
      </c>
      <c r="F19" s="62">
        <f>'Business Plan'!G19</f>
        <v>10290</v>
      </c>
      <c r="G19" s="61">
        <f>'Business Plan'!H19</f>
        <v>8820</v>
      </c>
      <c r="H19" s="61">
        <f>'Business Plan'!I19</f>
        <v>10290</v>
      </c>
      <c r="I19" s="62">
        <f>'Business Plan'!J19</f>
        <v>17640</v>
      </c>
      <c r="J19" s="63">
        <f>'Business Plan'!K19</f>
        <v>10290</v>
      </c>
      <c r="K19" s="61">
        <f>'Business Plan'!L19</f>
        <v>11760</v>
      </c>
      <c r="L19" s="62">
        <f>'Business Plan'!M19</f>
        <v>16170</v>
      </c>
      <c r="M19" s="63">
        <f>'Business Plan'!N19</f>
        <v>17640</v>
      </c>
      <c r="N19" s="61">
        <f>'Business Plan'!O19</f>
        <v>19110</v>
      </c>
      <c r="O19" s="61">
        <f>'Business Plan'!P19</f>
        <v>8820</v>
      </c>
      <c r="P19" s="55"/>
      <c r="Q19" s="62">
        <f t="shared" ref="Q19:Q22" si="10">SUM(D19:F19)</f>
        <v>26460</v>
      </c>
      <c r="R19" s="62">
        <f t="shared" ref="R19:R22" si="11">SUM(G19:I19)</f>
        <v>36750</v>
      </c>
      <c r="S19" s="62">
        <f t="shared" ref="S19:S22" si="12">SUM(J19:L19)</f>
        <v>38220</v>
      </c>
      <c r="T19" s="62">
        <f>SUM(M7:O19)</f>
        <v>332635</v>
      </c>
      <c r="U19" s="63">
        <f t="shared" ref="U19:U22" si="13">SUM(D19:O19)</f>
        <v>147000</v>
      </c>
      <c r="V19" s="55"/>
      <c r="W19" s="63">
        <f t="shared" ref="W19:W22" si="14">SUM(F19:Q19)</f>
        <v>157290</v>
      </c>
      <c r="X19" s="55"/>
    </row>
    <row r="20" ht="17.25" hidden="1" customHeight="1">
      <c r="A20" s="20"/>
      <c r="B20" s="31"/>
      <c r="C20" s="60" t="s">
        <v>51</v>
      </c>
      <c r="D20" s="61">
        <f>'Business Plan'!E21</f>
        <v>0</v>
      </c>
      <c r="E20" s="61">
        <f>'Business Plan'!F21</f>
        <v>0</v>
      </c>
      <c r="F20" s="62">
        <f>'Business Plan'!G21</f>
        <v>0</v>
      </c>
      <c r="G20" s="61">
        <f>'Business Plan'!H21</f>
        <v>0</v>
      </c>
      <c r="H20" s="61">
        <f>'Business Plan'!I21</f>
        <v>0</v>
      </c>
      <c r="I20" s="62">
        <f>'Business Plan'!J21</f>
        <v>0</v>
      </c>
      <c r="J20" s="63">
        <f>'Business Plan'!K21</f>
        <v>0</v>
      </c>
      <c r="K20" s="61">
        <f>'Business Plan'!L21</f>
        <v>0</v>
      </c>
      <c r="L20" s="62">
        <f>'Business Plan'!M21</f>
        <v>0</v>
      </c>
      <c r="M20" s="63">
        <f>'Business Plan'!N21</f>
        <v>0</v>
      </c>
      <c r="N20" s="61">
        <f>'Business Plan'!O21</f>
        <v>0</v>
      </c>
      <c r="O20" s="61">
        <f>'Business Plan'!P21</f>
        <v>0</v>
      </c>
      <c r="P20" s="55"/>
      <c r="Q20" s="62">
        <f t="shared" si="10"/>
        <v>0</v>
      </c>
      <c r="R20" s="62">
        <f t="shared" si="11"/>
        <v>0</v>
      </c>
      <c r="S20" s="62">
        <f t="shared" si="12"/>
        <v>0</v>
      </c>
      <c r="T20" s="62">
        <f>SUM(M20:O20)</f>
        <v>0</v>
      </c>
      <c r="U20" s="63">
        <f t="shared" si="13"/>
        <v>0</v>
      </c>
      <c r="V20" s="55"/>
      <c r="W20" s="63">
        <f t="shared" si="14"/>
        <v>0</v>
      </c>
      <c r="X20" s="55"/>
    </row>
    <row r="21" ht="15.75" hidden="1" customHeight="1">
      <c r="A21" s="20"/>
      <c r="B21" s="31"/>
      <c r="C21" s="60" t="s">
        <v>52</v>
      </c>
      <c r="D21" s="61">
        <f>'Business Plan'!E22</f>
        <v>750</v>
      </c>
      <c r="E21" s="61">
        <f>'Business Plan'!F22</f>
        <v>750</v>
      </c>
      <c r="F21" s="62">
        <f>'Business Plan'!G22</f>
        <v>1500</v>
      </c>
      <c r="G21" s="61">
        <f>'Business Plan'!H22</f>
        <v>1500</v>
      </c>
      <c r="H21" s="61">
        <f>'Business Plan'!I22</f>
        <v>3000</v>
      </c>
      <c r="I21" s="62">
        <f>'Business Plan'!J22</f>
        <v>4500</v>
      </c>
      <c r="J21" s="63">
        <f>'Business Plan'!K22</f>
        <v>6000</v>
      </c>
      <c r="K21" s="61">
        <f>'Business Plan'!L22</f>
        <v>9000</v>
      </c>
      <c r="L21" s="62">
        <f>'Business Plan'!M22</f>
        <v>9000</v>
      </c>
      <c r="M21" s="63">
        <f>'Business Plan'!N22</f>
        <v>9000</v>
      </c>
      <c r="N21" s="61">
        <f>'Business Plan'!O22</f>
        <v>9000</v>
      </c>
      <c r="O21" s="61">
        <f>'Business Plan'!P22</f>
        <v>3000</v>
      </c>
      <c r="P21" s="55"/>
      <c r="Q21" s="77">
        <f t="shared" si="10"/>
        <v>3000</v>
      </c>
      <c r="R21" s="77">
        <f t="shared" si="11"/>
        <v>9000</v>
      </c>
      <c r="S21" s="77">
        <f t="shared" si="12"/>
        <v>24000</v>
      </c>
      <c r="T21" s="77">
        <f>SUM(M20:O21)</f>
        <v>21000</v>
      </c>
      <c r="U21" s="63">
        <f t="shared" si="13"/>
        <v>57000</v>
      </c>
      <c r="V21" s="55"/>
      <c r="W21" s="63">
        <f t="shared" si="14"/>
        <v>58500</v>
      </c>
      <c r="X21" s="55"/>
    </row>
    <row r="22" ht="17.25" hidden="1" customHeight="1">
      <c r="A22" s="20"/>
      <c r="B22" s="31"/>
      <c r="C22" s="60" t="s">
        <v>53</v>
      </c>
      <c r="D22" s="61">
        <f>'Business Plan'!E20</f>
        <v>0</v>
      </c>
      <c r="E22" s="61">
        <f>'Business Plan'!F20</f>
        <v>0</v>
      </c>
      <c r="F22" s="62">
        <f>'Business Plan'!G20</f>
        <v>17200</v>
      </c>
      <c r="G22" s="61">
        <f>'Business Plan'!H20</f>
        <v>0</v>
      </c>
      <c r="H22" s="61">
        <f>'Business Plan'!I20</f>
        <v>0</v>
      </c>
      <c r="I22" s="62">
        <f>'Business Plan'!J20</f>
        <v>13550</v>
      </c>
      <c r="J22" s="63">
        <f>'Business Plan'!K20</f>
        <v>0</v>
      </c>
      <c r="K22" s="61">
        <f>'Business Plan'!L20</f>
        <v>0</v>
      </c>
      <c r="L22" s="62">
        <f>'Business Plan'!M20</f>
        <v>14050</v>
      </c>
      <c r="M22" s="63">
        <f>'Business Plan'!N20</f>
        <v>0</v>
      </c>
      <c r="N22" s="61">
        <f>'Business Plan'!O20</f>
        <v>0</v>
      </c>
      <c r="O22" s="61">
        <f>'Business Plan'!P20</f>
        <v>14550</v>
      </c>
      <c r="P22" s="55"/>
      <c r="Q22" s="62">
        <f t="shared" si="10"/>
        <v>17200</v>
      </c>
      <c r="R22" s="62">
        <f t="shared" si="11"/>
        <v>13550</v>
      </c>
      <c r="S22" s="62">
        <f t="shared" si="12"/>
        <v>14050</v>
      </c>
      <c r="T22" s="62">
        <f>SUM(M19:O22)</f>
        <v>81120</v>
      </c>
      <c r="U22" s="63">
        <f t="shared" si="13"/>
        <v>59350</v>
      </c>
      <c r="V22" s="55"/>
      <c r="W22" s="63">
        <f t="shared" si="14"/>
        <v>76550</v>
      </c>
      <c r="X22" s="55"/>
    </row>
    <row r="23" ht="10.5" hidden="1" customHeight="1">
      <c r="A23" s="27"/>
      <c r="B23" s="27"/>
      <c r="C23" s="78"/>
      <c r="D23" s="79"/>
      <c r="E23" s="79"/>
      <c r="F23" s="79"/>
      <c r="G23" s="79"/>
      <c r="H23" s="79"/>
      <c r="I23" s="79"/>
      <c r="J23" s="79"/>
      <c r="K23" s="79"/>
      <c r="L23" s="79"/>
      <c r="M23" s="79"/>
      <c r="N23" s="79"/>
      <c r="O23" s="79"/>
      <c r="P23" s="78"/>
      <c r="Q23" s="80"/>
      <c r="R23" s="80"/>
      <c r="S23" s="80"/>
      <c r="T23" s="80"/>
      <c r="U23" s="81"/>
      <c r="V23" s="78"/>
      <c r="W23" s="81"/>
      <c r="X23" s="78"/>
    </row>
    <row r="24" ht="21.75" hidden="1" customHeight="1">
      <c r="A24" s="82"/>
      <c r="B24" s="31"/>
      <c r="C24" s="66" t="s">
        <v>54</v>
      </c>
      <c r="D24" s="46">
        <f>'Business Plan'!E36</f>
        <v>-14216.66667</v>
      </c>
      <c r="E24" s="46">
        <f>'Business Plan'!F36</f>
        <v>-14216.66667</v>
      </c>
      <c r="F24" s="47">
        <f>'Business Plan'!G36</f>
        <v>-14216.66667</v>
      </c>
      <c r="G24" s="46">
        <f>'Business Plan'!H36</f>
        <v>-14216.66667</v>
      </c>
      <c r="H24" s="46">
        <f>'Business Plan'!I36</f>
        <v>-14216.66667</v>
      </c>
      <c r="I24" s="47">
        <f>'Business Plan'!J36</f>
        <v>-14216.66667</v>
      </c>
      <c r="J24" s="48">
        <f>'Business Plan'!K36</f>
        <v>-14216.66667</v>
      </c>
      <c r="K24" s="46">
        <f>'Business Plan'!L36</f>
        <v>-14216.66667</v>
      </c>
      <c r="L24" s="47">
        <f>'Business Plan'!M36</f>
        <v>-14216.66667</v>
      </c>
      <c r="M24" s="48">
        <f>'Business Plan'!N36</f>
        <v>-14216.66667</v>
      </c>
      <c r="N24" s="46">
        <f>'Business Plan'!O36</f>
        <v>-14216.66667</v>
      </c>
      <c r="O24" s="46">
        <f>'Business Plan'!P36</f>
        <v>-14216.66667</v>
      </c>
      <c r="P24" s="55"/>
      <c r="Q24" s="83">
        <f t="shared" ref="Q24:Q27" si="15">SUM(D24:F24)</f>
        <v>-42650</v>
      </c>
      <c r="R24" s="83">
        <f t="shared" ref="R24:R27" si="16">SUM(G24:I24)</f>
        <v>-42650</v>
      </c>
      <c r="S24" s="83">
        <f t="shared" ref="S24:S27" si="17">SUM(J24:L24)</f>
        <v>-42650</v>
      </c>
      <c r="T24" s="83">
        <f t="shared" ref="T24:T25" si="18">SUM(M23:O24)</f>
        <v>-42650</v>
      </c>
      <c r="U24" s="48">
        <f t="shared" ref="U24:U27" si="19">SUM(D24:O24)</f>
        <v>-170600</v>
      </c>
      <c r="V24" s="55"/>
      <c r="W24" s="48">
        <f t="shared" ref="W24:W27" si="20">SUM(F24:Q24)</f>
        <v>-184816.6667</v>
      </c>
      <c r="X24" s="55"/>
    </row>
    <row r="25" ht="16.5" hidden="1" customHeight="1">
      <c r="A25" s="82"/>
      <c r="B25" s="31"/>
      <c r="C25" s="60" t="s">
        <v>55</v>
      </c>
      <c r="D25" s="61">
        <f>'Business Plan'!E37</f>
        <v>-14216.66667</v>
      </c>
      <c r="E25" s="61">
        <f>'Business Plan'!F37</f>
        <v>-14216.66667</v>
      </c>
      <c r="F25" s="62">
        <f>'Business Plan'!G37</f>
        <v>-14216.66667</v>
      </c>
      <c r="G25" s="61">
        <f>'Business Plan'!H37</f>
        <v>-14216.66667</v>
      </c>
      <c r="H25" s="61">
        <f>'Business Plan'!I37</f>
        <v>-14216.66667</v>
      </c>
      <c r="I25" s="62">
        <f>'Business Plan'!J37</f>
        <v>-14216.66667</v>
      </c>
      <c r="J25" s="63">
        <f>'Business Plan'!K37</f>
        <v>-14216.66667</v>
      </c>
      <c r="K25" s="61">
        <f>'Business Plan'!L37</f>
        <v>-14216.66667</v>
      </c>
      <c r="L25" s="62">
        <f>'Business Plan'!M37</f>
        <v>-14216.66667</v>
      </c>
      <c r="M25" s="63">
        <f>'Business Plan'!N37</f>
        <v>-14216.66667</v>
      </c>
      <c r="N25" s="61">
        <f>'Business Plan'!O37</f>
        <v>-14216.66667</v>
      </c>
      <c r="O25" s="61">
        <f>'Business Plan'!P37</f>
        <v>-14216.66667</v>
      </c>
      <c r="P25" s="55"/>
      <c r="Q25" s="62">
        <f t="shared" si="15"/>
        <v>-42650</v>
      </c>
      <c r="R25" s="62">
        <f t="shared" si="16"/>
        <v>-42650</v>
      </c>
      <c r="S25" s="62">
        <f t="shared" si="17"/>
        <v>-42650</v>
      </c>
      <c r="T25" s="62">
        <f t="shared" si="18"/>
        <v>-85300</v>
      </c>
      <c r="U25" s="63">
        <f t="shared" si="19"/>
        <v>-170600</v>
      </c>
      <c r="V25" s="55"/>
      <c r="W25" s="63">
        <f t="shared" si="20"/>
        <v>-184816.6667</v>
      </c>
      <c r="X25" s="55"/>
    </row>
    <row r="26" ht="16.5" hidden="1" customHeight="1">
      <c r="A26" s="20"/>
      <c r="B26" s="84"/>
      <c r="C26" s="60" t="s">
        <v>56</v>
      </c>
      <c r="D26" s="61">
        <f>-sumif('Demand Generation Plan'!$D$4:$D27,D3,'Demand Generation Plan'!$F$4:$F27)</f>
        <v>-1700</v>
      </c>
      <c r="E26" s="61">
        <f>-sumif('Demand Generation Plan'!$D$4:$D27,E3,'Demand Generation Plan'!$F$4:$F27)</f>
        <v>-11000</v>
      </c>
      <c r="F26" s="62">
        <f>-sumif('Demand Generation Plan'!$D$4:$D27,F3,'Demand Generation Plan'!$F$4:$F27)</f>
        <v>-1200</v>
      </c>
      <c r="G26" s="61">
        <f>-sumif('Demand Generation Plan'!$D$4:$D27,G3,'Demand Generation Plan'!$F$4:$F27)</f>
        <v>-1700</v>
      </c>
      <c r="H26" s="61">
        <f>-sumif('Demand Generation Plan'!$D$4:$D27,H3,'Demand Generation Plan'!$F$4:$F27)</f>
        <v>-8700</v>
      </c>
      <c r="I26" s="62">
        <f>-sumif('Demand Generation Plan'!$D$4:$D27,I3,'Demand Generation Plan'!$F$4:$F27)</f>
        <v>-1200</v>
      </c>
      <c r="J26" s="63">
        <f>-sumif('Demand Generation Plan'!$D$4:$D27,J3,'Demand Generation Plan'!$F$4:$F27)</f>
        <v>-9200</v>
      </c>
      <c r="K26" s="61">
        <f>-sumif('Demand Generation Plan'!$D$4:$D27,K3,'Demand Generation Plan'!$F$4:$F27)</f>
        <v>-1200</v>
      </c>
      <c r="L26" s="62">
        <f>-sumif('Demand Generation Plan'!$D$4:$D27,L3,'Demand Generation Plan'!$F$4:$F27)</f>
        <v>-1200</v>
      </c>
      <c r="M26" s="63">
        <f>-sumif('Demand Generation Plan'!$D$4:$D27,M3,'Demand Generation Plan'!$F$4:$F27)</f>
        <v>-9200</v>
      </c>
      <c r="N26" s="61">
        <f>-sumif('Demand Generation Plan'!$D$4:$D27,N3,'Demand Generation Plan'!$F$4:$F27)</f>
        <v>-1200</v>
      </c>
      <c r="O26" s="61">
        <f>-sumif('Demand Generation Plan'!$D$4:$D27,O3,'Demand Generation Plan'!$F$4:$F27)</f>
        <v>-1200</v>
      </c>
      <c r="P26" s="55"/>
      <c r="Q26" s="62">
        <f t="shared" si="15"/>
        <v>-13900</v>
      </c>
      <c r="R26" s="62">
        <f t="shared" si="16"/>
        <v>-11600</v>
      </c>
      <c r="S26" s="62">
        <f t="shared" si="17"/>
        <v>-11600</v>
      </c>
      <c r="T26" s="62">
        <f>SUM(M26:O26)</f>
        <v>-11600</v>
      </c>
      <c r="U26" s="63">
        <f t="shared" si="19"/>
        <v>-48700</v>
      </c>
      <c r="V26" s="55"/>
      <c r="W26" s="63">
        <f t="shared" si="20"/>
        <v>-49900</v>
      </c>
      <c r="X26" s="55"/>
    </row>
    <row r="27" ht="16.5" hidden="1" customHeight="1">
      <c r="A27" s="82"/>
      <c r="B27" s="31"/>
      <c r="C27" s="60" t="s">
        <v>57</v>
      </c>
      <c r="D27" s="61">
        <f>'Business Plan'!E38</f>
        <v>0</v>
      </c>
      <c r="E27" s="61">
        <f>'Business Plan'!F38</f>
        <v>0</v>
      </c>
      <c r="F27" s="62">
        <f>'Business Plan'!G38</f>
        <v>0</v>
      </c>
      <c r="G27" s="63">
        <f>'Business Plan'!H38</f>
        <v>0</v>
      </c>
      <c r="H27" s="61">
        <f>'Business Plan'!I38</f>
        <v>0</v>
      </c>
      <c r="I27" s="62">
        <f>'Business Plan'!J38</f>
        <v>0</v>
      </c>
      <c r="J27" s="63">
        <f>'Business Plan'!K38</f>
        <v>0</v>
      </c>
      <c r="K27" s="61">
        <f>'Business Plan'!L38</f>
        <v>0</v>
      </c>
      <c r="L27" s="62">
        <f>'Business Plan'!M38</f>
        <v>0</v>
      </c>
      <c r="M27" s="63">
        <f>'Business Plan'!N38</f>
        <v>0</v>
      </c>
      <c r="N27" s="61">
        <f>'Business Plan'!O38</f>
        <v>0</v>
      </c>
      <c r="O27" s="61">
        <f>'Business Plan'!P38</f>
        <v>0</v>
      </c>
      <c r="P27" s="55"/>
      <c r="Q27" s="62">
        <f t="shared" si="15"/>
        <v>0</v>
      </c>
      <c r="R27" s="62">
        <f t="shared" si="16"/>
        <v>0</v>
      </c>
      <c r="S27" s="62">
        <f t="shared" si="17"/>
        <v>0</v>
      </c>
      <c r="T27" s="62">
        <f>SUM(M25:O27)</f>
        <v>-54250</v>
      </c>
      <c r="U27" s="63">
        <f t="shared" si="19"/>
        <v>0</v>
      </c>
      <c r="V27" s="55"/>
      <c r="W27" s="63">
        <f t="shared" si="20"/>
        <v>0</v>
      </c>
      <c r="X27" s="55"/>
    </row>
  </sheetData>
  <mergeCells count="11">
    <mergeCell ref="S2:S3"/>
    <mergeCell ref="T2:T3"/>
    <mergeCell ref="U2:U3"/>
    <mergeCell ref="W2:W3"/>
    <mergeCell ref="C2:C3"/>
    <mergeCell ref="D2:F2"/>
    <mergeCell ref="G2:I2"/>
    <mergeCell ref="J2:L2"/>
    <mergeCell ref="M2:O2"/>
    <mergeCell ref="Q2:Q3"/>
    <mergeCell ref="R2:R3"/>
  </mergeCells>
  <conditionalFormatting sqref="D13:O13 D16:O17">
    <cfRule type="cellIs" dxfId="0" priority="1" operator="greaterThan">
      <formula>0</formula>
    </cfRule>
  </conditionalFormatting>
  <conditionalFormatting sqref="D13:O13 D16:O17">
    <cfRule type="cellIs" dxfId="1" priority="2" operator="lessThan">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355E"/>
    <outlinePr summaryBelow="0" summaryRight="0"/>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outlineLevelRow="1"/>
  <cols>
    <col customWidth="1" min="1" max="1" width="0.38"/>
    <col customWidth="1" min="2" max="2" width="1.25"/>
    <col customWidth="1" min="3" max="3" width="31.38"/>
    <col customWidth="1" min="4" max="16" width="13.0"/>
    <col customWidth="1" min="17" max="17" width="2.25"/>
    <col customWidth="1" min="18" max="21" width="13.0"/>
    <col customWidth="1" min="22" max="22" width="2.25"/>
  </cols>
  <sheetData>
    <row r="1" ht="5.25" customHeight="1">
      <c r="A1" s="27"/>
      <c r="B1" s="27"/>
      <c r="C1" s="28"/>
      <c r="D1" s="29"/>
      <c r="E1" s="29"/>
      <c r="F1" s="29"/>
      <c r="G1" s="29"/>
      <c r="H1" s="29"/>
      <c r="I1" s="29"/>
      <c r="J1" s="29"/>
      <c r="K1" s="29"/>
      <c r="L1" s="29"/>
      <c r="M1" s="29"/>
      <c r="N1" s="29"/>
      <c r="O1" s="29"/>
      <c r="P1" s="29"/>
      <c r="Q1" s="29"/>
      <c r="R1" s="29"/>
      <c r="S1" s="29"/>
      <c r="T1" s="29"/>
      <c r="U1" s="29"/>
      <c r="V1" s="29"/>
    </row>
    <row r="2" ht="13.5" customHeight="1">
      <c r="A2" s="31"/>
      <c r="B2" s="31"/>
      <c r="C2" s="28"/>
      <c r="D2" s="37" t="s">
        <v>58</v>
      </c>
      <c r="E2" s="33" t="s">
        <v>25</v>
      </c>
      <c r="G2" s="34"/>
      <c r="H2" s="35" t="s">
        <v>26</v>
      </c>
      <c r="J2" s="34"/>
      <c r="K2" s="35" t="s">
        <v>27</v>
      </c>
      <c r="M2" s="34"/>
      <c r="N2" s="35" t="s">
        <v>28</v>
      </c>
      <c r="Q2" s="36"/>
      <c r="R2" s="37" t="s">
        <v>25</v>
      </c>
      <c r="S2" s="38" t="s">
        <v>26</v>
      </c>
      <c r="T2" s="38" t="s">
        <v>27</v>
      </c>
      <c r="U2" s="38" t="s">
        <v>28</v>
      </c>
      <c r="V2" s="36"/>
    </row>
    <row r="3" ht="16.5" customHeight="1">
      <c r="A3" s="31"/>
      <c r="B3" s="31"/>
      <c r="C3" s="28"/>
      <c r="D3" s="43"/>
      <c r="E3" s="40" t="s">
        <v>31</v>
      </c>
      <c r="F3" s="40" t="s">
        <v>32</v>
      </c>
      <c r="G3" s="41" t="s">
        <v>33</v>
      </c>
      <c r="H3" s="42" t="s">
        <v>34</v>
      </c>
      <c r="I3" s="40" t="s">
        <v>35</v>
      </c>
      <c r="J3" s="41" t="s">
        <v>36</v>
      </c>
      <c r="K3" s="42" t="s">
        <v>37</v>
      </c>
      <c r="L3" s="40" t="s">
        <v>38</v>
      </c>
      <c r="M3" s="41" t="s">
        <v>39</v>
      </c>
      <c r="N3" s="42" t="s">
        <v>40</v>
      </c>
      <c r="O3" s="40" t="s">
        <v>41</v>
      </c>
      <c r="P3" s="40" t="s">
        <v>42</v>
      </c>
      <c r="Q3" s="36"/>
      <c r="R3" s="43"/>
      <c r="S3" s="44"/>
      <c r="T3" s="44"/>
      <c r="U3" s="44"/>
      <c r="V3" s="36"/>
    </row>
    <row r="4" ht="20.25" customHeight="1">
      <c r="A4" s="3"/>
      <c r="B4" s="31"/>
      <c r="C4" s="45" t="s">
        <v>59</v>
      </c>
      <c r="D4" s="85">
        <f>SUM(E4:P4)</f>
        <v>133</v>
      </c>
      <c r="E4" s="86">
        <f t="shared" ref="E4:P4" si="1">INT(E9/E5)</f>
        <v>5</v>
      </c>
      <c r="F4" s="86">
        <f t="shared" si="1"/>
        <v>5</v>
      </c>
      <c r="G4" s="87">
        <f t="shared" si="1"/>
        <v>11</v>
      </c>
      <c r="H4" s="86">
        <f t="shared" si="1"/>
        <v>5</v>
      </c>
      <c r="I4" s="86">
        <f t="shared" si="1"/>
        <v>11</v>
      </c>
      <c r="J4" s="87">
        <f t="shared" si="1"/>
        <v>16</v>
      </c>
      <c r="K4" s="88">
        <f t="shared" si="1"/>
        <v>11</v>
      </c>
      <c r="L4" s="86">
        <f t="shared" si="1"/>
        <v>16</v>
      </c>
      <c r="M4" s="87">
        <f t="shared" si="1"/>
        <v>16</v>
      </c>
      <c r="N4" s="88">
        <f t="shared" si="1"/>
        <v>16</v>
      </c>
      <c r="O4" s="86">
        <f t="shared" si="1"/>
        <v>16</v>
      </c>
      <c r="P4" s="86">
        <f t="shared" si="1"/>
        <v>5</v>
      </c>
      <c r="Q4" s="49"/>
      <c r="R4" s="87">
        <f>SUM(E4:G4)</f>
        <v>21</v>
      </c>
      <c r="S4" s="89">
        <f>SUM(H4:J4)</f>
        <v>32</v>
      </c>
      <c r="T4" s="89">
        <f>SUM(K4:M4)</f>
        <v>43</v>
      </c>
      <c r="U4" s="89">
        <f>SUM(N3:P4)</f>
        <v>37</v>
      </c>
      <c r="V4" s="49"/>
    </row>
    <row r="5" ht="14.25" customHeight="1">
      <c r="A5" s="3"/>
      <c r="B5" s="31"/>
      <c r="C5" s="90" t="s">
        <v>60</v>
      </c>
      <c r="D5" s="91"/>
      <c r="E5" s="92">
        <v>0.18</v>
      </c>
      <c r="F5" s="92">
        <v>0.18</v>
      </c>
      <c r="G5" s="92">
        <v>0.18</v>
      </c>
      <c r="H5" s="92">
        <v>0.18</v>
      </c>
      <c r="I5" s="92">
        <v>0.18</v>
      </c>
      <c r="J5" s="92">
        <v>0.18</v>
      </c>
      <c r="K5" s="92">
        <v>0.18</v>
      </c>
      <c r="L5" s="92">
        <v>0.18</v>
      </c>
      <c r="M5" s="92">
        <v>0.18</v>
      </c>
      <c r="N5" s="92">
        <v>0.18</v>
      </c>
      <c r="O5" s="92">
        <v>0.18</v>
      </c>
      <c r="P5" s="92">
        <f>O5</f>
        <v>0.18</v>
      </c>
      <c r="Q5" s="93"/>
      <c r="R5" s="94">
        <f t="shared" ref="R5:U5" si="2">R9/R4</f>
        <v>0.1904761905</v>
      </c>
      <c r="S5" s="94">
        <f t="shared" si="2"/>
        <v>0.1875</v>
      </c>
      <c r="T5" s="94">
        <f t="shared" si="2"/>
        <v>0.1860465116</v>
      </c>
      <c r="U5" s="94">
        <f t="shared" si="2"/>
        <v>0.1891891892</v>
      </c>
      <c r="V5" s="93"/>
    </row>
    <row r="6">
      <c r="A6" s="20"/>
      <c r="B6" s="31"/>
      <c r="C6" s="52" t="s">
        <v>61</v>
      </c>
      <c r="D6" s="95">
        <f>SUM(E6:P6)</f>
        <v>220</v>
      </c>
      <c r="E6" s="96">
        <f>SUMIF(E50,"=" &amp; 'Business Plan'!E3,E51)</f>
        <v>10</v>
      </c>
      <c r="F6" s="96">
        <f>SUMIF(F50,"=" &amp; 'Business Plan'!F3,F51)</f>
        <v>11</v>
      </c>
      <c r="G6" s="96">
        <f>SUMIF(G50,"=" &amp; 'Business Plan'!G3,G51)</f>
        <v>34</v>
      </c>
      <c r="H6" s="96">
        <f>SUMIF(H50,"=" &amp; 'Business Plan'!H3,H51)</f>
        <v>12</v>
      </c>
      <c r="I6" s="96">
        <f>SUMIF(I50,"=" &amp; 'Business Plan'!I3,I51)</f>
        <v>22</v>
      </c>
      <c r="J6" s="96">
        <f>SUMIF(J50,"=" &amp; 'Business Plan'!J3,J51)</f>
        <v>17</v>
      </c>
      <c r="K6" s="96">
        <f>SUMIF(K50,"=" &amp; 'Business Plan'!K3,K51)</f>
        <v>23</v>
      </c>
      <c r="L6" s="96">
        <f>SUMIF(L50,"=" &amp; 'Business Plan'!L3,L51)</f>
        <v>18</v>
      </c>
      <c r="M6" s="96">
        <f>SUMIF(M50,"=" &amp; 'Business Plan'!M3,M51)</f>
        <v>16</v>
      </c>
      <c r="N6" s="96">
        <f>SUMIF(N50,"=" &amp; 'Business Plan'!N3,N51)</f>
        <v>24</v>
      </c>
      <c r="O6" s="96">
        <f>SUMIF(O50,"=" &amp; 'Business Plan'!O3,O51)</f>
        <v>19</v>
      </c>
      <c r="P6" s="96">
        <f>SUMIF(P50,"=" &amp; 'Business Plan'!P3,P51)</f>
        <v>14</v>
      </c>
      <c r="Q6" s="55"/>
      <c r="R6" s="97">
        <f>SUM(E6:G6)</f>
        <v>55</v>
      </c>
      <c r="S6" s="98">
        <f>SUM(H6:J6)</f>
        <v>51</v>
      </c>
      <c r="T6" s="98">
        <f>SUM(K6:M6)</f>
        <v>57</v>
      </c>
      <c r="U6" s="98">
        <f>SUM(N5:P6)</f>
        <v>57.54</v>
      </c>
      <c r="V6" s="55"/>
    </row>
    <row r="7">
      <c r="A7" s="20"/>
      <c r="B7" s="31"/>
      <c r="C7" s="52" t="s">
        <v>62</v>
      </c>
      <c r="D7" s="99" t="str">
        <f>IF(SUM(E8:P8)=12,"CORRECT","REVIEW DATA")</f>
        <v>REVIEW DATA</v>
      </c>
      <c r="E7" s="99" t="str">
        <f>IF((SUMIF(E50,"=" &amp; 'Business Plan'!E3,E51))&gt;=E4, "CORRECT", CONCATENATE(E$4-(SUMIF(E50,"=" &amp; 'Business Plan'!E3,E51))," Demos Missing in Plan"))</f>
        <v>CORRECT</v>
      </c>
      <c r="F7" s="99" t="str">
        <f>IF((SUMIF(F50,"=" &amp; 'Business Plan'!F3,F51))&gt;=F4, "CORRECT", CONCATENATE(F$4-(SUMIF(F50,"=" &amp; 'Business Plan'!F3,F51))," Demos Missing in Plan"))</f>
        <v>CORRECT</v>
      </c>
      <c r="G7" s="100" t="str">
        <f>IF((SUMIF(G50,"=" &amp; 'Business Plan'!G3,G51))&gt;=G4, "CORRECT", CONCATENATE(G$4-(SUMIF(G50,"=" &amp; 'Business Plan'!G3,G51))," Demos Missing in Plan"))</f>
        <v>CORRECT</v>
      </c>
      <c r="H7" s="101" t="str">
        <f>IF((SUMIF(H50,"=" &amp; 'Business Plan'!H3,H51))&gt;=H4, "CORRECT", CONCATENATE(H$4-(SUMIF(H50,"=" &amp; 'Business Plan'!H3,H51))," Demos Missing in Plan"))</f>
        <v>CORRECT</v>
      </c>
      <c r="I7" s="99" t="str">
        <f>IF((SUMIF(I50,"=" &amp; 'Business Plan'!I3,I51))&gt;=I4, "CORRECT", CONCATENATE(I$4-(SUMIF(I50,"=" &amp; 'Business Plan'!I3,I51))," Demos Missing in Plan"))</f>
        <v>CORRECT</v>
      </c>
      <c r="J7" s="100" t="str">
        <f>IF((SUMIF(J50,"=" &amp; 'Business Plan'!J3,J51))&gt;=J4, "CORRECT", CONCATENATE(J$4-(SUMIF(J50,"=" &amp; 'Business Plan'!J3,J51))," Demos Missing in Plan"))</f>
        <v>CORRECT</v>
      </c>
      <c r="K7" s="101" t="str">
        <f>IF((SUMIF(K50,"=" &amp; 'Business Plan'!K3,K51))&gt;=K4, "CORRECT", CONCATENATE(K$4-(SUMIF(K50,"=" &amp; 'Business Plan'!K3,K51))," Demos Missing in Plan"))</f>
        <v>CORRECT</v>
      </c>
      <c r="L7" s="99" t="str">
        <f>IF((SUMIF(L50,"=" &amp; 'Business Plan'!L3,L51))&gt;=L4, "CORRECT", CONCATENATE(L$4-(SUMIF(L50,"=" &amp; 'Business Plan'!L3,L51))," Demos Missing in Plan"))</f>
        <v>CORRECT</v>
      </c>
      <c r="M7" s="100" t="str">
        <f>IF((SUMIF(M50,"=" &amp; 'Business Plan'!M3,M51))&gt;=M4, "CORRECT", CONCATENATE(M$4-(SUMIF(M50,"=" &amp; 'Business Plan'!M3,M51))," Demos Missing in Plan"))</f>
        <v>CORRECT</v>
      </c>
      <c r="N7" s="101" t="str">
        <f>IF((SUMIF(N50,"=" &amp; 'Business Plan'!N3,N51))&gt;=N4, "CORRECT", CONCATENATE(N$4-(SUMIF(N50,"=" &amp; 'Business Plan'!N3,N51))," Demos Missing in Plan"))</f>
        <v>CORRECT</v>
      </c>
      <c r="O7" s="99" t="str">
        <f>IF((SUMIF(O50,"=" &amp; 'Business Plan'!O3,O51))&gt;=O4, "CORRECT", CONCATENATE(O$4-(SUMIF(O50,"=" &amp; 'Business Plan'!O3,O51))," Demos Missing in Plan"))</f>
        <v>CORRECT</v>
      </c>
      <c r="P7" s="99" t="str">
        <f>IF((SUMIF(P50,"=" &amp; 'Business Plan'!P3,P51))&gt;=P4, "CORRECT", CONCATENATE(P$4-(SUMIF(P50,"=" &amp; 'Business Plan'!P3,P51))," Demos Missing in Plan"))</f>
        <v>CORRECT</v>
      </c>
      <c r="Q7" s="55"/>
      <c r="R7" s="100"/>
      <c r="S7" s="102"/>
      <c r="T7" s="102"/>
      <c r="U7" s="102"/>
      <c r="V7" s="55"/>
    </row>
    <row r="8" ht="7.5" customHeight="1">
      <c r="A8" s="31"/>
      <c r="B8" s="31"/>
      <c r="C8" s="52"/>
      <c r="D8" s="103"/>
      <c r="E8" s="104" t="str">
        <f t="shared" ref="E8:P8" si="3">IF(E7="CORRECT","1","0")</f>
        <v>1</v>
      </c>
      <c r="F8" s="104" t="str">
        <f t="shared" si="3"/>
        <v>1</v>
      </c>
      <c r="G8" s="104" t="str">
        <f t="shared" si="3"/>
        <v>1</v>
      </c>
      <c r="H8" s="104" t="str">
        <f t="shared" si="3"/>
        <v>1</v>
      </c>
      <c r="I8" s="104" t="str">
        <f t="shared" si="3"/>
        <v>1</v>
      </c>
      <c r="J8" s="104" t="str">
        <f t="shared" si="3"/>
        <v>1</v>
      </c>
      <c r="K8" s="104" t="str">
        <f t="shared" si="3"/>
        <v>1</v>
      </c>
      <c r="L8" s="104" t="str">
        <f t="shared" si="3"/>
        <v>1</v>
      </c>
      <c r="M8" s="104" t="str">
        <f t="shared" si="3"/>
        <v>1</v>
      </c>
      <c r="N8" s="104" t="str">
        <f t="shared" si="3"/>
        <v>1</v>
      </c>
      <c r="O8" s="104" t="str">
        <f t="shared" si="3"/>
        <v>1</v>
      </c>
      <c r="P8" s="104" t="str">
        <f t="shared" si="3"/>
        <v>1</v>
      </c>
      <c r="Q8" s="55"/>
      <c r="R8" s="104"/>
      <c r="S8" s="104"/>
      <c r="T8" s="104"/>
      <c r="U8" s="104"/>
      <c r="V8" s="55"/>
    </row>
    <row r="9" ht="21.75" customHeight="1">
      <c r="A9" s="3"/>
      <c r="B9" s="31"/>
      <c r="C9" s="58" t="s">
        <v>43</v>
      </c>
      <c r="D9" s="85">
        <f>SUM(E9:P9)</f>
        <v>25</v>
      </c>
      <c r="E9" s="105">
        <f t="shared" ref="E9:K9" si="4">INT(E12/E14)</f>
        <v>1</v>
      </c>
      <c r="F9" s="105">
        <f t="shared" si="4"/>
        <v>1</v>
      </c>
      <c r="G9" s="106">
        <f t="shared" si="4"/>
        <v>2</v>
      </c>
      <c r="H9" s="105">
        <f t="shared" si="4"/>
        <v>1</v>
      </c>
      <c r="I9" s="105">
        <f t="shared" si="4"/>
        <v>2</v>
      </c>
      <c r="J9" s="106">
        <f t="shared" si="4"/>
        <v>3</v>
      </c>
      <c r="K9" s="107">
        <f t="shared" si="4"/>
        <v>2</v>
      </c>
      <c r="L9" s="105">
        <v>3.0</v>
      </c>
      <c r="M9" s="106">
        <f t="shared" ref="M9:O9" si="5">INT(M12/M14)</f>
        <v>3</v>
      </c>
      <c r="N9" s="107">
        <f t="shared" si="5"/>
        <v>3</v>
      </c>
      <c r="O9" s="105">
        <f t="shared" si="5"/>
        <v>3</v>
      </c>
      <c r="P9" s="105">
        <v>1.0</v>
      </c>
      <c r="Q9" s="55"/>
      <c r="R9" s="106">
        <f>SUM(E9:G9)</f>
        <v>4</v>
      </c>
      <c r="S9" s="108">
        <f>SUM(H9:J9)</f>
        <v>6</v>
      </c>
      <c r="T9" s="108">
        <f>SUM(K9:M9)</f>
        <v>8</v>
      </c>
      <c r="U9" s="108">
        <f>SUM(N8:P9)</f>
        <v>7</v>
      </c>
      <c r="V9" s="55"/>
    </row>
    <row r="10">
      <c r="A10" s="20"/>
      <c r="B10" s="31"/>
      <c r="C10" s="52" t="s">
        <v>63</v>
      </c>
      <c r="D10" s="99" t="str">
        <f>CONCATENATE(IFS(
   D9/'Partnership Info'!D18 &lt; 0.1, "&lt;10%",
   D9/'Partnership Info'!D18 &lt; 0.25, "10-25%",
   D9/'Partnership Info'!D18 &lt; 0.45, "25-45%",
   D9/'Partnership Info'!D18 &lt; 0.65, "45-65%",
   D9/'Partnership Info'!D18 &lt; 0.85, "65-85%",
   TRUE, "&gt;85%"
)," of your customer base")</f>
        <v>&lt;10% of your customer base</v>
      </c>
      <c r="E10" s="109"/>
      <c r="F10" s="109"/>
      <c r="G10" s="110"/>
      <c r="H10" s="110"/>
      <c r="I10" s="110"/>
      <c r="J10" s="110"/>
      <c r="K10" s="110"/>
      <c r="L10" s="110"/>
      <c r="M10" s="110"/>
      <c r="N10" s="110"/>
      <c r="O10" s="110"/>
      <c r="P10" s="110"/>
      <c r="Q10" s="55"/>
      <c r="R10" s="100"/>
      <c r="S10" s="102"/>
      <c r="T10" s="102"/>
      <c r="U10" s="102"/>
      <c r="V10" s="55"/>
    </row>
    <row r="11" ht="7.5" customHeight="1">
      <c r="A11" s="31"/>
      <c r="B11" s="31"/>
      <c r="C11" s="111"/>
      <c r="D11" s="112"/>
      <c r="E11" s="110"/>
      <c r="F11" s="110"/>
      <c r="G11" s="110"/>
      <c r="H11" s="110"/>
      <c r="I11" s="110"/>
      <c r="J11" s="110"/>
      <c r="K11" s="110"/>
      <c r="L11" s="110"/>
      <c r="M11" s="110"/>
      <c r="N11" s="110"/>
      <c r="O11" s="110"/>
      <c r="P11" s="110"/>
      <c r="Q11" s="55"/>
      <c r="R11" s="110"/>
      <c r="S11" s="110"/>
      <c r="T11" s="110"/>
      <c r="U11" s="110"/>
      <c r="V11" s="55"/>
    </row>
    <row r="12" ht="20.25" customHeight="1">
      <c r="A12" s="3"/>
      <c r="B12" s="31"/>
      <c r="C12" s="58" t="s">
        <v>44</v>
      </c>
      <c r="D12" s="113">
        <v>35000.0</v>
      </c>
      <c r="E12" s="114">
        <f t="shared" ref="E12:P12" si="6">$D$12*E13</f>
        <v>1750</v>
      </c>
      <c r="F12" s="114">
        <f t="shared" si="6"/>
        <v>2100</v>
      </c>
      <c r="G12" s="115">
        <f t="shared" si="6"/>
        <v>2450</v>
      </c>
      <c r="H12" s="114">
        <f t="shared" si="6"/>
        <v>2100</v>
      </c>
      <c r="I12" s="114">
        <f t="shared" si="6"/>
        <v>2450</v>
      </c>
      <c r="J12" s="115">
        <f t="shared" si="6"/>
        <v>4200</v>
      </c>
      <c r="K12" s="116">
        <f t="shared" si="6"/>
        <v>2450</v>
      </c>
      <c r="L12" s="114">
        <f t="shared" si="6"/>
        <v>2800</v>
      </c>
      <c r="M12" s="115">
        <f t="shared" si="6"/>
        <v>3850</v>
      </c>
      <c r="N12" s="116">
        <f t="shared" si="6"/>
        <v>4200</v>
      </c>
      <c r="O12" s="114">
        <f t="shared" si="6"/>
        <v>4550</v>
      </c>
      <c r="P12" s="114">
        <f t="shared" si="6"/>
        <v>2100</v>
      </c>
      <c r="Q12" s="55"/>
      <c r="R12" s="115">
        <f>SUM(E12:G12)</f>
        <v>6300</v>
      </c>
      <c r="S12" s="117">
        <f>SUM(H12:J12)</f>
        <v>8750</v>
      </c>
      <c r="T12" s="117">
        <f>SUM(K12:M12)</f>
        <v>9100</v>
      </c>
      <c r="U12" s="117">
        <f>SUM(N11:P12)</f>
        <v>10850</v>
      </c>
      <c r="V12" s="55"/>
    </row>
    <row r="13" ht="18.75" customHeight="1">
      <c r="A13" s="20"/>
      <c r="B13" s="31"/>
      <c r="C13" s="90" t="s">
        <v>64</v>
      </c>
      <c r="D13" s="118">
        <f>SUM(E13:P13)</f>
        <v>1</v>
      </c>
      <c r="E13" s="92">
        <v>0.05</v>
      </c>
      <c r="F13" s="92">
        <v>0.06</v>
      </c>
      <c r="G13" s="119">
        <v>0.07</v>
      </c>
      <c r="H13" s="92">
        <v>0.06</v>
      </c>
      <c r="I13" s="92">
        <v>0.07</v>
      </c>
      <c r="J13" s="119">
        <v>0.12</v>
      </c>
      <c r="K13" s="120">
        <v>0.07</v>
      </c>
      <c r="L13" s="92">
        <v>0.08</v>
      </c>
      <c r="M13" s="119">
        <v>0.11</v>
      </c>
      <c r="N13" s="120">
        <v>0.12</v>
      </c>
      <c r="O13" s="92">
        <v>0.13</v>
      </c>
      <c r="P13" s="92">
        <v>0.06</v>
      </c>
      <c r="Q13" s="55"/>
      <c r="R13" s="119"/>
      <c r="S13" s="121"/>
      <c r="T13" s="121"/>
      <c r="U13" s="121"/>
      <c r="V13" s="55"/>
    </row>
    <row r="14" ht="18.75" customHeight="1">
      <c r="A14" s="3"/>
      <c r="B14" s="31"/>
      <c r="C14" s="90" t="s">
        <v>65</v>
      </c>
      <c r="D14" s="122">
        <v>1200.0</v>
      </c>
      <c r="E14" s="123">
        <v>1200.0</v>
      </c>
      <c r="F14" s="123">
        <f t="shared" ref="F14:P14" si="7">E14</f>
        <v>1200</v>
      </c>
      <c r="G14" s="124">
        <f t="shared" si="7"/>
        <v>1200</v>
      </c>
      <c r="H14" s="123">
        <f t="shared" si="7"/>
        <v>1200</v>
      </c>
      <c r="I14" s="123">
        <f t="shared" si="7"/>
        <v>1200</v>
      </c>
      <c r="J14" s="124">
        <f t="shared" si="7"/>
        <v>1200</v>
      </c>
      <c r="K14" s="125">
        <f t="shared" si="7"/>
        <v>1200</v>
      </c>
      <c r="L14" s="123">
        <f t="shared" si="7"/>
        <v>1200</v>
      </c>
      <c r="M14" s="124">
        <f t="shared" si="7"/>
        <v>1200</v>
      </c>
      <c r="N14" s="125">
        <f t="shared" si="7"/>
        <v>1200</v>
      </c>
      <c r="O14" s="123">
        <f t="shared" si="7"/>
        <v>1200</v>
      </c>
      <c r="P14" s="123">
        <f t="shared" si="7"/>
        <v>1200</v>
      </c>
      <c r="Q14" s="55"/>
      <c r="R14" s="62">
        <f t="shared" ref="R14:U14" si="8">R12/R9</f>
        <v>1575</v>
      </c>
      <c r="S14" s="62">
        <f t="shared" si="8"/>
        <v>1458.333333</v>
      </c>
      <c r="T14" s="62">
        <f t="shared" si="8"/>
        <v>1137.5</v>
      </c>
      <c r="U14" s="62">
        <f t="shared" si="8"/>
        <v>1550</v>
      </c>
      <c r="V14" s="55"/>
    </row>
    <row r="15" ht="18.75" customHeight="1">
      <c r="A15" s="3"/>
      <c r="B15" s="31"/>
      <c r="C15" s="126" t="s">
        <v>45</v>
      </c>
      <c r="D15" s="76">
        <f t="shared" ref="D15:P15" si="9">D12*12</f>
        <v>420000</v>
      </c>
      <c r="E15" s="127">
        <f t="shared" si="9"/>
        <v>21000</v>
      </c>
      <c r="F15" s="127">
        <f t="shared" si="9"/>
        <v>25200</v>
      </c>
      <c r="G15" s="128">
        <f t="shared" si="9"/>
        <v>29400</v>
      </c>
      <c r="H15" s="127">
        <f t="shared" si="9"/>
        <v>25200</v>
      </c>
      <c r="I15" s="127">
        <f t="shared" si="9"/>
        <v>29400</v>
      </c>
      <c r="J15" s="128">
        <f t="shared" si="9"/>
        <v>50400</v>
      </c>
      <c r="K15" s="129">
        <f t="shared" si="9"/>
        <v>29400</v>
      </c>
      <c r="L15" s="127">
        <f t="shared" si="9"/>
        <v>33600</v>
      </c>
      <c r="M15" s="128">
        <f t="shared" si="9"/>
        <v>46200</v>
      </c>
      <c r="N15" s="129">
        <f t="shared" si="9"/>
        <v>50400</v>
      </c>
      <c r="O15" s="127">
        <f t="shared" si="9"/>
        <v>54600</v>
      </c>
      <c r="P15" s="127">
        <f t="shared" si="9"/>
        <v>25200</v>
      </c>
      <c r="Q15" s="55"/>
      <c r="R15" s="62">
        <f>SUM(E15:G15)</f>
        <v>75600</v>
      </c>
      <c r="S15" s="130">
        <f>SUM(H15:J15)</f>
        <v>105000</v>
      </c>
      <c r="T15" s="130">
        <f>SUM(K15:M15)</f>
        <v>109200</v>
      </c>
      <c r="U15" s="130">
        <f>SUM(N14:P15)</f>
        <v>133800</v>
      </c>
      <c r="V15" s="55"/>
    </row>
    <row r="16" ht="18.75" customHeight="1">
      <c r="A16" s="3"/>
      <c r="B16" s="31"/>
      <c r="C16" s="131" t="s">
        <v>66</v>
      </c>
      <c r="D16" s="132"/>
      <c r="E16" s="133">
        <f t="shared" ref="E16:P16" si="10">sum($E12:E12)*12</f>
        <v>21000</v>
      </c>
      <c r="F16" s="133">
        <f t="shared" si="10"/>
        <v>46200</v>
      </c>
      <c r="G16" s="134">
        <f t="shared" si="10"/>
        <v>75600</v>
      </c>
      <c r="H16" s="133">
        <f t="shared" si="10"/>
        <v>100800</v>
      </c>
      <c r="I16" s="133">
        <f t="shared" si="10"/>
        <v>130200</v>
      </c>
      <c r="J16" s="134">
        <f t="shared" si="10"/>
        <v>180600</v>
      </c>
      <c r="K16" s="135">
        <f t="shared" si="10"/>
        <v>210000</v>
      </c>
      <c r="L16" s="133">
        <f t="shared" si="10"/>
        <v>243600</v>
      </c>
      <c r="M16" s="134">
        <f t="shared" si="10"/>
        <v>289800</v>
      </c>
      <c r="N16" s="135">
        <f t="shared" si="10"/>
        <v>340200</v>
      </c>
      <c r="O16" s="133">
        <f t="shared" si="10"/>
        <v>394800</v>
      </c>
      <c r="P16" s="136">
        <f t="shared" si="10"/>
        <v>420000</v>
      </c>
      <c r="Q16" s="55"/>
      <c r="R16" s="134">
        <f>R12</f>
        <v>6300</v>
      </c>
      <c r="S16" s="137">
        <f t="shared" ref="S16:U16" si="11">R16+S12</f>
        <v>15050</v>
      </c>
      <c r="T16" s="137">
        <f t="shared" si="11"/>
        <v>24150</v>
      </c>
      <c r="U16" s="137">
        <f t="shared" si="11"/>
        <v>35000</v>
      </c>
      <c r="V16" s="55"/>
    </row>
    <row r="17" ht="7.5" customHeight="1">
      <c r="A17" s="31"/>
      <c r="B17" s="31"/>
      <c r="C17" s="55"/>
      <c r="D17" s="138"/>
      <c r="E17" s="139"/>
      <c r="F17" s="139"/>
      <c r="G17" s="139"/>
      <c r="H17" s="139"/>
      <c r="I17" s="139"/>
      <c r="J17" s="139"/>
      <c r="K17" s="139"/>
      <c r="L17" s="139"/>
      <c r="M17" s="139"/>
      <c r="N17" s="139"/>
      <c r="O17" s="139"/>
      <c r="P17" s="139"/>
      <c r="Q17" s="55"/>
      <c r="R17" s="139"/>
      <c r="S17" s="139"/>
      <c r="T17" s="139"/>
      <c r="U17" s="139"/>
      <c r="V17" s="55"/>
    </row>
    <row r="18" ht="20.25" customHeight="1">
      <c r="A18" s="3"/>
      <c r="B18" s="31"/>
      <c r="C18" s="66" t="s">
        <v>67</v>
      </c>
      <c r="D18" s="140">
        <f t="shared" ref="D18:D22" si="13">SUM(E18:P18)</f>
        <v>263350</v>
      </c>
      <c r="E18" s="46">
        <f t="shared" ref="E18:P18" si="12">sum(E19:E22)</f>
        <v>8100</v>
      </c>
      <c r="F18" s="46">
        <f t="shared" si="12"/>
        <v>9570</v>
      </c>
      <c r="G18" s="47">
        <f t="shared" si="12"/>
        <v>28990</v>
      </c>
      <c r="H18" s="46">
        <f t="shared" si="12"/>
        <v>10320</v>
      </c>
      <c r="I18" s="46">
        <f t="shared" si="12"/>
        <v>13290</v>
      </c>
      <c r="J18" s="47">
        <f t="shared" si="12"/>
        <v>35690</v>
      </c>
      <c r="K18" s="48">
        <f t="shared" si="12"/>
        <v>16290</v>
      </c>
      <c r="L18" s="46">
        <f t="shared" si="12"/>
        <v>20760</v>
      </c>
      <c r="M18" s="47">
        <f t="shared" si="12"/>
        <v>39220</v>
      </c>
      <c r="N18" s="48">
        <f t="shared" si="12"/>
        <v>26640</v>
      </c>
      <c r="O18" s="46">
        <f t="shared" si="12"/>
        <v>28110</v>
      </c>
      <c r="P18" s="46">
        <f t="shared" si="12"/>
        <v>26370</v>
      </c>
      <c r="Q18" s="55"/>
      <c r="R18" s="47">
        <f t="shared" ref="R18:R22" si="14">SUM(E18:G18)</f>
        <v>46660</v>
      </c>
      <c r="S18" s="141">
        <f t="shared" ref="S18:S22" si="15">SUM(H18:J18)</f>
        <v>59300</v>
      </c>
      <c r="T18" s="141">
        <f t="shared" ref="T18:T22" si="16">SUM(K18:M18)</f>
        <v>76270</v>
      </c>
      <c r="U18" s="141">
        <f t="shared" ref="U18:U22" si="17">SUM(N17:P18)</f>
        <v>81120</v>
      </c>
      <c r="V18" s="55"/>
    </row>
    <row r="19" ht="17.25" customHeight="1">
      <c r="A19" s="3"/>
      <c r="B19" s="31"/>
      <c r="C19" s="60" t="s">
        <v>50</v>
      </c>
      <c r="D19" s="76">
        <f t="shared" si="13"/>
        <v>147000</v>
      </c>
      <c r="E19" s="61">
        <f>'Partnership Info'!$D$11*E15</f>
        <v>7350</v>
      </c>
      <c r="F19" s="61">
        <f>'Partnership Info'!$D$11*F15</f>
        <v>8820</v>
      </c>
      <c r="G19" s="62">
        <f>'Partnership Info'!$D$11*G15</f>
        <v>10290</v>
      </c>
      <c r="H19" s="63">
        <f>'Partnership Info'!$D$11*H15</f>
        <v>8820</v>
      </c>
      <c r="I19" s="61">
        <f>'Partnership Info'!$D$11*I15</f>
        <v>10290</v>
      </c>
      <c r="J19" s="62">
        <f>'Partnership Info'!$D$11*J15</f>
        <v>17640</v>
      </c>
      <c r="K19" s="63">
        <f>'Partnership Info'!$D$11*K15</f>
        <v>10290</v>
      </c>
      <c r="L19" s="61">
        <f>'Partnership Info'!$D$11*L15</f>
        <v>11760</v>
      </c>
      <c r="M19" s="62">
        <f>'Partnership Info'!$D$11*M15</f>
        <v>16170</v>
      </c>
      <c r="N19" s="63">
        <f>'Partnership Info'!$D$11*N15</f>
        <v>17640</v>
      </c>
      <c r="O19" s="61">
        <f>'Partnership Info'!$D$11*O15</f>
        <v>19110</v>
      </c>
      <c r="P19" s="61">
        <f>'Partnership Info'!$D$11*P15</f>
        <v>8820</v>
      </c>
      <c r="Q19" s="55"/>
      <c r="R19" s="62">
        <f t="shared" si="14"/>
        <v>26460</v>
      </c>
      <c r="S19" s="130">
        <f t="shared" si="15"/>
        <v>36750</v>
      </c>
      <c r="T19" s="130">
        <f t="shared" si="16"/>
        <v>38220</v>
      </c>
      <c r="U19" s="130">
        <f t="shared" si="17"/>
        <v>126690</v>
      </c>
      <c r="V19" s="55"/>
    </row>
    <row r="20" ht="17.25" customHeight="1">
      <c r="A20" s="20"/>
      <c r="B20" s="31"/>
      <c r="C20" s="60" t="s">
        <v>53</v>
      </c>
      <c r="D20" s="76">
        <f t="shared" si="13"/>
        <v>59350</v>
      </c>
      <c r="E20" s="142">
        <f>SUMIF('B&amp;I'!$G$3:$G58,E3,'B&amp;I'!$F$3:$F58)</f>
        <v>0</v>
      </c>
      <c r="F20" s="142">
        <f>SUMIF('B&amp;I'!$G$3:$G58,F3,'B&amp;I'!$F$3:$F58)</f>
        <v>0</v>
      </c>
      <c r="G20" s="143">
        <f>SUMIF('B&amp;I'!$G$3:$G58,G3,'B&amp;I'!$F$3:$F58)</f>
        <v>17200</v>
      </c>
      <c r="H20" s="144">
        <f>SUMIF('B&amp;I'!$G$3:$G58,H3,'B&amp;I'!$F$3:$F58)</f>
        <v>0</v>
      </c>
      <c r="I20" s="142">
        <f>SUMIF('B&amp;I'!$G$3:$G58,I3,'B&amp;I'!$F$3:$F58)</f>
        <v>0</v>
      </c>
      <c r="J20" s="143">
        <f>SUMIF('B&amp;I'!$G$3:$G58,J3,'B&amp;I'!$F$3:$F58)</f>
        <v>13550</v>
      </c>
      <c r="K20" s="144">
        <f>SUMIF('B&amp;I'!$G$3:$G58,K3,'B&amp;I'!$F$3:$F58)</f>
        <v>0</v>
      </c>
      <c r="L20" s="142">
        <f>SUMIF('B&amp;I'!$G$3:$G58,L3,'B&amp;I'!$F$3:$F58)</f>
        <v>0</v>
      </c>
      <c r="M20" s="143">
        <f>SUMIF('B&amp;I'!$G$3:$G58,M3,'B&amp;I'!$F$3:$F58)</f>
        <v>14050</v>
      </c>
      <c r="N20" s="144">
        <f>SUMIF('B&amp;I'!$G$3:$G58,N3,'B&amp;I'!$F$3:$F58)</f>
        <v>0</v>
      </c>
      <c r="O20" s="142">
        <f>SUMIF('B&amp;I'!$G$3:$G58,O3,'B&amp;I'!$F$3:$F58)</f>
        <v>0</v>
      </c>
      <c r="P20" s="142">
        <f>SUMIF('B&amp;I'!$G$3:$G58,P3,'B&amp;I'!$F$3:$F58)</f>
        <v>14550</v>
      </c>
      <c r="Q20" s="55"/>
      <c r="R20" s="62">
        <f t="shared" si="14"/>
        <v>17200</v>
      </c>
      <c r="S20" s="130">
        <f t="shared" si="15"/>
        <v>13550</v>
      </c>
      <c r="T20" s="130">
        <f t="shared" si="16"/>
        <v>14050</v>
      </c>
      <c r="U20" s="130">
        <f t="shared" si="17"/>
        <v>60120</v>
      </c>
      <c r="V20" s="55"/>
    </row>
    <row r="21" ht="17.25" customHeight="1">
      <c r="A21" s="20"/>
      <c r="B21" s="31"/>
      <c r="C21" s="60" t="s">
        <v>68</v>
      </c>
      <c r="D21" s="76">
        <f t="shared" si="13"/>
        <v>0</v>
      </c>
      <c r="E21" s="61">
        <f>E9*'Partnership Info'!$D$16</f>
        <v>0</v>
      </c>
      <c r="F21" s="61">
        <f>F9*'Partnership Info'!$D$16</f>
        <v>0</v>
      </c>
      <c r="G21" s="62">
        <f>G9*'Partnership Info'!$D$16</f>
        <v>0</v>
      </c>
      <c r="H21" s="63">
        <f>H9*'Partnership Info'!$D$16</f>
        <v>0</v>
      </c>
      <c r="I21" s="61">
        <f>I9*'Partnership Info'!$D$16</f>
        <v>0</v>
      </c>
      <c r="J21" s="62">
        <f>J9*'Partnership Info'!$D$16</f>
        <v>0</v>
      </c>
      <c r="K21" s="63">
        <f>K9*'Partnership Info'!$D$16</f>
        <v>0</v>
      </c>
      <c r="L21" s="61">
        <f>L9*'Partnership Info'!$D$16</f>
        <v>0</v>
      </c>
      <c r="M21" s="62">
        <f>M9*'Partnership Info'!$D$16</f>
        <v>0</v>
      </c>
      <c r="N21" s="63">
        <f>N9*'Partnership Info'!$D$16</f>
        <v>0</v>
      </c>
      <c r="O21" s="61">
        <f>O9*'Partnership Info'!$D$16</f>
        <v>0</v>
      </c>
      <c r="P21" s="61">
        <f>P9*'Partnership Info'!$D$16</f>
        <v>0</v>
      </c>
      <c r="Q21" s="55"/>
      <c r="R21" s="62">
        <f t="shared" si="14"/>
        <v>0</v>
      </c>
      <c r="S21" s="130">
        <f t="shared" si="15"/>
        <v>0</v>
      </c>
      <c r="T21" s="130">
        <f t="shared" si="16"/>
        <v>0</v>
      </c>
      <c r="U21" s="130">
        <f t="shared" si="17"/>
        <v>14550</v>
      </c>
      <c r="V21" s="55"/>
    </row>
    <row r="22" ht="17.25" customHeight="1">
      <c r="A22" s="20"/>
      <c r="B22" s="31"/>
      <c r="C22" s="60" t="s">
        <v>52</v>
      </c>
      <c r="D22" s="76">
        <f t="shared" si="13"/>
        <v>57000</v>
      </c>
      <c r="E22" s="61">
        <f>IF('Partnership Info'!$D$13=TRUE,E9*'Partnership Info'!$D$14*E23,"")</f>
        <v>750</v>
      </c>
      <c r="F22" s="61">
        <f>IF('Partnership Info'!$D$13=TRUE,F9*'Partnership Info'!$D$14*F23,"")</f>
        <v>750</v>
      </c>
      <c r="G22" s="62">
        <f>IF('Partnership Info'!$D$13=TRUE,G9*'Partnership Info'!$D$14*G23,"")</f>
        <v>1500</v>
      </c>
      <c r="H22" s="63">
        <f>IF('Partnership Info'!$D$13=TRUE,H9*'Partnership Info'!$D$14*H23,"")</f>
        <v>1500</v>
      </c>
      <c r="I22" s="61">
        <f>IF('Partnership Info'!$D$13=TRUE,I9*'Partnership Info'!$D$14*I23,"")</f>
        <v>3000</v>
      </c>
      <c r="J22" s="62">
        <f>IF('Partnership Info'!$D$13=TRUE,J9*'Partnership Info'!$D$14*J23,"")</f>
        <v>4500</v>
      </c>
      <c r="K22" s="63">
        <f>IF('Partnership Info'!$D$13=TRUE,K9*'Partnership Info'!$D$14*K23,"")</f>
        <v>6000</v>
      </c>
      <c r="L22" s="61">
        <f>IF('Partnership Info'!$D$13=TRUE,L9*'Partnership Info'!$D$14*L23,"")</f>
        <v>9000</v>
      </c>
      <c r="M22" s="62">
        <f>IF('Partnership Info'!$D$13=TRUE,M9*'Partnership Info'!$D$14*M23,"")</f>
        <v>9000</v>
      </c>
      <c r="N22" s="63">
        <f>IF('Partnership Info'!$D$13=TRUE,N9*'Partnership Info'!$D$14*N23,"")</f>
        <v>9000</v>
      </c>
      <c r="O22" s="61">
        <f>IF('Partnership Info'!$D$13=TRUE,O9*'Partnership Info'!$D$14*O23,"")</f>
        <v>9000</v>
      </c>
      <c r="P22" s="61">
        <f>IF('Partnership Info'!$D$13=TRUE,P9*'Partnership Info'!$D$14*P23,"")</f>
        <v>3000</v>
      </c>
      <c r="Q22" s="55"/>
      <c r="R22" s="62">
        <f t="shared" si="14"/>
        <v>3000</v>
      </c>
      <c r="S22" s="130">
        <f t="shared" si="15"/>
        <v>9000</v>
      </c>
      <c r="T22" s="130">
        <f t="shared" si="16"/>
        <v>24000</v>
      </c>
      <c r="U22" s="130">
        <f t="shared" si="17"/>
        <v>21000</v>
      </c>
      <c r="V22" s="55"/>
    </row>
    <row r="23" ht="18.75" customHeight="1">
      <c r="A23" s="20"/>
      <c r="B23" s="31"/>
      <c r="C23" s="90" t="s">
        <v>69</v>
      </c>
      <c r="D23" s="92"/>
      <c r="E23" s="92">
        <v>0.25</v>
      </c>
      <c r="F23" s="92">
        <v>0.25</v>
      </c>
      <c r="G23" s="119">
        <v>0.25</v>
      </c>
      <c r="H23" s="120">
        <v>0.5</v>
      </c>
      <c r="I23" s="92">
        <v>0.5</v>
      </c>
      <c r="J23" s="119">
        <v>0.5</v>
      </c>
      <c r="K23" s="120">
        <v>1.0</v>
      </c>
      <c r="L23" s="92">
        <v>1.0</v>
      </c>
      <c r="M23" s="119">
        <v>1.0</v>
      </c>
      <c r="N23" s="120">
        <v>1.0</v>
      </c>
      <c r="O23" s="92">
        <v>1.0</v>
      </c>
      <c r="P23" s="92">
        <v>1.0</v>
      </c>
      <c r="Q23" s="55"/>
      <c r="R23" s="119"/>
      <c r="S23" s="121"/>
      <c r="T23" s="121"/>
      <c r="U23" s="121"/>
      <c r="V23" s="55"/>
    </row>
    <row r="24" ht="17.25" customHeight="1">
      <c r="A24" s="3"/>
      <c r="B24" s="31"/>
      <c r="C24" s="131" t="s">
        <v>70</v>
      </c>
      <c r="D24" s="145">
        <f>P24</f>
        <v>263350</v>
      </c>
      <c r="E24" s="133">
        <f>E18</f>
        <v>8100</v>
      </c>
      <c r="F24" s="133">
        <f t="shared" ref="F24:P24" si="18">F18+E24</f>
        <v>17670</v>
      </c>
      <c r="G24" s="134">
        <f t="shared" si="18"/>
        <v>46660</v>
      </c>
      <c r="H24" s="135">
        <f t="shared" si="18"/>
        <v>56980</v>
      </c>
      <c r="I24" s="133">
        <f t="shared" si="18"/>
        <v>70270</v>
      </c>
      <c r="J24" s="134">
        <f t="shared" si="18"/>
        <v>105960</v>
      </c>
      <c r="K24" s="135">
        <f t="shared" si="18"/>
        <v>122250</v>
      </c>
      <c r="L24" s="133">
        <f t="shared" si="18"/>
        <v>143010</v>
      </c>
      <c r="M24" s="134">
        <f t="shared" si="18"/>
        <v>182230</v>
      </c>
      <c r="N24" s="135">
        <f t="shared" si="18"/>
        <v>208870</v>
      </c>
      <c r="O24" s="133">
        <f t="shared" si="18"/>
        <v>236980</v>
      </c>
      <c r="P24" s="133">
        <f t="shared" si="18"/>
        <v>263350</v>
      </c>
      <c r="Q24" s="55"/>
      <c r="R24" s="134">
        <f>R18</f>
        <v>46660</v>
      </c>
      <c r="S24" s="137">
        <f t="shared" ref="S24:U24" si="19">R24+S18</f>
        <v>105960</v>
      </c>
      <c r="T24" s="137">
        <f t="shared" si="19"/>
        <v>182230</v>
      </c>
      <c r="U24" s="137">
        <f t="shared" si="19"/>
        <v>263350</v>
      </c>
      <c r="V24" s="55"/>
    </row>
    <row r="25" ht="7.5" customHeight="1">
      <c r="A25" s="31"/>
      <c r="B25" s="31"/>
      <c r="C25" s="55"/>
      <c r="D25" s="61"/>
      <c r="E25" s="61"/>
      <c r="F25" s="61"/>
      <c r="G25" s="61"/>
      <c r="H25" s="61"/>
      <c r="I25" s="61"/>
      <c r="J25" s="61"/>
      <c r="K25" s="61"/>
      <c r="L25" s="61"/>
      <c r="M25" s="61"/>
      <c r="N25" s="61"/>
      <c r="O25" s="61"/>
      <c r="P25" s="61"/>
      <c r="Q25" s="61"/>
      <c r="R25" s="61"/>
      <c r="S25" s="61"/>
      <c r="T25" s="61"/>
      <c r="U25" s="61"/>
      <c r="V25" s="61"/>
    </row>
    <row r="26" ht="21.75" customHeight="1" outlineLevel="1">
      <c r="A26" s="20"/>
      <c r="B26" s="31"/>
      <c r="C26" s="66" t="s">
        <v>49</v>
      </c>
      <c r="D26" s="140">
        <f>SUM(D27:D30)</f>
        <v>187890</v>
      </c>
      <c r="E26" s="46">
        <f t="shared" ref="E26:P26" si="20">Sum(E28:E30)</f>
        <v>1362.5</v>
      </c>
      <c r="F26" s="46">
        <f t="shared" si="20"/>
        <v>2097.5</v>
      </c>
      <c r="G26" s="47">
        <f t="shared" si="20"/>
        <v>20905</v>
      </c>
      <c r="H26" s="46">
        <f t="shared" si="20"/>
        <v>4440</v>
      </c>
      <c r="I26" s="46">
        <f t="shared" si="20"/>
        <v>6797.5</v>
      </c>
      <c r="J26" s="47">
        <f t="shared" si="20"/>
        <v>23317.5</v>
      </c>
      <c r="K26" s="48">
        <f t="shared" si="20"/>
        <v>12125</v>
      </c>
      <c r="L26" s="46">
        <f t="shared" si="20"/>
        <v>16105</v>
      </c>
      <c r="M26" s="47">
        <f t="shared" si="20"/>
        <v>31502.5</v>
      </c>
      <c r="N26" s="48">
        <f t="shared" si="20"/>
        <v>18922.5</v>
      </c>
      <c r="O26" s="46">
        <f t="shared" si="20"/>
        <v>20515</v>
      </c>
      <c r="P26" s="46">
        <f t="shared" si="20"/>
        <v>29800</v>
      </c>
      <c r="Q26" s="55"/>
      <c r="R26" s="47">
        <f>SUM(E26:G26)</f>
        <v>24365</v>
      </c>
      <c r="S26" s="141">
        <f>SUM(H26:J26)</f>
        <v>34555</v>
      </c>
      <c r="T26" s="141">
        <f>SUM(K26:M26)</f>
        <v>59732.5</v>
      </c>
      <c r="U26" s="141">
        <f>SUM(N26:P26)</f>
        <v>69237.5</v>
      </c>
      <c r="V26" s="55"/>
    </row>
    <row r="27" ht="17.25" customHeight="1" outlineLevel="1">
      <c r="A27" s="146"/>
      <c r="B27" s="84"/>
      <c r="C27" s="60" t="s">
        <v>71</v>
      </c>
      <c r="D27" s="76"/>
      <c r="E27" s="61">
        <f>E12*'Partnership Info'!$D11</f>
        <v>612.5</v>
      </c>
      <c r="F27" s="61">
        <f>F12*'Partnership Info'!$D11</f>
        <v>735</v>
      </c>
      <c r="G27" s="62">
        <f>G12*'Partnership Info'!$D11</f>
        <v>857.5</v>
      </c>
      <c r="H27" s="63">
        <f>H12*'Partnership Info'!$D11</f>
        <v>735</v>
      </c>
      <c r="I27" s="61">
        <f>I12*'Partnership Info'!$D11</f>
        <v>857.5</v>
      </c>
      <c r="J27" s="62">
        <f>J12*'Partnership Info'!$D11</f>
        <v>1470</v>
      </c>
      <c r="K27" s="63">
        <f>K12*'Partnership Info'!$D11</f>
        <v>857.5</v>
      </c>
      <c r="L27" s="61">
        <f>L12*'Partnership Info'!$D11</f>
        <v>980</v>
      </c>
      <c r="M27" s="62">
        <f>M12*'Partnership Info'!$D11</f>
        <v>1347.5</v>
      </c>
      <c r="N27" s="63">
        <f>N12*'Partnership Info'!$D11</f>
        <v>1470</v>
      </c>
      <c r="O27" s="61">
        <f>O12*'Partnership Info'!$D11</f>
        <v>1592.5</v>
      </c>
      <c r="P27" s="61">
        <f>P12*'Partnership Info'!$D11</f>
        <v>735</v>
      </c>
      <c r="Q27" s="55"/>
      <c r="R27" s="62"/>
      <c r="S27" s="130"/>
      <c r="T27" s="130"/>
      <c r="U27" s="130"/>
      <c r="V27" s="55"/>
    </row>
    <row r="28" ht="17.25" customHeight="1" outlineLevel="1">
      <c r="A28" s="20"/>
      <c r="B28" s="31"/>
      <c r="C28" s="60" t="s">
        <v>72</v>
      </c>
      <c r="D28" s="76">
        <f t="shared" ref="D28:D30" si="22">SUM(E28:P28)</f>
        <v>71540</v>
      </c>
      <c r="E28" s="61">
        <f>SUM(E27)</f>
        <v>612.5</v>
      </c>
      <c r="F28" s="61">
        <f t="shared" ref="F28:P28" si="21">E28+F27</f>
        <v>1347.5</v>
      </c>
      <c r="G28" s="62">
        <f t="shared" si="21"/>
        <v>2205</v>
      </c>
      <c r="H28" s="63">
        <f t="shared" si="21"/>
        <v>2940</v>
      </c>
      <c r="I28" s="61">
        <f t="shared" si="21"/>
        <v>3797.5</v>
      </c>
      <c r="J28" s="62">
        <f t="shared" si="21"/>
        <v>5267.5</v>
      </c>
      <c r="K28" s="63">
        <f t="shared" si="21"/>
        <v>6125</v>
      </c>
      <c r="L28" s="61">
        <f t="shared" si="21"/>
        <v>7105</v>
      </c>
      <c r="M28" s="62">
        <f t="shared" si="21"/>
        <v>8452.5</v>
      </c>
      <c r="N28" s="63">
        <f t="shared" si="21"/>
        <v>9922.5</v>
      </c>
      <c r="O28" s="61">
        <f t="shared" si="21"/>
        <v>11515</v>
      </c>
      <c r="P28" s="61">
        <f t="shared" si="21"/>
        <v>12250</v>
      </c>
      <c r="Q28" s="55"/>
      <c r="R28" s="62">
        <f t="shared" ref="R28:R30" si="24">SUM(E28:G28)</f>
        <v>4165</v>
      </c>
      <c r="S28" s="130">
        <f t="shared" ref="S28:S30" si="25">SUM(H28:J28)</f>
        <v>12005</v>
      </c>
      <c r="T28" s="130">
        <f t="shared" ref="T28:T30" si="26">SUM(K28:M28)</f>
        <v>21682.5</v>
      </c>
      <c r="U28" s="130">
        <f t="shared" ref="U28:U30" si="27">SUM(N27:P28)</f>
        <v>37485</v>
      </c>
      <c r="V28" s="55"/>
    </row>
    <row r="29" ht="17.25" customHeight="1" outlineLevel="1">
      <c r="A29" s="146"/>
      <c r="B29" s="84"/>
      <c r="C29" s="60" t="s">
        <v>73</v>
      </c>
      <c r="D29" s="76">
        <f t="shared" si="22"/>
        <v>59350</v>
      </c>
      <c r="E29" s="61">
        <f t="shared" ref="E29:P29" si="23">E20</f>
        <v>0</v>
      </c>
      <c r="F29" s="61">
        <f t="shared" si="23"/>
        <v>0</v>
      </c>
      <c r="G29" s="62">
        <f t="shared" si="23"/>
        <v>17200</v>
      </c>
      <c r="H29" s="63">
        <f t="shared" si="23"/>
        <v>0</v>
      </c>
      <c r="I29" s="61">
        <f t="shared" si="23"/>
        <v>0</v>
      </c>
      <c r="J29" s="62">
        <f t="shared" si="23"/>
        <v>13550</v>
      </c>
      <c r="K29" s="63">
        <f t="shared" si="23"/>
        <v>0</v>
      </c>
      <c r="L29" s="61">
        <f t="shared" si="23"/>
        <v>0</v>
      </c>
      <c r="M29" s="62">
        <f t="shared" si="23"/>
        <v>14050</v>
      </c>
      <c r="N29" s="63">
        <f t="shared" si="23"/>
        <v>0</v>
      </c>
      <c r="O29" s="61">
        <f t="shared" si="23"/>
        <v>0</v>
      </c>
      <c r="P29" s="61">
        <f t="shared" si="23"/>
        <v>14550</v>
      </c>
      <c r="Q29" s="55"/>
      <c r="R29" s="62">
        <f t="shared" si="24"/>
        <v>17200</v>
      </c>
      <c r="S29" s="130">
        <f t="shared" si="25"/>
        <v>13550</v>
      </c>
      <c r="T29" s="130">
        <f t="shared" si="26"/>
        <v>14050</v>
      </c>
      <c r="U29" s="130">
        <f t="shared" si="27"/>
        <v>48237.5</v>
      </c>
      <c r="V29" s="55"/>
    </row>
    <row r="30" ht="17.25" customHeight="1" outlineLevel="1">
      <c r="A30" s="20"/>
      <c r="B30" s="31"/>
      <c r="C30" s="60" t="s">
        <v>52</v>
      </c>
      <c r="D30" s="76">
        <f t="shared" si="22"/>
        <v>57000</v>
      </c>
      <c r="E30" s="61">
        <f t="shared" ref="E30:P30" si="28">E22</f>
        <v>750</v>
      </c>
      <c r="F30" s="61">
        <f t="shared" si="28"/>
        <v>750</v>
      </c>
      <c r="G30" s="62">
        <f t="shared" si="28"/>
        <v>1500</v>
      </c>
      <c r="H30" s="63">
        <f t="shared" si="28"/>
        <v>1500</v>
      </c>
      <c r="I30" s="61">
        <f t="shared" si="28"/>
        <v>3000</v>
      </c>
      <c r="J30" s="62">
        <f t="shared" si="28"/>
        <v>4500</v>
      </c>
      <c r="K30" s="63">
        <f t="shared" si="28"/>
        <v>6000</v>
      </c>
      <c r="L30" s="61">
        <f t="shared" si="28"/>
        <v>9000</v>
      </c>
      <c r="M30" s="62">
        <f t="shared" si="28"/>
        <v>9000</v>
      </c>
      <c r="N30" s="63">
        <f t="shared" si="28"/>
        <v>9000</v>
      </c>
      <c r="O30" s="61">
        <f t="shared" si="28"/>
        <v>9000</v>
      </c>
      <c r="P30" s="61">
        <f t="shared" si="28"/>
        <v>3000</v>
      </c>
      <c r="Q30" s="55"/>
      <c r="R30" s="62">
        <f t="shared" si="24"/>
        <v>3000</v>
      </c>
      <c r="S30" s="130">
        <f t="shared" si="25"/>
        <v>9000</v>
      </c>
      <c r="T30" s="130">
        <f t="shared" si="26"/>
        <v>24000</v>
      </c>
      <c r="U30" s="130">
        <f t="shared" si="27"/>
        <v>35550</v>
      </c>
      <c r="V30" s="55"/>
    </row>
    <row r="31" ht="7.5" customHeight="1">
      <c r="A31" s="31"/>
      <c r="B31" s="31"/>
      <c r="C31" s="55"/>
      <c r="D31" s="61"/>
      <c r="E31" s="61"/>
      <c r="F31" s="61"/>
      <c r="G31" s="61"/>
      <c r="H31" s="61"/>
      <c r="I31" s="61"/>
      <c r="J31" s="61"/>
      <c r="K31" s="61"/>
      <c r="L31" s="61"/>
      <c r="M31" s="61"/>
      <c r="N31" s="61"/>
      <c r="O31" s="61"/>
      <c r="P31" s="61"/>
      <c r="Q31" s="61"/>
      <c r="R31" s="61"/>
      <c r="S31" s="61"/>
      <c r="T31" s="61"/>
      <c r="U31" s="61"/>
      <c r="V31" s="61"/>
    </row>
    <row r="32" ht="21.75" customHeight="1">
      <c r="A32" s="20"/>
      <c r="B32" s="31"/>
      <c r="C32" s="66" t="s">
        <v>74</v>
      </c>
      <c r="D32" s="46"/>
      <c r="E32" s="46"/>
      <c r="F32" s="46"/>
      <c r="G32" s="47"/>
      <c r="H32" s="46"/>
      <c r="I32" s="46"/>
      <c r="J32" s="47"/>
      <c r="K32" s="48"/>
      <c r="L32" s="46"/>
      <c r="M32" s="47"/>
      <c r="N32" s="48"/>
      <c r="O32" s="46"/>
      <c r="P32" s="46"/>
      <c r="Q32" s="55"/>
      <c r="R32" s="47"/>
      <c r="S32" s="141"/>
      <c r="T32" s="141"/>
      <c r="U32" s="141"/>
      <c r="V32" s="55"/>
    </row>
    <row r="33" ht="16.5" customHeight="1">
      <c r="A33" s="20"/>
      <c r="B33" s="31"/>
      <c r="C33" s="111" t="s">
        <v>75</v>
      </c>
      <c r="D33" s="76">
        <f t="shared" ref="D33:D34" si="29">SUM(E33:P33)</f>
        <v>32</v>
      </c>
      <c r="E33" s="142">
        <f>COUNTIF('Demand Generation Plan'!$D$4:$D58,E3)</f>
        <v>3</v>
      </c>
      <c r="F33" s="142">
        <f>COUNTIF('Demand Generation Plan'!$D$4:$D58,F3)</f>
        <v>3</v>
      </c>
      <c r="G33" s="143">
        <f>COUNTIF('Demand Generation Plan'!$D$4:$D58,G3)</f>
        <v>2</v>
      </c>
      <c r="H33" s="144">
        <f>COUNTIF('Demand Generation Plan'!$D$4:$D58,H3)</f>
        <v>3</v>
      </c>
      <c r="I33" s="142">
        <f>COUNTIF('Demand Generation Plan'!$D$4:$D58,I3)</f>
        <v>3</v>
      </c>
      <c r="J33" s="143">
        <f>COUNTIF('Demand Generation Plan'!$D$4:$D58,J3)</f>
        <v>2</v>
      </c>
      <c r="K33" s="144">
        <f>COUNTIF('Demand Generation Plan'!$D$4:$D58,K3)</f>
        <v>4</v>
      </c>
      <c r="L33" s="142">
        <f>COUNTIF('Demand Generation Plan'!$D$4:$D58,L3)</f>
        <v>2</v>
      </c>
      <c r="M33" s="143">
        <f>COUNTIF('Demand Generation Plan'!$D$4:$D58,M3)</f>
        <v>2</v>
      </c>
      <c r="N33" s="144">
        <f>COUNTIF('Demand Generation Plan'!$D$4:$D58,N3)</f>
        <v>4</v>
      </c>
      <c r="O33" s="142">
        <f>COUNTIF('Demand Generation Plan'!$D$4:$D58,O3)</f>
        <v>2</v>
      </c>
      <c r="P33" s="142">
        <f>COUNTIF('Demand Generation Plan'!$D$4:$D58,P3)</f>
        <v>2</v>
      </c>
      <c r="Q33" s="55"/>
      <c r="R33" s="143">
        <f t="shared" ref="R33:R34" si="30">SUM(E33:G33)</f>
        <v>8</v>
      </c>
      <c r="S33" s="147">
        <f t="shared" ref="S33:S34" si="31">SUM(H33:J33)</f>
        <v>8</v>
      </c>
      <c r="T33" s="147">
        <f t="shared" ref="T33:T34" si="32">SUM(K33:M33)</f>
        <v>8</v>
      </c>
      <c r="U33" s="147">
        <f t="shared" ref="U33:U34" si="33">SUM(N32:P33)</f>
        <v>8</v>
      </c>
      <c r="V33" s="55"/>
    </row>
    <row r="34" ht="16.5" customHeight="1">
      <c r="A34" s="20"/>
      <c r="B34" s="84"/>
      <c r="C34" s="111" t="s">
        <v>56</v>
      </c>
      <c r="D34" s="76">
        <f t="shared" si="29"/>
        <v>-48700</v>
      </c>
      <c r="E34" s="142">
        <f>-sumif('Demand Generation Plan'!$D$4:$D58,E3,'Demand Generation Plan'!$F$4:$F58)</f>
        <v>-1700</v>
      </c>
      <c r="F34" s="142">
        <f>-sumif('Demand Generation Plan'!$D$4:$D58,F3,'Demand Generation Plan'!$F$4:$F58)</f>
        <v>-11000</v>
      </c>
      <c r="G34" s="143">
        <f>-sumif('Demand Generation Plan'!$D$4:$D58,G3,'Demand Generation Plan'!$F$4:$F58)</f>
        <v>-1200</v>
      </c>
      <c r="H34" s="144">
        <f>-sumif('Demand Generation Plan'!$D$4:$D58,H3,'Demand Generation Plan'!$F$4:$F58)</f>
        <v>-1700</v>
      </c>
      <c r="I34" s="142">
        <f>-sumif('Demand Generation Plan'!$D$4:$D58,I3,'Demand Generation Plan'!$F$4:$F58)</f>
        <v>-8700</v>
      </c>
      <c r="J34" s="143">
        <f>-sumif('Demand Generation Plan'!$D$4:$D58,J3,'Demand Generation Plan'!$F$4:$F58)</f>
        <v>-1200</v>
      </c>
      <c r="K34" s="144">
        <f>-sumif('Demand Generation Plan'!$D$4:$D58,K3,'Demand Generation Plan'!$F$4:$F58)</f>
        <v>-9200</v>
      </c>
      <c r="L34" s="142">
        <f>-sumif('Demand Generation Plan'!$D$4:$D58,L3,'Demand Generation Plan'!$F$4:$F58)</f>
        <v>-1200</v>
      </c>
      <c r="M34" s="143">
        <f>-sumif('Demand Generation Plan'!$D$4:$D58,M3,'Demand Generation Plan'!$F$4:$F58)</f>
        <v>-1200</v>
      </c>
      <c r="N34" s="144">
        <f>-sumif('Demand Generation Plan'!$D$4:$D58,N3,'Demand Generation Plan'!$F$4:$F58)</f>
        <v>-9200</v>
      </c>
      <c r="O34" s="142">
        <f>-sumif('Demand Generation Plan'!$D$4:$D58,O3,'Demand Generation Plan'!$F$4:$F58)</f>
        <v>-1200</v>
      </c>
      <c r="P34" s="142">
        <f>-sumif('Demand Generation Plan'!$D$4:$D58,P3,'Demand Generation Plan'!$F$4:$F58)</f>
        <v>-1200</v>
      </c>
      <c r="Q34" s="55"/>
      <c r="R34" s="143">
        <f t="shared" si="30"/>
        <v>-13900</v>
      </c>
      <c r="S34" s="147">
        <f t="shared" si="31"/>
        <v>-11600</v>
      </c>
      <c r="T34" s="147">
        <f t="shared" si="32"/>
        <v>-11600</v>
      </c>
      <c r="U34" s="147">
        <f t="shared" si="33"/>
        <v>-11592</v>
      </c>
      <c r="V34" s="55"/>
    </row>
    <row r="35" ht="7.5" customHeight="1">
      <c r="A35" s="31"/>
      <c r="B35" s="31"/>
      <c r="C35" s="73"/>
      <c r="D35" s="74"/>
      <c r="E35" s="74"/>
      <c r="F35" s="74"/>
      <c r="G35" s="74"/>
      <c r="H35" s="74"/>
      <c r="I35" s="74"/>
      <c r="J35" s="74"/>
      <c r="K35" s="74"/>
      <c r="L35" s="74"/>
      <c r="M35" s="74"/>
      <c r="N35" s="74"/>
      <c r="O35" s="74"/>
      <c r="P35" s="74"/>
      <c r="Q35" s="74"/>
      <c r="R35" s="74"/>
      <c r="S35" s="74"/>
      <c r="T35" s="74"/>
      <c r="U35" s="74"/>
      <c r="V35" s="74"/>
    </row>
    <row r="36" ht="21.75" customHeight="1">
      <c r="A36" s="20"/>
      <c r="B36" s="31"/>
      <c r="C36" s="66" t="s">
        <v>54</v>
      </c>
      <c r="D36" s="140">
        <f t="shared" ref="D36:P36" si="34">D37+D38</f>
        <v>-170600</v>
      </c>
      <c r="E36" s="46">
        <f t="shared" si="34"/>
        <v>-14216.66667</v>
      </c>
      <c r="F36" s="46">
        <f t="shared" si="34"/>
        <v>-14216.66667</v>
      </c>
      <c r="G36" s="47">
        <f t="shared" si="34"/>
        <v>-14216.66667</v>
      </c>
      <c r="H36" s="48">
        <f t="shared" si="34"/>
        <v>-14216.66667</v>
      </c>
      <c r="I36" s="46">
        <f t="shared" si="34"/>
        <v>-14216.66667</v>
      </c>
      <c r="J36" s="47">
        <f t="shared" si="34"/>
        <v>-14216.66667</v>
      </c>
      <c r="K36" s="48">
        <f t="shared" si="34"/>
        <v>-14216.66667</v>
      </c>
      <c r="L36" s="46">
        <f t="shared" si="34"/>
        <v>-14216.66667</v>
      </c>
      <c r="M36" s="47">
        <f t="shared" si="34"/>
        <v>-14216.66667</v>
      </c>
      <c r="N36" s="48">
        <f t="shared" si="34"/>
        <v>-14216.66667</v>
      </c>
      <c r="O36" s="46">
        <f t="shared" si="34"/>
        <v>-14216.66667</v>
      </c>
      <c r="P36" s="46">
        <f t="shared" si="34"/>
        <v>-14216.66667</v>
      </c>
      <c r="Q36" s="55"/>
      <c r="R36" s="47">
        <f t="shared" ref="R36:R40" si="35">SUM(E36:G36)</f>
        <v>-42650</v>
      </c>
      <c r="S36" s="141">
        <f t="shared" ref="S36:S40" si="36">SUM(H36:J36)</f>
        <v>-42650</v>
      </c>
      <c r="T36" s="141">
        <f t="shared" ref="T36:T40" si="37">SUM(K36:M36)</f>
        <v>-42650</v>
      </c>
      <c r="U36" s="141">
        <f t="shared" ref="U36:U37" si="38">SUM(N36:P36)</f>
        <v>-42650</v>
      </c>
      <c r="V36" s="55"/>
    </row>
    <row r="37" ht="16.5" customHeight="1">
      <c r="A37" s="20"/>
      <c r="B37" s="31"/>
      <c r="C37" s="111" t="s">
        <v>76</v>
      </c>
      <c r="D37" s="148">
        <f t="shared" ref="D37:D40" si="39">SUM(E37:P37)</f>
        <v>-170600</v>
      </c>
      <c r="E37" s="142">
        <f>Headcount!G4</f>
        <v>-14216.66667</v>
      </c>
      <c r="F37" s="142">
        <f>Headcount!H4</f>
        <v>-14216.66667</v>
      </c>
      <c r="G37" s="143">
        <f>Headcount!I4</f>
        <v>-14216.66667</v>
      </c>
      <c r="H37" s="144">
        <f>Headcount!J4</f>
        <v>-14216.66667</v>
      </c>
      <c r="I37" s="142">
        <f>Headcount!K4</f>
        <v>-14216.66667</v>
      </c>
      <c r="J37" s="143">
        <f>Headcount!L4</f>
        <v>-14216.66667</v>
      </c>
      <c r="K37" s="144">
        <f>Headcount!M4</f>
        <v>-14216.66667</v>
      </c>
      <c r="L37" s="142">
        <f>Headcount!N4</f>
        <v>-14216.66667</v>
      </c>
      <c r="M37" s="143">
        <f>Headcount!O4</f>
        <v>-14216.66667</v>
      </c>
      <c r="N37" s="144">
        <f>Headcount!P4</f>
        <v>-14216.66667</v>
      </c>
      <c r="O37" s="142">
        <f>Headcount!Q4</f>
        <v>-14216.66667</v>
      </c>
      <c r="P37" s="142">
        <f>Headcount!R4</f>
        <v>-14216.66667</v>
      </c>
      <c r="Q37" s="55"/>
      <c r="R37" s="143">
        <f t="shared" si="35"/>
        <v>-42650</v>
      </c>
      <c r="S37" s="147">
        <f t="shared" si="36"/>
        <v>-42650</v>
      </c>
      <c r="T37" s="147">
        <f t="shared" si="37"/>
        <v>-42650</v>
      </c>
      <c r="U37" s="147">
        <f t="shared" si="38"/>
        <v>-42650</v>
      </c>
      <c r="V37" s="55"/>
    </row>
    <row r="38" ht="16.5" hidden="1" customHeight="1">
      <c r="A38" s="20"/>
      <c r="B38" s="84"/>
      <c r="C38" s="111" t="s">
        <v>57</v>
      </c>
      <c r="D38" s="76">
        <f t="shared" si="39"/>
        <v>0</v>
      </c>
      <c r="E38" s="142">
        <f>Headcount!G5</f>
        <v>0</v>
      </c>
      <c r="F38" s="142">
        <f>Headcount!H5</f>
        <v>0</v>
      </c>
      <c r="G38" s="143">
        <f>Headcount!I5</f>
        <v>0</v>
      </c>
      <c r="H38" s="144">
        <f>Headcount!J5</f>
        <v>0</v>
      </c>
      <c r="I38" s="142">
        <f>Headcount!K5</f>
        <v>0</v>
      </c>
      <c r="J38" s="143">
        <f>Headcount!L5</f>
        <v>0</v>
      </c>
      <c r="K38" s="144">
        <f>Headcount!M5</f>
        <v>0</v>
      </c>
      <c r="L38" s="142">
        <f>Headcount!N5</f>
        <v>0</v>
      </c>
      <c r="M38" s="143">
        <f>Headcount!O5</f>
        <v>0</v>
      </c>
      <c r="N38" s="144">
        <f>Headcount!P5</f>
        <v>0</v>
      </c>
      <c r="O38" s="142">
        <f>Headcount!Q5</f>
        <v>0</v>
      </c>
      <c r="P38" s="142">
        <f>Headcount!R5</f>
        <v>0</v>
      </c>
      <c r="Q38" s="55"/>
      <c r="R38" s="143">
        <f t="shared" si="35"/>
        <v>0</v>
      </c>
      <c r="S38" s="147">
        <f t="shared" si="36"/>
        <v>0</v>
      </c>
      <c r="T38" s="147">
        <f t="shared" si="37"/>
        <v>0</v>
      </c>
      <c r="U38" s="147">
        <f>SUM(N37:P38)</f>
        <v>-42650</v>
      </c>
      <c r="V38" s="55"/>
    </row>
    <row r="39" ht="17.25" customHeight="1" outlineLevel="1">
      <c r="A39" s="146"/>
      <c r="B39" s="84"/>
      <c r="C39" s="60" t="s">
        <v>77</v>
      </c>
      <c r="D39" s="76">
        <f t="shared" si="39"/>
        <v>-95000</v>
      </c>
      <c r="E39" s="61">
        <f t="shared" ref="E39:P39" si="40">-14000/7*1.25-25000*1.25/12-27000*1.25/12</f>
        <v>-7916.666667</v>
      </c>
      <c r="F39" s="61">
        <f t="shared" si="40"/>
        <v>-7916.666667</v>
      </c>
      <c r="G39" s="62">
        <f t="shared" si="40"/>
        <v>-7916.666667</v>
      </c>
      <c r="H39" s="63">
        <f t="shared" si="40"/>
        <v>-7916.666667</v>
      </c>
      <c r="I39" s="61">
        <f t="shared" si="40"/>
        <v>-7916.666667</v>
      </c>
      <c r="J39" s="62">
        <f t="shared" si="40"/>
        <v>-7916.666667</v>
      </c>
      <c r="K39" s="63">
        <f t="shared" si="40"/>
        <v>-7916.666667</v>
      </c>
      <c r="L39" s="61">
        <f t="shared" si="40"/>
        <v>-7916.666667</v>
      </c>
      <c r="M39" s="62">
        <f t="shared" si="40"/>
        <v>-7916.666667</v>
      </c>
      <c r="N39" s="63">
        <f t="shared" si="40"/>
        <v>-7916.666667</v>
      </c>
      <c r="O39" s="61">
        <f t="shared" si="40"/>
        <v>-7916.666667</v>
      </c>
      <c r="P39" s="61">
        <f t="shared" si="40"/>
        <v>-7916.666667</v>
      </c>
      <c r="Q39" s="55"/>
      <c r="R39" s="62">
        <f t="shared" si="35"/>
        <v>-23750</v>
      </c>
      <c r="S39" s="130">
        <f t="shared" si="36"/>
        <v>-23750</v>
      </c>
      <c r="T39" s="130">
        <f t="shared" si="37"/>
        <v>-23750</v>
      </c>
      <c r="U39" s="130">
        <f t="shared" ref="U39:U40" si="42">SUM(N39:P39)</f>
        <v>-23750</v>
      </c>
      <c r="V39" s="55"/>
    </row>
    <row r="40" ht="17.25" customHeight="1" outlineLevel="1">
      <c r="A40" s="146"/>
      <c r="B40" s="84"/>
      <c r="C40" s="60" t="s">
        <v>78</v>
      </c>
      <c r="D40" s="76">
        <f t="shared" si="39"/>
        <v>-75600</v>
      </c>
      <c r="E40" s="61">
        <f t="shared" ref="E40:P40" si="41">E37-E39</f>
        <v>-6300</v>
      </c>
      <c r="F40" s="61">
        <f t="shared" si="41"/>
        <v>-6300</v>
      </c>
      <c r="G40" s="62">
        <f t="shared" si="41"/>
        <v>-6300</v>
      </c>
      <c r="H40" s="63">
        <f t="shared" si="41"/>
        <v>-6300</v>
      </c>
      <c r="I40" s="61">
        <f t="shared" si="41"/>
        <v>-6300</v>
      </c>
      <c r="J40" s="62">
        <f t="shared" si="41"/>
        <v>-6300</v>
      </c>
      <c r="K40" s="63">
        <f t="shared" si="41"/>
        <v>-6300</v>
      </c>
      <c r="L40" s="61">
        <f t="shared" si="41"/>
        <v>-6300</v>
      </c>
      <c r="M40" s="62">
        <f t="shared" si="41"/>
        <v>-6300</v>
      </c>
      <c r="N40" s="63">
        <f t="shared" si="41"/>
        <v>-6300</v>
      </c>
      <c r="O40" s="61">
        <f t="shared" si="41"/>
        <v>-6300</v>
      </c>
      <c r="P40" s="61">
        <f t="shared" si="41"/>
        <v>-6300</v>
      </c>
      <c r="Q40" s="55"/>
      <c r="R40" s="62">
        <f t="shared" si="35"/>
        <v>-18900</v>
      </c>
      <c r="S40" s="130">
        <f t="shared" si="36"/>
        <v>-18900</v>
      </c>
      <c r="T40" s="130">
        <f t="shared" si="37"/>
        <v>-18900</v>
      </c>
      <c r="U40" s="130">
        <f t="shared" si="42"/>
        <v>-18900</v>
      </c>
      <c r="V40" s="55"/>
    </row>
    <row r="41" ht="7.5" customHeight="1">
      <c r="A41" s="31"/>
      <c r="B41" s="31"/>
      <c r="C41" s="55"/>
      <c r="D41" s="61"/>
      <c r="E41" s="61"/>
      <c r="F41" s="61"/>
      <c r="G41" s="61"/>
      <c r="H41" s="61"/>
      <c r="I41" s="61"/>
      <c r="J41" s="61"/>
      <c r="K41" s="61"/>
      <c r="L41" s="61"/>
      <c r="M41" s="61"/>
      <c r="N41" s="61"/>
      <c r="O41" s="61"/>
      <c r="P41" s="61"/>
      <c r="Q41" s="61"/>
      <c r="R41" s="61"/>
      <c r="S41" s="61"/>
      <c r="T41" s="61"/>
      <c r="U41" s="61"/>
      <c r="V41" s="61"/>
    </row>
    <row r="42" ht="21.75" customHeight="1">
      <c r="A42" s="3"/>
      <c r="B42" s="31"/>
      <c r="C42" s="66" t="s">
        <v>79</v>
      </c>
      <c r="D42" s="140">
        <f>SUM(E42:P42)</f>
        <v>263350</v>
      </c>
      <c r="E42" s="46">
        <f t="shared" ref="E42:P42" si="43">E18</f>
        <v>8100</v>
      </c>
      <c r="F42" s="46">
        <f t="shared" si="43"/>
        <v>9570</v>
      </c>
      <c r="G42" s="47">
        <f t="shared" si="43"/>
        <v>28990</v>
      </c>
      <c r="H42" s="48">
        <f t="shared" si="43"/>
        <v>10320</v>
      </c>
      <c r="I42" s="46">
        <f t="shared" si="43"/>
        <v>13290</v>
      </c>
      <c r="J42" s="47">
        <f t="shared" si="43"/>
        <v>35690</v>
      </c>
      <c r="K42" s="48">
        <f t="shared" si="43"/>
        <v>16290</v>
      </c>
      <c r="L42" s="46">
        <f t="shared" si="43"/>
        <v>20760</v>
      </c>
      <c r="M42" s="47">
        <f t="shared" si="43"/>
        <v>39220</v>
      </c>
      <c r="N42" s="48">
        <f t="shared" si="43"/>
        <v>26640</v>
      </c>
      <c r="O42" s="46">
        <f t="shared" si="43"/>
        <v>28110</v>
      </c>
      <c r="P42" s="46">
        <f t="shared" si="43"/>
        <v>26370</v>
      </c>
      <c r="R42" s="59">
        <f>SUM(E42:G42)</f>
        <v>46660</v>
      </c>
      <c r="S42" s="59">
        <f>SUM(H42:J42)</f>
        <v>59300</v>
      </c>
      <c r="T42" s="59">
        <f>SUM(K42:M42)</f>
        <v>76270</v>
      </c>
      <c r="U42" s="59">
        <f>SUM(N41:P42)</f>
        <v>81120</v>
      </c>
      <c r="V42" s="55"/>
    </row>
    <row r="43" ht="7.5" customHeight="1">
      <c r="A43" s="31"/>
      <c r="B43" s="31"/>
      <c r="C43" s="73"/>
      <c r="D43" s="74"/>
      <c r="E43" s="74"/>
      <c r="F43" s="74"/>
      <c r="G43" s="74"/>
      <c r="H43" s="74"/>
      <c r="I43" s="74"/>
      <c r="J43" s="74"/>
      <c r="K43" s="74"/>
      <c r="L43" s="74"/>
      <c r="M43" s="74"/>
      <c r="N43" s="74"/>
      <c r="O43" s="74"/>
      <c r="P43" s="74"/>
      <c r="R43" s="75"/>
      <c r="S43" s="75"/>
      <c r="T43" s="75"/>
      <c r="U43" s="75"/>
      <c r="V43" s="36"/>
    </row>
    <row r="44" ht="21.75" customHeight="1">
      <c r="A44" s="3"/>
      <c r="B44" s="31"/>
      <c r="C44" s="66" t="s">
        <v>47</v>
      </c>
      <c r="D44" s="140">
        <f>SUM(E44:P44)</f>
        <v>-219300</v>
      </c>
      <c r="E44" s="46">
        <f t="shared" ref="E44:P44" si="44">E36+E34</f>
        <v>-15916.66667</v>
      </c>
      <c r="F44" s="46">
        <f t="shared" si="44"/>
        <v>-25216.66667</v>
      </c>
      <c r="G44" s="47">
        <f t="shared" si="44"/>
        <v>-15416.66667</v>
      </c>
      <c r="H44" s="48">
        <f t="shared" si="44"/>
        <v>-15916.66667</v>
      </c>
      <c r="I44" s="46">
        <f t="shared" si="44"/>
        <v>-22916.66667</v>
      </c>
      <c r="J44" s="47">
        <f t="shared" si="44"/>
        <v>-15416.66667</v>
      </c>
      <c r="K44" s="48">
        <f t="shared" si="44"/>
        <v>-23416.66667</v>
      </c>
      <c r="L44" s="46">
        <f t="shared" si="44"/>
        <v>-15416.66667</v>
      </c>
      <c r="M44" s="47">
        <f t="shared" si="44"/>
        <v>-15416.66667</v>
      </c>
      <c r="N44" s="48">
        <f t="shared" si="44"/>
        <v>-23416.66667</v>
      </c>
      <c r="O44" s="46">
        <f t="shared" si="44"/>
        <v>-15416.66667</v>
      </c>
      <c r="P44" s="46">
        <f t="shared" si="44"/>
        <v>-15416.66667</v>
      </c>
      <c r="R44" s="59">
        <f>SUM(E44:G44)</f>
        <v>-56550</v>
      </c>
      <c r="S44" s="59">
        <f>SUM(H44:J44)</f>
        <v>-54250</v>
      </c>
      <c r="T44" s="59">
        <f>SUM(K44:M44)</f>
        <v>-54250</v>
      </c>
      <c r="U44" s="59">
        <f>SUM(N43:P44)</f>
        <v>-54250</v>
      </c>
      <c r="V44" s="55"/>
    </row>
    <row r="45" ht="7.5" customHeight="1">
      <c r="A45" s="31"/>
      <c r="B45" s="31"/>
      <c r="C45" s="73"/>
      <c r="D45" s="74"/>
      <c r="E45" s="74"/>
      <c r="F45" s="74"/>
      <c r="G45" s="74"/>
      <c r="H45" s="74"/>
      <c r="I45" s="74"/>
      <c r="J45" s="74"/>
      <c r="K45" s="74"/>
      <c r="L45" s="74"/>
      <c r="M45" s="74"/>
      <c r="N45" s="74"/>
      <c r="O45" s="74"/>
      <c r="P45" s="74"/>
      <c r="R45" s="75"/>
      <c r="S45" s="75"/>
      <c r="T45" s="75"/>
      <c r="U45" s="75"/>
      <c r="V45" s="36"/>
    </row>
    <row r="46" ht="21.75" customHeight="1">
      <c r="A46" s="3"/>
      <c r="B46" s="31"/>
      <c r="C46" s="68" t="s">
        <v>48</v>
      </c>
      <c r="D46" s="149">
        <f>SUM(E46:P46)</f>
        <v>44050</v>
      </c>
      <c r="E46" s="69">
        <f t="shared" ref="E46:P46" si="45">E42+E44</f>
        <v>-7816.666667</v>
      </c>
      <c r="F46" s="69">
        <f t="shared" si="45"/>
        <v>-15646.66667</v>
      </c>
      <c r="G46" s="70">
        <f t="shared" si="45"/>
        <v>13573.33333</v>
      </c>
      <c r="H46" s="69">
        <f t="shared" si="45"/>
        <v>-5596.666667</v>
      </c>
      <c r="I46" s="69">
        <f t="shared" si="45"/>
        <v>-9626.666667</v>
      </c>
      <c r="J46" s="70">
        <f t="shared" si="45"/>
        <v>20273.33333</v>
      </c>
      <c r="K46" s="71">
        <f t="shared" si="45"/>
        <v>-7126.666667</v>
      </c>
      <c r="L46" s="69">
        <f t="shared" si="45"/>
        <v>5343.333333</v>
      </c>
      <c r="M46" s="70">
        <f t="shared" si="45"/>
        <v>23803.33333</v>
      </c>
      <c r="N46" s="71">
        <f t="shared" si="45"/>
        <v>3223.333333</v>
      </c>
      <c r="O46" s="69">
        <f t="shared" si="45"/>
        <v>12693.33333</v>
      </c>
      <c r="P46" s="69">
        <f t="shared" si="45"/>
        <v>10953.33333</v>
      </c>
      <c r="R46" s="72">
        <f>SUM(E46:G46)</f>
        <v>-9890</v>
      </c>
      <c r="S46" s="72">
        <f>SUM(H46:J46)</f>
        <v>5050</v>
      </c>
      <c r="T46" s="72">
        <f>SUM(K46:M46)</f>
        <v>22020</v>
      </c>
      <c r="U46" s="72">
        <f>SUM(N45:P46)</f>
        <v>26870</v>
      </c>
      <c r="V46" s="55"/>
    </row>
    <row r="47" ht="7.5" customHeight="1">
      <c r="A47" s="31"/>
      <c r="B47" s="31"/>
      <c r="C47" s="73"/>
      <c r="D47" s="74"/>
      <c r="E47" s="74"/>
      <c r="F47" s="74"/>
      <c r="G47" s="74"/>
      <c r="H47" s="74"/>
      <c r="I47" s="74"/>
      <c r="J47" s="74"/>
      <c r="K47" s="74"/>
      <c r="L47" s="74"/>
      <c r="M47" s="74"/>
      <c r="N47" s="74"/>
      <c r="O47" s="74"/>
      <c r="P47" s="74"/>
      <c r="R47" s="75"/>
      <c r="S47" s="75"/>
      <c r="T47" s="75"/>
      <c r="U47" s="75"/>
      <c r="V47" s="36"/>
    </row>
    <row r="48" ht="21.75" customHeight="1">
      <c r="A48" s="3"/>
      <c r="B48" s="31"/>
      <c r="C48" s="68" t="s">
        <v>80</v>
      </c>
      <c r="D48" s="149">
        <f>SUM(E48:P48)</f>
        <v>44190</v>
      </c>
      <c r="E48" s="69">
        <f t="shared" ref="E48:P48" si="46">E26+E34+E39</f>
        <v>-8254.166667</v>
      </c>
      <c r="F48" s="69">
        <f t="shared" si="46"/>
        <v>-16819.16667</v>
      </c>
      <c r="G48" s="70">
        <f t="shared" si="46"/>
        <v>11788.33333</v>
      </c>
      <c r="H48" s="69">
        <f t="shared" si="46"/>
        <v>-5176.666667</v>
      </c>
      <c r="I48" s="69">
        <f t="shared" si="46"/>
        <v>-9819.166667</v>
      </c>
      <c r="J48" s="70">
        <f t="shared" si="46"/>
        <v>14200.83333</v>
      </c>
      <c r="K48" s="71">
        <f t="shared" si="46"/>
        <v>-4991.666667</v>
      </c>
      <c r="L48" s="69">
        <f t="shared" si="46"/>
        <v>6988.333333</v>
      </c>
      <c r="M48" s="70">
        <f t="shared" si="46"/>
        <v>22385.83333</v>
      </c>
      <c r="N48" s="71">
        <f t="shared" si="46"/>
        <v>1805.833333</v>
      </c>
      <c r="O48" s="69">
        <f t="shared" si="46"/>
        <v>11398.33333</v>
      </c>
      <c r="P48" s="69">
        <f t="shared" si="46"/>
        <v>20683.33333</v>
      </c>
      <c r="R48" s="72">
        <f>SUM(E48:G48)</f>
        <v>-13285</v>
      </c>
      <c r="S48" s="72">
        <f>SUM(H48:J48)</f>
        <v>-795</v>
      </c>
      <c r="T48" s="72">
        <f>SUM(K48:M48)</f>
        <v>24382.5</v>
      </c>
      <c r="U48" s="72">
        <f>SUM(N47:P48)</f>
        <v>33887.5</v>
      </c>
      <c r="V48" s="55"/>
    </row>
    <row r="49" ht="21.75" hidden="1" customHeight="1">
      <c r="A49" s="27"/>
      <c r="B49" s="27"/>
      <c r="C49" s="28" t="s">
        <v>81</v>
      </c>
      <c r="D49" s="29"/>
      <c r="E49" s="150">
        <v>1.0</v>
      </c>
      <c r="F49" s="150">
        <v>2.0</v>
      </c>
      <c r="G49" s="150">
        <v>3.0</v>
      </c>
      <c r="H49" s="150">
        <v>4.0</v>
      </c>
      <c r="I49" s="150">
        <v>5.0</v>
      </c>
      <c r="J49" s="150">
        <v>6.0</v>
      </c>
      <c r="K49" s="150">
        <v>7.0</v>
      </c>
      <c r="L49" s="150">
        <v>8.0</v>
      </c>
      <c r="M49" s="150">
        <v>9.0</v>
      </c>
      <c r="N49" s="150">
        <v>10.0</v>
      </c>
      <c r="O49" s="150">
        <v>11.0</v>
      </c>
      <c r="P49" s="150">
        <v>12.0</v>
      </c>
      <c r="Q49" s="29"/>
      <c r="R49" s="64"/>
      <c r="S49" s="64"/>
      <c r="T49" s="64"/>
      <c r="U49" s="64"/>
      <c r="V49" s="29"/>
    </row>
    <row r="50" ht="13.5" hidden="1" customHeight="1">
      <c r="A50" s="27"/>
      <c r="B50" s="27"/>
      <c r="C50" s="28"/>
      <c r="D50" s="29"/>
      <c r="E50" s="40" t="s">
        <v>31</v>
      </c>
      <c r="F50" s="40" t="s">
        <v>32</v>
      </c>
      <c r="G50" s="41" t="s">
        <v>33</v>
      </c>
      <c r="H50" s="42" t="s">
        <v>34</v>
      </c>
      <c r="I50" s="40" t="s">
        <v>35</v>
      </c>
      <c r="J50" s="41" t="s">
        <v>36</v>
      </c>
      <c r="K50" s="42" t="s">
        <v>37</v>
      </c>
      <c r="L50" s="40" t="s">
        <v>38</v>
      </c>
      <c r="M50" s="41" t="s">
        <v>39</v>
      </c>
      <c r="N50" s="42" t="s">
        <v>40</v>
      </c>
      <c r="O50" s="40" t="s">
        <v>41</v>
      </c>
      <c r="P50" s="40" t="s">
        <v>42</v>
      </c>
      <c r="Q50" s="29"/>
      <c r="R50" s="59"/>
      <c r="S50" s="59"/>
      <c r="T50" s="59"/>
      <c r="U50" s="59"/>
      <c r="V50" s="29"/>
    </row>
    <row r="51" ht="15.75" hidden="1" customHeight="1">
      <c r="A51" s="27"/>
      <c r="B51" s="27"/>
      <c r="C51" s="28"/>
      <c r="D51" s="29"/>
      <c r="E51" s="151">
        <f>SUMPRODUCT((IFERROR(MATCH('Demand Generation Plan'!$D$4:$D999, $E$50:$P$50, 0),"") = MOD(E$49 - 'Demand Generation Plan'!$H$1 - 1, 12) + 1) * ('Demand Generation Plan'!$D$4:$D999 &lt;&gt; ""), 'Demand Generation Plan'!$H$4:$H999) + 
SUMPRODUCT((IFERROR(MATCH('Demand Generation Plan'!$D$4:$D999, $E$50:$P$50, 0),"") = MOD(E$49 - 'Demand Generation Plan'!$I$1 - 1, 12) + 1) * ('Demand Generation Plan'!$D$4:$D999 &lt;&gt; ""), 'Demand Generation Plan'!$I$4:$I999) +
SUMPRODUCT((IFERROR(MATCH('Demand Generation Plan'!$D$4:$D999, $E$50:$P$50, 0),"") = MOD(E$49 - 'Demand Generation Plan'!$J$1 - 1, 12) + 1) * ('Demand Generation Plan'!$D$4:$D999 &lt;&gt; ""), 'Demand Generation Plan'!$J$4:$J999)</f>
        <v>10</v>
      </c>
      <c r="F51" s="151">
        <f>SUMPRODUCT((IFERROR(MATCH('Demand Generation Plan'!$D$4:$D999, $E$50:$P$50, 0),"") = MOD(F$49 - 'Demand Generation Plan'!$H$1 - 1, 12) + 1) * ('Demand Generation Plan'!$D$4:$D999 &lt;&gt; ""), 'Demand Generation Plan'!$H$4:$H999) + 
SUMPRODUCT((IFERROR(MATCH('Demand Generation Plan'!$D$4:$D999, $E$50:$P$50, 0),"") = MOD(F$49 - 'Demand Generation Plan'!$I$1 - 1, 12) + 1) * ('Demand Generation Plan'!$D$4:$D999 &lt;&gt; ""), 'Demand Generation Plan'!$I$4:$I999) +
SUMPRODUCT((IFERROR(MATCH('Demand Generation Plan'!$D$4:$D999, $E$50:$P$50, 0),"") = MOD(F$49 - 'Demand Generation Plan'!$J$1 - 1, 12) + 1) * ('Demand Generation Plan'!$D$4:$D999 &lt;&gt; ""), 'Demand Generation Plan'!$J$4:$J999)</f>
        <v>11</v>
      </c>
      <c r="G51" s="151">
        <f>SUMPRODUCT((IFERROR(MATCH('Demand Generation Plan'!$D$4:$D999, $E$50:$P$50, 0),"") = MOD(G$49 - 'Demand Generation Plan'!$H$1 - 1, 12) + 1) * ('Demand Generation Plan'!$D$4:$D999 &lt;&gt; ""), 'Demand Generation Plan'!$H$4:$H999) + 
SUMPRODUCT((IFERROR(MATCH('Demand Generation Plan'!$D$4:$D999, $E$50:$P$50, 0),"") = MOD(G$49 - 'Demand Generation Plan'!$I$1 - 1, 12) + 1) * ('Demand Generation Plan'!$D$4:$D999 &lt;&gt; ""), 'Demand Generation Plan'!$I$4:$I999) +
SUMPRODUCT((IFERROR(MATCH('Demand Generation Plan'!$D$4:$D999, $E$50:$P$50, 0),"") = MOD(G$49 - 'Demand Generation Plan'!$J$1 - 1, 12) + 1) * ('Demand Generation Plan'!$D$4:$D999 &lt;&gt; ""), 'Demand Generation Plan'!$J$4:$J999)</f>
        <v>34</v>
      </c>
      <c r="H51" s="151">
        <f>SUMPRODUCT((IFERROR(MATCH('Demand Generation Plan'!$D$4:$D999, $E$50:$P$50, 0),"") = MOD(H$49 - 'Demand Generation Plan'!$H$1 - 1, 12) + 1) * ('Demand Generation Plan'!$D$4:$D999 &lt;&gt; ""), 'Demand Generation Plan'!$H$4:$H999) + 
SUMPRODUCT((IFERROR(MATCH('Demand Generation Plan'!$D$4:$D999, $E$50:$P$50, 0),"") = MOD(H$49 - 'Demand Generation Plan'!$I$1 - 1, 12) + 1) * ('Demand Generation Plan'!$D$4:$D999 &lt;&gt; ""), 'Demand Generation Plan'!$I$4:$I999) +
SUMPRODUCT((IFERROR(MATCH('Demand Generation Plan'!$D$4:$D999, $E$50:$P$50, 0),"") = MOD(H$49 - 'Demand Generation Plan'!$J$1 - 1, 12) + 1) * ('Demand Generation Plan'!$D$4:$D999 &lt;&gt; ""), 'Demand Generation Plan'!$J$4:$J999)</f>
        <v>12</v>
      </c>
      <c r="I51" s="151">
        <f>SUMPRODUCT((IFERROR(MATCH('Demand Generation Plan'!$D$4:$D999, $E$50:$P$50, 0),"") = MOD(I$49 - 'Demand Generation Plan'!$H$1 - 1, 12) + 1) * ('Demand Generation Plan'!$D$4:$D999 &lt;&gt; ""), 'Demand Generation Plan'!$H$4:$H999) + 
SUMPRODUCT((IFERROR(MATCH('Demand Generation Plan'!$D$4:$D999, $E$50:$P$50, 0),"") = MOD(I$49 - 'Demand Generation Plan'!$I$1 - 1, 12) + 1) * ('Demand Generation Plan'!$D$4:$D999 &lt;&gt; ""), 'Demand Generation Plan'!$I$4:$I999) +
SUMPRODUCT((IFERROR(MATCH('Demand Generation Plan'!$D$4:$D999, $E$50:$P$50, 0),"") = MOD(I$49 - 'Demand Generation Plan'!$J$1 - 1, 12) + 1) * ('Demand Generation Plan'!$D$4:$D999 &lt;&gt; ""), 'Demand Generation Plan'!$J$4:$J999)</f>
        <v>22</v>
      </c>
      <c r="J51" s="151">
        <f>SUMPRODUCT((IFERROR(MATCH('Demand Generation Plan'!$D$4:$D999, $E$50:$P$50, 0),"") = MOD(J$49 - 'Demand Generation Plan'!$H$1 - 1, 12) + 1) * ('Demand Generation Plan'!$D$4:$D999 &lt;&gt; ""), 'Demand Generation Plan'!$H$4:$H999) + 
SUMPRODUCT((IFERROR(MATCH('Demand Generation Plan'!$D$4:$D999, $E$50:$P$50, 0),"") = MOD(J$49 - 'Demand Generation Plan'!$I$1 - 1, 12) + 1) * ('Demand Generation Plan'!$D$4:$D999 &lt;&gt; ""), 'Demand Generation Plan'!$I$4:$I999) +
SUMPRODUCT((IFERROR(MATCH('Demand Generation Plan'!$D$4:$D999, $E$50:$P$50, 0),"") = MOD(J$49 - 'Demand Generation Plan'!$J$1 - 1, 12) + 1) * ('Demand Generation Plan'!$D$4:$D999 &lt;&gt; ""), 'Demand Generation Plan'!$J$4:$J999)</f>
        <v>17</v>
      </c>
      <c r="K51" s="151">
        <f>SUMPRODUCT((IFERROR(MATCH('Demand Generation Plan'!$D$4:$D999, $E$50:$P$50, 0),"") = MOD(K$49 - 'Demand Generation Plan'!$H$1 - 1, 12) + 1) * ('Demand Generation Plan'!$D$4:$D999 &lt;&gt; ""), 'Demand Generation Plan'!$H$4:$H999) + 
SUMPRODUCT((IFERROR(MATCH('Demand Generation Plan'!$D$4:$D999, $E$50:$P$50, 0),"") = MOD(K$49 - 'Demand Generation Plan'!$I$1 - 1, 12) + 1) * ('Demand Generation Plan'!$D$4:$D999 &lt;&gt; ""), 'Demand Generation Plan'!$I$4:$I999) +
SUMPRODUCT((IFERROR(MATCH('Demand Generation Plan'!$D$4:$D999, $E$50:$P$50, 0),"") = MOD(K$49 - 'Demand Generation Plan'!$J$1 - 1, 12) + 1) * ('Demand Generation Plan'!$D$4:$D999 &lt;&gt; ""), 'Demand Generation Plan'!$J$4:$J999)</f>
        <v>23</v>
      </c>
      <c r="L51" s="151">
        <f>SUMPRODUCT((IFERROR(MATCH('Demand Generation Plan'!$D$4:$D999, $E$50:$P$50, 0),"") = MOD(L$49 - 'Demand Generation Plan'!$H$1 - 1, 12) + 1) * ('Demand Generation Plan'!$D$4:$D999 &lt;&gt; ""), 'Demand Generation Plan'!$H$4:$H999) + 
SUMPRODUCT((IFERROR(MATCH('Demand Generation Plan'!$D$4:$D999, $E$50:$P$50, 0),"") = MOD(L$49 - 'Demand Generation Plan'!$I$1 - 1, 12) + 1) * ('Demand Generation Plan'!$D$4:$D999 &lt;&gt; ""), 'Demand Generation Plan'!$I$4:$I999) +
SUMPRODUCT((IFERROR(MATCH('Demand Generation Plan'!$D$4:$D999, $E$50:$P$50, 0),"") = MOD(L$49 - 'Demand Generation Plan'!$J$1 - 1, 12) + 1) * ('Demand Generation Plan'!$D$4:$D999 &lt;&gt; ""), 'Demand Generation Plan'!$J$4:$J999)</f>
        <v>18</v>
      </c>
      <c r="M51" s="151">
        <f>SUMPRODUCT((IFERROR(MATCH('Demand Generation Plan'!$D$4:$D999, $E$50:$P$50, 0),"") = MOD(M$49 - 'Demand Generation Plan'!$H$1 - 1, 12) + 1) * ('Demand Generation Plan'!$D$4:$D999 &lt;&gt; ""), 'Demand Generation Plan'!$H$4:$H999) + 
SUMPRODUCT((IFERROR(MATCH('Demand Generation Plan'!$D$4:$D999, $E$50:$P$50, 0),"") = MOD(M$49 - 'Demand Generation Plan'!$I$1 - 1, 12) + 1) * ('Demand Generation Plan'!$D$4:$D999 &lt;&gt; ""), 'Demand Generation Plan'!$I$4:$I999) +
SUMPRODUCT((IFERROR(MATCH('Demand Generation Plan'!$D$4:$D999, $E$50:$P$50, 0),"") = MOD(M$49 - 'Demand Generation Plan'!$J$1 - 1, 12) + 1) * ('Demand Generation Plan'!$D$4:$D999 &lt;&gt; ""), 'Demand Generation Plan'!$J$4:$J999)</f>
        <v>16</v>
      </c>
      <c r="N51" s="151">
        <f>SUMPRODUCT((IFERROR(MATCH('Demand Generation Plan'!$D$4:$D999, $E$50:$P$50, 0),"") = MOD(N$49 - 'Demand Generation Plan'!$H$1 - 1, 12) + 1) * ('Demand Generation Plan'!$D$4:$D999 &lt;&gt; ""), 'Demand Generation Plan'!$H$4:$H999) + 
SUMPRODUCT((IFERROR(MATCH('Demand Generation Plan'!$D$4:$D999, $E$50:$P$50, 0),"") = MOD(N$49 - 'Demand Generation Plan'!$I$1 - 1, 12) + 1) * ('Demand Generation Plan'!$D$4:$D999 &lt;&gt; ""), 'Demand Generation Plan'!$I$4:$I999) +
SUMPRODUCT((IFERROR(MATCH('Demand Generation Plan'!$D$4:$D999, $E$50:$P$50, 0),"") = MOD(N$49 - 'Demand Generation Plan'!$J$1 - 1, 12) + 1) * ('Demand Generation Plan'!$D$4:$D999 &lt;&gt; ""), 'Demand Generation Plan'!$J$4:$J999)</f>
        <v>24</v>
      </c>
      <c r="O51" s="151">
        <f>SUMPRODUCT((IFERROR(MATCH('Demand Generation Plan'!$D$4:$D999, $E$50:$P$50, 0),"") = MOD(O$49 - 'Demand Generation Plan'!$H$1 - 1, 12) + 1) * ('Demand Generation Plan'!$D$4:$D999 &lt;&gt; ""), 'Demand Generation Plan'!$H$4:$H999) + 
SUMPRODUCT((IFERROR(MATCH('Demand Generation Plan'!$D$4:$D999, $E$50:$P$50, 0),"") = MOD(O$49 - 'Demand Generation Plan'!$I$1 - 1, 12) + 1) * ('Demand Generation Plan'!$D$4:$D999 &lt;&gt; ""), 'Demand Generation Plan'!$I$4:$I999) +
SUMPRODUCT((IFERROR(MATCH('Demand Generation Plan'!$D$4:$D999, $E$50:$P$50, 0),"") = MOD(O$49 - 'Demand Generation Plan'!$J$1 - 1, 12) + 1) * ('Demand Generation Plan'!$D$4:$D999 &lt;&gt; ""), 'Demand Generation Plan'!$J$4:$J999)</f>
        <v>19</v>
      </c>
      <c r="P51" s="151">
        <f>SUMPRODUCT((IFERROR(MATCH('Demand Generation Plan'!$D$4:$D999, $E$50:$P$50, 0),"") = MOD(P$49 - 'Demand Generation Plan'!$H$1 - 1, 12) + 1) * ('Demand Generation Plan'!$D$4:$D999 &lt;&gt; ""), 'Demand Generation Plan'!$H$4:$H999) + 
SUMPRODUCT((IFERROR(MATCH('Demand Generation Plan'!$D$4:$D999, $E$50:$P$50, 0),"") = MOD(P$49 - 'Demand Generation Plan'!$I$1 - 1, 12) + 1) * ('Demand Generation Plan'!$D$4:$D999 &lt;&gt; ""), 'Demand Generation Plan'!$I$4:$I999) +
SUMPRODUCT((IFERROR(MATCH('Demand Generation Plan'!$D$4:$D999, $E$50:$P$50, 0),"") = MOD(P$49 - 'Demand Generation Plan'!$J$1 - 1, 12) + 1) * ('Demand Generation Plan'!$D$4:$D999 &lt;&gt; ""), 'Demand Generation Plan'!$J$4:$J999)</f>
        <v>14</v>
      </c>
      <c r="Q51" s="29"/>
      <c r="R51" s="67"/>
      <c r="S51" s="67"/>
      <c r="T51" s="67"/>
      <c r="U51" s="67"/>
      <c r="V51" s="29"/>
    </row>
    <row r="52" ht="5.25" hidden="1" customHeight="1">
      <c r="A52" s="27"/>
      <c r="B52" s="27"/>
      <c r="C52" s="28"/>
      <c r="D52" s="29"/>
      <c r="E52" s="152"/>
      <c r="F52" s="152"/>
      <c r="G52" s="152"/>
      <c r="H52" s="152"/>
      <c r="I52" s="152"/>
      <c r="J52" s="152"/>
      <c r="K52" s="152"/>
      <c r="L52" s="152"/>
      <c r="M52" s="152"/>
      <c r="N52" s="152"/>
      <c r="O52" s="152"/>
      <c r="P52" s="152"/>
      <c r="Q52" s="29"/>
      <c r="R52" s="59"/>
      <c r="S52" s="59"/>
      <c r="T52" s="59"/>
      <c r="U52" s="59"/>
      <c r="V52" s="29"/>
    </row>
    <row r="53" ht="5.25" hidden="1" customHeight="1">
      <c r="A53" s="27"/>
      <c r="B53" s="27"/>
      <c r="C53" s="28"/>
      <c r="D53" s="29"/>
      <c r="E53" s="152"/>
      <c r="F53" s="152"/>
      <c r="G53" s="152"/>
      <c r="H53" s="152"/>
      <c r="I53" s="152"/>
      <c r="J53" s="152"/>
      <c r="K53" s="152"/>
      <c r="L53" s="152"/>
      <c r="M53" s="152"/>
      <c r="N53" s="152"/>
      <c r="O53" s="152"/>
      <c r="P53" s="152"/>
      <c r="Q53" s="29"/>
      <c r="R53" s="76"/>
      <c r="S53" s="76"/>
      <c r="T53" s="76"/>
      <c r="U53" s="76"/>
      <c r="V53" s="29"/>
    </row>
    <row r="54" ht="5.25" hidden="1" customHeight="1">
      <c r="A54" s="27"/>
      <c r="B54" s="27"/>
      <c r="C54" s="28"/>
      <c r="D54" s="29"/>
      <c r="E54" s="152"/>
      <c r="F54" s="152"/>
      <c r="G54" s="152"/>
      <c r="H54" s="152"/>
      <c r="I54" s="152"/>
      <c r="J54" s="152"/>
      <c r="K54" s="152"/>
      <c r="L54" s="152"/>
      <c r="M54" s="152"/>
      <c r="N54" s="152"/>
      <c r="O54" s="152"/>
      <c r="P54" s="152"/>
      <c r="Q54" s="29"/>
      <c r="R54" s="30"/>
      <c r="S54" s="30"/>
      <c r="T54" s="30"/>
      <c r="U54" s="30"/>
      <c r="V54" s="29"/>
    </row>
    <row r="55" ht="5.25" hidden="1" customHeight="1">
      <c r="A55" s="27"/>
      <c r="B55" s="27"/>
      <c r="C55" s="28"/>
      <c r="D55" s="29"/>
      <c r="E55" s="152"/>
      <c r="F55" s="152"/>
      <c r="G55" s="152"/>
      <c r="H55" s="152"/>
      <c r="I55" s="152"/>
      <c r="J55" s="152"/>
      <c r="K55" s="152"/>
      <c r="L55" s="152"/>
      <c r="M55" s="152"/>
      <c r="N55" s="152"/>
      <c r="O55" s="152"/>
      <c r="P55" s="152"/>
      <c r="Q55" s="29"/>
      <c r="R55" s="30"/>
      <c r="S55" s="30"/>
      <c r="T55" s="30"/>
      <c r="U55" s="30"/>
      <c r="V55" s="29"/>
    </row>
    <row r="56" ht="5.25" hidden="1" customHeight="1">
      <c r="A56" s="27"/>
      <c r="B56" s="27"/>
      <c r="C56" s="28"/>
      <c r="D56" s="29"/>
      <c r="E56" s="152"/>
      <c r="F56" s="152"/>
      <c r="G56" s="152"/>
      <c r="H56" s="152"/>
      <c r="I56" s="152"/>
      <c r="J56" s="152"/>
      <c r="K56" s="152"/>
      <c r="L56" s="152"/>
      <c r="M56" s="152"/>
      <c r="N56" s="152"/>
      <c r="O56" s="152"/>
      <c r="P56" s="152"/>
      <c r="Q56" s="29"/>
      <c r="R56" s="30"/>
      <c r="S56" s="30"/>
      <c r="T56" s="30"/>
      <c r="U56" s="30"/>
      <c r="V56" s="29"/>
    </row>
    <row r="57" ht="5.25" hidden="1" customHeight="1">
      <c r="A57" s="27"/>
      <c r="B57" s="27"/>
      <c r="C57" s="28"/>
      <c r="D57" s="29"/>
      <c r="E57" s="152"/>
      <c r="F57" s="152"/>
      <c r="G57" s="152"/>
      <c r="H57" s="152"/>
      <c r="I57" s="152"/>
      <c r="J57" s="152"/>
      <c r="K57" s="152"/>
      <c r="L57" s="152"/>
      <c r="M57" s="152"/>
      <c r="N57" s="152"/>
      <c r="O57" s="152"/>
      <c r="P57" s="152"/>
      <c r="Q57" s="29"/>
      <c r="R57" s="30"/>
      <c r="S57" s="30"/>
      <c r="T57" s="30"/>
      <c r="U57" s="30"/>
      <c r="V57" s="29"/>
    </row>
    <row r="58" ht="5.25" hidden="1" customHeight="1">
      <c r="A58" s="27"/>
      <c r="B58" s="27"/>
      <c r="C58" s="28"/>
      <c r="D58" s="29"/>
      <c r="E58" s="152"/>
      <c r="F58" s="152"/>
      <c r="G58" s="152"/>
      <c r="H58" s="152"/>
      <c r="I58" s="152"/>
      <c r="J58" s="152"/>
      <c r="K58" s="152"/>
      <c r="L58" s="152"/>
      <c r="M58" s="152"/>
      <c r="N58" s="152"/>
      <c r="O58" s="152"/>
      <c r="P58" s="152"/>
      <c r="Q58" s="29"/>
      <c r="R58" s="30"/>
      <c r="S58" s="30"/>
      <c r="T58" s="30"/>
      <c r="U58" s="30"/>
      <c r="V58" s="29"/>
    </row>
  </sheetData>
  <mergeCells count="9">
    <mergeCell ref="T2:T3"/>
    <mergeCell ref="U2:U3"/>
    <mergeCell ref="D2:D3"/>
    <mergeCell ref="E2:G2"/>
    <mergeCell ref="H2:J2"/>
    <mergeCell ref="K2:M2"/>
    <mergeCell ref="N2:P2"/>
    <mergeCell ref="R2:R3"/>
    <mergeCell ref="S2:S3"/>
  </mergeCells>
  <conditionalFormatting sqref="E46:P46 E48:P48">
    <cfRule type="cellIs" dxfId="0" priority="1" operator="greaterThan">
      <formula>0</formula>
    </cfRule>
  </conditionalFormatting>
  <conditionalFormatting sqref="E46:P46 E48:P48">
    <cfRule type="cellIs" dxfId="1" priority="2" operator="lessThan">
      <formula>0</formula>
    </cfRule>
  </conditionalFormatting>
  <conditionalFormatting sqref="E6:P7 D7 R7:U7 D10 R10:U10">
    <cfRule type="containsText" dxfId="2" priority="3" operator="containsText" text="missing">
      <formula>NOT(ISERROR(SEARCH(("missing"),(E6))))</formula>
    </cfRule>
  </conditionalFormatting>
  <conditionalFormatting sqref="E6:P7 D7 R7:U7 D10 R10:U10">
    <cfRule type="containsText" dxfId="0" priority="4" operator="containsText" text="CORRECT">
      <formula>NOT(ISERROR(SEARCH(("CORRECT"),(E6))))</formula>
    </cfRule>
  </conditionalFormatting>
  <conditionalFormatting sqref="D13">
    <cfRule type="cellIs" dxfId="0" priority="5" operator="equal">
      <formula>"100%"</formula>
    </cfRule>
  </conditionalFormatting>
  <conditionalFormatting sqref="D13">
    <cfRule type="cellIs" dxfId="3" priority="6" operator="notEqual">
      <formula>"100%"</formula>
    </cfRule>
  </conditionalFormatting>
  <conditionalFormatting sqref="D7 D10">
    <cfRule type="containsText" dxfId="2" priority="7" operator="containsText" text="REVIEW">
      <formula>NOT(ISERROR(SEARCH(("REVIEW"),(D7))))</formula>
    </cfRule>
  </conditionalFormatting>
  <conditionalFormatting sqref="D7 D10">
    <cfRule type="containsText" dxfId="0" priority="8" operator="containsText" text="CORRECT">
      <formula>NOT(ISERROR(SEARCH(("CORRECT"),(D7))))</formula>
    </cfRule>
  </conditionalFormatting>
  <conditionalFormatting sqref="D10">
    <cfRule type="containsText" dxfId="0" priority="9" operator="containsText" text="&lt;10%">
      <formula>NOT(ISERROR(SEARCH(("&lt;10%"),(D10))))</formula>
    </cfRule>
  </conditionalFormatting>
  <conditionalFormatting sqref="D10">
    <cfRule type="containsText" dxfId="4" priority="10" operator="containsText" text="10-25%">
      <formula>NOT(ISERROR(SEARCH(("10-25%"),(D10))))</formula>
    </cfRule>
  </conditionalFormatting>
  <conditionalFormatting sqref="D10">
    <cfRule type="containsText" dxfId="5" priority="11" operator="containsText" text="25-45%">
      <formula>NOT(ISERROR(SEARCH(("25-45%"),(D10))))</formula>
    </cfRule>
  </conditionalFormatting>
  <conditionalFormatting sqref="D10">
    <cfRule type="containsText" dxfId="6" priority="12" operator="containsText" text="45-65%">
      <formula>NOT(ISERROR(SEARCH(("45-65%"),(D10))))</formula>
    </cfRule>
  </conditionalFormatting>
  <conditionalFormatting sqref="D10">
    <cfRule type="containsText" dxfId="6" priority="13" operator="containsText" text="65-85%">
      <formula>NOT(ISERROR(SEARCH(("65-85%"),(D10))))</formula>
    </cfRule>
  </conditionalFormatting>
  <conditionalFormatting sqref="D10">
    <cfRule type="containsText" dxfId="7" priority="14" operator="containsText" text="&gt;85%">
      <formula>NOT(ISERROR(SEARCH(("&gt;85%"),(D10))))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355E"/>
    <outlinePr summaryBelow="0" summaryRight="0"/>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63"/>
    <col customWidth="1" min="2" max="2" width="19.0"/>
    <col customWidth="1" min="3" max="3" width="8.63"/>
    <col customWidth="1" min="4" max="4" width="15.13"/>
    <col customWidth="1" min="5" max="5" width="14.38"/>
    <col customWidth="1" min="6" max="6" width="12.75"/>
    <col customWidth="1" min="7" max="7" width="11.63"/>
    <col customWidth="1" min="8" max="10" width="7.0"/>
    <col customWidth="1" min="11" max="11" width="12.75"/>
    <col customWidth="1" min="12" max="12" width="14.63"/>
    <col customWidth="1" min="13" max="15" width="7.0"/>
    <col customWidth="1" min="16" max="16" width="14.0"/>
    <col customWidth="1" min="17" max="17" width="13.38"/>
    <col customWidth="1" min="18" max="18" width="14.5"/>
    <col customWidth="1" min="19" max="19" width="18.13"/>
    <col customWidth="1" min="20" max="20" width="13.5"/>
    <col customWidth="1" min="21" max="21" width="13.25"/>
    <col customWidth="1" min="22" max="22" width="16.13"/>
    <col customWidth="1" min="23" max="23" width="15.0"/>
    <col customWidth="1" min="24" max="24" width="11.0"/>
    <col customWidth="1" min="25" max="25" width="14.0"/>
    <col customWidth="1" min="26" max="26" width="1.88"/>
  </cols>
  <sheetData>
    <row r="1" ht="31.5" customHeight="1">
      <c r="A1" s="27"/>
      <c r="B1" s="29"/>
      <c r="C1" s="28"/>
      <c r="D1" s="29"/>
      <c r="E1" s="29"/>
      <c r="F1" s="153"/>
      <c r="G1" s="152"/>
      <c r="H1" s="152">
        <v>0.0</v>
      </c>
      <c r="I1" s="152">
        <v>1.0</v>
      </c>
      <c r="J1" s="152">
        <v>2.0</v>
      </c>
      <c r="K1" s="154"/>
      <c r="L1" s="152"/>
      <c r="M1" s="152">
        <v>0.0</v>
      </c>
      <c r="N1" s="152">
        <v>1.0</v>
      </c>
      <c r="O1" s="152">
        <v>2.0</v>
      </c>
      <c r="P1" s="152"/>
      <c r="Q1" s="152"/>
      <c r="R1" s="152"/>
      <c r="S1" s="152"/>
      <c r="T1" s="155"/>
      <c r="U1" s="29"/>
      <c r="V1" s="29"/>
      <c r="W1" s="29"/>
      <c r="X1" s="29"/>
      <c r="Y1" s="29"/>
      <c r="Z1" s="29"/>
    </row>
    <row r="2" ht="19.5" customHeight="1">
      <c r="A2" s="156"/>
      <c r="B2" s="157"/>
      <c r="C2" s="158" t="s">
        <v>82</v>
      </c>
      <c r="D2" s="157"/>
      <c r="E2" s="157"/>
      <c r="F2" s="159"/>
      <c r="G2" s="157"/>
      <c r="H2" s="157"/>
      <c r="I2" s="157"/>
      <c r="J2" s="160"/>
      <c r="K2" s="161"/>
      <c r="L2" s="162" t="s">
        <v>83</v>
      </c>
      <c r="M2" s="163"/>
      <c r="N2" s="163"/>
      <c r="O2" s="163"/>
      <c r="P2" s="163"/>
      <c r="Q2" s="163"/>
      <c r="R2" s="163"/>
      <c r="S2" s="163"/>
      <c r="T2" s="163"/>
      <c r="U2" s="164" t="s">
        <v>84</v>
      </c>
      <c r="V2" s="163"/>
      <c r="W2" s="163"/>
      <c r="X2" s="163"/>
      <c r="Y2" s="163"/>
      <c r="Z2" s="156"/>
    </row>
    <row r="3">
      <c r="A3" s="156"/>
      <c r="B3" s="165" t="s">
        <v>85</v>
      </c>
      <c r="C3" s="166" t="s">
        <v>86</v>
      </c>
      <c r="D3" s="167" t="s">
        <v>87</v>
      </c>
      <c r="E3" s="168" t="s">
        <v>88</v>
      </c>
      <c r="F3" s="169" t="s">
        <v>89</v>
      </c>
      <c r="G3" s="170" t="s">
        <v>90</v>
      </c>
      <c r="H3" s="170" t="s">
        <v>91</v>
      </c>
      <c r="I3" s="170" t="s">
        <v>92</v>
      </c>
      <c r="J3" s="170" t="s">
        <v>93</v>
      </c>
      <c r="K3" s="171" t="s">
        <v>94</v>
      </c>
      <c r="L3" s="172" t="s">
        <v>95</v>
      </c>
      <c r="M3" s="172" t="s">
        <v>91</v>
      </c>
      <c r="N3" s="172" t="s">
        <v>92</v>
      </c>
      <c r="O3" s="172" t="s">
        <v>93</v>
      </c>
      <c r="P3" s="172" t="s">
        <v>96</v>
      </c>
      <c r="Q3" s="172" t="s">
        <v>97</v>
      </c>
      <c r="R3" s="172" t="s">
        <v>98</v>
      </c>
      <c r="S3" s="172" t="s">
        <v>99</v>
      </c>
      <c r="T3" s="173" t="s">
        <v>100</v>
      </c>
      <c r="U3" s="174" t="s">
        <v>101</v>
      </c>
      <c r="V3" s="175" t="s">
        <v>102</v>
      </c>
      <c r="W3" s="175" t="s">
        <v>103</v>
      </c>
      <c r="X3" s="175" t="s">
        <v>104</v>
      </c>
      <c r="Y3" s="176" t="s">
        <v>105</v>
      </c>
      <c r="Z3" s="156"/>
    </row>
    <row r="4">
      <c r="A4" s="177">
        <f t="shared" ref="A4:A28" si="1">iferror(DATEVALUE(D4 &amp; " 1"),"")</f>
        <v>45658</v>
      </c>
      <c r="B4" s="178" t="s">
        <v>106</v>
      </c>
      <c r="C4" s="179" t="str">
        <f t="shared" ref="C4:C999" si="2">IF(D4="","", IF(A4&lt;DATE(2025, 4, 1),"Q1",if(A4&lt;DATE(2025, 7, 1),"Q2",IF(A4&lt;DATE(2025, 10, 1),"Q3","Q4"))))</f>
        <v>Q1</v>
      </c>
      <c r="D4" s="180" t="s">
        <v>31</v>
      </c>
      <c r="E4" s="181" t="s">
        <v>107</v>
      </c>
      <c r="F4" s="182">
        <v>500.0</v>
      </c>
      <c r="G4" s="183">
        <v>9.0</v>
      </c>
      <c r="H4" s="183">
        <v>3.0</v>
      </c>
      <c r="I4" s="183">
        <v>3.0</v>
      </c>
      <c r="J4" s="184">
        <v>3.0</v>
      </c>
      <c r="K4" s="185">
        <f t="shared" ref="K4:K214" si="3">IFERROR(F4/G4,"")</f>
        <v>55.55555556</v>
      </c>
      <c r="L4" s="186">
        <f t="shared" ref="L4:L28" si="4">SUM(M4:O4)</f>
        <v>0</v>
      </c>
      <c r="M4" s="187">
        <v>0.0</v>
      </c>
      <c r="N4" s="187">
        <v>0.0</v>
      </c>
      <c r="O4" s="187">
        <v>0.0</v>
      </c>
      <c r="P4" s="187">
        <v>0.0</v>
      </c>
      <c r="Q4" s="187">
        <v>0.0</v>
      </c>
      <c r="R4" s="187">
        <v>0.0</v>
      </c>
      <c r="S4" s="187"/>
      <c r="T4" s="188">
        <v>0.0</v>
      </c>
      <c r="U4" s="189" t="str">
        <f>if(T4&lt;=0,"",((T4*12)-R4)/R4)</f>
        <v/>
      </c>
      <c r="V4" s="190" t="str">
        <f t="shared" ref="V4:V28" si="5">iferror(L4/P4,"")</f>
        <v/>
      </c>
      <c r="W4" s="190" t="str">
        <f t="shared" ref="W4:W28" si="6">iferror(Q4/L4,"")</f>
        <v/>
      </c>
      <c r="X4" s="191" t="str">
        <f t="shared" ref="X4:X28" si="7">iferror(R4/Q4,"")</f>
        <v/>
      </c>
      <c r="Y4" s="191" t="str">
        <f t="shared" ref="Y4:Y28" si="8">iferror(R4/L4,"")</f>
        <v/>
      </c>
      <c r="Z4" s="156"/>
    </row>
    <row r="5">
      <c r="A5" s="177">
        <f t="shared" si="1"/>
        <v>45748</v>
      </c>
      <c r="B5" s="178" t="s">
        <v>108</v>
      </c>
      <c r="C5" s="179" t="str">
        <f t="shared" si="2"/>
        <v>Q2</v>
      </c>
      <c r="D5" s="180" t="s">
        <v>34</v>
      </c>
      <c r="E5" s="181" t="s">
        <v>107</v>
      </c>
      <c r="F5" s="182">
        <v>500.0</v>
      </c>
      <c r="G5" s="183">
        <f t="shared" ref="G5:G7" si="9">SUM(H5:J5)</f>
        <v>12</v>
      </c>
      <c r="H5" s="183">
        <v>4.0</v>
      </c>
      <c r="I5" s="183">
        <v>4.0</v>
      </c>
      <c r="J5" s="184">
        <v>4.0</v>
      </c>
      <c r="K5" s="185">
        <f t="shared" si="3"/>
        <v>41.66666667</v>
      </c>
      <c r="L5" s="186">
        <f t="shared" si="4"/>
        <v>0</v>
      </c>
      <c r="M5" s="187"/>
      <c r="N5" s="187"/>
      <c r="O5" s="187"/>
      <c r="P5" s="187"/>
      <c r="Q5" s="187"/>
      <c r="R5" s="187"/>
      <c r="S5" s="187"/>
      <c r="T5" s="188"/>
      <c r="U5" s="189" t="str">
        <f t="shared" ref="U5:U19" si="10">if(T5&lt;=0,"",((T5*12)-F5)/F5)</f>
        <v/>
      </c>
      <c r="V5" s="190" t="str">
        <f t="shared" si="5"/>
        <v/>
      </c>
      <c r="W5" s="190" t="str">
        <f t="shared" si="6"/>
        <v/>
      </c>
      <c r="X5" s="191" t="str">
        <f t="shared" si="7"/>
        <v/>
      </c>
      <c r="Y5" s="191" t="str">
        <f t="shared" si="8"/>
        <v/>
      </c>
      <c r="Z5" s="156"/>
    </row>
    <row r="6">
      <c r="A6" s="177">
        <f t="shared" si="1"/>
        <v>45839</v>
      </c>
      <c r="B6" s="178" t="s">
        <v>109</v>
      </c>
      <c r="C6" s="179" t="str">
        <f t="shared" si="2"/>
        <v>Q3</v>
      </c>
      <c r="D6" s="180" t="s">
        <v>37</v>
      </c>
      <c r="E6" s="181" t="s">
        <v>107</v>
      </c>
      <c r="F6" s="182">
        <v>500.0</v>
      </c>
      <c r="G6" s="183">
        <f t="shared" si="9"/>
        <v>15</v>
      </c>
      <c r="H6" s="183">
        <v>5.0</v>
      </c>
      <c r="I6" s="183">
        <v>5.0</v>
      </c>
      <c r="J6" s="184">
        <v>5.0</v>
      </c>
      <c r="K6" s="185">
        <f t="shared" si="3"/>
        <v>33.33333333</v>
      </c>
      <c r="L6" s="186">
        <f t="shared" si="4"/>
        <v>0</v>
      </c>
      <c r="M6" s="191"/>
      <c r="N6" s="191"/>
      <c r="O6" s="191"/>
      <c r="P6" s="191"/>
      <c r="Q6" s="191"/>
      <c r="R6" s="191"/>
      <c r="S6" s="191"/>
      <c r="T6" s="192"/>
      <c r="U6" s="189" t="str">
        <f t="shared" si="10"/>
        <v/>
      </c>
      <c r="V6" s="190" t="str">
        <f t="shared" si="5"/>
        <v/>
      </c>
      <c r="W6" s="190" t="str">
        <f t="shared" si="6"/>
        <v/>
      </c>
      <c r="X6" s="191" t="str">
        <f t="shared" si="7"/>
        <v/>
      </c>
      <c r="Y6" s="191" t="str">
        <f t="shared" si="8"/>
        <v/>
      </c>
      <c r="Z6" s="156"/>
    </row>
    <row r="7">
      <c r="A7" s="177">
        <f t="shared" si="1"/>
        <v>45931</v>
      </c>
      <c r="B7" s="178" t="s">
        <v>110</v>
      </c>
      <c r="C7" s="179" t="str">
        <f t="shared" si="2"/>
        <v>Q4</v>
      </c>
      <c r="D7" s="180" t="s">
        <v>40</v>
      </c>
      <c r="E7" s="181" t="s">
        <v>107</v>
      </c>
      <c r="F7" s="182">
        <v>500.0</v>
      </c>
      <c r="G7" s="183">
        <f t="shared" si="9"/>
        <v>18</v>
      </c>
      <c r="H7" s="183">
        <v>6.0</v>
      </c>
      <c r="I7" s="183">
        <v>6.0</v>
      </c>
      <c r="J7" s="184">
        <v>6.0</v>
      </c>
      <c r="K7" s="185">
        <f t="shared" si="3"/>
        <v>27.77777778</v>
      </c>
      <c r="L7" s="186">
        <f t="shared" si="4"/>
        <v>0</v>
      </c>
      <c r="M7" s="191"/>
      <c r="N7" s="191"/>
      <c r="O7" s="191"/>
      <c r="P7" s="191"/>
      <c r="Q7" s="191"/>
      <c r="R7" s="191"/>
      <c r="S7" s="191"/>
      <c r="T7" s="192"/>
      <c r="U7" s="189" t="str">
        <f t="shared" si="10"/>
        <v/>
      </c>
      <c r="V7" s="190" t="str">
        <f t="shared" si="5"/>
        <v/>
      </c>
      <c r="W7" s="190" t="str">
        <f t="shared" si="6"/>
        <v/>
      </c>
      <c r="X7" s="191" t="str">
        <f t="shared" si="7"/>
        <v/>
      </c>
      <c r="Y7" s="191" t="str">
        <f t="shared" si="8"/>
        <v/>
      </c>
      <c r="Z7" s="156"/>
    </row>
    <row r="8">
      <c r="A8" s="177">
        <f t="shared" si="1"/>
        <v>45658</v>
      </c>
      <c r="B8" s="178" t="s">
        <v>111</v>
      </c>
      <c r="C8" s="179" t="str">
        <f t="shared" si="2"/>
        <v>Q1</v>
      </c>
      <c r="D8" s="180" t="s">
        <v>31</v>
      </c>
      <c r="E8" s="181" t="s">
        <v>111</v>
      </c>
      <c r="F8" s="182">
        <v>200.0</v>
      </c>
      <c r="G8" s="183">
        <v>5.0</v>
      </c>
      <c r="H8" s="183">
        <v>5.0</v>
      </c>
      <c r="I8" s="183"/>
      <c r="J8" s="184"/>
      <c r="K8" s="185">
        <f t="shared" si="3"/>
        <v>40</v>
      </c>
      <c r="L8" s="186">
        <f t="shared" si="4"/>
        <v>0</v>
      </c>
      <c r="M8" s="191"/>
      <c r="N8" s="191"/>
      <c r="O8" s="191"/>
      <c r="P8" s="191"/>
      <c r="Q8" s="191"/>
      <c r="R8" s="191"/>
      <c r="S8" s="191"/>
      <c r="T8" s="192"/>
      <c r="U8" s="189" t="str">
        <f t="shared" si="10"/>
        <v/>
      </c>
      <c r="V8" s="190" t="str">
        <f t="shared" si="5"/>
        <v/>
      </c>
      <c r="W8" s="190" t="str">
        <f t="shared" si="6"/>
        <v/>
      </c>
      <c r="X8" s="191" t="str">
        <f t="shared" si="7"/>
        <v/>
      </c>
      <c r="Y8" s="191" t="str">
        <f t="shared" si="8"/>
        <v/>
      </c>
      <c r="Z8" s="156"/>
    </row>
    <row r="9">
      <c r="A9" s="177">
        <f t="shared" si="1"/>
        <v>45689</v>
      </c>
      <c r="B9" s="178" t="s">
        <v>111</v>
      </c>
      <c r="C9" s="179" t="str">
        <f t="shared" si="2"/>
        <v>Q1</v>
      </c>
      <c r="D9" s="180" t="s">
        <v>32</v>
      </c>
      <c r="E9" s="181"/>
      <c r="F9" s="182"/>
      <c r="G9" s="182"/>
      <c r="H9" s="183"/>
      <c r="I9" s="183"/>
      <c r="J9" s="184"/>
      <c r="K9" s="185" t="str">
        <f t="shared" si="3"/>
        <v/>
      </c>
      <c r="L9" s="186">
        <f t="shared" si="4"/>
        <v>0</v>
      </c>
      <c r="M9" s="191"/>
      <c r="N9" s="191"/>
      <c r="O9" s="191"/>
      <c r="P9" s="191"/>
      <c r="Q9" s="191"/>
      <c r="R9" s="191"/>
      <c r="S9" s="191"/>
      <c r="T9" s="192"/>
      <c r="U9" s="189" t="str">
        <f t="shared" si="10"/>
        <v/>
      </c>
      <c r="V9" s="190" t="str">
        <f t="shared" si="5"/>
        <v/>
      </c>
      <c r="W9" s="190" t="str">
        <f t="shared" si="6"/>
        <v/>
      </c>
      <c r="X9" s="191" t="str">
        <f t="shared" si="7"/>
        <v/>
      </c>
      <c r="Y9" s="191" t="str">
        <f t="shared" si="8"/>
        <v/>
      </c>
      <c r="Z9" s="156"/>
    </row>
    <row r="10">
      <c r="A10" s="177">
        <f t="shared" si="1"/>
        <v>45717</v>
      </c>
      <c r="B10" s="178" t="s">
        <v>111</v>
      </c>
      <c r="C10" s="179" t="str">
        <f t="shared" si="2"/>
        <v>Q1</v>
      </c>
      <c r="D10" s="180" t="s">
        <v>33</v>
      </c>
      <c r="E10" s="181" t="s">
        <v>111</v>
      </c>
      <c r="F10" s="182">
        <v>200.0</v>
      </c>
      <c r="G10" s="183">
        <v>2.0</v>
      </c>
      <c r="H10" s="183">
        <v>2.0</v>
      </c>
      <c r="I10" s="183"/>
      <c r="J10" s="184"/>
      <c r="K10" s="185">
        <f t="shared" si="3"/>
        <v>100</v>
      </c>
      <c r="L10" s="186">
        <f t="shared" si="4"/>
        <v>0</v>
      </c>
      <c r="M10" s="191"/>
      <c r="N10" s="191"/>
      <c r="O10" s="191"/>
      <c r="P10" s="191"/>
      <c r="Q10" s="191"/>
      <c r="R10" s="191"/>
      <c r="S10" s="191"/>
      <c r="T10" s="192"/>
      <c r="U10" s="189" t="str">
        <f t="shared" si="10"/>
        <v/>
      </c>
      <c r="V10" s="190" t="str">
        <f t="shared" si="5"/>
        <v/>
      </c>
      <c r="W10" s="190" t="str">
        <f t="shared" si="6"/>
        <v/>
      </c>
      <c r="X10" s="191" t="str">
        <f t="shared" si="7"/>
        <v/>
      </c>
      <c r="Y10" s="191" t="str">
        <f t="shared" si="8"/>
        <v/>
      </c>
      <c r="Z10" s="156"/>
    </row>
    <row r="11">
      <c r="A11" s="177">
        <f t="shared" si="1"/>
        <v>45748</v>
      </c>
      <c r="B11" s="178" t="s">
        <v>111</v>
      </c>
      <c r="C11" s="179" t="str">
        <f t="shared" si="2"/>
        <v>Q2</v>
      </c>
      <c r="D11" s="180" t="s">
        <v>34</v>
      </c>
      <c r="E11" s="181" t="s">
        <v>111</v>
      </c>
      <c r="F11" s="182">
        <v>200.0</v>
      </c>
      <c r="G11" s="183">
        <v>3.0</v>
      </c>
      <c r="H11" s="183">
        <v>3.0</v>
      </c>
      <c r="I11" s="183"/>
      <c r="J11" s="184"/>
      <c r="K11" s="185">
        <f t="shared" si="3"/>
        <v>66.66666667</v>
      </c>
      <c r="L11" s="186">
        <f t="shared" si="4"/>
        <v>0</v>
      </c>
      <c r="M11" s="191"/>
      <c r="N11" s="191"/>
      <c r="O11" s="191"/>
      <c r="P11" s="191"/>
      <c r="Q11" s="191"/>
      <c r="R11" s="191"/>
      <c r="S11" s="191"/>
      <c r="T11" s="192"/>
      <c r="U11" s="189" t="str">
        <f t="shared" si="10"/>
        <v/>
      </c>
      <c r="V11" s="190" t="str">
        <f t="shared" si="5"/>
        <v/>
      </c>
      <c r="W11" s="190" t="str">
        <f t="shared" si="6"/>
        <v/>
      </c>
      <c r="X11" s="191" t="str">
        <f t="shared" si="7"/>
        <v/>
      </c>
      <c r="Y11" s="191" t="str">
        <f t="shared" si="8"/>
        <v/>
      </c>
      <c r="Z11" s="156"/>
    </row>
    <row r="12">
      <c r="A12" s="177">
        <f t="shared" si="1"/>
        <v>45778</v>
      </c>
      <c r="B12" s="178" t="s">
        <v>111</v>
      </c>
      <c r="C12" s="179" t="str">
        <f t="shared" si="2"/>
        <v>Q2</v>
      </c>
      <c r="D12" s="180" t="s">
        <v>35</v>
      </c>
      <c r="E12" s="181" t="s">
        <v>111</v>
      </c>
      <c r="F12" s="182">
        <v>200.0</v>
      </c>
      <c r="G12" s="183">
        <v>3.0</v>
      </c>
      <c r="H12" s="183">
        <v>3.0</v>
      </c>
      <c r="I12" s="183"/>
      <c r="J12" s="184"/>
      <c r="K12" s="185">
        <f t="shared" si="3"/>
        <v>66.66666667</v>
      </c>
      <c r="L12" s="186">
        <f t="shared" si="4"/>
        <v>0</v>
      </c>
      <c r="M12" s="191"/>
      <c r="N12" s="191"/>
      <c r="O12" s="191"/>
      <c r="P12" s="191"/>
      <c r="Q12" s="191"/>
      <c r="R12" s="191"/>
      <c r="S12" s="191"/>
      <c r="T12" s="192"/>
      <c r="U12" s="189" t="str">
        <f t="shared" si="10"/>
        <v/>
      </c>
      <c r="V12" s="190" t="str">
        <f t="shared" si="5"/>
        <v/>
      </c>
      <c r="W12" s="190" t="str">
        <f t="shared" si="6"/>
        <v/>
      </c>
      <c r="X12" s="191" t="str">
        <f t="shared" si="7"/>
        <v/>
      </c>
      <c r="Y12" s="191" t="str">
        <f t="shared" si="8"/>
        <v/>
      </c>
      <c r="Z12" s="156"/>
    </row>
    <row r="13">
      <c r="A13" s="177">
        <f t="shared" si="1"/>
        <v>45809</v>
      </c>
      <c r="B13" s="178" t="s">
        <v>111</v>
      </c>
      <c r="C13" s="179" t="str">
        <f t="shared" si="2"/>
        <v>Q2</v>
      </c>
      <c r="D13" s="180" t="s">
        <v>36</v>
      </c>
      <c r="E13" s="181" t="s">
        <v>111</v>
      </c>
      <c r="F13" s="182">
        <v>200.0</v>
      </c>
      <c r="G13" s="183">
        <v>3.0</v>
      </c>
      <c r="H13" s="183">
        <v>3.0</v>
      </c>
      <c r="I13" s="183"/>
      <c r="J13" s="184"/>
      <c r="K13" s="185">
        <f t="shared" si="3"/>
        <v>66.66666667</v>
      </c>
      <c r="L13" s="186">
        <f t="shared" si="4"/>
        <v>0</v>
      </c>
      <c r="M13" s="191"/>
      <c r="N13" s="191"/>
      <c r="O13" s="191"/>
      <c r="P13" s="191"/>
      <c r="Q13" s="191"/>
      <c r="R13" s="191"/>
      <c r="S13" s="191"/>
      <c r="T13" s="192"/>
      <c r="U13" s="189" t="str">
        <f t="shared" si="10"/>
        <v/>
      </c>
      <c r="V13" s="190" t="str">
        <f t="shared" si="5"/>
        <v/>
      </c>
      <c r="W13" s="190" t="str">
        <f t="shared" si="6"/>
        <v/>
      </c>
      <c r="X13" s="191" t="str">
        <f t="shared" si="7"/>
        <v/>
      </c>
      <c r="Y13" s="191" t="str">
        <f t="shared" si="8"/>
        <v/>
      </c>
      <c r="Z13" s="156"/>
    </row>
    <row r="14">
      <c r="A14" s="177">
        <f t="shared" si="1"/>
        <v>45839</v>
      </c>
      <c r="B14" s="178" t="s">
        <v>111</v>
      </c>
      <c r="C14" s="179" t="str">
        <f t="shared" si="2"/>
        <v>Q3</v>
      </c>
      <c r="D14" s="180" t="s">
        <v>37</v>
      </c>
      <c r="E14" s="181" t="s">
        <v>111</v>
      </c>
      <c r="F14" s="182">
        <v>200.0</v>
      </c>
      <c r="G14" s="183">
        <v>3.0</v>
      </c>
      <c r="H14" s="183">
        <v>3.0</v>
      </c>
      <c r="I14" s="183"/>
      <c r="J14" s="184"/>
      <c r="K14" s="185">
        <f t="shared" si="3"/>
        <v>66.66666667</v>
      </c>
      <c r="L14" s="186">
        <f t="shared" si="4"/>
        <v>0</v>
      </c>
      <c r="M14" s="191"/>
      <c r="N14" s="191"/>
      <c r="O14" s="191"/>
      <c r="P14" s="191"/>
      <c r="Q14" s="191"/>
      <c r="R14" s="191"/>
      <c r="S14" s="191"/>
      <c r="T14" s="192"/>
      <c r="U14" s="189" t="str">
        <f t="shared" si="10"/>
        <v/>
      </c>
      <c r="V14" s="190" t="str">
        <f t="shared" si="5"/>
        <v/>
      </c>
      <c r="W14" s="190" t="str">
        <f t="shared" si="6"/>
        <v/>
      </c>
      <c r="X14" s="191" t="str">
        <f t="shared" si="7"/>
        <v/>
      </c>
      <c r="Y14" s="191" t="str">
        <f t="shared" si="8"/>
        <v/>
      </c>
      <c r="Z14" s="156"/>
    </row>
    <row r="15">
      <c r="A15" s="177">
        <f t="shared" si="1"/>
        <v>45870</v>
      </c>
      <c r="B15" s="178" t="s">
        <v>111</v>
      </c>
      <c r="C15" s="179" t="str">
        <f t="shared" si="2"/>
        <v>Q3</v>
      </c>
      <c r="D15" s="180" t="s">
        <v>38</v>
      </c>
      <c r="E15" s="181" t="s">
        <v>111</v>
      </c>
      <c r="F15" s="182">
        <v>200.0</v>
      </c>
      <c r="G15" s="183">
        <v>3.0</v>
      </c>
      <c r="H15" s="183">
        <v>3.0</v>
      </c>
      <c r="I15" s="183"/>
      <c r="J15" s="184"/>
      <c r="K15" s="185">
        <f t="shared" si="3"/>
        <v>66.66666667</v>
      </c>
      <c r="L15" s="186">
        <f t="shared" si="4"/>
        <v>0</v>
      </c>
      <c r="M15" s="191"/>
      <c r="N15" s="191"/>
      <c r="O15" s="191"/>
      <c r="P15" s="191"/>
      <c r="Q15" s="191"/>
      <c r="R15" s="191"/>
      <c r="S15" s="191"/>
      <c r="T15" s="192"/>
      <c r="U15" s="189" t="str">
        <f t="shared" si="10"/>
        <v/>
      </c>
      <c r="V15" s="190" t="str">
        <f t="shared" si="5"/>
        <v/>
      </c>
      <c r="W15" s="190" t="str">
        <f t="shared" si="6"/>
        <v/>
      </c>
      <c r="X15" s="191" t="str">
        <f t="shared" si="7"/>
        <v/>
      </c>
      <c r="Y15" s="191" t="str">
        <f t="shared" si="8"/>
        <v/>
      </c>
      <c r="Z15" s="156"/>
    </row>
    <row r="16">
      <c r="A16" s="177">
        <f t="shared" si="1"/>
        <v>45901</v>
      </c>
      <c r="B16" s="178" t="s">
        <v>111</v>
      </c>
      <c r="C16" s="179" t="str">
        <f t="shared" si="2"/>
        <v>Q3</v>
      </c>
      <c r="D16" s="180" t="s">
        <v>39</v>
      </c>
      <c r="E16" s="181" t="s">
        <v>111</v>
      </c>
      <c r="F16" s="182">
        <v>200.0</v>
      </c>
      <c r="G16" s="183">
        <v>5.0</v>
      </c>
      <c r="H16" s="183">
        <v>5.0</v>
      </c>
      <c r="I16" s="183"/>
      <c r="J16" s="193"/>
      <c r="K16" s="185">
        <f t="shared" si="3"/>
        <v>40</v>
      </c>
      <c r="L16" s="186">
        <f t="shared" si="4"/>
        <v>0</v>
      </c>
      <c r="M16" s="191"/>
      <c r="N16" s="191"/>
      <c r="O16" s="191"/>
      <c r="P16" s="191"/>
      <c r="Q16" s="191"/>
      <c r="R16" s="191"/>
      <c r="S16" s="191"/>
      <c r="T16" s="192"/>
      <c r="U16" s="189" t="str">
        <f t="shared" si="10"/>
        <v/>
      </c>
      <c r="V16" s="190" t="str">
        <f t="shared" si="5"/>
        <v/>
      </c>
      <c r="W16" s="190" t="str">
        <f t="shared" si="6"/>
        <v/>
      </c>
      <c r="X16" s="191" t="str">
        <f t="shared" si="7"/>
        <v/>
      </c>
      <c r="Y16" s="191" t="str">
        <f t="shared" si="8"/>
        <v/>
      </c>
      <c r="Z16" s="156"/>
    </row>
    <row r="17">
      <c r="A17" s="177">
        <f t="shared" si="1"/>
        <v>45931</v>
      </c>
      <c r="B17" s="178" t="s">
        <v>111</v>
      </c>
      <c r="C17" s="179" t="str">
        <f t="shared" si="2"/>
        <v>Q4</v>
      </c>
      <c r="D17" s="180" t="s">
        <v>40</v>
      </c>
      <c r="E17" s="181" t="s">
        <v>111</v>
      </c>
      <c r="F17" s="182">
        <v>200.0</v>
      </c>
      <c r="G17" s="183">
        <v>3.0</v>
      </c>
      <c r="H17" s="183">
        <v>3.0</v>
      </c>
      <c r="I17" s="183"/>
      <c r="J17" s="193"/>
      <c r="K17" s="185">
        <f t="shared" si="3"/>
        <v>66.66666667</v>
      </c>
      <c r="L17" s="186">
        <f t="shared" si="4"/>
        <v>0</v>
      </c>
      <c r="M17" s="191"/>
      <c r="N17" s="191"/>
      <c r="O17" s="191"/>
      <c r="P17" s="191"/>
      <c r="Q17" s="191"/>
      <c r="R17" s="191"/>
      <c r="S17" s="191"/>
      <c r="T17" s="192"/>
      <c r="U17" s="189" t="str">
        <f t="shared" si="10"/>
        <v/>
      </c>
      <c r="V17" s="190" t="str">
        <f t="shared" si="5"/>
        <v/>
      </c>
      <c r="W17" s="190" t="str">
        <f t="shared" si="6"/>
        <v/>
      </c>
      <c r="X17" s="191" t="str">
        <f t="shared" si="7"/>
        <v/>
      </c>
      <c r="Y17" s="191" t="str">
        <f t="shared" si="8"/>
        <v/>
      </c>
      <c r="Z17" s="156"/>
    </row>
    <row r="18">
      <c r="A18" s="177">
        <f t="shared" si="1"/>
        <v>45962</v>
      </c>
      <c r="B18" s="178" t="s">
        <v>111</v>
      </c>
      <c r="C18" s="179" t="str">
        <f t="shared" si="2"/>
        <v>Q4</v>
      </c>
      <c r="D18" s="180" t="s">
        <v>41</v>
      </c>
      <c r="E18" s="181" t="s">
        <v>111</v>
      </c>
      <c r="F18" s="182">
        <v>200.0</v>
      </c>
      <c r="G18" s="183">
        <v>3.0</v>
      </c>
      <c r="H18" s="183">
        <v>3.0</v>
      </c>
      <c r="I18" s="183"/>
      <c r="J18" s="193"/>
      <c r="K18" s="185">
        <f t="shared" si="3"/>
        <v>66.66666667</v>
      </c>
      <c r="L18" s="186">
        <f t="shared" si="4"/>
        <v>0</v>
      </c>
      <c r="M18" s="191"/>
      <c r="N18" s="191"/>
      <c r="O18" s="191"/>
      <c r="P18" s="191"/>
      <c r="Q18" s="191"/>
      <c r="R18" s="191"/>
      <c r="S18" s="191"/>
      <c r="T18" s="192"/>
      <c r="U18" s="189" t="str">
        <f t="shared" si="10"/>
        <v/>
      </c>
      <c r="V18" s="190" t="str">
        <f t="shared" si="5"/>
        <v/>
      </c>
      <c r="W18" s="190" t="str">
        <f t="shared" si="6"/>
        <v/>
      </c>
      <c r="X18" s="191" t="str">
        <f t="shared" si="7"/>
        <v/>
      </c>
      <c r="Y18" s="191" t="str">
        <f t="shared" si="8"/>
        <v/>
      </c>
      <c r="Z18" s="156"/>
    </row>
    <row r="19">
      <c r="A19" s="177">
        <f t="shared" si="1"/>
        <v>45992</v>
      </c>
      <c r="B19" s="178" t="s">
        <v>111</v>
      </c>
      <c r="C19" s="179" t="str">
        <f t="shared" si="2"/>
        <v>Q4</v>
      </c>
      <c r="D19" s="180" t="s">
        <v>42</v>
      </c>
      <c r="E19" s="181" t="s">
        <v>111</v>
      </c>
      <c r="F19" s="182">
        <v>200.0</v>
      </c>
      <c r="G19" s="183">
        <v>3.0</v>
      </c>
      <c r="H19" s="183">
        <v>3.0</v>
      </c>
      <c r="I19" s="194"/>
      <c r="J19" s="193"/>
      <c r="K19" s="185">
        <f t="shared" si="3"/>
        <v>66.66666667</v>
      </c>
      <c r="L19" s="186">
        <f t="shared" si="4"/>
        <v>0</v>
      </c>
      <c r="M19" s="191"/>
      <c r="N19" s="191"/>
      <c r="O19" s="191"/>
      <c r="P19" s="191"/>
      <c r="Q19" s="191"/>
      <c r="R19" s="191"/>
      <c r="S19" s="191"/>
      <c r="T19" s="188"/>
      <c r="U19" s="189" t="str">
        <f t="shared" si="10"/>
        <v/>
      </c>
      <c r="V19" s="190" t="str">
        <f t="shared" si="5"/>
        <v/>
      </c>
      <c r="W19" s="190" t="str">
        <f t="shared" si="6"/>
        <v/>
      </c>
      <c r="X19" s="191" t="str">
        <f t="shared" si="7"/>
        <v/>
      </c>
      <c r="Y19" s="191" t="str">
        <f t="shared" si="8"/>
        <v/>
      </c>
      <c r="Z19" s="156"/>
    </row>
    <row r="20">
      <c r="A20" s="177">
        <f t="shared" si="1"/>
        <v>45689</v>
      </c>
      <c r="B20" s="178" t="s">
        <v>112</v>
      </c>
      <c r="C20" s="179" t="str">
        <f t="shared" si="2"/>
        <v>Q1</v>
      </c>
      <c r="D20" s="180" t="s">
        <v>32</v>
      </c>
      <c r="E20" s="181" t="s">
        <v>113</v>
      </c>
      <c r="F20" s="182">
        <v>10000.0</v>
      </c>
      <c r="G20" s="183">
        <f t="shared" ref="G20:G23" si="11">SUM(H20:J20)</f>
        <v>30</v>
      </c>
      <c r="H20" s="183">
        <v>5.0</v>
      </c>
      <c r="I20" s="183">
        <v>25.0</v>
      </c>
      <c r="J20" s="184"/>
      <c r="K20" s="185">
        <f t="shared" si="3"/>
        <v>333.3333333</v>
      </c>
      <c r="L20" s="186">
        <f t="shared" si="4"/>
        <v>0</v>
      </c>
      <c r="M20" s="191"/>
      <c r="N20" s="191"/>
      <c r="O20" s="191"/>
      <c r="P20" s="191"/>
      <c r="Q20" s="191"/>
      <c r="R20" s="191"/>
      <c r="S20" s="191"/>
      <c r="T20" s="192"/>
      <c r="U20" s="189" t="str">
        <f>if(T20&lt;=0,"",((T20*12)-#REF!)/#REF!)</f>
        <v/>
      </c>
      <c r="V20" s="190" t="str">
        <f t="shared" si="5"/>
        <v/>
      </c>
      <c r="W20" s="190" t="str">
        <f t="shared" si="6"/>
        <v/>
      </c>
      <c r="X20" s="191" t="str">
        <f t="shared" si="7"/>
        <v/>
      </c>
      <c r="Y20" s="191" t="str">
        <f t="shared" si="8"/>
        <v/>
      </c>
      <c r="Z20" s="156"/>
    </row>
    <row r="21">
      <c r="A21" s="177">
        <f t="shared" si="1"/>
        <v>45778</v>
      </c>
      <c r="B21" s="178" t="s">
        <v>114</v>
      </c>
      <c r="C21" s="179" t="str">
        <f t="shared" si="2"/>
        <v>Q2</v>
      </c>
      <c r="D21" s="180" t="s">
        <v>35</v>
      </c>
      <c r="E21" s="181" t="s">
        <v>115</v>
      </c>
      <c r="F21" s="195">
        <v>7500.0</v>
      </c>
      <c r="G21" s="183">
        <f t="shared" si="11"/>
        <v>15</v>
      </c>
      <c r="H21" s="183">
        <v>10.0</v>
      </c>
      <c r="I21" s="183">
        <v>5.0</v>
      </c>
      <c r="J21" s="193"/>
      <c r="K21" s="185">
        <f t="shared" si="3"/>
        <v>500</v>
      </c>
      <c r="L21" s="186">
        <f t="shared" si="4"/>
        <v>0</v>
      </c>
      <c r="M21" s="191"/>
      <c r="N21" s="191"/>
      <c r="O21" s="191"/>
      <c r="P21" s="191"/>
      <c r="Q21" s="191"/>
      <c r="R21" s="191"/>
      <c r="S21" s="191"/>
      <c r="T21" s="192"/>
      <c r="U21" s="189" t="str">
        <f t="shared" ref="U21:U28" si="12">if(T21&lt;=0,"",((T21*12)-F21)/F21)</f>
        <v/>
      </c>
      <c r="V21" s="190" t="str">
        <f t="shared" si="5"/>
        <v/>
      </c>
      <c r="W21" s="190" t="str">
        <f t="shared" si="6"/>
        <v/>
      </c>
      <c r="X21" s="191" t="str">
        <f t="shared" si="7"/>
        <v/>
      </c>
      <c r="Y21" s="191" t="str">
        <f t="shared" si="8"/>
        <v/>
      </c>
      <c r="Z21" s="156"/>
    </row>
    <row r="22">
      <c r="A22" s="177">
        <f t="shared" si="1"/>
        <v>45839</v>
      </c>
      <c r="B22" s="178" t="s">
        <v>116</v>
      </c>
      <c r="C22" s="179" t="str">
        <f t="shared" si="2"/>
        <v>Q3</v>
      </c>
      <c r="D22" s="180" t="s">
        <v>37</v>
      </c>
      <c r="E22" s="181" t="s">
        <v>115</v>
      </c>
      <c r="F22" s="195">
        <v>7500.0</v>
      </c>
      <c r="G22" s="183">
        <f t="shared" si="11"/>
        <v>15</v>
      </c>
      <c r="H22" s="183">
        <v>10.0</v>
      </c>
      <c r="I22" s="183">
        <v>5.0</v>
      </c>
      <c r="J22" s="184"/>
      <c r="K22" s="185">
        <f t="shared" si="3"/>
        <v>500</v>
      </c>
      <c r="L22" s="186">
        <f t="shared" si="4"/>
        <v>0</v>
      </c>
      <c r="M22" s="191"/>
      <c r="N22" s="191"/>
      <c r="O22" s="191"/>
      <c r="P22" s="191"/>
      <c r="Q22" s="191"/>
      <c r="R22" s="191"/>
      <c r="S22" s="191"/>
      <c r="T22" s="192"/>
      <c r="U22" s="189" t="str">
        <f t="shared" si="12"/>
        <v/>
      </c>
      <c r="V22" s="190" t="str">
        <f t="shared" si="5"/>
        <v/>
      </c>
      <c r="W22" s="190" t="str">
        <f t="shared" si="6"/>
        <v/>
      </c>
      <c r="X22" s="191" t="str">
        <f t="shared" si="7"/>
        <v/>
      </c>
      <c r="Y22" s="191" t="str">
        <f t="shared" si="8"/>
        <v/>
      </c>
      <c r="Z22" s="156"/>
    </row>
    <row r="23">
      <c r="A23" s="177">
        <f t="shared" si="1"/>
        <v>45931</v>
      </c>
      <c r="B23" s="178" t="s">
        <v>117</v>
      </c>
      <c r="C23" s="179" t="str">
        <f t="shared" si="2"/>
        <v>Q4</v>
      </c>
      <c r="D23" s="180" t="s">
        <v>40</v>
      </c>
      <c r="E23" s="181" t="s">
        <v>115</v>
      </c>
      <c r="F23" s="195">
        <v>7500.0</v>
      </c>
      <c r="G23" s="183">
        <f t="shared" si="11"/>
        <v>15</v>
      </c>
      <c r="H23" s="183">
        <v>10.0</v>
      </c>
      <c r="I23" s="183">
        <v>5.0</v>
      </c>
      <c r="J23" s="193"/>
      <c r="K23" s="185">
        <f t="shared" si="3"/>
        <v>500</v>
      </c>
      <c r="L23" s="186">
        <f t="shared" si="4"/>
        <v>0</v>
      </c>
      <c r="M23" s="191"/>
      <c r="N23" s="191"/>
      <c r="O23" s="191"/>
      <c r="P23" s="191"/>
      <c r="Q23" s="191"/>
      <c r="R23" s="191"/>
      <c r="S23" s="191"/>
      <c r="T23" s="192"/>
      <c r="U23" s="189" t="str">
        <f t="shared" si="12"/>
        <v/>
      </c>
      <c r="V23" s="190" t="str">
        <f t="shared" si="5"/>
        <v/>
      </c>
      <c r="W23" s="190" t="str">
        <f t="shared" si="6"/>
        <v/>
      </c>
      <c r="X23" s="191" t="str">
        <f t="shared" si="7"/>
        <v/>
      </c>
      <c r="Y23" s="191" t="str">
        <f t="shared" si="8"/>
        <v/>
      </c>
      <c r="Z23" s="156"/>
    </row>
    <row r="24">
      <c r="A24" s="177" t="str">
        <f t="shared" si="1"/>
        <v/>
      </c>
      <c r="B24" s="196"/>
      <c r="C24" s="179" t="str">
        <f t="shared" si="2"/>
        <v/>
      </c>
      <c r="D24" s="197"/>
      <c r="E24" s="181"/>
      <c r="F24" s="198"/>
      <c r="G24" s="194"/>
      <c r="H24" s="194"/>
      <c r="I24" s="194"/>
      <c r="J24" s="193"/>
      <c r="K24" s="185" t="str">
        <f t="shared" si="3"/>
        <v/>
      </c>
      <c r="L24" s="186">
        <f t="shared" si="4"/>
        <v>0</v>
      </c>
      <c r="M24" s="191"/>
      <c r="N24" s="191"/>
      <c r="O24" s="191"/>
      <c r="P24" s="191"/>
      <c r="Q24" s="191"/>
      <c r="R24" s="191"/>
      <c r="S24" s="191"/>
      <c r="T24" s="192"/>
      <c r="U24" s="189" t="str">
        <f t="shared" si="12"/>
        <v/>
      </c>
      <c r="V24" s="190" t="str">
        <f t="shared" si="5"/>
        <v/>
      </c>
      <c r="W24" s="190" t="str">
        <f t="shared" si="6"/>
        <v/>
      </c>
      <c r="X24" s="191" t="str">
        <f t="shared" si="7"/>
        <v/>
      </c>
      <c r="Y24" s="191" t="str">
        <f t="shared" si="8"/>
        <v/>
      </c>
      <c r="Z24" s="156"/>
    </row>
    <row r="25">
      <c r="A25" s="177">
        <f t="shared" si="1"/>
        <v>45658</v>
      </c>
      <c r="B25" s="178" t="s">
        <v>118</v>
      </c>
      <c r="C25" s="179" t="str">
        <f t="shared" si="2"/>
        <v>Q1</v>
      </c>
      <c r="D25" s="180" t="s">
        <v>31</v>
      </c>
      <c r="E25" s="181" t="s">
        <v>119</v>
      </c>
      <c r="F25" s="182">
        <v>1000.0</v>
      </c>
      <c r="G25" s="183">
        <f t="shared" ref="G25:G32" si="13">SUM(H25:J25)</f>
        <v>2</v>
      </c>
      <c r="H25" s="183">
        <v>2.0</v>
      </c>
      <c r="I25" s="183"/>
      <c r="J25" s="184"/>
      <c r="K25" s="185">
        <f t="shared" si="3"/>
        <v>500</v>
      </c>
      <c r="L25" s="186">
        <f t="shared" si="4"/>
        <v>0</v>
      </c>
      <c r="M25" s="191"/>
      <c r="N25" s="191"/>
      <c r="O25" s="191"/>
      <c r="P25" s="191"/>
      <c r="Q25" s="191"/>
      <c r="R25" s="191"/>
      <c r="S25" s="191"/>
      <c r="T25" s="192"/>
      <c r="U25" s="189" t="str">
        <f t="shared" si="12"/>
        <v/>
      </c>
      <c r="V25" s="190" t="str">
        <f t="shared" si="5"/>
        <v/>
      </c>
      <c r="W25" s="190" t="str">
        <f t="shared" si="6"/>
        <v/>
      </c>
      <c r="X25" s="191" t="str">
        <f t="shared" si="7"/>
        <v/>
      </c>
      <c r="Y25" s="191" t="str">
        <f t="shared" si="8"/>
        <v/>
      </c>
      <c r="Z25" s="156"/>
    </row>
    <row r="26">
      <c r="A26" s="177">
        <f t="shared" si="1"/>
        <v>45689</v>
      </c>
      <c r="B26" s="178" t="s">
        <v>118</v>
      </c>
      <c r="C26" s="179" t="str">
        <f t="shared" si="2"/>
        <v>Q1</v>
      </c>
      <c r="D26" s="180" t="s">
        <v>32</v>
      </c>
      <c r="E26" s="181" t="s">
        <v>119</v>
      </c>
      <c r="F26" s="182">
        <v>1000.0</v>
      </c>
      <c r="G26" s="183">
        <f t="shared" si="13"/>
        <v>3</v>
      </c>
      <c r="H26" s="183">
        <v>3.0</v>
      </c>
      <c r="I26" s="183"/>
      <c r="J26" s="184"/>
      <c r="K26" s="185">
        <f t="shared" si="3"/>
        <v>333.3333333</v>
      </c>
      <c r="L26" s="186">
        <f t="shared" si="4"/>
        <v>0</v>
      </c>
      <c r="M26" s="191"/>
      <c r="N26" s="191"/>
      <c r="O26" s="191"/>
      <c r="P26" s="191"/>
      <c r="Q26" s="191"/>
      <c r="R26" s="191"/>
      <c r="S26" s="191"/>
      <c r="T26" s="192"/>
      <c r="U26" s="189" t="str">
        <f t="shared" si="12"/>
        <v/>
      </c>
      <c r="V26" s="190" t="str">
        <f t="shared" si="5"/>
        <v/>
      </c>
      <c r="W26" s="190" t="str">
        <f t="shared" si="6"/>
        <v/>
      </c>
      <c r="X26" s="191" t="str">
        <f t="shared" si="7"/>
        <v/>
      </c>
      <c r="Y26" s="191" t="str">
        <f t="shared" si="8"/>
        <v/>
      </c>
      <c r="Z26" s="156"/>
    </row>
    <row r="27">
      <c r="A27" s="177">
        <f t="shared" si="1"/>
        <v>45717</v>
      </c>
      <c r="B27" s="178" t="s">
        <v>118</v>
      </c>
      <c r="C27" s="179" t="str">
        <f t="shared" si="2"/>
        <v>Q1</v>
      </c>
      <c r="D27" s="180" t="s">
        <v>33</v>
      </c>
      <c r="E27" s="181" t="s">
        <v>119</v>
      </c>
      <c r="F27" s="182">
        <v>1000.0</v>
      </c>
      <c r="G27" s="183">
        <f t="shared" si="13"/>
        <v>4</v>
      </c>
      <c r="H27" s="183">
        <v>4.0</v>
      </c>
      <c r="I27" s="183"/>
      <c r="J27" s="184"/>
      <c r="K27" s="185">
        <f t="shared" si="3"/>
        <v>250</v>
      </c>
      <c r="L27" s="186">
        <f t="shared" si="4"/>
        <v>0</v>
      </c>
      <c r="M27" s="191"/>
      <c r="N27" s="191"/>
      <c r="O27" s="191"/>
      <c r="P27" s="191"/>
      <c r="Q27" s="191"/>
      <c r="R27" s="191"/>
      <c r="S27" s="191"/>
      <c r="T27" s="192"/>
      <c r="U27" s="189" t="str">
        <f t="shared" si="12"/>
        <v/>
      </c>
      <c r="V27" s="190" t="str">
        <f t="shared" si="5"/>
        <v/>
      </c>
      <c r="W27" s="190" t="str">
        <f t="shared" si="6"/>
        <v/>
      </c>
      <c r="X27" s="191" t="str">
        <f t="shared" si="7"/>
        <v/>
      </c>
      <c r="Y27" s="191" t="str">
        <f t="shared" si="8"/>
        <v/>
      </c>
      <c r="Z27" s="156"/>
    </row>
    <row r="28">
      <c r="A28" s="177">
        <f t="shared" si="1"/>
        <v>45748</v>
      </c>
      <c r="B28" s="178" t="s">
        <v>118</v>
      </c>
      <c r="C28" s="179" t="str">
        <f t="shared" si="2"/>
        <v>Q2</v>
      </c>
      <c r="D28" s="180" t="s">
        <v>34</v>
      </c>
      <c r="E28" s="181" t="s">
        <v>119</v>
      </c>
      <c r="F28" s="182">
        <v>1000.0</v>
      </c>
      <c r="G28" s="183">
        <f t="shared" si="13"/>
        <v>5</v>
      </c>
      <c r="H28" s="183">
        <v>5.0</v>
      </c>
      <c r="I28" s="183"/>
      <c r="J28" s="184"/>
      <c r="K28" s="185">
        <f t="shared" si="3"/>
        <v>200</v>
      </c>
      <c r="L28" s="186">
        <f t="shared" si="4"/>
        <v>0</v>
      </c>
      <c r="M28" s="191"/>
      <c r="N28" s="191"/>
      <c r="O28" s="191"/>
      <c r="P28" s="191"/>
      <c r="Q28" s="191"/>
      <c r="R28" s="191"/>
      <c r="S28" s="191"/>
      <c r="T28" s="192"/>
      <c r="U28" s="189" t="str">
        <f t="shared" si="12"/>
        <v/>
      </c>
      <c r="V28" s="190" t="str">
        <f t="shared" si="5"/>
        <v/>
      </c>
      <c r="W28" s="190" t="str">
        <f t="shared" si="6"/>
        <v/>
      </c>
      <c r="X28" s="191" t="str">
        <f t="shared" si="7"/>
        <v/>
      </c>
      <c r="Y28" s="191" t="str">
        <f t="shared" si="8"/>
        <v/>
      </c>
      <c r="Z28" s="156"/>
    </row>
    <row r="29">
      <c r="A29" s="177"/>
      <c r="B29" s="178" t="s">
        <v>118</v>
      </c>
      <c r="C29" s="179" t="str">
        <f t="shared" si="2"/>
        <v>Q1</v>
      </c>
      <c r="D29" s="180" t="s">
        <v>35</v>
      </c>
      <c r="E29" s="181" t="s">
        <v>119</v>
      </c>
      <c r="F29" s="182">
        <v>1000.0</v>
      </c>
      <c r="G29" s="183">
        <f t="shared" si="13"/>
        <v>5</v>
      </c>
      <c r="H29" s="183">
        <v>5.0</v>
      </c>
      <c r="I29" s="183"/>
      <c r="J29" s="193"/>
      <c r="K29" s="185">
        <f t="shared" si="3"/>
        <v>200</v>
      </c>
      <c r="L29" s="199"/>
      <c r="M29" s="191"/>
      <c r="N29" s="191"/>
      <c r="O29" s="191"/>
      <c r="P29" s="191"/>
      <c r="Q29" s="191"/>
      <c r="R29" s="191"/>
      <c r="S29" s="191"/>
      <c r="T29" s="192"/>
      <c r="U29" s="189"/>
      <c r="V29" s="190"/>
      <c r="W29" s="190"/>
      <c r="X29" s="191"/>
      <c r="Y29" s="191"/>
      <c r="Z29" s="156"/>
    </row>
    <row r="30">
      <c r="A30" s="177"/>
      <c r="B30" s="178" t="s">
        <v>118</v>
      </c>
      <c r="C30" s="179" t="str">
        <f t="shared" si="2"/>
        <v>Q1</v>
      </c>
      <c r="D30" s="180" t="s">
        <v>36</v>
      </c>
      <c r="E30" s="181" t="s">
        <v>119</v>
      </c>
      <c r="F30" s="182">
        <v>1000.0</v>
      </c>
      <c r="G30" s="183">
        <f t="shared" si="13"/>
        <v>5</v>
      </c>
      <c r="H30" s="183">
        <v>5.0</v>
      </c>
      <c r="I30" s="183"/>
      <c r="J30" s="193"/>
      <c r="K30" s="185">
        <f t="shared" si="3"/>
        <v>200</v>
      </c>
      <c r="L30" s="199"/>
      <c r="M30" s="191"/>
      <c r="N30" s="191"/>
      <c r="O30" s="191"/>
      <c r="P30" s="191"/>
      <c r="Q30" s="191"/>
      <c r="R30" s="191"/>
      <c r="S30" s="191"/>
      <c r="T30" s="192"/>
      <c r="U30" s="189"/>
      <c r="V30" s="190"/>
      <c r="W30" s="190"/>
      <c r="X30" s="191"/>
      <c r="Y30" s="191"/>
      <c r="Z30" s="156"/>
    </row>
    <row r="31">
      <c r="A31" s="177"/>
      <c r="B31" s="178" t="s">
        <v>118</v>
      </c>
      <c r="C31" s="179" t="str">
        <f t="shared" si="2"/>
        <v>Q1</v>
      </c>
      <c r="D31" s="180" t="s">
        <v>37</v>
      </c>
      <c r="E31" s="181" t="s">
        <v>119</v>
      </c>
      <c r="F31" s="182">
        <v>1000.0</v>
      </c>
      <c r="G31" s="183">
        <f t="shared" si="13"/>
        <v>5</v>
      </c>
      <c r="H31" s="183">
        <v>5.0</v>
      </c>
      <c r="I31" s="183"/>
      <c r="J31" s="193"/>
      <c r="K31" s="185">
        <f t="shared" si="3"/>
        <v>200</v>
      </c>
      <c r="L31" s="199"/>
      <c r="M31" s="191"/>
      <c r="N31" s="191"/>
      <c r="O31" s="191"/>
      <c r="P31" s="191"/>
      <c r="Q31" s="191"/>
      <c r="R31" s="191"/>
      <c r="S31" s="191"/>
      <c r="T31" s="192"/>
      <c r="U31" s="189"/>
      <c r="V31" s="190"/>
      <c r="W31" s="190"/>
      <c r="X31" s="191"/>
      <c r="Y31" s="191"/>
      <c r="Z31" s="156"/>
    </row>
    <row r="32">
      <c r="A32" s="177">
        <f t="shared" ref="A32:A999" si="14">iferror(DATEVALUE(D32 &amp; " 1"),"")</f>
        <v>45870</v>
      </c>
      <c r="B32" s="178" t="s">
        <v>118</v>
      </c>
      <c r="C32" s="179" t="str">
        <f t="shared" si="2"/>
        <v>Q3</v>
      </c>
      <c r="D32" s="180" t="s">
        <v>38</v>
      </c>
      <c r="E32" s="181" t="s">
        <v>119</v>
      </c>
      <c r="F32" s="182">
        <v>1000.0</v>
      </c>
      <c r="G32" s="183">
        <f t="shared" si="13"/>
        <v>5</v>
      </c>
      <c r="H32" s="200">
        <v>5.0</v>
      </c>
      <c r="I32" s="201"/>
      <c r="J32" s="202"/>
      <c r="K32" s="185">
        <f t="shared" si="3"/>
        <v>200</v>
      </c>
      <c r="L32" s="186">
        <f t="shared" ref="L32:L999" si="15">SUM(M32:O32)</f>
        <v>0</v>
      </c>
      <c r="M32" s="191"/>
      <c r="N32" s="191"/>
      <c r="O32" s="191"/>
      <c r="P32" s="191"/>
      <c r="Q32" s="191"/>
      <c r="R32" s="191"/>
      <c r="S32" s="191"/>
      <c r="T32" s="192"/>
      <c r="U32" s="189" t="str">
        <f t="shared" ref="U32:U999" si="16">if(T32&lt;=0,"",((T32*12)-F32)/F32)</f>
        <v/>
      </c>
      <c r="V32" s="190" t="str">
        <f t="shared" ref="V32:V999" si="17">iferror(L32/P32,"")</f>
        <v/>
      </c>
      <c r="W32" s="190" t="str">
        <f t="shared" ref="W32:W999" si="18">iferror(Q32/L32,"")</f>
        <v/>
      </c>
      <c r="X32" s="191" t="str">
        <f t="shared" ref="X32:X999" si="19">iferror(R32/Q32,"")</f>
        <v/>
      </c>
      <c r="Y32" s="191" t="str">
        <f t="shared" ref="Y32:Y999" si="20">iferror(R32/L32,"")</f>
        <v/>
      </c>
      <c r="Z32" s="156"/>
    </row>
    <row r="33">
      <c r="A33" s="177">
        <f t="shared" si="14"/>
        <v>45901</v>
      </c>
      <c r="B33" s="178" t="s">
        <v>118</v>
      </c>
      <c r="C33" s="179" t="str">
        <f t="shared" si="2"/>
        <v>Q3</v>
      </c>
      <c r="D33" s="180" t="s">
        <v>39</v>
      </c>
      <c r="E33" s="181" t="s">
        <v>119</v>
      </c>
      <c r="F33" s="182">
        <v>1000.0</v>
      </c>
      <c r="G33" s="183">
        <v>6.0</v>
      </c>
      <c r="H33" s="200">
        <v>6.0</v>
      </c>
      <c r="I33" s="201"/>
      <c r="J33" s="202"/>
      <c r="K33" s="185">
        <f t="shared" si="3"/>
        <v>166.6666667</v>
      </c>
      <c r="L33" s="186">
        <f t="shared" si="15"/>
        <v>0</v>
      </c>
      <c r="M33" s="191"/>
      <c r="N33" s="191"/>
      <c r="O33" s="191"/>
      <c r="P33" s="191"/>
      <c r="Q33" s="191"/>
      <c r="R33" s="191"/>
      <c r="S33" s="191"/>
      <c r="T33" s="192"/>
      <c r="U33" s="189" t="str">
        <f t="shared" si="16"/>
        <v/>
      </c>
      <c r="V33" s="190" t="str">
        <f t="shared" si="17"/>
        <v/>
      </c>
      <c r="W33" s="190" t="str">
        <f t="shared" si="18"/>
        <v/>
      </c>
      <c r="X33" s="191" t="str">
        <f t="shared" si="19"/>
        <v/>
      </c>
      <c r="Y33" s="191" t="str">
        <f t="shared" si="20"/>
        <v/>
      </c>
      <c r="Z33" s="156"/>
    </row>
    <row r="34">
      <c r="A34" s="177">
        <f t="shared" si="14"/>
        <v>45931</v>
      </c>
      <c r="B34" s="178" t="s">
        <v>118</v>
      </c>
      <c r="C34" s="179" t="str">
        <f t="shared" si="2"/>
        <v>Q4</v>
      </c>
      <c r="D34" s="180" t="s">
        <v>40</v>
      </c>
      <c r="E34" s="181" t="s">
        <v>119</v>
      </c>
      <c r="F34" s="182">
        <v>1000.0</v>
      </c>
      <c r="G34" s="183">
        <f t="shared" ref="G34:G36" si="21">SUM(H34:J34)</f>
        <v>5</v>
      </c>
      <c r="H34" s="200">
        <v>5.0</v>
      </c>
      <c r="I34" s="201"/>
      <c r="J34" s="202"/>
      <c r="K34" s="185">
        <f t="shared" si="3"/>
        <v>200</v>
      </c>
      <c r="L34" s="186">
        <f t="shared" si="15"/>
        <v>0</v>
      </c>
      <c r="M34" s="191"/>
      <c r="N34" s="191"/>
      <c r="O34" s="191"/>
      <c r="P34" s="191"/>
      <c r="Q34" s="191"/>
      <c r="R34" s="191"/>
      <c r="S34" s="191"/>
      <c r="T34" s="192"/>
      <c r="U34" s="189" t="str">
        <f t="shared" si="16"/>
        <v/>
      </c>
      <c r="V34" s="190" t="str">
        <f t="shared" si="17"/>
        <v/>
      </c>
      <c r="W34" s="190" t="str">
        <f t="shared" si="18"/>
        <v/>
      </c>
      <c r="X34" s="191" t="str">
        <f t="shared" si="19"/>
        <v/>
      </c>
      <c r="Y34" s="191" t="str">
        <f t="shared" si="20"/>
        <v/>
      </c>
      <c r="Z34" s="156"/>
    </row>
    <row r="35">
      <c r="A35" s="177">
        <f t="shared" si="14"/>
        <v>45962</v>
      </c>
      <c r="B35" s="178" t="s">
        <v>118</v>
      </c>
      <c r="C35" s="179" t="str">
        <f t="shared" si="2"/>
        <v>Q4</v>
      </c>
      <c r="D35" s="180" t="s">
        <v>41</v>
      </c>
      <c r="E35" s="181" t="s">
        <v>119</v>
      </c>
      <c r="F35" s="182">
        <v>1000.0</v>
      </c>
      <c r="G35" s="183">
        <f t="shared" si="21"/>
        <v>5</v>
      </c>
      <c r="H35" s="200">
        <v>5.0</v>
      </c>
      <c r="I35" s="201"/>
      <c r="J35" s="202"/>
      <c r="K35" s="185">
        <f t="shared" si="3"/>
        <v>200</v>
      </c>
      <c r="L35" s="186">
        <f t="shared" si="15"/>
        <v>0</v>
      </c>
      <c r="M35" s="191"/>
      <c r="N35" s="191"/>
      <c r="O35" s="191"/>
      <c r="P35" s="191"/>
      <c r="Q35" s="191"/>
      <c r="R35" s="191"/>
      <c r="S35" s="191"/>
      <c r="T35" s="192"/>
      <c r="U35" s="189" t="str">
        <f t="shared" si="16"/>
        <v/>
      </c>
      <c r="V35" s="190" t="str">
        <f t="shared" si="17"/>
        <v/>
      </c>
      <c r="W35" s="190" t="str">
        <f t="shared" si="18"/>
        <v/>
      </c>
      <c r="X35" s="191" t="str">
        <f t="shared" si="19"/>
        <v/>
      </c>
      <c r="Y35" s="191" t="str">
        <f t="shared" si="20"/>
        <v/>
      </c>
      <c r="Z35" s="156"/>
    </row>
    <row r="36">
      <c r="A36" s="177">
        <f t="shared" si="14"/>
        <v>45992</v>
      </c>
      <c r="B36" s="178" t="s">
        <v>118</v>
      </c>
      <c r="C36" s="179" t="str">
        <f t="shared" si="2"/>
        <v>Q4</v>
      </c>
      <c r="D36" s="180" t="s">
        <v>42</v>
      </c>
      <c r="E36" s="181" t="s">
        <v>119</v>
      </c>
      <c r="F36" s="182">
        <v>1000.0</v>
      </c>
      <c r="G36" s="183">
        <f t="shared" si="21"/>
        <v>5</v>
      </c>
      <c r="H36" s="200">
        <v>5.0</v>
      </c>
      <c r="I36" s="201"/>
      <c r="J36" s="202"/>
      <c r="K36" s="185">
        <f t="shared" si="3"/>
        <v>200</v>
      </c>
      <c r="L36" s="186">
        <f t="shared" si="15"/>
        <v>0</v>
      </c>
      <c r="M36" s="191"/>
      <c r="N36" s="191"/>
      <c r="O36" s="191"/>
      <c r="P36" s="191"/>
      <c r="Q36" s="191"/>
      <c r="R36" s="191"/>
      <c r="S36" s="191"/>
      <c r="T36" s="192"/>
      <c r="U36" s="189" t="str">
        <f t="shared" si="16"/>
        <v/>
      </c>
      <c r="V36" s="190" t="str">
        <f t="shared" si="17"/>
        <v/>
      </c>
      <c r="W36" s="190" t="str">
        <f t="shared" si="18"/>
        <v/>
      </c>
      <c r="X36" s="191" t="str">
        <f t="shared" si="19"/>
        <v/>
      </c>
      <c r="Y36" s="191" t="str">
        <f t="shared" si="20"/>
        <v/>
      </c>
      <c r="Z36" s="156"/>
    </row>
    <row r="37">
      <c r="A37" s="177" t="str">
        <f t="shared" si="14"/>
        <v/>
      </c>
      <c r="B37" s="196"/>
      <c r="C37" s="179" t="str">
        <f t="shared" si="2"/>
        <v/>
      </c>
      <c r="D37" s="197"/>
      <c r="E37" s="181"/>
      <c r="F37" s="198"/>
      <c r="G37" s="201"/>
      <c r="H37" s="201"/>
      <c r="I37" s="201"/>
      <c r="J37" s="202"/>
      <c r="K37" s="185" t="str">
        <f t="shared" si="3"/>
        <v/>
      </c>
      <c r="L37" s="186">
        <f t="shared" si="15"/>
        <v>0</v>
      </c>
      <c r="M37" s="191"/>
      <c r="N37" s="191"/>
      <c r="O37" s="191"/>
      <c r="P37" s="191"/>
      <c r="Q37" s="191"/>
      <c r="R37" s="191"/>
      <c r="S37" s="191"/>
      <c r="T37" s="192"/>
      <c r="U37" s="189" t="str">
        <f t="shared" si="16"/>
        <v/>
      </c>
      <c r="V37" s="190" t="str">
        <f t="shared" si="17"/>
        <v/>
      </c>
      <c r="W37" s="190" t="str">
        <f t="shared" si="18"/>
        <v/>
      </c>
      <c r="X37" s="191" t="str">
        <f t="shared" si="19"/>
        <v/>
      </c>
      <c r="Y37" s="191" t="str">
        <f t="shared" si="20"/>
        <v/>
      </c>
      <c r="Z37" s="156"/>
    </row>
    <row r="38">
      <c r="A38" s="177" t="str">
        <f t="shared" si="14"/>
        <v/>
      </c>
      <c r="B38" s="196"/>
      <c r="C38" s="179" t="str">
        <f t="shared" si="2"/>
        <v/>
      </c>
      <c r="D38" s="197"/>
      <c r="E38" s="181"/>
      <c r="F38" s="198"/>
      <c r="G38" s="201"/>
      <c r="H38" s="201"/>
      <c r="I38" s="201"/>
      <c r="J38" s="202"/>
      <c r="K38" s="185" t="str">
        <f t="shared" si="3"/>
        <v/>
      </c>
      <c r="L38" s="186">
        <f t="shared" si="15"/>
        <v>0</v>
      </c>
      <c r="M38" s="191"/>
      <c r="N38" s="191"/>
      <c r="O38" s="191"/>
      <c r="P38" s="191"/>
      <c r="Q38" s="191"/>
      <c r="R38" s="191"/>
      <c r="S38" s="191"/>
      <c r="T38" s="192"/>
      <c r="U38" s="189" t="str">
        <f t="shared" si="16"/>
        <v/>
      </c>
      <c r="V38" s="190" t="str">
        <f t="shared" si="17"/>
        <v/>
      </c>
      <c r="W38" s="190" t="str">
        <f t="shared" si="18"/>
        <v/>
      </c>
      <c r="X38" s="191" t="str">
        <f t="shared" si="19"/>
        <v/>
      </c>
      <c r="Y38" s="191" t="str">
        <f t="shared" si="20"/>
        <v/>
      </c>
      <c r="Z38" s="156"/>
    </row>
    <row r="39">
      <c r="A39" s="177" t="str">
        <f t="shared" si="14"/>
        <v/>
      </c>
      <c r="B39" s="196"/>
      <c r="C39" s="179" t="str">
        <f t="shared" si="2"/>
        <v/>
      </c>
      <c r="D39" s="197"/>
      <c r="E39" s="181"/>
      <c r="F39" s="198"/>
      <c r="G39" s="201"/>
      <c r="H39" s="201"/>
      <c r="I39" s="201"/>
      <c r="J39" s="202"/>
      <c r="K39" s="185" t="str">
        <f t="shared" si="3"/>
        <v/>
      </c>
      <c r="L39" s="186">
        <f t="shared" si="15"/>
        <v>0</v>
      </c>
      <c r="M39" s="191"/>
      <c r="N39" s="191"/>
      <c r="O39" s="191"/>
      <c r="P39" s="191"/>
      <c r="Q39" s="191"/>
      <c r="R39" s="191"/>
      <c r="S39" s="191"/>
      <c r="T39" s="192"/>
      <c r="U39" s="189" t="str">
        <f t="shared" si="16"/>
        <v/>
      </c>
      <c r="V39" s="190" t="str">
        <f t="shared" si="17"/>
        <v/>
      </c>
      <c r="W39" s="190" t="str">
        <f t="shared" si="18"/>
        <v/>
      </c>
      <c r="X39" s="191" t="str">
        <f t="shared" si="19"/>
        <v/>
      </c>
      <c r="Y39" s="191" t="str">
        <f t="shared" si="20"/>
        <v/>
      </c>
      <c r="Z39" s="156"/>
    </row>
    <row r="40">
      <c r="A40" s="177" t="str">
        <f t="shared" si="14"/>
        <v/>
      </c>
      <c r="B40" s="196"/>
      <c r="C40" s="179" t="str">
        <f t="shared" si="2"/>
        <v/>
      </c>
      <c r="D40" s="197"/>
      <c r="E40" s="181"/>
      <c r="F40" s="198"/>
      <c r="G40" s="201"/>
      <c r="H40" s="201"/>
      <c r="I40" s="201"/>
      <c r="J40" s="202"/>
      <c r="K40" s="185" t="str">
        <f t="shared" si="3"/>
        <v/>
      </c>
      <c r="L40" s="186">
        <f t="shared" si="15"/>
        <v>0</v>
      </c>
      <c r="M40" s="191"/>
      <c r="N40" s="191"/>
      <c r="O40" s="191"/>
      <c r="P40" s="191"/>
      <c r="Q40" s="191"/>
      <c r="R40" s="191"/>
      <c r="S40" s="191"/>
      <c r="T40" s="192"/>
      <c r="U40" s="189" t="str">
        <f t="shared" si="16"/>
        <v/>
      </c>
      <c r="V40" s="190" t="str">
        <f t="shared" si="17"/>
        <v/>
      </c>
      <c r="W40" s="190" t="str">
        <f t="shared" si="18"/>
        <v/>
      </c>
      <c r="X40" s="191" t="str">
        <f t="shared" si="19"/>
        <v/>
      </c>
      <c r="Y40" s="191" t="str">
        <f t="shared" si="20"/>
        <v/>
      </c>
      <c r="Z40" s="156"/>
    </row>
    <row r="41">
      <c r="A41" s="177" t="str">
        <f t="shared" si="14"/>
        <v/>
      </c>
      <c r="B41" s="196"/>
      <c r="C41" s="179" t="str">
        <f t="shared" si="2"/>
        <v/>
      </c>
      <c r="D41" s="197"/>
      <c r="E41" s="181"/>
      <c r="F41" s="198"/>
      <c r="G41" s="201"/>
      <c r="H41" s="201"/>
      <c r="I41" s="201"/>
      <c r="J41" s="202"/>
      <c r="K41" s="185" t="str">
        <f t="shared" si="3"/>
        <v/>
      </c>
      <c r="L41" s="186">
        <f t="shared" si="15"/>
        <v>0</v>
      </c>
      <c r="M41" s="191"/>
      <c r="N41" s="191"/>
      <c r="O41" s="191"/>
      <c r="P41" s="191"/>
      <c r="Q41" s="191"/>
      <c r="R41" s="191"/>
      <c r="S41" s="191"/>
      <c r="T41" s="192"/>
      <c r="U41" s="189" t="str">
        <f t="shared" si="16"/>
        <v/>
      </c>
      <c r="V41" s="190" t="str">
        <f t="shared" si="17"/>
        <v/>
      </c>
      <c r="W41" s="190" t="str">
        <f t="shared" si="18"/>
        <v/>
      </c>
      <c r="X41" s="191" t="str">
        <f t="shared" si="19"/>
        <v/>
      </c>
      <c r="Y41" s="191" t="str">
        <f t="shared" si="20"/>
        <v/>
      </c>
      <c r="Z41" s="156"/>
    </row>
    <row r="42">
      <c r="A42" s="177" t="str">
        <f t="shared" si="14"/>
        <v/>
      </c>
      <c r="B42" s="196"/>
      <c r="C42" s="179" t="str">
        <f t="shared" si="2"/>
        <v/>
      </c>
      <c r="D42" s="197"/>
      <c r="E42" s="181"/>
      <c r="F42" s="198"/>
      <c r="G42" s="201"/>
      <c r="H42" s="201"/>
      <c r="I42" s="201"/>
      <c r="J42" s="202"/>
      <c r="K42" s="185" t="str">
        <f t="shared" si="3"/>
        <v/>
      </c>
      <c r="L42" s="186">
        <f t="shared" si="15"/>
        <v>0</v>
      </c>
      <c r="M42" s="191"/>
      <c r="N42" s="191"/>
      <c r="O42" s="191"/>
      <c r="P42" s="191"/>
      <c r="Q42" s="191"/>
      <c r="R42" s="191"/>
      <c r="S42" s="191"/>
      <c r="T42" s="192"/>
      <c r="U42" s="189" t="str">
        <f t="shared" si="16"/>
        <v/>
      </c>
      <c r="V42" s="190" t="str">
        <f t="shared" si="17"/>
        <v/>
      </c>
      <c r="W42" s="190" t="str">
        <f t="shared" si="18"/>
        <v/>
      </c>
      <c r="X42" s="191" t="str">
        <f t="shared" si="19"/>
        <v/>
      </c>
      <c r="Y42" s="191" t="str">
        <f t="shared" si="20"/>
        <v/>
      </c>
      <c r="Z42" s="156"/>
    </row>
    <row r="43">
      <c r="A43" s="177" t="str">
        <f t="shared" si="14"/>
        <v/>
      </c>
      <c r="B43" s="196"/>
      <c r="C43" s="179" t="str">
        <f t="shared" si="2"/>
        <v/>
      </c>
      <c r="D43" s="197"/>
      <c r="E43" s="181"/>
      <c r="F43" s="198"/>
      <c r="G43" s="201"/>
      <c r="H43" s="201"/>
      <c r="I43" s="201"/>
      <c r="J43" s="202"/>
      <c r="K43" s="185" t="str">
        <f t="shared" si="3"/>
        <v/>
      </c>
      <c r="L43" s="186">
        <f t="shared" si="15"/>
        <v>0</v>
      </c>
      <c r="M43" s="191"/>
      <c r="N43" s="191"/>
      <c r="O43" s="191"/>
      <c r="P43" s="191"/>
      <c r="Q43" s="191"/>
      <c r="R43" s="191"/>
      <c r="S43" s="191"/>
      <c r="T43" s="192"/>
      <c r="U43" s="189" t="str">
        <f t="shared" si="16"/>
        <v/>
      </c>
      <c r="V43" s="190" t="str">
        <f t="shared" si="17"/>
        <v/>
      </c>
      <c r="W43" s="190" t="str">
        <f t="shared" si="18"/>
        <v/>
      </c>
      <c r="X43" s="191" t="str">
        <f t="shared" si="19"/>
        <v/>
      </c>
      <c r="Y43" s="191" t="str">
        <f t="shared" si="20"/>
        <v/>
      </c>
      <c r="Z43" s="156"/>
    </row>
    <row r="44">
      <c r="A44" s="177" t="str">
        <f t="shared" si="14"/>
        <v/>
      </c>
      <c r="B44" s="196"/>
      <c r="C44" s="179" t="str">
        <f t="shared" si="2"/>
        <v/>
      </c>
      <c r="D44" s="197"/>
      <c r="E44" s="181"/>
      <c r="F44" s="198"/>
      <c r="G44" s="201"/>
      <c r="H44" s="201"/>
      <c r="I44" s="201"/>
      <c r="J44" s="202"/>
      <c r="K44" s="185" t="str">
        <f t="shared" si="3"/>
        <v/>
      </c>
      <c r="L44" s="186">
        <f t="shared" si="15"/>
        <v>0</v>
      </c>
      <c r="M44" s="191"/>
      <c r="N44" s="191"/>
      <c r="O44" s="191"/>
      <c r="P44" s="191"/>
      <c r="Q44" s="191"/>
      <c r="R44" s="191"/>
      <c r="S44" s="191"/>
      <c r="T44" s="192"/>
      <c r="U44" s="189" t="str">
        <f t="shared" si="16"/>
        <v/>
      </c>
      <c r="V44" s="190" t="str">
        <f t="shared" si="17"/>
        <v/>
      </c>
      <c r="W44" s="190" t="str">
        <f t="shared" si="18"/>
        <v/>
      </c>
      <c r="X44" s="191" t="str">
        <f t="shared" si="19"/>
        <v/>
      </c>
      <c r="Y44" s="191" t="str">
        <f t="shared" si="20"/>
        <v/>
      </c>
      <c r="Z44" s="156"/>
    </row>
    <row r="45">
      <c r="A45" s="177" t="str">
        <f t="shared" si="14"/>
        <v/>
      </c>
      <c r="B45" s="196"/>
      <c r="C45" s="179" t="str">
        <f t="shared" si="2"/>
        <v/>
      </c>
      <c r="D45" s="197"/>
      <c r="E45" s="181"/>
      <c r="F45" s="198"/>
      <c r="G45" s="201"/>
      <c r="H45" s="201"/>
      <c r="I45" s="201"/>
      <c r="J45" s="202"/>
      <c r="K45" s="185" t="str">
        <f t="shared" si="3"/>
        <v/>
      </c>
      <c r="L45" s="186">
        <f t="shared" si="15"/>
        <v>0</v>
      </c>
      <c r="M45" s="191"/>
      <c r="N45" s="191"/>
      <c r="O45" s="191"/>
      <c r="P45" s="191"/>
      <c r="Q45" s="191"/>
      <c r="R45" s="191"/>
      <c r="S45" s="191"/>
      <c r="T45" s="192"/>
      <c r="U45" s="189" t="str">
        <f t="shared" si="16"/>
        <v/>
      </c>
      <c r="V45" s="190" t="str">
        <f t="shared" si="17"/>
        <v/>
      </c>
      <c r="W45" s="190" t="str">
        <f t="shared" si="18"/>
        <v/>
      </c>
      <c r="X45" s="191" t="str">
        <f t="shared" si="19"/>
        <v/>
      </c>
      <c r="Y45" s="191" t="str">
        <f t="shared" si="20"/>
        <v/>
      </c>
      <c r="Z45" s="156"/>
    </row>
    <row r="46">
      <c r="A46" s="177" t="str">
        <f t="shared" si="14"/>
        <v/>
      </c>
      <c r="B46" s="196"/>
      <c r="C46" s="179" t="str">
        <f t="shared" si="2"/>
        <v/>
      </c>
      <c r="D46" s="197"/>
      <c r="E46" s="181"/>
      <c r="F46" s="198"/>
      <c r="G46" s="201"/>
      <c r="H46" s="201"/>
      <c r="I46" s="201"/>
      <c r="J46" s="202"/>
      <c r="K46" s="185" t="str">
        <f t="shared" si="3"/>
        <v/>
      </c>
      <c r="L46" s="186">
        <f t="shared" si="15"/>
        <v>0</v>
      </c>
      <c r="M46" s="191"/>
      <c r="N46" s="191"/>
      <c r="O46" s="191"/>
      <c r="P46" s="191"/>
      <c r="Q46" s="191"/>
      <c r="R46" s="191"/>
      <c r="S46" s="191"/>
      <c r="T46" s="192"/>
      <c r="U46" s="189" t="str">
        <f t="shared" si="16"/>
        <v/>
      </c>
      <c r="V46" s="190" t="str">
        <f t="shared" si="17"/>
        <v/>
      </c>
      <c r="W46" s="190" t="str">
        <f t="shared" si="18"/>
        <v/>
      </c>
      <c r="X46" s="191" t="str">
        <f t="shared" si="19"/>
        <v/>
      </c>
      <c r="Y46" s="191" t="str">
        <f t="shared" si="20"/>
        <v/>
      </c>
      <c r="Z46" s="156"/>
    </row>
    <row r="47">
      <c r="A47" s="177" t="str">
        <f t="shared" si="14"/>
        <v/>
      </c>
      <c r="B47" s="196"/>
      <c r="C47" s="179" t="str">
        <f t="shared" si="2"/>
        <v/>
      </c>
      <c r="D47" s="197"/>
      <c r="E47" s="181"/>
      <c r="F47" s="198"/>
      <c r="G47" s="201"/>
      <c r="H47" s="201"/>
      <c r="I47" s="201"/>
      <c r="J47" s="202"/>
      <c r="K47" s="185" t="str">
        <f t="shared" si="3"/>
        <v/>
      </c>
      <c r="L47" s="186">
        <f t="shared" si="15"/>
        <v>0</v>
      </c>
      <c r="M47" s="191"/>
      <c r="N47" s="191"/>
      <c r="O47" s="191"/>
      <c r="P47" s="191"/>
      <c r="Q47" s="191"/>
      <c r="R47" s="191"/>
      <c r="S47" s="191"/>
      <c r="T47" s="192"/>
      <c r="U47" s="189" t="str">
        <f t="shared" si="16"/>
        <v/>
      </c>
      <c r="V47" s="190" t="str">
        <f t="shared" si="17"/>
        <v/>
      </c>
      <c r="W47" s="190" t="str">
        <f t="shared" si="18"/>
        <v/>
      </c>
      <c r="X47" s="191" t="str">
        <f t="shared" si="19"/>
        <v/>
      </c>
      <c r="Y47" s="191" t="str">
        <f t="shared" si="20"/>
        <v/>
      </c>
      <c r="Z47" s="156"/>
    </row>
    <row r="48">
      <c r="A48" s="177" t="str">
        <f t="shared" si="14"/>
        <v/>
      </c>
      <c r="B48" s="196"/>
      <c r="C48" s="179" t="str">
        <f t="shared" si="2"/>
        <v/>
      </c>
      <c r="D48" s="197"/>
      <c r="E48" s="181"/>
      <c r="F48" s="198"/>
      <c r="G48" s="201"/>
      <c r="H48" s="201"/>
      <c r="I48" s="201"/>
      <c r="J48" s="202"/>
      <c r="K48" s="185" t="str">
        <f t="shared" si="3"/>
        <v/>
      </c>
      <c r="L48" s="186">
        <f t="shared" si="15"/>
        <v>0</v>
      </c>
      <c r="M48" s="191"/>
      <c r="N48" s="191"/>
      <c r="O48" s="191"/>
      <c r="P48" s="191"/>
      <c r="Q48" s="191"/>
      <c r="R48" s="191"/>
      <c r="S48" s="191"/>
      <c r="T48" s="192"/>
      <c r="U48" s="189" t="str">
        <f t="shared" si="16"/>
        <v/>
      </c>
      <c r="V48" s="190" t="str">
        <f t="shared" si="17"/>
        <v/>
      </c>
      <c r="W48" s="190" t="str">
        <f t="shared" si="18"/>
        <v/>
      </c>
      <c r="X48" s="191" t="str">
        <f t="shared" si="19"/>
        <v/>
      </c>
      <c r="Y48" s="191" t="str">
        <f t="shared" si="20"/>
        <v/>
      </c>
      <c r="Z48" s="156"/>
    </row>
    <row r="49">
      <c r="A49" s="177" t="str">
        <f t="shared" si="14"/>
        <v/>
      </c>
      <c r="B49" s="196"/>
      <c r="C49" s="179" t="str">
        <f t="shared" si="2"/>
        <v/>
      </c>
      <c r="D49" s="197"/>
      <c r="E49" s="181"/>
      <c r="F49" s="198"/>
      <c r="G49" s="201"/>
      <c r="H49" s="201"/>
      <c r="I49" s="201"/>
      <c r="J49" s="202"/>
      <c r="K49" s="185" t="str">
        <f t="shared" si="3"/>
        <v/>
      </c>
      <c r="L49" s="186">
        <f t="shared" si="15"/>
        <v>0</v>
      </c>
      <c r="M49" s="191"/>
      <c r="N49" s="191"/>
      <c r="O49" s="191"/>
      <c r="P49" s="191"/>
      <c r="Q49" s="191"/>
      <c r="R49" s="191"/>
      <c r="S49" s="191"/>
      <c r="T49" s="192"/>
      <c r="U49" s="189" t="str">
        <f t="shared" si="16"/>
        <v/>
      </c>
      <c r="V49" s="190" t="str">
        <f t="shared" si="17"/>
        <v/>
      </c>
      <c r="W49" s="190" t="str">
        <f t="shared" si="18"/>
        <v/>
      </c>
      <c r="X49" s="191" t="str">
        <f t="shared" si="19"/>
        <v/>
      </c>
      <c r="Y49" s="191" t="str">
        <f t="shared" si="20"/>
        <v/>
      </c>
      <c r="Z49" s="156"/>
    </row>
    <row r="50">
      <c r="A50" s="177" t="str">
        <f t="shared" si="14"/>
        <v/>
      </c>
      <c r="B50" s="196"/>
      <c r="C50" s="179" t="str">
        <f t="shared" si="2"/>
        <v/>
      </c>
      <c r="D50" s="197"/>
      <c r="E50" s="181"/>
      <c r="F50" s="198"/>
      <c r="G50" s="201"/>
      <c r="H50" s="201"/>
      <c r="I50" s="201"/>
      <c r="J50" s="202"/>
      <c r="K50" s="185" t="str">
        <f t="shared" si="3"/>
        <v/>
      </c>
      <c r="L50" s="186">
        <f t="shared" si="15"/>
        <v>0</v>
      </c>
      <c r="M50" s="191"/>
      <c r="N50" s="191"/>
      <c r="O50" s="191"/>
      <c r="P50" s="191"/>
      <c r="Q50" s="191"/>
      <c r="R50" s="191"/>
      <c r="S50" s="191"/>
      <c r="T50" s="192"/>
      <c r="U50" s="189" t="str">
        <f t="shared" si="16"/>
        <v/>
      </c>
      <c r="V50" s="190" t="str">
        <f t="shared" si="17"/>
        <v/>
      </c>
      <c r="W50" s="190" t="str">
        <f t="shared" si="18"/>
        <v/>
      </c>
      <c r="X50" s="191" t="str">
        <f t="shared" si="19"/>
        <v/>
      </c>
      <c r="Y50" s="191" t="str">
        <f t="shared" si="20"/>
        <v/>
      </c>
      <c r="Z50" s="156"/>
    </row>
    <row r="51">
      <c r="A51" s="177" t="str">
        <f t="shared" si="14"/>
        <v/>
      </c>
      <c r="B51" s="196"/>
      <c r="C51" s="179" t="str">
        <f t="shared" si="2"/>
        <v/>
      </c>
      <c r="D51" s="197"/>
      <c r="E51" s="181"/>
      <c r="F51" s="198"/>
      <c r="G51" s="201"/>
      <c r="H51" s="201"/>
      <c r="I51" s="201"/>
      <c r="J51" s="202"/>
      <c r="K51" s="185" t="str">
        <f t="shared" si="3"/>
        <v/>
      </c>
      <c r="L51" s="186">
        <f t="shared" si="15"/>
        <v>0</v>
      </c>
      <c r="M51" s="191"/>
      <c r="N51" s="191"/>
      <c r="O51" s="191"/>
      <c r="P51" s="191"/>
      <c r="Q51" s="191"/>
      <c r="R51" s="191"/>
      <c r="S51" s="191"/>
      <c r="T51" s="192"/>
      <c r="U51" s="189" t="str">
        <f t="shared" si="16"/>
        <v/>
      </c>
      <c r="V51" s="190" t="str">
        <f t="shared" si="17"/>
        <v/>
      </c>
      <c r="W51" s="190" t="str">
        <f t="shared" si="18"/>
        <v/>
      </c>
      <c r="X51" s="191" t="str">
        <f t="shared" si="19"/>
        <v/>
      </c>
      <c r="Y51" s="191" t="str">
        <f t="shared" si="20"/>
        <v/>
      </c>
      <c r="Z51" s="156"/>
    </row>
    <row r="52">
      <c r="A52" s="177" t="str">
        <f t="shared" si="14"/>
        <v/>
      </c>
      <c r="B52" s="196"/>
      <c r="C52" s="179" t="str">
        <f t="shared" si="2"/>
        <v/>
      </c>
      <c r="D52" s="197"/>
      <c r="E52" s="181"/>
      <c r="F52" s="198"/>
      <c r="G52" s="201"/>
      <c r="H52" s="201"/>
      <c r="I52" s="201"/>
      <c r="J52" s="202"/>
      <c r="K52" s="185" t="str">
        <f t="shared" si="3"/>
        <v/>
      </c>
      <c r="L52" s="186">
        <f t="shared" si="15"/>
        <v>0</v>
      </c>
      <c r="M52" s="191"/>
      <c r="N52" s="191"/>
      <c r="O52" s="191"/>
      <c r="P52" s="191"/>
      <c r="Q52" s="191"/>
      <c r="R52" s="191"/>
      <c r="S52" s="191"/>
      <c r="T52" s="192"/>
      <c r="U52" s="189" t="str">
        <f t="shared" si="16"/>
        <v/>
      </c>
      <c r="V52" s="190" t="str">
        <f t="shared" si="17"/>
        <v/>
      </c>
      <c r="W52" s="190" t="str">
        <f t="shared" si="18"/>
        <v/>
      </c>
      <c r="X52" s="191" t="str">
        <f t="shared" si="19"/>
        <v/>
      </c>
      <c r="Y52" s="191" t="str">
        <f t="shared" si="20"/>
        <v/>
      </c>
      <c r="Z52" s="156"/>
    </row>
    <row r="53">
      <c r="A53" s="177" t="str">
        <f t="shared" si="14"/>
        <v/>
      </c>
      <c r="B53" s="196"/>
      <c r="C53" s="179" t="str">
        <f t="shared" si="2"/>
        <v/>
      </c>
      <c r="D53" s="197"/>
      <c r="E53" s="181"/>
      <c r="F53" s="198"/>
      <c r="G53" s="201"/>
      <c r="H53" s="201"/>
      <c r="I53" s="201"/>
      <c r="J53" s="202"/>
      <c r="K53" s="185" t="str">
        <f t="shared" si="3"/>
        <v/>
      </c>
      <c r="L53" s="186">
        <f t="shared" si="15"/>
        <v>0</v>
      </c>
      <c r="M53" s="191"/>
      <c r="N53" s="191"/>
      <c r="O53" s="191"/>
      <c r="P53" s="191"/>
      <c r="Q53" s="191"/>
      <c r="R53" s="191"/>
      <c r="S53" s="191"/>
      <c r="T53" s="192"/>
      <c r="U53" s="189" t="str">
        <f t="shared" si="16"/>
        <v/>
      </c>
      <c r="V53" s="190" t="str">
        <f t="shared" si="17"/>
        <v/>
      </c>
      <c r="W53" s="190" t="str">
        <f t="shared" si="18"/>
        <v/>
      </c>
      <c r="X53" s="191" t="str">
        <f t="shared" si="19"/>
        <v/>
      </c>
      <c r="Y53" s="191" t="str">
        <f t="shared" si="20"/>
        <v/>
      </c>
      <c r="Z53" s="156"/>
    </row>
    <row r="54">
      <c r="A54" s="177" t="str">
        <f t="shared" si="14"/>
        <v/>
      </c>
      <c r="B54" s="196"/>
      <c r="C54" s="179" t="str">
        <f t="shared" si="2"/>
        <v/>
      </c>
      <c r="D54" s="197"/>
      <c r="E54" s="181"/>
      <c r="F54" s="198"/>
      <c r="G54" s="201"/>
      <c r="H54" s="201"/>
      <c r="I54" s="201"/>
      <c r="J54" s="202"/>
      <c r="K54" s="185" t="str">
        <f t="shared" si="3"/>
        <v/>
      </c>
      <c r="L54" s="186">
        <f t="shared" si="15"/>
        <v>0</v>
      </c>
      <c r="M54" s="191"/>
      <c r="N54" s="191"/>
      <c r="O54" s="191"/>
      <c r="P54" s="191"/>
      <c r="Q54" s="191"/>
      <c r="R54" s="191"/>
      <c r="S54" s="191"/>
      <c r="T54" s="192"/>
      <c r="U54" s="189" t="str">
        <f t="shared" si="16"/>
        <v/>
      </c>
      <c r="V54" s="190" t="str">
        <f t="shared" si="17"/>
        <v/>
      </c>
      <c r="W54" s="190" t="str">
        <f t="shared" si="18"/>
        <v/>
      </c>
      <c r="X54" s="191" t="str">
        <f t="shared" si="19"/>
        <v/>
      </c>
      <c r="Y54" s="191" t="str">
        <f t="shared" si="20"/>
        <v/>
      </c>
      <c r="Z54" s="156"/>
    </row>
    <row r="55">
      <c r="A55" s="177" t="str">
        <f t="shared" si="14"/>
        <v/>
      </c>
      <c r="B55" s="196"/>
      <c r="C55" s="179" t="str">
        <f t="shared" si="2"/>
        <v/>
      </c>
      <c r="D55" s="197"/>
      <c r="E55" s="181"/>
      <c r="F55" s="198"/>
      <c r="G55" s="201"/>
      <c r="H55" s="201"/>
      <c r="I55" s="201"/>
      <c r="J55" s="202"/>
      <c r="K55" s="185" t="str">
        <f t="shared" si="3"/>
        <v/>
      </c>
      <c r="L55" s="186">
        <f t="shared" si="15"/>
        <v>0</v>
      </c>
      <c r="M55" s="191"/>
      <c r="N55" s="191"/>
      <c r="O55" s="191"/>
      <c r="P55" s="191"/>
      <c r="Q55" s="191"/>
      <c r="R55" s="191"/>
      <c r="S55" s="191"/>
      <c r="T55" s="192"/>
      <c r="U55" s="189" t="str">
        <f t="shared" si="16"/>
        <v/>
      </c>
      <c r="V55" s="190" t="str">
        <f t="shared" si="17"/>
        <v/>
      </c>
      <c r="W55" s="190" t="str">
        <f t="shared" si="18"/>
        <v/>
      </c>
      <c r="X55" s="191" t="str">
        <f t="shared" si="19"/>
        <v/>
      </c>
      <c r="Y55" s="191" t="str">
        <f t="shared" si="20"/>
        <v/>
      </c>
      <c r="Z55" s="156"/>
    </row>
    <row r="56">
      <c r="A56" s="177" t="str">
        <f t="shared" si="14"/>
        <v/>
      </c>
      <c r="B56" s="196"/>
      <c r="C56" s="179" t="str">
        <f t="shared" si="2"/>
        <v/>
      </c>
      <c r="D56" s="197"/>
      <c r="E56" s="181"/>
      <c r="F56" s="198"/>
      <c r="G56" s="201"/>
      <c r="H56" s="201"/>
      <c r="I56" s="201"/>
      <c r="J56" s="202"/>
      <c r="K56" s="185" t="str">
        <f t="shared" si="3"/>
        <v/>
      </c>
      <c r="L56" s="186">
        <f t="shared" si="15"/>
        <v>0</v>
      </c>
      <c r="M56" s="191"/>
      <c r="N56" s="191"/>
      <c r="O56" s="191"/>
      <c r="P56" s="191"/>
      <c r="Q56" s="191"/>
      <c r="R56" s="191"/>
      <c r="S56" s="191"/>
      <c r="T56" s="192"/>
      <c r="U56" s="189" t="str">
        <f t="shared" si="16"/>
        <v/>
      </c>
      <c r="V56" s="190" t="str">
        <f t="shared" si="17"/>
        <v/>
      </c>
      <c r="W56" s="190" t="str">
        <f t="shared" si="18"/>
        <v/>
      </c>
      <c r="X56" s="191" t="str">
        <f t="shared" si="19"/>
        <v/>
      </c>
      <c r="Y56" s="191" t="str">
        <f t="shared" si="20"/>
        <v/>
      </c>
      <c r="Z56" s="156"/>
    </row>
    <row r="57">
      <c r="A57" s="177" t="str">
        <f t="shared" si="14"/>
        <v/>
      </c>
      <c r="B57" s="196"/>
      <c r="C57" s="179" t="str">
        <f t="shared" si="2"/>
        <v/>
      </c>
      <c r="D57" s="197"/>
      <c r="E57" s="181"/>
      <c r="F57" s="198"/>
      <c r="G57" s="201"/>
      <c r="H57" s="201"/>
      <c r="I57" s="201"/>
      <c r="J57" s="202"/>
      <c r="K57" s="185" t="str">
        <f t="shared" si="3"/>
        <v/>
      </c>
      <c r="L57" s="186">
        <f t="shared" si="15"/>
        <v>0</v>
      </c>
      <c r="M57" s="191"/>
      <c r="N57" s="191"/>
      <c r="O57" s="191"/>
      <c r="P57" s="191"/>
      <c r="Q57" s="191"/>
      <c r="R57" s="191"/>
      <c r="S57" s="191"/>
      <c r="T57" s="192"/>
      <c r="U57" s="189" t="str">
        <f t="shared" si="16"/>
        <v/>
      </c>
      <c r="V57" s="190" t="str">
        <f t="shared" si="17"/>
        <v/>
      </c>
      <c r="W57" s="190" t="str">
        <f t="shared" si="18"/>
        <v/>
      </c>
      <c r="X57" s="191" t="str">
        <f t="shared" si="19"/>
        <v/>
      </c>
      <c r="Y57" s="191" t="str">
        <f t="shared" si="20"/>
        <v/>
      </c>
      <c r="Z57" s="156"/>
    </row>
    <row r="58">
      <c r="A58" s="177" t="str">
        <f t="shared" si="14"/>
        <v/>
      </c>
      <c r="B58" s="196"/>
      <c r="C58" s="179" t="str">
        <f t="shared" si="2"/>
        <v/>
      </c>
      <c r="D58" s="197"/>
      <c r="E58" s="181"/>
      <c r="F58" s="198"/>
      <c r="G58" s="201"/>
      <c r="H58" s="201"/>
      <c r="I58" s="201"/>
      <c r="J58" s="202"/>
      <c r="K58" s="185" t="str">
        <f t="shared" si="3"/>
        <v/>
      </c>
      <c r="L58" s="186">
        <f t="shared" si="15"/>
        <v>0</v>
      </c>
      <c r="M58" s="191"/>
      <c r="N58" s="191"/>
      <c r="O58" s="191"/>
      <c r="P58" s="191"/>
      <c r="Q58" s="191"/>
      <c r="R58" s="191"/>
      <c r="S58" s="191"/>
      <c r="T58" s="192"/>
      <c r="U58" s="189" t="str">
        <f t="shared" si="16"/>
        <v/>
      </c>
      <c r="V58" s="190" t="str">
        <f t="shared" si="17"/>
        <v/>
      </c>
      <c r="W58" s="190" t="str">
        <f t="shared" si="18"/>
        <v/>
      </c>
      <c r="X58" s="191" t="str">
        <f t="shared" si="19"/>
        <v/>
      </c>
      <c r="Y58" s="191" t="str">
        <f t="shared" si="20"/>
        <v/>
      </c>
      <c r="Z58" s="156"/>
    </row>
    <row r="59">
      <c r="A59" s="177" t="str">
        <f t="shared" si="14"/>
        <v/>
      </c>
      <c r="B59" s="196"/>
      <c r="C59" s="179" t="str">
        <f t="shared" si="2"/>
        <v/>
      </c>
      <c r="D59" s="197"/>
      <c r="E59" s="181"/>
      <c r="F59" s="198"/>
      <c r="G59" s="201"/>
      <c r="H59" s="201"/>
      <c r="I59" s="201"/>
      <c r="J59" s="202"/>
      <c r="K59" s="185" t="str">
        <f t="shared" si="3"/>
        <v/>
      </c>
      <c r="L59" s="186">
        <f t="shared" si="15"/>
        <v>0</v>
      </c>
      <c r="M59" s="191"/>
      <c r="N59" s="191"/>
      <c r="O59" s="191"/>
      <c r="P59" s="191"/>
      <c r="Q59" s="191"/>
      <c r="R59" s="191"/>
      <c r="S59" s="191"/>
      <c r="T59" s="192"/>
      <c r="U59" s="189" t="str">
        <f t="shared" si="16"/>
        <v/>
      </c>
      <c r="V59" s="190" t="str">
        <f t="shared" si="17"/>
        <v/>
      </c>
      <c r="W59" s="190" t="str">
        <f t="shared" si="18"/>
        <v/>
      </c>
      <c r="X59" s="191" t="str">
        <f t="shared" si="19"/>
        <v/>
      </c>
      <c r="Y59" s="191" t="str">
        <f t="shared" si="20"/>
        <v/>
      </c>
      <c r="Z59" s="156"/>
    </row>
    <row r="60">
      <c r="A60" s="177" t="str">
        <f t="shared" si="14"/>
        <v/>
      </c>
      <c r="B60" s="196"/>
      <c r="C60" s="179" t="str">
        <f t="shared" si="2"/>
        <v/>
      </c>
      <c r="D60" s="197"/>
      <c r="E60" s="181"/>
      <c r="F60" s="198"/>
      <c r="G60" s="201"/>
      <c r="H60" s="201"/>
      <c r="I60" s="201"/>
      <c r="J60" s="202"/>
      <c r="K60" s="185" t="str">
        <f t="shared" si="3"/>
        <v/>
      </c>
      <c r="L60" s="186">
        <f t="shared" si="15"/>
        <v>0</v>
      </c>
      <c r="M60" s="191"/>
      <c r="N60" s="191"/>
      <c r="O60" s="191"/>
      <c r="P60" s="191"/>
      <c r="Q60" s="191"/>
      <c r="R60" s="191"/>
      <c r="S60" s="191"/>
      <c r="T60" s="192"/>
      <c r="U60" s="189" t="str">
        <f t="shared" si="16"/>
        <v/>
      </c>
      <c r="V60" s="190" t="str">
        <f t="shared" si="17"/>
        <v/>
      </c>
      <c r="W60" s="190" t="str">
        <f t="shared" si="18"/>
        <v/>
      </c>
      <c r="X60" s="191" t="str">
        <f t="shared" si="19"/>
        <v/>
      </c>
      <c r="Y60" s="191" t="str">
        <f t="shared" si="20"/>
        <v/>
      </c>
      <c r="Z60" s="156"/>
    </row>
    <row r="61">
      <c r="A61" s="177" t="str">
        <f t="shared" si="14"/>
        <v/>
      </c>
      <c r="B61" s="196"/>
      <c r="C61" s="179" t="str">
        <f t="shared" si="2"/>
        <v/>
      </c>
      <c r="D61" s="197"/>
      <c r="E61" s="181"/>
      <c r="F61" s="198"/>
      <c r="G61" s="201"/>
      <c r="H61" s="201"/>
      <c r="I61" s="201"/>
      <c r="J61" s="202"/>
      <c r="K61" s="185" t="str">
        <f t="shared" si="3"/>
        <v/>
      </c>
      <c r="L61" s="186">
        <f t="shared" si="15"/>
        <v>0</v>
      </c>
      <c r="M61" s="191"/>
      <c r="N61" s="191"/>
      <c r="O61" s="191"/>
      <c r="P61" s="191"/>
      <c r="Q61" s="191"/>
      <c r="R61" s="191"/>
      <c r="S61" s="191"/>
      <c r="T61" s="192"/>
      <c r="U61" s="189" t="str">
        <f t="shared" si="16"/>
        <v/>
      </c>
      <c r="V61" s="190" t="str">
        <f t="shared" si="17"/>
        <v/>
      </c>
      <c r="W61" s="190" t="str">
        <f t="shared" si="18"/>
        <v/>
      </c>
      <c r="X61" s="191" t="str">
        <f t="shared" si="19"/>
        <v/>
      </c>
      <c r="Y61" s="191" t="str">
        <f t="shared" si="20"/>
        <v/>
      </c>
      <c r="Z61" s="156"/>
    </row>
    <row r="62">
      <c r="A62" s="177" t="str">
        <f t="shared" si="14"/>
        <v/>
      </c>
      <c r="B62" s="196"/>
      <c r="C62" s="179" t="str">
        <f t="shared" si="2"/>
        <v/>
      </c>
      <c r="D62" s="197"/>
      <c r="E62" s="181"/>
      <c r="F62" s="198"/>
      <c r="G62" s="201"/>
      <c r="H62" s="201"/>
      <c r="I62" s="201"/>
      <c r="J62" s="202"/>
      <c r="K62" s="185" t="str">
        <f t="shared" si="3"/>
        <v/>
      </c>
      <c r="L62" s="186">
        <f t="shared" si="15"/>
        <v>0</v>
      </c>
      <c r="M62" s="191"/>
      <c r="N62" s="191"/>
      <c r="O62" s="191"/>
      <c r="P62" s="191"/>
      <c r="Q62" s="191"/>
      <c r="R62" s="191"/>
      <c r="S62" s="191"/>
      <c r="T62" s="192"/>
      <c r="U62" s="189" t="str">
        <f t="shared" si="16"/>
        <v/>
      </c>
      <c r="V62" s="190" t="str">
        <f t="shared" si="17"/>
        <v/>
      </c>
      <c r="W62" s="190" t="str">
        <f t="shared" si="18"/>
        <v/>
      </c>
      <c r="X62" s="191" t="str">
        <f t="shared" si="19"/>
        <v/>
      </c>
      <c r="Y62" s="191" t="str">
        <f t="shared" si="20"/>
        <v/>
      </c>
      <c r="Z62" s="156"/>
    </row>
    <row r="63">
      <c r="A63" s="177" t="str">
        <f t="shared" si="14"/>
        <v/>
      </c>
      <c r="B63" s="196"/>
      <c r="C63" s="179" t="str">
        <f t="shared" si="2"/>
        <v/>
      </c>
      <c r="D63" s="197"/>
      <c r="E63" s="181"/>
      <c r="F63" s="198"/>
      <c r="G63" s="201"/>
      <c r="H63" s="201"/>
      <c r="I63" s="201"/>
      <c r="J63" s="202"/>
      <c r="K63" s="185" t="str">
        <f t="shared" si="3"/>
        <v/>
      </c>
      <c r="L63" s="186">
        <f t="shared" si="15"/>
        <v>0</v>
      </c>
      <c r="M63" s="191"/>
      <c r="N63" s="191"/>
      <c r="O63" s="191"/>
      <c r="P63" s="191"/>
      <c r="Q63" s="191"/>
      <c r="R63" s="191"/>
      <c r="S63" s="191"/>
      <c r="T63" s="192"/>
      <c r="U63" s="189" t="str">
        <f t="shared" si="16"/>
        <v/>
      </c>
      <c r="V63" s="190" t="str">
        <f t="shared" si="17"/>
        <v/>
      </c>
      <c r="W63" s="190" t="str">
        <f t="shared" si="18"/>
        <v/>
      </c>
      <c r="X63" s="191" t="str">
        <f t="shared" si="19"/>
        <v/>
      </c>
      <c r="Y63" s="191" t="str">
        <f t="shared" si="20"/>
        <v/>
      </c>
      <c r="Z63" s="156"/>
    </row>
    <row r="64">
      <c r="A64" s="177" t="str">
        <f t="shared" si="14"/>
        <v/>
      </c>
      <c r="B64" s="196"/>
      <c r="C64" s="179" t="str">
        <f t="shared" si="2"/>
        <v/>
      </c>
      <c r="D64" s="197"/>
      <c r="E64" s="181"/>
      <c r="F64" s="198"/>
      <c r="G64" s="201"/>
      <c r="H64" s="201"/>
      <c r="I64" s="201"/>
      <c r="J64" s="202"/>
      <c r="K64" s="185" t="str">
        <f t="shared" si="3"/>
        <v/>
      </c>
      <c r="L64" s="186">
        <f t="shared" si="15"/>
        <v>0</v>
      </c>
      <c r="M64" s="191"/>
      <c r="N64" s="191"/>
      <c r="O64" s="191"/>
      <c r="P64" s="191"/>
      <c r="Q64" s="191"/>
      <c r="R64" s="191"/>
      <c r="S64" s="191"/>
      <c r="T64" s="192"/>
      <c r="U64" s="189" t="str">
        <f t="shared" si="16"/>
        <v/>
      </c>
      <c r="V64" s="190" t="str">
        <f t="shared" si="17"/>
        <v/>
      </c>
      <c r="W64" s="190" t="str">
        <f t="shared" si="18"/>
        <v/>
      </c>
      <c r="X64" s="191" t="str">
        <f t="shared" si="19"/>
        <v/>
      </c>
      <c r="Y64" s="191" t="str">
        <f t="shared" si="20"/>
        <v/>
      </c>
      <c r="Z64" s="156"/>
    </row>
    <row r="65">
      <c r="A65" s="177" t="str">
        <f t="shared" si="14"/>
        <v/>
      </c>
      <c r="B65" s="196"/>
      <c r="C65" s="179" t="str">
        <f t="shared" si="2"/>
        <v/>
      </c>
      <c r="D65" s="197"/>
      <c r="E65" s="181"/>
      <c r="F65" s="198"/>
      <c r="G65" s="201"/>
      <c r="H65" s="201"/>
      <c r="I65" s="201"/>
      <c r="J65" s="202"/>
      <c r="K65" s="185" t="str">
        <f t="shared" si="3"/>
        <v/>
      </c>
      <c r="L65" s="186">
        <f t="shared" si="15"/>
        <v>0</v>
      </c>
      <c r="M65" s="191"/>
      <c r="N65" s="191"/>
      <c r="O65" s="191"/>
      <c r="P65" s="191"/>
      <c r="Q65" s="191"/>
      <c r="R65" s="191"/>
      <c r="S65" s="191"/>
      <c r="T65" s="192"/>
      <c r="U65" s="189" t="str">
        <f t="shared" si="16"/>
        <v/>
      </c>
      <c r="V65" s="190" t="str">
        <f t="shared" si="17"/>
        <v/>
      </c>
      <c r="W65" s="190" t="str">
        <f t="shared" si="18"/>
        <v/>
      </c>
      <c r="X65" s="191" t="str">
        <f t="shared" si="19"/>
        <v/>
      </c>
      <c r="Y65" s="191" t="str">
        <f t="shared" si="20"/>
        <v/>
      </c>
      <c r="Z65" s="156"/>
    </row>
    <row r="66">
      <c r="A66" s="177" t="str">
        <f t="shared" si="14"/>
        <v/>
      </c>
      <c r="B66" s="196"/>
      <c r="C66" s="179" t="str">
        <f t="shared" si="2"/>
        <v/>
      </c>
      <c r="D66" s="197"/>
      <c r="E66" s="181"/>
      <c r="F66" s="198"/>
      <c r="G66" s="201"/>
      <c r="H66" s="201"/>
      <c r="I66" s="201"/>
      <c r="J66" s="202"/>
      <c r="K66" s="185" t="str">
        <f t="shared" si="3"/>
        <v/>
      </c>
      <c r="L66" s="186">
        <f t="shared" si="15"/>
        <v>0</v>
      </c>
      <c r="M66" s="191"/>
      <c r="N66" s="191"/>
      <c r="O66" s="191"/>
      <c r="P66" s="191"/>
      <c r="Q66" s="191"/>
      <c r="R66" s="191"/>
      <c r="S66" s="191"/>
      <c r="T66" s="192"/>
      <c r="U66" s="189" t="str">
        <f t="shared" si="16"/>
        <v/>
      </c>
      <c r="V66" s="190" t="str">
        <f t="shared" si="17"/>
        <v/>
      </c>
      <c r="W66" s="190" t="str">
        <f t="shared" si="18"/>
        <v/>
      </c>
      <c r="X66" s="191" t="str">
        <f t="shared" si="19"/>
        <v/>
      </c>
      <c r="Y66" s="191" t="str">
        <f t="shared" si="20"/>
        <v/>
      </c>
      <c r="Z66" s="156"/>
    </row>
    <row r="67">
      <c r="A67" s="177" t="str">
        <f t="shared" si="14"/>
        <v/>
      </c>
      <c r="B67" s="196"/>
      <c r="C67" s="179" t="str">
        <f t="shared" si="2"/>
        <v/>
      </c>
      <c r="D67" s="197"/>
      <c r="E67" s="181"/>
      <c r="F67" s="198"/>
      <c r="G67" s="201"/>
      <c r="H67" s="201"/>
      <c r="I67" s="201"/>
      <c r="J67" s="202"/>
      <c r="K67" s="185" t="str">
        <f t="shared" si="3"/>
        <v/>
      </c>
      <c r="L67" s="186">
        <f t="shared" si="15"/>
        <v>0</v>
      </c>
      <c r="M67" s="191"/>
      <c r="N67" s="191"/>
      <c r="O67" s="191"/>
      <c r="P67" s="191"/>
      <c r="Q67" s="191"/>
      <c r="R67" s="191"/>
      <c r="S67" s="191"/>
      <c r="T67" s="192"/>
      <c r="U67" s="189" t="str">
        <f t="shared" si="16"/>
        <v/>
      </c>
      <c r="V67" s="190" t="str">
        <f t="shared" si="17"/>
        <v/>
      </c>
      <c r="W67" s="190" t="str">
        <f t="shared" si="18"/>
        <v/>
      </c>
      <c r="X67" s="191" t="str">
        <f t="shared" si="19"/>
        <v/>
      </c>
      <c r="Y67" s="191" t="str">
        <f t="shared" si="20"/>
        <v/>
      </c>
      <c r="Z67" s="156"/>
    </row>
    <row r="68">
      <c r="A68" s="177" t="str">
        <f t="shared" si="14"/>
        <v/>
      </c>
      <c r="B68" s="196"/>
      <c r="C68" s="179" t="str">
        <f t="shared" si="2"/>
        <v/>
      </c>
      <c r="D68" s="197"/>
      <c r="E68" s="181"/>
      <c r="F68" s="198"/>
      <c r="G68" s="201"/>
      <c r="H68" s="201"/>
      <c r="I68" s="201"/>
      <c r="J68" s="202"/>
      <c r="K68" s="185" t="str">
        <f t="shared" si="3"/>
        <v/>
      </c>
      <c r="L68" s="186">
        <f t="shared" si="15"/>
        <v>0</v>
      </c>
      <c r="M68" s="191"/>
      <c r="N68" s="191"/>
      <c r="O68" s="191"/>
      <c r="P68" s="191"/>
      <c r="Q68" s="191"/>
      <c r="R68" s="191"/>
      <c r="S68" s="191"/>
      <c r="T68" s="192"/>
      <c r="U68" s="189" t="str">
        <f t="shared" si="16"/>
        <v/>
      </c>
      <c r="V68" s="190" t="str">
        <f t="shared" si="17"/>
        <v/>
      </c>
      <c r="W68" s="190" t="str">
        <f t="shared" si="18"/>
        <v/>
      </c>
      <c r="X68" s="191" t="str">
        <f t="shared" si="19"/>
        <v/>
      </c>
      <c r="Y68" s="191" t="str">
        <f t="shared" si="20"/>
        <v/>
      </c>
      <c r="Z68" s="156"/>
    </row>
    <row r="69">
      <c r="A69" s="177" t="str">
        <f t="shared" si="14"/>
        <v/>
      </c>
      <c r="B69" s="196"/>
      <c r="C69" s="179" t="str">
        <f t="shared" si="2"/>
        <v/>
      </c>
      <c r="D69" s="197"/>
      <c r="E69" s="181"/>
      <c r="F69" s="198"/>
      <c r="G69" s="201"/>
      <c r="H69" s="201"/>
      <c r="I69" s="201"/>
      <c r="J69" s="202"/>
      <c r="K69" s="185" t="str">
        <f t="shared" si="3"/>
        <v/>
      </c>
      <c r="L69" s="186">
        <f t="shared" si="15"/>
        <v>0</v>
      </c>
      <c r="M69" s="191"/>
      <c r="N69" s="191"/>
      <c r="O69" s="191"/>
      <c r="P69" s="191"/>
      <c r="Q69" s="191"/>
      <c r="R69" s="191"/>
      <c r="S69" s="191"/>
      <c r="T69" s="192"/>
      <c r="U69" s="189" t="str">
        <f t="shared" si="16"/>
        <v/>
      </c>
      <c r="V69" s="190" t="str">
        <f t="shared" si="17"/>
        <v/>
      </c>
      <c r="W69" s="190" t="str">
        <f t="shared" si="18"/>
        <v/>
      </c>
      <c r="X69" s="191" t="str">
        <f t="shared" si="19"/>
        <v/>
      </c>
      <c r="Y69" s="191" t="str">
        <f t="shared" si="20"/>
        <v/>
      </c>
      <c r="Z69" s="156"/>
    </row>
    <row r="70">
      <c r="A70" s="177" t="str">
        <f t="shared" si="14"/>
        <v/>
      </c>
      <c r="B70" s="196"/>
      <c r="C70" s="179" t="str">
        <f t="shared" si="2"/>
        <v/>
      </c>
      <c r="D70" s="197"/>
      <c r="E70" s="181"/>
      <c r="F70" s="198"/>
      <c r="G70" s="201"/>
      <c r="H70" s="201"/>
      <c r="I70" s="201"/>
      <c r="J70" s="202"/>
      <c r="K70" s="185" t="str">
        <f t="shared" si="3"/>
        <v/>
      </c>
      <c r="L70" s="186">
        <f t="shared" si="15"/>
        <v>0</v>
      </c>
      <c r="M70" s="191"/>
      <c r="N70" s="191"/>
      <c r="O70" s="191"/>
      <c r="P70" s="191"/>
      <c r="Q70" s="191"/>
      <c r="R70" s="191"/>
      <c r="S70" s="191"/>
      <c r="T70" s="192"/>
      <c r="U70" s="189" t="str">
        <f t="shared" si="16"/>
        <v/>
      </c>
      <c r="V70" s="190" t="str">
        <f t="shared" si="17"/>
        <v/>
      </c>
      <c r="W70" s="190" t="str">
        <f t="shared" si="18"/>
        <v/>
      </c>
      <c r="X70" s="191" t="str">
        <f t="shared" si="19"/>
        <v/>
      </c>
      <c r="Y70" s="191" t="str">
        <f t="shared" si="20"/>
        <v/>
      </c>
      <c r="Z70" s="156"/>
    </row>
    <row r="71">
      <c r="A71" s="177" t="str">
        <f t="shared" si="14"/>
        <v/>
      </c>
      <c r="B71" s="196"/>
      <c r="C71" s="179" t="str">
        <f t="shared" si="2"/>
        <v/>
      </c>
      <c r="D71" s="197"/>
      <c r="E71" s="181"/>
      <c r="F71" s="198"/>
      <c r="G71" s="201"/>
      <c r="H71" s="201"/>
      <c r="I71" s="201"/>
      <c r="J71" s="202"/>
      <c r="K71" s="185" t="str">
        <f t="shared" si="3"/>
        <v/>
      </c>
      <c r="L71" s="186">
        <f t="shared" si="15"/>
        <v>0</v>
      </c>
      <c r="M71" s="191"/>
      <c r="N71" s="191"/>
      <c r="O71" s="191"/>
      <c r="P71" s="191"/>
      <c r="Q71" s="191"/>
      <c r="R71" s="191"/>
      <c r="S71" s="191"/>
      <c r="T71" s="192"/>
      <c r="U71" s="189" t="str">
        <f t="shared" si="16"/>
        <v/>
      </c>
      <c r="V71" s="190" t="str">
        <f t="shared" si="17"/>
        <v/>
      </c>
      <c r="W71" s="190" t="str">
        <f t="shared" si="18"/>
        <v/>
      </c>
      <c r="X71" s="191" t="str">
        <f t="shared" si="19"/>
        <v/>
      </c>
      <c r="Y71" s="191" t="str">
        <f t="shared" si="20"/>
        <v/>
      </c>
      <c r="Z71" s="156"/>
    </row>
    <row r="72">
      <c r="A72" s="177" t="str">
        <f t="shared" si="14"/>
        <v/>
      </c>
      <c r="B72" s="196"/>
      <c r="C72" s="179" t="str">
        <f t="shared" si="2"/>
        <v/>
      </c>
      <c r="D72" s="197"/>
      <c r="E72" s="181"/>
      <c r="F72" s="198"/>
      <c r="G72" s="201"/>
      <c r="H72" s="201"/>
      <c r="I72" s="201"/>
      <c r="J72" s="202"/>
      <c r="K72" s="185" t="str">
        <f t="shared" si="3"/>
        <v/>
      </c>
      <c r="L72" s="186">
        <f t="shared" si="15"/>
        <v>0</v>
      </c>
      <c r="M72" s="191"/>
      <c r="N72" s="191"/>
      <c r="O72" s="191"/>
      <c r="P72" s="191"/>
      <c r="Q72" s="191"/>
      <c r="R72" s="191"/>
      <c r="S72" s="191"/>
      <c r="T72" s="192"/>
      <c r="U72" s="189" t="str">
        <f t="shared" si="16"/>
        <v/>
      </c>
      <c r="V72" s="190" t="str">
        <f t="shared" si="17"/>
        <v/>
      </c>
      <c r="W72" s="190" t="str">
        <f t="shared" si="18"/>
        <v/>
      </c>
      <c r="X72" s="191" t="str">
        <f t="shared" si="19"/>
        <v/>
      </c>
      <c r="Y72" s="191" t="str">
        <f t="shared" si="20"/>
        <v/>
      </c>
      <c r="Z72" s="156"/>
    </row>
    <row r="73">
      <c r="A73" s="177" t="str">
        <f t="shared" si="14"/>
        <v/>
      </c>
      <c r="B73" s="196"/>
      <c r="C73" s="179" t="str">
        <f t="shared" si="2"/>
        <v/>
      </c>
      <c r="D73" s="197"/>
      <c r="E73" s="181"/>
      <c r="F73" s="198"/>
      <c r="G73" s="201"/>
      <c r="H73" s="201"/>
      <c r="I73" s="201"/>
      <c r="J73" s="202"/>
      <c r="K73" s="185" t="str">
        <f t="shared" si="3"/>
        <v/>
      </c>
      <c r="L73" s="186">
        <f t="shared" si="15"/>
        <v>0</v>
      </c>
      <c r="M73" s="191"/>
      <c r="N73" s="191"/>
      <c r="O73" s="191"/>
      <c r="P73" s="191"/>
      <c r="Q73" s="191"/>
      <c r="R73" s="191"/>
      <c r="S73" s="191"/>
      <c r="T73" s="192"/>
      <c r="U73" s="189" t="str">
        <f t="shared" si="16"/>
        <v/>
      </c>
      <c r="V73" s="190" t="str">
        <f t="shared" si="17"/>
        <v/>
      </c>
      <c r="W73" s="190" t="str">
        <f t="shared" si="18"/>
        <v/>
      </c>
      <c r="X73" s="191" t="str">
        <f t="shared" si="19"/>
        <v/>
      </c>
      <c r="Y73" s="191" t="str">
        <f t="shared" si="20"/>
        <v/>
      </c>
      <c r="Z73" s="156"/>
    </row>
    <row r="74">
      <c r="A74" s="177" t="str">
        <f t="shared" si="14"/>
        <v/>
      </c>
      <c r="B74" s="196"/>
      <c r="C74" s="179" t="str">
        <f t="shared" si="2"/>
        <v/>
      </c>
      <c r="D74" s="197"/>
      <c r="E74" s="181"/>
      <c r="F74" s="198"/>
      <c r="G74" s="201"/>
      <c r="H74" s="201"/>
      <c r="I74" s="201"/>
      <c r="J74" s="202"/>
      <c r="K74" s="185" t="str">
        <f t="shared" si="3"/>
        <v/>
      </c>
      <c r="L74" s="186">
        <f t="shared" si="15"/>
        <v>0</v>
      </c>
      <c r="M74" s="191"/>
      <c r="N74" s="191"/>
      <c r="O74" s="191"/>
      <c r="P74" s="191"/>
      <c r="Q74" s="191"/>
      <c r="R74" s="191"/>
      <c r="S74" s="191"/>
      <c r="T74" s="192"/>
      <c r="U74" s="189" t="str">
        <f t="shared" si="16"/>
        <v/>
      </c>
      <c r="V74" s="190" t="str">
        <f t="shared" si="17"/>
        <v/>
      </c>
      <c r="W74" s="190" t="str">
        <f t="shared" si="18"/>
        <v/>
      </c>
      <c r="X74" s="191" t="str">
        <f t="shared" si="19"/>
        <v/>
      </c>
      <c r="Y74" s="191" t="str">
        <f t="shared" si="20"/>
        <v/>
      </c>
      <c r="Z74" s="156"/>
    </row>
    <row r="75">
      <c r="A75" s="177" t="str">
        <f t="shared" si="14"/>
        <v/>
      </c>
      <c r="B75" s="196"/>
      <c r="C75" s="179" t="str">
        <f t="shared" si="2"/>
        <v/>
      </c>
      <c r="D75" s="197"/>
      <c r="E75" s="181"/>
      <c r="F75" s="198"/>
      <c r="G75" s="201"/>
      <c r="H75" s="201"/>
      <c r="I75" s="201"/>
      <c r="J75" s="202"/>
      <c r="K75" s="185" t="str">
        <f t="shared" si="3"/>
        <v/>
      </c>
      <c r="L75" s="186">
        <f t="shared" si="15"/>
        <v>0</v>
      </c>
      <c r="M75" s="191"/>
      <c r="N75" s="191"/>
      <c r="O75" s="191"/>
      <c r="P75" s="191"/>
      <c r="Q75" s="191"/>
      <c r="R75" s="191"/>
      <c r="S75" s="191"/>
      <c r="T75" s="192"/>
      <c r="U75" s="189" t="str">
        <f t="shared" si="16"/>
        <v/>
      </c>
      <c r="V75" s="190" t="str">
        <f t="shared" si="17"/>
        <v/>
      </c>
      <c r="W75" s="190" t="str">
        <f t="shared" si="18"/>
        <v/>
      </c>
      <c r="X75" s="191" t="str">
        <f t="shared" si="19"/>
        <v/>
      </c>
      <c r="Y75" s="191" t="str">
        <f t="shared" si="20"/>
        <v/>
      </c>
      <c r="Z75" s="156"/>
    </row>
    <row r="76">
      <c r="A76" s="177" t="str">
        <f t="shared" si="14"/>
        <v/>
      </c>
      <c r="B76" s="196"/>
      <c r="C76" s="179" t="str">
        <f t="shared" si="2"/>
        <v/>
      </c>
      <c r="D76" s="197"/>
      <c r="E76" s="181"/>
      <c r="F76" s="198"/>
      <c r="G76" s="201"/>
      <c r="H76" s="201"/>
      <c r="I76" s="201"/>
      <c r="J76" s="202"/>
      <c r="K76" s="185" t="str">
        <f t="shared" si="3"/>
        <v/>
      </c>
      <c r="L76" s="186">
        <f t="shared" si="15"/>
        <v>0</v>
      </c>
      <c r="M76" s="191"/>
      <c r="N76" s="191"/>
      <c r="O76" s="191"/>
      <c r="P76" s="191"/>
      <c r="Q76" s="191"/>
      <c r="R76" s="191"/>
      <c r="S76" s="191"/>
      <c r="T76" s="192"/>
      <c r="U76" s="189" t="str">
        <f t="shared" si="16"/>
        <v/>
      </c>
      <c r="V76" s="190" t="str">
        <f t="shared" si="17"/>
        <v/>
      </c>
      <c r="W76" s="190" t="str">
        <f t="shared" si="18"/>
        <v/>
      </c>
      <c r="X76" s="191" t="str">
        <f t="shared" si="19"/>
        <v/>
      </c>
      <c r="Y76" s="191" t="str">
        <f t="shared" si="20"/>
        <v/>
      </c>
      <c r="Z76" s="156"/>
    </row>
    <row r="77">
      <c r="A77" s="177" t="str">
        <f t="shared" si="14"/>
        <v/>
      </c>
      <c r="B77" s="196"/>
      <c r="C77" s="179" t="str">
        <f t="shared" si="2"/>
        <v/>
      </c>
      <c r="D77" s="197"/>
      <c r="E77" s="181"/>
      <c r="F77" s="198"/>
      <c r="G77" s="201"/>
      <c r="H77" s="201"/>
      <c r="I77" s="201"/>
      <c r="J77" s="202"/>
      <c r="K77" s="185" t="str">
        <f t="shared" si="3"/>
        <v/>
      </c>
      <c r="L77" s="186">
        <f t="shared" si="15"/>
        <v>0</v>
      </c>
      <c r="M77" s="191"/>
      <c r="N77" s="191"/>
      <c r="O77" s="191"/>
      <c r="P77" s="191"/>
      <c r="Q77" s="191"/>
      <c r="R77" s="191"/>
      <c r="S77" s="191"/>
      <c r="T77" s="192"/>
      <c r="U77" s="189" t="str">
        <f t="shared" si="16"/>
        <v/>
      </c>
      <c r="V77" s="190" t="str">
        <f t="shared" si="17"/>
        <v/>
      </c>
      <c r="W77" s="190" t="str">
        <f t="shared" si="18"/>
        <v/>
      </c>
      <c r="X77" s="191" t="str">
        <f t="shared" si="19"/>
        <v/>
      </c>
      <c r="Y77" s="191" t="str">
        <f t="shared" si="20"/>
        <v/>
      </c>
      <c r="Z77" s="156"/>
    </row>
    <row r="78">
      <c r="A78" s="177" t="str">
        <f t="shared" si="14"/>
        <v/>
      </c>
      <c r="B78" s="196"/>
      <c r="C78" s="179" t="str">
        <f t="shared" si="2"/>
        <v/>
      </c>
      <c r="D78" s="197"/>
      <c r="E78" s="181"/>
      <c r="F78" s="198"/>
      <c r="G78" s="201"/>
      <c r="H78" s="201"/>
      <c r="I78" s="201"/>
      <c r="J78" s="202"/>
      <c r="K78" s="185" t="str">
        <f t="shared" si="3"/>
        <v/>
      </c>
      <c r="L78" s="186">
        <f t="shared" si="15"/>
        <v>0</v>
      </c>
      <c r="M78" s="191"/>
      <c r="N78" s="191"/>
      <c r="O78" s="191"/>
      <c r="P78" s="191"/>
      <c r="Q78" s="191"/>
      <c r="R78" s="191"/>
      <c r="S78" s="191"/>
      <c r="T78" s="192"/>
      <c r="U78" s="189" t="str">
        <f t="shared" si="16"/>
        <v/>
      </c>
      <c r="V78" s="190" t="str">
        <f t="shared" si="17"/>
        <v/>
      </c>
      <c r="W78" s="190" t="str">
        <f t="shared" si="18"/>
        <v/>
      </c>
      <c r="X78" s="191" t="str">
        <f t="shared" si="19"/>
        <v/>
      </c>
      <c r="Y78" s="191" t="str">
        <f t="shared" si="20"/>
        <v/>
      </c>
      <c r="Z78" s="156"/>
    </row>
    <row r="79">
      <c r="A79" s="177" t="str">
        <f t="shared" si="14"/>
        <v/>
      </c>
      <c r="B79" s="196"/>
      <c r="C79" s="179" t="str">
        <f t="shared" si="2"/>
        <v/>
      </c>
      <c r="D79" s="197"/>
      <c r="E79" s="181"/>
      <c r="F79" s="198"/>
      <c r="G79" s="201"/>
      <c r="H79" s="201"/>
      <c r="I79" s="201"/>
      <c r="J79" s="202"/>
      <c r="K79" s="185" t="str">
        <f t="shared" si="3"/>
        <v/>
      </c>
      <c r="L79" s="186">
        <f t="shared" si="15"/>
        <v>0</v>
      </c>
      <c r="M79" s="191"/>
      <c r="N79" s="191"/>
      <c r="O79" s="191"/>
      <c r="P79" s="191"/>
      <c r="Q79" s="191"/>
      <c r="R79" s="191"/>
      <c r="S79" s="191"/>
      <c r="T79" s="192"/>
      <c r="U79" s="189" t="str">
        <f t="shared" si="16"/>
        <v/>
      </c>
      <c r="V79" s="190" t="str">
        <f t="shared" si="17"/>
        <v/>
      </c>
      <c r="W79" s="190" t="str">
        <f t="shared" si="18"/>
        <v/>
      </c>
      <c r="X79" s="191" t="str">
        <f t="shared" si="19"/>
        <v/>
      </c>
      <c r="Y79" s="191" t="str">
        <f t="shared" si="20"/>
        <v/>
      </c>
      <c r="Z79" s="156"/>
    </row>
    <row r="80">
      <c r="A80" s="177" t="str">
        <f t="shared" si="14"/>
        <v/>
      </c>
      <c r="B80" s="196"/>
      <c r="C80" s="179" t="str">
        <f t="shared" si="2"/>
        <v/>
      </c>
      <c r="D80" s="197"/>
      <c r="E80" s="181"/>
      <c r="F80" s="198"/>
      <c r="G80" s="201"/>
      <c r="H80" s="201"/>
      <c r="I80" s="201"/>
      <c r="J80" s="202"/>
      <c r="K80" s="185" t="str">
        <f t="shared" si="3"/>
        <v/>
      </c>
      <c r="L80" s="186">
        <f t="shared" si="15"/>
        <v>0</v>
      </c>
      <c r="M80" s="191"/>
      <c r="N80" s="191"/>
      <c r="O80" s="191"/>
      <c r="P80" s="191"/>
      <c r="Q80" s="191"/>
      <c r="R80" s="191"/>
      <c r="S80" s="191"/>
      <c r="T80" s="192"/>
      <c r="U80" s="189" t="str">
        <f t="shared" si="16"/>
        <v/>
      </c>
      <c r="V80" s="190" t="str">
        <f t="shared" si="17"/>
        <v/>
      </c>
      <c r="W80" s="190" t="str">
        <f t="shared" si="18"/>
        <v/>
      </c>
      <c r="X80" s="191" t="str">
        <f t="shared" si="19"/>
        <v/>
      </c>
      <c r="Y80" s="191" t="str">
        <f t="shared" si="20"/>
        <v/>
      </c>
      <c r="Z80" s="156"/>
    </row>
    <row r="81">
      <c r="A81" s="177" t="str">
        <f t="shared" si="14"/>
        <v/>
      </c>
      <c r="B81" s="196"/>
      <c r="C81" s="179" t="str">
        <f t="shared" si="2"/>
        <v/>
      </c>
      <c r="D81" s="197"/>
      <c r="E81" s="181"/>
      <c r="F81" s="198"/>
      <c r="G81" s="201"/>
      <c r="H81" s="201"/>
      <c r="I81" s="201"/>
      <c r="J81" s="202"/>
      <c r="K81" s="185" t="str">
        <f t="shared" si="3"/>
        <v/>
      </c>
      <c r="L81" s="186">
        <f t="shared" si="15"/>
        <v>0</v>
      </c>
      <c r="M81" s="191"/>
      <c r="N81" s="191"/>
      <c r="O81" s="191"/>
      <c r="P81" s="191"/>
      <c r="Q81" s="191"/>
      <c r="R81" s="191"/>
      <c r="S81" s="191"/>
      <c r="T81" s="192"/>
      <c r="U81" s="189" t="str">
        <f t="shared" si="16"/>
        <v/>
      </c>
      <c r="V81" s="190" t="str">
        <f t="shared" si="17"/>
        <v/>
      </c>
      <c r="W81" s="190" t="str">
        <f t="shared" si="18"/>
        <v/>
      </c>
      <c r="X81" s="191" t="str">
        <f t="shared" si="19"/>
        <v/>
      </c>
      <c r="Y81" s="191" t="str">
        <f t="shared" si="20"/>
        <v/>
      </c>
      <c r="Z81" s="156"/>
    </row>
    <row r="82">
      <c r="A82" s="177" t="str">
        <f t="shared" si="14"/>
        <v/>
      </c>
      <c r="B82" s="196"/>
      <c r="C82" s="179" t="str">
        <f t="shared" si="2"/>
        <v/>
      </c>
      <c r="D82" s="197"/>
      <c r="E82" s="181"/>
      <c r="F82" s="198"/>
      <c r="G82" s="201"/>
      <c r="H82" s="201"/>
      <c r="I82" s="201"/>
      <c r="J82" s="202"/>
      <c r="K82" s="185" t="str">
        <f t="shared" si="3"/>
        <v/>
      </c>
      <c r="L82" s="186">
        <f t="shared" si="15"/>
        <v>0</v>
      </c>
      <c r="M82" s="191"/>
      <c r="N82" s="191"/>
      <c r="O82" s="191"/>
      <c r="P82" s="191"/>
      <c r="Q82" s="191"/>
      <c r="R82" s="191"/>
      <c r="S82" s="191"/>
      <c r="T82" s="192"/>
      <c r="U82" s="189" t="str">
        <f t="shared" si="16"/>
        <v/>
      </c>
      <c r="V82" s="190" t="str">
        <f t="shared" si="17"/>
        <v/>
      </c>
      <c r="W82" s="190" t="str">
        <f t="shared" si="18"/>
        <v/>
      </c>
      <c r="X82" s="191" t="str">
        <f t="shared" si="19"/>
        <v/>
      </c>
      <c r="Y82" s="191" t="str">
        <f t="shared" si="20"/>
        <v/>
      </c>
      <c r="Z82" s="156"/>
    </row>
    <row r="83">
      <c r="A83" s="177" t="str">
        <f t="shared" si="14"/>
        <v/>
      </c>
      <c r="B83" s="196"/>
      <c r="C83" s="179" t="str">
        <f t="shared" si="2"/>
        <v/>
      </c>
      <c r="D83" s="197"/>
      <c r="E83" s="181"/>
      <c r="F83" s="198"/>
      <c r="G83" s="201"/>
      <c r="H83" s="201"/>
      <c r="I83" s="201"/>
      <c r="J83" s="202"/>
      <c r="K83" s="185" t="str">
        <f t="shared" si="3"/>
        <v/>
      </c>
      <c r="L83" s="186">
        <f t="shared" si="15"/>
        <v>0</v>
      </c>
      <c r="M83" s="191"/>
      <c r="N83" s="191"/>
      <c r="O83" s="191"/>
      <c r="P83" s="191"/>
      <c r="Q83" s="191"/>
      <c r="R83" s="191"/>
      <c r="S83" s="191"/>
      <c r="T83" s="192"/>
      <c r="U83" s="189" t="str">
        <f t="shared" si="16"/>
        <v/>
      </c>
      <c r="V83" s="190" t="str">
        <f t="shared" si="17"/>
        <v/>
      </c>
      <c r="W83" s="190" t="str">
        <f t="shared" si="18"/>
        <v/>
      </c>
      <c r="X83" s="191" t="str">
        <f t="shared" si="19"/>
        <v/>
      </c>
      <c r="Y83" s="191" t="str">
        <f t="shared" si="20"/>
        <v/>
      </c>
      <c r="Z83" s="156"/>
    </row>
    <row r="84">
      <c r="A84" s="177" t="str">
        <f t="shared" si="14"/>
        <v/>
      </c>
      <c r="B84" s="196"/>
      <c r="C84" s="179" t="str">
        <f t="shared" si="2"/>
        <v/>
      </c>
      <c r="D84" s="197"/>
      <c r="E84" s="181"/>
      <c r="F84" s="198"/>
      <c r="G84" s="201"/>
      <c r="H84" s="201"/>
      <c r="I84" s="201"/>
      <c r="J84" s="202"/>
      <c r="K84" s="185" t="str">
        <f t="shared" si="3"/>
        <v/>
      </c>
      <c r="L84" s="186">
        <f t="shared" si="15"/>
        <v>0</v>
      </c>
      <c r="M84" s="191"/>
      <c r="N84" s="191"/>
      <c r="O84" s="191"/>
      <c r="P84" s="191"/>
      <c r="Q84" s="191"/>
      <c r="R84" s="191"/>
      <c r="S84" s="191"/>
      <c r="T84" s="192"/>
      <c r="U84" s="189" t="str">
        <f t="shared" si="16"/>
        <v/>
      </c>
      <c r="V84" s="190" t="str">
        <f t="shared" si="17"/>
        <v/>
      </c>
      <c r="W84" s="190" t="str">
        <f t="shared" si="18"/>
        <v/>
      </c>
      <c r="X84" s="191" t="str">
        <f t="shared" si="19"/>
        <v/>
      </c>
      <c r="Y84" s="191" t="str">
        <f t="shared" si="20"/>
        <v/>
      </c>
      <c r="Z84" s="156"/>
    </row>
    <row r="85">
      <c r="A85" s="177" t="str">
        <f t="shared" si="14"/>
        <v/>
      </c>
      <c r="B85" s="196"/>
      <c r="C85" s="179" t="str">
        <f t="shared" si="2"/>
        <v/>
      </c>
      <c r="D85" s="197"/>
      <c r="E85" s="181"/>
      <c r="F85" s="198"/>
      <c r="G85" s="201"/>
      <c r="H85" s="201"/>
      <c r="I85" s="201"/>
      <c r="J85" s="202"/>
      <c r="K85" s="185" t="str">
        <f t="shared" si="3"/>
        <v/>
      </c>
      <c r="L85" s="186">
        <f t="shared" si="15"/>
        <v>0</v>
      </c>
      <c r="M85" s="191"/>
      <c r="N85" s="191"/>
      <c r="O85" s="191"/>
      <c r="P85" s="191"/>
      <c r="Q85" s="191"/>
      <c r="R85" s="191"/>
      <c r="S85" s="191"/>
      <c r="T85" s="192"/>
      <c r="U85" s="189" t="str">
        <f t="shared" si="16"/>
        <v/>
      </c>
      <c r="V85" s="190" t="str">
        <f t="shared" si="17"/>
        <v/>
      </c>
      <c r="W85" s="190" t="str">
        <f t="shared" si="18"/>
        <v/>
      </c>
      <c r="X85" s="191" t="str">
        <f t="shared" si="19"/>
        <v/>
      </c>
      <c r="Y85" s="191" t="str">
        <f t="shared" si="20"/>
        <v/>
      </c>
      <c r="Z85" s="156"/>
    </row>
    <row r="86">
      <c r="A86" s="177" t="str">
        <f t="shared" si="14"/>
        <v/>
      </c>
      <c r="B86" s="196"/>
      <c r="C86" s="179" t="str">
        <f t="shared" si="2"/>
        <v/>
      </c>
      <c r="D86" s="197"/>
      <c r="E86" s="181"/>
      <c r="F86" s="198"/>
      <c r="G86" s="201"/>
      <c r="H86" s="201"/>
      <c r="I86" s="201"/>
      <c r="J86" s="202"/>
      <c r="K86" s="185" t="str">
        <f t="shared" si="3"/>
        <v/>
      </c>
      <c r="L86" s="186">
        <f t="shared" si="15"/>
        <v>0</v>
      </c>
      <c r="M86" s="191"/>
      <c r="N86" s="191"/>
      <c r="O86" s="191"/>
      <c r="P86" s="191"/>
      <c r="Q86" s="191"/>
      <c r="R86" s="191"/>
      <c r="S86" s="191"/>
      <c r="T86" s="192"/>
      <c r="U86" s="189" t="str">
        <f t="shared" si="16"/>
        <v/>
      </c>
      <c r="V86" s="190" t="str">
        <f t="shared" si="17"/>
        <v/>
      </c>
      <c r="W86" s="190" t="str">
        <f t="shared" si="18"/>
        <v/>
      </c>
      <c r="X86" s="191" t="str">
        <f t="shared" si="19"/>
        <v/>
      </c>
      <c r="Y86" s="191" t="str">
        <f t="shared" si="20"/>
        <v/>
      </c>
      <c r="Z86" s="156"/>
    </row>
    <row r="87">
      <c r="A87" s="177" t="str">
        <f t="shared" si="14"/>
        <v/>
      </c>
      <c r="B87" s="196"/>
      <c r="C87" s="179" t="str">
        <f t="shared" si="2"/>
        <v/>
      </c>
      <c r="D87" s="197"/>
      <c r="E87" s="181"/>
      <c r="F87" s="198"/>
      <c r="G87" s="201"/>
      <c r="H87" s="201"/>
      <c r="I87" s="201"/>
      <c r="J87" s="202"/>
      <c r="K87" s="185" t="str">
        <f t="shared" si="3"/>
        <v/>
      </c>
      <c r="L87" s="186">
        <f t="shared" si="15"/>
        <v>0</v>
      </c>
      <c r="M87" s="191"/>
      <c r="N87" s="191"/>
      <c r="O87" s="191"/>
      <c r="P87" s="191"/>
      <c r="Q87" s="191"/>
      <c r="R87" s="191"/>
      <c r="S87" s="191"/>
      <c r="T87" s="192"/>
      <c r="U87" s="189" t="str">
        <f t="shared" si="16"/>
        <v/>
      </c>
      <c r="V87" s="190" t="str">
        <f t="shared" si="17"/>
        <v/>
      </c>
      <c r="W87" s="190" t="str">
        <f t="shared" si="18"/>
        <v/>
      </c>
      <c r="X87" s="191" t="str">
        <f t="shared" si="19"/>
        <v/>
      </c>
      <c r="Y87" s="191" t="str">
        <f t="shared" si="20"/>
        <v/>
      </c>
      <c r="Z87" s="156"/>
    </row>
    <row r="88">
      <c r="A88" s="177" t="str">
        <f t="shared" si="14"/>
        <v/>
      </c>
      <c r="B88" s="196"/>
      <c r="C88" s="179" t="str">
        <f t="shared" si="2"/>
        <v/>
      </c>
      <c r="D88" s="197"/>
      <c r="E88" s="181"/>
      <c r="F88" s="198"/>
      <c r="G88" s="201"/>
      <c r="H88" s="201"/>
      <c r="I88" s="201"/>
      <c r="J88" s="202"/>
      <c r="K88" s="185" t="str">
        <f t="shared" si="3"/>
        <v/>
      </c>
      <c r="L88" s="186">
        <f t="shared" si="15"/>
        <v>0</v>
      </c>
      <c r="M88" s="191"/>
      <c r="N88" s="191"/>
      <c r="O88" s="191"/>
      <c r="P88" s="191"/>
      <c r="Q88" s="191"/>
      <c r="R88" s="191"/>
      <c r="S88" s="191"/>
      <c r="T88" s="192"/>
      <c r="U88" s="189" t="str">
        <f t="shared" si="16"/>
        <v/>
      </c>
      <c r="V88" s="190" t="str">
        <f t="shared" si="17"/>
        <v/>
      </c>
      <c r="W88" s="190" t="str">
        <f t="shared" si="18"/>
        <v/>
      </c>
      <c r="X88" s="191" t="str">
        <f t="shared" si="19"/>
        <v/>
      </c>
      <c r="Y88" s="191" t="str">
        <f t="shared" si="20"/>
        <v/>
      </c>
      <c r="Z88" s="156"/>
    </row>
    <row r="89">
      <c r="A89" s="177" t="str">
        <f t="shared" si="14"/>
        <v/>
      </c>
      <c r="B89" s="196"/>
      <c r="C89" s="179" t="str">
        <f t="shared" si="2"/>
        <v/>
      </c>
      <c r="D89" s="197"/>
      <c r="E89" s="181"/>
      <c r="F89" s="198"/>
      <c r="G89" s="201"/>
      <c r="H89" s="201"/>
      <c r="I89" s="201"/>
      <c r="J89" s="202"/>
      <c r="K89" s="185" t="str">
        <f t="shared" si="3"/>
        <v/>
      </c>
      <c r="L89" s="186">
        <f t="shared" si="15"/>
        <v>0</v>
      </c>
      <c r="M89" s="191"/>
      <c r="N89" s="191"/>
      <c r="O89" s="191"/>
      <c r="P89" s="191"/>
      <c r="Q89" s="191"/>
      <c r="R89" s="191"/>
      <c r="S89" s="191"/>
      <c r="T89" s="192"/>
      <c r="U89" s="189" t="str">
        <f t="shared" si="16"/>
        <v/>
      </c>
      <c r="V89" s="190" t="str">
        <f t="shared" si="17"/>
        <v/>
      </c>
      <c r="W89" s="190" t="str">
        <f t="shared" si="18"/>
        <v/>
      </c>
      <c r="X89" s="191" t="str">
        <f t="shared" si="19"/>
        <v/>
      </c>
      <c r="Y89" s="191" t="str">
        <f t="shared" si="20"/>
        <v/>
      </c>
      <c r="Z89" s="156"/>
    </row>
    <row r="90">
      <c r="A90" s="177" t="str">
        <f t="shared" si="14"/>
        <v/>
      </c>
      <c r="B90" s="196"/>
      <c r="C90" s="179" t="str">
        <f t="shared" si="2"/>
        <v/>
      </c>
      <c r="D90" s="197"/>
      <c r="E90" s="181"/>
      <c r="F90" s="198"/>
      <c r="G90" s="201"/>
      <c r="H90" s="201"/>
      <c r="I90" s="201"/>
      <c r="J90" s="202"/>
      <c r="K90" s="185" t="str">
        <f t="shared" si="3"/>
        <v/>
      </c>
      <c r="L90" s="186">
        <f t="shared" si="15"/>
        <v>0</v>
      </c>
      <c r="M90" s="191"/>
      <c r="N90" s="191"/>
      <c r="O90" s="191"/>
      <c r="P90" s="191"/>
      <c r="Q90" s="191"/>
      <c r="R90" s="191"/>
      <c r="S90" s="191"/>
      <c r="T90" s="192"/>
      <c r="U90" s="189" t="str">
        <f t="shared" si="16"/>
        <v/>
      </c>
      <c r="V90" s="190" t="str">
        <f t="shared" si="17"/>
        <v/>
      </c>
      <c r="W90" s="190" t="str">
        <f t="shared" si="18"/>
        <v/>
      </c>
      <c r="X90" s="191" t="str">
        <f t="shared" si="19"/>
        <v/>
      </c>
      <c r="Y90" s="191" t="str">
        <f t="shared" si="20"/>
        <v/>
      </c>
      <c r="Z90" s="156"/>
    </row>
    <row r="91">
      <c r="A91" s="177" t="str">
        <f t="shared" si="14"/>
        <v/>
      </c>
      <c r="B91" s="196"/>
      <c r="C91" s="179" t="str">
        <f t="shared" si="2"/>
        <v/>
      </c>
      <c r="D91" s="197"/>
      <c r="E91" s="181"/>
      <c r="F91" s="198"/>
      <c r="G91" s="201"/>
      <c r="H91" s="201"/>
      <c r="I91" s="201"/>
      <c r="J91" s="202"/>
      <c r="K91" s="185" t="str">
        <f t="shared" si="3"/>
        <v/>
      </c>
      <c r="L91" s="186">
        <f t="shared" si="15"/>
        <v>0</v>
      </c>
      <c r="M91" s="191"/>
      <c r="N91" s="191"/>
      <c r="O91" s="191"/>
      <c r="P91" s="191"/>
      <c r="Q91" s="191"/>
      <c r="R91" s="191"/>
      <c r="S91" s="191"/>
      <c r="T91" s="192"/>
      <c r="U91" s="189" t="str">
        <f t="shared" si="16"/>
        <v/>
      </c>
      <c r="V91" s="190" t="str">
        <f t="shared" si="17"/>
        <v/>
      </c>
      <c r="W91" s="190" t="str">
        <f t="shared" si="18"/>
        <v/>
      </c>
      <c r="X91" s="191" t="str">
        <f t="shared" si="19"/>
        <v/>
      </c>
      <c r="Y91" s="191" t="str">
        <f t="shared" si="20"/>
        <v/>
      </c>
      <c r="Z91" s="156"/>
    </row>
    <row r="92">
      <c r="A92" s="177" t="str">
        <f t="shared" si="14"/>
        <v/>
      </c>
      <c r="B92" s="196"/>
      <c r="C92" s="179" t="str">
        <f t="shared" si="2"/>
        <v/>
      </c>
      <c r="D92" s="197"/>
      <c r="E92" s="181"/>
      <c r="F92" s="198"/>
      <c r="G92" s="201"/>
      <c r="H92" s="201"/>
      <c r="I92" s="201"/>
      <c r="J92" s="202"/>
      <c r="K92" s="185" t="str">
        <f t="shared" si="3"/>
        <v/>
      </c>
      <c r="L92" s="186">
        <f t="shared" si="15"/>
        <v>0</v>
      </c>
      <c r="M92" s="191"/>
      <c r="N92" s="191"/>
      <c r="O92" s="191"/>
      <c r="P92" s="191"/>
      <c r="Q92" s="191"/>
      <c r="R92" s="191"/>
      <c r="S92" s="191"/>
      <c r="T92" s="192"/>
      <c r="U92" s="189" t="str">
        <f t="shared" si="16"/>
        <v/>
      </c>
      <c r="V92" s="190" t="str">
        <f t="shared" si="17"/>
        <v/>
      </c>
      <c r="W92" s="190" t="str">
        <f t="shared" si="18"/>
        <v/>
      </c>
      <c r="X92" s="191" t="str">
        <f t="shared" si="19"/>
        <v/>
      </c>
      <c r="Y92" s="191" t="str">
        <f t="shared" si="20"/>
        <v/>
      </c>
      <c r="Z92" s="156"/>
    </row>
    <row r="93">
      <c r="A93" s="177" t="str">
        <f t="shared" si="14"/>
        <v/>
      </c>
      <c r="B93" s="196"/>
      <c r="C93" s="179" t="str">
        <f t="shared" si="2"/>
        <v/>
      </c>
      <c r="D93" s="197"/>
      <c r="E93" s="181"/>
      <c r="F93" s="198"/>
      <c r="G93" s="201"/>
      <c r="H93" s="201"/>
      <c r="I93" s="201"/>
      <c r="J93" s="202"/>
      <c r="K93" s="185" t="str">
        <f t="shared" si="3"/>
        <v/>
      </c>
      <c r="L93" s="186">
        <f t="shared" si="15"/>
        <v>0</v>
      </c>
      <c r="M93" s="191"/>
      <c r="N93" s="191"/>
      <c r="O93" s="191"/>
      <c r="P93" s="191"/>
      <c r="Q93" s="191"/>
      <c r="R93" s="191"/>
      <c r="S93" s="191"/>
      <c r="T93" s="192"/>
      <c r="U93" s="189" t="str">
        <f t="shared" si="16"/>
        <v/>
      </c>
      <c r="V93" s="190" t="str">
        <f t="shared" si="17"/>
        <v/>
      </c>
      <c r="W93" s="190" t="str">
        <f t="shared" si="18"/>
        <v/>
      </c>
      <c r="X93" s="191" t="str">
        <f t="shared" si="19"/>
        <v/>
      </c>
      <c r="Y93" s="191" t="str">
        <f t="shared" si="20"/>
        <v/>
      </c>
      <c r="Z93" s="156"/>
    </row>
    <row r="94">
      <c r="A94" s="177" t="str">
        <f t="shared" si="14"/>
        <v/>
      </c>
      <c r="B94" s="196"/>
      <c r="C94" s="179" t="str">
        <f t="shared" si="2"/>
        <v/>
      </c>
      <c r="D94" s="197"/>
      <c r="E94" s="181"/>
      <c r="F94" s="198"/>
      <c r="G94" s="201"/>
      <c r="H94" s="201"/>
      <c r="I94" s="201"/>
      <c r="J94" s="202"/>
      <c r="K94" s="185" t="str">
        <f t="shared" si="3"/>
        <v/>
      </c>
      <c r="L94" s="186">
        <f t="shared" si="15"/>
        <v>0</v>
      </c>
      <c r="M94" s="191"/>
      <c r="N94" s="191"/>
      <c r="O94" s="191"/>
      <c r="P94" s="191"/>
      <c r="Q94" s="191"/>
      <c r="R94" s="191"/>
      <c r="S94" s="191"/>
      <c r="T94" s="192"/>
      <c r="U94" s="189" t="str">
        <f t="shared" si="16"/>
        <v/>
      </c>
      <c r="V94" s="190" t="str">
        <f t="shared" si="17"/>
        <v/>
      </c>
      <c r="W94" s="190" t="str">
        <f t="shared" si="18"/>
        <v/>
      </c>
      <c r="X94" s="191" t="str">
        <f t="shared" si="19"/>
        <v/>
      </c>
      <c r="Y94" s="191" t="str">
        <f t="shared" si="20"/>
        <v/>
      </c>
      <c r="Z94" s="156"/>
    </row>
    <row r="95">
      <c r="A95" s="177" t="str">
        <f t="shared" si="14"/>
        <v/>
      </c>
      <c r="B95" s="196"/>
      <c r="C95" s="179" t="str">
        <f t="shared" si="2"/>
        <v/>
      </c>
      <c r="D95" s="197"/>
      <c r="E95" s="181"/>
      <c r="F95" s="198"/>
      <c r="G95" s="201"/>
      <c r="H95" s="201"/>
      <c r="I95" s="201"/>
      <c r="J95" s="202"/>
      <c r="K95" s="185" t="str">
        <f t="shared" si="3"/>
        <v/>
      </c>
      <c r="L95" s="186">
        <f t="shared" si="15"/>
        <v>0</v>
      </c>
      <c r="M95" s="191"/>
      <c r="N95" s="191"/>
      <c r="O95" s="191"/>
      <c r="P95" s="191"/>
      <c r="Q95" s="191"/>
      <c r="R95" s="191"/>
      <c r="S95" s="191"/>
      <c r="T95" s="192"/>
      <c r="U95" s="189" t="str">
        <f t="shared" si="16"/>
        <v/>
      </c>
      <c r="V95" s="190" t="str">
        <f t="shared" si="17"/>
        <v/>
      </c>
      <c r="W95" s="190" t="str">
        <f t="shared" si="18"/>
        <v/>
      </c>
      <c r="X95" s="191" t="str">
        <f t="shared" si="19"/>
        <v/>
      </c>
      <c r="Y95" s="191" t="str">
        <f t="shared" si="20"/>
        <v/>
      </c>
      <c r="Z95" s="156"/>
    </row>
    <row r="96">
      <c r="A96" s="177" t="str">
        <f t="shared" si="14"/>
        <v/>
      </c>
      <c r="B96" s="196"/>
      <c r="C96" s="179" t="str">
        <f t="shared" si="2"/>
        <v/>
      </c>
      <c r="D96" s="197"/>
      <c r="E96" s="181"/>
      <c r="F96" s="198"/>
      <c r="G96" s="201"/>
      <c r="H96" s="201"/>
      <c r="I96" s="201"/>
      <c r="J96" s="202"/>
      <c r="K96" s="185" t="str">
        <f t="shared" si="3"/>
        <v/>
      </c>
      <c r="L96" s="186">
        <f t="shared" si="15"/>
        <v>0</v>
      </c>
      <c r="M96" s="191"/>
      <c r="N96" s="191"/>
      <c r="O96" s="191"/>
      <c r="P96" s="191"/>
      <c r="Q96" s="191"/>
      <c r="R96" s="191"/>
      <c r="S96" s="191"/>
      <c r="T96" s="192"/>
      <c r="U96" s="189" t="str">
        <f t="shared" si="16"/>
        <v/>
      </c>
      <c r="V96" s="190" t="str">
        <f t="shared" si="17"/>
        <v/>
      </c>
      <c r="W96" s="190" t="str">
        <f t="shared" si="18"/>
        <v/>
      </c>
      <c r="X96" s="191" t="str">
        <f t="shared" si="19"/>
        <v/>
      </c>
      <c r="Y96" s="191" t="str">
        <f t="shared" si="20"/>
        <v/>
      </c>
      <c r="Z96" s="156"/>
    </row>
    <row r="97">
      <c r="A97" s="177" t="str">
        <f t="shared" si="14"/>
        <v/>
      </c>
      <c r="B97" s="196"/>
      <c r="C97" s="179" t="str">
        <f t="shared" si="2"/>
        <v/>
      </c>
      <c r="D97" s="197"/>
      <c r="E97" s="181"/>
      <c r="F97" s="198"/>
      <c r="G97" s="201"/>
      <c r="H97" s="201"/>
      <c r="I97" s="201"/>
      <c r="J97" s="202"/>
      <c r="K97" s="185" t="str">
        <f t="shared" si="3"/>
        <v/>
      </c>
      <c r="L97" s="186">
        <f t="shared" si="15"/>
        <v>0</v>
      </c>
      <c r="M97" s="191"/>
      <c r="N97" s="191"/>
      <c r="O97" s="191"/>
      <c r="P97" s="191"/>
      <c r="Q97" s="191"/>
      <c r="R97" s="191"/>
      <c r="S97" s="191"/>
      <c r="T97" s="192"/>
      <c r="U97" s="189" t="str">
        <f t="shared" si="16"/>
        <v/>
      </c>
      <c r="V97" s="190" t="str">
        <f t="shared" si="17"/>
        <v/>
      </c>
      <c r="W97" s="190" t="str">
        <f t="shared" si="18"/>
        <v/>
      </c>
      <c r="X97" s="191" t="str">
        <f t="shared" si="19"/>
        <v/>
      </c>
      <c r="Y97" s="191" t="str">
        <f t="shared" si="20"/>
        <v/>
      </c>
      <c r="Z97" s="156"/>
    </row>
    <row r="98">
      <c r="A98" s="177" t="str">
        <f t="shared" si="14"/>
        <v/>
      </c>
      <c r="B98" s="196"/>
      <c r="C98" s="179" t="str">
        <f t="shared" si="2"/>
        <v/>
      </c>
      <c r="D98" s="197"/>
      <c r="E98" s="181"/>
      <c r="F98" s="198"/>
      <c r="G98" s="201"/>
      <c r="H98" s="201"/>
      <c r="I98" s="201"/>
      <c r="J98" s="202"/>
      <c r="K98" s="185" t="str">
        <f t="shared" si="3"/>
        <v/>
      </c>
      <c r="L98" s="186">
        <f t="shared" si="15"/>
        <v>0</v>
      </c>
      <c r="M98" s="191"/>
      <c r="N98" s="191"/>
      <c r="O98" s="191"/>
      <c r="P98" s="191"/>
      <c r="Q98" s="191"/>
      <c r="R98" s="191"/>
      <c r="S98" s="191"/>
      <c r="T98" s="192"/>
      <c r="U98" s="189" t="str">
        <f t="shared" si="16"/>
        <v/>
      </c>
      <c r="V98" s="190" t="str">
        <f t="shared" si="17"/>
        <v/>
      </c>
      <c r="W98" s="190" t="str">
        <f t="shared" si="18"/>
        <v/>
      </c>
      <c r="X98" s="191" t="str">
        <f t="shared" si="19"/>
        <v/>
      </c>
      <c r="Y98" s="191" t="str">
        <f t="shared" si="20"/>
        <v/>
      </c>
      <c r="Z98" s="156"/>
    </row>
    <row r="99">
      <c r="A99" s="177" t="str">
        <f t="shared" si="14"/>
        <v/>
      </c>
      <c r="B99" s="196"/>
      <c r="C99" s="179" t="str">
        <f t="shared" si="2"/>
        <v/>
      </c>
      <c r="D99" s="197"/>
      <c r="E99" s="181"/>
      <c r="F99" s="198"/>
      <c r="G99" s="201"/>
      <c r="H99" s="201"/>
      <c r="I99" s="201"/>
      <c r="J99" s="202"/>
      <c r="K99" s="185" t="str">
        <f t="shared" si="3"/>
        <v/>
      </c>
      <c r="L99" s="186">
        <f t="shared" si="15"/>
        <v>0</v>
      </c>
      <c r="M99" s="191"/>
      <c r="N99" s="191"/>
      <c r="O99" s="191"/>
      <c r="P99" s="191"/>
      <c r="Q99" s="191"/>
      <c r="R99" s="191"/>
      <c r="S99" s="191"/>
      <c r="T99" s="192"/>
      <c r="U99" s="189" t="str">
        <f t="shared" si="16"/>
        <v/>
      </c>
      <c r="V99" s="190" t="str">
        <f t="shared" si="17"/>
        <v/>
      </c>
      <c r="W99" s="190" t="str">
        <f t="shared" si="18"/>
        <v/>
      </c>
      <c r="X99" s="191" t="str">
        <f t="shared" si="19"/>
        <v/>
      </c>
      <c r="Y99" s="191" t="str">
        <f t="shared" si="20"/>
        <v/>
      </c>
      <c r="Z99" s="156"/>
    </row>
    <row r="100">
      <c r="A100" s="177" t="str">
        <f t="shared" si="14"/>
        <v/>
      </c>
      <c r="B100" s="196"/>
      <c r="C100" s="179" t="str">
        <f t="shared" si="2"/>
        <v/>
      </c>
      <c r="D100" s="197"/>
      <c r="E100" s="181"/>
      <c r="F100" s="198"/>
      <c r="G100" s="201"/>
      <c r="H100" s="201"/>
      <c r="I100" s="201"/>
      <c r="J100" s="202"/>
      <c r="K100" s="185" t="str">
        <f t="shared" si="3"/>
        <v/>
      </c>
      <c r="L100" s="186">
        <f t="shared" si="15"/>
        <v>0</v>
      </c>
      <c r="M100" s="191"/>
      <c r="N100" s="191"/>
      <c r="O100" s="191"/>
      <c r="P100" s="191"/>
      <c r="Q100" s="191"/>
      <c r="R100" s="191"/>
      <c r="S100" s="191"/>
      <c r="T100" s="192"/>
      <c r="U100" s="189" t="str">
        <f t="shared" si="16"/>
        <v/>
      </c>
      <c r="V100" s="190" t="str">
        <f t="shared" si="17"/>
        <v/>
      </c>
      <c r="W100" s="190" t="str">
        <f t="shared" si="18"/>
        <v/>
      </c>
      <c r="X100" s="191" t="str">
        <f t="shared" si="19"/>
        <v/>
      </c>
      <c r="Y100" s="191" t="str">
        <f t="shared" si="20"/>
        <v/>
      </c>
      <c r="Z100" s="156"/>
    </row>
    <row r="101">
      <c r="A101" s="177" t="str">
        <f t="shared" si="14"/>
        <v/>
      </c>
      <c r="B101" s="196"/>
      <c r="C101" s="179" t="str">
        <f t="shared" si="2"/>
        <v/>
      </c>
      <c r="D101" s="197"/>
      <c r="E101" s="181"/>
      <c r="F101" s="198"/>
      <c r="G101" s="201"/>
      <c r="H101" s="201"/>
      <c r="I101" s="201"/>
      <c r="J101" s="202"/>
      <c r="K101" s="185" t="str">
        <f t="shared" si="3"/>
        <v/>
      </c>
      <c r="L101" s="186">
        <f t="shared" si="15"/>
        <v>0</v>
      </c>
      <c r="M101" s="191"/>
      <c r="N101" s="191"/>
      <c r="O101" s="191"/>
      <c r="P101" s="191"/>
      <c r="Q101" s="191"/>
      <c r="R101" s="191"/>
      <c r="S101" s="191"/>
      <c r="T101" s="192"/>
      <c r="U101" s="189" t="str">
        <f t="shared" si="16"/>
        <v/>
      </c>
      <c r="V101" s="190" t="str">
        <f t="shared" si="17"/>
        <v/>
      </c>
      <c r="W101" s="190" t="str">
        <f t="shared" si="18"/>
        <v/>
      </c>
      <c r="X101" s="191" t="str">
        <f t="shared" si="19"/>
        <v/>
      </c>
      <c r="Y101" s="191" t="str">
        <f t="shared" si="20"/>
        <v/>
      </c>
      <c r="Z101" s="156"/>
    </row>
    <row r="102">
      <c r="A102" s="177" t="str">
        <f t="shared" si="14"/>
        <v/>
      </c>
      <c r="B102" s="196"/>
      <c r="C102" s="179" t="str">
        <f t="shared" si="2"/>
        <v/>
      </c>
      <c r="D102" s="197"/>
      <c r="E102" s="181"/>
      <c r="F102" s="198"/>
      <c r="G102" s="201"/>
      <c r="H102" s="201"/>
      <c r="I102" s="201"/>
      <c r="J102" s="202"/>
      <c r="K102" s="185" t="str">
        <f t="shared" si="3"/>
        <v/>
      </c>
      <c r="L102" s="186">
        <f t="shared" si="15"/>
        <v>0</v>
      </c>
      <c r="M102" s="191"/>
      <c r="N102" s="191"/>
      <c r="O102" s="191"/>
      <c r="P102" s="191"/>
      <c r="Q102" s="191"/>
      <c r="R102" s="191"/>
      <c r="S102" s="191"/>
      <c r="T102" s="192"/>
      <c r="U102" s="189" t="str">
        <f t="shared" si="16"/>
        <v/>
      </c>
      <c r="V102" s="190" t="str">
        <f t="shared" si="17"/>
        <v/>
      </c>
      <c r="W102" s="190" t="str">
        <f t="shared" si="18"/>
        <v/>
      </c>
      <c r="X102" s="191" t="str">
        <f t="shared" si="19"/>
        <v/>
      </c>
      <c r="Y102" s="191" t="str">
        <f t="shared" si="20"/>
        <v/>
      </c>
      <c r="Z102" s="156"/>
    </row>
    <row r="103">
      <c r="A103" s="177" t="str">
        <f t="shared" si="14"/>
        <v/>
      </c>
      <c r="B103" s="196"/>
      <c r="C103" s="179" t="str">
        <f t="shared" si="2"/>
        <v/>
      </c>
      <c r="D103" s="197"/>
      <c r="E103" s="181"/>
      <c r="F103" s="198"/>
      <c r="G103" s="201"/>
      <c r="H103" s="201"/>
      <c r="I103" s="201"/>
      <c r="J103" s="202"/>
      <c r="K103" s="185" t="str">
        <f t="shared" si="3"/>
        <v/>
      </c>
      <c r="L103" s="186">
        <f t="shared" si="15"/>
        <v>0</v>
      </c>
      <c r="M103" s="191"/>
      <c r="N103" s="191"/>
      <c r="O103" s="191"/>
      <c r="P103" s="191"/>
      <c r="Q103" s="191"/>
      <c r="R103" s="191"/>
      <c r="S103" s="191"/>
      <c r="T103" s="192"/>
      <c r="U103" s="189" t="str">
        <f t="shared" si="16"/>
        <v/>
      </c>
      <c r="V103" s="190" t="str">
        <f t="shared" si="17"/>
        <v/>
      </c>
      <c r="W103" s="190" t="str">
        <f t="shared" si="18"/>
        <v/>
      </c>
      <c r="X103" s="191" t="str">
        <f t="shared" si="19"/>
        <v/>
      </c>
      <c r="Y103" s="191" t="str">
        <f t="shared" si="20"/>
        <v/>
      </c>
      <c r="Z103" s="156"/>
    </row>
    <row r="104">
      <c r="A104" s="177" t="str">
        <f t="shared" si="14"/>
        <v/>
      </c>
      <c r="B104" s="196"/>
      <c r="C104" s="179" t="str">
        <f t="shared" si="2"/>
        <v/>
      </c>
      <c r="D104" s="197"/>
      <c r="E104" s="181"/>
      <c r="F104" s="198"/>
      <c r="G104" s="201"/>
      <c r="H104" s="201"/>
      <c r="I104" s="201"/>
      <c r="J104" s="202"/>
      <c r="K104" s="185" t="str">
        <f t="shared" si="3"/>
        <v/>
      </c>
      <c r="L104" s="186">
        <f t="shared" si="15"/>
        <v>0</v>
      </c>
      <c r="M104" s="191"/>
      <c r="N104" s="191"/>
      <c r="O104" s="191"/>
      <c r="P104" s="191"/>
      <c r="Q104" s="191"/>
      <c r="R104" s="191"/>
      <c r="S104" s="191"/>
      <c r="T104" s="192"/>
      <c r="U104" s="189" t="str">
        <f t="shared" si="16"/>
        <v/>
      </c>
      <c r="V104" s="190" t="str">
        <f t="shared" si="17"/>
        <v/>
      </c>
      <c r="W104" s="190" t="str">
        <f t="shared" si="18"/>
        <v/>
      </c>
      <c r="X104" s="191" t="str">
        <f t="shared" si="19"/>
        <v/>
      </c>
      <c r="Y104" s="191" t="str">
        <f t="shared" si="20"/>
        <v/>
      </c>
      <c r="Z104" s="156"/>
    </row>
    <row r="105">
      <c r="A105" s="177" t="str">
        <f t="shared" si="14"/>
        <v/>
      </c>
      <c r="B105" s="196"/>
      <c r="C105" s="179" t="str">
        <f t="shared" si="2"/>
        <v/>
      </c>
      <c r="D105" s="197"/>
      <c r="E105" s="181"/>
      <c r="F105" s="198"/>
      <c r="G105" s="201"/>
      <c r="H105" s="201"/>
      <c r="I105" s="201"/>
      <c r="J105" s="202"/>
      <c r="K105" s="185" t="str">
        <f t="shared" si="3"/>
        <v/>
      </c>
      <c r="L105" s="186">
        <f t="shared" si="15"/>
        <v>0</v>
      </c>
      <c r="M105" s="191"/>
      <c r="N105" s="191"/>
      <c r="O105" s="191"/>
      <c r="P105" s="191"/>
      <c r="Q105" s="191"/>
      <c r="R105" s="191"/>
      <c r="S105" s="191"/>
      <c r="T105" s="192"/>
      <c r="U105" s="189" t="str">
        <f t="shared" si="16"/>
        <v/>
      </c>
      <c r="V105" s="190" t="str">
        <f t="shared" si="17"/>
        <v/>
      </c>
      <c r="W105" s="190" t="str">
        <f t="shared" si="18"/>
        <v/>
      </c>
      <c r="X105" s="191" t="str">
        <f t="shared" si="19"/>
        <v/>
      </c>
      <c r="Y105" s="191" t="str">
        <f t="shared" si="20"/>
        <v/>
      </c>
      <c r="Z105" s="156"/>
    </row>
    <row r="106">
      <c r="A106" s="177" t="str">
        <f t="shared" si="14"/>
        <v/>
      </c>
      <c r="B106" s="196"/>
      <c r="C106" s="179" t="str">
        <f t="shared" si="2"/>
        <v/>
      </c>
      <c r="D106" s="197"/>
      <c r="E106" s="181"/>
      <c r="F106" s="198"/>
      <c r="G106" s="201"/>
      <c r="H106" s="201"/>
      <c r="I106" s="201"/>
      <c r="J106" s="202"/>
      <c r="K106" s="185" t="str">
        <f t="shared" si="3"/>
        <v/>
      </c>
      <c r="L106" s="186">
        <f t="shared" si="15"/>
        <v>0</v>
      </c>
      <c r="M106" s="191"/>
      <c r="N106" s="191"/>
      <c r="O106" s="191"/>
      <c r="P106" s="191"/>
      <c r="Q106" s="191"/>
      <c r="R106" s="191"/>
      <c r="S106" s="191"/>
      <c r="T106" s="192"/>
      <c r="U106" s="189" t="str">
        <f t="shared" si="16"/>
        <v/>
      </c>
      <c r="V106" s="190" t="str">
        <f t="shared" si="17"/>
        <v/>
      </c>
      <c r="W106" s="190" t="str">
        <f t="shared" si="18"/>
        <v/>
      </c>
      <c r="X106" s="191" t="str">
        <f t="shared" si="19"/>
        <v/>
      </c>
      <c r="Y106" s="191" t="str">
        <f t="shared" si="20"/>
        <v/>
      </c>
      <c r="Z106" s="156"/>
    </row>
    <row r="107">
      <c r="A107" s="177" t="str">
        <f t="shared" si="14"/>
        <v/>
      </c>
      <c r="B107" s="196"/>
      <c r="C107" s="179" t="str">
        <f t="shared" si="2"/>
        <v/>
      </c>
      <c r="D107" s="197"/>
      <c r="E107" s="181"/>
      <c r="F107" s="198"/>
      <c r="G107" s="201"/>
      <c r="H107" s="201"/>
      <c r="I107" s="201"/>
      <c r="J107" s="202"/>
      <c r="K107" s="185" t="str">
        <f t="shared" si="3"/>
        <v/>
      </c>
      <c r="L107" s="186">
        <f t="shared" si="15"/>
        <v>0</v>
      </c>
      <c r="M107" s="191"/>
      <c r="N107" s="191"/>
      <c r="O107" s="191"/>
      <c r="P107" s="191"/>
      <c r="Q107" s="191"/>
      <c r="R107" s="191"/>
      <c r="S107" s="191"/>
      <c r="T107" s="192"/>
      <c r="U107" s="189" t="str">
        <f t="shared" si="16"/>
        <v/>
      </c>
      <c r="V107" s="190" t="str">
        <f t="shared" si="17"/>
        <v/>
      </c>
      <c r="W107" s="190" t="str">
        <f t="shared" si="18"/>
        <v/>
      </c>
      <c r="X107" s="191" t="str">
        <f t="shared" si="19"/>
        <v/>
      </c>
      <c r="Y107" s="191" t="str">
        <f t="shared" si="20"/>
        <v/>
      </c>
      <c r="Z107" s="156"/>
    </row>
    <row r="108">
      <c r="A108" s="177" t="str">
        <f t="shared" si="14"/>
        <v/>
      </c>
      <c r="B108" s="196"/>
      <c r="C108" s="179" t="str">
        <f t="shared" si="2"/>
        <v/>
      </c>
      <c r="D108" s="197"/>
      <c r="E108" s="181"/>
      <c r="F108" s="198"/>
      <c r="G108" s="201"/>
      <c r="H108" s="201"/>
      <c r="I108" s="201"/>
      <c r="J108" s="202"/>
      <c r="K108" s="185" t="str">
        <f t="shared" si="3"/>
        <v/>
      </c>
      <c r="L108" s="186">
        <f t="shared" si="15"/>
        <v>0</v>
      </c>
      <c r="M108" s="191"/>
      <c r="N108" s="191"/>
      <c r="O108" s="191"/>
      <c r="P108" s="191"/>
      <c r="Q108" s="191"/>
      <c r="R108" s="191"/>
      <c r="S108" s="191"/>
      <c r="T108" s="192"/>
      <c r="U108" s="189" t="str">
        <f t="shared" si="16"/>
        <v/>
      </c>
      <c r="V108" s="190" t="str">
        <f t="shared" si="17"/>
        <v/>
      </c>
      <c r="W108" s="190" t="str">
        <f t="shared" si="18"/>
        <v/>
      </c>
      <c r="X108" s="191" t="str">
        <f t="shared" si="19"/>
        <v/>
      </c>
      <c r="Y108" s="191" t="str">
        <f t="shared" si="20"/>
        <v/>
      </c>
      <c r="Z108" s="156"/>
    </row>
    <row r="109">
      <c r="A109" s="177" t="str">
        <f t="shared" si="14"/>
        <v/>
      </c>
      <c r="B109" s="196"/>
      <c r="C109" s="179" t="str">
        <f t="shared" si="2"/>
        <v/>
      </c>
      <c r="D109" s="197"/>
      <c r="E109" s="181"/>
      <c r="F109" s="198"/>
      <c r="G109" s="201"/>
      <c r="H109" s="201"/>
      <c r="I109" s="201"/>
      <c r="J109" s="202"/>
      <c r="K109" s="185" t="str">
        <f t="shared" si="3"/>
        <v/>
      </c>
      <c r="L109" s="186">
        <f t="shared" si="15"/>
        <v>0</v>
      </c>
      <c r="M109" s="191"/>
      <c r="N109" s="191"/>
      <c r="O109" s="191"/>
      <c r="P109" s="191"/>
      <c r="Q109" s="191"/>
      <c r="R109" s="191"/>
      <c r="S109" s="191"/>
      <c r="T109" s="192"/>
      <c r="U109" s="189" t="str">
        <f t="shared" si="16"/>
        <v/>
      </c>
      <c r="V109" s="190" t="str">
        <f t="shared" si="17"/>
        <v/>
      </c>
      <c r="W109" s="190" t="str">
        <f t="shared" si="18"/>
        <v/>
      </c>
      <c r="X109" s="191" t="str">
        <f t="shared" si="19"/>
        <v/>
      </c>
      <c r="Y109" s="191" t="str">
        <f t="shared" si="20"/>
        <v/>
      </c>
      <c r="Z109" s="156"/>
    </row>
    <row r="110">
      <c r="A110" s="177" t="str">
        <f t="shared" si="14"/>
        <v/>
      </c>
      <c r="B110" s="196"/>
      <c r="C110" s="179" t="str">
        <f t="shared" si="2"/>
        <v/>
      </c>
      <c r="D110" s="197"/>
      <c r="E110" s="181"/>
      <c r="F110" s="198"/>
      <c r="G110" s="201"/>
      <c r="H110" s="201"/>
      <c r="I110" s="201"/>
      <c r="J110" s="202"/>
      <c r="K110" s="185" t="str">
        <f t="shared" si="3"/>
        <v/>
      </c>
      <c r="L110" s="186">
        <f t="shared" si="15"/>
        <v>0</v>
      </c>
      <c r="M110" s="191"/>
      <c r="N110" s="191"/>
      <c r="O110" s="191"/>
      <c r="P110" s="191"/>
      <c r="Q110" s="191"/>
      <c r="R110" s="191"/>
      <c r="S110" s="191"/>
      <c r="T110" s="192"/>
      <c r="U110" s="189" t="str">
        <f t="shared" si="16"/>
        <v/>
      </c>
      <c r="V110" s="190" t="str">
        <f t="shared" si="17"/>
        <v/>
      </c>
      <c r="W110" s="190" t="str">
        <f t="shared" si="18"/>
        <v/>
      </c>
      <c r="X110" s="191" t="str">
        <f t="shared" si="19"/>
        <v/>
      </c>
      <c r="Y110" s="191" t="str">
        <f t="shared" si="20"/>
        <v/>
      </c>
      <c r="Z110" s="156"/>
    </row>
    <row r="111">
      <c r="A111" s="177" t="str">
        <f t="shared" si="14"/>
        <v/>
      </c>
      <c r="B111" s="196"/>
      <c r="C111" s="179" t="str">
        <f t="shared" si="2"/>
        <v/>
      </c>
      <c r="D111" s="197"/>
      <c r="E111" s="181"/>
      <c r="F111" s="198"/>
      <c r="G111" s="201"/>
      <c r="H111" s="201"/>
      <c r="I111" s="201"/>
      <c r="J111" s="202"/>
      <c r="K111" s="185" t="str">
        <f t="shared" si="3"/>
        <v/>
      </c>
      <c r="L111" s="186">
        <f t="shared" si="15"/>
        <v>0</v>
      </c>
      <c r="M111" s="191"/>
      <c r="N111" s="191"/>
      <c r="O111" s="191"/>
      <c r="P111" s="191"/>
      <c r="Q111" s="191"/>
      <c r="R111" s="191"/>
      <c r="S111" s="191"/>
      <c r="T111" s="192"/>
      <c r="U111" s="189" t="str">
        <f t="shared" si="16"/>
        <v/>
      </c>
      <c r="V111" s="190" t="str">
        <f t="shared" si="17"/>
        <v/>
      </c>
      <c r="W111" s="190" t="str">
        <f t="shared" si="18"/>
        <v/>
      </c>
      <c r="X111" s="191" t="str">
        <f t="shared" si="19"/>
        <v/>
      </c>
      <c r="Y111" s="191" t="str">
        <f t="shared" si="20"/>
        <v/>
      </c>
      <c r="Z111" s="156"/>
    </row>
    <row r="112">
      <c r="A112" s="177" t="str">
        <f t="shared" si="14"/>
        <v/>
      </c>
      <c r="B112" s="196"/>
      <c r="C112" s="179" t="str">
        <f t="shared" si="2"/>
        <v/>
      </c>
      <c r="D112" s="197"/>
      <c r="E112" s="181"/>
      <c r="F112" s="198"/>
      <c r="G112" s="201"/>
      <c r="H112" s="201"/>
      <c r="I112" s="201"/>
      <c r="J112" s="202"/>
      <c r="K112" s="185" t="str">
        <f t="shared" si="3"/>
        <v/>
      </c>
      <c r="L112" s="186">
        <f t="shared" si="15"/>
        <v>0</v>
      </c>
      <c r="M112" s="191"/>
      <c r="N112" s="191"/>
      <c r="O112" s="191"/>
      <c r="P112" s="191"/>
      <c r="Q112" s="191"/>
      <c r="R112" s="191"/>
      <c r="S112" s="191"/>
      <c r="T112" s="192"/>
      <c r="U112" s="189" t="str">
        <f t="shared" si="16"/>
        <v/>
      </c>
      <c r="V112" s="190" t="str">
        <f t="shared" si="17"/>
        <v/>
      </c>
      <c r="W112" s="190" t="str">
        <f t="shared" si="18"/>
        <v/>
      </c>
      <c r="X112" s="191" t="str">
        <f t="shared" si="19"/>
        <v/>
      </c>
      <c r="Y112" s="191" t="str">
        <f t="shared" si="20"/>
        <v/>
      </c>
      <c r="Z112" s="156"/>
    </row>
    <row r="113">
      <c r="A113" s="177" t="str">
        <f t="shared" si="14"/>
        <v/>
      </c>
      <c r="B113" s="196"/>
      <c r="C113" s="179" t="str">
        <f t="shared" si="2"/>
        <v/>
      </c>
      <c r="D113" s="197"/>
      <c r="E113" s="181"/>
      <c r="F113" s="198"/>
      <c r="G113" s="201"/>
      <c r="H113" s="201"/>
      <c r="I113" s="201"/>
      <c r="J113" s="202"/>
      <c r="K113" s="185" t="str">
        <f t="shared" si="3"/>
        <v/>
      </c>
      <c r="L113" s="186">
        <f t="shared" si="15"/>
        <v>0</v>
      </c>
      <c r="M113" s="191"/>
      <c r="N113" s="191"/>
      <c r="O113" s="191"/>
      <c r="P113" s="191"/>
      <c r="Q113" s="191"/>
      <c r="R113" s="191"/>
      <c r="S113" s="191"/>
      <c r="T113" s="192"/>
      <c r="U113" s="189" t="str">
        <f t="shared" si="16"/>
        <v/>
      </c>
      <c r="V113" s="190" t="str">
        <f t="shared" si="17"/>
        <v/>
      </c>
      <c r="W113" s="190" t="str">
        <f t="shared" si="18"/>
        <v/>
      </c>
      <c r="X113" s="191" t="str">
        <f t="shared" si="19"/>
        <v/>
      </c>
      <c r="Y113" s="191" t="str">
        <f t="shared" si="20"/>
        <v/>
      </c>
      <c r="Z113" s="156"/>
    </row>
    <row r="114">
      <c r="A114" s="177" t="str">
        <f t="shared" si="14"/>
        <v/>
      </c>
      <c r="B114" s="196"/>
      <c r="C114" s="179" t="str">
        <f t="shared" si="2"/>
        <v/>
      </c>
      <c r="D114" s="197"/>
      <c r="E114" s="181"/>
      <c r="F114" s="198"/>
      <c r="G114" s="201"/>
      <c r="H114" s="201"/>
      <c r="I114" s="201"/>
      <c r="J114" s="202"/>
      <c r="K114" s="185" t="str">
        <f t="shared" si="3"/>
        <v/>
      </c>
      <c r="L114" s="186">
        <f t="shared" si="15"/>
        <v>0</v>
      </c>
      <c r="M114" s="191"/>
      <c r="N114" s="191"/>
      <c r="O114" s="191"/>
      <c r="P114" s="191"/>
      <c r="Q114" s="191"/>
      <c r="R114" s="191"/>
      <c r="S114" s="191"/>
      <c r="T114" s="192"/>
      <c r="U114" s="189" t="str">
        <f t="shared" si="16"/>
        <v/>
      </c>
      <c r="V114" s="190" t="str">
        <f t="shared" si="17"/>
        <v/>
      </c>
      <c r="W114" s="190" t="str">
        <f t="shared" si="18"/>
        <v/>
      </c>
      <c r="X114" s="191" t="str">
        <f t="shared" si="19"/>
        <v/>
      </c>
      <c r="Y114" s="191" t="str">
        <f t="shared" si="20"/>
        <v/>
      </c>
      <c r="Z114" s="156"/>
    </row>
    <row r="115">
      <c r="A115" s="177" t="str">
        <f t="shared" si="14"/>
        <v/>
      </c>
      <c r="B115" s="196"/>
      <c r="C115" s="179" t="str">
        <f t="shared" si="2"/>
        <v/>
      </c>
      <c r="D115" s="197"/>
      <c r="E115" s="181"/>
      <c r="F115" s="198"/>
      <c r="G115" s="201"/>
      <c r="H115" s="201"/>
      <c r="I115" s="201"/>
      <c r="J115" s="202"/>
      <c r="K115" s="185" t="str">
        <f t="shared" si="3"/>
        <v/>
      </c>
      <c r="L115" s="186">
        <f t="shared" si="15"/>
        <v>0</v>
      </c>
      <c r="M115" s="191"/>
      <c r="N115" s="191"/>
      <c r="O115" s="191"/>
      <c r="P115" s="191"/>
      <c r="Q115" s="191"/>
      <c r="R115" s="191"/>
      <c r="S115" s="191"/>
      <c r="T115" s="192"/>
      <c r="U115" s="189" t="str">
        <f t="shared" si="16"/>
        <v/>
      </c>
      <c r="V115" s="190" t="str">
        <f t="shared" si="17"/>
        <v/>
      </c>
      <c r="W115" s="190" t="str">
        <f t="shared" si="18"/>
        <v/>
      </c>
      <c r="X115" s="191" t="str">
        <f t="shared" si="19"/>
        <v/>
      </c>
      <c r="Y115" s="191" t="str">
        <f t="shared" si="20"/>
        <v/>
      </c>
      <c r="Z115" s="156"/>
    </row>
    <row r="116">
      <c r="A116" s="177" t="str">
        <f t="shared" si="14"/>
        <v/>
      </c>
      <c r="B116" s="196"/>
      <c r="C116" s="179" t="str">
        <f t="shared" si="2"/>
        <v/>
      </c>
      <c r="D116" s="197"/>
      <c r="E116" s="181"/>
      <c r="F116" s="198"/>
      <c r="G116" s="201"/>
      <c r="H116" s="201"/>
      <c r="I116" s="201"/>
      <c r="J116" s="202"/>
      <c r="K116" s="185" t="str">
        <f t="shared" si="3"/>
        <v/>
      </c>
      <c r="L116" s="186">
        <f t="shared" si="15"/>
        <v>0</v>
      </c>
      <c r="M116" s="191"/>
      <c r="N116" s="191"/>
      <c r="O116" s="191"/>
      <c r="P116" s="191"/>
      <c r="Q116" s="191"/>
      <c r="R116" s="191"/>
      <c r="S116" s="191"/>
      <c r="T116" s="192"/>
      <c r="U116" s="189" t="str">
        <f t="shared" si="16"/>
        <v/>
      </c>
      <c r="V116" s="190" t="str">
        <f t="shared" si="17"/>
        <v/>
      </c>
      <c r="W116" s="190" t="str">
        <f t="shared" si="18"/>
        <v/>
      </c>
      <c r="X116" s="191" t="str">
        <f t="shared" si="19"/>
        <v/>
      </c>
      <c r="Y116" s="191" t="str">
        <f t="shared" si="20"/>
        <v/>
      </c>
      <c r="Z116" s="156"/>
    </row>
    <row r="117">
      <c r="A117" s="177" t="str">
        <f t="shared" si="14"/>
        <v/>
      </c>
      <c r="B117" s="196"/>
      <c r="C117" s="179" t="str">
        <f t="shared" si="2"/>
        <v/>
      </c>
      <c r="D117" s="197"/>
      <c r="E117" s="181"/>
      <c r="F117" s="198"/>
      <c r="G117" s="201"/>
      <c r="H117" s="201"/>
      <c r="I117" s="201"/>
      <c r="J117" s="202"/>
      <c r="K117" s="185" t="str">
        <f t="shared" si="3"/>
        <v/>
      </c>
      <c r="L117" s="186">
        <f t="shared" si="15"/>
        <v>0</v>
      </c>
      <c r="M117" s="191"/>
      <c r="N117" s="191"/>
      <c r="O117" s="191"/>
      <c r="P117" s="191"/>
      <c r="Q117" s="191"/>
      <c r="R117" s="191"/>
      <c r="S117" s="191"/>
      <c r="T117" s="192"/>
      <c r="U117" s="189" t="str">
        <f t="shared" si="16"/>
        <v/>
      </c>
      <c r="V117" s="190" t="str">
        <f t="shared" si="17"/>
        <v/>
      </c>
      <c r="W117" s="190" t="str">
        <f t="shared" si="18"/>
        <v/>
      </c>
      <c r="X117" s="191" t="str">
        <f t="shared" si="19"/>
        <v/>
      </c>
      <c r="Y117" s="191" t="str">
        <f t="shared" si="20"/>
        <v/>
      </c>
      <c r="Z117" s="156"/>
    </row>
    <row r="118">
      <c r="A118" s="177" t="str">
        <f t="shared" si="14"/>
        <v/>
      </c>
      <c r="B118" s="196"/>
      <c r="C118" s="179" t="str">
        <f t="shared" si="2"/>
        <v/>
      </c>
      <c r="D118" s="197"/>
      <c r="E118" s="181"/>
      <c r="F118" s="198"/>
      <c r="G118" s="201"/>
      <c r="H118" s="201"/>
      <c r="I118" s="201"/>
      <c r="J118" s="202"/>
      <c r="K118" s="185" t="str">
        <f t="shared" si="3"/>
        <v/>
      </c>
      <c r="L118" s="186">
        <f t="shared" si="15"/>
        <v>0</v>
      </c>
      <c r="M118" s="191"/>
      <c r="N118" s="191"/>
      <c r="O118" s="191"/>
      <c r="P118" s="191"/>
      <c r="Q118" s="191"/>
      <c r="R118" s="191"/>
      <c r="S118" s="191"/>
      <c r="T118" s="192"/>
      <c r="U118" s="189" t="str">
        <f t="shared" si="16"/>
        <v/>
      </c>
      <c r="V118" s="190" t="str">
        <f t="shared" si="17"/>
        <v/>
      </c>
      <c r="W118" s="190" t="str">
        <f t="shared" si="18"/>
        <v/>
      </c>
      <c r="X118" s="191" t="str">
        <f t="shared" si="19"/>
        <v/>
      </c>
      <c r="Y118" s="191" t="str">
        <f t="shared" si="20"/>
        <v/>
      </c>
      <c r="Z118" s="156"/>
    </row>
    <row r="119">
      <c r="A119" s="177" t="str">
        <f t="shared" si="14"/>
        <v/>
      </c>
      <c r="B119" s="196"/>
      <c r="C119" s="179" t="str">
        <f t="shared" si="2"/>
        <v/>
      </c>
      <c r="D119" s="197"/>
      <c r="E119" s="181"/>
      <c r="F119" s="198"/>
      <c r="G119" s="201"/>
      <c r="H119" s="201"/>
      <c r="I119" s="201"/>
      <c r="J119" s="202"/>
      <c r="K119" s="185" t="str">
        <f t="shared" si="3"/>
        <v/>
      </c>
      <c r="L119" s="186">
        <f t="shared" si="15"/>
        <v>0</v>
      </c>
      <c r="M119" s="191"/>
      <c r="N119" s="191"/>
      <c r="O119" s="191"/>
      <c r="P119" s="191"/>
      <c r="Q119" s="191"/>
      <c r="R119" s="191"/>
      <c r="S119" s="191"/>
      <c r="T119" s="192"/>
      <c r="U119" s="189" t="str">
        <f t="shared" si="16"/>
        <v/>
      </c>
      <c r="V119" s="190" t="str">
        <f t="shared" si="17"/>
        <v/>
      </c>
      <c r="W119" s="190" t="str">
        <f t="shared" si="18"/>
        <v/>
      </c>
      <c r="X119" s="191" t="str">
        <f t="shared" si="19"/>
        <v/>
      </c>
      <c r="Y119" s="191" t="str">
        <f t="shared" si="20"/>
        <v/>
      </c>
      <c r="Z119" s="156"/>
    </row>
    <row r="120">
      <c r="A120" s="177" t="str">
        <f t="shared" si="14"/>
        <v/>
      </c>
      <c r="B120" s="196"/>
      <c r="C120" s="179" t="str">
        <f t="shared" si="2"/>
        <v/>
      </c>
      <c r="D120" s="197"/>
      <c r="E120" s="181"/>
      <c r="F120" s="198"/>
      <c r="G120" s="201"/>
      <c r="H120" s="201"/>
      <c r="I120" s="201"/>
      <c r="J120" s="202"/>
      <c r="K120" s="185" t="str">
        <f t="shared" si="3"/>
        <v/>
      </c>
      <c r="L120" s="186">
        <f t="shared" si="15"/>
        <v>0</v>
      </c>
      <c r="M120" s="191"/>
      <c r="N120" s="191"/>
      <c r="O120" s="191"/>
      <c r="P120" s="191"/>
      <c r="Q120" s="191"/>
      <c r="R120" s="191"/>
      <c r="S120" s="191"/>
      <c r="T120" s="192"/>
      <c r="U120" s="189" t="str">
        <f t="shared" si="16"/>
        <v/>
      </c>
      <c r="V120" s="190" t="str">
        <f t="shared" si="17"/>
        <v/>
      </c>
      <c r="W120" s="190" t="str">
        <f t="shared" si="18"/>
        <v/>
      </c>
      <c r="X120" s="191" t="str">
        <f t="shared" si="19"/>
        <v/>
      </c>
      <c r="Y120" s="191" t="str">
        <f t="shared" si="20"/>
        <v/>
      </c>
      <c r="Z120" s="156"/>
    </row>
    <row r="121">
      <c r="A121" s="177" t="str">
        <f t="shared" si="14"/>
        <v/>
      </c>
      <c r="B121" s="196"/>
      <c r="C121" s="179" t="str">
        <f t="shared" si="2"/>
        <v/>
      </c>
      <c r="D121" s="197"/>
      <c r="E121" s="181"/>
      <c r="F121" s="198"/>
      <c r="G121" s="201"/>
      <c r="H121" s="201"/>
      <c r="I121" s="201"/>
      <c r="J121" s="202"/>
      <c r="K121" s="185" t="str">
        <f t="shared" si="3"/>
        <v/>
      </c>
      <c r="L121" s="186">
        <f t="shared" si="15"/>
        <v>0</v>
      </c>
      <c r="M121" s="191"/>
      <c r="N121" s="191"/>
      <c r="O121" s="191"/>
      <c r="P121" s="191"/>
      <c r="Q121" s="191"/>
      <c r="R121" s="191"/>
      <c r="S121" s="191"/>
      <c r="T121" s="192"/>
      <c r="U121" s="189" t="str">
        <f t="shared" si="16"/>
        <v/>
      </c>
      <c r="V121" s="190" t="str">
        <f t="shared" si="17"/>
        <v/>
      </c>
      <c r="W121" s="190" t="str">
        <f t="shared" si="18"/>
        <v/>
      </c>
      <c r="X121" s="191" t="str">
        <f t="shared" si="19"/>
        <v/>
      </c>
      <c r="Y121" s="191" t="str">
        <f t="shared" si="20"/>
        <v/>
      </c>
      <c r="Z121" s="156"/>
    </row>
    <row r="122">
      <c r="A122" s="177" t="str">
        <f t="shared" si="14"/>
        <v/>
      </c>
      <c r="B122" s="196"/>
      <c r="C122" s="179" t="str">
        <f t="shared" si="2"/>
        <v/>
      </c>
      <c r="D122" s="197"/>
      <c r="E122" s="181"/>
      <c r="F122" s="198"/>
      <c r="G122" s="201"/>
      <c r="H122" s="201"/>
      <c r="I122" s="201"/>
      <c r="J122" s="202"/>
      <c r="K122" s="185" t="str">
        <f t="shared" si="3"/>
        <v/>
      </c>
      <c r="L122" s="186">
        <f t="shared" si="15"/>
        <v>0</v>
      </c>
      <c r="M122" s="191"/>
      <c r="N122" s="191"/>
      <c r="O122" s="191"/>
      <c r="P122" s="191"/>
      <c r="Q122" s="191"/>
      <c r="R122" s="191"/>
      <c r="S122" s="191"/>
      <c r="T122" s="192"/>
      <c r="U122" s="189" t="str">
        <f t="shared" si="16"/>
        <v/>
      </c>
      <c r="V122" s="190" t="str">
        <f t="shared" si="17"/>
        <v/>
      </c>
      <c r="W122" s="190" t="str">
        <f t="shared" si="18"/>
        <v/>
      </c>
      <c r="X122" s="191" t="str">
        <f t="shared" si="19"/>
        <v/>
      </c>
      <c r="Y122" s="191" t="str">
        <f t="shared" si="20"/>
        <v/>
      </c>
      <c r="Z122" s="156"/>
    </row>
    <row r="123">
      <c r="A123" s="177" t="str">
        <f t="shared" si="14"/>
        <v/>
      </c>
      <c r="B123" s="196"/>
      <c r="C123" s="179" t="str">
        <f t="shared" si="2"/>
        <v/>
      </c>
      <c r="D123" s="197"/>
      <c r="E123" s="181"/>
      <c r="F123" s="198"/>
      <c r="G123" s="201"/>
      <c r="H123" s="201"/>
      <c r="I123" s="201"/>
      <c r="J123" s="202"/>
      <c r="K123" s="185" t="str">
        <f t="shared" si="3"/>
        <v/>
      </c>
      <c r="L123" s="186">
        <f t="shared" si="15"/>
        <v>0</v>
      </c>
      <c r="M123" s="191"/>
      <c r="N123" s="191"/>
      <c r="O123" s="191"/>
      <c r="P123" s="191"/>
      <c r="Q123" s="191"/>
      <c r="R123" s="191"/>
      <c r="S123" s="191"/>
      <c r="T123" s="192"/>
      <c r="U123" s="189" t="str">
        <f t="shared" si="16"/>
        <v/>
      </c>
      <c r="V123" s="190" t="str">
        <f t="shared" si="17"/>
        <v/>
      </c>
      <c r="W123" s="190" t="str">
        <f t="shared" si="18"/>
        <v/>
      </c>
      <c r="X123" s="191" t="str">
        <f t="shared" si="19"/>
        <v/>
      </c>
      <c r="Y123" s="191" t="str">
        <f t="shared" si="20"/>
        <v/>
      </c>
      <c r="Z123" s="156"/>
    </row>
    <row r="124">
      <c r="A124" s="177" t="str">
        <f t="shared" si="14"/>
        <v/>
      </c>
      <c r="B124" s="196"/>
      <c r="C124" s="179" t="str">
        <f t="shared" si="2"/>
        <v/>
      </c>
      <c r="D124" s="197"/>
      <c r="E124" s="181"/>
      <c r="F124" s="198"/>
      <c r="G124" s="201"/>
      <c r="H124" s="201"/>
      <c r="I124" s="201"/>
      <c r="J124" s="202"/>
      <c r="K124" s="185" t="str">
        <f t="shared" si="3"/>
        <v/>
      </c>
      <c r="L124" s="186">
        <f t="shared" si="15"/>
        <v>0</v>
      </c>
      <c r="M124" s="191"/>
      <c r="N124" s="191"/>
      <c r="O124" s="191"/>
      <c r="P124" s="191"/>
      <c r="Q124" s="191"/>
      <c r="R124" s="191"/>
      <c r="S124" s="191"/>
      <c r="T124" s="192"/>
      <c r="U124" s="189" t="str">
        <f t="shared" si="16"/>
        <v/>
      </c>
      <c r="V124" s="190" t="str">
        <f t="shared" si="17"/>
        <v/>
      </c>
      <c r="W124" s="190" t="str">
        <f t="shared" si="18"/>
        <v/>
      </c>
      <c r="X124" s="191" t="str">
        <f t="shared" si="19"/>
        <v/>
      </c>
      <c r="Y124" s="191" t="str">
        <f t="shared" si="20"/>
        <v/>
      </c>
      <c r="Z124" s="156"/>
    </row>
    <row r="125">
      <c r="A125" s="177" t="str">
        <f t="shared" si="14"/>
        <v/>
      </c>
      <c r="B125" s="196"/>
      <c r="C125" s="179" t="str">
        <f t="shared" si="2"/>
        <v/>
      </c>
      <c r="D125" s="197"/>
      <c r="E125" s="181"/>
      <c r="F125" s="198"/>
      <c r="G125" s="201"/>
      <c r="H125" s="201"/>
      <c r="I125" s="201"/>
      <c r="J125" s="202"/>
      <c r="K125" s="185" t="str">
        <f t="shared" si="3"/>
        <v/>
      </c>
      <c r="L125" s="186">
        <f t="shared" si="15"/>
        <v>0</v>
      </c>
      <c r="M125" s="191"/>
      <c r="N125" s="191"/>
      <c r="O125" s="191"/>
      <c r="P125" s="191"/>
      <c r="Q125" s="191"/>
      <c r="R125" s="191"/>
      <c r="S125" s="191"/>
      <c r="T125" s="192"/>
      <c r="U125" s="189" t="str">
        <f t="shared" si="16"/>
        <v/>
      </c>
      <c r="V125" s="190" t="str">
        <f t="shared" si="17"/>
        <v/>
      </c>
      <c r="W125" s="190" t="str">
        <f t="shared" si="18"/>
        <v/>
      </c>
      <c r="X125" s="191" t="str">
        <f t="shared" si="19"/>
        <v/>
      </c>
      <c r="Y125" s="191" t="str">
        <f t="shared" si="20"/>
        <v/>
      </c>
      <c r="Z125" s="156"/>
    </row>
    <row r="126">
      <c r="A126" s="177" t="str">
        <f t="shared" si="14"/>
        <v/>
      </c>
      <c r="B126" s="196"/>
      <c r="C126" s="179" t="str">
        <f t="shared" si="2"/>
        <v/>
      </c>
      <c r="D126" s="197"/>
      <c r="E126" s="181"/>
      <c r="F126" s="198"/>
      <c r="G126" s="201"/>
      <c r="H126" s="201"/>
      <c r="I126" s="201"/>
      <c r="J126" s="202"/>
      <c r="K126" s="185" t="str">
        <f t="shared" si="3"/>
        <v/>
      </c>
      <c r="L126" s="186">
        <f t="shared" si="15"/>
        <v>0</v>
      </c>
      <c r="M126" s="191"/>
      <c r="N126" s="191"/>
      <c r="O126" s="191"/>
      <c r="P126" s="191"/>
      <c r="Q126" s="191"/>
      <c r="R126" s="191"/>
      <c r="S126" s="191"/>
      <c r="T126" s="192"/>
      <c r="U126" s="189" t="str">
        <f t="shared" si="16"/>
        <v/>
      </c>
      <c r="V126" s="190" t="str">
        <f t="shared" si="17"/>
        <v/>
      </c>
      <c r="W126" s="190" t="str">
        <f t="shared" si="18"/>
        <v/>
      </c>
      <c r="X126" s="191" t="str">
        <f t="shared" si="19"/>
        <v/>
      </c>
      <c r="Y126" s="191" t="str">
        <f t="shared" si="20"/>
        <v/>
      </c>
      <c r="Z126" s="156"/>
    </row>
    <row r="127">
      <c r="A127" s="177" t="str">
        <f t="shared" si="14"/>
        <v/>
      </c>
      <c r="B127" s="196"/>
      <c r="C127" s="179" t="str">
        <f t="shared" si="2"/>
        <v/>
      </c>
      <c r="D127" s="197"/>
      <c r="E127" s="181"/>
      <c r="F127" s="198"/>
      <c r="G127" s="201"/>
      <c r="H127" s="201"/>
      <c r="I127" s="201"/>
      <c r="J127" s="202"/>
      <c r="K127" s="185" t="str">
        <f t="shared" si="3"/>
        <v/>
      </c>
      <c r="L127" s="186">
        <f t="shared" si="15"/>
        <v>0</v>
      </c>
      <c r="M127" s="191"/>
      <c r="N127" s="191"/>
      <c r="O127" s="191"/>
      <c r="P127" s="191"/>
      <c r="Q127" s="191"/>
      <c r="R127" s="191"/>
      <c r="S127" s="191"/>
      <c r="T127" s="192"/>
      <c r="U127" s="189" t="str">
        <f t="shared" si="16"/>
        <v/>
      </c>
      <c r="V127" s="190" t="str">
        <f t="shared" si="17"/>
        <v/>
      </c>
      <c r="W127" s="190" t="str">
        <f t="shared" si="18"/>
        <v/>
      </c>
      <c r="X127" s="191" t="str">
        <f t="shared" si="19"/>
        <v/>
      </c>
      <c r="Y127" s="191" t="str">
        <f t="shared" si="20"/>
        <v/>
      </c>
      <c r="Z127" s="156"/>
    </row>
    <row r="128">
      <c r="A128" s="177" t="str">
        <f t="shared" si="14"/>
        <v/>
      </c>
      <c r="B128" s="196"/>
      <c r="C128" s="179" t="str">
        <f t="shared" si="2"/>
        <v/>
      </c>
      <c r="D128" s="197"/>
      <c r="E128" s="181"/>
      <c r="F128" s="198"/>
      <c r="G128" s="201"/>
      <c r="H128" s="201"/>
      <c r="I128" s="201"/>
      <c r="J128" s="202"/>
      <c r="K128" s="185" t="str">
        <f t="shared" si="3"/>
        <v/>
      </c>
      <c r="L128" s="186">
        <f t="shared" si="15"/>
        <v>0</v>
      </c>
      <c r="M128" s="191"/>
      <c r="N128" s="191"/>
      <c r="O128" s="191"/>
      <c r="P128" s="191"/>
      <c r="Q128" s="191"/>
      <c r="R128" s="191"/>
      <c r="S128" s="191"/>
      <c r="T128" s="192"/>
      <c r="U128" s="189" t="str">
        <f t="shared" si="16"/>
        <v/>
      </c>
      <c r="V128" s="190" t="str">
        <f t="shared" si="17"/>
        <v/>
      </c>
      <c r="W128" s="190" t="str">
        <f t="shared" si="18"/>
        <v/>
      </c>
      <c r="X128" s="191" t="str">
        <f t="shared" si="19"/>
        <v/>
      </c>
      <c r="Y128" s="191" t="str">
        <f t="shared" si="20"/>
        <v/>
      </c>
      <c r="Z128" s="156"/>
    </row>
    <row r="129">
      <c r="A129" s="177" t="str">
        <f t="shared" si="14"/>
        <v/>
      </c>
      <c r="B129" s="196"/>
      <c r="C129" s="179" t="str">
        <f t="shared" si="2"/>
        <v/>
      </c>
      <c r="D129" s="197"/>
      <c r="E129" s="181"/>
      <c r="F129" s="198"/>
      <c r="G129" s="201"/>
      <c r="H129" s="201"/>
      <c r="I129" s="201"/>
      <c r="J129" s="202"/>
      <c r="K129" s="185" t="str">
        <f t="shared" si="3"/>
        <v/>
      </c>
      <c r="L129" s="186">
        <f t="shared" si="15"/>
        <v>0</v>
      </c>
      <c r="M129" s="191"/>
      <c r="N129" s="191"/>
      <c r="O129" s="191"/>
      <c r="P129" s="191"/>
      <c r="Q129" s="191"/>
      <c r="R129" s="191"/>
      <c r="S129" s="191"/>
      <c r="T129" s="192"/>
      <c r="U129" s="189" t="str">
        <f t="shared" si="16"/>
        <v/>
      </c>
      <c r="V129" s="190" t="str">
        <f t="shared" si="17"/>
        <v/>
      </c>
      <c r="W129" s="190" t="str">
        <f t="shared" si="18"/>
        <v/>
      </c>
      <c r="X129" s="191" t="str">
        <f t="shared" si="19"/>
        <v/>
      </c>
      <c r="Y129" s="191" t="str">
        <f t="shared" si="20"/>
        <v/>
      </c>
      <c r="Z129" s="156"/>
    </row>
    <row r="130">
      <c r="A130" s="177" t="str">
        <f t="shared" si="14"/>
        <v/>
      </c>
      <c r="B130" s="196"/>
      <c r="C130" s="179" t="str">
        <f t="shared" si="2"/>
        <v/>
      </c>
      <c r="D130" s="197"/>
      <c r="E130" s="181"/>
      <c r="F130" s="198"/>
      <c r="G130" s="201"/>
      <c r="H130" s="201"/>
      <c r="I130" s="201"/>
      <c r="J130" s="202"/>
      <c r="K130" s="185" t="str">
        <f t="shared" si="3"/>
        <v/>
      </c>
      <c r="L130" s="186">
        <f t="shared" si="15"/>
        <v>0</v>
      </c>
      <c r="M130" s="191"/>
      <c r="N130" s="191"/>
      <c r="O130" s="191"/>
      <c r="P130" s="191"/>
      <c r="Q130" s="191"/>
      <c r="R130" s="191"/>
      <c r="S130" s="191"/>
      <c r="T130" s="192"/>
      <c r="U130" s="189" t="str">
        <f t="shared" si="16"/>
        <v/>
      </c>
      <c r="V130" s="190" t="str">
        <f t="shared" si="17"/>
        <v/>
      </c>
      <c r="W130" s="190" t="str">
        <f t="shared" si="18"/>
        <v/>
      </c>
      <c r="X130" s="191" t="str">
        <f t="shared" si="19"/>
        <v/>
      </c>
      <c r="Y130" s="191" t="str">
        <f t="shared" si="20"/>
        <v/>
      </c>
      <c r="Z130" s="156"/>
    </row>
    <row r="131">
      <c r="A131" s="177" t="str">
        <f t="shared" si="14"/>
        <v/>
      </c>
      <c r="B131" s="196"/>
      <c r="C131" s="179" t="str">
        <f t="shared" si="2"/>
        <v/>
      </c>
      <c r="D131" s="197"/>
      <c r="E131" s="181"/>
      <c r="F131" s="198"/>
      <c r="G131" s="201"/>
      <c r="H131" s="201"/>
      <c r="I131" s="201"/>
      <c r="J131" s="202"/>
      <c r="K131" s="185" t="str">
        <f t="shared" si="3"/>
        <v/>
      </c>
      <c r="L131" s="186">
        <f t="shared" si="15"/>
        <v>0</v>
      </c>
      <c r="M131" s="191"/>
      <c r="N131" s="191"/>
      <c r="O131" s="191"/>
      <c r="P131" s="191"/>
      <c r="Q131" s="191"/>
      <c r="R131" s="191"/>
      <c r="S131" s="191"/>
      <c r="T131" s="192"/>
      <c r="U131" s="189" t="str">
        <f t="shared" si="16"/>
        <v/>
      </c>
      <c r="V131" s="190" t="str">
        <f t="shared" si="17"/>
        <v/>
      </c>
      <c r="W131" s="190" t="str">
        <f t="shared" si="18"/>
        <v/>
      </c>
      <c r="X131" s="191" t="str">
        <f t="shared" si="19"/>
        <v/>
      </c>
      <c r="Y131" s="191" t="str">
        <f t="shared" si="20"/>
        <v/>
      </c>
      <c r="Z131" s="156"/>
    </row>
    <row r="132">
      <c r="A132" s="177" t="str">
        <f t="shared" si="14"/>
        <v/>
      </c>
      <c r="B132" s="196"/>
      <c r="C132" s="179" t="str">
        <f t="shared" si="2"/>
        <v/>
      </c>
      <c r="D132" s="197"/>
      <c r="E132" s="181"/>
      <c r="F132" s="198"/>
      <c r="G132" s="201"/>
      <c r="H132" s="201"/>
      <c r="I132" s="201"/>
      <c r="J132" s="202"/>
      <c r="K132" s="185" t="str">
        <f t="shared" si="3"/>
        <v/>
      </c>
      <c r="L132" s="186">
        <f t="shared" si="15"/>
        <v>0</v>
      </c>
      <c r="M132" s="191"/>
      <c r="N132" s="191"/>
      <c r="O132" s="191"/>
      <c r="P132" s="191"/>
      <c r="Q132" s="191"/>
      <c r="R132" s="191"/>
      <c r="S132" s="191"/>
      <c r="T132" s="192"/>
      <c r="U132" s="189" t="str">
        <f t="shared" si="16"/>
        <v/>
      </c>
      <c r="V132" s="190" t="str">
        <f t="shared" si="17"/>
        <v/>
      </c>
      <c r="W132" s="190" t="str">
        <f t="shared" si="18"/>
        <v/>
      </c>
      <c r="X132" s="191" t="str">
        <f t="shared" si="19"/>
        <v/>
      </c>
      <c r="Y132" s="191" t="str">
        <f t="shared" si="20"/>
        <v/>
      </c>
      <c r="Z132" s="156"/>
    </row>
    <row r="133">
      <c r="A133" s="177" t="str">
        <f t="shared" si="14"/>
        <v/>
      </c>
      <c r="B133" s="196"/>
      <c r="C133" s="179" t="str">
        <f t="shared" si="2"/>
        <v/>
      </c>
      <c r="D133" s="197"/>
      <c r="E133" s="181"/>
      <c r="F133" s="198"/>
      <c r="G133" s="201"/>
      <c r="H133" s="201"/>
      <c r="I133" s="201"/>
      <c r="J133" s="202"/>
      <c r="K133" s="185" t="str">
        <f t="shared" si="3"/>
        <v/>
      </c>
      <c r="L133" s="186">
        <f t="shared" si="15"/>
        <v>0</v>
      </c>
      <c r="M133" s="191"/>
      <c r="N133" s="191"/>
      <c r="O133" s="191"/>
      <c r="P133" s="191"/>
      <c r="Q133" s="191"/>
      <c r="R133" s="191"/>
      <c r="S133" s="191"/>
      <c r="T133" s="192"/>
      <c r="U133" s="189" t="str">
        <f t="shared" si="16"/>
        <v/>
      </c>
      <c r="V133" s="190" t="str">
        <f t="shared" si="17"/>
        <v/>
      </c>
      <c r="W133" s="190" t="str">
        <f t="shared" si="18"/>
        <v/>
      </c>
      <c r="X133" s="191" t="str">
        <f t="shared" si="19"/>
        <v/>
      </c>
      <c r="Y133" s="191" t="str">
        <f t="shared" si="20"/>
        <v/>
      </c>
      <c r="Z133" s="156"/>
    </row>
    <row r="134">
      <c r="A134" s="177" t="str">
        <f t="shared" si="14"/>
        <v/>
      </c>
      <c r="B134" s="196"/>
      <c r="C134" s="179" t="str">
        <f t="shared" si="2"/>
        <v/>
      </c>
      <c r="D134" s="197"/>
      <c r="E134" s="181"/>
      <c r="F134" s="198"/>
      <c r="G134" s="201"/>
      <c r="H134" s="201"/>
      <c r="I134" s="201"/>
      <c r="J134" s="202"/>
      <c r="K134" s="185" t="str">
        <f t="shared" si="3"/>
        <v/>
      </c>
      <c r="L134" s="186">
        <f t="shared" si="15"/>
        <v>0</v>
      </c>
      <c r="M134" s="191"/>
      <c r="N134" s="191"/>
      <c r="O134" s="191"/>
      <c r="P134" s="191"/>
      <c r="Q134" s="191"/>
      <c r="R134" s="191"/>
      <c r="S134" s="191"/>
      <c r="T134" s="192"/>
      <c r="U134" s="189" t="str">
        <f t="shared" si="16"/>
        <v/>
      </c>
      <c r="V134" s="190" t="str">
        <f t="shared" si="17"/>
        <v/>
      </c>
      <c r="W134" s="190" t="str">
        <f t="shared" si="18"/>
        <v/>
      </c>
      <c r="X134" s="191" t="str">
        <f t="shared" si="19"/>
        <v/>
      </c>
      <c r="Y134" s="191" t="str">
        <f t="shared" si="20"/>
        <v/>
      </c>
      <c r="Z134" s="156"/>
    </row>
    <row r="135">
      <c r="A135" s="177" t="str">
        <f t="shared" si="14"/>
        <v/>
      </c>
      <c r="B135" s="196"/>
      <c r="C135" s="179" t="str">
        <f t="shared" si="2"/>
        <v/>
      </c>
      <c r="D135" s="197"/>
      <c r="E135" s="181"/>
      <c r="F135" s="198"/>
      <c r="G135" s="201"/>
      <c r="H135" s="201"/>
      <c r="I135" s="201"/>
      <c r="J135" s="202"/>
      <c r="K135" s="185" t="str">
        <f t="shared" si="3"/>
        <v/>
      </c>
      <c r="L135" s="186">
        <f t="shared" si="15"/>
        <v>0</v>
      </c>
      <c r="M135" s="191"/>
      <c r="N135" s="191"/>
      <c r="O135" s="191"/>
      <c r="P135" s="191"/>
      <c r="Q135" s="191"/>
      <c r="R135" s="191"/>
      <c r="S135" s="191"/>
      <c r="T135" s="192"/>
      <c r="U135" s="189" t="str">
        <f t="shared" si="16"/>
        <v/>
      </c>
      <c r="V135" s="190" t="str">
        <f t="shared" si="17"/>
        <v/>
      </c>
      <c r="W135" s="190" t="str">
        <f t="shared" si="18"/>
        <v/>
      </c>
      <c r="X135" s="191" t="str">
        <f t="shared" si="19"/>
        <v/>
      </c>
      <c r="Y135" s="191" t="str">
        <f t="shared" si="20"/>
        <v/>
      </c>
      <c r="Z135" s="156"/>
    </row>
    <row r="136">
      <c r="A136" s="177" t="str">
        <f t="shared" si="14"/>
        <v/>
      </c>
      <c r="B136" s="196"/>
      <c r="C136" s="179" t="str">
        <f t="shared" si="2"/>
        <v/>
      </c>
      <c r="D136" s="197"/>
      <c r="E136" s="181"/>
      <c r="F136" s="198"/>
      <c r="G136" s="201"/>
      <c r="H136" s="201"/>
      <c r="I136" s="201"/>
      <c r="J136" s="202"/>
      <c r="K136" s="185" t="str">
        <f t="shared" si="3"/>
        <v/>
      </c>
      <c r="L136" s="186">
        <f t="shared" si="15"/>
        <v>0</v>
      </c>
      <c r="M136" s="191"/>
      <c r="N136" s="191"/>
      <c r="O136" s="191"/>
      <c r="P136" s="191"/>
      <c r="Q136" s="191"/>
      <c r="R136" s="191"/>
      <c r="S136" s="191"/>
      <c r="T136" s="192"/>
      <c r="U136" s="189" t="str">
        <f t="shared" si="16"/>
        <v/>
      </c>
      <c r="V136" s="190" t="str">
        <f t="shared" si="17"/>
        <v/>
      </c>
      <c r="W136" s="190" t="str">
        <f t="shared" si="18"/>
        <v/>
      </c>
      <c r="X136" s="191" t="str">
        <f t="shared" si="19"/>
        <v/>
      </c>
      <c r="Y136" s="191" t="str">
        <f t="shared" si="20"/>
        <v/>
      </c>
      <c r="Z136" s="156"/>
    </row>
    <row r="137">
      <c r="A137" s="177" t="str">
        <f t="shared" si="14"/>
        <v/>
      </c>
      <c r="B137" s="196"/>
      <c r="C137" s="179" t="str">
        <f t="shared" si="2"/>
        <v/>
      </c>
      <c r="D137" s="197"/>
      <c r="E137" s="181"/>
      <c r="F137" s="198"/>
      <c r="G137" s="201"/>
      <c r="H137" s="201"/>
      <c r="I137" s="201"/>
      <c r="J137" s="202"/>
      <c r="K137" s="185" t="str">
        <f t="shared" si="3"/>
        <v/>
      </c>
      <c r="L137" s="186">
        <f t="shared" si="15"/>
        <v>0</v>
      </c>
      <c r="M137" s="191"/>
      <c r="N137" s="191"/>
      <c r="O137" s="191"/>
      <c r="P137" s="191"/>
      <c r="Q137" s="191"/>
      <c r="R137" s="191"/>
      <c r="S137" s="191"/>
      <c r="T137" s="192"/>
      <c r="U137" s="189" t="str">
        <f t="shared" si="16"/>
        <v/>
      </c>
      <c r="V137" s="190" t="str">
        <f t="shared" si="17"/>
        <v/>
      </c>
      <c r="W137" s="190" t="str">
        <f t="shared" si="18"/>
        <v/>
      </c>
      <c r="X137" s="191" t="str">
        <f t="shared" si="19"/>
        <v/>
      </c>
      <c r="Y137" s="191" t="str">
        <f t="shared" si="20"/>
        <v/>
      </c>
      <c r="Z137" s="156"/>
    </row>
    <row r="138">
      <c r="A138" s="177" t="str">
        <f t="shared" si="14"/>
        <v/>
      </c>
      <c r="B138" s="196"/>
      <c r="C138" s="179" t="str">
        <f t="shared" si="2"/>
        <v/>
      </c>
      <c r="D138" s="197"/>
      <c r="E138" s="181"/>
      <c r="F138" s="198"/>
      <c r="G138" s="201"/>
      <c r="H138" s="201"/>
      <c r="I138" s="201"/>
      <c r="J138" s="202"/>
      <c r="K138" s="185" t="str">
        <f t="shared" si="3"/>
        <v/>
      </c>
      <c r="L138" s="186">
        <f t="shared" si="15"/>
        <v>0</v>
      </c>
      <c r="M138" s="191"/>
      <c r="N138" s="191"/>
      <c r="O138" s="191"/>
      <c r="P138" s="191"/>
      <c r="Q138" s="191"/>
      <c r="R138" s="191"/>
      <c r="S138" s="191"/>
      <c r="T138" s="192"/>
      <c r="U138" s="189" t="str">
        <f t="shared" si="16"/>
        <v/>
      </c>
      <c r="V138" s="190" t="str">
        <f t="shared" si="17"/>
        <v/>
      </c>
      <c r="W138" s="190" t="str">
        <f t="shared" si="18"/>
        <v/>
      </c>
      <c r="X138" s="191" t="str">
        <f t="shared" si="19"/>
        <v/>
      </c>
      <c r="Y138" s="191" t="str">
        <f t="shared" si="20"/>
        <v/>
      </c>
      <c r="Z138" s="156"/>
    </row>
    <row r="139">
      <c r="A139" s="177" t="str">
        <f t="shared" si="14"/>
        <v/>
      </c>
      <c r="B139" s="196"/>
      <c r="C139" s="179" t="str">
        <f t="shared" si="2"/>
        <v/>
      </c>
      <c r="D139" s="197"/>
      <c r="E139" s="181"/>
      <c r="F139" s="198"/>
      <c r="G139" s="201"/>
      <c r="H139" s="201"/>
      <c r="I139" s="201"/>
      <c r="J139" s="202"/>
      <c r="K139" s="185" t="str">
        <f t="shared" si="3"/>
        <v/>
      </c>
      <c r="L139" s="186">
        <f t="shared" si="15"/>
        <v>0</v>
      </c>
      <c r="M139" s="191"/>
      <c r="N139" s="191"/>
      <c r="O139" s="191"/>
      <c r="P139" s="191"/>
      <c r="Q139" s="191"/>
      <c r="R139" s="191"/>
      <c r="S139" s="191"/>
      <c r="T139" s="192"/>
      <c r="U139" s="189" t="str">
        <f t="shared" si="16"/>
        <v/>
      </c>
      <c r="V139" s="190" t="str">
        <f t="shared" si="17"/>
        <v/>
      </c>
      <c r="W139" s="190" t="str">
        <f t="shared" si="18"/>
        <v/>
      </c>
      <c r="X139" s="191" t="str">
        <f t="shared" si="19"/>
        <v/>
      </c>
      <c r="Y139" s="191" t="str">
        <f t="shared" si="20"/>
        <v/>
      </c>
      <c r="Z139" s="156"/>
    </row>
    <row r="140">
      <c r="A140" s="177" t="str">
        <f t="shared" si="14"/>
        <v/>
      </c>
      <c r="B140" s="196"/>
      <c r="C140" s="179" t="str">
        <f t="shared" si="2"/>
        <v/>
      </c>
      <c r="D140" s="197"/>
      <c r="E140" s="181"/>
      <c r="F140" s="198"/>
      <c r="G140" s="201"/>
      <c r="H140" s="201"/>
      <c r="I140" s="201"/>
      <c r="J140" s="202"/>
      <c r="K140" s="185" t="str">
        <f t="shared" si="3"/>
        <v/>
      </c>
      <c r="L140" s="186">
        <f t="shared" si="15"/>
        <v>0</v>
      </c>
      <c r="M140" s="191"/>
      <c r="N140" s="191"/>
      <c r="O140" s="191"/>
      <c r="P140" s="191"/>
      <c r="Q140" s="191"/>
      <c r="R140" s="191"/>
      <c r="S140" s="191"/>
      <c r="T140" s="192"/>
      <c r="U140" s="189" t="str">
        <f t="shared" si="16"/>
        <v/>
      </c>
      <c r="V140" s="190" t="str">
        <f t="shared" si="17"/>
        <v/>
      </c>
      <c r="W140" s="190" t="str">
        <f t="shared" si="18"/>
        <v/>
      </c>
      <c r="X140" s="191" t="str">
        <f t="shared" si="19"/>
        <v/>
      </c>
      <c r="Y140" s="191" t="str">
        <f t="shared" si="20"/>
        <v/>
      </c>
      <c r="Z140" s="156"/>
    </row>
    <row r="141">
      <c r="A141" s="177" t="str">
        <f t="shared" si="14"/>
        <v/>
      </c>
      <c r="B141" s="196"/>
      <c r="C141" s="179" t="str">
        <f t="shared" si="2"/>
        <v/>
      </c>
      <c r="D141" s="197"/>
      <c r="E141" s="181"/>
      <c r="F141" s="198"/>
      <c r="G141" s="201"/>
      <c r="H141" s="201"/>
      <c r="I141" s="201"/>
      <c r="J141" s="202"/>
      <c r="K141" s="185" t="str">
        <f t="shared" si="3"/>
        <v/>
      </c>
      <c r="L141" s="186">
        <f t="shared" si="15"/>
        <v>0</v>
      </c>
      <c r="M141" s="191"/>
      <c r="N141" s="191"/>
      <c r="O141" s="191"/>
      <c r="P141" s="191"/>
      <c r="Q141" s="191"/>
      <c r="R141" s="191"/>
      <c r="S141" s="191"/>
      <c r="T141" s="192"/>
      <c r="U141" s="189" t="str">
        <f t="shared" si="16"/>
        <v/>
      </c>
      <c r="V141" s="190" t="str">
        <f t="shared" si="17"/>
        <v/>
      </c>
      <c r="W141" s="190" t="str">
        <f t="shared" si="18"/>
        <v/>
      </c>
      <c r="X141" s="191" t="str">
        <f t="shared" si="19"/>
        <v/>
      </c>
      <c r="Y141" s="191" t="str">
        <f t="shared" si="20"/>
        <v/>
      </c>
      <c r="Z141" s="156"/>
    </row>
    <row r="142">
      <c r="A142" s="177" t="str">
        <f t="shared" si="14"/>
        <v/>
      </c>
      <c r="B142" s="196"/>
      <c r="C142" s="179" t="str">
        <f t="shared" si="2"/>
        <v/>
      </c>
      <c r="D142" s="197"/>
      <c r="E142" s="181"/>
      <c r="F142" s="198"/>
      <c r="G142" s="201"/>
      <c r="H142" s="201"/>
      <c r="I142" s="201"/>
      <c r="J142" s="202"/>
      <c r="K142" s="185" t="str">
        <f t="shared" si="3"/>
        <v/>
      </c>
      <c r="L142" s="186">
        <f t="shared" si="15"/>
        <v>0</v>
      </c>
      <c r="M142" s="191"/>
      <c r="N142" s="191"/>
      <c r="O142" s="191"/>
      <c r="P142" s="191"/>
      <c r="Q142" s="191"/>
      <c r="R142" s="191"/>
      <c r="S142" s="191"/>
      <c r="T142" s="192"/>
      <c r="U142" s="189" t="str">
        <f t="shared" si="16"/>
        <v/>
      </c>
      <c r="V142" s="190" t="str">
        <f t="shared" si="17"/>
        <v/>
      </c>
      <c r="W142" s="190" t="str">
        <f t="shared" si="18"/>
        <v/>
      </c>
      <c r="X142" s="191" t="str">
        <f t="shared" si="19"/>
        <v/>
      </c>
      <c r="Y142" s="191" t="str">
        <f t="shared" si="20"/>
        <v/>
      </c>
      <c r="Z142" s="156"/>
    </row>
    <row r="143">
      <c r="A143" s="177" t="str">
        <f t="shared" si="14"/>
        <v/>
      </c>
      <c r="B143" s="196"/>
      <c r="C143" s="179" t="str">
        <f t="shared" si="2"/>
        <v/>
      </c>
      <c r="D143" s="197"/>
      <c r="E143" s="181"/>
      <c r="F143" s="198"/>
      <c r="G143" s="201"/>
      <c r="H143" s="201"/>
      <c r="I143" s="201"/>
      <c r="J143" s="202"/>
      <c r="K143" s="185" t="str">
        <f t="shared" si="3"/>
        <v/>
      </c>
      <c r="L143" s="186">
        <f t="shared" si="15"/>
        <v>0</v>
      </c>
      <c r="M143" s="191"/>
      <c r="N143" s="191"/>
      <c r="O143" s="191"/>
      <c r="P143" s="191"/>
      <c r="Q143" s="191"/>
      <c r="R143" s="191"/>
      <c r="S143" s="191"/>
      <c r="T143" s="192"/>
      <c r="U143" s="189" t="str">
        <f t="shared" si="16"/>
        <v/>
      </c>
      <c r="V143" s="190" t="str">
        <f t="shared" si="17"/>
        <v/>
      </c>
      <c r="W143" s="190" t="str">
        <f t="shared" si="18"/>
        <v/>
      </c>
      <c r="X143" s="191" t="str">
        <f t="shared" si="19"/>
        <v/>
      </c>
      <c r="Y143" s="191" t="str">
        <f t="shared" si="20"/>
        <v/>
      </c>
      <c r="Z143" s="156"/>
    </row>
    <row r="144">
      <c r="A144" s="177" t="str">
        <f t="shared" si="14"/>
        <v/>
      </c>
      <c r="B144" s="196"/>
      <c r="C144" s="179" t="str">
        <f t="shared" si="2"/>
        <v/>
      </c>
      <c r="D144" s="197"/>
      <c r="E144" s="181"/>
      <c r="F144" s="198"/>
      <c r="G144" s="201"/>
      <c r="H144" s="201"/>
      <c r="I144" s="201"/>
      <c r="J144" s="202"/>
      <c r="K144" s="185" t="str">
        <f t="shared" si="3"/>
        <v/>
      </c>
      <c r="L144" s="186">
        <f t="shared" si="15"/>
        <v>0</v>
      </c>
      <c r="M144" s="191"/>
      <c r="N144" s="191"/>
      <c r="O144" s="191"/>
      <c r="P144" s="191"/>
      <c r="Q144" s="191"/>
      <c r="R144" s="191"/>
      <c r="S144" s="191"/>
      <c r="T144" s="192"/>
      <c r="U144" s="189" t="str">
        <f t="shared" si="16"/>
        <v/>
      </c>
      <c r="V144" s="190" t="str">
        <f t="shared" si="17"/>
        <v/>
      </c>
      <c r="W144" s="190" t="str">
        <f t="shared" si="18"/>
        <v/>
      </c>
      <c r="X144" s="191" t="str">
        <f t="shared" si="19"/>
        <v/>
      </c>
      <c r="Y144" s="191" t="str">
        <f t="shared" si="20"/>
        <v/>
      </c>
      <c r="Z144" s="156"/>
    </row>
    <row r="145">
      <c r="A145" s="177" t="str">
        <f t="shared" si="14"/>
        <v/>
      </c>
      <c r="B145" s="196"/>
      <c r="C145" s="179" t="str">
        <f t="shared" si="2"/>
        <v/>
      </c>
      <c r="D145" s="197"/>
      <c r="E145" s="181"/>
      <c r="F145" s="198"/>
      <c r="G145" s="201"/>
      <c r="H145" s="201"/>
      <c r="I145" s="201"/>
      <c r="J145" s="202"/>
      <c r="K145" s="185" t="str">
        <f t="shared" si="3"/>
        <v/>
      </c>
      <c r="L145" s="186">
        <f t="shared" si="15"/>
        <v>0</v>
      </c>
      <c r="M145" s="191"/>
      <c r="N145" s="191"/>
      <c r="O145" s="191"/>
      <c r="P145" s="191"/>
      <c r="Q145" s="191"/>
      <c r="R145" s="191"/>
      <c r="S145" s="191"/>
      <c r="T145" s="192"/>
      <c r="U145" s="189" t="str">
        <f t="shared" si="16"/>
        <v/>
      </c>
      <c r="V145" s="190" t="str">
        <f t="shared" si="17"/>
        <v/>
      </c>
      <c r="W145" s="190" t="str">
        <f t="shared" si="18"/>
        <v/>
      </c>
      <c r="X145" s="191" t="str">
        <f t="shared" si="19"/>
        <v/>
      </c>
      <c r="Y145" s="191" t="str">
        <f t="shared" si="20"/>
        <v/>
      </c>
      <c r="Z145" s="156"/>
    </row>
    <row r="146">
      <c r="A146" s="177" t="str">
        <f t="shared" si="14"/>
        <v/>
      </c>
      <c r="B146" s="196"/>
      <c r="C146" s="179" t="str">
        <f t="shared" si="2"/>
        <v/>
      </c>
      <c r="D146" s="197"/>
      <c r="E146" s="181"/>
      <c r="F146" s="198"/>
      <c r="G146" s="201"/>
      <c r="H146" s="201"/>
      <c r="I146" s="201"/>
      <c r="J146" s="202"/>
      <c r="K146" s="185" t="str">
        <f t="shared" si="3"/>
        <v/>
      </c>
      <c r="L146" s="186">
        <f t="shared" si="15"/>
        <v>0</v>
      </c>
      <c r="M146" s="191"/>
      <c r="N146" s="191"/>
      <c r="O146" s="191"/>
      <c r="P146" s="191"/>
      <c r="Q146" s="191"/>
      <c r="R146" s="191"/>
      <c r="S146" s="191"/>
      <c r="T146" s="192"/>
      <c r="U146" s="189" t="str">
        <f t="shared" si="16"/>
        <v/>
      </c>
      <c r="V146" s="190" t="str">
        <f t="shared" si="17"/>
        <v/>
      </c>
      <c r="W146" s="190" t="str">
        <f t="shared" si="18"/>
        <v/>
      </c>
      <c r="X146" s="191" t="str">
        <f t="shared" si="19"/>
        <v/>
      </c>
      <c r="Y146" s="191" t="str">
        <f t="shared" si="20"/>
        <v/>
      </c>
      <c r="Z146" s="156"/>
    </row>
    <row r="147">
      <c r="A147" s="177" t="str">
        <f t="shared" si="14"/>
        <v/>
      </c>
      <c r="B147" s="196"/>
      <c r="C147" s="179" t="str">
        <f t="shared" si="2"/>
        <v/>
      </c>
      <c r="D147" s="197"/>
      <c r="E147" s="181"/>
      <c r="F147" s="198"/>
      <c r="G147" s="201"/>
      <c r="H147" s="201"/>
      <c r="I147" s="201"/>
      <c r="J147" s="202"/>
      <c r="K147" s="185" t="str">
        <f t="shared" si="3"/>
        <v/>
      </c>
      <c r="L147" s="186">
        <f t="shared" si="15"/>
        <v>0</v>
      </c>
      <c r="M147" s="191"/>
      <c r="N147" s="191"/>
      <c r="O147" s="191"/>
      <c r="P147" s="191"/>
      <c r="Q147" s="191"/>
      <c r="R147" s="191"/>
      <c r="S147" s="191"/>
      <c r="T147" s="192"/>
      <c r="U147" s="189" t="str">
        <f t="shared" si="16"/>
        <v/>
      </c>
      <c r="V147" s="190" t="str">
        <f t="shared" si="17"/>
        <v/>
      </c>
      <c r="W147" s="190" t="str">
        <f t="shared" si="18"/>
        <v/>
      </c>
      <c r="X147" s="191" t="str">
        <f t="shared" si="19"/>
        <v/>
      </c>
      <c r="Y147" s="191" t="str">
        <f t="shared" si="20"/>
        <v/>
      </c>
      <c r="Z147" s="156"/>
    </row>
    <row r="148">
      <c r="A148" s="177" t="str">
        <f t="shared" si="14"/>
        <v/>
      </c>
      <c r="B148" s="196"/>
      <c r="C148" s="179" t="str">
        <f t="shared" si="2"/>
        <v/>
      </c>
      <c r="D148" s="197"/>
      <c r="E148" s="181"/>
      <c r="F148" s="198"/>
      <c r="G148" s="201"/>
      <c r="H148" s="201"/>
      <c r="I148" s="201"/>
      <c r="J148" s="202"/>
      <c r="K148" s="185" t="str">
        <f t="shared" si="3"/>
        <v/>
      </c>
      <c r="L148" s="186">
        <f t="shared" si="15"/>
        <v>0</v>
      </c>
      <c r="M148" s="191"/>
      <c r="N148" s="191"/>
      <c r="O148" s="191"/>
      <c r="P148" s="191"/>
      <c r="Q148" s="191"/>
      <c r="R148" s="191"/>
      <c r="S148" s="191"/>
      <c r="T148" s="192"/>
      <c r="U148" s="189" t="str">
        <f t="shared" si="16"/>
        <v/>
      </c>
      <c r="V148" s="190" t="str">
        <f t="shared" si="17"/>
        <v/>
      </c>
      <c r="W148" s="190" t="str">
        <f t="shared" si="18"/>
        <v/>
      </c>
      <c r="X148" s="191" t="str">
        <f t="shared" si="19"/>
        <v/>
      </c>
      <c r="Y148" s="191" t="str">
        <f t="shared" si="20"/>
        <v/>
      </c>
      <c r="Z148" s="156"/>
    </row>
    <row r="149">
      <c r="A149" s="177" t="str">
        <f t="shared" si="14"/>
        <v/>
      </c>
      <c r="B149" s="196"/>
      <c r="C149" s="179" t="str">
        <f t="shared" si="2"/>
        <v/>
      </c>
      <c r="D149" s="197"/>
      <c r="E149" s="181"/>
      <c r="F149" s="198"/>
      <c r="G149" s="201"/>
      <c r="H149" s="201"/>
      <c r="I149" s="201"/>
      <c r="J149" s="202"/>
      <c r="K149" s="185" t="str">
        <f t="shared" si="3"/>
        <v/>
      </c>
      <c r="L149" s="186">
        <f t="shared" si="15"/>
        <v>0</v>
      </c>
      <c r="M149" s="191"/>
      <c r="N149" s="191"/>
      <c r="O149" s="191"/>
      <c r="P149" s="191"/>
      <c r="Q149" s="191"/>
      <c r="R149" s="191"/>
      <c r="S149" s="191"/>
      <c r="T149" s="192"/>
      <c r="U149" s="189" t="str">
        <f t="shared" si="16"/>
        <v/>
      </c>
      <c r="V149" s="190" t="str">
        <f t="shared" si="17"/>
        <v/>
      </c>
      <c r="W149" s="190" t="str">
        <f t="shared" si="18"/>
        <v/>
      </c>
      <c r="X149" s="191" t="str">
        <f t="shared" si="19"/>
        <v/>
      </c>
      <c r="Y149" s="191" t="str">
        <f t="shared" si="20"/>
        <v/>
      </c>
      <c r="Z149" s="156"/>
    </row>
    <row r="150">
      <c r="A150" s="177" t="str">
        <f t="shared" si="14"/>
        <v/>
      </c>
      <c r="B150" s="196"/>
      <c r="C150" s="179" t="str">
        <f t="shared" si="2"/>
        <v/>
      </c>
      <c r="D150" s="197"/>
      <c r="E150" s="181"/>
      <c r="F150" s="198"/>
      <c r="G150" s="201"/>
      <c r="H150" s="201"/>
      <c r="I150" s="201"/>
      <c r="J150" s="202"/>
      <c r="K150" s="185" t="str">
        <f t="shared" si="3"/>
        <v/>
      </c>
      <c r="L150" s="186">
        <f t="shared" si="15"/>
        <v>0</v>
      </c>
      <c r="M150" s="191"/>
      <c r="N150" s="191"/>
      <c r="O150" s="191"/>
      <c r="P150" s="191"/>
      <c r="Q150" s="191"/>
      <c r="R150" s="191"/>
      <c r="S150" s="191"/>
      <c r="T150" s="192"/>
      <c r="U150" s="189" t="str">
        <f t="shared" si="16"/>
        <v/>
      </c>
      <c r="V150" s="190" t="str">
        <f t="shared" si="17"/>
        <v/>
      </c>
      <c r="W150" s="190" t="str">
        <f t="shared" si="18"/>
        <v/>
      </c>
      <c r="X150" s="191" t="str">
        <f t="shared" si="19"/>
        <v/>
      </c>
      <c r="Y150" s="191" t="str">
        <f t="shared" si="20"/>
        <v/>
      </c>
      <c r="Z150" s="156"/>
    </row>
    <row r="151">
      <c r="A151" s="177" t="str">
        <f t="shared" si="14"/>
        <v/>
      </c>
      <c r="B151" s="196"/>
      <c r="C151" s="179" t="str">
        <f t="shared" si="2"/>
        <v/>
      </c>
      <c r="D151" s="197"/>
      <c r="E151" s="181"/>
      <c r="F151" s="198"/>
      <c r="G151" s="201"/>
      <c r="H151" s="201"/>
      <c r="I151" s="201"/>
      <c r="J151" s="202"/>
      <c r="K151" s="185" t="str">
        <f t="shared" si="3"/>
        <v/>
      </c>
      <c r="L151" s="186">
        <f t="shared" si="15"/>
        <v>0</v>
      </c>
      <c r="M151" s="191"/>
      <c r="N151" s="191"/>
      <c r="O151" s="191"/>
      <c r="P151" s="191"/>
      <c r="Q151" s="191"/>
      <c r="R151" s="191"/>
      <c r="S151" s="191"/>
      <c r="T151" s="192"/>
      <c r="U151" s="189" t="str">
        <f t="shared" si="16"/>
        <v/>
      </c>
      <c r="V151" s="190" t="str">
        <f t="shared" si="17"/>
        <v/>
      </c>
      <c r="W151" s="190" t="str">
        <f t="shared" si="18"/>
        <v/>
      </c>
      <c r="X151" s="191" t="str">
        <f t="shared" si="19"/>
        <v/>
      </c>
      <c r="Y151" s="191" t="str">
        <f t="shared" si="20"/>
        <v/>
      </c>
      <c r="Z151" s="156"/>
    </row>
    <row r="152">
      <c r="A152" s="177" t="str">
        <f t="shared" si="14"/>
        <v/>
      </c>
      <c r="B152" s="196"/>
      <c r="C152" s="179" t="str">
        <f t="shared" si="2"/>
        <v/>
      </c>
      <c r="D152" s="197"/>
      <c r="E152" s="181"/>
      <c r="F152" s="198"/>
      <c r="G152" s="201"/>
      <c r="H152" s="201"/>
      <c r="I152" s="201"/>
      <c r="J152" s="202"/>
      <c r="K152" s="185" t="str">
        <f t="shared" si="3"/>
        <v/>
      </c>
      <c r="L152" s="186">
        <f t="shared" si="15"/>
        <v>0</v>
      </c>
      <c r="M152" s="191"/>
      <c r="N152" s="191"/>
      <c r="O152" s="191"/>
      <c r="P152" s="191"/>
      <c r="Q152" s="191"/>
      <c r="R152" s="191"/>
      <c r="S152" s="191"/>
      <c r="T152" s="192"/>
      <c r="U152" s="189" t="str">
        <f t="shared" si="16"/>
        <v/>
      </c>
      <c r="V152" s="190" t="str">
        <f t="shared" si="17"/>
        <v/>
      </c>
      <c r="W152" s="190" t="str">
        <f t="shared" si="18"/>
        <v/>
      </c>
      <c r="X152" s="191" t="str">
        <f t="shared" si="19"/>
        <v/>
      </c>
      <c r="Y152" s="191" t="str">
        <f t="shared" si="20"/>
        <v/>
      </c>
      <c r="Z152" s="156"/>
    </row>
    <row r="153">
      <c r="A153" s="177" t="str">
        <f t="shared" si="14"/>
        <v/>
      </c>
      <c r="B153" s="196"/>
      <c r="C153" s="179" t="str">
        <f t="shared" si="2"/>
        <v/>
      </c>
      <c r="D153" s="197"/>
      <c r="E153" s="181"/>
      <c r="F153" s="198"/>
      <c r="G153" s="201"/>
      <c r="H153" s="201"/>
      <c r="I153" s="201"/>
      <c r="J153" s="202"/>
      <c r="K153" s="185" t="str">
        <f t="shared" si="3"/>
        <v/>
      </c>
      <c r="L153" s="186">
        <f t="shared" si="15"/>
        <v>0</v>
      </c>
      <c r="M153" s="191"/>
      <c r="N153" s="191"/>
      <c r="O153" s="191"/>
      <c r="P153" s="191"/>
      <c r="Q153" s="191"/>
      <c r="R153" s="191"/>
      <c r="S153" s="191"/>
      <c r="T153" s="192"/>
      <c r="U153" s="189" t="str">
        <f t="shared" si="16"/>
        <v/>
      </c>
      <c r="V153" s="190" t="str">
        <f t="shared" si="17"/>
        <v/>
      </c>
      <c r="W153" s="190" t="str">
        <f t="shared" si="18"/>
        <v/>
      </c>
      <c r="X153" s="191" t="str">
        <f t="shared" si="19"/>
        <v/>
      </c>
      <c r="Y153" s="191" t="str">
        <f t="shared" si="20"/>
        <v/>
      </c>
      <c r="Z153" s="156"/>
    </row>
    <row r="154">
      <c r="A154" s="177" t="str">
        <f t="shared" si="14"/>
        <v/>
      </c>
      <c r="B154" s="196"/>
      <c r="C154" s="179" t="str">
        <f t="shared" si="2"/>
        <v/>
      </c>
      <c r="D154" s="197"/>
      <c r="E154" s="181"/>
      <c r="F154" s="198"/>
      <c r="G154" s="201"/>
      <c r="H154" s="201"/>
      <c r="I154" s="201"/>
      <c r="J154" s="202"/>
      <c r="K154" s="185" t="str">
        <f t="shared" si="3"/>
        <v/>
      </c>
      <c r="L154" s="186">
        <f t="shared" si="15"/>
        <v>0</v>
      </c>
      <c r="M154" s="191"/>
      <c r="N154" s="191"/>
      <c r="O154" s="191"/>
      <c r="P154" s="191"/>
      <c r="Q154" s="191"/>
      <c r="R154" s="191"/>
      <c r="S154" s="191"/>
      <c r="T154" s="192"/>
      <c r="U154" s="189" t="str">
        <f t="shared" si="16"/>
        <v/>
      </c>
      <c r="V154" s="190" t="str">
        <f t="shared" si="17"/>
        <v/>
      </c>
      <c r="W154" s="190" t="str">
        <f t="shared" si="18"/>
        <v/>
      </c>
      <c r="X154" s="191" t="str">
        <f t="shared" si="19"/>
        <v/>
      </c>
      <c r="Y154" s="191" t="str">
        <f t="shared" si="20"/>
        <v/>
      </c>
      <c r="Z154" s="156"/>
    </row>
    <row r="155">
      <c r="A155" s="177" t="str">
        <f t="shared" si="14"/>
        <v/>
      </c>
      <c r="B155" s="196"/>
      <c r="C155" s="179" t="str">
        <f t="shared" si="2"/>
        <v/>
      </c>
      <c r="D155" s="197"/>
      <c r="E155" s="181"/>
      <c r="F155" s="198"/>
      <c r="G155" s="201"/>
      <c r="H155" s="201"/>
      <c r="I155" s="201"/>
      <c r="J155" s="202"/>
      <c r="K155" s="185" t="str">
        <f t="shared" si="3"/>
        <v/>
      </c>
      <c r="L155" s="186">
        <f t="shared" si="15"/>
        <v>0</v>
      </c>
      <c r="M155" s="191"/>
      <c r="N155" s="191"/>
      <c r="O155" s="191"/>
      <c r="P155" s="191"/>
      <c r="Q155" s="191"/>
      <c r="R155" s="191"/>
      <c r="S155" s="191"/>
      <c r="T155" s="192"/>
      <c r="U155" s="189" t="str">
        <f t="shared" si="16"/>
        <v/>
      </c>
      <c r="V155" s="190" t="str">
        <f t="shared" si="17"/>
        <v/>
      </c>
      <c r="W155" s="190" t="str">
        <f t="shared" si="18"/>
        <v/>
      </c>
      <c r="X155" s="191" t="str">
        <f t="shared" si="19"/>
        <v/>
      </c>
      <c r="Y155" s="191" t="str">
        <f t="shared" si="20"/>
        <v/>
      </c>
      <c r="Z155" s="156"/>
    </row>
    <row r="156">
      <c r="A156" s="177" t="str">
        <f t="shared" si="14"/>
        <v/>
      </c>
      <c r="B156" s="196"/>
      <c r="C156" s="179" t="str">
        <f t="shared" si="2"/>
        <v/>
      </c>
      <c r="D156" s="197"/>
      <c r="E156" s="181"/>
      <c r="F156" s="198"/>
      <c r="G156" s="201"/>
      <c r="H156" s="201"/>
      <c r="I156" s="201"/>
      <c r="J156" s="202"/>
      <c r="K156" s="185" t="str">
        <f t="shared" si="3"/>
        <v/>
      </c>
      <c r="L156" s="186">
        <f t="shared" si="15"/>
        <v>0</v>
      </c>
      <c r="M156" s="191"/>
      <c r="N156" s="191"/>
      <c r="O156" s="191"/>
      <c r="P156" s="191"/>
      <c r="Q156" s="191"/>
      <c r="R156" s="191"/>
      <c r="S156" s="191"/>
      <c r="T156" s="192"/>
      <c r="U156" s="189" t="str">
        <f t="shared" si="16"/>
        <v/>
      </c>
      <c r="V156" s="190" t="str">
        <f t="shared" si="17"/>
        <v/>
      </c>
      <c r="W156" s="190" t="str">
        <f t="shared" si="18"/>
        <v/>
      </c>
      <c r="X156" s="191" t="str">
        <f t="shared" si="19"/>
        <v/>
      </c>
      <c r="Y156" s="191" t="str">
        <f t="shared" si="20"/>
        <v/>
      </c>
      <c r="Z156" s="156"/>
    </row>
    <row r="157">
      <c r="A157" s="177" t="str">
        <f t="shared" si="14"/>
        <v/>
      </c>
      <c r="B157" s="196"/>
      <c r="C157" s="179" t="str">
        <f t="shared" si="2"/>
        <v/>
      </c>
      <c r="D157" s="197"/>
      <c r="E157" s="181"/>
      <c r="F157" s="198"/>
      <c r="G157" s="201"/>
      <c r="H157" s="201"/>
      <c r="I157" s="201"/>
      <c r="J157" s="202"/>
      <c r="K157" s="185" t="str">
        <f t="shared" si="3"/>
        <v/>
      </c>
      <c r="L157" s="186">
        <f t="shared" si="15"/>
        <v>0</v>
      </c>
      <c r="M157" s="191"/>
      <c r="N157" s="191"/>
      <c r="O157" s="191"/>
      <c r="P157" s="191"/>
      <c r="Q157" s="191"/>
      <c r="R157" s="191"/>
      <c r="S157" s="191"/>
      <c r="T157" s="192"/>
      <c r="U157" s="189" t="str">
        <f t="shared" si="16"/>
        <v/>
      </c>
      <c r="V157" s="190" t="str">
        <f t="shared" si="17"/>
        <v/>
      </c>
      <c r="W157" s="190" t="str">
        <f t="shared" si="18"/>
        <v/>
      </c>
      <c r="X157" s="191" t="str">
        <f t="shared" si="19"/>
        <v/>
      </c>
      <c r="Y157" s="191" t="str">
        <f t="shared" si="20"/>
        <v/>
      </c>
      <c r="Z157" s="156"/>
    </row>
    <row r="158">
      <c r="A158" s="177" t="str">
        <f t="shared" si="14"/>
        <v/>
      </c>
      <c r="B158" s="196"/>
      <c r="C158" s="179" t="str">
        <f t="shared" si="2"/>
        <v/>
      </c>
      <c r="D158" s="197"/>
      <c r="E158" s="181"/>
      <c r="F158" s="198"/>
      <c r="G158" s="201"/>
      <c r="H158" s="201"/>
      <c r="I158" s="201"/>
      <c r="J158" s="202"/>
      <c r="K158" s="185" t="str">
        <f t="shared" si="3"/>
        <v/>
      </c>
      <c r="L158" s="186">
        <f t="shared" si="15"/>
        <v>0</v>
      </c>
      <c r="M158" s="191"/>
      <c r="N158" s="191"/>
      <c r="O158" s="191"/>
      <c r="P158" s="191"/>
      <c r="Q158" s="191"/>
      <c r="R158" s="191"/>
      <c r="S158" s="191"/>
      <c r="T158" s="192"/>
      <c r="U158" s="189" t="str">
        <f t="shared" si="16"/>
        <v/>
      </c>
      <c r="V158" s="190" t="str">
        <f t="shared" si="17"/>
        <v/>
      </c>
      <c r="W158" s="190" t="str">
        <f t="shared" si="18"/>
        <v/>
      </c>
      <c r="X158" s="191" t="str">
        <f t="shared" si="19"/>
        <v/>
      </c>
      <c r="Y158" s="191" t="str">
        <f t="shared" si="20"/>
        <v/>
      </c>
      <c r="Z158" s="156"/>
    </row>
    <row r="159">
      <c r="A159" s="177" t="str">
        <f t="shared" si="14"/>
        <v/>
      </c>
      <c r="B159" s="196"/>
      <c r="C159" s="179" t="str">
        <f t="shared" si="2"/>
        <v/>
      </c>
      <c r="D159" s="197"/>
      <c r="E159" s="181"/>
      <c r="F159" s="198"/>
      <c r="G159" s="201"/>
      <c r="H159" s="201"/>
      <c r="I159" s="201"/>
      <c r="J159" s="202"/>
      <c r="K159" s="185" t="str">
        <f t="shared" si="3"/>
        <v/>
      </c>
      <c r="L159" s="186">
        <f t="shared" si="15"/>
        <v>0</v>
      </c>
      <c r="M159" s="191"/>
      <c r="N159" s="191"/>
      <c r="O159" s="191"/>
      <c r="P159" s="191"/>
      <c r="Q159" s="191"/>
      <c r="R159" s="191"/>
      <c r="S159" s="191"/>
      <c r="T159" s="192"/>
      <c r="U159" s="189" t="str">
        <f t="shared" si="16"/>
        <v/>
      </c>
      <c r="V159" s="190" t="str">
        <f t="shared" si="17"/>
        <v/>
      </c>
      <c r="W159" s="190" t="str">
        <f t="shared" si="18"/>
        <v/>
      </c>
      <c r="X159" s="191" t="str">
        <f t="shared" si="19"/>
        <v/>
      </c>
      <c r="Y159" s="191" t="str">
        <f t="shared" si="20"/>
        <v/>
      </c>
      <c r="Z159" s="156"/>
    </row>
    <row r="160">
      <c r="A160" s="177" t="str">
        <f t="shared" si="14"/>
        <v/>
      </c>
      <c r="B160" s="196"/>
      <c r="C160" s="179" t="str">
        <f t="shared" si="2"/>
        <v/>
      </c>
      <c r="D160" s="197"/>
      <c r="E160" s="181"/>
      <c r="F160" s="198"/>
      <c r="G160" s="201"/>
      <c r="H160" s="201"/>
      <c r="I160" s="201"/>
      <c r="J160" s="202"/>
      <c r="K160" s="185" t="str">
        <f t="shared" si="3"/>
        <v/>
      </c>
      <c r="L160" s="186">
        <f t="shared" si="15"/>
        <v>0</v>
      </c>
      <c r="M160" s="191"/>
      <c r="N160" s="191"/>
      <c r="O160" s="191"/>
      <c r="P160" s="191"/>
      <c r="Q160" s="191"/>
      <c r="R160" s="191"/>
      <c r="S160" s="191"/>
      <c r="T160" s="192"/>
      <c r="U160" s="189" t="str">
        <f t="shared" si="16"/>
        <v/>
      </c>
      <c r="V160" s="190" t="str">
        <f t="shared" si="17"/>
        <v/>
      </c>
      <c r="W160" s="190" t="str">
        <f t="shared" si="18"/>
        <v/>
      </c>
      <c r="X160" s="191" t="str">
        <f t="shared" si="19"/>
        <v/>
      </c>
      <c r="Y160" s="191" t="str">
        <f t="shared" si="20"/>
        <v/>
      </c>
      <c r="Z160" s="156"/>
    </row>
    <row r="161">
      <c r="A161" s="177" t="str">
        <f t="shared" si="14"/>
        <v/>
      </c>
      <c r="B161" s="196"/>
      <c r="C161" s="179" t="str">
        <f t="shared" si="2"/>
        <v/>
      </c>
      <c r="D161" s="197"/>
      <c r="E161" s="181"/>
      <c r="F161" s="198"/>
      <c r="G161" s="201"/>
      <c r="H161" s="201"/>
      <c r="I161" s="201"/>
      <c r="J161" s="202"/>
      <c r="K161" s="185" t="str">
        <f t="shared" si="3"/>
        <v/>
      </c>
      <c r="L161" s="186">
        <f t="shared" si="15"/>
        <v>0</v>
      </c>
      <c r="M161" s="191"/>
      <c r="N161" s="191"/>
      <c r="O161" s="191"/>
      <c r="P161" s="191"/>
      <c r="Q161" s="191"/>
      <c r="R161" s="191"/>
      <c r="S161" s="191"/>
      <c r="T161" s="192"/>
      <c r="U161" s="189" t="str">
        <f t="shared" si="16"/>
        <v/>
      </c>
      <c r="V161" s="190" t="str">
        <f t="shared" si="17"/>
        <v/>
      </c>
      <c r="W161" s="190" t="str">
        <f t="shared" si="18"/>
        <v/>
      </c>
      <c r="X161" s="191" t="str">
        <f t="shared" si="19"/>
        <v/>
      </c>
      <c r="Y161" s="191" t="str">
        <f t="shared" si="20"/>
        <v/>
      </c>
      <c r="Z161" s="156"/>
    </row>
    <row r="162">
      <c r="A162" s="177" t="str">
        <f t="shared" si="14"/>
        <v/>
      </c>
      <c r="B162" s="196"/>
      <c r="C162" s="179" t="str">
        <f t="shared" si="2"/>
        <v/>
      </c>
      <c r="D162" s="197"/>
      <c r="E162" s="181"/>
      <c r="F162" s="198"/>
      <c r="G162" s="201"/>
      <c r="H162" s="201"/>
      <c r="I162" s="201"/>
      <c r="J162" s="202"/>
      <c r="K162" s="185" t="str">
        <f t="shared" si="3"/>
        <v/>
      </c>
      <c r="L162" s="186">
        <f t="shared" si="15"/>
        <v>0</v>
      </c>
      <c r="M162" s="191"/>
      <c r="N162" s="191"/>
      <c r="O162" s="191"/>
      <c r="P162" s="191"/>
      <c r="Q162" s="191"/>
      <c r="R162" s="191"/>
      <c r="S162" s="191"/>
      <c r="T162" s="192"/>
      <c r="U162" s="189" t="str">
        <f t="shared" si="16"/>
        <v/>
      </c>
      <c r="V162" s="190" t="str">
        <f t="shared" si="17"/>
        <v/>
      </c>
      <c r="W162" s="190" t="str">
        <f t="shared" si="18"/>
        <v/>
      </c>
      <c r="X162" s="191" t="str">
        <f t="shared" si="19"/>
        <v/>
      </c>
      <c r="Y162" s="191" t="str">
        <f t="shared" si="20"/>
        <v/>
      </c>
      <c r="Z162" s="156"/>
    </row>
    <row r="163">
      <c r="A163" s="177" t="str">
        <f t="shared" si="14"/>
        <v/>
      </c>
      <c r="B163" s="196"/>
      <c r="C163" s="179" t="str">
        <f t="shared" si="2"/>
        <v/>
      </c>
      <c r="D163" s="197"/>
      <c r="E163" s="181"/>
      <c r="F163" s="198"/>
      <c r="G163" s="201"/>
      <c r="H163" s="201"/>
      <c r="I163" s="201"/>
      <c r="J163" s="202"/>
      <c r="K163" s="185" t="str">
        <f t="shared" si="3"/>
        <v/>
      </c>
      <c r="L163" s="186">
        <f t="shared" si="15"/>
        <v>0</v>
      </c>
      <c r="M163" s="191"/>
      <c r="N163" s="191"/>
      <c r="O163" s="191"/>
      <c r="P163" s="191"/>
      <c r="Q163" s="191"/>
      <c r="R163" s="191"/>
      <c r="S163" s="191"/>
      <c r="T163" s="192"/>
      <c r="U163" s="189" t="str">
        <f t="shared" si="16"/>
        <v/>
      </c>
      <c r="V163" s="190" t="str">
        <f t="shared" si="17"/>
        <v/>
      </c>
      <c r="W163" s="190" t="str">
        <f t="shared" si="18"/>
        <v/>
      </c>
      <c r="X163" s="191" t="str">
        <f t="shared" si="19"/>
        <v/>
      </c>
      <c r="Y163" s="191" t="str">
        <f t="shared" si="20"/>
        <v/>
      </c>
      <c r="Z163" s="156"/>
    </row>
    <row r="164">
      <c r="A164" s="177" t="str">
        <f t="shared" si="14"/>
        <v/>
      </c>
      <c r="B164" s="196"/>
      <c r="C164" s="179" t="str">
        <f t="shared" si="2"/>
        <v/>
      </c>
      <c r="D164" s="197"/>
      <c r="E164" s="181"/>
      <c r="F164" s="198"/>
      <c r="G164" s="201"/>
      <c r="H164" s="201"/>
      <c r="I164" s="201"/>
      <c r="J164" s="202"/>
      <c r="K164" s="185" t="str">
        <f t="shared" si="3"/>
        <v/>
      </c>
      <c r="L164" s="186">
        <f t="shared" si="15"/>
        <v>0</v>
      </c>
      <c r="M164" s="191"/>
      <c r="N164" s="191"/>
      <c r="O164" s="191"/>
      <c r="P164" s="191"/>
      <c r="Q164" s="191"/>
      <c r="R164" s="191"/>
      <c r="S164" s="191"/>
      <c r="T164" s="192"/>
      <c r="U164" s="189" t="str">
        <f t="shared" si="16"/>
        <v/>
      </c>
      <c r="V164" s="190" t="str">
        <f t="shared" si="17"/>
        <v/>
      </c>
      <c r="W164" s="190" t="str">
        <f t="shared" si="18"/>
        <v/>
      </c>
      <c r="X164" s="191" t="str">
        <f t="shared" si="19"/>
        <v/>
      </c>
      <c r="Y164" s="191" t="str">
        <f t="shared" si="20"/>
        <v/>
      </c>
      <c r="Z164" s="156"/>
    </row>
    <row r="165">
      <c r="A165" s="177" t="str">
        <f t="shared" si="14"/>
        <v/>
      </c>
      <c r="B165" s="196"/>
      <c r="C165" s="179" t="str">
        <f t="shared" si="2"/>
        <v/>
      </c>
      <c r="D165" s="197"/>
      <c r="E165" s="181"/>
      <c r="F165" s="198"/>
      <c r="G165" s="201"/>
      <c r="H165" s="201"/>
      <c r="I165" s="201"/>
      <c r="J165" s="202"/>
      <c r="K165" s="185" t="str">
        <f t="shared" si="3"/>
        <v/>
      </c>
      <c r="L165" s="186">
        <f t="shared" si="15"/>
        <v>0</v>
      </c>
      <c r="M165" s="191"/>
      <c r="N165" s="191"/>
      <c r="O165" s="191"/>
      <c r="P165" s="191"/>
      <c r="Q165" s="191"/>
      <c r="R165" s="191"/>
      <c r="S165" s="191"/>
      <c r="T165" s="192"/>
      <c r="U165" s="189" t="str">
        <f t="shared" si="16"/>
        <v/>
      </c>
      <c r="V165" s="190" t="str">
        <f t="shared" si="17"/>
        <v/>
      </c>
      <c r="W165" s="190" t="str">
        <f t="shared" si="18"/>
        <v/>
      </c>
      <c r="X165" s="191" t="str">
        <f t="shared" si="19"/>
        <v/>
      </c>
      <c r="Y165" s="191" t="str">
        <f t="shared" si="20"/>
        <v/>
      </c>
      <c r="Z165" s="156"/>
    </row>
    <row r="166">
      <c r="A166" s="177" t="str">
        <f t="shared" si="14"/>
        <v/>
      </c>
      <c r="B166" s="196"/>
      <c r="C166" s="179" t="str">
        <f t="shared" si="2"/>
        <v/>
      </c>
      <c r="D166" s="197"/>
      <c r="E166" s="181"/>
      <c r="F166" s="198"/>
      <c r="G166" s="201"/>
      <c r="H166" s="201"/>
      <c r="I166" s="201"/>
      <c r="J166" s="202"/>
      <c r="K166" s="185" t="str">
        <f t="shared" si="3"/>
        <v/>
      </c>
      <c r="L166" s="186">
        <f t="shared" si="15"/>
        <v>0</v>
      </c>
      <c r="M166" s="191"/>
      <c r="N166" s="191"/>
      <c r="O166" s="191"/>
      <c r="P166" s="191"/>
      <c r="Q166" s="191"/>
      <c r="R166" s="191"/>
      <c r="S166" s="191"/>
      <c r="T166" s="192"/>
      <c r="U166" s="189" t="str">
        <f t="shared" si="16"/>
        <v/>
      </c>
      <c r="V166" s="190" t="str">
        <f t="shared" si="17"/>
        <v/>
      </c>
      <c r="W166" s="190" t="str">
        <f t="shared" si="18"/>
        <v/>
      </c>
      <c r="X166" s="191" t="str">
        <f t="shared" si="19"/>
        <v/>
      </c>
      <c r="Y166" s="191" t="str">
        <f t="shared" si="20"/>
        <v/>
      </c>
      <c r="Z166" s="156"/>
    </row>
    <row r="167">
      <c r="A167" s="177" t="str">
        <f t="shared" si="14"/>
        <v/>
      </c>
      <c r="B167" s="196"/>
      <c r="C167" s="179" t="str">
        <f t="shared" si="2"/>
        <v/>
      </c>
      <c r="D167" s="197"/>
      <c r="E167" s="181"/>
      <c r="F167" s="198"/>
      <c r="G167" s="201"/>
      <c r="H167" s="201"/>
      <c r="I167" s="201"/>
      <c r="J167" s="202"/>
      <c r="K167" s="185" t="str">
        <f t="shared" si="3"/>
        <v/>
      </c>
      <c r="L167" s="186">
        <f t="shared" si="15"/>
        <v>0</v>
      </c>
      <c r="M167" s="191"/>
      <c r="N167" s="191"/>
      <c r="O167" s="191"/>
      <c r="P167" s="191"/>
      <c r="Q167" s="191"/>
      <c r="R167" s="191"/>
      <c r="S167" s="191"/>
      <c r="T167" s="192"/>
      <c r="U167" s="189" t="str">
        <f t="shared" si="16"/>
        <v/>
      </c>
      <c r="V167" s="190" t="str">
        <f t="shared" si="17"/>
        <v/>
      </c>
      <c r="W167" s="190" t="str">
        <f t="shared" si="18"/>
        <v/>
      </c>
      <c r="X167" s="191" t="str">
        <f t="shared" si="19"/>
        <v/>
      </c>
      <c r="Y167" s="191" t="str">
        <f t="shared" si="20"/>
        <v/>
      </c>
      <c r="Z167" s="156"/>
    </row>
    <row r="168">
      <c r="A168" s="177" t="str">
        <f t="shared" si="14"/>
        <v/>
      </c>
      <c r="B168" s="196"/>
      <c r="C168" s="179" t="str">
        <f t="shared" si="2"/>
        <v/>
      </c>
      <c r="D168" s="197"/>
      <c r="E168" s="181"/>
      <c r="F168" s="198"/>
      <c r="G168" s="201"/>
      <c r="H168" s="201"/>
      <c r="I168" s="201"/>
      <c r="J168" s="202"/>
      <c r="K168" s="185" t="str">
        <f t="shared" si="3"/>
        <v/>
      </c>
      <c r="L168" s="186">
        <f t="shared" si="15"/>
        <v>0</v>
      </c>
      <c r="M168" s="191"/>
      <c r="N168" s="191"/>
      <c r="O168" s="191"/>
      <c r="P168" s="191"/>
      <c r="Q168" s="191"/>
      <c r="R168" s="191"/>
      <c r="S168" s="191"/>
      <c r="T168" s="192"/>
      <c r="U168" s="189" t="str">
        <f t="shared" si="16"/>
        <v/>
      </c>
      <c r="V168" s="190" t="str">
        <f t="shared" si="17"/>
        <v/>
      </c>
      <c r="W168" s="190" t="str">
        <f t="shared" si="18"/>
        <v/>
      </c>
      <c r="X168" s="191" t="str">
        <f t="shared" si="19"/>
        <v/>
      </c>
      <c r="Y168" s="191" t="str">
        <f t="shared" si="20"/>
        <v/>
      </c>
      <c r="Z168" s="156"/>
    </row>
    <row r="169">
      <c r="A169" s="177" t="str">
        <f t="shared" si="14"/>
        <v/>
      </c>
      <c r="B169" s="196"/>
      <c r="C169" s="179" t="str">
        <f t="shared" si="2"/>
        <v/>
      </c>
      <c r="D169" s="197"/>
      <c r="E169" s="181"/>
      <c r="F169" s="198"/>
      <c r="G169" s="201"/>
      <c r="H169" s="201"/>
      <c r="I169" s="201"/>
      <c r="J169" s="202"/>
      <c r="K169" s="185" t="str">
        <f t="shared" si="3"/>
        <v/>
      </c>
      <c r="L169" s="186">
        <f t="shared" si="15"/>
        <v>0</v>
      </c>
      <c r="M169" s="191"/>
      <c r="N169" s="191"/>
      <c r="O169" s="191"/>
      <c r="P169" s="191"/>
      <c r="Q169" s="191"/>
      <c r="R169" s="191"/>
      <c r="S169" s="191"/>
      <c r="T169" s="192"/>
      <c r="U169" s="189" t="str">
        <f t="shared" si="16"/>
        <v/>
      </c>
      <c r="V169" s="190" t="str">
        <f t="shared" si="17"/>
        <v/>
      </c>
      <c r="W169" s="190" t="str">
        <f t="shared" si="18"/>
        <v/>
      </c>
      <c r="X169" s="191" t="str">
        <f t="shared" si="19"/>
        <v/>
      </c>
      <c r="Y169" s="191" t="str">
        <f t="shared" si="20"/>
        <v/>
      </c>
      <c r="Z169" s="156"/>
    </row>
    <row r="170">
      <c r="A170" s="177" t="str">
        <f t="shared" si="14"/>
        <v/>
      </c>
      <c r="B170" s="196"/>
      <c r="C170" s="179" t="str">
        <f t="shared" si="2"/>
        <v/>
      </c>
      <c r="D170" s="197"/>
      <c r="E170" s="181"/>
      <c r="F170" s="198"/>
      <c r="G170" s="201"/>
      <c r="H170" s="201"/>
      <c r="I170" s="201"/>
      <c r="J170" s="202"/>
      <c r="K170" s="185" t="str">
        <f t="shared" si="3"/>
        <v/>
      </c>
      <c r="L170" s="186">
        <f t="shared" si="15"/>
        <v>0</v>
      </c>
      <c r="M170" s="191"/>
      <c r="N170" s="191"/>
      <c r="O170" s="191"/>
      <c r="P170" s="191"/>
      <c r="Q170" s="191"/>
      <c r="R170" s="191"/>
      <c r="S170" s="191"/>
      <c r="T170" s="192"/>
      <c r="U170" s="189" t="str">
        <f t="shared" si="16"/>
        <v/>
      </c>
      <c r="V170" s="190" t="str">
        <f t="shared" si="17"/>
        <v/>
      </c>
      <c r="W170" s="190" t="str">
        <f t="shared" si="18"/>
        <v/>
      </c>
      <c r="X170" s="191" t="str">
        <f t="shared" si="19"/>
        <v/>
      </c>
      <c r="Y170" s="191" t="str">
        <f t="shared" si="20"/>
        <v/>
      </c>
      <c r="Z170" s="156"/>
    </row>
    <row r="171">
      <c r="A171" s="177" t="str">
        <f t="shared" si="14"/>
        <v/>
      </c>
      <c r="B171" s="196"/>
      <c r="C171" s="179" t="str">
        <f t="shared" si="2"/>
        <v/>
      </c>
      <c r="D171" s="197"/>
      <c r="E171" s="181"/>
      <c r="F171" s="198"/>
      <c r="G171" s="201"/>
      <c r="H171" s="201"/>
      <c r="I171" s="201"/>
      <c r="J171" s="202"/>
      <c r="K171" s="185" t="str">
        <f t="shared" si="3"/>
        <v/>
      </c>
      <c r="L171" s="186">
        <f t="shared" si="15"/>
        <v>0</v>
      </c>
      <c r="M171" s="191"/>
      <c r="N171" s="191"/>
      <c r="O171" s="191"/>
      <c r="P171" s="191"/>
      <c r="Q171" s="191"/>
      <c r="R171" s="191"/>
      <c r="S171" s="191"/>
      <c r="T171" s="192"/>
      <c r="U171" s="189" t="str">
        <f t="shared" si="16"/>
        <v/>
      </c>
      <c r="V171" s="190" t="str">
        <f t="shared" si="17"/>
        <v/>
      </c>
      <c r="W171" s="190" t="str">
        <f t="shared" si="18"/>
        <v/>
      </c>
      <c r="X171" s="191" t="str">
        <f t="shared" si="19"/>
        <v/>
      </c>
      <c r="Y171" s="191" t="str">
        <f t="shared" si="20"/>
        <v/>
      </c>
      <c r="Z171" s="156"/>
    </row>
    <row r="172">
      <c r="A172" s="177" t="str">
        <f t="shared" si="14"/>
        <v/>
      </c>
      <c r="B172" s="196"/>
      <c r="C172" s="179" t="str">
        <f t="shared" si="2"/>
        <v/>
      </c>
      <c r="D172" s="197"/>
      <c r="E172" s="181"/>
      <c r="F172" s="198"/>
      <c r="G172" s="201"/>
      <c r="H172" s="201"/>
      <c r="I172" s="201"/>
      <c r="J172" s="202"/>
      <c r="K172" s="185" t="str">
        <f t="shared" si="3"/>
        <v/>
      </c>
      <c r="L172" s="186">
        <f t="shared" si="15"/>
        <v>0</v>
      </c>
      <c r="M172" s="191"/>
      <c r="N172" s="191"/>
      <c r="O172" s="191"/>
      <c r="P172" s="191"/>
      <c r="Q172" s="191"/>
      <c r="R172" s="191"/>
      <c r="S172" s="191"/>
      <c r="T172" s="192"/>
      <c r="U172" s="189" t="str">
        <f t="shared" si="16"/>
        <v/>
      </c>
      <c r="V172" s="190" t="str">
        <f t="shared" si="17"/>
        <v/>
      </c>
      <c r="W172" s="190" t="str">
        <f t="shared" si="18"/>
        <v/>
      </c>
      <c r="X172" s="191" t="str">
        <f t="shared" si="19"/>
        <v/>
      </c>
      <c r="Y172" s="191" t="str">
        <f t="shared" si="20"/>
        <v/>
      </c>
      <c r="Z172" s="156"/>
    </row>
    <row r="173">
      <c r="A173" s="177" t="str">
        <f t="shared" si="14"/>
        <v/>
      </c>
      <c r="B173" s="196"/>
      <c r="C173" s="179" t="str">
        <f t="shared" si="2"/>
        <v/>
      </c>
      <c r="D173" s="197"/>
      <c r="E173" s="181"/>
      <c r="F173" s="198"/>
      <c r="G173" s="201"/>
      <c r="H173" s="201"/>
      <c r="I173" s="201"/>
      <c r="J173" s="202"/>
      <c r="K173" s="185" t="str">
        <f t="shared" si="3"/>
        <v/>
      </c>
      <c r="L173" s="186">
        <f t="shared" si="15"/>
        <v>0</v>
      </c>
      <c r="M173" s="191"/>
      <c r="N173" s="191"/>
      <c r="O173" s="191"/>
      <c r="P173" s="191"/>
      <c r="Q173" s="191"/>
      <c r="R173" s="191"/>
      <c r="S173" s="191"/>
      <c r="T173" s="192"/>
      <c r="U173" s="189" t="str">
        <f t="shared" si="16"/>
        <v/>
      </c>
      <c r="V173" s="190" t="str">
        <f t="shared" si="17"/>
        <v/>
      </c>
      <c r="W173" s="190" t="str">
        <f t="shared" si="18"/>
        <v/>
      </c>
      <c r="X173" s="191" t="str">
        <f t="shared" si="19"/>
        <v/>
      </c>
      <c r="Y173" s="191" t="str">
        <f t="shared" si="20"/>
        <v/>
      </c>
      <c r="Z173" s="156"/>
    </row>
    <row r="174">
      <c r="A174" s="177" t="str">
        <f t="shared" si="14"/>
        <v/>
      </c>
      <c r="B174" s="196"/>
      <c r="C174" s="179" t="str">
        <f t="shared" si="2"/>
        <v/>
      </c>
      <c r="D174" s="197"/>
      <c r="E174" s="181"/>
      <c r="F174" s="198"/>
      <c r="G174" s="201"/>
      <c r="H174" s="201"/>
      <c r="I174" s="201"/>
      <c r="J174" s="202"/>
      <c r="K174" s="185" t="str">
        <f t="shared" si="3"/>
        <v/>
      </c>
      <c r="L174" s="186">
        <f t="shared" si="15"/>
        <v>0</v>
      </c>
      <c r="M174" s="191"/>
      <c r="N174" s="191"/>
      <c r="O174" s="191"/>
      <c r="P174" s="191"/>
      <c r="Q174" s="191"/>
      <c r="R174" s="191"/>
      <c r="S174" s="191"/>
      <c r="T174" s="192"/>
      <c r="U174" s="189" t="str">
        <f t="shared" si="16"/>
        <v/>
      </c>
      <c r="V174" s="190" t="str">
        <f t="shared" si="17"/>
        <v/>
      </c>
      <c r="W174" s="190" t="str">
        <f t="shared" si="18"/>
        <v/>
      </c>
      <c r="X174" s="191" t="str">
        <f t="shared" si="19"/>
        <v/>
      </c>
      <c r="Y174" s="191" t="str">
        <f t="shared" si="20"/>
        <v/>
      </c>
      <c r="Z174" s="156"/>
    </row>
    <row r="175">
      <c r="A175" s="177" t="str">
        <f t="shared" si="14"/>
        <v/>
      </c>
      <c r="B175" s="196"/>
      <c r="C175" s="179" t="str">
        <f t="shared" si="2"/>
        <v/>
      </c>
      <c r="D175" s="197"/>
      <c r="E175" s="181"/>
      <c r="F175" s="198"/>
      <c r="G175" s="201"/>
      <c r="H175" s="201"/>
      <c r="I175" s="201"/>
      <c r="J175" s="202"/>
      <c r="K175" s="185" t="str">
        <f t="shared" si="3"/>
        <v/>
      </c>
      <c r="L175" s="186">
        <f t="shared" si="15"/>
        <v>0</v>
      </c>
      <c r="M175" s="191"/>
      <c r="N175" s="191"/>
      <c r="O175" s="191"/>
      <c r="P175" s="191"/>
      <c r="Q175" s="191"/>
      <c r="R175" s="191"/>
      <c r="S175" s="191"/>
      <c r="T175" s="192"/>
      <c r="U175" s="189" t="str">
        <f t="shared" si="16"/>
        <v/>
      </c>
      <c r="V175" s="190" t="str">
        <f t="shared" si="17"/>
        <v/>
      </c>
      <c r="W175" s="190" t="str">
        <f t="shared" si="18"/>
        <v/>
      </c>
      <c r="X175" s="191" t="str">
        <f t="shared" si="19"/>
        <v/>
      </c>
      <c r="Y175" s="191" t="str">
        <f t="shared" si="20"/>
        <v/>
      </c>
      <c r="Z175" s="156"/>
    </row>
    <row r="176">
      <c r="A176" s="177" t="str">
        <f t="shared" si="14"/>
        <v/>
      </c>
      <c r="B176" s="196"/>
      <c r="C176" s="179" t="str">
        <f t="shared" si="2"/>
        <v/>
      </c>
      <c r="D176" s="197"/>
      <c r="E176" s="181"/>
      <c r="F176" s="198"/>
      <c r="G176" s="201"/>
      <c r="H176" s="201"/>
      <c r="I176" s="201"/>
      <c r="J176" s="202"/>
      <c r="K176" s="185" t="str">
        <f t="shared" si="3"/>
        <v/>
      </c>
      <c r="L176" s="186">
        <f t="shared" si="15"/>
        <v>0</v>
      </c>
      <c r="M176" s="191"/>
      <c r="N176" s="191"/>
      <c r="O176" s="191"/>
      <c r="P176" s="191"/>
      <c r="Q176" s="191"/>
      <c r="R176" s="191"/>
      <c r="S176" s="191"/>
      <c r="T176" s="192"/>
      <c r="U176" s="189" t="str">
        <f t="shared" si="16"/>
        <v/>
      </c>
      <c r="V176" s="190" t="str">
        <f t="shared" si="17"/>
        <v/>
      </c>
      <c r="W176" s="190" t="str">
        <f t="shared" si="18"/>
        <v/>
      </c>
      <c r="X176" s="191" t="str">
        <f t="shared" si="19"/>
        <v/>
      </c>
      <c r="Y176" s="191" t="str">
        <f t="shared" si="20"/>
        <v/>
      </c>
      <c r="Z176" s="156"/>
    </row>
    <row r="177">
      <c r="A177" s="177" t="str">
        <f t="shared" si="14"/>
        <v/>
      </c>
      <c r="B177" s="196"/>
      <c r="C177" s="179" t="str">
        <f t="shared" si="2"/>
        <v/>
      </c>
      <c r="D177" s="197"/>
      <c r="E177" s="181"/>
      <c r="F177" s="198"/>
      <c r="G177" s="201"/>
      <c r="H177" s="201"/>
      <c r="I177" s="201"/>
      <c r="J177" s="202"/>
      <c r="K177" s="185" t="str">
        <f t="shared" si="3"/>
        <v/>
      </c>
      <c r="L177" s="186">
        <f t="shared" si="15"/>
        <v>0</v>
      </c>
      <c r="M177" s="191"/>
      <c r="N177" s="191"/>
      <c r="O177" s="191"/>
      <c r="P177" s="191"/>
      <c r="Q177" s="191"/>
      <c r="R177" s="191"/>
      <c r="S177" s="191"/>
      <c r="T177" s="192"/>
      <c r="U177" s="189" t="str">
        <f t="shared" si="16"/>
        <v/>
      </c>
      <c r="V177" s="190" t="str">
        <f t="shared" si="17"/>
        <v/>
      </c>
      <c r="W177" s="190" t="str">
        <f t="shared" si="18"/>
        <v/>
      </c>
      <c r="X177" s="191" t="str">
        <f t="shared" si="19"/>
        <v/>
      </c>
      <c r="Y177" s="191" t="str">
        <f t="shared" si="20"/>
        <v/>
      </c>
      <c r="Z177" s="156"/>
    </row>
    <row r="178">
      <c r="A178" s="177" t="str">
        <f t="shared" si="14"/>
        <v/>
      </c>
      <c r="B178" s="196"/>
      <c r="C178" s="179" t="str">
        <f t="shared" si="2"/>
        <v/>
      </c>
      <c r="D178" s="197"/>
      <c r="E178" s="181"/>
      <c r="F178" s="198"/>
      <c r="G178" s="201"/>
      <c r="H178" s="201"/>
      <c r="I178" s="201"/>
      <c r="J178" s="202"/>
      <c r="K178" s="185" t="str">
        <f t="shared" si="3"/>
        <v/>
      </c>
      <c r="L178" s="186">
        <f t="shared" si="15"/>
        <v>0</v>
      </c>
      <c r="M178" s="191"/>
      <c r="N178" s="191"/>
      <c r="O178" s="191"/>
      <c r="P178" s="191"/>
      <c r="Q178" s="191"/>
      <c r="R178" s="191"/>
      <c r="S178" s="191"/>
      <c r="T178" s="192"/>
      <c r="U178" s="189" t="str">
        <f t="shared" si="16"/>
        <v/>
      </c>
      <c r="V178" s="190" t="str">
        <f t="shared" si="17"/>
        <v/>
      </c>
      <c r="W178" s="190" t="str">
        <f t="shared" si="18"/>
        <v/>
      </c>
      <c r="X178" s="191" t="str">
        <f t="shared" si="19"/>
        <v/>
      </c>
      <c r="Y178" s="191" t="str">
        <f t="shared" si="20"/>
        <v/>
      </c>
      <c r="Z178" s="156"/>
    </row>
    <row r="179">
      <c r="A179" s="177" t="str">
        <f t="shared" si="14"/>
        <v/>
      </c>
      <c r="B179" s="196"/>
      <c r="C179" s="179" t="str">
        <f t="shared" si="2"/>
        <v/>
      </c>
      <c r="D179" s="197"/>
      <c r="E179" s="181"/>
      <c r="F179" s="198"/>
      <c r="G179" s="201"/>
      <c r="H179" s="201"/>
      <c r="I179" s="201"/>
      <c r="J179" s="202"/>
      <c r="K179" s="185" t="str">
        <f t="shared" si="3"/>
        <v/>
      </c>
      <c r="L179" s="186">
        <f t="shared" si="15"/>
        <v>0</v>
      </c>
      <c r="M179" s="191"/>
      <c r="N179" s="191"/>
      <c r="O179" s="191"/>
      <c r="P179" s="191"/>
      <c r="Q179" s="191"/>
      <c r="R179" s="191"/>
      <c r="S179" s="191"/>
      <c r="T179" s="192"/>
      <c r="U179" s="189" t="str">
        <f t="shared" si="16"/>
        <v/>
      </c>
      <c r="V179" s="190" t="str">
        <f t="shared" si="17"/>
        <v/>
      </c>
      <c r="W179" s="190" t="str">
        <f t="shared" si="18"/>
        <v/>
      </c>
      <c r="X179" s="191" t="str">
        <f t="shared" si="19"/>
        <v/>
      </c>
      <c r="Y179" s="191" t="str">
        <f t="shared" si="20"/>
        <v/>
      </c>
      <c r="Z179" s="156"/>
    </row>
    <row r="180">
      <c r="A180" s="177" t="str">
        <f t="shared" si="14"/>
        <v/>
      </c>
      <c r="B180" s="196"/>
      <c r="C180" s="179" t="str">
        <f t="shared" si="2"/>
        <v/>
      </c>
      <c r="D180" s="197"/>
      <c r="E180" s="181"/>
      <c r="F180" s="198"/>
      <c r="G180" s="201"/>
      <c r="H180" s="201"/>
      <c r="I180" s="201"/>
      <c r="J180" s="202"/>
      <c r="K180" s="185" t="str">
        <f t="shared" si="3"/>
        <v/>
      </c>
      <c r="L180" s="186">
        <f t="shared" si="15"/>
        <v>0</v>
      </c>
      <c r="M180" s="191"/>
      <c r="N180" s="191"/>
      <c r="O180" s="191"/>
      <c r="P180" s="191"/>
      <c r="Q180" s="191"/>
      <c r="R180" s="191"/>
      <c r="S180" s="191"/>
      <c r="T180" s="192"/>
      <c r="U180" s="189" t="str">
        <f t="shared" si="16"/>
        <v/>
      </c>
      <c r="V180" s="190" t="str">
        <f t="shared" si="17"/>
        <v/>
      </c>
      <c r="W180" s="190" t="str">
        <f t="shared" si="18"/>
        <v/>
      </c>
      <c r="X180" s="191" t="str">
        <f t="shared" si="19"/>
        <v/>
      </c>
      <c r="Y180" s="191" t="str">
        <f t="shared" si="20"/>
        <v/>
      </c>
      <c r="Z180" s="156"/>
    </row>
    <row r="181">
      <c r="A181" s="177" t="str">
        <f t="shared" si="14"/>
        <v/>
      </c>
      <c r="B181" s="196"/>
      <c r="C181" s="179" t="str">
        <f t="shared" si="2"/>
        <v/>
      </c>
      <c r="D181" s="197"/>
      <c r="E181" s="181"/>
      <c r="F181" s="198"/>
      <c r="G181" s="201"/>
      <c r="H181" s="201"/>
      <c r="I181" s="201"/>
      <c r="J181" s="202"/>
      <c r="K181" s="185" t="str">
        <f t="shared" si="3"/>
        <v/>
      </c>
      <c r="L181" s="186">
        <f t="shared" si="15"/>
        <v>0</v>
      </c>
      <c r="M181" s="191"/>
      <c r="N181" s="191"/>
      <c r="O181" s="191"/>
      <c r="P181" s="191"/>
      <c r="Q181" s="191"/>
      <c r="R181" s="191"/>
      <c r="S181" s="191"/>
      <c r="T181" s="192"/>
      <c r="U181" s="189" t="str">
        <f t="shared" si="16"/>
        <v/>
      </c>
      <c r="V181" s="190" t="str">
        <f t="shared" si="17"/>
        <v/>
      </c>
      <c r="W181" s="190" t="str">
        <f t="shared" si="18"/>
        <v/>
      </c>
      <c r="X181" s="191" t="str">
        <f t="shared" si="19"/>
        <v/>
      </c>
      <c r="Y181" s="191" t="str">
        <f t="shared" si="20"/>
        <v/>
      </c>
      <c r="Z181" s="156"/>
    </row>
    <row r="182">
      <c r="A182" s="177" t="str">
        <f t="shared" si="14"/>
        <v/>
      </c>
      <c r="B182" s="196"/>
      <c r="C182" s="179" t="str">
        <f t="shared" si="2"/>
        <v/>
      </c>
      <c r="D182" s="197"/>
      <c r="E182" s="181"/>
      <c r="F182" s="198"/>
      <c r="G182" s="201"/>
      <c r="H182" s="201"/>
      <c r="I182" s="201"/>
      <c r="J182" s="202"/>
      <c r="K182" s="185" t="str">
        <f t="shared" si="3"/>
        <v/>
      </c>
      <c r="L182" s="186">
        <f t="shared" si="15"/>
        <v>0</v>
      </c>
      <c r="M182" s="191"/>
      <c r="N182" s="191"/>
      <c r="O182" s="191"/>
      <c r="P182" s="191"/>
      <c r="Q182" s="191"/>
      <c r="R182" s="191"/>
      <c r="S182" s="191"/>
      <c r="T182" s="192"/>
      <c r="U182" s="189" t="str">
        <f t="shared" si="16"/>
        <v/>
      </c>
      <c r="V182" s="190" t="str">
        <f t="shared" si="17"/>
        <v/>
      </c>
      <c r="W182" s="190" t="str">
        <f t="shared" si="18"/>
        <v/>
      </c>
      <c r="X182" s="191" t="str">
        <f t="shared" si="19"/>
        <v/>
      </c>
      <c r="Y182" s="191" t="str">
        <f t="shared" si="20"/>
        <v/>
      </c>
      <c r="Z182" s="156"/>
    </row>
    <row r="183">
      <c r="A183" s="177" t="str">
        <f t="shared" si="14"/>
        <v/>
      </c>
      <c r="B183" s="196"/>
      <c r="C183" s="179" t="str">
        <f t="shared" si="2"/>
        <v/>
      </c>
      <c r="D183" s="197"/>
      <c r="E183" s="181"/>
      <c r="F183" s="198"/>
      <c r="G183" s="201"/>
      <c r="H183" s="201"/>
      <c r="I183" s="201"/>
      <c r="J183" s="202"/>
      <c r="K183" s="185" t="str">
        <f t="shared" si="3"/>
        <v/>
      </c>
      <c r="L183" s="186">
        <f t="shared" si="15"/>
        <v>0</v>
      </c>
      <c r="M183" s="191"/>
      <c r="N183" s="191"/>
      <c r="O183" s="191"/>
      <c r="P183" s="191"/>
      <c r="Q183" s="191"/>
      <c r="R183" s="191"/>
      <c r="S183" s="191"/>
      <c r="T183" s="192"/>
      <c r="U183" s="189" t="str">
        <f t="shared" si="16"/>
        <v/>
      </c>
      <c r="V183" s="190" t="str">
        <f t="shared" si="17"/>
        <v/>
      </c>
      <c r="W183" s="190" t="str">
        <f t="shared" si="18"/>
        <v/>
      </c>
      <c r="X183" s="191" t="str">
        <f t="shared" si="19"/>
        <v/>
      </c>
      <c r="Y183" s="191" t="str">
        <f t="shared" si="20"/>
        <v/>
      </c>
      <c r="Z183" s="156"/>
    </row>
    <row r="184">
      <c r="A184" s="177" t="str">
        <f t="shared" si="14"/>
        <v/>
      </c>
      <c r="B184" s="196"/>
      <c r="C184" s="179" t="str">
        <f t="shared" si="2"/>
        <v/>
      </c>
      <c r="D184" s="197"/>
      <c r="E184" s="181"/>
      <c r="F184" s="198"/>
      <c r="G184" s="201"/>
      <c r="H184" s="201"/>
      <c r="I184" s="201"/>
      <c r="J184" s="202"/>
      <c r="K184" s="185" t="str">
        <f t="shared" si="3"/>
        <v/>
      </c>
      <c r="L184" s="186">
        <f t="shared" si="15"/>
        <v>0</v>
      </c>
      <c r="M184" s="191"/>
      <c r="N184" s="191"/>
      <c r="O184" s="191"/>
      <c r="P184" s="191"/>
      <c r="Q184" s="191"/>
      <c r="R184" s="191"/>
      <c r="S184" s="191"/>
      <c r="T184" s="192"/>
      <c r="U184" s="189" t="str">
        <f t="shared" si="16"/>
        <v/>
      </c>
      <c r="V184" s="190" t="str">
        <f t="shared" si="17"/>
        <v/>
      </c>
      <c r="W184" s="190" t="str">
        <f t="shared" si="18"/>
        <v/>
      </c>
      <c r="X184" s="191" t="str">
        <f t="shared" si="19"/>
        <v/>
      </c>
      <c r="Y184" s="191" t="str">
        <f t="shared" si="20"/>
        <v/>
      </c>
      <c r="Z184" s="156"/>
    </row>
    <row r="185">
      <c r="A185" s="177" t="str">
        <f t="shared" si="14"/>
        <v/>
      </c>
      <c r="B185" s="196"/>
      <c r="C185" s="179" t="str">
        <f t="shared" si="2"/>
        <v/>
      </c>
      <c r="D185" s="197"/>
      <c r="E185" s="181"/>
      <c r="F185" s="198"/>
      <c r="G185" s="201"/>
      <c r="H185" s="201"/>
      <c r="I185" s="201"/>
      <c r="J185" s="202"/>
      <c r="K185" s="185" t="str">
        <f t="shared" si="3"/>
        <v/>
      </c>
      <c r="L185" s="186">
        <f t="shared" si="15"/>
        <v>0</v>
      </c>
      <c r="M185" s="191"/>
      <c r="N185" s="191"/>
      <c r="O185" s="191"/>
      <c r="P185" s="191"/>
      <c r="Q185" s="191"/>
      <c r="R185" s="191"/>
      <c r="S185" s="191"/>
      <c r="T185" s="192"/>
      <c r="U185" s="189" t="str">
        <f t="shared" si="16"/>
        <v/>
      </c>
      <c r="V185" s="190" t="str">
        <f t="shared" si="17"/>
        <v/>
      </c>
      <c r="W185" s="190" t="str">
        <f t="shared" si="18"/>
        <v/>
      </c>
      <c r="X185" s="191" t="str">
        <f t="shared" si="19"/>
        <v/>
      </c>
      <c r="Y185" s="191" t="str">
        <f t="shared" si="20"/>
        <v/>
      </c>
      <c r="Z185" s="156"/>
    </row>
    <row r="186">
      <c r="A186" s="177" t="str">
        <f t="shared" si="14"/>
        <v/>
      </c>
      <c r="B186" s="196"/>
      <c r="C186" s="179" t="str">
        <f t="shared" si="2"/>
        <v/>
      </c>
      <c r="D186" s="197"/>
      <c r="E186" s="181"/>
      <c r="F186" s="198"/>
      <c r="G186" s="201"/>
      <c r="H186" s="201"/>
      <c r="I186" s="201"/>
      <c r="J186" s="202"/>
      <c r="K186" s="185" t="str">
        <f t="shared" si="3"/>
        <v/>
      </c>
      <c r="L186" s="186">
        <f t="shared" si="15"/>
        <v>0</v>
      </c>
      <c r="M186" s="191"/>
      <c r="N186" s="191"/>
      <c r="O186" s="191"/>
      <c r="P186" s="191"/>
      <c r="Q186" s="191"/>
      <c r="R186" s="191"/>
      <c r="S186" s="191"/>
      <c r="T186" s="192"/>
      <c r="U186" s="189" t="str">
        <f t="shared" si="16"/>
        <v/>
      </c>
      <c r="V186" s="190" t="str">
        <f t="shared" si="17"/>
        <v/>
      </c>
      <c r="W186" s="190" t="str">
        <f t="shared" si="18"/>
        <v/>
      </c>
      <c r="X186" s="191" t="str">
        <f t="shared" si="19"/>
        <v/>
      </c>
      <c r="Y186" s="191" t="str">
        <f t="shared" si="20"/>
        <v/>
      </c>
      <c r="Z186" s="156"/>
    </row>
    <row r="187">
      <c r="A187" s="177" t="str">
        <f t="shared" si="14"/>
        <v/>
      </c>
      <c r="B187" s="196"/>
      <c r="C187" s="179" t="str">
        <f t="shared" si="2"/>
        <v/>
      </c>
      <c r="D187" s="197"/>
      <c r="E187" s="181"/>
      <c r="F187" s="198"/>
      <c r="G187" s="201"/>
      <c r="H187" s="201"/>
      <c r="I187" s="201"/>
      <c r="J187" s="202"/>
      <c r="K187" s="185" t="str">
        <f t="shared" si="3"/>
        <v/>
      </c>
      <c r="L187" s="186">
        <f t="shared" si="15"/>
        <v>0</v>
      </c>
      <c r="M187" s="191"/>
      <c r="N187" s="191"/>
      <c r="O187" s="191"/>
      <c r="P187" s="191"/>
      <c r="Q187" s="191"/>
      <c r="R187" s="191"/>
      <c r="S187" s="191"/>
      <c r="T187" s="192"/>
      <c r="U187" s="189" t="str">
        <f t="shared" si="16"/>
        <v/>
      </c>
      <c r="V187" s="190" t="str">
        <f t="shared" si="17"/>
        <v/>
      </c>
      <c r="W187" s="190" t="str">
        <f t="shared" si="18"/>
        <v/>
      </c>
      <c r="X187" s="191" t="str">
        <f t="shared" si="19"/>
        <v/>
      </c>
      <c r="Y187" s="191" t="str">
        <f t="shared" si="20"/>
        <v/>
      </c>
      <c r="Z187" s="156"/>
    </row>
    <row r="188">
      <c r="A188" s="177" t="str">
        <f t="shared" si="14"/>
        <v/>
      </c>
      <c r="B188" s="196"/>
      <c r="C188" s="179" t="str">
        <f t="shared" si="2"/>
        <v/>
      </c>
      <c r="D188" s="197"/>
      <c r="E188" s="181"/>
      <c r="F188" s="198"/>
      <c r="G188" s="201"/>
      <c r="H188" s="201"/>
      <c r="I188" s="201"/>
      <c r="J188" s="202"/>
      <c r="K188" s="185" t="str">
        <f t="shared" si="3"/>
        <v/>
      </c>
      <c r="L188" s="186">
        <f t="shared" si="15"/>
        <v>0</v>
      </c>
      <c r="M188" s="191"/>
      <c r="N188" s="191"/>
      <c r="O188" s="191"/>
      <c r="P188" s="191"/>
      <c r="Q188" s="191"/>
      <c r="R188" s="191"/>
      <c r="S188" s="191"/>
      <c r="T188" s="192"/>
      <c r="U188" s="189" t="str">
        <f t="shared" si="16"/>
        <v/>
      </c>
      <c r="V188" s="190" t="str">
        <f t="shared" si="17"/>
        <v/>
      </c>
      <c r="W188" s="190" t="str">
        <f t="shared" si="18"/>
        <v/>
      </c>
      <c r="X188" s="191" t="str">
        <f t="shared" si="19"/>
        <v/>
      </c>
      <c r="Y188" s="191" t="str">
        <f t="shared" si="20"/>
        <v/>
      </c>
      <c r="Z188" s="156"/>
    </row>
    <row r="189">
      <c r="A189" s="177" t="str">
        <f t="shared" si="14"/>
        <v/>
      </c>
      <c r="B189" s="196"/>
      <c r="C189" s="179" t="str">
        <f t="shared" si="2"/>
        <v/>
      </c>
      <c r="D189" s="197"/>
      <c r="E189" s="181"/>
      <c r="F189" s="198"/>
      <c r="G189" s="201"/>
      <c r="H189" s="201"/>
      <c r="I189" s="201"/>
      <c r="J189" s="202"/>
      <c r="K189" s="185" t="str">
        <f t="shared" si="3"/>
        <v/>
      </c>
      <c r="L189" s="186">
        <f t="shared" si="15"/>
        <v>0</v>
      </c>
      <c r="M189" s="191"/>
      <c r="N189" s="191"/>
      <c r="O189" s="191"/>
      <c r="P189" s="191"/>
      <c r="Q189" s="191"/>
      <c r="R189" s="191"/>
      <c r="S189" s="191"/>
      <c r="T189" s="192"/>
      <c r="U189" s="189" t="str">
        <f t="shared" si="16"/>
        <v/>
      </c>
      <c r="V189" s="190" t="str">
        <f t="shared" si="17"/>
        <v/>
      </c>
      <c r="W189" s="190" t="str">
        <f t="shared" si="18"/>
        <v/>
      </c>
      <c r="X189" s="191" t="str">
        <f t="shared" si="19"/>
        <v/>
      </c>
      <c r="Y189" s="191" t="str">
        <f t="shared" si="20"/>
        <v/>
      </c>
      <c r="Z189" s="156"/>
    </row>
    <row r="190">
      <c r="A190" s="177" t="str">
        <f t="shared" si="14"/>
        <v/>
      </c>
      <c r="B190" s="196"/>
      <c r="C190" s="179" t="str">
        <f t="shared" si="2"/>
        <v/>
      </c>
      <c r="D190" s="197"/>
      <c r="E190" s="181"/>
      <c r="F190" s="198"/>
      <c r="G190" s="201"/>
      <c r="H190" s="201"/>
      <c r="I190" s="201"/>
      <c r="J190" s="202"/>
      <c r="K190" s="185" t="str">
        <f t="shared" si="3"/>
        <v/>
      </c>
      <c r="L190" s="186">
        <f t="shared" si="15"/>
        <v>0</v>
      </c>
      <c r="M190" s="191"/>
      <c r="N190" s="191"/>
      <c r="O190" s="191"/>
      <c r="P190" s="191"/>
      <c r="Q190" s="191"/>
      <c r="R190" s="191"/>
      <c r="S190" s="191"/>
      <c r="T190" s="192"/>
      <c r="U190" s="189" t="str">
        <f t="shared" si="16"/>
        <v/>
      </c>
      <c r="V190" s="190" t="str">
        <f t="shared" si="17"/>
        <v/>
      </c>
      <c r="W190" s="190" t="str">
        <f t="shared" si="18"/>
        <v/>
      </c>
      <c r="X190" s="191" t="str">
        <f t="shared" si="19"/>
        <v/>
      </c>
      <c r="Y190" s="191" t="str">
        <f t="shared" si="20"/>
        <v/>
      </c>
      <c r="Z190" s="156"/>
    </row>
    <row r="191">
      <c r="A191" s="177" t="str">
        <f t="shared" si="14"/>
        <v/>
      </c>
      <c r="B191" s="196"/>
      <c r="C191" s="179" t="str">
        <f t="shared" si="2"/>
        <v/>
      </c>
      <c r="D191" s="197"/>
      <c r="E191" s="181"/>
      <c r="F191" s="198"/>
      <c r="G191" s="201"/>
      <c r="H191" s="201"/>
      <c r="I191" s="201"/>
      <c r="J191" s="202"/>
      <c r="K191" s="185" t="str">
        <f t="shared" si="3"/>
        <v/>
      </c>
      <c r="L191" s="186">
        <f t="shared" si="15"/>
        <v>0</v>
      </c>
      <c r="M191" s="191"/>
      <c r="N191" s="191"/>
      <c r="O191" s="191"/>
      <c r="P191" s="191"/>
      <c r="Q191" s="191"/>
      <c r="R191" s="191"/>
      <c r="S191" s="191"/>
      <c r="T191" s="192"/>
      <c r="U191" s="189" t="str">
        <f t="shared" si="16"/>
        <v/>
      </c>
      <c r="V191" s="190" t="str">
        <f t="shared" si="17"/>
        <v/>
      </c>
      <c r="W191" s="190" t="str">
        <f t="shared" si="18"/>
        <v/>
      </c>
      <c r="X191" s="191" t="str">
        <f t="shared" si="19"/>
        <v/>
      </c>
      <c r="Y191" s="191" t="str">
        <f t="shared" si="20"/>
        <v/>
      </c>
      <c r="Z191" s="156"/>
    </row>
    <row r="192">
      <c r="A192" s="177" t="str">
        <f t="shared" si="14"/>
        <v/>
      </c>
      <c r="B192" s="196"/>
      <c r="C192" s="179" t="str">
        <f t="shared" si="2"/>
        <v/>
      </c>
      <c r="D192" s="197"/>
      <c r="E192" s="181"/>
      <c r="F192" s="198"/>
      <c r="G192" s="201"/>
      <c r="H192" s="201"/>
      <c r="I192" s="201"/>
      <c r="J192" s="202"/>
      <c r="K192" s="185" t="str">
        <f t="shared" si="3"/>
        <v/>
      </c>
      <c r="L192" s="186">
        <f t="shared" si="15"/>
        <v>0</v>
      </c>
      <c r="M192" s="191"/>
      <c r="N192" s="191"/>
      <c r="O192" s="191"/>
      <c r="P192" s="191"/>
      <c r="Q192" s="191"/>
      <c r="R192" s="191"/>
      <c r="S192" s="191"/>
      <c r="T192" s="192"/>
      <c r="U192" s="189" t="str">
        <f t="shared" si="16"/>
        <v/>
      </c>
      <c r="V192" s="190" t="str">
        <f t="shared" si="17"/>
        <v/>
      </c>
      <c r="W192" s="190" t="str">
        <f t="shared" si="18"/>
        <v/>
      </c>
      <c r="X192" s="191" t="str">
        <f t="shared" si="19"/>
        <v/>
      </c>
      <c r="Y192" s="191" t="str">
        <f t="shared" si="20"/>
        <v/>
      </c>
      <c r="Z192" s="156"/>
    </row>
    <row r="193">
      <c r="A193" s="177" t="str">
        <f t="shared" si="14"/>
        <v/>
      </c>
      <c r="B193" s="196"/>
      <c r="C193" s="179" t="str">
        <f t="shared" si="2"/>
        <v/>
      </c>
      <c r="D193" s="197"/>
      <c r="E193" s="181"/>
      <c r="F193" s="198"/>
      <c r="G193" s="201"/>
      <c r="H193" s="201"/>
      <c r="I193" s="201"/>
      <c r="J193" s="202"/>
      <c r="K193" s="185" t="str">
        <f t="shared" si="3"/>
        <v/>
      </c>
      <c r="L193" s="186">
        <f t="shared" si="15"/>
        <v>0</v>
      </c>
      <c r="M193" s="191"/>
      <c r="N193" s="191"/>
      <c r="O193" s="191"/>
      <c r="P193" s="191"/>
      <c r="Q193" s="191"/>
      <c r="R193" s="191"/>
      <c r="S193" s="191"/>
      <c r="T193" s="192"/>
      <c r="U193" s="189" t="str">
        <f t="shared" si="16"/>
        <v/>
      </c>
      <c r="V193" s="190" t="str">
        <f t="shared" si="17"/>
        <v/>
      </c>
      <c r="W193" s="190" t="str">
        <f t="shared" si="18"/>
        <v/>
      </c>
      <c r="X193" s="191" t="str">
        <f t="shared" si="19"/>
        <v/>
      </c>
      <c r="Y193" s="191" t="str">
        <f t="shared" si="20"/>
        <v/>
      </c>
      <c r="Z193" s="156"/>
    </row>
    <row r="194">
      <c r="A194" s="177" t="str">
        <f t="shared" si="14"/>
        <v/>
      </c>
      <c r="B194" s="196"/>
      <c r="C194" s="179" t="str">
        <f t="shared" si="2"/>
        <v/>
      </c>
      <c r="D194" s="197"/>
      <c r="E194" s="181"/>
      <c r="F194" s="198"/>
      <c r="G194" s="201"/>
      <c r="H194" s="201"/>
      <c r="I194" s="201"/>
      <c r="J194" s="202"/>
      <c r="K194" s="185" t="str">
        <f t="shared" si="3"/>
        <v/>
      </c>
      <c r="L194" s="186">
        <f t="shared" si="15"/>
        <v>0</v>
      </c>
      <c r="M194" s="191"/>
      <c r="N194" s="191"/>
      <c r="O194" s="191"/>
      <c r="P194" s="191"/>
      <c r="Q194" s="191"/>
      <c r="R194" s="191"/>
      <c r="S194" s="191"/>
      <c r="T194" s="192"/>
      <c r="U194" s="189" t="str">
        <f t="shared" si="16"/>
        <v/>
      </c>
      <c r="V194" s="190" t="str">
        <f t="shared" si="17"/>
        <v/>
      </c>
      <c r="W194" s="190" t="str">
        <f t="shared" si="18"/>
        <v/>
      </c>
      <c r="X194" s="191" t="str">
        <f t="shared" si="19"/>
        <v/>
      </c>
      <c r="Y194" s="191" t="str">
        <f t="shared" si="20"/>
        <v/>
      </c>
      <c r="Z194" s="156"/>
    </row>
    <row r="195">
      <c r="A195" s="177" t="str">
        <f t="shared" si="14"/>
        <v/>
      </c>
      <c r="B195" s="196"/>
      <c r="C195" s="179" t="str">
        <f t="shared" si="2"/>
        <v/>
      </c>
      <c r="D195" s="197"/>
      <c r="E195" s="181"/>
      <c r="F195" s="198"/>
      <c r="G195" s="201"/>
      <c r="H195" s="201"/>
      <c r="I195" s="201"/>
      <c r="J195" s="202"/>
      <c r="K195" s="185" t="str">
        <f t="shared" si="3"/>
        <v/>
      </c>
      <c r="L195" s="186">
        <f t="shared" si="15"/>
        <v>0</v>
      </c>
      <c r="M195" s="191"/>
      <c r="N195" s="191"/>
      <c r="O195" s="191"/>
      <c r="P195" s="191"/>
      <c r="Q195" s="191"/>
      <c r="R195" s="191"/>
      <c r="S195" s="191"/>
      <c r="T195" s="192"/>
      <c r="U195" s="189" t="str">
        <f t="shared" si="16"/>
        <v/>
      </c>
      <c r="V195" s="190" t="str">
        <f t="shared" si="17"/>
        <v/>
      </c>
      <c r="W195" s="190" t="str">
        <f t="shared" si="18"/>
        <v/>
      </c>
      <c r="X195" s="191" t="str">
        <f t="shared" si="19"/>
        <v/>
      </c>
      <c r="Y195" s="191" t="str">
        <f t="shared" si="20"/>
        <v/>
      </c>
      <c r="Z195" s="156"/>
    </row>
    <row r="196">
      <c r="A196" s="177" t="str">
        <f t="shared" si="14"/>
        <v/>
      </c>
      <c r="B196" s="196"/>
      <c r="C196" s="179" t="str">
        <f t="shared" si="2"/>
        <v/>
      </c>
      <c r="D196" s="197"/>
      <c r="E196" s="181"/>
      <c r="F196" s="198"/>
      <c r="G196" s="201"/>
      <c r="H196" s="201"/>
      <c r="I196" s="201"/>
      <c r="J196" s="202"/>
      <c r="K196" s="185" t="str">
        <f t="shared" si="3"/>
        <v/>
      </c>
      <c r="L196" s="186">
        <f t="shared" si="15"/>
        <v>0</v>
      </c>
      <c r="M196" s="191"/>
      <c r="N196" s="191"/>
      <c r="O196" s="191"/>
      <c r="P196" s="191"/>
      <c r="Q196" s="191"/>
      <c r="R196" s="191"/>
      <c r="S196" s="191"/>
      <c r="T196" s="192"/>
      <c r="U196" s="189" t="str">
        <f t="shared" si="16"/>
        <v/>
      </c>
      <c r="V196" s="190" t="str">
        <f t="shared" si="17"/>
        <v/>
      </c>
      <c r="W196" s="190" t="str">
        <f t="shared" si="18"/>
        <v/>
      </c>
      <c r="X196" s="191" t="str">
        <f t="shared" si="19"/>
        <v/>
      </c>
      <c r="Y196" s="191" t="str">
        <f t="shared" si="20"/>
        <v/>
      </c>
      <c r="Z196" s="156"/>
    </row>
    <row r="197">
      <c r="A197" s="177" t="str">
        <f t="shared" si="14"/>
        <v/>
      </c>
      <c r="B197" s="196"/>
      <c r="C197" s="179" t="str">
        <f t="shared" si="2"/>
        <v/>
      </c>
      <c r="D197" s="197"/>
      <c r="E197" s="181"/>
      <c r="F197" s="198"/>
      <c r="G197" s="201"/>
      <c r="H197" s="201"/>
      <c r="I197" s="201"/>
      <c r="J197" s="202"/>
      <c r="K197" s="185" t="str">
        <f t="shared" si="3"/>
        <v/>
      </c>
      <c r="L197" s="186">
        <f t="shared" si="15"/>
        <v>0</v>
      </c>
      <c r="M197" s="191"/>
      <c r="N197" s="191"/>
      <c r="O197" s="191"/>
      <c r="P197" s="191"/>
      <c r="Q197" s="191"/>
      <c r="R197" s="191"/>
      <c r="S197" s="191"/>
      <c r="T197" s="192"/>
      <c r="U197" s="189" t="str">
        <f t="shared" si="16"/>
        <v/>
      </c>
      <c r="V197" s="190" t="str">
        <f t="shared" si="17"/>
        <v/>
      </c>
      <c r="W197" s="190" t="str">
        <f t="shared" si="18"/>
        <v/>
      </c>
      <c r="X197" s="191" t="str">
        <f t="shared" si="19"/>
        <v/>
      </c>
      <c r="Y197" s="191" t="str">
        <f t="shared" si="20"/>
        <v/>
      </c>
      <c r="Z197" s="156"/>
    </row>
    <row r="198">
      <c r="A198" s="177" t="str">
        <f t="shared" si="14"/>
        <v/>
      </c>
      <c r="B198" s="196"/>
      <c r="C198" s="179" t="str">
        <f t="shared" si="2"/>
        <v/>
      </c>
      <c r="D198" s="197"/>
      <c r="E198" s="181"/>
      <c r="F198" s="198"/>
      <c r="G198" s="201"/>
      <c r="H198" s="201"/>
      <c r="I198" s="201"/>
      <c r="J198" s="202"/>
      <c r="K198" s="185" t="str">
        <f t="shared" si="3"/>
        <v/>
      </c>
      <c r="L198" s="186">
        <f t="shared" si="15"/>
        <v>0</v>
      </c>
      <c r="M198" s="191"/>
      <c r="N198" s="191"/>
      <c r="O198" s="191"/>
      <c r="P198" s="191"/>
      <c r="Q198" s="191"/>
      <c r="R198" s="191"/>
      <c r="S198" s="191"/>
      <c r="T198" s="192"/>
      <c r="U198" s="189" t="str">
        <f t="shared" si="16"/>
        <v/>
      </c>
      <c r="V198" s="190" t="str">
        <f t="shared" si="17"/>
        <v/>
      </c>
      <c r="W198" s="190" t="str">
        <f t="shared" si="18"/>
        <v/>
      </c>
      <c r="X198" s="191" t="str">
        <f t="shared" si="19"/>
        <v/>
      </c>
      <c r="Y198" s="191" t="str">
        <f t="shared" si="20"/>
        <v/>
      </c>
      <c r="Z198" s="156"/>
    </row>
    <row r="199">
      <c r="A199" s="177" t="str">
        <f t="shared" si="14"/>
        <v/>
      </c>
      <c r="B199" s="196"/>
      <c r="C199" s="179" t="str">
        <f t="shared" si="2"/>
        <v/>
      </c>
      <c r="D199" s="197"/>
      <c r="E199" s="181"/>
      <c r="F199" s="198"/>
      <c r="G199" s="201"/>
      <c r="H199" s="201"/>
      <c r="I199" s="201"/>
      <c r="J199" s="202"/>
      <c r="K199" s="185" t="str">
        <f t="shared" si="3"/>
        <v/>
      </c>
      <c r="L199" s="186">
        <f t="shared" si="15"/>
        <v>0</v>
      </c>
      <c r="M199" s="191"/>
      <c r="N199" s="191"/>
      <c r="O199" s="191"/>
      <c r="P199" s="191"/>
      <c r="Q199" s="191"/>
      <c r="R199" s="191"/>
      <c r="S199" s="191"/>
      <c r="T199" s="192"/>
      <c r="U199" s="189" t="str">
        <f t="shared" si="16"/>
        <v/>
      </c>
      <c r="V199" s="190" t="str">
        <f t="shared" si="17"/>
        <v/>
      </c>
      <c r="W199" s="190" t="str">
        <f t="shared" si="18"/>
        <v/>
      </c>
      <c r="X199" s="191" t="str">
        <f t="shared" si="19"/>
        <v/>
      </c>
      <c r="Y199" s="191" t="str">
        <f t="shared" si="20"/>
        <v/>
      </c>
      <c r="Z199" s="156"/>
    </row>
    <row r="200">
      <c r="A200" s="177" t="str">
        <f t="shared" si="14"/>
        <v/>
      </c>
      <c r="B200" s="196"/>
      <c r="C200" s="179" t="str">
        <f t="shared" si="2"/>
        <v/>
      </c>
      <c r="D200" s="197"/>
      <c r="E200" s="181"/>
      <c r="F200" s="198"/>
      <c r="G200" s="201"/>
      <c r="H200" s="201"/>
      <c r="I200" s="201"/>
      <c r="J200" s="202"/>
      <c r="K200" s="185" t="str">
        <f t="shared" si="3"/>
        <v/>
      </c>
      <c r="L200" s="186">
        <f t="shared" si="15"/>
        <v>0</v>
      </c>
      <c r="M200" s="191"/>
      <c r="N200" s="191"/>
      <c r="O200" s="191"/>
      <c r="P200" s="191"/>
      <c r="Q200" s="191"/>
      <c r="R200" s="191"/>
      <c r="S200" s="191"/>
      <c r="T200" s="192"/>
      <c r="U200" s="189" t="str">
        <f t="shared" si="16"/>
        <v/>
      </c>
      <c r="V200" s="190" t="str">
        <f t="shared" si="17"/>
        <v/>
      </c>
      <c r="W200" s="190" t="str">
        <f t="shared" si="18"/>
        <v/>
      </c>
      <c r="X200" s="191" t="str">
        <f t="shared" si="19"/>
        <v/>
      </c>
      <c r="Y200" s="191" t="str">
        <f t="shared" si="20"/>
        <v/>
      </c>
      <c r="Z200" s="156"/>
    </row>
    <row r="201">
      <c r="A201" s="177" t="str">
        <f t="shared" si="14"/>
        <v/>
      </c>
      <c r="B201" s="196"/>
      <c r="C201" s="179" t="str">
        <f t="shared" si="2"/>
        <v/>
      </c>
      <c r="D201" s="197"/>
      <c r="E201" s="181"/>
      <c r="F201" s="198"/>
      <c r="G201" s="201"/>
      <c r="H201" s="201"/>
      <c r="I201" s="201"/>
      <c r="J201" s="202"/>
      <c r="K201" s="185" t="str">
        <f t="shared" si="3"/>
        <v/>
      </c>
      <c r="L201" s="186">
        <f t="shared" si="15"/>
        <v>0</v>
      </c>
      <c r="M201" s="191"/>
      <c r="N201" s="191"/>
      <c r="O201" s="191"/>
      <c r="P201" s="191"/>
      <c r="Q201" s="191"/>
      <c r="R201" s="191"/>
      <c r="S201" s="191"/>
      <c r="T201" s="192"/>
      <c r="U201" s="189" t="str">
        <f t="shared" si="16"/>
        <v/>
      </c>
      <c r="V201" s="190" t="str">
        <f t="shared" si="17"/>
        <v/>
      </c>
      <c r="W201" s="190" t="str">
        <f t="shared" si="18"/>
        <v/>
      </c>
      <c r="X201" s="191" t="str">
        <f t="shared" si="19"/>
        <v/>
      </c>
      <c r="Y201" s="191" t="str">
        <f t="shared" si="20"/>
        <v/>
      </c>
      <c r="Z201" s="156"/>
    </row>
    <row r="202">
      <c r="A202" s="177" t="str">
        <f t="shared" si="14"/>
        <v/>
      </c>
      <c r="B202" s="196"/>
      <c r="C202" s="179" t="str">
        <f t="shared" si="2"/>
        <v/>
      </c>
      <c r="D202" s="197"/>
      <c r="E202" s="181"/>
      <c r="F202" s="198"/>
      <c r="G202" s="201"/>
      <c r="H202" s="201"/>
      <c r="I202" s="201"/>
      <c r="J202" s="202"/>
      <c r="K202" s="185" t="str">
        <f t="shared" si="3"/>
        <v/>
      </c>
      <c r="L202" s="186">
        <f t="shared" si="15"/>
        <v>0</v>
      </c>
      <c r="M202" s="191"/>
      <c r="N202" s="191"/>
      <c r="O202" s="191"/>
      <c r="P202" s="191"/>
      <c r="Q202" s="191"/>
      <c r="R202" s="191"/>
      <c r="S202" s="191"/>
      <c r="T202" s="192"/>
      <c r="U202" s="189" t="str">
        <f t="shared" si="16"/>
        <v/>
      </c>
      <c r="V202" s="190" t="str">
        <f t="shared" si="17"/>
        <v/>
      </c>
      <c r="W202" s="190" t="str">
        <f t="shared" si="18"/>
        <v/>
      </c>
      <c r="X202" s="191" t="str">
        <f t="shared" si="19"/>
        <v/>
      </c>
      <c r="Y202" s="191" t="str">
        <f t="shared" si="20"/>
        <v/>
      </c>
      <c r="Z202" s="156"/>
    </row>
    <row r="203">
      <c r="A203" s="177" t="str">
        <f t="shared" si="14"/>
        <v/>
      </c>
      <c r="B203" s="196"/>
      <c r="C203" s="179" t="str">
        <f t="shared" si="2"/>
        <v/>
      </c>
      <c r="D203" s="197"/>
      <c r="E203" s="181"/>
      <c r="F203" s="198"/>
      <c r="G203" s="201"/>
      <c r="H203" s="201"/>
      <c r="I203" s="201"/>
      <c r="J203" s="202"/>
      <c r="K203" s="185" t="str">
        <f t="shared" si="3"/>
        <v/>
      </c>
      <c r="L203" s="186">
        <f t="shared" si="15"/>
        <v>0</v>
      </c>
      <c r="M203" s="191"/>
      <c r="N203" s="191"/>
      <c r="O203" s="191"/>
      <c r="P203" s="191"/>
      <c r="Q203" s="191"/>
      <c r="R203" s="191"/>
      <c r="S203" s="191"/>
      <c r="T203" s="192"/>
      <c r="U203" s="189" t="str">
        <f t="shared" si="16"/>
        <v/>
      </c>
      <c r="V203" s="190" t="str">
        <f t="shared" si="17"/>
        <v/>
      </c>
      <c r="W203" s="190" t="str">
        <f t="shared" si="18"/>
        <v/>
      </c>
      <c r="X203" s="191" t="str">
        <f t="shared" si="19"/>
        <v/>
      </c>
      <c r="Y203" s="191" t="str">
        <f t="shared" si="20"/>
        <v/>
      </c>
      <c r="Z203" s="156"/>
    </row>
    <row r="204">
      <c r="A204" s="177" t="str">
        <f t="shared" si="14"/>
        <v/>
      </c>
      <c r="B204" s="196"/>
      <c r="C204" s="179" t="str">
        <f t="shared" si="2"/>
        <v/>
      </c>
      <c r="D204" s="197"/>
      <c r="E204" s="181"/>
      <c r="F204" s="198"/>
      <c r="G204" s="201"/>
      <c r="H204" s="201"/>
      <c r="I204" s="201"/>
      <c r="J204" s="202"/>
      <c r="K204" s="185" t="str">
        <f t="shared" si="3"/>
        <v/>
      </c>
      <c r="L204" s="186">
        <f t="shared" si="15"/>
        <v>0</v>
      </c>
      <c r="M204" s="191"/>
      <c r="N204" s="191"/>
      <c r="O204" s="191"/>
      <c r="P204" s="191"/>
      <c r="Q204" s="191"/>
      <c r="R204" s="191"/>
      <c r="S204" s="191"/>
      <c r="T204" s="192"/>
      <c r="U204" s="189" t="str">
        <f t="shared" si="16"/>
        <v/>
      </c>
      <c r="V204" s="190" t="str">
        <f t="shared" si="17"/>
        <v/>
      </c>
      <c r="W204" s="190" t="str">
        <f t="shared" si="18"/>
        <v/>
      </c>
      <c r="X204" s="191" t="str">
        <f t="shared" si="19"/>
        <v/>
      </c>
      <c r="Y204" s="191" t="str">
        <f t="shared" si="20"/>
        <v/>
      </c>
      <c r="Z204" s="156"/>
    </row>
    <row r="205">
      <c r="A205" s="177" t="str">
        <f t="shared" si="14"/>
        <v/>
      </c>
      <c r="B205" s="196"/>
      <c r="C205" s="179" t="str">
        <f t="shared" si="2"/>
        <v/>
      </c>
      <c r="D205" s="197"/>
      <c r="E205" s="181"/>
      <c r="F205" s="198"/>
      <c r="G205" s="201"/>
      <c r="H205" s="201"/>
      <c r="I205" s="201"/>
      <c r="J205" s="202"/>
      <c r="K205" s="185" t="str">
        <f t="shared" si="3"/>
        <v/>
      </c>
      <c r="L205" s="186">
        <f t="shared" si="15"/>
        <v>0</v>
      </c>
      <c r="M205" s="191"/>
      <c r="N205" s="191"/>
      <c r="O205" s="191"/>
      <c r="P205" s="191"/>
      <c r="Q205" s="191"/>
      <c r="R205" s="191"/>
      <c r="S205" s="191"/>
      <c r="T205" s="192"/>
      <c r="U205" s="189" t="str">
        <f t="shared" si="16"/>
        <v/>
      </c>
      <c r="V205" s="190" t="str">
        <f t="shared" si="17"/>
        <v/>
      </c>
      <c r="W205" s="190" t="str">
        <f t="shared" si="18"/>
        <v/>
      </c>
      <c r="X205" s="191" t="str">
        <f t="shared" si="19"/>
        <v/>
      </c>
      <c r="Y205" s="191" t="str">
        <f t="shared" si="20"/>
        <v/>
      </c>
      <c r="Z205" s="156"/>
    </row>
    <row r="206">
      <c r="A206" s="177" t="str">
        <f t="shared" si="14"/>
        <v/>
      </c>
      <c r="B206" s="196"/>
      <c r="C206" s="179" t="str">
        <f t="shared" si="2"/>
        <v/>
      </c>
      <c r="D206" s="197"/>
      <c r="E206" s="181"/>
      <c r="F206" s="198"/>
      <c r="G206" s="201"/>
      <c r="H206" s="201"/>
      <c r="I206" s="201"/>
      <c r="J206" s="202"/>
      <c r="K206" s="185" t="str">
        <f t="shared" si="3"/>
        <v/>
      </c>
      <c r="L206" s="186">
        <f t="shared" si="15"/>
        <v>0</v>
      </c>
      <c r="M206" s="191"/>
      <c r="N206" s="191"/>
      <c r="O206" s="191"/>
      <c r="P206" s="191"/>
      <c r="Q206" s="191"/>
      <c r="R206" s="191"/>
      <c r="S206" s="191"/>
      <c r="T206" s="192"/>
      <c r="U206" s="189" t="str">
        <f t="shared" si="16"/>
        <v/>
      </c>
      <c r="V206" s="190" t="str">
        <f t="shared" si="17"/>
        <v/>
      </c>
      <c r="W206" s="190" t="str">
        <f t="shared" si="18"/>
        <v/>
      </c>
      <c r="X206" s="191" t="str">
        <f t="shared" si="19"/>
        <v/>
      </c>
      <c r="Y206" s="191" t="str">
        <f t="shared" si="20"/>
        <v/>
      </c>
      <c r="Z206" s="156"/>
    </row>
    <row r="207">
      <c r="A207" s="177" t="str">
        <f t="shared" si="14"/>
        <v/>
      </c>
      <c r="B207" s="196"/>
      <c r="C207" s="179" t="str">
        <f t="shared" si="2"/>
        <v/>
      </c>
      <c r="D207" s="197"/>
      <c r="E207" s="181"/>
      <c r="F207" s="198"/>
      <c r="G207" s="201"/>
      <c r="H207" s="201"/>
      <c r="I207" s="201"/>
      <c r="J207" s="202"/>
      <c r="K207" s="185" t="str">
        <f t="shared" si="3"/>
        <v/>
      </c>
      <c r="L207" s="186">
        <f t="shared" si="15"/>
        <v>0</v>
      </c>
      <c r="M207" s="191"/>
      <c r="N207" s="191"/>
      <c r="O207" s="191"/>
      <c r="P207" s="191"/>
      <c r="Q207" s="191"/>
      <c r="R207" s="191"/>
      <c r="S207" s="191"/>
      <c r="T207" s="192"/>
      <c r="U207" s="189" t="str">
        <f t="shared" si="16"/>
        <v/>
      </c>
      <c r="V207" s="190" t="str">
        <f t="shared" si="17"/>
        <v/>
      </c>
      <c r="W207" s="190" t="str">
        <f t="shared" si="18"/>
        <v/>
      </c>
      <c r="X207" s="191" t="str">
        <f t="shared" si="19"/>
        <v/>
      </c>
      <c r="Y207" s="191" t="str">
        <f t="shared" si="20"/>
        <v/>
      </c>
      <c r="Z207" s="156"/>
    </row>
    <row r="208">
      <c r="A208" s="177" t="str">
        <f t="shared" si="14"/>
        <v/>
      </c>
      <c r="B208" s="196"/>
      <c r="C208" s="179" t="str">
        <f t="shared" si="2"/>
        <v/>
      </c>
      <c r="D208" s="197"/>
      <c r="E208" s="181"/>
      <c r="F208" s="198"/>
      <c r="G208" s="201"/>
      <c r="H208" s="201"/>
      <c r="I208" s="201"/>
      <c r="J208" s="202"/>
      <c r="K208" s="185" t="str">
        <f t="shared" si="3"/>
        <v/>
      </c>
      <c r="L208" s="186">
        <f t="shared" si="15"/>
        <v>0</v>
      </c>
      <c r="M208" s="191"/>
      <c r="N208" s="191"/>
      <c r="O208" s="191"/>
      <c r="P208" s="191"/>
      <c r="Q208" s="191"/>
      <c r="R208" s="191"/>
      <c r="S208" s="191"/>
      <c r="T208" s="192"/>
      <c r="U208" s="189" t="str">
        <f t="shared" si="16"/>
        <v/>
      </c>
      <c r="V208" s="190" t="str">
        <f t="shared" si="17"/>
        <v/>
      </c>
      <c r="W208" s="190" t="str">
        <f t="shared" si="18"/>
        <v/>
      </c>
      <c r="X208" s="191" t="str">
        <f t="shared" si="19"/>
        <v/>
      </c>
      <c r="Y208" s="191" t="str">
        <f t="shared" si="20"/>
        <v/>
      </c>
      <c r="Z208" s="156"/>
    </row>
    <row r="209">
      <c r="A209" s="177" t="str">
        <f t="shared" si="14"/>
        <v/>
      </c>
      <c r="B209" s="196"/>
      <c r="C209" s="179" t="str">
        <f t="shared" si="2"/>
        <v/>
      </c>
      <c r="D209" s="197"/>
      <c r="E209" s="181"/>
      <c r="F209" s="198"/>
      <c r="G209" s="201"/>
      <c r="H209" s="201"/>
      <c r="I209" s="201"/>
      <c r="J209" s="202"/>
      <c r="K209" s="185" t="str">
        <f t="shared" si="3"/>
        <v/>
      </c>
      <c r="L209" s="186">
        <f t="shared" si="15"/>
        <v>0</v>
      </c>
      <c r="M209" s="191"/>
      <c r="N209" s="191"/>
      <c r="O209" s="191"/>
      <c r="P209" s="191"/>
      <c r="Q209" s="191"/>
      <c r="R209" s="191"/>
      <c r="S209" s="191"/>
      <c r="T209" s="192"/>
      <c r="U209" s="189" t="str">
        <f t="shared" si="16"/>
        <v/>
      </c>
      <c r="V209" s="190" t="str">
        <f t="shared" si="17"/>
        <v/>
      </c>
      <c r="W209" s="190" t="str">
        <f t="shared" si="18"/>
        <v/>
      </c>
      <c r="X209" s="191" t="str">
        <f t="shared" si="19"/>
        <v/>
      </c>
      <c r="Y209" s="191" t="str">
        <f t="shared" si="20"/>
        <v/>
      </c>
      <c r="Z209" s="156"/>
    </row>
    <row r="210">
      <c r="A210" s="177" t="str">
        <f t="shared" si="14"/>
        <v/>
      </c>
      <c r="B210" s="196"/>
      <c r="C210" s="179" t="str">
        <f t="shared" si="2"/>
        <v/>
      </c>
      <c r="D210" s="197"/>
      <c r="E210" s="181"/>
      <c r="F210" s="198"/>
      <c r="G210" s="201"/>
      <c r="H210" s="201"/>
      <c r="I210" s="201"/>
      <c r="J210" s="202"/>
      <c r="K210" s="185" t="str">
        <f t="shared" si="3"/>
        <v/>
      </c>
      <c r="L210" s="186">
        <f t="shared" si="15"/>
        <v>0</v>
      </c>
      <c r="M210" s="191"/>
      <c r="N210" s="191"/>
      <c r="O210" s="191"/>
      <c r="P210" s="191"/>
      <c r="Q210" s="191"/>
      <c r="R210" s="191"/>
      <c r="S210" s="191"/>
      <c r="T210" s="192"/>
      <c r="U210" s="189" t="str">
        <f t="shared" si="16"/>
        <v/>
      </c>
      <c r="V210" s="190" t="str">
        <f t="shared" si="17"/>
        <v/>
      </c>
      <c r="W210" s="190" t="str">
        <f t="shared" si="18"/>
        <v/>
      </c>
      <c r="X210" s="191" t="str">
        <f t="shared" si="19"/>
        <v/>
      </c>
      <c r="Y210" s="191" t="str">
        <f t="shared" si="20"/>
        <v/>
      </c>
      <c r="Z210" s="156"/>
    </row>
    <row r="211">
      <c r="A211" s="177" t="str">
        <f t="shared" si="14"/>
        <v/>
      </c>
      <c r="B211" s="196"/>
      <c r="C211" s="179" t="str">
        <f t="shared" si="2"/>
        <v/>
      </c>
      <c r="D211" s="197"/>
      <c r="E211" s="181"/>
      <c r="F211" s="198"/>
      <c r="G211" s="201"/>
      <c r="H211" s="201"/>
      <c r="I211" s="201"/>
      <c r="J211" s="202"/>
      <c r="K211" s="185" t="str">
        <f t="shared" si="3"/>
        <v/>
      </c>
      <c r="L211" s="186">
        <f t="shared" si="15"/>
        <v>0</v>
      </c>
      <c r="M211" s="191"/>
      <c r="N211" s="191"/>
      <c r="O211" s="191"/>
      <c r="P211" s="191"/>
      <c r="Q211" s="191"/>
      <c r="R211" s="191"/>
      <c r="S211" s="191"/>
      <c r="T211" s="192"/>
      <c r="U211" s="189" t="str">
        <f t="shared" si="16"/>
        <v/>
      </c>
      <c r="V211" s="190" t="str">
        <f t="shared" si="17"/>
        <v/>
      </c>
      <c r="W211" s="190" t="str">
        <f t="shared" si="18"/>
        <v/>
      </c>
      <c r="X211" s="191" t="str">
        <f t="shared" si="19"/>
        <v/>
      </c>
      <c r="Y211" s="191" t="str">
        <f t="shared" si="20"/>
        <v/>
      </c>
      <c r="Z211" s="156"/>
    </row>
    <row r="212">
      <c r="A212" s="177" t="str">
        <f t="shared" si="14"/>
        <v/>
      </c>
      <c r="B212" s="196"/>
      <c r="C212" s="179" t="str">
        <f t="shared" si="2"/>
        <v/>
      </c>
      <c r="D212" s="197"/>
      <c r="E212" s="181"/>
      <c r="F212" s="198"/>
      <c r="G212" s="201"/>
      <c r="H212" s="201"/>
      <c r="I212" s="201"/>
      <c r="J212" s="202"/>
      <c r="K212" s="185" t="str">
        <f t="shared" si="3"/>
        <v/>
      </c>
      <c r="L212" s="186">
        <f t="shared" si="15"/>
        <v>0</v>
      </c>
      <c r="M212" s="191"/>
      <c r="N212" s="191"/>
      <c r="O212" s="191"/>
      <c r="P212" s="191"/>
      <c r="Q212" s="191"/>
      <c r="R212" s="191"/>
      <c r="S212" s="191"/>
      <c r="T212" s="192"/>
      <c r="U212" s="189" t="str">
        <f t="shared" si="16"/>
        <v/>
      </c>
      <c r="V212" s="190" t="str">
        <f t="shared" si="17"/>
        <v/>
      </c>
      <c r="W212" s="190" t="str">
        <f t="shared" si="18"/>
        <v/>
      </c>
      <c r="X212" s="191" t="str">
        <f t="shared" si="19"/>
        <v/>
      </c>
      <c r="Y212" s="191" t="str">
        <f t="shared" si="20"/>
        <v/>
      </c>
      <c r="Z212" s="156"/>
    </row>
    <row r="213">
      <c r="A213" s="177" t="str">
        <f t="shared" si="14"/>
        <v/>
      </c>
      <c r="B213" s="196"/>
      <c r="C213" s="179" t="str">
        <f t="shared" si="2"/>
        <v/>
      </c>
      <c r="D213" s="197"/>
      <c r="E213" s="181"/>
      <c r="F213" s="198"/>
      <c r="G213" s="201"/>
      <c r="H213" s="201"/>
      <c r="I213" s="201"/>
      <c r="J213" s="202"/>
      <c r="K213" s="185" t="str">
        <f t="shared" si="3"/>
        <v/>
      </c>
      <c r="L213" s="186">
        <f t="shared" si="15"/>
        <v>0</v>
      </c>
      <c r="M213" s="191"/>
      <c r="N213" s="191"/>
      <c r="O213" s="191"/>
      <c r="P213" s="191"/>
      <c r="Q213" s="191"/>
      <c r="R213" s="191"/>
      <c r="S213" s="191"/>
      <c r="T213" s="192"/>
      <c r="U213" s="189" t="str">
        <f t="shared" si="16"/>
        <v/>
      </c>
      <c r="V213" s="190" t="str">
        <f t="shared" si="17"/>
        <v/>
      </c>
      <c r="W213" s="190" t="str">
        <f t="shared" si="18"/>
        <v/>
      </c>
      <c r="X213" s="191" t="str">
        <f t="shared" si="19"/>
        <v/>
      </c>
      <c r="Y213" s="191" t="str">
        <f t="shared" si="20"/>
        <v/>
      </c>
      <c r="Z213" s="156"/>
    </row>
    <row r="214">
      <c r="A214" s="177" t="str">
        <f t="shared" si="14"/>
        <v/>
      </c>
      <c r="B214" s="196"/>
      <c r="C214" s="179" t="str">
        <f t="shared" si="2"/>
        <v/>
      </c>
      <c r="D214" s="197"/>
      <c r="E214" s="181"/>
      <c r="F214" s="198"/>
      <c r="G214" s="201"/>
      <c r="H214" s="201"/>
      <c r="I214" s="201"/>
      <c r="J214" s="202"/>
      <c r="K214" s="185" t="str">
        <f t="shared" si="3"/>
        <v/>
      </c>
      <c r="L214" s="186">
        <f t="shared" si="15"/>
        <v>0</v>
      </c>
      <c r="M214" s="191"/>
      <c r="N214" s="191"/>
      <c r="O214" s="191"/>
      <c r="P214" s="191"/>
      <c r="Q214" s="191"/>
      <c r="R214" s="191"/>
      <c r="S214" s="191"/>
      <c r="T214" s="192"/>
      <c r="U214" s="189" t="str">
        <f t="shared" si="16"/>
        <v/>
      </c>
      <c r="V214" s="190" t="str">
        <f t="shared" si="17"/>
        <v/>
      </c>
      <c r="W214" s="190" t="str">
        <f t="shared" si="18"/>
        <v/>
      </c>
      <c r="X214" s="191" t="str">
        <f t="shared" si="19"/>
        <v/>
      </c>
      <c r="Y214" s="191" t="str">
        <f t="shared" si="20"/>
        <v/>
      </c>
      <c r="Z214" s="156"/>
    </row>
    <row r="215">
      <c r="A215" s="177" t="str">
        <f t="shared" si="14"/>
        <v/>
      </c>
      <c r="B215" s="196"/>
      <c r="C215" s="179" t="str">
        <f t="shared" si="2"/>
        <v/>
      </c>
      <c r="D215" s="197"/>
      <c r="E215" s="181"/>
      <c r="F215" s="198"/>
      <c r="G215" s="201"/>
      <c r="H215" s="201"/>
      <c r="I215" s="201"/>
      <c r="J215" s="202"/>
      <c r="K215" s="203"/>
      <c r="L215" s="186">
        <f t="shared" si="15"/>
        <v>0</v>
      </c>
      <c r="M215" s="191"/>
      <c r="N215" s="191"/>
      <c r="O215" s="191"/>
      <c r="P215" s="191"/>
      <c r="Q215" s="191"/>
      <c r="R215" s="191"/>
      <c r="S215" s="191"/>
      <c r="T215" s="192"/>
      <c r="U215" s="189" t="str">
        <f t="shared" si="16"/>
        <v/>
      </c>
      <c r="V215" s="190" t="str">
        <f t="shared" si="17"/>
        <v/>
      </c>
      <c r="W215" s="190" t="str">
        <f t="shared" si="18"/>
        <v/>
      </c>
      <c r="X215" s="191" t="str">
        <f t="shared" si="19"/>
        <v/>
      </c>
      <c r="Y215" s="191" t="str">
        <f t="shared" si="20"/>
        <v/>
      </c>
      <c r="Z215" s="156"/>
    </row>
    <row r="216">
      <c r="A216" s="177" t="str">
        <f t="shared" si="14"/>
        <v/>
      </c>
      <c r="B216" s="196"/>
      <c r="C216" s="179" t="str">
        <f t="shared" si="2"/>
        <v/>
      </c>
      <c r="D216" s="197"/>
      <c r="E216" s="181"/>
      <c r="F216" s="198"/>
      <c r="G216" s="201"/>
      <c r="H216" s="201"/>
      <c r="I216" s="201"/>
      <c r="J216" s="202"/>
      <c r="K216" s="203"/>
      <c r="L216" s="186">
        <f t="shared" si="15"/>
        <v>0</v>
      </c>
      <c r="M216" s="191"/>
      <c r="N216" s="191"/>
      <c r="O216" s="191"/>
      <c r="P216" s="191"/>
      <c r="Q216" s="191"/>
      <c r="R216" s="191"/>
      <c r="S216" s="191"/>
      <c r="T216" s="192"/>
      <c r="U216" s="189" t="str">
        <f t="shared" si="16"/>
        <v/>
      </c>
      <c r="V216" s="190" t="str">
        <f t="shared" si="17"/>
        <v/>
      </c>
      <c r="W216" s="190" t="str">
        <f t="shared" si="18"/>
        <v/>
      </c>
      <c r="X216" s="191" t="str">
        <f t="shared" si="19"/>
        <v/>
      </c>
      <c r="Y216" s="191" t="str">
        <f t="shared" si="20"/>
        <v/>
      </c>
      <c r="Z216" s="156"/>
    </row>
    <row r="217">
      <c r="A217" s="177" t="str">
        <f t="shared" si="14"/>
        <v/>
      </c>
      <c r="B217" s="196"/>
      <c r="C217" s="179" t="str">
        <f t="shared" si="2"/>
        <v/>
      </c>
      <c r="D217" s="197"/>
      <c r="E217" s="181"/>
      <c r="F217" s="198"/>
      <c r="G217" s="201"/>
      <c r="H217" s="201"/>
      <c r="I217" s="201"/>
      <c r="J217" s="202"/>
      <c r="K217" s="203"/>
      <c r="L217" s="186">
        <f t="shared" si="15"/>
        <v>0</v>
      </c>
      <c r="M217" s="191"/>
      <c r="N217" s="191"/>
      <c r="O217" s="191"/>
      <c r="P217" s="191"/>
      <c r="Q217" s="191"/>
      <c r="R217" s="191"/>
      <c r="S217" s="191"/>
      <c r="T217" s="192"/>
      <c r="U217" s="189" t="str">
        <f t="shared" si="16"/>
        <v/>
      </c>
      <c r="V217" s="190" t="str">
        <f t="shared" si="17"/>
        <v/>
      </c>
      <c r="W217" s="190" t="str">
        <f t="shared" si="18"/>
        <v/>
      </c>
      <c r="X217" s="191" t="str">
        <f t="shared" si="19"/>
        <v/>
      </c>
      <c r="Y217" s="191" t="str">
        <f t="shared" si="20"/>
        <v/>
      </c>
      <c r="Z217" s="156"/>
    </row>
    <row r="218">
      <c r="A218" s="177" t="str">
        <f t="shared" si="14"/>
        <v/>
      </c>
      <c r="B218" s="196"/>
      <c r="C218" s="179" t="str">
        <f t="shared" si="2"/>
        <v/>
      </c>
      <c r="D218" s="197"/>
      <c r="E218" s="181"/>
      <c r="F218" s="198"/>
      <c r="G218" s="201"/>
      <c r="H218" s="201"/>
      <c r="I218" s="201"/>
      <c r="J218" s="202"/>
      <c r="K218" s="203"/>
      <c r="L218" s="186">
        <f t="shared" si="15"/>
        <v>0</v>
      </c>
      <c r="M218" s="191"/>
      <c r="N218" s="191"/>
      <c r="O218" s="191"/>
      <c r="P218" s="191"/>
      <c r="Q218" s="191"/>
      <c r="R218" s="191"/>
      <c r="S218" s="191"/>
      <c r="T218" s="192"/>
      <c r="U218" s="189" t="str">
        <f t="shared" si="16"/>
        <v/>
      </c>
      <c r="V218" s="190" t="str">
        <f t="shared" si="17"/>
        <v/>
      </c>
      <c r="W218" s="190" t="str">
        <f t="shared" si="18"/>
        <v/>
      </c>
      <c r="X218" s="191" t="str">
        <f t="shared" si="19"/>
        <v/>
      </c>
      <c r="Y218" s="191" t="str">
        <f t="shared" si="20"/>
        <v/>
      </c>
      <c r="Z218" s="156"/>
    </row>
    <row r="219">
      <c r="A219" s="177" t="str">
        <f t="shared" si="14"/>
        <v/>
      </c>
      <c r="B219" s="196"/>
      <c r="C219" s="179" t="str">
        <f t="shared" si="2"/>
        <v/>
      </c>
      <c r="D219" s="197"/>
      <c r="E219" s="181"/>
      <c r="F219" s="198"/>
      <c r="G219" s="201"/>
      <c r="H219" s="201"/>
      <c r="I219" s="201"/>
      <c r="J219" s="202"/>
      <c r="K219" s="203"/>
      <c r="L219" s="186">
        <f t="shared" si="15"/>
        <v>0</v>
      </c>
      <c r="M219" s="191"/>
      <c r="N219" s="191"/>
      <c r="O219" s="191"/>
      <c r="P219" s="191"/>
      <c r="Q219" s="191"/>
      <c r="R219" s="191"/>
      <c r="S219" s="191"/>
      <c r="T219" s="192"/>
      <c r="U219" s="189" t="str">
        <f t="shared" si="16"/>
        <v/>
      </c>
      <c r="V219" s="190" t="str">
        <f t="shared" si="17"/>
        <v/>
      </c>
      <c r="W219" s="190" t="str">
        <f t="shared" si="18"/>
        <v/>
      </c>
      <c r="X219" s="191" t="str">
        <f t="shared" si="19"/>
        <v/>
      </c>
      <c r="Y219" s="191" t="str">
        <f t="shared" si="20"/>
        <v/>
      </c>
      <c r="Z219" s="156"/>
    </row>
    <row r="220">
      <c r="A220" s="177" t="str">
        <f t="shared" si="14"/>
        <v/>
      </c>
      <c r="B220" s="196"/>
      <c r="C220" s="179" t="str">
        <f t="shared" si="2"/>
        <v/>
      </c>
      <c r="D220" s="197"/>
      <c r="E220" s="181"/>
      <c r="F220" s="198"/>
      <c r="G220" s="201"/>
      <c r="H220" s="201"/>
      <c r="I220" s="201"/>
      <c r="J220" s="202"/>
      <c r="K220" s="203"/>
      <c r="L220" s="186">
        <f t="shared" si="15"/>
        <v>0</v>
      </c>
      <c r="M220" s="191"/>
      <c r="N220" s="191"/>
      <c r="O220" s="191"/>
      <c r="P220" s="191"/>
      <c r="Q220" s="191"/>
      <c r="R220" s="191"/>
      <c r="S220" s="191"/>
      <c r="T220" s="192"/>
      <c r="U220" s="189" t="str">
        <f t="shared" si="16"/>
        <v/>
      </c>
      <c r="V220" s="190" t="str">
        <f t="shared" si="17"/>
        <v/>
      </c>
      <c r="W220" s="190" t="str">
        <f t="shared" si="18"/>
        <v/>
      </c>
      <c r="X220" s="191" t="str">
        <f t="shared" si="19"/>
        <v/>
      </c>
      <c r="Y220" s="191" t="str">
        <f t="shared" si="20"/>
        <v/>
      </c>
      <c r="Z220" s="156"/>
    </row>
    <row r="221">
      <c r="A221" s="177" t="str">
        <f t="shared" si="14"/>
        <v/>
      </c>
      <c r="B221" s="196"/>
      <c r="C221" s="179" t="str">
        <f t="shared" si="2"/>
        <v/>
      </c>
      <c r="D221" s="197"/>
      <c r="E221" s="181"/>
      <c r="F221" s="198"/>
      <c r="G221" s="201"/>
      <c r="H221" s="201"/>
      <c r="I221" s="201"/>
      <c r="J221" s="202"/>
      <c r="K221" s="203"/>
      <c r="L221" s="186">
        <f t="shared" si="15"/>
        <v>0</v>
      </c>
      <c r="M221" s="191"/>
      <c r="N221" s="191"/>
      <c r="O221" s="191"/>
      <c r="P221" s="191"/>
      <c r="Q221" s="191"/>
      <c r="R221" s="191"/>
      <c r="S221" s="191"/>
      <c r="T221" s="192"/>
      <c r="U221" s="189" t="str">
        <f t="shared" si="16"/>
        <v/>
      </c>
      <c r="V221" s="190" t="str">
        <f t="shared" si="17"/>
        <v/>
      </c>
      <c r="W221" s="190" t="str">
        <f t="shared" si="18"/>
        <v/>
      </c>
      <c r="X221" s="191" t="str">
        <f t="shared" si="19"/>
        <v/>
      </c>
      <c r="Y221" s="191" t="str">
        <f t="shared" si="20"/>
        <v/>
      </c>
      <c r="Z221" s="156"/>
    </row>
    <row r="222">
      <c r="A222" s="177" t="str">
        <f t="shared" si="14"/>
        <v/>
      </c>
      <c r="B222" s="196"/>
      <c r="C222" s="179" t="str">
        <f t="shared" si="2"/>
        <v/>
      </c>
      <c r="D222" s="197"/>
      <c r="E222" s="181"/>
      <c r="F222" s="198"/>
      <c r="G222" s="201"/>
      <c r="H222" s="201"/>
      <c r="I222" s="201"/>
      <c r="J222" s="202"/>
      <c r="K222" s="203"/>
      <c r="L222" s="186">
        <f t="shared" si="15"/>
        <v>0</v>
      </c>
      <c r="M222" s="191"/>
      <c r="N222" s="191"/>
      <c r="O222" s="191"/>
      <c r="P222" s="191"/>
      <c r="Q222" s="191"/>
      <c r="R222" s="191"/>
      <c r="S222" s="191"/>
      <c r="T222" s="192"/>
      <c r="U222" s="189" t="str">
        <f t="shared" si="16"/>
        <v/>
      </c>
      <c r="V222" s="190" t="str">
        <f t="shared" si="17"/>
        <v/>
      </c>
      <c r="W222" s="190" t="str">
        <f t="shared" si="18"/>
        <v/>
      </c>
      <c r="X222" s="191" t="str">
        <f t="shared" si="19"/>
        <v/>
      </c>
      <c r="Y222" s="191" t="str">
        <f t="shared" si="20"/>
        <v/>
      </c>
      <c r="Z222" s="156"/>
    </row>
    <row r="223">
      <c r="A223" s="177" t="str">
        <f t="shared" si="14"/>
        <v/>
      </c>
      <c r="B223" s="196"/>
      <c r="C223" s="179" t="str">
        <f t="shared" si="2"/>
        <v/>
      </c>
      <c r="D223" s="197"/>
      <c r="E223" s="181"/>
      <c r="F223" s="198"/>
      <c r="G223" s="201"/>
      <c r="H223" s="201"/>
      <c r="I223" s="201"/>
      <c r="J223" s="202"/>
      <c r="K223" s="203"/>
      <c r="L223" s="186">
        <f t="shared" si="15"/>
        <v>0</v>
      </c>
      <c r="M223" s="191"/>
      <c r="N223" s="191"/>
      <c r="O223" s="191"/>
      <c r="P223" s="191"/>
      <c r="Q223" s="191"/>
      <c r="R223" s="191"/>
      <c r="S223" s="191"/>
      <c r="T223" s="192"/>
      <c r="U223" s="189" t="str">
        <f t="shared" si="16"/>
        <v/>
      </c>
      <c r="V223" s="190" t="str">
        <f t="shared" si="17"/>
        <v/>
      </c>
      <c r="W223" s="190" t="str">
        <f t="shared" si="18"/>
        <v/>
      </c>
      <c r="X223" s="191" t="str">
        <f t="shared" si="19"/>
        <v/>
      </c>
      <c r="Y223" s="191" t="str">
        <f t="shared" si="20"/>
        <v/>
      </c>
      <c r="Z223" s="156"/>
    </row>
    <row r="224">
      <c r="A224" s="177" t="str">
        <f t="shared" si="14"/>
        <v/>
      </c>
      <c r="B224" s="196"/>
      <c r="C224" s="179" t="str">
        <f t="shared" si="2"/>
        <v/>
      </c>
      <c r="D224" s="197"/>
      <c r="E224" s="181"/>
      <c r="F224" s="198"/>
      <c r="G224" s="201"/>
      <c r="H224" s="201"/>
      <c r="I224" s="201"/>
      <c r="J224" s="202"/>
      <c r="K224" s="203"/>
      <c r="L224" s="186">
        <f t="shared" si="15"/>
        <v>0</v>
      </c>
      <c r="M224" s="191"/>
      <c r="N224" s="191"/>
      <c r="O224" s="191"/>
      <c r="P224" s="191"/>
      <c r="Q224" s="191"/>
      <c r="R224" s="191"/>
      <c r="S224" s="191"/>
      <c r="T224" s="192"/>
      <c r="U224" s="189" t="str">
        <f t="shared" si="16"/>
        <v/>
      </c>
      <c r="V224" s="190" t="str">
        <f t="shared" si="17"/>
        <v/>
      </c>
      <c r="W224" s="190" t="str">
        <f t="shared" si="18"/>
        <v/>
      </c>
      <c r="X224" s="191" t="str">
        <f t="shared" si="19"/>
        <v/>
      </c>
      <c r="Y224" s="191" t="str">
        <f t="shared" si="20"/>
        <v/>
      </c>
      <c r="Z224" s="156"/>
    </row>
    <row r="225">
      <c r="A225" s="177" t="str">
        <f t="shared" si="14"/>
        <v/>
      </c>
      <c r="B225" s="196"/>
      <c r="C225" s="179" t="str">
        <f t="shared" si="2"/>
        <v/>
      </c>
      <c r="D225" s="197"/>
      <c r="E225" s="181"/>
      <c r="F225" s="198"/>
      <c r="G225" s="201"/>
      <c r="H225" s="201"/>
      <c r="I225" s="201"/>
      <c r="J225" s="202"/>
      <c r="K225" s="203"/>
      <c r="L225" s="186">
        <f t="shared" si="15"/>
        <v>0</v>
      </c>
      <c r="M225" s="191"/>
      <c r="N225" s="191"/>
      <c r="O225" s="191"/>
      <c r="P225" s="191"/>
      <c r="Q225" s="191"/>
      <c r="R225" s="191"/>
      <c r="S225" s="191"/>
      <c r="T225" s="192"/>
      <c r="U225" s="189" t="str">
        <f t="shared" si="16"/>
        <v/>
      </c>
      <c r="V225" s="190" t="str">
        <f t="shared" si="17"/>
        <v/>
      </c>
      <c r="W225" s="190" t="str">
        <f t="shared" si="18"/>
        <v/>
      </c>
      <c r="X225" s="191" t="str">
        <f t="shared" si="19"/>
        <v/>
      </c>
      <c r="Y225" s="191" t="str">
        <f t="shared" si="20"/>
        <v/>
      </c>
      <c r="Z225" s="156"/>
    </row>
    <row r="226">
      <c r="A226" s="177" t="str">
        <f t="shared" si="14"/>
        <v/>
      </c>
      <c r="B226" s="196"/>
      <c r="C226" s="179" t="str">
        <f t="shared" si="2"/>
        <v/>
      </c>
      <c r="D226" s="197"/>
      <c r="E226" s="181"/>
      <c r="F226" s="198"/>
      <c r="G226" s="201"/>
      <c r="H226" s="201"/>
      <c r="I226" s="201"/>
      <c r="J226" s="202"/>
      <c r="K226" s="203"/>
      <c r="L226" s="186">
        <f t="shared" si="15"/>
        <v>0</v>
      </c>
      <c r="M226" s="191"/>
      <c r="N226" s="191"/>
      <c r="O226" s="191"/>
      <c r="P226" s="191"/>
      <c r="Q226" s="191"/>
      <c r="R226" s="191"/>
      <c r="S226" s="191"/>
      <c r="T226" s="192"/>
      <c r="U226" s="189" t="str">
        <f t="shared" si="16"/>
        <v/>
      </c>
      <c r="V226" s="190" t="str">
        <f t="shared" si="17"/>
        <v/>
      </c>
      <c r="W226" s="190" t="str">
        <f t="shared" si="18"/>
        <v/>
      </c>
      <c r="X226" s="191" t="str">
        <f t="shared" si="19"/>
        <v/>
      </c>
      <c r="Y226" s="191" t="str">
        <f t="shared" si="20"/>
        <v/>
      </c>
      <c r="Z226" s="156"/>
    </row>
    <row r="227">
      <c r="A227" s="177" t="str">
        <f t="shared" si="14"/>
        <v/>
      </c>
      <c r="B227" s="196"/>
      <c r="C227" s="179" t="str">
        <f t="shared" si="2"/>
        <v/>
      </c>
      <c r="D227" s="197"/>
      <c r="E227" s="181"/>
      <c r="F227" s="198"/>
      <c r="G227" s="201"/>
      <c r="H227" s="201"/>
      <c r="I227" s="201"/>
      <c r="J227" s="202"/>
      <c r="K227" s="203"/>
      <c r="L227" s="186">
        <f t="shared" si="15"/>
        <v>0</v>
      </c>
      <c r="M227" s="191"/>
      <c r="N227" s="191"/>
      <c r="O227" s="191"/>
      <c r="P227" s="191"/>
      <c r="Q227" s="191"/>
      <c r="R227" s="191"/>
      <c r="S227" s="191"/>
      <c r="T227" s="192"/>
      <c r="U227" s="189" t="str">
        <f t="shared" si="16"/>
        <v/>
      </c>
      <c r="V227" s="190" t="str">
        <f t="shared" si="17"/>
        <v/>
      </c>
      <c r="W227" s="190" t="str">
        <f t="shared" si="18"/>
        <v/>
      </c>
      <c r="X227" s="191" t="str">
        <f t="shared" si="19"/>
        <v/>
      </c>
      <c r="Y227" s="191" t="str">
        <f t="shared" si="20"/>
        <v/>
      </c>
      <c r="Z227" s="156"/>
    </row>
    <row r="228">
      <c r="A228" s="177" t="str">
        <f t="shared" si="14"/>
        <v/>
      </c>
      <c r="B228" s="196"/>
      <c r="C228" s="179" t="str">
        <f t="shared" si="2"/>
        <v/>
      </c>
      <c r="D228" s="197"/>
      <c r="E228" s="181"/>
      <c r="F228" s="198"/>
      <c r="G228" s="201"/>
      <c r="H228" s="201"/>
      <c r="I228" s="201"/>
      <c r="J228" s="202"/>
      <c r="K228" s="203"/>
      <c r="L228" s="186">
        <f t="shared" si="15"/>
        <v>0</v>
      </c>
      <c r="M228" s="191"/>
      <c r="N228" s="191"/>
      <c r="O228" s="191"/>
      <c r="P228" s="191"/>
      <c r="Q228" s="191"/>
      <c r="R228" s="191"/>
      <c r="S228" s="191"/>
      <c r="T228" s="192"/>
      <c r="U228" s="189" t="str">
        <f t="shared" si="16"/>
        <v/>
      </c>
      <c r="V228" s="190" t="str">
        <f t="shared" si="17"/>
        <v/>
      </c>
      <c r="W228" s="190" t="str">
        <f t="shared" si="18"/>
        <v/>
      </c>
      <c r="X228" s="191" t="str">
        <f t="shared" si="19"/>
        <v/>
      </c>
      <c r="Y228" s="191" t="str">
        <f t="shared" si="20"/>
        <v/>
      </c>
      <c r="Z228" s="156"/>
    </row>
    <row r="229">
      <c r="A229" s="177" t="str">
        <f t="shared" si="14"/>
        <v/>
      </c>
      <c r="B229" s="196"/>
      <c r="C229" s="179" t="str">
        <f t="shared" si="2"/>
        <v/>
      </c>
      <c r="D229" s="197"/>
      <c r="E229" s="181"/>
      <c r="F229" s="198"/>
      <c r="G229" s="201"/>
      <c r="H229" s="201"/>
      <c r="I229" s="201"/>
      <c r="J229" s="202"/>
      <c r="K229" s="203"/>
      <c r="L229" s="186">
        <f t="shared" si="15"/>
        <v>0</v>
      </c>
      <c r="M229" s="191"/>
      <c r="N229" s="191"/>
      <c r="O229" s="191"/>
      <c r="P229" s="191"/>
      <c r="Q229" s="191"/>
      <c r="R229" s="191"/>
      <c r="S229" s="191"/>
      <c r="T229" s="192"/>
      <c r="U229" s="189" t="str">
        <f t="shared" si="16"/>
        <v/>
      </c>
      <c r="V229" s="190" t="str">
        <f t="shared" si="17"/>
        <v/>
      </c>
      <c r="W229" s="190" t="str">
        <f t="shared" si="18"/>
        <v/>
      </c>
      <c r="X229" s="191" t="str">
        <f t="shared" si="19"/>
        <v/>
      </c>
      <c r="Y229" s="191" t="str">
        <f t="shared" si="20"/>
        <v/>
      </c>
      <c r="Z229" s="156"/>
    </row>
    <row r="230">
      <c r="A230" s="177" t="str">
        <f t="shared" si="14"/>
        <v/>
      </c>
      <c r="B230" s="196"/>
      <c r="C230" s="179" t="str">
        <f t="shared" si="2"/>
        <v/>
      </c>
      <c r="D230" s="197"/>
      <c r="E230" s="181"/>
      <c r="F230" s="198"/>
      <c r="G230" s="201"/>
      <c r="H230" s="201"/>
      <c r="I230" s="201"/>
      <c r="J230" s="202"/>
      <c r="K230" s="203"/>
      <c r="L230" s="186">
        <f t="shared" si="15"/>
        <v>0</v>
      </c>
      <c r="M230" s="191"/>
      <c r="N230" s="191"/>
      <c r="O230" s="191"/>
      <c r="P230" s="191"/>
      <c r="Q230" s="191"/>
      <c r="R230" s="191"/>
      <c r="S230" s="191"/>
      <c r="T230" s="192"/>
      <c r="U230" s="189" t="str">
        <f t="shared" si="16"/>
        <v/>
      </c>
      <c r="V230" s="190" t="str">
        <f t="shared" si="17"/>
        <v/>
      </c>
      <c r="W230" s="190" t="str">
        <f t="shared" si="18"/>
        <v/>
      </c>
      <c r="X230" s="191" t="str">
        <f t="shared" si="19"/>
        <v/>
      </c>
      <c r="Y230" s="191" t="str">
        <f t="shared" si="20"/>
        <v/>
      </c>
      <c r="Z230" s="156"/>
    </row>
    <row r="231">
      <c r="A231" s="177" t="str">
        <f t="shared" si="14"/>
        <v/>
      </c>
      <c r="B231" s="196"/>
      <c r="C231" s="179" t="str">
        <f t="shared" si="2"/>
        <v/>
      </c>
      <c r="D231" s="197"/>
      <c r="E231" s="181"/>
      <c r="F231" s="198"/>
      <c r="G231" s="201"/>
      <c r="H231" s="201"/>
      <c r="I231" s="201"/>
      <c r="J231" s="202"/>
      <c r="K231" s="203"/>
      <c r="L231" s="186">
        <f t="shared" si="15"/>
        <v>0</v>
      </c>
      <c r="M231" s="191"/>
      <c r="N231" s="191"/>
      <c r="O231" s="191"/>
      <c r="P231" s="191"/>
      <c r="Q231" s="191"/>
      <c r="R231" s="191"/>
      <c r="S231" s="191"/>
      <c r="T231" s="192"/>
      <c r="U231" s="189" t="str">
        <f t="shared" si="16"/>
        <v/>
      </c>
      <c r="V231" s="190" t="str">
        <f t="shared" si="17"/>
        <v/>
      </c>
      <c r="W231" s="190" t="str">
        <f t="shared" si="18"/>
        <v/>
      </c>
      <c r="X231" s="191" t="str">
        <f t="shared" si="19"/>
        <v/>
      </c>
      <c r="Y231" s="191" t="str">
        <f t="shared" si="20"/>
        <v/>
      </c>
      <c r="Z231" s="156"/>
    </row>
    <row r="232">
      <c r="A232" s="177" t="str">
        <f t="shared" si="14"/>
        <v/>
      </c>
      <c r="B232" s="196"/>
      <c r="C232" s="179" t="str">
        <f t="shared" si="2"/>
        <v/>
      </c>
      <c r="D232" s="197"/>
      <c r="E232" s="181"/>
      <c r="F232" s="198"/>
      <c r="G232" s="201"/>
      <c r="H232" s="201"/>
      <c r="I232" s="201"/>
      <c r="J232" s="202"/>
      <c r="K232" s="203"/>
      <c r="L232" s="186">
        <f t="shared" si="15"/>
        <v>0</v>
      </c>
      <c r="M232" s="191"/>
      <c r="N232" s="191"/>
      <c r="O232" s="191"/>
      <c r="P232" s="191"/>
      <c r="Q232" s="191"/>
      <c r="R232" s="191"/>
      <c r="S232" s="191"/>
      <c r="T232" s="192"/>
      <c r="U232" s="189" t="str">
        <f t="shared" si="16"/>
        <v/>
      </c>
      <c r="V232" s="190" t="str">
        <f t="shared" si="17"/>
        <v/>
      </c>
      <c r="W232" s="190" t="str">
        <f t="shared" si="18"/>
        <v/>
      </c>
      <c r="X232" s="191" t="str">
        <f t="shared" si="19"/>
        <v/>
      </c>
      <c r="Y232" s="191" t="str">
        <f t="shared" si="20"/>
        <v/>
      </c>
      <c r="Z232" s="156"/>
    </row>
    <row r="233">
      <c r="A233" s="177" t="str">
        <f t="shared" si="14"/>
        <v/>
      </c>
      <c r="B233" s="196"/>
      <c r="C233" s="179" t="str">
        <f t="shared" si="2"/>
        <v/>
      </c>
      <c r="D233" s="197"/>
      <c r="E233" s="181"/>
      <c r="F233" s="198"/>
      <c r="G233" s="201"/>
      <c r="H233" s="201"/>
      <c r="I233" s="201"/>
      <c r="J233" s="202"/>
      <c r="K233" s="203"/>
      <c r="L233" s="186">
        <f t="shared" si="15"/>
        <v>0</v>
      </c>
      <c r="M233" s="191"/>
      <c r="N233" s="191"/>
      <c r="O233" s="191"/>
      <c r="P233" s="191"/>
      <c r="Q233" s="191"/>
      <c r="R233" s="191"/>
      <c r="S233" s="191"/>
      <c r="T233" s="192"/>
      <c r="U233" s="189" t="str">
        <f t="shared" si="16"/>
        <v/>
      </c>
      <c r="V233" s="190" t="str">
        <f t="shared" si="17"/>
        <v/>
      </c>
      <c r="W233" s="190" t="str">
        <f t="shared" si="18"/>
        <v/>
      </c>
      <c r="X233" s="191" t="str">
        <f t="shared" si="19"/>
        <v/>
      </c>
      <c r="Y233" s="191" t="str">
        <f t="shared" si="20"/>
        <v/>
      </c>
      <c r="Z233" s="156"/>
    </row>
    <row r="234">
      <c r="A234" s="177" t="str">
        <f t="shared" si="14"/>
        <v/>
      </c>
      <c r="B234" s="196"/>
      <c r="C234" s="179" t="str">
        <f t="shared" si="2"/>
        <v/>
      </c>
      <c r="D234" s="197"/>
      <c r="E234" s="181"/>
      <c r="F234" s="198"/>
      <c r="G234" s="201"/>
      <c r="H234" s="201"/>
      <c r="I234" s="201"/>
      <c r="J234" s="202"/>
      <c r="K234" s="203"/>
      <c r="L234" s="186">
        <f t="shared" si="15"/>
        <v>0</v>
      </c>
      <c r="M234" s="191"/>
      <c r="N234" s="191"/>
      <c r="O234" s="191"/>
      <c r="P234" s="191"/>
      <c r="Q234" s="191"/>
      <c r="R234" s="191"/>
      <c r="S234" s="191"/>
      <c r="T234" s="192"/>
      <c r="U234" s="189" t="str">
        <f t="shared" si="16"/>
        <v/>
      </c>
      <c r="V234" s="190" t="str">
        <f t="shared" si="17"/>
        <v/>
      </c>
      <c r="W234" s="190" t="str">
        <f t="shared" si="18"/>
        <v/>
      </c>
      <c r="X234" s="191" t="str">
        <f t="shared" si="19"/>
        <v/>
      </c>
      <c r="Y234" s="191" t="str">
        <f t="shared" si="20"/>
        <v/>
      </c>
      <c r="Z234" s="156"/>
    </row>
    <row r="235">
      <c r="A235" s="177" t="str">
        <f t="shared" si="14"/>
        <v/>
      </c>
      <c r="B235" s="196"/>
      <c r="C235" s="179" t="str">
        <f t="shared" si="2"/>
        <v/>
      </c>
      <c r="D235" s="197"/>
      <c r="E235" s="181"/>
      <c r="F235" s="198"/>
      <c r="G235" s="201"/>
      <c r="H235" s="201"/>
      <c r="I235" s="201"/>
      <c r="J235" s="202"/>
      <c r="K235" s="203"/>
      <c r="L235" s="186">
        <f t="shared" si="15"/>
        <v>0</v>
      </c>
      <c r="M235" s="191"/>
      <c r="N235" s="191"/>
      <c r="O235" s="191"/>
      <c r="P235" s="191"/>
      <c r="Q235" s="191"/>
      <c r="R235" s="191"/>
      <c r="S235" s="191"/>
      <c r="T235" s="192"/>
      <c r="U235" s="189" t="str">
        <f t="shared" si="16"/>
        <v/>
      </c>
      <c r="V235" s="190" t="str">
        <f t="shared" si="17"/>
        <v/>
      </c>
      <c r="W235" s="190" t="str">
        <f t="shared" si="18"/>
        <v/>
      </c>
      <c r="X235" s="191" t="str">
        <f t="shared" si="19"/>
        <v/>
      </c>
      <c r="Y235" s="191" t="str">
        <f t="shared" si="20"/>
        <v/>
      </c>
      <c r="Z235" s="156"/>
    </row>
    <row r="236">
      <c r="A236" s="177" t="str">
        <f t="shared" si="14"/>
        <v/>
      </c>
      <c r="B236" s="196"/>
      <c r="C236" s="179" t="str">
        <f t="shared" si="2"/>
        <v/>
      </c>
      <c r="D236" s="197"/>
      <c r="E236" s="181"/>
      <c r="F236" s="198"/>
      <c r="G236" s="201"/>
      <c r="H236" s="201"/>
      <c r="I236" s="201"/>
      <c r="J236" s="202"/>
      <c r="K236" s="203"/>
      <c r="L236" s="186">
        <f t="shared" si="15"/>
        <v>0</v>
      </c>
      <c r="M236" s="191"/>
      <c r="N236" s="191"/>
      <c r="O236" s="191"/>
      <c r="P236" s="191"/>
      <c r="Q236" s="191"/>
      <c r="R236" s="191"/>
      <c r="S236" s="191"/>
      <c r="T236" s="192"/>
      <c r="U236" s="189" t="str">
        <f t="shared" si="16"/>
        <v/>
      </c>
      <c r="V236" s="190" t="str">
        <f t="shared" si="17"/>
        <v/>
      </c>
      <c r="W236" s="190" t="str">
        <f t="shared" si="18"/>
        <v/>
      </c>
      <c r="X236" s="191" t="str">
        <f t="shared" si="19"/>
        <v/>
      </c>
      <c r="Y236" s="191" t="str">
        <f t="shared" si="20"/>
        <v/>
      </c>
      <c r="Z236" s="156"/>
    </row>
    <row r="237">
      <c r="A237" s="177" t="str">
        <f t="shared" si="14"/>
        <v/>
      </c>
      <c r="B237" s="196"/>
      <c r="C237" s="179" t="str">
        <f t="shared" si="2"/>
        <v/>
      </c>
      <c r="D237" s="197"/>
      <c r="E237" s="181"/>
      <c r="F237" s="198"/>
      <c r="G237" s="201"/>
      <c r="H237" s="201"/>
      <c r="I237" s="201"/>
      <c r="J237" s="202"/>
      <c r="K237" s="203"/>
      <c r="L237" s="186">
        <f t="shared" si="15"/>
        <v>0</v>
      </c>
      <c r="M237" s="191"/>
      <c r="N237" s="191"/>
      <c r="O237" s="191"/>
      <c r="P237" s="191"/>
      <c r="Q237" s="191"/>
      <c r="R237" s="191"/>
      <c r="S237" s="191"/>
      <c r="T237" s="192"/>
      <c r="U237" s="189" t="str">
        <f t="shared" si="16"/>
        <v/>
      </c>
      <c r="V237" s="190" t="str">
        <f t="shared" si="17"/>
        <v/>
      </c>
      <c r="W237" s="190" t="str">
        <f t="shared" si="18"/>
        <v/>
      </c>
      <c r="X237" s="191" t="str">
        <f t="shared" si="19"/>
        <v/>
      </c>
      <c r="Y237" s="191" t="str">
        <f t="shared" si="20"/>
        <v/>
      </c>
      <c r="Z237" s="156"/>
    </row>
    <row r="238">
      <c r="A238" s="177" t="str">
        <f t="shared" si="14"/>
        <v/>
      </c>
      <c r="B238" s="196"/>
      <c r="C238" s="179" t="str">
        <f t="shared" si="2"/>
        <v/>
      </c>
      <c r="D238" s="197"/>
      <c r="E238" s="181"/>
      <c r="F238" s="198"/>
      <c r="G238" s="201"/>
      <c r="H238" s="201"/>
      <c r="I238" s="201"/>
      <c r="J238" s="202"/>
      <c r="K238" s="203"/>
      <c r="L238" s="186">
        <f t="shared" si="15"/>
        <v>0</v>
      </c>
      <c r="M238" s="191"/>
      <c r="N238" s="191"/>
      <c r="O238" s="191"/>
      <c r="P238" s="191"/>
      <c r="Q238" s="191"/>
      <c r="R238" s="191"/>
      <c r="S238" s="191"/>
      <c r="T238" s="192"/>
      <c r="U238" s="189" t="str">
        <f t="shared" si="16"/>
        <v/>
      </c>
      <c r="V238" s="190" t="str">
        <f t="shared" si="17"/>
        <v/>
      </c>
      <c r="W238" s="190" t="str">
        <f t="shared" si="18"/>
        <v/>
      </c>
      <c r="X238" s="191" t="str">
        <f t="shared" si="19"/>
        <v/>
      </c>
      <c r="Y238" s="191" t="str">
        <f t="shared" si="20"/>
        <v/>
      </c>
      <c r="Z238" s="156"/>
    </row>
    <row r="239">
      <c r="A239" s="177" t="str">
        <f t="shared" si="14"/>
        <v/>
      </c>
      <c r="B239" s="196"/>
      <c r="C239" s="179" t="str">
        <f t="shared" si="2"/>
        <v/>
      </c>
      <c r="D239" s="197"/>
      <c r="E239" s="181"/>
      <c r="F239" s="198"/>
      <c r="G239" s="201"/>
      <c r="H239" s="201"/>
      <c r="I239" s="201"/>
      <c r="J239" s="202"/>
      <c r="K239" s="203"/>
      <c r="L239" s="186">
        <f t="shared" si="15"/>
        <v>0</v>
      </c>
      <c r="M239" s="191"/>
      <c r="N239" s="191"/>
      <c r="O239" s="191"/>
      <c r="P239" s="191"/>
      <c r="Q239" s="191"/>
      <c r="R239" s="191"/>
      <c r="S239" s="191"/>
      <c r="T239" s="192"/>
      <c r="U239" s="189" t="str">
        <f t="shared" si="16"/>
        <v/>
      </c>
      <c r="V239" s="190" t="str">
        <f t="shared" si="17"/>
        <v/>
      </c>
      <c r="W239" s="190" t="str">
        <f t="shared" si="18"/>
        <v/>
      </c>
      <c r="X239" s="191" t="str">
        <f t="shared" si="19"/>
        <v/>
      </c>
      <c r="Y239" s="191" t="str">
        <f t="shared" si="20"/>
        <v/>
      </c>
      <c r="Z239" s="156"/>
    </row>
    <row r="240">
      <c r="A240" s="177" t="str">
        <f t="shared" si="14"/>
        <v/>
      </c>
      <c r="B240" s="196"/>
      <c r="C240" s="179" t="str">
        <f t="shared" si="2"/>
        <v/>
      </c>
      <c r="D240" s="197"/>
      <c r="E240" s="181"/>
      <c r="F240" s="198"/>
      <c r="G240" s="201"/>
      <c r="H240" s="201"/>
      <c r="I240" s="201"/>
      <c r="J240" s="202"/>
      <c r="K240" s="203"/>
      <c r="L240" s="186">
        <f t="shared" si="15"/>
        <v>0</v>
      </c>
      <c r="M240" s="191"/>
      <c r="N240" s="191"/>
      <c r="O240" s="191"/>
      <c r="P240" s="191"/>
      <c r="Q240" s="191"/>
      <c r="R240" s="191"/>
      <c r="S240" s="191"/>
      <c r="T240" s="192"/>
      <c r="U240" s="189" t="str">
        <f t="shared" si="16"/>
        <v/>
      </c>
      <c r="V240" s="190" t="str">
        <f t="shared" si="17"/>
        <v/>
      </c>
      <c r="W240" s="190" t="str">
        <f t="shared" si="18"/>
        <v/>
      </c>
      <c r="X240" s="191" t="str">
        <f t="shared" si="19"/>
        <v/>
      </c>
      <c r="Y240" s="191" t="str">
        <f t="shared" si="20"/>
        <v/>
      </c>
      <c r="Z240" s="156"/>
    </row>
    <row r="241">
      <c r="A241" s="177" t="str">
        <f t="shared" si="14"/>
        <v/>
      </c>
      <c r="B241" s="196"/>
      <c r="C241" s="179" t="str">
        <f t="shared" si="2"/>
        <v/>
      </c>
      <c r="D241" s="197"/>
      <c r="E241" s="181"/>
      <c r="F241" s="198"/>
      <c r="G241" s="201"/>
      <c r="H241" s="201"/>
      <c r="I241" s="201"/>
      <c r="J241" s="202"/>
      <c r="K241" s="203"/>
      <c r="L241" s="186">
        <f t="shared" si="15"/>
        <v>0</v>
      </c>
      <c r="M241" s="191"/>
      <c r="N241" s="191"/>
      <c r="O241" s="191"/>
      <c r="P241" s="191"/>
      <c r="Q241" s="191"/>
      <c r="R241" s="191"/>
      <c r="S241" s="191"/>
      <c r="T241" s="192"/>
      <c r="U241" s="189" t="str">
        <f t="shared" si="16"/>
        <v/>
      </c>
      <c r="V241" s="190" t="str">
        <f t="shared" si="17"/>
        <v/>
      </c>
      <c r="W241" s="190" t="str">
        <f t="shared" si="18"/>
        <v/>
      </c>
      <c r="X241" s="191" t="str">
        <f t="shared" si="19"/>
        <v/>
      </c>
      <c r="Y241" s="191" t="str">
        <f t="shared" si="20"/>
        <v/>
      </c>
      <c r="Z241" s="156"/>
    </row>
    <row r="242">
      <c r="A242" s="177" t="str">
        <f t="shared" si="14"/>
        <v/>
      </c>
      <c r="B242" s="196"/>
      <c r="C242" s="179" t="str">
        <f t="shared" si="2"/>
        <v/>
      </c>
      <c r="D242" s="197"/>
      <c r="E242" s="181"/>
      <c r="F242" s="198"/>
      <c r="G242" s="201"/>
      <c r="H242" s="201"/>
      <c r="I242" s="201"/>
      <c r="J242" s="202"/>
      <c r="K242" s="203"/>
      <c r="L242" s="186">
        <f t="shared" si="15"/>
        <v>0</v>
      </c>
      <c r="M242" s="191"/>
      <c r="N242" s="191"/>
      <c r="O242" s="191"/>
      <c r="P242" s="191"/>
      <c r="Q242" s="191"/>
      <c r="R242" s="191"/>
      <c r="S242" s="191"/>
      <c r="T242" s="192"/>
      <c r="U242" s="189" t="str">
        <f t="shared" si="16"/>
        <v/>
      </c>
      <c r="V242" s="190" t="str">
        <f t="shared" si="17"/>
        <v/>
      </c>
      <c r="W242" s="190" t="str">
        <f t="shared" si="18"/>
        <v/>
      </c>
      <c r="X242" s="191" t="str">
        <f t="shared" si="19"/>
        <v/>
      </c>
      <c r="Y242" s="191" t="str">
        <f t="shared" si="20"/>
        <v/>
      </c>
      <c r="Z242" s="156"/>
    </row>
    <row r="243">
      <c r="A243" s="177" t="str">
        <f t="shared" si="14"/>
        <v/>
      </c>
      <c r="B243" s="196"/>
      <c r="C243" s="179" t="str">
        <f t="shared" si="2"/>
        <v/>
      </c>
      <c r="D243" s="197"/>
      <c r="E243" s="181"/>
      <c r="F243" s="198"/>
      <c r="G243" s="201"/>
      <c r="H243" s="201"/>
      <c r="I243" s="201"/>
      <c r="J243" s="202"/>
      <c r="K243" s="203"/>
      <c r="L243" s="186">
        <f t="shared" si="15"/>
        <v>0</v>
      </c>
      <c r="M243" s="191"/>
      <c r="N243" s="191"/>
      <c r="O243" s="191"/>
      <c r="P243" s="191"/>
      <c r="Q243" s="191"/>
      <c r="R243" s="191"/>
      <c r="S243" s="191"/>
      <c r="T243" s="192"/>
      <c r="U243" s="189" t="str">
        <f t="shared" si="16"/>
        <v/>
      </c>
      <c r="V243" s="190" t="str">
        <f t="shared" si="17"/>
        <v/>
      </c>
      <c r="W243" s="190" t="str">
        <f t="shared" si="18"/>
        <v/>
      </c>
      <c r="X243" s="191" t="str">
        <f t="shared" si="19"/>
        <v/>
      </c>
      <c r="Y243" s="191" t="str">
        <f t="shared" si="20"/>
        <v/>
      </c>
      <c r="Z243" s="156"/>
    </row>
    <row r="244">
      <c r="A244" s="177" t="str">
        <f t="shared" si="14"/>
        <v/>
      </c>
      <c r="B244" s="196"/>
      <c r="C244" s="179" t="str">
        <f t="shared" si="2"/>
        <v/>
      </c>
      <c r="D244" s="197"/>
      <c r="E244" s="181"/>
      <c r="F244" s="198"/>
      <c r="G244" s="201"/>
      <c r="H244" s="201"/>
      <c r="I244" s="201"/>
      <c r="J244" s="202"/>
      <c r="K244" s="203"/>
      <c r="L244" s="186">
        <f t="shared" si="15"/>
        <v>0</v>
      </c>
      <c r="M244" s="191"/>
      <c r="N244" s="191"/>
      <c r="O244" s="191"/>
      <c r="P244" s="191"/>
      <c r="Q244" s="191"/>
      <c r="R244" s="191"/>
      <c r="S244" s="191"/>
      <c r="T244" s="192"/>
      <c r="U244" s="189" t="str">
        <f t="shared" si="16"/>
        <v/>
      </c>
      <c r="V244" s="190" t="str">
        <f t="shared" si="17"/>
        <v/>
      </c>
      <c r="W244" s="190" t="str">
        <f t="shared" si="18"/>
        <v/>
      </c>
      <c r="X244" s="191" t="str">
        <f t="shared" si="19"/>
        <v/>
      </c>
      <c r="Y244" s="191" t="str">
        <f t="shared" si="20"/>
        <v/>
      </c>
      <c r="Z244" s="156"/>
    </row>
    <row r="245">
      <c r="A245" s="177" t="str">
        <f t="shared" si="14"/>
        <v/>
      </c>
      <c r="B245" s="196"/>
      <c r="C245" s="179" t="str">
        <f t="shared" si="2"/>
        <v/>
      </c>
      <c r="D245" s="197"/>
      <c r="E245" s="181"/>
      <c r="F245" s="198"/>
      <c r="G245" s="201"/>
      <c r="H245" s="201"/>
      <c r="I245" s="201"/>
      <c r="J245" s="202"/>
      <c r="K245" s="203"/>
      <c r="L245" s="186">
        <f t="shared" si="15"/>
        <v>0</v>
      </c>
      <c r="M245" s="191"/>
      <c r="N245" s="191"/>
      <c r="O245" s="191"/>
      <c r="P245" s="191"/>
      <c r="Q245" s="191"/>
      <c r="R245" s="191"/>
      <c r="S245" s="191"/>
      <c r="T245" s="192"/>
      <c r="U245" s="189" t="str">
        <f t="shared" si="16"/>
        <v/>
      </c>
      <c r="V245" s="190" t="str">
        <f t="shared" si="17"/>
        <v/>
      </c>
      <c r="W245" s="190" t="str">
        <f t="shared" si="18"/>
        <v/>
      </c>
      <c r="X245" s="191" t="str">
        <f t="shared" si="19"/>
        <v/>
      </c>
      <c r="Y245" s="191" t="str">
        <f t="shared" si="20"/>
        <v/>
      </c>
      <c r="Z245" s="156"/>
    </row>
    <row r="246">
      <c r="A246" s="177" t="str">
        <f t="shared" si="14"/>
        <v/>
      </c>
      <c r="B246" s="196"/>
      <c r="C246" s="179" t="str">
        <f t="shared" si="2"/>
        <v/>
      </c>
      <c r="D246" s="197"/>
      <c r="E246" s="181"/>
      <c r="F246" s="198"/>
      <c r="G246" s="201"/>
      <c r="H246" s="201"/>
      <c r="I246" s="201"/>
      <c r="J246" s="202"/>
      <c r="K246" s="203"/>
      <c r="L246" s="186">
        <f t="shared" si="15"/>
        <v>0</v>
      </c>
      <c r="M246" s="191"/>
      <c r="N246" s="191"/>
      <c r="O246" s="191"/>
      <c r="P246" s="191"/>
      <c r="Q246" s="191"/>
      <c r="R246" s="191"/>
      <c r="S246" s="191"/>
      <c r="T246" s="192"/>
      <c r="U246" s="189" t="str">
        <f t="shared" si="16"/>
        <v/>
      </c>
      <c r="V246" s="190" t="str">
        <f t="shared" si="17"/>
        <v/>
      </c>
      <c r="W246" s="190" t="str">
        <f t="shared" si="18"/>
        <v/>
      </c>
      <c r="X246" s="191" t="str">
        <f t="shared" si="19"/>
        <v/>
      </c>
      <c r="Y246" s="191" t="str">
        <f t="shared" si="20"/>
        <v/>
      </c>
      <c r="Z246" s="156"/>
    </row>
    <row r="247">
      <c r="A247" s="177" t="str">
        <f t="shared" si="14"/>
        <v/>
      </c>
      <c r="B247" s="196"/>
      <c r="C247" s="179" t="str">
        <f t="shared" si="2"/>
        <v/>
      </c>
      <c r="D247" s="197"/>
      <c r="E247" s="181"/>
      <c r="F247" s="198"/>
      <c r="G247" s="201"/>
      <c r="H247" s="201"/>
      <c r="I247" s="201"/>
      <c r="J247" s="202"/>
      <c r="K247" s="203"/>
      <c r="L247" s="186">
        <f t="shared" si="15"/>
        <v>0</v>
      </c>
      <c r="M247" s="191"/>
      <c r="N247" s="191"/>
      <c r="O247" s="191"/>
      <c r="P247" s="191"/>
      <c r="Q247" s="191"/>
      <c r="R247" s="191"/>
      <c r="S247" s="191"/>
      <c r="T247" s="192"/>
      <c r="U247" s="189" t="str">
        <f t="shared" si="16"/>
        <v/>
      </c>
      <c r="V247" s="190" t="str">
        <f t="shared" si="17"/>
        <v/>
      </c>
      <c r="W247" s="190" t="str">
        <f t="shared" si="18"/>
        <v/>
      </c>
      <c r="X247" s="191" t="str">
        <f t="shared" si="19"/>
        <v/>
      </c>
      <c r="Y247" s="191" t="str">
        <f t="shared" si="20"/>
        <v/>
      </c>
      <c r="Z247" s="156"/>
    </row>
    <row r="248">
      <c r="A248" s="177" t="str">
        <f t="shared" si="14"/>
        <v/>
      </c>
      <c r="B248" s="196"/>
      <c r="C248" s="179" t="str">
        <f t="shared" si="2"/>
        <v/>
      </c>
      <c r="D248" s="197"/>
      <c r="E248" s="181"/>
      <c r="F248" s="198"/>
      <c r="G248" s="201"/>
      <c r="H248" s="201"/>
      <c r="I248" s="201"/>
      <c r="J248" s="202"/>
      <c r="K248" s="203"/>
      <c r="L248" s="186">
        <f t="shared" si="15"/>
        <v>0</v>
      </c>
      <c r="M248" s="191"/>
      <c r="N248" s="191"/>
      <c r="O248" s="191"/>
      <c r="P248" s="191"/>
      <c r="Q248" s="191"/>
      <c r="R248" s="191"/>
      <c r="S248" s="191"/>
      <c r="T248" s="192"/>
      <c r="U248" s="189" t="str">
        <f t="shared" si="16"/>
        <v/>
      </c>
      <c r="V248" s="190" t="str">
        <f t="shared" si="17"/>
        <v/>
      </c>
      <c r="W248" s="190" t="str">
        <f t="shared" si="18"/>
        <v/>
      </c>
      <c r="X248" s="191" t="str">
        <f t="shared" si="19"/>
        <v/>
      </c>
      <c r="Y248" s="191" t="str">
        <f t="shared" si="20"/>
        <v/>
      </c>
      <c r="Z248" s="156"/>
    </row>
    <row r="249">
      <c r="A249" s="177" t="str">
        <f t="shared" si="14"/>
        <v/>
      </c>
      <c r="B249" s="196"/>
      <c r="C249" s="179" t="str">
        <f t="shared" si="2"/>
        <v/>
      </c>
      <c r="D249" s="197"/>
      <c r="E249" s="181"/>
      <c r="F249" s="198"/>
      <c r="G249" s="201"/>
      <c r="H249" s="201"/>
      <c r="I249" s="201"/>
      <c r="J249" s="202"/>
      <c r="K249" s="203"/>
      <c r="L249" s="186">
        <f t="shared" si="15"/>
        <v>0</v>
      </c>
      <c r="M249" s="191"/>
      <c r="N249" s="191"/>
      <c r="O249" s="191"/>
      <c r="P249" s="191"/>
      <c r="Q249" s="191"/>
      <c r="R249" s="191"/>
      <c r="S249" s="191"/>
      <c r="T249" s="192"/>
      <c r="U249" s="189" t="str">
        <f t="shared" si="16"/>
        <v/>
      </c>
      <c r="V249" s="190" t="str">
        <f t="shared" si="17"/>
        <v/>
      </c>
      <c r="W249" s="190" t="str">
        <f t="shared" si="18"/>
        <v/>
      </c>
      <c r="X249" s="191" t="str">
        <f t="shared" si="19"/>
        <v/>
      </c>
      <c r="Y249" s="191" t="str">
        <f t="shared" si="20"/>
        <v/>
      </c>
      <c r="Z249" s="156"/>
    </row>
    <row r="250">
      <c r="A250" s="177" t="str">
        <f t="shared" si="14"/>
        <v/>
      </c>
      <c r="B250" s="196"/>
      <c r="C250" s="179" t="str">
        <f t="shared" si="2"/>
        <v/>
      </c>
      <c r="D250" s="197"/>
      <c r="E250" s="181"/>
      <c r="F250" s="198"/>
      <c r="G250" s="201"/>
      <c r="H250" s="201"/>
      <c r="I250" s="201"/>
      <c r="J250" s="202"/>
      <c r="K250" s="203"/>
      <c r="L250" s="186">
        <f t="shared" si="15"/>
        <v>0</v>
      </c>
      <c r="M250" s="191"/>
      <c r="N250" s="191"/>
      <c r="O250" s="191"/>
      <c r="P250" s="191"/>
      <c r="Q250" s="191"/>
      <c r="R250" s="191"/>
      <c r="S250" s="191"/>
      <c r="T250" s="192"/>
      <c r="U250" s="189" t="str">
        <f t="shared" si="16"/>
        <v/>
      </c>
      <c r="V250" s="190" t="str">
        <f t="shared" si="17"/>
        <v/>
      </c>
      <c r="W250" s="190" t="str">
        <f t="shared" si="18"/>
        <v/>
      </c>
      <c r="X250" s="191" t="str">
        <f t="shared" si="19"/>
        <v/>
      </c>
      <c r="Y250" s="191" t="str">
        <f t="shared" si="20"/>
        <v/>
      </c>
      <c r="Z250" s="156"/>
    </row>
    <row r="251">
      <c r="A251" s="177" t="str">
        <f t="shared" si="14"/>
        <v/>
      </c>
      <c r="B251" s="196"/>
      <c r="C251" s="179" t="str">
        <f t="shared" si="2"/>
        <v/>
      </c>
      <c r="D251" s="197"/>
      <c r="E251" s="181"/>
      <c r="F251" s="198"/>
      <c r="G251" s="201"/>
      <c r="H251" s="201"/>
      <c r="I251" s="201"/>
      <c r="J251" s="202"/>
      <c r="K251" s="203"/>
      <c r="L251" s="186">
        <f t="shared" si="15"/>
        <v>0</v>
      </c>
      <c r="M251" s="191"/>
      <c r="N251" s="191"/>
      <c r="O251" s="191"/>
      <c r="P251" s="191"/>
      <c r="Q251" s="191"/>
      <c r="R251" s="191"/>
      <c r="S251" s="191"/>
      <c r="T251" s="192"/>
      <c r="U251" s="189" t="str">
        <f t="shared" si="16"/>
        <v/>
      </c>
      <c r="V251" s="190" t="str">
        <f t="shared" si="17"/>
        <v/>
      </c>
      <c r="W251" s="190" t="str">
        <f t="shared" si="18"/>
        <v/>
      </c>
      <c r="X251" s="191" t="str">
        <f t="shared" si="19"/>
        <v/>
      </c>
      <c r="Y251" s="191" t="str">
        <f t="shared" si="20"/>
        <v/>
      </c>
      <c r="Z251" s="156"/>
    </row>
    <row r="252">
      <c r="A252" s="177" t="str">
        <f t="shared" si="14"/>
        <v/>
      </c>
      <c r="B252" s="196"/>
      <c r="C252" s="179" t="str">
        <f t="shared" si="2"/>
        <v/>
      </c>
      <c r="D252" s="197"/>
      <c r="E252" s="181"/>
      <c r="F252" s="198"/>
      <c r="G252" s="201"/>
      <c r="H252" s="201"/>
      <c r="I252" s="201"/>
      <c r="J252" s="202"/>
      <c r="K252" s="203"/>
      <c r="L252" s="186">
        <f t="shared" si="15"/>
        <v>0</v>
      </c>
      <c r="M252" s="191"/>
      <c r="N252" s="191"/>
      <c r="O252" s="191"/>
      <c r="P252" s="191"/>
      <c r="Q252" s="191"/>
      <c r="R252" s="191"/>
      <c r="S252" s="191"/>
      <c r="T252" s="192"/>
      <c r="U252" s="189" t="str">
        <f t="shared" si="16"/>
        <v/>
      </c>
      <c r="V252" s="190" t="str">
        <f t="shared" si="17"/>
        <v/>
      </c>
      <c r="W252" s="190" t="str">
        <f t="shared" si="18"/>
        <v/>
      </c>
      <c r="X252" s="191" t="str">
        <f t="shared" si="19"/>
        <v/>
      </c>
      <c r="Y252" s="191" t="str">
        <f t="shared" si="20"/>
        <v/>
      </c>
      <c r="Z252" s="156"/>
    </row>
    <row r="253">
      <c r="A253" s="177" t="str">
        <f t="shared" si="14"/>
        <v/>
      </c>
      <c r="B253" s="196"/>
      <c r="C253" s="179" t="str">
        <f t="shared" si="2"/>
        <v/>
      </c>
      <c r="D253" s="197"/>
      <c r="E253" s="181"/>
      <c r="F253" s="198"/>
      <c r="G253" s="201"/>
      <c r="H253" s="201"/>
      <c r="I253" s="201"/>
      <c r="J253" s="202"/>
      <c r="K253" s="203"/>
      <c r="L253" s="186">
        <f t="shared" si="15"/>
        <v>0</v>
      </c>
      <c r="M253" s="191"/>
      <c r="N253" s="191"/>
      <c r="O253" s="191"/>
      <c r="P253" s="191"/>
      <c r="Q253" s="191"/>
      <c r="R253" s="191"/>
      <c r="S253" s="191"/>
      <c r="T253" s="192"/>
      <c r="U253" s="189" t="str">
        <f t="shared" si="16"/>
        <v/>
      </c>
      <c r="V253" s="190" t="str">
        <f t="shared" si="17"/>
        <v/>
      </c>
      <c r="W253" s="190" t="str">
        <f t="shared" si="18"/>
        <v/>
      </c>
      <c r="X253" s="191" t="str">
        <f t="shared" si="19"/>
        <v/>
      </c>
      <c r="Y253" s="191" t="str">
        <f t="shared" si="20"/>
        <v/>
      </c>
      <c r="Z253" s="156"/>
    </row>
    <row r="254">
      <c r="A254" s="177" t="str">
        <f t="shared" si="14"/>
        <v/>
      </c>
      <c r="B254" s="196"/>
      <c r="C254" s="179" t="str">
        <f t="shared" si="2"/>
        <v/>
      </c>
      <c r="D254" s="197"/>
      <c r="E254" s="181"/>
      <c r="F254" s="198"/>
      <c r="G254" s="201"/>
      <c r="H254" s="201"/>
      <c r="I254" s="201"/>
      <c r="J254" s="202"/>
      <c r="K254" s="203"/>
      <c r="L254" s="186">
        <f t="shared" si="15"/>
        <v>0</v>
      </c>
      <c r="M254" s="191"/>
      <c r="N254" s="191"/>
      <c r="O254" s="191"/>
      <c r="P254" s="191"/>
      <c r="Q254" s="191"/>
      <c r="R254" s="191"/>
      <c r="S254" s="191"/>
      <c r="T254" s="192"/>
      <c r="U254" s="189" t="str">
        <f t="shared" si="16"/>
        <v/>
      </c>
      <c r="V254" s="190" t="str">
        <f t="shared" si="17"/>
        <v/>
      </c>
      <c r="W254" s="190" t="str">
        <f t="shared" si="18"/>
        <v/>
      </c>
      <c r="X254" s="191" t="str">
        <f t="shared" si="19"/>
        <v/>
      </c>
      <c r="Y254" s="191" t="str">
        <f t="shared" si="20"/>
        <v/>
      </c>
      <c r="Z254" s="156"/>
    </row>
    <row r="255">
      <c r="A255" s="177" t="str">
        <f t="shared" si="14"/>
        <v/>
      </c>
      <c r="B255" s="196"/>
      <c r="C255" s="179" t="str">
        <f t="shared" si="2"/>
        <v/>
      </c>
      <c r="D255" s="197"/>
      <c r="E255" s="181"/>
      <c r="F255" s="198"/>
      <c r="G255" s="201"/>
      <c r="H255" s="201"/>
      <c r="I255" s="201"/>
      <c r="J255" s="202"/>
      <c r="K255" s="203"/>
      <c r="L255" s="186">
        <f t="shared" si="15"/>
        <v>0</v>
      </c>
      <c r="M255" s="191"/>
      <c r="N255" s="191"/>
      <c r="O255" s="191"/>
      <c r="P255" s="191"/>
      <c r="Q255" s="191"/>
      <c r="R255" s="191"/>
      <c r="S255" s="191"/>
      <c r="T255" s="192"/>
      <c r="U255" s="189" t="str">
        <f t="shared" si="16"/>
        <v/>
      </c>
      <c r="V255" s="190" t="str">
        <f t="shared" si="17"/>
        <v/>
      </c>
      <c r="W255" s="190" t="str">
        <f t="shared" si="18"/>
        <v/>
      </c>
      <c r="X255" s="191" t="str">
        <f t="shared" si="19"/>
        <v/>
      </c>
      <c r="Y255" s="191" t="str">
        <f t="shared" si="20"/>
        <v/>
      </c>
      <c r="Z255" s="156"/>
    </row>
    <row r="256">
      <c r="A256" s="177" t="str">
        <f t="shared" si="14"/>
        <v/>
      </c>
      <c r="B256" s="196"/>
      <c r="C256" s="179" t="str">
        <f t="shared" si="2"/>
        <v/>
      </c>
      <c r="D256" s="197"/>
      <c r="E256" s="181"/>
      <c r="F256" s="198"/>
      <c r="G256" s="201"/>
      <c r="H256" s="201"/>
      <c r="I256" s="201"/>
      <c r="J256" s="202"/>
      <c r="K256" s="203"/>
      <c r="L256" s="186">
        <f t="shared" si="15"/>
        <v>0</v>
      </c>
      <c r="M256" s="191"/>
      <c r="N256" s="191"/>
      <c r="O256" s="191"/>
      <c r="P256" s="191"/>
      <c r="Q256" s="191"/>
      <c r="R256" s="191"/>
      <c r="S256" s="191"/>
      <c r="T256" s="192"/>
      <c r="U256" s="189" t="str">
        <f t="shared" si="16"/>
        <v/>
      </c>
      <c r="V256" s="190" t="str">
        <f t="shared" si="17"/>
        <v/>
      </c>
      <c r="W256" s="190" t="str">
        <f t="shared" si="18"/>
        <v/>
      </c>
      <c r="X256" s="191" t="str">
        <f t="shared" si="19"/>
        <v/>
      </c>
      <c r="Y256" s="191" t="str">
        <f t="shared" si="20"/>
        <v/>
      </c>
      <c r="Z256" s="156"/>
    </row>
    <row r="257">
      <c r="A257" s="177" t="str">
        <f t="shared" si="14"/>
        <v/>
      </c>
      <c r="B257" s="196"/>
      <c r="C257" s="179" t="str">
        <f t="shared" si="2"/>
        <v/>
      </c>
      <c r="D257" s="197"/>
      <c r="E257" s="181"/>
      <c r="F257" s="198"/>
      <c r="G257" s="201"/>
      <c r="H257" s="201"/>
      <c r="I257" s="201"/>
      <c r="J257" s="202"/>
      <c r="K257" s="203"/>
      <c r="L257" s="186">
        <f t="shared" si="15"/>
        <v>0</v>
      </c>
      <c r="M257" s="191"/>
      <c r="N257" s="191"/>
      <c r="O257" s="191"/>
      <c r="P257" s="191"/>
      <c r="Q257" s="191"/>
      <c r="R257" s="191"/>
      <c r="S257" s="191"/>
      <c r="T257" s="192"/>
      <c r="U257" s="189" t="str">
        <f t="shared" si="16"/>
        <v/>
      </c>
      <c r="V257" s="190" t="str">
        <f t="shared" si="17"/>
        <v/>
      </c>
      <c r="W257" s="190" t="str">
        <f t="shared" si="18"/>
        <v/>
      </c>
      <c r="X257" s="191" t="str">
        <f t="shared" si="19"/>
        <v/>
      </c>
      <c r="Y257" s="191" t="str">
        <f t="shared" si="20"/>
        <v/>
      </c>
      <c r="Z257" s="156"/>
    </row>
    <row r="258">
      <c r="A258" s="177" t="str">
        <f t="shared" si="14"/>
        <v/>
      </c>
      <c r="B258" s="196"/>
      <c r="C258" s="179" t="str">
        <f t="shared" si="2"/>
        <v/>
      </c>
      <c r="D258" s="197"/>
      <c r="E258" s="181"/>
      <c r="F258" s="198"/>
      <c r="G258" s="201"/>
      <c r="H258" s="201"/>
      <c r="I258" s="201"/>
      <c r="J258" s="202"/>
      <c r="K258" s="203"/>
      <c r="L258" s="186">
        <f t="shared" si="15"/>
        <v>0</v>
      </c>
      <c r="M258" s="191"/>
      <c r="N258" s="191"/>
      <c r="O258" s="191"/>
      <c r="P258" s="191"/>
      <c r="Q258" s="191"/>
      <c r="R258" s="191"/>
      <c r="S258" s="191"/>
      <c r="T258" s="192"/>
      <c r="U258" s="189" t="str">
        <f t="shared" si="16"/>
        <v/>
      </c>
      <c r="V258" s="190" t="str">
        <f t="shared" si="17"/>
        <v/>
      </c>
      <c r="W258" s="190" t="str">
        <f t="shared" si="18"/>
        <v/>
      </c>
      <c r="X258" s="191" t="str">
        <f t="shared" si="19"/>
        <v/>
      </c>
      <c r="Y258" s="191" t="str">
        <f t="shared" si="20"/>
        <v/>
      </c>
      <c r="Z258" s="156"/>
    </row>
    <row r="259">
      <c r="A259" s="177" t="str">
        <f t="shared" si="14"/>
        <v/>
      </c>
      <c r="B259" s="196"/>
      <c r="C259" s="179" t="str">
        <f t="shared" si="2"/>
        <v/>
      </c>
      <c r="D259" s="197"/>
      <c r="E259" s="181"/>
      <c r="F259" s="198"/>
      <c r="G259" s="201"/>
      <c r="H259" s="201"/>
      <c r="I259" s="201"/>
      <c r="J259" s="202"/>
      <c r="K259" s="203"/>
      <c r="L259" s="186">
        <f t="shared" si="15"/>
        <v>0</v>
      </c>
      <c r="M259" s="191"/>
      <c r="N259" s="191"/>
      <c r="O259" s="191"/>
      <c r="P259" s="191"/>
      <c r="Q259" s="191"/>
      <c r="R259" s="191"/>
      <c r="S259" s="191"/>
      <c r="T259" s="192"/>
      <c r="U259" s="189" t="str">
        <f t="shared" si="16"/>
        <v/>
      </c>
      <c r="V259" s="190" t="str">
        <f t="shared" si="17"/>
        <v/>
      </c>
      <c r="W259" s="190" t="str">
        <f t="shared" si="18"/>
        <v/>
      </c>
      <c r="X259" s="191" t="str">
        <f t="shared" si="19"/>
        <v/>
      </c>
      <c r="Y259" s="191" t="str">
        <f t="shared" si="20"/>
        <v/>
      </c>
      <c r="Z259" s="156"/>
    </row>
    <row r="260">
      <c r="A260" s="177" t="str">
        <f t="shared" si="14"/>
        <v/>
      </c>
      <c r="B260" s="196"/>
      <c r="C260" s="179" t="str">
        <f t="shared" si="2"/>
        <v/>
      </c>
      <c r="D260" s="197"/>
      <c r="E260" s="181"/>
      <c r="F260" s="198"/>
      <c r="G260" s="201"/>
      <c r="H260" s="201"/>
      <c r="I260" s="201"/>
      <c r="J260" s="202"/>
      <c r="K260" s="203"/>
      <c r="L260" s="186">
        <f t="shared" si="15"/>
        <v>0</v>
      </c>
      <c r="M260" s="191"/>
      <c r="N260" s="191"/>
      <c r="O260" s="191"/>
      <c r="P260" s="191"/>
      <c r="Q260" s="191"/>
      <c r="R260" s="191"/>
      <c r="S260" s="191"/>
      <c r="T260" s="192"/>
      <c r="U260" s="189" t="str">
        <f t="shared" si="16"/>
        <v/>
      </c>
      <c r="V260" s="190" t="str">
        <f t="shared" si="17"/>
        <v/>
      </c>
      <c r="W260" s="190" t="str">
        <f t="shared" si="18"/>
        <v/>
      </c>
      <c r="X260" s="191" t="str">
        <f t="shared" si="19"/>
        <v/>
      </c>
      <c r="Y260" s="191" t="str">
        <f t="shared" si="20"/>
        <v/>
      </c>
      <c r="Z260" s="156"/>
    </row>
    <row r="261">
      <c r="A261" s="177" t="str">
        <f t="shared" si="14"/>
        <v/>
      </c>
      <c r="B261" s="196"/>
      <c r="C261" s="179" t="str">
        <f t="shared" si="2"/>
        <v/>
      </c>
      <c r="D261" s="197"/>
      <c r="E261" s="181"/>
      <c r="F261" s="198"/>
      <c r="G261" s="201"/>
      <c r="H261" s="201"/>
      <c r="I261" s="201"/>
      <c r="J261" s="202"/>
      <c r="K261" s="203"/>
      <c r="L261" s="186">
        <f t="shared" si="15"/>
        <v>0</v>
      </c>
      <c r="M261" s="191"/>
      <c r="N261" s="191"/>
      <c r="O261" s="191"/>
      <c r="P261" s="191"/>
      <c r="Q261" s="191"/>
      <c r="R261" s="191"/>
      <c r="S261" s="191"/>
      <c r="T261" s="192"/>
      <c r="U261" s="189" t="str">
        <f t="shared" si="16"/>
        <v/>
      </c>
      <c r="V261" s="190" t="str">
        <f t="shared" si="17"/>
        <v/>
      </c>
      <c r="W261" s="190" t="str">
        <f t="shared" si="18"/>
        <v/>
      </c>
      <c r="X261" s="191" t="str">
        <f t="shared" si="19"/>
        <v/>
      </c>
      <c r="Y261" s="191" t="str">
        <f t="shared" si="20"/>
        <v/>
      </c>
      <c r="Z261" s="156"/>
    </row>
    <row r="262">
      <c r="A262" s="177" t="str">
        <f t="shared" si="14"/>
        <v/>
      </c>
      <c r="B262" s="196"/>
      <c r="C262" s="179" t="str">
        <f t="shared" si="2"/>
        <v/>
      </c>
      <c r="D262" s="197"/>
      <c r="E262" s="181"/>
      <c r="F262" s="198"/>
      <c r="G262" s="201"/>
      <c r="H262" s="201"/>
      <c r="I262" s="201"/>
      <c r="J262" s="202"/>
      <c r="K262" s="203"/>
      <c r="L262" s="186">
        <f t="shared" si="15"/>
        <v>0</v>
      </c>
      <c r="M262" s="191"/>
      <c r="N262" s="191"/>
      <c r="O262" s="191"/>
      <c r="P262" s="191"/>
      <c r="Q262" s="191"/>
      <c r="R262" s="191"/>
      <c r="S262" s="191"/>
      <c r="T262" s="192"/>
      <c r="U262" s="189" t="str">
        <f t="shared" si="16"/>
        <v/>
      </c>
      <c r="V262" s="190" t="str">
        <f t="shared" si="17"/>
        <v/>
      </c>
      <c r="W262" s="190" t="str">
        <f t="shared" si="18"/>
        <v/>
      </c>
      <c r="X262" s="191" t="str">
        <f t="shared" si="19"/>
        <v/>
      </c>
      <c r="Y262" s="191" t="str">
        <f t="shared" si="20"/>
        <v/>
      </c>
      <c r="Z262" s="156"/>
    </row>
    <row r="263">
      <c r="A263" s="177" t="str">
        <f t="shared" si="14"/>
        <v/>
      </c>
      <c r="B263" s="196"/>
      <c r="C263" s="179" t="str">
        <f t="shared" si="2"/>
        <v/>
      </c>
      <c r="D263" s="197"/>
      <c r="E263" s="181"/>
      <c r="F263" s="198"/>
      <c r="G263" s="201"/>
      <c r="H263" s="201"/>
      <c r="I263" s="201"/>
      <c r="J263" s="202"/>
      <c r="K263" s="203"/>
      <c r="L263" s="186">
        <f t="shared" si="15"/>
        <v>0</v>
      </c>
      <c r="M263" s="191"/>
      <c r="N263" s="191"/>
      <c r="O263" s="191"/>
      <c r="P263" s="191"/>
      <c r="Q263" s="191"/>
      <c r="R263" s="191"/>
      <c r="S263" s="191"/>
      <c r="T263" s="192"/>
      <c r="U263" s="189" t="str">
        <f t="shared" si="16"/>
        <v/>
      </c>
      <c r="V263" s="190" t="str">
        <f t="shared" si="17"/>
        <v/>
      </c>
      <c r="W263" s="190" t="str">
        <f t="shared" si="18"/>
        <v/>
      </c>
      <c r="X263" s="191" t="str">
        <f t="shared" si="19"/>
        <v/>
      </c>
      <c r="Y263" s="191" t="str">
        <f t="shared" si="20"/>
        <v/>
      </c>
      <c r="Z263" s="156"/>
    </row>
    <row r="264">
      <c r="A264" s="177" t="str">
        <f t="shared" si="14"/>
        <v/>
      </c>
      <c r="B264" s="196"/>
      <c r="C264" s="179" t="str">
        <f t="shared" si="2"/>
        <v/>
      </c>
      <c r="D264" s="197"/>
      <c r="E264" s="181"/>
      <c r="F264" s="198"/>
      <c r="G264" s="201"/>
      <c r="H264" s="201"/>
      <c r="I264" s="201"/>
      <c r="J264" s="202"/>
      <c r="K264" s="203"/>
      <c r="L264" s="186">
        <f t="shared" si="15"/>
        <v>0</v>
      </c>
      <c r="M264" s="191"/>
      <c r="N264" s="191"/>
      <c r="O264" s="191"/>
      <c r="P264" s="191"/>
      <c r="Q264" s="191"/>
      <c r="R264" s="191"/>
      <c r="S264" s="191"/>
      <c r="T264" s="192"/>
      <c r="U264" s="189" t="str">
        <f t="shared" si="16"/>
        <v/>
      </c>
      <c r="V264" s="190" t="str">
        <f t="shared" si="17"/>
        <v/>
      </c>
      <c r="W264" s="190" t="str">
        <f t="shared" si="18"/>
        <v/>
      </c>
      <c r="X264" s="191" t="str">
        <f t="shared" si="19"/>
        <v/>
      </c>
      <c r="Y264" s="191" t="str">
        <f t="shared" si="20"/>
        <v/>
      </c>
      <c r="Z264" s="156"/>
    </row>
    <row r="265">
      <c r="A265" s="177" t="str">
        <f t="shared" si="14"/>
        <v/>
      </c>
      <c r="B265" s="196"/>
      <c r="C265" s="179" t="str">
        <f t="shared" si="2"/>
        <v/>
      </c>
      <c r="D265" s="197"/>
      <c r="E265" s="181"/>
      <c r="F265" s="198"/>
      <c r="G265" s="201"/>
      <c r="H265" s="201"/>
      <c r="I265" s="201"/>
      <c r="J265" s="202"/>
      <c r="K265" s="203"/>
      <c r="L265" s="186">
        <f t="shared" si="15"/>
        <v>0</v>
      </c>
      <c r="M265" s="191"/>
      <c r="N265" s="191"/>
      <c r="O265" s="191"/>
      <c r="P265" s="191"/>
      <c r="Q265" s="191"/>
      <c r="R265" s="191"/>
      <c r="S265" s="191"/>
      <c r="T265" s="192"/>
      <c r="U265" s="189" t="str">
        <f t="shared" si="16"/>
        <v/>
      </c>
      <c r="V265" s="190" t="str">
        <f t="shared" si="17"/>
        <v/>
      </c>
      <c r="W265" s="190" t="str">
        <f t="shared" si="18"/>
        <v/>
      </c>
      <c r="X265" s="191" t="str">
        <f t="shared" si="19"/>
        <v/>
      </c>
      <c r="Y265" s="191" t="str">
        <f t="shared" si="20"/>
        <v/>
      </c>
      <c r="Z265" s="156"/>
    </row>
    <row r="266">
      <c r="A266" s="177" t="str">
        <f t="shared" si="14"/>
        <v/>
      </c>
      <c r="B266" s="196"/>
      <c r="C266" s="179" t="str">
        <f t="shared" si="2"/>
        <v/>
      </c>
      <c r="D266" s="197"/>
      <c r="E266" s="181"/>
      <c r="F266" s="198"/>
      <c r="G266" s="201"/>
      <c r="H266" s="201"/>
      <c r="I266" s="201"/>
      <c r="J266" s="202"/>
      <c r="K266" s="203"/>
      <c r="L266" s="186">
        <f t="shared" si="15"/>
        <v>0</v>
      </c>
      <c r="M266" s="191"/>
      <c r="N266" s="191"/>
      <c r="O266" s="191"/>
      <c r="P266" s="191"/>
      <c r="Q266" s="191"/>
      <c r="R266" s="191"/>
      <c r="S266" s="191"/>
      <c r="T266" s="192"/>
      <c r="U266" s="189" t="str">
        <f t="shared" si="16"/>
        <v/>
      </c>
      <c r="V266" s="190" t="str">
        <f t="shared" si="17"/>
        <v/>
      </c>
      <c r="W266" s="190" t="str">
        <f t="shared" si="18"/>
        <v/>
      </c>
      <c r="X266" s="191" t="str">
        <f t="shared" si="19"/>
        <v/>
      </c>
      <c r="Y266" s="191" t="str">
        <f t="shared" si="20"/>
        <v/>
      </c>
      <c r="Z266" s="156"/>
    </row>
    <row r="267">
      <c r="A267" s="177" t="str">
        <f t="shared" si="14"/>
        <v/>
      </c>
      <c r="B267" s="196"/>
      <c r="C267" s="179" t="str">
        <f t="shared" si="2"/>
        <v/>
      </c>
      <c r="D267" s="197"/>
      <c r="E267" s="181"/>
      <c r="F267" s="198"/>
      <c r="G267" s="201"/>
      <c r="H267" s="201"/>
      <c r="I267" s="201"/>
      <c r="J267" s="202"/>
      <c r="K267" s="203"/>
      <c r="L267" s="186">
        <f t="shared" si="15"/>
        <v>0</v>
      </c>
      <c r="M267" s="191"/>
      <c r="N267" s="191"/>
      <c r="O267" s="191"/>
      <c r="P267" s="191"/>
      <c r="Q267" s="191"/>
      <c r="R267" s="191"/>
      <c r="S267" s="191"/>
      <c r="T267" s="192"/>
      <c r="U267" s="189" t="str">
        <f t="shared" si="16"/>
        <v/>
      </c>
      <c r="V267" s="190" t="str">
        <f t="shared" si="17"/>
        <v/>
      </c>
      <c r="W267" s="190" t="str">
        <f t="shared" si="18"/>
        <v/>
      </c>
      <c r="X267" s="191" t="str">
        <f t="shared" si="19"/>
        <v/>
      </c>
      <c r="Y267" s="191" t="str">
        <f t="shared" si="20"/>
        <v/>
      </c>
      <c r="Z267" s="156"/>
    </row>
    <row r="268">
      <c r="A268" s="177" t="str">
        <f t="shared" si="14"/>
        <v/>
      </c>
      <c r="B268" s="196"/>
      <c r="C268" s="179" t="str">
        <f t="shared" si="2"/>
        <v/>
      </c>
      <c r="D268" s="197"/>
      <c r="E268" s="181"/>
      <c r="F268" s="198"/>
      <c r="G268" s="201"/>
      <c r="H268" s="201"/>
      <c r="I268" s="201"/>
      <c r="J268" s="202"/>
      <c r="K268" s="203"/>
      <c r="L268" s="186">
        <f t="shared" si="15"/>
        <v>0</v>
      </c>
      <c r="M268" s="191"/>
      <c r="N268" s="191"/>
      <c r="O268" s="191"/>
      <c r="P268" s="191"/>
      <c r="Q268" s="191"/>
      <c r="R268" s="191"/>
      <c r="S268" s="191"/>
      <c r="T268" s="192"/>
      <c r="U268" s="189" t="str">
        <f t="shared" si="16"/>
        <v/>
      </c>
      <c r="V268" s="190" t="str">
        <f t="shared" si="17"/>
        <v/>
      </c>
      <c r="W268" s="190" t="str">
        <f t="shared" si="18"/>
        <v/>
      </c>
      <c r="X268" s="191" t="str">
        <f t="shared" si="19"/>
        <v/>
      </c>
      <c r="Y268" s="191" t="str">
        <f t="shared" si="20"/>
        <v/>
      </c>
      <c r="Z268" s="156"/>
    </row>
    <row r="269">
      <c r="A269" s="177" t="str">
        <f t="shared" si="14"/>
        <v/>
      </c>
      <c r="B269" s="196"/>
      <c r="C269" s="179" t="str">
        <f t="shared" si="2"/>
        <v/>
      </c>
      <c r="D269" s="197"/>
      <c r="E269" s="181"/>
      <c r="F269" s="198"/>
      <c r="G269" s="201"/>
      <c r="H269" s="201"/>
      <c r="I269" s="201"/>
      <c r="J269" s="202"/>
      <c r="K269" s="203"/>
      <c r="L269" s="186">
        <f t="shared" si="15"/>
        <v>0</v>
      </c>
      <c r="M269" s="191"/>
      <c r="N269" s="191"/>
      <c r="O269" s="191"/>
      <c r="P269" s="191"/>
      <c r="Q269" s="191"/>
      <c r="R269" s="191"/>
      <c r="S269" s="191"/>
      <c r="T269" s="192"/>
      <c r="U269" s="189" t="str">
        <f t="shared" si="16"/>
        <v/>
      </c>
      <c r="V269" s="190" t="str">
        <f t="shared" si="17"/>
        <v/>
      </c>
      <c r="W269" s="190" t="str">
        <f t="shared" si="18"/>
        <v/>
      </c>
      <c r="X269" s="191" t="str">
        <f t="shared" si="19"/>
        <v/>
      </c>
      <c r="Y269" s="191" t="str">
        <f t="shared" si="20"/>
        <v/>
      </c>
      <c r="Z269" s="156"/>
    </row>
    <row r="270">
      <c r="A270" s="177" t="str">
        <f t="shared" si="14"/>
        <v/>
      </c>
      <c r="B270" s="196"/>
      <c r="C270" s="179" t="str">
        <f t="shared" si="2"/>
        <v/>
      </c>
      <c r="D270" s="197"/>
      <c r="E270" s="181"/>
      <c r="F270" s="198"/>
      <c r="G270" s="201"/>
      <c r="H270" s="201"/>
      <c r="I270" s="201"/>
      <c r="J270" s="202"/>
      <c r="K270" s="203"/>
      <c r="L270" s="186">
        <f t="shared" si="15"/>
        <v>0</v>
      </c>
      <c r="M270" s="191"/>
      <c r="N270" s="191"/>
      <c r="O270" s="191"/>
      <c r="P270" s="191"/>
      <c r="Q270" s="191"/>
      <c r="R270" s="191"/>
      <c r="S270" s="191"/>
      <c r="T270" s="192"/>
      <c r="U270" s="189" t="str">
        <f t="shared" si="16"/>
        <v/>
      </c>
      <c r="V270" s="190" t="str">
        <f t="shared" si="17"/>
        <v/>
      </c>
      <c r="W270" s="190" t="str">
        <f t="shared" si="18"/>
        <v/>
      </c>
      <c r="X270" s="191" t="str">
        <f t="shared" si="19"/>
        <v/>
      </c>
      <c r="Y270" s="191" t="str">
        <f t="shared" si="20"/>
        <v/>
      </c>
      <c r="Z270" s="156"/>
    </row>
    <row r="271">
      <c r="A271" s="177" t="str">
        <f t="shared" si="14"/>
        <v/>
      </c>
      <c r="B271" s="196"/>
      <c r="C271" s="179" t="str">
        <f t="shared" si="2"/>
        <v/>
      </c>
      <c r="D271" s="197"/>
      <c r="E271" s="181"/>
      <c r="F271" s="198"/>
      <c r="G271" s="201"/>
      <c r="H271" s="201"/>
      <c r="I271" s="201"/>
      <c r="J271" s="202"/>
      <c r="K271" s="203"/>
      <c r="L271" s="186">
        <f t="shared" si="15"/>
        <v>0</v>
      </c>
      <c r="M271" s="191"/>
      <c r="N271" s="191"/>
      <c r="O271" s="191"/>
      <c r="P271" s="191"/>
      <c r="Q271" s="191"/>
      <c r="R271" s="191"/>
      <c r="S271" s="191"/>
      <c r="T271" s="192"/>
      <c r="U271" s="189" t="str">
        <f t="shared" si="16"/>
        <v/>
      </c>
      <c r="V271" s="190" t="str">
        <f t="shared" si="17"/>
        <v/>
      </c>
      <c r="W271" s="190" t="str">
        <f t="shared" si="18"/>
        <v/>
      </c>
      <c r="X271" s="191" t="str">
        <f t="shared" si="19"/>
        <v/>
      </c>
      <c r="Y271" s="191" t="str">
        <f t="shared" si="20"/>
        <v/>
      </c>
      <c r="Z271" s="156"/>
    </row>
    <row r="272">
      <c r="A272" s="177" t="str">
        <f t="shared" si="14"/>
        <v/>
      </c>
      <c r="B272" s="196"/>
      <c r="C272" s="179" t="str">
        <f t="shared" si="2"/>
        <v/>
      </c>
      <c r="D272" s="197"/>
      <c r="E272" s="181"/>
      <c r="F272" s="198"/>
      <c r="G272" s="201"/>
      <c r="H272" s="201"/>
      <c r="I272" s="201"/>
      <c r="J272" s="202"/>
      <c r="K272" s="203"/>
      <c r="L272" s="186">
        <f t="shared" si="15"/>
        <v>0</v>
      </c>
      <c r="M272" s="191"/>
      <c r="N272" s="191"/>
      <c r="O272" s="191"/>
      <c r="P272" s="191"/>
      <c r="Q272" s="191"/>
      <c r="R272" s="191"/>
      <c r="S272" s="191"/>
      <c r="T272" s="192"/>
      <c r="U272" s="189" t="str">
        <f t="shared" si="16"/>
        <v/>
      </c>
      <c r="V272" s="190" t="str">
        <f t="shared" si="17"/>
        <v/>
      </c>
      <c r="W272" s="190" t="str">
        <f t="shared" si="18"/>
        <v/>
      </c>
      <c r="X272" s="191" t="str">
        <f t="shared" si="19"/>
        <v/>
      </c>
      <c r="Y272" s="191" t="str">
        <f t="shared" si="20"/>
        <v/>
      </c>
      <c r="Z272" s="156"/>
    </row>
    <row r="273">
      <c r="A273" s="177" t="str">
        <f t="shared" si="14"/>
        <v/>
      </c>
      <c r="B273" s="196"/>
      <c r="C273" s="179" t="str">
        <f t="shared" si="2"/>
        <v/>
      </c>
      <c r="D273" s="197"/>
      <c r="E273" s="181"/>
      <c r="F273" s="198"/>
      <c r="G273" s="201"/>
      <c r="H273" s="201"/>
      <c r="I273" s="201"/>
      <c r="J273" s="202"/>
      <c r="K273" s="203"/>
      <c r="L273" s="186">
        <f t="shared" si="15"/>
        <v>0</v>
      </c>
      <c r="M273" s="191"/>
      <c r="N273" s="191"/>
      <c r="O273" s="191"/>
      <c r="P273" s="191"/>
      <c r="Q273" s="191"/>
      <c r="R273" s="191"/>
      <c r="S273" s="191"/>
      <c r="T273" s="192"/>
      <c r="U273" s="189" t="str">
        <f t="shared" si="16"/>
        <v/>
      </c>
      <c r="V273" s="190" t="str">
        <f t="shared" si="17"/>
        <v/>
      </c>
      <c r="W273" s="190" t="str">
        <f t="shared" si="18"/>
        <v/>
      </c>
      <c r="X273" s="191" t="str">
        <f t="shared" si="19"/>
        <v/>
      </c>
      <c r="Y273" s="191" t="str">
        <f t="shared" si="20"/>
        <v/>
      </c>
      <c r="Z273" s="156"/>
    </row>
    <row r="274">
      <c r="A274" s="177" t="str">
        <f t="shared" si="14"/>
        <v/>
      </c>
      <c r="B274" s="196"/>
      <c r="C274" s="179" t="str">
        <f t="shared" si="2"/>
        <v/>
      </c>
      <c r="D274" s="197"/>
      <c r="E274" s="181"/>
      <c r="F274" s="198"/>
      <c r="G274" s="201"/>
      <c r="H274" s="201"/>
      <c r="I274" s="201"/>
      <c r="J274" s="202"/>
      <c r="K274" s="203"/>
      <c r="L274" s="186">
        <f t="shared" si="15"/>
        <v>0</v>
      </c>
      <c r="M274" s="191"/>
      <c r="N274" s="191"/>
      <c r="O274" s="191"/>
      <c r="P274" s="191"/>
      <c r="Q274" s="191"/>
      <c r="R274" s="191"/>
      <c r="S274" s="191"/>
      <c r="T274" s="192"/>
      <c r="U274" s="189" t="str">
        <f t="shared" si="16"/>
        <v/>
      </c>
      <c r="V274" s="190" t="str">
        <f t="shared" si="17"/>
        <v/>
      </c>
      <c r="W274" s="190" t="str">
        <f t="shared" si="18"/>
        <v/>
      </c>
      <c r="X274" s="191" t="str">
        <f t="shared" si="19"/>
        <v/>
      </c>
      <c r="Y274" s="191" t="str">
        <f t="shared" si="20"/>
        <v/>
      </c>
      <c r="Z274" s="156"/>
    </row>
    <row r="275">
      <c r="A275" s="177" t="str">
        <f t="shared" si="14"/>
        <v/>
      </c>
      <c r="B275" s="196"/>
      <c r="C275" s="179" t="str">
        <f t="shared" si="2"/>
        <v/>
      </c>
      <c r="D275" s="197"/>
      <c r="E275" s="181"/>
      <c r="F275" s="198"/>
      <c r="G275" s="201"/>
      <c r="H275" s="201"/>
      <c r="I275" s="201"/>
      <c r="J275" s="202"/>
      <c r="K275" s="203"/>
      <c r="L275" s="186">
        <f t="shared" si="15"/>
        <v>0</v>
      </c>
      <c r="M275" s="191"/>
      <c r="N275" s="191"/>
      <c r="O275" s="191"/>
      <c r="P275" s="191"/>
      <c r="Q275" s="191"/>
      <c r="R275" s="191"/>
      <c r="S275" s="191"/>
      <c r="T275" s="192"/>
      <c r="U275" s="189" t="str">
        <f t="shared" si="16"/>
        <v/>
      </c>
      <c r="V275" s="190" t="str">
        <f t="shared" si="17"/>
        <v/>
      </c>
      <c r="W275" s="190" t="str">
        <f t="shared" si="18"/>
        <v/>
      </c>
      <c r="X275" s="191" t="str">
        <f t="shared" si="19"/>
        <v/>
      </c>
      <c r="Y275" s="191" t="str">
        <f t="shared" si="20"/>
        <v/>
      </c>
      <c r="Z275" s="156"/>
    </row>
    <row r="276">
      <c r="A276" s="177" t="str">
        <f t="shared" si="14"/>
        <v/>
      </c>
      <c r="B276" s="196"/>
      <c r="C276" s="179" t="str">
        <f t="shared" si="2"/>
        <v/>
      </c>
      <c r="D276" s="197"/>
      <c r="E276" s="181"/>
      <c r="F276" s="198"/>
      <c r="G276" s="201"/>
      <c r="H276" s="201"/>
      <c r="I276" s="201"/>
      <c r="J276" s="202"/>
      <c r="K276" s="203"/>
      <c r="L276" s="186">
        <f t="shared" si="15"/>
        <v>0</v>
      </c>
      <c r="M276" s="191"/>
      <c r="N276" s="191"/>
      <c r="O276" s="191"/>
      <c r="P276" s="191"/>
      <c r="Q276" s="191"/>
      <c r="R276" s="191"/>
      <c r="S276" s="191"/>
      <c r="T276" s="192"/>
      <c r="U276" s="189" t="str">
        <f t="shared" si="16"/>
        <v/>
      </c>
      <c r="V276" s="190" t="str">
        <f t="shared" si="17"/>
        <v/>
      </c>
      <c r="W276" s="190" t="str">
        <f t="shared" si="18"/>
        <v/>
      </c>
      <c r="X276" s="191" t="str">
        <f t="shared" si="19"/>
        <v/>
      </c>
      <c r="Y276" s="191" t="str">
        <f t="shared" si="20"/>
        <v/>
      </c>
      <c r="Z276" s="156"/>
    </row>
    <row r="277">
      <c r="A277" s="177" t="str">
        <f t="shared" si="14"/>
        <v/>
      </c>
      <c r="B277" s="196"/>
      <c r="C277" s="179" t="str">
        <f t="shared" si="2"/>
        <v/>
      </c>
      <c r="D277" s="197"/>
      <c r="E277" s="181"/>
      <c r="F277" s="198"/>
      <c r="G277" s="201"/>
      <c r="H277" s="201"/>
      <c r="I277" s="201"/>
      <c r="J277" s="202"/>
      <c r="K277" s="203"/>
      <c r="L277" s="186">
        <f t="shared" si="15"/>
        <v>0</v>
      </c>
      <c r="M277" s="191"/>
      <c r="N277" s="191"/>
      <c r="O277" s="191"/>
      <c r="P277" s="191"/>
      <c r="Q277" s="191"/>
      <c r="R277" s="191"/>
      <c r="S277" s="191"/>
      <c r="T277" s="192"/>
      <c r="U277" s="189" t="str">
        <f t="shared" si="16"/>
        <v/>
      </c>
      <c r="V277" s="190" t="str">
        <f t="shared" si="17"/>
        <v/>
      </c>
      <c r="W277" s="190" t="str">
        <f t="shared" si="18"/>
        <v/>
      </c>
      <c r="X277" s="191" t="str">
        <f t="shared" si="19"/>
        <v/>
      </c>
      <c r="Y277" s="191" t="str">
        <f t="shared" si="20"/>
        <v/>
      </c>
      <c r="Z277" s="156"/>
    </row>
    <row r="278">
      <c r="A278" s="177" t="str">
        <f t="shared" si="14"/>
        <v/>
      </c>
      <c r="B278" s="196"/>
      <c r="C278" s="179" t="str">
        <f t="shared" si="2"/>
        <v/>
      </c>
      <c r="D278" s="197"/>
      <c r="E278" s="181"/>
      <c r="F278" s="198"/>
      <c r="G278" s="201"/>
      <c r="H278" s="201"/>
      <c r="I278" s="201"/>
      <c r="J278" s="202"/>
      <c r="K278" s="203"/>
      <c r="L278" s="186">
        <f t="shared" si="15"/>
        <v>0</v>
      </c>
      <c r="M278" s="191"/>
      <c r="N278" s="191"/>
      <c r="O278" s="191"/>
      <c r="P278" s="191"/>
      <c r="Q278" s="191"/>
      <c r="R278" s="191"/>
      <c r="S278" s="191"/>
      <c r="T278" s="192"/>
      <c r="U278" s="189" t="str">
        <f t="shared" si="16"/>
        <v/>
      </c>
      <c r="V278" s="190" t="str">
        <f t="shared" si="17"/>
        <v/>
      </c>
      <c r="W278" s="190" t="str">
        <f t="shared" si="18"/>
        <v/>
      </c>
      <c r="X278" s="191" t="str">
        <f t="shared" si="19"/>
        <v/>
      </c>
      <c r="Y278" s="191" t="str">
        <f t="shared" si="20"/>
        <v/>
      </c>
      <c r="Z278" s="156"/>
    </row>
    <row r="279">
      <c r="A279" s="177" t="str">
        <f t="shared" si="14"/>
        <v/>
      </c>
      <c r="B279" s="196"/>
      <c r="C279" s="179" t="str">
        <f t="shared" si="2"/>
        <v/>
      </c>
      <c r="D279" s="197"/>
      <c r="E279" s="181"/>
      <c r="F279" s="198"/>
      <c r="G279" s="201"/>
      <c r="H279" s="201"/>
      <c r="I279" s="201"/>
      <c r="J279" s="202"/>
      <c r="K279" s="203"/>
      <c r="L279" s="186">
        <f t="shared" si="15"/>
        <v>0</v>
      </c>
      <c r="M279" s="191"/>
      <c r="N279" s="191"/>
      <c r="O279" s="191"/>
      <c r="P279" s="191"/>
      <c r="Q279" s="191"/>
      <c r="R279" s="191"/>
      <c r="S279" s="191"/>
      <c r="T279" s="192"/>
      <c r="U279" s="189" t="str">
        <f t="shared" si="16"/>
        <v/>
      </c>
      <c r="V279" s="190" t="str">
        <f t="shared" si="17"/>
        <v/>
      </c>
      <c r="W279" s="190" t="str">
        <f t="shared" si="18"/>
        <v/>
      </c>
      <c r="X279" s="191" t="str">
        <f t="shared" si="19"/>
        <v/>
      </c>
      <c r="Y279" s="191" t="str">
        <f t="shared" si="20"/>
        <v/>
      </c>
      <c r="Z279" s="156"/>
    </row>
    <row r="280">
      <c r="A280" s="177" t="str">
        <f t="shared" si="14"/>
        <v/>
      </c>
      <c r="B280" s="196"/>
      <c r="C280" s="179" t="str">
        <f t="shared" si="2"/>
        <v/>
      </c>
      <c r="D280" s="197"/>
      <c r="E280" s="181"/>
      <c r="F280" s="198"/>
      <c r="G280" s="201"/>
      <c r="H280" s="201"/>
      <c r="I280" s="201"/>
      <c r="J280" s="202"/>
      <c r="K280" s="203"/>
      <c r="L280" s="186">
        <f t="shared" si="15"/>
        <v>0</v>
      </c>
      <c r="M280" s="191"/>
      <c r="N280" s="191"/>
      <c r="O280" s="191"/>
      <c r="P280" s="191"/>
      <c r="Q280" s="191"/>
      <c r="R280" s="191"/>
      <c r="S280" s="191"/>
      <c r="T280" s="192"/>
      <c r="U280" s="189" t="str">
        <f t="shared" si="16"/>
        <v/>
      </c>
      <c r="V280" s="190" t="str">
        <f t="shared" si="17"/>
        <v/>
      </c>
      <c r="W280" s="190" t="str">
        <f t="shared" si="18"/>
        <v/>
      </c>
      <c r="X280" s="191" t="str">
        <f t="shared" si="19"/>
        <v/>
      </c>
      <c r="Y280" s="191" t="str">
        <f t="shared" si="20"/>
        <v/>
      </c>
      <c r="Z280" s="156"/>
    </row>
    <row r="281">
      <c r="A281" s="177" t="str">
        <f t="shared" si="14"/>
        <v/>
      </c>
      <c r="B281" s="196"/>
      <c r="C281" s="179" t="str">
        <f t="shared" si="2"/>
        <v/>
      </c>
      <c r="D281" s="197"/>
      <c r="E281" s="181"/>
      <c r="F281" s="198"/>
      <c r="G281" s="201"/>
      <c r="H281" s="201"/>
      <c r="I281" s="201"/>
      <c r="J281" s="202"/>
      <c r="K281" s="203"/>
      <c r="L281" s="186">
        <f t="shared" si="15"/>
        <v>0</v>
      </c>
      <c r="M281" s="191"/>
      <c r="N281" s="191"/>
      <c r="O281" s="191"/>
      <c r="P281" s="191"/>
      <c r="Q281" s="191"/>
      <c r="R281" s="191"/>
      <c r="S281" s="191"/>
      <c r="T281" s="192"/>
      <c r="U281" s="189" t="str">
        <f t="shared" si="16"/>
        <v/>
      </c>
      <c r="V281" s="190" t="str">
        <f t="shared" si="17"/>
        <v/>
      </c>
      <c r="W281" s="190" t="str">
        <f t="shared" si="18"/>
        <v/>
      </c>
      <c r="X281" s="191" t="str">
        <f t="shared" si="19"/>
        <v/>
      </c>
      <c r="Y281" s="191" t="str">
        <f t="shared" si="20"/>
        <v/>
      </c>
      <c r="Z281" s="156"/>
    </row>
    <row r="282">
      <c r="A282" s="177" t="str">
        <f t="shared" si="14"/>
        <v/>
      </c>
      <c r="B282" s="196"/>
      <c r="C282" s="179" t="str">
        <f t="shared" si="2"/>
        <v/>
      </c>
      <c r="D282" s="197"/>
      <c r="E282" s="181"/>
      <c r="F282" s="198"/>
      <c r="G282" s="201"/>
      <c r="H282" s="201"/>
      <c r="I282" s="201"/>
      <c r="J282" s="202"/>
      <c r="K282" s="203"/>
      <c r="L282" s="186">
        <f t="shared" si="15"/>
        <v>0</v>
      </c>
      <c r="M282" s="191"/>
      <c r="N282" s="191"/>
      <c r="O282" s="191"/>
      <c r="P282" s="191"/>
      <c r="Q282" s="191"/>
      <c r="R282" s="191"/>
      <c r="S282" s="191"/>
      <c r="T282" s="192"/>
      <c r="U282" s="189" t="str">
        <f t="shared" si="16"/>
        <v/>
      </c>
      <c r="V282" s="190" t="str">
        <f t="shared" si="17"/>
        <v/>
      </c>
      <c r="W282" s="190" t="str">
        <f t="shared" si="18"/>
        <v/>
      </c>
      <c r="X282" s="191" t="str">
        <f t="shared" si="19"/>
        <v/>
      </c>
      <c r="Y282" s="191" t="str">
        <f t="shared" si="20"/>
        <v/>
      </c>
      <c r="Z282" s="156"/>
    </row>
    <row r="283">
      <c r="A283" s="177" t="str">
        <f t="shared" si="14"/>
        <v/>
      </c>
      <c r="B283" s="196"/>
      <c r="C283" s="179" t="str">
        <f t="shared" si="2"/>
        <v/>
      </c>
      <c r="D283" s="197"/>
      <c r="E283" s="181"/>
      <c r="F283" s="198"/>
      <c r="G283" s="201"/>
      <c r="H283" s="201"/>
      <c r="I283" s="201"/>
      <c r="J283" s="202"/>
      <c r="K283" s="203"/>
      <c r="L283" s="186">
        <f t="shared" si="15"/>
        <v>0</v>
      </c>
      <c r="M283" s="191"/>
      <c r="N283" s="191"/>
      <c r="O283" s="191"/>
      <c r="P283" s="191"/>
      <c r="Q283" s="191"/>
      <c r="R283" s="191"/>
      <c r="S283" s="191"/>
      <c r="T283" s="192"/>
      <c r="U283" s="189" t="str">
        <f t="shared" si="16"/>
        <v/>
      </c>
      <c r="V283" s="190" t="str">
        <f t="shared" si="17"/>
        <v/>
      </c>
      <c r="W283" s="190" t="str">
        <f t="shared" si="18"/>
        <v/>
      </c>
      <c r="X283" s="191" t="str">
        <f t="shared" si="19"/>
        <v/>
      </c>
      <c r="Y283" s="191" t="str">
        <f t="shared" si="20"/>
        <v/>
      </c>
      <c r="Z283" s="156"/>
    </row>
    <row r="284">
      <c r="A284" s="177" t="str">
        <f t="shared" si="14"/>
        <v/>
      </c>
      <c r="B284" s="196"/>
      <c r="C284" s="179" t="str">
        <f t="shared" si="2"/>
        <v/>
      </c>
      <c r="D284" s="197"/>
      <c r="E284" s="181"/>
      <c r="F284" s="198"/>
      <c r="G284" s="201"/>
      <c r="H284" s="201"/>
      <c r="I284" s="201"/>
      <c r="J284" s="202"/>
      <c r="K284" s="203"/>
      <c r="L284" s="186">
        <f t="shared" si="15"/>
        <v>0</v>
      </c>
      <c r="M284" s="191"/>
      <c r="N284" s="191"/>
      <c r="O284" s="191"/>
      <c r="P284" s="191"/>
      <c r="Q284" s="191"/>
      <c r="R284" s="191"/>
      <c r="S284" s="191"/>
      <c r="T284" s="192"/>
      <c r="U284" s="189" t="str">
        <f t="shared" si="16"/>
        <v/>
      </c>
      <c r="V284" s="190" t="str">
        <f t="shared" si="17"/>
        <v/>
      </c>
      <c r="W284" s="190" t="str">
        <f t="shared" si="18"/>
        <v/>
      </c>
      <c r="X284" s="191" t="str">
        <f t="shared" si="19"/>
        <v/>
      </c>
      <c r="Y284" s="191" t="str">
        <f t="shared" si="20"/>
        <v/>
      </c>
      <c r="Z284" s="156"/>
    </row>
    <row r="285">
      <c r="A285" s="177" t="str">
        <f t="shared" si="14"/>
        <v/>
      </c>
      <c r="B285" s="196"/>
      <c r="C285" s="179" t="str">
        <f t="shared" si="2"/>
        <v/>
      </c>
      <c r="D285" s="197"/>
      <c r="E285" s="181"/>
      <c r="F285" s="198"/>
      <c r="G285" s="201"/>
      <c r="H285" s="201"/>
      <c r="I285" s="201"/>
      <c r="J285" s="202"/>
      <c r="K285" s="203"/>
      <c r="L285" s="186">
        <f t="shared" si="15"/>
        <v>0</v>
      </c>
      <c r="M285" s="191"/>
      <c r="N285" s="191"/>
      <c r="O285" s="191"/>
      <c r="P285" s="191"/>
      <c r="Q285" s="191"/>
      <c r="R285" s="191"/>
      <c r="S285" s="191"/>
      <c r="T285" s="192"/>
      <c r="U285" s="189" t="str">
        <f t="shared" si="16"/>
        <v/>
      </c>
      <c r="V285" s="190" t="str">
        <f t="shared" si="17"/>
        <v/>
      </c>
      <c r="W285" s="190" t="str">
        <f t="shared" si="18"/>
        <v/>
      </c>
      <c r="X285" s="191" t="str">
        <f t="shared" si="19"/>
        <v/>
      </c>
      <c r="Y285" s="191" t="str">
        <f t="shared" si="20"/>
        <v/>
      </c>
      <c r="Z285" s="156"/>
    </row>
    <row r="286">
      <c r="A286" s="177" t="str">
        <f t="shared" si="14"/>
        <v/>
      </c>
      <c r="B286" s="196"/>
      <c r="C286" s="179" t="str">
        <f t="shared" si="2"/>
        <v/>
      </c>
      <c r="D286" s="197"/>
      <c r="E286" s="181"/>
      <c r="F286" s="198"/>
      <c r="G286" s="201"/>
      <c r="H286" s="201"/>
      <c r="I286" s="201"/>
      <c r="J286" s="202"/>
      <c r="K286" s="203"/>
      <c r="L286" s="186">
        <f t="shared" si="15"/>
        <v>0</v>
      </c>
      <c r="M286" s="191"/>
      <c r="N286" s="191"/>
      <c r="O286" s="191"/>
      <c r="P286" s="191"/>
      <c r="Q286" s="191"/>
      <c r="R286" s="191"/>
      <c r="S286" s="191"/>
      <c r="T286" s="192"/>
      <c r="U286" s="189" t="str">
        <f t="shared" si="16"/>
        <v/>
      </c>
      <c r="V286" s="190" t="str">
        <f t="shared" si="17"/>
        <v/>
      </c>
      <c r="W286" s="190" t="str">
        <f t="shared" si="18"/>
        <v/>
      </c>
      <c r="X286" s="191" t="str">
        <f t="shared" si="19"/>
        <v/>
      </c>
      <c r="Y286" s="191" t="str">
        <f t="shared" si="20"/>
        <v/>
      </c>
      <c r="Z286" s="156"/>
    </row>
    <row r="287">
      <c r="A287" s="177" t="str">
        <f t="shared" si="14"/>
        <v/>
      </c>
      <c r="B287" s="196"/>
      <c r="C287" s="179" t="str">
        <f t="shared" si="2"/>
        <v/>
      </c>
      <c r="D287" s="197"/>
      <c r="E287" s="181"/>
      <c r="F287" s="198"/>
      <c r="G287" s="201"/>
      <c r="H287" s="201"/>
      <c r="I287" s="201"/>
      <c r="J287" s="202"/>
      <c r="K287" s="203"/>
      <c r="L287" s="186">
        <f t="shared" si="15"/>
        <v>0</v>
      </c>
      <c r="M287" s="191"/>
      <c r="N287" s="191"/>
      <c r="O287" s="191"/>
      <c r="P287" s="191"/>
      <c r="Q287" s="191"/>
      <c r="R287" s="191"/>
      <c r="S287" s="191"/>
      <c r="T287" s="192"/>
      <c r="U287" s="189" t="str">
        <f t="shared" si="16"/>
        <v/>
      </c>
      <c r="V287" s="190" t="str">
        <f t="shared" si="17"/>
        <v/>
      </c>
      <c r="W287" s="190" t="str">
        <f t="shared" si="18"/>
        <v/>
      </c>
      <c r="X287" s="191" t="str">
        <f t="shared" si="19"/>
        <v/>
      </c>
      <c r="Y287" s="191" t="str">
        <f t="shared" si="20"/>
        <v/>
      </c>
      <c r="Z287" s="156"/>
    </row>
    <row r="288">
      <c r="A288" s="177" t="str">
        <f t="shared" si="14"/>
        <v/>
      </c>
      <c r="B288" s="196"/>
      <c r="C288" s="179" t="str">
        <f t="shared" si="2"/>
        <v/>
      </c>
      <c r="D288" s="197"/>
      <c r="E288" s="181"/>
      <c r="F288" s="198"/>
      <c r="G288" s="201"/>
      <c r="H288" s="201"/>
      <c r="I288" s="201"/>
      <c r="J288" s="202"/>
      <c r="K288" s="203"/>
      <c r="L288" s="186">
        <f t="shared" si="15"/>
        <v>0</v>
      </c>
      <c r="M288" s="191"/>
      <c r="N288" s="191"/>
      <c r="O288" s="191"/>
      <c r="P288" s="191"/>
      <c r="Q288" s="191"/>
      <c r="R288" s="191"/>
      <c r="S288" s="191"/>
      <c r="T288" s="192"/>
      <c r="U288" s="189" t="str">
        <f t="shared" si="16"/>
        <v/>
      </c>
      <c r="V288" s="190" t="str">
        <f t="shared" si="17"/>
        <v/>
      </c>
      <c r="W288" s="190" t="str">
        <f t="shared" si="18"/>
        <v/>
      </c>
      <c r="X288" s="191" t="str">
        <f t="shared" si="19"/>
        <v/>
      </c>
      <c r="Y288" s="191" t="str">
        <f t="shared" si="20"/>
        <v/>
      </c>
      <c r="Z288" s="156"/>
    </row>
    <row r="289">
      <c r="A289" s="177" t="str">
        <f t="shared" si="14"/>
        <v/>
      </c>
      <c r="B289" s="196"/>
      <c r="C289" s="179" t="str">
        <f t="shared" si="2"/>
        <v/>
      </c>
      <c r="D289" s="197"/>
      <c r="E289" s="181"/>
      <c r="F289" s="198"/>
      <c r="G289" s="201"/>
      <c r="H289" s="201"/>
      <c r="I289" s="201"/>
      <c r="J289" s="202"/>
      <c r="K289" s="203"/>
      <c r="L289" s="186">
        <f t="shared" si="15"/>
        <v>0</v>
      </c>
      <c r="M289" s="191"/>
      <c r="N289" s="191"/>
      <c r="O289" s="191"/>
      <c r="P289" s="191"/>
      <c r="Q289" s="191"/>
      <c r="R289" s="191"/>
      <c r="S289" s="191"/>
      <c r="T289" s="192"/>
      <c r="U289" s="189" t="str">
        <f t="shared" si="16"/>
        <v/>
      </c>
      <c r="V289" s="190" t="str">
        <f t="shared" si="17"/>
        <v/>
      </c>
      <c r="W289" s="190" t="str">
        <f t="shared" si="18"/>
        <v/>
      </c>
      <c r="X289" s="191" t="str">
        <f t="shared" si="19"/>
        <v/>
      </c>
      <c r="Y289" s="191" t="str">
        <f t="shared" si="20"/>
        <v/>
      </c>
      <c r="Z289" s="156"/>
    </row>
    <row r="290">
      <c r="A290" s="177" t="str">
        <f t="shared" si="14"/>
        <v/>
      </c>
      <c r="B290" s="196"/>
      <c r="C290" s="179" t="str">
        <f t="shared" si="2"/>
        <v/>
      </c>
      <c r="D290" s="197"/>
      <c r="E290" s="181"/>
      <c r="F290" s="198"/>
      <c r="G290" s="201"/>
      <c r="H290" s="201"/>
      <c r="I290" s="201"/>
      <c r="J290" s="202"/>
      <c r="K290" s="203"/>
      <c r="L290" s="186">
        <f t="shared" si="15"/>
        <v>0</v>
      </c>
      <c r="M290" s="191"/>
      <c r="N290" s="191"/>
      <c r="O290" s="191"/>
      <c r="P290" s="191"/>
      <c r="Q290" s="191"/>
      <c r="R290" s="191"/>
      <c r="S290" s="191"/>
      <c r="T290" s="192"/>
      <c r="U290" s="189" t="str">
        <f t="shared" si="16"/>
        <v/>
      </c>
      <c r="V290" s="190" t="str">
        <f t="shared" si="17"/>
        <v/>
      </c>
      <c r="W290" s="190" t="str">
        <f t="shared" si="18"/>
        <v/>
      </c>
      <c r="X290" s="191" t="str">
        <f t="shared" si="19"/>
        <v/>
      </c>
      <c r="Y290" s="191" t="str">
        <f t="shared" si="20"/>
        <v/>
      </c>
      <c r="Z290" s="156"/>
    </row>
    <row r="291">
      <c r="A291" s="177" t="str">
        <f t="shared" si="14"/>
        <v/>
      </c>
      <c r="B291" s="196"/>
      <c r="C291" s="179" t="str">
        <f t="shared" si="2"/>
        <v/>
      </c>
      <c r="D291" s="197"/>
      <c r="E291" s="181"/>
      <c r="F291" s="198"/>
      <c r="G291" s="201"/>
      <c r="H291" s="201"/>
      <c r="I291" s="201"/>
      <c r="J291" s="202"/>
      <c r="K291" s="203"/>
      <c r="L291" s="186">
        <f t="shared" si="15"/>
        <v>0</v>
      </c>
      <c r="M291" s="191"/>
      <c r="N291" s="191"/>
      <c r="O291" s="191"/>
      <c r="P291" s="191"/>
      <c r="Q291" s="191"/>
      <c r="R291" s="191"/>
      <c r="S291" s="191"/>
      <c r="T291" s="192"/>
      <c r="U291" s="189" t="str">
        <f t="shared" si="16"/>
        <v/>
      </c>
      <c r="V291" s="190" t="str">
        <f t="shared" si="17"/>
        <v/>
      </c>
      <c r="W291" s="190" t="str">
        <f t="shared" si="18"/>
        <v/>
      </c>
      <c r="X291" s="191" t="str">
        <f t="shared" si="19"/>
        <v/>
      </c>
      <c r="Y291" s="191" t="str">
        <f t="shared" si="20"/>
        <v/>
      </c>
      <c r="Z291" s="156"/>
    </row>
    <row r="292">
      <c r="A292" s="177" t="str">
        <f t="shared" si="14"/>
        <v/>
      </c>
      <c r="B292" s="196"/>
      <c r="C292" s="179" t="str">
        <f t="shared" si="2"/>
        <v/>
      </c>
      <c r="D292" s="197"/>
      <c r="E292" s="181"/>
      <c r="F292" s="198"/>
      <c r="G292" s="201"/>
      <c r="H292" s="201"/>
      <c r="I292" s="201"/>
      <c r="J292" s="202"/>
      <c r="K292" s="203"/>
      <c r="L292" s="186">
        <f t="shared" si="15"/>
        <v>0</v>
      </c>
      <c r="M292" s="191"/>
      <c r="N292" s="191"/>
      <c r="O292" s="191"/>
      <c r="P292" s="191"/>
      <c r="Q292" s="191"/>
      <c r="R292" s="191"/>
      <c r="S292" s="191"/>
      <c r="T292" s="192"/>
      <c r="U292" s="189" t="str">
        <f t="shared" si="16"/>
        <v/>
      </c>
      <c r="V292" s="190" t="str">
        <f t="shared" si="17"/>
        <v/>
      </c>
      <c r="W292" s="190" t="str">
        <f t="shared" si="18"/>
        <v/>
      </c>
      <c r="X292" s="191" t="str">
        <f t="shared" si="19"/>
        <v/>
      </c>
      <c r="Y292" s="191" t="str">
        <f t="shared" si="20"/>
        <v/>
      </c>
      <c r="Z292" s="156"/>
    </row>
    <row r="293">
      <c r="A293" s="177" t="str">
        <f t="shared" si="14"/>
        <v/>
      </c>
      <c r="B293" s="196"/>
      <c r="C293" s="179" t="str">
        <f t="shared" si="2"/>
        <v/>
      </c>
      <c r="D293" s="197"/>
      <c r="E293" s="181"/>
      <c r="F293" s="198"/>
      <c r="G293" s="201"/>
      <c r="H293" s="201"/>
      <c r="I293" s="201"/>
      <c r="J293" s="202"/>
      <c r="K293" s="203"/>
      <c r="L293" s="186">
        <f t="shared" si="15"/>
        <v>0</v>
      </c>
      <c r="M293" s="191"/>
      <c r="N293" s="191"/>
      <c r="O293" s="191"/>
      <c r="P293" s="191"/>
      <c r="Q293" s="191"/>
      <c r="R293" s="191"/>
      <c r="S293" s="191"/>
      <c r="T293" s="192"/>
      <c r="U293" s="189" t="str">
        <f t="shared" si="16"/>
        <v/>
      </c>
      <c r="V293" s="190" t="str">
        <f t="shared" si="17"/>
        <v/>
      </c>
      <c r="W293" s="190" t="str">
        <f t="shared" si="18"/>
        <v/>
      </c>
      <c r="X293" s="191" t="str">
        <f t="shared" si="19"/>
        <v/>
      </c>
      <c r="Y293" s="191" t="str">
        <f t="shared" si="20"/>
        <v/>
      </c>
      <c r="Z293" s="156"/>
    </row>
    <row r="294">
      <c r="A294" s="177" t="str">
        <f t="shared" si="14"/>
        <v/>
      </c>
      <c r="B294" s="196"/>
      <c r="C294" s="179" t="str">
        <f t="shared" si="2"/>
        <v/>
      </c>
      <c r="D294" s="197"/>
      <c r="E294" s="181"/>
      <c r="F294" s="198"/>
      <c r="G294" s="201"/>
      <c r="H294" s="201"/>
      <c r="I294" s="201"/>
      <c r="J294" s="202"/>
      <c r="K294" s="203"/>
      <c r="L294" s="186">
        <f t="shared" si="15"/>
        <v>0</v>
      </c>
      <c r="M294" s="191"/>
      <c r="N294" s="191"/>
      <c r="O294" s="191"/>
      <c r="P294" s="191"/>
      <c r="Q294" s="191"/>
      <c r="R294" s="191"/>
      <c r="S294" s="191"/>
      <c r="T294" s="192"/>
      <c r="U294" s="189" t="str">
        <f t="shared" si="16"/>
        <v/>
      </c>
      <c r="V294" s="190" t="str">
        <f t="shared" si="17"/>
        <v/>
      </c>
      <c r="W294" s="190" t="str">
        <f t="shared" si="18"/>
        <v/>
      </c>
      <c r="X294" s="191" t="str">
        <f t="shared" si="19"/>
        <v/>
      </c>
      <c r="Y294" s="191" t="str">
        <f t="shared" si="20"/>
        <v/>
      </c>
      <c r="Z294" s="156"/>
    </row>
    <row r="295">
      <c r="A295" s="177" t="str">
        <f t="shared" si="14"/>
        <v/>
      </c>
      <c r="B295" s="196"/>
      <c r="C295" s="179" t="str">
        <f t="shared" si="2"/>
        <v/>
      </c>
      <c r="D295" s="197"/>
      <c r="E295" s="181"/>
      <c r="F295" s="198"/>
      <c r="G295" s="201"/>
      <c r="H295" s="201"/>
      <c r="I295" s="201"/>
      <c r="J295" s="202"/>
      <c r="K295" s="203"/>
      <c r="L295" s="186">
        <f t="shared" si="15"/>
        <v>0</v>
      </c>
      <c r="M295" s="191"/>
      <c r="N295" s="191"/>
      <c r="O295" s="191"/>
      <c r="P295" s="191"/>
      <c r="Q295" s="191"/>
      <c r="R295" s="191"/>
      <c r="S295" s="191"/>
      <c r="T295" s="192"/>
      <c r="U295" s="189" t="str">
        <f t="shared" si="16"/>
        <v/>
      </c>
      <c r="V295" s="190" t="str">
        <f t="shared" si="17"/>
        <v/>
      </c>
      <c r="W295" s="190" t="str">
        <f t="shared" si="18"/>
        <v/>
      </c>
      <c r="X295" s="191" t="str">
        <f t="shared" si="19"/>
        <v/>
      </c>
      <c r="Y295" s="191" t="str">
        <f t="shared" si="20"/>
        <v/>
      </c>
      <c r="Z295" s="156"/>
    </row>
    <row r="296">
      <c r="A296" s="177" t="str">
        <f t="shared" si="14"/>
        <v/>
      </c>
      <c r="B296" s="196"/>
      <c r="C296" s="179" t="str">
        <f t="shared" si="2"/>
        <v/>
      </c>
      <c r="D296" s="197"/>
      <c r="E296" s="181"/>
      <c r="F296" s="198"/>
      <c r="G296" s="201"/>
      <c r="H296" s="201"/>
      <c r="I296" s="201"/>
      <c r="J296" s="202"/>
      <c r="K296" s="203"/>
      <c r="L296" s="186">
        <f t="shared" si="15"/>
        <v>0</v>
      </c>
      <c r="M296" s="191"/>
      <c r="N296" s="191"/>
      <c r="O296" s="191"/>
      <c r="P296" s="191"/>
      <c r="Q296" s="191"/>
      <c r="R296" s="191"/>
      <c r="S296" s="191"/>
      <c r="T296" s="192"/>
      <c r="U296" s="189" t="str">
        <f t="shared" si="16"/>
        <v/>
      </c>
      <c r="V296" s="190" t="str">
        <f t="shared" si="17"/>
        <v/>
      </c>
      <c r="W296" s="190" t="str">
        <f t="shared" si="18"/>
        <v/>
      </c>
      <c r="X296" s="191" t="str">
        <f t="shared" si="19"/>
        <v/>
      </c>
      <c r="Y296" s="191" t="str">
        <f t="shared" si="20"/>
        <v/>
      </c>
      <c r="Z296" s="156"/>
    </row>
    <row r="297">
      <c r="A297" s="177" t="str">
        <f t="shared" si="14"/>
        <v/>
      </c>
      <c r="B297" s="196"/>
      <c r="C297" s="179" t="str">
        <f t="shared" si="2"/>
        <v/>
      </c>
      <c r="D297" s="197"/>
      <c r="E297" s="181"/>
      <c r="F297" s="198"/>
      <c r="G297" s="201"/>
      <c r="H297" s="201"/>
      <c r="I297" s="201"/>
      <c r="J297" s="202"/>
      <c r="K297" s="203"/>
      <c r="L297" s="186">
        <f t="shared" si="15"/>
        <v>0</v>
      </c>
      <c r="M297" s="191"/>
      <c r="N297" s="191"/>
      <c r="O297" s="191"/>
      <c r="P297" s="191"/>
      <c r="Q297" s="191"/>
      <c r="R297" s="191"/>
      <c r="S297" s="191"/>
      <c r="T297" s="192"/>
      <c r="U297" s="189" t="str">
        <f t="shared" si="16"/>
        <v/>
      </c>
      <c r="V297" s="190" t="str">
        <f t="shared" si="17"/>
        <v/>
      </c>
      <c r="W297" s="190" t="str">
        <f t="shared" si="18"/>
        <v/>
      </c>
      <c r="X297" s="191" t="str">
        <f t="shared" si="19"/>
        <v/>
      </c>
      <c r="Y297" s="191" t="str">
        <f t="shared" si="20"/>
        <v/>
      </c>
      <c r="Z297" s="156"/>
    </row>
    <row r="298">
      <c r="A298" s="177" t="str">
        <f t="shared" si="14"/>
        <v/>
      </c>
      <c r="B298" s="196"/>
      <c r="C298" s="179" t="str">
        <f t="shared" si="2"/>
        <v/>
      </c>
      <c r="D298" s="197"/>
      <c r="E298" s="181"/>
      <c r="F298" s="198"/>
      <c r="G298" s="201"/>
      <c r="H298" s="201"/>
      <c r="I298" s="201"/>
      <c r="J298" s="202"/>
      <c r="K298" s="203"/>
      <c r="L298" s="186">
        <f t="shared" si="15"/>
        <v>0</v>
      </c>
      <c r="M298" s="191"/>
      <c r="N298" s="191"/>
      <c r="O298" s="191"/>
      <c r="P298" s="191"/>
      <c r="Q298" s="191"/>
      <c r="R298" s="191"/>
      <c r="S298" s="191"/>
      <c r="T298" s="192"/>
      <c r="U298" s="189" t="str">
        <f t="shared" si="16"/>
        <v/>
      </c>
      <c r="V298" s="190" t="str">
        <f t="shared" si="17"/>
        <v/>
      </c>
      <c r="W298" s="190" t="str">
        <f t="shared" si="18"/>
        <v/>
      </c>
      <c r="X298" s="191" t="str">
        <f t="shared" si="19"/>
        <v/>
      </c>
      <c r="Y298" s="191" t="str">
        <f t="shared" si="20"/>
        <v/>
      </c>
      <c r="Z298" s="156"/>
    </row>
    <row r="299">
      <c r="A299" s="177" t="str">
        <f t="shared" si="14"/>
        <v/>
      </c>
      <c r="B299" s="196"/>
      <c r="C299" s="179" t="str">
        <f t="shared" si="2"/>
        <v/>
      </c>
      <c r="D299" s="197"/>
      <c r="E299" s="181"/>
      <c r="F299" s="198"/>
      <c r="G299" s="201"/>
      <c r="H299" s="201"/>
      <c r="I299" s="201"/>
      <c r="J299" s="202"/>
      <c r="K299" s="203"/>
      <c r="L299" s="186">
        <f t="shared" si="15"/>
        <v>0</v>
      </c>
      <c r="M299" s="191"/>
      <c r="N299" s="191"/>
      <c r="O299" s="191"/>
      <c r="P299" s="191"/>
      <c r="Q299" s="191"/>
      <c r="R299" s="191"/>
      <c r="S299" s="191"/>
      <c r="T299" s="192"/>
      <c r="U299" s="189" t="str">
        <f t="shared" si="16"/>
        <v/>
      </c>
      <c r="V299" s="190" t="str">
        <f t="shared" si="17"/>
        <v/>
      </c>
      <c r="W299" s="190" t="str">
        <f t="shared" si="18"/>
        <v/>
      </c>
      <c r="X299" s="191" t="str">
        <f t="shared" si="19"/>
        <v/>
      </c>
      <c r="Y299" s="191" t="str">
        <f t="shared" si="20"/>
        <v/>
      </c>
      <c r="Z299" s="156"/>
    </row>
    <row r="300">
      <c r="A300" s="177" t="str">
        <f t="shared" si="14"/>
        <v/>
      </c>
      <c r="B300" s="196"/>
      <c r="C300" s="179" t="str">
        <f t="shared" si="2"/>
        <v/>
      </c>
      <c r="D300" s="197"/>
      <c r="E300" s="181"/>
      <c r="F300" s="198"/>
      <c r="G300" s="201"/>
      <c r="H300" s="201"/>
      <c r="I300" s="201"/>
      <c r="J300" s="202"/>
      <c r="K300" s="203"/>
      <c r="L300" s="186">
        <f t="shared" si="15"/>
        <v>0</v>
      </c>
      <c r="M300" s="191"/>
      <c r="N300" s="191"/>
      <c r="O300" s="191"/>
      <c r="P300" s="191"/>
      <c r="Q300" s="191"/>
      <c r="R300" s="191"/>
      <c r="S300" s="191"/>
      <c r="T300" s="192"/>
      <c r="U300" s="189" t="str">
        <f t="shared" si="16"/>
        <v/>
      </c>
      <c r="V300" s="190" t="str">
        <f t="shared" si="17"/>
        <v/>
      </c>
      <c r="W300" s="190" t="str">
        <f t="shared" si="18"/>
        <v/>
      </c>
      <c r="X300" s="191" t="str">
        <f t="shared" si="19"/>
        <v/>
      </c>
      <c r="Y300" s="191" t="str">
        <f t="shared" si="20"/>
        <v/>
      </c>
      <c r="Z300" s="156"/>
    </row>
    <row r="301">
      <c r="A301" s="177" t="str">
        <f t="shared" si="14"/>
        <v/>
      </c>
      <c r="B301" s="196"/>
      <c r="C301" s="179" t="str">
        <f t="shared" si="2"/>
        <v/>
      </c>
      <c r="D301" s="197"/>
      <c r="E301" s="181"/>
      <c r="F301" s="198"/>
      <c r="G301" s="201"/>
      <c r="H301" s="201"/>
      <c r="I301" s="201"/>
      <c r="J301" s="202"/>
      <c r="K301" s="203"/>
      <c r="L301" s="186">
        <f t="shared" si="15"/>
        <v>0</v>
      </c>
      <c r="M301" s="191"/>
      <c r="N301" s="191"/>
      <c r="O301" s="191"/>
      <c r="P301" s="191"/>
      <c r="Q301" s="191"/>
      <c r="R301" s="191"/>
      <c r="S301" s="191"/>
      <c r="T301" s="192"/>
      <c r="U301" s="189" t="str">
        <f t="shared" si="16"/>
        <v/>
      </c>
      <c r="V301" s="190" t="str">
        <f t="shared" si="17"/>
        <v/>
      </c>
      <c r="W301" s="190" t="str">
        <f t="shared" si="18"/>
        <v/>
      </c>
      <c r="X301" s="191" t="str">
        <f t="shared" si="19"/>
        <v/>
      </c>
      <c r="Y301" s="191" t="str">
        <f t="shared" si="20"/>
        <v/>
      </c>
      <c r="Z301" s="156"/>
    </row>
    <row r="302">
      <c r="A302" s="177" t="str">
        <f t="shared" si="14"/>
        <v/>
      </c>
      <c r="B302" s="196"/>
      <c r="C302" s="179" t="str">
        <f t="shared" si="2"/>
        <v/>
      </c>
      <c r="D302" s="197"/>
      <c r="E302" s="181"/>
      <c r="F302" s="198"/>
      <c r="G302" s="201"/>
      <c r="H302" s="201"/>
      <c r="I302" s="201"/>
      <c r="J302" s="202"/>
      <c r="K302" s="203"/>
      <c r="L302" s="186">
        <f t="shared" si="15"/>
        <v>0</v>
      </c>
      <c r="M302" s="191"/>
      <c r="N302" s="191"/>
      <c r="O302" s="191"/>
      <c r="P302" s="191"/>
      <c r="Q302" s="191"/>
      <c r="R302" s="191"/>
      <c r="S302" s="191"/>
      <c r="T302" s="192"/>
      <c r="U302" s="189" t="str">
        <f t="shared" si="16"/>
        <v/>
      </c>
      <c r="V302" s="190" t="str">
        <f t="shared" si="17"/>
        <v/>
      </c>
      <c r="W302" s="190" t="str">
        <f t="shared" si="18"/>
        <v/>
      </c>
      <c r="X302" s="191" t="str">
        <f t="shared" si="19"/>
        <v/>
      </c>
      <c r="Y302" s="191" t="str">
        <f t="shared" si="20"/>
        <v/>
      </c>
      <c r="Z302" s="156"/>
    </row>
    <row r="303">
      <c r="A303" s="177" t="str">
        <f t="shared" si="14"/>
        <v/>
      </c>
      <c r="B303" s="196"/>
      <c r="C303" s="179" t="str">
        <f t="shared" si="2"/>
        <v/>
      </c>
      <c r="D303" s="197"/>
      <c r="E303" s="181"/>
      <c r="F303" s="198"/>
      <c r="G303" s="201"/>
      <c r="H303" s="201"/>
      <c r="I303" s="201"/>
      <c r="J303" s="202"/>
      <c r="K303" s="203"/>
      <c r="L303" s="186">
        <f t="shared" si="15"/>
        <v>0</v>
      </c>
      <c r="M303" s="191"/>
      <c r="N303" s="191"/>
      <c r="O303" s="191"/>
      <c r="P303" s="191"/>
      <c r="Q303" s="191"/>
      <c r="R303" s="191"/>
      <c r="S303" s="191"/>
      <c r="T303" s="192"/>
      <c r="U303" s="189" t="str">
        <f t="shared" si="16"/>
        <v/>
      </c>
      <c r="V303" s="190" t="str">
        <f t="shared" si="17"/>
        <v/>
      </c>
      <c r="W303" s="190" t="str">
        <f t="shared" si="18"/>
        <v/>
      </c>
      <c r="X303" s="191" t="str">
        <f t="shared" si="19"/>
        <v/>
      </c>
      <c r="Y303" s="191" t="str">
        <f t="shared" si="20"/>
        <v/>
      </c>
      <c r="Z303" s="156"/>
    </row>
    <row r="304">
      <c r="A304" s="177" t="str">
        <f t="shared" si="14"/>
        <v/>
      </c>
      <c r="B304" s="196"/>
      <c r="C304" s="179" t="str">
        <f t="shared" si="2"/>
        <v/>
      </c>
      <c r="D304" s="197"/>
      <c r="E304" s="181"/>
      <c r="F304" s="198"/>
      <c r="G304" s="201"/>
      <c r="H304" s="201"/>
      <c r="I304" s="201"/>
      <c r="J304" s="202"/>
      <c r="K304" s="203"/>
      <c r="L304" s="186">
        <f t="shared" si="15"/>
        <v>0</v>
      </c>
      <c r="M304" s="191"/>
      <c r="N304" s="191"/>
      <c r="O304" s="191"/>
      <c r="P304" s="191"/>
      <c r="Q304" s="191"/>
      <c r="R304" s="191"/>
      <c r="S304" s="191"/>
      <c r="T304" s="192"/>
      <c r="U304" s="189" t="str">
        <f t="shared" si="16"/>
        <v/>
      </c>
      <c r="V304" s="190" t="str">
        <f t="shared" si="17"/>
        <v/>
      </c>
      <c r="W304" s="190" t="str">
        <f t="shared" si="18"/>
        <v/>
      </c>
      <c r="X304" s="191" t="str">
        <f t="shared" si="19"/>
        <v/>
      </c>
      <c r="Y304" s="191" t="str">
        <f t="shared" si="20"/>
        <v/>
      </c>
      <c r="Z304" s="156"/>
    </row>
    <row r="305">
      <c r="A305" s="177" t="str">
        <f t="shared" si="14"/>
        <v/>
      </c>
      <c r="B305" s="196"/>
      <c r="C305" s="179" t="str">
        <f t="shared" si="2"/>
        <v/>
      </c>
      <c r="D305" s="197"/>
      <c r="E305" s="181"/>
      <c r="F305" s="198"/>
      <c r="G305" s="201"/>
      <c r="H305" s="201"/>
      <c r="I305" s="201"/>
      <c r="J305" s="202"/>
      <c r="K305" s="203"/>
      <c r="L305" s="186">
        <f t="shared" si="15"/>
        <v>0</v>
      </c>
      <c r="M305" s="191"/>
      <c r="N305" s="191"/>
      <c r="O305" s="191"/>
      <c r="P305" s="191"/>
      <c r="Q305" s="191"/>
      <c r="R305" s="191"/>
      <c r="S305" s="191"/>
      <c r="T305" s="192"/>
      <c r="U305" s="189" t="str">
        <f t="shared" si="16"/>
        <v/>
      </c>
      <c r="V305" s="190" t="str">
        <f t="shared" si="17"/>
        <v/>
      </c>
      <c r="W305" s="190" t="str">
        <f t="shared" si="18"/>
        <v/>
      </c>
      <c r="X305" s="191" t="str">
        <f t="shared" si="19"/>
        <v/>
      </c>
      <c r="Y305" s="191" t="str">
        <f t="shared" si="20"/>
        <v/>
      </c>
      <c r="Z305" s="156"/>
    </row>
    <row r="306">
      <c r="A306" s="177" t="str">
        <f t="shared" si="14"/>
        <v/>
      </c>
      <c r="B306" s="196"/>
      <c r="C306" s="179" t="str">
        <f t="shared" si="2"/>
        <v/>
      </c>
      <c r="D306" s="197"/>
      <c r="E306" s="181"/>
      <c r="F306" s="198"/>
      <c r="G306" s="201"/>
      <c r="H306" s="201"/>
      <c r="I306" s="201"/>
      <c r="J306" s="202"/>
      <c r="K306" s="203"/>
      <c r="L306" s="186">
        <f t="shared" si="15"/>
        <v>0</v>
      </c>
      <c r="M306" s="191"/>
      <c r="N306" s="191"/>
      <c r="O306" s="191"/>
      <c r="P306" s="191"/>
      <c r="Q306" s="191"/>
      <c r="R306" s="191"/>
      <c r="S306" s="191"/>
      <c r="T306" s="192"/>
      <c r="U306" s="189" t="str">
        <f t="shared" si="16"/>
        <v/>
      </c>
      <c r="V306" s="190" t="str">
        <f t="shared" si="17"/>
        <v/>
      </c>
      <c r="W306" s="190" t="str">
        <f t="shared" si="18"/>
        <v/>
      </c>
      <c r="X306" s="191" t="str">
        <f t="shared" si="19"/>
        <v/>
      </c>
      <c r="Y306" s="191" t="str">
        <f t="shared" si="20"/>
        <v/>
      </c>
      <c r="Z306" s="156"/>
    </row>
    <row r="307">
      <c r="A307" s="177" t="str">
        <f t="shared" si="14"/>
        <v/>
      </c>
      <c r="B307" s="196"/>
      <c r="C307" s="179" t="str">
        <f t="shared" si="2"/>
        <v/>
      </c>
      <c r="D307" s="197"/>
      <c r="E307" s="181"/>
      <c r="F307" s="198"/>
      <c r="G307" s="201"/>
      <c r="H307" s="201"/>
      <c r="I307" s="201"/>
      <c r="J307" s="202"/>
      <c r="K307" s="203"/>
      <c r="L307" s="186">
        <f t="shared" si="15"/>
        <v>0</v>
      </c>
      <c r="M307" s="191"/>
      <c r="N307" s="191"/>
      <c r="O307" s="191"/>
      <c r="P307" s="191"/>
      <c r="Q307" s="191"/>
      <c r="R307" s="191"/>
      <c r="S307" s="191"/>
      <c r="T307" s="192"/>
      <c r="U307" s="189" t="str">
        <f t="shared" si="16"/>
        <v/>
      </c>
      <c r="V307" s="190" t="str">
        <f t="shared" si="17"/>
        <v/>
      </c>
      <c r="W307" s="190" t="str">
        <f t="shared" si="18"/>
        <v/>
      </c>
      <c r="X307" s="191" t="str">
        <f t="shared" si="19"/>
        <v/>
      </c>
      <c r="Y307" s="191" t="str">
        <f t="shared" si="20"/>
        <v/>
      </c>
      <c r="Z307" s="156"/>
    </row>
    <row r="308">
      <c r="A308" s="177" t="str">
        <f t="shared" si="14"/>
        <v/>
      </c>
      <c r="B308" s="196"/>
      <c r="C308" s="179" t="str">
        <f t="shared" si="2"/>
        <v/>
      </c>
      <c r="D308" s="197"/>
      <c r="E308" s="181"/>
      <c r="F308" s="198"/>
      <c r="G308" s="201"/>
      <c r="H308" s="201"/>
      <c r="I308" s="201"/>
      <c r="J308" s="202"/>
      <c r="K308" s="203"/>
      <c r="L308" s="186">
        <f t="shared" si="15"/>
        <v>0</v>
      </c>
      <c r="M308" s="191"/>
      <c r="N308" s="191"/>
      <c r="O308" s="191"/>
      <c r="P308" s="191"/>
      <c r="Q308" s="191"/>
      <c r="R308" s="191"/>
      <c r="S308" s="191"/>
      <c r="T308" s="192"/>
      <c r="U308" s="189" t="str">
        <f t="shared" si="16"/>
        <v/>
      </c>
      <c r="V308" s="190" t="str">
        <f t="shared" si="17"/>
        <v/>
      </c>
      <c r="W308" s="190" t="str">
        <f t="shared" si="18"/>
        <v/>
      </c>
      <c r="X308" s="191" t="str">
        <f t="shared" si="19"/>
        <v/>
      </c>
      <c r="Y308" s="191" t="str">
        <f t="shared" si="20"/>
        <v/>
      </c>
      <c r="Z308" s="156"/>
    </row>
    <row r="309">
      <c r="A309" s="177" t="str">
        <f t="shared" si="14"/>
        <v/>
      </c>
      <c r="B309" s="196"/>
      <c r="C309" s="179" t="str">
        <f t="shared" si="2"/>
        <v/>
      </c>
      <c r="D309" s="197"/>
      <c r="E309" s="181"/>
      <c r="F309" s="198"/>
      <c r="G309" s="201"/>
      <c r="H309" s="201"/>
      <c r="I309" s="201"/>
      <c r="J309" s="202"/>
      <c r="K309" s="203"/>
      <c r="L309" s="186">
        <f t="shared" si="15"/>
        <v>0</v>
      </c>
      <c r="M309" s="191"/>
      <c r="N309" s="191"/>
      <c r="O309" s="191"/>
      <c r="P309" s="191"/>
      <c r="Q309" s="191"/>
      <c r="R309" s="191"/>
      <c r="S309" s="191"/>
      <c r="T309" s="192"/>
      <c r="U309" s="189" t="str">
        <f t="shared" si="16"/>
        <v/>
      </c>
      <c r="V309" s="190" t="str">
        <f t="shared" si="17"/>
        <v/>
      </c>
      <c r="W309" s="190" t="str">
        <f t="shared" si="18"/>
        <v/>
      </c>
      <c r="X309" s="191" t="str">
        <f t="shared" si="19"/>
        <v/>
      </c>
      <c r="Y309" s="191" t="str">
        <f t="shared" si="20"/>
        <v/>
      </c>
      <c r="Z309" s="156"/>
    </row>
    <row r="310">
      <c r="A310" s="177" t="str">
        <f t="shared" si="14"/>
        <v/>
      </c>
      <c r="B310" s="196"/>
      <c r="C310" s="179" t="str">
        <f t="shared" si="2"/>
        <v/>
      </c>
      <c r="D310" s="197"/>
      <c r="E310" s="181"/>
      <c r="F310" s="198"/>
      <c r="G310" s="201"/>
      <c r="H310" s="201"/>
      <c r="I310" s="201"/>
      <c r="J310" s="202"/>
      <c r="K310" s="203"/>
      <c r="L310" s="186">
        <f t="shared" si="15"/>
        <v>0</v>
      </c>
      <c r="M310" s="191"/>
      <c r="N310" s="191"/>
      <c r="O310" s="191"/>
      <c r="P310" s="191"/>
      <c r="Q310" s="191"/>
      <c r="R310" s="191"/>
      <c r="S310" s="191"/>
      <c r="T310" s="192"/>
      <c r="U310" s="189" t="str">
        <f t="shared" si="16"/>
        <v/>
      </c>
      <c r="V310" s="190" t="str">
        <f t="shared" si="17"/>
        <v/>
      </c>
      <c r="W310" s="190" t="str">
        <f t="shared" si="18"/>
        <v/>
      </c>
      <c r="X310" s="191" t="str">
        <f t="shared" si="19"/>
        <v/>
      </c>
      <c r="Y310" s="191" t="str">
        <f t="shared" si="20"/>
        <v/>
      </c>
      <c r="Z310" s="156"/>
    </row>
    <row r="311">
      <c r="A311" s="177" t="str">
        <f t="shared" si="14"/>
        <v/>
      </c>
      <c r="B311" s="196"/>
      <c r="C311" s="179" t="str">
        <f t="shared" si="2"/>
        <v/>
      </c>
      <c r="D311" s="197"/>
      <c r="E311" s="181"/>
      <c r="F311" s="198"/>
      <c r="G311" s="201"/>
      <c r="H311" s="201"/>
      <c r="I311" s="201"/>
      <c r="J311" s="202"/>
      <c r="K311" s="203"/>
      <c r="L311" s="186">
        <f t="shared" si="15"/>
        <v>0</v>
      </c>
      <c r="M311" s="191"/>
      <c r="N311" s="191"/>
      <c r="O311" s="191"/>
      <c r="P311" s="191"/>
      <c r="Q311" s="191"/>
      <c r="R311" s="191"/>
      <c r="S311" s="191"/>
      <c r="T311" s="192"/>
      <c r="U311" s="189" t="str">
        <f t="shared" si="16"/>
        <v/>
      </c>
      <c r="V311" s="190" t="str">
        <f t="shared" si="17"/>
        <v/>
      </c>
      <c r="W311" s="190" t="str">
        <f t="shared" si="18"/>
        <v/>
      </c>
      <c r="X311" s="191" t="str">
        <f t="shared" si="19"/>
        <v/>
      </c>
      <c r="Y311" s="191" t="str">
        <f t="shared" si="20"/>
        <v/>
      </c>
      <c r="Z311" s="156"/>
    </row>
    <row r="312">
      <c r="A312" s="177" t="str">
        <f t="shared" si="14"/>
        <v/>
      </c>
      <c r="B312" s="196"/>
      <c r="C312" s="179" t="str">
        <f t="shared" si="2"/>
        <v/>
      </c>
      <c r="D312" s="197"/>
      <c r="E312" s="181"/>
      <c r="F312" s="198"/>
      <c r="G312" s="201"/>
      <c r="H312" s="201"/>
      <c r="I312" s="201"/>
      <c r="J312" s="202"/>
      <c r="K312" s="203"/>
      <c r="L312" s="186">
        <f t="shared" si="15"/>
        <v>0</v>
      </c>
      <c r="M312" s="191"/>
      <c r="N312" s="191"/>
      <c r="O312" s="191"/>
      <c r="P312" s="191"/>
      <c r="Q312" s="191"/>
      <c r="R312" s="191"/>
      <c r="S312" s="191"/>
      <c r="T312" s="192"/>
      <c r="U312" s="189" t="str">
        <f t="shared" si="16"/>
        <v/>
      </c>
      <c r="V312" s="190" t="str">
        <f t="shared" si="17"/>
        <v/>
      </c>
      <c r="W312" s="190" t="str">
        <f t="shared" si="18"/>
        <v/>
      </c>
      <c r="X312" s="191" t="str">
        <f t="shared" si="19"/>
        <v/>
      </c>
      <c r="Y312" s="191" t="str">
        <f t="shared" si="20"/>
        <v/>
      </c>
      <c r="Z312" s="156"/>
    </row>
    <row r="313">
      <c r="A313" s="177" t="str">
        <f t="shared" si="14"/>
        <v/>
      </c>
      <c r="B313" s="196"/>
      <c r="C313" s="179" t="str">
        <f t="shared" si="2"/>
        <v/>
      </c>
      <c r="D313" s="197"/>
      <c r="E313" s="181"/>
      <c r="F313" s="198"/>
      <c r="G313" s="201"/>
      <c r="H313" s="201"/>
      <c r="I313" s="201"/>
      <c r="J313" s="202"/>
      <c r="K313" s="203"/>
      <c r="L313" s="186">
        <f t="shared" si="15"/>
        <v>0</v>
      </c>
      <c r="M313" s="191"/>
      <c r="N313" s="191"/>
      <c r="O313" s="191"/>
      <c r="P313" s="191"/>
      <c r="Q313" s="191"/>
      <c r="R313" s="191"/>
      <c r="S313" s="191"/>
      <c r="T313" s="192"/>
      <c r="U313" s="189" t="str">
        <f t="shared" si="16"/>
        <v/>
      </c>
      <c r="V313" s="190" t="str">
        <f t="shared" si="17"/>
        <v/>
      </c>
      <c r="W313" s="190" t="str">
        <f t="shared" si="18"/>
        <v/>
      </c>
      <c r="X313" s="191" t="str">
        <f t="shared" si="19"/>
        <v/>
      </c>
      <c r="Y313" s="191" t="str">
        <f t="shared" si="20"/>
        <v/>
      </c>
      <c r="Z313" s="156"/>
    </row>
    <row r="314">
      <c r="A314" s="177" t="str">
        <f t="shared" si="14"/>
        <v/>
      </c>
      <c r="B314" s="196"/>
      <c r="C314" s="179" t="str">
        <f t="shared" si="2"/>
        <v/>
      </c>
      <c r="D314" s="197"/>
      <c r="E314" s="181"/>
      <c r="F314" s="198"/>
      <c r="G314" s="201"/>
      <c r="H314" s="201"/>
      <c r="I314" s="201"/>
      <c r="J314" s="202"/>
      <c r="K314" s="203"/>
      <c r="L314" s="186">
        <f t="shared" si="15"/>
        <v>0</v>
      </c>
      <c r="M314" s="191"/>
      <c r="N314" s="191"/>
      <c r="O314" s="191"/>
      <c r="P314" s="191"/>
      <c r="Q314" s="191"/>
      <c r="R314" s="191"/>
      <c r="S314" s="191"/>
      <c r="T314" s="192"/>
      <c r="U314" s="189" t="str">
        <f t="shared" si="16"/>
        <v/>
      </c>
      <c r="V314" s="190" t="str">
        <f t="shared" si="17"/>
        <v/>
      </c>
      <c r="W314" s="190" t="str">
        <f t="shared" si="18"/>
        <v/>
      </c>
      <c r="X314" s="191" t="str">
        <f t="shared" si="19"/>
        <v/>
      </c>
      <c r="Y314" s="191" t="str">
        <f t="shared" si="20"/>
        <v/>
      </c>
      <c r="Z314" s="156"/>
    </row>
    <row r="315">
      <c r="A315" s="177" t="str">
        <f t="shared" si="14"/>
        <v/>
      </c>
      <c r="B315" s="196"/>
      <c r="C315" s="179" t="str">
        <f t="shared" si="2"/>
        <v/>
      </c>
      <c r="D315" s="197"/>
      <c r="E315" s="181"/>
      <c r="F315" s="198"/>
      <c r="G315" s="201"/>
      <c r="H315" s="201"/>
      <c r="I315" s="201"/>
      <c r="J315" s="202"/>
      <c r="K315" s="203"/>
      <c r="L315" s="186">
        <f t="shared" si="15"/>
        <v>0</v>
      </c>
      <c r="M315" s="191"/>
      <c r="N315" s="191"/>
      <c r="O315" s="191"/>
      <c r="P315" s="191"/>
      <c r="Q315" s="191"/>
      <c r="R315" s="191"/>
      <c r="S315" s="191"/>
      <c r="T315" s="192"/>
      <c r="U315" s="189" t="str">
        <f t="shared" si="16"/>
        <v/>
      </c>
      <c r="V315" s="190" t="str">
        <f t="shared" si="17"/>
        <v/>
      </c>
      <c r="W315" s="190" t="str">
        <f t="shared" si="18"/>
        <v/>
      </c>
      <c r="X315" s="191" t="str">
        <f t="shared" si="19"/>
        <v/>
      </c>
      <c r="Y315" s="191" t="str">
        <f t="shared" si="20"/>
        <v/>
      </c>
      <c r="Z315" s="156"/>
    </row>
    <row r="316">
      <c r="A316" s="177" t="str">
        <f t="shared" si="14"/>
        <v/>
      </c>
      <c r="B316" s="196"/>
      <c r="C316" s="179" t="str">
        <f t="shared" si="2"/>
        <v/>
      </c>
      <c r="D316" s="197"/>
      <c r="E316" s="181"/>
      <c r="F316" s="198"/>
      <c r="G316" s="201"/>
      <c r="H316" s="201"/>
      <c r="I316" s="201"/>
      <c r="J316" s="202"/>
      <c r="K316" s="203"/>
      <c r="L316" s="186">
        <f t="shared" si="15"/>
        <v>0</v>
      </c>
      <c r="M316" s="191"/>
      <c r="N316" s="191"/>
      <c r="O316" s="191"/>
      <c r="P316" s="191"/>
      <c r="Q316" s="191"/>
      <c r="R316" s="191"/>
      <c r="S316" s="191"/>
      <c r="T316" s="192"/>
      <c r="U316" s="189" t="str">
        <f t="shared" si="16"/>
        <v/>
      </c>
      <c r="V316" s="190" t="str">
        <f t="shared" si="17"/>
        <v/>
      </c>
      <c r="W316" s="190" t="str">
        <f t="shared" si="18"/>
        <v/>
      </c>
      <c r="X316" s="191" t="str">
        <f t="shared" si="19"/>
        <v/>
      </c>
      <c r="Y316" s="191" t="str">
        <f t="shared" si="20"/>
        <v/>
      </c>
      <c r="Z316" s="156"/>
    </row>
    <row r="317">
      <c r="A317" s="177" t="str">
        <f t="shared" si="14"/>
        <v/>
      </c>
      <c r="B317" s="196"/>
      <c r="C317" s="179" t="str">
        <f t="shared" si="2"/>
        <v/>
      </c>
      <c r="D317" s="197"/>
      <c r="E317" s="181"/>
      <c r="F317" s="198"/>
      <c r="G317" s="201"/>
      <c r="H317" s="201"/>
      <c r="I317" s="201"/>
      <c r="J317" s="202"/>
      <c r="K317" s="203"/>
      <c r="L317" s="186">
        <f t="shared" si="15"/>
        <v>0</v>
      </c>
      <c r="M317" s="191"/>
      <c r="N317" s="191"/>
      <c r="O317" s="191"/>
      <c r="P317" s="191"/>
      <c r="Q317" s="191"/>
      <c r="R317" s="191"/>
      <c r="S317" s="191"/>
      <c r="T317" s="192"/>
      <c r="U317" s="189" t="str">
        <f t="shared" si="16"/>
        <v/>
      </c>
      <c r="V317" s="190" t="str">
        <f t="shared" si="17"/>
        <v/>
      </c>
      <c r="W317" s="190" t="str">
        <f t="shared" si="18"/>
        <v/>
      </c>
      <c r="X317" s="191" t="str">
        <f t="shared" si="19"/>
        <v/>
      </c>
      <c r="Y317" s="191" t="str">
        <f t="shared" si="20"/>
        <v/>
      </c>
      <c r="Z317" s="156"/>
    </row>
    <row r="318">
      <c r="A318" s="177" t="str">
        <f t="shared" si="14"/>
        <v/>
      </c>
      <c r="B318" s="196"/>
      <c r="C318" s="179" t="str">
        <f t="shared" si="2"/>
        <v/>
      </c>
      <c r="D318" s="197"/>
      <c r="E318" s="181"/>
      <c r="F318" s="198"/>
      <c r="G318" s="201"/>
      <c r="H318" s="201"/>
      <c r="I318" s="201"/>
      <c r="J318" s="202"/>
      <c r="K318" s="203"/>
      <c r="L318" s="186">
        <f t="shared" si="15"/>
        <v>0</v>
      </c>
      <c r="M318" s="191"/>
      <c r="N318" s="191"/>
      <c r="O318" s="191"/>
      <c r="P318" s="191"/>
      <c r="Q318" s="191"/>
      <c r="R318" s="191"/>
      <c r="S318" s="191"/>
      <c r="T318" s="192"/>
      <c r="U318" s="189" t="str">
        <f t="shared" si="16"/>
        <v/>
      </c>
      <c r="V318" s="190" t="str">
        <f t="shared" si="17"/>
        <v/>
      </c>
      <c r="W318" s="190" t="str">
        <f t="shared" si="18"/>
        <v/>
      </c>
      <c r="X318" s="191" t="str">
        <f t="shared" si="19"/>
        <v/>
      </c>
      <c r="Y318" s="191" t="str">
        <f t="shared" si="20"/>
        <v/>
      </c>
      <c r="Z318" s="156"/>
    </row>
    <row r="319">
      <c r="A319" s="177" t="str">
        <f t="shared" si="14"/>
        <v/>
      </c>
      <c r="B319" s="196"/>
      <c r="C319" s="179" t="str">
        <f t="shared" si="2"/>
        <v/>
      </c>
      <c r="D319" s="197"/>
      <c r="E319" s="181"/>
      <c r="F319" s="198"/>
      <c r="G319" s="201"/>
      <c r="H319" s="201"/>
      <c r="I319" s="201"/>
      <c r="J319" s="202"/>
      <c r="K319" s="203"/>
      <c r="L319" s="186">
        <f t="shared" si="15"/>
        <v>0</v>
      </c>
      <c r="M319" s="191"/>
      <c r="N319" s="191"/>
      <c r="O319" s="191"/>
      <c r="P319" s="191"/>
      <c r="Q319" s="191"/>
      <c r="R319" s="191"/>
      <c r="S319" s="191"/>
      <c r="T319" s="192"/>
      <c r="U319" s="189" t="str">
        <f t="shared" si="16"/>
        <v/>
      </c>
      <c r="V319" s="190" t="str">
        <f t="shared" si="17"/>
        <v/>
      </c>
      <c r="W319" s="190" t="str">
        <f t="shared" si="18"/>
        <v/>
      </c>
      <c r="X319" s="191" t="str">
        <f t="shared" si="19"/>
        <v/>
      </c>
      <c r="Y319" s="191" t="str">
        <f t="shared" si="20"/>
        <v/>
      </c>
      <c r="Z319" s="156"/>
    </row>
    <row r="320">
      <c r="A320" s="177" t="str">
        <f t="shared" si="14"/>
        <v/>
      </c>
      <c r="B320" s="196"/>
      <c r="C320" s="179" t="str">
        <f t="shared" si="2"/>
        <v/>
      </c>
      <c r="D320" s="197"/>
      <c r="E320" s="181"/>
      <c r="F320" s="198"/>
      <c r="G320" s="201"/>
      <c r="H320" s="201"/>
      <c r="I320" s="201"/>
      <c r="J320" s="202"/>
      <c r="K320" s="203"/>
      <c r="L320" s="186">
        <f t="shared" si="15"/>
        <v>0</v>
      </c>
      <c r="M320" s="191"/>
      <c r="N320" s="191"/>
      <c r="O320" s="191"/>
      <c r="P320" s="191"/>
      <c r="Q320" s="191"/>
      <c r="R320" s="191"/>
      <c r="S320" s="191"/>
      <c r="T320" s="192"/>
      <c r="U320" s="189" t="str">
        <f t="shared" si="16"/>
        <v/>
      </c>
      <c r="V320" s="190" t="str">
        <f t="shared" si="17"/>
        <v/>
      </c>
      <c r="W320" s="190" t="str">
        <f t="shared" si="18"/>
        <v/>
      </c>
      <c r="X320" s="191" t="str">
        <f t="shared" si="19"/>
        <v/>
      </c>
      <c r="Y320" s="191" t="str">
        <f t="shared" si="20"/>
        <v/>
      </c>
      <c r="Z320" s="156"/>
    </row>
    <row r="321">
      <c r="A321" s="177" t="str">
        <f t="shared" si="14"/>
        <v/>
      </c>
      <c r="B321" s="196"/>
      <c r="C321" s="179" t="str">
        <f t="shared" si="2"/>
        <v/>
      </c>
      <c r="D321" s="197"/>
      <c r="E321" s="181"/>
      <c r="F321" s="198"/>
      <c r="G321" s="201"/>
      <c r="H321" s="201"/>
      <c r="I321" s="201"/>
      <c r="J321" s="202"/>
      <c r="K321" s="203"/>
      <c r="L321" s="186">
        <f t="shared" si="15"/>
        <v>0</v>
      </c>
      <c r="M321" s="191"/>
      <c r="N321" s="191"/>
      <c r="O321" s="191"/>
      <c r="P321" s="191"/>
      <c r="Q321" s="191"/>
      <c r="R321" s="191"/>
      <c r="S321" s="191"/>
      <c r="T321" s="192"/>
      <c r="U321" s="189" t="str">
        <f t="shared" si="16"/>
        <v/>
      </c>
      <c r="V321" s="190" t="str">
        <f t="shared" si="17"/>
        <v/>
      </c>
      <c r="W321" s="190" t="str">
        <f t="shared" si="18"/>
        <v/>
      </c>
      <c r="X321" s="191" t="str">
        <f t="shared" si="19"/>
        <v/>
      </c>
      <c r="Y321" s="191" t="str">
        <f t="shared" si="20"/>
        <v/>
      </c>
      <c r="Z321" s="156"/>
    </row>
    <row r="322">
      <c r="A322" s="177" t="str">
        <f t="shared" si="14"/>
        <v/>
      </c>
      <c r="B322" s="196"/>
      <c r="C322" s="179" t="str">
        <f t="shared" si="2"/>
        <v/>
      </c>
      <c r="D322" s="197"/>
      <c r="E322" s="181"/>
      <c r="F322" s="198"/>
      <c r="G322" s="201"/>
      <c r="H322" s="201"/>
      <c r="I322" s="201"/>
      <c r="J322" s="202"/>
      <c r="K322" s="203"/>
      <c r="L322" s="186">
        <f t="shared" si="15"/>
        <v>0</v>
      </c>
      <c r="M322" s="191"/>
      <c r="N322" s="191"/>
      <c r="O322" s="191"/>
      <c r="P322" s="191"/>
      <c r="Q322" s="191"/>
      <c r="R322" s="191"/>
      <c r="S322" s="191"/>
      <c r="T322" s="192"/>
      <c r="U322" s="189" t="str">
        <f t="shared" si="16"/>
        <v/>
      </c>
      <c r="V322" s="190" t="str">
        <f t="shared" si="17"/>
        <v/>
      </c>
      <c r="W322" s="190" t="str">
        <f t="shared" si="18"/>
        <v/>
      </c>
      <c r="X322" s="191" t="str">
        <f t="shared" si="19"/>
        <v/>
      </c>
      <c r="Y322" s="191" t="str">
        <f t="shared" si="20"/>
        <v/>
      </c>
      <c r="Z322" s="156"/>
    </row>
    <row r="323">
      <c r="A323" s="177" t="str">
        <f t="shared" si="14"/>
        <v/>
      </c>
      <c r="B323" s="196"/>
      <c r="C323" s="179" t="str">
        <f t="shared" si="2"/>
        <v/>
      </c>
      <c r="D323" s="197"/>
      <c r="E323" s="181"/>
      <c r="F323" s="198"/>
      <c r="G323" s="201"/>
      <c r="H323" s="201"/>
      <c r="I323" s="201"/>
      <c r="J323" s="202"/>
      <c r="K323" s="203"/>
      <c r="L323" s="186">
        <f t="shared" si="15"/>
        <v>0</v>
      </c>
      <c r="M323" s="191"/>
      <c r="N323" s="191"/>
      <c r="O323" s="191"/>
      <c r="P323" s="191"/>
      <c r="Q323" s="191"/>
      <c r="R323" s="191"/>
      <c r="S323" s="191"/>
      <c r="T323" s="192"/>
      <c r="U323" s="189" t="str">
        <f t="shared" si="16"/>
        <v/>
      </c>
      <c r="V323" s="190" t="str">
        <f t="shared" si="17"/>
        <v/>
      </c>
      <c r="W323" s="190" t="str">
        <f t="shared" si="18"/>
        <v/>
      </c>
      <c r="X323" s="191" t="str">
        <f t="shared" si="19"/>
        <v/>
      </c>
      <c r="Y323" s="191" t="str">
        <f t="shared" si="20"/>
        <v/>
      </c>
      <c r="Z323" s="156"/>
    </row>
    <row r="324">
      <c r="A324" s="177" t="str">
        <f t="shared" si="14"/>
        <v/>
      </c>
      <c r="B324" s="196"/>
      <c r="C324" s="179" t="str">
        <f t="shared" si="2"/>
        <v/>
      </c>
      <c r="D324" s="197"/>
      <c r="E324" s="181"/>
      <c r="F324" s="198"/>
      <c r="G324" s="201"/>
      <c r="H324" s="201"/>
      <c r="I324" s="201"/>
      <c r="J324" s="202"/>
      <c r="K324" s="203"/>
      <c r="L324" s="186">
        <f t="shared" si="15"/>
        <v>0</v>
      </c>
      <c r="M324" s="191"/>
      <c r="N324" s="191"/>
      <c r="O324" s="191"/>
      <c r="P324" s="191"/>
      <c r="Q324" s="191"/>
      <c r="R324" s="191"/>
      <c r="S324" s="191"/>
      <c r="T324" s="192"/>
      <c r="U324" s="189" t="str">
        <f t="shared" si="16"/>
        <v/>
      </c>
      <c r="V324" s="190" t="str">
        <f t="shared" si="17"/>
        <v/>
      </c>
      <c r="W324" s="190" t="str">
        <f t="shared" si="18"/>
        <v/>
      </c>
      <c r="X324" s="191" t="str">
        <f t="shared" si="19"/>
        <v/>
      </c>
      <c r="Y324" s="191" t="str">
        <f t="shared" si="20"/>
        <v/>
      </c>
      <c r="Z324" s="156"/>
    </row>
    <row r="325">
      <c r="A325" s="177" t="str">
        <f t="shared" si="14"/>
        <v/>
      </c>
      <c r="B325" s="196"/>
      <c r="C325" s="179" t="str">
        <f t="shared" si="2"/>
        <v/>
      </c>
      <c r="D325" s="197"/>
      <c r="E325" s="181"/>
      <c r="F325" s="198"/>
      <c r="G325" s="201"/>
      <c r="H325" s="201"/>
      <c r="I325" s="201"/>
      <c r="J325" s="202"/>
      <c r="K325" s="203"/>
      <c r="L325" s="186">
        <f t="shared" si="15"/>
        <v>0</v>
      </c>
      <c r="M325" s="191"/>
      <c r="N325" s="191"/>
      <c r="O325" s="191"/>
      <c r="P325" s="191"/>
      <c r="Q325" s="191"/>
      <c r="R325" s="191"/>
      <c r="S325" s="191"/>
      <c r="T325" s="192"/>
      <c r="U325" s="189" t="str">
        <f t="shared" si="16"/>
        <v/>
      </c>
      <c r="V325" s="190" t="str">
        <f t="shared" si="17"/>
        <v/>
      </c>
      <c r="W325" s="190" t="str">
        <f t="shared" si="18"/>
        <v/>
      </c>
      <c r="X325" s="191" t="str">
        <f t="shared" si="19"/>
        <v/>
      </c>
      <c r="Y325" s="191" t="str">
        <f t="shared" si="20"/>
        <v/>
      </c>
      <c r="Z325" s="156"/>
    </row>
    <row r="326">
      <c r="A326" s="177" t="str">
        <f t="shared" si="14"/>
        <v/>
      </c>
      <c r="B326" s="196"/>
      <c r="C326" s="179" t="str">
        <f t="shared" si="2"/>
        <v/>
      </c>
      <c r="D326" s="197"/>
      <c r="E326" s="181"/>
      <c r="F326" s="198"/>
      <c r="G326" s="201"/>
      <c r="H326" s="201"/>
      <c r="I326" s="201"/>
      <c r="J326" s="202"/>
      <c r="K326" s="203"/>
      <c r="L326" s="186">
        <f t="shared" si="15"/>
        <v>0</v>
      </c>
      <c r="M326" s="191"/>
      <c r="N326" s="191"/>
      <c r="O326" s="191"/>
      <c r="P326" s="191"/>
      <c r="Q326" s="191"/>
      <c r="R326" s="191"/>
      <c r="S326" s="191"/>
      <c r="T326" s="192"/>
      <c r="U326" s="189" t="str">
        <f t="shared" si="16"/>
        <v/>
      </c>
      <c r="V326" s="190" t="str">
        <f t="shared" si="17"/>
        <v/>
      </c>
      <c r="W326" s="190" t="str">
        <f t="shared" si="18"/>
        <v/>
      </c>
      <c r="X326" s="191" t="str">
        <f t="shared" si="19"/>
        <v/>
      </c>
      <c r="Y326" s="191" t="str">
        <f t="shared" si="20"/>
        <v/>
      </c>
      <c r="Z326" s="156"/>
    </row>
    <row r="327">
      <c r="A327" s="177" t="str">
        <f t="shared" si="14"/>
        <v/>
      </c>
      <c r="B327" s="196"/>
      <c r="C327" s="179" t="str">
        <f t="shared" si="2"/>
        <v/>
      </c>
      <c r="D327" s="197"/>
      <c r="E327" s="181"/>
      <c r="F327" s="198"/>
      <c r="G327" s="201"/>
      <c r="H327" s="201"/>
      <c r="I327" s="201"/>
      <c r="J327" s="202"/>
      <c r="K327" s="203"/>
      <c r="L327" s="186">
        <f t="shared" si="15"/>
        <v>0</v>
      </c>
      <c r="M327" s="191"/>
      <c r="N327" s="191"/>
      <c r="O327" s="191"/>
      <c r="P327" s="191"/>
      <c r="Q327" s="191"/>
      <c r="R327" s="191"/>
      <c r="S327" s="191"/>
      <c r="T327" s="192"/>
      <c r="U327" s="189" t="str">
        <f t="shared" si="16"/>
        <v/>
      </c>
      <c r="V327" s="190" t="str">
        <f t="shared" si="17"/>
        <v/>
      </c>
      <c r="W327" s="190" t="str">
        <f t="shared" si="18"/>
        <v/>
      </c>
      <c r="X327" s="191" t="str">
        <f t="shared" si="19"/>
        <v/>
      </c>
      <c r="Y327" s="191" t="str">
        <f t="shared" si="20"/>
        <v/>
      </c>
      <c r="Z327" s="156"/>
    </row>
    <row r="328">
      <c r="A328" s="177" t="str">
        <f t="shared" si="14"/>
        <v/>
      </c>
      <c r="B328" s="196"/>
      <c r="C328" s="179" t="str">
        <f t="shared" si="2"/>
        <v/>
      </c>
      <c r="D328" s="197"/>
      <c r="E328" s="181"/>
      <c r="F328" s="198"/>
      <c r="G328" s="201"/>
      <c r="H328" s="201"/>
      <c r="I328" s="201"/>
      <c r="J328" s="202"/>
      <c r="K328" s="203"/>
      <c r="L328" s="186">
        <f t="shared" si="15"/>
        <v>0</v>
      </c>
      <c r="M328" s="191"/>
      <c r="N328" s="191"/>
      <c r="O328" s="191"/>
      <c r="P328" s="191"/>
      <c r="Q328" s="191"/>
      <c r="R328" s="191"/>
      <c r="S328" s="191"/>
      <c r="T328" s="192"/>
      <c r="U328" s="189" t="str">
        <f t="shared" si="16"/>
        <v/>
      </c>
      <c r="V328" s="190" t="str">
        <f t="shared" si="17"/>
        <v/>
      </c>
      <c r="W328" s="190" t="str">
        <f t="shared" si="18"/>
        <v/>
      </c>
      <c r="X328" s="191" t="str">
        <f t="shared" si="19"/>
        <v/>
      </c>
      <c r="Y328" s="191" t="str">
        <f t="shared" si="20"/>
        <v/>
      </c>
      <c r="Z328" s="156"/>
    </row>
    <row r="329">
      <c r="A329" s="177" t="str">
        <f t="shared" si="14"/>
        <v/>
      </c>
      <c r="B329" s="196"/>
      <c r="C329" s="179" t="str">
        <f t="shared" si="2"/>
        <v/>
      </c>
      <c r="D329" s="197"/>
      <c r="E329" s="181"/>
      <c r="F329" s="198"/>
      <c r="G329" s="201"/>
      <c r="H329" s="201"/>
      <c r="I329" s="201"/>
      <c r="J329" s="202"/>
      <c r="K329" s="203"/>
      <c r="L329" s="186">
        <f t="shared" si="15"/>
        <v>0</v>
      </c>
      <c r="M329" s="191"/>
      <c r="N329" s="191"/>
      <c r="O329" s="191"/>
      <c r="P329" s="191"/>
      <c r="Q329" s="191"/>
      <c r="R329" s="191"/>
      <c r="S329" s="191"/>
      <c r="T329" s="192"/>
      <c r="U329" s="189" t="str">
        <f t="shared" si="16"/>
        <v/>
      </c>
      <c r="V329" s="190" t="str">
        <f t="shared" si="17"/>
        <v/>
      </c>
      <c r="W329" s="190" t="str">
        <f t="shared" si="18"/>
        <v/>
      </c>
      <c r="X329" s="191" t="str">
        <f t="shared" si="19"/>
        <v/>
      </c>
      <c r="Y329" s="191" t="str">
        <f t="shared" si="20"/>
        <v/>
      </c>
      <c r="Z329" s="156"/>
    </row>
    <row r="330">
      <c r="A330" s="177" t="str">
        <f t="shared" si="14"/>
        <v/>
      </c>
      <c r="B330" s="196"/>
      <c r="C330" s="179" t="str">
        <f t="shared" si="2"/>
        <v/>
      </c>
      <c r="D330" s="197"/>
      <c r="E330" s="181"/>
      <c r="F330" s="198"/>
      <c r="G330" s="201"/>
      <c r="H330" s="201"/>
      <c r="I330" s="201"/>
      <c r="J330" s="202"/>
      <c r="K330" s="203"/>
      <c r="L330" s="186">
        <f t="shared" si="15"/>
        <v>0</v>
      </c>
      <c r="M330" s="191"/>
      <c r="N330" s="191"/>
      <c r="O330" s="191"/>
      <c r="P330" s="191"/>
      <c r="Q330" s="191"/>
      <c r="R330" s="191"/>
      <c r="S330" s="191"/>
      <c r="T330" s="192"/>
      <c r="U330" s="189" t="str">
        <f t="shared" si="16"/>
        <v/>
      </c>
      <c r="V330" s="190" t="str">
        <f t="shared" si="17"/>
        <v/>
      </c>
      <c r="W330" s="190" t="str">
        <f t="shared" si="18"/>
        <v/>
      </c>
      <c r="X330" s="191" t="str">
        <f t="shared" si="19"/>
        <v/>
      </c>
      <c r="Y330" s="191" t="str">
        <f t="shared" si="20"/>
        <v/>
      </c>
      <c r="Z330" s="156"/>
    </row>
    <row r="331">
      <c r="A331" s="177" t="str">
        <f t="shared" si="14"/>
        <v/>
      </c>
      <c r="B331" s="196"/>
      <c r="C331" s="179" t="str">
        <f t="shared" si="2"/>
        <v/>
      </c>
      <c r="D331" s="197"/>
      <c r="E331" s="181"/>
      <c r="F331" s="198"/>
      <c r="G331" s="201"/>
      <c r="H331" s="201"/>
      <c r="I331" s="201"/>
      <c r="J331" s="202"/>
      <c r="K331" s="203"/>
      <c r="L331" s="186">
        <f t="shared" si="15"/>
        <v>0</v>
      </c>
      <c r="M331" s="191"/>
      <c r="N331" s="191"/>
      <c r="O331" s="191"/>
      <c r="P331" s="191"/>
      <c r="Q331" s="191"/>
      <c r="R331" s="191"/>
      <c r="S331" s="191"/>
      <c r="T331" s="192"/>
      <c r="U331" s="189" t="str">
        <f t="shared" si="16"/>
        <v/>
      </c>
      <c r="V331" s="190" t="str">
        <f t="shared" si="17"/>
        <v/>
      </c>
      <c r="W331" s="190" t="str">
        <f t="shared" si="18"/>
        <v/>
      </c>
      <c r="X331" s="191" t="str">
        <f t="shared" si="19"/>
        <v/>
      </c>
      <c r="Y331" s="191" t="str">
        <f t="shared" si="20"/>
        <v/>
      </c>
      <c r="Z331" s="156"/>
    </row>
    <row r="332">
      <c r="A332" s="177" t="str">
        <f t="shared" si="14"/>
        <v/>
      </c>
      <c r="B332" s="196"/>
      <c r="C332" s="179" t="str">
        <f t="shared" si="2"/>
        <v/>
      </c>
      <c r="D332" s="197"/>
      <c r="E332" s="181"/>
      <c r="F332" s="198"/>
      <c r="G332" s="201"/>
      <c r="H332" s="201"/>
      <c r="I332" s="201"/>
      <c r="J332" s="202"/>
      <c r="K332" s="203"/>
      <c r="L332" s="186">
        <f t="shared" si="15"/>
        <v>0</v>
      </c>
      <c r="M332" s="191"/>
      <c r="N332" s="191"/>
      <c r="O332" s="191"/>
      <c r="P332" s="191"/>
      <c r="Q332" s="191"/>
      <c r="R332" s="191"/>
      <c r="S332" s="191"/>
      <c r="T332" s="192"/>
      <c r="U332" s="189" t="str">
        <f t="shared" si="16"/>
        <v/>
      </c>
      <c r="V332" s="190" t="str">
        <f t="shared" si="17"/>
        <v/>
      </c>
      <c r="W332" s="190" t="str">
        <f t="shared" si="18"/>
        <v/>
      </c>
      <c r="X332" s="191" t="str">
        <f t="shared" si="19"/>
        <v/>
      </c>
      <c r="Y332" s="191" t="str">
        <f t="shared" si="20"/>
        <v/>
      </c>
      <c r="Z332" s="156"/>
    </row>
    <row r="333">
      <c r="A333" s="177" t="str">
        <f t="shared" si="14"/>
        <v/>
      </c>
      <c r="B333" s="196"/>
      <c r="C333" s="179" t="str">
        <f t="shared" si="2"/>
        <v/>
      </c>
      <c r="D333" s="197"/>
      <c r="E333" s="181"/>
      <c r="F333" s="198"/>
      <c r="G333" s="201"/>
      <c r="H333" s="201"/>
      <c r="I333" s="201"/>
      <c r="J333" s="202"/>
      <c r="K333" s="203"/>
      <c r="L333" s="186">
        <f t="shared" si="15"/>
        <v>0</v>
      </c>
      <c r="M333" s="191"/>
      <c r="N333" s="191"/>
      <c r="O333" s="191"/>
      <c r="P333" s="191"/>
      <c r="Q333" s="191"/>
      <c r="R333" s="191"/>
      <c r="S333" s="191"/>
      <c r="T333" s="192"/>
      <c r="U333" s="189" t="str">
        <f t="shared" si="16"/>
        <v/>
      </c>
      <c r="V333" s="190" t="str">
        <f t="shared" si="17"/>
        <v/>
      </c>
      <c r="W333" s="190" t="str">
        <f t="shared" si="18"/>
        <v/>
      </c>
      <c r="X333" s="191" t="str">
        <f t="shared" si="19"/>
        <v/>
      </c>
      <c r="Y333" s="191" t="str">
        <f t="shared" si="20"/>
        <v/>
      </c>
      <c r="Z333" s="156"/>
    </row>
    <row r="334">
      <c r="A334" s="177" t="str">
        <f t="shared" si="14"/>
        <v/>
      </c>
      <c r="B334" s="196"/>
      <c r="C334" s="179" t="str">
        <f t="shared" si="2"/>
        <v/>
      </c>
      <c r="D334" s="197"/>
      <c r="E334" s="181"/>
      <c r="F334" s="198"/>
      <c r="G334" s="201"/>
      <c r="H334" s="201"/>
      <c r="I334" s="201"/>
      <c r="J334" s="202"/>
      <c r="K334" s="203"/>
      <c r="L334" s="186">
        <f t="shared" si="15"/>
        <v>0</v>
      </c>
      <c r="M334" s="191"/>
      <c r="N334" s="191"/>
      <c r="O334" s="191"/>
      <c r="P334" s="191"/>
      <c r="Q334" s="191"/>
      <c r="R334" s="191"/>
      <c r="S334" s="191"/>
      <c r="T334" s="192"/>
      <c r="U334" s="189" t="str">
        <f t="shared" si="16"/>
        <v/>
      </c>
      <c r="V334" s="190" t="str">
        <f t="shared" si="17"/>
        <v/>
      </c>
      <c r="W334" s="190" t="str">
        <f t="shared" si="18"/>
        <v/>
      </c>
      <c r="X334" s="191" t="str">
        <f t="shared" si="19"/>
        <v/>
      </c>
      <c r="Y334" s="191" t="str">
        <f t="shared" si="20"/>
        <v/>
      </c>
      <c r="Z334" s="156"/>
    </row>
    <row r="335">
      <c r="A335" s="177" t="str">
        <f t="shared" si="14"/>
        <v/>
      </c>
      <c r="B335" s="196"/>
      <c r="C335" s="179" t="str">
        <f t="shared" si="2"/>
        <v/>
      </c>
      <c r="D335" s="197"/>
      <c r="E335" s="181"/>
      <c r="F335" s="198"/>
      <c r="G335" s="201"/>
      <c r="H335" s="201"/>
      <c r="I335" s="201"/>
      <c r="J335" s="202"/>
      <c r="K335" s="203"/>
      <c r="L335" s="186">
        <f t="shared" si="15"/>
        <v>0</v>
      </c>
      <c r="M335" s="191"/>
      <c r="N335" s="191"/>
      <c r="O335" s="191"/>
      <c r="P335" s="191"/>
      <c r="Q335" s="191"/>
      <c r="R335" s="191"/>
      <c r="S335" s="191"/>
      <c r="T335" s="192"/>
      <c r="U335" s="189" t="str">
        <f t="shared" si="16"/>
        <v/>
      </c>
      <c r="V335" s="190" t="str">
        <f t="shared" si="17"/>
        <v/>
      </c>
      <c r="W335" s="190" t="str">
        <f t="shared" si="18"/>
        <v/>
      </c>
      <c r="X335" s="191" t="str">
        <f t="shared" si="19"/>
        <v/>
      </c>
      <c r="Y335" s="191" t="str">
        <f t="shared" si="20"/>
        <v/>
      </c>
      <c r="Z335" s="156"/>
    </row>
    <row r="336">
      <c r="A336" s="177" t="str">
        <f t="shared" si="14"/>
        <v/>
      </c>
      <c r="B336" s="196"/>
      <c r="C336" s="179" t="str">
        <f t="shared" si="2"/>
        <v/>
      </c>
      <c r="D336" s="197"/>
      <c r="E336" s="181"/>
      <c r="F336" s="198"/>
      <c r="G336" s="201"/>
      <c r="H336" s="201"/>
      <c r="I336" s="201"/>
      <c r="J336" s="202"/>
      <c r="K336" s="203"/>
      <c r="L336" s="186">
        <f t="shared" si="15"/>
        <v>0</v>
      </c>
      <c r="M336" s="191"/>
      <c r="N336" s="191"/>
      <c r="O336" s="191"/>
      <c r="P336" s="191"/>
      <c r="Q336" s="191"/>
      <c r="R336" s="191"/>
      <c r="S336" s="191"/>
      <c r="T336" s="192"/>
      <c r="U336" s="189" t="str">
        <f t="shared" si="16"/>
        <v/>
      </c>
      <c r="V336" s="190" t="str">
        <f t="shared" si="17"/>
        <v/>
      </c>
      <c r="W336" s="190" t="str">
        <f t="shared" si="18"/>
        <v/>
      </c>
      <c r="X336" s="191" t="str">
        <f t="shared" si="19"/>
        <v/>
      </c>
      <c r="Y336" s="191" t="str">
        <f t="shared" si="20"/>
        <v/>
      </c>
      <c r="Z336" s="156"/>
    </row>
    <row r="337">
      <c r="A337" s="177" t="str">
        <f t="shared" si="14"/>
        <v/>
      </c>
      <c r="B337" s="196"/>
      <c r="C337" s="179" t="str">
        <f t="shared" si="2"/>
        <v/>
      </c>
      <c r="D337" s="197"/>
      <c r="E337" s="181"/>
      <c r="F337" s="198"/>
      <c r="G337" s="201"/>
      <c r="H337" s="201"/>
      <c r="I337" s="201"/>
      <c r="J337" s="202"/>
      <c r="K337" s="203"/>
      <c r="L337" s="186">
        <f t="shared" si="15"/>
        <v>0</v>
      </c>
      <c r="M337" s="191"/>
      <c r="N337" s="191"/>
      <c r="O337" s="191"/>
      <c r="P337" s="191"/>
      <c r="Q337" s="191"/>
      <c r="R337" s="191"/>
      <c r="S337" s="191"/>
      <c r="T337" s="192"/>
      <c r="U337" s="189" t="str">
        <f t="shared" si="16"/>
        <v/>
      </c>
      <c r="V337" s="190" t="str">
        <f t="shared" si="17"/>
        <v/>
      </c>
      <c r="W337" s="190" t="str">
        <f t="shared" si="18"/>
        <v/>
      </c>
      <c r="X337" s="191" t="str">
        <f t="shared" si="19"/>
        <v/>
      </c>
      <c r="Y337" s="191" t="str">
        <f t="shared" si="20"/>
        <v/>
      </c>
      <c r="Z337" s="156"/>
    </row>
    <row r="338">
      <c r="A338" s="177" t="str">
        <f t="shared" si="14"/>
        <v/>
      </c>
      <c r="B338" s="196"/>
      <c r="C338" s="179" t="str">
        <f t="shared" si="2"/>
        <v/>
      </c>
      <c r="D338" s="197"/>
      <c r="E338" s="181"/>
      <c r="F338" s="198"/>
      <c r="G338" s="201"/>
      <c r="H338" s="201"/>
      <c r="I338" s="201"/>
      <c r="J338" s="202"/>
      <c r="K338" s="203"/>
      <c r="L338" s="186">
        <f t="shared" si="15"/>
        <v>0</v>
      </c>
      <c r="M338" s="191"/>
      <c r="N338" s="191"/>
      <c r="O338" s="191"/>
      <c r="P338" s="191"/>
      <c r="Q338" s="191"/>
      <c r="R338" s="191"/>
      <c r="S338" s="191"/>
      <c r="T338" s="192"/>
      <c r="U338" s="189" t="str">
        <f t="shared" si="16"/>
        <v/>
      </c>
      <c r="V338" s="190" t="str">
        <f t="shared" si="17"/>
        <v/>
      </c>
      <c r="W338" s="190" t="str">
        <f t="shared" si="18"/>
        <v/>
      </c>
      <c r="X338" s="191" t="str">
        <f t="shared" si="19"/>
        <v/>
      </c>
      <c r="Y338" s="191" t="str">
        <f t="shared" si="20"/>
        <v/>
      </c>
      <c r="Z338" s="156"/>
    </row>
    <row r="339">
      <c r="A339" s="177" t="str">
        <f t="shared" si="14"/>
        <v/>
      </c>
      <c r="B339" s="196"/>
      <c r="C339" s="179" t="str">
        <f t="shared" si="2"/>
        <v/>
      </c>
      <c r="D339" s="197"/>
      <c r="E339" s="181"/>
      <c r="F339" s="198"/>
      <c r="G339" s="201"/>
      <c r="H339" s="201"/>
      <c r="I339" s="201"/>
      <c r="J339" s="202"/>
      <c r="K339" s="203"/>
      <c r="L339" s="186">
        <f t="shared" si="15"/>
        <v>0</v>
      </c>
      <c r="M339" s="191"/>
      <c r="N339" s="191"/>
      <c r="O339" s="191"/>
      <c r="P339" s="191"/>
      <c r="Q339" s="191"/>
      <c r="R339" s="191"/>
      <c r="S339" s="191"/>
      <c r="T339" s="192"/>
      <c r="U339" s="189" t="str">
        <f t="shared" si="16"/>
        <v/>
      </c>
      <c r="V339" s="190" t="str">
        <f t="shared" si="17"/>
        <v/>
      </c>
      <c r="W339" s="190" t="str">
        <f t="shared" si="18"/>
        <v/>
      </c>
      <c r="X339" s="191" t="str">
        <f t="shared" si="19"/>
        <v/>
      </c>
      <c r="Y339" s="191" t="str">
        <f t="shared" si="20"/>
        <v/>
      </c>
      <c r="Z339" s="156"/>
    </row>
    <row r="340">
      <c r="A340" s="177" t="str">
        <f t="shared" si="14"/>
        <v/>
      </c>
      <c r="B340" s="196"/>
      <c r="C340" s="179" t="str">
        <f t="shared" si="2"/>
        <v/>
      </c>
      <c r="D340" s="197"/>
      <c r="E340" s="181"/>
      <c r="F340" s="198"/>
      <c r="G340" s="201"/>
      <c r="H340" s="201"/>
      <c r="I340" s="201"/>
      <c r="J340" s="202"/>
      <c r="K340" s="203"/>
      <c r="L340" s="186">
        <f t="shared" si="15"/>
        <v>0</v>
      </c>
      <c r="M340" s="191"/>
      <c r="N340" s="191"/>
      <c r="O340" s="191"/>
      <c r="P340" s="191"/>
      <c r="Q340" s="191"/>
      <c r="R340" s="191"/>
      <c r="S340" s="191"/>
      <c r="T340" s="192"/>
      <c r="U340" s="189" t="str">
        <f t="shared" si="16"/>
        <v/>
      </c>
      <c r="V340" s="190" t="str">
        <f t="shared" si="17"/>
        <v/>
      </c>
      <c r="W340" s="190" t="str">
        <f t="shared" si="18"/>
        <v/>
      </c>
      <c r="X340" s="191" t="str">
        <f t="shared" si="19"/>
        <v/>
      </c>
      <c r="Y340" s="191" t="str">
        <f t="shared" si="20"/>
        <v/>
      </c>
      <c r="Z340" s="156"/>
    </row>
    <row r="341">
      <c r="A341" s="177" t="str">
        <f t="shared" si="14"/>
        <v/>
      </c>
      <c r="B341" s="196"/>
      <c r="C341" s="179" t="str">
        <f t="shared" si="2"/>
        <v/>
      </c>
      <c r="D341" s="197"/>
      <c r="E341" s="181"/>
      <c r="F341" s="198"/>
      <c r="G341" s="201"/>
      <c r="H341" s="201"/>
      <c r="I341" s="201"/>
      <c r="J341" s="202"/>
      <c r="K341" s="203"/>
      <c r="L341" s="186">
        <f t="shared" si="15"/>
        <v>0</v>
      </c>
      <c r="M341" s="191"/>
      <c r="N341" s="191"/>
      <c r="O341" s="191"/>
      <c r="P341" s="191"/>
      <c r="Q341" s="191"/>
      <c r="R341" s="191"/>
      <c r="S341" s="191"/>
      <c r="T341" s="192"/>
      <c r="U341" s="189" t="str">
        <f t="shared" si="16"/>
        <v/>
      </c>
      <c r="V341" s="190" t="str">
        <f t="shared" si="17"/>
        <v/>
      </c>
      <c r="W341" s="190" t="str">
        <f t="shared" si="18"/>
        <v/>
      </c>
      <c r="X341" s="191" t="str">
        <f t="shared" si="19"/>
        <v/>
      </c>
      <c r="Y341" s="191" t="str">
        <f t="shared" si="20"/>
        <v/>
      </c>
      <c r="Z341" s="156"/>
    </row>
    <row r="342">
      <c r="A342" s="177" t="str">
        <f t="shared" si="14"/>
        <v/>
      </c>
      <c r="B342" s="196"/>
      <c r="C342" s="179" t="str">
        <f t="shared" si="2"/>
        <v/>
      </c>
      <c r="D342" s="197"/>
      <c r="E342" s="181"/>
      <c r="F342" s="198"/>
      <c r="G342" s="201"/>
      <c r="H342" s="201"/>
      <c r="I342" s="201"/>
      <c r="J342" s="202"/>
      <c r="K342" s="203"/>
      <c r="L342" s="186">
        <f t="shared" si="15"/>
        <v>0</v>
      </c>
      <c r="M342" s="191"/>
      <c r="N342" s="191"/>
      <c r="O342" s="191"/>
      <c r="P342" s="191"/>
      <c r="Q342" s="191"/>
      <c r="R342" s="191"/>
      <c r="S342" s="191"/>
      <c r="T342" s="192"/>
      <c r="U342" s="189" t="str">
        <f t="shared" si="16"/>
        <v/>
      </c>
      <c r="V342" s="190" t="str">
        <f t="shared" si="17"/>
        <v/>
      </c>
      <c r="W342" s="190" t="str">
        <f t="shared" si="18"/>
        <v/>
      </c>
      <c r="X342" s="191" t="str">
        <f t="shared" si="19"/>
        <v/>
      </c>
      <c r="Y342" s="191" t="str">
        <f t="shared" si="20"/>
        <v/>
      </c>
      <c r="Z342" s="156"/>
    </row>
    <row r="343">
      <c r="A343" s="177" t="str">
        <f t="shared" si="14"/>
        <v/>
      </c>
      <c r="B343" s="196"/>
      <c r="C343" s="179" t="str">
        <f t="shared" si="2"/>
        <v/>
      </c>
      <c r="D343" s="197"/>
      <c r="E343" s="181"/>
      <c r="F343" s="198"/>
      <c r="G343" s="201"/>
      <c r="H343" s="201"/>
      <c r="I343" s="201"/>
      <c r="J343" s="202"/>
      <c r="K343" s="203"/>
      <c r="L343" s="186">
        <f t="shared" si="15"/>
        <v>0</v>
      </c>
      <c r="M343" s="191"/>
      <c r="N343" s="191"/>
      <c r="O343" s="191"/>
      <c r="P343" s="191"/>
      <c r="Q343" s="191"/>
      <c r="R343" s="191"/>
      <c r="S343" s="191"/>
      <c r="T343" s="192"/>
      <c r="U343" s="189" t="str">
        <f t="shared" si="16"/>
        <v/>
      </c>
      <c r="V343" s="190" t="str">
        <f t="shared" si="17"/>
        <v/>
      </c>
      <c r="W343" s="190" t="str">
        <f t="shared" si="18"/>
        <v/>
      </c>
      <c r="X343" s="191" t="str">
        <f t="shared" si="19"/>
        <v/>
      </c>
      <c r="Y343" s="191" t="str">
        <f t="shared" si="20"/>
        <v/>
      </c>
      <c r="Z343" s="156"/>
    </row>
    <row r="344">
      <c r="A344" s="177" t="str">
        <f t="shared" si="14"/>
        <v/>
      </c>
      <c r="B344" s="196"/>
      <c r="C344" s="179" t="str">
        <f t="shared" si="2"/>
        <v/>
      </c>
      <c r="D344" s="197"/>
      <c r="E344" s="181"/>
      <c r="F344" s="198"/>
      <c r="G344" s="201"/>
      <c r="H344" s="201"/>
      <c r="I344" s="201"/>
      <c r="J344" s="202"/>
      <c r="K344" s="203"/>
      <c r="L344" s="186">
        <f t="shared" si="15"/>
        <v>0</v>
      </c>
      <c r="M344" s="191"/>
      <c r="N344" s="191"/>
      <c r="O344" s="191"/>
      <c r="P344" s="191"/>
      <c r="Q344" s="191"/>
      <c r="R344" s="191"/>
      <c r="S344" s="191"/>
      <c r="T344" s="192"/>
      <c r="U344" s="189" t="str">
        <f t="shared" si="16"/>
        <v/>
      </c>
      <c r="V344" s="190" t="str">
        <f t="shared" si="17"/>
        <v/>
      </c>
      <c r="W344" s="190" t="str">
        <f t="shared" si="18"/>
        <v/>
      </c>
      <c r="X344" s="191" t="str">
        <f t="shared" si="19"/>
        <v/>
      </c>
      <c r="Y344" s="191" t="str">
        <f t="shared" si="20"/>
        <v/>
      </c>
      <c r="Z344" s="156"/>
    </row>
    <row r="345">
      <c r="A345" s="177" t="str">
        <f t="shared" si="14"/>
        <v/>
      </c>
      <c r="B345" s="196"/>
      <c r="C345" s="179" t="str">
        <f t="shared" si="2"/>
        <v/>
      </c>
      <c r="D345" s="197"/>
      <c r="E345" s="181"/>
      <c r="F345" s="198"/>
      <c r="G345" s="201"/>
      <c r="H345" s="201"/>
      <c r="I345" s="201"/>
      <c r="J345" s="202"/>
      <c r="K345" s="203"/>
      <c r="L345" s="186">
        <f t="shared" si="15"/>
        <v>0</v>
      </c>
      <c r="M345" s="191"/>
      <c r="N345" s="191"/>
      <c r="O345" s="191"/>
      <c r="P345" s="191"/>
      <c r="Q345" s="191"/>
      <c r="R345" s="191"/>
      <c r="S345" s="191"/>
      <c r="T345" s="192"/>
      <c r="U345" s="189" t="str">
        <f t="shared" si="16"/>
        <v/>
      </c>
      <c r="V345" s="190" t="str">
        <f t="shared" si="17"/>
        <v/>
      </c>
      <c r="W345" s="190" t="str">
        <f t="shared" si="18"/>
        <v/>
      </c>
      <c r="X345" s="191" t="str">
        <f t="shared" si="19"/>
        <v/>
      </c>
      <c r="Y345" s="191" t="str">
        <f t="shared" si="20"/>
        <v/>
      </c>
      <c r="Z345" s="156"/>
    </row>
    <row r="346">
      <c r="A346" s="177" t="str">
        <f t="shared" si="14"/>
        <v/>
      </c>
      <c r="B346" s="196"/>
      <c r="C346" s="179" t="str">
        <f t="shared" si="2"/>
        <v/>
      </c>
      <c r="D346" s="197"/>
      <c r="E346" s="181"/>
      <c r="F346" s="198"/>
      <c r="G346" s="201"/>
      <c r="H346" s="201"/>
      <c r="I346" s="201"/>
      <c r="J346" s="202"/>
      <c r="K346" s="203"/>
      <c r="L346" s="186">
        <f t="shared" si="15"/>
        <v>0</v>
      </c>
      <c r="M346" s="191"/>
      <c r="N346" s="191"/>
      <c r="O346" s="191"/>
      <c r="P346" s="191"/>
      <c r="Q346" s="191"/>
      <c r="R346" s="191"/>
      <c r="S346" s="191"/>
      <c r="T346" s="192"/>
      <c r="U346" s="189" t="str">
        <f t="shared" si="16"/>
        <v/>
      </c>
      <c r="V346" s="190" t="str">
        <f t="shared" si="17"/>
        <v/>
      </c>
      <c r="W346" s="190" t="str">
        <f t="shared" si="18"/>
        <v/>
      </c>
      <c r="X346" s="191" t="str">
        <f t="shared" si="19"/>
        <v/>
      </c>
      <c r="Y346" s="191" t="str">
        <f t="shared" si="20"/>
        <v/>
      </c>
      <c r="Z346" s="156"/>
    </row>
    <row r="347">
      <c r="A347" s="177" t="str">
        <f t="shared" si="14"/>
        <v/>
      </c>
      <c r="B347" s="196"/>
      <c r="C347" s="179" t="str">
        <f t="shared" si="2"/>
        <v/>
      </c>
      <c r="D347" s="197"/>
      <c r="E347" s="181"/>
      <c r="F347" s="198"/>
      <c r="G347" s="201"/>
      <c r="H347" s="201"/>
      <c r="I347" s="201"/>
      <c r="J347" s="202"/>
      <c r="K347" s="203"/>
      <c r="L347" s="186">
        <f t="shared" si="15"/>
        <v>0</v>
      </c>
      <c r="M347" s="191"/>
      <c r="N347" s="191"/>
      <c r="O347" s="191"/>
      <c r="P347" s="191"/>
      <c r="Q347" s="191"/>
      <c r="R347" s="191"/>
      <c r="S347" s="191"/>
      <c r="T347" s="192"/>
      <c r="U347" s="189" t="str">
        <f t="shared" si="16"/>
        <v/>
      </c>
      <c r="V347" s="190" t="str">
        <f t="shared" si="17"/>
        <v/>
      </c>
      <c r="W347" s="190" t="str">
        <f t="shared" si="18"/>
        <v/>
      </c>
      <c r="X347" s="191" t="str">
        <f t="shared" si="19"/>
        <v/>
      </c>
      <c r="Y347" s="191" t="str">
        <f t="shared" si="20"/>
        <v/>
      </c>
      <c r="Z347" s="156"/>
    </row>
    <row r="348">
      <c r="A348" s="177" t="str">
        <f t="shared" si="14"/>
        <v/>
      </c>
      <c r="B348" s="196"/>
      <c r="C348" s="179" t="str">
        <f t="shared" si="2"/>
        <v/>
      </c>
      <c r="D348" s="197"/>
      <c r="E348" s="181"/>
      <c r="F348" s="198"/>
      <c r="G348" s="201"/>
      <c r="H348" s="201"/>
      <c r="I348" s="201"/>
      <c r="J348" s="202"/>
      <c r="K348" s="203"/>
      <c r="L348" s="186">
        <f t="shared" si="15"/>
        <v>0</v>
      </c>
      <c r="M348" s="191"/>
      <c r="N348" s="191"/>
      <c r="O348" s="191"/>
      <c r="P348" s="191"/>
      <c r="Q348" s="191"/>
      <c r="R348" s="191"/>
      <c r="S348" s="191"/>
      <c r="T348" s="192"/>
      <c r="U348" s="189" t="str">
        <f t="shared" si="16"/>
        <v/>
      </c>
      <c r="V348" s="190" t="str">
        <f t="shared" si="17"/>
        <v/>
      </c>
      <c r="W348" s="190" t="str">
        <f t="shared" si="18"/>
        <v/>
      </c>
      <c r="X348" s="191" t="str">
        <f t="shared" si="19"/>
        <v/>
      </c>
      <c r="Y348" s="191" t="str">
        <f t="shared" si="20"/>
        <v/>
      </c>
      <c r="Z348" s="156"/>
    </row>
    <row r="349">
      <c r="A349" s="177" t="str">
        <f t="shared" si="14"/>
        <v/>
      </c>
      <c r="B349" s="196"/>
      <c r="C349" s="179" t="str">
        <f t="shared" si="2"/>
        <v/>
      </c>
      <c r="D349" s="197"/>
      <c r="E349" s="181"/>
      <c r="F349" s="198"/>
      <c r="G349" s="201"/>
      <c r="H349" s="201"/>
      <c r="I349" s="201"/>
      <c r="J349" s="202"/>
      <c r="K349" s="203"/>
      <c r="L349" s="186">
        <f t="shared" si="15"/>
        <v>0</v>
      </c>
      <c r="M349" s="191"/>
      <c r="N349" s="191"/>
      <c r="O349" s="191"/>
      <c r="P349" s="191"/>
      <c r="Q349" s="191"/>
      <c r="R349" s="191"/>
      <c r="S349" s="191"/>
      <c r="T349" s="192"/>
      <c r="U349" s="189" t="str">
        <f t="shared" si="16"/>
        <v/>
      </c>
      <c r="V349" s="190" t="str">
        <f t="shared" si="17"/>
        <v/>
      </c>
      <c r="W349" s="190" t="str">
        <f t="shared" si="18"/>
        <v/>
      </c>
      <c r="X349" s="191" t="str">
        <f t="shared" si="19"/>
        <v/>
      </c>
      <c r="Y349" s="191" t="str">
        <f t="shared" si="20"/>
        <v/>
      </c>
      <c r="Z349" s="156"/>
    </row>
    <row r="350">
      <c r="A350" s="177" t="str">
        <f t="shared" si="14"/>
        <v/>
      </c>
      <c r="B350" s="196"/>
      <c r="C350" s="179" t="str">
        <f t="shared" si="2"/>
        <v/>
      </c>
      <c r="D350" s="197"/>
      <c r="E350" s="181"/>
      <c r="F350" s="198"/>
      <c r="G350" s="201"/>
      <c r="H350" s="201"/>
      <c r="I350" s="201"/>
      <c r="J350" s="202"/>
      <c r="K350" s="203"/>
      <c r="L350" s="186">
        <f t="shared" si="15"/>
        <v>0</v>
      </c>
      <c r="M350" s="191"/>
      <c r="N350" s="191"/>
      <c r="O350" s="191"/>
      <c r="P350" s="191"/>
      <c r="Q350" s="191"/>
      <c r="R350" s="191"/>
      <c r="S350" s="191"/>
      <c r="T350" s="192"/>
      <c r="U350" s="189" t="str">
        <f t="shared" si="16"/>
        <v/>
      </c>
      <c r="V350" s="190" t="str">
        <f t="shared" si="17"/>
        <v/>
      </c>
      <c r="W350" s="190" t="str">
        <f t="shared" si="18"/>
        <v/>
      </c>
      <c r="X350" s="191" t="str">
        <f t="shared" si="19"/>
        <v/>
      </c>
      <c r="Y350" s="191" t="str">
        <f t="shared" si="20"/>
        <v/>
      </c>
      <c r="Z350" s="156"/>
    </row>
    <row r="351">
      <c r="A351" s="177" t="str">
        <f t="shared" si="14"/>
        <v/>
      </c>
      <c r="B351" s="196"/>
      <c r="C351" s="179" t="str">
        <f t="shared" si="2"/>
        <v/>
      </c>
      <c r="D351" s="197"/>
      <c r="E351" s="181"/>
      <c r="F351" s="198"/>
      <c r="G351" s="201"/>
      <c r="H351" s="201"/>
      <c r="I351" s="201"/>
      <c r="J351" s="202"/>
      <c r="K351" s="203"/>
      <c r="L351" s="186">
        <f t="shared" si="15"/>
        <v>0</v>
      </c>
      <c r="M351" s="191"/>
      <c r="N351" s="191"/>
      <c r="O351" s="191"/>
      <c r="P351" s="191"/>
      <c r="Q351" s="191"/>
      <c r="R351" s="191"/>
      <c r="S351" s="191"/>
      <c r="T351" s="192"/>
      <c r="U351" s="189" t="str">
        <f t="shared" si="16"/>
        <v/>
      </c>
      <c r="V351" s="190" t="str">
        <f t="shared" si="17"/>
        <v/>
      </c>
      <c r="W351" s="190" t="str">
        <f t="shared" si="18"/>
        <v/>
      </c>
      <c r="X351" s="191" t="str">
        <f t="shared" si="19"/>
        <v/>
      </c>
      <c r="Y351" s="191" t="str">
        <f t="shared" si="20"/>
        <v/>
      </c>
      <c r="Z351" s="156"/>
    </row>
    <row r="352">
      <c r="A352" s="177" t="str">
        <f t="shared" si="14"/>
        <v/>
      </c>
      <c r="B352" s="196"/>
      <c r="C352" s="179" t="str">
        <f t="shared" si="2"/>
        <v/>
      </c>
      <c r="D352" s="197"/>
      <c r="E352" s="181"/>
      <c r="F352" s="198"/>
      <c r="G352" s="201"/>
      <c r="H352" s="201"/>
      <c r="I352" s="201"/>
      <c r="J352" s="202"/>
      <c r="K352" s="203"/>
      <c r="L352" s="186">
        <f t="shared" si="15"/>
        <v>0</v>
      </c>
      <c r="M352" s="191"/>
      <c r="N352" s="191"/>
      <c r="O352" s="191"/>
      <c r="P352" s="191"/>
      <c r="Q352" s="191"/>
      <c r="R352" s="191"/>
      <c r="S352" s="191"/>
      <c r="T352" s="192"/>
      <c r="U352" s="189" t="str">
        <f t="shared" si="16"/>
        <v/>
      </c>
      <c r="V352" s="190" t="str">
        <f t="shared" si="17"/>
        <v/>
      </c>
      <c r="W352" s="190" t="str">
        <f t="shared" si="18"/>
        <v/>
      </c>
      <c r="X352" s="191" t="str">
        <f t="shared" si="19"/>
        <v/>
      </c>
      <c r="Y352" s="191" t="str">
        <f t="shared" si="20"/>
        <v/>
      </c>
      <c r="Z352" s="156"/>
    </row>
    <row r="353">
      <c r="A353" s="177" t="str">
        <f t="shared" si="14"/>
        <v/>
      </c>
      <c r="B353" s="196"/>
      <c r="C353" s="179" t="str">
        <f t="shared" si="2"/>
        <v/>
      </c>
      <c r="D353" s="197"/>
      <c r="E353" s="181"/>
      <c r="F353" s="198"/>
      <c r="G353" s="201"/>
      <c r="H353" s="201"/>
      <c r="I353" s="201"/>
      <c r="J353" s="202"/>
      <c r="K353" s="203"/>
      <c r="L353" s="186">
        <f t="shared" si="15"/>
        <v>0</v>
      </c>
      <c r="M353" s="191"/>
      <c r="N353" s="191"/>
      <c r="O353" s="191"/>
      <c r="P353" s="191"/>
      <c r="Q353" s="191"/>
      <c r="R353" s="191"/>
      <c r="S353" s="191"/>
      <c r="T353" s="192"/>
      <c r="U353" s="189" t="str">
        <f t="shared" si="16"/>
        <v/>
      </c>
      <c r="V353" s="190" t="str">
        <f t="shared" si="17"/>
        <v/>
      </c>
      <c r="W353" s="190" t="str">
        <f t="shared" si="18"/>
        <v/>
      </c>
      <c r="X353" s="191" t="str">
        <f t="shared" si="19"/>
        <v/>
      </c>
      <c r="Y353" s="191" t="str">
        <f t="shared" si="20"/>
        <v/>
      </c>
      <c r="Z353" s="156"/>
    </row>
    <row r="354">
      <c r="A354" s="177" t="str">
        <f t="shared" si="14"/>
        <v/>
      </c>
      <c r="B354" s="196"/>
      <c r="C354" s="179" t="str">
        <f t="shared" si="2"/>
        <v/>
      </c>
      <c r="D354" s="197"/>
      <c r="E354" s="181"/>
      <c r="F354" s="198"/>
      <c r="G354" s="201"/>
      <c r="H354" s="201"/>
      <c r="I354" s="201"/>
      <c r="J354" s="202"/>
      <c r="K354" s="203"/>
      <c r="L354" s="186">
        <f t="shared" si="15"/>
        <v>0</v>
      </c>
      <c r="M354" s="191"/>
      <c r="N354" s="191"/>
      <c r="O354" s="191"/>
      <c r="P354" s="191"/>
      <c r="Q354" s="191"/>
      <c r="R354" s="191"/>
      <c r="S354" s="191"/>
      <c r="T354" s="192"/>
      <c r="U354" s="189" t="str">
        <f t="shared" si="16"/>
        <v/>
      </c>
      <c r="V354" s="190" t="str">
        <f t="shared" si="17"/>
        <v/>
      </c>
      <c r="W354" s="190" t="str">
        <f t="shared" si="18"/>
        <v/>
      </c>
      <c r="X354" s="191" t="str">
        <f t="shared" si="19"/>
        <v/>
      </c>
      <c r="Y354" s="191" t="str">
        <f t="shared" si="20"/>
        <v/>
      </c>
      <c r="Z354" s="156"/>
    </row>
    <row r="355">
      <c r="A355" s="177" t="str">
        <f t="shared" si="14"/>
        <v/>
      </c>
      <c r="B355" s="196"/>
      <c r="C355" s="179" t="str">
        <f t="shared" si="2"/>
        <v/>
      </c>
      <c r="D355" s="197"/>
      <c r="E355" s="181"/>
      <c r="F355" s="198"/>
      <c r="G355" s="201"/>
      <c r="H355" s="201"/>
      <c r="I355" s="201"/>
      <c r="J355" s="202"/>
      <c r="K355" s="203"/>
      <c r="L355" s="186">
        <f t="shared" si="15"/>
        <v>0</v>
      </c>
      <c r="M355" s="191"/>
      <c r="N355" s="191"/>
      <c r="O355" s="191"/>
      <c r="P355" s="191"/>
      <c r="Q355" s="191"/>
      <c r="R355" s="191"/>
      <c r="S355" s="191"/>
      <c r="T355" s="192"/>
      <c r="U355" s="189" t="str">
        <f t="shared" si="16"/>
        <v/>
      </c>
      <c r="V355" s="190" t="str">
        <f t="shared" si="17"/>
        <v/>
      </c>
      <c r="W355" s="190" t="str">
        <f t="shared" si="18"/>
        <v/>
      </c>
      <c r="X355" s="191" t="str">
        <f t="shared" si="19"/>
        <v/>
      </c>
      <c r="Y355" s="191" t="str">
        <f t="shared" si="20"/>
        <v/>
      </c>
      <c r="Z355" s="156"/>
    </row>
    <row r="356">
      <c r="A356" s="177" t="str">
        <f t="shared" si="14"/>
        <v/>
      </c>
      <c r="B356" s="196"/>
      <c r="C356" s="179" t="str">
        <f t="shared" si="2"/>
        <v/>
      </c>
      <c r="D356" s="197"/>
      <c r="E356" s="181"/>
      <c r="F356" s="198"/>
      <c r="G356" s="201"/>
      <c r="H356" s="201"/>
      <c r="I356" s="201"/>
      <c r="J356" s="202"/>
      <c r="K356" s="203"/>
      <c r="L356" s="186">
        <f t="shared" si="15"/>
        <v>0</v>
      </c>
      <c r="M356" s="191"/>
      <c r="N356" s="191"/>
      <c r="O356" s="191"/>
      <c r="P356" s="191"/>
      <c r="Q356" s="191"/>
      <c r="R356" s="191"/>
      <c r="S356" s="191"/>
      <c r="T356" s="192"/>
      <c r="U356" s="189" t="str">
        <f t="shared" si="16"/>
        <v/>
      </c>
      <c r="V356" s="190" t="str">
        <f t="shared" si="17"/>
        <v/>
      </c>
      <c r="W356" s="190" t="str">
        <f t="shared" si="18"/>
        <v/>
      </c>
      <c r="X356" s="191" t="str">
        <f t="shared" si="19"/>
        <v/>
      </c>
      <c r="Y356" s="191" t="str">
        <f t="shared" si="20"/>
        <v/>
      </c>
      <c r="Z356" s="156"/>
    </row>
    <row r="357">
      <c r="A357" s="177" t="str">
        <f t="shared" si="14"/>
        <v/>
      </c>
      <c r="B357" s="196"/>
      <c r="C357" s="179" t="str">
        <f t="shared" si="2"/>
        <v/>
      </c>
      <c r="D357" s="197"/>
      <c r="E357" s="181"/>
      <c r="F357" s="198"/>
      <c r="G357" s="201"/>
      <c r="H357" s="201"/>
      <c r="I357" s="201"/>
      <c r="J357" s="202"/>
      <c r="K357" s="203"/>
      <c r="L357" s="186">
        <f t="shared" si="15"/>
        <v>0</v>
      </c>
      <c r="M357" s="191"/>
      <c r="N357" s="191"/>
      <c r="O357" s="191"/>
      <c r="P357" s="191"/>
      <c r="Q357" s="191"/>
      <c r="R357" s="191"/>
      <c r="S357" s="191"/>
      <c r="T357" s="192"/>
      <c r="U357" s="189" t="str">
        <f t="shared" si="16"/>
        <v/>
      </c>
      <c r="V357" s="190" t="str">
        <f t="shared" si="17"/>
        <v/>
      </c>
      <c r="W357" s="190" t="str">
        <f t="shared" si="18"/>
        <v/>
      </c>
      <c r="X357" s="191" t="str">
        <f t="shared" si="19"/>
        <v/>
      </c>
      <c r="Y357" s="191" t="str">
        <f t="shared" si="20"/>
        <v/>
      </c>
      <c r="Z357" s="156"/>
    </row>
    <row r="358">
      <c r="A358" s="177" t="str">
        <f t="shared" si="14"/>
        <v/>
      </c>
      <c r="B358" s="196"/>
      <c r="C358" s="179" t="str">
        <f t="shared" si="2"/>
        <v/>
      </c>
      <c r="D358" s="197"/>
      <c r="E358" s="181"/>
      <c r="F358" s="198"/>
      <c r="G358" s="201"/>
      <c r="H358" s="201"/>
      <c r="I358" s="201"/>
      <c r="J358" s="202"/>
      <c r="K358" s="203"/>
      <c r="L358" s="186">
        <f t="shared" si="15"/>
        <v>0</v>
      </c>
      <c r="M358" s="191"/>
      <c r="N358" s="191"/>
      <c r="O358" s="191"/>
      <c r="P358" s="191"/>
      <c r="Q358" s="191"/>
      <c r="R358" s="191"/>
      <c r="S358" s="191"/>
      <c r="T358" s="192"/>
      <c r="U358" s="189" t="str">
        <f t="shared" si="16"/>
        <v/>
      </c>
      <c r="V358" s="190" t="str">
        <f t="shared" si="17"/>
        <v/>
      </c>
      <c r="W358" s="190" t="str">
        <f t="shared" si="18"/>
        <v/>
      </c>
      <c r="X358" s="191" t="str">
        <f t="shared" si="19"/>
        <v/>
      </c>
      <c r="Y358" s="191" t="str">
        <f t="shared" si="20"/>
        <v/>
      </c>
      <c r="Z358" s="156"/>
    </row>
    <row r="359">
      <c r="A359" s="177" t="str">
        <f t="shared" si="14"/>
        <v/>
      </c>
      <c r="B359" s="196"/>
      <c r="C359" s="179" t="str">
        <f t="shared" si="2"/>
        <v/>
      </c>
      <c r="D359" s="197"/>
      <c r="E359" s="181"/>
      <c r="F359" s="198"/>
      <c r="G359" s="201"/>
      <c r="H359" s="201"/>
      <c r="I359" s="201"/>
      <c r="J359" s="202"/>
      <c r="K359" s="203"/>
      <c r="L359" s="186">
        <f t="shared" si="15"/>
        <v>0</v>
      </c>
      <c r="M359" s="191"/>
      <c r="N359" s="191"/>
      <c r="O359" s="191"/>
      <c r="P359" s="191"/>
      <c r="Q359" s="191"/>
      <c r="R359" s="191"/>
      <c r="S359" s="191"/>
      <c r="T359" s="192"/>
      <c r="U359" s="189" t="str">
        <f t="shared" si="16"/>
        <v/>
      </c>
      <c r="V359" s="190" t="str">
        <f t="shared" si="17"/>
        <v/>
      </c>
      <c r="W359" s="190" t="str">
        <f t="shared" si="18"/>
        <v/>
      </c>
      <c r="X359" s="191" t="str">
        <f t="shared" si="19"/>
        <v/>
      </c>
      <c r="Y359" s="191" t="str">
        <f t="shared" si="20"/>
        <v/>
      </c>
      <c r="Z359" s="156"/>
    </row>
    <row r="360">
      <c r="A360" s="177" t="str">
        <f t="shared" si="14"/>
        <v/>
      </c>
      <c r="B360" s="196"/>
      <c r="C360" s="179" t="str">
        <f t="shared" si="2"/>
        <v/>
      </c>
      <c r="D360" s="197"/>
      <c r="E360" s="181"/>
      <c r="F360" s="198"/>
      <c r="G360" s="201"/>
      <c r="H360" s="201"/>
      <c r="I360" s="201"/>
      <c r="J360" s="202"/>
      <c r="K360" s="203"/>
      <c r="L360" s="186">
        <f t="shared" si="15"/>
        <v>0</v>
      </c>
      <c r="M360" s="191"/>
      <c r="N360" s="191"/>
      <c r="O360" s="191"/>
      <c r="P360" s="191"/>
      <c r="Q360" s="191"/>
      <c r="R360" s="191"/>
      <c r="S360" s="191"/>
      <c r="T360" s="192"/>
      <c r="U360" s="189" t="str">
        <f t="shared" si="16"/>
        <v/>
      </c>
      <c r="V360" s="190" t="str">
        <f t="shared" si="17"/>
        <v/>
      </c>
      <c r="W360" s="190" t="str">
        <f t="shared" si="18"/>
        <v/>
      </c>
      <c r="X360" s="191" t="str">
        <f t="shared" si="19"/>
        <v/>
      </c>
      <c r="Y360" s="191" t="str">
        <f t="shared" si="20"/>
        <v/>
      </c>
      <c r="Z360" s="156"/>
    </row>
    <row r="361">
      <c r="A361" s="177" t="str">
        <f t="shared" si="14"/>
        <v/>
      </c>
      <c r="B361" s="196"/>
      <c r="C361" s="179" t="str">
        <f t="shared" si="2"/>
        <v/>
      </c>
      <c r="D361" s="197"/>
      <c r="E361" s="181"/>
      <c r="F361" s="198"/>
      <c r="G361" s="201"/>
      <c r="H361" s="201"/>
      <c r="I361" s="201"/>
      <c r="J361" s="202"/>
      <c r="K361" s="203"/>
      <c r="L361" s="186">
        <f t="shared" si="15"/>
        <v>0</v>
      </c>
      <c r="M361" s="191"/>
      <c r="N361" s="191"/>
      <c r="O361" s="191"/>
      <c r="P361" s="191"/>
      <c r="Q361" s="191"/>
      <c r="R361" s="191"/>
      <c r="S361" s="191"/>
      <c r="T361" s="192"/>
      <c r="U361" s="189" t="str">
        <f t="shared" si="16"/>
        <v/>
      </c>
      <c r="V361" s="190" t="str">
        <f t="shared" si="17"/>
        <v/>
      </c>
      <c r="W361" s="190" t="str">
        <f t="shared" si="18"/>
        <v/>
      </c>
      <c r="X361" s="191" t="str">
        <f t="shared" si="19"/>
        <v/>
      </c>
      <c r="Y361" s="191" t="str">
        <f t="shared" si="20"/>
        <v/>
      </c>
      <c r="Z361" s="156"/>
    </row>
    <row r="362">
      <c r="A362" s="177" t="str">
        <f t="shared" si="14"/>
        <v/>
      </c>
      <c r="B362" s="196"/>
      <c r="C362" s="179" t="str">
        <f t="shared" si="2"/>
        <v/>
      </c>
      <c r="D362" s="197"/>
      <c r="E362" s="181"/>
      <c r="F362" s="198"/>
      <c r="G362" s="201"/>
      <c r="H362" s="201"/>
      <c r="I362" s="201"/>
      <c r="J362" s="202"/>
      <c r="K362" s="203"/>
      <c r="L362" s="186">
        <f t="shared" si="15"/>
        <v>0</v>
      </c>
      <c r="M362" s="191"/>
      <c r="N362" s="191"/>
      <c r="O362" s="191"/>
      <c r="P362" s="191"/>
      <c r="Q362" s="191"/>
      <c r="R362" s="191"/>
      <c r="S362" s="191"/>
      <c r="T362" s="192"/>
      <c r="U362" s="189" t="str">
        <f t="shared" si="16"/>
        <v/>
      </c>
      <c r="V362" s="190" t="str">
        <f t="shared" si="17"/>
        <v/>
      </c>
      <c r="W362" s="190" t="str">
        <f t="shared" si="18"/>
        <v/>
      </c>
      <c r="X362" s="191" t="str">
        <f t="shared" si="19"/>
        <v/>
      </c>
      <c r="Y362" s="191" t="str">
        <f t="shared" si="20"/>
        <v/>
      </c>
      <c r="Z362" s="156"/>
    </row>
    <row r="363">
      <c r="A363" s="177" t="str">
        <f t="shared" si="14"/>
        <v/>
      </c>
      <c r="B363" s="196"/>
      <c r="C363" s="179" t="str">
        <f t="shared" si="2"/>
        <v/>
      </c>
      <c r="D363" s="197"/>
      <c r="E363" s="181"/>
      <c r="F363" s="198"/>
      <c r="G363" s="201"/>
      <c r="H363" s="201"/>
      <c r="I363" s="201"/>
      <c r="J363" s="202"/>
      <c r="K363" s="203"/>
      <c r="L363" s="186">
        <f t="shared" si="15"/>
        <v>0</v>
      </c>
      <c r="M363" s="191"/>
      <c r="N363" s="191"/>
      <c r="O363" s="191"/>
      <c r="P363" s="191"/>
      <c r="Q363" s="191"/>
      <c r="R363" s="191"/>
      <c r="S363" s="191"/>
      <c r="T363" s="192"/>
      <c r="U363" s="189" t="str">
        <f t="shared" si="16"/>
        <v/>
      </c>
      <c r="V363" s="190" t="str">
        <f t="shared" si="17"/>
        <v/>
      </c>
      <c r="W363" s="190" t="str">
        <f t="shared" si="18"/>
        <v/>
      </c>
      <c r="X363" s="191" t="str">
        <f t="shared" si="19"/>
        <v/>
      </c>
      <c r="Y363" s="191" t="str">
        <f t="shared" si="20"/>
        <v/>
      </c>
      <c r="Z363" s="156"/>
    </row>
    <row r="364">
      <c r="A364" s="177" t="str">
        <f t="shared" si="14"/>
        <v/>
      </c>
      <c r="B364" s="196"/>
      <c r="C364" s="179" t="str">
        <f t="shared" si="2"/>
        <v/>
      </c>
      <c r="D364" s="197"/>
      <c r="E364" s="181"/>
      <c r="F364" s="198"/>
      <c r="G364" s="201"/>
      <c r="H364" s="201"/>
      <c r="I364" s="201"/>
      <c r="J364" s="202"/>
      <c r="K364" s="203"/>
      <c r="L364" s="186">
        <f t="shared" si="15"/>
        <v>0</v>
      </c>
      <c r="M364" s="191"/>
      <c r="N364" s="191"/>
      <c r="O364" s="191"/>
      <c r="P364" s="191"/>
      <c r="Q364" s="191"/>
      <c r="R364" s="191"/>
      <c r="S364" s="191"/>
      <c r="T364" s="192"/>
      <c r="U364" s="189" t="str">
        <f t="shared" si="16"/>
        <v/>
      </c>
      <c r="V364" s="190" t="str">
        <f t="shared" si="17"/>
        <v/>
      </c>
      <c r="W364" s="190" t="str">
        <f t="shared" si="18"/>
        <v/>
      </c>
      <c r="X364" s="191" t="str">
        <f t="shared" si="19"/>
        <v/>
      </c>
      <c r="Y364" s="191" t="str">
        <f t="shared" si="20"/>
        <v/>
      </c>
      <c r="Z364" s="156"/>
    </row>
    <row r="365">
      <c r="A365" s="177" t="str">
        <f t="shared" si="14"/>
        <v/>
      </c>
      <c r="B365" s="196"/>
      <c r="C365" s="179" t="str">
        <f t="shared" si="2"/>
        <v/>
      </c>
      <c r="D365" s="197"/>
      <c r="E365" s="181"/>
      <c r="F365" s="198"/>
      <c r="G365" s="201"/>
      <c r="H365" s="201"/>
      <c r="I365" s="201"/>
      <c r="J365" s="202"/>
      <c r="K365" s="203"/>
      <c r="L365" s="186">
        <f t="shared" si="15"/>
        <v>0</v>
      </c>
      <c r="M365" s="191"/>
      <c r="N365" s="191"/>
      <c r="O365" s="191"/>
      <c r="P365" s="191"/>
      <c r="Q365" s="191"/>
      <c r="R365" s="191"/>
      <c r="S365" s="191"/>
      <c r="T365" s="192"/>
      <c r="U365" s="189" t="str">
        <f t="shared" si="16"/>
        <v/>
      </c>
      <c r="V365" s="190" t="str">
        <f t="shared" si="17"/>
        <v/>
      </c>
      <c r="W365" s="190" t="str">
        <f t="shared" si="18"/>
        <v/>
      </c>
      <c r="X365" s="191" t="str">
        <f t="shared" si="19"/>
        <v/>
      </c>
      <c r="Y365" s="191" t="str">
        <f t="shared" si="20"/>
        <v/>
      </c>
      <c r="Z365" s="156"/>
    </row>
    <row r="366">
      <c r="A366" s="177" t="str">
        <f t="shared" si="14"/>
        <v/>
      </c>
      <c r="B366" s="196"/>
      <c r="C366" s="179" t="str">
        <f t="shared" si="2"/>
        <v/>
      </c>
      <c r="D366" s="197"/>
      <c r="E366" s="181"/>
      <c r="F366" s="198"/>
      <c r="G366" s="201"/>
      <c r="H366" s="201"/>
      <c r="I366" s="201"/>
      <c r="J366" s="202"/>
      <c r="K366" s="203"/>
      <c r="L366" s="186">
        <f t="shared" si="15"/>
        <v>0</v>
      </c>
      <c r="M366" s="191"/>
      <c r="N366" s="191"/>
      <c r="O366" s="191"/>
      <c r="P366" s="191"/>
      <c r="Q366" s="191"/>
      <c r="R366" s="191"/>
      <c r="S366" s="191"/>
      <c r="T366" s="192"/>
      <c r="U366" s="189" t="str">
        <f t="shared" si="16"/>
        <v/>
      </c>
      <c r="V366" s="190" t="str">
        <f t="shared" si="17"/>
        <v/>
      </c>
      <c r="W366" s="190" t="str">
        <f t="shared" si="18"/>
        <v/>
      </c>
      <c r="X366" s="191" t="str">
        <f t="shared" si="19"/>
        <v/>
      </c>
      <c r="Y366" s="191" t="str">
        <f t="shared" si="20"/>
        <v/>
      </c>
      <c r="Z366" s="156"/>
    </row>
    <row r="367">
      <c r="A367" s="177" t="str">
        <f t="shared" si="14"/>
        <v/>
      </c>
      <c r="B367" s="196"/>
      <c r="C367" s="179" t="str">
        <f t="shared" si="2"/>
        <v/>
      </c>
      <c r="D367" s="197"/>
      <c r="E367" s="181"/>
      <c r="F367" s="198"/>
      <c r="G367" s="201"/>
      <c r="H367" s="201"/>
      <c r="I367" s="201"/>
      <c r="J367" s="202"/>
      <c r="K367" s="203"/>
      <c r="L367" s="186">
        <f t="shared" si="15"/>
        <v>0</v>
      </c>
      <c r="M367" s="191"/>
      <c r="N367" s="191"/>
      <c r="O367" s="191"/>
      <c r="P367" s="191"/>
      <c r="Q367" s="191"/>
      <c r="R367" s="191"/>
      <c r="S367" s="191"/>
      <c r="T367" s="192"/>
      <c r="U367" s="189" t="str">
        <f t="shared" si="16"/>
        <v/>
      </c>
      <c r="V367" s="190" t="str">
        <f t="shared" si="17"/>
        <v/>
      </c>
      <c r="W367" s="190" t="str">
        <f t="shared" si="18"/>
        <v/>
      </c>
      <c r="X367" s="191" t="str">
        <f t="shared" si="19"/>
        <v/>
      </c>
      <c r="Y367" s="191" t="str">
        <f t="shared" si="20"/>
        <v/>
      </c>
      <c r="Z367" s="156"/>
    </row>
    <row r="368">
      <c r="A368" s="177" t="str">
        <f t="shared" si="14"/>
        <v/>
      </c>
      <c r="B368" s="196"/>
      <c r="C368" s="179" t="str">
        <f t="shared" si="2"/>
        <v/>
      </c>
      <c r="D368" s="197"/>
      <c r="E368" s="181"/>
      <c r="F368" s="198"/>
      <c r="G368" s="201"/>
      <c r="H368" s="201"/>
      <c r="I368" s="201"/>
      <c r="J368" s="202"/>
      <c r="K368" s="203"/>
      <c r="L368" s="186">
        <f t="shared" si="15"/>
        <v>0</v>
      </c>
      <c r="M368" s="191"/>
      <c r="N368" s="191"/>
      <c r="O368" s="191"/>
      <c r="P368" s="191"/>
      <c r="Q368" s="191"/>
      <c r="R368" s="191"/>
      <c r="S368" s="191"/>
      <c r="T368" s="192"/>
      <c r="U368" s="189" t="str">
        <f t="shared" si="16"/>
        <v/>
      </c>
      <c r="V368" s="190" t="str">
        <f t="shared" si="17"/>
        <v/>
      </c>
      <c r="W368" s="190" t="str">
        <f t="shared" si="18"/>
        <v/>
      </c>
      <c r="X368" s="191" t="str">
        <f t="shared" si="19"/>
        <v/>
      </c>
      <c r="Y368" s="191" t="str">
        <f t="shared" si="20"/>
        <v/>
      </c>
      <c r="Z368" s="156"/>
    </row>
    <row r="369">
      <c r="A369" s="177" t="str">
        <f t="shared" si="14"/>
        <v/>
      </c>
      <c r="B369" s="196"/>
      <c r="C369" s="179" t="str">
        <f t="shared" si="2"/>
        <v/>
      </c>
      <c r="D369" s="197"/>
      <c r="E369" s="181"/>
      <c r="F369" s="198"/>
      <c r="G369" s="201"/>
      <c r="H369" s="201"/>
      <c r="I369" s="201"/>
      <c r="J369" s="202"/>
      <c r="K369" s="203"/>
      <c r="L369" s="186">
        <f t="shared" si="15"/>
        <v>0</v>
      </c>
      <c r="M369" s="191"/>
      <c r="N369" s="191"/>
      <c r="O369" s="191"/>
      <c r="P369" s="191"/>
      <c r="Q369" s="191"/>
      <c r="R369" s="191"/>
      <c r="S369" s="191"/>
      <c r="T369" s="192"/>
      <c r="U369" s="189" t="str">
        <f t="shared" si="16"/>
        <v/>
      </c>
      <c r="V369" s="190" t="str">
        <f t="shared" si="17"/>
        <v/>
      </c>
      <c r="W369" s="190" t="str">
        <f t="shared" si="18"/>
        <v/>
      </c>
      <c r="X369" s="191" t="str">
        <f t="shared" si="19"/>
        <v/>
      </c>
      <c r="Y369" s="191" t="str">
        <f t="shared" si="20"/>
        <v/>
      </c>
      <c r="Z369" s="156"/>
    </row>
    <row r="370">
      <c r="A370" s="177" t="str">
        <f t="shared" si="14"/>
        <v/>
      </c>
      <c r="B370" s="196"/>
      <c r="C370" s="179" t="str">
        <f t="shared" si="2"/>
        <v/>
      </c>
      <c r="D370" s="197"/>
      <c r="E370" s="181"/>
      <c r="F370" s="198"/>
      <c r="G370" s="201"/>
      <c r="H370" s="201"/>
      <c r="I370" s="201"/>
      <c r="J370" s="202"/>
      <c r="K370" s="203"/>
      <c r="L370" s="186">
        <f t="shared" si="15"/>
        <v>0</v>
      </c>
      <c r="M370" s="191"/>
      <c r="N370" s="191"/>
      <c r="O370" s="191"/>
      <c r="P370" s="191"/>
      <c r="Q370" s="191"/>
      <c r="R370" s="191"/>
      <c r="S370" s="191"/>
      <c r="T370" s="192"/>
      <c r="U370" s="189" t="str">
        <f t="shared" si="16"/>
        <v/>
      </c>
      <c r="V370" s="190" t="str">
        <f t="shared" si="17"/>
        <v/>
      </c>
      <c r="W370" s="190" t="str">
        <f t="shared" si="18"/>
        <v/>
      </c>
      <c r="X370" s="191" t="str">
        <f t="shared" si="19"/>
        <v/>
      </c>
      <c r="Y370" s="191" t="str">
        <f t="shared" si="20"/>
        <v/>
      </c>
      <c r="Z370" s="156"/>
    </row>
    <row r="371">
      <c r="A371" s="177" t="str">
        <f t="shared" si="14"/>
        <v/>
      </c>
      <c r="B371" s="196"/>
      <c r="C371" s="179" t="str">
        <f t="shared" si="2"/>
        <v/>
      </c>
      <c r="D371" s="197"/>
      <c r="E371" s="181"/>
      <c r="F371" s="198"/>
      <c r="G371" s="201"/>
      <c r="H371" s="201"/>
      <c r="I371" s="201"/>
      <c r="J371" s="202"/>
      <c r="K371" s="203"/>
      <c r="L371" s="186">
        <f t="shared" si="15"/>
        <v>0</v>
      </c>
      <c r="M371" s="191"/>
      <c r="N371" s="191"/>
      <c r="O371" s="191"/>
      <c r="P371" s="191"/>
      <c r="Q371" s="191"/>
      <c r="R371" s="191"/>
      <c r="S371" s="191"/>
      <c r="T371" s="192"/>
      <c r="U371" s="189" t="str">
        <f t="shared" si="16"/>
        <v/>
      </c>
      <c r="V371" s="190" t="str">
        <f t="shared" si="17"/>
        <v/>
      </c>
      <c r="W371" s="190" t="str">
        <f t="shared" si="18"/>
        <v/>
      </c>
      <c r="X371" s="191" t="str">
        <f t="shared" si="19"/>
        <v/>
      </c>
      <c r="Y371" s="191" t="str">
        <f t="shared" si="20"/>
        <v/>
      </c>
      <c r="Z371" s="156"/>
    </row>
    <row r="372">
      <c r="A372" s="177" t="str">
        <f t="shared" si="14"/>
        <v/>
      </c>
      <c r="B372" s="196"/>
      <c r="C372" s="179" t="str">
        <f t="shared" si="2"/>
        <v/>
      </c>
      <c r="D372" s="197"/>
      <c r="E372" s="181"/>
      <c r="F372" s="198"/>
      <c r="G372" s="201"/>
      <c r="H372" s="201"/>
      <c r="I372" s="201"/>
      <c r="J372" s="202"/>
      <c r="K372" s="203"/>
      <c r="L372" s="186">
        <f t="shared" si="15"/>
        <v>0</v>
      </c>
      <c r="M372" s="191"/>
      <c r="N372" s="191"/>
      <c r="O372" s="191"/>
      <c r="P372" s="191"/>
      <c r="Q372" s="191"/>
      <c r="R372" s="191"/>
      <c r="S372" s="191"/>
      <c r="T372" s="192"/>
      <c r="U372" s="189" t="str">
        <f t="shared" si="16"/>
        <v/>
      </c>
      <c r="V372" s="190" t="str">
        <f t="shared" si="17"/>
        <v/>
      </c>
      <c r="W372" s="190" t="str">
        <f t="shared" si="18"/>
        <v/>
      </c>
      <c r="X372" s="191" t="str">
        <f t="shared" si="19"/>
        <v/>
      </c>
      <c r="Y372" s="191" t="str">
        <f t="shared" si="20"/>
        <v/>
      </c>
      <c r="Z372" s="156"/>
    </row>
    <row r="373">
      <c r="A373" s="177" t="str">
        <f t="shared" si="14"/>
        <v/>
      </c>
      <c r="B373" s="196"/>
      <c r="C373" s="179" t="str">
        <f t="shared" si="2"/>
        <v/>
      </c>
      <c r="D373" s="197"/>
      <c r="E373" s="181"/>
      <c r="F373" s="198"/>
      <c r="G373" s="201"/>
      <c r="H373" s="201"/>
      <c r="I373" s="201"/>
      <c r="J373" s="202"/>
      <c r="K373" s="203"/>
      <c r="L373" s="186">
        <f t="shared" si="15"/>
        <v>0</v>
      </c>
      <c r="M373" s="191"/>
      <c r="N373" s="191"/>
      <c r="O373" s="191"/>
      <c r="P373" s="191"/>
      <c r="Q373" s="191"/>
      <c r="R373" s="191"/>
      <c r="S373" s="191"/>
      <c r="T373" s="192"/>
      <c r="U373" s="189" t="str">
        <f t="shared" si="16"/>
        <v/>
      </c>
      <c r="V373" s="190" t="str">
        <f t="shared" si="17"/>
        <v/>
      </c>
      <c r="W373" s="190" t="str">
        <f t="shared" si="18"/>
        <v/>
      </c>
      <c r="X373" s="191" t="str">
        <f t="shared" si="19"/>
        <v/>
      </c>
      <c r="Y373" s="191" t="str">
        <f t="shared" si="20"/>
        <v/>
      </c>
      <c r="Z373" s="156"/>
    </row>
    <row r="374">
      <c r="A374" s="177" t="str">
        <f t="shared" si="14"/>
        <v/>
      </c>
      <c r="B374" s="196"/>
      <c r="C374" s="179" t="str">
        <f t="shared" si="2"/>
        <v/>
      </c>
      <c r="D374" s="197"/>
      <c r="E374" s="181"/>
      <c r="F374" s="198"/>
      <c r="G374" s="201"/>
      <c r="H374" s="201"/>
      <c r="I374" s="201"/>
      <c r="J374" s="202"/>
      <c r="K374" s="203"/>
      <c r="L374" s="186">
        <f t="shared" si="15"/>
        <v>0</v>
      </c>
      <c r="M374" s="191"/>
      <c r="N374" s="191"/>
      <c r="O374" s="191"/>
      <c r="P374" s="191"/>
      <c r="Q374" s="191"/>
      <c r="R374" s="191"/>
      <c r="S374" s="191"/>
      <c r="T374" s="192"/>
      <c r="U374" s="189" t="str">
        <f t="shared" si="16"/>
        <v/>
      </c>
      <c r="V374" s="190" t="str">
        <f t="shared" si="17"/>
        <v/>
      </c>
      <c r="W374" s="190" t="str">
        <f t="shared" si="18"/>
        <v/>
      </c>
      <c r="X374" s="191" t="str">
        <f t="shared" si="19"/>
        <v/>
      </c>
      <c r="Y374" s="191" t="str">
        <f t="shared" si="20"/>
        <v/>
      </c>
      <c r="Z374" s="156"/>
    </row>
    <row r="375">
      <c r="A375" s="177" t="str">
        <f t="shared" si="14"/>
        <v/>
      </c>
      <c r="B375" s="196"/>
      <c r="C375" s="179" t="str">
        <f t="shared" si="2"/>
        <v/>
      </c>
      <c r="D375" s="197"/>
      <c r="E375" s="181"/>
      <c r="F375" s="198"/>
      <c r="G375" s="201"/>
      <c r="H375" s="201"/>
      <c r="I375" s="201"/>
      <c r="J375" s="202"/>
      <c r="K375" s="203"/>
      <c r="L375" s="186">
        <f t="shared" si="15"/>
        <v>0</v>
      </c>
      <c r="M375" s="191"/>
      <c r="N375" s="191"/>
      <c r="O375" s="191"/>
      <c r="P375" s="191"/>
      <c r="Q375" s="191"/>
      <c r="R375" s="191"/>
      <c r="S375" s="191"/>
      <c r="T375" s="192"/>
      <c r="U375" s="189" t="str">
        <f t="shared" si="16"/>
        <v/>
      </c>
      <c r="V375" s="190" t="str">
        <f t="shared" si="17"/>
        <v/>
      </c>
      <c r="W375" s="190" t="str">
        <f t="shared" si="18"/>
        <v/>
      </c>
      <c r="X375" s="191" t="str">
        <f t="shared" si="19"/>
        <v/>
      </c>
      <c r="Y375" s="191" t="str">
        <f t="shared" si="20"/>
        <v/>
      </c>
      <c r="Z375" s="156"/>
    </row>
    <row r="376">
      <c r="A376" s="177" t="str">
        <f t="shared" si="14"/>
        <v/>
      </c>
      <c r="B376" s="196"/>
      <c r="C376" s="179" t="str">
        <f t="shared" si="2"/>
        <v/>
      </c>
      <c r="D376" s="197"/>
      <c r="E376" s="181"/>
      <c r="F376" s="198"/>
      <c r="G376" s="201"/>
      <c r="H376" s="201"/>
      <c r="I376" s="201"/>
      <c r="J376" s="202"/>
      <c r="K376" s="203"/>
      <c r="L376" s="186">
        <f t="shared" si="15"/>
        <v>0</v>
      </c>
      <c r="M376" s="191"/>
      <c r="N376" s="191"/>
      <c r="O376" s="191"/>
      <c r="P376" s="191"/>
      <c r="Q376" s="191"/>
      <c r="R376" s="191"/>
      <c r="S376" s="191"/>
      <c r="T376" s="192"/>
      <c r="U376" s="189" t="str">
        <f t="shared" si="16"/>
        <v/>
      </c>
      <c r="V376" s="190" t="str">
        <f t="shared" si="17"/>
        <v/>
      </c>
      <c r="W376" s="190" t="str">
        <f t="shared" si="18"/>
        <v/>
      </c>
      <c r="X376" s="191" t="str">
        <f t="shared" si="19"/>
        <v/>
      </c>
      <c r="Y376" s="191" t="str">
        <f t="shared" si="20"/>
        <v/>
      </c>
      <c r="Z376" s="156"/>
    </row>
    <row r="377">
      <c r="A377" s="177" t="str">
        <f t="shared" si="14"/>
        <v/>
      </c>
      <c r="B377" s="196"/>
      <c r="C377" s="179" t="str">
        <f t="shared" si="2"/>
        <v/>
      </c>
      <c r="D377" s="197"/>
      <c r="E377" s="181"/>
      <c r="F377" s="198"/>
      <c r="G377" s="201"/>
      <c r="H377" s="201"/>
      <c r="I377" s="201"/>
      <c r="J377" s="202"/>
      <c r="K377" s="203"/>
      <c r="L377" s="186">
        <f t="shared" si="15"/>
        <v>0</v>
      </c>
      <c r="M377" s="191"/>
      <c r="N377" s="191"/>
      <c r="O377" s="191"/>
      <c r="P377" s="191"/>
      <c r="Q377" s="191"/>
      <c r="R377" s="191"/>
      <c r="S377" s="191"/>
      <c r="T377" s="192"/>
      <c r="U377" s="189" t="str">
        <f t="shared" si="16"/>
        <v/>
      </c>
      <c r="V377" s="190" t="str">
        <f t="shared" si="17"/>
        <v/>
      </c>
      <c r="W377" s="190" t="str">
        <f t="shared" si="18"/>
        <v/>
      </c>
      <c r="X377" s="191" t="str">
        <f t="shared" si="19"/>
        <v/>
      </c>
      <c r="Y377" s="191" t="str">
        <f t="shared" si="20"/>
        <v/>
      </c>
      <c r="Z377" s="156"/>
    </row>
    <row r="378">
      <c r="A378" s="177" t="str">
        <f t="shared" si="14"/>
        <v/>
      </c>
      <c r="B378" s="196"/>
      <c r="C378" s="179" t="str">
        <f t="shared" si="2"/>
        <v/>
      </c>
      <c r="D378" s="197"/>
      <c r="E378" s="181"/>
      <c r="F378" s="198"/>
      <c r="G378" s="201"/>
      <c r="H378" s="201"/>
      <c r="I378" s="201"/>
      <c r="J378" s="202"/>
      <c r="K378" s="203"/>
      <c r="L378" s="186">
        <f t="shared" si="15"/>
        <v>0</v>
      </c>
      <c r="M378" s="191"/>
      <c r="N378" s="191"/>
      <c r="O378" s="191"/>
      <c r="P378" s="191"/>
      <c r="Q378" s="191"/>
      <c r="R378" s="191"/>
      <c r="S378" s="191"/>
      <c r="T378" s="192"/>
      <c r="U378" s="189" t="str">
        <f t="shared" si="16"/>
        <v/>
      </c>
      <c r="V378" s="190" t="str">
        <f t="shared" si="17"/>
        <v/>
      </c>
      <c r="W378" s="190" t="str">
        <f t="shared" si="18"/>
        <v/>
      </c>
      <c r="X378" s="191" t="str">
        <f t="shared" si="19"/>
        <v/>
      </c>
      <c r="Y378" s="191" t="str">
        <f t="shared" si="20"/>
        <v/>
      </c>
      <c r="Z378" s="156"/>
    </row>
    <row r="379">
      <c r="A379" s="177" t="str">
        <f t="shared" si="14"/>
        <v/>
      </c>
      <c r="B379" s="196"/>
      <c r="C379" s="179" t="str">
        <f t="shared" si="2"/>
        <v/>
      </c>
      <c r="D379" s="197"/>
      <c r="E379" s="181"/>
      <c r="F379" s="198"/>
      <c r="G379" s="201"/>
      <c r="H379" s="201"/>
      <c r="I379" s="201"/>
      <c r="J379" s="202"/>
      <c r="K379" s="203"/>
      <c r="L379" s="186">
        <f t="shared" si="15"/>
        <v>0</v>
      </c>
      <c r="M379" s="191"/>
      <c r="N379" s="191"/>
      <c r="O379" s="191"/>
      <c r="P379" s="191"/>
      <c r="Q379" s="191"/>
      <c r="R379" s="191"/>
      <c r="S379" s="191"/>
      <c r="T379" s="192"/>
      <c r="U379" s="189" t="str">
        <f t="shared" si="16"/>
        <v/>
      </c>
      <c r="V379" s="190" t="str">
        <f t="shared" si="17"/>
        <v/>
      </c>
      <c r="W379" s="190" t="str">
        <f t="shared" si="18"/>
        <v/>
      </c>
      <c r="X379" s="191" t="str">
        <f t="shared" si="19"/>
        <v/>
      </c>
      <c r="Y379" s="191" t="str">
        <f t="shared" si="20"/>
        <v/>
      </c>
      <c r="Z379" s="156"/>
    </row>
    <row r="380">
      <c r="A380" s="177" t="str">
        <f t="shared" si="14"/>
        <v/>
      </c>
      <c r="B380" s="196"/>
      <c r="C380" s="179" t="str">
        <f t="shared" si="2"/>
        <v/>
      </c>
      <c r="D380" s="197"/>
      <c r="E380" s="181"/>
      <c r="F380" s="198"/>
      <c r="G380" s="201"/>
      <c r="H380" s="201"/>
      <c r="I380" s="201"/>
      <c r="J380" s="202"/>
      <c r="K380" s="203"/>
      <c r="L380" s="186">
        <f t="shared" si="15"/>
        <v>0</v>
      </c>
      <c r="M380" s="191"/>
      <c r="N380" s="191"/>
      <c r="O380" s="191"/>
      <c r="P380" s="191"/>
      <c r="Q380" s="191"/>
      <c r="R380" s="191"/>
      <c r="S380" s="191"/>
      <c r="T380" s="192"/>
      <c r="U380" s="189" t="str">
        <f t="shared" si="16"/>
        <v/>
      </c>
      <c r="V380" s="190" t="str">
        <f t="shared" si="17"/>
        <v/>
      </c>
      <c r="W380" s="190" t="str">
        <f t="shared" si="18"/>
        <v/>
      </c>
      <c r="X380" s="191" t="str">
        <f t="shared" si="19"/>
        <v/>
      </c>
      <c r="Y380" s="191" t="str">
        <f t="shared" si="20"/>
        <v/>
      </c>
      <c r="Z380" s="156"/>
    </row>
    <row r="381">
      <c r="A381" s="177" t="str">
        <f t="shared" si="14"/>
        <v/>
      </c>
      <c r="B381" s="196"/>
      <c r="C381" s="179" t="str">
        <f t="shared" si="2"/>
        <v/>
      </c>
      <c r="D381" s="197"/>
      <c r="E381" s="181"/>
      <c r="F381" s="198"/>
      <c r="G381" s="201"/>
      <c r="H381" s="201"/>
      <c r="I381" s="201"/>
      <c r="J381" s="202"/>
      <c r="K381" s="203"/>
      <c r="L381" s="186">
        <f t="shared" si="15"/>
        <v>0</v>
      </c>
      <c r="M381" s="191"/>
      <c r="N381" s="191"/>
      <c r="O381" s="191"/>
      <c r="P381" s="191"/>
      <c r="Q381" s="191"/>
      <c r="R381" s="191"/>
      <c r="S381" s="191"/>
      <c r="T381" s="192"/>
      <c r="U381" s="189" t="str">
        <f t="shared" si="16"/>
        <v/>
      </c>
      <c r="V381" s="190" t="str">
        <f t="shared" si="17"/>
        <v/>
      </c>
      <c r="W381" s="190" t="str">
        <f t="shared" si="18"/>
        <v/>
      </c>
      <c r="X381" s="191" t="str">
        <f t="shared" si="19"/>
        <v/>
      </c>
      <c r="Y381" s="191" t="str">
        <f t="shared" si="20"/>
        <v/>
      </c>
      <c r="Z381" s="156"/>
    </row>
    <row r="382">
      <c r="A382" s="177" t="str">
        <f t="shared" si="14"/>
        <v/>
      </c>
      <c r="B382" s="196"/>
      <c r="C382" s="179" t="str">
        <f t="shared" si="2"/>
        <v/>
      </c>
      <c r="D382" s="197"/>
      <c r="E382" s="181"/>
      <c r="F382" s="198"/>
      <c r="G382" s="201"/>
      <c r="H382" s="201"/>
      <c r="I382" s="201"/>
      <c r="J382" s="202"/>
      <c r="K382" s="203"/>
      <c r="L382" s="186">
        <f t="shared" si="15"/>
        <v>0</v>
      </c>
      <c r="M382" s="191"/>
      <c r="N382" s="191"/>
      <c r="O382" s="191"/>
      <c r="P382" s="191"/>
      <c r="Q382" s="191"/>
      <c r="R382" s="191"/>
      <c r="S382" s="191"/>
      <c r="T382" s="192"/>
      <c r="U382" s="189" t="str">
        <f t="shared" si="16"/>
        <v/>
      </c>
      <c r="V382" s="190" t="str">
        <f t="shared" si="17"/>
        <v/>
      </c>
      <c r="W382" s="190" t="str">
        <f t="shared" si="18"/>
        <v/>
      </c>
      <c r="X382" s="191" t="str">
        <f t="shared" si="19"/>
        <v/>
      </c>
      <c r="Y382" s="191" t="str">
        <f t="shared" si="20"/>
        <v/>
      </c>
      <c r="Z382" s="156"/>
    </row>
    <row r="383">
      <c r="A383" s="177" t="str">
        <f t="shared" si="14"/>
        <v/>
      </c>
      <c r="B383" s="196"/>
      <c r="C383" s="179" t="str">
        <f t="shared" si="2"/>
        <v/>
      </c>
      <c r="D383" s="197"/>
      <c r="E383" s="181"/>
      <c r="F383" s="198"/>
      <c r="G383" s="201"/>
      <c r="H383" s="201"/>
      <c r="I383" s="201"/>
      <c r="J383" s="202"/>
      <c r="K383" s="203"/>
      <c r="L383" s="186">
        <f t="shared" si="15"/>
        <v>0</v>
      </c>
      <c r="M383" s="191"/>
      <c r="N383" s="191"/>
      <c r="O383" s="191"/>
      <c r="P383" s="191"/>
      <c r="Q383" s="191"/>
      <c r="R383" s="191"/>
      <c r="S383" s="191"/>
      <c r="T383" s="192"/>
      <c r="U383" s="189" t="str">
        <f t="shared" si="16"/>
        <v/>
      </c>
      <c r="V383" s="190" t="str">
        <f t="shared" si="17"/>
        <v/>
      </c>
      <c r="W383" s="190" t="str">
        <f t="shared" si="18"/>
        <v/>
      </c>
      <c r="X383" s="191" t="str">
        <f t="shared" si="19"/>
        <v/>
      </c>
      <c r="Y383" s="191" t="str">
        <f t="shared" si="20"/>
        <v/>
      </c>
      <c r="Z383" s="156"/>
    </row>
    <row r="384">
      <c r="A384" s="177" t="str">
        <f t="shared" si="14"/>
        <v/>
      </c>
      <c r="B384" s="196"/>
      <c r="C384" s="179" t="str">
        <f t="shared" si="2"/>
        <v/>
      </c>
      <c r="D384" s="197"/>
      <c r="E384" s="181"/>
      <c r="F384" s="198"/>
      <c r="G384" s="201"/>
      <c r="H384" s="201"/>
      <c r="I384" s="201"/>
      <c r="J384" s="202"/>
      <c r="K384" s="203"/>
      <c r="L384" s="186">
        <f t="shared" si="15"/>
        <v>0</v>
      </c>
      <c r="M384" s="191"/>
      <c r="N384" s="191"/>
      <c r="O384" s="191"/>
      <c r="P384" s="191"/>
      <c r="Q384" s="191"/>
      <c r="R384" s="191"/>
      <c r="S384" s="191"/>
      <c r="T384" s="192"/>
      <c r="U384" s="189" t="str">
        <f t="shared" si="16"/>
        <v/>
      </c>
      <c r="V384" s="190" t="str">
        <f t="shared" si="17"/>
        <v/>
      </c>
      <c r="W384" s="190" t="str">
        <f t="shared" si="18"/>
        <v/>
      </c>
      <c r="X384" s="191" t="str">
        <f t="shared" si="19"/>
        <v/>
      </c>
      <c r="Y384" s="191" t="str">
        <f t="shared" si="20"/>
        <v/>
      </c>
      <c r="Z384" s="156"/>
    </row>
    <row r="385">
      <c r="A385" s="177" t="str">
        <f t="shared" si="14"/>
        <v/>
      </c>
      <c r="B385" s="196"/>
      <c r="C385" s="179" t="str">
        <f t="shared" si="2"/>
        <v/>
      </c>
      <c r="D385" s="197"/>
      <c r="E385" s="181"/>
      <c r="F385" s="198"/>
      <c r="G385" s="201"/>
      <c r="H385" s="201"/>
      <c r="I385" s="201"/>
      <c r="J385" s="202"/>
      <c r="K385" s="203"/>
      <c r="L385" s="186">
        <f t="shared" si="15"/>
        <v>0</v>
      </c>
      <c r="M385" s="191"/>
      <c r="N385" s="191"/>
      <c r="O385" s="191"/>
      <c r="P385" s="191"/>
      <c r="Q385" s="191"/>
      <c r="R385" s="191"/>
      <c r="S385" s="191"/>
      <c r="T385" s="192"/>
      <c r="U385" s="189" t="str">
        <f t="shared" si="16"/>
        <v/>
      </c>
      <c r="V385" s="190" t="str">
        <f t="shared" si="17"/>
        <v/>
      </c>
      <c r="W385" s="190" t="str">
        <f t="shared" si="18"/>
        <v/>
      </c>
      <c r="X385" s="191" t="str">
        <f t="shared" si="19"/>
        <v/>
      </c>
      <c r="Y385" s="191" t="str">
        <f t="shared" si="20"/>
        <v/>
      </c>
      <c r="Z385" s="156"/>
    </row>
    <row r="386">
      <c r="A386" s="177" t="str">
        <f t="shared" si="14"/>
        <v/>
      </c>
      <c r="B386" s="196"/>
      <c r="C386" s="179" t="str">
        <f t="shared" si="2"/>
        <v/>
      </c>
      <c r="D386" s="197"/>
      <c r="E386" s="181"/>
      <c r="F386" s="198"/>
      <c r="G386" s="201"/>
      <c r="H386" s="201"/>
      <c r="I386" s="201"/>
      <c r="J386" s="202"/>
      <c r="K386" s="203"/>
      <c r="L386" s="186">
        <f t="shared" si="15"/>
        <v>0</v>
      </c>
      <c r="M386" s="191"/>
      <c r="N386" s="191"/>
      <c r="O386" s="191"/>
      <c r="P386" s="191"/>
      <c r="Q386" s="191"/>
      <c r="R386" s="191"/>
      <c r="S386" s="191"/>
      <c r="T386" s="192"/>
      <c r="U386" s="189" t="str">
        <f t="shared" si="16"/>
        <v/>
      </c>
      <c r="V386" s="190" t="str">
        <f t="shared" si="17"/>
        <v/>
      </c>
      <c r="W386" s="190" t="str">
        <f t="shared" si="18"/>
        <v/>
      </c>
      <c r="X386" s="191" t="str">
        <f t="shared" si="19"/>
        <v/>
      </c>
      <c r="Y386" s="191" t="str">
        <f t="shared" si="20"/>
        <v/>
      </c>
      <c r="Z386" s="156"/>
    </row>
    <row r="387">
      <c r="A387" s="177" t="str">
        <f t="shared" si="14"/>
        <v/>
      </c>
      <c r="B387" s="196"/>
      <c r="C387" s="179" t="str">
        <f t="shared" si="2"/>
        <v/>
      </c>
      <c r="D387" s="197"/>
      <c r="E387" s="181"/>
      <c r="F387" s="198"/>
      <c r="G387" s="201"/>
      <c r="H387" s="201"/>
      <c r="I387" s="201"/>
      <c r="J387" s="202"/>
      <c r="K387" s="203"/>
      <c r="L387" s="186">
        <f t="shared" si="15"/>
        <v>0</v>
      </c>
      <c r="M387" s="191"/>
      <c r="N387" s="191"/>
      <c r="O387" s="191"/>
      <c r="P387" s="191"/>
      <c r="Q387" s="191"/>
      <c r="R387" s="191"/>
      <c r="S387" s="191"/>
      <c r="T387" s="192"/>
      <c r="U387" s="189" t="str">
        <f t="shared" si="16"/>
        <v/>
      </c>
      <c r="V387" s="190" t="str">
        <f t="shared" si="17"/>
        <v/>
      </c>
      <c r="W387" s="190" t="str">
        <f t="shared" si="18"/>
        <v/>
      </c>
      <c r="X387" s="191" t="str">
        <f t="shared" si="19"/>
        <v/>
      </c>
      <c r="Y387" s="191" t="str">
        <f t="shared" si="20"/>
        <v/>
      </c>
      <c r="Z387" s="156"/>
    </row>
    <row r="388">
      <c r="A388" s="177" t="str">
        <f t="shared" si="14"/>
        <v/>
      </c>
      <c r="B388" s="196"/>
      <c r="C388" s="179" t="str">
        <f t="shared" si="2"/>
        <v/>
      </c>
      <c r="D388" s="197"/>
      <c r="E388" s="181"/>
      <c r="F388" s="198"/>
      <c r="G388" s="201"/>
      <c r="H388" s="201"/>
      <c r="I388" s="201"/>
      <c r="J388" s="202"/>
      <c r="K388" s="203"/>
      <c r="L388" s="186">
        <f t="shared" si="15"/>
        <v>0</v>
      </c>
      <c r="M388" s="191"/>
      <c r="N388" s="191"/>
      <c r="O388" s="191"/>
      <c r="P388" s="191"/>
      <c r="Q388" s="191"/>
      <c r="R388" s="191"/>
      <c r="S388" s="191"/>
      <c r="T388" s="192"/>
      <c r="U388" s="189" t="str">
        <f t="shared" si="16"/>
        <v/>
      </c>
      <c r="V388" s="190" t="str">
        <f t="shared" si="17"/>
        <v/>
      </c>
      <c r="W388" s="190" t="str">
        <f t="shared" si="18"/>
        <v/>
      </c>
      <c r="X388" s="191" t="str">
        <f t="shared" si="19"/>
        <v/>
      </c>
      <c r="Y388" s="191" t="str">
        <f t="shared" si="20"/>
        <v/>
      </c>
      <c r="Z388" s="156"/>
    </row>
    <row r="389">
      <c r="A389" s="177" t="str">
        <f t="shared" si="14"/>
        <v/>
      </c>
      <c r="B389" s="196"/>
      <c r="C389" s="179" t="str">
        <f t="shared" si="2"/>
        <v/>
      </c>
      <c r="D389" s="197"/>
      <c r="E389" s="181"/>
      <c r="F389" s="198"/>
      <c r="G389" s="201"/>
      <c r="H389" s="201"/>
      <c r="I389" s="201"/>
      <c r="J389" s="202"/>
      <c r="K389" s="203"/>
      <c r="L389" s="186">
        <f t="shared" si="15"/>
        <v>0</v>
      </c>
      <c r="M389" s="191"/>
      <c r="N389" s="191"/>
      <c r="O389" s="191"/>
      <c r="P389" s="191"/>
      <c r="Q389" s="191"/>
      <c r="R389" s="191"/>
      <c r="S389" s="191"/>
      <c r="T389" s="192"/>
      <c r="U389" s="189" t="str">
        <f t="shared" si="16"/>
        <v/>
      </c>
      <c r="V389" s="190" t="str">
        <f t="shared" si="17"/>
        <v/>
      </c>
      <c r="W389" s="190" t="str">
        <f t="shared" si="18"/>
        <v/>
      </c>
      <c r="X389" s="191" t="str">
        <f t="shared" si="19"/>
        <v/>
      </c>
      <c r="Y389" s="191" t="str">
        <f t="shared" si="20"/>
        <v/>
      </c>
      <c r="Z389" s="156"/>
    </row>
    <row r="390">
      <c r="A390" s="177" t="str">
        <f t="shared" si="14"/>
        <v/>
      </c>
      <c r="B390" s="196"/>
      <c r="C390" s="179" t="str">
        <f t="shared" si="2"/>
        <v/>
      </c>
      <c r="D390" s="197"/>
      <c r="E390" s="181"/>
      <c r="F390" s="198"/>
      <c r="G390" s="201"/>
      <c r="H390" s="201"/>
      <c r="I390" s="201"/>
      <c r="J390" s="202"/>
      <c r="K390" s="203"/>
      <c r="L390" s="186">
        <f t="shared" si="15"/>
        <v>0</v>
      </c>
      <c r="M390" s="191"/>
      <c r="N390" s="191"/>
      <c r="O390" s="191"/>
      <c r="P390" s="191"/>
      <c r="Q390" s="191"/>
      <c r="R390" s="191"/>
      <c r="S390" s="191"/>
      <c r="T390" s="192"/>
      <c r="U390" s="189" t="str">
        <f t="shared" si="16"/>
        <v/>
      </c>
      <c r="V390" s="190" t="str">
        <f t="shared" si="17"/>
        <v/>
      </c>
      <c r="W390" s="190" t="str">
        <f t="shared" si="18"/>
        <v/>
      </c>
      <c r="X390" s="191" t="str">
        <f t="shared" si="19"/>
        <v/>
      </c>
      <c r="Y390" s="191" t="str">
        <f t="shared" si="20"/>
        <v/>
      </c>
      <c r="Z390" s="156"/>
    </row>
    <row r="391">
      <c r="A391" s="177" t="str">
        <f t="shared" si="14"/>
        <v/>
      </c>
      <c r="B391" s="196"/>
      <c r="C391" s="179" t="str">
        <f t="shared" si="2"/>
        <v/>
      </c>
      <c r="D391" s="197"/>
      <c r="E391" s="181"/>
      <c r="F391" s="198"/>
      <c r="G391" s="201"/>
      <c r="H391" s="201"/>
      <c r="I391" s="201"/>
      <c r="J391" s="202"/>
      <c r="K391" s="203"/>
      <c r="L391" s="186">
        <f t="shared" si="15"/>
        <v>0</v>
      </c>
      <c r="M391" s="191"/>
      <c r="N391" s="191"/>
      <c r="O391" s="191"/>
      <c r="P391" s="191"/>
      <c r="Q391" s="191"/>
      <c r="R391" s="191"/>
      <c r="S391" s="191"/>
      <c r="T391" s="192"/>
      <c r="U391" s="189" t="str">
        <f t="shared" si="16"/>
        <v/>
      </c>
      <c r="V391" s="190" t="str">
        <f t="shared" si="17"/>
        <v/>
      </c>
      <c r="W391" s="190" t="str">
        <f t="shared" si="18"/>
        <v/>
      </c>
      <c r="X391" s="191" t="str">
        <f t="shared" si="19"/>
        <v/>
      </c>
      <c r="Y391" s="191" t="str">
        <f t="shared" si="20"/>
        <v/>
      </c>
      <c r="Z391" s="156"/>
    </row>
    <row r="392">
      <c r="A392" s="177" t="str">
        <f t="shared" si="14"/>
        <v/>
      </c>
      <c r="B392" s="196"/>
      <c r="C392" s="179" t="str">
        <f t="shared" si="2"/>
        <v/>
      </c>
      <c r="D392" s="197"/>
      <c r="E392" s="181"/>
      <c r="F392" s="198"/>
      <c r="G392" s="201"/>
      <c r="H392" s="201"/>
      <c r="I392" s="201"/>
      <c r="J392" s="202"/>
      <c r="K392" s="203"/>
      <c r="L392" s="186">
        <f t="shared" si="15"/>
        <v>0</v>
      </c>
      <c r="M392" s="191"/>
      <c r="N392" s="191"/>
      <c r="O392" s="191"/>
      <c r="P392" s="191"/>
      <c r="Q392" s="191"/>
      <c r="R392" s="191"/>
      <c r="S392" s="191"/>
      <c r="T392" s="192"/>
      <c r="U392" s="189" t="str">
        <f t="shared" si="16"/>
        <v/>
      </c>
      <c r="V392" s="190" t="str">
        <f t="shared" si="17"/>
        <v/>
      </c>
      <c r="W392" s="190" t="str">
        <f t="shared" si="18"/>
        <v/>
      </c>
      <c r="X392" s="191" t="str">
        <f t="shared" si="19"/>
        <v/>
      </c>
      <c r="Y392" s="191" t="str">
        <f t="shared" si="20"/>
        <v/>
      </c>
      <c r="Z392" s="156"/>
    </row>
    <row r="393">
      <c r="A393" s="177" t="str">
        <f t="shared" si="14"/>
        <v/>
      </c>
      <c r="B393" s="196"/>
      <c r="C393" s="179" t="str">
        <f t="shared" si="2"/>
        <v/>
      </c>
      <c r="D393" s="197"/>
      <c r="E393" s="181"/>
      <c r="F393" s="198"/>
      <c r="G393" s="201"/>
      <c r="H393" s="201"/>
      <c r="I393" s="201"/>
      <c r="J393" s="202"/>
      <c r="K393" s="203"/>
      <c r="L393" s="186">
        <f t="shared" si="15"/>
        <v>0</v>
      </c>
      <c r="M393" s="191"/>
      <c r="N393" s="191"/>
      <c r="O393" s="191"/>
      <c r="P393" s="191"/>
      <c r="Q393" s="191"/>
      <c r="R393" s="191"/>
      <c r="S393" s="191"/>
      <c r="T393" s="192"/>
      <c r="U393" s="189" t="str">
        <f t="shared" si="16"/>
        <v/>
      </c>
      <c r="V393" s="190" t="str">
        <f t="shared" si="17"/>
        <v/>
      </c>
      <c r="W393" s="190" t="str">
        <f t="shared" si="18"/>
        <v/>
      </c>
      <c r="X393" s="191" t="str">
        <f t="shared" si="19"/>
        <v/>
      </c>
      <c r="Y393" s="191" t="str">
        <f t="shared" si="20"/>
        <v/>
      </c>
      <c r="Z393" s="156"/>
    </row>
    <row r="394">
      <c r="A394" s="177" t="str">
        <f t="shared" si="14"/>
        <v/>
      </c>
      <c r="B394" s="196"/>
      <c r="C394" s="179" t="str">
        <f t="shared" si="2"/>
        <v/>
      </c>
      <c r="D394" s="197"/>
      <c r="E394" s="181"/>
      <c r="F394" s="198"/>
      <c r="G394" s="201"/>
      <c r="H394" s="201"/>
      <c r="I394" s="201"/>
      <c r="J394" s="202"/>
      <c r="K394" s="203"/>
      <c r="L394" s="186">
        <f t="shared" si="15"/>
        <v>0</v>
      </c>
      <c r="M394" s="191"/>
      <c r="N394" s="191"/>
      <c r="O394" s="191"/>
      <c r="P394" s="191"/>
      <c r="Q394" s="191"/>
      <c r="R394" s="191"/>
      <c r="S394" s="191"/>
      <c r="T394" s="192"/>
      <c r="U394" s="189" t="str">
        <f t="shared" si="16"/>
        <v/>
      </c>
      <c r="V394" s="190" t="str">
        <f t="shared" si="17"/>
        <v/>
      </c>
      <c r="W394" s="190" t="str">
        <f t="shared" si="18"/>
        <v/>
      </c>
      <c r="X394" s="191" t="str">
        <f t="shared" si="19"/>
        <v/>
      </c>
      <c r="Y394" s="191" t="str">
        <f t="shared" si="20"/>
        <v/>
      </c>
      <c r="Z394" s="156"/>
    </row>
    <row r="395">
      <c r="A395" s="177" t="str">
        <f t="shared" si="14"/>
        <v/>
      </c>
      <c r="B395" s="196"/>
      <c r="C395" s="179" t="str">
        <f t="shared" si="2"/>
        <v/>
      </c>
      <c r="D395" s="197"/>
      <c r="E395" s="181"/>
      <c r="F395" s="198"/>
      <c r="G395" s="201"/>
      <c r="H395" s="201"/>
      <c r="I395" s="201"/>
      <c r="J395" s="202"/>
      <c r="K395" s="203"/>
      <c r="L395" s="186">
        <f t="shared" si="15"/>
        <v>0</v>
      </c>
      <c r="M395" s="191"/>
      <c r="N395" s="191"/>
      <c r="O395" s="191"/>
      <c r="P395" s="191"/>
      <c r="Q395" s="191"/>
      <c r="R395" s="191"/>
      <c r="S395" s="191"/>
      <c r="T395" s="192"/>
      <c r="U395" s="189" t="str">
        <f t="shared" si="16"/>
        <v/>
      </c>
      <c r="V395" s="190" t="str">
        <f t="shared" si="17"/>
        <v/>
      </c>
      <c r="W395" s="190" t="str">
        <f t="shared" si="18"/>
        <v/>
      </c>
      <c r="X395" s="191" t="str">
        <f t="shared" si="19"/>
        <v/>
      </c>
      <c r="Y395" s="191" t="str">
        <f t="shared" si="20"/>
        <v/>
      </c>
      <c r="Z395" s="156"/>
    </row>
    <row r="396">
      <c r="A396" s="177" t="str">
        <f t="shared" si="14"/>
        <v/>
      </c>
      <c r="B396" s="196"/>
      <c r="C396" s="179" t="str">
        <f t="shared" si="2"/>
        <v/>
      </c>
      <c r="D396" s="197"/>
      <c r="E396" s="181"/>
      <c r="F396" s="198"/>
      <c r="G396" s="201"/>
      <c r="H396" s="201"/>
      <c r="I396" s="201"/>
      <c r="J396" s="202"/>
      <c r="K396" s="203"/>
      <c r="L396" s="186">
        <f t="shared" si="15"/>
        <v>0</v>
      </c>
      <c r="M396" s="191"/>
      <c r="N396" s="191"/>
      <c r="O396" s="191"/>
      <c r="P396" s="191"/>
      <c r="Q396" s="191"/>
      <c r="R396" s="191"/>
      <c r="S396" s="191"/>
      <c r="T396" s="192"/>
      <c r="U396" s="189" t="str">
        <f t="shared" si="16"/>
        <v/>
      </c>
      <c r="V396" s="190" t="str">
        <f t="shared" si="17"/>
        <v/>
      </c>
      <c r="W396" s="190" t="str">
        <f t="shared" si="18"/>
        <v/>
      </c>
      <c r="X396" s="191" t="str">
        <f t="shared" si="19"/>
        <v/>
      </c>
      <c r="Y396" s="191" t="str">
        <f t="shared" si="20"/>
        <v/>
      </c>
      <c r="Z396" s="156"/>
    </row>
    <row r="397">
      <c r="A397" s="177" t="str">
        <f t="shared" si="14"/>
        <v/>
      </c>
      <c r="B397" s="196"/>
      <c r="C397" s="179" t="str">
        <f t="shared" si="2"/>
        <v/>
      </c>
      <c r="D397" s="197"/>
      <c r="E397" s="181"/>
      <c r="F397" s="198"/>
      <c r="G397" s="201"/>
      <c r="H397" s="201"/>
      <c r="I397" s="201"/>
      <c r="J397" s="202"/>
      <c r="K397" s="203"/>
      <c r="L397" s="186">
        <f t="shared" si="15"/>
        <v>0</v>
      </c>
      <c r="M397" s="191"/>
      <c r="N397" s="191"/>
      <c r="O397" s="191"/>
      <c r="P397" s="191"/>
      <c r="Q397" s="191"/>
      <c r="R397" s="191"/>
      <c r="S397" s="191"/>
      <c r="T397" s="192"/>
      <c r="U397" s="189" t="str">
        <f t="shared" si="16"/>
        <v/>
      </c>
      <c r="V397" s="190" t="str">
        <f t="shared" si="17"/>
        <v/>
      </c>
      <c r="W397" s="190" t="str">
        <f t="shared" si="18"/>
        <v/>
      </c>
      <c r="X397" s="191" t="str">
        <f t="shared" si="19"/>
        <v/>
      </c>
      <c r="Y397" s="191" t="str">
        <f t="shared" si="20"/>
        <v/>
      </c>
      <c r="Z397" s="156"/>
    </row>
    <row r="398">
      <c r="A398" s="177" t="str">
        <f t="shared" si="14"/>
        <v/>
      </c>
      <c r="B398" s="196"/>
      <c r="C398" s="179" t="str">
        <f t="shared" si="2"/>
        <v/>
      </c>
      <c r="D398" s="197"/>
      <c r="E398" s="181"/>
      <c r="F398" s="198"/>
      <c r="G398" s="201"/>
      <c r="H398" s="201"/>
      <c r="I398" s="201"/>
      <c r="J398" s="202"/>
      <c r="K398" s="203"/>
      <c r="L398" s="186">
        <f t="shared" si="15"/>
        <v>0</v>
      </c>
      <c r="M398" s="191"/>
      <c r="N398" s="191"/>
      <c r="O398" s="191"/>
      <c r="P398" s="191"/>
      <c r="Q398" s="191"/>
      <c r="R398" s="191"/>
      <c r="S398" s="191"/>
      <c r="T398" s="192"/>
      <c r="U398" s="189" t="str">
        <f t="shared" si="16"/>
        <v/>
      </c>
      <c r="V398" s="190" t="str">
        <f t="shared" si="17"/>
        <v/>
      </c>
      <c r="W398" s="190" t="str">
        <f t="shared" si="18"/>
        <v/>
      </c>
      <c r="X398" s="191" t="str">
        <f t="shared" si="19"/>
        <v/>
      </c>
      <c r="Y398" s="191" t="str">
        <f t="shared" si="20"/>
        <v/>
      </c>
      <c r="Z398" s="156"/>
    </row>
    <row r="399">
      <c r="A399" s="177" t="str">
        <f t="shared" si="14"/>
        <v/>
      </c>
      <c r="B399" s="196"/>
      <c r="C399" s="179" t="str">
        <f t="shared" si="2"/>
        <v/>
      </c>
      <c r="D399" s="197"/>
      <c r="E399" s="181"/>
      <c r="F399" s="198"/>
      <c r="G399" s="201"/>
      <c r="H399" s="201"/>
      <c r="I399" s="201"/>
      <c r="J399" s="202"/>
      <c r="K399" s="203"/>
      <c r="L399" s="186">
        <f t="shared" si="15"/>
        <v>0</v>
      </c>
      <c r="M399" s="191"/>
      <c r="N399" s="191"/>
      <c r="O399" s="191"/>
      <c r="P399" s="191"/>
      <c r="Q399" s="191"/>
      <c r="R399" s="191"/>
      <c r="S399" s="191"/>
      <c r="T399" s="192"/>
      <c r="U399" s="189" t="str">
        <f t="shared" si="16"/>
        <v/>
      </c>
      <c r="V399" s="190" t="str">
        <f t="shared" si="17"/>
        <v/>
      </c>
      <c r="W399" s="190" t="str">
        <f t="shared" si="18"/>
        <v/>
      </c>
      <c r="X399" s="191" t="str">
        <f t="shared" si="19"/>
        <v/>
      </c>
      <c r="Y399" s="191" t="str">
        <f t="shared" si="20"/>
        <v/>
      </c>
      <c r="Z399" s="156"/>
    </row>
    <row r="400">
      <c r="A400" s="177" t="str">
        <f t="shared" si="14"/>
        <v/>
      </c>
      <c r="B400" s="196"/>
      <c r="C400" s="179" t="str">
        <f t="shared" si="2"/>
        <v/>
      </c>
      <c r="D400" s="197"/>
      <c r="E400" s="181"/>
      <c r="F400" s="198"/>
      <c r="G400" s="201"/>
      <c r="H400" s="201"/>
      <c r="I400" s="201"/>
      <c r="J400" s="202"/>
      <c r="K400" s="203"/>
      <c r="L400" s="186">
        <f t="shared" si="15"/>
        <v>0</v>
      </c>
      <c r="M400" s="191"/>
      <c r="N400" s="191"/>
      <c r="O400" s="191"/>
      <c r="P400" s="191"/>
      <c r="Q400" s="191"/>
      <c r="R400" s="191"/>
      <c r="S400" s="191"/>
      <c r="T400" s="192"/>
      <c r="U400" s="189" t="str">
        <f t="shared" si="16"/>
        <v/>
      </c>
      <c r="V400" s="190" t="str">
        <f t="shared" si="17"/>
        <v/>
      </c>
      <c r="W400" s="190" t="str">
        <f t="shared" si="18"/>
        <v/>
      </c>
      <c r="X400" s="191" t="str">
        <f t="shared" si="19"/>
        <v/>
      </c>
      <c r="Y400" s="191" t="str">
        <f t="shared" si="20"/>
        <v/>
      </c>
      <c r="Z400" s="156"/>
    </row>
    <row r="401">
      <c r="A401" s="177" t="str">
        <f t="shared" si="14"/>
        <v/>
      </c>
      <c r="B401" s="196"/>
      <c r="C401" s="179" t="str">
        <f t="shared" si="2"/>
        <v/>
      </c>
      <c r="D401" s="197"/>
      <c r="E401" s="181"/>
      <c r="F401" s="198"/>
      <c r="G401" s="201"/>
      <c r="H401" s="201"/>
      <c r="I401" s="201"/>
      <c r="J401" s="202"/>
      <c r="K401" s="203"/>
      <c r="L401" s="186">
        <f t="shared" si="15"/>
        <v>0</v>
      </c>
      <c r="M401" s="191"/>
      <c r="N401" s="191"/>
      <c r="O401" s="191"/>
      <c r="P401" s="191"/>
      <c r="Q401" s="191"/>
      <c r="R401" s="191"/>
      <c r="S401" s="191"/>
      <c r="T401" s="192"/>
      <c r="U401" s="189" t="str">
        <f t="shared" si="16"/>
        <v/>
      </c>
      <c r="V401" s="190" t="str">
        <f t="shared" si="17"/>
        <v/>
      </c>
      <c r="W401" s="190" t="str">
        <f t="shared" si="18"/>
        <v/>
      </c>
      <c r="X401" s="191" t="str">
        <f t="shared" si="19"/>
        <v/>
      </c>
      <c r="Y401" s="191" t="str">
        <f t="shared" si="20"/>
        <v/>
      </c>
      <c r="Z401" s="156"/>
    </row>
    <row r="402">
      <c r="A402" s="177" t="str">
        <f t="shared" si="14"/>
        <v/>
      </c>
      <c r="B402" s="196"/>
      <c r="C402" s="179" t="str">
        <f t="shared" si="2"/>
        <v/>
      </c>
      <c r="D402" s="197"/>
      <c r="E402" s="181"/>
      <c r="F402" s="198"/>
      <c r="G402" s="201"/>
      <c r="H402" s="201"/>
      <c r="I402" s="201"/>
      <c r="J402" s="202"/>
      <c r="K402" s="203"/>
      <c r="L402" s="186">
        <f t="shared" si="15"/>
        <v>0</v>
      </c>
      <c r="M402" s="191"/>
      <c r="N402" s="191"/>
      <c r="O402" s="191"/>
      <c r="P402" s="191"/>
      <c r="Q402" s="191"/>
      <c r="R402" s="191"/>
      <c r="S402" s="191"/>
      <c r="T402" s="192"/>
      <c r="U402" s="189" t="str">
        <f t="shared" si="16"/>
        <v/>
      </c>
      <c r="V402" s="190" t="str">
        <f t="shared" si="17"/>
        <v/>
      </c>
      <c r="W402" s="190" t="str">
        <f t="shared" si="18"/>
        <v/>
      </c>
      <c r="X402" s="191" t="str">
        <f t="shared" si="19"/>
        <v/>
      </c>
      <c r="Y402" s="191" t="str">
        <f t="shared" si="20"/>
        <v/>
      </c>
      <c r="Z402" s="156"/>
    </row>
    <row r="403">
      <c r="A403" s="177" t="str">
        <f t="shared" si="14"/>
        <v/>
      </c>
      <c r="B403" s="196"/>
      <c r="C403" s="179" t="str">
        <f t="shared" si="2"/>
        <v/>
      </c>
      <c r="D403" s="197"/>
      <c r="E403" s="181"/>
      <c r="F403" s="198"/>
      <c r="G403" s="201"/>
      <c r="H403" s="201"/>
      <c r="I403" s="201"/>
      <c r="J403" s="202"/>
      <c r="K403" s="203"/>
      <c r="L403" s="186">
        <f t="shared" si="15"/>
        <v>0</v>
      </c>
      <c r="M403" s="191"/>
      <c r="N403" s="191"/>
      <c r="O403" s="191"/>
      <c r="P403" s="191"/>
      <c r="Q403" s="191"/>
      <c r="R403" s="191"/>
      <c r="S403" s="191"/>
      <c r="T403" s="192"/>
      <c r="U403" s="189" t="str">
        <f t="shared" si="16"/>
        <v/>
      </c>
      <c r="V403" s="190" t="str">
        <f t="shared" si="17"/>
        <v/>
      </c>
      <c r="W403" s="190" t="str">
        <f t="shared" si="18"/>
        <v/>
      </c>
      <c r="X403" s="191" t="str">
        <f t="shared" si="19"/>
        <v/>
      </c>
      <c r="Y403" s="191" t="str">
        <f t="shared" si="20"/>
        <v/>
      </c>
      <c r="Z403" s="156"/>
    </row>
    <row r="404">
      <c r="A404" s="177" t="str">
        <f t="shared" si="14"/>
        <v/>
      </c>
      <c r="B404" s="196"/>
      <c r="C404" s="179" t="str">
        <f t="shared" si="2"/>
        <v/>
      </c>
      <c r="D404" s="197"/>
      <c r="E404" s="181"/>
      <c r="F404" s="198"/>
      <c r="G404" s="201"/>
      <c r="H404" s="201"/>
      <c r="I404" s="201"/>
      <c r="J404" s="202"/>
      <c r="K404" s="203"/>
      <c r="L404" s="186">
        <f t="shared" si="15"/>
        <v>0</v>
      </c>
      <c r="M404" s="191"/>
      <c r="N404" s="191"/>
      <c r="O404" s="191"/>
      <c r="P404" s="191"/>
      <c r="Q404" s="191"/>
      <c r="R404" s="191"/>
      <c r="S404" s="191"/>
      <c r="T404" s="192"/>
      <c r="U404" s="189" t="str">
        <f t="shared" si="16"/>
        <v/>
      </c>
      <c r="V404" s="190" t="str">
        <f t="shared" si="17"/>
        <v/>
      </c>
      <c r="W404" s="190" t="str">
        <f t="shared" si="18"/>
        <v/>
      </c>
      <c r="X404" s="191" t="str">
        <f t="shared" si="19"/>
        <v/>
      </c>
      <c r="Y404" s="191" t="str">
        <f t="shared" si="20"/>
        <v/>
      </c>
      <c r="Z404" s="156"/>
    </row>
    <row r="405">
      <c r="A405" s="177" t="str">
        <f t="shared" si="14"/>
        <v/>
      </c>
      <c r="B405" s="196"/>
      <c r="C405" s="179" t="str">
        <f t="shared" si="2"/>
        <v/>
      </c>
      <c r="D405" s="197"/>
      <c r="E405" s="181"/>
      <c r="F405" s="198"/>
      <c r="G405" s="201"/>
      <c r="H405" s="201"/>
      <c r="I405" s="201"/>
      <c r="J405" s="202"/>
      <c r="K405" s="203"/>
      <c r="L405" s="186">
        <f t="shared" si="15"/>
        <v>0</v>
      </c>
      <c r="M405" s="191"/>
      <c r="N405" s="191"/>
      <c r="O405" s="191"/>
      <c r="P405" s="191"/>
      <c r="Q405" s="191"/>
      <c r="R405" s="191"/>
      <c r="S405" s="191"/>
      <c r="T405" s="192"/>
      <c r="U405" s="189" t="str">
        <f t="shared" si="16"/>
        <v/>
      </c>
      <c r="V405" s="190" t="str">
        <f t="shared" si="17"/>
        <v/>
      </c>
      <c r="W405" s="190" t="str">
        <f t="shared" si="18"/>
        <v/>
      </c>
      <c r="X405" s="191" t="str">
        <f t="shared" si="19"/>
        <v/>
      </c>
      <c r="Y405" s="191" t="str">
        <f t="shared" si="20"/>
        <v/>
      </c>
      <c r="Z405" s="156"/>
    </row>
    <row r="406">
      <c r="A406" s="177" t="str">
        <f t="shared" si="14"/>
        <v/>
      </c>
      <c r="B406" s="196"/>
      <c r="C406" s="179" t="str">
        <f t="shared" si="2"/>
        <v/>
      </c>
      <c r="D406" s="197"/>
      <c r="E406" s="181"/>
      <c r="F406" s="198"/>
      <c r="G406" s="201"/>
      <c r="H406" s="201"/>
      <c r="I406" s="201"/>
      <c r="J406" s="202"/>
      <c r="K406" s="203"/>
      <c r="L406" s="186">
        <f t="shared" si="15"/>
        <v>0</v>
      </c>
      <c r="M406" s="191"/>
      <c r="N406" s="191"/>
      <c r="O406" s="191"/>
      <c r="P406" s="191"/>
      <c r="Q406" s="191"/>
      <c r="R406" s="191"/>
      <c r="S406" s="191"/>
      <c r="T406" s="192"/>
      <c r="U406" s="189" t="str">
        <f t="shared" si="16"/>
        <v/>
      </c>
      <c r="V406" s="190" t="str">
        <f t="shared" si="17"/>
        <v/>
      </c>
      <c r="W406" s="190" t="str">
        <f t="shared" si="18"/>
        <v/>
      </c>
      <c r="X406" s="191" t="str">
        <f t="shared" si="19"/>
        <v/>
      </c>
      <c r="Y406" s="191" t="str">
        <f t="shared" si="20"/>
        <v/>
      </c>
      <c r="Z406" s="156"/>
    </row>
    <row r="407">
      <c r="A407" s="177" t="str">
        <f t="shared" si="14"/>
        <v/>
      </c>
      <c r="B407" s="196"/>
      <c r="C407" s="179" t="str">
        <f t="shared" si="2"/>
        <v/>
      </c>
      <c r="D407" s="197"/>
      <c r="E407" s="181"/>
      <c r="F407" s="198"/>
      <c r="G407" s="201"/>
      <c r="H407" s="201"/>
      <c r="I407" s="201"/>
      <c r="J407" s="202"/>
      <c r="K407" s="203"/>
      <c r="L407" s="186">
        <f t="shared" si="15"/>
        <v>0</v>
      </c>
      <c r="M407" s="191"/>
      <c r="N407" s="191"/>
      <c r="O407" s="191"/>
      <c r="P407" s="191"/>
      <c r="Q407" s="191"/>
      <c r="R407" s="191"/>
      <c r="S407" s="191"/>
      <c r="T407" s="192"/>
      <c r="U407" s="189" t="str">
        <f t="shared" si="16"/>
        <v/>
      </c>
      <c r="V407" s="190" t="str">
        <f t="shared" si="17"/>
        <v/>
      </c>
      <c r="W407" s="190" t="str">
        <f t="shared" si="18"/>
        <v/>
      </c>
      <c r="X407" s="191" t="str">
        <f t="shared" si="19"/>
        <v/>
      </c>
      <c r="Y407" s="191" t="str">
        <f t="shared" si="20"/>
        <v/>
      </c>
      <c r="Z407" s="156"/>
    </row>
    <row r="408">
      <c r="A408" s="177" t="str">
        <f t="shared" si="14"/>
        <v/>
      </c>
      <c r="B408" s="196"/>
      <c r="C408" s="179" t="str">
        <f t="shared" si="2"/>
        <v/>
      </c>
      <c r="D408" s="197"/>
      <c r="E408" s="181"/>
      <c r="F408" s="198"/>
      <c r="G408" s="201"/>
      <c r="H408" s="201"/>
      <c r="I408" s="201"/>
      <c r="J408" s="202"/>
      <c r="K408" s="203"/>
      <c r="L408" s="186">
        <f t="shared" si="15"/>
        <v>0</v>
      </c>
      <c r="M408" s="191"/>
      <c r="N408" s="191"/>
      <c r="O408" s="191"/>
      <c r="P408" s="191"/>
      <c r="Q408" s="191"/>
      <c r="R408" s="191"/>
      <c r="S408" s="191"/>
      <c r="T408" s="192"/>
      <c r="U408" s="189" t="str">
        <f t="shared" si="16"/>
        <v/>
      </c>
      <c r="V408" s="190" t="str">
        <f t="shared" si="17"/>
        <v/>
      </c>
      <c r="W408" s="190" t="str">
        <f t="shared" si="18"/>
        <v/>
      </c>
      <c r="X408" s="191" t="str">
        <f t="shared" si="19"/>
        <v/>
      </c>
      <c r="Y408" s="191" t="str">
        <f t="shared" si="20"/>
        <v/>
      </c>
      <c r="Z408" s="156"/>
    </row>
    <row r="409">
      <c r="A409" s="177" t="str">
        <f t="shared" si="14"/>
        <v/>
      </c>
      <c r="B409" s="196"/>
      <c r="C409" s="179" t="str">
        <f t="shared" si="2"/>
        <v/>
      </c>
      <c r="D409" s="197"/>
      <c r="E409" s="181"/>
      <c r="F409" s="198"/>
      <c r="G409" s="201"/>
      <c r="H409" s="201"/>
      <c r="I409" s="201"/>
      <c r="J409" s="202"/>
      <c r="K409" s="203"/>
      <c r="L409" s="186">
        <f t="shared" si="15"/>
        <v>0</v>
      </c>
      <c r="M409" s="191"/>
      <c r="N409" s="191"/>
      <c r="O409" s="191"/>
      <c r="P409" s="191"/>
      <c r="Q409" s="191"/>
      <c r="R409" s="191"/>
      <c r="S409" s="191"/>
      <c r="T409" s="192"/>
      <c r="U409" s="189" t="str">
        <f t="shared" si="16"/>
        <v/>
      </c>
      <c r="V409" s="190" t="str">
        <f t="shared" si="17"/>
        <v/>
      </c>
      <c r="W409" s="190" t="str">
        <f t="shared" si="18"/>
        <v/>
      </c>
      <c r="X409" s="191" t="str">
        <f t="shared" si="19"/>
        <v/>
      </c>
      <c r="Y409" s="191" t="str">
        <f t="shared" si="20"/>
        <v/>
      </c>
      <c r="Z409" s="156"/>
    </row>
    <row r="410">
      <c r="A410" s="177" t="str">
        <f t="shared" si="14"/>
        <v/>
      </c>
      <c r="B410" s="196"/>
      <c r="C410" s="179" t="str">
        <f t="shared" si="2"/>
        <v/>
      </c>
      <c r="D410" s="197"/>
      <c r="E410" s="181"/>
      <c r="F410" s="198"/>
      <c r="G410" s="201"/>
      <c r="H410" s="201"/>
      <c r="I410" s="201"/>
      <c r="J410" s="202"/>
      <c r="K410" s="203"/>
      <c r="L410" s="186">
        <f t="shared" si="15"/>
        <v>0</v>
      </c>
      <c r="M410" s="191"/>
      <c r="N410" s="191"/>
      <c r="O410" s="191"/>
      <c r="P410" s="191"/>
      <c r="Q410" s="191"/>
      <c r="R410" s="191"/>
      <c r="S410" s="191"/>
      <c r="T410" s="192"/>
      <c r="U410" s="189" t="str">
        <f t="shared" si="16"/>
        <v/>
      </c>
      <c r="V410" s="190" t="str">
        <f t="shared" si="17"/>
        <v/>
      </c>
      <c r="W410" s="190" t="str">
        <f t="shared" si="18"/>
        <v/>
      </c>
      <c r="X410" s="191" t="str">
        <f t="shared" si="19"/>
        <v/>
      </c>
      <c r="Y410" s="191" t="str">
        <f t="shared" si="20"/>
        <v/>
      </c>
      <c r="Z410" s="156"/>
    </row>
    <row r="411">
      <c r="A411" s="177" t="str">
        <f t="shared" si="14"/>
        <v/>
      </c>
      <c r="B411" s="196"/>
      <c r="C411" s="179" t="str">
        <f t="shared" si="2"/>
        <v/>
      </c>
      <c r="D411" s="197"/>
      <c r="E411" s="181"/>
      <c r="F411" s="198"/>
      <c r="G411" s="201"/>
      <c r="H411" s="201"/>
      <c r="I411" s="201"/>
      <c r="J411" s="202"/>
      <c r="K411" s="203"/>
      <c r="L411" s="186">
        <f t="shared" si="15"/>
        <v>0</v>
      </c>
      <c r="M411" s="191"/>
      <c r="N411" s="191"/>
      <c r="O411" s="191"/>
      <c r="P411" s="191"/>
      <c r="Q411" s="191"/>
      <c r="R411" s="191"/>
      <c r="S411" s="191"/>
      <c r="T411" s="192"/>
      <c r="U411" s="189" t="str">
        <f t="shared" si="16"/>
        <v/>
      </c>
      <c r="V411" s="190" t="str">
        <f t="shared" si="17"/>
        <v/>
      </c>
      <c r="W411" s="190" t="str">
        <f t="shared" si="18"/>
        <v/>
      </c>
      <c r="X411" s="191" t="str">
        <f t="shared" si="19"/>
        <v/>
      </c>
      <c r="Y411" s="191" t="str">
        <f t="shared" si="20"/>
        <v/>
      </c>
      <c r="Z411" s="156"/>
    </row>
    <row r="412">
      <c r="A412" s="177" t="str">
        <f t="shared" si="14"/>
        <v/>
      </c>
      <c r="B412" s="196"/>
      <c r="C412" s="179" t="str">
        <f t="shared" si="2"/>
        <v/>
      </c>
      <c r="D412" s="197"/>
      <c r="E412" s="181"/>
      <c r="F412" s="198"/>
      <c r="G412" s="201"/>
      <c r="H412" s="201"/>
      <c r="I412" s="201"/>
      <c r="J412" s="202"/>
      <c r="K412" s="203"/>
      <c r="L412" s="186">
        <f t="shared" si="15"/>
        <v>0</v>
      </c>
      <c r="M412" s="191"/>
      <c r="N412" s="191"/>
      <c r="O412" s="191"/>
      <c r="P412" s="191"/>
      <c r="Q412" s="191"/>
      <c r="R412" s="191"/>
      <c r="S412" s="191"/>
      <c r="T412" s="192"/>
      <c r="U412" s="189" t="str">
        <f t="shared" si="16"/>
        <v/>
      </c>
      <c r="V412" s="190" t="str">
        <f t="shared" si="17"/>
        <v/>
      </c>
      <c r="W412" s="190" t="str">
        <f t="shared" si="18"/>
        <v/>
      </c>
      <c r="X412" s="191" t="str">
        <f t="shared" si="19"/>
        <v/>
      </c>
      <c r="Y412" s="191" t="str">
        <f t="shared" si="20"/>
        <v/>
      </c>
      <c r="Z412" s="156"/>
    </row>
    <row r="413">
      <c r="A413" s="177" t="str">
        <f t="shared" si="14"/>
        <v/>
      </c>
      <c r="B413" s="196"/>
      <c r="C413" s="179" t="str">
        <f t="shared" si="2"/>
        <v/>
      </c>
      <c r="D413" s="197"/>
      <c r="E413" s="181"/>
      <c r="F413" s="198"/>
      <c r="G413" s="201"/>
      <c r="H413" s="201"/>
      <c r="I413" s="201"/>
      <c r="J413" s="202"/>
      <c r="K413" s="203"/>
      <c r="L413" s="186">
        <f t="shared" si="15"/>
        <v>0</v>
      </c>
      <c r="M413" s="191"/>
      <c r="N413" s="191"/>
      <c r="O413" s="191"/>
      <c r="P413" s="191"/>
      <c r="Q413" s="191"/>
      <c r="R413" s="191"/>
      <c r="S413" s="191"/>
      <c r="T413" s="192"/>
      <c r="U413" s="189" t="str">
        <f t="shared" si="16"/>
        <v/>
      </c>
      <c r="V413" s="190" t="str">
        <f t="shared" si="17"/>
        <v/>
      </c>
      <c r="W413" s="190" t="str">
        <f t="shared" si="18"/>
        <v/>
      </c>
      <c r="X413" s="191" t="str">
        <f t="shared" si="19"/>
        <v/>
      </c>
      <c r="Y413" s="191" t="str">
        <f t="shared" si="20"/>
        <v/>
      </c>
      <c r="Z413" s="156"/>
    </row>
    <row r="414">
      <c r="A414" s="177" t="str">
        <f t="shared" si="14"/>
        <v/>
      </c>
      <c r="B414" s="196"/>
      <c r="C414" s="179" t="str">
        <f t="shared" si="2"/>
        <v/>
      </c>
      <c r="D414" s="197"/>
      <c r="E414" s="181"/>
      <c r="F414" s="198"/>
      <c r="G414" s="201"/>
      <c r="H414" s="201"/>
      <c r="I414" s="201"/>
      <c r="J414" s="202"/>
      <c r="K414" s="203"/>
      <c r="L414" s="186">
        <f t="shared" si="15"/>
        <v>0</v>
      </c>
      <c r="M414" s="191"/>
      <c r="N414" s="191"/>
      <c r="O414" s="191"/>
      <c r="P414" s="191"/>
      <c r="Q414" s="191"/>
      <c r="R414" s="191"/>
      <c r="S414" s="191"/>
      <c r="T414" s="192"/>
      <c r="U414" s="189" t="str">
        <f t="shared" si="16"/>
        <v/>
      </c>
      <c r="V414" s="190" t="str">
        <f t="shared" si="17"/>
        <v/>
      </c>
      <c r="W414" s="190" t="str">
        <f t="shared" si="18"/>
        <v/>
      </c>
      <c r="X414" s="191" t="str">
        <f t="shared" si="19"/>
        <v/>
      </c>
      <c r="Y414" s="191" t="str">
        <f t="shared" si="20"/>
        <v/>
      </c>
      <c r="Z414" s="156"/>
    </row>
    <row r="415">
      <c r="A415" s="177" t="str">
        <f t="shared" si="14"/>
        <v/>
      </c>
      <c r="B415" s="196"/>
      <c r="C415" s="179" t="str">
        <f t="shared" si="2"/>
        <v/>
      </c>
      <c r="D415" s="197"/>
      <c r="E415" s="181"/>
      <c r="F415" s="198"/>
      <c r="G415" s="201"/>
      <c r="H415" s="201"/>
      <c r="I415" s="201"/>
      <c r="J415" s="202"/>
      <c r="K415" s="203"/>
      <c r="L415" s="186">
        <f t="shared" si="15"/>
        <v>0</v>
      </c>
      <c r="M415" s="191"/>
      <c r="N415" s="191"/>
      <c r="O415" s="191"/>
      <c r="P415" s="191"/>
      <c r="Q415" s="191"/>
      <c r="R415" s="191"/>
      <c r="S415" s="191"/>
      <c r="T415" s="192"/>
      <c r="U415" s="189" t="str">
        <f t="shared" si="16"/>
        <v/>
      </c>
      <c r="V415" s="190" t="str">
        <f t="shared" si="17"/>
        <v/>
      </c>
      <c r="W415" s="190" t="str">
        <f t="shared" si="18"/>
        <v/>
      </c>
      <c r="X415" s="191" t="str">
        <f t="shared" si="19"/>
        <v/>
      </c>
      <c r="Y415" s="191" t="str">
        <f t="shared" si="20"/>
        <v/>
      </c>
      <c r="Z415" s="156"/>
    </row>
    <row r="416">
      <c r="A416" s="177" t="str">
        <f t="shared" si="14"/>
        <v/>
      </c>
      <c r="B416" s="196"/>
      <c r="C416" s="179" t="str">
        <f t="shared" si="2"/>
        <v/>
      </c>
      <c r="D416" s="197"/>
      <c r="E416" s="181"/>
      <c r="F416" s="198"/>
      <c r="G416" s="201"/>
      <c r="H416" s="201"/>
      <c r="I416" s="201"/>
      <c r="J416" s="202"/>
      <c r="K416" s="203"/>
      <c r="L416" s="186">
        <f t="shared" si="15"/>
        <v>0</v>
      </c>
      <c r="M416" s="191"/>
      <c r="N416" s="191"/>
      <c r="O416" s="191"/>
      <c r="P416" s="191"/>
      <c r="Q416" s="191"/>
      <c r="R416" s="191"/>
      <c r="S416" s="191"/>
      <c r="T416" s="192"/>
      <c r="U416" s="189" t="str">
        <f t="shared" si="16"/>
        <v/>
      </c>
      <c r="V416" s="190" t="str">
        <f t="shared" si="17"/>
        <v/>
      </c>
      <c r="W416" s="190" t="str">
        <f t="shared" si="18"/>
        <v/>
      </c>
      <c r="X416" s="191" t="str">
        <f t="shared" si="19"/>
        <v/>
      </c>
      <c r="Y416" s="191" t="str">
        <f t="shared" si="20"/>
        <v/>
      </c>
      <c r="Z416" s="156"/>
    </row>
    <row r="417">
      <c r="A417" s="177" t="str">
        <f t="shared" si="14"/>
        <v/>
      </c>
      <c r="B417" s="196"/>
      <c r="C417" s="179" t="str">
        <f t="shared" si="2"/>
        <v/>
      </c>
      <c r="D417" s="197"/>
      <c r="E417" s="181"/>
      <c r="F417" s="198"/>
      <c r="G417" s="201"/>
      <c r="H417" s="201"/>
      <c r="I417" s="201"/>
      <c r="J417" s="202"/>
      <c r="K417" s="203"/>
      <c r="L417" s="186">
        <f t="shared" si="15"/>
        <v>0</v>
      </c>
      <c r="M417" s="191"/>
      <c r="N417" s="191"/>
      <c r="O417" s="191"/>
      <c r="P417" s="191"/>
      <c r="Q417" s="191"/>
      <c r="R417" s="191"/>
      <c r="S417" s="191"/>
      <c r="T417" s="192"/>
      <c r="U417" s="189" t="str">
        <f t="shared" si="16"/>
        <v/>
      </c>
      <c r="V417" s="190" t="str">
        <f t="shared" si="17"/>
        <v/>
      </c>
      <c r="W417" s="190" t="str">
        <f t="shared" si="18"/>
        <v/>
      </c>
      <c r="X417" s="191" t="str">
        <f t="shared" si="19"/>
        <v/>
      </c>
      <c r="Y417" s="191" t="str">
        <f t="shared" si="20"/>
        <v/>
      </c>
      <c r="Z417" s="156"/>
    </row>
    <row r="418">
      <c r="A418" s="177" t="str">
        <f t="shared" si="14"/>
        <v/>
      </c>
      <c r="B418" s="196"/>
      <c r="C418" s="179" t="str">
        <f t="shared" si="2"/>
        <v/>
      </c>
      <c r="D418" s="197"/>
      <c r="E418" s="181"/>
      <c r="F418" s="198"/>
      <c r="G418" s="201"/>
      <c r="H418" s="201"/>
      <c r="I418" s="201"/>
      <c r="J418" s="202"/>
      <c r="K418" s="203"/>
      <c r="L418" s="186">
        <f t="shared" si="15"/>
        <v>0</v>
      </c>
      <c r="M418" s="191"/>
      <c r="N418" s="191"/>
      <c r="O418" s="191"/>
      <c r="P418" s="191"/>
      <c r="Q418" s="191"/>
      <c r="R418" s="191"/>
      <c r="S418" s="191"/>
      <c r="T418" s="192"/>
      <c r="U418" s="189" t="str">
        <f t="shared" si="16"/>
        <v/>
      </c>
      <c r="V418" s="190" t="str">
        <f t="shared" si="17"/>
        <v/>
      </c>
      <c r="W418" s="190" t="str">
        <f t="shared" si="18"/>
        <v/>
      </c>
      <c r="X418" s="191" t="str">
        <f t="shared" si="19"/>
        <v/>
      </c>
      <c r="Y418" s="191" t="str">
        <f t="shared" si="20"/>
        <v/>
      </c>
      <c r="Z418" s="156"/>
    </row>
    <row r="419">
      <c r="A419" s="177" t="str">
        <f t="shared" si="14"/>
        <v/>
      </c>
      <c r="B419" s="196"/>
      <c r="C419" s="179" t="str">
        <f t="shared" si="2"/>
        <v/>
      </c>
      <c r="D419" s="197"/>
      <c r="E419" s="181"/>
      <c r="F419" s="198"/>
      <c r="G419" s="201"/>
      <c r="H419" s="201"/>
      <c r="I419" s="201"/>
      <c r="J419" s="202"/>
      <c r="K419" s="203"/>
      <c r="L419" s="186">
        <f t="shared" si="15"/>
        <v>0</v>
      </c>
      <c r="M419" s="191"/>
      <c r="N419" s="191"/>
      <c r="O419" s="191"/>
      <c r="P419" s="191"/>
      <c r="Q419" s="191"/>
      <c r="R419" s="191"/>
      <c r="S419" s="191"/>
      <c r="T419" s="192"/>
      <c r="U419" s="189" t="str">
        <f t="shared" si="16"/>
        <v/>
      </c>
      <c r="V419" s="190" t="str">
        <f t="shared" si="17"/>
        <v/>
      </c>
      <c r="W419" s="190" t="str">
        <f t="shared" si="18"/>
        <v/>
      </c>
      <c r="X419" s="191" t="str">
        <f t="shared" si="19"/>
        <v/>
      </c>
      <c r="Y419" s="191" t="str">
        <f t="shared" si="20"/>
        <v/>
      </c>
      <c r="Z419" s="156"/>
    </row>
    <row r="420">
      <c r="A420" s="177" t="str">
        <f t="shared" si="14"/>
        <v/>
      </c>
      <c r="B420" s="196"/>
      <c r="C420" s="179" t="str">
        <f t="shared" si="2"/>
        <v/>
      </c>
      <c r="D420" s="197"/>
      <c r="E420" s="181"/>
      <c r="F420" s="198"/>
      <c r="G420" s="201"/>
      <c r="H420" s="201"/>
      <c r="I420" s="201"/>
      <c r="J420" s="202"/>
      <c r="K420" s="203"/>
      <c r="L420" s="186">
        <f t="shared" si="15"/>
        <v>0</v>
      </c>
      <c r="M420" s="191"/>
      <c r="N420" s="191"/>
      <c r="O420" s="191"/>
      <c r="P420" s="191"/>
      <c r="Q420" s="191"/>
      <c r="R420" s="191"/>
      <c r="S420" s="191"/>
      <c r="T420" s="192"/>
      <c r="U420" s="189" t="str">
        <f t="shared" si="16"/>
        <v/>
      </c>
      <c r="V420" s="190" t="str">
        <f t="shared" si="17"/>
        <v/>
      </c>
      <c r="W420" s="190" t="str">
        <f t="shared" si="18"/>
        <v/>
      </c>
      <c r="X420" s="191" t="str">
        <f t="shared" si="19"/>
        <v/>
      </c>
      <c r="Y420" s="191" t="str">
        <f t="shared" si="20"/>
        <v/>
      </c>
      <c r="Z420" s="156"/>
    </row>
    <row r="421">
      <c r="A421" s="177" t="str">
        <f t="shared" si="14"/>
        <v/>
      </c>
      <c r="B421" s="196"/>
      <c r="C421" s="179" t="str">
        <f t="shared" si="2"/>
        <v/>
      </c>
      <c r="D421" s="197"/>
      <c r="E421" s="181"/>
      <c r="F421" s="198"/>
      <c r="G421" s="201"/>
      <c r="H421" s="201"/>
      <c r="I421" s="201"/>
      <c r="J421" s="202"/>
      <c r="K421" s="203"/>
      <c r="L421" s="186">
        <f t="shared" si="15"/>
        <v>0</v>
      </c>
      <c r="M421" s="191"/>
      <c r="N421" s="191"/>
      <c r="O421" s="191"/>
      <c r="P421" s="191"/>
      <c r="Q421" s="191"/>
      <c r="R421" s="191"/>
      <c r="S421" s="191"/>
      <c r="T421" s="192"/>
      <c r="U421" s="189" t="str">
        <f t="shared" si="16"/>
        <v/>
      </c>
      <c r="V421" s="190" t="str">
        <f t="shared" si="17"/>
        <v/>
      </c>
      <c r="W421" s="190" t="str">
        <f t="shared" si="18"/>
        <v/>
      </c>
      <c r="X421" s="191" t="str">
        <f t="shared" si="19"/>
        <v/>
      </c>
      <c r="Y421" s="191" t="str">
        <f t="shared" si="20"/>
        <v/>
      </c>
      <c r="Z421" s="156"/>
    </row>
    <row r="422">
      <c r="A422" s="177" t="str">
        <f t="shared" si="14"/>
        <v/>
      </c>
      <c r="B422" s="196"/>
      <c r="C422" s="179" t="str">
        <f t="shared" si="2"/>
        <v/>
      </c>
      <c r="D422" s="197"/>
      <c r="E422" s="181"/>
      <c r="F422" s="198"/>
      <c r="G422" s="201"/>
      <c r="H422" s="201"/>
      <c r="I422" s="201"/>
      <c r="J422" s="202"/>
      <c r="K422" s="203"/>
      <c r="L422" s="186">
        <f t="shared" si="15"/>
        <v>0</v>
      </c>
      <c r="M422" s="191"/>
      <c r="N422" s="191"/>
      <c r="O422" s="191"/>
      <c r="P422" s="191"/>
      <c r="Q422" s="191"/>
      <c r="R422" s="191"/>
      <c r="S422" s="191"/>
      <c r="T422" s="192"/>
      <c r="U422" s="189" t="str">
        <f t="shared" si="16"/>
        <v/>
      </c>
      <c r="V422" s="190" t="str">
        <f t="shared" si="17"/>
        <v/>
      </c>
      <c r="W422" s="190" t="str">
        <f t="shared" si="18"/>
        <v/>
      </c>
      <c r="X422" s="191" t="str">
        <f t="shared" si="19"/>
        <v/>
      </c>
      <c r="Y422" s="191" t="str">
        <f t="shared" si="20"/>
        <v/>
      </c>
      <c r="Z422" s="156"/>
    </row>
    <row r="423">
      <c r="A423" s="177" t="str">
        <f t="shared" si="14"/>
        <v/>
      </c>
      <c r="B423" s="196"/>
      <c r="C423" s="179" t="str">
        <f t="shared" si="2"/>
        <v/>
      </c>
      <c r="D423" s="197"/>
      <c r="E423" s="181"/>
      <c r="F423" s="198"/>
      <c r="G423" s="201"/>
      <c r="H423" s="201"/>
      <c r="I423" s="201"/>
      <c r="J423" s="202"/>
      <c r="K423" s="203"/>
      <c r="L423" s="186">
        <f t="shared" si="15"/>
        <v>0</v>
      </c>
      <c r="M423" s="191"/>
      <c r="N423" s="191"/>
      <c r="O423" s="191"/>
      <c r="P423" s="191"/>
      <c r="Q423" s="191"/>
      <c r="R423" s="191"/>
      <c r="S423" s="191"/>
      <c r="T423" s="192"/>
      <c r="U423" s="189" t="str">
        <f t="shared" si="16"/>
        <v/>
      </c>
      <c r="V423" s="190" t="str">
        <f t="shared" si="17"/>
        <v/>
      </c>
      <c r="W423" s="190" t="str">
        <f t="shared" si="18"/>
        <v/>
      </c>
      <c r="X423" s="191" t="str">
        <f t="shared" si="19"/>
        <v/>
      </c>
      <c r="Y423" s="191" t="str">
        <f t="shared" si="20"/>
        <v/>
      </c>
      <c r="Z423" s="156"/>
    </row>
    <row r="424">
      <c r="A424" s="177" t="str">
        <f t="shared" si="14"/>
        <v/>
      </c>
      <c r="B424" s="196"/>
      <c r="C424" s="179" t="str">
        <f t="shared" si="2"/>
        <v/>
      </c>
      <c r="D424" s="197"/>
      <c r="E424" s="181"/>
      <c r="F424" s="198"/>
      <c r="G424" s="201"/>
      <c r="H424" s="201"/>
      <c r="I424" s="201"/>
      <c r="J424" s="202"/>
      <c r="K424" s="203"/>
      <c r="L424" s="186">
        <f t="shared" si="15"/>
        <v>0</v>
      </c>
      <c r="M424" s="191"/>
      <c r="N424" s="191"/>
      <c r="O424" s="191"/>
      <c r="P424" s="191"/>
      <c r="Q424" s="191"/>
      <c r="R424" s="191"/>
      <c r="S424" s="191"/>
      <c r="T424" s="192"/>
      <c r="U424" s="189" t="str">
        <f t="shared" si="16"/>
        <v/>
      </c>
      <c r="V424" s="190" t="str">
        <f t="shared" si="17"/>
        <v/>
      </c>
      <c r="W424" s="190" t="str">
        <f t="shared" si="18"/>
        <v/>
      </c>
      <c r="X424" s="191" t="str">
        <f t="shared" si="19"/>
        <v/>
      </c>
      <c r="Y424" s="191" t="str">
        <f t="shared" si="20"/>
        <v/>
      </c>
      <c r="Z424" s="156"/>
    </row>
    <row r="425">
      <c r="A425" s="177" t="str">
        <f t="shared" si="14"/>
        <v/>
      </c>
      <c r="B425" s="196"/>
      <c r="C425" s="179" t="str">
        <f t="shared" si="2"/>
        <v/>
      </c>
      <c r="D425" s="197"/>
      <c r="E425" s="181"/>
      <c r="F425" s="198"/>
      <c r="G425" s="201"/>
      <c r="H425" s="201"/>
      <c r="I425" s="201"/>
      <c r="J425" s="202"/>
      <c r="K425" s="203"/>
      <c r="L425" s="186">
        <f t="shared" si="15"/>
        <v>0</v>
      </c>
      <c r="M425" s="191"/>
      <c r="N425" s="191"/>
      <c r="O425" s="191"/>
      <c r="P425" s="191"/>
      <c r="Q425" s="191"/>
      <c r="R425" s="191"/>
      <c r="S425" s="191"/>
      <c r="T425" s="192"/>
      <c r="U425" s="189" t="str">
        <f t="shared" si="16"/>
        <v/>
      </c>
      <c r="V425" s="190" t="str">
        <f t="shared" si="17"/>
        <v/>
      </c>
      <c r="W425" s="190" t="str">
        <f t="shared" si="18"/>
        <v/>
      </c>
      <c r="X425" s="191" t="str">
        <f t="shared" si="19"/>
        <v/>
      </c>
      <c r="Y425" s="191" t="str">
        <f t="shared" si="20"/>
        <v/>
      </c>
      <c r="Z425" s="156"/>
    </row>
    <row r="426">
      <c r="A426" s="177" t="str">
        <f t="shared" si="14"/>
        <v/>
      </c>
      <c r="B426" s="196"/>
      <c r="C426" s="179" t="str">
        <f t="shared" si="2"/>
        <v/>
      </c>
      <c r="D426" s="197"/>
      <c r="E426" s="181"/>
      <c r="F426" s="198"/>
      <c r="G426" s="201"/>
      <c r="H426" s="201"/>
      <c r="I426" s="201"/>
      <c r="J426" s="202"/>
      <c r="K426" s="203"/>
      <c r="L426" s="186">
        <f t="shared" si="15"/>
        <v>0</v>
      </c>
      <c r="M426" s="191"/>
      <c r="N426" s="191"/>
      <c r="O426" s="191"/>
      <c r="P426" s="191"/>
      <c r="Q426" s="191"/>
      <c r="R426" s="191"/>
      <c r="S426" s="191"/>
      <c r="T426" s="192"/>
      <c r="U426" s="189" t="str">
        <f t="shared" si="16"/>
        <v/>
      </c>
      <c r="V426" s="190" t="str">
        <f t="shared" si="17"/>
        <v/>
      </c>
      <c r="W426" s="190" t="str">
        <f t="shared" si="18"/>
        <v/>
      </c>
      <c r="X426" s="191" t="str">
        <f t="shared" si="19"/>
        <v/>
      </c>
      <c r="Y426" s="191" t="str">
        <f t="shared" si="20"/>
        <v/>
      </c>
      <c r="Z426" s="156"/>
    </row>
    <row r="427">
      <c r="A427" s="177" t="str">
        <f t="shared" si="14"/>
        <v/>
      </c>
      <c r="B427" s="196"/>
      <c r="C427" s="179" t="str">
        <f t="shared" si="2"/>
        <v/>
      </c>
      <c r="D427" s="197"/>
      <c r="E427" s="181"/>
      <c r="F427" s="198"/>
      <c r="G427" s="201"/>
      <c r="H427" s="201"/>
      <c r="I427" s="201"/>
      <c r="J427" s="202"/>
      <c r="K427" s="203"/>
      <c r="L427" s="186">
        <f t="shared" si="15"/>
        <v>0</v>
      </c>
      <c r="M427" s="191"/>
      <c r="N427" s="191"/>
      <c r="O427" s="191"/>
      <c r="P427" s="191"/>
      <c r="Q427" s="191"/>
      <c r="R427" s="191"/>
      <c r="S427" s="191"/>
      <c r="T427" s="192"/>
      <c r="U427" s="189" t="str">
        <f t="shared" si="16"/>
        <v/>
      </c>
      <c r="V427" s="190" t="str">
        <f t="shared" si="17"/>
        <v/>
      </c>
      <c r="W427" s="190" t="str">
        <f t="shared" si="18"/>
        <v/>
      </c>
      <c r="X427" s="191" t="str">
        <f t="shared" si="19"/>
        <v/>
      </c>
      <c r="Y427" s="191" t="str">
        <f t="shared" si="20"/>
        <v/>
      </c>
      <c r="Z427" s="156"/>
    </row>
    <row r="428">
      <c r="A428" s="177" t="str">
        <f t="shared" si="14"/>
        <v/>
      </c>
      <c r="B428" s="196"/>
      <c r="C428" s="179" t="str">
        <f t="shared" si="2"/>
        <v/>
      </c>
      <c r="D428" s="197"/>
      <c r="E428" s="181"/>
      <c r="F428" s="198"/>
      <c r="G428" s="201"/>
      <c r="H428" s="201"/>
      <c r="I428" s="201"/>
      <c r="J428" s="202"/>
      <c r="K428" s="203"/>
      <c r="L428" s="186">
        <f t="shared" si="15"/>
        <v>0</v>
      </c>
      <c r="M428" s="191"/>
      <c r="N428" s="191"/>
      <c r="O428" s="191"/>
      <c r="P428" s="191"/>
      <c r="Q428" s="191"/>
      <c r="R428" s="191"/>
      <c r="S428" s="191"/>
      <c r="T428" s="192"/>
      <c r="U428" s="189" t="str">
        <f t="shared" si="16"/>
        <v/>
      </c>
      <c r="V428" s="190" t="str">
        <f t="shared" si="17"/>
        <v/>
      </c>
      <c r="W428" s="190" t="str">
        <f t="shared" si="18"/>
        <v/>
      </c>
      <c r="X428" s="191" t="str">
        <f t="shared" si="19"/>
        <v/>
      </c>
      <c r="Y428" s="191" t="str">
        <f t="shared" si="20"/>
        <v/>
      </c>
      <c r="Z428" s="156"/>
    </row>
    <row r="429">
      <c r="A429" s="177" t="str">
        <f t="shared" si="14"/>
        <v/>
      </c>
      <c r="B429" s="196"/>
      <c r="C429" s="179" t="str">
        <f t="shared" si="2"/>
        <v/>
      </c>
      <c r="D429" s="197"/>
      <c r="E429" s="181"/>
      <c r="F429" s="198"/>
      <c r="G429" s="201"/>
      <c r="H429" s="201"/>
      <c r="I429" s="201"/>
      <c r="J429" s="202"/>
      <c r="K429" s="203"/>
      <c r="L429" s="186">
        <f t="shared" si="15"/>
        <v>0</v>
      </c>
      <c r="M429" s="191"/>
      <c r="N429" s="191"/>
      <c r="O429" s="191"/>
      <c r="P429" s="191"/>
      <c r="Q429" s="191"/>
      <c r="R429" s="191"/>
      <c r="S429" s="191"/>
      <c r="T429" s="192"/>
      <c r="U429" s="189" t="str">
        <f t="shared" si="16"/>
        <v/>
      </c>
      <c r="V429" s="190" t="str">
        <f t="shared" si="17"/>
        <v/>
      </c>
      <c r="W429" s="190" t="str">
        <f t="shared" si="18"/>
        <v/>
      </c>
      <c r="X429" s="191" t="str">
        <f t="shared" si="19"/>
        <v/>
      </c>
      <c r="Y429" s="191" t="str">
        <f t="shared" si="20"/>
        <v/>
      </c>
      <c r="Z429" s="156"/>
    </row>
    <row r="430">
      <c r="A430" s="177" t="str">
        <f t="shared" si="14"/>
        <v/>
      </c>
      <c r="B430" s="196"/>
      <c r="C430" s="179" t="str">
        <f t="shared" si="2"/>
        <v/>
      </c>
      <c r="D430" s="197"/>
      <c r="E430" s="181"/>
      <c r="F430" s="198"/>
      <c r="G430" s="201"/>
      <c r="H430" s="201"/>
      <c r="I430" s="201"/>
      <c r="J430" s="202"/>
      <c r="K430" s="203"/>
      <c r="L430" s="186">
        <f t="shared" si="15"/>
        <v>0</v>
      </c>
      <c r="M430" s="191"/>
      <c r="N430" s="191"/>
      <c r="O430" s="191"/>
      <c r="P430" s="191"/>
      <c r="Q430" s="191"/>
      <c r="R430" s="191"/>
      <c r="S430" s="191"/>
      <c r="T430" s="192"/>
      <c r="U430" s="189" t="str">
        <f t="shared" si="16"/>
        <v/>
      </c>
      <c r="V430" s="190" t="str">
        <f t="shared" si="17"/>
        <v/>
      </c>
      <c r="W430" s="190" t="str">
        <f t="shared" si="18"/>
        <v/>
      </c>
      <c r="X430" s="191" t="str">
        <f t="shared" si="19"/>
        <v/>
      </c>
      <c r="Y430" s="191" t="str">
        <f t="shared" si="20"/>
        <v/>
      </c>
      <c r="Z430" s="156"/>
    </row>
    <row r="431">
      <c r="A431" s="177" t="str">
        <f t="shared" si="14"/>
        <v/>
      </c>
      <c r="B431" s="196"/>
      <c r="C431" s="179" t="str">
        <f t="shared" si="2"/>
        <v/>
      </c>
      <c r="D431" s="197"/>
      <c r="E431" s="181"/>
      <c r="F431" s="198"/>
      <c r="G431" s="201"/>
      <c r="H431" s="201"/>
      <c r="I431" s="201"/>
      <c r="J431" s="202"/>
      <c r="K431" s="203"/>
      <c r="L431" s="186">
        <f t="shared" si="15"/>
        <v>0</v>
      </c>
      <c r="M431" s="191"/>
      <c r="N431" s="191"/>
      <c r="O431" s="191"/>
      <c r="P431" s="191"/>
      <c r="Q431" s="191"/>
      <c r="R431" s="191"/>
      <c r="S431" s="191"/>
      <c r="T431" s="192"/>
      <c r="U431" s="189" t="str">
        <f t="shared" si="16"/>
        <v/>
      </c>
      <c r="V431" s="190" t="str">
        <f t="shared" si="17"/>
        <v/>
      </c>
      <c r="W431" s="190" t="str">
        <f t="shared" si="18"/>
        <v/>
      </c>
      <c r="X431" s="191" t="str">
        <f t="shared" si="19"/>
        <v/>
      </c>
      <c r="Y431" s="191" t="str">
        <f t="shared" si="20"/>
        <v/>
      </c>
      <c r="Z431" s="156"/>
    </row>
    <row r="432">
      <c r="A432" s="177" t="str">
        <f t="shared" si="14"/>
        <v/>
      </c>
      <c r="B432" s="196"/>
      <c r="C432" s="179" t="str">
        <f t="shared" si="2"/>
        <v/>
      </c>
      <c r="D432" s="197"/>
      <c r="E432" s="181"/>
      <c r="F432" s="198"/>
      <c r="G432" s="201"/>
      <c r="H432" s="201"/>
      <c r="I432" s="201"/>
      <c r="J432" s="202"/>
      <c r="K432" s="203"/>
      <c r="L432" s="186">
        <f t="shared" si="15"/>
        <v>0</v>
      </c>
      <c r="M432" s="191"/>
      <c r="N432" s="191"/>
      <c r="O432" s="191"/>
      <c r="P432" s="191"/>
      <c r="Q432" s="191"/>
      <c r="R432" s="191"/>
      <c r="S432" s="191"/>
      <c r="T432" s="192"/>
      <c r="U432" s="189" t="str">
        <f t="shared" si="16"/>
        <v/>
      </c>
      <c r="V432" s="190" t="str">
        <f t="shared" si="17"/>
        <v/>
      </c>
      <c r="W432" s="190" t="str">
        <f t="shared" si="18"/>
        <v/>
      </c>
      <c r="X432" s="191" t="str">
        <f t="shared" si="19"/>
        <v/>
      </c>
      <c r="Y432" s="191" t="str">
        <f t="shared" si="20"/>
        <v/>
      </c>
      <c r="Z432" s="156"/>
    </row>
    <row r="433">
      <c r="A433" s="177" t="str">
        <f t="shared" si="14"/>
        <v/>
      </c>
      <c r="B433" s="196"/>
      <c r="C433" s="179" t="str">
        <f t="shared" si="2"/>
        <v/>
      </c>
      <c r="D433" s="197"/>
      <c r="E433" s="181"/>
      <c r="F433" s="198"/>
      <c r="G433" s="201"/>
      <c r="H433" s="201"/>
      <c r="I433" s="201"/>
      <c r="J433" s="202"/>
      <c r="K433" s="203"/>
      <c r="L433" s="186">
        <f t="shared" si="15"/>
        <v>0</v>
      </c>
      <c r="M433" s="191"/>
      <c r="N433" s="191"/>
      <c r="O433" s="191"/>
      <c r="P433" s="191"/>
      <c r="Q433" s="191"/>
      <c r="R433" s="191"/>
      <c r="S433" s="191"/>
      <c r="T433" s="192"/>
      <c r="U433" s="189" t="str">
        <f t="shared" si="16"/>
        <v/>
      </c>
      <c r="V433" s="190" t="str">
        <f t="shared" si="17"/>
        <v/>
      </c>
      <c r="W433" s="190" t="str">
        <f t="shared" si="18"/>
        <v/>
      </c>
      <c r="X433" s="191" t="str">
        <f t="shared" si="19"/>
        <v/>
      </c>
      <c r="Y433" s="191" t="str">
        <f t="shared" si="20"/>
        <v/>
      </c>
      <c r="Z433" s="156"/>
    </row>
    <row r="434">
      <c r="A434" s="177" t="str">
        <f t="shared" si="14"/>
        <v/>
      </c>
      <c r="B434" s="196"/>
      <c r="C434" s="179" t="str">
        <f t="shared" si="2"/>
        <v/>
      </c>
      <c r="D434" s="197"/>
      <c r="E434" s="181"/>
      <c r="F434" s="198"/>
      <c r="G434" s="201"/>
      <c r="H434" s="201"/>
      <c r="I434" s="201"/>
      <c r="J434" s="202"/>
      <c r="K434" s="203"/>
      <c r="L434" s="186">
        <f t="shared" si="15"/>
        <v>0</v>
      </c>
      <c r="M434" s="191"/>
      <c r="N434" s="191"/>
      <c r="O434" s="191"/>
      <c r="P434" s="191"/>
      <c r="Q434" s="191"/>
      <c r="R434" s="191"/>
      <c r="S434" s="191"/>
      <c r="T434" s="192"/>
      <c r="U434" s="189" t="str">
        <f t="shared" si="16"/>
        <v/>
      </c>
      <c r="V434" s="190" t="str">
        <f t="shared" si="17"/>
        <v/>
      </c>
      <c r="W434" s="190" t="str">
        <f t="shared" si="18"/>
        <v/>
      </c>
      <c r="X434" s="191" t="str">
        <f t="shared" si="19"/>
        <v/>
      </c>
      <c r="Y434" s="191" t="str">
        <f t="shared" si="20"/>
        <v/>
      </c>
      <c r="Z434" s="156"/>
    </row>
    <row r="435">
      <c r="A435" s="177" t="str">
        <f t="shared" si="14"/>
        <v/>
      </c>
      <c r="B435" s="196"/>
      <c r="C435" s="179" t="str">
        <f t="shared" si="2"/>
        <v/>
      </c>
      <c r="D435" s="197"/>
      <c r="E435" s="181"/>
      <c r="F435" s="198"/>
      <c r="G435" s="201"/>
      <c r="H435" s="201"/>
      <c r="I435" s="201"/>
      <c r="J435" s="202"/>
      <c r="K435" s="203"/>
      <c r="L435" s="186">
        <f t="shared" si="15"/>
        <v>0</v>
      </c>
      <c r="M435" s="191"/>
      <c r="N435" s="191"/>
      <c r="O435" s="191"/>
      <c r="P435" s="191"/>
      <c r="Q435" s="191"/>
      <c r="R435" s="191"/>
      <c r="S435" s="191"/>
      <c r="T435" s="192"/>
      <c r="U435" s="189" t="str">
        <f t="shared" si="16"/>
        <v/>
      </c>
      <c r="V435" s="190" t="str">
        <f t="shared" si="17"/>
        <v/>
      </c>
      <c r="W435" s="190" t="str">
        <f t="shared" si="18"/>
        <v/>
      </c>
      <c r="X435" s="191" t="str">
        <f t="shared" si="19"/>
        <v/>
      </c>
      <c r="Y435" s="191" t="str">
        <f t="shared" si="20"/>
        <v/>
      </c>
      <c r="Z435" s="156"/>
    </row>
    <row r="436">
      <c r="A436" s="177" t="str">
        <f t="shared" si="14"/>
        <v/>
      </c>
      <c r="B436" s="196"/>
      <c r="C436" s="179" t="str">
        <f t="shared" si="2"/>
        <v/>
      </c>
      <c r="D436" s="197"/>
      <c r="E436" s="181"/>
      <c r="F436" s="198"/>
      <c r="G436" s="201"/>
      <c r="H436" s="201"/>
      <c r="I436" s="201"/>
      <c r="J436" s="202"/>
      <c r="K436" s="203"/>
      <c r="L436" s="186">
        <f t="shared" si="15"/>
        <v>0</v>
      </c>
      <c r="M436" s="191"/>
      <c r="N436" s="191"/>
      <c r="O436" s="191"/>
      <c r="P436" s="191"/>
      <c r="Q436" s="191"/>
      <c r="R436" s="191"/>
      <c r="S436" s="191"/>
      <c r="T436" s="192"/>
      <c r="U436" s="189" t="str">
        <f t="shared" si="16"/>
        <v/>
      </c>
      <c r="V436" s="190" t="str">
        <f t="shared" si="17"/>
        <v/>
      </c>
      <c r="W436" s="190" t="str">
        <f t="shared" si="18"/>
        <v/>
      </c>
      <c r="X436" s="191" t="str">
        <f t="shared" si="19"/>
        <v/>
      </c>
      <c r="Y436" s="191" t="str">
        <f t="shared" si="20"/>
        <v/>
      </c>
      <c r="Z436" s="156"/>
    </row>
    <row r="437">
      <c r="A437" s="177" t="str">
        <f t="shared" si="14"/>
        <v/>
      </c>
      <c r="B437" s="196"/>
      <c r="C437" s="179" t="str">
        <f t="shared" si="2"/>
        <v/>
      </c>
      <c r="D437" s="197"/>
      <c r="E437" s="181"/>
      <c r="F437" s="198"/>
      <c r="G437" s="201"/>
      <c r="H437" s="201"/>
      <c r="I437" s="201"/>
      <c r="J437" s="202"/>
      <c r="K437" s="203"/>
      <c r="L437" s="186">
        <f t="shared" si="15"/>
        <v>0</v>
      </c>
      <c r="M437" s="191"/>
      <c r="N437" s="191"/>
      <c r="O437" s="191"/>
      <c r="P437" s="191"/>
      <c r="Q437" s="191"/>
      <c r="R437" s="191"/>
      <c r="S437" s="191"/>
      <c r="T437" s="192"/>
      <c r="U437" s="189" t="str">
        <f t="shared" si="16"/>
        <v/>
      </c>
      <c r="V437" s="190" t="str">
        <f t="shared" si="17"/>
        <v/>
      </c>
      <c r="W437" s="190" t="str">
        <f t="shared" si="18"/>
        <v/>
      </c>
      <c r="X437" s="191" t="str">
        <f t="shared" si="19"/>
        <v/>
      </c>
      <c r="Y437" s="191" t="str">
        <f t="shared" si="20"/>
        <v/>
      </c>
      <c r="Z437" s="156"/>
    </row>
    <row r="438">
      <c r="A438" s="177" t="str">
        <f t="shared" si="14"/>
        <v/>
      </c>
      <c r="B438" s="196"/>
      <c r="C438" s="179" t="str">
        <f t="shared" si="2"/>
        <v/>
      </c>
      <c r="D438" s="197"/>
      <c r="E438" s="181"/>
      <c r="F438" s="198"/>
      <c r="G438" s="201"/>
      <c r="H438" s="201"/>
      <c r="I438" s="201"/>
      <c r="J438" s="202"/>
      <c r="K438" s="203"/>
      <c r="L438" s="186">
        <f t="shared" si="15"/>
        <v>0</v>
      </c>
      <c r="M438" s="191"/>
      <c r="N438" s="191"/>
      <c r="O438" s="191"/>
      <c r="P438" s="191"/>
      <c r="Q438" s="191"/>
      <c r="R438" s="191"/>
      <c r="S438" s="191"/>
      <c r="T438" s="192"/>
      <c r="U438" s="189" t="str">
        <f t="shared" si="16"/>
        <v/>
      </c>
      <c r="V438" s="190" t="str">
        <f t="shared" si="17"/>
        <v/>
      </c>
      <c r="W438" s="190" t="str">
        <f t="shared" si="18"/>
        <v/>
      </c>
      <c r="X438" s="191" t="str">
        <f t="shared" si="19"/>
        <v/>
      </c>
      <c r="Y438" s="191" t="str">
        <f t="shared" si="20"/>
        <v/>
      </c>
      <c r="Z438" s="156"/>
    </row>
    <row r="439">
      <c r="A439" s="177" t="str">
        <f t="shared" si="14"/>
        <v/>
      </c>
      <c r="B439" s="196"/>
      <c r="C439" s="179" t="str">
        <f t="shared" si="2"/>
        <v/>
      </c>
      <c r="D439" s="197"/>
      <c r="E439" s="181"/>
      <c r="F439" s="198"/>
      <c r="G439" s="201"/>
      <c r="H439" s="201"/>
      <c r="I439" s="201"/>
      <c r="J439" s="202"/>
      <c r="K439" s="203"/>
      <c r="L439" s="186">
        <f t="shared" si="15"/>
        <v>0</v>
      </c>
      <c r="M439" s="191"/>
      <c r="N439" s="191"/>
      <c r="O439" s="191"/>
      <c r="P439" s="191"/>
      <c r="Q439" s="191"/>
      <c r="R439" s="191"/>
      <c r="S439" s="191"/>
      <c r="T439" s="192"/>
      <c r="U439" s="189" t="str">
        <f t="shared" si="16"/>
        <v/>
      </c>
      <c r="V439" s="190" t="str">
        <f t="shared" si="17"/>
        <v/>
      </c>
      <c r="W439" s="190" t="str">
        <f t="shared" si="18"/>
        <v/>
      </c>
      <c r="X439" s="191" t="str">
        <f t="shared" si="19"/>
        <v/>
      </c>
      <c r="Y439" s="191" t="str">
        <f t="shared" si="20"/>
        <v/>
      </c>
      <c r="Z439" s="156"/>
    </row>
    <row r="440">
      <c r="A440" s="177" t="str">
        <f t="shared" si="14"/>
        <v/>
      </c>
      <c r="B440" s="196"/>
      <c r="C440" s="179" t="str">
        <f t="shared" si="2"/>
        <v/>
      </c>
      <c r="D440" s="197"/>
      <c r="E440" s="181"/>
      <c r="F440" s="198"/>
      <c r="G440" s="201"/>
      <c r="H440" s="201"/>
      <c r="I440" s="201"/>
      <c r="J440" s="202"/>
      <c r="K440" s="203"/>
      <c r="L440" s="186">
        <f t="shared" si="15"/>
        <v>0</v>
      </c>
      <c r="M440" s="191"/>
      <c r="N440" s="191"/>
      <c r="O440" s="191"/>
      <c r="P440" s="191"/>
      <c r="Q440" s="191"/>
      <c r="R440" s="191"/>
      <c r="S440" s="191"/>
      <c r="T440" s="192"/>
      <c r="U440" s="189" t="str">
        <f t="shared" si="16"/>
        <v/>
      </c>
      <c r="V440" s="190" t="str">
        <f t="shared" si="17"/>
        <v/>
      </c>
      <c r="W440" s="190" t="str">
        <f t="shared" si="18"/>
        <v/>
      </c>
      <c r="X440" s="191" t="str">
        <f t="shared" si="19"/>
        <v/>
      </c>
      <c r="Y440" s="191" t="str">
        <f t="shared" si="20"/>
        <v/>
      </c>
      <c r="Z440" s="156"/>
    </row>
    <row r="441">
      <c r="A441" s="177" t="str">
        <f t="shared" si="14"/>
        <v/>
      </c>
      <c r="B441" s="196"/>
      <c r="C441" s="179" t="str">
        <f t="shared" si="2"/>
        <v/>
      </c>
      <c r="D441" s="197"/>
      <c r="E441" s="181"/>
      <c r="F441" s="198"/>
      <c r="G441" s="201"/>
      <c r="H441" s="201"/>
      <c r="I441" s="201"/>
      <c r="J441" s="202"/>
      <c r="K441" s="203"/>
      <c r="L441" s="186">
        <f t="shared" si="15"/>
        <v>0</v>
      </c>
      <c r="M441" s="191"/>
      <c r="N441" s="191"/>
      <c r="O441" s="191"/>
      <c r="P441" s="191"/>
      <c r="Q441" s="191"/>
      <c r="R441" s="191"/>
      <c r="S441" s="191"/>
      <c r="T441" s="192"/>
      <c r="U441" s="189" t="str">
        <f t="shared" si="16"/>
        <v/>
      </c>
      <c r="V441" s="190" t="str">
        <f t="shared" si="17"/>
        <v/>
      </c>
      <c r="W441" s="190" t="str">
        <f t="shared" si="18"/>
        <v/>
      </c>
      <c r="X441" s="191" t="str">
        <f t="shared" si="19"/>
        <v/>
      </c>
      <c r="Y441" s="191" t="str">
        <f t="shared" si="20"/>
        <v/>
      </c>
      <c r="Z441" s="156"/>
    </row>
    <row r="442">
      <c r="A442" s="177" t="str">
        <f t="shared" si="14"/>
        <v/>
      </c>
      <c r="B442" s="196"/>
      <c r="C442" s="179" t="str">
        <f t="shared" si="2"/>
        <v/>
      </c>
      <c r="D442" s="197"/>
      <c r="E442" s="181"/>
      <c r="F442" s="198"/>
      <c r="G442" s="201"/>
      <c r="H442" s="201"/>
      <c r="I442" s="201"/>
      <c r="J442" s="202"/>
      <c r="K442" s="203"/>
      <c r="L442" s="186">
        <f t="shared" si="15"/>
        <v>0</v>
      </c>
      <c r="M442" s="191"/>
      <c r="N442" s="191"/>
      <c r="O442" s="191"/>
      <c r="P442" s="191"/>
      <c r="Q442" s="191"/>
      <c r="R442" s="191"/>
      <c r="S442" s="191"/>
      <c r="T442" s="192"/>
      <c r="U442" s="189" t="str">
        <f t="shared" si="16"/>
        <v/>
      </c>
      <c r="V442" s="190" t="str">
        <f t="shared" si="17"/>
        <v/>
      </c>
      <c r="W442" s="190" t="str">
        <f t="shared" si="18"/>
        <v/>
      </c>
      <c r="X442" s="191" t="str">
        <f t="shared" si="19"/>
        <v/>
      </c>
      <c r="Y442" s="191" t="str">
        <f t="shared" si="20"/>
        <v/>
      </c>
      <c r="Z442" s="156"/>
    </row>
    <row r="443">
      <c r="A443" s="177" t="str">
        <f t="shared" si="14"/>
        <v/>
      </c>
      <c r="B443" s="196"/>
      <c r="C443" s="179" t="str">
        <f t="shared" si="2"/>
        <v/>
      </c>
      <c r="D443" s="197"/>
      <c r="E443" s="181"/>
      <c r="F443" s="198"/>
      <c r="G443" s="201"/>
      <c r="H443" s="201"/>
      <c r="I443" s="201"/>
      <c r="J443" s="202"/>
      <c r="K443" s="203"/>
      <c r="L443" s="186">
        <f t="shared" si="15"/>
        <v>0</v>
      </c>
      <c r="M443" s="191"/>
      <c r="N443" s="191"/>
      <c r="O443" s="191"/>
      <c r="P443" s="191"/>
      <c r="Q443" s="191"/>
      <c r="R443" s="191"/>
      <c r="S443" s="191"/>
      <c r="T443" s="192"/>
      <c r="U443" s="189" t="str">
        <f t="shared" si="16"/>
        <v/>
      </c>
      <c r="V443" s="190" t="str">
        <f t="shared" si="17"/>
        <v/>
      </c>
      <c r="W443" s="190" t="str">
        <f t="shared" si="18"/>
        <v/>
      </c>
      <c r="X443" s="191" t="str">
        <f t="shared" si="19"/>
        <v/>
      </c>
      <c r="Y443" s="191" t="str">
        <f t="shared" si="20"/>
        <v/>
      </c>
      <c r="Z443" s="156"/>
    </row>
    <row r="444">
      <c r="A444" s="177" t="str">
        <f t="shared" si="14"/>
        <v/>
      </c>
      <c r="B444" s="196"/>
      <c r="C444" s="179" t="str">
        <f t="shared" si="2"/>
        <v/>
      </c>
      <c r="D444" s="197"/>
      <c r="E444" s="181"/>
      <c r="F444" s="198"/>
      <c r="G444" s="201"/>
      <c r="H444" s="201"/>
      <c r="I444" s="201"/>
      <c r="J444" s="202"/>
      <c r="K444" s="203"/>
      <c r="L444" s="186">
        <f t="shared" si="15"/>
        <v>0</v>
      </c>
      <c r="M444" s="191"/>
      <c r="N444" s="191"/>
      <c r="O444" s="191"/>
      <c r="P444" s="191"/>
      <c r="Q444" s="191"/>
      <c r="R444" s="191"/>
      <c r="S444" s="191"/>
      <c r="T444" s="192"/>
      <c r="U444" s="189" t="str">
        <f t="shared" si="16"/>
        <v/>
      </c>
      <c r="V444" s="190" t="str">
        <f t="shared" si="17"/>
        <v/>
      </c>
      <c r="W444" s="190" t="str">
        <f t="shared" si="18"/>
        <v/>
      </c>
      <c r="X444" s="191" t="str">
        <f t="shared" si="19"/>
        <v/>
      </c>
      <c r="Y444" s="191" t="str">
        <f t="shared" si="20"/>
        <v/>
      </c>
      <c r="Z444" s="156"/>
    </row>
    <row r="445">
      <c r="A445" s="177" t="str">
        <f t="shared" si="14"/>
        <v/>
      </c>
      <c r="B445" s="196"/>
      <c r="C445" s="179" t="str">
        <f t="shared" si="2"/>
        <v/>
      </c>
      <c r="D445" s="197"/>
      <c r="E445" s="181"/>
      <c r="F445" s="198"/>
      <c r="G445" s="201"/>
      <c r="H445" s="201"/>
      <c r="I445" s="201"/>
      <c r="J445" s="202"/>
      <c r="K445" s="203"/>
      <c r="L445" s="186">
        <f t="shared" si="15"/>
        <v>0</v>
      </c>
      <c r="M445" s="191"/>
      <c r="N445" s="191"/>
      <c r="O445" s="191"/>
      <c r="P445" s="191"/>
      <c r="Q445" s="191"/>
      <c r="R445" s="191"/>
      <c r="S445" s="191"/>
      <c r="T445" s="192"/>
      <c r="U445" s="189" t="str">
        <f t="shared" si="16"/>
        <v/>
      </c>
      <c r="V445" s="190" t="str">
        <f t="shared" si="17"/>
        <v/>
      </c>
      <c r="W445" s="190" t="str">
        <f t="shared" si="18"/>
        <v/>
      </c>
      <c r="X445" s="191" t="str">
        <f t="shared" si="19"/>
        <v/>
      </c>
      <c r="Y445" s="191" t="str">
        <f t="shared" si="20"/>
        <v/>
      </c>
      <c r="Z445" s="156"/>
    </row>
    <row r="446">
      <c r="A446" s="177" t="str">
        <f t="shared" si="14"/>
        <v/>
      </c>
      <c r="B446" s="196"/>
      <c r="C446" s="179" t="str">
        <f t="shared" si="2"/>
        <v/>
      </c>
      <c r="D446" s="197"/>
      <c r="E446" s="181"/>
      <c r="F446" s="198"/>
      <c r="G446" s="201"/>
      <c r="H446" s="201"/>
      <c r="I446" s="201"/>
      <c r="J446" s="202"/>
      <c r="K446" s="203"/>
      <c r="L446" s="186">
        <f t="shared" si="15"/>
        <v>0</v>
      </c>
      <c r="M446" s="191"/>
      <c r="N446" s="191"/>
      <c r="O446" s="191"/>
      <c r="P446" s="191"/>
      <c r="Q446" s="191"/>
      <c r="R446" s="191"/>
      <c r="S446" s="191"/>
      <c r="T446" s="192"/>
      <c r="U446" s="189" t="str">
        <f t="shared" si="16"/>
        <v/>
      </c>
      <c r="V446" s="190" t="str">
        <f t="shared" si="17"/>
        <v/>
      </c>
      <c r="W446" s="190" t="str">
        <f t="shared" si="18"/>
        <v/>
      </c>
      <c r="X446" s="191" t="str">
        <f t="shared" si="19"/>
        <v/>
      </c>
      <c r="Y446" s="191" t="str">
        <f t="shared" si="20"/>
        <v/>
      </c>
      <c r="Z446" s="156"/>
    </row>
    <row r="447">
      <c r="A447" s="177" t="str">
        <f t="shared" si="14"/>
        <v/>
      </c>
      <c r="B447" s="196"/>
      <c r="C447" s="179" t="str">
        <f t="shared" si="2"/>
        <v/>
      </c>
      <c r="D447" s="197"/>
      <c r="E447" s="181"/>
      <c r="F447" s="198"/>
      <c r="G447" s="201"/>
      <c r="H447" s="201"/>
      <c r="I447" s="201"/>
      <c r="J447" s="202"/>
      <c r="K447" s="203"/>
      <c r="L447" s="186">
        <f t="shared" si="15"/>
        <v>0</v>
      </c>
      <c r="M447" s="191"/>
      <c r="N447" s="191"/>
      <c r="O447" s="191"/>
      <c r="P447" s="191"/>
      <c r="Q447" s="191"/>
      <c r="R447" s="191"/>
      <c r="S447" s="191"/>
      <c r="T447" s="192"/>
      <c r="U447" s="189" t="str">
        <f t="shared" si="16"/>
        <v/>
      </c>
      <c r="V447" s="190" t="str">
        <f t="shared" si="17"/>
        <v/>
      </c>
      <c r="W447" s="190" t="str">
        <f t="shared" si="18"/>
        <v/>
      </c>
      <c r="X447" s="191" t="str">
        <f t="shared" si="19"/>
        <v/>
      </c>
      <c r="Y447" s="191" t="str">
        <f t="shared" si="20"/>
        <v/>
      </c>
      <c r="Z447" s="156"/>
    </row>
    <row r="448">
      <c r="A448" s="177" t="str">
        <f t="shared" si="14"/>
        <v/>
      </c>
      <c r="B448" s="196"/>
      <c r="C448" s="179" t="str">
        <f t="shared" si="2"/>
        <v/>
      </c>
      <c r="D448" s="197"/>
      <c r="E448" s="181"/>
      <c r="F448" s="198"/>
      <c r="G448" s="201"/>
      <c r="H448" s="201"/>
      <c r="I448" s="201"/>
      <c r="J448" s="202"/>
      <c r="K448" s="203"/>
      <c r="L448" s="186">
        <f t="shared" si="15"/>
        <v>0</v>
      </c>
      <c r="M448" s="191"/>
      <c r="N448" s="191"/>
      <c r="O448" s="191"/>
      <c r="P448" s="191"/>
      <c r="Q448" s="191"/>
      <c r="R448" s="191"/>
      <c r="S448" s="191"/>
      <c r="T448" s="192"/>
      <c r="U448" s="189" t="str">
        <f t="shared" si="16"/>
        <v/>
      </c>
      <c r="V448" s="190" t="str">
        <f t="shared" si="17"/>
        <v/>
      </c>
      <c r="W448" s="190" t="str">
        <f t="shared" si="18"/>
        <v/>
      </c>
      <c r="X448" s="191" t="str">
        <f t="shared" si="19"/>
        <v/>
      </c>
      <c r="Y448" s="191" t="str">
        <f t="shared" si="20"/>
        <v/>
      </c>
      <c r="Z448" s="156"/>
    </row>
    <row r="449">
      <c r="A449" s="177" t="str">
        <f t="shared" si="14"/>
        <v/>
      </c>
      <c r="B449" s="196"/>
      <c r="C449" s="179" t="str">
        <f t="shared" si="2"/>
        <v/>
      </c>
      <c r="D449" s="197"/>
      <c r="E449" s="181"/>
      <c r="F449" s="198"/>
      <c r="G449" s="201"/>
      <c r="H449" s="201"/>
      <c r="I449" s="201"/>
      <c r="J449" s="202"/>
      <c r="K449" s="203"/>
      <c r="L449" s="186">
        <f t="shared" si="15"/>
        <v>0</v>
      </c>
      <c r="M449" s="191"/>
      <c r="N449" s="191"/>
      <c r="O449" s="191"/>
      <c r="P449" s="191"/>
      <c r="Q449" s="191"/>
      <c r="R449" s="191"/>
      <c r="S449" s="191"/>
      <c r="T449" s="192"/>
      <c r="U449" s="189" t="str">
        <f t="shared" si="16"/>
        <v/>
      </c>
      <c r="V449" s="190" t="str">
        <f t="shared" si="17"/>
        <v/>
      </c>
      <c r="W449" s="190" t="str">
        <f t="shared" si="18"/>
        <v/>
      </c>
      <c r="X449" s="191" t="str">
        <f t="shared" si="19"/>
        <v/>
      </c>
      <c r="Y449" s="191" t="str">
        <f t="shared" si="20"/>
        <v/>
      </c>
      <c r="Z449" s="156"/>
    </row>
    <row r="450">
      <c r="A450" s="177" t="str">
        <f t="shared" si="14"/>
        <v/>
      </c>
      <c r="B450" s="196"/>
      <c r="C450" s="179" t="str">
        <f t="shared" si="2"/>
        <v/>
      </c>
      <c r="D450" s="197"/>
      <c r="E450" s="181"/>
      <c r="F450" s="198"/>
      <c r="G450" s="201"/>
      <c r="H450" s="201"/>
      <c r="I450" s="201"/>
      <c r="J450" s="202"/>
      <c r="K450" s="203"/>
      <c r="L450" s="186">
        <f t="shared" si="15"/>
        <v>0</v>
      </c>
      <c r="M450" s="191"/>
      <c r="N450" s="191"/>
      <c r="O450" s="191"/>
      <c r="P450" s="191"/>
      <c r="Q450" s="191"/>
      <c r="R450" s="191"/>
      <c r="S450" s="191"/>
      <c r="T450" s="192"/>
      <c r="U450" s="189" t="str">
        <f t="shared" si="16"/>
        <v/>
      </c>
      <c r="V450" s="190" t="str">
        <f t="shared" si="17"/>
        <v/>
      </c>
      <c r="W450" s="190" t="str">
        <f t="shared" si="18"/>
        <v/>
      </c>
      <c r="X450" s="191" t="str">
        <f t="shared" si="19"/>
        <v/>
      </c>
      <c r="Y450" s="191" t="str">
        <f t="shared" si="20"/>
        <v/>
      </c>
      <c r="Z450" s="156"/>
    </row>
    <row r="451">
      <c r="A451" s="177" t="str">
        <f t="shared" si="14"/>
        <v/>
      </c>
      <c r="B451" s="196"/>
      <c r="C451" s="179" t="str">
        <f t="shared" si="2"/>
        <v/>
      </c>
      <c r="D451" s="197"/>
      <c r="E451" s="181"/>
      <c r="F451" s="198"/>
      <c r="G451" s="201"/>
      <c r="H451" s="201"/>
      <c r="I451" s="201"/>
      <c r="J451" s="202"/>
      <c r="K451" s="203"/>
      <c r="L451" s="186">
        <f t="shared" si="15"/>
        <v>0</v>
      </c>
      <c r="M451" s="191"/>
      <c r="N451" s="191"/>
      <c r="O451" s="191"/>
      <c r="P451" s="191"/>
      <c r="Q451" s="191"/>
      <c r="R451" s="191"/>
      <c r="S451" s="191"/>
      <c r="T451" s="192"/>
      <c r="U451" s="189" t="str">
        <f t="shared" si="16"/>
        <v/>
      </c>
      <c r="V451" s="190" t="str">
        <f t="shared" si="17"/>
        <v/>
      </c>
      <c r="W451" s="190" t="str">
        <f t="shared" si="18"/>
        <v/>
      </c>
      <c r="X451" s="191" t="str">
        <f t="shared" si="19"/>
        <v/>
      </c>
      <c r="Y451" s="191" t="str">
        <f t="shared" si="20"/>
        <v/>
      </c>
      <c r="Z451" s="156"/>
    </row>
    <row r="452">
      <c r="A452" s="177" t="str">
        <f t="shared" si="14"/>
        <v/>
      </c>
      <c r="B452" s="196"/>
      <c r="C452" s="179" t="str">
        <f t="shared" si="2"/>
        <v/>
      </c>
      <c r="D452" s="197"/>
      <c r="E452" s="181"/>
      <c r="F452" s="198"/>
      <c r="G452" s="201"/>
      <c r="H452" s="201"/>
      <c r="I452" s="201"/>
      <c r="J452" s="202"/>
      <c r="K452" s="203"/>
      <c r="L452" s="186">
        <f t="shared" si="15"/>
        <v>0</v>
      </c>
      <c r="M452" s="191"/>
      <c r="N452" s="191"/>
      <c r="O452" s="191"/>
      <c r="P452" s="191"/>
      <c r="Q452" s="191"/>
      <c r="R452" s="191"/>
      <c r="S452" s="191"/>
      <c r="T452" s="192"/>
      <c r="U452" s="189" t="str">
        <f t="shared" si="16"/>
        <v/>
      </c>
      <c r="V452" s="190" t="str">
        <f t="shared" si="17"/>
        <v/>
      </c>
      <c r="W452" s="190" t="str">
        <f t="shared" si="18"/>
        <v/>
      </c>
      <c r="X452" s="191" t="str">
        <f t="shared" si="19"/>
        <v/>
      </c>
      <c r="Y452" s="191" t="str">
        <f t="shared" si="20"/>
        <v/>
      </c>
      <c r="Z452" s="156"/>
    </row>
    <row r="453">
      <c r="A453" s="177" t="str">
        <f t="shared" si="14"/>
        <v/>
      </c>
      <c r="B453" s="196"/>
      <c r="C453" s="179" t="str">
        <f t="shared" si="2"/>
        <v/>
      </c>
      <c r="D453" s="197"/>
      <c r="E453" s="181"/>
      <c r="F453" s="198"/>
      <c r="G453" s="201"/>
      <c r="H453" s="201"/>
      <c r="I453" s="201"/>
      <c r="J453" s="202"/>
      <c r="K453" s="203"/>
      <c r="L453" s="186">
        <f t="shared" si="15"/>
        <v>0</v>
      </c>
      <c r="M453" s="191"/>
      <c r="N453" s="191"/>
      <c r="O453" s="191"/>
      <c r="P453" s="191"/>
      <c r="Q453" s="191"/>
      <c r="R453" s="191"/>
      <c r="S453" s="191"/>
      <c r="T453" s="192"/>
      <c r="U453" s="189" t="str">
        <f t="shared" si="16"/>
        <v/>
      </c>
      <c r="V453" s="190" t="str">
        <f t="shared" si="17"/>
        <v/>
      </c>
      <c r="W453" s="190" t="str">
        <f t="shared" si="18"/>
        <v/>
      </c>
      <c r="X453" s="191" t="str">
        <f t="shared" si="19"/>
        <v/>
      </c>
      <c r="Y453" s="191" t="str">
        <f t="shared" si="20"/>
        <v/>
      </c>
      <c r="Z453" s="156"/>
    </row>
    <row r="454">
      <c r="A454" s="177" t="str">
        <f t="shared" si="14"/>
        <v/>
      </c>
      <c r="B454" s="196"/>
      <c r="C454" s="179" t="str">
        <f t="shared" si="2"/>
        <v/>
      </c>
      <c r="D454" s="197"/>
      <c r="E454" s="181"/>
      <c r="F454" s="198"/>
      <c r="G454" s="201"/>
      <c r="H454" s="201"/>
      <c r="I454" s="201"/>
      <c r="J454" s="202"/>
      <c r="K454" s="203"/>
      <c r="L454" s="186">
        <f t="shared" si="15"/>
        <v>0</v>
      </c>
      <c r="M454" s="191"/>
      <c r="N454" s="191"/>
      <c r="O454" s="191"/>
      <c r="P454" s="191"/>
      <c r="Q454" s="191"/>
      <c r="R454" s="191"/>
      <c r="S454" s="191"/>
      <c r="T454" s="192"/>
      <c r="U454" s="189" t="str">
        <f t="shared" si="16"/>
        <v/>
      </c>
      <c r="V454" s="190" t="str">
        <f t="shared" si="17"/>
        <v/>
      </c>
      <c r="W454" s="190" t="str">
        <f t="shared" si="18"/>
        <v/>
      </c>
      <c r="X454" s="191" t="str">
        <f t="shared" si="19"/>
        <v/>
      </c>
      <c r="Y454" s="191" t="str">
        <f t="shared" si="20"/>
        <v/>
      </c>
      <c r="Z454" s="156"/>
    </row>
    <row r="455">
      <c r="A455" s="177" t="str">
        <f t="shared" si="14"/>
        <v/>
      </c>
      <c r="B455" s="196"/>
      <c r="C455" s="179" t="str">
        <f t="shared" si="2"/>
        <v/>
      </c>
      <c r="D455" s="197"/>
      <c r="E455" s="181"/>
      <c r="F455" s="198"/>
      <c r="G455" s="201"/>
      <c r="H455" s="201"/>
      <c r="I455" s="201"/>
      <c r="J455" s="202"/>
      <c r="K455" s="203"/>
      <c r="L455" s="186">
        <f t="shared" si="15"/>
        <v>0</v>
      </c>
      <c r="M455" s="191"/>
      <c r="N455" s="191"/>
      <c r="O455" s="191"/>
      <c r="P455" s="191"/>
      <c r="Q455" s="191"/>
      <c r="R455" s="191"/>
      <c r="S455" s="191"/>
      <c r="T455" s="192"/>
      <c r="U455" s="189" t="str">
        <f t="shared" si="16"/>
        <v/>
      </c>
      <c r="V455" s="190" t="str">
        <f t="shared" si="17"/>
        <v/>
      </c>
      <c r="W455" s="190" t="str">
        <f t="shared" si="18"/>
        <v/>
      </c>
      <c r="X455" s="191" t="str">
        <f t="shared" si="19"/>
        <v/>
      </c>
      <c r="Y455" s="191" t="str">
        <f t="shared" si="20"/>
        <v/>
      </c>
      <c r="Z455" s="156"/>
    </row>
    <row r="456">
      <c r="A456" s="177" t="str">
        <f t="shared" si="14"/>
        <v/>
      </c>
      <c r="B456" s="196"/>
      <c r="C456" s="179" t="str">
        <f t="shared" si="2"/>
        <v/>
      </c>
      <c r="D456" s="197"/>
      <c r="E456" s="181"/>
      <c r="F456" s="198"/>
      <c r="G456" s="201"/>
      <c r="H456" s="201"/>
      <c r="I456" s="201"/>
      <c r="J456" s="202"/>
      <c r="K456" s="203"/>
      <c r="L456" s="186">
        <f t="shared" si="15"/>
        <v>0</v>
      </c>
      <c r="M456" s="191"/>
      <c r="N456" s="191"/>
      <c r="O456" s="191"/>
      <c r="P456" s="191"/>
      <c r="Q456" s="191"/>
      <c r="R456" s="191"/>
      <c r="S456" s="191"/>
      <c r="T456" s="192"/>
      <c r="U456" s="189" t="str">
        <f t="shared" si="16"/>
        <v/>
      </c>
      <c r="V456" s="190" t="str">
        <f t="shared" si="17"/>
        <v/>
      </c>
      <c r="W456" s="190" t="str">
        <f t="shared" si="18"/>
        <v/>
      </c>
      <c r="X456" s="191" t="str">
        <f t="shared" si="19"/>
        <v/>
      </c>
      <c r="Y456" s="191" t="str">
        <f t="shared" si="20"/>
        <v/>
      </c>
      <c r="Z456" s="156"/>
    </row>
    <row r="457">
      <c r="A457" s="177" t="str">
        <f t="shared" si="14"/>
        <v/>
      </c>
      <c r="B457" s="196"/>
      <c r="C457" s="179" t="str">
        <f t="shared" si="2"/>
        <v/>
      </c>
      <c r="D457" s="197"/>
      <c r="E457" s="181"/>
      <c r="F457" s="198"/>
      <c r="G457" s="201"/>
      <c r="H457" s="201"/>
      <c r="I457" s="201"/>
      <c r="J457" s="202"/>
      <c r="K457" s="203"/>
      <c r="L457" s="186">
        <f t="shared" si="15"/>
        <v>0</v>
      </c>
      <c r="M457" s="191"/>
      <c r="N457" s="191"/>
      <c r="O457" s="191"/>
      <c r="P457" s="191"/>
      <c r="Q457" s="191"/>
      <c r="R457" s="191"/>
      <c r="S457" s="191"/>
      <c r="T457" s="192"/>
      <c r="U457" s="189" t="str">
        <f t="shared" si="16"/>
        <v/>
      </c>
      <c r="V457" s="190" t="str">
        <f t="shared" si="17"/>
        <v/>
      </c>
      <c r="W457" s="190" t="str">
        <f t="shared" si="18"/>
        <v/>
      </c>
      <c r="X457" s="191" t="str">
        <f t="shared" si="19"/>
        <v/>
      </c>
      <c r="Y457" s="191" t="str">
        <f t="shared" si="20"/>
        <v/>
      </c>
      <c r="Z457" s="156"/>
    </row>
    <row r="458">
      <c r="A458" s="177" t="str">
        <f t="shared" si="14"/>
        <v/>
      </c>
      <c r="B458" s="196"/>
      <c r="C458" s="179" t="str">
        <f t="shared" si="2"/>
        <v/>
      </c>
      <c r="D458" s="197"/>
      <c r="E458" s="181"/>
      <c r="F458" s="198"/>
      <c r="G458" s="201"/>
      <c r="H458" s="201"/>
      <c r="I458" s="201"/>
      <c r="J458" s="202"/>
      <c r="K458" s="203"/>
      <c r="L458" s="186">
        <f t="shared" si="15"/>
        <v>0</v>
      </c>
      <c r="M458" s="191"/>
      <c r="N458" s="191"/>
      <c r="O458" s="191"/>
      <c r="P458" s="191"/>
      <c r="Q458" s="191"/>
      <c r="R458" s="191"/>
      <c r="S458" s="191"/>
      <c r="T458" s="192"/>
      <c r="U458" s="189" t="str">
        <f t="shared" si="16"/>
        <v/>
      </c>
      <c r="V458" s="190" t="str">
        <f t="shared" si="17"/>
        <v/>
      </c>
      <c r="W458" s="190" t="str">
        <f t="shared" si="18"/>
        <v/>
      </c>
      <c r="X458" s="191" t="str">
        <f t="shared" si="19"/>
        <v/>
      </c>
      <c r="Y458" s="191" t="str">
        <f t="shared" si="20"/>
        <v/>
      </c>
      <c r="Z458" s="156"/>
    </row>
    <row r="459">
      <c r="A459" s="177" t="str">
        <f t="shared" si="14"/>
        <v/>
      </c>
      <c r="B459" s="196"/>
      <c r="C459" s="179" t="str">
        <f t="shared" si="2"/>
        <v/>
      </c>
      <c r="D459" s="197"/>
      <c r="E459" s="181"/>
      <c r="F459" s="198"/>
      <c r="G459" s="201"/>
      <c r="H459" s="201"/>
      <c r="I459" s="201"/>
      <c r="J459" s="202"/>
      <c r="K459" s="203"/>
      <c r="L459" s="186">
        <f t="shared" si="15"/>
        <v>0</v>
      </c>
      <c r="M459" s="191"/>
      <c r="N459" s="191"/>
      <c r="O459" s="191"/>
      <c r="P459" s="191"/>
      <c r="Q459" s="191"/>
      <c r="R459" s="191"/>
      <c r="S459" s="191"/>
      <c r="T459" s="192"/>
      <c r="U459" s="189" t="str">
        <f t="shared" si="16"/>
        <v/>
      </c>
      <c r="V459" s="190" t="str">
        <f t="shared" si="17"/>
        <v/>
      </c>
      <c r="W459" s="190" t="str">
        <f t="shared" si="18"/>
        <v/>
      </c>
      <c r="X459" s="191" t="str">
        <f t="shared" si="19"/>
        <v/>
      </c>
      <c r="Y459" s="191" t="str">
        <f t="shared" si="20"/>
        <v/>
      </c>
      <c r="Z459" s="156"/>
    </row>
    <row r="460">
      <c r="A460" s="177" t="str">
        <f t="shared" si="14"/>
        <v/>
      </c>
      <c r="B460" s="196"/>
      <c r="C460" s="179" t="str">
        <f t="shared" si="2"/>
        <v/>
      </c>
      <c r="D460" s="197"/>
      <c r="E460" s="181"/>
      <c r="F460" s="198"/>
      <c r="G460" s="201"/>
      <c r="H460" s="201"/>
      <c r="I460" s="201"/>
      <c r="J460" s="202"/>
      <c r="K460" s="203"/>
      <c r="L460" s="186">
        <f t="shared" si="15"/>
        <v>0</v>
      </c>
      <c r="M460" s="191"/>
      <c r="N460" s="191"/>
      <c r="O460" s="191"/>
      <c r="P460" s="191"/>
      <c r="Q460" s="191"/>
      <c r="R460" s="191"/>
      <c r="S460" s="191"/>
      <c r="T460" s="192"/>
      <c r="U460" s="189" t="str">
        <f t="shared" si="16"/>
        <v/>
      </c>
      <c r="V460" s="190" t="str">
        <f t="shared" si="17"/>
        <v/>
      </c>
      <c r="W460" s="190" t="str">
        <f t="shared" si="18"/>
        <v/>
      </c>
      <c r="X460" s="191" t="str">
        <f t="shared" si="19"/>
        <v/>
      </c>
      <c r="Y460" s="191" t="str">
        <f t="shared" si="20"/>
        <v/>
      </c>
      <c r="Z460" s="156"/>
    </row>
    <row r="461">
      <c r="A461" s="177" t="str">
        <f t="shared" si="14"/>
        <v/>
      </c>
      <c r="B461" s="196"/>
      <c r="C461" s="179" t="str">
        <f t="shared" si="2"/>
        <v/>
      </c>
      <c r="D461" s="197"/>
      <c r="E461" s="181"/>
      <c r="F461" s="198"/>
      <c r="G461" s="201"/>
      <c r="H461" s="201"/>
      <c r="I461" s="201"/>
      <c r="J461" s="202"/>
      <c r="K461" s="203"/>
      <c r="L461" s="186">
        <f t="shared" si="15"/>
        <v>0</v>
      </c>
      <c r="M461" s="191"/>
      <c r="N461" s="191"/>
      <c r="O461" s="191"/>
      <c r="P461" s="191"/>
      <c r="Q461" s="191"/>
      <c r="R461" s="191"/>
      <c r="S461" s="191"/>
      <c r="T461" s="192"/>
      <c r="U461" s="189" t="str">
        <f t="shared" si="16"/>
        <v/>
      </c>
      <c r="V461" s="190" t="str">
        <f t="shared" si="17"/>
        <v/>
      </c>
      <c r="W461" s="190" t="str">
        <f t="shared" si="18"/>
        <v/>
      </c>
      <c r="X461" s="191" t="str">
        <f t="shared" si="19"/>
        <v/>
      </c>
      <c r="Y461" s="191" t="str">
        <f t="shared" si="20"/>
        <v/>
      </c>
      <c r="Z461" s="156"/>
    </row>
    <row r="462">
      <c r="A462" s="177" t="str">
        <f t="shared" si="14"/>
        <v/>
      </c>
      <c r="B462" s="196"/>
      <c r="C462" s="179" t="str">
        <f t="shared" si="2"/>
        <v/>
      </c>
      <c r="D462" s="197"/>
      <c r="E462" s="181"/>
      <c r="F462" s="198"/>
      <c r="G462" s="201"/>
      <c r="H462" s="201"/>
      <c r="I462" s="201"/>
      <c r="J462" s="202"/>
      <c r="K462" s="203"/>
      <c r="L462" s="186">
        <f t="shared" si="15"/>
        <v>0</v>
      </c>
      <c r="M462" s="191"/>
      <c r="N462" s="191"/>
      <c r="O462" s="191"/>
      <c r="P462" s="191"/>
      <c r="Q462" s="191"/>
      <c r="R462" s="191"/>
      <c r="S462" s="191"/>
      <c r="T462" s="192"/>
      <c r="U462" s="189" t="str">
        <f t="shared" si="16"/>
        <v/>
      </c>
      <c r="V462" s="190" t="str">
        <f t="shared" si="17"/>
        <v/>
      </c>
      <c r="W462" s="190" t="str">
        <f t="shared" si="18"/>
        <v/>
      </c>
      <c r="X462" s="191" t="str">
        <f t="shared" si="19"/>
        <v/>
      </c>
      <c r="Y462" s="191" t="str">
        <f t="shared" si="20"/>
        <v/>
      </c>
      <c r="Z462" s="156"/>
    </row>
    <row r="463">
      <c r="A463" s="177" t="str">
        <f t="shared" si="14"/>
        <v/>
      </c>
      <c r="B463" s="196"/>
      <c r="C463" s="179" t="str">
        <f t="shared" si="2"/>
        <v/>
      </c>
      <c r="D463" s="197"/>
      <c r="E463" s="181"/>
      <c r="F463" s="198"/>
      <c r="G463" s="201"/>
      <c r="H463" s="201"/>
      <c r="I463" s="201"/>
      <c r="J463" s="202"/>
      <c r="K463" s="203"/>
      <c r="L463" s="186">
        <f t="shared" si="15"/>
        <v>0</v>
      </c>
      <c r="M463" s="191"/>
      <c r="N463" s="191"/>
      <c r="O463" s="191"/>
      <c r="P463" s="191"/>
      <c r="Q463" s="191"/>
      <c r="R463" s="191"/>
      <c r="S463" s="191"/>
      <c r="T463" s="192"/>
      <c r="U463" s="189" t="str">
        <f t="shared" si="16"/>
        <v/>
      </c>
      <c r="V463" s="190" t="str">
        <f t="shared" si="17"/>
        <v/>
      </c>
      <c r="W463" s="190" t="str">
        <f t="shared" si="18"/>
        <v/>
      </c>
      <c r="X463" s="191" t="str">
        <f t="shared" si="19"/>
        <v/>
      </c>
      <c r="Y463" s="191" t="str">
        <f t="shared" si="20"/>
        <v/>
      </c>
      <c r="Z463" s="156"/>
    </row>
    <row r="464">
      <c r="A464" s="177" t="str">
        <f t="shared" si="14"/>
        <v/>
      </c>
      <c r="B464" s="196"/>
      <c r="C464" s="179" t="str">
        <f t="shared" si="2"/>
        <v/>
      </c>
      <c r="D464" s="197"/>
      <c r="E464" s="181"/>
      <c r="F464" s="198"/>
      <c r="G464" s="201"/>
      <c r="H464" s="201"/>
      <c r="I464" s="201"/>
      <c r="J464" s="202"/>
      <c r="K464" s="203"/>
      <c r="L464" s="186">
        <f t="shared" si="15"/>
        <v>0</v>
      </c>
      <c r="M464" s="191"/>
      <c r="N464" s="191"/>
      <c r="O464" s="191"/>
      <c r="P464" s="191"/>
      <c r="Q464" s="191"/>
      <c r="R464" s="191"/>
      <c r="S464" s="191"/>
      <c r="T464" s="192"/>
      <c r="U464" s="189" t="str">
        <f t="shared" si="16"/>
        <v/>
      </c>
      <c r="V464" s="190" t="str">
        <f t="shared" si="17"/>
        <v/>
      </c>
      <c r="W464" s="190" t="str">
        <f t="shared" si="18"/>
        <v/>
      </c>
      <c r="X464" s="191" t="str">
        <f t="shared" si="19"/>
        <v/>
      </c>
      <c r="Y464" s="191" t="str">
        <f t="shared" si="20"/>
        <v/>
      </c>
      <c r="Z464" s="156"/>
    </row>
    <row r="465">
      <c r="A465" s="177" t="str">
        <f t="shared" si="14"/>
        <v/>
      </c>
      <c r="B465" s="196"/>
      <c r="C465" s="179" t="str">
        <f t="shared" si="2"/>
        <v/>
      </c>
      <c r="D465" s="197"/>
      <c r="E465" s="181"/>
      <c r="F465" s="198"/>
      <c r="G465" s="201"/>
      <c r="H465" s="201"/>
      <c r="I465" s="201"/>
      <c r="J465" s="202"/>
      <c r="K465" s="203"/>
      <c r="L465" s="186">
        <f t="shared" si="15"/>
        <v>0</v>
      </c>
      <c r="M465" s="191"/>
      <c r="N465" s="191"/>
      <c r="O465" s="191"/>
      <c r="P465" s="191"/>
      <c r="Q465" s="191"/>
      <c r="R465" s="191"/>
      <c r="S465" s="191"/>
      <c r="T465" s="192"/>
      <c r="U465" s="189" t="str">
        <f t="shared" si="16"/>
        <v/>
      </c>
      <c r="V465" s="190" t="str">
        <f t="shared" si="17"/>
        <v/>
      </c>
      <c r="W465" s="190" t="str">
        <f t="shared" si="18"/>
        <v/>
      </c>
      <c r="X465" s="191" t="str">
        <f t="shared" si="19"/>
        <v/>
      </c>
      <c r="Y465" s="191" t="str">
        <f t="shared" si="20"/>
        <v/>
      </c>
      <c r="Z465" s="156"/>
    </row>
    <row r="466">
      <c r="A466" s="177" t="str">
        <f t="shared" si="14"/>
        <v/>
      </c>
      <c r="B466" s="196"/>
      <c r="C466" s="179" t="str">
        <f t="shared" si="2"/>
        <v/>
      </c>
      <c r="D466" s="197"/>
      <c r="E466" s="181"/>
      <c r="F466" s="198"/>
      <c r="G466" s="201"/>
      <c r="H466" s="201"/>
      <c r="I466" s="201"/>
      <c r="J466" s="202"/>
      <c r="K466" s="203"/>
      <c r="L466" s="186">
        <f t="shared" si="15"/>
        <v>0</v>
      </c>
      <c r="M466" s="191"/>
      <c r="N466" s="191"/>
      <c r="O466" s="191"/>
      <c r="P466" s="191"/>
      <c r="Q466" s="191"/>
      <c r="R466" s="191"/>
      <c r="S466" s="191"/>
      <c r="T466" s="192"/>
      <c r="U466" s="189" t="str">
        <f t="shared" si="16"/>
        <v/>
      </c>
      <c r="V466" s="190" t="str">
        <f t="shared" si="17"/>
        <v/>
      </c>
      <c r="W466" s="190" t="str">
        <f t="shared" si="18"/>
        <v/>
      </c>
      <c r="X466" s="191" t="str">
        <f t="shared" si="19"/>
        <v/>
      </c>
      <c r="Y466" s="191" t="str">
        <f t="shared" si="20"/>
        <v/>
      </c>
      <c r="Z466" s="156"/>
    </row>
    <row r="467">
      <c r="A467" s="177" t="str">
        <f t="shared" si="14"/>
        <v/>
      </c>
      <c r="B467" s="196"/>
      <c r="C467" s="179" t="str">
        <f t="shared" si="2"/>
        <v/>
      </c>
      <c r="D467" s="197"/>
      <c r="E467" s="181"/>
      <c r="F467" s="198"/>
      <c r="G467" s="201"/>
      <c r="H467" s="201"/>
      <c r="I467" s="201"/>
      <c r="J467" s="202"/>
      <c r="K467" s="203"/>
      <c r="L467" s="186">
        <f t="shared" si="15"/>
        <v>0</v>
      </c>
      <c r="M467" s="191"/>
      <c r="N467" s="191"/>
      <c r="O467" s="191"/>
      <c r="P467" s="191"/>
      <c r="Q467" s="191"/>
      <c r="R467" s="191"/>
      <c r="S467" s="191"/>
      <c r="T467" s="192"/>
      <c r="U467" s="189" t="str">
        <f t="shared" si="16"/>
        <v/>
      </c>
      <c r="V467" s="190" t="str">
        <f t="shared" si="17"/>
        <v/>
      </c>
      <c r="W467" s="190" t="str">
        <f t="shared" si="18"/>
        <v/>
      </c>
      <c r="X467" s="191" t="str">
        <f t="shared" si="19"/>
        <v/>
      </c>
      <c r="Y467" s="191" t="str">
        <f t="shared" si="20"/>
        <v/>
      </c>
      <c r="Z467" s="156"/>
    </row>
    <row r="468">
      <c r="A468" s="177" t="str">
        <f t="shared" si="14"/>
        <v/>
      </c>
      <c r="B468" s="196"/>
      <c r="C468" s="179" t="str">
        <f t="shared" si="2"/>
        <v/>
      </c>
      <c r="D468" s="197"/>
      <c r="E468" s="181"/>
      <c r="F468" s="198"/>
      <c r="G468" s="201"/>
      <c r="H468" s="201"/>
      <c r="I468" s="201"/>
      <c r="J468" s="202"/>
      <c r="K468" s="203"/>
      <c r="L468" s="186">
        <f t="shared" si="15"/>
        <v>0</v>
      </c>
      <c r="M468" s="191"/>
      <c r="N468" s="191"/>
      <c r="O468" s="191"/>
      <c r="P468" s="191"/>
      <c r="Q468" s="191"/>
      <c r="R468" s="191"/>
      <c r="S468" s="191"/>
      <c r="T468" s="192"/>
      <c r="U468" s="189" t="str">
        <f t="shared" si="16"/>
        <v/>
      </c>
      <c r="V468" s="190" t="str">
        <f t="shared" si="17"/>
        <v/>
      </c>
      <c r="W468" s="190" t="str">
        <f t="shared" si="18"/>
        <v/>
      </c>
      <c r="X468" s="191" t="str">
        <f t="shared" si="19"/>
        <v/>
      </c>
      <c r="Y468" s="191" t="str">
        <f t="shared" si="20"/>
        <v/>
      </c>
      <c r="Z468" s="156"/>
    </row>
    <row r="469">
      <c r="A469" s="177" t="str">
        <f t="shared" si="14"/>
        <v/>
      </c>
      <c r="B469" s="196"/>
      <c r="C469" s="179" t="str">
        <f t="shared" si="2"/>
        <v/>
      </c>
      <c r="D469" s="197"/>
      <c r="E469" s="181"/>
      <c r="F469" s="198"/>
      <c r="G469" s="201"/>
      <c r="H469" s="201"/>
      <c r="I469" s="201"/>
      <c r="J469" s="202"/>
      <c r="K469" s="203"/>
      <c r="L469" s="186">
        <f t="shared" si="15"/>
        <v>0</v>
      </c>
      <c r="M469" s="191"/>
      <c r="N469" s="191"/>
      <c r="O469" s="191"/>
      <c r="P469" s="191"/>
      <c r="Q469" s="191"/>
      <c r="R469" s="191"/>
      <c r="S469" s="191"/>
      <c r="T469" s="192"/>
      <c r="U469" s="189" t="str">
        <f t="shared" si="16"/>
        <v/>
      </c>
      <c r="V469" s="190" t="str">
        <f t="shared" si="17"/>
        <v/>
      </c>
      <c r="W469" s="190" t="str">
        <f t="shared" si="18"/>
        <v/>
      </c>
      <c r="X469" s="191" t="str">
        <f t="shared" si="19"/>
        <v/>
      </c>
      <c r="Y469" s="191" t="str">
        <f t="shared" si="20"/>
        <v/>
      </c>
      <c r="Z469" s="156"/>
    </row>
    <row r="470">
      <c r="A470" s="177" t="str">
        <f t="shared" si="14"/>
        <v/>
      </c>
      <c r="B470" s="196"/>
      <c r="C470" s="179" t="str">
        <f t="shared" si="2"/>
        <v/>
      </c>
      <c r="D470" s="197"/>
      <c r="E470" s="181"/>
      <c r="F470" s="198"/>
      <c r="G470" s="201"/>
      <c r="H470" s="201"/>
      <c r="I470" s="201"/>
      <c r="J470" s="202"/>
      <c r="K470" s="203"/>
      <c r="L470" s="186">
        <f t="shared" si="15"/>
        <v>0</v>
      </c>
      <c r="M470" s="191"/>
      <c r="N470" s="191"/>
      <c r="O470" s="191"/>
      <c r="P470" s="191"/>
      <c r="Q470" s="191"/>
      <c r="R470" s="191"/>
      <c r="S470" s="191"/>
      <c r="T470" s="192"/>
      <c r="U470" s="189" t="str">
        <f t="shared" si="16"/>
        <v/>
      </c>
      <c r="V470" s="190" t="str">
        <f t="shared" si="17"/>
        <v/>
      </c>
      <c r="W470" s="190" t="str">
        <f t="shared" si="18"/>
        <v/>
      </c>
      <c r="X470" s="191" t="str">
        <f t="shared" si="19"/>
        <v/>
      </c>
      <c r="Y470" s="191" t="str">
        <f t="shared" si="20"/>
        <v/>
      </c>
      <c r="Z470" s="156"/>
    </row>
    <row r="471">
      <c r="A471" s="177" t="str">
        <f t="shared" si="14"/>
        <v/>
      </c>
      <c r="B471" s="196"/>
      <c r="C471" s="179" t="str">
        <f t="shared" si="2"/>
        <v/>
      </c>
      <c r="D471" s="197"/>
      <c r="E471" s="181"/>
      <c r="F471" s="198"/>
      <c r="G471" s="201"/>
      <c r="H471" s="201"/>
      <c r="I471" s="201"/>
      <c r="J471" s="202"/>
      <c r="K471" s="203"/>
      <c r="L471" s="186">
        <f t="shared" si="15"/>
        <v>0</v>
      </c>
      <c r="M471" s="191"/>
      <c r="N471" s="191"/>
      <c r="O471" s="191"/>
      <c r="P471" s="191"/>
      <c r="Q471" s="191"/>
      <c r="R471" s="191"/>
      <c r="S471" s="191"/>
      <c r="T471" s="192"/>
      <c r="U471" s="189" t="str">
        <f t="shared" si="16"/>
        <v/>
      </c>
      <c r="V471" s="190" t="str">
        <f t="shared" si="17"/>
        <v/>
      </c>
      <c r="W471" s="190" t="str">
        <f t="shared" si="18"/>
        <v/>
      </c>
      <c r="X471" s="191" t="str">
        <f t="shared" si="19"/>
        <v/>
      </c>
      <c r="Y471" s="191" t="str">
        <f t="shared" si="20"/>
        <v/>
      </c>
      <c r="Z471" s="156"/>
    </row>
    <row r="472">
      <c r="A472" s="177" t="str">
        <f t="shared" si="14"/>
        <v/>
      </c>
      <c r="B472" s="196"/>
      <c r="C472" s="179" t="str">
        <f t="shared" si="2"/>
        <v/>
      </c>
      <c r="D472" s="197"/>
      <c r="E472" s="181"/>
      <c r="F472" s="198"/>
      <c r="G472" s="201"/>
      <c r="H472" s="201"/>
      <c r="I472" s="201"/>
      <c r="J472" s="202"/>
      <c r="K472" s="203"/>
      <c r="L472" s="186">
        <f t="shared" si="15"/>
        <v>0</v>
      </c>
      <c r="M472" s="191"/>
      <c r="N472" s="191"/>
      <c r="O472" s="191"/>
      <c r="P472" s="191"/>
      <c r="Q472" s="191"/>
      <c r="R472" s="191"/>
      <c r="S472" s="191"/>
      <c r="T472" s="192"/>
      <c r="U472" s="189" t="str">
        <f t="shared" si="16"/>
        <v/>
      </c>
      <c r="V472" s="190" t="str">
        <f t="shared" si="17"/>
        <v/>
      </c>
      <c r="W472" s="190" t="str">
        <f t="shared" si="18"/>
        <v/>
      </c>
      <c r="X472" s="191" t="str">
        <f t="shared" si="19"/>
        <v/>
      </c>
      <c r="Y472" s="191" t="str">
        <f t="shared" si="20"/>
        <v/>
      </c>
      <c r="Z472" s="156"/>
    </row>
    <row r="473">
      <c r="A473" s="177" t="str">
        <f t="shared" si="14"/>
        <v/>
      </c>
      <c r="B473" s="196"/>
      <c r="C473" s="179" t="str">
        <f t="shared" si="2"/>
        <v/>
      </c>
      <c r="D473" s="197"/>
      <c r="E473" s="181"/>
      <c r="F473" s="198"/>
      <c r="G473" s="201"/>
      <c r="H473" s="201"/>
      <c r="I473" s="201"/>
      <c r="J473" s="202"/>
      <c r="K473" s="203"/>
      <c r="L473" s="186">
        <f t="shared" si="15"/>
        <v>0</v>
      </c>
      <c r="M473" s="191"/>
      <c r="N473" s="191"/>
      <c r="O473" s="191"/>
      <c r="P473" s="191"/>
      <c r="Q473" s="191"/>
      <c r="R473" s="191"/>
      <c r="S473" s="191"/>
      <c r="T473" s="192"/>
      <c r="U473" s="189" t="str">
        <f t="shared" si="16"/>
        <v/>
      </c>
      <c r="V473" s="190" t="str">
        <f t="shared" si="17"/>
        <v/>
      </c>
      <c r="W473" s="190" t="str">
        <f t="shared" si="18"/>
        <v/>
      </c>
      <c r="X473" s="191" t="str">
        <f t="shared" si="19"/>
        <v/>
      </c>
      <c r="Y473" s="191" t="str">
        <f t="shared" si="20"/>
        <v/>
      </c>
      <c r="Z473" s="156"/>
    </row>
    <row r="474">
      <c r="A474" s="177" t="str">
        <f t="shared" si="14"/>
        <v/>
      </c>
      <c r="B474" s="196"/>
      <c r="C474" s="179" t="str">
        <f t="shared" si="2"/>
        <v/>
      </c>
      <c r="D474" s="197"/>
      <c r="E474" s="181"/>
      <c r="F474" s="198"/>
      <c r="G474" s="201"/>
      <c r="H474" s="201"/>
      <c r="I474" s="201"/>
      <c r="J474" s="202"/>
      <c r="K474" s="203"/>
      <c r="L474" s="186">
        <f t="shared" si="15"/>
        <v>0</v>
      </c>
      <c r="M474" s="191"/>
      <c r="N474" s="191"/>
      <c r="O474" s="191"/>
      <c r="P474" s="191"/>
      <c r="Q474" s="191"/>
      <c r="R474" s="191"/>
      <c r="S474" s="191"/>
      <c r="T474" s="192"/>
      <c r="U474" s="189" t="str">
        <f t="shared" si="16"/>
        <v/>
      </c>
      <c r="V474" s="190" t="str">
        <f t="shared" si="17"/>
        <v/>
      </c>
      <c r="W474" s="190" t="str">
        <f t="shared" si="18"/>
        <v/>
      </c>
      <c r="X474" s="191" t="str">
        <f t="shared" si="19"/>
        <v/>
      </c>
      <c r="Y474" s="191" t="str">
        <f t="shared" si="20"/>
        <v/>
      </c>
      <c r="Z474" s="156"/>
    </row>
    <row r="475">
      <c r="A475" s="177" t="str">
        <f t="shared" si="14"/>
        <v/>
      </c>
      <c r="B475" s="196"/>
      <c r="C475" s="179" t="str">
        <f t="shared" si="2"/>
        <v/>
      </c>
      <c r="D475" s="197"/>
      <c r="E475" s="181"/>
      <c r="F475" s="198"/>
      <c r="G475" s="201"/>
      <c r="H475" s="201"/>
      <c r="I475" s="201"/>
      <c r="J475" s="202"/>
      <c r="K475" s="203"/>
      <c r="L475" s="186">
        <f t="shared" si="15"/>
        <v>0</v>
      </c>
      <c r="M475" s="191"/>
      <c r="N475" s="191"/>
      <c r="O475" s="191"/>
      <c r="P475" s="191"/>
      <c r="Q475" s="191"/>
      <c r="R475" s="191"/>
      <c r="S475" s="191"/>
      <c r="T475" s="192"/>
      <c r="U475" s="189" t="str">
        <f t="shared" si="16"/>
        <v/>
      </c>
      <c r="V475" s="190" t="str">
        <f t="shared" si="17"/>
        <v/>
      </c>
      <c r="W475" s="190" t="str">
        <f t="shared" si="18"/>
        <v/>
      </c>
      <c r="X475" s="191" t="str">
        <f t="shared" si="19"/>
        <v/>
      </c>
      <c r="Y475" s="191" t="str">
        <f t="shared" si="20"/>
        <v/>
      </c>
      <c r="Z475" s="156"/>
    </row>
    <row r="476">
      <c r="A476" s="177" t="str">
        <f t="shared" si="14"/>
        <v/>
      </c>
      <c r="B476" s="196"/>
      <c r="C476" s="179" t="str">
        <f t="shared" si="2"/>
        <v/>
      </c>
      <c r="D476" s="197"/>
      <c r="E476" s="181"/>
      <c r="F476" s="198"/>
      <c r="G476" s="201"/>
      <c r="H476" s="201"/>
      <c r="I476" s="201"/>
      <c r="J476" s="202"/>
      <c r="K476" s="203"/>
      <c r="L476" s="186">
        <f t="shared" si="15"/>
        <v>0</v>
      </c>
      <c r="M476" s="191"/>
      <c r="N476" s="191"/>
      <c r="O476" s="191"/>
      <c r="P476" s="191"/>
      <c r="Q476" s="191"/>
      <c r="R476" s="191"/>
      <c r="S476" s="191"/>
      <c r="T476" s="192"/>
      <c r="U476" s="189" t="str">
        <f t="shared" si="16"/>
        <v/>
      </c>
      <c r="V476" s="190" t="str">
        <f t="shared" si="17"/>
        <v/>
      </c>
      <c r="W476" s="190" t="str">
        <f t="shared" si="18"/>
        <v/>
      </c>
      <c r="X476" s="191" t="str">
        <f t="shared" si="19"/>
        <v/>
      </c>
      <c r="Y476" s="191" t="str">
        <f t="shared" si="20"/>
        <v/>
      </c>
      <c r="Z476" s="156"/>
    </row>
    <row r="477">
      <c r="A477" s="177" t="str">
        <f t="shared" si="14"/>
        <v/>
      </c>
      <c r="B477" s="196"/>
      <c r="C477" s="179" t="str">
        <f t="shared" si="2"/>
        <v/>
      </c>
      <c r="D477" s="197"/>
      <c r="E477" s="181"/>
      <c r="F477" s="198"/>
      <c r="G477" s="201"/>
      <c r="H477" s="201"/>
      <c r="I477" s="201"/>
      <c r="J477" s="202"/>
      <c r="K477" s="203"/>
      <c r="L477" s="186">
        <f t="shared" si="15"/>
        <v>0</v>
      </c>
      <c r="M477" s="191"/>
      <c r="N477" s="191"/>
      <c r="O477" s="191"/>
      <c r="P477" s="191"/>
      <c r="Q477" s="191"/>
      <c r="R477" s="191"/>
      <c r="S477" s="191"/>
      <c r="T477" s="192"/>
      <c r="U477" s="189" t="str">
        <f t="shared" si="16"/>
        <v/>
      </c>
      <c r="V477" s="190" t="str">
        <f t="shared" si="17"/>
        <v/>
      </c>
      <c r="W477" s="190" t="str">
        <f t="shared" si="18"/>
        <v/>
      </c>
      <c r="X477" s="191" t="str">
        <f t="shared" si="19"/>
        <v/>
      </c>
      <c r="Y477" s="191" t="str">
        <f t="shared" si="20"/>
        <v/>
      </c>
      <c r="Z477" s="156"/>
    </row>
    <row r="478">
      <c r="A478" s="177" t="str">
        <f t="shared" si="14"/>
        <v/>
      </c>
      <c r="B478" s="196"/>
      <c r="C478" s="179" t="str">
        <f t="shared" si="2"/>
        <v/>
      </c>
      <c r="D478" s="197"/>
      <c r="E478" s="181"/>
      <c r="F478" s="198"/>
      <c r="G478" s="201"/>
      <c r="H478" s="201"/>
      <c r="I478" s="201"/>
      <c r="J478" s="202"/>
      <c r="K478" s="203"/>
      <c r="L478" s="186">
        <f t="shared" si="15"/>
        <v>0</v>
      </c>
      <c r="M478" s="191"/>
      <c r="N478" s="191"/>
      <c r="O478" s="191"/>
      <c r="P478" s="191"/>
      <c r="Q478" s="191"/>
      <c r="R478" s="191"/>
      <c r="S478" s="191"/>
      <c r="T478" s="192"/>
      <c r="U478" s="189" t="str">
        <f t="shared" si="16"/>
        <v/>
      </c>
      <c r="V478" s="190" t="str">
        <f t="shared" si="17"/>
        <v/>
      </c>
      <c r="W478" s="190" t="str">
        <f t="shared" si="18"/>
        <v/>
      </c>
      <c r="X478" s="191" t="str">
        <f t="shared" si="19"/>
        <v/>
      </c>
      <c r="Y478" s="191" t="str">
        <f t="shared" si="20"/>
        <v/>
      </c>
      <c r="Z478" s="156"/>
    </row>
    <row r="479">
      <c r="A479" s="177" t="str">
        <f t="shared" si="14"/>
        <v/>
      </c>
      <c r="B479" s="196"/>
      <c r="C479" s="179" t="str">
        <f t="shared" si="2"/>
        <v/>
      </c>
      <c r="D479" s="197"/>
      <c r="E479" s="181"/>
      <c r="F479" s="198"/>
      <c r="G479" s="201"/>
      <c r="H479" s="201"/>
      <c r="I479" s="201"/>
      <c r="J479" s="202"/>
      <c r="K479" s="203"/>
      <c r="L479" s="186">
        <f t="shared" si="15"/>
        <v>0</v>
      </c>
      <c r="M479" s="191"/>
      <c r="N479" s="191"/>
      <c r="O479" s="191"/>
      <c r="P479" s="191"/>
      <c r="Q479" s="191"/>
      <c r="R479" s="191"/>
      <c r="S479" s="191"/>
      <c r="T479" s="192"/>
      <c r="U479" s="189" t="str">
        <f t="shared" si="16"/>
        <v/>
      </c>
      <c r="V479" s="190" t="str">
        <f t="shared" si="17"/>
        <v/>
      </c>
      <c r="W479" s="190" t="str">
        <f t="shared" si="18"/>
        <v/>
      </c>
      <c r="X479" s="191" t="str">
        <f t="shared" si="19"/>
        <v/>
      </c>
      <c r="Y479" s="191" t="str">
        <f t="shared" si="20"/>
        <v/>
      </c>
      <c r="Z479" s="156"/>
    </row>
    <row r="480">
      <c r="A480" s="177" t="str">
        <f t="shared" si="14"/>
        <v/>
      </c>
      <c r="B480" s="196"/>
      <c r="C480" s="179" t="str">
        <f t="shared" si="2"/>
        <v/>
      </c>
      <c r="D480" s="197"/>
      <c r="E480" s="181"/>
      <c r="F480" s="198"/>
      <c r="G480" s="201"/>
      <c r="H480" s="201"/>
      <c r="I480" s="201"/>
      <c r="J480" s="202"/>
      <c r="K480" s="203"/>
      <c r="L480" s="186">
        <f t="shared" si="15"/>
        <v>0</v>
      </c>
      <c r="M480" s="191"/>
      <c r="N480" s="191"/>
      <c r="O480" s="191"/>
      <c r="P480" s="191"/>
      <c r="Q480" s="191"/>
      <c r="R480" s="191"/>
      <c r="S480" s="191"/>
      <c r="T480" s="192"/>
      <c r="U480" s="189" t="str">
        <f t="shared" si="16"/>
        <v/>
      </c>
      <c r="V480" s="190" t="str">
        <f t="shared" si="17"/>
        <v/>
      </c>
      <c r="W480" s="190" t="str">
        <f t="shared" si="18"/>
        <v/>
      </c>
      <c r="X480" s="191" t="str">
        <f t="shared" si="19"/>
        <v/>
      </c>
      <c r="Y480" s="191" t="str">
        <f t="shared" si="20"/>
        <v/>
      </c>
      <c r="Z480" s="156"/>
    </row>
    <row r="481">
      <c r="A481" s="177" t="str">
        <f t="shared" si="14"/>
        <v/>
      </c>
      <c r="B481" s="196"/>
      <c r="C481" s="179" t="str">
        <f t="shared" si="2"/>
        <v/>
      </c>
      <c r="D481" s="197"/>
      <c r="E481" s="181"/>
      <c r="F481" s="198"/>
      <c r="G481" s="201"/>
      <c r="H481" s="201"/>
      <c r="I481" s="201"/>
      <c r="J481" s="202"/>
      <c r="K481" s="203"/>
      <c r="L481" s="186">
        <f t="shared" si="15"/>
        <v>0</v>
      </c>
      <c r="M481" s="191"/>
      <c r="N481" s="191"/>
      <c r="O481" s="191"/>
      <c r="P481" s="191"/>
      <c r="Q481" s="191"/>
      <c r="R481" s="191"/>
      <c r="S481" s="191"/>
      <c r="T481" s="192"/>
      <c r="U481" s="189" t="str">
        <f t="shared" si="16"/>
        <v/>
      </c>
      <c r="V481" s="190" t="str">
        <f t="shared" si="17"/>
        <v/>
      </c>
      <c r="W481" s="190" t="str">
        <f t="shared" si="18"/>
        <v/>
      </c>
      <c r="X481" s="191" t="str">
        <f t="shared" si="19"/>
        <v/>
      </c>
      <c r="Y481" s="191" t="str">
        <f t="shared" si="20"/>
        <v/>
      </c>
      <c r="Z481" s="156"/>
    </row>
    <row r="482">
      <c r="A482" s="177" t="str">
        <f t="shared" si="14"/>
        <v/>
      </c>
      <c r="B482" s="196"/>
      <c r="C482" s="179" t="str">
        <f t="shared" si="2"/>
        <v/>
      </c>
      <c r="D482" s="197"/>
      <c r="E482" s="181"/>
      <c r="F482" s="198"/>
      <c r="G482" s="201"/>
      <c r="H482" s="201"/>
      <c r="I482" s="201"/>
      <c r="J482" s="202"/>
      <c r="K482" s="203"/>
      <c r="L482" s="186">
        <f t="shared" si="15"/>
        <v>0</v>
      </c>
      <c r="M482" s="191"/>
      <c r="N482" s="191"/>
      <c r="O482" s="191"/>
      <c r="P482" s="191"/>
      <c r="Q482" s="191"/>
      <c r="R482" s="191"/>
      <c r="S482" s="191"/>
      <c r="T482" s="192"/>
      <c r="U482" s="189" t="str">
        <f t="shared" si="16"/>
        <v/>
      </c>
      <c r="V482" s="190" t="str">
        <f t="shared" si="17"/>
        <v/>
      </c>
      <c r="W482" s="190" t="str">
        <f t="shared" si="18"/>
        <v/>
      </c>
      <c r="X482" s="191" t="str">
        <f t="shared" si="19"/>
        <v/>
      </c>
      <c r="Y482" s="191" t="str">
        <f t="shared" si="20"/>
        <v/>
      </c>
      <c r="Z482" s="156"/>
    </row>
    <row r="483">
      <c r="A483" s="177" t="str">
        <f t="shared" si="14"/>
        <v/>
      </c>
      <c r="B483" s="196"/>
      <c r="C483" s="179" t="str">
        <f t="shared" si="2"/>
        <v/>
      </c>
      <c r="D483" s="197"/>
      <c r="E483" s="181"/>
      <c r="F483" s="198"/>
      <c r="G483" s="201"/>
      <c r="H483" s="201"/>
      <c r="I483" s="201"/>
      <c r="J483" s="202"/>
      <c r="K483" s="203"/>
      <c r="L483" s="186">
        <f t="shared" si="15"/>
        <v>0</v>
      </c>
      <c r="M483" s="191"/>
      <c r="N483" s="191"/>
      <c r="O483" s="191"/>
      <c r="P483" s="191"/>
      <c r="Q483" s="191"/>
      <c r="R483" s="191"/>
      <c r="S483" s="191"/>
      <c r="T483" s="192"/>
      <c r="U483" s="189" t="str">
        <f t="shared" si="16"/>
        <v/>
      </c>
      <c r="V483" s="190" t="str">
        <f t="shared" si="17"/>
        <v/>
      </c>
      <c r="W483" s="190" t="str">
        <f t="shared" si="18"/>
        <v/>
      </c>
      <c r="X483" s="191" t="str">
        <f t="shared" si="19"/>
        <v/>
      </c>
      <c r="Y483" s="191" t="str">
        <f t="shared" si="20"/>
        <v/>
      </c>
      <c r="Z483" s="156"/>
    </row>
    <row r="484">
      <c r="A484" s="177" t="str">
        <f t="shared" si="14"/>
        <v/>
      </c>
      <c r="B484" s="196"/>
      <c r="C484" s="179" t="str">
        <f t="shared" si="2"/>
        <v/>
      </c>
      <c r="D484" s="197"/>
      <c r="E484" s="181"/>
      <c r="F484" s="198"/>
      <c r="G484" s="201"/>
      <c r="H484" s="201"/>
      <c r="I484" s="201"/>
      <c r="J484" s="202"/>
      <c r="K484" s="203"/>
      <c r="L484" s="186">
        <f t="shared" si="15"/>
        <v>0</v>
      </c>
      <c r="M484" s="191"/>
      <c r="N484" s="191"/>
      <c r="O484" s="191"/>
      <c r="P484" s="191"/>
      <c r="Q484" s="191"/>
      <c r="R484" s="191"/>
      <c r="S484" s="191"/>
      <c r="T484" s="192"/>
      <c r="U484" s="189" t="str">
        <f t="shared" si="16"/>
        <v/>
      </c>
      <c r="V484" s="190" t="str">
        <f t="shared" si="17"/>
        <v/>
      </c>
      <c r="W484" s="190" t="str">
        <f t="shared" si="18"/>
        <v/>
      </c>
      <c r="X484" s="191" t="str">
        <f t="shared" si="19"/>
        <v/>
      </c>
      <c r="Y484" s="191" t="str">
        <f t="shared" si="20"/>
        <v/>
      </c>
      <c r="Z484" s="156"/>
    </row>
    <row r="485">
      <c r="A485" s="177" t="str">
        <f t="shared" si="14"/>
        <v/>
      </c>
      <c r="B485" s="196"/>
      <c r="C485" s="179" t="str">
        <f t="shared" si="2"/>
        <v/>
      </c>
      <c r="D485" s="197"/>
      <c r="E485" s="181"/>
      <c r="F485" s="198"/>
      <c r="G485" s="201"/>
      <c r="H485" s="201"/>
      <c r="I485" s="201"/>
      <c r="J485" s="202"/>
      <c r="K485" s="203"/>
      <c r="L485" s="186">
        <f t="shared" si="15"/>
        <v>0</v>
      </c>
      <c r="M485" s="191"/>
      <c r="N485" s="191"/>
      <c r="O485" s="191"/>
      <c r="P485" s="191"/>
      <c r="Q485" s="191"/>
      <c r="R485" s="191"/>
      <c r="S485" s="191"/>
      <c r="T485" s="192"/>
      <c r="U485" s="189" t="str">
        <f t="shared" si="16"/>
        <v/>
      </c>
      <c r="V485" s="190" t="str">
        <f t="shared" si="17"/>
        <v/>
      </c>
      <c r="W485" s="190" t="str">
        <f t="shared" si="18"/>
        <v/>
      </c>
      <c r="X485" s="191" t="str">
        <f t="shared" si="19"/>
        <v/>
      </c>
      <c r="Y485" s="191" t="str">
        <f t="shared" si="20"/>
        <v/>
      </c>
      <c r="Z485" s="156"/>
    </row>
    <row r="486">
      <c r="A486" s="177" t="str">
        <f t="shared" si="14"/>
        <v/>
      </c>
      <c r="B486" s="196"/>
      <c r="C486" s="179" t="str">
        <f t="shared" si="2"/>
        <v/>
      </c>
      <c r="D486" s="197"/>
      <c r="E486" s="181"/>
      <c r="F486" s="198"/>
      <c r="G486" s="201"/>
      <c r="H486" s="201"/>
      <c r="I486" s="201"/>
      <c r="J486" s="202"/>
      <c r="K486" s="203"/>
      <c r="L486" s="186">
        <f t="shared" si="15"/>
        <v>0</v>
      </c>
      <c r="M486" s="191"/>
      <c r="N486" s="191"/>
      <c r="O486" s="191"/>
      <c r="P486" s="191"/>
      <c r="Q486" s="191"/>
      <c r="R486" s="191"/>
      <c r="S486" s="191"/>
      <c r="T486" s="192"/>
      <c r="U486" s="189" t="str">
        <f t="shared" si="16"/>
        <v/>
      </c>
      <c r="V486" s="190" t="str">
        <f t="shared" si="17"/>
        <v/>
      </c>
      <c r="W486" s="190" t="str">
        <f t="shared" si="18"/>
        <v/>
      </c>
      <c r="X486" s="191" t="str">
        <f t="shared" si="19"/>
        <v/>
      </c>
      <c r="Y486" s="191" t="str">
        <f t="shared" si="20"/>
        <v/>
      </c>
      <c r="Z486" s="156"/>
    </row>
    <row r="487">
      <c r="A487" s="177" t="str">
        <f t="shared" si="14"/>
        <v/>
      </c>
      <c r="B487" s="196"/>
      <c r="C487" s="179" t="str">
        <f t="shared" si="2"/>
        <v/>
      </c>
      <c r="D487" s="197"/>
      <c r="E487" s="181"/>
      <c r="F487" s="198"/>
      <c r="G487" s="201"/>
      <c r="H487" s="201"/>
      <c r="I487" s="201"/>
      <c r="J487" s="202"/>
      <c r="K487" s="203"/>
      <c r="L487" s="186">
        <f t="shared" si="15"/>
        <v>0</v>
      </c>
      <c r="M487" s="191"/>
      <c r="N487" s="191"/>
      <c r="O487" s="191"/>
      <c r="P487" s="191"/>
      <c r="Q487" s="191"/>
      <c r="R487" s="191"/>
      <c r="S487" s="191"/>
      <c r="T487" s="192"/>
      <c r="U487" s="189" t="str">
        <f t="shared" si="16"/>
        <v/>
      </c>
      <c r="V487" s="190" t="str">
        <f t="shared" si="17"/>
        <v/>
      </c>
      <c r="W487" s="190" t="str">
        <f t="shared" si="18"/>
        <v/>
      </c>
      <c r="X487" s="191" t="str">
        <f t="shared" si="19"/>
        <v/>
      </c>
      <c r="Y487" s="191" t="str">
        <f t="shared" si="20"/>
        <v/>
      </c>
      <c r="Z487" s="156"/>
    </row>
    <row r="488">
      <c r="A488" s="177" t="str">
        <f t="shared" si="14"/>
        <v/>
      </c>
      <c r="B488" s="196"/>
      <c r="C488" s="179" t="str">
        <f t="shared" si="2"/>
        <v/>
      </c>
      <c r="D488" s="197"/>
      <c r="E488" s="181"/>
      <c r="F488" s="198"/>
      <c r="G488" s="201"/>
      <c r="H488" s="201"/>
      <c r="I488" s="201"/>
      <c r="J488" s="202"/>
      <c r="K488" s="203"/>
      <c r="L488" s="186">
        <f t="shared" si="15"/>
        <v>0</v>
      </c>
      <c r="M488" s="191"/>
      <c r="N488" s="191"/>
      <c r="O488" s="191"/>
      <c r="P488" s="191"/>
      <c r="Q488" s="191"/>
      <c r="R488" s="191"/>
      <c r="S488" s="191"/>
      <c r="T488" s="192"/>
      <c r="U488" s="189" t="str">
        <f t="shared" si="16"/>
        <v/>
      </c>
      <c r="V488" s="190" t="str">
        <f t="shared" si="17"/>
        <v/>
      </c>
      <c r="W488" s="190" t="str">
        <f t="shared" si="18"/>
        <v/>
      </c>
      <c r="X488" s="191" t="str">
        <f t="shared" si="19"/>
        <v/>
      </c>
      <c r="Y488" s="191" t="str">
        <f t="shared" si="20"/>
        <v/>
      </c>
      <c r="Z488" s="156"/>
    </row>
    <row r="489">
      <c r="A489" s="177" t="str">
        <f t="shared" si="14"/>
        <v/>
      </c>
      <c r="B489" s="196"/>
      <c r="C489" s="179" t="str">
        <f t="shared" si="2"/>
        <v/>
      </c>
      <c r="D489" s="197"/>
      <c r="E489" s="181"/>
      <c r="F489" s="198"/>
      <c r="G489" s="201"/>
      <c r="H489" s="201"/>
      <c r="I489" s="201"/>
      <c r="J489" s="202"/>
      <c r="K489" s="203"/>
      <c r="L489" s="186">
        <f t="shared" si="15"/>
        <v>0</v>
      </c>
      <c r="M489" s="191"/>
      <c r="N489" s="191"/>
      <c r="O489" s="191"/>
      <c r="P489" s="191"/>
      <c r="Q489" s="191"/>
      <c r="R489" s="191"/>
      <c r="S489" s="191"/>
      <c r="T489" s="192"/>
      <c r="U489" s="189" t="str">
        <f t="shared" si="16"/>
        <v/>
      </c>
      <c r="V489" s="190" t="str">
        <f t="shared" si="17"/>
        <v/>
      </c>
      <c r="W489" s="190" t="str">
        <f t="shared" si="18"/>
        <v/>
      </c>
      <c r="X489" s="191" t="str">
        <f t="shared" si="19"/>
        <v/>
      </c>
      <c r="Y489" s="191" t="str">
        <f t="shared" si="20"/>
        <v/>
      </c>
      <c r="Z489" s="156"/>
    </row>
    <row r="490">
      <c r="A490" s="177" t="str">
        <f t="shared" si="14"/>
        <v/>
      </c>
      <c r="B490" s="196"/>
      <c r="C490" s="179" t="str">
        <f t="shared" si="2"/>
        <v/>
      </c>
      <c r="D490" s="197"/>
      <c r="E490" s="181"/>
      <c r="F490" s="198"/>
      <c r="G490" s="201"/>
      <c r="H490" s="201"/>
      <c r="I490" s="201"/>
      <c r="J490" s="202"/>
      <c r="K490" s="203"/>
      <c r="L490" s="186">
        <f t="shared" si="15"/>
        <v>0</v>
      </c>
      <c r="M490" s="191"/>
      <c r="N490" s="191"/>
      <c r="O490" s="191"/>
      <c r="P490" s="191"/>
      <c r="Q490" s="191"/>
      <c r="R490" s="191"/>
      <c r="S490" s="191"/>
      <c r="T490" s="192"/>
      <c r="U490" s="189" t="str">
        <f t="shared" si="16"/>
        <v/>
      </c>
      <c r="V490" s="190" t="str">
        <f t="shared" si="17"/>
        <v/>
      </c>
      <c r="W490" s="190" t="str">
        <f t="shared" si="18"/>
        <v/>
      </c>
      <c r="X490" s="191" t="str">
        <f t="shared" si="19"/>
        <v/>
      </c>
      <c r="Y490" s="191" t="str">
        <f t="shared" si="20"/>
        <v/>
      </c>
      <c r="Z490" s="156"/>
    </row>
    <row r="491">
      <c r="A491" s="177" t="str">
        <f t="shared" si="14"/>
        <v/>
      </c>
      <c r="B491" s="196"/>
      <c r="C491" s="179" t="str">
        <f t="shared" si="2"/>
        <v/>
      </c>
      <c r="D491" s="197"/>
      <c r="E491" s="181"/>
      <c r="F491" s="198"/>
      <c r="G491" s="201"/>
      <c r="H491" s="201"/>
      <c r="I491" s="201"/>
      <c r="J491" s="202"/>
      <c r="K491" s="203"/>
      <c r="L491" s="186">
        <f t="shared" si="15"/>
        <v>0</v>
      </c>
      <c r="M491" s="191"/>
      <c r="N491" s="191"/>
      <c r="O491" s="191"/>
      <c r="P491" s="191"/>
      <c r="Q491" s="191"/>
      <c r="R491" s="191"/>
      <c r="S491" s="191"/>
      <c r="T491" s="192"/>
      <c r="U491" s="189" t="str">
        <f t="shared" si="16"/>
        <v/>
      </c>
      <c r="V491" s="190" t="str">
        <f t="shared" si="17"/>
        <v/>
      </c>
      <c r="W491" s="190" t="str">
        <f t="shared" si="18"/>
        <v/>
      </c>
      <c r="X491" s="191" t="str">
        <f t="shared" si="19"/>
        <v/>
      </c>
      <c r="Y491" s="191" t="str">
        <f t="shared" si="20"/>
        <v/>
      </c>
      <c r="Z491" s="156"/>
    </row>
    <row r="492">
      <c r="A492" s="177" t="str">
        <f t="shared" si="14"/>
        <v/>
      </c>
      <c r="B492" s="196"/>
      <c r="C492" s="179" t="str">
        <f t="shared" si="2"/>
        <v/>
      </c>
      <c r="D492" s="197"/>
      <c r="E492" s="181"/>
      <c r="F492" s="198"/>
      <c r="G492" s="201"/>
      <c r="H492" s="201"/>
      <c r="I492" s="201"/>
      <c r="J492" s="202"/>
      <c r="K492" s="203"/>
      <c r="L492" s="186">
        <f t="shared" si="15"/>
        <v>0</v>
      </c>
      <c r="M492" s="191"/>
      <c r="N492" s="191"/>
      <c r="O492" s="191"/>
      <c r="P492" s="191"/>
      <c r="Q492" s="191"/>
      <c r="R492" s="191"/>
      <c r="S492" s="191"/>
      <c r="T492" s="192"/>
      <c r="U492" s="189" t="str">
        <f t="shared" si="16"/>
        <v/>
      </c>
      <c r="V492" s="190" t="str">
        <f t="shared" si="17"/>
        <v/>
      </c>
      <c r="W492" s="190" t="str">
        <f t="shared" si="18"/>
        <v/>
      </c>
      <c r="X492" s="191" t="str">
        <f t="shared" si="19"/>
        <v/>
      </c>
      <c r="Y492" s="191" t="str">
        <f t="shared" si="20"/>
        <v/>
      </c>
      <c r="Z492" s="156"/>
    </row>
    <row r="493">
      <c r="A493" s="177" t="str">
        <f t="shared" si="14"/>
        <v/>
      </c>
      <c r="B493" s="196"/>
      <c r="C493" s="179" t="str">
        <f t="shared" si="2"/>
        <v/>
      </c>
      <c r="D493" s="197"/>
      <c r="E493" s="181"/>
      <c r="F493" s="198"/>
      <c r="G493" s="201"/>
      <c r="H493" s="201"/>
      <c r="I493" s="201"/>
      <c r="J493" s="202"/>
      <c r="K493" s="203"/>
      <c r="L493" s="186">
        <f t="shared" si="15"/>
        <v>0</v>
      </c>
      <c r="M493" s="191"/>
      <c r="N493" s="191"/>
      <c r="O493" s="191"/>
      <c r="P493" s="191"/>
      <c r="Q493" s="191"/>
      <c r="R493" s="191"/>
      <c r="S493" s="191"/>
      <c r="T493" s="192"/>
      <c r="U493" s="189" t="str">
        <f t="shared" si="16"/>
        <v/>
      </c>
      <c r="V493" s="190" t="str">
        <f t="shared" si="17"/>
        <v/>
      </c>
      <c r="W493" s="190" t="str">
        <f t="shared" si="18"/>
        <v/>
      </c>
      <c r="X493" s="191" t="str">
        <f t="shared" si="19"/>
        <v/>
      </c>
      <c r="Y493" s="191" t="str">
        <f t="shared" si="20"/>
        <v/>
      </c>
      <c r="Z493" s="156"/>
    </row>
    <row r="494">
      <c r="A494" s="177" t="str">
        <f t="shared" si="14"/>
        <v/>
      </c>
      <c r="B494" s="196"/>
      <c r="C494" s="179" t="str">
        <f t="shared" si="2"/>
        <v/>
      </c>
      <c r="D494" s="197"/>
      <c r="E494" s="181"/>
      <c r="F494" s="198"/>
      <c r="G494" s="201"/>
      <c r="H494" s="201"/>
      <c r="I494" s="201"/>
      <c r="J494" s="202"/>
      <c r="K494" s="203"/>
      <c r="L494" s="186">
        <f t="shared" si="15"/>
        <v>0</v>
      </c>
      <c r="M494" s="191"/>
      <c r="N494" s="191"/>
      <c r="O494" s="191"/>
      <c r="P494" s="191"/>
      <c r="Q494" s="191"/>
      <c r="R494" s="191"/>
      <c r="S494" s="191"/>
      <c r="T494" s="192"/>
      <c r="U494" s="189" t="str">
        <f t="shared" si="16"/>
        <v/>
      </c>
      <c r="V494" s="190" t="str">
        <f t="shared" si="17"/>
        <v/>
      </c>
      <c r="W494" s="190" t="str">
        <f t="shared" si="18"/>
        <v/>
      </c>
      <c r="X494" s="191" t="str">
        <f t="shared" si="19"/>
        <v/>
      </c>
      <c r="Y494" s="191" t="str">
        <f t="shared" si="20"/>
        <v/>
      </c>
      <c r="Z494" s="156"/>
    </row>
    <row r="495">
      <c r="A495" s="177" t="str">
        <f t="shared" si="14"/>
        <v/>
      </c>
      <c r="B495" s="196"/>
      <c r="C495" s="179" t="str">
        <f t="shared" si="2"/>
        <v/>
      </c>
      <c r="D495" s="197"/>
      <c r="E495" s="181"/>
      <c r="F495" s="198"/>
      <c r="G495" s="201"/>
      <c r="H495" s="201"/>
      <c r="I495" s="201"/>
      <c r="J495" s="202"/>
      <c r="K495" s="203"/>
      <c r="L495" s="186">
        <f t="shared" si="15"/>
        <v>0</v>
      </c>
      <c r="M495" s="191"/>
      <c r="N495" s="191"/>
      <c r="O495" s="191"/>
      <c r="P495" s="191"/>
      <c r="Q495" s="191"/>
      <c r="R495" s="191"/>
      <c r="S495" s="191"/>
      <c r="T495" s="192"/>
      <c r="U495" s="189" t="str">
        <f t="shared" si="16"/>
        <v/>
      </c>
      <c r="V495" s="190" t="str">
        <f t="shared" si="17"/>
        <v/>
      </c>
      <c r="W495" s="190" t="str">
        <f t="shared" si="18"/>
        <v/>
      </c>
      <c r="X495" s="191" t="str">
        <f t="shared" si="19"/>
        <v/>
      </c>
      <c r="Y495" s="191" t="str">
        <f t="shared" si="20"/>
        <v/>
      </c>
      <c r="Z495" s="156"/>
    </row>
    <row r="496">
      <c r="A496" s="177" t="str">
        <f t="shared" si="14"/>
        <v/>
      </c>
      <c r="B496" s="196"/>
      <c r="C496" s="179" t="str">
        <f t="shared" si="2"/>
        <v/>
      </c>
      <c r="D496" s="197"/>
      <c r="E496" s="181"/>
      <c r="F496" s="198"/>
      <c r="G496" s="201"/>
      <c r="H496" s="201"/>
      <c r="I496" s="201"/>
      <c r="J496" s="202"/>
      <c r="K496" s="203"/>
      <c r="L496" s="186">
        <f t="shared" si="15"/>
        <v>0</v>
      </c>
      <c r="M496" s="191"/>
      <c r="N496" s="191"/>
      <c r="O496" s="191"/>
      <c r="P496" s="191"/>
      <c r="Q496" s="191"/>
      <c r="R496" s="191"/>
      <c r="S496" s="191"/>
      <c r="T496" s="192"/>
      <c r="U496" s="189" t="str">
        <f t="shared" si="16"/>
        <v/>
      </c>
      <c r="V496" s="190" t="str">
        <f t="shared" si="17"/>
        <v/>
      </c>
      <c r="W496" s="190" t="str">
        <f t="shared" si="18"/>
        <v/>
      </c>
      <c r="X496" s="191" t="str">
        <f t="shared" si="19"/>
        <v/>
      </c>
      <c r="Y496" s="191" t="str">
        <f t="shared" si="20"/>
        <v/>
      </c>
      <c r="Z496" s="156"/>
    </row>
    <row r="497">
      <c r="A497" s="177" t="str">
        <f t="shared" si="14"/>
        <v/>
      </c>
      <c r="B497" s="196"/>
      <c r="C497" s="179" t="str">
        <f t="shared" si="2"/>
        <v/>
      </c>
      <c r="D497" s="197"/>
      <c r="E497" s="181"/>
      <c r="F497" s="198"/>
      <c r="G497" s="201"/>
      <c r="H497" s="201"/>
      <c r="I497" s="201"/>
      <c r="J497" s="202"/>
      <c r="K497" s="203"/>
      <c r="L497" s="186">
        <f t="shared" si="15"/>
        <v>0</v>
      </c>
      <c r="M497" s="191"/>
      <c r="N497" s="191"/>
      <c r="O497" s="191"/>
      <c r="P497" s="191"/>
      <c r="Q497" s="191"/>
      <c r="R497" s="191"/>
      <c r="S497" s="191"/>
      <c r="T497" s="192"/>
      <c r="U497" s="189" t="str">
        <f t="shared" si="16"/>
        <v/>
      </c>
      <c r="V497" s="190" t="str">
        <f t="shared" si="17"/>
        <v/>
      </c>
      <c r="W497" s="190" t="str">
        <f t="shared" si="18"/>
        <v/>
      </c>
      <c r="X497" s="191" t="str">
        <f t="shared" si="19"/>
        <v/>
      </c>
      <c r="Y497" s="191" t="str">
        <f t="shared" si="20"/>
        <v/>
      </c>
      <c r="Z497" s="156"/>
    </row>
    <row r="498">
      <c r="A498" s="177" t="str">
        <f t="shared" si="14"/>
        <v/>
      </c>
      <c r="B498" s="196"/>
      <c r="C498" s="179" t="str">
        <f t="shared" si="2"/>
        <v/>
      </c>
      <c r="D498" s="197"/>
      <c r="E498" s="181"/>
      <c r="F498" s="198"/>
      <c r="G498" s="201"/>
      <c r="H498" s="201"/>
      <c r="I498" s="201"/>
      <c r="J498" s="202"/>
      <c r="K498" s="203"/>
      <c r="L498" s="186">
        <f t="shared" si="15"/>
        <v>0</v>
      </c>
      <c r="M498" s="191"/>
      <c r="N498" s="191"/>
      <c r="O498" s="191"/>
      <c r="P498" s="191"/>
      <c r="Q498" s="191"/>
      <c r="R498" s="191"/>
      <c r="S498" s="191"/>
      <c r="T498" s="192"/>
      <c r="U498" s="189" t="str">
        <f t="shared" si="16"/>
        <v/>
      </c>
      <c r="V498" s="190" t="str">
        <f t="shared" si="17"/>
        <v/>
      </c>
      <c r="W498" s="190" t="str">
        <f t="shared" si="18"/>
        <v/>
      </c>
      <c r="X498" s="191" t="str">
        <f t="shared" si="19"/>
        <v/>
      </c>
      <c r="Y498" s="191" t="str">
        <f t="shared" si="20"/>
        <v/>
      </c>
      <c r="Z498" s="156"/>
    </row>
    <row r="499">
      <c r="A499" s="177" t="str">
        <f t="shared" si="14"/>
        <v/>
      </c>
      <c r="B499" s="196"/>
      <c r="C499" s="179" t="str">
        <f t="shared" si="2"/>
        <v/>
      </c>
      <c r="D499" s="197"/>
      <c r="E499" s="181"/>
      <c r="F499" s="198"/>
      <c r="G499" s="201"/>
      <c r="H499" s="201"/>
      <c r="I499" s="201"/>
      <c r="J499" s="202"/>
      <c r="K499" s="203"/>
      <c r="L499" s="186">
        <f t="shared" si="15"/>
        <v>0</v>
      </c>
      <c r="M499" s="191"/>
      <c r="N499" s="191"/>
      <c r="O499" s="191"/>
      <c r="P499" s="191"/>
      <c r="Q499" s="191"/>
      <c r="R499" s="191"/>
      <c r="S499" s="191"/>
      <c r="T499" s="192"/>
      <c r="U499" s="189" t="str">
        <f t="shared" si="16"/>
        <v/>
      </c>
      <c r="V499" s="190" t="str">
        <f t="shared" si="17"/>
        <v/>
      </c>
      <c r="W499" s="190" t="str">
        <f t="shared" si="18"/>
        <v/>
      </c>
      <c r="X499" s="191" t="str">
        <f t="shared" si="19"/>
        <v/>
      </c>
      <c r="Y499" s="191" t="str">
        <f t="shared" si="20"/>
        <v/>
      </c>
      <c r="Z499" s="156"/>
    </row>
    <row r="500">
      <c r="A500" s="177" t="str">
        <f t="shared" si="14"/>
        <v/>
      </c>
      <c r="B500" s="196"/>
      <c r="C500" s="179" t="str">
        <f t="shared" si="2"/>
        <v/>
      </c>
      <c r="D500" s="197"/>
      <c r="E500" s="181"/>
      <c r="F500" s="198"/>
      <c r="G500" s="201"/>
      <c r="H500" s="201"/>
      <c r="I500" s="201"/>
      <c r="J500" s="202"/>
      <c r="K500" s="203"/>
      <c r="L500" s="186">
        <f t="shared" si="15"/>
        <v>0</v>
      </c>
      <c r="M500" s="191"/>
      <c r="N500" s="191"/>
      <c r="O500" s="191"/>
      <c r="P500" s="191"/>
      <c r="Q500" s="191"/>
      <c r="R500" s="191"/>
      <c r="S500" s="191"/>
      <c r="T500" s="192"/>
      <c r="U500" s="189" t="str">
        <f t="shared" si="16"/>
        <v/>
      </c>
      <c r="V500" s="190" t="str">
        <f t="shared" si="17"/>
        <v/>
      </c>
      <c r="W500" s="190" t="str">
        <f t="shared" si="18"/>
        <v/>
      </c>
      <c r="X500" s="191" t="str">
        <f t="shared" si="19"/>
        <v/>
      </c>
      <c r="Y500" s="191" t="str">
        <f t="shared" si="20"/>
        <v/>
      </c>
      <c r="Z500" s="156"/>
    </row>
    <row r="501">
      <c r="A501" s="177" t="str">
        <f t="shared" si="14"/>
        <v/>
      </c>
      <c r="B501" s="196"/>
      <c r="C501" s="179" t="str">
        <f t="shared" si="2"/>
        <v/>
      </c>
      <c r="D501" s="197"/>
      <c r="E501" s="181"/>
      <c r="F501" s="198"/>
      <c r="G501" s="201"/>
      <c r="H501" s="201"/>
      <c r="I501" s="201"/>
      <c r="J501" s="202"/>
      <c r="K501" s="203"/>
      <c r="L501" s="186">
        <f t="shared" si="15"/>
        <v>0</v>
      </c>
      <c r="M501" s="191"/>
      <c r="N501" s="191"/>
      <c r="O501" s="191"/>
      <c r="P501" s="191"/>
      <c r="Q501" s="191"/>
      <c r="R501" s="191"/>
      <c r="S501" s="191"/>
      <c r="T501" s="192"/>
      <c r="U501" s="189" t="str">
        <f t="shared" si="16"/>
        <v/>
      </c>
      <c r="V501" s="190" t="str">
        <f t="shared" si="17"/>
        <v/>
      </c>
      <c r="W501" s="190" t="str">
        <f t="shared" si="18"/>
        <v/>
      </c>
      <c r="X501" s="191" t="str">
        <f t="shared" si="19"/>
        <v/>
      </c>
      <c r="Y501" s="191" t="str">
        <f t="shared" si="20"/>
        <v/>
      </c>
      <c r="Z501" s="156"/>
    </row>
    <row r="502">
      <c r="A502" s="177" t="str">
        <f t="shared" si="14"/>
        <v/>
      </c>
      <c r="B502" s="196"/>
      <c r="C502" s="179" t="str">
        <f t="shared" si="2"/>
        <v/>
      </c>
      <c r="D502" s="197"/>
      <c r="E502" s="181"/>
      <c r="F502" s="198"/>
      <c r="G502" s="201"/>
      <c r="H502" s="201"/>
      <c r="I502" s="201"/>
      <c r="J502" s="202"/>
      <c r="K502" s="203"/>
      <c r="L502" s="186">
        <f t="shared" si="15"/>
        <v>0</v>
      </c>
      <c r="M502" s="191"/>
      <c r="N502" s="191"/>
      <c r="O502" s="191"/>
      <c r="P502" s="191"/>
      <c r="Q502" s="191"/>
      <c r="R502" s="191"/>
      <c r="S502" s="191"/>
      <c r="T502" s="192"/>
      <c r="U502" s="189" t="str">
        <f t="shared" si="16"/>
        <v/>
      </c>
      <c r="V502" s="190" t="str">
        <f t="shared" si="17"/>
        <v/>
      </c>
      <c r="W502" s="190" t="str">
        <f t="shared" si="18"/>
        <v/>
      </c>
      <c r="X502" s="191" t="str">
        <f t="shared" si="19"/>
        <v/>
      </c>
      <c r="Y502" s="191" t="str">
        <f t="shared" si="20"/>
        <v/>
      </c>
      <c r="Z502" s="156"/>
    </row>
    <row r="503">
      <c r="A503" s="177" t="str">
        <f t="shared" si="14"/>
        <v/>
      </c>
      <c r="B503" s="196"/>
      <c r="C503" s="179" t="str">
        <f t="shared" si="2"/>
        <v/>
      </c>
      <c r="D503" s="197"/>
      <c r="E503" s="181"/>
      <c r="F503" s="198"/>
      <c r="G503" s="201"/>
      <c r="H503" s="201"/>
      <c r="I503" s="201"/>
      <c r="J503" s="202"/>
      <c r="K503" s="203"/>
      <c r="L503" s="186">
        <f t="shared" si="15"/>
        <v>0</v>
      </c>
      <c r="M503" s="191"/>
      <c r="N503" s="191"/>
      <c r="O503" s="191"/>
      <c r="P503" s="191"/>
      <c r="Q503" s="191"/>
      <c r="R503" s="191"/>
      <c r="S503" s="191"/>
      <c r="T503" s="192"/>
      <c r="U503" s="189" t="str">
        <f t="shared" si="16"/>
        <v/>
      </c>
      <c r="V503" s="190" t="str">
        <f t="shared" si="17"/>
        <v/>
      </c>
      <c r="W503" s="190" t="str">
        <f t="shared" si="18"/>
        <v/>
      </c>
      <c r="X503" s="191" t="str">
        <f t="shared" si="19"/>
        <v/>
      </c>
      <c r="Y503" s="191" t="str">
        <f t="shared" si="20"/>
        <v/>
      </c>
      <c r="Z503" s="156"/>
    </row>
    <row r="504">
      <c r="A504" s="177" t="str">
        <f t="shared" si="14"/>
        <v/>
      </c>
      <c r="B504" s="196"/>
      <c r="C504" s="179" t="str">
        <f t="shared" si="2"/>
        <v/>
      </c>
      <c r="D504" s="197"/>
      <c r="E504" s="181"/>
      <c r="F504" s="198"/>
      <c r="G504" s="201"/>
      <c r="H504" s="201"/>
      <c r="I504" s="201"/>
      <c r="J504" s="202"/>
      <c r="K504" s="203"/>
      <c r="L504" s="186">
        <f t="shared" si="15"/>
        <v>0</v>
      </c>
      <c r="M504" s="191"/>
      <c r="N504" s="191"/>
      <c r="O504" s="191"/>
      <c r="P504" s="191"/>
      <c r="Q504" s="191"/>
      <c r="R504" s="191"/>
      <c r="S504" s="191"/>
      <c r="T504" s="192"/>
      <c r="U504" s="189" t="str">
        <f t="shared" si="16"/>
        <v/>
      </c>
      <c r="V504" s="190" t="str">
        <f t="shared" si="17"/>
        <v/>
      </c>
      <c r="W504" s="190" t="str">
        <f t="shared" si="18"/>
        <v/>
      </c>
      <c r="X504" s="191" t="str">
        <f t="shared" si="19"/>
        <v/>
      </c>
      <c r="Y504" s="191" t="str">
        <f t="shared" si="20"/>
        <v/>
      </c>
      <c r="Z504" s="156"/>
    </row>
    <row r="505">
      <c r="A505" s="177" t="str">
        <f t="shared" si="14"/>
        <v/>
      </c>
      <c r="B505" s="196"/>
      <c r="C505" s="179" t="str">
        <f t="shared" si="2"/>
        <v/>
      </c>
      <c r="D505" s="197"/>
      <c r="E505" s="181"/>
      <c r="F505" s="198"/>
      <c r="G505" s="201"/>
      <c r="H505" s="201"/>
      <c r="I505" s="201"/>
      <c r="J505" s="202"/>
      <c r="K505" s="203"/>
      <c r="L505" s="186">
        <f t="shared" si="15"/>
        <v>0</v>
      </c>
      <c r="M505" s="191"/>
      <c r="N505" s="191"/>
      <c r="O505" s="191"/>
      <c r="P505" s="191"/>
      <c r="Q505" s="191"/>
      <c r="R505" s="191"/>
      <c r="S505" s="191"/>
      <c r="T505" s="192"/>
      <c r="U505" s="189" t="str">
        <f t="shared" si="16"/>
        <v/>
      </c>
      <c r="V505" s="190" t="str">
        <f t="shared" si="17"/>
        <v/>
      </c>
      <c r="W505" s="190" t="str">
        <f t="shared" si="18"/>
        <v/>
      </c>
      <c r="X505" s="191" t="str">
        <f t="shared" si="19"/>
        <v/>
      </c>
      <c r="Y505" s="191" t="str">
        <f t="shared" si="20"/>
        <v/>
      </c>
      <c r="Z505" s="156"/>
    </row>
    <row r="506">
      <c r="A506" s="177" t="str">
        <f t="shared" si="14"/>
        <v/>
      </c>
      <c r="B506" s="196"/>
      <c r="C506" s="179" t="str">
        <f t="shared" si="2"/>
        <v/>
      </c>
      <c r="D506" s="197"/>
      <c r="E506" s="181"/>
      <c r="F506" s="198"/>
      <c r="G506" s="201"/>
      <c r="H506" s="201"/>
      <c r="I506" s="201"/>
      <c r="J506" s="202"/>
      <c r="K506" s="203"/>
      <c r="L506" s="186">
        <f t="shared" si="15"/>
        <v>0</v>
      </c>
      <c r="M506" s="191"/>
      <c r="N506" s="191"/>
      <c r="O506" s="191"/>
      <c r="P506" s="191"/>
      <c r="Q506" s="191"/>
      <c r="R506" s="191"/>
      <c r="S506" s="191"/>
      <c r="T506" s="192"/>
      <c r="U506" s="189" t="str">
        <f t="shared" si="16"/>
        <v/>
      </c>
      <c r="V506" s="190" t="str">
        <f t="shared" si="17"/>
        <v/>
      </c>
      <c r="W506" s="190" t="str">
        <f t="shared" si="18"/>
        <v/>
      </c>
      <c r="X506" s="191" t="str">
        <f t="shared" si="19"/>
        <v/>
      </c>
      <c r="Y506" s="191" t="str">
        <f t="shared" si="20"/>
        <v/>
      </c>
      <c r="Z506" s="156"/>
    </row>
    <row r="507">
      <c r="A507" s="177" t="str">
        <f t="shared" si="14"/>
        <v/>
      </c>
      <c r="B507" s="196"/>
      <c r="C507" s="179" t="str">
        <f t="shared" si="2"/>
        <v/>
      </c>
      <c r="D507" s="197"/>
      <c r="E507" s="181"/>
      <c r="F507" s="198"/>
      <c r="G507" s="201"/>
      <c r="H507" s="201"/>
      <c r="I507" s="201"/>
      <c r="J507" s="202"/>
      <c r="K507" s="203"/>
      <c r="L507" s="186">
        <f t="shared" si="15"/>
        <v>0</v>
      </c>
      <c r="M507" s="191"/>
      <c r="N507" s="191"/>
      <c r="O507" s="191"/>
      <c r="P507" s="191"/>
      <c r="Q507" s="191"/>
      <c r="R507" s="191"/>
      <c r="S507" s="191"/>
      <c r="T507" s="192"/>
      <c r="U507" s="189" t="str">
        <f t="shared" si="16"/>
        <v/>
      </c>
      <c r="V507" s="190" t="str">
        <f t="shared" si="17"/>
        <v/>
      </c>
      <c r="W507" s="190" t="str">
        <f t="shared" si="18"/>
        <v/>
      </c>
      <c r="X507" s="191" t="str">
        <f t="shared" si="19"/>
        <v/>
      </c>
      <c r="Y507" s="191" t="str">
        <f t="shared" si="20"/>
        <v/>
      </c>
      <c r="Z507" s="156"/>
    </row>
    <row r="508">
      <c r="A508" s="177" t="str">
        <f t="shared" si="14"/>
        <v/>
      </c>
      <c r="B508" s="196"/>
      <c r="C508" s="179" t="str">
        <f t="shared" si="2"/>
        <v/>
      </c>
      <c r="D508" s="197"/>
      <c r="E508" s="181"/>
      <c r="F508" s="198"/>
      <c r="G508" s="201"/>
      <c r="H508" s="201"/>
      <c r="I508" s="201"/>
      <c r="J508" s="202"/>
      <c r="K508" s="203"/>
      <c r="L508" s="186">
        <f t="shared" si="15"/>
        <v>0</v>
      </c>
      <c r="M508" s="191"/>
      <c r="N508" s="191"/>
      <c r="O508" s="191"/>
      <c r="P508" s="191"/>
      <c r="Q508" s="191"/>
      <c r="R508" s="191"/>
      <c r="S508" s="191"/>
      <c r="T508" s="192"/>
      <c r="U508" s="189" t="str">
        <f t="shared" si="16"/>
        <v/>
      </c>
      <c r="V508" s="190" t="str">
        <f t="shared" si="17"/>
        <v/>
      </c>
      <c r="W508" s="190" t="str">
        <f t="shared" si="18"/>
        <v/>
      </c>
      <c r="X508" s="191" t="str">
        <f t="shared" si="19"/>
        <v/>
      </c>
      <c r="Y508" s="191" t="str">
        <f t="shared" si="20"/>
        <v/>
      </c>
      <c r="Z508" s="156"/>
    </row>
    <row r="509">
      <c r="A509" s="177" t="str">
        <f t="shared" si="14"/>
        <v/>
      </c>
      <c r="B509" s="196"/>
      <c r="C509" s="179" t="str">
        <f t="shared" si="2"/>
        <v/>
      </c>
      <c r="D509" s="197"/>
      <c r="E509" s="181"/>
      <c r="F509" s="198"/>
      <c r="G509" s="201"/>
      <c r="H509" s="201"/>
      <c r="I509" s="201"/>
      <c r="J509" s="202"/>
      <c r="K509" s="203"/>
      <c r="L509" s="186">
        <f t="shared" si="15"/>
        <v>0</v>
      </c>
      <c r="M509" s="191"/>
      <c r="N509" s="191"/>
      <c r="O509" s="191"/>
      <c r="P509" s="191"/>
      <c r="Q509" s="191"/>
      <c r="R509" s="191"/>
      <c r="S509" s="191"/>
      <c r="T509" s="192"/>
      <c r="U509" s="189" t="str">
        <f t="shared" si="16"/>
        <v/>
      </c>
      <c r="V509" s="190" t="str">
        <f t="shared" si="17"/>
        <v/>
      </c>
      <c r="W509" s="190" t="str">
        <f t="shared" si="18"/>
        <v/>
      </c>
      <c r="X509" s="191" t="str">
        <f t="shared" si="19"/>
        <v/>
      </c>
      <c r="Y509" s="191" t="str">
        <f t="shared" si="20"/>
        <v/>
      </c>
      <c r="Z509" s="156"/>
    </row>
    <row r="510">
      <c r="A510" s="177" t="str">
        <f t="shared" si="14"/>
        <v/>
      </c>
      <c r="B510" s="196"/>
      <c r="C510" s="179" t="str">
        <f t="shared" si="2"/>
        <v/>
      </c>
      <c r="D510" s="197"/>
      <c r="E510" s="181"/>
      <c r="F510" s="198"/>
      <c r="G510" s="201"/>
      <c r="H510" s="201"/>
      <c r="I510" s="201"/>
      <c r="J510" s="202"/>
      <c r="K510" s="203"/>
      <c r="L510" s="186">
        <f t="shared" si="15"/>
        <v>0</v>
      </c>
      <c r="M510" s="191"/>
      <c r="N510" s="191"/>
      <c r="O510" s="191"/>
      <c r="P510" s="191"/>
      <c r="Q510" s="191"/>
      <c r="R510" s="191"/>
      <c r="S510" s="191"/>
      <c r="T510" s="192"/>
      <c r="U510" s="189" t="str">
        <f t="shared" si="16"/>
        <v/>
      </c>
      <c r="V510" s="190" t="str">
        <f t="shared" si="17"/>
        <v/>
      </c>
      <c r="W510" s="190" t="str">
        <f t="shared" si="18"/>
        <v/>
      </c>
      <c r="X510" s="191" t="str">
        <f t="shared" si="19"/>
        <v/>
      </c>
      <c r="Y510" s="191" t="str">
        <f t="shared" si="20"/>
        <v/>
      </c>
      <c r="Z510" s="156"/>
    </row>
    <row r="511">
      <c r="A511" s="177" t="str">
        <f t="shared" si="14"/>
        <v/>
      </c>
      <c r="B511" s="196"/>
      <c r="C511" s="179" t="str">
        <f t="shared" si="2"/>
        <v/>
      </c>
      <c r="D511" s="197"/>
      <c r="E511" s="181"/>
      <c r="F511" s="198"/>
      <c r="G511" s="201"/>
      <c r="H511" s="201"/>
      <c r="I511" s="201"/>
      <c r="J511" s="202"/>
      <c r="K511" s="203"/>
      <c r="L511" s="186">
        <f t="shared" si="15"/>
        <v>0</v>
      </c>
      <c r="M511" s="191"/>
      <c r="N511" s="191"/>
      <c r="O511" s="191"/>
      <c r="P511" s="191"/>
      <c r="Q511" s="191"/>
      <c r="R511" s="191"/>
      <c r="S511" s="191"/>
      <c r="T511" s="192"/>
      <c r="U511" s="189" t="str">
        <f t="shared" si="16"/>
        <v/>
      </c>
      <c r="V511" s="190" t="str">
        <f t="shared" si="17"/>
        <v/>
      </c>
      <c r="W511" s="190" t="str">
        <f t="shared" si="18"/>
        <v/>
      </c>
      <c r="X511" s="191" t="str">
        <f t="shared" si="19"/>
        <v/>
      </c>
      <c r="Y511" s="191" t="str">
        <f t="shared" si="20"/>
        <v/>
      </c>
      <c r="Z511" s="156"/>
    </row>
    <row r="512">
      <c r="A512" s="177" t="str">
        <f t="shared" si="14"/>
        <v/>
      </c>
      <c r="B512" s="196"/>
      <c r="C512" s="179" t="str">
        <f t="shared" si="2"/>
        <v/>
      </c>
      <c r="D512" s="197"/>
      <c r="E512" s="181"/>
      <c r="F512" s="198"/>
      <c r="G512" s="201"/>
      <c r="H512" s="201"/>
      <c r="I512" s="201"/>
      <c r="J512" s="202"/>
      <c r="K512" s="203"/>
      <c r="L512" s="186">
        <f t="shared" si="15"/>
        <v>0</v>
      </c>
      <c r="M512" s="191"/>
      <c r="N512" s="191"/>
      <c r="O512" s="191"/>
      <c r="P512" s="191"/>
      <c r="Q512" s="191"/>
      <c r="R512" s="191"/>
      <c r="S512" s="191"/>
      <c r="T512" s="192"/>
      <c r="U512" s="189" t="str">
        <f t="shared" si="16"/>
        <v/>
      </c>
      <c r="V512" s="190" t="str">
        <f t="shared" si="17"/>
        <v/>
      </c>
      <c r="W512" s="190" t="str">
        <f t="shared" si="18"/>
        <v/>
      </c>
      <c r="X512" s="191" t="str">
        <f t="shared" si="19"/>
        <v/>
      </c>
      <c r="Y512" s="191" t="str">
        <f t="shared" si="20"/>
        <v/>
      </c>
      <c r="Z512" s="156"/>
    </row>
    <row r="513">
      <c r="A513" s="177" t="str">
        <f t="shared" si="14"/>
        <v/>
      </c>
      <c r="B513" s="196"/>
      <c r="C513" s="179" t="str">
        <f t="shared" si="2"/>
        <v/>
      </c>
      <c r="D513" s="197"/>
      <c r="E513" s="181"/>
      <c r="F513" s="198"/>
      <c r="G513" s="201"/>
      <c r="H513" s="201"/>
      <c r="I513" s="201"/>
      <c r="J513" s="202"/>
      <c r="K513" s="203"/>
      <c r="L513" s="186">
        <f t="shared" si="15"/>
        <v>0</v>
      </c>
      <c r="M513" s="191"/>
      <c r="N513" s="191"/>
      <c r="O513" s="191"/>
      <c r="P513" s="191"/>
      <c r="Q513" s="191"/>
      <c r="R513" s="191"/>
      <c r="S513" s="191"/>
      <c r="T513" s="192"/>
      <c r="U513" s="189" t="str">
        <f t="shared" si="16"/>
        <v/>
      </c>
      <c r="V513" s="190" t="str">
        <f t="shared" si="17"/>
        <v/>
      </c>
      <c r="W513" s="190" t="str">
        <f t="shared" si="18"/>
        <v/>
      </c>
      <c r="X513" s="191" t="str">
        <f t="shared" si="19"/>
        <v/>
      </c>
      <c r="Y513" s="191" t="str">
        <f t="shared" si="20"/>
        <v/>
      </c>
      <c r="Z513" s="156"/>
    </row>
    <row r="514">
      <c r="A514" s="177" t="str">
        <f t="shared" si="14"/>
        <v/>
      </c>
      <c r="B514" s="196"/>
      <c r="C514" s="179" t="str">
        <f t="shared" si="2"/>
        <v/>
      </c>
      <c r="D514" s="197"/>
      <c r="E514" s="181"/>
      <c r="F514" s="198"/>
      <c r="G514" s="201"/>
      <c r="H514" s="201"/>
      <c r="I514" s="201"/>
      <c r="J514" s="202"/>
      <c r="K514" s="203"/>
      <c r="L514" s="186">
        <f t="shared" si="15"/>
        <v>0</v>
      </c>
      <c r="M514" s="191"/>
      <c r="N514" s="191"/>
      <c r="O514" s="191"/>
      <c r="P514" s="191"/>
      <c r="Q514" s="191"/>
      <c r="R514" s="191"/>
      <c r="S514" s="191"/>
      <c r="T514" s="192"/>
      <c r="U514" s="189" t="str">
        <f t="shared" si="16"/>
        <v/>
      </c>
      <c r="V514" s="190" t="str">
        <f t="shared" si="17"/>
        <v/>
      </c>
      <c r="W514" s="190" t="str">
        <f t="shared" si="18"/>
        <v/>
      </c>
      <c r="X514" s="191" t="str">
        <f t="shared" si="19"/>
        <v/>
      </c>
      <c r="Y514" s="191" t="str">
        <f t="shared" si="20"/>
        <v/>
      </c>
      <c r="Z514" s="156"/>
    </row>
    <row r="515">
      <c r="A515" s="177" t="str">
        <f t="shared" si="14"/>
        <v/>
      </c>
      <c r="B515" s="196"/>
      <c r="C515" s="179" t="str">
        <f t="shared" si="2"/>
        <v/>
      </c>
      <c r="D515" s="197"/>
      <c r="E515" s="181"/>
      <c r="F515" s="198"/>
      <c r="G515" s="201"/>
      <c r="H515" s="201"/>
      <c r="I515" s="201"/>
      <c r="J515" s="202"/>
      <c r="K515" s="203"/>
      <c r="L515" s="186">
        <f t="shared" si="15"/>
        <v>0</v>
      </c>
      <c r="M515" s="191"/>
      <c r="N515" s="191"/>
      <c r="O515" s="191"/>
      <c r="P515" s="191"/>
      <c r="Q515" s="191"/>
      <c r="R515" s="191"/>
      <c r="S515" s="191"/>
      <c r="T515" s="192"/>
      <c r="U515" s="189" t="str">
        <f t="shared" si="16"/>
        <v/>
      </c>
      <c r="V515" s="190" t="str">
        <f t="shared" si="17"/>
        <v/>
      </c>
      <c r="W515" s="190" t="str">
        <f t="shared" si="18"/>
        <v/>
      </c>
      <c r="X515" s="191" t="str">
        <f t="shared" si="19"/>
        <v/>
      </c>
      <c r="Y515" s="191" t="str">
        <f t="shared" si="20"/>
        <v/>
      </c>
      <c r="Z515" s="156"/>
    </row>
    <row r="516">
      <c r="A516" s="177" t="str">
        <f t="shared" si="14"/>
        <v/>
      </c>
      <c r="B516" s="196"/>
      <c r="C516" s="179" t="str">
        <f t="shared" si="2"/>
        <v/>
      </c>
      <c r="D516" s="197"/>
      <c r="E516" s="181"/>
      <c r="F516" s="198"/>
      <c r="G516" s="201"/>
      <c r="H516" s="201"/>
      <c r="I516" s="201"/>
      <c r="J516" s="202"/>
      <c r="K516" s="203"/>
      <c r="L516" s="186">
        <f t="shared" si="15"/>
        <v>0</v>
      </c>
      <c r="M516" s="191"/>
      <c r="N516" s="191"/>
      <c r="O516" s="191"/>
      <c r="P516" s="191"/>
      <c r="Q516" s="191"/>
      <c r="R516" s="191"/>
      <c r="S516" s="191"/>
      <c r="T516" s="192"/>
      <c r="U516" s="189" t="str">
        <f t="shared" si="16"/>
        <v/>
      </c>
      <c r="V516" s="190" t="str">
        <f t="shared" si="17"/>
        <v/>
      </c>
      <c r="W516" s="190" t="str">
        <f t="shared" si="18"/>
        <v/>
      </c>
      <c r="X516" s="191" t="str">
        <f t="shared" si="19"/>
        <v/>
      </c>
      <c r="Y516" s="191" t="str">
        <f t="shared" si="20"/>
        <v/>
      </c>
      <c r="Z516" s="156"/>
    </row>
    <row r="517">
      <c r="A517" s="177" t="str">
        <f t="shared" si="14"/>
        <v/>
      </c>
      <c r="B517" s="196"/>
      <c r="C517" s="179" t="str">
        <f t="shared" si="2"/>
        <v/>
      </c>
      <c r="D517" s="197"/>
      <c r="E517" s="181"/>
      <c r="F517" s="198"/>
      <c r="G517" s="201"/>
      <c r="H517" s="201"/>
      <c r="I517" s="201"/>
      <c r="J517" s="202"/>
      <c r="K517" s="203"/>
      <c r="L517" s="186">
        <f t="shared" si="15"/>
        <v>0</v>
      </c>
      <c r="M517" s="191"/>
      <c r="N517" s="191"/>
      <c r="O517" s="191"/>
      <c r="P517" s="191"/>
      <c r="Q517" s="191"/>
      <c r="R517" s="191"/>
      <c r="S517" s="191"/>
      <c r="T517" s="192"/>
      <c r="U517" s="189" t="str">
        <f t="shared" si="16"/>
        <v/>
      </c>
      <c r="V517" s="190" t="str">
        <f t="shared" si="17"/>
        <v/>
      </c>
      <c r="W517" s="190" t="str">
        <f t="shared" si="18"/>
        <v/>
      </c>
      <c r="X517" s="191" t="str">
        <f t="shared" si="19"/>
        <v/>
      </c>
      <c r="Y517" s="191" t="str">
        <f t="shared" si="20"/>
        <v/>
      </c>
      <c r="Z517" s="156"/>
    </row>
    <row r="518">
      <c r="A518" s="177" t="str">
        <f t="shared" si="14"/>
        <v/>
      </c>
      <c r="B518" s="196"/>
      <c r="C518" s="179" t="str">
        <f t="shared" si="2"/>
        <v/>
      </c>
      <c r="D518" s="197"/>
      <c r="E518" s="181"/>
      <c r="F518" s="198"/>
      <c r="G518" s="201"/>
      <c r="H518" s="201"/>
      <c r="I518" s="201"/>
      <c r="J518" s="202"/>
      <c r="K518" s="203"/>
      <c r="L518" s="186">
        <f t="shared" si="15"/>
        <v>0</v>
      </c>
      <c r="M518" s="191"/>
      <c r="N518" s="191"/>
      <c r="O518" s="191"/>
      <c r="P518" s="191"/>
      <c r="Q518" s="191"/>
      <c r="R518" s="191"/>
      <c r="S518" s="191"/>
      <c r="T518" s="192"/>
      <c r="U518" s="189" t="str">
        <f t="shared" si="16"/>
        <v/>
      </c>
      <c r="V518" s="190" t="str">
        <f t="shared" si="17"/>
        <v/>
      </c>
      <c r="W518" s="190" t="str">
        <f t="shared" si="18"/>
        <v/>
      </c>
      <c r="X518" s="191" t="str">
        <f t="shared" si="19"/>
        <v/>
      </c>
      <c r="Y518" s="191" t="str">
        <f t="shared" si="20"/>
        <v/>
      </c>
      <c r="Z518" s="156"/>
    </row>
    <row r="519">
      <c r="A519" s="177" t="str">
        <f t="shared" si="14"/>
        <v/>
      </c>
      <c r="B519" s="196"/>
      <c r="C519" s="179" t="str">
        <f t="shared" si="2"/>
        <v/>
      </c>
      <c r="D519" s="197"/>
      <c r="E519" s="181"/>
      <c r="F519" s="198"/>
      <c r="G519" s="201"/>
      <c r="H519" s="201"/>
      <c r="I519" s="201"/>
      <c r="J519" s="202"/>
      <c r="K519" s="203"/>
      <c r="L519" s="186">
        <f t="shared" si="15"/>
        <v>0</v>
      </c>
      <c r="M519" s="191"/>
      <c r="N519" s="191"/>
      <c r="O519" s="191"/>
      <c r="P519" s="191"/>
      <c r="Q519" s="191"/>
      <c r="R519" s="191"/>
      <c r="S519" s="191"/>
      <c r="T519" s="192"/>
      <c r="U519" s="189" t="str">
        <f t="shared" si="16"/>
        <v/>
      </c>
      <c r="V519" s="190" t="str">
        <f t="shared" si="17"/>
        <v/>
      </c>
      <c r="W519" s="190" t="str">
        <f t="shared" si="18"/>
        <v/>
      </c>
      <c r="X519" s="191" t="str">
        <f t="shared" si="19"/>
        <v/>
      </c>
      <c r="Y519" s="191" t="str">
        <f t="shared" si="20"/>
        <v/>
      </c>
      <c r="Z519" s="156"/>
    </row>
    <row r="520">
      <c r="A520" s="177" t="str">
        <f t="shared" si="14"/>
        <v/>
      </c>
      <c r="B520" s="196"/>
      <c r="C520" s="179" t="str">
        <f t="shared" si="2"/>
        <v/>
      </c>
      <c r="D520" s="197"/>
      <c r="E520" s="181"/>
      <c r="F520" s="198"/>
      <c r="G520" s="201"/>
      <c r="H520" s="201"/>
      <c r="I520" s="201"/>
      <c r="J520" s="202"/>
      <c r="K520" s="203"/>
      <c r="L520" s="186">
        <f t="shared" si="15"/>
        <v>0</v>
      </c>
      <c r="M520" s="191"/>
      <c r="N520" s="191"/>
      <c r="O520" s="191"/>
      <c r="P520" s="191"/>
      <c r="Q520" s="191"/>
      <c r="R520" s="191"/>
      <c r="S520" s="191"/>
      <c r="T520" s="192"/>
      <c r="U520" s="189" t="str">
        <f t="shared" si="16"/>
        <v/>
      </c>
      <c r="V520" s="190" t="str">
        <f t="shared" si="17"/>
        <v/>
      </c>
      <c r="W520" s="190" t="str">
        <f t="shared" si="18"/>
        <v/>
      </c>
      <c r="X520" s="191" t="str">
        <f t="shared" si="19"/>
        <v/>
      </c>
      <c r="Y520" s="191" t="str">
        <f t="shared" si="20"/>
        <v/>
      </c>
      <c r="Z520" s="156"/>
    </row>
    <row r="521">
      <c r="A521" s="177" t="str">
        <f t="shared" si="14"/>
        <v/>
      </c>
      <c r="B521" s="196"/>
      <c r="C521" s="179" t="str">
        <f t="shared" si="2"/>
        <v/>
      </c>
      <c r="D521" s="197"/>
      <c r="E521" s="181"/>
      <c r="F521" s="198"/>
      <c r="G521" s="201"/>
      <c r="H521" s="201"/>
      <c r="I521" s="201"/>
      <c r="J521" s="202"/>
      <c r="K521" s="203"/>
      <c r="L521" s="186">
        <f t="shared" si="15"/>
        <v>0</v>
      </c>
      <c r="M521" s="191"/>
      <c r="N521" s="191"/>
      <c r="O521" s="191"/>
      <c r="P521" s="191"/>
      <c r="Q521" s="191"/>
      <c r="R521" s="191"/>
      <c r="S521" s="191"/>
      <c r="T521" s="192"/>
      <c r="U521" s="189" t="str">
        <f t="shared" si="16"/>
        <v/>
      </c>
      <c r="V521" s="190" t="str">
        <f t="shared" si="17"/>
        <v/>
      </c>
      <c r="W521" s="190" t="str">
        <f t="shared" si="18"/>
        <v/>
      </c>
      <c r="X521" s="191" t="str">
        <f t="shared" si="19"/>
        <v/>
      </c>
      <c r="Y521" s="191" t="str">
        <f t="shared" si="20"/>
        <v/>
      </c>
      <c r="Z521" s="156"/>
    </row>
    <row r="522">
      <c r="A522" s="177" t="str">
        <f t="shared" si="14"/>
        <v/>
      </c>
      <c r="B522" s="196"/>
      <c r="C522" s="179" t="str">
        <f t="shared" si="2"/>
        <v/>
      </c>
      <c r="D522" s="197"/>
      <c r="E522" s="181"/>
      <c r="F522" s="198"/>
      <c r="G522" s="201"/>
      <c r="H522" s="201"/>
      <c r="I522" s="201"/>
      <c r="J522" s="202"/>
      <c r="K522" s="203"/>
      <c r="L522" s="186">
        <f t="shared" si="15"/>
        <v>0</v>
      </c>
      <c r="M522" s="191"/>
      <c r="N522" s="191"/>
      <c r="O522" s="191"/>
      <c r="P522" s="191"/>
      <c r="Q522" s="191"/>
      <c r="R522" s="191"/>
      <c r="S522" s="191"/>
      <c r="T522" s="192"/>
      <c r="U522" s="189" t="str">
        <f t="shared" si="16"/>
        <v/>
      </c>
      <c r="V522" s="190" t="str">
        <f t="shared" si="17"/>
        <v/>
      </c>
      <c r="W522" s="190" t="str">
        <f t="shared" si="18"/>
        <v/>
      </c>
      <c r="X522" s="191" t="str">
        <f t="shared" si="19"/>
        <v/>
      </c>
      <c r="Y522" s="191" t="str">
        <f t="shared" si="20"/>
        <v/>
      </c>
      <c r="Z522" s="156"/>
    </row>
    <row r="523">
      <c r="A523" s="177" t="str">
        <f t="shared" si="14"/>
        <v/>
      </c>
      <c r="B523" s="196"/>
      <c r="C523" s="179" t="str">
        <f t="shared" si="2"/>
        <v/>
      </c>
      <c r="D523" s="197"/>
      <c r="E523" s="181"/>
      <c r="F523" s="198"/>
      <c r="G523" s="201"/>
      <c r="H523" s="201"/>
      <c r="I523" s="201"/>
      <c r="J523" s="202"/>
      <c r="K523" s="203"/>
      <c r="L523" s="186">
        <f t="shared" si="15"/>
        <v>0</v>
      </c>
      <c r="M523" s="191"/>
      <c r="N523" s="191"/>
      <c r="O523" s="191"/>
      <c r="P523" s="191"/>
      <c r="Q523" s="191"/>
      <c r="R523" s="191"/>
      <c r="S523" s="191"/>
      <c r="T523" s="192"/>
      <c r="U523" s="189" t="str">
        <f t="shared" si="16"/>
        <v/>
      </c>
      <c r="V523" s="190" t="str">
        <f t="shared" si="17"/>
        <v/>
      </c>
      <c r="W523" s="190" t="str">
        <f t="shared" si="18"/>
        <v/>
      </c>
      <c r="X523" s="191" t="str">
        <f t="shared" si="19"/>
        <v/>
      </c>
      <c r="Y523" s="191" t="str">
        <f t="shared" si="20"/>
        <v/>
      </c>
      <c r="Z523" s="156"/>
    </row>
    <row r="524">
      <c r="A524" s="177" t="str">
        <f t="shared" si="14"/>
        <v/>
      </c>
      <c r="B524" s="196"/>
      <c r="C524" s="179" t="str">
        <f t="shared" si="2"/>
        <v/>
      </c>
      <c r="D524" s="197"/>
      <c r="E524" s="181"/>
      <c r="F524" s="198"/>
      <c r="G524" s="201"/>
      <c r="H524" s="201"/>
      <c r="I524" s="201"/>
      <c r="J524" s="202"/>
      <c r="K524" s="203"/>
      <c r="L524" s="186">
        <f t="shared" si="15"/>
        <v>0</v>
      </c>
      <c r="M524" s="191"/>
      <c r="N524" s="191"/>
      <c r="O524" s="191"/>
      <c r="P524" s="191"/>
      <c r="Q524" s="191"/>
      <c r="R524" s="191"/>
      <c r="S524" s="191"/>
      <c r="T524" s="192"/>
      <c r="U524" s="189" t="str">
        <f t="shared" si="16"/>
        <v/>
      </c>
      <c r="V524" s="190" t="str">
        <f t="shared" si="17"/>
        <v/>
      </c>
      <c r="W524" s="190" t="str">
        <f t="shared" si="18"/>
        <v/>
      </c>
      <c r="X524" s="191" t="str">
        <f t="shared" si="19"/>
        <v/>
      </c>
      <c r="Y524" s="191" t="str">
        <f t="shared" si="20"/>
        <v/>
      </c>
      <c r="Z524" s="156"/>
    </row>
    <row r="525">
      <c r="A525" s="177" t="str">
        <f t="shared" si="14"/>
        <v/>
      </c>
      <c r="B525" s="196"/>
      <c r="C525" s="179" t="str">
        <f t="shared" si="2"/>
        <v/>
      </c>
      <c r="D525" s="197"/>
      <c r="E525" s="181"/>
      <c r="F525" s="198"/>
      <c r="G525" s="201"/>
      <c r="H525" s="201"/>
      <c r="I525" s="201"/>
      <c r="J525" s="202"/>
      <c r="K525" s="203"/>
      <c r="L525" s="186">
        <f t="shared" si="15"/>
        <v>0</v>
      </c>
      <c r="M525" s="191"/>
      <c r="N525" s="191"/>
      <c r="O525" s="191"/>
      <c r="P525" s="191"/>
      <c r="Q525" s="191"/>
      <c r="R525" s="191"/>
      <c r="S525" s="191"/>
      <c r="T525" s="192"/>
      <c r="U525" s="189" t="str">
        <f t="shared" si="16"/>
        <v/>
      </c>
      <c r="V525" s="190" t="str">
        <f t="shared" si="17"/>
        <v/>
      </c>
      <c r="W525" s="190" t="str">
        <f t="shared" si="18"/>
        <v/>
      </c>
      <c r="X525" s="191" t="str">
        <f t="shared" si="19"/>
        <v/>
      </c>
      <c r="Y525" s="191" t="str">
        <f t="shared" si="20"/>
        <v/>
      </c>
      <c r="Z525" s="156"/>
    </row>
    <row r="526">
      <c r="A526" s="177" t="str">
        <f t="shared" si="14"/>
        <v/>
      </c>
      <c r="B526" s="196"/>
      <c r="C526" s="179" t="str">
        <f t="shared" si="2"/>
        <v/>
      </c>
      <c r="D526" s="197"/>
      <c r="E526" s="181"/>
      <c r="F526" s="198"/>
      <c r="G526" s="201"/>
      <c r="H526" s="201"/>
      <c r="I526" s="201"/>
      <c r="J526" s="202"/>
      <c r="K526" s="203"/>
      <c r="L526" s="186">
        <f t="shared" si="15"/>
        <v>0</v>
      </c>
      <c r="M526" s="191"/>
      <c r="N526" s="191"/>
      <c r="O526" s="191"/>
      <c r="P526" s="191"/>
      <c r="Q526" s="191"/>
      <c r="R526" s="191"/>
      <c r="S526" s="191"/>
      <c r="T526" s="192"/>
      <c r="U526" s="189" t="str">
        <f t="shared" si="16"/>
        <v/>
      </c>
      <c r="V526" s="190" t="str">
        <f t="shared" si="17"/>
        <v/>
      </c>
      <c r="W526" s="190" t="str">
        <f t="shared" si="18"/>
        <v/>
      </c>
      <c r="X526" s="191" t="str">
        <f t="shared" si="19"/>
        <v/>
      </c>
      <c r="Y526" s="191" t="str">
        <f t="shared" si="20"/>
        <v/>
      </c>
      <c r="Z526" s="156"/>
    </row>
    <row r="527">
      <c r="A527" s="177" t="str">
        <f t="shared" si="14"/>
        <v/>
      </c>
      <c r="B527" s="196"/>
      <c r="C527" s="179" t="str">
        <f t="shared" si="2"/>
        <v/>
      </c>
      <c r="D527" s="197"/>
      <c r="E527" s="181"/>
      <c r="F527" s="198"/>
      <c r="G527" s="201"/>
      <c r="H527" s="201"/>
      <c r="I527" s="201"/>
      <c r="J527" s="202"/>
      <c r="K527" s="203"/>
      <c r="L527" s="186">
        <f t="shared" si="15"/>
        <v>0</v>
      </c>
      <c r="M527" s="191"/>
      <c r="N527" s="191"/>
      <c r="O527" s="191"/>
      <c r="P527" s="191"/>
      <c r="Q527" s="191"/>
      <c r="R527" s="191"/>
      <c r="S527" s="191"/>
      <c r="T527" s="192"/>
      <c r="U527" s="189" t="str">
        <f t="shared" si="16"/>
        <v/>
      </c>
      <c r="V527" s="190" t="str">
        <f t="shared" si="17"/>
        <v/>
      </c>
      <c r="W527" s="190" t="str">
        <f t="shared" si="18"/>
        <v/>
      </c>
      <c r="X527" s="191" t="str">
        <f t="shared" si="19"/>
        <v/>
      </c>
      <c r="Y527" s="191" t="str">
        <f t="shared" si="20"/>
        <v/>
      </c>
      <c r="Z527" s="156"/>
    </row>
    <row r="528">
      <c r="A528" s="177" t="str">
        <f t="shared" si="14"/>
        <v/>
      </c>
      <c r="B528" s="196"/>
      <c r="C528" s="179" t="str">
        <f t="shared" si="2"/>
        <v/>
      </c>
      <c r="D528" s="197"/>
      <c r="E528" s="181"/>
      <c r="F528" s="198"/>
      <c r="G528" s="201"/>
      <c r="H528" s="201"/>
      <c r="I528" s="201"/>
      <c r="J528" s="202"/>
      <c r="K528" s="203"/>
      <c r="L528" s="186">
        <f t="shared" si="15"/>
        <v>0</v>
      </c>
      <c r="M528" s="191"/>
      <c r="N528" s="191"/>
      <c r="O528" s="191"/>
      <c r="P528" s="191"/>
      <c r="Q528" s="191"/>
      <c r="R528" s="191"/>
      <c r="S528" s="191"/>
      <c r="T528" s="192"/>
      <c r="U528" s="189" t="str">
        <f t="shared" si="16"/>
        <v/>
      </c>
      <c r="V528" s="190" t="str">
        <f t="shared" si="17"/>
        <v/>
      </c>
      <c r="W528" s="190" t="str">
        <f t="shared" si="18"/>
        <v/>
      </c>
      <c r="X528" s="191" t="str">
        <f t="shared" si="19"/>
        <v/>
      </c>
      <c r="Y528" s="191" t="str">
        <f t="shared" si="20"/>
        <v/>
      </c>
      <c r="Z528" s="156"/>
    </row>
    <row r="529">
      <c r="A529" s="177" t="str">
        <f t="shared" si="14"/>
        <v/>
      </c>
      <c r="B529" s="196"/>
      <c r="C529" s="179" t="str">
        <f t="shared" si="2"/>
        <v/>
      </c>
      <c r="D529" s="197"/>
      <c r="E529" s="181"/>
      <c r="F529" s="198"/>
      <c r="G529" s="201"/>
      <c r="H529" s="201"/>
      <c r="I529" s="201"/>
      <c r="J529" s="202"/>
      <c r="K529" s="203"/>
      <c r="L529" s="186">
        <f t="shared" si="15"/>
        <v>0</v>
      </c>
      <c r="M529" s="191"/>
      <c r="N529" s="191"/>
      <c r="O529" s="191"/>
      <c r="P529" s="191"/>
      <c r="Q529" s="191"/>
      <c r="R529" s="191"/>
      <c r="S529" s="191"/>
      <c r="T529" s="192"/>
      <c r="U529" s="189" t="str">
        <f t="shared" si="16"/>
        <v/>
      </c>
      <c r="V529" s="190" t="str">
        <f t="shared" si="17"/>
        <v/>
      </c>
      <c r="W529" s="190" t="str">
        <f t="shared" si="18"/>
        <v/>
      </c>
      <c r="X529" s="191" t="str">
        <f t="shared" si="19"/>
        <v/>
      </c>
      <c r="Y529" s="191" t="str">
        <f t="shared" si="20"/>
        <v/>
      </c>
      <c r="Z529" s="156"/>
    </row>
    <row r="530">
      <c r="A530" s="177" t="str">
        <f t="shared" si="14"/>
        <v/>
      </c>
      <c r="B530" s="196"/>
      <c r="C530" s="179" t="str">
        <f t="shared" si="2"/>
        <v/>
      </c>
      <c r="D530" s="197"/>
      <c r="E530" s="181"/>
      <c r="F530" s="198"/>
      <c r="G530" s="201"/>
      <c r="H530" s="201"/>
      <c r="I530" s="201"/>
      <c r="J530" s="202"/>
      <c r="K530" s="203"/>
      <c r="L530" s="186">
        <f t="shared" si="15"/>
        <v>0</v>
      </c>
      <c r="M530" s="191"/>
      <c r="N530" s="191"/>
      <c r="O530" s="191"/>
      <c r="P530" s="191"/>
      <c r="Q530" s="191"/>
      <c r="R530" s="191"/>
      <c r="S530" s="191"/>
      <c r="T530" s="192"/>
      <c r="U530" s="189" t="str">
        <f t="shared" si="16"/>
        <v/>
      </c>
      <c r="V530" s="190" t="str">
        <f t="shared" si="17"/>
        <v/>
      </c>
      <c r="W530" s="190" t="str">
        <f t="shared" si="18"/>
        <v/>
      </c>
      <c r="X530" s="191" t="str">
        <f t="shared" si="19"/>
        <v/>
      </c>
      <c r="Y530" s="191" t="str">
        <f t="shared" si="20"/>
        <v/>
      </c>
      <c r="Z530" s="156"/>
    </row>
    <row r="531">
      <c r="A531" s="177" t="str">
        <f t="shared" si="14"/>
        <v/>
      </c>
      <c r="B531" s="196"/>
      <c r="C531" s="179" t="str">
        <f t="shared" si="2"/>
        <v/>
      </c>
      <c r="D531" s="197"/>
      <c r="E531" s="181"/>
      <c r="F531" s="198"/>
      <c r="G531" s="201"/>
      <c r="H531" s="201"/>
      <c r="I531" s="201"/>
      <c r="J531" s="202"/>
      <c r="K531" s="203"/>
      <c r="L531" s="186">
        <f t="shared" si="15"/>
        <v>0</v>
      </c>
      <c r="M531" s="191"/>
      <c r="N531" s="191"/>
      <c r="O531" s="191"/>
      <c r="P531" s="191"/>
      <c r="Q531" s="191"/>
      <c r="R531" s="191"/>
      <c r="S531" s="191"/>
      <c r="T531" s="192"/>
      <c r="U531" s="189" t="str">
        <f t="shared" si="16"/>
        <v/>
      </c>
      <c r="V531" s="190" t="str">
        <f t="shared" si="17"/>
        <v/>
      </c>
      <c r="W531" s="190" t="str">
        <f t="shared" si="18"/>
        <v/>
      </c>
      <c r="X531" s="191" t="str">
        <f t="shared" si="19"/>
        <v/>
      </c>
      <c r="Y531" s="191" t="str">
        <f t="shared" si="20"/>
        <v/>
      </c>
      <c r="Z531" s="156"/>
    </row>
    <row r="532">
      <c r="A532" s="177" t="str">
        <f t="shared" si="14"/>
        <v/>
      </c>
      <c r="B532" s="196"/>
      <c r="C532" s="179" t="str">
        <f t="shared" si="2"/>
        <v/>
      </c>
      <c r="D532" s="197"/>
      <c r="E532" s="181"/>
      <c r="F532" s="198"/>
      <c r="G532" s="201"/>
      <c r="H532" s="201"/>
      <c r="I532" s="201"/>
      <c r="J532" s="202"/>
      <c r="K532" s="203"/>
      <c r="L532" s="186">
        <f t="shared" si="15"/>
        <v>0</v>
      </c>
      <c r="M532" s="191"/>
      <c r="N532" s="191"/>
      <c r="O532" s="191"/>
      <c r="P532" s="191"/>
      <c r="Q532" s="191"/>
      <c r="R532" s="191"/>
      <c r="S532" s="191"/>
      <c r="T532" s="192"/>
      <c r="U532" s="189" t="str">
        <f t="shared" si="16"/>
        <v/>
      </c>
      <c r="V532" s="190" t="str">
        <f t="shared" si="17"/>
        <v/>
      </c>
      <c r="W532" s="190" t="str">
        <f t="shared" si="18"/>
        <v/>
      </c>
      <c r="X532" s="191" t="str">
        <f t="shared" si="19"/>
        <v/>
      </c>
      <c r="Y532" s="191" t="str">
        <f t="shared" si="20"/>
        <v/>
      </c>
      <c r="Z532" s="156"/>
    </row>
    <row r="533">
      <c r="A533" s="177" t="str">
        <f t="shared" si="14"/>
        <v/>
      </c>
      <c r="B533" s="196"/>
      <c r="C533" s="179" t="str">
        <f t="shared" si="2"/>
        <v/>
      </c>
      <c r="D533" s="197"/>
      <c r="E533" s="181"/>
      <c r="F533" s="198"/>
      <c r="G533" s="201"/>
      <c r="H533" s="201"/>
      <c r="I533" s="201"/>
      <c r="J533" s="202"/>
      <c r="K533" s="203"/>
      <c r="L533" s="186">
        <f t="shared" si="15"/>
        <v>0</v>
      </c>
      <c r="M533" s="191"/>
      <c r="N533" s="191"/>
      <c r="O533" s="191"/>
      <c r="P533" s="191"/>
      <c r="Q533" s="191"/>
      <c r="R533" s="191"/>
      <c r="S533" s="191"/>
      <c r="T533" s="192"/>
      <c r="U533" s="189" t="str">
        <f t="shared" si="16"/>
        <v/>
      </c>
      <c r="V533" s="190" t="str">
        <f t="shared" si="17"/>
        <v/>
      </c>
      <c r="W533" s="190" t="str">
        <f t="shared" si="18"/>
        <v/>
      </c>
      <c r="X533" s="191" t="str">
        <f t="shared" si="19"/>
        <v/>
      </c>
      <c r="Y533" s="191" t="str">
        <f t="shared" si="20"/>
        <v/>
      </c>
      <c r="Z533" s="156"/>
    </row>
    <row r="534">
      <c r="A534" s="177" t="str">
        <f t="shared" si="14"/>
        <v/>
      </c>
      <c r="B534" s="196"/>
      <c r="C534" s="179" t="str">
        <f t="shared" si="2"/>
        <v/>
      </c>
      <c r="D534" s="197"/>
      <c r="E534" s="181"/>
      <c r="F534" s="198"/>
      <c r="G534" s="201"/>
      <c r="H534" s="201"/>
      <c r="I534" s="201"/>
      <c r="J534" s="202"/>
      <c r="K534" s="203"/>
      <c r="L534" s="186">
        <f t="shared" si="15"/>
        <v>0</v>
      </c>
      <c r="M534" s="191"/>
      <c r="N534" s="191"/>
      <c r="O534" s="191"/>
      <c r="P534" s="191"/>
      <c r="Q534" s="191"/>
      <c r="R534" s="191"/>
      <c r="S534" s="191"/>
      <c r="T534" s="192"/>
      <c r="U534" s="189" t="str">
        <f t="shared" si="16"/>
        <v/>
      </c>
      <c r="V534" s="190" t="str">
        <f t="shared" si="17"/>
        <v/>
      </c>
      <c r="W534" s="190" t="str">
        <f t="shared" si="18"/>
        <v/>
      </c>
      <c r="X534" s="191" t="str">
        <f t="shared" si="19"/>
        <v/>
      </c>
      <c r="Y534" s="191" t="str">
        <f t="shared" si="20"/>
        <v/>
      </c>
      <c r="Z534" s="156"/>
    </row>
    <row r="535">
      <c r="A535" s="177" t="str">
        <f t="shared" si="14"/>
        <v/>
      </c>
      <c r="B535" s="196"/>
      <c r="C535" s="179" t="str">
        <f t="shared" si="2"/>
        <v/>
      </c>
      <c r="D535" s="197"/>
      <c r="E535" s="181"/>
      <c r="F535" s="198"/>
      <c r="G535" s="201"/>
      <c r="H535" s="201"/>
      <c r="I535" s="201"/>
      <c r="J535" s="202"/>
      <c r="K535" s="203"/>
      <c r="L535" s="186">
        <f t="shared" si="15"/>
        <v>0</v>
      </c>
      <c r="M535" s="191"/>
      <c r="N535" s="191"/>
      <c r="O535" s="191"/>
      <c r="P535" s="191"/>
      <c r="Q535" s="191"/>
      <c r="R535" s="191"/>
      <c r="S535" s="191"/>
      <c r="T535" s="192"/>
      <c r="U535" s="189" t="str">
        <f t="shared" si="16"/>
        <v/>
      </c>
      <c r="V535" s="190" t="str">
        <f t="shared" si="17"/>
        <v/>
      </c>
      <c r="W535" s="190" t="str">
        <f t="shared" si="18"/>
        <v/>
      </c>
      <c r="X535" s="191" t="str">
        <f t="shared" si="19"/>
        <v/>
      </c>
      <c r="Y535" s="191" t="str">
        <f t="shared" si="20"/>
        <v/>
      </c>
      <c r="Z535" s="156"/>
    </row>
    <row r="536">
      <c r="A536" s="177" t="str">
        <f t="shared" si="14"/>
        <v/>
      </c>
      <c r="B536" s="196"/>
      <c r="C536" s="179" t="str">
        <f t="shared" si="2"/>
        <v/>
      </c>
      <c r="D536" s="197"/>
      <c r="E536" s="181"/>
      <c r="F536" s="198"/>
      <c r="G536" s="201"/>
      <c r="H536" s="201"/>
      <c r="I536" s="201"/>
      <c r="J536" s="202"/>
      <c r="K536" s="203"/>
      <c r="L536" s="186">
        <f t="shared" si="15"/>
        <v>0</v>
      </c>
      <c r="M536" s="191"/>
      <c r="N536" s="191"/>
      <c r="O536" s="191"/>
      <c r="P536" s="191"/>
      <c r="Q536" s="191"/>
      <c r="R536" s="191"/>
      <c r="S536" s="191"/>
      <c r="T536" s="192"/>
      <c r="U536" s="189" t="str">
        <f t="shared" si="16"/>
        <v/>
      </c>
      <c r="V536" s="190" t="str">
        <f t="shared" si="17"/>
        <v/>
      </c>
      <c r="W536" s="190" t="str">
        <f t="shared" si="18"/>
        <v/>
      </c>
      <c r="X536" s="191" t="str">
        <f t="shared" si="19"/>
        <v/>
      </c>
      <c r="Y536" s="191" t="str">
        <f t="shared" si="20"/>
        <v/>
      </c>
      <c r="Z536" s="156"/>
    </row>
    <row r="537">
      <c r="A537" s="177" t="str">
        <f t="shared" si="14"/>
        <v/>
      </c>
      <c r="B537" s="196"/>
      <c r="C537" s="179" t="str">
        <f t="shared" si="2"/>
        <v/>
      </c>
      <c r="D537" s="197"/>
      <c r="E537" s="181"/>
      <c r="F537" s="198"/>
      <c r="G537" s="201"/>
      <c r="H537" s="201"/>
      <c r="I537" s="201"/>
      <c r="J537" s="202"/>
      <c r="K537" s="203"/>
      <c r="L537" s="186">
        <f t="shared" si="15"/>
        <v>0</v>
      </c>
      <c r="M537" s="191"/>
      <c r="N537" s="191"/>
      <c r="O537" s="191"/>
      <c r="P537" s="191"/>
      <c r="Q537" s="191"/>
      <c r="R537" s="191"/>
      <c r="S537" s="191"/>
      <c r="T537" s="192"/>
      <c r="U537" s="189" t="str">
        <f t="shared" si="16"/>
        <v/>
      </c>
      <c r="V537" s="190" t="str">
        <f t="shared" si="17"/>
        <v/>
      </c>
      <c r="W537" s="190" t="str">
        <f t="shared" si="18"/>
        <v/>
      </c>
      <c r="X537" s="191" t="str">
        <f t="shared" si="19"/>
        <v/>
      </c>
      <c r="Y537" s="191" t="str">
        <f t="shared" si="20"/>
        <v/>
      </c>
      <c r="Z537" s="156"/>
    </row>
    <row r="538">
      <c r="A538" s="177" t="str">
        <f t="shared" si="14"/>
        <v/>
      </c>
      <c r="B538" s="196"/>
      <c r="C538" s="179" t="str">
        <f t="shared" si="2"/>
        <v/>
      </c>
      <c r="D538" s="197"/>
      <c r="E538" s="181"/>
      <c r="F538" s="198"/>
      <c r="G538" s="201"/>
      <c r="H538" s="201"/>
      <c r="I538" s="201"/>
      <c r="J538" s="202"/>
      <c r="K538" s="203"/>
      <c r="L538" s="186">
        <f t="shared" si="15"/>
        <v>0</v>
      </c>
      <c r="M538" s="191"/>
      <c r="N538" s="191"/>
      <c r="O538" s="191"/>
      <c r="P538" s="191"/>
      <c r="Q538" s="191"/>
      <c r="R538" s="191"/>
      <c r="S538" s="191"/>
      <c r="T538" s="192"/>
      <c r="U538" s="189" t="str">
        <f t="shared" si="16"/>
        <v/>
      </c>
      <c r="V538" s="190" t="str">
        <f t="shared" si="17"/>
        <v/>
      </c>
      <c r="W538" s="190" t="str">
        <f t="shared" si="18"/>
        <v/>
      </c>
      <c r="X538" s="191" t="str">
        <f t="shared" si="19"/>
        <v/>
      </c>
      <c r="Y538" s="191" t="str">
        <f t="shared" si="20"/>
        <v/>
      </c>
      <c r="Z538" s="156"/>
    </row>
    <row r="539">
      <c r="A539" s="177" t="str">
        <f t="shared" si="14"/>
        <v/>
      </c>
      <c r="B539" s="196"/>
      <c r="C539" s="179" t="str">
        <f t="shared" si="2"/>
        <v/>
      </c>
      <c r="D539" s="197"/>
      <c r="E539" s="181"/>
      <c r="F539" s="198"/>
      <c r="G539" s="201"/>
      <c r="H539" s="201"/>
      <c r="I539" s="201"/>
      <c r="J539" s="202"/>
      <c r="K539" s="203"/>
      <c r="L539" s="186">
        <f t="shared" si="15"/>
        <v>0</v>
      </c>
      <c r="M539" s="191"/>
      <c r="N539" s="191"/>
      <c r="O539" s="191"/>
      <c r="P539" s="191"/>
      <c r="Q539" s="191"/>
      <c r="R539" s="191"/>
      <c r="S539" s="191"/>
      <c r="T539" s="192"/>
      <c r="U539" s="189" t="str">
        <f t="shared" si="16"/>
        <v/>
      </c>
      <c r="V539" s="190" t="str">
        <f t="shared" si="17"/>
        <v/>
      </c>
      <c r="W539" s="190" t="str">
        <f t="shared" si="18"/>
        <v/>
      </c>
      <c r="X539" s="191" t="str">
        <f t="shared" si="19"/>
        <v/>
      </c>
      <c r="Y539" s="191" t="str">
        <f t="shared" si="20"/>
        <v/>
      </c>
      <c r="Z539" s="156"/>
    </row>
    <row r="540">
      <c r="A540" s="177" t="str">
        <f t="shared" si="14"/>
        <v/>
      </c>
      <c r="B540" s="196"/>
      <c r="C540" s="179" t="str">
        <f t="shared" si="2"/>
        <v/>
      </c>
      <c r="D540" s="197"/>
      <c r="E540" s="181"/>
      <c r="F540" s="198"/>
      <c r="G540" s="201"/>
      <c r="H540" s="201"/>
      <c r="I540" s="201"/>
      <c r="J540" s="202"/>
      <c r="K540" s="203"/>
      <c r="L540" s="186">
        <f t="shared" si="15"/>
        <v>0</v>
      </c>
      <c r="M540" s="191"/>
      <c r="N540" s="191"/>
      <c r="O540" s="191"/>
      <c r="P540" s="191"/>
      <c r="Q540" s="191"/>
      <c r="R540" s="191"/>
      <c r="S540" s="191"/>
      <c r="T540" s="192"/>
      <c r="U540" s="189" t="str">
        <f t="shared" si="16"/>
        <v/>
      </c>
      <c r="V540" s="190" t="str">
        <f t="shared" si="17"/>
        <v/>
      </c>
      <c r="W540" s="190" t="str">
        <f t="shared" si="18"/>
        <v/>
      </c>
      <c r="X540" s="191" t="str">
        <f t="shared" si="19"/>
        <v/>
      </c>
      <c r="Y540" s="191" t="str">
        <f t="shared" si="20"/>
        <v/>
      </c>
      <c r="Z540" s="156"/>
    </row>
    <row r="541">
      <c r="A541" s="177" t="str">
        <f t="shared" si="14"/>
        <v/>
      </c>
      <c r="B541" s="196"/>
      <c r="C541" s="179" t="str">
        <f t="shared" si="2"/>
        <v/>
      </c>
      <c r="D541" s="197"/>
      <c r="E541" s="181"/>
      <c r="F541" s="198"/>
      <c r="G541" s="201"/>
      <c r="H541" s="201"/>
      <c r="I541" s="201"/>
      <c r="J541" s="202"/>
      <c r="K541" s="203"/>
      <c r="L541" s="186">
        <f t="shared" si="15"/>
        <v>0</v>
      </c>
      <c r="M541" s="191"/>
      <c r="N541" s="191"/>
      <c r="O541" s="191"/>
      <c r="P541" s="191"/>
      <c r="Q541" s="191"/>
      <c r="R541" s="191"/>
      <c r="S541" s="191"/>
      <c r="T541" s="192"/>
      <c r="U541" s="189" t="str">
        <f t="shared" si="16"/>
        <v/>
      </c>
      <c r="V541" s="190" t="str">
        <f t="shared" si="17"/>
        <v/>
      </c>
      <c r="W541" s="190" t="str">
        <f t="shared" si="18"/>
        <v/>
      </c>
      <c r="X541" s="191" t="str">
        <f t="shared" si="19"/>
        <v/>
      </c>
      <c r="Y541" s="191" t="str">
        <f t="shared" si="20"/>
        <v/>
      </c>
      <c r="Z541" s="156"/>
    </row>
    <row r="542">
      <c r="A542" s="177" t="str">
        <f t="shared" si="14"/>
        <v/>
      </c>
      <c r="B542" s="196"/>
      <c r="C542" s="179" t="str">
        <f t="shared" si="2"/>
        <v/>
      </c>
      <c r="D542" s="197"/>
      <c r="E542" s="181"/>
      <c r="F542" s="198"/>
      <c r="G542" s="201"/>
      <c r="H542" s="201"/>
      <c r="I542" s="201"/>
      <c r="J542" s="202"/>
      <c r="K542" s="203"/>
      <c r="L542" s="186">
        <f t="shared" si="15"/>
        <v>0</v>
      </c>
      <c r="M542" s="191"/>
      <c r="N542" s="191"/>
      <c r="O542" s="191"/>
      <c r="P542" s="191"/>
      <c r="Q542" s="191"/>
      <c r="R542" s="191"/>
      <c r="S542" s="191"/>
      <c r="T542" s="192"/>
      <c r="U542" s="189" t="str">
        <f t="shared" si="16"/>
        <v/>
      </c>
      <c r="V542" s="190" t="str">
        <f t="shared" si="17"/>
        <v/>
      </c>
      <c r="W542" s="190" t="str">
        <f t="shared" si="18"/>
        <v/>
      </c>
      <c r="X542" s="191" t="str">
        <f t="shared" si="19"/>
        <v/>
      </c>
      <c r="Y542" s="191" t="str">
        <f t="shared" si="20"/>
        <v/>
      </c>
      <c r="Z542" s="156"/>
    </row>
    <row r="543">
      <c r="A543" s="177" t="str">
        <f t="shared" si="14"/>
        <v/>
      </c>
      <c r="B543" s="196"/>
      <c r="C543" s="179" t="str">
        <f t="shared" si="2"/>
        <v/>
      </c>
      <c r="D543" s="197"/>
      <c r="E543" s="181"/>
      <c r="F543" s="198"/>
      <c r="G543" s="201"/>
      <c r="H543" s="201"/>
      <c r="I543" s="201"/>
      <c r="J543" s="202"/>
      <c r="K543" s="203"/>
      <c r="L543" s="186">
        <f t="shared" si="15"/>
        <v>0</v>
      </c>
      <c r="M543" s="191"/>
      <c r="N543" s="191"/>
      <c r="O543" s="191"/>
      <c r="P543" s="191"/>
      <c r="Q543" s="191"/>
      <c r="R543" s="191"/>
      <c r="S543" s="191"/>
      <c r="T543" s="192"/>
      <c r="U543" s="189" t="str">
        <f t="shared" si="16"/>
        <v/>
      </c>
      <c r="V543" s="190" t="str">
        <f t="shared" si="17"/>
        <v/>
      </c>
      <c r="W543" s="190" t="str">
        <f t="shared" si="18"/>
        <v/>
      </c>
      <c r="X543" s="191" t="str">
        <f t="shared" si="19"/>
        <v/>
      </c>
      <c r="Y543" s="191" t="str">
        <f t="shared" si="20"/>
        <v/>
      </c>
      <c r="Z543" s="156"/>
    </row>
    <row r="544">
      <c r="A544" s="177" t="str">
        <f t="shared" si="14"/>
        <v/>
      </c>
      <c r="B544" s="196"/>
      <c r="C544" s="179" t="str">
        <f t="shared" si="2"/>
        <v/>
      </c>
      <c r="D544" s="197"/>
      <c r="E544" s="181"/>
      <c r="F544" s="198"/>
      <c r="G544" s="201"/>
      <c r="H544" s="201"/>
      <c r="I544" s="201"/>
      <c r="J544" s="202"/>
      <c r="K544" s="203"/>
      <c r="L544" s="186">
        <f t="shared" si="15"/>
        <v>0</v>
      </c>
      <c r="M544" s="191"/>
      <c r="N544" s="191"/>
      <c r="O544" s="191"/>
      <c r="P544" s="191"/>
      <c r="Q544" s="191"/>
      <c r="R544" s="191"/>
      <c r="S544" s="191"/>
      <c r="T544" s="192"/>
      <c r="U544" s="189" t="str">
        <f t="shared" si="16"/>
        <v/>
      </c>
      <c r="V544" s="190" t="str">
        <f t="shared" si="17"/>
        <v/>
      </c>
      <c r="W544" s="190" t="str">
        <f t="shared" si="18"/>
        <v/>
      </c>
      <c r="X544" s="191" t="str">
        <f t="shared" si="19"/>
        <v/>
      </c>
      <c r="Y544" s="191" t="str">
        <f t="shared" si="20"/>
        <v/>
      </c>
      <c r="Z544" s="156"/>
    </row>
    <row r="545">
      <c r="A545" s="177" t="str">
        <f t="shared" si="14"/>
        <v/>
      </c>
      <c r="B545" s="196"/>
      <c r="C545" s="179" t="str">
        <f t="shared" si="2"/>
        <v/>
      </c>
      <c r="D545" s="197"/>
      <c r="E545" s="181"/>
      <c r="F545" s="198"/>
      <c r="G545" s="201"/>
      <c r="H545" s="201"/>
      <c r="I545" s="201"/>
      <c r="J545" s="202"/>
      <c r="K545" s="203"/>
      <c r="L545" s="186">
        <f t="shared" si="15"/>
        <v>0</v>
      </c>
      <c r="M545" s="191"/>
      <c r="N545" s="191"/>
      <c r="O545" s="191"/>
      <c r="P545" s="191"/>
      <c r="Q545" s="191"/>
      <c r="R545" s="191"/>
      <c r="S545" s="191"/>
      <c r="T545" s="192"/>
      <c r="U545" s="189" t="str">
        <f t="shared" si="16"/>
        <v/>
      </c>
      <c r="V545" s="190" t="str">
        <f t="shared" si="17"/>
        <v/>
      </c>
      <c r="W545" s="190" t="str">
        <f t="shared" si="18"/>
        <v/>
      </c>
      <c r="X545" s="191" t="str">
        <f t="shared" si="19"/>
        <v/>
      </c>
      <c r="Y545" s="191" t="str">
        <f t="shared" si="20"/>
        <v/>
      </c>
      <c r="Z545" s="156"/>
    </row>
    <row r="546">
      <c r="A546" s="177" t="str">
        <f t="shared" si="14"/>
        <v/>
      </c>
      <c r="B546" s="196"/>
      <c r="C546" s="179" t="str">
        <f t="shared" si="2"/>
        <v/>
      </c>
      <c r="D546" s="197"/>
      <c r="E546" s="181"/>
      <c r="F546" s="198"/>
      <c r="G546" s="201"/>
      <c r="H546" s="201"/>
      <c r="I546" s="201"/>
      <c r="J546" s="202"/>
      <c r="K546" s="203"/>
      <c r="L546" s="186">
        <f t="shared" si="15"/>
        <v>0</v>
      </c>
      <c r="M546" s="191"/>
      <c r="N546" s="191"/>
      <c r="O546" s="191"/>
      <c r="P546" s="191"/>
      <c r="Q546" s="191"/>
      <c r="R546" s="191"/>
      <c r="S546" s="191"/>
      <c r="T546" s="192"/>
      <c r="U546" s="189" t="str">
        <f t="shared" si="16"/>
        <v/>
      </c>
      <c r="V546" s="190" t="str">
        <f t="shared" si="17"/>
        <v/>
      </c>
      <c r="W546" s="190" t="str">
        <f t="shared" si="18"/>
        <v/>
      </c>
      <c r="X546" s="191" t="str">
        <f t="shared" si="19"/>
        <v/>
      </c>
      <c r="Y546" s="191" t="str">
        <f t="shared" si="20"/>
        <v/>
      </c>
      <c r="Z546" s="156"/>
    </row>
    <row r="547">
      <c r="A547" s="177" t="str">
        <f t="shared" si="14"/>
        <v/>
      </c>
      <c r="B547" s="196"/>
      <c r="C547" s="179" t="str">
        <f t="shared" si="2"/>
        <v/>
      </c>
      <c r="D547" s="197"/>
      <c r="E547" s="181"/>
      <c r="F547" s="198"/>
      <c r="G547" s="201"/>
      <c r="H547" s="201"/>
      <c r="I547" s="201"/>
      <c r="J547" s="202"/>
      <c r="K547" s="203"/>
      <c r="L547" s="186">
        <f t="shared" si="15"/>
        <v>0</v>
      </c>
      <c r="M547" s="191"/>
      <c r="N547" s="191"/>
      <c r="O547" s="191"/>
      <c r="P547" s="191"/>
      <c r="Q547" s="191"/>
      <c r="R547" s="191"/>
      <c r="S547" s="191"/>
      <c r="T547" s="192"/>
      <c r="U547" s="189" t="str">
        <f t="shared" si="16"/>
        <v/>
      </c>
      <c r="V547" s="190" t="str">
        <f t="shared" si="17"/>
        <v/>
      </c>
      <c r="W547" s="190" t="str">
        <f t="shared" si="18"/>
        <v/>
      </c>
      <c r="X547" s="191" t="str">
        <f t="shared" si="19"/>
        <v/>
      </c>
      <c r="Y547" s="191" t="str">
        <f t="shared" si="20"/>
        <v/>
      </c>
      <c r="Z547" s="156"/>
    </row>
    <row r="548">
      <c r="A548" s="177" t="str">
        <f t="shared" si="14"/>
        <v/>
      </c>
      <c r="B548" s="196"/>
      <c r="C548" s="179" t="str">
        <f t="shared" si="2"/>
        <v/>
      </c>
      <c r="D548" s="197"/>
      <c r="E548" s="181"/>
      <c r="F548" s="198"/>
      <c r="G548" s="201"/>
      <c r="H548" s="201"/>
      <c r="I548" s="201"/>
      <c r="J548" s="202"/>
      <c r="K548" s="203"/>
      <c r="L548" s="186">
        <f t="shared" si="15"/>
        <v>0</v>
      </c>
      <c r="M548" s="191"/>
      <c r="N548" s="191"/>
      <c r="O548" s="191"/>
      <c r="P548" s="191"/>
      <c r="Q548" s="191"/>
      <c r="R548" s="191"/>
      <c r="S548" s="191"/>
      <c r="T548" s="192"/>
      <c r="U548" s="189" t="str">
        <f t="shared" si="16"/>
        <v/>
      </c>
      <c r="V548" s="190" t="str">
        <f t="shared" si="17"/>
        <v/>
      </c>
      <c r="W548" s="190" t="str">
        <f t="shared" si="18"/>
        <v/>
      </c>
      <c r="X548" s="191" t="str">
        <f t="shared" si="19"/>
        <v/>
      </c>
      <c r="Y548" s="191" t="str">
        <f t="shared" si="20"/>
        <v/>
      </c>
      <c r="Z548" s="156"/>
    </row>
    <row r="549">
      <c r="A549" s="177" t="str">
        <f t="shared" si="14"/>
        <v/>
      </c>
      <c r="B549" s="196"/>
      <c r="C549" s="179" t="str">
        <f t="shared" si="2"/>
        <v/>
      </c>
      <c r="D549" s="197"/>
      <c r="E549" s="181"/>
      <c r="F549" s="198"/>
      <c r="G549" s="201"/>
      <c r="H549" s="201"/>
      <c r="I549" s="201"/>
      <c r="J549" s="202"/>
      <c r="K549" s="203"/>
      <c r="L549" s="186">
        <f t="shared" si="15"/>
        <v>0</v>
      </c>
      <c r="M549" s="191"/>
      <c r="N549" s="191"/>
      <c r="O549" s="191"/>
      <c r="P549" s="191"/>
      <c r="Q549" s="191"/>
      <c r="R549" s="191"/>
      <c r="S549" s="191"/>
      <c r="T549" s="192"/>
      <c r="U549" s="189" t="str">
        <f t="shared" si="16"/>
        <v/>
      </c>
      <c r="V549" s="190" t="str">
        <f t="shared" si="17"/>
        <v/>
      </c>
      <c r="W549" s="190" t="str">
        <f t="shared" si="18"/>
        <v/>
      </c>
      <c r="X549" s="191" t="str">
        <f t="shared" si="19"/>
        <v/>
      </c>
      <c r="Y549" s="191" t="str">
        <f t="shared" si="20"/>
        <v/>
      </c>
      <c r="Z549" s="156"/>
    </row>
    <row r="550">
      <c r="A550" s="177" t="str">
        <f t="shared" si="14"/>
        <v/>
      </c>
      <c r="B550" s="196"/>
      <c r="C550" s="179" t="str">
        <f t="shared" si="2"/>
        <v/>
      </c>
      <c r="D550" s="197"/>
      <c r="E550" s="181"/>
      <c r="F550" s="198"/>
      <c r="G550" s="201"/>
      <c r="H550" s="201"/>
      <c r="I550" s="201"/>
      <c r="J550" s="202"/>
      <c r="K550" s="203"/>
      <c r="L550" s="186">
        <f t="shared" si="15"/>
        <v>0</v>
      </c>
      <c r="M550" s="191"/>
      <c r="N550" s="191"/>
      <c r="O550" s="191"/>
      <c r="P550" s="191"/>
      <c r="Q550" s="191"/>
      <c r="R550" s="191"/>
      <c r="S550" s="191"/>
      <c r="T550" s="192"/>
      <c r="U550" s="189" t="str">
        <f t="shared" si="16"/>
        <v/>
      </c>
      <c r="V550" s="190" t="str">
        <f t="shared" si="17"/>
        <v/>
      </c>
      <c r="W550" s="190" t="str">
        <f t="shared" si="18"/>
        <v/>
      </c>
      <c r="X550" s="191" t="str">
        <f t="shared" si="19"/>
        <v/>
      </c>
      <c r="Y550" s="191" t="str">
        <f t="shared" si="20"/>
        <v/>
      </c>
      <c r="Z550" s="156"/>
    </row>
    <row r="551">
      <c r="A551" s="177" t="str">
        <f t="shared" si="14"/>
        <v/>
      </c>
      <c r="B551" s="196"/>
      <c r="C551" s="179" t="str">
        <f t="shared" si="2"/>
        <v/>
      </c>
      <c r="D551" s="197"/>
      <c r="E551" s="181"/>
      <c r="F551" s="198"/>
      <c r="G551" s="201"/>
      <c r="H551" s="201"/>
      <c r="I551" s="201"/>
      <c r="J551" s="202"/>
      <c r="K551" s="203"/>
      <c r="L551" s="186">
        <f t="shared" si="15"/>
        <v>0</v>
      </c>
      <c r="M551" s="191"/>
      <c r="N551" s="191"/>
      <c r="O551" s="191"/>
      <c r="P551" s="191"/>
      <c r="Q551" s="191"/>
      <c r="R551" s="191"/>
      <c r="S551" s="191"/>
      <c r="T551" s="192"/>
      <c r="U551" s="189" t="str">
        <f t="shared" si="16"/>
        <v/>
      </c>
      <c r="V551" s="190" t="str">
        <f t="shared" si="17"/>
        <v/>
      </c>
      <c r="W551" s="190" t="str">
        <f t="shared" si="18"/>
        <v/>
      </c>
      <c r="X551" s="191" t="str">
        <f t="shared" si="19"/>
        <v/>
      </c>
      <c r="Y551" s="191" t="str">
        <f t="shared" si="20"/>
        <v/>
      </c>
      <c r="Z551" s="156"/>
    </row>
    <row r="552">
      <c r="A552" s="177" t="str">
        <f t="shared" si="14"/>
        <v/>
      </c>
      <c r="B552" s="196"/>
      <c r="C552" s="179" t="str">
        <f t="shared" si="2"/>
        <v/>
      </c>
      <c r="D552" s="197"/>
      <c r="E552" s="181"/>
      <c r="F552" s="198"/>
      <c r="G552" s="201"/>
      <c r="H552" s="201"/>
      <c r="I552" s="201"/>
      <c r="J552" s="202"/>
      <c r="K552" s="203"/>
      <c r="L552" s="186">
        <f t="shared" si="15"/>
        <v>0</v>
      </c>
      <c r="M552" s="191"/>
      <c r="N552" s="191"/>
      <c r="O552" s="191"/>
      <c r="P552" s="191"/>
      <c r="Q552" s="191"/>
      <c r="R552" s="191"/>
      <c r="S552" s="191"/>
      <c r="T552" s="192"/>
      <c r="U552" s="189" t="str">
        <f t="shared" si="16"/>
        <v/>
      </c>
      <c r="V552" s="190" t="str">
        <f t="shared" si="17"/>
        <v/>
      </c>
      <c r="W552" s="190" t="str">
        <f t="shared" si="18"/>
        <v/>
      </c>
      <c r="X552" s="191" t="str">
        <f t="shared" si="19"/>
        <v/>
      </c>
      <c r="Y552" s="191" t="str">
        <f t="shared" si="20"/>
        <v/>
      </c>
      <c r="Z552" s="156"/>
    </row>
    <row r="553">
      <c r="A553" s="177" t="str">
        <f t="shared" si="14"/>
        <v/>
      </c>
      <c r="B553" s="196"/>
      <c r="C553" s="179" t="str">
        <f t="shared" si="2"/>
        <v/>
      </c>
      <c r="D553" s="197"/>
      <c r="E553" s="181"/>
      <c r="F553" s="198"/>
      <c r="G553" s="201"/>
      <c r="H553" s="201"/>
      <c r="I553" s="201"/>
      <c r="J553" s="202"/>
      <c r="K553" s="203"/>
      <c r="L553" s="186">
        <f t="shared" si="15"/>
        <v>0</v>
      </c>
      <c r="M553" s="191"/>
      <c r="N553" s="191"/>
      <c r="O553" s="191"/>
      <c r="P553" s="191"/>
      <c r="Q553" s="191"/>
      <c r="R553" s="191"/>
      <c r="S553" s="191"/>
      <c r="T553" s="192"/>
      <c r="U553" s="189" t="str">
        <f t="shared" si="16"/>
        <v/>
      </c>
      <c r="V553" s="190" t="str">
        <f t="shared" si="17"/>
        <v/>
      </c>
      <c r="W553" s="190" t="str">
        <f t="shared" si="18"/>
        <v/>
      </c>
      <c r="X553" s="191" t="str">
        <f t="shared" si="19"/>
        <v/>
      </c>
      <c r="Y553" s="191" t="str">
        <f t="shared" si="20"/>
        <v/>
      </c>
      <c r="Z553" s="156"/>
    </row>
    <row r="554">
      <c r="A554" s="177" t="str">
        <f t="shared" si="14"/>
        <v/>
      </c>
      <c r="B554" s="196"/>
      <c r="C554" s="179" t="str">
        <f t="shared" si="2"/>
        <v/>
      </c>
      <c r="D554" s="197"/>
      <c r="E554" s="181"/>
      <c r="F554" s="198"/>
      <c r="G554" s="201"/>
      <c r="H554" s="201"/>
      <c r="I554" s="201"/>
      <c r="J554" s="202"/>
      <c r="K554" s="203"/>
      <c r="L554" s="186">
        <f t="shared" si="15"/>
        <v>0</v>
      </c>
      <c r="M554" s="191"/>
      <c r="N554" s="191"/>
      <c r="O554" s="191"/>
      <c r="P554" s="191"/>
      <c r="Q554" s="191"/>
      <c r="R554" s="191"/>
      <c r="S554" s="191"/>
      <c r="T554" s="192"/>
      <c r="U554" s="189" t="str">
        <f t="shared" si="16"/>
        <v/>
      </c>
      <c r="V554" s="190" t="str">
        <f t="shared" si="17"/>
        <v/>
      </c>
      <c r="W554" s="190" t="str">
        <f t="shared" si="18"/>
        <v/>
      </c>
      <c r="X554" s="191" t="str">
        <f t="shared" si="19"/>
        <v/>
      </c>
      <c r="Y554" s="191" t="str">
        <f t="shared" si="20"/>
        <v/>
      </c>
      <c r="Z554" s="156"/>
    </row>
    <row r="555">
      <c r="A555" s="177" t="str">
        <f t="shared" si="14"/>
        <v/>
      </c>
      <c r="B555" s="196"/>
      <c r="C555" s="179" t="str">
        <f t="shared" si="2"/>
        <v/>
      </c>
      <c r="D555" s="197"/>
      <c r="E555" s="181"/>
      <c r="F555" s="198"/>
      <c r="G555" s="201"/>
      <c r="H555" s="201"/>
      <c r="I555" s="201"/>
      <c r="J555" s="202"/>
      <c r="K555" s="203"/>
      <c r="L555" s="186">
        <f t="shared" si="15"/>
        <v>0</v>
      </c>
      <c r="M555" s="191"/>
      <c r="N555" s="191"/>
      <c r="O555" s="191"/>
      <c r="P555" s="191"/>
      <c r="Q555" s="191"/>
      <c r="R555" s="191"/>
      <c r="S555" s="191"/>
      <c r="T555" s="192"/>
      <c r="U555" s="189" t="str">
        <f t="shared" si="16"/>
        <v/>
      </c>
      <c r="V555" s="190" t="str">
        <f t="shared" si="17"/>
        <v/>
      </c>
      <c r="W555" s="190" t="str">
        <f t="shared" si="18"/>
        <v/>
      </c>
      <c r="X555" s="191" t="str">
        <f t="shared" si="19"/>
        <v/>
      </c>
      <c r="Y555" s="191" t="str">
        <f t="shared" si="20"/>
        <v/>
      </c>
      <c r="Z555" s="156"/>
    </row>
    <row r="556">
      <c r="A556" s="177" t="str">
        <f t="shared" si="14"/>
        <v/>
      </c>
      <c r="B556" s="196"/>
      <c r="C556" s="179" t="str">
        <f t="shared" si="2"/>
        <v/>
      </c>
      <c r="D556" s="197"/>
      <c r="E556" s="181"/>
      <c r="F556" s="198"/>
      <c r="G556" s="201"/>
      <c r="H556" s="201"/>
      <c r="I556" s="201"/>
      <c r="J556" s="202"/>
      <c r="K556" s="203"/>
      <c r="L556" s="186">
        <f t="shared" si="15"/>
        <v>0</v>
      </c>
      <c r="M556" s="191"/>
      <c r="N556" s="191"/>
      <c r="O556" s="191"/>
      <c r="P556" s="191"/>
      <c r="Q556" s="191"/>
      <c r="R556" s="191"/>
      <c r="S556" s="191"/>
      <c r="T556" s="192"/>
      <c r="U556" s="189" t="str">
        <f t="shared" si="16"/>
        <v/>
      </c>
      <c r="V556" s="190" t="str">
        <f t="shared" si="17"/>
        <v/>
      </c>
      <c r="W556" s="190" t="str">
        <f t="shared" si="18"/>
        <v/>
      </c>
      <c r="X556" s="191" t="str">
        <f t="shared" si="19"/>
        <v/>
      </c>
      <c r="Y556" s="191" t="str">
        <f t="shared" si="20"/>
        <v/>
      </c>
      <c r="Z556" s="156"/>
    </row>
    <row r="557">
      <c r="A557" s="177" t="str">
        <f t="shared" si="14"/>
        <v/>
      </c>
      <c r="B557" s="196"/>
      <c r="C557" s="179" t="str">
        <f t="shared" si="2"/>
        <v/>
      </c>
      <c r="D557" s="197"/>
      <c r="E557" s="181"/>
      <c r="F557" s="198"/>
      <c r="G557" s="201"/>
      <c r="H557" s="201"/>
      <c r="I557" s="201"/>
      <c r="J557" s="202"/>
      <c r="K557" s="203"/>
      <c r="L557" s="186">
        <f t="shared" si="15"/>
        <v>0</v>
      </c>
      <c r="M557" s="191"/>
      <c r="N557" s="191"/>
      <c r="O557" s="191"/>
      <c r="P557" s="191"/>
      <c r="Q557" s="191"/>
      <c r="R557" s="191"/>
      <c r="S557" s="191"/>
      <c r="T557" s="192"/>
      <c r="U557" s="189" t="str">
        <f t="shared" si="16"/>
        <v/>
      </c>
      <c r="V557" s="190" t="str">
        <f t="shared" si="17"/>
        <v/>
      </c>
      <c r="W557" s="190" t="str">
        <f t="shared" si="18"/>
        <v/>
      </c>
      <c r="X557" s="191" t="str">
        <f t="shared" si="19"/>
        <v/>
      </c>
      <c r="Y557" s="191" t="str">
        <f t="shared" si="20"/>
        <v/>
      </c>
      <c r="Z557" s="156"/>
    </row>
    <row r="558">
      <c r="A558" s="177" t="str">
        <f t="shared" si="14"/>
        <v/>
      </c>
      <c r="B558" s="196"/>
      <c r="C558" s="179" t="str">
        <f t="shared" si="2"/>
        <v/>
      </c>
      <c r="D558" s="197"/>
      <c r="E558" s="181"/>
      <c r="F558" s="198"/>
      <c r="G558" s="201"/>
      <c r="H558" s="201"/>
      <c r="I558" s="201"/>
      <c r="J558" s="202"/>
      <c r="K558" s="203"/>
      <c r="L558" s="186">
        <f t="shared" si="15"/>
        <v>0</v>
      </c>
      <c r="M558" s="191"/>
      <c r="N558" s="191"/>
      <c r="O558" s="191"/>
      <c r="P558" s="191"/>
      <c r="Q558" s="191"/>
      <c r="R558" s="191"/>
      <c r="S558" s="191"/>
      <c r="T558" s="192"/>
      <c r="U558" s="189" t="str">
        <f t="shared" si="16"/>
        <v/>
      </c>
      <c r="V558" s="190" t="str">
        <f t="shared" si="17"/>
        <v/>
      </c>
      <c r="W558" s="190" t="str">
        <f t="shared" si="18"/>
        <v/>
      </c>
      <c r="X558" s="191" t="str">
        <f t="shared" si="19"/>
        <v/>
      </c>
      <c r="Y558" s="191" t="str">
        <f t="shared" si="20"/>
        <v/>
      </c>
      <c r="Z558" s="156"/>
    </row>
    <row r="559">
      <c r="A559" s="177" t="str">
        <f t="shared" si="14"/>
        <v/>
      </c>
      <c r="B559" s="196"/>
      <c r="C559" s="179" t="str">
        <f t="shared" si="2"/>
        <v/>
      </c>
      <c r="D559" s="197"/>
      <c r="E559" s="181"/>
      <c r="F559" s="198"/>
      <c r="G559" s="201"/>
      <c r="H559" s="201"/>
      <c r="I559" s="201"/>
      <c r="J559" s="202"/>
      <c r="K559" s="203"/>
      <c r="L559" s="186">
        <f t="shared" si="15"/>
        <v>0</v>
      </c>
      <c r="M559" s="191"/>
      <c r="N559" s="191"/>
      <c r="O559" s="191"/>
      <c r="P559" s="191"/>
      <c r="Q559" s="191"/>
      <c r="R559" s="191"/>
      <c r="S559" s="191"/>
      <c r="T559" s="192"/>
      <c r="U559" s="189" t="str">
        <f t="shared" si="16"/>
        <v/>
      </c>
      <c r="V559" s="190" t="str">
        <f t="shared" si="17"/>
        <v/>
      </c>
      <c r="W559" s="190" t="str">
        <f t="shared" si="18"/>
        <v/>
      </c>
      <c r="X559" s="191" t="str">
        <f t="shared" si="19"/>
        <v/>
      </c>
      <c r="Y559" s="191" t="str">
        <f t="shared" si="20"/>
        <v/>
      </c>
      <c r="Z559" s="156"/>
    </row>
    <row r="560">
      <c r="A560" s="177" t="str">
        <f t="shared" si="14"/>
        <v/>
      </c>
      <c r="B560" s="196"/>
      <c r="C560" s="179" t="str">
        <f t="shared" si="2"/>
        <v/>
      </c>
      <c r="D560" s="197"/>
      <c r="E560" s="181"/>
      <c r="F560" s="198"/>
      <c r="G560" s="201"/>
      <c r="H560" s="201"/>
      <c r="I560" s="201"/>
      <c r="J560" s="202"/>
      <c r="K560" s="203"/>
      <c r="L560" s="186">
        <f t="shared" si="15"/>
        <v>0</v>
      </c>
      <c r="M560" s="191"/>
      <c r="N560" s="191"/>
      <c r="O560" s="191"/>
      <c r="P560" s="191"/>
      <c r="Q560" s="191"/>
      <c r="R560" s="191"/>
      <c r="S560" s="191"/>
      <c r="T560" s="192"/>
      <c r="U560" s="189" t="str">
        <f t="shared" si="16"/>
        <v/>
      </c>
      <c r="V560" s="190" t="str">
        <f t="shared" si="17"/>
        <v/>
      </c>
      <c r="W560" s="190" t="str">
        <f t="shared" si="18"/>
        <v/>
      </c>
      <c r="X560" s="191" t="str">
        <f t="shared" si="19"/>
        <v/>
      </c>
      <c r="Y560" s="191" t="str">
        <f t="shared" si="20"/>
        <v/>
      </c>
      <c r="Z560" s="156"/>
    </row>
    <row r="561">
      <c r="A561" s="177" t="str">
        <f t="shared" si="14"/>
        <v/>
      </c>
      <c r="B561" s="196"/>
      <c r="C561" s="179" t="str">
        <f t="shared" si="2"/>
        <v/>
      </c>
      <c r="D561" s="197"/>
      <c r="E561" s="181"/>
      <c r="F561" s="198"/>
      <c r="G561" s="201"/>
      <c r="H561" s="201"/>
      <c r="I561" s="201"/>
      <c r="J561" s="202"/>
      <c r="K561" s="203"/>
      <c r="L561" s="186">
        <f t="shared" si="15"/>
        <v>0</v>
      </c>
      <c r="M561" s="191"/>
      <c r="N561" s="191"/>
      <c r="O561" s="191"/>
      <c r="P561" s="191"/>
      <c r="Q561" s="191"/>
      <c r="R561" s="191"/>
      <c r="S561" s="191"/>
      <c r="T561" s="192"/>
      <c r="U561" s="189" t="str">
        <f t="shared" si="16"/>
        <v/>
      </c>
      <c r="V561" s="190" t="str">
        <f t="shared" si="17"/>
        <v/>
      </c>
      <c r="W561" s="190" t="str">
        <f t="shared" si="18"/>
        <v/>
      </c>
      <c r="X561" s="191" t="str">
        <f t="shared" si="19"/>
        <v/>
      </c>
      <c r="Y561" s="191" t="str">
        <f t="shared" si="20"/>
        <v/>
      </c>
      <c r="Z561" s="156"/>
    </row>
    <row r="562">
      <c r="A562" s="177" t="str">
        <f t="shared" si="14"/>
        <v/>
      </c>
      <c r="B562" s="196"/>
      <c r="C562" s="179" t="str">
        <f t="shared" si="2"/>
        <v/>
      </c>
      <c r="D562" s="197"/>
      <c r="E562" s="181"/>
      <c r="F562" s="198"/>
      <c r="G562" s="201"/>
      <c r="H562" s="201"/>
      <c r="I562" s="201"/>
      <c r="J562" s="202"/>
      <c r="K562" s="203"/>
      <c r="L562" s="186">
        <f t="shared" si="15"/>
        <v>0</v>
      </c>
      <c r="M562" s="191"/>
      <c r="N562" s="191"/>
      <c r="O562" s="191"/>
      <c r="P562" s="191"/>
      <c r="Q562" s="191"/>
      <c r="R562" s="191"/>
      <c r="S562" s="191"/>
      <c r="T562" s="192"/>
      <c r="U562" s="189" t="str">
        <f t="shared" si="16"/>
        <v/>
      </c>
      <c r="V562" s="190" t="str">
        <f t="shared" si="17"/>
        <v/>
      </c>
      <c r="W562" s="190" t="str">
        <f t="shared" si="18"/>
        <v/>
      </c>
      <c r="X562" s="191" t="str">
        <f t="shared" si="19"/>
        <v/>
      </c>
      <c r="Y562" s="191" t="str">
        <f t="shared" si="20"/>
        <v/>
      </c>
      <c r="Z562" s="156"/>
    </row>
    <row r="563">
      <c r="A563" s="177" t="str">
        <f t="shared" si="14"/>
        <v/>
      </c>
      <c r="B563" s="196"/>
      <c r="C563" s="179" t="str">
        <f t="shared" si="2"/>
        <v/>
      </c>
      <c r="D563" s="197"/>
      <c r="E563" s="181"/>
      <c r="F563" s="198"/>
      <c r="G563" s="201"/>
      <c r="H563" s="201"/>
      <c r="I563" s="201"/>
      <c r="J563" s="202"/>
      <c r="K563" s="203"/>
      <c r="L563" s="186">
        <f t="shared" si="15"/>
        <v>0</v>
      </c>
      <c r="M563" s="191"/>
      <c r="N563" s="191"/>
      <c r="O563" s="191"/>
      <c r="P563" s="191"/>
      <c r="Q563" s="191"/>
      <c r="R563" s="191"/>
      <c r="S563" s="191"/>
      <c r="T563" s="192"/>
      <c r="U563" s="189" t="str">
        <f t="shared" si="16"/>
        <v/>
      </c>
      <c r="V563" s="190" t="str">
        <f t="shared" si="17"/>
        <v/>
      </c>
      <c r="W563" s="190" t="str">
        <f t="shared" si="18"/>
        <v/>
      </c>
      <c r="X563" s="191" t="str">
        <f t="shared" si="19"/>
        <v/>
      </c>
      <c r="Y563" s="191" t="str">
        <f t="shared" si="20"/>
        <v/>
      </c>
      <c r="Z563" s="156"/>
    </row>
    <row r="564">
      <c r="A564" s="177" t="str">
        <f t="shared" si="14"/>
        <v/>
      </c>
      <c r="B564" s="196"/>
      <c r="C564" s="179" t="str">
        <f t="shared" si="2"/>
        <v/>
      </c>
      <c r="D564" s="197"/>
      <c r="E564" s="181"/>
      <c r="F564" s="198"/>
      <c r="G564" s="201"/>
      <c r="H564" s="201"/>
      <c r="I564" s="201"/>
      <c r="J564" s="202"/>
      <c r="K564" s="203"/>
      <c r="L564" s="186">
        <f t="shared" si="15"/>
        <v>0</v>
      </c>
      <c r="M564" s="191"/>
      <c r="N564" s="191"/>
      <c r="O564" s="191"/>
      <c r="P564" s="191"/>
      <c r="Q564" s="191"/>
      <c r="R564" s="191"/>
      <c r="S564" s="191"/>
      <c r="T564" s="192"/>
      <c r="U564" s="189" t="str">
        <f t="shared" si="16"/>
        <v/>
      </c>
      <c r="V564" s="190" t="str">
        <f t="shared" si="17"/>
        <v/>
      </c>
      <c r="W564" s="190" t="str">
        <f t="shared" si="18"/>
        <v/>
      </c>
      <c r="X564" s="191" t="str">
        <f t="shared" si="19"/>
        <v/>
      </c>
      <c r="Y564" s="191" t="str">
        <f t="shared" si="20"/>
        <v/>
      </c>
      <c r="Z564" s="156"/>
    </row>
    <row r="565">
      <c r="A565" s="177" t="str">
        <f t="shared" si="14"/>
        <v/>
      </c>
      <c r="B565" s="196"/>
      <c r="C565" s="179" t="str">
        <f t="shared" si="2"/>
        <v/>
      </c>
      <c r="D565" s="197"/>
      <c r="E565" s="181"/>
      <c r="F565" s="198"/>
      <c r="G565" s="201"/>
      <c r="H565" s="201"/>
      <c r="I565" s="201"/>
      <c r="J565" s="202"/>
      <c r="K565" s="203"/>
      <c r="L565" s="186">
        <f t="shared" si="15"/>
        <v>0</v>
      </c>
      <c r="M565" s="191"/>
      <c r="N565" s="191"/>
      <c r="O565" s="191"/>
      <c r="P565" s="191"/>
      <c r="Q565" s="191"/>
      <c r="R565" s="191"/>
      <c r="S565" s="191"/>
      <c r="T565" s="192"/>
      <c r="U565" s="189" t="str">
        <f t="shared" si="16"/>
        <v/>
      </c>
      <c r="V565" s="190" t="str">
        <f t="shared" si="17"/>
        <v/>
      </c>
      <c r="W565" s="190" t="str">
        <f t="shared" si="18"/>
        <v/>
      </c>
      <c r="X565" s="191" t="str">
        <f t="shared" si="19"/>
        <v/>
      </c>
      <c r="Y565" s="191" t="str">
        <f t="shared" si="20"/>
        <v/>
      </c>
      <c r="Z565" s="156"/>
    </row>
    <row r="566">
      <c r="A566" s="177" t="str">
        <f t="shared" si="14"/>
        <v/>
      </c>
      <c r="B566" s="196"/>
      <c r="C566" s="179" t="str">
        <f t="shared" si="2"/>
        <v/>
      </c>
      <c r="D566" s="197"/>
      <c r="E566" s="181"/>
      <c r="F566" s="198"/>
      <c r="G566" s="201"/>
      <c r="H566" s="201"/>
      <c r="I566" s="201"/>
      <c r="J566" s="202"/>
      <c r="K566" s="203"/>
      <c r="L566" s="186">
        <f t="shared" si="15"/>
        <v>0</v>
      </c>
      <c r="M566" s="191"/>
      <c r="N566" s="191"/>
      <c r="O566" s="191"/>
      <c r="P566" s="191"/>
      <c r="Q566" s="191"/>
      <c r="R566" s="191"/>
      <c r="S566" s="191"/>
      <c r="T566" s="192"/>
      <c r="U566" s="189" t="str">
        <f t="shared" si="16"/>
        <v/>
      </c>
      <c r="V566" s="190" t="str">
        <f t="shared" si="17"/>
        <v/>
      </c>
      <c r="W566" s="190" t="str">
        <f t="shared" si="18"/>
        <v/>
      </c>
      <c r="X566" s="191" t="str">
        <f t="shared" si="19"/>
        <v/>
      </c>
      <c r="Y566" s="191" t="str">
        <f t="shared" si="20"/>
        <v/>
      </c>
      <c r="Z566" s="156"/>
    </row>
    <row r="567">
      <c r="A567" s="177" t="str">
        <f t="shared" si="14"/>
        <v/>
      </c>
      <c r="B567" s="196"/>
      <c r="C567" s="179" t="str">
        <f t="shared" si="2"/>
        <v/>
      </c>
      <c r="D567" s="197"/>
      <c r="E567" s="181"/>
      <c r="F567" s="198"/>
      <c r="G567" s="201"/>
      <c r="H567" s="201"/>
      <c r="I567" s="201"/>
      <c r="J567" s="202"/>
      <c r="K567" s="203"/>
      <c r="L567" s="186">
        <f t="shared" si="15"/>
        <v>0</v>
      </c>
      <c r="M567" s="191"/>
      <c r="N567" s="191"/>
      <c r="O567" s="191"/>
      <c r="P567" s="191"/>
      <c r="Q567" s="191"/>
      <c r="R567" s="191"/>
      <c r="S567" s="191"/>
      <c r="T567" s="192"/>
      <c r="U567" s="189" t="str">
        <f t="shared" si="16"/>
        <v/>
      </c>
      <c r="V567" s="190" t="str">
        <f t="shared" si="17"/>
        <v/>
      </c>
      <c r="W567" s="190" t="str">
        <f t="shared" si="18"/>
        <v/>
      </c>
      <c r="X567" s="191" t="str">
        <f t="shared" si="19"/>
        <v/>
      </c>
      <c r="Y567" s="191" t="str">
        <f t="shared" si="20"/>
        <v/>
      </c>
      <c r="Z567" s="156"/>
    </row>
    <row r="568">
      <c r="A568" s="177" t="str">
        <f t="shared" si="14"/>
        <v/>
      </c>
      <c r="B568" s="196"/>
      <c r="C568" s="179" t="str">
        <f t="shared" si="2"/>
        <v/>
      </c>
      <c r="D568" s="197"/>
      <c r="E568" s="181"/>
      <c r="F568" s="198"/>
      <c r="G568" s="201"/>
      <c r="H568" s="201"/>
      <c r="I568" s="201"/>
      <c r="J568" s="202"/>
      <c r="K568" s="203"/>
      <c r="L568" s="186">
        <f t="shared" si="15"/>
        <v>0</v>
      </c>
      <c r="M568" s="191"/>
      <c r="N568" s="191"/>
      <c r="O568" s="191"/>
      <c r="P568" s="191"/>
      <c r="Q568" s="191"/>
      <c r="R568" s="191"/>
      <c r="S568" s="191"/>
      <c r="T568" s="192"/>
      <c r="U568" s="189" t="str">
        <f t="shared" si="16"/>
        <v/>
      </c>
      <c r="V568" s="190" t="str">
        <f t="shared" si="17"/>
        <v/>
      </c>
      <c r="W568" s="190" t="str">
        <f t="shared" si="18"/>
        <v/>
      </c>
      <c r="X568" s="191" t="str">
        <f t="shared" si="19"/>
        <v/>
      </c>
      <c r="Y568" s="191" t="str">
        <f t="shared" si="20"/>
        <v/>
      </c>
      <c r="Z568" s="156"/>
    </row>
    <row r="569">
      <c r="A569" s="177" t="str">
        <f t="shared" si="14"/>
        <v/>
      </c>
      <c r="B569" s="196"/>
      <c r="C569" s="179" t="str">
        <f t="shared" si="2"/>
        <v/>
      </c>
      <c r="D569" s="197"/>
      <c r="E569" s="181"/>
      <c r="F569" s="198"/>
      <c r="G569" s="201"/>
      <c r="H569" s="201"/>
      <c r="I569" s="201"/>
      <c r="J569" s="202"/>
      <c r="K569" s="203"/>
      <c r="L569" s="186">
        <f t="shared" si="15"/>
        <v>0</v>
      </c>
      <c r="M569" s="191"/>
      <c r="N569" s="191"/>
      <c r="O569" s="191"/>
      <c r="P569" s="191"/>
      <c r="Q569" s="191"/>
      <c r="R569" s="191"/>
      <c r="S569" s="191"/>
      <c r="T569" s="192"/>
      <c r="U569" s="189" t="str">
        <f t="shared" si="16"/>
        <v/>
      </c>
      <c r="V569" s="190" t="str">
        <f t="shared" si="17"/>
        <v/>
      </c>
      <c r="W569" s="190" t="str">
        <f t="shared" si="18"/>
        <v/>
      </c>
      <c r="X569" s="191" t="str">
        <f t="shared" si="19"/>
        <v/>
      </c>
      <c r="Y569" s="191" t="str">
        <f t="shared" si="20"/>
        <v/>
      </c>
      <c r="Z569" s="156"/>
    </row>
    <row r="570">
      <c r="A570" s="177" t="str">
        <f t="shared" si="14"/>
        <v/>
      </c>
      <c r="B570" s="196"/>
      <c r="C570" s="179" t="str">
        <f t="shared" si="2"/>
        <v/>
      </c>
      <c r="D570" s="197"/>
      <c r="E570" s="181"/>
      <c r="F570" s="198"/>
      <c r="G570" s="201"/>
      <c r="H570" s="201"/>
      <c r="I570" s="201"/>
      <c r="J570" s="202"/>
      <c r="K570" s="203"/>
      <c r="L570" s="186">
        <f t="shared" si="15"/>
        <v>0</v>
      </c>
      <c r="M570" s="191"/>
      <c r="N570" s="191"/>
      <c r="O570" s="191"/>
      <c r="P570" s="191"/>
      <c r="Q570" s="191"/>
      <c r="R570" s="191"/>
      <c r="S570" s="191"/>
      <c r="T570" s="192"/>
      <c r="U570" s="189" t="str">
        <f t="shared" si="16"/>
        <v/>
      </c>
      <c r="V570" s="190" t="str">
        <f t="shared" si="17"/>
        <v/>
      </c>
      <c r="W570" s="190" t="str">
        <f t="shared" si="18"/>
        <v/>
      </c>
      <c r="X570" s="191" t="str">
        <f t="shared" si="19"/>
        <v/>
      </c>
      <c r="Y570" s="191" t="str">
        <f t="shared" si="20"/>
        <v/>
      </c>
      <c r="Z570" s="156"/>
    </row>
    <row r="571">
      <c r="A571" s="177" t="str">
        <f t="shared" si="14"/>
        <v/>
      </c>
      <c r="B571" s="196"/>
      <c r="C571" s="179" t="str">
        <f t="shared" si="2"/>
        <v/>
      </c>
      <c r="D571" s="197"/>
      <c r="E571" s="181"/>
      <c r="F571" s="198"/>
      <c r="G571" s="201"/>
      <c r="H571" s="201"/>
      <c r="I571" s="201"/>
      <c r="J571" s="202"/>
      <c r="K571" s="203"/>
      <c r="L571" s="186">
        <f t="shared" si="15"/>
        <v>0</v>
      </c>
      <c r="M571" s="191"/>
      <c r="N571" s="191"/>
      <c r="O571" s="191"/>
      <c r="P571" s="191"/>
      <c r="Q571" s="191"/>
      <c r="R571" s="191"/>
      <c r="S571" s="191"/>
      <c r="T571" s="192"/>
      <c r="U571" s="189" t="str">
        <f t="shared" si="16"/>
        <v/>
      </c>
      <c r="V571" s="190" t="str">
        <f t="shared" si="17"/>
        <v/>
      </c>
      <c r="W571" s="190" t="str">
        <f t="shared" si="18"/>
        <v/>
      </c>
      <c r="X571" s="191" t="str">
        <f t="shared" si="19"/>
        <v/>
      </c>
      <c r="Y571" s="191" t="str">
        <f t="shared" si="20"/>
        <v/>
      </c>
      <c r="Z571" s="156"/>
    </row>
    <row r="572">
      <c r="A572" s="177" t="str">
        <f t="shared" si="14"/>
        <v/>
      </c>
      <c r="B572" s="196"/>
      <c r="C572" s="179" t="str">
        <f t="shared" si="2"/>
        <v/>
      </c>
      <c r="D572" s="197"/>
      <c r="E572" s="181"/>
      <c r="F572" s="198"/>
      <c r="G572" s="201"/>
      <c r="H572" s="201"/>
      <c r="I572" s="201"/>
      <c r="J572" s="202"/>
      <c r="K572" s="203"/>
      <c r="L572" s="186">
        <f t="shared" si="15"/>
        <v>0</v>
      </c>
      <c r="M572" s="191"/>
      <c r="N572" s="191"/>
      <c r="O572" s="191"/>
      <c r="P572" s="191"/>
      <c r="Q572" s="191"/>
      <c r="R572" s="191"/>
      <c r="S572" s="191"/>
      <c r="T572" s="192"/>
      <c r="U572" s="189" t="str">
        <f t="shared" si="16"/>
        <v/>
      </c>
      <c r="V572" s="190" t="str">
        <f t="shared" si="17"/>
        <v/>
      </c>
      <c r="W572" s="190" t="str">
        <f t="shared" si="18"/>
        <v/>
      </c>
      <c r="X572" s="191" t="str">
        <f t="shared" si="19"/>
        <v/>
      </c>
      <c r="Y572" s="191" t="str">
        <f t="shared" si="20"/>
        <v/>
      </c>
      <c r="Z572" s="156"/>
    </row>
    <row r="573">
      <c r="A573" s="177" t="str">
        <f t="shared" si="14"/>
        <v/>
      </c>
      <c r="B573" s="196"/>
      <c r="C573" s="179" t="str">
        <f t="shared" si="2"/>
        <v/>
      </c>
      <c r="D573" s="197"/>
      <c r="E573" s="181"/>
      <c r="F573" s="198"/>
      <c r="G573" s="201"/>
      <c r="H573" s="201"/>
      <c r="I573" s="201"/>
      <c r="J573" s="202"/>
      <c r="K573" s="203"/>
      <c r="L573" s="186">
        <f t="shared" si="15"/>
        <v>0</v>
      </c>
      <c r="M573" s="191"/>
      <c r="N573" s="191"/>
      <c r="O573" s="191"/>
      <c r="P573" s="191"/>
      <c r="Q573" s="191"/>
      <c r="R573" s="191"/>
      <c r="S573" s="191"/>
      <c r="T573" s="192"/>
      <c r="U573" s="189" t="str">
        <f t="shared" si="16"/>
        <v/>
      </c>
      <c r="V573" s="190" t="str">
        <f t="shared" si="17"/>
        <v/>
      </c>
      <c r="W573" s="190" t="str">
        <f t="shared" si="18"/>
        <v/>
      </c>
      <c r="X573" s="191" t="str">
        <f t="shared" si="19"/>
        <v/>
      </c>
      <c r="Y573" s="191" t="str">
        <f t="shared" si="20"/>
        <v/>
      </c>
      <c r="Z573" s="156"/>
    </row>
    <row r="574">
      <c r="A574" s="177" t="str">
        <f t="shared" si="14"/>
        <v/>
      </c>
      <c r="B574" s="196"/>
      <c r="C574" s="179" t="str">
        <f t="shared" si="2"/>
        <v/>
      </c>
      <c r="D574" s="197"/>
      <c r="E574" s="181"/>
      <c r="F574" s="198"/>
      <c r="G574" s="201"/>
      <c r="H574" s="201"/>
      <c r="I574" s="201"/>
      <c r="J574" s="202"/>
      <c r="K574" s="203"/>
      <c r="L574" s="186">
        <f t="shared" si="15"/>
        <v>0</v>
      </c>
      <c r="M574" s="191"/>
      <c r="N574" s="191"/>
      <c r="O574" s="191"/>
      <c r="P574" s="191"/>
      <c r="Q574" s="191"/>
      <c r="R574" s="191"/>
      <c r="S574" s="191"/>
      <c r="T574" s="192"/>
      <c r="U574" s="189" t="str">
        <f t="shared" si="16"/>
        <v/>
      </c>
      <c r="V574" s="190" t="str">
        <f t="shared" si="17"/>
        <v/>
      </c>
      <c r="W574" s="190" t="str">
        <f t="shared" si="18"/>
        <v/>
      </c>
      <c r="X574" s="191" t="str">
        <f t="shared" si="19"/>
        <v/>
      </c>
      <c r="Y574" s="191" t="str">
        <f t="shared" si="20"/>
        <v/>
      </c>
      <c r="Z574" s="156"/>
    </row>
    <row r="575">
      <c r="A575" s="177" t="str">
        <f t="shared" si="14"/>
        <v/>
      </c>
      <c r="B575" s="196"/>
      <c r="C575" s="179" t="str">
        <f t="shared" si="2"/>
        <v/>
      </c>
      <c r="D575" s="197"/>
      <c r="E575" s="181"/>
      <c r="F575" s="198"/>
      <c r="G575" s="201"/>
      <c r="H575" s="201"/>
      <c r="I575" s="201"/>
      <c r="J575" s="202"/>
      <c r="K575" s="203"/>
      <c r="L575" s="186">
        <f t="shared" si="15"/>
        <v>0</v>
      </c>
      <c r="M575" s="191"/>
      <c r="N575" s="191"/>
      <c r="O575" s="191"/>
      <c r="P575" s="191"/>
      <c r="Q575" s="191"/>
      <c r="R575" s="191"/>
      <c r="S575" s="191"/>
      <c r="T575" s="192"/>
      <c r="U575" s="189" t="str">
        <f t="shared" si="16"/>
        <v/>
      </c>
      <c r="V575" s="190" t="str">
        <f t="shared" si="17"/>
        <v/>
      </c>
      <c r="W575" s="190" t="str">
        <f t="shared" si="18"/>
        <v/>
      </c>
      <c r="X575" s="191" t="str">
        <f t="shared" si="19"/>
        <v/>
      </c>
      <c r="Y575" s="191" t="str">
        <f t="shared" si="20"/>
        <v/>
      </c>
      <c r="Z575" s="156"/>
    </row>
    <row r="576">
      <c r="A576" s="177" t="str">
        <f t="shared" si="14"/>
        <v/>
      </c>
      <c r="B576" s="196"/>
      <c r="C576" s="179" t="str">
        <f t="shared" si="2"/>
        <v/>
      </c>
      <c r="D576" s="197"/>
      <c r="E576" s="181"/>
      <c r="F576" s="198"/>
      <c r="G576" s="201"/>
      <c r="H576" s="201"/>
      <c r="I576" s="201"/>
      <c r="J576" s="202"/>
      <c r="K576" s="203"/>
      <c r="L576" s="186">
        <f t="shared" si="15"/>
        <v>0</v>
      </c>
      <c r="M576" s="191"/>
      <c r="N576" s="191"/>
      <c r="O576" s="191"/>
      <c r="P576" s="191"/>
      <c r="Q576" s="191"/>
      <c r="R576" s="191"/>
      <c r="S576" s="191"/>
      <c r="T576" s="192"/>
      <c r="U576" s="189" t="str">
        <f t="shared" si="16"/>
        <v/>
      </c>
      <c r="V576" s="190" t="str">
        <f t="shared" si="17"/>
        <v/>
      </c>
      <c r="W576" s="190" t="str">
        <f t="shared" si="18"/>
        <v/>
      </c>
      <c r="X576" s="191" t="str">
        <f t="shared" si="19"/>
        <v/>
      </c>
      <c r="Y576" s="191" t="str">
        <f t="shared" si="20"/>
        <v/>
      </c>
      <c r="Z576" s="156"/>
    </row>
    <row r="577">
      <c r="A577" s="177" t="str">
        <f t="shared" si="14"/>
        <v/>
      </c>
      <c r="B577" s="196"/>
      <c r="C577" s="179" t="str">
        <f t="shared" si="2"/>
        <v/>
      </c>
      <c r="D577" s="197"/>
      <c r="E577" s="181"/>
      <c r="F577" s="198"/>
      <c r="G577" s="201"/>
      <c r="H577" s="201"/>
      <c r="I577" s="201"/>
      <c r="J577" s="202"/>
      <c r="K577" s="203"/>
      <c r="L577" s="186">
        <f t="shared" si="15"/>
        <v>0</v>
      </c>
      <c r="M577" s="191"/>
      <c r="N577" s="191"/>
      <c r="O577" s="191"/>
      <c r="P577" s="191"/>
      <c r="Q577" s="191"/>
      <c r="R577" s="191"/>
      <c r="S577" s="191"/>
      <c r="T577" s="192"/>
      <c r="U577" s="189" t="str">
        <f t="shared" si="16"/>
        <v/>
      </c>
      <c r="V577" s="190" t="str">
        <f t="shared" si="17"/>
        <v/>
      </c>
      <c r="W577" s="190" t="str">
        <f t="shared" si="18"/>
        <v/>
      </c>
      <c r="X577" s="191" t="str">
        <f t="shared" si="19"/>
        <v/>
      </c>
      <c r="Y577" s="191" t="str">
        <f t="shared" si="20"/>
        <v/>
      </c>
      <c r="Z577" s="156"/>
    </row>
    <row r="578">
      <c r="A578" s="177" t="str">
        <f t="shared" si="14"/>
        <v/>
      </c>
      <c r="B578" s="196"/>
      <c r="C578" s="179" t="str">
        <f t="shared" si="2"/>
        <v/>
      </c>
      <c r="D578" s="197"/>
      <c r="E578" s="181"/>
      <c r="F578" s="198"/>
      <c r="G578" s="201"/>
      <c r="H578" s="201"/>
      <c r="I578" s="201"/>
      <c r="J578" s="202"/>
      <c r="K578" s="203"/>
      <c r="L578" s="186">
        <f t="shared" si="15"/>
        <v>0</v>
      </c>
      <c r="M578" s="191"/>
      <c r="N578" s="191"/>
      <c r="O578" s="191"/>
      <c r="P578" s="191"/>
      <c r="Q578" s="191"/>
      <c r="R578" s="191"/>
      <c r="S578" s="191"/>
      <c r="T578" s="192"/>
      <c r="U578" s="189" t="str">
        <f t="shared" si="16"/>
        <v/>
      </c>
      <c r="V578" s="190" t="str">
        <f t="shared" si="17"/>
        <v/>
      </c>
      <c r="W578" s="190" t="str">
        <f t="shared" si="18"/>
        <v/>
      </c>
      <c r="X578" s="191" t="str">
        <f t="shared" si="19"/>
        <v/>
      </c>
      <c r="Y578" s="191" t="str">
        <f t="shared" si="20"/>
        <v/>
      </c>
      <c r="Z578" s="156"/>
    </row>
    <row r="579">
      <c r="A579" s="177" t="str">
        <f t="shared" si="14"/>
        <v/>
      </c>
      <c r="B579" s="196"/>
      <c r="C579" s="179" t="str">
        <f t="shared" si="2"/>
        <v/>
      </c>
      <c r="D579" s="197"/>
      <c r="E579" s="181"/>
      <c r="F579" s="198"/>
      <c r="G579" s="201"/>
      <c r="H579" s="201"/>
      <c r="I579" s="201"/>
      <c r="J579" s="202"/>
      <c r="K579" s="203"/>
      <c r="L579" s="186">
        <f t="shared" si="15"/>
        <v>0</v>
      </c>
      <c r="M579" s="191"/>
      <c r="N579" s="191"/>
      <c r="O579" s="191"/>
      <c r="P579" s="191"/>
      <c r="Q579" s="191"/>
      <c r="R579" s="191"/>
      <c r="S579" s="191"/>
      <c r="T579" s="192"/>
      <c r="U579" s="189" t="str">
        <f t="shared" si="16"/>
        <v/>
      </c>
      <c r="V579" s="190" t="str">
        <f t="shared" si="17"/>
        <v/>
      </c>
      <c r="W579" s="190" t="str">
        <f t="shared" si="18"/>
        <v/>
      </c>
      <c r="X579" s="191" t="str">
        <f t="shared" si="19"/>
        <v/>
      </c>
      <c r="Y579" s="191" t="str">
        <f t="shared" si="20"/>
        <v/>
      </c>
      <c r="Z579" s="156"/>
    </row>
    <row r="580">
      <c r="A580" s="177" t="str">
        <f t="shared" si="14"/>
        <v/>
      </c>
      <c r="B580" s="196"/>
      <c r="C580" s="179" t="str">
        <f t="shared" si="2"/>
        <v/>
      </c>
      <c r="D580" s="197"/>
      <c r="E580" s="181"/>
      <c r="F580" s="198"/>
      <c r="G580" s="201"/>
      <c r="H580" s="201"/>
      <c r="I580" s="201"/>
      <c r="J580" s="202"/>
      <c r="K580" s="203"/>
      <c r="L580" s="186">
        <f t="shared" si="15"/>
        <v>0</v>
      </c>
      <c r="M580" s="191"/>
      <c r="N580" s="191"/>
      <c r="O580" s="191"/>
      <c r="P580" s="191"/>
      <c r="Q580" s="191"/>
      <c r="R580" s="191"/>
      <c r="S580" s="191"/>
      <c r="T580" s="192"/>
      <c r="U580" s="189" t="str">
        <f t="shared" si="16"/>
        <v/>
      </c>
      <c r="V580" s="190" t="str">
        <f t="shared" si="17"/>
        <v/>
      </c>
      <c r="W580" s="190" t="str">
        <f t="shared" si="18"/>
        <v/>
      </c>
      <c r="X580" s="191" t="str">
        <f t="shared" si="19"/>
        <v/>
      </c>
      <c r="Y580" s="191" t="str">
        <f t="shared" si="20"/>
        <v/>
      </c>
      <c r="Z580" s="156"/>
    </row>
    <row r="581">
      <c r="A581" s="177" t="str">
        <f t="shared" si="14"/>
        <v/>
      </c>
      <c r="B581" s="196"/>
      <c r="C581" s="179" t="str">
        <f t="shared" si="2"/>
        <v/>
      </c>
      <c r="D581" s="197"/>
      <c r="E581" s="181"/>
      <c r="F581" s="198"/>
      <c r="G581" s="201"/>
      <c r="H581" s="201"/>
      <c r="I581" s="201"/>
      <c r="J581" s="202"/>
      <c r="K581" s="203"/>
      <c r="L581" s="186">
        <f t="shared" si="15"/>
        <v>0</v>
      </c>
      <c r="M581" s="191"/>
      <c r="N581" s="191"/>
      <c r="O581" s="191"/>
      <c r="P581" s="191"/>
      <c r="Q581" s="191"/>
      <c r="R581" s="191"/>
      <c r="S581" s="191"/>
      <c r="T581" s="192"/>
      <c r="U581" s="189" t="str">
        <f t="shared" si="16"/>
        <v/>
      </c>
      <c r="V581" s="190" t="str">
        <f t="shared" si="17"/>
        <v/>
      </c>
      <c r="W581" s="190" t="str">
        <f t="shared" si="18"/>
        <v/>
      </c>
      <c r="X581" s="191" t="str">
        <f t="shared" si="19"/>
        <v/>
      </c>
      <c r="Y581" s="191" t="str">
        <f t="shared" si="20"/>
        <v/>
      </c>
      <c r="Z581" s="156"/>
    </row>
    <row r="582">
      <c r="A582" s="177" t="str">
        <f t="shared" si="14"/>
        <v/>
      </c>
      <c r="B582" s="196"/>
      <c r="C582" s="179" t="str">
        <f t="shared" si="2"/>
        <v/>
      </c>
      <c r="D582" s="197"/>
      <c r="E582" s="181"/>
      <c r="F582" s="198"/>
      <c r="G582" s="201"/>
      <c r="H582" s="201"/>
      <c r="I582" s="201"/>
      <c r="J582" s="202"/>
      <c r="K582" s="203"/>
      <c r="L582" s="186">
        <f t="shared" si="15"/>
        <v>0</v>
      </c>
      <c r="M582" s="191"/>
      <c r="N582" s="191"/>
      <c r="O582" s="191"/>
      <c r="P582" s="191"/>
      <c r="Q582" s="191"/>
      <c r="R582" s="191"/>
      <c r="S582" s="191"/>
      <c r="T582" s="192"/>
      <c r="U582" s="189" t="str">
        <f t="shared" si="16"/>
        <v/>
      </c>
      <c r="V582" s="190" t="str">
        <f t="shared" si="17"/>
        <v/>
      </c>
      <c r="W582" s="190" t="str">
        <f t="shared" si="18"/>
        <v/>
      </c>
      <c r="X582" s="191" t="str">
        <f t="shared" si="19"/>
        <v/>
      </c>
      <c r="Y582" s="191" t="str">
        <f t="shared" si="20"/>
        <v/>
      </c>
      <c r="Z582" s="156"/>
    </row>
    <row r="583">
      <c r="A583" s="177" t="str">
        <f t="shared" si="14"/>
        <v/>
      </c>
      <c r="B583" s="196"/>
      <c r="C583" s="179" t="str">
        <f t="shared" si="2"/>
        <v/>
      </c>
      <c r="D583" s="197"/>
      <c r="E583" s="181"/>
      <c r="F583" s="198"/>
      <c r="G583" s="201"/>
      <c r="H583" s="201"/>
      <c r="I583" s="201"/>
      <c r="J583" s="202"/>
      <c r="K583" s="203"/>
      <c r="L583" s="186">
        <f t="shared" si="15"/>
        <v>0</v>
      </c>
      <c r="M583" s="191"/>
      <c r="N583" s="191"/>
      <c r="O583" s="191"/>
      <c r="P583" s="191"/>
      <c r="Q583" s="191"/>
      <c r="R583" s="191"/>
      <c r="S583" s="191"/>
      <c r="T583" s="192"/>
      <c r="U583" s="189" t="str">
        <f t="shared" si="16"/>
        <v/>
      </c>
      <c r="V583" s="190" t="str">
        <f t="shared" si="17"/>
        <v/>
      </c>
      <c r="W583" s="190" t="str">
        <f t="shared" si="18"/>
        <v/>
      </c>
      <c r="X583" s="191" t="str">
        <f t="shared" si="19"/>
        <v/>
      </c>
      <c r="Y583" s="191" t="str">
        <f t="shared" si="20"/>
        <v/>
      </c>
      <c r="Z583" s="156"/>
    </row>
    <row r="584">
      <c r="A584" s="177" t="str">
        <f t="shared" si="14"/>
        <v/>
      </c>
      <c r="B584" s="196"/>
      <c r="C584" s="179" t="str">
        <f t="shared" si="2"/>
        <v/>
      </c>
      <c r="D584" s="197"/>
      <c r="E584" s="181"/>
      <c r="F584" s="198"/>
      <c r="G584" s="201"/>
      <c r="H584" s="201"/>
      <c r="I584" s="201"/>
      <c r="J584" s="202"/>
      <c r="K584" s="203"/>
      <c r="L584" s="186">
        <f t="shared" si="15"/>
        <v>0</v>
      </c>
      <c r="M584" s="191"/>
      <c r="N584" s="191"/>
      <c r="O584" s="191"/>
      <c r="P584" s="191"/>
      <c r="Q584" s="191"/>
      <c r="R584" s="191"/>
      <c r="S584" s="191"/>
      <c r="T584" s="192"/>
      <c r="U584" s="189" t="str">
        <f t="shared" si="16"/>
        <v/>
      </c>
      <c r="V584" s="190" t="str">
        <f t="shared" si="17"/>
        <v/>
      </c>
      <c r="W584" s="190" t="str">
        <f t="shared" si="18"/>
        <v/>
      </c>
      <c r="X584" s="191" t="str">
        <f t="shared" si="19"/>
        <v/>
      </c>
      <c r="Y584" s="191" t="str">
        <f t="shared" si="20"/>
        <v/>
      </c>
      <c r="Z584" s="156"/>
    </row>
    <row r="585">
      <c r="A585" s="177" t="str">
        <f t="shared" si="14"/>
        <v/>
      </c>
      <c r="B585" s="196"/>
      <c r="C585" s="179" t="str">
        <f t="shared" si="2"/>
        <v/>
      </c>
      <c r="D585" s="197"/>
      <c r="E585" s="181"/>
      <c r="F585" s="198"/>
      <c r="G585" s="201"/>
      <c r="H585" s="201"/>
      <c r="I585" s="201"/>
      <c r="J585" s="202"/>
      <c r="K585" s="203"/>
      <c r="L585" s="186">
        <f t="shared" si="15"/>
        <v>0</v>
      </c>
      <c r="M585" s="191"/>
      <c r="N585" s="191"/>
      <c r="O585" s="191"/>
      <c r="P585" s="191"/>
      <c r="Q585" s="191"/>
      <c r="R585" s="191"/>
      <c r="S585" s="191"/>
      <c r="T585" s="192"/>
      <c r="U585" s="189" t="str">
        <f t="shared" si="16"/>
        <v/>
      </c>
      <c r="V585" s="190" t="str">
        <f t="shared" si="17"/>
        <v/>
      </c>
      <c r="W585" s="190" t="str">
        <f t="shared" si="18"/>
        <v/>
      </c>
      <c r="X585" s="191" t="str">
        <f t="shared" si="19"/>
        <v/>
      </c>
      <c r="Y585" s="191" t="str">
        <f t="shared" si="20"/>
        <v/>
      </c>
      <c r="Z585" s="156"/>
    </row>
    <row r="586">
      <c r="A586" s="177" t="str">
        <f t="shared" si="14"/>
        <v/>
      </c>
      <c r="B586" s="196"/>
      <c r="C586" s="179" t="str">
        <f t="shared" si="2"/>
        <v/>
      </c>
      <c r="D586" s="197"/>
      <c r="E586" s="181"/>
      <c r="F586" s="198"/>
      <c r="G586" s="201"/>
      <c r="H586" s="201"/>
      <c r="I586" s="201"/>
      <c r="J586" s="202"/>
      <c r="K586" s="203"/>
      <c r="L586" s="186">
        <f t="shared" si="15"/>
        <v>0</v>
      </c>
      <c r="M586" s="191"/>
      <c r="N586" s="191"/>
      <c r="O586" s="191"/>
      <c r="P586" s="191"/>
      <c r="Q586" s="191"/>
      <c r="R586" s="191"/>
      <c r="S586" s="191"/>
      <c r="T586" s="192"/>
      <c r="U586" s="189" t="str">
        <f t="shared" si="16"/>
        <v/>
      </c>
      <c r="V586" s="190" t="str">
        <f t="shared" si="17"/>
        <v/>
      </c>
      <c r="W586" s="190" t="str">
        <f t="shared" si="18"/>
        <v/>
      </c>
      <c r="X586" s="191" t="str">
        <f t="shared" si="19"/>
        <v/>
      </c>
      <c r="Y586" s="191" t="str">
        <f t="shared" si="20"/>
        <v/>
      </c>
      <c r="Z586" s="156"/>
    </row>
    <row r="587">
      <c r="A587" s="177" t="str">
        <f t="shared" si="14"/>
        <v/>
      </c>
      <c r="B587" s="196"/>
      <c r="C587" s="179" t="str">
        <f t="shared" si="2"/>
        <v/>
      </c>
      <c r="D587" s="197"/>
      <c r="E587" s="181"/>
      <c r="F587" s="198"/>
      <c r="G587" s="201"/>
      <c r="H587" s="201"/>
      <c r="I587" s="201"/>
      <c r="J587" s="202"/>
      <c r="K587" s="203"/>
      <c r="L587" s="186">
        <f t="shared" si="15"/>
        <v>0</v>
      </c>
      <c r="M587" s="191"/>
      <c r="N587" s="191"/>
      <c r="O587" s="191"/>
      <c r="P587" s="191"/>
      <c r="Q587" s="191"/>
      <c r="R587" s="191"/>
      <c r="S587" s="191"/>
      <c r="T587" s="192"/>
      <c r="U587" s="189" t="str">
        <f t="shared" si="16"/>
        <v/>
      </c>
      <c r="V587" s="190" t="str">
        <f t="shared" si="17"/>
        <v/>
      </c>
      <c r="W587" s="190" t="str">
        <f t="shared" si="18"/>
        <v/>
      </c>
      <c r="X587" s="191" t="str">
        <f t="shared" si="19"/>
        <v/>
      </c>
      <c r="Y587" s="191" t="str">
        <f t="shared" si="20"/>
        <v/>
      </c>
      <c r="Z587" s="156"/>
    </row>
    <row r="588">
      <c r="A588" s="177" t="str">
        <f t="shared" si="14"/>
        <v/>
      </c>
      <c r="B588" s="196"/>
      <c r="C588" s="179" t="str">
        <f t="shared" si="2"/>
        <v/>
      </c>
      <c r="D588" s="197"/>
      <c r="E588" s="181"/>
      <c r="F588" s="198"/>
      <c r="G588" s="201"/>
      <c r="H588" s="201"/>
      <c r="I588" s="201"/>
      <c r="J588" s="202"/>
      <c r="K588" s="203"/>
      <c r="L588" s="186">
        <f t="shared" si="15"/>
        <v>0</v>
      </c>
      <c r="M588" s="191"/>
      <c r="N588" s="191"/>
      <c r="O588" s="191"/>
      <c r="P588" s="191"/>
      <c r="Q588" s="191"/>
      <c r="R588" s="191"/>
      <c r="S588" s="191"/>
      <c r="T588" s="192"/>
      <c r="U588" s="189" t="str">
        <f t="shared" si="16"/>
        <v/>
      </c>
      <c r="V588" s="190" t="str">
        <f t="shared" si="17"/>
        <v/>
      </c>
      <c r="W588" s="190" t="str">
        <f t="shared" si="18"/>
        <v/>
      </c>
      <c r="X588" s="191" t="str">
        <f t="shared" si="19"/>
        <v/>
      </c>
      <c r="Y588" s="191" t="str">
        <f t="shared" si="20"/>
        <v/>
      </c>
      <c r="Z588" s="156"/>
    </row>
    <row r="589">
      <c r="A589" s="177" t="str">
        <f t="shared" si="14"/>
        <v/>
      </c>
      <c r="B589" s="196"/>
      <c r="C589" s="179" t="str">
        <f t="shared" si="2"/>
        <v/>
      </c>
      <c r="D589" s="197"/>
      <c r="E589" s="181"/>
      <c r="F589" s="198"/>
      <c r="G589" s="201"/>
      <c r="H589" s="201"/>
      <c r="I589" s="201"/>
      <c r="J589" s="202"/>
      <c r="K589" s="203"/>
      <c r="L589" s="186">
        <f t="shared" si="15"/>
        <v>0</v>
      </c>
      <c r="M589" s="191"/>
      <c r="N589" s="191"/>
      <c r="O589" s="191"/>
      <c r="P589" s="191"/>
      <c r="Q589" s="191"/>
      <c r="R589" s="191"/>
      <c r="S589" s="191"/>
      <c r="T589" s="192"/>
      <c r="U589" s="189" t="str">
        <f t="shared" si="16"/>
        <v/>
      </c>
      <c r="V589" s="190" t="str">
        <f t="shared" si="17"/>
        <v/>
      </c>
      <c r="W589" s="190" t="str">
        <f t="shared" si="18"/>
        <v/>
      </c>
      <c r="X589" s="191" t="str">
        <f t="shared" si="19"/>
        <v/>
      </c>
      <c r="Y589" s="191" t="str">
        <f t="shared" si="20"/>
        <v/>
      </c>
      <c r="Z589" s="156"/>
    </row>
    <row r="590">
      <c r="A590" s="177" t="str">
        <f t="shared" si="14"/>
        <v/>
      </c>
      <c r="B590" s="196"/>
      <c r="C590" s="179" t="str">
        <f t="shared" si="2"/>
        <v/>
      </c>
      <c r="D590" s="197"/>
      <c r="E590" s="181"/>
      <c r="F590" s="198"/>
      <c r="G590" s="201"/>
      <c r="H590" s="201"/>
      <c r="I590" s="201"/>
      <c r="J590" s="202"/>
      <c r="K590" s="203"/>
      <c r="L590" s="186">
        <f t="shared" si="15"/>
        <v>0</v>
      </c>
      <c r="M590" s="191"/>
      <c r="N590" s="191"/>
      <c r="O590" s="191"/>
      <c r="P590" s="191"/>
      <c r="Q590" s="191"/>
      <c r="R590" s="191"/>
      <c r="S590" s="191"/>
      <c r="T590" s="192"/>
      <c r="U590" s="189" t="str">
        <f t="shared" si="16"/>
        <v/>
      </c>
      <c r="V590" s="190" t="str">
        <f t="shared" si="17"/>
        <v/>
      </c>
      <c r="W590" s="190" t="str">
        <f t="shared" si="18"/>
        <v/>
      </c>
      <c r="X590" s="191" t="str">
        <f t="shared" si="19"/>
        <v/>
      </c>
      <c r="Y590" s="191" t="str">
        <f t="shared" si="20"/>
        <v/>
      </c>
      <c r="Z590" s="156"/>
    </row>
    <row r="591">
      <c r="A591" s="177" t="str">
        <f t="shared" si="14"/>
        <v/>
      </c>
      <c r="B591" s="196"/>
      <c r="C591" s="179" t="str">
        <f t="shared" si="2"/>
        <v/>
      </c>
      <c r="D591" s="197"/>
      <c r="E591" s="181"/>
      <c r="F591" s="198"/>
      <c r="G591" s="201"/>
      <c r="H591" s="201"/>
      <c r="I591" s="201"/>
      <c r="J591" s="202"/>
      <c r="K591" s="203"/>
      <c r="L591" s="186">
        <f t="shared" si="15"/>
        <v>0</v>
      </c>
      <c r="M591" s="191"/>
      <c r="N591" s="191"/>
      <c r="O591" s="191"/>
      <c r="P591" s="191"/>
      <c r="Q591" s="191"/>
      <c r="R591" s="191"/>
      <c r="S591" s="191"/>
      <c r="T591" s="192"/>
      <c r="U591" s="189" t="str">
        <f t="shared" si="16"/>
        <v/>
      </c>
      <c r="V591" s="190" t="str">
        <f t="shared" si="17"/>
        <v/>
      </c>
      <c r="W591" s="190" t="str">
        <f t="shared" si="18"/>
        <v/>
      </c>
      <c r="X591" s="191" t="str">
        <f t="shared" si="19"/>
        <v/>
      </c>
      <c r="Y591" s="191" t="str">
        <f t="shared" si="20"/>
        <v/>
      </c>
      <c r="Z591" s="156"/>
    </row>
    <row r="592">
      <c r="A592" s="177" t="str">
        <f t="shared" si="14"/>
        <v/>
      </c>
      <c r="B592" s="196"/>
      <c r="C592" s="179" t="str">
        <f t="shared" si="2"/>
        <v/>
      </c>
      <c r="D592" s="197"/>
      <c r="E592" s="181"/>
      <c r="F592" s="198"/>
      <c r="G592" s="201"/>
      <c r="H592" s="201"/>
      <c r="I592" s="201"/>
      <c r="J592" s="202"/>
      <c r="K592" s="203"/>
      <c r="L592" s="186">
        <f t="shared" si="15"/>
        <v>0</v>
      </c>
      <c r="M592" s="191"/>
      <c r="N592" s="191"/>
      <c r="O592" s="191"/>
      <c r="P592" s="191"/>
      <c r="Q592" s="191"/>
      <c r="R592" s="191"/>
      <c r="S592" s="191"/>
      <c r="T592" s="192"/>
      <c r="U592" s="189" t="str">
        <f t="shared" si="16"/>
        <v/>
      </c>
      <c r="V592" s="190" t="str">
        <f t="shared" si="17"/>
        <v/>
      </c>
      <c r="W592" s="190" t="str">
        <f t="shared" si="18"/>
        <v/>
      </c>
      <c r="X592" s="191" t="str">
        <f t="shared" si="19"/>
        <v/>
      </c>
      <c r="Y592" s="191" t="str">
        <f t="shared" si="20"/>
        <v/>
      </c>
      <c r="Z592" s="156"/>
    </row>
    <row r="593">
      <c r="A593" s="177" t="str">
        <f t="shared" si="14"/>
        <v/>
      </c>
      <c r="B593" s="196"/>
      <c r="C593" s="179" t="str">
        <f t="shared" si="2"/>
        <v/>
      </c>
      <c r="D593" s="197"/>
      <c r="E593" s="181"/>
      <c r="F593" s="198"/>
      <c r="G593" s="201"/>
      <c r="H593" s="201"/>
      <c r="I593" s="201"/>
      <c r="J593" s="202"/>
      <c r="K593" s="203"/>
      <c r="L593" s="186">
        <f t="shared" si="15"/>
        <v>0</v>
      </c>
      <c r="M593" s="191"/>
      <c r="N593" s="191"/>
      <c r="O593" s="191"/>
      <c r="P593" s="191"/>
      <c r="Q593" s="191"/>
      <c r="R593" s="191"/>
      <c r="S593" s="191"/>
      <c r="T593" s="192"/>
      <c r="U593" s="189" t="str">
        <f t="shared" si="16"/>
        <v/>
      </c>
      <c r="V593" s="190" t="str">
        <f t="shared" si="17"/>
        <v/>
      </c>
      <c r="W593" s="190" t="str">
        <f t="shared" si="18"/>
        <v/>
      </c>
      <c r="X593" s="191" t="str">
        <f t="shared" si="19"/>
        <v/>
      </c>
      <c r="Y593" s="191" t="str">
        <f t="shared" si="20"/>
        <v/>
      </c>
      <c r="Z593" s="156"/>
    </row>
    <row r="594">
      <c r="A594" s="177" t="str">
        <f t="shared" si="14"/>
        <v/>
      </c>
      <c r="B594" s="196"/>
      <c r="C594" s="179" t="str">
        <f t="shared" si="2"/>
        <v/>
      </c>
      <c r="D594" s="197"/>
      <c r="E594" s="181"/>
      <c r="F594" s="198"/>
      <c r="G594" s="201"/>
      <c r="H594" s="201"/>
      <c r="I594" s="201"/>
      <c r="J594" s="202"/>
      <c r="K594" s="203"/>
      <c r="L594" s="186">
        <f t="shared" si="15"/>
        <v>0</v>
      </c>
      <c r="M594" s="191"/>
      <c r="N594" s="191"/>
      <c r="O594" s="191"/>
      <c r="P594" s="191"/>
      <c r="Q594" s="191"/>
      <c r="R594" s="191"/>
      <c r="S594" s="191"/>
      <c r="T594" s="192"/>
      <c r="U594" s="189" t="str">
        <f t="shared" si="16"/>
        <v/>
      </c>
      <c r="V594" s="190" t="str">
        <f t="shared" si="17"/>
        <v/>
      </c>
      <c r="W594" s="190" t="str">
        <f t="shared" si="18"/>
        <v/>
      </c>
      <c r="X594" s="191" t="str">
        <f t="shared" si="19"/>
        <v/>
      </c>
      <c r="Y594" s="191" t="str">
        <f t="shared" si="20"/>
        <v/>
      </c>
      <c r="Z594" s="156"/>
    </row>
    <row r="595">
      <c r="A595" s="177" t="str">
        <f t="shared" si="14"/>
        <v/>
      </c>
      <c r="B595" s="196"/>
      <c r="C595" s="179" t="str">
        <f t="shared" si="2"/>
        <v/>
      </c>
      <c r="D595" s="197"/>
      <c r="E595" s="181"/>
      <c r="F595" s="198"/>
      <c r="G595" s="201"/>
      <c r="H595" s="201"/>
      <c r="I595" s="201"/>
      <c r="J595" s="202"/>
      <c r="K595" s="203"/>
      <c r="L595" s="186">
        <f t="shared" si="15"/>
        <v>0</v>
      </c>
      <c r="M595" s="191"/>
      <c r="N595" s="191"/>
      <c r="O595" s="191"/>
      <c r="P595" s="191"/>
      <c r="Q595" s="191"/>
      <c r="R595" s="191"/>
      <c r="S595" s="191"/>
      <c r="T595" s="192"/>
      <c r="U595" s="189" t="str">
        <f t="shared" si="16"/>
        <v/>
      </c>
      <c r="V595" s="190" t="str">
        <f t="shared" si="17"/>
        <v/>
      </c>
      <c r="W595" s="190" t="str">
        <f t="shared" si="18"/>
        <v/>
      </c>
      <c r="X595" s="191" t="str">
        <f t="shared" si="19"/>
        <v/>
      </c>
      <c r="Y595" s="191" t="str">
        <f t="shared" si="20"/>
        <v/>
      </c>
      <c r="Z595" s="156"/>
    </row>
    <row r="596">
      <c r="A596" s="177" t="str">
        <f t="shared" si="14"/>
        <v/>
      </c>
      <c r="B596" s="196"/>
      <c r="C596" s="179" t="str">
        <f t="shared" si="2"/>
        <v/>
      </c>
      <c r="D596" s="197"/>
      <c r="E596" s="181"/>
      <c r="F596" s="198"/>
      <c r="G596" s="201"/>
      <c r="H596" s="201"/>
      <c r="I596" s="201"/>
      <c r="J596" s="202"/>
      <c r="K596" s="203"/>
      <c r="L596" s="186">
        <f t="shared" si="15"/>
        <v>0</v>
      </c>
      <c r="M596" s="191"/>
      <c r="N596" s="191"/>
      <c r="O596" s="191"/>
      <c r="P596" s="191"/>
      <c r="Q596" s="191"/>
      <c r="R596" s="191"/>
      <c r="S596" s="191"/>
      <c r="T596" s="192"/>
      <c r="U596" s="189" t="str">
        <f t="shared" si="16"/>
        <v/>
      </c>
      <c r="V596" s="190" t="str">
        <f t="shared" si="17"/>
        <v/>
      </c>
      <c r="W596" s="190" t="str">
        <f t="shared" si="18"/>
        <v/>
      </c>
      <c r="X596" s="191" t="str">
        <f t="shared" si="19"/>
        <v/>
      </c>
      <c r="Y596" s="191" t="str">
        <f t="shared" si="20"/>
        <v/>
      </c>
      <c r="Z596" s="156"/>
    </row>
    <row r="597">
      <c r="A597" s="177" t="str">
        <f t="shared" si="14"/>
        <v/>
      </c>
      <c r="B597" s="196"/>
      <c r="C597" s="179" t="str">
        <f t="shared" si="2"/>
        <v/>
      </c>
      <c r="D597" s="197"/>
      <c r="E597" s="181"/>
      <c r="F597" s="198"/>
      <c r="G597" s="201"/>
      <c r="H597" s="201"/>
      <c r="I597" s="201"/>
      <c r="J597" s="202"/>
      <c r="K597" s="203"/>
      <c r="L597" s="186">
        <f t="shared" si="15"/>
        <v>0</v>
      </c>
      <c r="M597" s="191"/>
      <c r="N597" s="191"/>
      <c r="O597" s="191"/>
      <c r="P597" s="191"/>
      <c r="Q597" s="191"/>
      <c r="R597" s="191"/>
      <c r="S597" s="191"/>
      <c r="T597" s="192"/>
      <c r="U597" s="189" t="str">
        <f t="shared" si="16"/>
        <v/>
      </c>
      <c r="V597" s="190" t="str">
        <f t="shared" si="17"/>
        <v/>
      </c>
      <c r="W597" s="190" t="str">
        <f t="shared" si="18"/>
        <v/>
      </c>
      <c r="X597" s="191" t="str">
        <f t="shared" si="19"/>
        <v/>
      </c>
      <c r="Y597" s="191" t="str">
        <f t="shared" si="20"/>
        <v/>
      </c>
      <c r="Z597" s="156"/>
    </row>
    <row r="598">
      <c r="A598" s="177" t="str">
        <f t="shared" si="14"/>
        <v/>
      </c>
      <c r="B598" s="196"/>
      <c r="C598" s="179" t="str">
        <f t="shared" si="2"/>
        <v/>
      </c>
      <c r="D598" s="197"/>
      <c r="E598" s="181"/>
      <c r="F598" s="198"/>
      <c r="G598" s="201"/>
      <c r="H598" s="201"/>
      <c r="I598" s="201"/>
      <c r="J598" s="202"/>
      <c r="K598" s="203"/>
      <c r="L598" s="186">
        <f t="shared" si="15"/>
        <v>0</v>
      </c>
      <c r="M598" s="191"/>
      <c r="N598" s="191"/>
      <c r="O598" s="191"/>
      <c r="P598" s="191"/>
      <c r="Q598" s="191"/>
      <c r="R598" s="191"/>
      <c r="S598" s="191"/>
      <c r="T598" s="192"/>
      <c r="U598" s="189" t="str">
        <f t="shared" si="16"/>
        <v/>
      </c>
      <c r="V598" s="190" t="str">
        <f t="shared" si="17"/>
        <v/>
      </c>
      <c r="W598" s="190" t="str">
        <f t="shared" si="18"/>
        <v/>
      </c>
      <c r="X598" s="191" t="str">
        <f t="shared" si="19"/>
        <v/>
      </c>
      <c r="Y598" s="191" t="str">
        <f t="shared" si="20"/>
        <v/>
      </c>
      <c r="Z598" s="156"/>
    </row>
    <row r="599">
      <c r="A599" s="177" t="str">
        <f t="shared" si="14"/>
        <v/>
      </c>
      <c r="B599" s="196"/>
      <c r="C599" s="179" t="str">
        <f t="shared" si="2"/>
        <v/>
      </c>
      <c r="D599" s="197"/>
      <c r="E599" s="181"/>
      <c r="F599" s="198"/>
      <c r="G599" s="201"/>
      <c r="H599" s="201"/>
      <c r="I599" s="201"/>
      <c r="J599" s="202"/>
      <c r="K599" s="203"/>
      <c r="L599" s="186">
        <f t="shared" si="15"/>
        <v>0</v>
      </c>
      <c r="M599" s="191"/>
      <c r="N599" s="191"/>
      <c r="O599" s="191"/>
      <c r="P599" s="191"/>
      <c r="Q599" s="191"/>
      <c r="R599" s="191"/>
      <c r="S599" s="191"/>
      <c r="T599" s="192"/>
      <c r="U599" s="189" t="str">
        <f t="shared" si="16"/>
        <v/>
      </c>
      <c r="V599" s="190" t="str">
        <f t="shared" si="17"/>
        <v/>
      </c>
      <c r="W599" s="190" t="str">
        <f t="shared" si="18"/>
        <v/>
      </c>
      <c r="X599" s="191" t="str">
        <f t="shared" si="19"/>
        <v/>
      </c>
      <c r="Y599" s="191" t="str">
        <f t="shared" si="20"/>
        <v/>
      </c>
      <c r="Z599" s="156"/>
    </row>
    <row r="600">
      <c r="A600" s="177" t="str">
        <f t="shared" si="14"/>
        <v/>
      </c>
      <c r="B600" s="196"/>
      <c r="C600" s="179" t="str">
        <f t="shared" si="2"/>
        <v/>
      </c>
      <c r="D600" s="197"/>
      <c r="E600" s="181"/>
      <c r="F600" s="198"/>
      <c r="G600" s="201"/>
      <c r="H600" s="201"/>
      <c r="I600" s="201"/>
      <c r="J600" s="202"/>
      <c r="K600" s="203"/>
      <c r="L600" s="186">
        <f t="shared" si="15"/>
        <v>0</v>
      </c>
      <c r="M600" s="191"/>
      <c r="N600" s="191"/>
      <c r="O600" s="191"/>
      <c r="P600" s="191"/>
      <c r="Q600" s="191"/>
      <c r="R600" s="191"/>
      <c r="S600" s="191"/>
      <c r="T600" s="192"/>
      <c r="U600" s="189" t="str">
        <f t="shared" si="16"/>
        <v/>
      </c>
      <c r="V600" s="190" t="str">
        <f t="shared" si="17"/>
        <v/>
      </c>
      <c r="W600" s="190" t="str">
        <f t="shared" si="18"/>
        <v/>
      </c>
      <c r="X600" s="191" t="str">
        <f t="shared" si="19"/>
        <v/>
      </c>
      <c r="Y600" s="191" t="str">
        <f t="shared" si="20"/>
        <v/>
      </c>
      <c r="Z600" s="156"/>
    </row>
    <row r="601">
      <c r="A601" s="177" t="str">
        <f t="shared" si="14"/>
        <v/>
      </c>
      <c r="B601" s="196"/>
      <c r="C601" s="179" t="str">
        <f t="shared" si="2"/>
        <v/>
      </c>
      <c r="D601" s="197"/>
      <c r="E601" s="181"/>
      <c r="F601" s="198"/>
      <c r="G601" s="201"/>
      <c r="H601" s="201"/>
      <c r="I601" s="201"/>
      <c r="J601" s="202"/>
      <c r="K601" s="203"/>
      <c r="L601" s="186">
        <f t="shared" si="15"/>
        <v>0</v>
      </c>
      <c r="M601" s="191"/>
      <c r="N601" s="191"/>
      <c r="O601" s="191"/>
      <c r="P601" s="191"/>
      <c r="Q601" s="191"/>
      <c r="R601" s="191"/>
      <c r="S601" s="191"/>
      <c r="T601" s="192"/>
      <c r="U601" s="189" t="str">
        <f t="shared" si="16"/>
        <v/>
      </c>
      <c r="V601" s="190" t="str">
        <f t="shared" si="17"/>
        <v/>
      </c>
      <c r="W601" s="190" t="str">
        <f t="shared" si="18"/>
        <v/>
      </c>
      <c r="X601" s="191" t="str">
        <f t="shared" si="19"/>
        <v/>
      </c>
      <c r="Y601" s="191" t="str">
        <f t="shared" si="20"/>
        <v/>
      </c>
      <c r="Z601" s="156"/>
    </row>
    <row r="602">
      <c r="A602" s="177" t="str">
        <f t="shared" si="14"/>
        <v/>
      </c>
      <c r="B602" s="196"/>
      <c r="C602" s="179" t="str">
        <f t="shared" si="2"/>
        <v/>
      </c>
      <c r="D602" s="197"/>
      <c r="E602" s="181"/>
      <c r="F602" s="198"/>
      <c r="G602" s="201"/>
      <c r="H602" s="201"/>
      <c r="I602" s="201"/>
      <c r="J602" s="202"/>
      <c r="K602" s="203"/>
      <c r="L602" s="186">
        <f t="shared" si="15"/>
        <v>0</v>
      </c>
      <c r="M602" s="191"/>
      <c r="N602" s="191"/>
      <c r="O602" s="191"/>
      <c r="P602" s="191"/>
      <c r="Q602" s="191"/>
      <c r="R602" s="191"/>
      <c r="S602" s="191"/>
      <c r="T602" s="192"/>
      <c r="U602" s="189" t="str">
        <f t="shared" si="16"/>
        <v/>
      </c>
      <c r="V602" s="190" t="str">
        <f t="shared" si="17"/>
        <v/>
      </c>
      <c r="W602" s="190" t="str">
        <f t="shared" si="18"/>
        <v/>
      </c>
      <c r="X602" s="191" t="str">
        <f t="shared" si="19"/>
        <v/>
      </c>
      <c r="Y602" s="191" t="str">
        <f t="shared" si="20"/>
        <v/>
      </c>
      <c r="Z602" s="156"/>
    </row>
    <row r="603">
      <c r="A603" s="177" t="str">
        <f t="shared" si="14"/>
        <v/>
      </c>
      <c r="B603" s="196"/>
      <c r="C603" s="179" t="str">
        <f t="shared" si="2"/>
        <v/>
      </c>
      <c r="D603" s="197"/>
      <c r="E603" s="181"/>
      <c r="F603" s="198"/>
      <c r="G603" s="201"/>
      <c r="H603" s="201"/>
      <c r="I603" s="201"/>
      <c r="J603" s="202"/>
      <c r="K603" s="203"/>
      <c r="L603" s="186">
        <f t="shared" si="15"/>
        <v>0</v>
      </c>
      <c r="M603" s="191"/>
      <c r="N603" s="191"/>
      <c r="O603" s="191"/>
      <c r="P603" s="191"/>
      <c r="Q603" s="191"/>
      <c r="R603" s="191"/>
      <c r="S603" s="191"/>
      <c r="T603" s="192"/>
      <c r="U603" s="189" t="str">
        <f t="shared" si="16"/>
        <v/>
      </c>
      <c r="V603" s="190" t="str">
        <f t="shared" si="17"/>
        <v/>
      </c>
      <c r="W603" s="190" t="str">
        <f t="shared" si="18"/>
        <v/>
      </c>
      <c r="X603" s="191" t="str">
        <f t="shared" si="19"/>
        <v/>
      </c>
      <c r="Y603" s="191" t="str">
        <f t="shared" si="20"/>
        <v/>
      </c>
      <c r="Z603" s="156"/>
    </row>
    <row r="604">
      <c r="A604" s="177" t="str">
        <f t="shared" si="14"/>
        <v/>
      </c>
      <c r="B604" s="196"/>
      <c r="C604" s="179" t="str">
        <f t="shared" si="2"/>
        <v/>
      </c>
      <c r="D604" s="197"/>
      <c r="E604" s="181"/>
      <c r="F604" s="198"/>
      <c r="G604" s="201"/>
      <c r="H604" s="201"/>
      <c r="I604" s="201"/>
      <c r="J604" s="202"/>
      <c r="K604" s="203"/>
      <c r="L604" s="186">
        <f t="shared" si="15"/>
        <v>0</v>
      </c>
      <c r="M604" s="191"/>
      <c r="N604" s="191"/>
      <c r="O604" s="191"/>
      <c r="P604" s="191"/>
      <c r="Q604" s="191"/>
      <c r="R604" s="191"/>
      <c r="S604" s="191"/>
      <c r="T604" s="192"/>
      <c r="U604" s="189" t="str">
        <f t="shared" si="16"/>
        <v/>
      </c>
      <c r="V604" s="190" t="str">
        <f t="shared" si="17"/>
        <v/>
      </c>
      <c r="W604" s="190" t="str">
        <f t="shared" si="18"/>
        <v/>
      </c>
      <c r="X604" s="191" t="str">
        <f t="shared" si="19"/>
        <v/>
      </c>
      <c r="Y604" s="191" t="str">
        <f t="shared" si="20"/>
        <v/>
      </c>
      <c r="Z604" s="156"/>
    </row>
    <row r="605">
      <c r="A605" s="177" t="str">
        <f t="shared" si="14"/>
        <v/>
      </c>
      <c r="B605" s="196"/>
      <c r="C605" s="179" t="str">
        <f t="shared" si="2"/>
        <v/>
      </c>
      <c r="D605" s="197"/>
      <c r="E605" s="181"/>
      <c r="F605" s="198"/>
      <c r="G605" s="201"/>
      <c r="H605" s="201"/>
      <c r="I605" s="201"/>
      <c r="J605" s="202"/>
      <c r="K605" s="203"/>
      <c r="L605" s="186">
        <f t="shared" si="15"/>
        <v>0</v>
      </c>
      <c r="M605" s="191"/>
      <c r="N605" s="191"/>
      <c r="O605" s="191"/>
      <c r="P605" s="191"/>
      <c r="Q605" s="191"/>
      <c r="R605" s="191"/>
      <c r="S605" s="191"/>
      <c r="T605" s="192"/>
      <c r="U605" s="189" t="str">
        <f t="shared" si="16"/>
        <v/>
      </c>
      <c r="V605" s="190" t="str">
        <f t="shared" si="17"/>
        <v/>
      </c>
      <c r="W605" s="190" t="str">
        <f t="shared" si="18"/>
        <v/>
      </c>
      <c r="X605" s="191" t="str">
        <f t="shared" si="19"/>
        <v/>
      </c>
      <c r="Y605" s="191" t="str">
        <f t="shared" si="20"/>
        <v/>
      </c>
      <c r="Z605" s="156"/>
    </row>
    <row r="606">
      <c r="A606" s="177" t="str">
        <f t="shared" si="14"/>
        <v/>
      </c>
      <c r="B606" s="196"/>
      <c r="C606" s="179" t="str">
        <f t="shared" si="2"/>
        <v/>
      </c>
      <c r="D606" s="197"/>
      <c r="E606" s="181"/>
      <c r="F606" s="198"/>
      <c r="G606" s="201"/>
      <c r="H606" s="201"/>
      <c r="I606" s="201"/>
      <c r="J606" s="202"/>
      <c r="K606" s="203"/>
      <c r="L606" s="186">
        <f t="shared" si="15"/>
        <v>0</v>
      </c>
      <c r="M606" s="191"/>
      <c r="N606" s="191"/>
      <c r="O606" s="191"/>
      <c r="P606" s="191"/>
      <c r="Q606" s="191"/>
      <c r="R606" s="191"/>
      <c r="S606" s="191"/>
      <c r="T606" s="192"/>
      <c r="U606" s="189" t="str">
        <f t="shared" si="16"/>
        <v/>
      </c>
      <c r="V606" s="190" t="str">
        <f t="shared" si="17"/>
        <v/>
      </c>
      <c r="W606" s="190" t="str">
        <f t="shared" si="18"/>
        <v/>
      </c>
      <c r="X606" s="191" t="str">
        <f t="shared" si="19"/>
        <v/>
      </c>
      <c r="Y606" s="191" t="str">
        <f t="shared" si="20"/>
        <v/>
      </c>
      <c r="Z606" s="156"/>
    </row>
    <row r="607">
      <c r="A607" s="177" t="str">
        <f t="shared" si="14"/>
        <v/>
      </c>
      <c r="B607" s="196"/>
      <c r="C607" s="179" t="str">
        <f t="shared" si="2"/>
        <v/>
      </c>
      <c r="D607" s="197"/>
      <c r="E607" s="181"/>
      <c r="F607" s="198"/>
      <c r="G607" s="201"/>
      <c r="H607" s="201"/>
      <c r="I607" s="201"/>
      <c r="J607" s="202"/>
      <c r="K607" s="203"/>
      <c r="L607" s="186">
        <f t="shared" si="15"/>
        <v>0</v>
      </c>
      <c r="M607" s="191"/>
      <c r="N607" s="191"/>
      <c r="O607" s="191"/>
      <c r="P607" s="191"/>
      <c r="Q607" s="191"/>
      <c r="R607" s="191"/>
      <c r="S607" s="191"/>
      <c r="T607" s="192"/>
      <c r="U607" s="189" t="str">
        <f t="shared" si="16"/>
        <v/>
      </c>
      <c r="V607" s="190" t="str">
        <f t="shared" si="17"/>
        <v/>
      </c>
      <c r="W607" s="190" t="str">
        <f t="shared" si="18"/>
        <v/>
      </c>
      <c r="X607" s="191" t="str">
        <f t="shared" si="19"/>
        <v/>
      </c>
      <c r="Y607" s="191" t="str">
        <f t="shared" si="20"/>
        <v/>
      </c>
      <c r="Z607" s="156"/>
    </row>
    <row r="608">
      <c r="A608" s="177" t="str">
        <f t="shared" si="14"/>
        <v/>
      </c>
      <c r="B608" s="196"/>
      <c r="C608" s="179" t="str">
        <f t="shared" si="2"/>
        <v/>
      </c>
      <c r="D608" s="197"/>
      <c r="E608" s="181"/>
      <c r="F608" s="198"/>
      <c r="G608" s="201"/>
      <c r="H608" s="201"/>
      <c r="I608" s="201"/>
      <c r="J608" s="202"/>
      <c r="K608" s="203"/>
      <c r="L608" s="186">
        <f t="shared" si="15"/>
        <v>0</v>
      </c>
      <c r="M608" s="191"/>
      <c r="N608" s="191"/>
      <c r="O608" s="191"/>
      <c r="P608" s="191"/>
      <c r="Q608" s="191"/>
      <c r="R608" s="191"/>
      <c r="S608" s="191"/>
      <c r="T608" s="192"/>
      <c r="U608" s="189" t="str">
        <f t="shared" si="16"/>
        <v/>
      </c>
      <c r="V608" s="190" t="str">
        <f t="shared" si="17"/>
        <v/>
      </c>
      <c r="W608" s="190" t="str">
        <f t="shared" si="18"/>
        <v/>
      </c>
      <c r="X608" s="191" t="str">
        <f t="shared" si="19"/>
        <v/>
      </c>
      <c r="Y608" s="191" t="str">
        <f t="shared" si="20"/>
        <v/>
      </c>
      <c r="Z608" s="156"/>
    </row>
    <row r="609">
      <c r="A609" s="177" t="str">
        <f t="shared" si="14"/>
        <v/>
      </c>
      <c r="B609" s="196"/>
      <c r="C609" s="179" t="str">
        <f t="shared" si="2"/>
        <v/>
      </c>
      <c r="D609" s="197"/>
      <c r="E609" s="181"/>
      <c r="F609" s="198"/>
      <c r="G609" s="201"/>
      <c r="H609" s="201"/>
      <c r="I609" s="201"/>
      <c r="J609" s="202"/>
      <c r="K609" s="203"/>
      <c r="L609" s="186">
        <f t="shared" si="15"/>
        <v>0</v>
      </c>
      <c r="M609" s="191"/>
      <c r="N609" s="191"/>
      <c r="O609" s="191"/>
      <c r="P609" s="191"/>
      <c r="Q609" s="191"/>
      <c r="R609" s="191"/>
      <c r="S609" s="191"/>
      <c r="T609" s="192"/>
      <c r="U609" s="189" t="str">
        <f t="shared" si="16"/>
        <v/>
      </c>
      <c r="V609" s="190" t="str">
        <f t="shared" si="17"/>
        <v/>
      </c>
      <c r="W609" s="190" t="str">
        <f t="shared" si="18"/>
        <v/>
      </c>
      <c r="X609" s="191" t="str">
        <f t="shared" si="19"/>
        <v/>
      </c>
      <c r="Y609" s="191" t="str">
        <f t="shared" si="20"/>
        <v/>
      </c>
      <c r="Z609" s="156"/>
    </row>
    <row r="610">
      <c r="A610" s="177" t="str">
        <f t="shared" si="14"/>
        <v/>
      </c>
      <c r="B610" s="196"/>
      <c r="C610" s="179" t="str">
        <f t="shared" si="2"/>
        <v/>
      </c>
      <c r="D610" s="197"/>
      <c r="E610" s="181"/>
      <c r="F610" s="198"/>
      <c r="G610" s="201"/>
      <c r="H610" s="201"/>
      <c r="I610" s="201"/>
      <c r="J610" s="202"/>
      <c r="K610" s="203"/>
      <c r="L610" s="186">
        <f t="shared" si="15"/>
        <v>0</v>
      </c>
      <c r="M610" s="191"/>
      <c r="N610" s="191"/>
      <c r="O610" s="191"/>
      <c r="P610" s="191"/>
      <c r="Q610" s="191"/>
      <c r="R610" s="191"/>
      <c r="S610" s="191"/>
      <c r="T610" s="192"/>
      <c r="U610" s="189" t="str">
        <f t="shared" si="16"/>
        <v/>
      </c>
      <c r="V610" s="190" t="str">
        <f t="shared" si="17"/>
        <v/>
      </c>
      <c r="W610" s="190" t="str">
        <f t="shared" si="18"/>
        <v/>
      </c>
      <c r="X610" s="191" t="str">
        <f t="shared" si="19"/>
        <v/>
      </c>
      <c r="Y610" s="191" t="str">
        <f t="shared" si="20"/>
        <v/>
      </c>
      <c r="Z610" s="156"/>
    </row>
    <row r="611">
      <c r="A611" s="177" t="str">
        <f t="shared" si="14"/>
        <v/>
      </c>
      <c r="B611" s="196"/>
      <c r="C611" s="179" t="str">
        <f t="shared" si="2"/>
        <v/>
      </c>
      <c r="D611" s="197"/>
      <c r="E611" s="181"/>
      <c r="F611" s="198"/>
      <c r="G611" s="201"/>
      <c r="H611" s="201"/>
      <c r="I611" s="201"/>
      <c r="J611" s="202"/>
      <c r="K611" s="203"/>
      <c r="L611" s="186">
        <f t="shared" si="15"/>
        <v>0</v>
      </c>
      <c r="M611" s="191"/>
      <c r="N611" s="191"/>
      <c r="O611" s="191"/>
      <c r="P611" s="191"/>
      <c r="Q611" s="191"/>
      <c r="R611" s="191"/>
      <c r="S611" s="191"/>
      <c r="T611" s="192"/>
      <c r="U611" s="189" t="str">
        <f t="shared" si="16"/>
        <v/>
      </c>
      <c r="V611" s="190" t="str">
        <f t="shared" si="17"/>
        <v/>
      </c>
      <c r="W611" s="190" t="str">
        <f t="shared" si="18"/>
        <v/>
      </c>
      <c r="X611" s="191" t="str">
        <f t="shared" si="19"/>
        <v/>
      </c>
      <c r="Y611" s="191" t="str">
        <f t="shared" si="20"/>
        <v/>
      </c>
      <c r="Z611" s="156"/>
    </row>
    <row r="612">
      <c r="A612" s="177" t="str">
        <f t="shared" si="14"/>
        <v/>
      </c>
      <c r="B612" s="196"/>
      <c r="C612" s="179" t="str">
        <f t="shared" si="2"/>
        <v/>
      </c>
      <c r="D612" s="197"/>
      <c r="E612" s="181"/>
      <c r="F612" s="198"/>
      <c r="G612" s="201"/>
      <c r="H612" s="201"/>
      <c r="I612" s="201"/>
      <c r="J612" s="202"/>
      <c r="K612" s="203"/>
      <c r="L612" s="186">
        <f t="shared" si="15"/>
        <v>0</v>
      </c>
      <c r="M612" s="191"/>
      <c r="N612" s="191"/>
      <c r="O612" s="191"/>
      <c r="P612" s="191"/>
      <c r="Q612" s="191"/>
      <c r="R612" s="191"/>
      <c r="S612" s="191"/>
      <c r="T612" s="192"/>
      <c r="U612" s="189" t="str">
        <f t="shared" si="16"/>
        <v/>
      </c>
      <c r="V612" s="190" t="str">
        <f t="shared" si="17"/>
        <v/>
      </c>
      <c r="W612" s="190" t="str">
        <f t="shared" si="18"/>
        <v/>
      </c>
      <c r="X612" s="191" t="str">
        <f t="shared" si="19"/>
        <v/>
      </c>
      <c r="Y612" s="191" t="str">
        <f t="shared" si="20"/>
        <v/>
      </c>
      <c r="Z612" s="156"/>
    </row>
    <row r="613">
      <c r="A613" s="177" t="str">
        <f t="shared" si="14"/>
        <v/>
      </c>
      <c r="B613" s="196"/>
      <c r="C613" s="179" t="str">
        <f t="shared" si="2"/>
        <v/>
      </c>
      <c r="D613" s="197"/>
      <c r="E613" s="181"/>
      <c r="F613" s="198"/>
      <c r="G613" s="201"/>
      <c r="H613" s="201"/>
      <c r="I613" s="201"/>
      <c r="J613" s="202"/>
      <c r="K613" s="203"/>
      <c r="L613" s="186">
        <f t="shared" si="15"/>
        <v>0</v>
      </c>
      <c r="M613" s="191"/>
      <c r="N613" s="191"/>
      <c r="O613" s="191"/>
      <c r="P613" s="191"/>
      <c r="Q613" s="191"/>
      <c r="R613" s="191"/>
      <c r="S613" s="191"/>
      <c r="T613" s="192"/>
      <c r="U613" s="189" t="str">
        <f t="shared" si="16"/>
        <v/>
      </c>
      <c r="V613" s="190" t="str">
        <f t="shared" si="17"/>
        <v/>
      </c>
      <c r="W613" s="190" t="str">
        <f t="shared" si="18"/>
        <v/>
      </c>
      <c r="X613" s="191" t="str">
        <f t="shared" si="19"/>
        <v/>
      </c>
      <c r="Y613" s="191" t="str">
        <f t="shared" si="20"/>
        <v/>
      </c>
      <c r="Z613" s="156"/>
    </row>
    <row r="614">
      <c r="A614" s="177" t="str">
        <f t="shared" si="14"/>
        <v/>
      </c>
      <c r="B614" s="196"/>
      <c r="C614" s="179" t="str">
        <f t="shared" si="2"/>
        <v/>
      </c>
      <c r="D614" s="197"/>
      <c r="E614" s="181"/>
      <c r="F614" s="198"/>
      <c r="G614" s="201"/>
      <c r="H614" s="201"/>
      <c r="I614" s="201"/>
      <c r="J614" s="202"/>
      <c r="K614" s="203"/>
      <c r="L614" s="186">
        <f t="shared" si="15"/>
        <v>0</v>
      </c>
      <c r="M614" s="191"/>
      <c r="N614" s="191"/>
      <c r="O614" s="191"/>
      <c r="P614" s="191"/>
      <c r="Q614" s="191"/>
      <c r="R614" s="191"/>
      <c r="S614" s="191"/>
      <c r="T614" s="192"/>
      <c r="U614" s="189" t="str">
        <f t="shared" si="16"/>
        <v/>
      </c>
      <c r="V614" s="190" t="str">
        <f t="shared" si="17"/>
        <v/>
      </c>
      <c r="W614" s="190" t="str">
        <f t="shared" si="18"/>
        <v/>
      </c>
      <c r="X614" s="191" t="str">
        <f t="shared" si="19"/>
        <v/>
      </c>
      <c r="Y614" s="191" t="str">
        <f t="shared" si="20"/>
        <v/>
      </c>
      <c r="Z614" s="156"/>
    </row>
    <row r="615">
      <c r="A615" s="177" t="str">
        <f t="shared" si="14"/>
        <v/>
      </c>
      <c r="B615" s="196"/>
      <c r="C615" s="179" t="str">
        <f t="shared" si="2"/>
        <v/>
      </c>
      <c r="D615" s="197"/>
      <c r="E615" s="181"/>
      <c r="F615" s="198"/>
      <c r="G615" s="201"/>
      <c r="H615" s="201"/>
      <c r="I615" s="201"/>
      <c r="J615" s="202"/>
      <c r="K615" s="203"/>
      <c r="L615" s="186">
        <f t="shared" si="15"/>
        <v>0</v>
      </c>
      <c r="M615" s="191"/>
      <c r="N615" s="191"/>
      <c r="O615" s="191"/>
      <c r="P615" s="191"/>
      <c r="Q615" s="191"/>
      <c r="R615" s="191"/>
      <c r="S615" s="191"/>
      <c r="T615" s="192"/>
      <c r="U615" s="189" t="str">
        <f t="shared" si="16"/>
        <v/>
      </c>
      <c r="V615" s="190" t="str">
        <f t="shared" si="17"/>
        <v/>
      </c>
      <c r="W615" s="190" t="str">
        <f t="shared" si="18"/>
        <v/>
      </c>
      <c r="X615" s="191" t="str">
        <f t="shared" si="19"/>
        <v/>
      </c>
      <c r="Y615" s="191" t="str">
        <f t="shared" si="20"/>
        <v/>
      </c>
      <c r="Z615" s="156"/>
    </row>
    <row r="616">
      <c r="A616" s="177" t="str">
        <f t="shared" si="14"/>
        <v/>
      </c>
      <c r="B616" s="196"/>
      <c r="C616" s="179" t="str">
        <f t="shared" si="2"/>
        <v/>
      </c>
      <c r="D616" s="197"/>
      <c r="E616" s="181"/>
      <c r="F616" s="198"/>
      <c r="G616" s="201"/>
      <c r="H616" s="201"/>
      <c r="I616" s="201"/>
      <c r="J616" s="202"/>
      <c r="K616" s="203"/>
      <c r="L616" s="186">
        <f t="shared" si="15"/>
        <v>0</v>
      </c>
      <c r="M616" s="191"/>
      <c r="N616" s="191"/>
      <c r="O616" s="191"/>
      <c r="P616" s="191"/>
      <c r="Q616" s="191"/>
      <c r="R616" s="191"/>
      <c r="S616" s="191"/>
      <c r="T616" s="192"/>
      <c r="U616" s="189" t="str">
        <f t="shared" si="16"/>
        <v/>
      </c>
      <c r="V616" s="190" t="str">
        <f t="shared" si="17"/>
        <v/>
      </c>
      <c r="W616" s="190" t="str">
        <f t="shared" si="18"/>
        <v/>
      </c>
      <c r="X616" s="191" t="str">
        <f t="shared" si="19"/>
        <v/>
      </c>
      <c r="Y616" s="191" t="str">
        <f t="shared" si="20"/>
        <v/>
      </c>
      <c r="Z616" s="156"/>
    </row>
    <row r="617">
      <c r="A617" s="177" t="str">
        <f t="shared" si="14"/>
        <v/>
      </c>
      <c r="B617" s="196"/>
      <c r="C617" s="179" t="str">
        <f t="shared" si="2"/>
        <v/>
      </c>
      <c r="D617" s="197"/>
      <c r="E617" s="181"/>
      <c r="F617" s="198"/>
      <c r="G617" s="201"/>
      <c r="H617" s="201"/>
      <c r="I617" s="201"/>
      <c r="J617" s="202"/>
      <c r="K617" s="203"/>
      <c r="L617" s="186">
        <f t="shared" si="15"/>
        <v>0</v>
      </c>
      <c r="M617" s="191"/>
      <c r="N617" s="191"/>
      <c r="O617" s="191"/>
      <c r="P617" s="191"/>
      <c r="Q617" s="191"/>
      <c r="R617" s="191"/>
      <c r="S617" s="191"/>
      <c r="T617" s="192"/>
      <c r="U617" s="189" t="str">
        <f t="shared" si="16"/>
        <v/>
      </c>
      <c r="V617" s="190" t="str">
        <f t="shared" si="17"/>
        <v/>
      </c>
      <c r="W617" s="190" t="str">
        <f t="shared" si="18"/>
        <v/>
      </c>
      <c r="X617" s="191" t="str">
        <f t="shared" si="19"/>
        <v/>
      </c>
      <c r="Y617" s="191" t="str">
        <f t="shared" si="20"/>
        <v/>
      </c>
      <c r="Z617" s="156"/>
    </row>
    <row r="618">
      <c r="A618" s="177" t="str">
        <f t="shared" si="14"/>
        <v/>
      </c>
      <c r="B618" s="196"/>
      <c r="C618" s="179" t="str">
        <f t="shared" si="2"/>
        <v/>
      </c>
      <c r="D618" s="197"/>
      <c r="E618" s="181"/>
      <c r="F618" s="198"/>
      <c r="G618" s="201"/>
      <c r="H618" s="201"/>
      <c r="I618" s="201"/>
      <c r="J618" s="202"/>
      <c r="K618" s="203"/>
      <c r="L618" s="186">
        <f t="shared" si="15"/>
        <v>0</v>
      </c>
      <c r="M618" s="191"/>
      <c r="N618" s="191"/>
      <c r="O618" s="191"/>
      <c r="P618" s="191"/>
      <c r="Q618" s="191"/>
      <c r="R618" s="191"/>
      <c r="S618" s="191"/>
      <c r="T618" s="192"/>
      <c r="U618" s="189" t="str">
        <f t="shared" si="16"/>
        <v/>
      </c>
      <c r="V618" s="190" t="str">
        <f t="shared" si="17"/>
        <v/>
      </c>
      <c r="W618" s="190" t="str">
        <f t="shared" si="18"/>
        <v/>
      </c>
      <c r="X618" s="191" t="str">
        <f t="shared" si="19"/>
        <v/>
      </c>
      <c r="Y618" s="191" t="str">
        <f t="shared" si="20"/>
        <v/>
      </c>
      <c r="Z618" s="156"/>
    </row>
    <row r="619">
      <c r="A619" s="177" t="str">
        <f t="shared" si="14"/>
        <v/>
      </c>
      <c r="B619" s="196"/>
      <c r="C619" s="179" t="str">
        <f t="shared" si="2"/>
        <v/>
      </c>
      <c r="D619" s="197"/>
      <c r="E619" s="181"/>
      <c r="F619" s="198"/>
      <c r="G619" s="201"/>
      <c r="H619" s="201"/>
      <c r="I619" s="201"/>
      <c r="J619" s="202"/>
      <c r="K619" s="203"/>
      <c r="L619" s="186">
        <f t="shared" si="15"/>
        <v>0</v>
      </c>
      <c r="M619" s="191"/>
      <c r="N619" s="191"/>
      <c r="O619" s="191"/>
      <c r="P619" s="191"/>
      <c r="Q619" s="191"/>
      <c r="R619" s="191"/>
      <c r="S619" s="191"/>
      <c r="T619" s="192"/>
      <c r="U619" s="189" t="str">
        <f t="shared" si="16"/>
        <v/>
      </c>
      <c r="V619" s="190" t="str">
        <f t="shared" si="17"/>
        <v/>
      </c>
      <c r="W619" s="190" t="str">
        <f t="shared" si="18"/>
        <v/>
      </c>
      <c r="X619" s="191" t="str">
        <f t="shared" si="19"/>
        <v/>
      </c>
      <c r="Y619" s="191" t="str">
        <f t="shared" si="20"/>
        <v/>
      </c>
      <c r="Z619" s="156"/>
    </row>
    <row r="620">
      <c r="A620" s="177" t="str">
        <f t="shared" si="14"/>
        <v/>
      </c>
      <c r="B620" s="196"/>
      <c r="C620" s="179" t="str">
        <f t="shared" si="2"/>
        <v/>
      </c>
      <c r="D620" s="197"/>
      <c r="E620" s="181"/>
      <c r="F620" s="198"/>
      <c r="G620" s="201"/>
      <c r="H620" s="201"/>
      <c r="I620" s="201"/>
      <c r="J620" s="202"/>
      <c r="K620" s="203"/>
      <c r="L620" s="186">
        <f t="shared" si="15"/>
        <v>0</v>
      </c>
      <c r="M620" s="191"/>
      <c r="N620" s="191"/>
      <c r="O620" s="191"/>
      <c r="P620" s="191"/>
      <c r="Q620" s="191"/>
      <c r="R620" s="191"/>
      <c r="S620" s="191"/>
      <c r="T620" s="192"/>
      <c r="U620" s="189" t="str">
        <f t="shared" si="16"/>
        <v/>
      </c>
      <c r="V620" s="190" t="str">
        <f t="shared" si="17"/>
        <v/>
      </c>
      <c r="W620" s="190" t="str">
        <f t="shared" si="18"/>
        <v/>
      </c>
      <c r="X620" s="191" t="str">
        <f t="shared" si="19"/>
        <v/>
      </c>
      <c r="Y620" s="191" t="str">
        <f t="shared" si="20"/>
        <v/>
      </c>
      <c r="Z620" s="156"/>
    </row>
    <row r="621">
      <c r="A621" s="177" t="str">
        <f t="shared" si="14"/>
        <v/>
      </c>
      <c r="B621" s="196"/>
      <c r="C621" s="179" t="str">
        <f t="shared" si="2"/>
        <v/>
      </c>
      <c r="D621" s="197"/>
      <c r="E621" s="181"/>
      <c r="F621" s="198"/>
      <c r="G621" s="201"/>
      <c r="H621" s="201"/>
      <c r="I621" s="201"/>
      <c r="J621" s="202"/>
      <c r="K621" s="203"/>
      <c r="L621" s="186">
        <f t="shared" si="15"/>
        <v>0</v>
      </c>
      <c r="M621" s="191"/>
      <c r="N621" s="191"/>
      <c r="O621" s="191"/>
      <c r="P621" s="191"/>
      <c r="Q621" s="191"/>
      <c r="R621" s="191"/>
      <c r="S621" s="191"/>
      <c r="T621" s="192"/>
      <c r="U621" s="189" t="str">
        <f t="shared" si="16"/>
        <v/>
      </c>
      <c r="V621" s="190" t="str">
        <f t="shared" si="17"/>
        <v/>
      </c>
      <c r="W621" s="190" t="str">
        <f t="shared" si="18"/>
        <v/>
      </c>
      <c r="X621" s="191" t="str">
        <f t="shared" si="19"/>
        <v/>
      </c>
      <c r="Y621" s="191" t="str">
        <f t="shared" si="20"/>
        <v/>
      </c>
      <c r="Z621" s="156"/>
    </row>
    <row r="622">
      <c r="A622" s="177" t="str">
        <f t="shared" si="14"/>
        <v/>
      </c>
      <c r="B622" s="196"/>
      <c r="C622" s="179" t="str">
        <f t="shared" si="2"/>
        <v/>
      </c>
      <c r="D622" s="197"/>
      <c r="E622" s="181"/>
      <c r="F622" s="198"/>
      <c r="G622" s="201"/>
      <c r="H622" s="201"/>
      <c r="I622" s="201"/>
      <c r="J622" s="202"/>
      <c r="K622" s="203"/>
      <c r="L622" s="186">
        <f t="shared" si="15"/>
        <v>0</v>
      </c>
      <c r="M622" s="191"/>
      <c r="N622" s="191"/>
      <c r="O622" s="191"/>
      <c r="P622" s="191"/>
      <c r="Q622" s="191"/>
      <c r="R622" s="191"/>
      <c r="S622" s="191"/>
      <c r="T622" s="192"/>
      <c r="U622" s="189" t="str">
        <f t="shared" si="16"/>
        <v/>
      </c>
      <c r="V622" s="190" t="str">
        <f t="shared" si="17"/>
        <v/>
      </c>
      <c r="W622" s="190" t="str">
        <f t="shared" si="18"/>
        <v/>
      </c>
      <c r="X622" s="191" t="str">
        <f t="shared" si="19"/>
        <v/>
      </c>
      <c r="Y622" s="191" t="str">
        <f t="shared" si="20"/>
        <v/>
      </c>
      <c r="Z622" s="156"/>
    </row>
    <row r="623">
      <c r="A623" s="177" t="str">
        <f t="shared" si="14"/>
        <v/>
      </c>
      <c r="B623" s="196"/>
      <c r="C623" s="179" t="str">
        <f t="shared" si="2"/>
        <v/>
      </c>
      <c r="D623" s="197"/>
      <c r="E623" s="181"/>
      <c r="F623" s="198"/>
      <c r="G623" s="201"/>
      <c r="H623" s="201"/>
      <c r="I623" s="201"/>
      <c r="J623" s="202"/>
      <c r="K623" s="203"/>
      <c r="L623" s="186">
        <f t="shared" si="15"/>
        <v>0</v>
      </c>
      <c r="M623" s="191"/>
      <c r="N623" s="191"/>
      <c r="O623" s="191"/>
      <c r="P623" s="191"/>
      <c r="Q623" s="191"/>
      <c r="R623" s="191"/>
      <c r="S623" s="191"/>
      <c r="T623" s="192"/>
      <c r="U623" s="189" t="str">
        <f t="shared" si="16"/>
        <v/>
      </c>
      <c r="V623" s="190" t="str">
        <f t="shared" si="17"/>
        <v/>
      </c>
      <c r="W623" s="190" t="str">
        <f t="shared" si="18"/>
        <v/>
      </c>
      <c r="X623" s="191" t="str">
        <f t="shared" si="19"/>
        <v/>
      </c>
      <c r="Y623" s="191" t="str">
        <f t="shared" si="20"/>
        <v/>
      </c>
      <c r="Z623" s="156"/>
    </row>
    <row r="624">
      <c r="A624" s="177" t="str">
        <f t="shared" si="14"/>
        <v/>
      </c>
      <c r="B624" s="196"/>
      <c r="C624" s="179" t="str">
        <f t="shared" si="2"/>
        <v/>
      </c>
      <c r="D624" s="197"/>
      <c r="E624" s="181"/>
      <c r="F624" s="198"/>
      <c r="G624" s="201"/>
      <c r="H624" s="201"/>
      <c r="I624" s="201"/>
      <c r="J624" s="202"/>
      <c r="K624" s="203"/>
      <c r="L624" s="186">
        <f t="shared" si="15"/>
        <v>0</v>
      </c>
      <c r="M624" s="191"/>
      <c r="N624" s="191"/>
      <c r="O624" s="191"/>
      <c r="P624" s="191"/>
      <c r="Q624" s="191"/>
      <c r="R624" s="191"/>
      <c r="S624" s="191"/>
      <c r="T624" s="192"/>
      <c r="U624" s="189" t="str">
        <f t="shared" si="16"/>
        <v/>
      </c>
      <c r="V624" s="190" t="str">
        <f t="shared" si="17"/>
        <v/>
      </c>
      <c r="W624" s="190" t="str">
        <f t="shared" si="18"/>
        <v/>
      </c>
      <c r="X624" s="191" t="str">
        <f t="shared" si="19"/>
        <v/>
      </c>
      <c r="Y624" s="191" t="str">
        <f t="shared" si="20"/>
        <v/>
      </c>
      <c r="Z624" s="156"/>
    </row>
    <row r="625">
      <c r="A625" s="177" t="str">
        <f t="shared" si="14"/>
        <v/>
      </c>
      <c r="B625" s="196"/>
      <c r="C625" s="179" t="str">
        <f t="shared" si="2"/>
        <v/>
      </c>
      <c r="D625" s="197"/>
      <c r="E625" s="181"/>
      <c r="F625" s="198"/>
      <c r="G625" s="201"/>
      <c r="H625" s="201"/>
      <c r="I625" s="201"/>
      <c r="J625" s="202"/>
      <c r="K625" s="203"/>
      <c r="L625" s="186">
        <f t="shared" si="15"/>
        <v>0</v>
      </c>
      <c r="M625" s="191"/>
      <c r="N625" s="191"/>
      <c r="O625" s="191"/>
      <c r="P625" s="191"/>
      <c r="Q625" s="191"/>
      <c r="R625" s="191"/>
      <c r="S625" s="191"/>
      <c r="T625" s="192"/>
      <c r="U625" s="189" t="str">
        <f t="shared" si="16"/>
        <v/>
      </c>
      <c r="V625" s="190" t="str">
        <f t="shared" si="17"/>
        <v/>
      </c>
      <c r="W625" s="190" t="str">
        <f t="shared" si="18"/>
        <v/>
      </c>
      <c r="X625" s="191" t="str">
        <f t="shared" si="19"/>
        <v/>
      </c>
      <c r="Y625" s="191" t="str">
        <f t="shared" si="20"/>
        <v/>
      </c>
      <c r="Z625" s="156"/>
    </row>
    <row r="626">
      <c r="A626" s="177" t="str">
        <f t="shared" si="14"/>
        <v/>
      </c>
      <c r="B626" s="196"/>
      <c r="C626" s="179" t="str">
        <f t="shared" si="2"/>
        <v/>
      </c>
      <c r="D626" s="197"/>
      <c r="E626" s="181"/>
      <c r="F626" s="198"/>
      <c r="G626" s="201"/>
      <c r="H626" s="201"/>
      <c r="I626" s="201"/>
      <c r="J626" s="202"/>
      <c r="K626" s="203"/>
      <c r="L626" s="186">
        <f t="shared" si="15"/>
        <v>0</v>
      </c>
      <c r="M626" s="191"/>
      <c r="N626" s="191"/>
      <c r="O626" s="191"/>
      <c r="P626" s="191"/>
      <c r="Q626" s="191"/>
      <c r="R626" s="191"/>
      <c r="S626" s="191"/>
      <c r="T626" s="192"/>
      <c r="U626" s="189" t="str">
        <f t="shared" si="16"/>
        <v/>
      </c>
      <c r="V626" s="190" t="str">
        <f t="shared" si="17"/>
        <v/>
      </c>
      <c r="W626" s="190" t="str">
        <f t="shared" si="18"/>
        <v/>
      </c>
      <c r="X626" s="191" t="str">
        <f t="shared" si="19"/>
        <v/>
      </c>
      <c r="Y626" s="191" t="str">
        <f t="shared" si="20"/>
        <v/>
      </c>
      <c r="Z626" s="156"/>
    </row>
    <row r="627">
      <c r="A627" s="177" t="str">
        <f t="shared" si="14"/>
        <v/>
      </c>
      <c r="B627" s="196"/>
      <c r="C627" s="179" t="str">
        <f t="shared" si="2"/>
        <v/>
      </c>
      <c r="D627" s="197"/>
      <c r="E627" s="181"/>
      <c r="F627" s="198"/>
      <c r="G627" s="201"/>
      <c r="H627" s="201"/>
      <c r="I627" s="201"/>
      <c r="J627" s="202"/>
      <c r="K627" s="203"/>
      <c r="L627" s="186">
        <f t="shared" si="15"/>
        <v>0</v>
      </c>
      <c r="M627" s="191"/>
      <c r="N627" s="191"/>
      <c r="O627" s="191"/>
      <c r="P627" s="191"/>
      <c r="Q627" s="191"/>
      <c r="R627" s="191"/>
      <c r="S627" s="191"/>
      <c r="T627" s="192"/>
      <c r="U627" s="189" t="str">
        <f t="shared" si="16"/>
        <v/>
      </c>
      <c r="V627" s="190" t="str">
        <f t="shared" si="17"/>
        <v/>
      </c>
      <c r="W627" s="190" t="str">
        <f t="shared" si="18"/>
        <v/>
      </c>
      <c r="X627" s="191" t="str">
        <f t="shared" si="19"/>
        <v/>
      </c>
      <c r="Y627" s="191" t="str">
        <f t="shared" si="20"/>
        <v/>
      </c>
      <c r="Z627" s="156"/>
    </row>
    <row r="628">
      <c r="A628" s="177" t="str">
        <f t="shared" si="14"/>
        <v/>
      </c>
      <c r="B628" s="196"/>
      <c r="C628" s="179" t="str">
        <f t="shared" si="2"/>
        <v/>
      </c>
      <c r="D628" s="197"/>
      <c r="E628" s="181"/>
      <c r="F628" s="198"/>
      <c r="G628" s="201"/>
      <c r="H628" s="201"/>
      <c r="I628" s="201"/>
      <c r="J628" s="202"/>
      <c r="K628" s="203"/>
      <c r="L628" s="186">
        <f t="shared" si="15"/>
        <v>0</v>
      </c>
      <c r="M628" s="191"/>
      <c r="N628" s="191"/>
      <c r="O628" s="191"/>
      <c r="P628" s="191"/>
      <c r="Q628" s="191"/>
      <c r="R628" s="191"/>
      <c r="S628" s="191"/>
      <c r="T628" s="192"/>
      <c r="U628" s="189" t="str">
        <f t="shared" si="16"/>
        <v/>
      </c>
      <c r="V628" s="190" t="str">
        <f t="shared" si="17"/>
        <v/>
      </c>
      <c r="W628" s="190" t="str">
        <f t="shared" si="18"/>
        <v/>
      </c>
      <c r="X628" s="191" t="str">
        <f t="shared" si="19"/>
        <v/>
      </c>
      <c r="Y628" s="191" t="str">
        <f t="shared" si="20"/>
        <v/>
      </c>
      <c r="Z628" s="156"/>
    </row>
    <row r="629">
      <c r="A629" s="177" t="str">
        <f t="shared" si="14"/>
        <v/>
      </c>
      <c r="B629" s="196"/>
      <c r="C629" s="179" t="str">
        <f t="shared" si="2"/>
        <v/>
      </c>
      <c r="D629" s="197"/>
      <c r="E629" s="181"/>
      <c r="F629" s="198"/>
      <c r="G629" s="201"/>
      <c r="H629" s="201"/>
      <c r="I629" s="201"/>
      <c r="J629" s="202"/>
      <c r="K629" s="203"/>
      <c r="L629" s="186">
        <f t="shared" si="15"/>
        <v>0</v>
      </c>
      <c r="M629" s="191"/>
      <c r="N629" s="191"/>
      <c r="O629" s="191"/>
      <c r="P629" s="191"/>
      <c r="Q629" s="191"/>
      <c r="R629" s="191"/>
      <c r="S629" s="191"/>
      <c r="T629" s="192"/>
      <c r="U629" s="189" t="str">
        <f t="shared" si="16"/>
        <v/>
      </c>
      <c r="V629" s="190" t="str">
        <f t="shared" si="17"/>
        <v/>
      </c>
      <c r="W629" s="190" t="str">
        <f t="shared" si="18"/>
        <v/>
      </c>
      <c r="X629" s="191" t="str">
        <f t="shared" si="19"/>
        <v/>
      </c>
      <c r="Y629" s="191" t="str">
        <f t="shared" si="20"/>
        <v/>
      </c>
      <c r="Z629" s="156"/>
    </row>
    <row r="630">
      <c r="A630" s="177" t="str">
        <f t="shared" si="14"/>
        <v/>
      </c>
      <c r="B630" s="196"/>
      <c r="C630" s="179" t="str">
        <f t="shared" si="2"/>
        <v/>
      </c>
      <c r="D630" s="197"/>
      <c r="E630" s="181"/>
      <c r="F630" s="198"/>
      <c r="G630" s="201"/>
      <c r="H630" s="201"/>
      <c r="I630" s="201"/>
      <c r="J630" s="202"/>
      <c r="K630" s="203"/>
      <c r="L630" s="186">
        <f t="shared" si="15"/>
        <v>0</v>
      </c>
      <c r="M630" s="191"/>
      <c r="N630" s="191"/>
      <c r="O630" s="191"/>
      <c r="P630" s="191"/>
      <c r="Q630" s="191"/>
      <c r="R630" s="191"/>
      <c r="S630" s="191"/>
      <c r="T630" s="192"/>
      <c r="U630" s="189" t="str">
        <f t="shared" si="16"/>
        <v/>
      </c>
      <c r="V630" s="190" t="str">
        <f t="shared" si="17"/>
        <v/>
      </c>
      <c r="W630" s="190" t="str">
        <f t="shared" si="18"/>
        <v/>
      </c>
      <c r="X630" s="191" t="str">
        <f t="shared" si="19"/>
        <v/>
      </c>
      <c r="Y630" s="191" t="str">
        <f t="shared" si="20"/>
        <v/>
      </c>
      <c r="Z630" s="156"/>
    </row>
    <row r="631">
      <c r="A631" s="177" t="str">
        <f t="shared" si="14"/>
        <v/>
      </c>
      <c r="B631" s="196"/>
      <c r="C631" s="179" t="str">
        <f t="shared" si="2"/>
        <v/>
      </c>
      <c r="D631" s="197"/>
      <c r="E631" s="181"/>
      <c r="F631" s="198"/>
      <c r="G631" s="201"/>
      <c r="H631" s="201"/>
      <c r="I631" s="201"/>
      <c r="J631" s="202"/>
      <c r="K631" s="203"/>
      <c r="L631" s="186">
        <f t="shared" si="15"/>
        <v>0</v>
      </c>
      <c r="M631" s="191"/>
      <c r="N631" s="191"/>
      <c r="O631" s="191"/>
      <c r="P631" s="191"/>
      <c r="Q631" s="191"/>
      <c r="R631" s="191"/>
      <c r="S631" s="191"/>
      <c r="T631" s="192"/>
      <c r="U631" s="189" t="str">
        <f t="shared" si="16"/>
        <v/>
      </c>
      <c r="V631" s="190" t="str">
        <f t="shared" si="17"/>
        <v/>
      </c>
      <c r="W631" s="190" t="str">
        <f t="shared" si="18"/>
        <v/>
      </c>
      <c r="X631" s="191" t="str">
        <f t="shared" si="19"/>
        <v/>
      </c>
      <c r="Y631" s="191" t="str">
        <f t="shared" si="20"/>
        <v/>
      </c>
      <c r="Z631" s="156"/>
    </row>
    <row r="632">
      <c r="A632" s="177" t="str">
        <f t="shared" si="14"/>
        <v/>
      </c>
      <c r="B632" s="196"/>
      <c r="C632" s="179" t="str">
        <f t="shared" si="2"/>
        <v/>
      </c>
      <c r="D632" s="197"/>
      <c r="E632" s="181"/>
      <c r="F632" s="198"/>
      <c r="G632" s="201"/>
      <c r="H632" s="201"/>
      <c r="I632" s="201"/>
      <c r="J632" s="202"/>
      <c r="K632" s="203"/>
      <c r="L632" s="186">
        <f t="shared" si="15"/>
        <v>0</v>
      </c>
      <c r="M632" s="191"/>
      <c r="N632" s="191"/>
      <c r="O632" s="191"/>
      <c r="P632" s="191"/>
      <c r="Q632" s="191"/>
      <c r="R632" s="191"/>
      <c r="S632" s="191"/>
      <c r="T632" s="192"/>
      <c r="U632" s="189" t="str">
        <f t="shared" si="16"/>
        <v/>
      </c>
      <c r="V632" s="190" t="str">
        <f t="shared" si="17"/>
        <v/>
      </c>
      <c r="W632" s="190" t="str">
        <f t="shared" si="18"/>
        <v/>
      </c>
      <c r="X632" s="191" t="str">
        <f t="shared" si="19"/>
        <v/>
      </c>
      <c r="Y632" s="191" t="str">
        <f t="shared" si="20"/>
        <v/>
      </c>
      <c r="Z632" s="156"/>
    </row>
    <row r="633">
      <c r="A633" s="177" t="str">
        <f t="shared" si="14"/>
        <v/>
      </c>
      <c r="B633" s="196"/>
      <c r="C633" s="179" t="str">
        <f t="shared" si="2"/>
        <v/>
      </c>
      <c r="D633" s="197"/>
      <c r="E633" s="181"/>
      <c r="F633" s="198"/>
      <c r="G633" s="201"/>
      <c r="H633" s="201"/>
      <c r="I633" s="201"/>
      <c r="J633" s="202"/>
      <c r="K633" s="203"/>
      <c r="L633" s="186">
        <f t="shared" si="15"/>
        <v>0</v>
      </c>
      <c r="M633" s="191"/>
      <c r="N633" s="191"/>
      <c r="O633" s="191"/>
      <c r="P633" s="191"/>
      <c r="Q633" s="191"/>
      <c r="R633" s="191"/>
      <c r="S633" s="191"/>
      <c r="T633" s="192"/>
      <c r="U633" s="189" t="str">
        <f t="shared" si="16"/>
        <v/>
      </c>
      <c r="V633" s="190" t="str">
        <f t="shared" si="17"/>
        <v/>
      </c>
      <c r="W633" s="190" t="str">
        <f t="shared" si="18"/>
        <v/>
      </c>
      <c r="X633" s="191" t="str">
        <f t="shared" si="19"/>
        <v/>
      </c>
      <c r="Y633" s="191" t="str">
        <f t="shared" si="20"/>
        <v/>
      </c>
      <c r="Z633" s="156"/>
    </row>
    <row r="634">
      <c r="A634" s="177" t="str">
        <f t="shared" si="14"/>
        <v/>
      </c>
      <c r="B634" s="196"/>
      <c r="C634" s="179" t="str">
        <f t="shared" si="2"/>
        <v/>
      </c>
      <c r="D634" s="197"/>
      <c r="E634" s="181"/>
      <c r="F634" s="198"/>
      <c r="G634" s="201"/>
      <c r="H634" s="201"/>
      <c r="I634" s="201"/>
      <c r="J634" s="202"/>
      <c r="K634" s="203"/>
      <c r="L634" s="186">
        <f t="shared" si="15"/>
        <v>0</v>
      </c>
      <c r="M634" s="191"/>
      <c r="N634" s="191"/>
      <c r="O634" s="191"/>
      <c r="P634" s="191"/>
      <c r="Q634" s="191"/>
      <c r="R634" s="191"/>
      <c r="S634" s="191"/>
      <c r="T634" s="192"/>
      <c r="U634" s="189" t="str">
        <f t="shared" si="16"/>
        <v/>
      </c>
      <c r="V634" s="190" t="str">
        <f t="shared" si="17"/>
        <v/>
      </c>
      <c r="W634" s="190" t="str">
        <f t="shared" si="18"/>
        <v/>
      </c>
      <c r="X634" s="191" t="str">
        <f t="shared" si="19"/>
        <v/>
      </c>
      <c r="Y634" s="191" t="str">
        <f t="shared" si="20"/>
        <v/>
      </c>
      <c r="Z634" s="156"/>
    </row>
    <row r="635">
      <c r="A635" s="177" t="str">
        <f t="shared" si="14"/>
        <v/>
      </c>
      <c r="B635" s="196"/>
      <c r="C635" s="179" t="str">
        <f t="shared" si="2"/>
        <v/>
      </c>
      <c r="D635" s="197"/>
      <c r="E635" s="181"/>
      <c r="F635" s="198"/>
      <c r="G635" s="201"/>
      <c r="H635" s="201"/>
      <c r="I635" s="201"/>
      <c r="J635" s="202"/>
      <c r="K635" s="203"/>
      <c r="L635" s="186">
        <f t="shared" si="15"/>
        <v>0</v>
      </c>
      <c r="M635" s="191"/>
      <c r="N635" s="191"/>
      <c r="O635" s="191"/>
      <c r="P635" s="191"/>
      <c r="Q635" s="191"/>
      <c r="R635" s="191"/>
      <c r="S635" s="191"/>
      <c r="T635" s="192"/>
      <c r="U635" s="189" t="str">
        <f t="shared" si="16"/>
        <v/>
      </c>
      <c r="V635" s="190" t="str">
        <f t="shared" si="17"/>
        <v/>
      </c>
      <c r="W635" s="190" t="str">
        <f t="shared" si="18"/>
        <v/>
      </c>
      <c r="X635" s="191" t="str">
        <f t="shared" si="19"/>
        <v/>
      </c>
      <c r="Y635" s="191" t="str">
        <f t="shared" si="20"/>
        <v/>
      </c>
      <c r="Z635" s="156"/>
    </row>
    <row r="636">
      <c r="A636" s="177" t="str">
        <f t="shared" si="14"/>
        <v/>
      </c>
      <c r="B636" s="196"/>
      <c r="C636" s="179" t="str">
        <f t="shared" si="2"/>
        <v/>
      </c>
      <c r="D636" s="197"/>
      <c r="E636" s="181"/>
      <c r="F636" s="198"/>
      <c r="G636" s="201"/>
      <c r="H636" s="201"/>
      <c r="I636" s="201"/>
      <c r="J636" s="202"/>
      <c r="K636" s="203"/>
      <c r="L636" s="186">
        <f t="shared" si="15"/>
        <v>0</v>
      </c>
      <c r="M636" s="191"/>
      <c r="N636" s="191"/>
      <c r="O636" s="191"/>
      <c r="P636" s="191"/>
      <c r="Q636" s="191"/>
      <c r="R636" s="191"/>
      <c r="S636" s="191"/>
      <c r="T636" s="192"/>
      <c r="U636" s="189" t="str">
        <f t="shared" si="16"/>
        <v/>
      </c>
      <c r="V636" s="190" t="str">
        <f t="shared" si="17"/>
        <v/>
      </c>
      <c r="W636" s="190" t="str">
        <f t="shared" si="18"/>
        <v/>
      </c>
      <c r="X636" s="191" t="str">
        <f t="shared" si="19"/>
        <v/>
      </c>
      <c r="Y636" s="191" t="str">
        <f t="shared" si="20"/>
        <v/>
      </c>
      <c r="Z636" s="156"/>
    </row>
    <row r="637">
      <c r="A637" s="177" t="str">
        <f t="shared" si="14"/>
        <v/>
      </c>
      <c r="B637" s="196"/>
      <c r="C637" s="179" t="str">
        <f t="shared" si="2"/>
        <v/>
      </c>
      <c r="D637" s="197"/>
      <c r="E637" s="181"/>
      <c r="F637" s="198"/>
      <c r="G637" s="201"/>
      <c r="H637" s="201"/>
      <c r="I637" s="201"/>
      <c r="J637" s="202"/>
      <c r="K637" s="203"/>
      <c r="L637" s="186">
        <f t="shared" si="15"/>
        <v>0</v>
      </c>
      <c r="M637" s="191"/>
      <c r="N637" s="191"/>
      <c r="O637" s="191"/>
      <c r="P637" s="191"/>
      <c r="Q637" s="191"/>
      <c r="R637" s="191"/>
      <c r="S637" s="191"/>
      <c r="T637" s="192"/>
      <c r="U637" s="189" t="str">
        <f t="shared" si="16"/>
        <v/>
      </c>
      <c r="V637" s="190" t="str">
        <f t="shared" si="17"/>
        <v/>
      </c>
      <c r="W637" s="190" t="str">
        <f t="shared" si="18"/>
        <v/>
      </c>
      <c r="X637" s="191" t="str">
        <f t="shared" si="19"/>
        <v/>
      </c>
      <c r="Y637" s="191" t="str">
        <f t="shared" si="20"/>
        <v/>
      </c>
      <c r="Z637" s="156"/>
    </row>
    <row r="638">
      <c r="A638" s="177" t="str">
        <f t="shared" si="14"/>
        <v/>
      </c>
      <c r="B638" s="196"/>
      <c r="C638" s="179" t="str">
        <f t="shared" si="2"/>
        <v/>
      </c>
      <c r="D638" s="197"/>
      <c r="E638" s="181"/>
      <c r="F638" s="198"/>
      <c r="G638" s="201"/>
      <c r="H638" s="201"/>
      <c r="I638" s="201"/>
      <c r="J638" s="202"/>
      <c r="K638" s="203"/>
      <c r="L638" s="186">
        <f t="shared" si="15"/>
        <v>0</v>
      </c>
      <c r="M638" s="191"/>
      <c r="N638" s="191"/>
      <c r="O638" s="191"/>
      <c r="P638" s="191"/>
      <c r="Q638" s="191"/>
      <c r="R638" s="191"/>
      <c r="S638" s="191"/>
      <c r="T638" s="192"/>
      <c r="U638" s="189" t="str">
        <f t="shared" si="16"/>
        <v/>
      </c>
      <c r="V638" s="190" t="str">
        <f t="shared" si="17"/>
        <v/>
      </c>
      <c r="W638" s="190" t="str">
        <f t="shared" si="18"/>
        <v/>
      </c>
      <c r="X638" s="191" t="str">
        <f t="shared" si="19"/>
        <v/>
      </c>
      <c r="Y638" s="191" t="str">
        <f t="shared" si="20"/>
        <v/>
      </c>
      <c r="Z638" s="156"/>
    </row>
    <row r="639">
      <c r="A639" s="177" t="str">
        <f t="shared" si="14"/>
        <v/>
      </c>
      <c r="B639" s="196"/>
      <c r="C639" s="179" t="str">
        <f t="shared" si="2"/>
        <v/>
      </c>
      <c r="D639" s="197"/>
      <c r="E639" s="181"/>
      <c r="F639" s="198"/>
      <c r="G639" s="201"/>
      <c r="H639" s="201"/>
      <c r="I639" s="201"/>
      <c r="J639" s="202"/>
      <c r="K639" s="203"/>
      <c r="L639" s="186">
        <f t="shared" si="15"/>
        <v>0</v>
      </c>
      <c r="M639" s="191"/>
      <c r="N639" s="191"/>
      <c r="O639" s="191"/>
      <c r="P639" s="191"/>
      <c r="Q639" s="191"/>
      <c r="R639" s="191"/>
      <c r="S639" s="191"/>
      <c r="T639" s="192"/>
      <c r="U639" s="189" t="str">
        <f t="shared" si="16"/>
        <v/>
      </c>
      <c r="V639" s="190" t="str">
        <f t="shared" si="17"/>
        <v/>
      </c>
      <c r="W639" s="190" t="str">
        <f t="shared" si="18"/>
        <v/>
      </c>
      <c r="X639" s="191" t="str">
        <f t="shared" si="19"/>
        <v/>
      </c>
      <c r="Y639" s="191" t="str">
        <f t="shared" si="20"/>
        <v/>
      </c>
      <c r="Z639" s="156"/>
    </row>
    <row r="640">
      <c r="A640" s="177" t="str">
        <f t="shared" si="14"/>
        <v/>
      </c>
      <c r="B640" s="196"/>
      <c r="C640" s="179" t="str">
        <f t="shared" si="2"/>
        <v/>
      </c>
      <c r="D640" s="197"/>
      <c r="E640" s="181"/>
      <c r="F640" s="198"/>
      <c r="G640" s="201"/>
      <c r="H640" s="201"/>
      <c r="I640" s="201"/>
      <c r="J640" s="202"/>
      <c r="K640" s="203"/>
      <c r="L640" s="186">
        <f t="shared" si="15"/>
        <v>0</v>
      </c>
      <c r="M640" s="191"/>
      <c r="N640" s="191"/>
      <c r="O640" s="191"/>
      <c r="P640" s="191"/>
      <c r="Q640" s="191"/>
      <c r="R640" s="191"/>
      <c r="S640" s="191"/>
      <c r="T640" s="192"/>
      <c r="U640" s="189" t="str">
        <f t="shared" si="16"/>
        <v/>
      </c>
      <c r="V640" s="190" t="str">
        <f t="shared" si="17"/>
        <v/>
      </c>
      <c r="W640" s="190" t="str">
        <f t="shared" si="18"/>
        <v/>
      </c>
      <c r="X640" s="191" t="str">
        <f t="shared" si="19"/>
        <v/>
      </c>
      <c r="Y640" s="191" t="str">
        <f t="shared" si="20"/>
        <v/>
      </c>
      <c r="Z640" s="156"/>
    </row>
    <row r="641">
      <c r="A641" s="177" t="str">
        <f t="shared" si="14"/>
        <v/>
      </c>
      <c r="B641" s="196"/>
      <c r="C641" s="179" t="str">
        <f t="shared" si="2"/>
        <v/>
      </c>
      <c r="D641" s="197"/>
      <c r="E641" s="181"/>
      <c r="F641" s="198"/>
      <c r="G641" s="201"/>
      <c r="H641" s="201"/>
      <c r="I641" s="201"/>
      <c r="J641" s="202"/>
      <c r="K641" s="203"/>
      <c r="L641" s="186">
        <f t="shared" si="15"/>
        <v>0</v>
      </c>
      <c r="M641" s="191"/>
      <c r="N641" s="191"/>
      <c r="O641" s="191"/>
      <c r="P641" s="191"/>
      <c r="Q641" s="191"/>
      <c r="R641" s="191"/>
      <c r="S641" s="191"/>
      <c r="T641" s="192"/>
      <c r="U641" s="189" t="str">
        <f t="shared" si="16"/>
        <v/>
      </c>
      <c r="V641" s="190" t="str">
        <f t="shared" si="17"/>
        <v/>
      </c>
      <c r="W641" s="190" t="str">
        <f t="shared" si="18"/>
        <v/>
      </c>
      <c r="X641" s="191" t="str">
        <f t="shared" si="19"/>
        <v/>
      </c>
      <c r="Y641" s="191" t="str">
        <f t="shared" si="20"/>
        <v/>
      </c>
      <c r="Z641" s="156"/>
    </row>
    <row r="642">
      <c r="A642" s="177" t="str">
        <f t="shared" si="14"/>
        <v/>
      </c>
      <c r="B642" s="196"/>
      <c r="C642" s="179" t="str">
        <f t="shared" si="2"/>
        <v/>
      </c>
      <c r="D642" s="197"/>
      <c r="E642" s="181"/>
      <c r="F642" s="198"/>
      <c r="G642" s="201"/>
      <c r="H642" s="201"/>
      <c r="I642" s="201"/>
      <c r="J642" s="202"/>
      <c r="K642" s="203"/>
      <c r="L642" s="186">
        <f t="shared" si="15"/>
        <v>0</v>
      </c>
      <c r="M642" s="191"/>
      <c r="N642" s="191"/>
      <c r="O642" s="191"/>
      <c r="P642" s="191"/>
      <c r="Q642" s="191"/>
      <c r="R642" s="191"/>
      <c r="S642" s="191"/>
      <c r="T642" s="192"/>
      <c r="U642" s="189" t="str">
        <f t="shared" si="16"/>
        <v/>
      </c>
      <c r="V642" s="190" t="str">
        <f t="shared" si="17"/>
        <v/>
      </c>
      <c r="W642" s="190" t="str">
        <f t="shared" si="18"/>
        <v/>
      </c>
      <c r="X642" s="191" t="str">
        <f t="shared" si="19"/>
        <v/>
      </c>
      <c r="Y642" s="191" t="str">
        <f t="shared" si="20"/>
        <v/>
      </c>
      <c r="Z642" s="156"/>
    </row>
    <row r="643">
      <c r="A643" s="177" t="str">
        <f t="shared" si="14"/>
        <v/>
      </c>
      <c r="B643" s="196"/>
      <c r="C643" s="179" t="str">
        <f t="shared" si="2"/>
        <v/>
      </c>
      <c r="D643" s="197"/>
      <c r="E643" s="181"/>
      <c r="F643" s="198"/>
      <c r="G643" s="201"/>
      <c r="H643" s="201"/>
      <c r="I643" s="201"/>
      <c r="J643" s="202"/>
      <c r="K643" s="203"/>
      <c r="L643" s="186">
        <f t="shared" si="15"/>
        <v>0</v>
      </c>
      <c r="M643" s="191"/>
      <c r="N643" s="191"/>
      <c r="O643" s="191"/>
      <c r="P643" s="191"/>
      <c r="Q643" s="191"/>
      <c r="R643" s="191"/>
      <c r="S643" s="191"/>
      <c r="T643" s="192"/>
      <c r="U643" s="189" t="str">
        <f t="shared" si="16"/>
        <v/>
      </c>
      <c r="V643" s="190" t="str">
        <f t="shared" si="17"/>
        <v/>
      </c>
      <c r="W643" s="190" t="str">
        <f t="shared" si="18"/>
        <v/>
      </c>
      <c r="X643" s="191" t="str">
        <f t="shared" si="19"/>
        <v/>
      </c>
      <c r="Y643" s="191" t="str">
        <f t="shared" si="20"/>
        <v/>
      </c>
      <c r="Z643" s="156"/>
    </row>
    <row r="644">
      <c r="A644" s="177" t="str">
        <f t="shared" si="14"/>
        <v/>
      </c>
      <c r="B644" s="196"/>
      <c r="C644" s="179" t="str">
        <f t="shared" si="2"/>
        <v/>
      </c>
      <c r="D644" s="197"/>
      <c r="E644" s="181"/>
      <c r="F644" s="198"/>
      <c r="G644" s="201"/>
      <c r="H644" s="201"/>
      <c r="I644" s="201"/>
      <c r="J644" s="202"/>
      <c r="K644" s="203"/>
      <c r="L644" s="186">
        <f t="shared" si="15"/>
        <v>0</v>
      </c>
      <c r="M644" s="191"/>
      <c r="N644" s="191"/>
      <c r="O644" s="191"/>
      <c r="P644" s="191"/>
      <c r="Q644" s="191"/>
      <c r="R644" s="191"/>
      <c r="S644" s="191"/>
      <c r="T644" s="192"/>
      <c r="U644" s="189" t="str">
        <f t="shared" si="16"/>
        <v/>
      </c>
      <c r="V644" s="190" t="str">
        <f t="shared" si="17"/>
        <v/>
      </c>
      <c r="W644" s="190" t="str">
        <f t="shared" si="18"/>
        <v/>
      </c>
      <c r="X644" s="191" t="str">
        <f t="shared" si="19"/>
        <v/>
      </c>
      <c r="Y644" s="191" t="str">
        <f t="shared" si="20"/>
        <v/>
      </c>
      <c r="Z644" s="156"/>
    </row>
    <row r="645">
      <c r="A645" s="177" t="str">
        <f t="shared" si="14"/>
        <v/>
      </c>
      <c r="B645" s="196"/>
      <c r="C645" s="179" t="str">
        <f t="shared" si="2"/>
        <v/>
      </c>
      <c r="D645" s="197"/>
      <c r="E645" s="181"/>
      <c r="F645" s="198"/>
      <c r="G645" s="201"/>
      <c r="H645" s="201"/>
      <c r="I645" s="201"/>
      <c r="J645" s="202"/>
      <c r="K645" s="203"/>
      <c r="L645" s="186">
        <f t="shared" si="15"/>
        <v>0</v>
      </c>
      <c r="M645" s="191"/>
      <c r="N645" s="191"/>
      <c r="O645" s="191"/>
      <c r="P645" s="191"/>
      <c r="Q645" s="191"/>
      <c r="R645" s="191"/>
      <c r="S645" s="191"/>
      <c r="T645" s="192"/>
      <c r="U645" s="189" t="str">
        <f t="shared" si="16"/>
        <v/>
      </c>
      <c r="V645" s="190" t="str">
        <f t="shared" si="17"/>
        <v/>
      </c>
      <c r="W645" s="190" t="str">
        <f t="shared" si="18"/>
        <v/>
      </c>
      <c r="X645" s="191" t="str">
        <f t="shared" si="19"/>
        <v/>
      </c>
      <c r="Y645" s="191" t="str">
        <f t="shared" si="20"/>
        <v/>
      </c>
      <c r="Z645" s="156"/>
    </row>
    <row r="646">
      <c r="A646" s="177" t="str">
        <f t="shared" si="14"/>
        <v/>
      </c>
      <c r="B646" s="196"/>
      <c r="C646" s="179" t="str">
        <f t="shared" si="2"/>
        <v/>
      </c>
      <c r="D646" s="197"/>
      <c r="E646" s="181"/>
      <c r="F646" s="198"/>
      <c r="G646" s="201"/>
      <c r="H646" s="201"/>
      <c r="I646" s="201"/>
      <c r="J646" s="202"/>
      <c r="K646" s="203"/>
      <c r="L646" s="186">
        <f t="shared" si="15"/>
        <v>0</v>
      </c>
      <c r="M646" s="191"/>
      <c r="N646" s="191"/>
      <c r="O646" s="191"/>
      <c r="P646" s="191"/>
      <c r="Q646" s="191"/>
      <c r="R646" s="191"/>
      <c r="S646" s="191"/>
      <c r="T646" s="192"/>
      <c r="U646" s="189" t="str">
        <f t="shared" si="16"/>
        <v/>
      </c>
      <c r="V646" s="190" t="str">
        <f t="shared" si="17"/>
        <v/>
      </c>
      <c r="W646" s="190" t="str">
        <f t="shared" si="18"/>
        <v/>
      </c>
      <c r="X646" s="191" t="str">
        <f t="shared" si="19"/>
        <v/>
      </c>
      <c r="Y646" s="191" t="str">
        <f t="shared" si="20"/>
        <v/>
      </c>
      <c r="Z646" s="156"/>
    </row>
    <row r="647">
      <c r="A647" s="177" t="str">
        <f t="shared" si="14"/>
        <v/>
      </c>
      <c r="B647" s="196"/>
      <c r="C647" s="179" t="str">
        <f t="shared" si="2"/>
        <v/>
      </c>
      <c r="D647" s="197"/>
      <c r="E647" s="181"/>
      <c r="F647" s="198"/>
      <c r="G647" s="201"/>
      <c r="H647" s="201"/>
      <c r="I647" s="201"/>
      <c r="J647" s="202"/>
      <c r="K647" s="203"/>
      <c r="L647" s="186">
        <f t="shared" si="15"/>
        <v>0</v>
      </c>
      <c r="M647" s="191"/>
      <c r="N647" s="191"/>
      <c r="O647" s="191"/>
      <c r="P647" s="191"/>
      <c r="Q647" s="191"/>
      <c r="R647" s="191"/>
      <c r="S647" s="191"/>
      <c r="T647" s="192"/>
      <c r="U647" s="189" t="str">
        <f t="shared" si="16"/>
        <v/>
      </c>
      <c r="V647" s="190" t="str">
        <f t="shared" si="17"/>
        <v/>
      </c>
      <c r="W647" s="190" t="str">
        <f t="shared" si="18"/>
        <v/>
      </c>
      <c r="X647" s="191" t="str">
        <f t="shared" si="19"/>
        <v/>
      </c>
      <c r="Y647" s="191" t="str">
        <f t="shared" si="20"/>
        <v/>
      </c>
      <c r="Z647" s="156"/>
    </row>
    <row r="648">
      <c r="A648" s="177" t="str">
        <f t="shared" si="14"/>
        <v/>
      </c>
      <c r="B648" s="196"/>
      <c r="C648" s="179" t="str">
        <f t="shared" si="2"/>
        <v/>
      </c>
      <c r="D648" s="197"/>
      <c r="E648" s="181"/>
      <c r="F648" s="198"/>
      <c r="G648" s="201"/>
      <c r="H648" s="201"/>
      <c r="I648" s="201"/>
      <c r="J648" s="202"/>
      <c r="K648" s="203"/>
      <c r="L648" s="186">
        <f t="shared" si="15"/>
        <v>0</v>
      </c>
      <c r="M648" s="191"/>
      <c r="N648" s="191"/>
      <c r="O648" s="191"/>
      <c r="P648" s="191"/>
      <c r="Q648" s="191"/>
      <c r="R648" s="191"/>
      <c r="S648" s="191"/>
      <c r="T648" s="192"/>
      <c r="U648" s="189" t="str">
        <f t="shared" si="16"/>
        <v/>
      </c>
      <c r="V648" s="190" t="str">
        <f t="shared" si="17"/>
        <v/>
      </c>
      <c r="W648" s="190" t="str">
        <f t="shared" si="18"/>
        <v/>
      </c>
      <c r="X648" s="191" t="str">
        <f t="shared" si="19"/>
        <v/>
      </c>
      <c r="Y648" s="191" t="str">
        <f t="shared" si="20"/>
        <v/>
      </c>
      <c r="Z648" s="156"/>
    </row>
    <row r="649">
      <c r="A649" s="177" t="str">
        <f t="shared" si="14"/>
        <v/>
      </c>
      <c r="B649" s="196"/>
      <c r="C649" s="179" t="str">
        <f t="shared" si="2"/>
        <v/>
      </c>
      <c r="D649" s="197"/>
      <c r="E649" s="181"/>
      <c r="F649" s="198"/>
      <c r="G649" s="201"/>
      <c r="H649" s="201"/>
      <c r="I649" s="201"/>
      <c r="J649" s="202"/>
      <c r="K649" s="203"/>
      <c r="L649" s="186">
        <f t="shared" si="15"/>
        <v>0</v>
      </c>
      <c r="M649" s="191"/>
      <c r="N649" s="191"/>
      <c r="O649" s="191"/>
      <c r="P649" s="191"/>
      <c r="Q649" s="191"/>
      <c r="R649" s="191"/>
      <c r="S649" s="191"/>
      <c r="T649" s="192"/>
      <c r="U649" s="189" t="str">
        <f t="shared" si="16"/>
        <v/>
      </c>
      <c r="V649" s="190" t="str">
        <f t="shared" si="17"/>
        <v/>
      </c>
      <c r="W649" s="190" t="str">
        <f t="shared" si="18"/>
        <v/>
      </c>
      <c r="X649" s="191" t="str">
        <f t="shared" si="19"/>
        <v/>
      </c>
      <c r="Y649" s="191" t="str">
        <f t="shared" si="20"/>
        <v/>
      </c>
      <c r="Z649" s="156"/>
    </row>
    <row r="650">
      <c r="A650" s="177" t="str">
        <f t="shared" si="14"/>
        <v/>
      </c>
      <c r="B650" s="196"/>
      <c r="C650" s="179" t="str">
        <f t="shared" si="2"/>
        <v/>
      </c>
      <c r="D650" s="197"/>
      <c r="E650" s="181"/>
      <c r="F650" s="198"/>
      <c r="G650" s="201"/>
      <c r="H650" s="201"/>
      <c r="I650" s="201"/>
      <c r="J650" s="202"/>
      <c r="K650" s="203"/>
      <c r="L650" s="186">
        <f t="shared" si="15"/>
        <v>0</v>
      </c>
      <c r="M650" s="191"/>
      <c r="N650" s="191"/>
      <c r="O650" s="191"/>
      <c r="P650" s="191"/>
      <c r="Q650" s="191"/>
      <c r="R650" s="191"/>
      <c r="S650" s="191"/>
      <c r="T650" s="192"/>
      <c r="U650" s="189" t="str">
        <f t="shared" si="16"/>
        <v/>
      </c>
      <c r="V650" s="190" t="str">
        <f t="shared" si="17"/>
        <v/>
      </c>
      <c r="W650" s="190" t="str">
        <f t="shared" si="18"/>
        <v/>
      </c>
      <c r="X650" s="191" t="str">
        <f t="shared" si="19"/>
        <v/>
      </c>
      <c r="Y650" s="191" t="str">
        <f t="shared" si="20"/>
        <v/>
      </c>
      <c r="Z650" s="156"/>
    </row>
    <row r="651">
      <c r="A651" s="177" t="str">
        <f t="shared" si="14"/>
        <v/>
      </c>
      <c r="B651" s="196"/>
      <c r="C651" s="179" t="str">
        <f t="shared" si="2"/>
        <v/>
      </c>
      <c r="D651" s="197"/>
      <c r="E651" s="181"/>
      <c r="F651" s="198"/>
      <c r="G651" s="201"/>
      <c r="H651" s="201"/>
      <c r="I651" s="201"/>
      <c r="J651" s="202"/>
      <c r="K651" s="203"/>
      <c r="L651" s="186">
        <f t="shared" si="15"/>
        <v>0</v>
      </c>
      <c r="M651" s="191"/>
      <c r="N651" s="191"/>
      <c r="O651" s="191"/>
      <c r="P651" s="191"/>
      <c r="Q651" s="191"/>
      <c r="R651" s="191"/>
      <c r="S651" s="191"/>
      <c r="T651" s="192"/>
      <c r="U651" s="189" t="str">
        <f t="shared" si="16"/>
        <v/>
      </c>
      <c r="V651" s="190" t="str">
        <f t="shared" si="17"/>
        <v/>
      </c>
      <c r="W651" s="190" t="str">
        <f t="shared" si="18"/>
        <v/>
      </c>
      <c r="X651" s="191" t="str">
        <f t="shared" si="19"/>
        <v/>
      </c>
      <c r="Y651" s="191" t="str">
        <f t="shared" si="20"/>
        <v/>
      </c>
      <c r="Z651" s="156"/>
    </row>
    <row r="652">
      <c r="A652" s="177" t="str">
        <f t="shared" si="14"/>
        <v/>
      </c>
      <c r="B652" s="196"/>
      <c r="C652" s="179" t="str">
        <f t="shared" si="2"/>
        <v/>
      </c>
      <c r="D652" s="197"/>
      <c r="E652" s="181"/>
      <c r="F652" s="198"/>
      <c r="G652" s="201"/>
      <c r="H652" s="201"/>
      <c r="I652" s="201"/>
      <c r="J652" s="202"/>
      <c r="K652" s="203"/>
      <c r="L652" s="186">
        <f t="shared" si="15"/>
        <v>0</v>
      </c>
      <c r="M652" s="191"/>
      <c r="N652" s="191"/>
      <c r="O652" s="191"/>
      <c r="P652" s="191"/>
      <c r="Q652" s="191"/>
      <c r="R652" s="191"/>
      <c r="S652" s="191"/>
      <c r="T652" s="192"/>
      <c r="U652" s="189" t="str">
        <f t="shared" si="16"/>
        <v/>
      </c>
      <c r="V652" s="190" t="str">
        <f t="shared" si="17"/>
        <v/>
      </c>
      <c r="W652" s="190" t="str">
        <f t="shared" si="18"/>
        <v/>
      </c>
      <c r="X652" s="191" t="str">
        <f t="shared" si="19"/>
        <v/>
      </c>
      <c r="Y652" s="191" t="str">
        <f t="shared" si="20"/>
        <v/>
      </c>
      <c r="Z652" s="156"/>
    </row>
    <row r="653">
      <c r="A653" s="177" t="str">
        <f t="shared" si="14"/>
        <v/>
      </c>
      <c r="B653" s="196"/>
      <c r="C653" s="179" t="str">
        <f t="shared" si="2"/>
        <v/>
      </c>
      <c r="D653" s="197"/>
      <c r="E653" s="181"/>
      <c r="F653" s="198"/>
      <c r="G653" s="201"/>
      <c r="H653" s="201"/>
      <c r="I653" s="201"/>
      <c r="J653" s="202"/>
      <c r="K653" s="203"/>
      <c r="L653" s="186">
        <f t="shared" si="15"/>
        <v>0</v>
      </c>
      <c r="M653" s="191"/>
      <c r="N653" s="191"/>
      <c r="O653" s="191"/>
      <c r="P653" s="191"/>
      <c r="Q653" s="191"/>
      <c r="R653" s="191"/>
      <c r="S653" s="191"/>
      <c r="T653" s="192"/>
      <c r="U653" s="189" t="str">
        <f t="shared" si="16"/>
        <v/>
      </c>
      <c r="V653" s="190" t="str">
        <f t="shared" si="17"/>
        <v/>
      </c>
      <c r="W653" s="190" t="str">
        <f t="shared" si="18"/>
        <v/>
      </c>
      <c r="X653" s="191" t="str">
        <f t="shared" si="19"/>
        <v/>
      </c>
      <c r="Y653" s="191" t="str">
        <f t="shared" si="20"/>
        <v/>
      </c>
      <c r="Z653" s="156"/>
    </row>
    <row r="654">
      <c r="A654" s="177" t="str">
        <f t="shared" si="14"/>
        <v/>
      </c>
      <c r="B654" s="196"/>
      <c r="C654" s="179" t="str">
        <f t="shared" si="2"/>
        <v/>
      </c>
      <c r="D654" s="197"/>
      <c r="E654" s="181"/>
      <c r="F654" s="198"/>
      <c r="G654" s="201"/>
      <c r="H654" s="201"/>
      <c r="I654" s="201"/>
      <c r="J654" s="202"/>
      <c r="K654" s="203"/>
      <c r="L654" s="186">
        <f t="shared" si="15"/>
        <v>0</v>
      </c>
      <c r="M654" s="191"/>
      <c r="N654" s="191"/>
      <c r="O654" s="191"/>
      <c r="P654" s="191"/>
      <c r="Q654" s="191"/>
      <c r="R654" s="191"/>
      <c r="S654" s="191"/>
      <c r="T654" s="192"/>
      <c r="U654" s="189" t="str">
        <f t="shared" si="16"/>
        <v/>
      </c>
      <c r="V654" s="190" t="str">
        <f t="shared" si="17"/>
        <v/>
      </c>
      <c r="W654" s="190" t="str">
        <f t="shared" si="18"/>
        <v/>
      </c>
      <c r="X654" s="191" t="str">
        <f t="shared" si="19"/>
        <v/>
      </c>
      <c r="Y654" s="191" t="str">
        <f t="shared" si="20"/>
        <v/>
      </c>
      <c r="Z654" s="156"/>
    </row>
    <row r="655">
      <c r="A655" s="177" t="str">
        <f t="shared" si="14"/>
        <v/>
      </c>
      <c r="B655" s="196"/>
      <c r="C655" s="179" t="str">
        <f t="shared" si="2"/>
        <v/>
      </c>
      <c r="D655" s="197"/>
      <c r="E655" s="181"/>
      <c r="F655" s="198"/>
      <c r="G655" s="201"/>
      <c r="H655" s="201"/>
      <c r="I655" s="201"/>
      <c r="J655" s="202"/>
      <c r="K655" s="203"/>
      <c r="L655" s="186">
        <f t="shared" si="15"/>
        <v>0</v>
      </c>
      <c r="M655" s="191"/>
      <c r="N655" s="191"/>
      <c r="O655" s="191"/>
      <c r="P655" s="191"/>
      <c r="Q655" s="191"/>
      <c r="R655" s="191"/>
      <c r="S655" s="191"/>
      <c r="T655" s="192"/>
      <c r="U655" s="189" t="str">
        <f t="shared" si="16"/>
        <v/>
      </c>
      <c r="V655" s="190" t="str">
        <f t="shared" si="17"/>
        <v/>
      </c>
      <c r="W655" s="190" t="str">
        <f t="shared" si="18"/>
        <v/>
      </c>
      <c r="X655" s="191" t="str">
        <f t="shared" si="19"/>
        <v/>
      </c>
      <c r="Y655" s="191" t="str">
        <f t="shared" si="20"/>
        <v/>
      </c>
      <c r="Z655" s="156"/>
    </row>
    <row r="656">
      <c r="A656" s="177" t="str">
        <f t="shared" si="14"/>
        <v/>
      </c>
      <c r="B656" s="196"/>
      <c r="C656" s="179" t="str">
        <f t="shared" si="2"/>
        <v/>
      </c>
      <c r="D656" s="197"/>
      <c r="E656" s="181"/>
      <c r="F656" s="198"/>
      <c r="G656" s="201"/>
      <c r="H656" s="201"/>
      <c r="I656" s="201"/>
      <c r="J656" s="202"/>
      <c r="K656" s="203"/>
      <c r="L656" s="186">
        <f t="shared" si="15"/>
        <v>0</v>
      </c>
      <c r="M656" s="191"/>
      <c r="N656" s="191"/>
      <c r="O656" s="191"/>
      <c r="P656" s="191"/>
      <c r="Q656" s="191"/>
      <c r="R656" s="191"/>
      <c r="S656" s="191"/>
      <c r="T656" s="192"/>
      <c r="U656" s="189" t="str">
        <f t="shared" si="16"/>
        <v/>
      </c>
      <c r="V656" s="190" t="str">
        <f t="shared" si="17"/>
        <v/>
      </c>
      <c r="W656" s="190" t="str">
        <f t="shared" si="18"/>
        <v/>
      </c>
      <c r="X656" s="191" t="str">
        <f t="shared" si="19"/>
        <v/>
      </c>
      <c r="Y656" s="191" t="str">
        <f t="shared" si="20"/>
        <v/>
      </c>
      <c r="Z656" s="156"/>
    </row>
    <row r="657">
      <c r="A657" s="177" t="str">
        <f t="shared" si="14"/>
        <v/>
      </c>
      <c r="B657" s="196"/>
      <c r="C657" s="179" t="str">
        <f t="shared" si="2"/>
        <v/>
      </c>
      <c r="D657" s="197"/>
      <c r="E657" s="181"/>
      <c r="F657" s="198"/>
      <c r="G657" s="201"/>
      <c r="H657" s="201"/>
      <c r="I657" s="201"/>
      <c r="J657" s="202"/>
      <c r="K657" s="203"/>
      <c r="L657" s="186">
        <f t="shared" si="15"/>
        <v>0</v>
      </c>
      <c r="M657" s="191"/>
      <c r="N657" s="191"/>
      <c r="O657" s="191"/>
      <c r="P657" s="191"/>
      <c r="Q657" s="191"/>
      <c r="R657" s="191"/>
      <c r="S657" s="191"/>
      <c r="T657" s="192"/>
      <c r="U657" s="189" t="str">
        <f t="shared" si="16"/>
        <v/>
      </c>
      <c r="V657" s="190" t="str">
        <f t="shared" si="17"/>
        <v/>
      </c>
      <c r="W657" s="190" t="str">
        <f t="shared" si="18"/>
        <v/>
      </c>
      <c r="X657" s="191" t="str">
        <f t="shared" si="19"/>
        <v/>
      </c>
      <c r="Y657" s="191" t="str">
        <f t="shared" si="20"/>
        <v/>
      </c>
      <c r="Z657" s="156"/>
    </row>
    <row r="658">
      <c r="A658" s="177" t="str">
        <f t="shared" si="14"/>
        <v/>
      </c>
      <c r="B658" s="196"/>
      <c r="C658" s="179" t="str">
        <f t="shared" si="2"/>
        <v/>
      </c>
      <c r="D658" s="197"/>
      <c r="E658" s="181"/>
      <c r="F658" s="198"/>
      <c r="G658" s="201"/>
      <c r="H658" s="201"/>
      <c r="I658" s="201"/>
      <c r="J658" s="202"/>
      <c r="K658" s="203"/>
      <c r="L658" s="186">
        <f t="shared" si="15"/>
        <v>0</v>
      </c>
      <c r="M658" s="191"/>
      <c r="N658" s="191"/>
      <c r="O658" s="191"/>
      <c r="P658" s="191"/>
      <c r="Q658" s="191"/>
      <c r="R658" s="191"/>
      <c r="S658" s="191"/>
      <c r="T658" s="192"/>
      <c r="U658" s="189" t="str">
        <f t="shared" si="16"/>
        <v/>
      </c>
      <c r="V658" s="190" t="str">
        <f t="shared" si="17"/>
        <v/>
      </c>
      <c r="W658" s="190" t="str">
        <f t="shared" si="18"/>
        <v/>
      </c>
      <c r="X658" s="191" t="str">
        <f t="shared" si="19"/>
        <v/>
      </c>
      <c r="Y658" s="191" t="str">
        <f t="shared" si="20"/>
        <v/>
      </c>
      <c r="Z658" s="156"/>
    </row>
    <row r="659">
      <c r="A659" s="177" t="str">
        <f t="shared" si="14"/>
        <v/>
      </c>
      <c r="B659" s="196"/>
      <c r="C659" s="179" t="str">
        <f t="shared" si="2"/>
        <v/>
      </c>
      <c r="D659" s="197"/>
      <c r="E659" s="181"/>
      <c r="F659" s="198"/>
      <c r="G659" s="201"/>
      <c r="H659" s="201"/>
      <c r="I659" s="201"/>
      <c r="J659" s="202"/>
      <c r="K659" s="203"/>
      <c r="L659" s="186">
        <f t="shared" si="15"/>
        <v>0</v>
      </c>
      <c r="M659" s="191"/>
      <c r="N659" s="191"/>
      <c r="O659" s="191"/>
      <c r="P659" s="191"/>
      <c r="Q659" s="191"/>
      <c r="R659" s="191"/>
      <c r="S659" s="191"/>
      <c r="T659" s="192"/>
      <c r="U659" s="189" t="str">
        <f t="shared" si="16"/>
        <v/>
      </c>
      <c r="V659" s="190" t="str">
        <f t="shared" si="17"/>
        <v/>
      </c>
      <c r="W659" s="190" t="str">
        <f t="shared" si="18"/>
        <v/>
      </c>
      <c r="X659" s="191" t="str">
        <f t="shared" si="19"/>
        <v/>
      </c>
      <c r="Y659" s="191" t="str">
        <f t="shared" si="20"/>
        <v/>
      </c>
      <c r="Z659" s="156"/>
    </row>
    <row r="660">
      <c r="A660" s="177" t="str">
        <f t="shared" si="14"/>
        <v/>
      </c>
      <c r="B660" s="196"/>
      <c r="C660" s="179" t="str">
        <f t="shared" si="2"/>
        <v/>
      </c>
      <c r="D660" s="197"/>
      <c r="E660" s="181"/>
      <c r="F660" s="198"/>
      <c r="G660" s="201"/>
      <c r="H660" s="201"/>
      <c r="I660" s="201"/>
      <c r="J660" s="202"/>
      <c r="K660" s="203"/>
      <c r="L660" s="186">
        <f t="shared" si="15"/>
        <v>0</v>
      </c>
      <c r="M660" s="191"/>
      <c r="N660" s="191"/>
      <c r="O660" s="191"/>
      <c r="P660" s="191"/>
      <c r="Q660" s="191"/>
      <c r="R660" s="191"/>
      <c r="S660" s="191"/>
      <c r="T660" s="192"/>
      <c r="U660" s="189" t="str">
        <f t="shared" si="16"/>
        <v/>
      </c>
      <c r="V660" s="190" t="str">
        <f t="shared" si="17"/>
        <v/>
      </c>
      <c r="W660" s="190" t="str">
        <f t="shared" si="18"/>
        <v/>
      </c>
      <c r="X660" s="191" t="str">
        <f t="shared" si="19"/>
        <v/>
      </c>
      <c r="Y660" s="191" t="str">
        <f t="shared" si="20"/>
        <v/>
      </c>
      <c r="Z660" s="156"/>
    </row>
    <row r="661">
      <c r="A661" s="177" t="str">
        <f t="shared" si="14"/>
        <v/>
      </c>
      <c r="B661" s="196"/>
      <c r="C661" s="179" t="str">
        <f t="shared" si="2"/>
        <v/>
      </c>
      <c r="D661" s="197"/>
      <c r="E661" s="181"/>
      <c r="F661" s="198"/>
      <c r="G661" s="201"/>
      <c r="H661" s="201"/>
      <c r="I661" s="201"/>
      <c r="J661" s="202"/>
      <c r="K661" s="203"/>
      <c r="L661" s="186">
        <f t="shared" si="15"/>
        <v>0</v>
      </c>
      <c r="M661" s="191"/>
      <c r="N661" s="191"/>
      <c r="O661" s="191"/>
      <c r="P661" s="191"/>
      <c r="Q661" s="191"/>
      <c r="R661" s="191"/>
      <c r="S661" s="191"/>
      <c r="T661" s="192"/>
      <c r="U661" s="189" t="str">
        <f t="shared" si="16"/>
        <v/>
      </c>
      <c r="V661" s="190" t="str">
        <f t="shared" si="17"/>
        <v/>
      </c>
      <c r="W661" s="190" t="str">
        <f t="shared" si="18"/>
        <v/>
      </c>
      <c r="X661" s="191" t="str">
        <f t="shared" si="19"/>
        <v/>
      </c>
      <c r="Y661" s="191" t="str">
        <f t="shared" si="20"/>
        <v/>
      </c>
      <c r="Z661" s="156"/>
    </row>
    <row r="662">
      <c r="A662" s="177" t="str">
        <f t="shared" si="14"/>
        <v/>
      </c>
      <c r="B662" s="196"/>
      <c r="C662" s="179" t="str">
        <f t="shared" si="2"/>
        <v/>
      </c>
      <c r="D662" s="197"/>
      <c r="E662" s="181"/>
      <c r="F662" s="198"/>
      <c r="G662" s="201"/>
      <c r="H662" s="201"/>
      <c r="I662" s="201"/>
      <c r="J662" s="202"/>
      <c r="K662" s="203"/>
      <c r="L662" s="186">
        <f t="shared" si="15"/>
        <v>0</v>
      </c>
      <c r="M662" s="191"/>
      <c r="N662" s="191"/>
      <c r="O662" s="191"/>
      <c r="P662" s="191"/>
      <c r="Q662" s="191"/>
      <c r="R662" s="191"/>
      <c r="S662" s="191"/>
      <c r="T662" s="192"/>
      <c r="U662" s="189" t="str">
        <f t="shared" si="16"/>
        <v/>
      </c>
      <c r="V662" s="190" t="str">
        <f t="shared" si="17"/>
        <v/>
      </c>
      <c r="W662" s="190" t="str">
        <f t="shared" si="18"/>
        <v/>
      </c>
      <c r="X662" s="191" t="str">
        <f t="shared" si="19"/>
        <v/>
      </c>
      <c r="Y662" s="191" t="str">
        <f t="shared" si="20"/>
        <v/>
      </c>
      <c r="Z662" s="156"/>
    </row>
    <row r="663">
      <c r="A663" s="177" t="str">
        <f t="shared" si="14"/>
        <v/>
      </c>
      <c r="B663" s="196"/>
      <c r="C663" s="179" t="str">
        <f t="shared" si="2"/>
        <v/>
      </c>
      <c r="D663" s="197"/>
      <c r="E663" s="181"/>
      <c r="F663" s="198"/>
      <c r="G663" s="201"/>
      <c r="H663" s="201"/>
      <c r="I663" s="201"/>
      <c r="J663" s="202"/>
      <c r="K663" s="203"/>
      <c r="L663" s="186">
        <f t="shared" si="15"/>
        <v>0</v>
      </c>
      <c r="M663" s="191"/>
      <c r="N663" s="191"/>
      <c r="O663" s="191"/>
      <c r="P663" s="191"/>
      <c r="Q663" s="191"/>
      <c r="R663" s="191"/>
      <c r="S663" s="191"/>
      <c r="T663" s="192"/>
      <c r="U663" s="189" t="str">
        <f t="shared" si="16"/>
        <v/>
      </c>
      <c r="V663" s="190" t="str">
        <f t="shared" si="17"/>
        <v/>
      </c>
      <c r="W663" s="190" t="str">
        <f t="shared" si="18"/>
        <v/>
      </c>
      <c r="X663" s="191" t="str">
        <f t="shared" si="19"/>
        <v/>
      </c>
      <c r="Y663" s="191" t="str">
        <f t="shared" si="20"/>
        <v/>
      </c>
      <c r="Z663" s="156"/>
    </row>
    <row r="664">
      <c r="A664" s="177" t="str">
        <f t="shared" si="14"/>
        <v/>
      </c>
      <c r="B664" s="196"/>
      <c r="C664" s="179" t="str">
        <f t="shared" si="2"/>
        <v/>
      </c>
      <c r="D664" s="197"/>
      <c r="E664" s="181"/>
      <c r="F664" s="198"/>
      <c r="G664" s="201"/>
      <c r="H664" s="201"/>
      <c r="I664" s="201"/>
      <c r="J664" s="202"/>
      <c r="K664" s="203"/>
      <c r="L664" s="186">
        <f t="shared" si="15"/>
        <v>0</v>
      </c>
      <c r="M664" s="191"/>
      <c r="N664" s="191"/>
      <c r="O664" s="191"/>
      <c r="P664" s="191"/>
      <c r="Q664" s="191"/>
      <c r="R664" s="191"/>
      <c r="S664" s="191"/>
      <c r="T664" s="192"/>
      <c r="U664" s="189" t="str">
        <f t="shared" si="16"/>
        <v/>
      </c>
      <c r="V664" s="190" t="str">
        <f t="shared" si="17"/>
        <v/>
      </c>
      <c r="W664" s="190" t="str">
        <f t="shared" si="18"/>
        <v/>
      </c>
      <c r="X664" s="191" t="str">
        <f t="shared" si="19"/>
        <v/>
      </c>
      <c r="Y664" s="191" t="str">
        <f t="shared" si="20"/>
        <v/>
      </c>
      <c r="Z664" s="156"/>
    </row>
    <row r="665">
      <c r="A665" s="177" t="str">
        <f t="shared" si="14"/>
        <v/>
      </c>
      <c r="B665" s="196"/>
      <c r="C665" s="179" t="str">
        <f t="shared" si="2"/>
        <v/>
      </c>
      <c r="D665" s="197"/>
      <c r="E665" s="181"/>
      <c r="F665" s="198"/>
      <c r="G665" s="201"/>
      <c r="H665" s="201"/>
      <c r="I665" s="201"/>
      <c r="J665" s="202"/>
      <c r="K665" s="203"/>
      <c r="L665" s="186">
        <f t="shared" si="15"/>
        <v>0</v>
      </c>
      <c r="M665" s="191"/>
      <c r="N665" s="191"/>
      <c r="O665" s="191"/>
      <c r="P665" s="191"/>
      <c r="Q665" s="191"/>
      <c r="R665" s="191"/>
      <c r="S665" s="191"/>
      <c r="T665" s="192"/>
      <c r="U665" s="189" t="str">
        <f t="shared" si="16"/>
        <v/>
      </c>
      <c r="V665" s="190" t="str">
        <f t="shared" si="17"/>
        <v/>
      </c>
      <c r="W665" s="190" t="str">
        <f t="shared" si="18"/>
        <v/>
      </c>
      <c r="X665" s="191" t="str">
        <f t="shared" si="19"/>
        <v/>
      </c>
      <c r="Y665" s="191" t="str">
        <f t="shared" si="20"/>
        <v/>
      </c>
      <c r="Z665" s="156"/>
    </row>
    <row r="666">
      <c r="A666" s="177" t="str">
        <f t="shared" si="14"/>
        <v/>
      </c>
      <c r="B666" s="196"/>
      <c r="C666" s="179" t="str">
        <f t="shared" si="2"/>
        <v/>
      </c>
      <c r="D666" s="197"/>
      <c r="E666" s="181"/>
      <c r="F666" s="198"/>
      <c r="G666" s="201"/>
      <c r="H666" s="201"/>
      <c r="I666" s="201"/>
      <c r="J666" s="202"/>
      <c r="K666" s="203"/>
      <c r="L666" s="186">
        <f t="shared" si="15"/>
        <v>0</v>
      </c>
      <c r="M666" s="191"/>
      <c r="N666" s="191"/>
      <c r="O666" s="191"/>
      <c r="P666" s="191"/>
      <c r="Q666" s="191"/>
      <c r="R666" s="191"/>
      <c r="S666" s="191"/>
      <c r="T666" s="192"/>
      <c r="U666" s="189" t="str">
        <f t="shared" si="16"/>
        <v/>
      </c>
      <c r="V666" s="190" t="str">
        <f t="shared" si="17"/>
        <v/>
      </c>
      <c r="W666" s="190" t="str">
        <f t="shared" si="18"/>
        <v/>
      </c>
      <c r="X666" s="191" t="str">
        <f t="shared" si="19"/>
        <v/>
      </c>
      <c r="Y666" s="191" t="str">
        <f t="shared" si="20"/>
        <v/>
      </c>
      <c r="Z666" s="156"/>
    </row>
    <row r="667">
      <c r="A667" s="177" t="str">
        <f t="shared" si="14"/>
        <v/>
      </c>
      <c r="B667" s="196"/>
      <c r="C667" s="179" t="str">
        <f t="shared" si="2"/>
        <v/>
      </c>
      <c r="D667" s="197"/>
      <c r="E667" s="181"/>
      <c r="F667" s="198"/>
      <c r="G667" s="201"/>
      <c r="H667" s="201"/>
      <c r="I667" s="201"/>
      <c r="J667" s="202"/>
      <c r="K667" s="203"/>
      <c r="L667" s="186">
        <f t="shared" si="15"/>
        <v>0</v>
      </c>
      <c r="M667" s="191"/>
      <c r="N667" s="191"/>
      <c r="O667" s="191"/>
      <c r="P667" s="191"/>
      <c r="Q667" s="191"/>
      <c r="R667" s="191"/>
      <c r="S667" s="191"/>
      <c r="T667" s="192"/>
      <c r="U667" s="189" t="str">
        <f t="shared" si="16"/>
        <v/>
      </c>
      <c r="V667" s="190" t="str">
        <f t="shared" si="17"/>
        <v/>
      </c>
      <c r="W667" s="190" t="str">
        <f t="shared" si="18"/>
        <v/>
      </c>
      <c r="X667" s="191" t="str">
        <f t="shared" si="19"/>
        <v/>
      </c>
      <c r="Y667" s="191" t="str">
        <f t="shared" si="20"/>
        <v/>
      </c>
      <c r="Z667" s="156"/>
    </row>
    <row r="668">
      <c r="A668" s="177" t="str">
        <f t="shared" si="14"/>
        <v/>
      </c>
      <c r="B668" s="196"/>
      <c r="C668" s="179" t="str">
        <f t="shared" si="2"/>
        <v/>
      </c>
      <c r="D668" s="197"/>
      <c r="E668" s="181"/>
      <c r="F668" s="198"/>
      <c r="G668" s="201"/>
      <c r="H668" s="201"/>
      <c r="I668" s="201"/>
      <c r="J668" s="202"/>
      <c r="K668" s="203"/>
      <c r="L668" s="186">
        <f t="shared" si="15"/>
        <v>0</v>
      </c>
      <c r="M668" s="191"/>
      <c r="N668" s="191"/>
      <c r="O668" s="191"/>
      <c r="P668" s="191"/>
      <c r="Q668" s="191"/>
      <c r="R668" s="191"/>
      <c r="S668" s="191"/>
      <c r="T668" s="192"/>
      <c r="U668" s="189" t="str">
        <f t="shared" si="16"/>
        <v/>
      </c>
      <c r="V668" s="190" t="str">
        <f t="shared" si="17"/>
        <v/>
      </c>
      <c r="W668" s="190" t="str">
        <f t="shared" si="18"/>
        <v/>
      </c>
      <c r="X668" s="191" t="str">
        <f t="shared" si="19"/>
        <v/>
      </c>
      <c r="Y668" s="191" t="str">
        <f t="shared" si="20"/>
        <v/>
      </c>
      <c r="Z668" s="156"/>
    </row>
    <row r="669">
      <c r="A669" s="177" t="str">
        <f t="shared" si="14"/>
        <v/>
      </c>
      <c r="B669" s="196"/>
      <c r="C669" s="179" t="str">
        <f t="shared" si="2"/>
        <v/>
      </c>
      <c r="D669" s="197"/>
      <c r="E669" s="181"/>
      <c r="F669" s="198"/>
      <c r="G669" s="201"/>
      <c r="H669" s="201"/>
      <c r="I669" s="201"/>
      <c r="J669" s="202"/>
      <c r="K669" s="203"/>
      <c r="L669" s="186">
        <f t="shared" si="15"/>
        <v>0</v>
      </c>
      <c r="M669" s="191"/>
      <c r="N669" s="191"/>
      <c r="O669" s="191"/>
      <c r="P669" s="191"/>
      <c r="Q669" s="191"/>
      <c r="R669" s="191"/>
      <c r="S669" s="191"/>
      <c r="T669" s="192"/>
      <c r="U669" s="189" t="str">
        <f t="shared" si="16"/>
        <v/>
      </c>
      <c r="V669" s="190" t="str">
        <f t="shared" si="17"/>
        <v/>
      </c>
      <c r="W669" s="190" t="str">
        <f t="shared" si="18"/>
        <v/>
      </c>
      <c r="X669" s="191" t="str">
        <f t="shared" si="19"/>
        <v/>
      </c>
      <c r="Y669" s="191" t="str">
        <f t="shared" si="20"/>
        <v/>
      </c>
      <c r="Z669" s="156"/>
    </row>
    <row r="670">
      <c r="A670" s="177" t="str">
        <f t="shared" si="14"/>
        <v/>
      </c>
      <c r="B670" s="196"/>
      <c r="C670" s="179" t="str">
        <f t="shared" si="2"/>
        <v/>
      </c>
      <c r="D670" s="197"/>
      <c r="E670" s="181"/>
      <c r="F670" s="198"/>
      <c r="G670" s="201"/>
      <c r="H670" s="201"/>
      <c r="I670" s="201"/>
      <c r="J670" s="202"/>
      <c r="K670" s="203"/>
      <c r="L670" s="186">
        <f t="shared" si="15"/>
        <v>0</v>
      </c>
      <c r="M670" s="191"/>
      <c r="N670" s="191"/>
      <c r="O670" s="191"/>
      <c r="P670" s="191"/>
      <c r="Q670" s="191"/>
      <c r="R670" s="191"/>
      <c r="S670" s="191"/>
      <c r="T670" s="192"/>
      <c r="U670" s="189" t="str">
        <f t="shared" si="16"/>
        <v/>
      </c>
      <c r="V670" s="190" t="str">
        <f t="shared" si="17"/>
        <v/>
      </c>
      <c r="W670" s="190" t="str">
        <f t="shared" si="18"/>
        <v/>
      </c>
      <c r="X670" s="191" t="str">
        <f t="shared" si="19"/>
        <v/>
      </c>
      <c r="Y670" s="191" t="str">
        <f t="shared" si="20"/>
        <v/>
      </c>
      <c r="Z670" s="156"/>
    </row>
    <row r="671">
      <c r="A671" s="177" t="str">
        <f t="shared" si="14"/>
        <v/>
      </c>
      <c r="B671" s="196"/>
      <c r="C671" s="179" t="str">
        <f t="shared" si="2"/>
        <v/>
      </c>
      <c r="D671" s="197"/>
      <c r="E671" s="181"/>
      <c r="F671" s="198"/>
      <c r="G671" s="201"/>
      <c r="H671" s="201"/>
      <c r="I671" s="201"/>
      <c r="J671" s="202"/>
      <c r="K671" s="203"/>
      <c r="L671" s="186">
        <f t="shared" si="15"/>
        <v>0</v>
      </c>
      <c r="M671" s="191"/>
      <c r="N671" s="191"/>
      <c r="O671" s="191"/>
      <c r="P671" s="191"/>
      <c r="Q671" s="191"/>
      <c r="R671" s="191"/>
      <c r="S671" s="191"/>
      <c r="T671" s="192"/>
      <c r="U671" s="189" t="str">
        <f t="shared" si="16"/>
        <v/>
      </c>
      <c r="V671" s="190" t="str">
        <f t="shared" si="17"/>
        <v/>
      </c>
      <c r="W671" s="190" t="str">
        <f t="shared" si="18"/>
        <v/>
      </c>
      <c r="X671" s="191" t="str">
        <f t="shared" si="19"/>
        <v/>
      </c>
      <c r="Y671" s="191" t="str">
        <f t="shared" si="20"/>
        <v/>
      </c>
      <c r="Z671" s="156"/>
    </row>
    <row r="672">
      <c r="A672" s="177" t="str">
        <f t="shared" si="14"/>
        <v/>
      </c>
      <c r="B672" s="196"/>
      <c r="C672" s="179" t="str">
        <f t="shared" si="2"/>
        <v/>
      </c>
      <c r="D672" s="197"/>
      <c r="E672" s="181"/>
      <c r="F672" s="198"/>
      <c r="G672" s="201"/>
      <c r="H672" s="201"/>
      <c r="I672" s="201"/>
      <c r="J672" s="202"/>
      <c r="K672" s="203"/>
      <c r="L672" s="186">
        <f t="shared" si="15"/>
        <v>0</v>
      </c>
      <c r="M672" s="191"/>
      <c r="N672" s="191"/>
      <c r="O672" s="191"/>
      <c r="P672" s="191"/>
      <c r="Q672" s="191"/>
      <c r="R672" s="191"/>
      <c r="S672" s="191"/>
      <c r="T672" s="192"/>
      <c r="U672" s="189" t="str">
        <f t="shared" si="16"/>
        <v/>
      </c>
      <c r="V672" s="190" t="str">
        <f t="shared" si="17"/>
        <v/>
      </c>
      <c r="W672" s="190" t="str">
        <f t="shared" si="18"/>
        <v/>
      </c>
      <c r="X672" s="191" t="str">
        <f t="shared" si="19"/>
        <v/>
      </c>
      <c r="Y672" s="191" t="str">
        <f t="shared" si="20"/>
        <v/>
      </c>
      <c r="Z672" s="156"/>
    </row>
    <row r="673">
      <c r="A673" s="177" t="str">
        <f t="shared" si="14"/>
        <v/>
      </c>
      <c r="B673" s="196"/>
      <c r="C673" s="179" t="str">
        <f t="shared" si="2"/>
        <v/>
      </c>
      <c r="D673" s="197"/>
      <c r="E673" s="181"/>
      <c r="F673" s="198"/>
      <c r="G673" s="201"/>
      <c r="H673" s="201"/>
      <c r="I673" s="201"/>
      <c r="J673" s="202"/>
      <c r="K673" s="203"/>
      <c r="L673" s="186">
        <f t="shared" si="15"/>
        <v>0</v>
      </c>
      <c r="M673" s="191"/>
      <c r="N673" s="191"/>
      <c r="O673" s="191"/>
      <c r="P673" s="191"/>
      <c r="Q673" s="191"/>
      <c r="R673" s="191"/>
      <c r="S673" s="191"/>
      <c r="T673" s="192"/>
      <c r="U673" s="189" t="str">
        <f t="shared" si="16"/>
        <v/>
      </c>
      <c r="V673" s="190" t="str">
        <f t="shared" si="17"/>
        <v/>
      </c>
      <c r="W673" s="190" t="str">
        <f t="shared" si="18"/>
        <v/>
      </c>
      <c r="X673" s="191" t="str">
        <f t="shared" si="19"/>
        <v/>
      </c>
      <c r="Y673" s="191" t="str">
        <f t="shared" si="20"/>
        <v/>
      </c>
      <c r="Z673" s="156"/>
    </row>
    <row r="674">
      <c r="A674" s="177" t="str">
        <f t="shared" si="14"/>
        <v/>
      </c>
      <c r="B674" s="196"/>
      <c r="C674" s="179" t="str">
        <f t="shared" si="2"/>
        <v/>
      </c>
      <c r="D674" s="197"/>
      <c r="E674" s="181"/>
      <c r="F674" s="198"/>
      <c r="G674" s="201"/>
      <c r="H674" s="201"/>
      <c r="I674" s="201"/>
      <c r="J674" s="202"/>
      <c r="K674" s="203"/>
      <c r="L674" s="186">
        <f t="shared" si="15"/>
        <v>0</v>
      </c>
      <c r="M674" s="191"/>
      <c r="N674" s="191"/>
      <c r="O674" s="191"/>
      <c r="P674" s="191"/>
      <c r="Q674" s="191"/>
      <c r="R674" s="191"/>
      <c r="S674" s="191"/>
      <c r="T674" s="192"/>
      <c r="U674" s="189" t="str">
        <f t="shared" si="16"/>
        <v/>
      </c>
      <c r="V674" s="190" t="str">
        <f t="shared" si="17"/>
        <v/>
      </c>
      <c r="W674" s="190" t="str">
        <f t="shared" si="18"/>
        <v/>
      </c>
      <c r="X674" s="191" t="str">
        <f t="shared" si="19"/>
        <v/>
      </c>
      <c r="Y674" s="191" t="str">
        <f t="shared" si="20"/>
        <v/>
      </c>
      <c r="Z674" s="156"/>
    </row>
    <row r="675">
      <c r="A675" s="177" t="str">
        <f t="shared" si="14"/>
        <v/>
      </c>
      <c r="B675" s="196"/>
      <c r="C675" s="179" t="str">
        <f t="shared" si="2"/>
        <v/>
      </c>
      <c r="D675" s="197"/>
      <c r="E675" s="181"/>
      <c r="F675" s="198"/>
      <c r="G675" s="201"/>
      <c r="H675" s="201"/>
      <c r="I675" s="201"/>
      <c r="J675" s="202"/>
      <c r="K675" s="203"/>
      <c r="L675" s="186">
        <f t="shared" si="15"/>
        <v>0</v>
      </c>
      <c r="M675" s="191"/>
      <c r="N675" s="191"/>
      <c r="O675" s="191"/>
      <c r="P675" s="191"/>
      <c r="Q675" s="191"/>
      <c r="R675" s="191"/>
      <c r="S675" s="191"/>
      <c r="T675" s="192"/>
      <c r="U675" s="189" t="str">
        <f t="shared" si="16"/>
        <v/>
      </c>
      <c r="V675" s="190" t="str">
        <f t="shared" si="17"/>
        <v/>
      </c>
      <c r="W675" s="190" t="str">
        <f t="shared" si="18"/>
        <v/>
      </c>
      <c r="X675" s="191" t="str">
        <f t="shared" si="19"/>
        <v/>
      </c>
      <c r="Y675" s="191" t="str">
        <f t="shared" si="20"/>
        <v/>
      </c>
      <c r="Z675" s="156"/>
    </row>
    <row r="676">
      <c r="A676" s="177" t="str">
        <f t="shared" si="14"/>
        <v/>
      </c>
      <c r="B676" s="196"/>
      <c r="C676" s="179" t="str">
        <f t="shared" si="2"/>
        <v/>
      </c>
      <c r="D676" s="197"/>
      <c r="E676" s="181"/>
      <c r="F676" s="198"/>
      <c r="G676" s="201"/>
      <c r="H676" s="201"/>
      <c r="I676" s="201"/>
      <c r="J676" s="202"/>
      <c r="K676" s="203"/>
      <c r="L676" s="186">
        <f t="shared" si="15"/>
        <v>0</v>
      </c>
      <c r="M676" s="191"/>
      <c r="N676" s="191"/>
      <c r="O676" s="191"/>
      <c r="P676" s="191"/>
      <c r="Q676" s="191"/>
      <c r="R676" s="191"/>
      <c r="S676" s="191"/>
      <c r="T676" s="192"/>
      <c r="U676" s="189" t="str">
        <f t="shared" si="16"/>
        <v/>
      </c>
      <c r="V676" s="190" t="str">
        <f t="shared" si="17"/>
        <v/>
      </c>
      <c r="W676" s="190" t="str">
        <f t="shared" si="18"/>
        <v/>
      </c>
      <c r="X676" s="191" t="str">
        <f t="shared" si="19"/>
        <v/>
      </c>
      <c r="Y676" s="191" t="str">
        <f t="shared" si="20"/>
        <v/>
      </c>
      <c r="Z676" s="156"/>
    </row>
    <row r="677">
      <c r="A677" s="177" t="str">
        <f t="shared" si="14"/>
        <v/>
      </c>
      <c r="B677" s="196"/>
      <c r="C677" s="179" t="str">
        <f t="shared" si="2"/>
        <v/>
      </c>
      <c r="D677" s="197"/>
      <c r="E677" s="181"/>
      <c r="F677" s="198"/>
      <c r="G677" s="201"/>
      <c r="H677" s="201"/>
      <c r="I677" s="201"/>
      <c r="J677" s="202"/>
      <c r="K677" s="203"/>
      <c r="L677" s="186">
        <f t="shared" si="15"/>
        <v>0</v>
      </c>
      <c r="M677" s="191"/>
      <c r="N677" s="191"/>
      <c r="O677" s="191"/>
      <c r="P677" s="191"/>
      <c r="Q677" s="191"/>
      <c r="R677" s="191"/>
      <c r="S677" s="191"/>
      <c r="T677" s="192"/>
      <c r="U677" s="189" t="str">
        <f t="shared" si="16"/>
        <v/>
      </c>
      <c r="V677" s="190" t="str">
        <f t="shared" si="17"/>
        <v/>
      </c>
      <c r="W677" s="190" t="str">
        <f t="shared" si="18"/>
        <v/>
      </c>
      <c r="X677" s="191" t="str">
        <f t="shared" si="19"/>
        <v/>
      </c>
      <c r="Y677" s="191" t="str">
        <f t="shared" si="20"/>
        <v/>
      </c>
      <c r="Z677" s="156"/>
    </row>
    <row r="678">
      <c r="A678" s="177" t="str">
        <f t="shared" si="14"/>
        <v/>
      </c>
      <c r="B678" s="196"/>
      <c r="C678" s="179" t="str">
        <f t="shared" si="2"/>
        <v/>
      </c>
      <c r="D678" s="197"/>
      <c r="E678" s="181"/>
      <c r="F678" s="198"/>
      <c r="G678" s="201"/>
      <c r="H678" s="201"/>
      <c r="I678" s="201"/>
      <c r="J678" s="202"/>
      <c r="K678" s="203"/>
      <c r="L678" s="186">
        <f t="shared" si="15"/>
        <v>0</v>
      </c>
      <c r="M678" s="191"/>
      <c r="N678" s="191"/>
      <c r="O678" s="191"/>
      <c r="P678" s="191"/>
      <c r="Q678" s="191"/>
      <c r="R678" s="191"/>
      <c r="S678" s="191"/>
      <c r="T678" s="192"/>
      <c r="U678" s="189" t="str">
        <f t="shared" si="16"/>
        <v/>
      </c>
      <c r="V678" s="190" t="str">
        <f t="shared" si="17"/>
        <v/>
      </c>
      <c r="W678" s="190" t="str">
        <f t="shared" si="18"/>
        <v/>
      </c>
      <c r="X678" s="191" t="str">
        <f t="shared" si="19"/>
        <v/>
      </c>
      <c r="Y678" s="191" t="str">
        <f t="shared" si="20"/>
        <v/>
      </c>
      <c r="Z678" s="156"/>
    </row>
    <row r="679">
      <c r="A679" s="177" t="str">
        <f t="shared" si="14"/>
        <v/>
      </c>
      <c r="B679" s="196"/>
      <c r="C679" s="179" t="str">
        <f t="shared" si="2"/>
        <v/>
      </c>
      <c r="D679" s="197"/>
      <c r="E679" s="181"/>
      <c r="F679" s="198"/>
      <c r="G679" s="201"/>
      <c r="H679" s="201"/>
      <c r="I679" s="201"/>
      <c r="J679" s="202"/>
      <c r="K679" s="203"/>
      <c r="L679" s="186">
        <f t="shared" si="15"/>
        <v>0</v>
      </c>
      <c r="M679" s="191"/>
      <c r="N679" s="191"/>
      <c r="O679" s="191"/>
      <c r="P679" s="191"/>
      <c r="Q679" s="191"/>
      <c r="R679" s="191"/>
      <c r="S679" s="191"/>
      <c r="T679" s="192"/>
      <c r="U679" s="189" t="str">
        <f t="shared" si="16"/>
        <v/>
      </c>
      <c r="V679" s="190" t="str">
        <f t="shared" si="17"/>
        <v/>
      </c>
      <c r="W679" s="190" t="str">
        <f t="shared" si="18"/>
        <v/>
      </c>
      <c r="X679" s="191" t="str">
        <f t="shared" si="19"/>
        <v/>
      </c>
      <c r="Y679" s="191" t="str">
        <f t="shared" si="20"/>
        <v/>
      </c>
      <c r="Z679" s="156"/>
    </row>
    <row r="680">
      <c r="A680" s="177" t="str">
        <f t="shared" si="14"/>
        <v/>
      </c>
      <c r="B680" s="196"/>
      <c r="C680" s="179" t="str">
        <f t="shared" si="2"/>
        <v/>
      </c>
      <c r="D680" s="197"/>
      <c r="E680" s="181"/>
      <c r="F680" s="198"/>
      <c r="G680" s="201"/>
      <c r="H680" s="201"/>
      <c r="I680" s="201"/>
      <c r="J680" s="202"/>
      <c r="K680" s="203"/>
      <c r="L680" s="186">
        <f t="shared" si="15"/>
        <v>0</v>
      </c>
      <c r="M680" s="191"/>
      <c r="N680" s="191"/>
      <c r="O680" s="191"/>
      <c r="P680" s="191"/>
      <c r="Q680" s="191"/>
      <c r="R680" s="191"/>
      <c r="S680" s="191"/>
      <c r="T680" s="192"/>
      <c r="U680" s="189" t="str">
        <f t="shared" si="16"/>
        <v/>
      </c>
      <c r="V680" s="190" t="str">
        <f t="shared" si="17"/>
        <v/>
      </c>
      <c r="W680" s="190" t="str">
        <f t="shared" si="18"/>
        <v/>
      </c>
      <c r="X680" s="191" t="str">
        <f t="shared" si="19"/>
        <v/>
      </c>
      <c r="Y680" s="191" t="str">
        <f t="shared" si="20"/>
        <v/>
      </c>
      <c r="Z680" s="156"/>
    </row>
    <row r="681">
      <c r="A681" s="177" t="str">
        <f t="shared" si="14"/>
        <v/>
      </c>
      <c r="B681" s="196"/>
      <c r="C681" s="179" t="str">
        <f t="shared" si="2"/>
        <v/>
      </c>
      <c r="D681" s="197"/>
      <c r="E681" s="181"/>
      <c r="F681" s="198"/>
      <c r="G681" s="201"/>
      <c r="H681" s="201"/>
      <c r="I681" s="201"/>
      <c r="J681" s="202"/>
      <c r="K681" s="203"/>
      <c r="L681" s="186">
        <f t="shared" si="15"/>
        <v>0</v>
      </c>
      <c r="M681" s="191"/>
      <c r="N681" s="191"/>
      <c r="O681" s="191"/>
      <c r="P681" s="191"/>
      <c r="Q681" s="191"/>
      <c r="R681" s="191"/>
      <c r="S681" s="191"/>
      <c r="T681" s="192"/>
      <c r="U681" s="189" t="str">
        <f t="shared" si="16"/>
        <v/>
      </c>
      <c r="V681" s="190" t="str">
        <f t="shared" si="17"/>
        <v/>
      </c>
      <c r="W681" s="190" t="str">
        <f t="shared" si="18"/>
        <v/>
      </c>
      <c r="X681" s="191" t="str">
        <f t="shared" si="19"/>
        <v/>
      </c>
      <c r="Y681" s="191" t="str">
        <f t="shared" si="20"/>
        <v/>
      </c>
      <c r="Z681" s="156"/>
    </row>
    <row r="682">
      <c r="A682" s="177" t="str">
        <f t="shared" si="14"/>
        <v/>
      </c>
      <c r="B682" s="196"/>
      <c r="C682" s="179" t="str">
        <f t="shared" si="2"/>
        <v/>
      </c>
      <c r="D682" s="197"/>
      <c r="E682" s="181"/>
      <c r="F682" s="198"/>
      <c r="G682" s="201"/>
      <c r="H682" s="201"/>
      <c r="I682" s="201"/>
      <c r="J682" s="202"/>
      <c r="K682" s="203"/>
      <c r="L682" s="186">
        <f t="shared" si="15"/>
        <v>0</v>
      </c>
      <c r="M682" s="191"/>
      <c r="N682" s="191"/>
      <c r="O682" s="191"/>
      <c r="P682" s="191"/>
      <c r="Q682" s="191"/>
      <c r="R682" s="191"/>
      <c r="S682" s="191"/>
      <c r="T682" s="192"/>
      <c r="U682" s="189" t="str">
        <f t="shared" si="16"/>
        <v/>
      </c>
      <c r="V682" s="190" t="str">
        <f t="shared" si="17"/>
        <v/>
      </c>
      <c r="W682" s="190" t="str">
        <f t="shared" si="18"/>
        <v/>
      </c>
      <c r="X682" s="191" t="str">
        <f t="shared" si="19"/>
        <v/>
      </c>
      <c r="Y682" s="191" t="str">
        <f t="shared" si="20"/>
        <v/>
      </c>
      <c r="Z682" s="156"/>
    </row>
    <row r="683">
      <c r="A683" s="177" t="str">
        <f t="shared" si="14"/>
        <v/>
      </c>
      <c r="B683" s="196"/>
      <c r="C683" s="179" t="str">
        <f t="shared" si="2"/>
        <v/>
      </c>
      <c r="D683" s="197"/>
      <c r="E683" s="181"/>
      <c r="F683" s="198"/>
      <c r="G683" s="201"/>
      <c r="H683" s="201"/>
      <c r="I683" s="201"/>
      <c r="J683" s="202"/>
      <c r="K683" s="203"/>
      <c r="L683" s="186">
        <f t="shared" si="15"/>
        <v>0</v>
      </c>
      <c r="M683" s="191"/>
      <c r="N683" s="191"/>
      <c r="O683" s="191"/>
      <c r="P683" s="191"/>
      <c r="Q683" s="191"/>
      <c r="R683" s="191"/>
      <c r="S683" s="191"/>
      <c r="T683" s="192"/>
      <c r="U683" s="189" t="str">
        <f t="shared" si="16"/>
        <v/>
      </c>
      <c r="V683" s="190" t="str">
        <f t="shared" si="17"/>
        <v/>
      </c>
      <c r="W683" s="190" t="str">
        <f t="shared" si="18"/>
        <v/>
      </c>
      <c r="X683" s="191" t="str">
        <f t="shared" si="19"/>
        <v/>
      </c>
      <c r="Y683" s="191" t="str">
        <f t="shared" si="20"/>
        <v/>
      </c>
      <c r="Z683" s="156"/>
    </row>
    <row r="684">
      <c r="A684" s="177" t="str">
        <f t="shared" si="14"/>
        <v/>
      </c>
      <c r="B684" s="196"/>
      <c r="C684" s="179" t="str">
        <f t="shared" si="2"/>
        <v/>
      </c>
      <c r="D684" s="197"/>
      <c r="E684" s="181"/>
      <c r="F684" s="198"/>
      <c r="G684" s="201"/>
      <c r="H684" s="201"/>
      <c r="I684" s="201"/>
      <c r="J684" s="202"/>
      <c r="K684" s="203"/>
      <c r="L684" s="186">
        <f t="shared" si="15"/>
        <v>0</v>
      </c>
      <c r="M684" s="191"/>
      <c r="N684" s="191"/>
      <c r="O684" s="191"/>
      <c r="P684" s="191"/>
      <c r="Q684" s="191"/>
      <c r="R684" s="191"/>
      <c r="S684" s="191"/>
      <c r="T684" s="192"/>
      <c r="U684" s="189" t="str">
        <f t="shared" si="16"/>
        <v/>
      </c>
      <c r="V684" s="190" t="str">
        <f t="shared" si="17"/>
        <v/>
      </c>
      <c r="W684" s="190" t="str">
        <f t="shared" si="18"/>
        <v/>
      </c>
      <c r="X684" s="191" t="str">
        <f t="shared" si="19"/>
        <v/>
      </c>
      <c r="Y684" s="191" t="str">
        <f t="shared" si="20"/>
        <v/>
      </c>
      <c r="Z684" s="156"/>
    </row>
    <row r="685">
      <c r="A685" s="177" t="str">
        <f t="shared" si="14"/>
        <v/>
      </c>
      <c r="B685" s="196"/>
      <c r="C685" s="179" t="str">
        <f t="shared" si="2"/>
        <v/>
      </c>
      <c r="D685" s="197"/>
      <c r="E685" s="181"/>
      <c r="F685" s="198"/>
      <c r="G685" s="201"/>
      <c r="H685" s="201"/>
      <c r="I685" s="201"/>
      <c r="J685" s="202"/>
      <c r="K685" s="203"/>
      <c r="L685" s="186">
        <f t="shared" si="15"/>
        <v>0</v>
      </c>
      <c r="M685" s="191"/>
      <c r="N685" s="191"/>
      <c r="O685" s="191"/>
      <c r="P685" s="191"/>
      <c r="Q685" s="191"/>
      <c r="R685" s="191"/>
      <c r="S685" s="191"/>
      <c r="T685" s="192"/>
      <c r="U685" s="189" t="str">
        <f t="shared" si="16"/>
        <v/>
      </c>
      <c r="V685" s="190" t="str">
        <f t="shared" si="17"/>
        <v/>
      </c>
      <c r="W685" s="190" t="str">
        <f t="shared" si="18"/>
        <v/>
      </c>
      <c r="X685" s="191" t="str">
        <f t="shared" si="19"/>
        <v/>
      </c>
      <c r="Y685" s="191" t="str">
        <f t="shared" si="20"/>
        <v/>
      </c>
      <c r="Z685" s="156"/>
    </row>
    <row r="686">
      <c r="A686" s="177" t="str">
        <f t="shared" si="14"/>
        <v/>
      </c>
      <c r="B686" s="196"/>
      <c r="C686" s="179" t="str">
        <f t="shared" si="2"/>
        <v/>
      </c>
      <c r="D686" s="197"/>
      <c r="E686" s="181"/>
      <c r="F686" s="198"/>
      <c r="G686" s="201"/>
      <c r="H686" s="201"/>
      <c r="I686" s="201"/>
      <c r="J686" s="202"/>
      <c r="K686" s="203"/>
      <c r="L686" s="186">
        <f t="shared" si="15"/>
        <v>0</v>
      </c>
      <c r="M686" s="191"/>
      <c r="N686" s="191"/>
      <c r="O686" s="191"/>
      <c r="P686" s="191"/>
      <c r="Q686" s="191"/>
      <c r="R686" s="191"/>
      <c r="S686" s="191"/>
      <c r="T686" s="192"/>
      <c r="U686" s="189" t="str">
        <f t="shared" si="16"/>
        <v/>
      </c>
      <c r="V686" s="190" t="str">
        <f t="shared" si="17"/>
        <v/>
      </c>
      <c r="W686" s="190" t="str">
        <f t="shared" si="18"/>
        <v/>
      </c>
      <c r="X686" s="191" t="str">
        <f t="shared" si="19"/>
        <v/>
      </c>
      <c r="Y686" s="191" t="str">
        <f t="shared" si="20"/>
        <v/>
      </c>
      <c r="Z686" s="156"/>
    </row>
    <row r="687">
      <c r="A687" s="177" t="str">
        <f t="shared" si="14"/>
        <v/>
      </c>
      <c r="B687" s="196"/>
      <c r="C687" s="179" t="str">
        <f t="shared" si="2"/>
        <v/>
      </c>
      <c r="D687" s="197"/>
      <c r="E687" s="181"/>
      <c r="F687" s="198"/>
      <c r="G687" s="201"/>
      <c r="H687" s="201"/>
      <c r="I687" s="201"/>
      <c r="J687" s="202"/>
      <c r="K687" s="203"/>
      <c r="L687" s="186">
        <f t="shared" si="15"/>
        <v>0</v>
      </c>
      <c r="M687" s="191"/>
      <c r="N687" s="191"/>
      <c r="O687" s="191"/>
      <c r="P687" s="191"/>
      <c r="Q687" s="191"/>
      <c r="R687" s="191"/>
      <c r="S687" s="191"/>
      <c r="T687" s="192"/>
      <c r="U687" s="189" t="str">
        <f t="shared" si="16"/>
        <v/>
      </c>
      <c r="V687" s="190" t="str">
        <f t="shared" si="17"/>
        <v/>
      </c>
      <c r="W687" s="190" t="str">
        <f t="shared" si="18"/>
        <v/>
      </c>
      <c r="X687" s="191" t="str">
        <f t="shared" si="19"/>
        <v/>
      </c>
      <c r="Y687" s="191" t="str">
        <f t="shared" si="20"/>
        <v/>
      </c>
      <c r="Z687" s="156"/>
    </row>
    <row r="688">
      <c r="A688" s="177" t="str">
        <f t="shared" si="14"/>
        <v/>
      </c>
      <c r="B688" s="196"/>
      <c r="C688" s="179" t="str">
        <f t="shared" si="2"/>
        <v/>
      </c>
      <c r="D688" s="197"/>
      <c r="E688" s="181"/>
      <c r="F688" s="198"/>
      <c r="G688" s="201"/>
      <c r="H688" s="201"/>
      <c r="I688" s="201"/>
      <c r="J688" s="202"/>
      <c r="K688" s="203"/>
      <c r="L688" s="186">
        <f t="shared" si="15"/>
        <v>0</v>
      </c>
      <c r="M688" s="191"/>
      <c r="N688" s="191"/>
      <c r="O688" s="191"/>
      <c r="P688" s="191"/>
      <c r="Q688" s="191"/>
      <c r="R688" s="191"/>
      <c r="S688" s="191"/>
      <c r="T688" s="192"/>
      <c r="U688" s="189" t="str">
        <f t="shared" si="16"/>
        <v/>
      </c>
      <c r="V688" s="190" t="str">
        <f t="shared" si="17"/>
        <v/>
      </c>
      <c r="W688" s="190" t="str">
        <f t="shared" si="18"/>
        <v/>
      </c>
      <c r="X688" s="191" t="str">
        <f t="shared" si="19"/>
        <v/>
      </c>
      <c r="Y688" s="191" t="str">
        <f t="shared" si="20"/>
        <v/>
      </c>
      <c r="Z688" s="156"/>
    </row>
    <row r="689">
      <c r="A689" s="177" t="str">
        <f t="shared" si="14"/>
        <v/>
      </c>
      <c r="B689" s="196"/>
      <c r="C689" s="179" t="str">
        <f t="shared" si="2"/>
        <v/>
      </c>
      <c r="D689" s="197"/>
      <c r="E689" s="181"/>
      <c r="F689" s="198"/>
      <c r="G689" s="201"/>
      <c r="H689" s="201"/>
      <c r="I689" s="201"/>
      <c r="J689" s="202"/>
      <c r="K689" s="203"/>
      <c r="L689" s="186">
        <f t="shared" si="15"/>
        <v>0</v>
      </c>
      <c r="M689" s="191"/>
      <c r="N689" s="191"/>
      <c r="O689" s="191"/>
      <c r="P689" s="191"/>
      <c r="Q689" s="191"/>
      <c r="R689" s="191"/>
      <c r="S689" s="191"/>
      <c r="T689" s="192"/>
      <c r="U689" s="189" t="str">
        <f t="shared" si="16"/>
        <v/>
      </c>
      <c r="V689" s="190" t="str">
        <f t="shared" si="17"/>
        <v/>
      </c>
      <c r="W689" s="190" t="str">
        <f t="shared" si="18"/>
        <v/>
      </c>
      <c r="X689" s="191" t="str">
        <f t="shared" si="19"/>
        <v/>
      </c>
      <c r="Y689" s="191" t="str">
        <f t="shared" si="20"/>
        <v/>
      </c>
      <c r="Z689" s="156"/>
    </row>
    <row r="690">
      <c r="A690" s="177" t="str">
        <f t="shared" si="14"/>
        <v/>
      </c>
      <c r="B690" s="196"/>
      <c r="C690" s="179" t="str">
        <f t="shared" si="2"/>
        <v/>
      </c>
      <c r="D690" s="197"/>
      <c r="E690" s="181"/>
      <c r="F690" s="198"/>
      <c r="G690" s="201"/>
      <c r="H690" s="201"/>
      <c r="I690" s="201"/>
      <c r="J690" s="202"/>
      <c r="K690" s="203"/>
      <c r="L690" s="186">
        <f t="shared" si="15"/>
        <v>0</v>
      </c>
      <c r="M690" s="191"/>
      <c r="N690" s="191"/>
      <c r="O690" s="191"/>
      <c r="P690" s="191"/>
      <c r="Q690" s="191"/>
      <c r="R690" s="191"/>
      <c r="S690" s="191"/>
      <c r="T690" s="192"/>
      <c r="U690" s="189" t="str">
        <f t="shared" si="16"/>
        <v/>
      </c>
      <c r="V690" s="190" t="str">
        <f t="shared" si="17"/>
        <v/>
      </c>
      <c r="W690" s="190" t="str">
        <f t="shared" si="18"/>
        <v/>
      </c>
      <c r="X690" s="191" t="str">
        <f t="shared" si="19"/>
        <v/>
      </c>
      <c r="Y690" s="191" t="str">
        <f t="shared" si="20"/>
        <v/>
      </c>
      <c r="Z690" s="156"/>
    </row>
    <row r="691">
      <c r="A691" s="177" t="str">
        <f t="shared" si="14"/>
        <v/>
      </c>
      <c r="B691" s="196"/>
      <c r="C691" s="179" t="str">
        <f t="shared" si="2"/>
        <v/>
      </c>
      <c r="D691" s="197"/>
      <c r="E691" s="181"/>
      <c r="F691" s="198"/>
      <c r="G691" s="201"/>
      <c r="H691" s="201"/>
      <c r="I691" s="201"/>
      <c r="J691" s="202"/>
      <c r="K691" s="203"/>
      <c r="L691" s="186">
        <f t="shared" si="15"/>
        <v>0</v>
      </c>
      <c r="M691" s="191"/>
      <c r="N691" s="191"/>
      <c r="O691" s="191"/>
      <c r="P691" s="191"/>
      <c r="Q691" s="191"/>
      <c r="R691" s="191"/>
      <c r="S691" s="191"/>
      <c r="T691" s="192"/>
      <c r="U691" s="189" t="str">
        <f t="shared" si="16"/>
        <v/>
      </c>
      <c r="V691" s="190" t="str">
        <f t="shared" si="17"/>
        <v/>
      </c>
      <c r="W691" s="190" t="str">
        <f t="shared" si="18"/>
        <v/>
      </c>
      <c r="X691" s="191" t="str">
        <f t="shared" si="19"/>
        <v/>
      </c>
      <c r="Y691" s="191" t="str">
        <f t="shared" si="20"/>
        <v/>
      </c>
      <c r="Z691" s="156"/>
    </row>
    <row r="692">
      <c r="A692" s="177" t="str">
        <f t="shared" si="14"/>
        <v/>
      </c>
      <c r="B692" s="196"/>
      <c r="C692" s="179" t="str">
        <f t="shared" si="2"/>
        <v/>
      </c>
      <c r="D692" s="197"/>
      <c r="E692" s="181"/>
      <c r="F692" s="198"/>
      <c r="G692" s="201"/>
      <c r="H692" s="201"/>
      <c r="I692" s="201"/>
      <c r="J692" s="202"/>
      <c r="K692" s="203"/>
      <c r="L692" s="186">
        <f t="shared" si="15"/>
        <v>0</v>
      </c>
      <c r="M692" s="191"/>
      <c r="N692" s="191"/>
      <c r="O692" s="191"/>
      <c r="P692" s="191"/>
      <c r="Q692" s="191"/>
      <c r="R692" s="191"/>
      <c r="S692" s="191"/>
      <c r="T692" s="192"/>
      <c r="U692" s="189" t="str">
        <f t="shared" si="16"/>
        <v/>
      </c>
      <c r="V692" s="190" t="str">
        <f t="shared" si="17"/>
        <v/>
      </c>
      <c r="W692" s="190" t="str">
        <f t="shared" si="18"/>
        <v/>
      </c>
      <c r="X692" s="191" t="str">
        <f t="shared" si="19"/>
        <v/>
      </c>
      <c r="Y692" s="191" t="str">
        <f t="shared" si="20"/>
        <v/>
      </c>
      <c r="Z692" s="156"/>
    </row>
    <row r="693">
      <c r="A693" s="177" t="str">
        <f t="shared" si="14"/>
        <v/>
      </c>
      <c r="B693" s="196"/>
      <c r="C693" s="179" t="str">
        <f t="shared" si="2"/>
        <v/>
      </c>
      <c r="D693" s="197"/>
      <c r="E693" s="181"/>
      <c r="F693" s="198"/>
      <c r="G693" s="201"/>
      <c r="H693" s="201"/>
      <c r="I693" s="201"/>
      <c r="J693" s="202"/>
      <c r="K693" s="203"/>
      <c r="L693" s="186">
        <f t="shared" si="15"/>
        <v>0</v>
      </c>
      <c r="M693" s="191"/>
      <c r="N693" s="191"/>
      <c r="O693" s="191"/>
      <c r="P693" s="191"/>
      <c r="Q693" s="191"/>
      <c r="R693" s="191"/>
      <c r="S693" s="191"/>
      <c r="T693" s="192"/>
      <c r="U693" s="189" t="str">
        <f t="shared" si="16"/>
        <v/>
      </c>
      <c r="V693" s="190" t="str">
        <f t="shared" si="17"/>
        <v/>
      </c>
      <c r="W693" s="190" t="str">
        <f t="shared" si="18"/>
        <v/>
      </c>
      <c r="X693" s="191" t="str">
        <f t="shared" si="19"/>
        <v/>
      </c>
      <c r="Y693" s="191" t="str">
        <f t="shared" si="20"/>
        <v/>
      </c>
      <c r="Z693" s="156"/>
    </row>
    <row r="694">
      <c r="A694" s="177" t="str">
        <f t="shared" si="14"/>
        <v/>
      </c>
      <c r="B694" s="196"/>
      <c r="C694" s="179" t="str">
        <f t="shared" si="2"/>
        <v/>
      </c>
      <c r="D694" s="197"/>
      <c r="E694" s="181"/>
      <c r="F694" s="198"/>
      <c r="G694" s="201"/>
      <c r="H694" s="201"/>
      <c r="I694" s="201"/>
      <c r="J694" s="202"/>
      <c r="K694" s="203"/>
      <c r="L694" s="186">
        <f t="shared" si="15"/>
        <v>0</v>
      </c>
      <c r="M694" s="191"/>
      <c r="N694" s="191"/>
      <c r="O694" s="191"/>
      <c r="P694" s="191"/>
      <c r="Q694" s="191"/>
      <c r="R694" s="191"/>
      <c r="S694" s="191"/>
      <c r="T694" s="192"/>
      <c r="U694" s="189" t="str">
        <f t="shared" si="16"/>
        <v/>
      </c>
      <c r="V694" s="190" t="str">
        <f t="shared" si="17"/>
        <v/>
      </c>
      <c r="W694" s="190" t="str">
        <f t="shared" si="18"/>
        <v/>
      </c>
      <c r="X694" s="191" t="str">
        <f t="shared" si="19"/>
        <v/>
      </c>
      <c r="Y694" s="191" t="str">
        <f t="shared" si="20"/>
        <v/>
      </c>
      <c r="Z694" s="156"/>
    </row>
    <row r="695">
      <c r="A695" s="177" t="str">
        <f t="shared" si="14"/>
        <v/>
      </c>
      <c r="B695" s="196"/>
      <c r="C695" s="179" t="str">
        <f t="shared" si="2"/>
        <v/>
      </c>
      <c r="D695" s="197"/>
      <c r="E695" s="181"/>
      <c r="F695" s="198"/>
      <c r="G695" s="201"/>
      <c r="H695" s="201"/>
      <c r="I695" s="201"/>
      <c r="J695" s="202"/>
      <c r="K695" s="203"/>
      <c r="L695" s="186">
        <f t="shared" si="15"/>
        <v>0</v>
      </c>
      <c r="M695" s="191"/>
      <c r="N695" s="191"/>
      <c r="O695" s="191"/>
      <c r="P695" s="191"/>
      <c r="Q695" s="191"/>
      <c r="R695" s="191"/>
      <c r="S695" s="191"/>
      <c r="T695" s="192"/>
      <c r="U695" s="189" t="str">
        <f t="shared" si="16"/>
        <v/>
      </c>
      <c r="V695" s="190" t="str">
        <f t="shared" si="17"/>
        <v/>
      </c>
      <c r="W695" s="190" t="str">
        <f t="shared" si="18"/>
        <v/>
      </c>
      <c r="X695" s="191" t="str">
        <f t="shared" si="19"/>
        <v/>
      </c>
      <c r="Y695" s="191" t="str">
        <f t="shared" si="20"/>
        <v/>
      </c>
      <c r="Z695" s="156"/>
    </row>
    <row r="696">
      <c r="A696" s="177" t="str">
        <f t="shared" si="14"/>
        <v/>
      </c>
      <c r="B696" s="196"/>
      <c r="C696" s="179" t="str">
        <f t="shared" si="2"/>
        <v/>
      </c>
      <c r="D696" s="197"/>
      <c r="E696" s="181"/>
      <c r="F696" s="198"/>
      <c r="G696" s="201"/>
      <c r="H696" s="201"/>
      <c r="I696" s="201"/>
      <c r="J696" s="202"/>
      <c r="K696" s="203"/>
      <c r="L696" s="186">
        <f t="shared" si="15"/>
        <v>0</v>
      </c>
      <c r="M696" s="191"/>
      <c r="N696" s="191"/>
      <c r="O696" s="191"/>
      <c r="P696" s="191"/>
      <c r="Q696" s="191"/>
      <c r="R696" s="191"/>
      <c r="S696" s="191"/>
      <c r="T696" s="192"/>
      <c r="U696" s="189" t="str">
        <f t="shared" si="16"/>
        <v/>
      </c>
      <c r="V696" s="190" t="str">
        <f t="shared" si="17"/>
        <v/>
      </c>
      <c r="W696" s="190" t="str">
        <f t="shared" si="18"/>
        <v/>
      </c>
      <c r="X696" s="191" t="str">
        <f t="shared" si="19"/>
        <v/>
      </c>
      <c r="Y696" s="191" t="str">
        <f t="shared" si="20"/>
        <v/>
      </c>
      <c r="Z696" s="156"/>
    </row>
    <row r="697">
      <c r="A697" s="177" t="str">
        <f t="shared" si="14"/>
        <v/>
      </c>
      <c r="B697" s="196"/>
      <c r="C697" s="179" t="str">
        <f t="shared" si="2"/>
        <v/>
      </c>
      <c r="D697" s="197"/>
      <c r="E697" s="181"/>
      <c r="F697" s="198"/>
      <c r="G697" s="201"/>
      <c r="H697" s="201"/>
      <c r="I697" s="201"/>
      <c r="J697" s="202"/>
      <c r="K697" s="203"/>
      <c r="L697" s="186">
        <f t="shared" si="15"/>
        <v>0</v>
      </c>
      <c r="M697" s="191"/>
      <c r="N697" s="191"/>
      <c r="O697" s="191"/>
      <c r="P697" s="191"/>
      <c r="Q697" s="191"/>
      <c r="R697" s="191"/>
      <c r="S697" s="191"/>
      <c r="T697" s="192"/>
      <c r="U697" s="189" t="str">
        <f t="shared" si="16"/>
        <v/>
      </c>
      <c r="V697" s="190" t="str">
        <f t="shared" si="17"/>
        <v/>
      </c>
      <c r="W697" s="190" t="str">
        <f t="shared" si="18"/>
        <v/>
      </c>
      <c r="X697" s="191" t="str">
        <f t="shared" si="19"/>
        <v/>
      </c>
      <c r="Y697" s="191" t="str">
        <f t="shared" si="20"/>
        <v/>
      </c>
      <c r="Z697" s="156"/>
    </row>
    <row r="698">
      <c r="A698" s="177" t="str">
        <f t="shared" si="14"/>
        <v/>
      </c>
      <c r="B698" s="196"/>
      <c r="C698" s="179" t="str">
        <f t="shared" si="2"/>
        <v/>
      </c>
      <c r="D698" s="197"/>
      <c r="E698" s="181"/>
      <c r="F698" s="198"/>
      <c r="G698" s="201"/>
      <c r="H698" s="201"/>
      <c r="I698" s="201"/>
      <c r="J698" s="202"/>
      <c r="K698" s="203"/>
      <c r="L698" s="186">
        <f t="shared" si="15"/>
        <v>0</v>
      </c>
      <c r="M698" s="191"/>
      <c r="N698" s="191"/>
      <c r="O698" s="191"/>
      <c r="P698" s="191"/>
      <c r="Q698" s="191"/>
      <c r="R698" s="191"/>
      <c r="S698" s="191"/>
      <c r="T698" s="192"/>
      <c r="U698" s="189" t="str">
        <f t="shared" si="16"/>
        <v/>
      </c>
      <c r="V698" s="190" t="str">
        <f t="shared" si="17"/>
        <v/>
      </c>
      <c r="W698" s="190" t="str">
        <f t="shared" si="18"/>
        <v/>
      </c>
      <c r="X698" s="191" t="str">
        <f t="shared" si="19"/>
        <v/>
      </c>
      <c r="Y698" s="191" t="str">
        <f t="shared" si="20"/>
        <v/>
      </c>
      <c r="Z698" s="156"/>
    </row>
    <row r="699">
      <c r="A699" s="177" t="str">
        <f t="shared" si="14"/>
        <v/>
      </c>
      <c r="B699" s="196"/>
      <c r="C699" s="179" t="str">
        <f t="shared" si="2"/>
        <v/>
      </c>
      <c r="D699" s="197"/>
      <c r="E699" s="181"/>
      <c r="F699" s="198"/>
      <c r="G699" s="201"/>
      <c r="H699" s="201"/>
      <c r="I699" s="201"/>
      <c r="J699" s="202"/>
      <c r="K699" s="203"/>
      <c r="L699" s="186">
        <f t="shared" si="15"/>
        <v>0</v>
      </c>
      <c r="M699" s="191"/>
      <c r="N699" s="191"/>
      <c r="O699" s="191"/>
      <c r="P699" s="191"/>
      <c r="Q699" s="191"/>
      <c r="R699" s="191"/>
      <c r="S699" s="191"/>
      <c r="T699" s="192"/>
      <c r="U699" s="189" t="str">
        <f t="shared" si="16"/>
        <v/>
      </c>
      <c r="V699" s="190" t="str">
        <f t="shared" si="17"/>
        <v/>
      </c>
      <c r="W699" s="190" t="str">
        <f t="shared" si="18"/>
        <v/>
      </c>
      <c r="X699" s="191" t="str">
        <f t="shared" si="19"/>
        <v/>
      </c>
      <c r="Y699" s="191" t="str">
        <f t="shared" si="20"/>
        <v/>
      </c>
      <c r="Z699" s="156"/>
    </row>
    <row r="700">
      <c r="A700" s="177" t="str">
        <f t="shared" si="14"/>
        <v/>
      </c>
      <c r="B700" s="196"/>
      <c r="C700" s="179" t="str">
        <f t="shared" si="2"/>
        <v/>
      </c>
      <c r="D700" s="197"/>
      <c r="E700" s="181"/>
      <c r="F700" s="198"/>
      <c r="G700" s="201"/>
      <c r="H700" s="201"/>
      <c r="I700" s="201"/>
      <c r="J700" s="202"/>
      <c r="K700" s="203"/>
      <c r="L700" s="186">
        <f t="shared" si="15"/>
        <v>0</v>
      </c>
      <c r="M700" s="191"/>
      <c r="N700" s="191"/>
      <c r="O700" s="191"/>
      <c r="P700" s="191"/>
      <c r="Q700" s="191"/>
      <c r="R700" s="191"/>
      <c r="S700" s="191"/>
      <c r="T700" s="192"/>
      <c r="U700" s="189" t="str">
        <f t="shared" si="16"/>
        <v/>
      </c>
      <c r="V700" s="190" t="str">
        <f t="shared" si="17"/>
        <v/>
      </c>
      <c r="W700" s="190" t="str">
        <f t="shared" si="18"/>
        <v/>
      </c>
      <c r="X700" s="191" t="str">
        <f t="shared" si="19"/>
        <v/>
      </c>
      <c r="Y700" s="191" t="str">
        <f t="shared" si="20"/>
        <v/>
      </c>
      <c r="Z700" s="156"/>
    </row>
    <row r="701">
      <c r="A701" s="177" t="str">
        <f t="shared" si="14"/>
        <v/>
      </c>
      <c r="B701" s="196"/>
      <c r="C701" s="179" t="str">
        <f t="shared" si="2"/>
        <v/>
      </c>
      <c r="D701" s="197"/>
      <c r="E701" s="181"/>
      <c r="F701" s="198"/>
      <c r="G701" s="201"/>
      <c r="H701" s="201"/>
      <c r="I701" s="201"/>
      <c r="J701" s="202"/>
      <c r="K701" s="203"/>
      <c r="L701" s="186">
        <f t="shared" si="15"/>
        <v>0</v>
      </c>
      <c r="M701" s="191"/>
      <c r="N701" s="191"/>
      <c r="O701" s="191"/>
      <c r="P701" s="191"/>
      <c r="Q701" s="191"/>
      <c r="R701" s="191"/>
      <c r="S701" s="191"/>
      <c r="T701" s="192"/>
      <c r="U701" s="189" t="str">
        <f t="shared" si="16"/>
        <v/>
      </c>
      <c r="V701" s="190" t="str">
        <f t="shared" si="17"/>
        <v/>
      </c>
      <c r="W701" s="190" t="str">
        <f t="shared" si="18"/>
        <v/>
      </c>
      <c r="X701" s="191" t="str">
        <f t="shared" si="19"/>
        <v/>
      </c>
      <c r="Y701" s="191" t="str">
        <f t="shared" si="20"/>
        <v/>
      </c>
      <c r="Z701" s="156"/>
    </row>
    <row r="702">
      <c r="A702" s="177" t="str">
        <f t="shared" si="14"/>
        <v/>
      </c>
      <c r="B702" s="196"/>
      <c r="C702" s="179" t="str">
        <f t="shared" si="2"/>
        <v/>
      </c>
      <c r="D702" s="197"/>
      <c r="E702" s="181"/>
      <c r="F702" s="198"/>
      <c r="G702" s="201"/>
      <c r="H702" s="201"/>
      <c r="I702" s="201"/>
      <c r="J702" s="202"/>
      <c r="K702" s="203"/>
      <c r="L702" s="186">
        <f t="shared" si="15"/>
        <v>0</v>
      </c>
      <c r="M702" s="191"/>
      <c r="N702" s="191"/>
      <c r="O702" s="191"/>
      <c r="P702" s="191"/>
      <c r="Q702" s="191"/>
      <c r="R702" s="191"/>
      <c r="S702" s="191"/>
      <c r="T702" s="192"/>
      <c r="U702" s="189" t="str">
        <f t="shared" si="16"/>
        <v/>
      </c>
      <c r="V702" s="190" t="str">
        <f t="shared" si="17"/>
        <v/>
      </c>
      <c r="W702" s="190" t="str">
        <f t="shared" si="18"/>
        <v/>
      </c>
      <c r="X702" s="191" t="str">
        <f t="shared" si="19"/>
        <v/>
      </c>
      <c r="Y702" s="191" t="str">
        <f t="shared" si="20"/>
        <v/>
      </c>
      <c r="Z702" s="156"/>
    </row>
    <row r="703">
      <c r="A703" s="177" t="str">
        <f t="shared" si="14"/>
        <v/>
      </c>
      <c r="B703" s="196"/>
      <c r="C703" s="179" t="str">
        <f t="shared" si="2"/>
        <v/>
      </c>
      <c r="D703" s="197"/>
      <c r="E703" s="181"/>
      <c r="F703" s="198"/>
      <c r="G703" s="201"/>
      <c r="H703" s="201"/>
      <c r="I703" s="201"/>
      <c r="J703" s="202"/>
      <c r="K703" s="203"/>
      <c r="L703" s="186">
        <f t="shared" si="15"/>
        <v>0</v>
      </c>
      <c r="M703" s="191"/>
      <c r="N703" s="191"/>
      <c r="O703" s="191"/>
      <c r="P703" s="191"/>
      <c r="Q703" s="191"/>
      <c r="R703" s="191"/>
      <c r="S703" s="191"/>
      <c r="T703" s="192"/>
      <c r="U703" s="189" t="str">
        <f t="shared" si="16"/>
        <v/>
      </c>
      <c r="V703" s="190" t="str">
        <f t="shared" si="17"/>
        <v/>
      </c>
      <c r="W703" s="190" t="str">
        <f t="shared" si="18"/>
        <v/>
      </c>
      <c r="X703" s="191" t="str">
        <f t="shared" si="19"/>
        <v/>
      </c>
      <c r="Y703" s="191" t="str">
        <f t="shared" si="20"/>
        <v/>
      </c>
      <c r="Z703" s="156"/>
    </row>
    <row r="704">
      <c r="A704" s="177" t="str">
        <f t="shared" si="14"/>
        <v/>
      </c>
      <c r="B704" s="196"/>
      <c r="C704" s="179" t="str">
        <f t="shared" si="2"/>
        <v/>
      </c>
      <c r="D704" s="197"/>
      <c r="E704" s="181"/>
      <c r="F704" s="198"/>
      <c r="G704" s="201"/>
      <c r="H704" s="201"/>
      <c r="I704" s="201"/>
      <c r="J704" s="202"/>
      <c r="K704" s="203"/>
      <c r="L704" s="186">
        <f t="shared" si="15"/>
        <v>0</v>
      </c>
      <c r="M704" s="191"/>
      <c r="N704" s="191"/>
      <c r="O704" s="191"/>
      <c r="P704" s="191"/>
      <c r="Q704" s="191"/>
      <c r="R704" s="191"/>
      <c r="S704" s="191"/>
      <c r="T704" s="192"/>
      <c r="U704" s="189" t="str">
        <f t="shared" si="16"/>
        <v/>
      </c>
      <c r="V704" s="190" t="str">
        <f t="shared" si="17"/>
        <v/>
      </c>
      <c r="W704" s="190" t="str">
        <f t="shared" si="18"/>
        <v/>
      </c>
      <c r="X704" s="191" t="str">
        <f t="shared" si="19"/>
        <v/>
      </c>
      <c r="Y704" s="191" t="str">
        <f t="shared" si="20"/>
        <v/>
      </c>
      <c r="Z704" s="156"/>
    </row>
    <row r="705">
      <c r="A705" s="177" t="str">
        <f t="shared" si="14"/>
        <v/>
      </c>
      <c r="B705" s="196"/>
      <c r="C705" s="179" t="str">
        <f t="shared" si="2"/>
        <v/>
      </c>
      <c r="D705" s="197"/>
      <c r="E705" s="181"/>
      <c r="F705" s="198"/>
      <c r="G705" s="201"/>
      <c r="H705" s="201"/>
      <c r="I705" s="201"/>
      <c r="J705" s="202"/>
      <c r="K705" s="203"/>
      <c r="L705" s="186">
        <f t="shared" si="15"/>
        <v>0</v>
      </c>
      <c r="M705" s="191"/>
      <c r="N705" s="191"/>
      <c r="O705" s="191"/>
      <c r="P705" s="191"/>
      <c r="Q705" s="191"/>
      <c r="R705" s="191"/>
      <c r="S705" s="191"/>
      <c r="T705" s="192"/>
      <c r="U705" s="189" t="str">
        <f t="shared" si="16"/>
        <v/>
      </c>
      <c r="V705" s="190" t="str">
        <f t="shared" si="17"/>
        <v/>
      </c>
      <c r="W705" s="190" t="str">
        <f t="shared" si="18"/>
        <v/>
      </c>
      <c r="X705" s="191" t="str">
        <f t="shared" si="19"/>
        <v/>
      </c>
      <c r="Y705" s="191" t="str">
        <f t="shared" si="20"/>
        <v/>
      </c>
      <c r="Z705" s="156"/>
    </row>
    <row r="706">
      <c r="A706" s="177" t="str">
        <f t="shared" si="14"/>
        <v/>
      </c>
      <c r="B706" s="196"/>
      <c r="C706" s="179" t="str">
        <f t="shared" si="2"/>
        <v/>
      </c>
      <c r="D706" s="197"/>
      <c r="E706" s="181"/>
      <c r="F706" s="198"/>
      <c r="G706" s="201"/>
      <c r="H706" s="201"/>
      <c r="I706" s="201"/>
      <c r="J706" s="202"/>
      <c r="K706" s="203"/>
      <c r="L706" s="186">
        <f t="shared" si="15"/>
        <v>0</v>
      </c>
      <c r="M706" s="191"/>
      <c r="N706" s="191"/>
      <c r="O706" s="191"/>
      <c r="P706" s="191"/>
      <c r="Q706" s="191"/>
      <c r="R706" s="191"/>
      <c r="S706" s="191"/>
      <c r="T706" s="192"/>
      <c r="U706" s="189" t="str">
        <f t="shared" si="16"/>
        <v/>
      </c>
      <c r="V706" s="190" t="str">
        <f t="shared" si="17"/>
        <v/>
      </c>
      <c r="W706" s="190" t="str">
        <f t="shared" si="18"/>
        <v/>
      </c>
      <c r="X706" s="191" t="str">
        <f t="shared" si="19"/>
        <v/>
      </c>
      <c r="Y706" s="191" t="str">
        <f t="shared" si="20"/>
        <v/>
      </c>
      <c r="Z706" s="156"/>
    </row>
    <row r="707">
      <c r="A707" s="177" t="str">
        <f t="shared" si="14"/>
        <v/>
      </c>
      <c r="B707" s="196"/>
      <c r="C707" s="179" t="str">
        <f t="shared" si="2"/>
        <v/>
      </c>
      <c r="D707" s="197"/>
      <c r="E707" s="181"/>
      <c r="F707" s="198"/>
      <c r="G707" s="201"/>
      <c r="H707" s="201"/>
      <c r="I707" s="201"/>
      <c r="J707" s="202"/>
      <c r="K707" s="203"/>
      <c r="L707" s="186">
        <f t="shared" si="15"/>
        <v>0</v>
      </c>
      <c r="M707" s="191"/>
      <c r="N707" s="191"/>
      <c r="O707" s="191"/>
      <c r="P707" s="191"/>
      <c r="Q707" s="191"/>
      <c r="R707" s="191"/>
      <c r="S707" s="191"/>
      <c r="T707" s="192"/>
      <c r="U707" s="189" t="str">
        <f t="shared" si="16"/>
        <v/>
      </c>
      <c r="V707" s="190" t="str">
        <f t="shared" si="17"/>
        <v/>
      </c>
      <c r="W707" s="190" t="str">
        <f t="shared" si="18"/>
        <v/>
      </c>
      <c r="X707" s="191" t="str">
        <f t="shared" si="19"/>
        <v/>
      </c>
      <c r="Y707" s="191" t="str">
        <f t="shared" si="20"/>
        <v/>
      </c>
      <c r="Z707" s="156"/>
    </row>
    <row r="708">
      <c r="A708" s="177" t="str">
        <f t="shared" si="14"/>
        <v/>
      </c>
      <c r="B708" s="196"/>
      <c r="C708" s="179" t="str">
        <f t="shared" si="2"/>
        <v/>
      </c>
      <c r="D708" s="197"/>
      <c r="E708" s="181"/>
      <c r="F708" s="198"/>
      <c r="G708" s="201"/>
      <c r="H708" s="201"/>
      <c r="I708" s="201"/>
      <c r="J708" s="202"/>
      <c r="K708" s="203"/>
      <c r="L708" s="186">
        <f t="shared" si="15"/>
        <v>0</v>
      </c>
      <c r="M708" s="191"/>
      <c r="N708" s="191"/>
      <c r="O708" s="191"/>
      <c r="P708" s="191"/>
      <c r="Q708" s="191"/>
      <c r="R708" s="191"/>
      <c r="S708" s="191"/>
      <c r="T708" s="192"/>
      <c r="U708" s="189" t="str">
        <f t="shared" si="16"/>
        <v/>
      </c>
      <c r="V708" s="190" t="str">
        <f t="shared" si="17"/>
        <v/>
      </c>
      <c r="W708" s="190" t="str">
        <f t="shared" si="18"/>
        <v/>
      </c>
      <c r="X708" s="191" t="str">
        <f t="shared" si="19"/>
        <v/>
      </c>
      <c r="Y708" s="191" t="str">
        <f t="shared" si="20"/>
        <v/>
      </c>
      <c r="Z708" s="156"/>
    </row>
    <row r="709">
      <c r="A709" s="177" t="str">
        <f t="shared" si="14"/>
        <v/>
      </c>
      <c r="B709" s="196"/>
      <c r="C709" s="179" t="str">
        <f t="shared" si="2"/>
        <v/>
      </c>
      <c r="D709" s="197"/>
      <c r="E709" s="181"/>
      <c r="F709" s="198"/>
      <c r="G709" s="201"/>
      <c r="H709" s="201"/>
      <c r="I709" s="201"/>
      <c r="J709" s="202"/>
      <c r="K709" s="203"/>
      <c r="L709" s="186">
        <f t="shared" si="15"/>
        <v>0</v>
      </c>
      <c r="M709" s="191"/>
      <c r="N709" s="191"/>
      <c r="O709" s="191"/>
      <c r="P709" s="191"/>
      <c r="Q709" s="191"/>
      <c r="R709" s="191"/>
      <c r="S709" s="191"/>
      <c r="T709" s="192"/>
      <c r="U709" s="189" t="str">
        <f t="shared" si="16"/>
        <v/>
      </c>
      <c r="V709" s="190" t="str">
        <f t="shared" si="17"/>
        <v/>
      </c>
      <c r="W709" s="190" t="str">
        <f t="shared" si="18"/>
        <v/>
      </c>
      <c r="X709" s="191" t="str">
        <f t="shared" si="19"/>
        <v/>
      </c>
      <c r="Y709" s="191" t="str">
        <f t="shared" si="20"/>
        <v/>
      </c>
      <c r="Z709" s="156"/>
    </row>
    <row r="710">
      <c r="A710" s="177" t="str">
        <f t="shared" si="14"/>
        <v/>
      </c>
      <c r="B710" s="196"/>
      <c r="C710" s="179" t="str">
        <f t="shared" si="2"/>
        <v/>
      </c>
      <c r="D710" s="197"/>
      <c r="E710" s="181"/>
      <c r="F710" s="198"/>
      <c r="G710" s="201"/>
      <c r="H710" s="201"/>
      <c r="I710" s="201"/>
      <c r="J710" s="202"/>
      <c r="K710" s="203"/>
      <c r="L710" s="186">
        <f t="shared" si="15"/>
        <v>0</v>
      </c>
      <c r="M710" s="191"/>
      <c r="N710" s="191"/>
      <c r="O710" s="191"/>
      <c r="P710" s="191"/>
      <c r="Q710" s="191"/>
      <c r="R710" s="191"/>
      <c r="S710" s="191"/>
      <c r="T710" s="192"/>
      <c r="U710" s="189" t="str">
        <f t="shared" si="16"/>
        <v/>
      </c>
      <c r="V710" s="190" t="str">
        <f t="shared" si="17"/>
        <v/>
      </c>
      <c r="W710" s="190" t="str">
        <f t="shared" si="18"/>
        <v/>
      </c>
      <c r="X710" s="191" t="str">
        <f t="shared" si="19"/>
        <v/>
      </c>
      <c r="Y710" s="191" t="str">
        <f t="shared" si="20"/>
        <v/>
      </c>
      <c r="Z710" s="156"/>
    </row>
    <row r="711">
      <c r="A711" s="177" t="str">
        <f t="shared" si="14"/>
        <v/>
      </c>
      <c r="B711" s="196"/>
      <c r="C711" s="179" t="str">
        <f t="shared" si="2"/>
        <v/>
      </c>
      <c r="D711" s="197"/>
      <c r="E711" s="181"/>
      <c r="F711" s="198"/>
      <c r="G711" s="201"/>
      <c r="H711" s="201"/>
      <c r="I711" s="201"/>
      <c r="J711" s="202"/>
      <c r="K711" s="203"/>
      <c r="L711" s="186">
        <f t="shared" si="15"/>
        <v>0</v>
      </c>
      <c r="M711" s="191"/>
      <c r="N711" s="191"/>
      <c r="O711" s="191"/>
      <c r="P711" s="191"/>
      <c r="Q711" s="191"/>
      <c r="R711" s="191"/>
      <c r="S711" s="191"/>
      <c r="T711" s="192"/>
      <c r="U711" s="189" t="str">
        <f t="shared" si="16"/>
        <v/>
      </c>
      <c r="V711" s="190" t="str">
        <f t="shared" si="17"/>
        <v/>
      </c>
      <c r="W711" s="190" t="str">
        <f t="shared" si="18"/>
        <v/>
      </c>
      <c r="X711" s="191" t="str">
        <f t="shared" si="19"/>
        <v/>
      </c>
      <c r="Y711" s="191" t="str">
        <f t="shared" si="20"/>
        <v/>
      </c>
      <c r="Z711" s="156"/>
    </row>
    <row r="712">
      <c r="A712" s="177" t="str">
        <f t="shared" si="14"/>
        <v/>
      </c>
      <c r="B712" s="196"/>
      <c r="C712" s="179" t="str">
        <f t="shared" si="2"/>
        <v/>
      </c>
      <c r="D712" s="197"/>
      <c r="E712" s="181"/>
      <c r="F712" s="198"/>
      <c r="G712" s="201"/>
      <c r="H712" s="201"/>
      <c r="I712" s="201"/>
      <c r="J712" s="202"/>
      <c r="K712" s="203"/>
      <c r="L712" s="186">
        <f t="shared" si="15"/>
        <v>0</v>
      </c>
      <c r="M712" s="191"/>
      <c r="N712" s="191"/>
      <c r="O712" s="191"/>
      <c r="P712" s="191"/>
      <c r="Q712" s="191"/>
      <c r="R712" s="191"/>
      <c r="S712" s="191"/>
      <c r="T712" s="192"/>
      <c r="U712" s="189" t="str">
        <f t="shared" si="16"/>
        <v/>
      </c>
      <c r="V712" s="190" t="str">
        <f t="shared" si="17"/>
        <v/>
      </c>
      <c r="W712" s="190" t="str">
        <f t="shared" si="18"/>
        <v/>
      </c>
      <c r="X712" s="191" t="str">
        <f t="shared" si="19"/>
        <v/>
      </c>
      <c r="Y712" s="191" t="str">
        <f t="shared" si="20"/>
        <v/>
      </c>
      <c r="Z712" s="156"/>
    </row>
    <row r="713">
      <c r="A713" s="177" t="str">
        <f t="shared" si="14"/>
        <v/>
      </c>
      <c r="B713" s="196"/>
      <c r="C713" s="179" t="str">
        <f t="shared" si="2"/>
        <v/>
      </c>
      <c r="D713" s="197"/>
      <c r="E713" s="181"/>
      <c r="F713" s="198"/>
      <c r="G713" s="201"/>
      <c r="H713" s="201"/>
      <c r="I713" s="201"/>
      <c r="J713" s="202"/>
      <c r="K713" s="203"/>
      <c r="L713" s="186">
        <f t="shared" si="15"/>
        <v>0</v>
      </c>
      <c r="M713" s="191"/>
      <c r="N713" s="191"/>
      <c r="O713" s="191"/>
      <c r="P713" s="191"/>
      <c r="Q713" s="191"/>
      <c r="R713" s="191"/>
      <c r="S713" s="191"/>
      <c r="T713" s="192"/>
      <c r="U713" s="189" t="str">
        <f t="shared" si="16"/>
        <v/>
      </c>
      <c r="V713" s="190" t="str">
        <f t="shared" si="17"/>
        <v/>
      </c>
      <c r="W713" s="190" t="str">
        <f t="shared" si="18"/>
        <v/>
      </c>
      <c r="X713" s="191" t="str">
        <f t="shared" si="19"/>
        <v/>
      </c>
      <c r="Y713" s="191" t="str">
        <f t="shared" si="20"/>
        <v/>
      </c>
      <c r="Z713" s="156"/>
    </row>
    <row r="714">
      <c r="A714" s="177" t="str">
        <f t="shared" si="14"/>
        <v/>
      </c>
      <c r="B714" s="196"/>
      <c r="C714" s="179" t="str">
        <f t="shared" si="2"/>
        <v/>
      </c>
      <c r="D714" s="197"/>
      <c r="E714" s="181"/>
      <c r="F714" s="198"/>
      <c r="G714" s="201"/>
      <c r="H714" s="201"/>
      <c r="I714" s="201"/>
      <c r="J714" s="202"/>
      <c r="K714" s="203"/>
      <c r="L714" s="186">
        <f t="shared" si="15"/>
        <v>0</v>
      </c>
      <c r="M714" s="191"/>
      <c r="N714" s="191"/>
      <c r="O714" s="191"/>
      <c r="P714" s="191"/>
      <c r="Q714" s="191"/>
      <c r="R714" s="191"/>
      <c r="S714" s="191"/>
      <c r="T714" s="192"/>
      <c r="U714" s="189" t="str">
        <f t="shared" si="16"/>
        <v/>
      </c>
      <c r="V714" s="190" t="str">
        <f t="shared" si="17"/>
        <v/>
      </c>
      <c r="W714" s="190" t="str">
        <f t="shared" si="18"/>
        <v/>
      </c>
      <c r="X714" s="191" t="str">
        <f t="shared" si="19"/>
        <v/>
      </c>
      <c r="Y714" s="191" t="str">
        <f t="shared" si="20"/>
        <v/>
      </c>
      <c r="Z714" s="156"/>
    </row>
    <row r="715">
      <c r="A715" s="177" t="str">
        <f t="shared" si="14"/>
        <v/>
      </c>
      <c r="B715" s="196"/>
      <c r="C715" s="179" t="str">
        <f t="shared" si="2"/>
        <v/>
      </c>
      <c r="D715" s="197"/>
      <c r="E715" s="181"/>
      <c r="F715" s="198"/>
      <c r="G715" s="201"/>
      <c r="H715" s="201"/>
      <c r="I715" s="201"/>
      <c r="J715" s="202"/>
      <c r="K715" s="203"/>
      <c r="L715" s="186">
        <f t="shared" si="15"/>
        <v>0</v>
      </c>
      <c r="M715" s="191"/>
      <c r="N715" s="191"/>
      <c r="O715" s="191"/>
      <c r="P715" s="191"/>
      <c r="Q715" s="191"/>
      <c r="R715" s="191"/>
      <c r="S715" s="191"/>
      <c r="T715" s="192"/>
      <c r="U715" s="189" t="str">
        <f t="shared" si="16"/>
        <v/>
      </c>
      <c r="V715" s="190" t="str">
        <f t="shared" si="17"/>
        <v/>
      </c>
      <c r="W715" s="190" t="str">
        <f t="shared" si="18"/>
        <v/>
      </c>
      <c r="X715" s="191" t="str">
        <f t="shared" si="19"/>
        <v/>
      </c>
      <c r="Y715" s="191" t="str">
        <f t="shared" si="20"/>
        <v/>
      </c>
      <c r="Z715" s="156"/>
    </row>
    <row r="716">
      <c r="A716" s="177" t="str">
        <f t="shared" si="14"/>
        <v/>
      </c>
      <c r="B716" s="196"/>
      <c r="C716" s="179" t="str">
        <f t="shared" si="2"/>
        <v/>
      </c>
      <c r="D716" s="197"/>
      <c r="E716" s="181"/>
      <c r="F716" s="198"/>
      <c r="G716" s="201"/>
      <c r="H716" s="201"/>
      <c r="I716" s="201"/>
      <c r="J716" s="202"/>
      <c r="K716" s="203"/>
      <c r="L716" s="186">
        <f t="shared" si="15"/>
        <v>0</v>
      </c>
      <c r="M716" s="191"/>
      <c r="N716" s="191"/>
      <c r="O716" s="191"/>
      <c r="P716" s="191"/>
      <c r="Q716" s="191"/>
      <c r="R716" s="191"/>
      <c r="S716" s="191"/>
      <c r="T716" s="192"/>
      <c r="U716" s="189" t="str">
        <f t="shared" si="16"/>
        <v/>
      </c>
      <c r="V716" s="190" t="str">
        <f t="shared" si="17"/>
        <v/>
      </c>
      <c r="W716" s="190" t="str">
        <f t="shared" si="18"/>
        <v/>
      </c>
      <c r="X716" s="191" t="str">
        <f t="shared" si="19"/>
        <v/>
      </c>
      <c r="Y716" s="191" t="str">
        <f t="shared" si="20"/>
        <v/>
      </c>
      <c r="Z716" s="156"/>
    </row>
    <row r="717">
      <c r="A717" s="177" t="str">
        <f t="shared" si="14"/>
        <v/>
      </c>
      <c r="B717" s="196"/>
      <c r="C717" s="179" t="str">
        <f t="shared" si="2"/>
        <v/>
      </c>
      <c r="D717" s="197"/>
      <c r="E717" s="181"/>
      <c r="F717" s="198"/>
      <c r="G717" s="201"/>
      <c r="H717" s="201"/>
      <c r="I717" s="201"/>
      <c r="J717" s="202"/>
      <c r="K717" s="203"/>
      <c r="L717" s="186">
        <f t="shared" si="15"/>
        <v>0</v>
      </c>
      <c r="M717" s="191"/>
      <c r="N717" s="191"/>
      <c r="O717" s="191"/>
      <c r="P717" s="191"/>
      <c r="Q717" s="191"/>
      <c r="R717" s="191"/>
      <c r="S717" s="191"/>
      <c r="T717" s="192"/>
      <c r="U717" s="189" t="str">
        <f t="shared" si="16"/>
        <v/>
      </c>
      <c r="V717" s="190" t="str">
        <f t="shared" si="17"/>
        <v/>
      </c>
      <c r="W717" s="190" t="str">
        <f t="shared" si="18"/>
        <v/>
      </c>
      <c r="X717" s="191" t="str">
        <f t="shared" si="19"/>
        <v/>
      </c>
      <c r="Y717" s="191" t="str">
        <f t="shared" si="20"/>
        <v/>
      </c>
      <c r="Z717" s="156"/>
    </row>
    <row r="718">
      <c r="A718" s="177" t="str">
        <f t="shared" si="14"/>
        <v/>
      </c>
      <c r="B718" s="196"/>
      <c r="C718" s="179" t="str">
        <f t="shared" si="2"/>
        <v/>
      </c>
      <c r="D718" s="197"/>
      <c r="E718" s="181"/>
      <c r="F718" s="198"/>
      <c r="G718" s="201"/>
      <c r="H718" s="201"/>
      <c r="I718" s="201"/>
      <c r="J718" s="202"/>
      <c r="K718" s="203"/>
      <c r="L718" s="186">
        <f t="shared" si="15"/>
        <v>0</v>
      </c>
      <c r="M718" s="191"/>
      <c r="N718" s="191"/>
      <c r="O718" s="191"/>
      <c r="P718" s="191"/>
      <c r="Q718" s="191"/>
      <c r="R718" s="191"/>
      <c r="S718" s="191"/>
      <c r="T718" s="192"/>
      <c r="U718" s="189" t="str">
        <f t="shared" si="16"/>
        <v/>
      </c>
      <c r="V718" s="190" t="str">
        <f t="shared" si="17"/>
        <v/>
      </c>
      <c r="W718" s="190" t="str">
        <f t="shared" si="18"/>
        <v/>
      </c>
      <c r="X718" s="191" t="str">
        <f t="shared" si="19"/>
        <v/>
      </c>
      <c r="Y718" s="191" t="str">
        <f t="shared" si="20"/>
        <v/>
      </c>
      <c r="Z718" s="156"/>
    </row>
    <row r="719">
      <c r="A719" s="177" t="str">
        <f t="shared" si="14"/>
        <v/>
      </c>
      <c r="B719" s="196"/>
      <c r="C719" s="179" t="str">
        <f t="shared" si="2"/>
        <v/>
      </c>
      <c r="D719" s="197"/>
      <c r="E719" s="181"/>
      <c r="F719" s="198"/>
      <c r="G719" s="201"/>
      <c r="H719" s="201"/>
      <c r="I719" s="201"/>
      <c r="J719" s="202"/>
      <c r="K719" s="203"/>
      <c r="L719" s="186">
        <f t="shared" si="15"/>
        <v>0</v>
      </c>
      <c r="M719" s="191"/>
      <c r="N719" s="191"/>
      <c r="O719" s="191"/>
      <c r="P719" s="191"/>
      <c r="Q719" s="191"/>
      <c r="R719" s="191"/>
      <c r="S719" s="191"/>
      <c r="T719" s="192"/>
      <c r="U719" s="189" t="str">
        <f t="shared" si="16"/>
        <v/>
      </c>
      <c r="V719" s="190" t="str">
        <f t="shared" si="17"/>
        <v/>
      </c>
      <c r="W719" s="190" t="str">
        <f t="shared" si="18"/>
        <v/>
      </c>
      <c r="X719" s="191" t="str">
        <f t="shared" si="19"/>
        <v/>
      </c>
      <c r="Y719" s="191" t="str">
        <f t="shared" si="20"/>
        <v/>
      </c>
      <c r="Z719" s="156"/>
    </row>
    <row r="720">
      <c r="A720" s="177" t="str">
        <f t="shared" si="14"/>
        <v/>
      </c>
      <c r="B720" s="196"/>
      <c r="C720" s="179" t="str">
        <f t="shared" si="2"/>
        <v/>
      </c>
      <c r="D720" s="197"/>
      <c r="E720" s="181"/>
      <c r="F720" s="198"/>
      <c r="G720" s="201"/>
      <c r="H720" s="201"/>
      <c r="I720" s="201"/>
      <c r="J720" s="202"/>
      <c r="K720" s="203"/>
      <c r="L720" s="186">
        <f t="shared" si="15"/>
        <v>0</v>
      </c>
      <c r="M720" s="191"/>
      <c r="N720" s="191"/>
      <c r="O720" s="191"/>
      <c r="P720" s="191"/>
      <c r="Q720" s="191"/>
      <c r="R720" s="191"/>
      <c r="S720" s="191"/>
      <c r="T720" s="192"/>
      <c r="U720" s="189" t="str">
        <f t="shared" si="16"/>
        <v/>
      </c>
      <c r="V720" s="190" t="str">
        <f t="shared" si="17"/>
        <v/>
      </c>
      <c r="W720" s="190" t="str">
        <f t="shared" si="18"/>
        <v/>
      </c>
      <c r="X720" s="191" t="str">
        <f t="shared" si="19"/>
        <v/>
      </c>
      <c r="Y720" s="191" t="str">
        <f t="shared" si="20"/>
        <v/>
      </c>
      <c r="Z720" s="156"/>
    </row>
    <row r="721">
      <c r="A721" s="177" t="str">
        <f t="shared" si="14"/>
        <v/>
      </c>
      <c r="B721" s="196"/>
      <c r="C721" s="179" t="str">
        <f t="shared" si="2"/>
        <v/>
      </c>
      <c r="D721" s="197"/>
      <c r="E721" s="181"/>
      <c r="F721" s="198"/>
      <c r="G721" s="201"/>
      <c r="H721" s="201"/>
      <c r="I721" s="201"/>
      <c r="J721" s="202"/>
      <c r="K721" s="203"/>
      <c r="L721" s="186">
        <f t="shared" si="15"/>
        <v>0</v>
      </c>
      <c r="M721" s="191"/>
      <c r="N721" s="191"/>
      <c r="O721" s="191"/>
      <c r="P721" s="191"/>
      <c r="Q721" s="191"/>
      <c r="R721" s="191"/>
      <c r="S721" s="191"/>
      <c r="T721" s="192"/>
      <c r="U721" s="189" t="str">
        <f t="shared" si="16"/>
        <v/>
      </c>
      <c r="V721" s="190" t="str">
        <f t="shared" si="17"/>
        <v/>
      </c>
      <c r="W721" s="190" t="str">
        <f t="shared" si="18"/>
        <v/>
      </c>
      <c r="X721" s="191" t="str">
        <f t="shared" si="19"/>
        <v/>
      </c>
      <c r="Y721" s="191" t="str">
        <f t="shared" si="20"/>
        <v/>
      </c>
      <c r="Z721" s="156"/>
    </row>
    <row r="722">
      <c r="A722" s="177" t="str">
        <f t="shared" si="14"/>
        <v/>
      </c>
      <c r="B722" s="196"/>
      <c r="C722" s="179" t="str">
        <f t="shared" si="2"/>
        <v/>
      </c>
      <c r="D722" s="197"/>
      <c r="E722" s="181"/>
      <c r="F722" s="198"/>
      <c r="G722" s="201"/>
      <c r="H722" s="201"/>
      <c r="I722" s="201"/>
      <c r="J722" s="202"/>
      <c r="K722" s="203"/>
      <c r="L722" s="186">
        <f t="shared" si="15"/>
        <v>0</v>
      </c>
      <c r="M722" s="191"/>
      <c r="N722" s="191"/>
      <c r="O722" s="191"/>
      <c r="P722" s="191"/>
      <c r="Q722" s="191"/>
      <c r="R722" s="191"/>
      <c r="S722" s="191"/>
      <c r="T722" s="192"/>
      <c r="U722" s="189" t="str">
        <f t="shared" si="16"/>
        <v/>
      </c>
      <c r="V722" s="190" t="str">
        <f t="shared" si="17"/>
        <v/>
      </c>
      <c r="W722" s="190" t="str">
        <f t="shared" si="18"/>
        <v/>
      </c>
      <c r="X722" s="191" t="str">
        <f t="shared" si="19"/>
        <v/>
      </c>
      <c r="Y722" s="191" t="str">
        <f t="shared" si="20"/>
        <v/>
      </c>
      <c r="Z722" s="156"/>
    </row>
    <row r="723">
      <c r="A723" s="177" t="str">
        <f t="shared" si="14"/>
        <v/>
      </c>
      <c r="B723" s="196"/>
      <c r="C723" s="179" t="str">
        <f t="shared" si="2"/>
        <v/>
      </c>
      <c r="D723" s="197"/>
      <c r="E723" s="181"/>
      <c r="F723" s="198"/>
      <c r="G723" s="201"/>
      <c r="H723" s="201"/>
      <c r="I723" s="201"/>
      <c r="J723" s="202"/>
      <c r="K723" s="203"/>
      <c r="L723" s="186">
        <f t="shared" si="15"/>
        <v>0</v>
      </c>
      <c r="M723" s="191"/>
      <c r="N723" s="191"/>
      <c r="O723" s="191"/>
      <c r="P723" s="191"/>
      <c r="Q723" s="191"/>
      <c r="R723" s="191"/>
      <c r="S723" s="191"/>
      <c r="T723" s="192"/>
      <c r="U723" s="189" t="str">
        <f t="shared" si="16"/>
        <v/>
      </c>
      <c r="V723" s="190" t="str">
        <f t="shared" si="17"/>
        <v/>
      </c>
      <c r="W723" s="190" t="str">
        <f t="shared" si="18"/>
        <v/>
      </c>
      <c r="X723" s="191" t="str">
        <f t="shared" si="19"/>
        <v/>
      </c>
      <c r="Y723" s="191" t="str">
        <f t="shared" si="20"/>
        <v/>
      </c>
      <c r="Z723" s="156"/>
    </row>
    <row r="724">
      <c r="A724" s="177" t="str">
        <f t="shared" si="14"/>
        <v/>
      </c>
      <c r="B724" s="196"/>
      <c r="C724" s="179" t="str">
        <f t="shared" si="2"/>
        <v/>
      </c>
      <c r="D724" s="197"/>
      <c r="E724" s="181"/>
      <c r="F724" s="198"/>
      <c r="G724" s="201"/>
      <c r="H724" s="201"/>
      <c r="I724" s="201"/>
      <c r="J724" s="202"/>
      <c r="K724" s="203"/>
      <c r="L724" s="186">
        <f t="shared" si="15"/>
        <v>0</v>
      </c>
      <c r="M724" s="191"/>
      <c r="N724" s="191"/>
      <c r="O724" s="191"/>
      <c r="P724" s="191"/>
      <c r="Q724" s="191"/>
      <c r="R724" s="191"/>
      <c r="S724" s="191"/>
      <c r="T724" s="192"/>
      <c r="U724" s="189" t="str">
        <f t="shared" si="16"/>
        <v/>
      </c>
      <c r="V724" s="190" t="str">
        <f t="shared" si="17"/>
        <v/>
      </c>
      <c r="W724" s="190" t="str">
        <f t="shared" si="18"/>
        <v/>
      </c>
      <c r="X724" s="191" t="str">
        <f t="shared" si="19"/>
        <v/>
      </c>
      <c r="Y724" s="191" t="str">
        <f t="shared" si="20"/>
        <v/>
      </c>
      <c r="Z724" s="156"/>
    </row>
    <row r="725">
      <c r="A725" s="177" t="str">
        <f t="shared" si="14"/>
        <v/>
      </c>
      <c r="B725" s="196"/>
      <c r="C725" s="179" t="str">
        <f t="shared" si="2"/>
        <v/>
      </c>
      <c r="D725" s="197"/>
      <c r="E725" s="181"/>
      <c r="F725" s="198"/>
      <c r="G725" s="201"/>
      <c r="H725" s="201"/>
      <c r="I725" s="201"/>
      <c r="J725" s="202"/>
      <c r="K725" s="203"/>
      <c r="L725" s="186">
        <f t="shared" si="15"/>
        <v>0</v>
      </c>
      <c r="M725" s="191"/>
      <c r="N725" s="191"/>
      <c r="O725" s="191"/>
      <c r="P725" s="191"/>
      <c r="Q725" s="191"/>
      <c r="R725" s="191"/>
      <c r="S725" s="191"/>
      <c r="T725" s="192"/>
      <c r="U725" s="189" t="str">
        <f t="shared" si="16"/>
        <v/>
      </c>
      <c r="V725" s="190" t="str">
        <f t="shared" si="17"/>
        <v/>
      </c>
      <c r="W725" s="190" t="str">
        <f t="shared" si="18"/>
        <v/>
      </c>
      <c r="X725" s="191" t="str">
        <f t="shared" si="19"/>
        <v/>
      </c>
      <c r="Y725" s="191" t="str">
        <f t="shared" si="20"/>
        <v/>
      </c>
      <c r="Z725" s="156"/>
    </row>
    <row r="726">
      <c r="A726" s="177" t="str">
        <f t="shared" si="14"/>
        <v/>
      </c>
      <c r="B726" s="196"/>
      <c r="C726" s="179" t="str">
        <f t="shared" si="2"/>
        <v/>
      </c>
      <c r="D726" s="197"/>
      <c r="E726" s="181"/>
      <c r="F726" s="198"/>
      <c r="G726" s="201"/>
      <c r="H726" s="201"/>
      <c r="I726" s="201"/>
      <c r="J726" s="202"/>
      <c r="K726" s="203"/>
      <c r="L726" s="186">
        <f t="shared" si="15"/>
        <v>0</v>
      </c>
      <c r="M726" s="191"/>
      <c r="N726" s="191"/>
      <c r="O726" s="191"/>
      <c r="P726" s="191"/>
      <c r="Q726" s="191"/>
      <c r="R726" s="191"/>
      <c r="S726" s="191"/>
      <c r="T726" s="192"/>
      <c r="U726" s="189" t="str">
        <f t="shared" si="16"/>
        <v/>
      </c>
      <c r="V726" s="190" t="str">
        <f t="shared" si="17"/>
        <v/>
      </c>
      <c r="W726" s="190" t="str">
        <f t="shared" si="18"/>
        <v/>
      </c>
      <c r="X726" s="191" t="str">
        <f t="shared" si="19"/>
        <v/>
      </c>
      <c r="Y726" s="191" t="str">
        <f t="shared" si="20"/>
        <v/>
      </c>
      <c r="Z726" s="156"/>
    </row>
    <row r="727">
      <c r="A727" s="177" t="str">
        <f t="shared" si="14"/>
        <v/>
      </c>
      <c r="B727" s="196"/>
      <c r="C727" s="179" t="str">
        <f t="shared" si="2"/>
        <v/>
      </c>
      <c r="D727" s="197"/>
      <c r="E727" s="181"/>
      <c r="F727" s="198"/>
      <c r="G727" s="201"/>
      <c r="H727" s="201"/>
      <c r="I727" s="201"/>
      <c r="J727" s="202"/>
      <c r="K727" s="203"/>
      <c r="L727" s="186">
        <f t="shared" si="15"/>
        <v>0</v>
      </c>
      <c r="M727" s="191"/>
      <c r="N727" s="191"/>
      <c r="O727" s="191"/>
      <c r="P727" s="191"/>
      <c r="Q727" s="191"/>
      <c r="R727" s="191"/>
      <c r="S727" s="191"/>
      <c r="T727" s="192"/>
      <c r="U727" s="189" t="str">
        <f t="shared" si="16"/>
        <v/>
      </c>
      <c r="V727" s="190" t="str">
        <f t="shared" si="17"/>
        <v/>
      </c>
      <c r="W727" s="190" t="str">
        <f t="shared" si="18"/>
        <v/>
      </c>
      <c r="X727" s="191" t="str">
        <f t="shared" si="19"/>
        <v/>
      </c>
      <c r="Y727" s="191" t="str">
        <f t="shared" si="20"/>
        <v/>
      </c>
      <c r="Z727" s="156"/>
    </row>
    <row r="728">
      <c r="A728" s="177" t="str">
        <f t="shared" si="14"/>
        <v/>
      </c>
      <c r="B728" s="196"/>
      <c r="C728" s="179" t="str">
        <f t="shared" si="2"/>
        <v/>
      </c>
      <c r="D728" s="197"/>
      <c r="E728" s="181"/>
      <c r="F728" s="198"/>
      <c r="G728" s="201"/>
      <c r="H728" s="201"/>
      <c r="I728" s="201"/>
      <c r="J728" s="202"/>
      <c r="K728" s="203"/>
      <c r="L728" s="186">
        <f t="shared" si="15"/>
        <v>0</v>
      </c>
      <c r="M728" s="191"/>
      <c r="N728" s="191"/>
      <c r="O728" s="191"/>
      <c r="P728" s="191"/>
      <c r="Q728" s="191"/>
      <c r="R728" s="191"/>
      <c r="S728" s="191"/>
      <c r="T728" s="192"/>
      <c r="U728" s="189" t="str">
        <f t="shared" si="16"/>
        <v/>
      </c>
      <c r="V728" s="190" t="str">
        <f t="shared" si="17"/>
        <v/>
      </c>
      <c r="W728" s="190" t="str">
        <f t="shared" si="18"/>
        <v/>
      </c>
      <c r="X728" s="191" t="str">
        <f t="shared" si="19"/>
        <v/>
      </c>
      <c r="Y728" s="191" t="str">
        <f t="shared" si="20"/>
        <v/>
      </c>
      <c r="Z728" s="156"/>
    </row>
    <row r="729">
      <c r="A729" s="177" t="str">
        <f t="shared" si="14"/>
        <v/>
      </c>
      <c r="B729" s="196"/>
      <c r="C729" s="179" t="str">
        <f t="shared" si="2"/>
        <v/>
      </c>
      <c r="D729" s="197"/>
      <c r="E729" s="181"/>
      <c r="F729" s="198"/>
      <c r="G729" s="201"/>
      <c r="H729" s="201"/>
      <c r="I729" s="201"/>
      <c r="J729" s="202"/>
      <c r="K729" s="203"/>
      <c r="L729" s="186">
        <f t="shared" si="15"/>
        <v>0</v>
      </c>
      <c r="M729" s="191"/>
      <c r="N729" s="191"/>
      <c r="O729" s="191"/>
      <c r="P729" s="191"/>
      <c r="Q729" s="191"/>
      <c r="R729" s="191"/>
      <c r="S729" s="191"/>
      <c r="T729" s="192"/>
      <c r="U729" s="189" t="str">
        <f t="shared" si="16"/>
        <v/>
      </c>
      <c r="V729" s="190" t="str">
        <f t="shared" si="17"/>
        <v/>
      </c>
      <c r="W729" s="190" t="str">
        <f t="shared" si="18"/>
        <v/>
      </c>
      <c r="X729" s="191" t="str">
        <f t="shared" si="19"/>
        <v/>
      </c>
      <c r="Y729" s="191" t="str">
        <f t="shared" si="20"/>
        <v/>
      </c>
      <c r="Z729" s="156"/>
    </row>
    <row r="730">
      <c r="A730" s="177" t="str">
        <f t="shared" si="14"/>
        <v/>
      </c>
      <c r="B730" s="196"/>
      <c r="C730" s="179" t="str">
        <f t="shared" si="2"/>
        <v/>
      </c>
      <c r="D730" s="197"/>
      <c r="E730" s="181"/>
      <c r="F730" s="198"/>
      <c r="G730" s="201"/>
      <c r="H730" s="201"/>
      <c r="I730" s="201"/>
      <c r="J730" s="202"/>
      <c r="K730" s="203"/>
      <c r="L730" s="186">
        <f t="shared" si="15"/>
        <v>0</v>
      </c>
      <c r="M730" s="191"/>
      <c r="N730" s="191"/>
      <c r="O730" s="191"/>
      <c r="P730" s="191"/>
      <c r="Q730" s="191"/>
      <c r="R730" s="191"/>
      <c r="S730" s="191"/>
      <c r="T730" s="192"/>
      <c r="U730" s="189" t="str">
        <f t="shared" si="16"/>
        <v/>
      </c>
      <c r="V730" s="190" t="str">
        <f t="shared" si="17"/>
        <v/>
      </c>
      <c r="W730" s="190" t="str">
        <f t="shared" si="18"/>
        <v/>
      </c>
      <c r="X730" s="191" t="str">
        <f t="shared" si="19"/>
        <v/>
      </c>
      <c r="Y730" s="191" t="str">
        <f t="shared" si="20"/>
        <v/>
      </c>
      <c r="Z730" s="156"/>
    </row>
    <row r="731">
      <c r="A731" s="177" t="str">
        <f t="shared" si="14"/>
        <v/>
      </c>
      <c r="B731" s="196"/>
      <c r="C731" s="179" t="str">
        <f t="shared" si="2"/>
        <v/>
      </c>
      <c r="D731" s="197"/>
      <c r="E731" s="181"/>
      <c r="F731" s="198"/>
      <c r="G731" s="201"/>
      <c r="H731" s="201"/>
      <c r="I731" s="201"/>
      <c r="J731" s="202"/>
      <c r="K731" s="203"/>
      <c r="L731" s="186">
        <f t="shared" si="15"/>
        <v>0</v>
      </c>
      <c r="M731" s="191"/>
      <c r="N731" s="191"/>
      <c r="O731" s="191"/>
      <c r="P731" s="191"/>
      <c r="Q731" s="191"/>
      <c r="R731" s="191"/>
      <c r="S731" s="191"/>
      <c r="T731" s="192"/>
      <c r="U731" s="189" t="str">
        <f t="shared" si="16"/>
        <v/>
      </c>
      <c r="V731" s="190" t="str">
        <f t="shared" si="17"/>
        <v/>
      </c>
      <c r="W731" s="190" t="str">
        <f t="shared" si="18"/>
        <v/>
      </c>
      <c r="X731" s="191" t="str">
        <f t="shared" si="19"/>
        <v/>
      </c>
      <c r="Y731" s="191" t="str">
        <f t="shared" si="20"/>
        <v/>
      </c>
      <c r="Z731" s="156"/>
    </row>
    <row r="732">
      <c r="A732" s="177" t="str">
        <f t="shared" si="14"/>
        <v/>
      </c>
      <c r="B732" s="196"/>
      <c r="C732" s="179" t="str">
        <f t="shared" si="2"/>
        <v/>
      </c>
      <c r="D732" s="197"/>
      <c r="E732" s="181"/>
      <c r="F732" s="198"/>
      <c r="G732" s="201"/>
      <c r="H732" s="201"/>
      <c r="I732" s="201"/>
      <c r="J732" s="202"/>
      <c r="K732" s="203"/>
      <c r="L732" s="186">
        <f t="shared" si="15"/>
        <v>0</v>
      </c>
      <c r="M732" s="191"/>
      <c r="N732" s="191"/>
      <c r="O732" s="191"/>
      <c r="P732" s="191"/>
      <c r="Q732" s="191"/>
      <c r="R732" s="191"/>
      <c r="S732" s="191"/>
      <c r="T732" s="192"/>
      <c r="U732" s="189" t="str">
        <f t="shared" si="16"/>
        <v/>
      </c>
      <c r="V732" s="190" t="str">
        <f t="shared" si="17"/>
        <v/>
      </c>
      <c r="W732" s="190" t="str">
        <f t="shared" si="18"/>
        <v/>
      </c>
      <c r="X732" s="191" t="str">
        <f t="shared" si="19"/>
        <v/>
      </c>
      <c r="Y732" s="191" t="str">
        <f t="shared" si="20"/>
        <v/>
      </c>
      <c r="Z732" s="156"/>
    </row>
    <row r="733">
      <c r="A733" s="177" t="str">
        <f t="shared" si="14"/>
        <v/>
      </c>
      <c r="B733" s="196"/>
      <c r="C733" s="179" t="str">
        <f t="shared" si="2"/>
        <v/>
      </c>
      <c r="D733" s="197"/>
      <c r="E733" s="181"/>
      <c r="F733" s="198"/>
      <c r="G733" s="201"/>
      <c r="H733" s="201"/>
      <c r="I733" s="201"/>
      <c r="J733" s="202"/>
      <c r="K733" s="203"/>
      <c r="L733" s="186">
        <f t="shared" si="15"/>
        <v>0</v>
      </c>
      <c r="M733" s="191"/>
      <c r="N733" s="191"/>
      <c r="O733" s="191"/>
      <c r="P733" s="191"/>
      <c r="Q733" s="191"/>
      <c r="R733" s="191"/>
      <c r="S733" s="191"/>
      <c r="T733" s="192"/>
      <c r="U733" s="189" t="str">
        <f t="shared" si="16"/>
        <v/>
      </c>
      <c r="V733" s="190" t="str">
        <f t="shared" si="17"/>
        <v/>
      </c>
      <c r="W733" s="190" t="str">
        <f t="shared" si="18"/>
        <v/>
      </c>
      <c r="X733" s="191" t="str">
        <f t="shared" si="19"/>
        <v/>
      </c>
      <c r="Y733" s="191" t="str">
        <f t="shared" si="20"/>
        <v/>
      </c>
      <c r="Z733" s="156"/>
    </row>
    <row r="734">
      <c r="A734" s="177" t="str">
        <f t="shared" si="14"/>
        <v/>
      </c>
      <c r="B734" s="196"/>
      <c r="C734" s="179" t="str">
        <f t="shared" si="2"/>
        <v/>
      </c>
      <c r="D734" s="197"/>
      <c r="E734" s="181"/>
      <c r="F734" s="198"/>
      <c r="G734" s="201"/>
      <c r="H734" s="201"/>
      <c r="I734" s="201"/>
      <c r="J734" s="202"/>
      <c r="K734" s="203"/>
      <c r="L734" s="186">
        <f t="shared" si="15"/>
        <v>0</v>
      </c>
      <c r="M734" s="191"/>
      <c r="N734" s="191"/>
      <c r="O734" s="191"/>
      <c r="P734" s="191"/>
      <c r="Q734" s="191"/>
      <c r="R734" s="191"/>
      <c r="S734" s="191"/>
      <c r="T734" s="192"/>
      <c r="U734" s="189" t="str">
        <f t="shared" si="16"/>
        <v/>
      </c>
      <c r="V734" s="190" t="str">
        <f t="shared" si="17"/>
        <v/>
      </c>
      <c r="W734" s="190" t="str">
        <f t="shared" si="18"/>
        <v/>
      </c>
      <c r="X734" s="191" t="str">
        <f t="shared" si="19"/>
        <v/>
      </c>
      <c r="Y734" s="191" t="str">
        <f t="shared" si="20"/>
        <v/>
      </c>
      <c r="Z734" s="156"/>
    </row>
    <row r="735">
      <c r="A735" s="177" t="str">
        <f t="shared" si="14"/>
        <v/>
      </c>
      <c r="B735" s="196"/>
      <c r="C735" s="179" t="str">
        <f t="shared" si="2"/>
        <v/>
      </c>
      <c r="D735" s="197"/>
      <c r="E735" s="181"/>
      <c r="F735" s="198"/>
      <c r="G735" s="201"/>
      <c r="H735" s="201"/>
      <c r="I735" s="201"/>
      <c r="J735" s="202"/>
      <c r="K735" s="203"/>
      <c r="L735" s="186">
        <f t="shared" si="15"/>
        <v>0</v>
      </c>
      <c r="M735" s="191"/>
      <c r="N735" s="191"/>
      <c r="O735" s="191"/>
      <c r="P735" s="191"/>
      <c r="Q735" s="191"/>
      <c r="R735" s="191"/>
      <c r="S735" s="191"/>
      <c r="T735" s="192"/>
      <c r="U735" s="189" t="str">
        <f t="shared" si="16"/>
        <v/>
      </c>
      <c r="V735" s="190" t="str">
        <f t="shared" si="17"/>
        <v/>
      </c>
      <c r="W735" s="190" t="str">
        <f t="shared" si="18"/>
        <v/>
      </c>
      <c r="X735" s="191" t="str">
        <f t="shared" si="19"/>
        <v/>
      </c>
      <c r="Y735" s="191" t="str">
        <f t="shared" si="20"/>
        <v/>
      </c>
      <c r="Z735" s="156"/>
    </row>
    <row r="736">
      <c r="A736" s="177" t="str">
        <f t="shared" si="14"/>
        <v/>
      </c>
      <c r="B736" s="196"/>
      <c r="C736" s="179" t="str">
        <f t="shared" si="2"/>
        <v/>
      </c>
      <c r="D736" s="197"/>
      <c r="E736" s="181"/>
      <c r="F736" s="198"/>
      <c r="G736" s="201"/>
      <c r="H736" s="201"/>
      <c r="I736" s="201"/>
      <c r="J736" s="202"/>
      <c r="K736" s="203"/>
      <c r="L736" s="186">
        <f t="shared" si="15"/>
        <v>0</v>
      </c>
      <c r="M736" s="191"/>
      <c r="N736" s="191"/>
      <c r="O736" s="191"/>
      <c r="P736" s="191"/>
      <c r="Q736" s="191"/>
      <c r="R736" s="191"/>
      <c r="S736" s="191"/>
      <c r="T736" s="192"/>
      <c r="U736" s="189" t="str">
        <f t="shared" si="16"/>
        <v/>
      </c>
      <c r="V736" s="190" t="str">
        <f t="shared" si="17"/>
        <v/>
      </c>
      <c r="W736" s="190" t="str">
        <f t="shared" si="18"/>
        <v/>
      </c>
      <c r="X736" s="191" t="str">
        <f t="shared" si="19"/>
        <v/>
      </c>
      <c r="Y736" s="191" t="str">
        <f t="shared" si="20"/>
        <v/>
      </c>
      <c r="Z736" s="156"/>
    </row>
    <row r="737">
      <c r="A737" s="177" t="str">
        <f t="shared" si="14"/>
        <v/>
      </c>
      <c r="B737" s="196"/>
      <c r="C737" s="179" t="str">
        <f t="shared" si="2"/>
        <v/>
      </c>
      <c r="D737" s="197"/>
      <c r="E737" s="181"/>
      <c r="F737" s="198"/>
      <c r="G737" s="201"/>
      <c r="H737" s="201"/>
      <c r="I737" s="201"/>
      <c r="J737" s="202"/>
      <c r="K737" s="203"/>
      <c r="L737" s="186">
        <f t="shared" si="15"/>
        <v>0</v>
      </c>
      <c r="M737" s="191"/>
      <c r="N737" s="191"/>
      <c r="O737" s="191"/>
      <c r="P737" s="191"/>
      <c r="Q737" s="191"/>
      <c r="R737" s="191"/>
      <c r="S737" s="191"/>
      <c r="T737" s="192"/>
      <c r="U737" s="189" t="str">
        <f t="shared" si="16"/>
        <v/>
      </c>
      <c r="V737" s="190" t="str">
        <f t="shared" si="17"/>
        <v/>
      </c>
      <c r="W737" s="190" t="str">
        <f t="shared" si="18"/>
        <v/>
      </c>
      <c r="X737" s="191" t="str">
        <f t="shared" si="19"/>
        <v/>
      </c>
      <c r="Y737" s="191" t="str">
        <f t="shared" si="20"/>
        <v/>
      </c>
      <c r="Z737" s="156"/>
    </row>
    <row r="738">
      <c r="A738" s="177" t="str">
        <f t="shared" si="14"/>
        <v/>
      </c>
      <c r="B738" s="196"/>
      <c r="C738" s="179" t="str">
        <f t="shared" si="2"/>
        <v/>
      </c>
      <c r="D738" s="197"/>
      <c r="E738" s="181"/>
      <c r="F738" s="198"/>
      <c r="G738" s="201"/>
      <c r="H738" s="201"/>
      <c r="I738" s="201"/>
      <c r="J738" s="202"/>
      <c r="K738" s="203"/>
      <c r="L738" s="186">
        <f t="shared" si="15"/>
        <v>0</v>
      </c>
      <c r="M738" s="191"/>
      <c r="N738" s="191"/>
      <c r="O738" s="191"/>
      <c r="P738" s="191"/>
      <c r="Q738" s="191"/>
      <c r="R738" s="191"/>
      <c r="S738" s="191"/>
      <c r="T738" s="192"/>
      <c r="U738" s="189" t="str">
        <f t="shared" si="16"/>
        <v/>
      </c>
      <c r="V738" s="190" t="str">
        <f t="shared" si="17"/>
        <v/>
      </c>
      <c r="W738" s="190" t="str">
        <f t="shared" si="18"/>
        <v/>
      </c>
      <c r="X738" s="191" t="str">
        <f t="shared" si="19"/>
        <v/>
      </c>
      <c r="Y738" s="191" t="str">
        <f t="shared" si="20"/>
        <v/>
      </c>
      <c r="Z738" s="156"/>
    </row>
    <row r="739">
      <c r="A739" s="177" t="str">
        <f t="shared" si="14"/>
        <v/>
      </c>
      <c r="B739" s="196"/>
      <c r="C739" s="179" t="str">
        <f t="shared" si="2"/>
        <v/>
      </c>
      <c r="D739" s="197"/>
      <c r="E739" s="181"/>
      <c r="F739" s="198"/>
      <c r="G739" s="201"/>
      <c r="H739" s="201"/>
      <c r="I739" s="201"/>
      <c r="J739" s="202"/>
      <c r="K739" s="203"/>
      <c r="L739" s="186">
        <f t="shared" si="15"/>
        <v>0</v>
      </c>
      <c r="M739" s="191"/>
      <c r="N739" s="191"/>
      <c r="O739" s="191"/>
      <c r="P739" s="191"/>
      <c r="Q739" s="191"/>
      <c r="R739" s="191"/>
      <c r="S739" s="191"/>
      <c r="T739" s="192"/>
      <c r="U739" s="189" t="str">
        <f t="shared" si="16"/>
        <v/>
      </c>
      <c r="V739" s="190" t="str">
        <f t="shared" si="17"/>
        <v/>
      </c>
      <c r="W739" s="190" t="str">
        <f t="shared" si="18"/>
        <v/>
      </c>
      <c r="X739" s="191" t="str">
        <f t="shared" si="19"/>
        <v/>
      </c>
      <c r="Y739" s="191" t="str">
        <f t="shared" si="20"/>
        <v/>
      </c>
      <c r="Z739" s="156"/>
    </row>
    <row r="740">
      <c r="A740" s="177" t="str">
        <f t="shared" si="14"/>
        <v/>
      </c>
      <c r="B740" s="196"/>
      <c r="C740" s="179" t="str">
        <f t="shared" si="2"/>
        <v/>
      </c>
      <c r="D740" s="197"/>
      <c r="E740" s="181"/>
      <c r="F740" s="198"/>
      <c r="G740" s="201"/>
      <c r="H740" s="201"/>
      <c r="I740" s="201"/>
      <c r="J740" s="202"/>
      <c r="K740" s="203"/>
      <c r="L740" s="186">
        <f t="shared" si="15"/>
        <v>0</v>
      </c>
      <c r="M740" s="191"/>
      <c r="N740" s="191"/>
      <c r="O740" s="191"/>
      <c r="P740" s="191"/>
      <c r="Q740" s="191"/>
      <c r="R740" s="191"/>
      <c r="S740" s="191"/>
      <c r="T740" s="192"/>
      <c r="U740" s="189" t="str">
        <f t="shared" si="16"/>
        <v/>
      </c>
      <c r="V740" s="190" t="str">
        <f t="shared" si="17"/>
        <v/>
      </c>
      <c r="W740" s="190" t="str">
        <f t="shared" si="18"/>
        <v/>
      </c>
      <c r="X740" s="191" t="str">
        <f t="shared" si="19"/>
        <v/>
      </c>
      <c r="Y740" s="191" t="str">
        <f t="shared" si="20"/>
        <v/>
      </c>
      <c r="Z740" s="156"/>
    </row>
    <row r="741">
      <c r="A741" s="177" t="str">
        <f t="shared" si="14"/>
        <v/>
      </c>
      <c r="B741" s="196"/>
      <c r="C741" s="179" t="str">
        <f t="shared" si="2"/>
        <v/>
      </c>
      <c r="D741" s="197"/>
      <c r="E741" s="181"/>
      <c r="F741" s="198"/>
      <c r="G741" s="201"/>
      <c r="H741" s="201"/>
      <c r="I741" s="201"/>
      <c r="J741" s="202"/>
      <c r="K741" s="203"/>
      <c r="L741" s="186">
        <f t="shared" si="15"/>
        <v>0</v>
      </c>
      <c r="M741" s="191"/>
      <c r="N741" s="191"/>
      <c r="O741" s="191"/>
      <c r="P741" s="191"/>
      <c r="Q741" s="191"/>
      <c r="R741" s="191"/>
      <c r="S741" s="191"/>
      <c r="T741" s="192"/>
      <c r="U741" s="189" t="str">
        <f t="shared" si="16"/>
        <v/>
      </c>
      <c r="V741" s="190" t="str">
        <f t="shared" si="17"/>
        <v/>
      </c>
      <c r="W741" s="190" t="str">
        <f t="shared" si="18"/>
        <v/>
      </c>
      <c r="X741" s="191" t="str">
        <f t="shared" si="19"/>
        <v/>
      </c>
      <c r="Y741" s="191" t="str">
        <f t="shared" si="20"/>
        <v/>
      </c>
      <c r="Z741" s="156"/>
    </row>
    <row r="742">
      <c r="A742" s="177" t="str">
        <f t="shared" si="14"/>
        <v/>
      </c>
      <c r="B742" s="196"/>
      <c r="C742" s="179" t="str">
        <f t="shared" si="2"/>
        <v/>
      </c>
      <c r="D742" s="197"/>
      <c r="E742" s="181"/>
      <c r="F742" s="198"/>
      <c r="G742" s="201"/>
      <c r="H742" s="201"/>
      <c r="I742" s="201"/>
      <c r="J742" s="202"/>
      <c r="K742" s="203"/>
      <c r="L742" s="186">
        <f t="shared" si="15"/>
        <v>0</v>
      </c>
      <c r="M742" s="191"/>
      <c r="N742" s="191"/>
      <c r="O742" s="191"/>
      <c r="P742" s="191"/>
      <c r="Q742" s="191"/>
      <c r="R742" s="191"/>
      <c r="S742" s="191"/>
      <c r="T742" s="192"/>
      <c r="U742" s="189" t="str">
        <f t="shared" si="16"/>
        <v/>
      </c>
      <c r="V742" s="190" t="str">
        <f t="shared" si="17"/>
        <v/>
      </c>
      <c r="W742" s="190" t="str">
        <f t="shared" si="18"/>
        <v/>
      </c>
      <c r="X742" s="191" t="str">
        <f t="shared" si="19"/>
        <v/>
      </c>
      <c r="Y742" s="191" t="str">
        <f t="shared" si="20"/>
        <v/>
      </c>
      <c r="Z742" s="156"/>
    </row>
    <row r="743">
      <c r="A743" s="177" t="str">
        <f t="shared" si="14"/>
        <v/>
      </c>
      <c r="B743" s="196"/>
      <c r="C743" s="179" t="str">
        <f t="shared" si="2"/>
        <v/>
      </c>
      <c r="D743" s="197"/>
      <c r="E743" s="181"/>
      <c r="F743" s="198"/>
      <c r="G743" s="201"/>
      <c r="H743" s="201"/>
      <c r="I743" s="201"/>
      <c r="J743" s="202"/>
      <c r="K743" s="203"/>
      <c r="L743" s="186">
        <f t="shared" si="15"/>
        <v>0</v>
      </c>
      <c r="M743" s="191"/>
      <c r="N743" s="191"/>
      <c r="O743" s="191"/>
      <c r="P743" s="191"/>
      <c r="Q743" s="191"/>
      <c r="R743" s="191"/>
      <c r="S743" s="191"/>
      <c r="T743" s="192"/>
      <c r="U743" s="189" t="str">
        <f t="shared" si="16"/>
        <v/>
      </c>
      <c r="V743" s="190" t="str">
        <f t="shared" si="17"/>
        <v/>
      </c>
      <c r="W743" s="190" t="str">
        <f t="shared" si="18"/>
        <v/>
      </c>
      <c r="X743" s="191" t="str">
        <f t="shared" si="19"/>
        <v/>
      </c>
      <c r="Y743" s="191" t="str">
        <f t="shared" si="20"/>
        <v/>
      </c>
      <c r="Z743" s="156"/>
    </row>
    <row r="744">
      <c r="A744" s="177" t="str">
        <f t="shared" si="14"/>
        <v/>
      </c>
      <c r="B744" s="196"/>
      <c r="C744" s="179" t="str">
        <f t="shared" si="2"/>
        <v/>
      </c>
      <c r="D744" s="197"/>
      <c r="E744" s="181"/>
      <c r="F744" s="198"/>
      <c r="G744" s="201"/>
      <c r="H744" s="201"/>
      <c r="I744" s="201"/>
      <c r="J744" s="202"/>
      <c r="K744" s="203"/>
      <c r="L744" s="186">
        <f t="shared" si="15"/>
        <v>0</v>
      </c>
      <c r="M744" s="191"/>
      <c r="N744" s="191"/>
      <c r="O744" s="191"/>
      <c r="P744" s="191"/>
      <c r="Q744" s="191"/>
      <c r="R744" s="191"/>
      <c r="S744" s="191"/>
      <c r="T744" s="192"/>
      <c r="U744" s="189" t="str">
        <f t="shared" si="16"/>
        <v/>
      </c>
      <c r="V744" s="190" t="str">
        <f t="shared" si="17"/>
        <v/>
      </c>
      <c r="W744" s="190" t="str">
        <f t="shared" si="18"/>
        <v/>
      </c>
      <c r="X744" s="191" t="str">
        <f t="shared" si="19"/>
        <v/>
      </c>
      <c r="Y744" s="191" t="str">
        <f t="shared" si="20"/>
        <v/>
      </c>
      <c r="Z744" s="156"/>
    </row>
    <row r="745">
      <c r="A745" s="177" t="str">
        <f t="shared" si="14"/>
        <v/>
      </c>
      <c r="B745" s="196"/>
      <c r="C745" s="179" t="str">
        <f t="shared" si="2"/>
        <v/>
      </c>
      <c r="D745" s="197"/>
      <c r="E745" s="181"/>
      <c r="F745" s="198"/>
      <c r="G745" s="201"/>
      <c r="H745" s="201"/>
      <c r="I745" s="201"/>
      <c r="J745" s="202"/>
      <c r="K745" s="203"/>
      <c r="L745" s="186">
        <f t="shared" si="15"/>
        <v>0</v>
      </c>
      <c r="M745" s="191"/>
      <c r="N745" s="191"/>
      <c r="O745" s="191"/>
      <c r="P745" s="191"/>
      <c r="Q745" s="191"/>
      <c r="R745" s="191"/>
      <c r="S745" s="191"/>
      <c r="T745" s="192"/>
      <c r="U745" s="189" t="str">
        <f t="shared" si="16"/>
        <v/>
      </c>
      <c r="V745" s="190" t="str">
        <f t="shared" si="17"/>
        <v/>
      </c>
      <c r="W745" s="190" t="str">
        <f t="shared" si="18"/>
        <v/>
      </c>
      <c r="X745" s="191" t="str">
        <f t="shared" si="19"/>
        <v/>
      </c>
      <c r="Y745" s="191" t="str">
        <f t="shared" si="20"/>
        <v/>
      </c>
      <c r="Z745" s="156"/>
    </row>
    <row r="746">
      <c r="A746" s="177" t="str">
        <f t="shared" si="14"/>
        <v/>
      </c>
      <c r="B746" s="196"/>
      <c r="C746" s="179" t="str">
        <f t="shared" si="2"/>
        <v/>
      </c>
      <c r="D746" s="197"/>
      <c r="E746" s="181"/>
      <c r="F746" s="198"/>
      <c r="G746" s="201"/>
      <c r="H746" s="201"/>
      <c r="I746" s="201"/>
      <c r="J746" s="202"/>
      <c r="K746" s="203"/>
      <c r="L746" s="186">
        <f t="shared" si="15"/>
        <v>0</v>
      </c>
      <c r="M746" s="191"/>
      <c r="N746" s="191"/>
      <c r="O746" s="191"/>
      <c r="P746" s="191"/>
      <c r="Q746" s="191"/>
      <c r="R746" s="191"/>
      <c r="S746" s="191"/>
      <c r="T746" s="192"/>
      <c r="U746" s="189" t="str">
        <f t="shared" si="16"/>
        <v/>
      </c>
      <c r="V746" s="190" t="str">
        <f t="shared" si="17"/>
        <v/>
      </c>
      <c r="W746" s="190" t="str">
        <f t="shared" si="18"/>
        <v/>
      </c>
      <c r="X746" s="191" t="str">
        <f t="shared" si="19"/>
        <v/>
      </c>
      <c r="Y746" s="191" t="str">
        <f t="shared" si="20"/>
        <v/>
      </c>
      <c r="Z746" s="156"/>
    </row>
    <row r="747">
      <c r="A747" s="177" t="str">
        <f t="shared" si="14"/>
        <v/>
      </c>
      <c r="B747" s="196"/>
      <c r="C747" s="179" t="str">
        <f t="shared" si="2"/>
        <v/>
      </c>
      <c r="D747" s="197"/>
      <c r="E747" s="181"/>
      <c r="F747" s="198"/>
      <c r="G747" s="201"/>
      <c r="H747" s="201"/>
      <c r="I747" s="201"/>
      <c r="J747" s="202"/>
      <c r="K747" s="203"/>
      <c r="L747" s="186">
        <f t="shared" si="15"/>
        <v>0</v>
      </c>
      <c r="M747" s="191"/>
      <c r="N747" s="191"/>
      <c r="O747" s="191"/>
      <c r="P747" s="191"/>
      <c r="Q747" s="191"/>
      <c r="R747" s="191"/>
      <c r="S747" s="191"/>
      <c r="T747" s="192"/>
      <c r="U747" s="189" t="str">
        <f t="shared" si="16"/>
        <v/>
      </c>
      <c r="V747" s="190" t="str">
        <f t="shared" si="17"/>
        <v/>
      </c>
      <c r="W747" s="190" t="str">
        <f t="shared" si="18"/>
        <v/>
      </c>
      <c r="X747" s="191" t="str">
        <f t="shared" si="19"/>
        <v/>
      </c>
      <c r="Y747" s="191" t="str">
        <f t="shared" si="20"/>
        <v/>
      </c>
      <c r="Z747" s="156"/>
    </row>
    <row r="748">
      <c r="A748" s="177" t="str">
        <f t="shared" si="14"/>
        <v/>
      </c>
      <c r="B748" s="196"/>
      <c r="C748" s="179" t="str">
        <f t="shared" si="2"/>
        <v/>
      </c>
      <c r="D748" s="197"/>
      <c r="E748" s="181"/>
      <c r="F748" s="198"/>
      <c r="G748" s="201"/>
      <c r="H748" s="201"/>
      <c r="I748" s="201"/>
      <c r="J748" s="202"/>
      <c r="K748" s="203"/>
      <c r="L748" s="186">
        <f t="shared" si="15"/>
        <v>0</v>
      </c>
      <c r="M748" s="191"/>
      <c r="N748" s="191"/>
      <c r="O748" s="191"/>
      <c r="P748" s="191"/>
      <c r="Q748" s="191"/>
      <c r="R748" s="191"/>
      <c r="S748" s="191"/>
      <c r="T748" s="192"/>
      <c r="U748" s="189" t="str">
        <f t="shared" si="16"/>
        <v/>
      </c>
      <c r="V748" s="190" t="str">
        <f t="shared" si="17"/>
        <v/>
      </c>
      <c r="W748" s="190" t="str">
        <f t="shared" si="18"/>
        <v/>
      </c>
      <c r="X748" s="191" t="str">
        <f t="shared" si="19"/>
        <v/>
      </c>
      <c r="Y748" s="191" t="str">
        <f t="shared" si="20"/>
        <v/>
      </c>
      <c r="Z748" s="156"/>
    </row>
    <row r="749">
      <c r="A749" s="177" t="str">
        <f t="shared" si="14"/>
        <v/>
      </c>
      <c r="B749" s="196"/>
      <c r="C749" s="179" t="str">
        <f t="shared" si="2"/>
        <v/>
      </c>
      <c r="D749" s="197"/>
      <c r="E749" s="181"/>
      <c r="F749" s="198"/>
      <c r="G749" s="201"/>
      <c r="H749" s="201"/>
      <c r="I749" s="201"/>
      <c r="J749" s="202"/>
      <c r="K749" s="203"/>
      <c r="L749" s="186">
        <f t="shared" si="15"/>
        <v>0</v>
      </c>
      <c r="M749" s="191"/>
      <c r="N749" s="191"/>
      <c r="O749" s="191"/>
      <c r="P749" s="191"/>
      <c r="Q749" s="191"/>
      <c r="R749" s="191"/>
      <c r="S749" s="191"/>
      <c r="T749" s="192"/>
      <c r="U749" s="189" t="str">
        <f t="shared" si="16"/>
        <v/>
      </c>
      <c r="V749" s="190" t="str">
        <f t="shared" si="17"/>
        <v/>
      </c>
      <c r="W749" s="190" t="str">
        <f t="shared" si="18"/>
        <v/>
      </c>
      <c r="X749" s="191" t="str">
        <f t="shared" si="19"/>
        <v/>
      </c>
      <c r="Y749" s="191" t="str">
        <f t="shared" si="20"/>
        <v/>
      </c>
      <c r="Z749" s="156"/>
    </row>
    <row r="750">
      <c r="A750" s="177" t="str">
        <f t="shared" si="14"/>
        <v/>
      </c>
      <c r="B750" s="196"/>
      <c r="C750" s="179" t="str">
        <f t="shared" si="2"/>
        <v/>
      </c>
      <c r="D750" s="197"/>
      <c r="E750" s="181"/>
      <c r="F750" s="198"/>
      <c r="G750" s="201"/>
      <c r="H750" s="201"/>
      <c r="I750" s="201"/>
      <c r="J750" s="202"/>
      <c r="K750" s="203"/>
      <c r="L750" s="186">
        <f t="shared" si="15"/>
        <v>0</v>
      </c>
      <c r="M750" s="191"/>
      <c r="N750" s="191"/>
      <c r="O750" s="191"/>
      <c r="P750" s="191"/>
      <c r="Q750" s="191"/>
      <c r="R750" s="191"/>
      <c r="S750" s="191"/>
      <c r="T750" s="192"/>
      <c r="U750" s="189" t="str">
        <f t="shared" si="16"/>
        <v/>
      </c>
      <c r="V750" s="190" t="str">
        <f t="shared" si="17"/>
        <v/>
      </c>
      <c r="W750" s="190" t="str">
        <f t="shared" si="18"/>
        <v/>
      </c>
      <c r="X750" s="191" t="str">
        <f t="shared" si="19"/>
        <v/>
      </c>
      <c r="Y750" s="191" t="str">
        <f t="shared" si="20"/>
        <v/>
      </c>
      <c r="Z750" s="156"/>
    </row>
    <row r="751">
      <c r="A751" s="177" t="str">
        <f t="shared" si="14"/>
        <v/>
      </c>
      <c r="B751" s="196"/>
      <c r="C751" s="179" t="str">
        <f t="shared" si="2"/>
        <v/>
      </c>
      <c r="D751" s="197"/>
      <c r="E751" s="181"/>
      <c r="F751" s="198"/>
      <c r="G751" s="201"/>
      <c r="H751" s="201"/>
      <c r="I751" s="201"/>
      <c r="J751" s="202"/>
      <c r="K751" s="203"/>
      <c r="L751" s="186">
        <f t="shared" si="15"/>
        <v>0</v>
      </c>
      <c r="M751" s="191"/>
      <c r="N751" s="191"/>
      <c r="O751" s="191"/>
      <c r="P751" s="191"/>
      <c r="Q751" s="191"/>
      <c r="R751" s="191"/>
      <c r="S751" s="191"/>
      <c r="T751" s="192"/>
      <c r="U751" s="189" t="str">
        <f t="shared" si="16"/>
        <v/>
      </c>
      <c r="V751" s="190" t="str">
        <f t="shared" si="17"/>
        <v/>
      </c>
      <c r="W751" s="190" t="str">
        <f t="shared" si="18"/>
        <v/>
      </c>
      <c r="X751" s="191" t="str">
        <f t="shared" si="19"/>
        <v/>
      </c>
      <c r="Y751" s="191" t="str">
        <f t="shared" si="20"/>
        <v/>
      </c>
      <c r="Z751" s="156"/>
    </row>
    <row r="752">
      <c r="A752" s="177" t="str">
        <f t="shared" si="14"/>
        <v/>
      </c>
      <c r="B752" s="196"/>
      <c r="C752" s="179" t="str">
        <f t="shared" si="2"/>
        <v/>
      </c>
      <c r="D752" s="197"/>
      <c r="E752" s="181"/>
      <c r="F752" s="198"/>
      <c r="G752" s="201"/>
      <c r="H752" s="201"/>
      <c r="I752" s="201"/>
      <c r="J752" s="202"/>
      <c r="K752" s="203"/>
      <c r="L752" s="186">
        <f t="shared" si="15"/>
        <v>0</v>
      </c>
      <c r="M752" s="191"/>
      <c r="N752" s="191"/>
      <c r="O752" s="191"/>
      <c r="P752" s="191"/>
      <c r="Q752" s="191"/>
      <c r="R752" s="191"/>
      <c r="S752" s="191"/>
      <c r="T752" s="192"/>
      <c r="U752" s="189" t="str">
        <f t="shared" si="16"/>
        <v/>
      </c>
      <c r="V752" s="190" t="str">
        <f t="shared" si="17"/>
        <v/>
      </c>
      <c r="W752" s="190" t="str">
        <f t="shared" si="18"/>
        <v/>
      </c>
      <c r="X752" s="191" t="str">
        <f t="shared" si="19"/>
        <v/>
      </c>
      <c r="Y752" s="191" t="str">
        <f t="shared" si="20"/>
        <v/>
      </c>
      <c r="Z752" s="156"/>
    </row>
    <row r="753">
      <c r="A753" s="177" t="str">
        <f t="shared" si="14"/>
        <v/>
      </c>
      <c r="B753" s="196"/>
      <c r="C753" s="179" t="str">
        <f t="shared" si="2"/>
        <v/>
      </c>
      <c r="D753" s="197"/>
      <c r="E753" s="181"/>
      <c r="F753" s="198"/>
      <c r="G753" s="201"/>
      <c r="H753" s="201"/>
      <c r="I753" s="201"/>
      <c r="J753" s="202"/>
      <c r="K753" s="203"/>
      <c r="L753" s="186">
        <f t="shared" si="15"/>
        <v>0</v>
      </c>
      <c r="M753" s="191"/>
      <c r="N753" s="191"/>
      <c r="O753" s="191"/>
      <c r="P753" s="191"/>
      <c r="Q753" s="191"/>
      <c r="R753" s="191"/>
      <c r="S753" s="191"/>
      <c r="T753" s="192"/>
      <c r="U753" s="189" t="str">
        <f t="shared" si="16"/>
        <v/>
      </c>
      <c r="V753" s="190" t="str">
        <f t="shared" si="17"/>
        <v/>
      </c>
      <c r="W753" s="190" t="str">
        <f t="shared" si="18"/>
        <v/>
      </c>
      <c r="X753" s="191" t="str">
        <f t="shared" si="19"/>
        <v/>
      </c>
      <c r="Y753" s="191" t="str">
        <f t="shared" si="20"/>
        <v/>
      </c>
      <c r="Z753" s="156"/>
    </row>
    <row r="754">
      <c r="A754" s="177" t="str">
        <f t="shared" si="14"/>
        <v/>
      </c>
      <c r="B754" s="196"/>
      <c r="C754" s="179" t="str">
        <f t="shared" si="2"/>
        <v/>
      </c>
      <c r="D754" s="197"/>
      <c r="E754" s="181"/>
      <c r="F754" s="198"/>
      <c r="G754" s="201"/>
      <c r="H754" s="201"/>
      <c r="I754" s="201"/>
      <c r="J754" s="202"/>
      <c r="K754" s="203"/>
      <c r="L754" s="186">
        <f t="shared" si="15"/>
        <v>0</v>
      </c>
      <c r="M754" s="191"/>
      <c r="N754" s="191"/>
      <c r="O754" s="191"/>
      <c r="P754" s="191"/>
      <c r="Q754" s="191"/>
      <c r="R754" s="191"/>
      <c r="S754" s="191"/>
      <c r="T754" s="192"/>
      <c r="U754" s="189" t="str">
        <f t="shared" si="16"/>
        <v/>
      </c>
      <c r="V754" s="190" t="str">
        <f t="shared" si="17"/>
        <v/>
      </c>
      <c r="W754" s="190" t="str">
        <f t="shared" si="18"/>
        <v/>
      </c>
      <c r="X754" s="191" t="str">
        <f t="shared" si="19"/>
        <v/>
      </c>
      <c r="Y754" s="191" t="str">
        <f t="shared" si="20"/>
        <v/>
      </c>
      <c r="Z754" s="156"/>
    </row>
    <row r="755">
      <c r="A755" s="177" t="str">
        <f t="shared" si="14"/>
        <v/>
      </c>
      <c r="B755" s="196"/>
      <c r="C755" s="179" t="str">
        <f t="shared" si="2"/>
        <v/>
      </c>
      <c r="D755" s="197"/>
      <c r="E755" s="181"/>
      <c r="F755" s="198"/>
      <c r="G755" s="201"/>
      <c r="H755" s="201"/>
      <c r="I755" s="201"/>
      <c r="J755" s="202"/>
      <c r="K755" s="203"/>
      <c r="L755" s="186">
        <f t="shared" si="15"/>
        <v>0</v>
      </c>
      <c r="M755" s="191"/>
      <c r="N755" s="191"/>
      <c r="O755" s="191"/>
      <c r="P755" s="191"/>
      <c r="Q755" s="191"/>
      <c r="R755" s="191"/>
      <c r="S755" s="191"/>
      <c r="T755" s="192"/>
      <c r="U755" s="189" t="str">
        <f t="shared" si="16"/>
        <v/>
      </c>
      <c r="V755" s="190" t="str">
        <f t="shared" si="17"/>
        <v/>
      </c>
      <c r="W755" s="190" t="str">
        <f t="shared" si="18"/>
        <v/>
      </c>
      <c r="X755" s="191" t="str">
        <f t="shared" si="19"/>
        <v/>
      </c>
      <c r="Y755" s="191" t="str">
        <f t="shared" si="20"/>
        <v/>
      </c>
      <c r="Z755" s="156"/>
    </row>
    <row r="756">
      <c r="A756" s="177" t="str">
        <f t="shared" si="14"/>
        <v/>
      </c>
      <c r="B756" s="196"/>
      <c r="C756" s="179" t="str">
        <f t="shared" si="2"/>
        <v/>
      </c>
      <c r="D756" s="197"/>
      <c r="E756" s="181"/>
      <c r="F756" s="198"/>
      <c r="G756" s="201"/>
      <c r="H756" s="201"/>
      <c r="I756" s="201"/>
      <c r="J756" s="202"/>
      <c r="K756" s="203"/>
      <c r="L756" s="186">
        <f t="shared" si="15"/>
        <v>0</v>
      </c>
      <c r="M756" s="191"/>
      <c r="N756" s="191"/>
      <c r="O756" s="191"/>
      <c r="P756" s="191"/>
      <c r="Q756" s="191"/>
      <c r="R756" s="191"/>
      <c r="S756" s="191"/>
      <c r="T756" s="192"/>
      <c r="U756" s="189" t="str">
        <f t="shared" si="16"/>
        <v/>
      </c>
      <c r="V756" s="190" t="str">
        <f t="shared" si="17"/>
        <v/>
      </c>
      <c r="W756" s="190" t="str">
        <f t="shared" si="18"/>
        <v/>
      </c>
      <c r="X756" s="191" t="str">
        <f t="shared" si="19"/>
        <v/>
      </c>
      <c r="Y756" s="191" t="str">
        <f t="shared" si="20"/>
        <v/>
      </c>
      <c r="Z756" s="156"/>
    </row>
    <row r="757">
      <c r="A757" s="177" t="str">
        <f t="shared" si="14"/>
        <v/>
      </c>
      <c r="B757" s="196"/>
      <c r="C757" s="179" t="str">
        <f t="shared" si="2"/>
        <v/>
      </c>
      <c r="D757" s="197"/>
      <c r="E757" s="181"/>
      <c r="F757" s="198"/>
      <c r="G757" s="201"/>
      <c r="H757" s="201"/>
      <c r="I757" s="201"/>
      <c r="J757" s="202"/>
      <c r="K757" s="203"/>
      <c r="L757" s="186">
        <f t="shared" si="15"/>
        <v>0</v>
      </c>
      <c r="M757" s="191"/>
      <c r="N757" s="191"/>
      <c r="O757" s="191"/>
      <c r="P757" s="191"/>
      <c r="Q757" s="191"/>
      <c r="R757" s="191"/>
      <c r="S757" s="191"/>
      <c r="T757" s="192"/>
      <c r="U757" s="189" t="str">
        <f t="shared" si="16"/>
        <v/>
      </c>
      <c r="V757" s="190" t="str">
        <f t="shared" si="17"/>
        <v/>
      </c>
      <c r="W757" s="190" t="str">
        <f t="shared" si="18"/>
        <v/>
      </c>
      <c r="X757" s="191" t="str">
        <f t="shared" si="19"/>
        <v/>
      </c>
      <c r="Y757" s="191" t="str">
        <f t="shared" si="20"/>
        <v/>
      </c>
      <c r="Z757" s="156"/>
    </row>
    <row r="758">
      <c r="A758" s="177" t="str">
        <f t="shared" si="14"/>
        <v/>
      </c>
      <c r="B758" s="196"/>
      <c r="C758" s="179" t="str">
        <f t="shared" si="2"/>
        <v/>
      </c>
      <c r="D758" s="197"/>
      <c r="E758" s="181"/>
      <c r="F758" s="198"/>
      <c r="G758" s="201"/>
      <c r="H758" s="201"/>
      <c r="I758" s="201"/>
      <c r="J758" s="202"/>
      <c r="K758" s="203"/>
      <c r="L758" s="186">
        <f t="shared" si="15"/>
        <v>0</v>
      </c>
      <c r="M758" s="191"/>
      <c r="N758" s="191"/>
      <c r="O758" s="191"/>
      <c r="P758" s="191"/>
      <c r="Q758" s="191"/>
      <c r="R758" s="191"/>
      <c r="S758" s="191"/>
      <c r="T758" s="192"/>
      <c r="U758" s="189" t="str">
        <f t="shared" si="16"/>
        <v/>
      </c>
      <c r="V758" s="190" t="str">
        <f t="shared" si="17"/>
        <v/>
      </c>
      <c r="W758" s="190" t="str">
        <f t="shared" si="18"/>
        <v/>
      </c>
      <c r="X758" s="191" t="str">
        <f t="shared" si="19"/>
        <v/>
      </c>
      <c r="Y758" s="191" t="str">
        <f t="shared" si="20"/>
        <v/>
      </c>
      <c r="Z758" s="156"/>
    </row>
    <row r="759">
      <c r="A759" s="177" t="str">
        <f t="shared" si="14"/>
        <v/>
      </c>
      <c r="B759" s="196"/>
      <c r="C759" s="179" t="str">
        <f t="shared" si="2"/>
        <v/>
      </c>
      <c r="D759" s="197"/>
      <c r="E759" s="181"/>
      <c r="F759" s="198"/>
      <c r="G759" s="201"/>
      <c r="H759" s="201"/>
      <c r="I759" s="201"/>
      <c r="J759" s="202"/>
      <c r="K759" s="203"/>
      <c r="L759" s="186">
        <f t="shared" si="15"/>
        <v>0</v>
      </c>
      <c r="M759" s="191"/>
      <c r="N759" s="191"/>
      <c r="O759" s="191"/>
      <c r="P759" s="191"/>
      <c r="Q759" s="191"/>
      <c r="R759" s="191"/>
      <c r="S759" s="191"/>
      <c r="T759" s="192"/>
      <c r="U759" s="189" t="str">
        <f t="shared" si="16"/>
        <v/>
      </c>
      <c r="V759" s="190" t="str">
        <f t="shared" si="17"/>
        <v/>
      </c>
      <c r="W759" s="190" t="str">
        <f t="shared" si="18"/>
        <v/>
      </c>
      <c r="X759" s="191" t="str">
        <f t="shared" si="19"/>
        <v/>
      </c>
      <c r="Y759" s="191" t="str">
        <f t="shared" si="20"/>
        <v/>
      </c>
      <c r="Z759" s="156"/>
    </row>
    <row r="760">
      <c r="A760" s="177" t="str">
        <f t="shared" si="14"/>
        <v/>
      </c>
      <c r="B760" s="196"/>
      <c r="C760" s="179" t="str">
        <f t="shared" si="2"/>
        <v/>
      </c>
      <c r="D760" s="197"/>
      <c r="E760" s="181"/>
      <c r="F760" s="198"/>
      <c r="G760" s="201"/>
      <c r="H760" s="201"/>
      <c r="I760" s="201"/>
      <c r="J760" s="202"/>
      <c r="K760" s="203"/>
      <c r="L760" s="186">
        <f t="shared" si="15"/>
        <v>0</v>
      </c>
      <c r="M760" s="191"/>
      <c r="N760" s="191"/>
      <c r="O760" s="191"/>
      <c r="P760" s="191"/>
      <c r="Q760" s="191"/>
      <c r="R760" s="191"/>
      <c r="S760" s="191"/>
      <c r="T760" s="192"/>
      <c r="U760" s="189" t="str">
        <f t="shared" si="16"/>
        <v/>
      </c>
      <c r="V760" s="190" t="str">
        <f t="shared" si="17"/>
        <v/>
      </c>
      <c r="W760" s="190" t="str">
        <f t="shared" si="18"/>
        <v/>
      </c>
      <c r="X760" s="191" t="str">
        <f t="shared" si="19"/>
        <v/>
      </c>
      <c r="Y760" s="191" t="str">
        <f t="shared" si="20"/>
        <v/>
      </c>
      <c r="Z760" s="156"/>
    </row>
    <row r="761">
      <c r="A761" s="177" t="str">
        <f t="shared" si="14"/>
        <v/>
      </c>
      <c r="B761" s="196"/>
      <c r="C761" s="179" t="str">
        <f t="shared" si="2"/>
        <v/>
      </c>
      <c r="D761" s="197"/>
      <c r="E761" s="181"/>
      <c r="F761" s="198"/>
      <c r="G761" s="201"/>
      <c r="H761" s="201"/>
      <c r="I761" s="201"/>
      <c r="J761" s="202"/>
      <c r="K761" s="203"/>
      <c r="L761" s="186">
        <f t="shared" si="15"/>
        <v>0</v>
      </c>
      <c r="M761" s="191"/>
      <c r="N761" s="191"/>
      <c r="O761" s="191"/>
      <c r="P761" s="191"/>
      <c r="Q761" s="191"/>
      <c r="R761" s="191"/>
      <c r="S761" s="191"/>
      <c r="T761" s="192"/>
      <c r="U761" s="189" t="str">
        <f t="shared" si="16"/>
        <v/>
      </c>
      <c r="V761" s="190" t="str">
        <f t="shared" si="17"/>
        <v/>
      </c>
      <c r="W761" s="190" t="str">
        <f t="shared" si="18"/>
        <v/>
      </c>
      <c r="X761" s="191" t="str">
        <f t="shared" si="19"/>
        <v/>
      </c>
      <c r="Y761" s="191" t="str">
        <f t="shared" si="20"/>
        <v/>
      </c>
      <c r="Z761" s="156"/>
    </row>
    <row r="762">
      <c r="A762" s="177" t="str">
        <f t="shared" si="14"/>
        <v/>
      </c>
      <c r="B762" s="196"/>
      <c r="C762" s="179" t="str">
        <f t="shared" si="2"/>
        <v/>
      </c>
      <c r="D762" s="197"/>
      <c r="E762" s="181"/>
      <c r="F762" s="198"/>
      <c r="G762" s="201"/>
      <c r="H762" s="201"/>
      <c r="I762" s="201"/>
      <c r="J762" s="202"/>
      <c r="K762" s="203"/>
      <c r="L762" s="186">
        <f t="shared" si="15"/>
        <v>0</v>
      </c>
      <c r="M762" s="191"/>
      <c r="N762" s="191"/>
      <c r="O762" s="191"/>
      <c r="P762" s="191"/>
      <c r="Q762" s="191"/>
      <c r="R762" s="191"/>
      <c r="S762" s="191"/>
      <c r="T762" s="192"/>
      <c r="U762" s="189" t="str">
        <f t="shared" si="16"/>
        <v/>
      </c>
      <c r="V762" s="190" t="str">
        <f t="shared" si="17"/>
        <v/>
      </c>
      <c r="W762" s="190" t="str">
        <f t="shared" si="18"/>
        <v/>
      </c>
      <c r="X762" s="191" t="str">
        <f t="shared" si="19"/>
        <v/>
      </c>
      <c r="Y762" s="191" t="str">
        <f t="shared" si="20"/>
        <v/>
      </c>
      <c r="Z762" s="156"/>
    </row>
    <row r="763">
      <c r="A763" s="177" t="str">
        <f t="shared" si="14"/>
        <v/>
      </c>
      <c r="B763" s="196"/>
      <c r="C763" s="179" t="str">
        <f t="shared" si="2"/>
        <v/>
      </c>
      <c r="D763" s="197"/>
      <c r="E763" s="181"/>
      <c r="F763" s="198"/>
      <c r="G763" s="201"/>
      <c r="H763" s="201"/>
      <c r="I763" s="201"/>
      <c r="J763" s="202"/>
      <c r="K763" s="203"/>
      <c r="L763" s="186">
        <f t="shared" si="15"/>
        <v>0</v>
      </c>
      <c r="M763" s="191"/>
      <c r="N763" s="191"/>
      <c r="O763" s="191"/>
      <c r="P763" s="191"/>
      <c r="Q763" s="191"/>
      <c r="R763" s="191"/>
      <c r="S763" s="191"/>
      <c r="T763" s="192"/>
      <c r="U763" s="189" t="str">
        <f t="shared" si="16"/>
        <v/>
      </c>
      <c r="V763" s="190" t="str">
        <f t="shared" si="17"/>
        <v/>
      </c>
      <c r="W763" s="190" t="str">
        <f t="shared" si="18"/>
        <v/>
      </c>
      <c r="X763" s="191" t="str">
        <f t="shared" si="19"/>
        <v/>
      </c>
      <c r="Y763" s="191" t="str">
        <f t="shared" si="20"/>
        <v/>
      </c>
      <c r="Z763" s="156"/>
    </row>
    <row r="764">
      <c r="A764" s="177" t="str">
        <f t="shared" si="14"/>
        <v/>
      </c>
      <c r="B764" s="196"/>
      <c r="C764" s="179" t="str">
        <f t="shared" si="2"/>
        <v/>
      </c>
      <c r="D764" s="197"/>
      <c r="E764" s="181"/>
      <c r="F764" s="198"/>
      <c r="G764" s="201"/>
      <c r="H764" s="201"/>
      <c r="I764" s="201"/>
      <c r="J764" s="202"/>
      <c r="K764" s="203"/>
      <c r="L764" s="186">
        <f t="shared" si="15"/>
        <v>0</v>
      </c>
      <c r="M764" s="191"/>
      <c r="N764" s="191"/>
      <c r="O764" s="191"/>
      <c r="P764" s="191"/>
      <c r="Q764" s="191"/>
      <c r="R764" s="191"/>
      <c r="S764" s="191"/>
      <c r="T764" s="192"/>
      <c r="U764" s="189" t="str">
        <f t="shared" si="16"/>
        <v/>
      </c>
      <c r="V764" s="190" t="str">
        <f t="shared" si="17"/>
        <v/>
      </c>
      <c r="W764" s="190" t="str">
        <f t="shared" si="18"/>
        <v/>
      </c>
      <c r="X764" s="191" t="str">
        <f t="shared" si="19"/>
        <v/>
      </c>
      <c r="Y764" s="191" t="str">
        <f t="shared" si="20"/>
        <v/>
      </c>
      <c r="Z764" s="156"/>
    </row>
    <row r="765">
      <c r="A765" s="177" t="str">
        <f t="shared" si="14"/>
        <v/>
      </c>
      <c r="B765" s="196"/>
      <c r="C765" s="179" t="str">
        <f t="shared" si="2"/>
        <v/>
      </c>
      <c r="D765" s="197"/>
      <c r="E765" s="181"/>
      <c r="F765" s="198"/>
      <c r="G765" s="201"/>
      <c r="H765" s="201"/>
      <c r="I765" s="201"/>
      <c r="J765" s="202"/>
      <c r="K765" s="203"/>
      <c r="L765" s="186">
        <f t="shared" si="15"/>
        <v>0</v>
      </c>
      <c r="M765" s="191"/>
      <c r="N765" s="191"/>
      <c r="O765" s="191"/>
      <c r="P765" s="191"/>
      <c r="Q765" s="191"/>
      <c r="R765" s="191"/>
      <c r="S765" s="191"/>
      <c r="T765" s="192"/>
      <c r="U765" s="189" t="str">
        <f t="shared" si="16"/>
        <v/>
      </c>
      <c r="V765" s="190" t="str">
        <f t="shared" si="17"/>
        <v/>
      </c>
      <c r="W765" s="190" t="str">
        <f t="shared" si="18"/>
        <v/>
      </c>
      <c r="X765" s="191" t="str">
        <f t="shared" si="19"/>
        <v/>
      </c>
      <c r="Y765" s="191" t="str">
        <f t="shared" si="20"/>
        <v/>
      </c>
      <c r="Z765" s="156"/>
    </row>
    <row r="766">
      <c r="A766" s="177" t="str">
        <f t="shared" si="14"/>
        <v/>
      </c>
      <c r="B766" s="196"/>
      <c r="C766" s="179" t="str">
        <f t="shared" si="2"/>
        <v/>
      </c>
      <c r="D766" s="197"/>
      <c r="E766" s="181"/>
      <c r="F766" s="198"/>
      <c r="G766" s="201"/>
      <c r="H766" s="201"/>
      <c r="I766" s="201"/>
      <c r="J766" s="202"/>
      <c r="K766" s="203"/>
      <c r="L766" s="186">
        <f t="shared" si="15"/>
        <v>0</v>
      </c>
      <c r="M766" s="191"/>
      <c r="N766" s="191"/>
      <c r="O766" s="191"/>
      <c r="P766" s="191"/>
      <c r="Q766" s="191"/>
      <c r="R766" s="191"/>
      <c r="S766" s="191"/>
      <c r="T766" s="192"/>
      <c r="U766" s="189" t="str">
        <f t="shared" si="16"/>
        <v/>
      </c>
      <c r="V766" s="190" t="str">
        <f t="shared" si="17"/>
        <v/>
      </c>
      <c r="W766" s="190" t="str">
        <f t="shared" si="18"/>
        <v/>
      </c>
      <c r="X766" s="191" t="str">
        <f t="shared" si="19"/>
        <v/>
      </c>
      <c r="Y766" s="191" t="str">
        <f t="shared" si="20"/>
        <v/>
      </c>
      <c r="Z766" s="156"/>
    </row>
    <row r="767">
      <c r="A767" s="177" t="str">
        <f t="shared" si="14"/>
        <v/>
      </c>
      <c r="B767" s="196"/>
      <c r="C767" s="179" t="str">
        <f t="shared" si="2"/>
        <v/>
      </c>
      <c r="D767" s="197"/>
      <c r="E767" s="181"/>
      <c r="F767" s="198"/>
      <c r="G767" s="201"/>
      <c r="H767" s="201"/>
      <c r="I767" s="201"/>
      <c r="J767" s="202"/>
      <c r="K767" s="203"/>
      <c r="L767" s="186">
        <f t="shared" si="15"/>
        <v>0</v>
      </c>
      <c r="M767" s="191"/>
      <c r="N767" s="191"/>
      <c r="O767" s="191"/>
      <c r="P767" s="191"/>
      <c r="Q767" s="191"/>
      <c r="R767" s="191"/>
      <c r="S767" s="191"/>
      <c r="T767" s="192"/>
      <c r="U767" s="189" t="str">
        <f t="shared" si="16"/>
        <v/>
      </c>
      <c r="V767" s="190" t="str">
        <f t="shared" si="17"/>
        <v/>
      </c>
      <c r="W767" s="190" t="str">
        <f t="shared" si="18"/>
        <v/>
      </c>
      <c r="X767" s="191" t="str">
        <f t="shared" si="19"/>
        <v/>
      </c>
      <c r="Y767" s="191" t="str">
        <f t="shared" si="20"/>
        <v/>
      </c>
      <c r="Z767" s="156"/>
    </row>
    <row r="768">
      <c r="A768" s="177" t="str">
        <f t="shared" si="14"/>
        <v/>
      </c>
      <c r="B768" s="196"/>
      <c r="C768" s="179" t="str">
        <f t="shared" si="2"/>
        <v/>
      </c>
      <c r="D768" s="197"/>
      <c r="E768" s="181"/>
      <c r="F768" s="198"/>
      <c r="G768" s="201"/>
      <c r="H768" s="201"/>
      <c r="I768" s="201"/>
      <c r="J768" s="202"/>
      <c r="K768" s="203"/>
      <c r="L768" s="186">
        <f t="shared" si="15"/>
        <v>0</v>
      </c>
      <c r="M768" s="191"/>
      <c r="N768" s="191"/>
      <c r="O768" s="191"/>
      <c r="P768" s="191"/>
      <c r="Q768" s="191"/>
      <c r="R768" s="191"/>
      <c r="S768" s="191"/>
      <c r="T768" s="192"/>
      <c r="U768" s="189" t="str">
        <f t="shared" si="16"/>
        <v/>
      </c>
      <c r="V768" s="190" t="str">
        <f t="shared" si="17"/>
        <v/>
      </c>
      <c r="W768" s="190" t="str">
        <f t="shared" si="18"/>
        <v/>
      </c>
      <c r="X768" s="191" t="str">
        <f t="shared" si="19"/>
        <v/>
      </c>
      <c r="Y768" s="191" t="str">
        <f t="shared" si="20"/>
        <v/>
      </c>
      <c r="Z768" s="156"/>
    </row>
    <row r="769">
      <c r="A769" s="177" t="str">
        <f t="shared" si="14"/>
        <v/>
      </c>
      <c r="B769" s="196"/>
      <c r="C769" s="179" t="str">
        <f t="shared" si="2"/>
        <v/>
      </c>
      <c r="D769" s="197"/>
      <c r="E769" s="181"/>
      <c r="F769" s="198"/>
      <c r="G769" s="201"/>
      <c r="H769" s="201"/>
      <c r="I769" s="201"/>
      <c r="J769" s="202"/>
      <c r="K769" s="203"/>
      <c r="L769" s="186">
        <f t="shared" si="15"/>
        <v>0</v>
      </c>
      <c r="M769" s="191"/>
      <c r="N769" s="191"/>
      <c r="O769" s="191"/>
      <c r="P769" s="191"/>
      <c r="Q769" s="191"/>
      <c r="R769" s="191"/>
      <c r="S769" s="191"/>
      <c r="T769" s="192"/>
      <c r="U769" s="189" t="str">
        <f t="shared" si="16"/>
        <v/>
      </c>
      <c r="V769" s="190" t="str">
        <f t="shared" si="17"/>
        <v/>
      </c>
      <c r="W769" s="190" t="str">
        <f t="shared" si="18"/>
        <v/>
      </c>
      <c r="X769" s="191" t="str">
        <f t="shared" si="19"/>
        <v/>
      </c>
      <c r="Y769" s="191" t="str">
        <f t="shared" si="20"/>
        <v/>
      </c>
      <c r="Z769" s="156"/>
    </row>
    <row r="770">
      <c r="A770" s="177" t="str">
        <f t="shared" si="14"/>
        <v/>
      </c>
      <c r="B770" s="196"/>
      <c r="C770" s="179" t="str">
        <f t="shared" si="2"/>
        <v/>
      </c>
      <c r="D770" s="197"/>
      <c r="E770" s="181"/>
      <c r="F770" s="198"/>
      <c r="G770" s="201"/>
      <c r="H770" s="201"/>
      <c r="I770" s="201"/>
      <c r="J770" s="202"/>
      <c r="K770" s="203"/>
      <c r="L770" s="186">
        <f t="shared" si="15"/>
        <v>0</v>
      </c>
      <c r="M770" s="191"/>
      <c r="N770" s="191"/>
      <c r="O770" s="191"/>
      <c r="P770" s="191"/>
      <c r="Q770" s="191"/>
      <c r="R770" s="191"/>
      <c r="S770" s="191"/>
      <c r="T770" s="192"/>
      <c r="U770" s="189" t="str">
        <f t="shared" si="16"/>
        <v/>
      </c>
      <c r="V770" s="190" t="str">
        <f t="shared" si="17"/>
        <v/>
      </c>
      <c r="W770" s="190" t="str">
        <f t="shared" si="18"/>
        <v/>
      </c>
      <c r="X770" s="191" t="str">
        <f t="shared" si="19"/>
        <v/>
      </c>
      <c r="Y770" s="191" t="str">
        <f t="shared" si="20"/>
        <v/>
      </c>
      <c r="Z770" s="156"/>
    </row>
    <row r="771">
      <c r="A771" s="177" t="str">
        <f t="shared" si="14"/>
        <v/>
      </c>
      <c r="B771" s="196"/>
      <c r="C771" s="179" t="str">
        <f t="shared" si="2"/>
        <v/>
      </c>
      <c r="D771" s="197"/>
      <c r="E771" s="181"/>
      <c r="F771" s="198"/>
      <c r="G771" s="201"/>
      <c r="H771" s="201"/>
      <c r="I771" s="201"/>
      <c r="J771" s="202"/>
      <c r="K771" s="203"/>
      <c r="L771" s="186">
        <f t="shared" si="15"/>
        <v>0</v>
      </c>
      <c r="M771" s="191"/>
      <c r="N771" s="191"/>
      <c r="O771" s="191"/>
      <c r="P771" s="191"/>
      <c r="Q771" s="191"/>
      <c r="R771" s="191"/>
      <c r="S771" s="191"/>
      <c r="T771" s="192"/>
      <c r="U771" s="189" t="str">
        <f t="shared" si="16"/>
        <v/>
      </c>
      <c r="V771" s="190" t="str">
        <f t="shared" si="17"/>
        <v/>
      </c>
      <c r="W771" s="190" t="str">
        <f t="shared" si="18"/>
        <v/>
      </c>
      <c r="X771" s="191" t="str">
        <f t="shared" si="19"/>
        <v/>
      </c>
      <c r="Y771" s="191" t="str">
        <f t="shared" si="20"/>
        <v/>
      </c>
      <c r="Z771" s="156"/>
    </row>
    <row r="772">
      <c r="A772" s="177" t="str">
        <f t="shared" si="14"/>
        <v/>
      </c>
      <c r="B772" s="196"/>
      <c r="C772" s="179" t="str">
        <f t="shared" si="2"/>
        <v/>
      </c>
      <c r="D772" s="197"/>
      <c r="E772" s="181"/>
      <c r="F772" s="198"/>
      <c r="G772" s="201"/>
      <c r="H772" s="201"/>
      <c r="I772" s="201"/>
      <c r="J772" s="202"/>
      <c r="K772" s="203"/>
      <c r="L772" s="186">
        <f t="shared" si="15"/>
        <v>0</v>
      </c>
      <c r="M772" s="191"/>
      <c r="N772" s="191"/>
      <c r="O772" s="191"/>
      <c r="P772" s="191"/>
      <c r="Q772" s="191"/>
      <c r="R772" s="191"/>
      <c r="S772" s="191"/>
      <c r="T772" s="192"/>
      <c r="U772" s="189" t="str">
        <f t="shared" si="16"/>
        <v/>
      </c>
      <c r="V772" s="190" t="str">
        <f t="shared" si="17"/>
        <v/>
      </c>
      <c r="W772" s="190" t="str">
        <f t="shared" si="18"/>
        <v/>
      </c>
      <c r="X772" s="191" t="str">
        <f t="shared" si="19"/>
        <v/>
      </c>
      <c r="Y772" s="191" t="str">
        <f t="shared" si="20"/>
        <v/>
      </c>
      <c r="Z772" s="156"/>
    </row>
    <row r="773">
      <c r="A773" s="177" t="str">
        <f t="shared" si="14"/>
        <v/>
      </c>
      <c r="B773" s="196"/>
      <c r="C773" s="179" t="str">
        <f t="shared" si="2"/>
        <v/>
      </c>
      <c r="D773" s="197"/>
      <c r="E773" s="181"/>
      <c r="F773" s="198"/>
      <c r="G773" s="201"/>
      <c r="H773" s="201"/>
      <c r="I773" s="201"/>
      <c r="J773" s="202"/>
      <c r="K773" s="203"/>
      <c r="L773" s="186">
        <f t="shared" si="15"/>
        <v>0</v>
      </c>
      <c r="M773" s="191"/>
      <c r="N773" s="191"/>
      <c r="O773" s="191"/>
      <c r="P773" s="191"/>
      <c r="Q773" s="191"/>
      <c r="R773" s="191"/>
      <c r="S773" s="191"/>
      <c r="T773" s="192"/>
      <c r="U773" s="189" t="str">
        <f t="shared" si="16"/>
        <v/>
      </c>
      <c r="V773" s="190" t="str">
        <f t="shared" si="17"/>
        <v/>
      </c>
      <c r="W773" s="190" t="str">
        <f t="shared" si="18"/>
        <v/>
      </c>
      <c r="X773" s="191" t="str">
        <f t="shared" si="19"/>
        <v/>
      </c>
      <c r="Y773" s="191" t="str">
        <f t="shared" si="20"/>
        <v/>
      </c>
      <c r="Z773" s="156"/>
    </row>
    <row r="774">
      <c r="A774" s="177" t="str">
        <f t="shared" si="14"/>
        <v/>
      </c>
      <c r="B774" s="196"/>
      <c r="C774" s="179" t="str">
        <f t="shared" si="2"/>
        <v/>
      </c>
      <c r="D774" s="197"/>
      <c r="E774" s="181"/>
      <c r="F774" s="198"/>
      <c r="G774" s="201"/>
      <c r="H774" s="201"/>
      <c r="I774" s="201"/>
      <c r="J774" s="202"/>
      <c r="K774" s="203"/>
      <c r="L774" s="186">
        <f t="shared" si="15"/>
        <v>0</v>
      </c>
      <c r="M774" s="191"/>
      <c r="N774" s="191"/>
      <c r="O774" s="191"/>
      <c r="P774" s="191"/>
      <c r="Q774" s="191"/>
      <c r="R774" s="191"/>
      <c r="S774" s="191"/>
      <c r="T774" s="192"/>
      <c r="U774" s="189" t="str">
        <f t="shared" si="16"/>
        <v/>
      </c>
      <c r="V774" s="190" t="str">
        <f t="shared" si="17"/>
        <v/>
      </c>
      <c r="W774" s="190" t="str">
        <f t="shared" si="18"/>
        <v/>
      </c>
      <c r="X774" s="191" t="str">
        <f t="shared" si="19"/>
        <v/>
      </c>
      <c r="Y774" s="191" t="str">
        <f t="shared" si="20"/>
        <v/>
      </c>
      <c r="Z774" s="156"/>
    </row>
    <row r="775">
      <c r="A775" s="177" t="str">
        <f t="shared" si="14"/>
        <v/>
      </c>
      <c r="B775" s="196"/>
      <c r="C775" s="179" t="str">
        <f t="shared" si="2"/>
        <v/>
      </c>
      <c r="D775" s="197"/>
      <c r="E775" s="181"/>
      <c r="F775" s="198"/>
      <c r="G775" s="201"/>
      <c r="H775" s="201"/>
      <c r="I775" s="201"/>
      <c r="J775" s="202"/>
      <c r="K775" s="203"/>
      <c r="L775" s="186">
        <f t="shared" si="15"/>
        <v>0</v>
      </c>
      <c r="M775" s="191"/>
      <c r="N775" s="191"/>
      <c r="O775" s="191"/>
      <c r="P775" s="191"/>
      <c r="Q775" s="191"/>
      <c r="R775" s="191"/>
      <c r="S775" s="191"/>
      <c r="T775" s="192"/>
      <c r="U775" s="189" t="str">
        <f t="shared" si="16"/>
        <v/>
      </c>
      <c r="V775" s="190" t="str">
        <f t="shared" si="17"/>
        <v/>
      </c>
      <c r="W775" s="190" t="str">
        <f t="shared" si="18"/>
        <v/>
      </c>
      <c r="X775" s="191" t="str">
        <f t="shared" si="19"/>
        <v/>
      </c>
      <c r="Y775" s="191" t="str">
        <f t="shared" si="20"/>
        <v/>
      </c>
      <c r="Z775" s="156"/>
    </row>
    <row r="776">
      <c r="A776" s="177" t="str">
        <f t="shared" si="14"/>
        <v/>
      </c>
      <c r="B776" s="196"/>
      <c r="C776" s="179" t="str">
        <f t="shared" si="2"/>
        <v/>
      </c>
      <c r="D776" s="197"/>
      <c r="E776" s="181"/>
      <c r="F776" s="198"/>
      <c r="G776" s="201"/>
      <c r="H776" s="201"/>
      <c r="I776" s="201"/>
      <c r="J776" s="202"/>
      <c r="K776" s="203"/>
      <c r="L776" s="186">
        <f t="shared" si="15"/>
        <v>0</v>
      </c>
      <c r="M776" s="191"/>
      <c r="N776" s="191"/>
      <c r="O776" s="191"/>
      <c r="P776" s="191"/>
      <c r="Q776" s="191"/>
      <c r="R776" s="191"/>
      <c r="S776" s="191"/>
      <c r="T776" s="192"/>
      <c r="U776" s="189" t="str">
        <f t="shared" si="16"/>
        <v/>
      </c>
      <c r="V776" s="190" t="str">
        <f t="shared" si="17"/>
        <v/>
      </c>
      <c r="W776" s="190" t="str">
        <f t="shared" si="18"/>
        <v/>
      </c>
      <c r="X776" s="191" t="str">
        <f t="shared" si="19"/>
        <v/>
      </c>
      <c r="Y776" s="191" t="str">
        <f t="shared" si="20"/>
        <v/>
      </c>
      <c r="Z776" s="156"/>
    </row>
    <row r="777">
      <c r="A777" s="177" t="str">
        <f t="shared" si="14"/>
        <v/>
      </c>
      <c r="B777" s="196"/>
      <c r="C777" s="179" t="str">
        <f t="shared" si="2"/>
        <v/>
      </c>
      <c r="D777" s="197"/>
      <c r="E777" s="181"/>
      <c r="F777" s="198"/>
      <c r="G777" s="201"/>
      <c r="H777" s="201"/>
      <c r="I777" s="201"/>
      <c r="J777" s="202"/>
      <c r="K777" s="203"/>
      <c r="L777" s="186">
        <f t="shared" si="15"/>
        <v>0</v>
      </c>
      <c r="M777" s="191"/>
      <c r="N777" s="191"/>
      <c r="O777" s="191"/>
      <c r="P777" s="191"/>
      <c r="Q777" s="191"/>
      <c r="R777" s="191"/>
      <c r="S777" s="191"/>
      <c r="T777" s="192"/>
      <c r="U777" s="189" t="str">
        <f t="shared" si="16"/>
        <v/>
      </c>
      <c r="V777" s="190" t="str">
        <f t="shared" si="17"/>
        <v/>
      </c>
      <c r="W777" s="190" t="str">
        <f t="shared" si="18"/>
        <v/>
      </c>
      <c r="X777" s="191" t="str">
        <f t="shared" si="19"/>
        <v/>
      </c>
      <c r="Y777" s="191" t="str">
        <f t="shared" si="20"/>
        <v/>
      </c>
      <c r="Z777" s="156"/>
    </row>
    <row r="778">
      <c r="A778" s="177" t="str">
        <f t="shared" si="14"/>
        <v/>
      </c>
      <c r="B778" s="196"/>
      <c r="C778" s="179" t="str">
        <f t="shared" si="2"/>
        <v/>
      </c>
      <c r="D778" s="197"/>
      <c r="E778" s="181"/>
      <c r="F778" s="198"/>
      <c r="G778" s="201"/>
      <c r="H778" s="201"/>
      <c r="I778" s="201"/>
      <c r="J778" s="202"/>
      <c r="K778" s="203"/>
      <c r="L778" s="186">
        <f t="shared" si="15"/>
        <v>0</v>
      </c>
      <c r="M778" s="191"/>
      <c r="N778" s="191"/>
      <c r="O778" s="191"/>
      <c r="P778" s="191"/>
      <c r="Q778" s="191"/>
      <c r="R778" s="191"/>
      <c r="S778" s="191"/>
      <c r="T778" s="192"/>
      <c r="U778" s="189" t="str">
        <f t="shared" si="16"/>
        <v/>
      </c>
      <c r="V778" s="190" t="str">
        <f t="shared" si="17"/>
        <v/>
      </c>
      <c r="W778" s="190" t="str">
        <f t="shared" si="18"/>
        <v/>
      </c>
      <c r="X778" s="191" t="str">
        <f t="shared" si="19"/>
        <v/>
      </c>
      <c r="Y778" s="191" t="str">
        <f t="shared" si="20"/>
        <v/>
      </c>
      <c r="Z778" s="156"/>
    </row>
    <row r="779">
      <c r="A779" s="177" t="str">
        <f t="shared" si="14"/>
        <v/>
      </c>
      <c r="B779" s="196"/>
      <c r="C779" s="179" t="str">
        <f t="shared" si="2"/>
        <v/>
      </c>
      <c r="D779" s="197"/>
      <c r="E779" s="181"/>
      <c r="F779" s="198"/>
      <c r="G779" s="201"/>
      <c r="H779" s="201"/>
      <c r="I779" s="201"/>
      <c r="J779" s="202"/>
      <c r="K779" s="203"/>
      <c r="L779" s="186">
        <f t="shared" si="15"/>
        <v>0</v>
      </c>
      <c r="M779" s="191"/>
      <c r="N779" s="191"/>
      <c r="O779" s="191"/>
      <c r="P779" s="191"/>
      <c r="Q779" s="191"/>
      <c r="R779" s="191"/>
      <c r="S779" s="191"/>
      <c r="T779" s="192"/>
      <c r="U779" s="189" t="str">
        <f t="shared" si="16"/>
        <v/>
      </c>
      <c r="V779" s="190" t="str">
        <f t="shared" si="17"/>
        <v/>
      </c>
      <c r="W779" s="190" t="str">
        <f t="shared" si="18"/>
        <v/>
      </c>
      <c r="X779" s="191" t="str">
        <f t="shared" si="19"/>
        <v/>
      </c>
      <c r="Y779" s="191" t="str">
        <f t="shared" si="20"/>
        <v/>
      </c>
      <c r="Z779" s="156"/>
    </row>
    <row r="780">
      <c r="A780" s="177" t="str">
        <f t="shared" si="14"/>
        <v/>
      </c>
      <c r="B780" s="196"/>
      <c r="C780" s="179" t="str">
        <f t="shared" si="2"/>
        <v/>
      </c>
      <c r="D780" s="197"/>
      <c r="E780" s="181"/>
      <c r="F780" s="198"/>
      <c r="G780" s="201"/>
      <c r="H780" s="201"/>
      <c r="I780" s="201"/>
      <c r="J780" s="202"/>
      <c r="K780" s="203"/>
      <c r="L780" s="186">
        <f t="shared" si="15"/>
        <v>0</v>
      </c>
      <c r="M780" s="191"/>
      <c r="N780" s="191"/>
      <c r="O780" s="191"/>
      <c r="P780" s="191"/>
      <c r="Q780" s="191"/>
      <c r="R780" s="191"/>
      <c r="S780" s="191"/>
      <c r="T780" s="192"/>
      <c r="U780" s="189" t="str">
        <f t="shared" si="16"/>
        <v/>
      </c>
      <c r="V780" s="190" t="str">
        <f t="shared" si="17"/>
        <v/>
      </c>
      <c r="W780" s="190" t="str">
        <f t="shared" si="18"/>
        <v/>
      </c>
      <c r="X780" s="191" t="str">
        <f t="shared" si="19"/>
        <v/>
      </c>
      <c r="Y780" s="191" t="str">
        <f t="shared" si="20"/>
        <v/>
      </c>
      <c r="Z780" s="156"/>
    </row>
    <row r="781">
      <c r="A781" s="177" t="str">
        <f t="shared" si="14"/>
        <v/>
      </c>
      <c r="B781" s="196"/>
      <c r="C781" s="179" t="str">
        <f t="shared" si="2"/>
        <v/>
      </c>
      <c r="D781" s="197"/>
      <c r="E781" s="181"/>
      <c r="F781" s="198"/>
      <c r="G781" s="201"/>
      <c r="H781" s="201"/>
      <c r="I781" s="201"/>
      <c r="J781" s="202"/>
      <c r="K781" s="203"/>
      <c r="L781" s="186">
        <f t="shared" si="15"/>
        <v>0</v>
      </c>
      <c r="M781" s="191"/>
      <c r="N781" s="191"/>
      <c r="O781" s="191"/>
      <c r="P781" s="191"/>
      <c r="Q781" s="191"/>
      <c r="R781" s="191"/>
      <c r="S781" s="191"/>
      <c r="T781" s="192"/>
      <c r="U781" s="189" t="str">
        <f t="shared" si="16"/>
        <v/>
      </c>
      <c r="V781" s="190" t="str">
        <f t="shared" si="17"/>
        <v/>
      </c>
      <c r="W781" s="190" t="str">
        <f t="shared" si="18"/>
        <v/>
      </c>
      <c r="X781" s="191" t="str">
        <f t="shared" si="19"/>
        <v/>
      </c>
      <c r="Y781" s="191" t="str">
        <f t="shared" si="20"/>
        <v/>
      </c>
      <c r="Z781" s="156"/>
    </row>
    <row r="782">
      <c r="A782" s="177" t="str">
        <f t="shared" si="14"/>
        <v/>
      </c>
      <c r="B782" s="196"/>
      <c r="C782" s="179" t="str">
        <f t="shared" si="2"/>
        <v/>
      </c>
      <c r="D782" s="197"/>
      <c r="E782" s="181"/>
      <c r="F782" s="198"/>
      <c r="G782" s="201"/>
      <c r="H782" s="201"/>
      <c r="I782" s="201"/>
      <c r="J782" s="202"/>
      <c r="K782" s="203"/>
      <c r="L782" s="186">
        <f t="shared" si="15"/>
        <v>0</v>
      </c>
      <c r="M782" s="191"/>
      <c r="N782" s="191"/>
      <c r="O782" s="191"/>
      <c r="P782" s="191"/>
      <c r="Q782" s="191"/>
      <c r="R782" s="191"/>
      <c r="S782" s="191"/>
      <c r="T782" s="192"/>
      <c r="U782" s="189" t="str">
        <f t="shared" si="16"/>
        <v/>
      </c>
      <c r="V782" s="190" t="str">
        <f t="shared" si="17"/>
        <v/>
      </c>
      <c r="W782" s="190" t="str">
        <f t="shared" si="18"/>
        <v/>
      </c>
      <c r="X782" s="191" t="str">
        <f t="shared" si="19"/>
        <v/>
      </c>
      <c r="Y782" s="191" t="str">
        <f t="shared" si="20"/>
        <v/>
      </c>
      <c r="Z782" s="156"/>
    </row>
    <row r="783">
      <c r="A783" s="177" t="str">
        <f t="shared" si="14"/>
        <v/>
      </c>
      <c r="B783" s="196"/>
      <c r="C783" s="179" t="str">
        <f t="shared" si="2"/>
        <v/>
      </c>
      <c r="D783" s="197"/>
      <c r="E783" s="181"/>
      <c r="F783" s="198"/>
      <c r="G783" s="201"/>
      <c r="H783" s="201"/>
      <c r="I783" s="201"/>
      <c r="J783" s="202"/>
      <c r="K783" s="203"/>
      <c r="L783" s="186">
        <f t="shared" si="15"/>
        <v>0</v>
      </c>
      <c r="M783" s="191"/>
      <c r="N783" s="191"/>
      <c r="O783" s="191"/>
      <c r="P783" s="191"/>
      <c r="Q783" s="191"/>
      <c r="R783" s="191"/>
      <c r="S783" s="191"/>
      <c r="T783" s="192"/>
      <c r="U783" s="189" t="str">
        <f t="shared" si="16"/>
        <v/>
      </c>
      <c r="V783" s="190" t="str">
        <f t="shared" si="17"/>
        <v/>
      </c>
      <c r="W783" s="190" t="str">
        <f t="shared" si="18"/>
        <v/>
      </c>
      <c r="X783" s="191" t="str">
        <f t="shared" si="19"/>
        <v/>
      </c>
      <c r="Y783" s="191" t="str">
        <f t="shared" si="20"/>
        <v/>
      </c>
      <c r="Z783" s="156"/>
    </row>
    <row r="784">
      <c r="A784" s="177" t="str">
        <f t="shared" si="14"/>
        <v/>
      </c>
      <c r="B784" s="196"/>
      <c r="C784" s="179" t="str">
        <f t="shared" si="2"/>
        <v/>
      </c>
      <c r="D784" s="197"/>
      <c r="E784" s="181"/>
      <c r="F784" s="198"/>
      <c r="G784" s="201"/>
      <c r="H784" s="201"/>
      <c r="I784" s="201"/>
      <c r="J784" s="202"/>
      <c r="K784" s="203"/>
      <c r="L784" s="186">
        <f t="shared" si="15"/>
        <v>0</v>
      </c>
      <c r="M784" s="191"/>
      <c r="N784" s="191"/>
      <c r="O784" s="191"/>
      <c r="P784" s="191"/>
      <c r="Q784" s="191"/>
      <c r="R784" s="191"/>
      <c r="S784" s="191"/>
      <c r="T784" s="192"/>
      <c r="U784" s="189" t="str">
        <f t="shared" si="16"/>
        <v/>
      </c>
      <c r="V784" s="190" t="str">
        <f t="shared" si="17"/>
        <v/>
      </c>
      <c r="W784" s="190" t="str">
        <f t="shared" si="18"/>
        <v/>
      </c>
      <c r="X784" s="191" t="str">
        <f t="shared" si="19"/>
        <v/>
      </c>
      <c r="Y784" s="191" t="str">
        <f t="shared" si="20"/>
        <v/>
      </c>
      <c r="Z784" s="156"/>
    </row>
    <row r="785">
      <c r="A785" s="177" t="str">
        <f t="shared" si="14"/>
        <v/>
      </c>
      <c r="B785" s="196"/>
      <c r="C785" s="179" t="str">
        <f t="shared" si="2"/>
        <v/>
      </c>
      <c r="D785" s="197"/>
      <c r="E785" s="181"/>
      <c r="F785" s="198"/>
      <c r="G785" s="201"/>
      <c r="H785" s="201"/>
      <c r="I785" s="201"/>
      <c r="J785" s="202"/>
      <c r="K785" s="203"/>
      <c r="L785" s="186">
        <f t="shared" si="15"/>
        <v>0</v>
      </c>
      <c r="M785" s="191"/>
      <c r="N785" s="191"/>
      <c r="O785" s="191"/>
      <c r="P785" s="191"/>
      <c r="Q785" s="191"/>
      <c r="R785" s="191"/>
      <c r="S785" s="191"/>
      <c r="T785" s="192"/>
      <c r="U785" s="189" t="str">
        <f t="shared" si="16"/>
        <v/>
      </c>
      <c r="V785" s="190" t="str">
        <f t="shared" si="17"/>
        <v/>
      </c>
      <c r="W785" s="190" t="str">
        <f t="shared" si="18"/>
        <v/>
      </c>
      <c r="X785" s="191" t="str">
        <f t="shared" si="19"/>
        <v/>
      </c>
      <c r="Y785" s="191" t="str">
        <f t="shared" si="20"/>
        <v/>
      </c>
      <c r="Z785" s="156"/>
    </row>
    <row r="786">
      <c r="A786" s="177" t="str">
        <f t="shared" si="14"/>
        <v/>
      </c>
      <c r="B786" s="196"/>
      <c r="C786" s="179" t="str">
        <f t="shared" si="2"/>
        <v/>
      </c>
      <c r="D786" s="197"/>
      <c r="E786" s="181"/>
      <c r="F786" s="198"/>
      <c r="G786" s="201"/>
      <c r="H786" s="201"/>
      <c r="I786" s="201"/>
      <c r="J786" s="202"/>
      <c r="K786" s="203"/>
      <c r="L786" s="186">
        <f t="shared" si="15"/>
        <v>0</v>
      </c>
      <c r="M786" s="191"/>
      <c r="N786" s="191"/>
      <c r="O786" s="191"/>
      <c r="P786" s="191"/>
      <c r="Q786" s="191"/>
      <c r="R786" s="191"/>
      <c r="S786" s="191"/>
      <c r="T786" s="192"/>
      <c r="U786" s="189" t="str">
        <f t="shared" si="16"/>
        <v/>
      </c>
      <c r="V786" s="190" t="str">
        <f t="shared" si="17"/>
        <v/>
      </c>
      <c r="W786" s="190" t="str">
        <f t="shared" si="18"/>
        <v/>
      </c>
      <c r="X786" s="191" t="str">
        <f t="shared" si="19"/>
        <v/>
      </c>
      <c r="Y786" s="191" t="str">
        <f t="shared" si="20"/>
        <v/>
      </c>
      <c r="Z786" s="156"/>
    </row>
    <row r="787">
      <c r="A787" s="177" t="str">
        <f t="shared" si="14"/>
        <v/>
      </c>
      <c r="B787" s="196"/>
      <c r="C787" s="179" t="str">
        <f t="shared" si="2"/>
        <v/>
      </c>
      <c r="D787" s="197"/>
      <c r="E787" s="181"/>
      <c r="F787" s="198"/>
      <c r="G787" s="201"/>
      <c r="H787" s="201"/>
      <c r="I787" s="201"/>
      <c r="J787" s="202"/>
      <c r="K787" s="203"/>
      <c r="L787" s="186">
        <f t="shared" si="15"/>
        <v>0</v>
      </c>
      <c r="M787" s="191"/>
      <c r="N787" s="191"/>
      <c r="O787" s="191"/>
      <c r="P787" s="191"/>
      <c r="Q787" s="191"/>
      <c r="R787" s="191"/>
      <c r="S787" s="191"/>
      <c r="T787" s="192"/>
      <c r="U787" s="189" t="str">
        <f t="shared" si="16"/>
        <v/>
      </c>
      <c r="V787" s="190" t="str">
        <f t="shared" si="17"/>
        <v/>
      </c>
      <c r="W787" s="190" t="str">
        <f t="shared" si="18"/>
        <v/>
      </c>
      <c r="X787" s="191" t="str">
        <f t="shared" si="19"/>
        <v/>
      </c>
      <c r="Y787" s="191" t="str">
        <f t="shared" si="20"/>
        <v/>
      </c>
      <c r="Z787" s="156"/>
    </row>
    <row r="788">
      <c r="A788" s="177" t="str">
        <f t="shared" si="14"/>
        <v/>
      </c>
      <c r="B788" s="196"/>
      <c r="C788" s="179" t="str">
        <f t="shared" si="2"/>
        <v/>
      </c>
      <c r="D788" s="197"/>
      <c r="E788" s="181"/>
      <c r="F788" s="198"/>
      <c r="G788" s="201"/>
      <c r="H788" s="201"/>
      <c r="I788" s="201"/>
      <c r="J788" s="202"/>
      <c r="K788" s="203"/>
      <c r="L788" s="186">
        <f t="shared" si="15"/>
        <v>0</v>
      </c>
      <c r="M788" s="191"/>
      <c r="N788" s="191"/>
      <c r="O788" s="191"/>
      <c r="P788" s="191"/>
      <c r="Q788" s="191"/>
      <c r="R788" s="191"/>
      <c r="S788" s="191"/>
      <c r="T788" s="192"/>
      <c r="U788" s="189" t="str">
        <f t="shared" si="16"/>
        <v/>
      </c>
      <c r="V788" s="190" t="str">
        <f t="shared" si="17"/>
        <v/>
      </c>
      <c r="W788" s="190" t="str">
        <f t="shared" si="18"/>
        <v/>
      </c>
      <c r="X788" s="191" t="str">
        <f t="shared" si="19"/>
        <v/>
      </c>
      <c r="Y788" s="191" t="str">
        <f t="shared" si="20"/>
        <v/>
      </c>
      <c r="Z788" s="156"/>
    </row>
    <row r="789">
      <c r="A789" s="177" t="str">
        <f t="shared" si="14"/>
        <v/>
      </c>
      <c r="B789" s="196"/>
      <c r="C789" s="179" t="str">
        <f t="shared" si="2"/>
        <v/>
      </c>
      <c r="D789" s="197"/>
      <c r="E789" s="181"/>
      <c r="F789" s="198"/>
      <c r="G789" s="201"/>
      <c r="H789" s="201"/>
      <c r="I789" s="201"/>
      <c r="J789" s="202"/>
      <c r="K789" s="203"/>
      <c r="L789" s="186">
        <f t="shared" si="15"/>
        <v>0</v>
      </c>
      <c r="M789" s="191"/>
      <c r="N789" s="191"/>
      <c r="O789" s="191"/>
      <c r="P789" s="191"/>
      <c r="Q789" s="191"/>
      <c r="R789" s="191"/>
      <c r="S789" s="191"/>
      <c r="T789" s="192"/>
      <c r="U789" s="189" t="str">
        <f t="shared" si="16"/>
        <v/>
      </c>
      <c r="V789" s="190" t="str">
        <f t="shared" si="17"/>
        <v/>
      </c>
      <c r="W789" s="190" t="str">
        <f t="shared" si="18"/>
        <v/>
      </c>
      <c r="X789" s="191" t="str">
        <f t="shared" si="19"/>
        <v/>
      </c>
      <c r="Y789" s="191" t="str">
        <f t="shared" si="20"/>
        <v/>
      </c>
      <c r="Z789" s="156"/>
    </row>
    <row r="790">
      <c r="A790" s="177" t="str">
        <f t="shared" si="14"/>
        <v/>
      </c>
      <c r="B790" s="196"/>
      <c r="C790" s="179" t="str">
        <f t="shared" si="2"/>
        <v/>
      </c>
      <c r="D790" s="197"/>
      <c r="E790" s="181"/>
      <c r="F790" s="198"/>
      <c r="G790" s="201"/>
      <c r="H790" s="201"/>
      <c r="I790" s="201"/>
      <c r="J790" s="202"/>
      <c r="K790" s="203"/>
      <c r="L790" s="186">
        <f t="shared" si="15"/>
        <v>0</v>
      </c>
      <c r="M790" s="191"/>
      <c r="N790" s="191"/>
      <c r="O790" s="191"/>
      <c r="P790" s="191"/>
      <c r="Q790" s="191"/>
      <c r="R790" s="191"/>
      <c r="S790" s="191"/>
      <c r="T790" s="192"/>
      <c r="U790" s="189" t="str">
        <f t="shared" si="16"/>
        <v/>
      </c>
      <c r="V790" s="190" t="str">
        <f t="shared" si="17"/>
        <v/>
      </c>
      <c r="W790" s="190" t="str">
        <f t="shared" si="18"/>
        <v/>
      </c>
      <c r="X790" s="191" t="str">
        <f t="shared" si="19"/>
        <v/>
      </c>
      <c r="Y790" s="191" t="str">
        <f t="shared" si="20"/>
        <v/>
      </c>
      <c r="Z790" s="156"/>
    </row>
    <row r="791">
      <c r="A791" s="177" t="str">
        <f t="shared" si="14"/>
        <v/>
      </c>
      <c r="B791" s="196"/>
      <c r="C791" s="179" t="str">
        <f t="shared" si="2"/>
        <v/>
      </c>
      <c r="D791" s="197"/>
      <c r="E791" s="181"/>
      <c r="F791" s="198"/>
      <c r="G791" s="201"/>
      <c r="H791" s="201"/>
      <c r="I791" s="201"/>
      <c r="J791" s="202"/>
      <c r="K791" s="203"/>
      <c r="L791" s="186">
        <f t="shared" si="15"/>
        <v>0</v>
      </c>
      <c r="M791" s="191"/>
      <c r="N791" s="191"/>
      <c r="O791" s="191"/>
      <c r="P791" s="191"/>
      <c r="Q791" s="191"/>
      <c r="R791" s="191"/>
      <c r="S791" s="191"/>
      <c r="T791" s="192"/>
      <c r="U791" s="189" t="str">
        <f t="shared" si="16"/>
        <v/>
      </c>
      <c r="V791" s="190" t="str">
        <f t="shared" si="17"/>
        <v/>
      </c>
      <c r="W791" s="190" t="str">
        <f t="shared" si="18"/>
        <v/>
      </c>
      <c r="X791" s="191" t="str">
        <f t="shared" si="19"/>
        <v/>
      </c>
      <c r="Y791" s="191" t="str">
        <f t="shared" si="20"/>
        <v/>
      </c>
      <c r="Z791" s="156"/>
    </row>
    <row r="792">
      <c r="A792" s="177" t="str">
        <f t="shared" si="14"/>
        <v/>
      </c>
      <c r="B792" s="196"/>
      <c r="C792" s="179" t="str">
        <f t="shared" si="2"/>
        <v/>
      </c>
      <c r="D792" s="197"/>
      <c r="E792" s="181"/>
      <c r="F792" s="198"/>
      <c r="G792" s="201"/>
      <c r="H792" s="201"/>
      <c r="I792" s="201"/>
      <c r="J792" s="202"/>
      <c r="K792" s="203"/>
      <c r="L792" s="186">
        <f t="shared" si="15"/>
        <v>0</v>
      </c>
      <c r="M792" s="191"/>
      <c r="N792" s="191"/>
      <c r="O792" s="191"/>
      <c r="P792" s="191"/>
      <c r="Q792" s="191"/>
      <c r="R792" s="191"/>
      <c r="S792" s="191"/>
      <c r="T792" s="192"/>
      <c r="U792" s="189" t="str">
        <f t="shared" si="16"/>
        <v/>
      </c>
      <c r="V792" s="190" t="str">
        <f t="shared" si="17"/>
        <v/>
      </c>
      <c r="W792" s="190" t="str">
        <f t="shared" si="18"/>
        <v/>
      </c>
      <c r="X792" s="191" t="str">
        <f t="shared" si="19"/>
        <v/>
      </c>
      <c r="Y792" s="191" t="str">
        <f t="shared" si="20"/>
        <v/>
      </c>
      <c r="Z792" s="156"/>
    </row>
    <row r="793">
      <c r="A793" s="177" t="str">
        <f t="shared" si="14"/>
        <v/>
      </c>
      <c r="B793" s="196"/>
      <c r="C793" s="179" t="str">
        <f t="shared" si="2"/>
        <v/>
      </c>
      <c r="D793" s="197"/>
      <c r="E793" s="181"/>
      <c r="F793" s="198"/>
      <c r="G793" s="201"/>
      <c r="H793" s="201"/>
      <c r="I793" s="201"/>
      <c r="J793" s="202"/>
      <c r="K793" s="203"/>
      <c r="L793" s="186">
        <f t="shared" si="15"/>
        <v>0</v>
      </c>
      <c r="M793" s="191"/>
      <c r="N793" s="191"/>
      <c r="O793" s="191"/>
      <c r="P793" s="191"/>
      <c r="Q793" s="191"/>
      <c r="R793" s="191"/>
      <c r="S793" s="191"/>
      <c r="T793" s="192"/>
      <c r="U793" s="189" t="str">
        <f t="shared" si="16"/>
        <v/>
      </c>
      <c r="V793" s="190" t="str">
        <f t="shared" si="17"/>
        <v/>
      </c>
      <c r="W793" s="190" t="str">
        <f t="shared" si="18"/>
        <v/>
      </c>
      <c r="X793" s="191" t="str">
        <f t="shared" si="19"/>
        <v/>
      </c>
      <c r="Y793" s="191" t="str">
        <f t="shared" si="20"/>
        <v/>
      </c>
      <c r="Z793" s="156"/>
    </row>
    <row r="794">
      <c r="A794" s="177" t="str">
        <f t="shared" si="14"/>
        <v/>
      </c>
      <c r="B794" s="196"/>
      <c r="C794" s="179" t="str">
        <f t="shared" si="2"/>
        <v/>
      </c>
      <c r="D794" s="197"/>
      <c r="E794" s="181"/>
      <c r="F794" s="198"/>
      <c r="G794" s="201"/>
      <c r="H794" s="201"/>
      <c r="I794" s="201"/>
      <c r="J794" s="202"/>
      <c r="K794" s="203"/>
      <c r="L794" s="186">
        <f t="shared" si="15"/>
        <v>0</v>
      </c>
      <c r="M794" s="191"/>
      <c r="N794" s="191"/>
      <c r="O794" s="191"/>
      <c r="P794" s="191"/>
      <c r="Q794" s="191"/>
      <c r="R794" s="191"/>
      <c r="S794" s="191"/>
      <c r="T794" s="192"/>
      <c r="U794" s="189" t="str">
        <f t="shared" si="16"/>
        <v/>
      </c>
      <c r="V794" s="190" t="str">
        <f t="shared" si="17"/>
        <v/>
      </c>
      <c r="W794" s="190" t="str">
        <f t="shared" si="18"/>
        <v/>
      </c>
      <c r="X794" s="191" t="str">
        <f t="shared" si="19"/>
        <v/>
      </c>
      <c r="Y794" s="191" t="str">
        <f t="shared" si="20"/>
        <v/>
      </c>
      <c r="Z794" s="156"/>
    </row>
    <row r="795">
      <c r="A795" s="177" t="str">
        <f t="shared" si="14"/>
        <v/>
      </c>
      <c r="B795" s="196"/>
      <c r="C795" s="179" t="str">
        <f t="shared" si="2"/>
        <v/>
      </c>
      <c r="D795" s="197"/>
      <c r="E795" s="181"/>
      <c r="F795" s="198"/>
      <c r="G795" s="201"/>
      <c r="H795" s="201"/>
      <c r="I795" s="201"/>
      <c r="J795" s="202"/>
      <c r="K795" s="203"/>
      <c r="L795" s="186">
        <f t="shared" si="15"/>
        <v>0</v>
      </c>
      <c r="M795" s="191"/>
      <c r="N795" s="191"/>
      <c r="O795" s="191"/>
      <c r="P795" s="191"/>
      <c r="Q795" s="191"/>
      <c r="R795" s="191"/>
      <c r="S795" s="191"/>
      <c r="T795" s="192"/>
      <c r="U795" s="189" t="str">
        <f t="shared" si="16"/>
        <v/>
      </c>
      <c r="V795" s="190" t="str">
        <f t="shared" si="17"/>
        <v/>
      </c>
      <c r="W795" s="190" t="str">
        <f t="shared" si="18"/>
        <v/>
      </c>
      <c r="X795" s="191" t="str">
        <f t="shared" si="19"/>
        <v/>
      </c>
      <c r="Y795" s="191" t="str">
        <f t="shared" si="20"/>
        <v/>
      </c>
      <c r="Z795" s="156"/>
    </row>
    <row r="796">
      <c r="A796" s="177" t="str">
        <f t="shared" si="14"/>
        <v/>
      </c>
      <c r="B796" s="196"/>
      <c r="C796" s="179" t="str">
        <f t="shared" si="2"/>
        <v/>
      </c>
      <c r="D796" s="197"/>
      <c r="E796" s="181"/>
      <c r="F796" s="198"/>
      <c r="G796" s="201"/>
      <c r="H796" s="201"/>
      <c r="I796" s="201"/>
      <c r="J796" s="202"/>
      <c r="K796" s="203"/>
      <c r="L796" s="186">
        <f t="shared" si="15"/>
        <v>0</v>
      </c>
      <c r="M796" s="191"/>
      <c r="N796" s="191"/>
      <c r="O796" s="191"/>
      <c r="P796" s="191"/>
      <c r="Q796" s="191"/>
      <c r="R796" s="191"/>
      <c r="S796" s="191"/>
      <c r="T796" s="192"/>
      <c r="U796" s="189" t="str">
        <f t="shared" si="16"/>
        <v/>
      </c>
      <c r="V796" s="190" t="str">
        <f t="shared" si="17"/>
        <v/>
      </c>
      <c r="W796" s="190" t="str">
        <f t="shared" si="18"/>
        <v/>
      </c>
      <c r="X796" s="191" t="str">
        <f t="shared" si="19"/>
        <v/>
      </c>
      <c r="Y796" s="191" t="str">
        <f t="shared" si="20"/>
        <v/>
      </c>
      <c r="Z796" s="156"/>
    </row>
    <row r="797">
      <c r="A797" s="177" t="str">
        <f t="shared" si="14"/>
        <v/>
      </c>
      <c r="B797" s="196"/>
      <c r="C797" s="179" t="str">
        <f t="shared" si="2"/>
        <v/>
      </c>
      <c r="D797" s="197"/>
      <c r="E797" s="181"/>
      <c r="F797" s="198"/>
      <c r="G797" s="201"/>
      <c r="H797" s="201"/>
      <c r="I797" s="201"/>
      <c r="J797" s="202"/>
      <c r="K797" s="203"/>
      <c r="L797" s="186">
        <f t="shared" si="15"/>
        <v>0</v>
      </c>
      <c r="M797" s="191"/>
      <c r="N797" s="191"/>
      <c r="O797" s="191"/>
      <c r="P797" s="191"/>
      <c r="Q797" s="191"/>
      <c r="R797" s="191"/>
      <c r="S797" s="191"/>
      <c r="T797" s="192"/>
      <c r="U797" s="189" t="str">
        <f t="shared" si="16"/>
        <v/>
      </c>
      <c r="V797" s="190" t="str">
        <f t="shared" si="17"/>
        <v/>
      </c>
      <c r="W797" s="190" t="str">
        <f t="shared" si="18"/>
        <v/>
      </c>
      <c r="X797" s="191" t="str">
        <f t="shared" si="19"/>
        <v/>
      </c>
      <c r="Y797" s="191" t="str">
        <f t="shared" si="20"/>
        <v/>
      </c>
      <c r="Z797" s="156"/>
    </row>
    <row r="798">
      <c r="A798" s="177" t="str">
        <f t="shared" si="14"/>
        <v/>
      </c>
      <c r="B798" s="196"/>
      <c r="C798" s="179" t="str">
        <f t="shared" si="2"/>
        <v/>
      </c>
      <c r="D798" s="197"/>
      <c r="E798" s="181"/>
      <c r="F798" s="198"/>
      <c r="G798" s="201"/>
      <c r="H798" s="201"/>
      <c r="I798" s="201"/>
      <c r="J798" s="202"/>
      <c r="K798" s="203"/>
      <c r="L798" s="186">
        <f t="shared" si="15"/>
        <v>0</v>
      </c>
      <c r="M798" s="191"/>
      <c r="N798" s="191"/>
      <c r="O798" s="191"/>
      <c r="P798" s="191"/>
      <c r="Q798" s="191"/>
      <c r="R798" s="191"/>
      <c r="S798" s="191"/>
      <c r="T798" s="192"/>
      <c r="U798" s="189" t="str">
        <f t="shared" si="16"/>
        <v/>
      </c>
      <c r="V798" s="190" t="str">
        <f t="shared" si="17"/>
        <v/>
      </c>
      <c r="W798" s="190" t="str">
        <f t="shared" si="18"/>
        <v/>
      </c>
      <c r="X798" s="191" t="str">
        <f t="shared" si="19"/>
        <v/>
      </c>
      <c r="Y798" s="191" t="str">
        <f t="shared" si="20"/>
        <v/>
      </c>
      <c r="Z798" s="156"/>
    </row>
    <row r="799">
      <c r="A799" s="177" t="str">
        <f t="shared" si="14"/>
        <v/>
      </c>
      <c r="B799" s="196"/>
      <c r="C799" s="179" t="str">
        <f t="shared" si="2"/>
        <v/>
      </c>
      <c r="D799" s="197"/>
      <c r="E799" s="181"/>
      <c r="F799" s="198"/>
      <c r="G799" s="201"/>
      <c r="H799" s="201"/>
      <c r="I799" s="201"/>
      <c r="J799" s="202"/>
      <c r="K799" s="203"/>
      <c r="L799" s="186">
        <f t="shared" si="15"/>
        <v>0</v>
      </c>
      <c r="M799" s="191"/>
      <c r="N799" s="191"/>
      <c r="O799" s="191"/>
      <c r="P799" s="191"/>
      <c r="Q799" s="191"/>
      <c r="R799" s="191"/>
      <c r="S799" s="191"/>
      <c r="T799" s="192"/>
      <c r="U799" s="189" t="str">
        <f t="shared" si="16"/>
        <v/>
      </c>
      <c r="V799" s="190" t="str">
        <f t="shared" si="17"/>
        <v/>
      </c>
      <c r="W799" s="190" t="str">
        <f t="shared" si="18"/>
        <v/>
      </c>
      <c r="X799" s="191" t="str">
        <f t="shared" si="19"/>
        <v/>
      </c>
      <c r="Y799" s="191" t="str">
        <f t="shared" si="20"/>
        <v/>
      </c>
      <c r="Z799" s="156"/>
    </row>
    <row r="800">
      <c r="A800" s="177" t="str">
        <f t="shared" si="14"/>
        <v/>
      </c>
      <c r="B800" s="196"/>
      <c r="C800" s="179" t="str">
        <f t="shared" si="2"/>
        <v/>
      </c>
      <c r="D800" s="197"/>
      <c r="E800" s="181"/>
      <c r="F800" s="198"/>
      <c r="G800" s="201"/>
      <c r="H800" s="201"/>
      <c r="I800" s="201"/>
      <c r="J800" s="202"/>
      <c r="K800" s="203"/>
      <c r="L800" s="186">
        <f t="shared" si="15"/>
        <v>0</v>
      </c>
      <c r="M800" s="191"/>
      <c r="N800" s="191"/>
      <c r="O800" s="191"/>
      <c r="P800" s="191"/>
      <c r="Q800" s="191"/>
      <c r="R800" s="191"/>
      <c r="S800" s="191"/>
      <c r="T800" s="192"/>
      <c r="U800" s="189" t="str">
        <f t="shared" si="16"/>
        <v/>
      </c>
      <c r="V800" s="190" t="str">
        <f t="shared" si="17"/>
        <v/>
      </c>
      <c r="W800" s="190" t="str">
        <f t="shared" si="18"/>
        <v/>
      </c>
      <c r="X800" s="191" t="str">
        <f t="shared" si="19"/>
        <v/>
      </c>
      <c r="Y800" s="191" t="str">
        <f t="shared" si="20"/>
        <v/>
      </c>
      <c r="Z800" s="156"/>
    </row>
    <row r="801">
      <c r="A801" s="177" t="str">
        <f t="shared" si="14"/>
        <v/>
      </c>
      <c r="B801" s="196"/>
      <c r="C801" s="179" t="str">
        <f t="shared" si="2"/>
        <v/>
      </c>
      <c r="D801" s="197"/>
      <c r="E801" s="181"/>
      <c r="F801" s="198"/>
      <c r="G801" s="201"/>
      <c r="H801" s="201"/>
      <c r="I801" s="201"/>
      <c r="J801" s="202"/>
      <c r="K801" s="203"/>
      <c r="L801" s="186">
        <f t="shared" si="15"/>
        <v>0</v>
      </c>
      <c r="M801" s="191"/>
      <c r="N801" s="191"/>
      <c r="O801" s="191"/>
      <c r="P801" s="191"/>
      <c r="Q801" s="191"/>
      <c r="R801" s="191"/>
      <c r="S801" s="191"/>
      <c r="T801" s="192"/>
      <c r="U801" s="189" t="str">
        <f t="shared" si="16"/>
        <v/>
      </c>
      <c r="V801" s="190" t="str">
        <f t="shared" si="17"/>
        <v/>
      </c>
      <c r="W801" s="190" t="str">
        <f t="shared" si="18"/>
        <v/>
      </c>
      <c r="X801" s="191" t="str">
        <f t="shared" si="19"/>
        <v/>
      </c>
      <c r="Y801" s="191" t="str">
        <f t="shared" si="20"/>
        <v/>
      </c>
      <c r="Z801" s="156"/>
    </row>
    <row r="802">
      <c r="A802" s="177" t="str">
        <f t="shared" si="14"/>
        <v/>
      </c>
      <c r="B802" s="196"/>
      <c r="C802" s="179" t="str">
        <f t="shared" si="2"/>
        <v/>
      </c>
      <c r="D802" s="197"/>
      <c r="E802" s="181"/>
      <c r="F802" s="198"/>
      <c r="G802" s="201"/>
      <c r="H802" s="201"/>
      <c r="I802" s="201"/>
      <c r="J802" s="202"/>
      <c r="K802" s="203"/>
      <c r="L802" s="186">
        <f t="shared" si="15"/>
        <v>0</v>
      </c>
      <c r="M802" s="191"/>
      <c r="N802" s="191"/>
      <c r="O802" s="191"/>
      <c r="P802" s="191"/>
      <c r="Q802" s="191"/>
      <c r="R802" s="191"/>
      <c r="S802" s="191"/>
      <c r="T802" s="192"/>
      <c r="U802" s="189" t="str">
        <f t="shared" si="16"/>
        <v/>
      </c>
      <c r="V802" s="190" t="str">
        <f t="shared" si="17"/>
        <v/>
      </c>
      <c r="W802" s="190" t="str">
        <f t="shared" si="18"/>
        <v/>
      </c>
      <c r="X802" s="191" t="str">
        <f t="shared" si="19"/>
        <v/>
      </c>
      <c r="Y802" s="191" t="str">
        <f t="shared" si="20"/>
        <v/>
      </c>
      <c r="Z802" s="156"/>
    </row>
    <row r="803">
      <c r="A803" s="177" t="str">
        <f t="shared" si="14"/>
        <v/>
      </c>
      <c r="B803" s="196"/>
      <c r="C803" s="179" t="str">
        <f t="shared" si="2"/>
        <v/>
      </c>
      <c r="D803" s="197"/>
      <c r="E803" s="181"/>
      <c r="F803" s="198"/>
      <c r="G803" s="201"/>
      <c r="H803" s="201"/>
      <c r="I803" s="201"/>
      <c r="J803" s="202"/>
      <c r="K803" s="203"/>
      <c r="L803" s="186">
        <f t="shared" si="15"/>
        <v>0</v>
      </c>
      <c r="M803" s="191"/>
      <c r="N803" s="191"/>
      <c r="O803" s="191"/>
      <c r="P803" s="191"/>
      <c r="Q803" s="191"/>
      <c r="R803" s="191"/>
      <c r="S803" s="191"/>
      <c r="T803" s="192"/>
      <c r="U803" s="189" t="str">
        <f t="shared" si="16"/>
        <v/>
      </c>
      <c r="V803" s="190" t="str">
        <f t="shared" si="17"/>
        <v/>
      </c>
      <c r="W803" s="190" t="str">
        <f t="shared" si="18"/>
        <v/>
      </c>
      <c r="X803" s="191" t="str">
        <f t="shared" si="19"/>
        <v/>
      </c>
      <c r="Y803" s="191" t="str">
        <f t="shared" si="20"/>
        <v/>
      </c>
      <c r="Z803" s="156"/>
    </row>
    <row r="804">
      <c r="A804" s="177" t="str">
        <f t="shared" si="14"/>
        <v/>
      </c>
      <c r="B804" s="196"/>
      <c r="C804" s="179" t="str">
        <f t="shared" si="2"/>
        <v/>
      </c>
      <c r="D804" s="197"/>
      <c r="E804" s="181"/>
      <c r="F804" s="198"/>
      <c r="G804" s="201"/>
      <c r="H804" s="201"/>
      <c r="I804" s="201"/>
      <c r="J804" s="202"/>
      <c r="K804" s="203"/>
      <c r="L804" s="186">
        <f t="shared" si="15"/>
        <v>0</v>
      </c>
      <c r="M804" s="191"/>
      <c r="N804" s="191"/>
      <c r="O804" s="191"/>
      <c r="P804" s="191"/>
      <c r="Q804" s="191"/>
      <c r="R804" s="191"/>
      <c r="S804" s="191"/>
      <c r="T804" s="192"/>
      <c r="U804" s="189" t="str">
        <f t="shared" si="16"/>
        <v/>
      </c>
      <c r="V804" s="190" t="str">
        <f t="shared" si="17"/>
        <v/>
      </c>
      <c r="W804" s="190" t="str">
        <f t="shared" si="18"/>
        <v/>
      </c>
      <c r="X804" s="191" t="str">
        <f t="shared" si="19"/>
        <v/>
      </c>
      <c r="Y804" s="191" t="str">
        <f t="shared" si="20"/>
        <v/>
      </c>
      <c r="Z804" s="156"/>
    </row>
    <row r="805">
      <c r="A805" s="177" t="str">
        <f t="shared" si="14"/>
        <v/>
      </c>
      <c r="B805" s="196"/>
      <c r="C805" s="179" t="str">
        <f t="shared" si="2"/>
        <v/>
      </c>
      <c r="D805" s="197"/>
      <c r="E805" s="181"/>
      <c r="F805" s="198"/>
      <c r="G805" s="201"/>
      <c r="H805" s="201"/>
      <c r="I805" s="201"/>
      <c r="J805" s="202"/>
      <c r="K805" s="203"/>
      <c r="L805" s="186">
        <f t="shared" si="15"/>
        <v>0</v>
      </c>
      <c r="M805" s="191"/>
      <c r="N805" s="191"/>
      <c r="O805" s="191"/>
      <c r="P805" s="191"/>
      <c r="Q805" s="191"/>
      <c r="R805" s="191"/>
      <c r="S805" s="191"/>
      <c r="T805" s="192"/>
      <c r="U805" s="189" t="str">
        <f t="shared" si="16"/>
        <v/>
      </c>
      <c r="V805" s="190" t="str">
        <f t="shared" si="17"/>
        <v/>
      </c>
      <c r="W805" s="190" t="str">
        <f t="shared" si="18"/>
        <v/>
      </c>
      <c r="X805" s="191" t="str">
        <f t="shared" si="19"/>
        <v/>
      </c>
      <c r="Y805" s="191" t="str">
        <f t="shared" si="20"/>
        <v/>
      </c>
      <c r="Z805" s="156"/>
    </row>
    <row r="806">
      <c r="A806" s="177" t="str">
        <f t="shared" si="14"/>
        <v/>
      </c>
      <c r="B806" s="196"/>
      <c r="C806" s="179" t="str">
        <f t="shared" si="2"/>
        <v/>
      </c>
      <c r="D806" s="197"/>
      <c r="E806" s="181"/>
      <c r="F806" s="198"/>
      <c r="G806" s="201"/>
      <c r="H806" s="201"/>
      <c r="I806" s="201"/>
      <c r="J806" s="202"/>
      <c r="K806" s="203"/>
      <c r="L806" s="186">
        <f t="shared" si="15"/>
        <v>0</v>
      </c>
      <c r="M806" s="191"/>
      <c r="N806" s="191"/>
      <c r="O806" s="191"/>
      <c r="P806" s="191"/>
      <c r="Q806" s="191"/>
      <c r="R806" s="191"/>
      <c r="S806" s="191"/>
      <c r="T806" s="192"/>
      <c r="U806" s="189" t="str">
        <f t="shared" si="16"/>
        <v/>
      </c>
      <c r="V806" s="190" t="str">
        <f t="shared" si="17"/>
        <v/>
      </c>
      <c r="W806" s="190" t="str">
        <f t="shared" si="18"/>
        <v/>
      </c>
      <c r="X806" s="191" t="str">
        <f t="shared" si="19"/>
        <v/>
      </c>
      <c r="Y806" s="191" t="str">
        <f t="shared" si="20"/>
        <v/>
      </c>
      <c r="Z806" s="156"/>
    </row>
    <row r="807">
      <c r="A807" s="177" t="str">
        <f t="shared" si="14"/>
        <v/>
      </c>
      <c r="B807" s="196"/>
      <c r="C807" s="179" t="str">
        <f t="shared" si="2"/>
        <v/>
      </c>
      <c r="D807" s="197"/>
      <c r="E807" s="181"/>
      <c r="F807" s="198"/>
      <c r="G807" s="201"/>
      <c r="H807" s="201"/>
      <c r="I807" s="201"/>
      <c r="J807" s="202"/>
      <c r="K807" s="203"/>
      <c r="L807" s="186">
        <f t="shared" si="15"/>
        <v>0</v>
      </c>
      <c r="M807" s="191"/>
      <c r="N807" s="191"/>
      <c r="O807" s="191"/>
      <c r="P807" s="191"/>
      <c r="Q807" s="191"/>
      <c r="R807" s="191"/>
      <c r="S807" s="191"/>
      <c r="T807" s="192"/>
      <c r="U807" s="189" t="str">
        <f t="shared" si="16"/>
        <v/>
      </c>
      <c r="V807" s="190" t="str">
        <f t="shared" si="17"/>
        <v/>
      </c>
      <c r="W807" s="190" t="str">
        <f t="shared" si="18"/>
        <v/>
      </c>
      <c r="X807" s="191" t="str">
        <f t="shared" si="19"/>
        <v/>
      </c>
      <c r="Y807" s="191" t="str">
        <f t="shared" si="20"/>
        <v/>
      </c>
      <c r="Z807" s="156"/>
    </row>
    <row r="808">
      <c r="A808" s="177" t="str">
        <f t="shared" si="14"/>
        <v/>
      </c>
      <c r="B808" s="196"/>
      <c r="C808" s="179" t="str">
        <f t="shared" si="2"/>
        <v/>
      </c>
      <c r="D808" s="197"/>
      <c r="E808" s="181"/>
      <c r="F808" s="198"/>
      <c r="G808" s="201"/>
      <c r="H808" s="201"/>
      <c r="I808" s="201"/>
      <c r="J808" s="202"/>
      <c r="K808" s="203"/>
      <c r="L808" s="186">
        <f t="shared" si="15"/>
        <v>0</v>
      </c>
      <c r="M808" s="191"/>
      <c r="N808" s="191"/>
      <c r="O808" s="191"/>
      <c r="P808" s="191"/>
      <c r="Q808" s="191"/>
      <c r="R808" s="191"/>
      <c r="S808" s="191"/>
      <c r="T808" s="192"/>
      <c r="U808" s="189" t="str">
        <f t="shared" si="16"/>
        <v/>
      </c>
      <c r="V808" s="190" t="str">
        <f t="shared" si="17"/>
        <v/>
      </c>
      <c r="W808" s="190" t="str">
        <f t="shared" si="18"/>
        <v/>
      </c>
      <c r="X808" s="191" t="str">
        <f t="shared" si="19"/>
        <v/>
      </c>
      <c r="Y808" s="191" t="str">
        <f t="shared" si="20"/>
        <v/>
      </c>
      <c r="Z808" s="156"/>
    </row>
    <row r="809">
      <c r="A809" s="177" t="str">
        <f t="shared" si="14"/>
        <v/>
      </c>
      <c r="B809" s="196"/>
      <c r="C809" s="179" t="str">
        <f t="shared" si="2"/>
        <v/>
      </c>
      <c r="D809" s="197"/>
      <c r="E809" s="181"/>
      <c r="F809" s="198"/>
      <c r="G809" s="201"/>
      <c r="H809" s="201"/>
      <c r="I809" s="201"/>
      <c r="J809" s="202"/>
      <c r="K809" s="203"/>
      <c r="L809" s="186">
        <f t="shared" si="15"/>
        <v>0</v>
      </c>
      <c r="M809" s="191"/>
      <c r="N809" s="191"/>
      <c r="O809" s="191"/>
      <c r="P809" s="191"/>
      <c r="Q809" s="191"/>
      <c r="R809" s="191"/>
      <c r="S809" s="191"/>
      <c r="T809" s="192"/>
      <c r="U809" s="189" t="str">
        <f t="shared" si="16"/>
        <v/>
      </c>
      <c r="V809" s="190" t="str">
        <f t="shared" si="17"/>
        <v/>
      </c>
      <c r="W809" s="190" t="str">
        <f t="shared" si="18"/>
        <v/>
      </c>
      <c r="X809" s="191" t="str">
        <f t="shared" si="19"/>
        <v/>
      </c>
      <c r="Y809" s="191" t="str">
        <f t="shared" si="20"/>
        <v/>
      </c>
      <c r="Z809" s="156"/>
    </row>
    <row r="810">
      <c r="A810" s="177" t="str">
        <f t="shared" si="14"/>
        <v/>
      </c>
      <c r="B810" s="196"/>
      <c r="C810" s="179" t="str">
        <f t="shared" si="2"/>
        <v/>
      </c>
      <c r="D810" s="197"/>
      <c r="E810" s="181"/>
      <c r="F810" s="198"/>
      <c r="G810" s="201"/>
      <c r="H810" s="201"/>
      <c r="I810" s="201"/>
      <c r="J810" s="202"/>
      <c r="K810" s="203"/>
      <c r="L810" s="186">
        <f t="shared" si="15"/>
        <v>0</v>
      </c>
      <c r="M810" s="191"/>
      <c r="N810" s="191"/>
      <c r="O810" s="191"/>
      <c r="P810" s="191"/>
      <c r="Q810" s="191"/>
      <c r="R810" s="191"/>
      <c r="S810" s="191"/>
      <c r="T810" s="192"/>
      <c r="U810" s="189" t="str">
        <f t="shared" si="16"/>
        <v/>
      </c>
      <c r="V810" s="190" t="str">
        <f t="shared" si="17"/>
        <v/>
      </c>
      <c r="W810" s="190" t="str">
        <f t="shared" si="18"/>
        <v/>
      </c>
      <c r="X810" s="191" t="str">
        <f t="shared" si="19"/>
        <v/>
      </c>
      <c r="Y810" s="191" t="str">
        <f t="shared" si="20"/>
        <v/>
      </c>
      <c r="Z810" s="156"/>
    </row>
    <row r="811">
      <c r="A811" s="177" t="str">
        <f t="shared" si="14"/>
        <v/>
      </c>
      <c r="B811" s="196"/>
      <c r="C811" s="179" t="str">
        <f t="shared" si="2"/>
        <v/>
      </c>
      <c r="D811" s="197"/>
      <c r="E811" s="181"/>
      <c r="F811" s="198"/>
      <c r="G811" s="201"/>
      <c r="H811" s="201"/>
      <c r="I811" s="201"/>
      <c r="J811" s="202"/>
      <c r="K811" s="203"/>
      <c r="L811" s="186">
        <f t="shared" si="15"/>
        <v>0</v>
      </c>
      <c r="M811" s="191"/>
      <c r="N811" s="191"/>
      <c r="O811" s="191"/>
      <c r="P811" s="191"/>
      <c r="Q811" s="191"/>
      <c r="R811" s="191"/>
      <c r="S811" s="191"/>
      <c r="T811" s="192"/>
      <c r="U811" s="189" t="str">
        <f t="shared" si="16"/>
        <v/>
      </c>
      <c r="V811" s="190" t="str">
        <f t="shared" si="17"/>
        <v/>
      </c>
      <c r="W811" s="190" t="str">
        <f t="shared" si="18"/>
        <v/>
      </c>
      <c r="X811" s="191" t="str">
        <f t="shared" si="19"/>
        <v/>
      </c>
      <c r="Y811" s="191" t="str">
        <f t="shared" si="20"/>
        <v/>
      </c>
      <c r="Z811" s="156"/>
    </row>
    <row r="812">
      <c r="A812" s="177" t="str">
        <f t="shared" si="14"/>
        <v/>
      </c>
      <c r="B812" s="196"/>
      <c r="C812" s="179" t="str">
        <f t="shared" si="2"/>
        <v/>
      </c>
      <c r="D812" s="197"/>
      <c r="E812" s="181"/>
      <c r="F812" s="198"/>
      <c r="G812" s="201"/>
      <c r="H812" s="201"/>
      <c r="I812" s="201"/>
      <c r="J812" s="202"/>
      <c r="K812" s="203"/>
      <c r="L812" s="186">
        <f t="shared" si="15"/>
        <v>0</v>
      </c>
      <c r="M812" s="191"/>
      <c r="N812" s="191"/>
      <c r="O812" s="191"/>
      <c r="P812" s="191"/>
      <c r="Q812" s="191"/>
      <c r="R812" s="191"/>
      <c r="S812" s="191"/>
      <c r="T812" s="192"/>
      <c r="U812" s="189" t="str">
        <f t="shared" si="16"/>
        <v/>
      </c>
      <c r="V812" s="190" t="str">
        <f t="shared" si="17"/>
        <v/>
      </c>
      <c r="W812" s="190" t="str">
        <f t="shared" si="18"/>
        <v/>
      </c>
      <c r="X812" s="191" t="str">
        <f t="shared" si="19"/>
        <v/>
      </c>
      <c r="Y812" s="191" t="str">
        <f t="shared" si="20"/>
        <v/>
      </c>
      <c r="Z812" s="156"/>
    </row>
    <row r="813">
      <c r="A813" s="177" t="str">
        <f t="shared" si="14"/>
        <v/>
      </c>
      <c r="B813" s="196"/>
      <c r="C813" s="179" t="str">
        <f t="shared" si="2"/>
        <v/>
      </c>
      <c r="D813" s="197"/>
      <c r="E813" s="181"/>
      <c r="F813" s="198"/>
      <c r="G813" s="201"/>
      <c r="H813" s="201"/>
      <c r="I813" s="201"/>
      <c r="J813" s="202"/>
      <c r="K813" s="203"/>
      <c r="L813" s="186">
        <f t="shared" si="15"/>
        <v>0</v>
      </c>
      <c r="M813" s="191"/>
      <c r="N813" s="191"/>
      <c r="O813" s="191"/>
      <c r="P813" s="191"/>
      <c r="Q813" s="191"/>
      <c r="R813" s="191"/>
      <c r="S813" s="191"/>
      <c r="T813" s="192"/>
      <c r="U813" s="189" t="str">
        <f t="shared" si="16"/>
        <v/>
      </c>
      <c r="V813" s="190" t="str">
        <f t="shared" si="17"/>
        <v/>
      </c>
      <c r="W813" s="190" t="str">
        <f t="shared" si="18"/>
        <v/>
      </c>
      <c r="X813" s="191" t="str">
        <f t="shared" si="19"/>
        <v/>
      </c>
      <c r="Y813" s="191" t="str">
        <f t="shared" si="20"/>
        <v/>
      </c>
      <c r="Z813" s="156"/>
    </row>
    <row r="814">
      <c r="A814" s="177" t="str">
        <f t="shared" si="14"/>
        <v/>
      </c>
      <c r="B814" s="196"/>
      <c r="C814" s="179" t="str">
        <f t="shared" si="2"/>
        <v/>
      </c>
      <c r="D814" s="197"/>
      <c r="E814" s="181"/>
      <c r="F814" s="198"/>
      <c r="G814" s="201"/>
      <c r="H814" s="201"/>
      <c r="I814" s="201"/>
      <c r="J814" s="202"/>
      <c r="K814" s="203"/>
      <c r="L814" s="186">
        <f t="shared" si="15"/>
        <v>0</v>
      </c>
      <c r="M814" s="191"/>
      <c r="N814" s="191"/>
      <c r="O814" s="191"/>
      <c r="P814" s="191"/>
      <c r="Q814" s="191"/>
      <c r="R814" s="191"/>
      <c r="S814" s="191"/>
      <c r="T814" s="192"/>
      <c r="U814" s="189" t="str">
        <f t="shared" si="16"/>
        <v/>
      </c>
      <c r="V814" s="190" t="str">
        <f t="shared" si="17"/>
        <v/>
      </c>
      <c r="W814" s="190" t="str">
        <f t="shared" si="18"/>
        <v/>
      </c>
      <c r="X814" s="191" t="str">
        <f t="shared" si="19"/>
        <v/>
      </c>
      <c r="Y814" s="191" t="str">
        <f t="shared" si="20"/>
        <v/>
      </c>
      <c r="Z814" s="156"/>
    </row>
    <row r="815">
      <c r="A815" s="177" t="str">
        <f t="shared" si="14"/>
        <v/>
      </c>
      <c r="B815" s="196"/>
      <c r="C815" s="179" t="str">
        <f t="shared" si="2"/>
        <v/>
      </c>
      <c r="D815" s="197"/>
      <c r="E815" s="181"/>
      <c r="F815" s="198"/>
      <c r="G815" s="201"/>
      <c r="H815" s="201"/>
      <c r="I815" s="201"/>
      <c r="J815" s="202"/>
      <c r="K815" s="203"/>
      <c r="L815" s="186">
        <f t="shared" si="15"/>
        <v>0</v>
      </c>
      <c r="M815" s="191"/>
      <c r="N815" s="191"/>
      <c r="O815" s="191"/>
      <c r="P815" s="191"/>
      <c r="Q815" s="191"/>
      <c r="R815" s="191"/>
      <c r="S815" s="191"/>
      <c r="T815" s="192"/>
      <c r="U815" s="189" t="str">
        <f t="shared" si="16"/>
        <v/>
      </c>
      <c r="V815" s="190" t="str">
        <f t="shared" si="17"/>
        <v/>
      </c>
      <c r="W815" s="190" t="str">
        <f t="shared" si="18"/>
        <v/>
      </c>
      <c r="X815" s="191" t="str">
        <f t="shared" si="19"/>
        <v/>
      </c>
      <c r="Y815" s="191" t="str">
        <f t="shared" si="20"/>
        <v/>
      </c>
      <c r="Z815" s="156"/>
    </row>
    <row r="816">
      <c r="A816" s="177" t="str">
        <f t="shared" si="14"/>
        <v/>
      </c>
      <c r="B816" s="196"/>
      <c r="C816" s="179" t="str">
        <f t="shared" si="2"/>
        <v/>
      </c>
      <c r="D816" s="197"/>
      <c r="E816" s="181"/>
      <c r="F816" s="198"/>
      <c r="G816" s="201"/>
      <c r="H816" s="201"/>
      <c r="I816" s="201"/>
      <c r="J816" s="202"/>
      <c r="K816" s="203"/>
      <c r="L816" s="186">
        <f t="shared" si="15"/>
        <v>0</v>
      </c>
      <c r="M816" s="191"/>
      <c r="N816" s="191"/>
      <c r="O816" s="191"/>
      <c r="P816" s="191"/>
      <c r="Q816" s="191"/>
      <c r="R816" s="191"/>
      <c r="S816" s="191"/>
      <c r="T816" s="192"/>
      <c r="U816" s="189" t="str">
        <f t="shared" si="16"/>
        <v/>
      </c>
      <c r="V816" s="190" t="str">
        <f t="shared" si="17"/>
        <v/>
      </c>
      <c r="W816" s="190" t="str">
        <f t="shared" si="18"/>
        <v/>
      </c>
      <c r="X816" s="191" t="str">
        <f t="shared" si="19"/>
        <v/>
      </c>
      <c r="Y816" s="191" t="str">
        <f t="shared" si="20"/>
        <v/>
      </c>
      <c r="Z816" s="156"/>
    </row>
    <row r="817">
      <c r="A817" s="177" t="str">
        <f t="shared" si="14"/>
        <v/>
      </c>
      <c r="B817" s="196"/>
      <c r="C817" s="179" t="str">
        <f t="shared" si="2"/>
        <v/>
      </c>
      <c r="D817" s="197"/>
      <c r="E817" s="181"/>
      <c r="F817" s="198"/>
      <c r="G817" s="201"/>
      <c r="H817" s="201"/>
      <c r="I817" s="201"/>
      <c r="J817" s="202"/>
      <c r="K817" s="203"/>
      <c r="L817" s="186">
        <f t="shared" si="15"/>
        <v>0</v>
      </c>
      <c r="M817" s="191"/>
      <c r="N817" s="191"/>
      <c r="O817" s="191"/>
      <c r="P817" s="191"/>
      <c r="Q817" s="191"/>
      <c r="R817" s="191"/>
      <c r="S817" s="191"/>
      <c r="T817" s="192"/>
      <c r="U817" s="189" t="str">
        <f t="shared" si="16"/>
        <v/>
      </c>
      <c r="V817" s="190" t="str">
        <f t="shared" si="17"/>
        <v/>
      </c>
      <c r="W817" s="190" t="str">
        <f t="shared" si="18"/>
        <v/>
      </c>
      <c r="X817" s="191" t="str">
        <f t="shared" si="19"/>
        <v/>
      </c>
      <c r="Y817" s="191" t="str">
        <f t="shared" si="20"/>
        <v/>
      </c>
      <c r="Z817" s="156"/>
    </row>
    <row r="818">
      <c r="A818" s="177" t="str">
        <f t="shared" si="14"/>
        <v/>
      </c>
      <c r="B818" s="196"/>
      <c r="C818" s="179" t="str">
        <f t="shared" si="2"/>
        <v/>
      </c>
      <c r="D818" s="197"/>
      <c r="E818" s="181"/>
      <c r="F818" s="198"/>
      <c r="G818" s="201"/>
      <c r="H818" s="201"/>
      <c r="I818" s="201"/>
      <c r="J818" s="202"/>
      <c r="K818" s="203"/>
      <c r="L818" s="186">
        <f t="shared" si="15"/>
        <v>0</v>
      </c>
      <c r="M818" s="191"/>
      <c r="N818" s="191"/>
      <c r="O818" s="191"/>
      <c r="P818" s="191"/>
      <c r="Q818" s="191"/>
      <c r="R818" s="191"/>
      <c r="S818" s="191"/>
      <c r="T818" s="192"/>
      <c r="U818" s="189" t="str">
        <f t="shared" si="16"/>
        <v/>
      </c>
      <c r="V818" s="190" t="str">
        <f t="shared" si="17"/>
        <v/>
      </c>
      <c r="W818" s="190" t="str">
        <f t="shared" si="18"/>
        <v/>
      </c>
      <c r="X818" s="191" t="str">
        <f t="shared" si="19"/>
        <v/>
      </c>
      <c r="Y818" s="191" t="str">
        <f t="shared" si="20"/>
        <v/>
      </c>
      <c r="Z818" s="156"/>
    </row>
    <row r="819">
      <c r="A819" s="177" t="str">
        <f t="shared" si="14"/>
        <v/>
      </c>
      <c r="B819" s="196"/>
      <c r="C819" s="179" t="str">
        <f t="shared" si="2"/>
        <v/>
      </c>
      <c r="D819" s="197"/>
      <c r="E819" s="181"/>
      <c r="F819" s="198"/>
      <c r="G819" s="201"/>
      <c r="H819" s="201"/>
      <c r="I819" s="201"/>
      <c r="J819" s="202"/>
      <c r="K819" s="203"/>
      <c r="L819" s="186">
        <f t="shared" si="15"/>
        <v>0</v>
      </c>
      <c r="M819" s="191"/>
      <c r="N819" s="191"/>
      <c r="O819" s="191"/>
      <c r="P819" s="191"/>
      <c r="Q819" s="191"/>
      <c r="R819" s="191"/>
      <c r="S819" s="191"/>
      <c r="T819" s="192"/>
      <c r="U819" s="189" t="str">
        <f t="shared" si="16"/>
        <v/>
      </c>
      <c r="V819" s="190" t="str">
        <f t="shared" si="17"/>
        <v/>
      </c>
      <c r="W819" s="190" t="str">
        <f t="shared" si="18"/>
        <v/>
      </c>
      <c r="X819" s="191" t="str">
        <f t="shared" si="19"/>
        <v/>
      </c>
      <c r="Y819" s="191" t="str">
        <f t="shared" si="20"/>
        <v/>
      </c>
      <c r="Z819" s="156"/>
    </row>
    <row r="820">
      <c r="A820" s="177" t="str">
        <f t="shared" si="14"/>
        <v/>
      </c>
      <c r="B820" s="196"/>
      <c r="C820" s="179" t="str">
        <f t="shared" si="2"/>
        <v/>
      </c>
      <c r="D820" s="197"/>
      <c r="E820" s="181"/>
      <c r="F820" s="198"/>
      <c r="G820" s="201"/>
      <c r="H820" s="201"/>
      <c r="I820" s="201"/>
      <c r="J820" s="202"/>
      <c r="K820" s="203"/>
      <c r="L820" s="186">
        <f t="shared" si="15"/>
        <v>0</v>
      </c>
      <c r="M820" s="191"/>
      <c r="N820" s="191"/>
      <c r="O820" s="191"/>
      <c r="P820" s="191"/>
      <c r="Q820" s="191"/>
      <c r="R820" s="191"/>
      <c r="S820" s="191"/>
      <c r="T820" s="192"/>
      <c r="U820" s="189" t="str">
        <f t="shared" si="16"/>
        <v/>
      </c>
      <c r="V820" s="190" t="str">
        <f t="shared" si="17"/>
        <v/>
      </c>
      <c r="W820" s="190" t="str">
        <f t="shared" si="18"/>
        <v/>
      </c>
      <c r="X820" s="191" t="str">
        <f t="shared" si="19"/>
        <v/>
      </c>
      <c r="Y820" s="191" t="str">
        <f t="shared" si="20"/>
        <v/>
      </c>
      <c r="Z820" s="156"/>
    </row>
    <row r="821">
      <c r="A821" s="177" t="str">
        <f t="shared" si="14"/>
        <v/>
      </c>
      <c r="B821" s="196"/>
      <c r="C821" s="179" t="str">
        <f t="shared" si="2"/>
        <v/>
      </c>
      <c r="D821" s="197"/>
      <c r="E821" s="181"/>
      <c r="F821" s="198"/>
      <c r="G821" s="201"/>
      <c r="H821" s="201"/>
      <c r="I821" s="201"/>
      <c r="J821" s="202"/>
      <c r="K821" s="203"/>
      <c r="L821" s="186">
        <f t="shared" si="15"/>
        <v>0</v>
      </c>
      <c r="M821" s="191"/>
      <c r="N821" s="191"/>
      <c r="O821" s="191"/>
      <c r="P821" s="191"/>
      <c r="Q821" s="191"/>
      <c r="R821" s="191"/>
      <c r="S821" s="191"/>
      <c r="T821" s="192"/>
      <c r="U821" s="189" t="str">
        <f t="shared" si="16"/>
        <v/>
      </c>
      <c r="V821" s="190" t="str">
        <f t="shared" si="17"/>
        <v/>
      </c>
      <c r="W821" s="190" t="str">
        <f t="shared" si="18"/>
        <v/>
      </c>
      <c r="X821" s="191" t="str">
        <f t="shared" si="19"/>
        <v/>
      </c>
      <c r="Y821" s="191" t="str">
        <f t="shared" si="20"/>
        <v/>
      </c>
      <c r="Z821" s="156"/>
    </row>
    <row r="822">
      <c r="A822" s="177" t="str">
        <f t="shared" si="14"/>
        <v/>
      </c>
      <c r="B822" s="196"/>
      <c r="C822" s="179" t="str">
        <f t="shared" si="2"/>
        <v/>
      </c>
      <c r="D822" s="197"/>
      <c r="E822" s="181"/>
      <c r="F822" s="198"/>
      <c r="G822" s="201"/>
      <c r="H822" s="201"/>
      <c r="I822" s="201"/>
      <c r="J822" s="202"/>
      <c r="K822" s="203"/>
      <c r="L822" s="186">
        <f t="shared" si="15"/>
        <v>0</v>
      </c>
      <c r="M822" s="191"/>
      <c r="N822" s="191"/>
      <c r="O822" s="191"/>
      <c r="P822" s="191"/>
      <c r="Q822" s="191"/>
      <c r="R822" s="191"/>
      <c r="S822" s="191"/>
      <c r="T822" s="192"/>
      <c r="U822" s="189" t="str">
        <f t="shared" si="16"/>
        <v/>
      </c>
      <c r="V822" s="190" t="str">
        <f t="shared" si="17"/>
        <v/>
      </c>
      <c r="W822" s="190" t="str">
        <f t="shared" si="18"/>
        <v/>
      </c>
      <c r="X822" s="191" t="str">
        <f t="shared" si="19"/>
        <v/>
      </c>
      <c r="Y822" s="191" t="str">
        <f t="shared" si="20"/>
        <v/>
      </c>
      <c r="Z822" s="156"/>
    </row>
    <row r="823">
      <c r="A823" s="177" t="str">
        <f t="shared" si="14"/>
        <v/>
      </c>
      <c r="B823" s="196"/>
      <c r="C823" s="179" t="str">
        <f t="shared" si="2"/>
        <v/>
      </c>
      <c r="D823" s="197"/>
      <c r="E823" s="181"/>
      <c r="F823" s="198"/>
      <c r="G823" s="201"/>
      <c r="H823" s="201"/>
      <c r="I823" s="201"/>
      <c r="J823" s="202"/>
      <c r="K823" s="203"/>
      <c r="L823" s="186">
        <f t="shared" si="15"/>
        <v>0</v>
      </c>
      <c r="M823" s="191"/>
      <c r="N823" s="191"/>
      <c r="O823" s="191"/>
      <c r="P823" s="191"/>
      <c r="Q823" s="191"/>
      <c r="R823" s="191"/>
      <c r="S823" s="191"/>
      <c r="T823" s="192"/>
      <c r="U823" s="189" t="str">
        <f t="shared" si="16"/>
        <v/>
      </c>
      <c r="V823" s="190" t="str">
        <f t="shared" si="17"/>
        <v/>
      </c>
      <c r="W823" s="190" t="str">
        <f t="shared" si="18"/>
        <v/>
      </c>
      <c r="X823" s="191" t="str">
        <f t="shared" si="19"/>
        <v/>
      </c>
      <c r="Y823" s="191" t="str">
        <f t="shared" si="20"/>
        <v/>
      </c>
      <c r="Z823" s="156"/>
    </row>
    <row r="824">
      <c r="A824" s="177" t="str">
        <f t="shared" si="14"/>
        <v/>
      </c>
      <c r="B824" s="196"/>
      <c r="C824" s="179" t="str">
        <f t="shared" si="2"/>
        <v/>
      </c>
      <c r="D824" s="197"/>
      <c r="E824" s="181"/>
      <c r="F824" s="198"/>
      <c r="G824" s="201"/>
      <c r="H824" s="201"/>
      <c r="I824" s="201"/>
      <c r="J824" s="202"/>
      <c r="K824" s="203"/>
      <c r="L824" s="186">
        <f t="shared" si="15"/>
        <v>0</v>
      </c>
      <c r="M824" s="191"/>
      <c r="N824" s="191"/>
      <c r="O824" s="191"/>
      <c r="P824" s="191"/>
      <c r="Q824" s="191"/>
      <c r="R824" s="191"/>
      <c r="S824" s="191"/>
      <c r="T824" s="192"/>
      <c r="U824" s="189" t="str">
        <f t="shared" si="16"/>
        <v/>
      </c>
      <c r="V824" s="190" t="str">
        <f t="shared" si="17"/>
        <v/>
      </c>
      <c r="W824" s="190" t="str">
        <f t="shared" si="18"/>
        <v/>
      </c>
      <c r="X824" s="191" t="str">
        <f t="shared" si="19"/>
        <v/>
      </c>
      <c r="Y824" s="191" t="str">
        <f t="shared" si="20"/>
        <v/>
      </c>
      <c r="Z824" s="156"/>
    </row>
    <row r="825">
      <c r="A825" s="177" t="str">
        <f t="shared" si="14"/>
        <v/>
      </c>
      <c r="B825" s="196"/>
      <c r="C825" s="179" t="str">
        <f t="shared" si="2"/>
        <v/>
      </c>
      <c r="D825" s="197"/>
      <c r="E825" s="181"/>
      <c r="F825" s="198"/>
      <c r="G825" s="201"/>
      <c r="H825" s="201"/>
      <c r="I825" s="201"/>
      <c r="J825" s="202"/>
      <c r="K825" s="203"/>
      <c r="L825" s="186">
        <f t="shared" si="15"/>
        <v>0</v>
      </c>
      <c r="M825" s="191"/>
      <c r="N825" s="191"/>
      <c r="O825" s="191"/>
      <c r="P825" s="191"/>
      <c r="Q825" s="191"/>
      <c r="R825" s="191"/>
      <c r="S825" s="191"/>
      <c r="T825" s="192"/>
      <c r="U825" s="189" t="str">
        <f t="shared" si="16"/>
        <v/>
      </c>
      <c r="V825" s="190" t="str">
        <f t="shared" si="17"/>
        <v/>
      </c>
      <c r="W825" s="190" t="str">
        <f t="shared" si="18"/>
        <v/>
      </c>
      <c r="X825" s="191" t="str">
        <f t="shared" si="19"/>
        <v/>
      </c>
      <c r="Y825" s="191" t="str">
        <f t="shared" si="20"/>
        <v/>
      </c>
      <c r="Z825" s="156"/>
    </row>
    <row r="826">
      <c r="A826" s="177" t="str">
        <f t="shared" si="14"/>
        <v/>
      </c>
      <c r="B826" s="196"/>
      <c r="C826" s="179" t="str">
        <f t="shared" si="2"/>
        <v/>
      </c>
      <c r="D826" s="197"/>
      <c r="E826" s="181"/>
      <c r="F826" s="198"/>
      <c r="G826" s="201"/>
      <c r="H826" s="201"/>
      <c r="I826" s="201"/>
      <c r="J826" s="202"/>
      <c r="K826" s="203"/>
      <c r="L826" s="186">
        <f t="shared" si="15"/>
        <v>0</v>
      </c>
      <c r="M826" s="191"/>
      <c r="N826" s="191"/>
      <c r="O826" s="191"/>
      <c r="P826" s="191"/>
      <c r="Q826" s="191"/>
      <c r="R826" s="191"/>
      <c r="S826" s="191"/>
      <c r="T826" s="192"/>
      <c r="U826" s="189" t="str">
        <f t="shared" si="16"/>
        <v/>
      </c>
      <c r="V826" s="190" t="str">
        <f t="shared" si="17"/>
        <v/>
      </c>
      <c r="W826" s="190" t="str">
        <f t="shared" si="18"/>
        <v/>
      </c>
      <c r="X826" s="191" t="str">
        <f t="shared" si="19"/>
        <v/>
      </c>
      <c r="Y826" s="191" t="str">
        <f t="shared" si="20"/>
        <v/>
      </c>
      <c r="Z826" s="156"/>
    </row>
    <row r="827">
      <c r="A827" s="177" t="str">
        <f t="shared" si="14"/>
        <v/>
      </c>
      <c r="B827" s="196"/>
      <c r="C827" s="179" t="str">
        <f t="shared" si="2"/>
        <v/>
      </c>
      <c r="D827" s="197"/>
      <c r="E827" s="181"/>
      <c r="F827" s="198"/>
      <c r="G827" s="201"/>
      <c r="H827" s="201"/>
      <c r="I827" s="201"/>
      <c r="J827" s="202"/>
      <c r="K827" s="203"/>
      <c r="L827" s="186">
        <f t="shared" si="15"/>
        <v>0</v>
      </c>
      <c r="M827" s="191"/>
      <c r="N827" s="191"/>
      <c r="O827" s="191"/>
      <c r="P827" s="191"/>
      <c r="Q827" s="191"/>
      <c r="R827" s="191"/>
      <c r="S827" s="191"/>
      <c r="T827" s="192"/>
      <c r="U827" s="189" t="str">
        <f t="shared" si="16"/>
        <v/>
      </c>
      <c r="V827" s="190" t="str">
        <f t="shared" si="17"/>
        <v/>
      </c>
      <c r="W827" s="190" t="str">
        <f t="shared" si="18"/>
        <v/>
      </c>
      <c r="X827" s="191" t="str">
        <f t="shared" si="19"/>
        <v/>
      </c>
      <c r="Y827" s="191" t="str">
        <f t="shared" si="20"/>
        <v/>
      </c>
      <c r="Z827" s="156"/>
    </row>
    <row r="828">
      <c r="A828" s="177" t="str">
        <f t="shared" si="14"/>
        <v/>
      </c>
      <c r="B828" s="196"/>
      <c r="C828" s="179" t="str">
        <f t="shared" si="2"/>
        <v/>
      </c>
      <c r="D828" s="197"/>
      <c r="E828" s="181"/>
      <c r="F828" s="198"/>
      <c r="G828" s="201"/>
      <c r="H828" s="201"/>
      <c r="I828" s="201"/>
      <c r="J828" s="202"/>
      <c r="K828" s="203"/>
      <c r="L828" s="186">
        <f t="shared" si="15"/>
        <v>0</v>
      </c>
      <c r="M828" s="191"/>
      <c r="N828" s="191"/>
      <c r="O828" s="191"/>
      <c r="P828" s="191"/>
      <c r="Q828" s="191"/>
      <c r="R828" s="191"/>
      <c r="S828" s="191"/>
      <c r="T828" s="192"/>
      <c r="U828" s="189" t="str">
        <f t="shared" si="16"/>
        <v/>
      </c>
      <c r="V828" s="190" t="str">
        <f t="shared" si="17"/>
        <v/>
      </c>
      <c r="W828" s="190" t="str">
        <f t="shared" si="18"/>
        <v/>
      </c>
      <c r="X828" s="191" t="str">
        <f t="shared" si="19"/>
        <v/>
      </c>
      <c r="Y828" s="191" t="str">
        <f t="shared" si="20"/>
        <v/>
      </c>
      <c r="Z828" s="156"/>
    </row>
    <row r="829">
      <c r="A829" s="177" t="str">
        <f t="shared" si="14"/>
        <v/>
      </c>
      <c r="B829" s="196"/>
      <c r="C829" s="179" t="str">
        <f t="shared" si="2"/>
        <v/>
      </c>
      <c r="D829" s="197"/>
      <c r="E829" s="181"/>
      <c r="F829" s="198"/>
      <c r="G829" s="201"/>
      <c r="H829" s="201"/>
      <c r="I829" s="201"/>
      <c r="J829" s="202"/>
      <c r="K829" s="203"/>
      <c r="L829" s="186">
        <f t="shared" si="15"/>
        <v>0</v>
      </c>
      <c r="M829" s="191"/>
      <c r="N829" s="191"/>
      <c r="O829" s="191"/>
      <c r="P829" s="191"/>
      <c r="Q829" s="191"/>
      <c r="R829" s="191"/>
      <c r="S829" s="191"/>
      <c r="T829" s="192"/>
      <c r="U829" s="189" t="str">
        <f t="shared" si="16"/>
        <v/>
      </c>
      <c r="V829" s="190" t="str">
        <f t="shared" si="17"/>
        <v/>
      </c>
      <c r="W829" s="190" t="str">
        <f t="shared" si="18"/>
        <v/>
      </c>
      <c r="X829" s="191" t="str">
        <f t="shared" si="19"/>
        <v/>
      </c>
      <c r="Y829" s="191" t="str">
        <f t="shared" si="20"/>
        <v/>
      </c>
      <c r="Z829" s="156"/>
    </row>
    <row r="830">
      <c r="A830" s="177" t="str">
        <f t="shared" si="14"/>
        <v/>
      </c>
      <c r="B830" s="196"/>
      <c r="C830" s="179" t="str">
        <f t="shared" si="2"/>
        <v/>
      </c>
      <c r="D830" s="197"/>
      <c r="E830" s="181"/>
      <c r="F830" s="198"/>
      <c r="G830" s="201"/>
      <c r="H830" s="201"/>
      <c r="I830" s="201"/>
      <c r="J830" s="202"/>
      <c r="K830" s="203"/>
      <c r="L830" s="186">
        <f t="shared" si="15"/>
        <v>0</v>
      </c>
      <c r="M830" s="191"/>
      <c r="N830" s="191"/>
      <c r="O830" s="191"/>
      <c r="P830" s="191"/>
      <c r="Q830" s="191"/>
      <c r="R830" s="191"/>
      <c r="S830" s="191"/>
      <c r="T830" s="192"/>
      <c r="U830" s="189" t="str">
        <f t="shared" si="16"/>
        <v/>
      </c>
      <c r="V830" s="190" t="str">
        <f t="shared" si="17"/>
        <v/>
      </c>
      <c r="W830" s="190" t="str">
        <f t="shared" si="18"/>
        <v/>
      </c>
      <c r="X830" s="191" t="str">
        <f t="shared" si="19"/>
        <v/>
      </c>
      <c r="Y830" s="191" t="str">
        <f t="shared" si="20"/>
        <v/>
      </c>
      <c r="Z830" s="156"/>
    </row>
    <row r="831">
      <c r="A831" s="177" t="str">
        <f t="shared" si="14"/>
        <v/>
      </c>
      <c r="B831" s="196"/>
      <c r="C831" s="179" t="str">
        <f t="shared" si="2"/>
        <v/>
      </c>
      <c r="D831" s="197"/>
      <c r="E831" s="181"/>
      <c r="F831" s="198"/>
      <c r="G831" s="201"/>
      <c r="H831" s="201"/>
      <c r="I831" s="201"/>
      <c r="J831" s="202"/>
      <c r="K831" s="203"/>
      <c r="L831" s="186">
        <f t="shared" si="15"/>
        <v>0</v>
      </c>
      <c r="M831" s="191"/>
      <c r="N831" s="191"/>
      <c r="O831" s="191"/>
      <c r="P831" s="191"/>
      <c r="Q831" s="191"/>
      <c r="R831" s="191"/>
      <c r="S831" s="191"/>
      <c r="T831" s="192"/>
      <c r="U831" s="189" t="str">
        <f t="shared" si="16"/>
        <v/>
      </c>
      <c r="V831" s="190" t="str">
        <f t="shared" si="17"/>
        <v/>
      </c>
      <c r="W831" s="190" t="str">
        <f t="shared" si="18"/>
        <v/>
      </c>
      <c r="X831" s="191" t="str">
        <f t="shared" si="19"/>
        <v/>
      </c>
      <c r="Y831" s="191" t="str">
        <f t="shared" si="20"/>
        <v/>
      </c>
      <c r="Z831" s="156"/>
    </row>
    <row r="832">
      <c r="A832" s="177" t="str">
        <f t="shared" si="14"/>
        <v/>
      </c>
      <c r="B832" s="196"/>
      <c r="C832" s="179" t="str">
        <f t="shared" si="2"/>
        <v/>
      </c>
      <c r="D832" s="197"/>
      <c r="E832" s="181"/>
      <c r="F832" s="198"/>
      <c r="G832" s="201"/>
      <c r="H832" s="201"/>
      <c r="I832" s="201"/>
      <c r="J832" s="202"/>
      <c r="K832" s="203"/>
      <c r="L832" s="186">
        <f t="shared" si="15"/>
        <v>0</v>
      </c>
      <c r="M832" s="191"/>
      <c r="N832" s="191"/>
      <c r="O832" s="191"/>
      <c r="P832" s="191"/>
      <c r="Q832" s="191"/>
      <c r="R832" s="191"/>
      <c r="S832" s="191"/>
      <c r="T832" s="192"/>
      <c r="U832" s="189" t="str">
        <f t="shared" si="16"/>
        <v/>
      </c>
      <c r="V832" s="190" t="str">
        <f t="shared" si="17"/>
        <v/>
      </c>
      <c r="W832" s="190" t="str">
        <f t="shared" si="18"/>
        <v/>
      </c>
      <c r="X832" s="191" t="str">
        <f t="shared" si="19"/>
        <v/>
      </c>
      <c r="Y832" s="191" t="str">
        <f t="shared" si="20"/>
        <v/>
      </c>
      <c r="Z832" s="156"/>
    </row>
    <row r="833">
      <c r="A833" s="177" t="str">
        <f t="shared" si="14"/>
        <v/>
      </c>
      <c r="B833" s="196"/>
      <c r="C833" s="179" t="str">
        <f t="shared" si="2"/>
        <v/>
      </c>
      <c r="D833" s="197"/>
      <c r="E833" s="181"/>
      <c r="F833" s="198"/>
      <c r="G833" s="201"/>
      <c r="H833" s="201"/>
      <c r="I833" s="201"/>
      <c r="J833" s="202"/>
      <c r="K833" s="203"/>
      <c r="L833" s="186">
        <f t="shared" si="15"/>
        <v>0</v>
      </c>
      <c r="M833" s="191"/>
      <c r="N833" s="191"/>
      <c r="O833" s="191"/>
      <c r="P833" s="191"/>
      <c r="Q833" s="191"/>
      <c r="R833" s="191"/>
      <c r="S833" s="191"/>
      <c r="T833" s="192"/>
      <c r="U833" s="189" t="str">
        <f t="shared" si="16"/>
        <v/>
      </c>
      <c r="V833" s="190" t="str">
        <f t="shared" si="17"/>
        <v/>
      </c>
      <c r="W833" s="190" t="str">
        <f t="shared" si="18"/>
        <v/>
      </c>
      <c r="X833" s="191" t="str">
        <f t="shared" si="19"/>
        <v/>
      </c>
      <c r="Y833" s="191" t="str">
        <f t="shared" si="20"/>
        <v/>
      </c>
      <c r="Z833" s="156"/>
    </row>
    <row r="834">
      <c r="A834" s="177" t="str">
        <f t="shared" si="14"/>
        <v/>
      </c>
      <c r="B834" s="196"/>
      <c r="C834" s="179" t="str">
        <f t="shared" si="2"/>
        <v/>
      </c>
      <c r="D834" s="197"/>
      <c r="E834" s="181"/>
      <c r="F834" s="198"/>
      <c r="G834" s="201"/>
      <c r="H834" s="201"/>
      <c r="I834" s="201"/>
      <c r="J834" s="202"/>
      <c r="K834" s="203"/>
      <c r="L834" s="186">
        <f t="shared" si="15"/>
        <v>0</v>
      </c>
      <c r="M834" s="191"/>
      <c r="N834" s="191"/>
      <c r="O834" s="191"/>
      <c r="P834" s="191"/>
      <c r="Q834" s="191"/>
      <c r="R834" s="191"/>
      <c r="S834" s="191"/>
      <c r="T834" s="192"/>
      <c r="U834" s="189" t="str">
        <f t="shared" si="16"/>
        <v/>
      </c>
      <c r="V834" s="190" t="str">
        <f t="shared" si="17"/>
        <v/>
      </c>
      <c r="W834" s="190" t="str">
        <f t="shared" si="18"/>
        <v/>
      </c>
      <c r="X834" s="191" t="str">
        <f t="shared" si="19"/>
        <v/>
      </c>
      <c r="Y834" s="191" t="str">
        <f t="shared" si="20"/>
        <v/>
      </c>
      <c r="Z834" s="156"/>
    </row>
    <row r="835">
      <c r="A835" s="177" t="str">
        <f t="shared" si="14"/>
        <v/>
      </c>
      <c r="B835" s="196"/>
      <c r="C835" s="179" t="str">
        <f t="shared" si="2"/>
        <v/>
      </c>
      <c r="D835" s="197"/>
      <c r="E835" s="181"/>
      <c r="F835" s="198"/>
      <c r="G835" s="201"/>
      <c r="H835" s="201"/>
      <c r="I835" s="201"/>
      <c r="J835" s="202"/>
      <c r="K835" s="203"/>
      <c r="L835" s="186">
        <f t="shared" si="15"/>
        <v>0</v>
      </c>
      <c r="M835" s="191"/>
      <c r="N835" s="191"/>
      <c r="O835" s="191"/>
      <c r="P835" s="191"/>
      <c r="Q835" s="191"/>
      <c r="R835" s="191"/>
      <c r="S835" s="191"/>
      <c r="T835" s="192"/>
      <c r="U835" s="189" t="str">
        <f t="shared" si="16"/>
        <v/>
      </c>
      <c r="V835" s="190" t="str">
        <f t="shared" si="17"/>
        <v/>
      </c>
      <c r="W835" s="190" t="str">
        <f t="shared" si="18"/>
        <v/>
      </c>
      <c r="X835" s="191" t="str">
        <f t="shared" si="19"/>
        <v/>
      </c>
      <c r="Y835" s="191" t="str">
        <f t="shared" si="20"/>
        <v/>
      </c>
      <c r="Z835" s="156"/>
    </row>
    <row r="836">
      <c r="A836" s="177" t="str">
        <f t="shared" si="14"/>
        <v/>
      </c>
      <c r="B836" s="196"/>
      <c r="C836" s="179" t="str">
        <f t="shared" si="2"/>
        <v/>
      </c>
      <c r="D836" s="197"/>
      <c r="E836" s="181"/>
      <c r="F836" s="198"/>
      <c r="G836" s="201"/>
      <c r="H836" s="201"/>
      <c r="I836" s="201"/>
      <c r="J836" s="202"/>
      <c r="K836" s="203"/>
      <c r="L836" s="186">
        <f t="shared" si="15"/>
        <v>0</v>
      </c>
      <c r="M836" s="191"/>
      <c r="N836" s="191"/>
      <c r="O836" s="191"/>
      <c r="P836" s="191"/>
      <c r="Q836" s="191"/>
      <c r="R836" s="191"/>
      <c r="S836" s="191"/>
      <c r="T836" s="192"/>
      <c r="U836" s="189" t="str">
        <f t="shared" si="16"/>
        <v/>
      </c>
      <c r="V836" s="190" t="str">
        <f t="shared" si="17"/>
        <v/>
      </c>
      <c r="W836" s="190" t="str">
        <f t="shared" si="18"/>
        <v/>
      </c>
      <c r="X836" s="191" t="str">
        <f t="shared" si="19"/>
        <v/>
      </c>
      <c r="Y836" s="191" t="str">
        <f t="shared" si="20"/>
        <v/>
      </c>
      <c r="Z836" s="156"/>
    </row>
    <row r="837">
      <c r="A837" s="177" t="str">
        <f t="shared" si="14"/>
        <v/>
      </c>
      <c r="B837" s="196"/>
      <c r="C837" s="179" t="str">
        <f t="shared" si="2"/>
        <v/>
      </c>
      <c r="D837" s="197"/>
      <c r="E837" s="181"/>
      <c r="F837" s="198"/>
      <c r="G837" s="201"/>
      <c r="H837" s="201"/>
      <c r="I837" s="201"/>
      <c r="J837" s="202"/>
      <c r="K837" s="203"/>
      <c r="L837" s="186">
        <f t="shared" si="15"/>
        <v>0</v>
      </c>
      <c r="M837" s="191"/>
      <c r="N837" s="191"/>
      <c r="O837" s="191"/>
      <c r="P837" s="191"/>
      <c r="Q837" s="191"/>
      <c r="R837" s="191"/>
      <c r="S837" s="191"/>
      <c r="T837" s="192"/>
      <c r="U837" s="189" t="str">
        <f t="shared" si="16"/>
        <v/>
      </c>
      <c r="V837" s="190" t="str">
        <f t="shared" si="17"/>
        <v/>
      </c>
      <c r="W837" s="190" t="str">
        <f t="shared" si="18"/>
        <v/>
      </c>
      <c r="X837" s="191" t="str">
        <f t="shared" si="19"/>
        <v/>
      </c>
      <c r="Y837" s="191" t="str">
        <f t="shared" si="20"/>
        <v/>
      </c>
      <c r="Z837" s="156"/>
    </row>
    <row r="838">
      <c r="A838" s="177" t="str">
        <f t="shared" si="14"/>
        <v/>
      </c>
      <c r="B838" s="196"/>
      <c r="C838" s="179" t="str">
        <f t="shared" si="2"/>
        <v/>
      </c>
      <c r="D838" s="197"/>
      <c r="E838" s="181"/>
      <c r="F838" s="198"/>
      <c r="G838" s="201"/>
      <c r="H838" s="201"/>
      <c r="I838" s="201"/>
      <c r="J838" s="202"/>
      <c r="K838" s="203"/>
      <c r="L838" s="186">
        <f t="shared" si="15"/>
        <v>0</v>
      </c>
      <c r="M838" s="191"/>
      <c r="N838" s="191"/>
      <c r="O838" s="191"/>
      <c r="P838" s="191"/>
      <c r="Q838" s="191"/>
      <c r="R838" s="191"/>
      <c r="S838" s="191"/>
      <c r="T838" s="192"/>
      <c r="U838" s="189" t="str">
        <f t="shared" si="16"/>
        <v/>
      </c>
      <c r="V838" s="190" t="str">
        <f t="shared" si="17"/>
        <v/>
      </c>
      <c r="W838" s="190" t="str">
        <f t="shared" si="18"/>
        <v/>
      </c>
      <c r="X838" s="191" t="str">
        <f t="shared" si="19"/>
        <v/>
      </c>
      <c r="Y838" s="191" t="str">
        <f t="shared" si="20"/>
        <v/>
      </c>
      <c r="Z838" s="156"/>
    </row>
    <row r="839">
      <c r="A839" s="177" t="str">
        <f t="shared" si="14"/>
        <v/>
      </c>
      <c r="B839" s="196"/>
      <c r="C839" s="179" t="str">
        <f t="shared" si="2"/>
        <v/>
      </c>
      <c r="D839" s="197"/>
      <c r="E839" s="181"/>
      <c r="F839" s="198"/>
      <c r="G839" s="201"/>
      <c r="H839" s="201"/>
      <c r="I839" s="201"/>
      <c r="J839" s="202"/>
      <c r="K839" s="203"/>
      <c r="L839" s="186">
        <f t="shared" si="15"/>
        <v>0</v>
      </c>
      <c r="M839" s="191"/>
      <c r="N839" s="191"/>
      <c r="O839" s="191"/>
      <c r="P839" s="191"/>
      <c r="Q839" s="191"/>
      <c r="R839" s="191"/>
      <c r="S839" s="191"/>
      <c r="T839" s="192"/>
      <c r="U839" s="189" t="str">
        <f t="shared" si="16"/>
        <v/>
      </c>
      <c r="V839" s="190" t="str">
        <f t="shared" si="17"/>
        <v/>
      </c>
      <c r="W839" s="190" t="str">
        <f t="shared" si="18"/>
        <v/>
      </c>
      <c r="X839" s="191" t="str">
        <f t="shared" si="19"/>
        <v/>
      </c>
      <c r="Y839" s="191" t="str">
        <f t="shared" si="20"/>
        <v/>
      </c>
      <c r="Z839" s="156"/>
    </row>
    <row r="840">
      <c r="A840" s="177" t="str">
        <f t="shared" si="14"/>
        <v/>
      </c>
      <c r="B840" s="196"/>
      <c r="C840" s="179" t="str">
        <f t="shared" si="2"/>
        <v/>
      </c>
      <c r="D840" s="197"/>
      <c r="E840" s="181"/>
      <c r="F840" s="198"/>
      <c r="G840" s="201"/>
      <c r="H840" s="201"/>
      <c r="I840" s="201"/>
      <c r="J840" s="202"/>
      <c r="K840" s="203"/>
      <c r="L840" s="186">
        <f t="shared" si="15"/>
        <v>0</v>
      </c>
      <c r="M840" s="191"/>
      <c r="N840" s="191"/>
      <c r="O840" s="191"/>
      <c r="P840" s="191"/>
      <c r="Q840" s="191"/>
      <c r="R840" s="191"/>
      <c r="S840" s="191"/>
      <c r="T840" s="192"/>
      <c r="U840" s="189" t="str">
        <f t="shared" si="16"/>
        <v/>
      </c>
      <c r="V840" s="190" t="str">
        <f t="shared" si="17"/>
        <v/>
      </c>
      <c r="W840" s="190" t="str">
        <f t="shared" si="18"/>
        <v/>
      </c>
      <c r="X840" s="191" t="str">
        <f t="shared" si="19"/>
        <v/>
      </c>
      <c r="Y840" s="191" t="str">
        <f t="shared" si="20"/>
        <v/>
      </c>
      <c r="Z840" s="156"/>
    </row>
    <row r="841">
      <c r="A841" s="177" t="str">
        <f t="shared" si="14"/>
        <v/>
      </c>
      <c r="B841" s="196"/>
      <c r="C841" s="179" t="str">
        <f t="shared" si="2"/>
        <v/>
      </c>
      <c r="D841" s="197"/>
      <c r="E841" s="181"/>
      <c r="F841" s="198"/>
      <c r="G841" s="201"/>
      <c r="H841" s="201"/>
      <c r="I841" s="201"/>
      <c r="J841" s="202"/>
      <c r="K841" s="203"/>
      <c r="L841" s="186">
        <f t="shared" si="15"/>
        <v>0</v>
      </c>
      <c r="M841" s="191"/>
      <c r="N841" s="191"/>
      <c r="O841" s="191"/>
      <c r="P841" s="191"/>
      <c r="Q841" s="191"/>
      <c r="R841" s="191"/>
      <c r="S841" s="191"/>
      <c r="T841" s="192"/>
      <c r="U841" s="189" t="str">
        <f t="shared" si="16"/>
        <v/>
      </c>
      <c r="V841" s="190" t="str">
        <f t="shared" si="17"/>
        <v/>
      </c>
      <c r="W841" s="190" t="str">
        <f t="shared" si="18"/>
        <v/>
      </c>
      <c r="X841" s="191" t="str">
        <f t="shared" si="19"/>
        <v/>
      </c>
      <c r="Y841" s="191" t="str">
        <f t="shared" si="20"/>
        <v/>
      </c>
      <c r="Z841" s="156"/>
    </row>
    <row r="842">
      <c r="A842" s="177" t="str">
        <f t="shared" si="14"/>
        <v/>
      </c>
      <c r="B842" s="196"/>
      <c r="C842" s="179" t="str">
        <f t="shared" si="2"/>
        <v/>
      </c>
      <c r="D842" s="197"/>
      <c r="E842" s="181"/>
      <c r="F842" s="198"/>
      <c r="G842" s="201"/>
      <c r="H842" s="201"/>
      <c r="I842" s="201"/>
      <c r="J842" s="202"/>
      <c r="K842" s="203"/>
      <c r="L842" s="186">
        <f t="shared" si="15"/>
        <v>0</v>
      </c>
      <c r="M842" s="191"/>
      <c r="N842" s="191"/>
      <c r="O842" s="191"/>
      <c r="P842" s="191"/>
      <c r="Q842" s="191"/>
      <c r="R842" s="191"/>
      <c r="S842" s="191"/>
      <c r="T842" s="192"/>
      <c r="U842" s="189" t="str">
        <f t="shared" si="16"/>
        <v/>
      </c>
      <c r="V842" s="190" t="str">
        <f t="shared" si="17"/>
        <v/>
      </c>
      <c r="W842" s="190" t="str">
        <f t="shared" si="18"/>
        <v/>
      </c>
      <c r="X842" s="191" t="str">
        <f t="shared" si="19"/>
        <v/>
      </c>
      <c r="Y842" s="191" t="str">
        <f t="shared" si="20"/>
        <v/>
      </c>
      <c r="Z842" s="156"/>
    </row>
    <row r="843">
      <c r="A843" s="177" t="str">
        <f t="shared" si="14"/>
        <v/>
      </c>
      <c r="B843" s="196"/>
      <c r="C843" s="179" t="str">
        <f t="shared" si="2"/>
        <v/>
      </c>
      <c r="D843" s="197"/>
      <c r="E843" s="181"/>
      <c r="F843" s="198"/>
      <c r="G843" s="201"/>
      <c r="H843" s="201"/>
      <c r="I843" s="201"/>
      <c r="J843" s="202"/>
      <c r="K843" s="203"/>
      <c r="L843" s="186">
        <f t="shared" si="15"/>
        <v>0</v>
      </c>
      <c r="M843" s="191"/>
      <c r="N843" s="191"/>
      <c r="O843" s="191"/>
      <c r="P843" s="191"/>
      <c r="Q843" s="191"/>
      <c r="R843" s="191"/>
      <c r="S843" s="191"/>
      <c r="T843" s="192"/>
      <c r="U843" s="189" t="str">
        <f t="shared" si="16"/>
        <v/>
      </c>
      <c r="V843" s="190" t="str">
        <f t="shared" si="17"/>
        <v/>
      </c>
      <c r="W843" s="190" t="str">
        <f t="shared" si="18"/>
        <v/>
      </c>
      <c r="X843" s="191" t="str">
        <f t="shared" si="19"/>
        <v/>
      </c>
      <c r="Y843" s="191" t="str">
        <f t="shared" si="20"/>
        <v/>
      </c>
      <c r="Z843" s="156"/>
    </row>
    <row r="844">
      <c r="A844" s="177" t="str">
        <f t="shared" si="14"/>
        <v/>
      </c>
      <c r="B844" s="196"/>
      <c r="C844" s="179" t="str">
        <f t="shared" si="2"/>
        <v/>
      </c>
      <c r="D844" s="197"/>
      <c r="E844" s="181"/>
      <c r="F844" s="198"/>
      <c r="G844" s="201"/>
      <c r="H844" s="201"/>
      <c r="I844" s="201"/>
      <c r="J844" s="202"/>
      <c r="K844" s="203"/>
      <c r="L844" s="186">
        <f t="shared" si="15"/>
        <v>0</v>
      </c>
      <c r="M844" s="191"/>
      <c r="N844" s="191"/>
      <c r="O844" s="191"/>
      <c r="P844" s="191"/>
      <c r="Q844" s="191"/>
      <c r="R844" s="191"/>
      <c r="S844" s="191"/>
      <c r="T844" s="192"/>
      <c r="U844" s="189" t="str">
        <f t="shared" si="16"/>
        <v/>
      </c>
      <c r="V844" s="190" t="str">
        <f t="shared" si="17"/>
        <v/>
      </c>
      <c r="W844" s="190" t="str">
        <f t="shared" si="18"/>
        <v/>
      </c>
      <c r="X844" s="191" t="str">
        <f t="shared" si="19"/>
        <v/>
      </c>
      <c r="Y844" s="191" t="str">
        <f t="shared" si="20"/>
        <v/>
      </c>
      <c r="Z844" s="156"/>
    </row>
    <row r="845">
      <c r="A845" s="177" t="str">
        <f t="shared" si="14"/>
        <v/>
      </c>
      <c r="B845" s="196"/>
      <c r="C845" s="179" t="str">
        <f t="shared" si="2"/>
        <v/>
      </c>
      <c r="D845" s="197"/>
      <c r="E845" s="181"/>
      <c r="F845" s="198"/>
      <c r="G845" s="201"/>
      <c r="H845" s="201"/>
      <c r="I845" s="201"/>
      <c r="J845" s="202"/>
      <c r="K845" s="203"/>
      <c r="L845" s="186">
        <f t="shared" si="15"/>
        <v>0</v>
      </c>
      <c r="M845" s="191"/>
      <c r="N845" s="191"/>
      <c r="O845" s="191"/>
      <c r="P845" s="191"/>
      <c r="Q845" s="191"/>
      <c r="R845" s="191"/>
      <c r="S845" s="191"/>
      <c r="T845" s="192"/>
      <c r="U845" s="189" t="str">
        <f t="shared" si="16"/>
        <v/>
      </c>
      <c r="V845" s="190" t="str">
        <f t="shared" si="17"/>
        <v/>
      </c>
      <c r="W845" s="190" t="str">
        <f t="shared" si="18"/>
        <v/>
      </c>
      <c r="X845" s="191" t="str">
        <f t="shared" si="19"/>
        <v/>
      </c>
      <c r="Y845" s="191" t="str">
        <f t="shared" si="20"/>
        <v/>
      </c>
      <c r="Z845" s="156"/>
    </row>
    <row r="846">
      <c r="A846" s="177" t="str">
        <f t="shared" si="14"/>
        <v/>
      </c>
      <c r="B846" s="196"/>
      <c r="C846" s="179" t="str">
        <f t="shared" si="2"/>
        <v/>
      </c>
      <c r="D846" s="197"/>
      <c r="E846" s="181"/>
      <c r="F846" s="198"/>
      <c r="G846" s="201"/>
      <c r="H846" s="201"/>
      <c r="I846" s="201"/>
      <c r="J846" s="202"/>
      <c r="K846" s="203"/>
      <c r="L846" s="186">
        <f t="shared" si="15"/>
        <v>0</v>
      </c>
      <c r="M846" s="191"/>
      <c r="N846" s="191"/>
      <c r="O846" s="191"/>
      <c r="P846" s="191"/>
      <c r="Q846" s="191"/>
      <c r="R846" s="191"/>
      <c r="S846" s="191"/>
      <c r="T846" s="192"/>
      <c r="U846" s="189" t="str">
        <f t="shared" si="16"/>
        <v/>
      </c>
      <c r="V846" s="190" t="str">
        <f t="shared" si="17"/>
        <v/>
      </c>
      <c r="W846" s="190" t="str">
        <f t="shared" si="18"/>
        <v/>
      </c>
      <c r="X846" s="191" t="str">
        <f t="shared" si="19"/>
        <v/>
      </c>
      <c r="Y846" s="191" t="str">
        <f t="shared" si="20"/>
        <v/>
      </c>
      <c r="Z846" s="156"/>
    </row>
    <row r="847">
      <c r="A847" s="177" t="str">
        <f t="shared" si="14"/>
        <v/>
      </c>
      <c r="B847" s="196"/>
      <c r="C847" s="179" t="str">
        <f t="shared" si="2"/>
        <v/>
      </c>
      <c r="D847" s="197"/>
      <c r="E847" s="181"/>
      <c r="F847" s="198"/>
      <c r="G847" s="201"/>
      <c r="H847" s="201"/>
      <c r="I847" s="201"/>
      <c r="J847" s="202"/>
      <c r="K847" s="203"/>
      <c r="L847" s="186">
        <f t="shared" si="15"/>
        <v>0</v>
      </c>
      <c r="M847" s="191"/>
      <c r="N847" s="191"/>
      <c r="O847" s="191"/>
      <c r="P847" s="191"/>
      <c r="Q847" s="191"/>
      <c r="R847" s="191"/>
      <c r="S847" s="191"/>
      <c r="T847" s="192"/>
      <c r="U847" s="189" t="str">
        <f t="shared" si="16"/>
        <v/>
      </c>
      <c r="V847" s="190" t="str">
        <f t="shared" si="17"/>
        <v/>
      </c>
      <c r="W847" s="190" t="str">
        <f t="shared" si="18"/>
        <v/>
      </c>
      <c r="X847" s="191" t="str">
        <f t="shared" si="19"/>
        <v/>
      </c>
      <c r="Y847" s="191" t="str">
        <f t="shared" si="20"/>
        <v/>
      </c>
      <c r="Z847" s="156"/>
    </row>
    <row r="848">
      <c r="A848" s="177" t="str">
        <f t="shared" si="14"/>
        <v/>
      </c>
      <c r="B848" s="196"/>
      <c r="C848" s="179" t="str">
        <f t="shared" si="2"/>
        <v/>
      </c>
      <c r="D848" s="197"/>
      <c r="E848" s="181"/>
      <c r="F848" s="198"/>
      <c r="G848" s="201"/>
      <c r="H848" s="201"/>
      <c r="I848" s="201"/>
      <c r="J848" s="202"/>
      <c r="K848" s="203"/>
      <c r="L848" s="186">
        <f t="shared" si="15"/>
        <v>0</v>
      </c>
      <c r="M848" s="191"/>
      <c r="N848" s="191"/>
      <c r="O848" s="191"/>
      <c r="P848" s="191"/>
      <c r="Q848" s="191"/>
      <c r="R848" s="191"/>
      <c r="S848" s="191"/>
      <c r="T848" s="192"/>
      <c r="U848" s="189" t="str">
        <f t="shared" si="16"/>
        <v/>
      </c>
      <c r="V848" s="190" t="str">
        <f t="shared" si="17"/>
        <v/>
      </c>
      <c r="W848" s="190" t="str">
        <f t="shared" si="18"/>
        <v/>
      </c>
      <c r="X848" s="191" t="str">
        <f t="shared" si="19"/>
        <v/>
      </c>
      <c r="Y848" s="191" t="str">
        <f t="shared" si="20"/>
        <v/>
      </c>
      <c r="Z848" s="156"/>
    </row>
    <row r="849">
      <c r="A849" s="177" t="str">
        <f t="shared" si="14"/>
        <v/>
      </c>
      <c r="B849" s="196"/>
      <c r="C849" s="179" t="str">
        <f t="shared" si="2"/>
        <v/>
      </c>
      <c r="D849" s="197"/>
      <c r="E849" s="181"/>
      <c r="F849" s="198"/>
      <c r="G849" s="201"/>
      <c r="H849" s="201"/>
      <c r="I849" s="201"/>
      <c r="J849" s="202"/>
      <c r="K849" s="203"/>
      <c r="L849" s="186">
        <f t="shared" si="15"/>
        <v>0</v>
      </c>
      <c r="M849" s="191"/>
      <c r="N849" s="191"/>
      <c r="O849" s="191"/>
      <c r="P849" s="191"/>
      <c r="Q849" s="191"/>
      <c r="R849" s="191"/>
      <c r="S849" s="191"/>
      <c r="T849" s="192"/>
      <c r="U849" s="189" t="str">
        <f t="shared" si="16"/>
        <v/>
      </c>
      <c r="V849" s="190" t="str">
        <f t="shared" si="17"/>
        <v/>
      </c>
      <c r="W849" s="190" t="str">
        <f t="shared" si="18"/>
        <v/>
      </c>
      <c r="X849" s="191" t="str">
        <f t="shared" si="19"/>
        <v/>
      </c>
      <c r="Y849" s="191" t="str">
        <f t="shared" si="20"/>
        <v/>
      </c>
      <c r="Z849" s="156"/>
    </row>
    <row r="850">
      <c r="A850" s="177" t="str">
        <f t="shared" si="14"/>
        <v/>
      </c>
      <c r="B850" s="196"/>
      <c r="C850" s="179" t="str">
        <f t="shared" si="2"/>
        <v/>
      </c>
      <c r="D850" s="197"/>
      <c r="E850" s="181"/>
      <c r="F850" s="198"/>
      <c r="G850" s="201"/>
      <c r="H850" s="201"/>
      <c r="I850" s="201"/>
      <c r="J850" s="202"/>
      <c r="K850" s="203"/>
      <c r="L850" s="186">
        <f t="shared" si="15"/>
        <v>0</v>
      </c>
      <c r="M850" s="191"/>
      <c r="N850" s="191"/>
      <c r="O850" s="191"/>
      <c r="P850" s="191"/>
      <c r="Q850" s="191"/>
      <c r="R850" s="191"/>
      <c r="S850" s="191"/>
      <c r="T850" s="192"/>
      <c r="U850" s="189" t="str">
        <f t="shared" si="16"/>
        <v/>
      </c>
      <c r="V850" s="190" t="str">
        <f t="shared" si="17"/>
        <v/>
      </c>
      <c r="W850" s="190" t="str">
        <f t="shared" si="18"/>
        <v/>
      </c>
      <c r="X850" s="191" t="str">
        <f t="shared" si="19"/>
        <v/>
      </c>
      <c r="Y850" s="191" t="str">
        <f t="shared" si="20"/>
        <v/>
      </c>
      <c r="Z850" s="156"/>
    </row>
    <row r="851">
      <c r="A851" s="177" t="str">
        <f t="shared" si="14"/>
        <v/>
      </c>
      <c r="B851" s="196"/>
      <c r="C851" s="179" t="str">
        <f t="shared" si="2"/>
        <v/>
      </c>
      <c r="D851" s="197"/>
      <c r="E851" s="181"/>
      <c r="F851" s="198"/>
      <c r="G851" s="201"/>
      <c r="H851" s="201"/>
      <c r="I851" s="201"/>
      <c r="J851" s="202"/>
      <c r="K851" s="203"/>
      <c r="L851" s="186">
        <f t="shared" si="15"/>
        <v>0</v>
      </c>
      <c r="M851" s="191"/>
      <c r="N851" s="191"/>
      <c r="O851" s="191"/>
      <c r="P851" s="191"/>
      <c r="Q851" s="191"/>
      <c r="R851" s="191"/>
      <c r="S851" s="191"/>
      <c r="T851" s="192"/>
      <c r="U851" s="189" t="str">
        <f t="shared" si="16"/>
        <v/>
      </c>
      <c r="V851" s="190" t="str">
        <f t="shared" si="17"/>
        <v/>
      </c>
      <c r="W851" s="190" t="str">
        <f t="shared" si="18"/>
        <v/>
      </c>
      <c r="X851" s="191" t="str">
        <f t="shared" si="19"/>
        <v/>
      </c>
      <c r="Y851" s="191" t="str">
        <f t="shared" si="20"/>
        <v/>
      </c>
      <c r="Z851" s="156"/>
    </row>
    <row r="852">
      <c r="A852" s="177" t="str">
        <f t="shared" si="14"/>
        <v/>
      </c>
      <c r="B852" s="196"/>
      <c r="C852" s="179" t="str">
        <f t="shared" si="2"/>
        <v/>
      </c>
      <c r="D852" s="197"/>
      <c r="E852" s="181"/>
      <c r="F852" s="198"/>
      <c r="G852" s="201"/>
      <c r="H852" s="201"/>
      <c r="I852" s="201"/>
      <c r="J852" s="202"/>
      <c r="K852" s="203"/>
      <c r="L852" s="186">
        <f t="shared" si="15"/>
        <v>0</v>
      </c>
      <c r="M852" s="191"/>
      <c r="N852" s="191"/>
      <c r="O852" s="191"/>
      <c r="P852" s="191"/>
      <c r="Q852" s="191"/>
      <c r="R852" s="191"/>
      <c r="S852" s="191"/>
      <c r="T852" s="192"/>
      <c r="U852" s="189" t="str">
        <f t="shared" si="16"/>
        <v/>
      </c>
      <c r="V852" s="190" t="str">
        <f t="shared" si="17"/>
        <v/>
      </c>
      <c r="W852" s="190" t="str">
        <f t="shared" si="18"/>
        <v/>
      </c>
      <c r="X852" s="191" t="str">
        <f t="shared" si="19"/>
        <v/>
      </c>
      <c r="Y852" s="191" t="str">
        <f t="shared" si="20"/>
        <v/>
      </c>
      <c r="Z852" s="156"/>
    </row>
    <row r="853">
      <c r="A853" s="177" t="str">
        <f t="shared" si="14"/>
        <v/>
      </c>
      <c r="B853" s="196"/>
      <c r="C853" s="179" t="str">
        <f t="shared" si="2"/>
        <v/>
      </c>
      <c r="D853" s="197"/>
      <c r="E853" s="181"/>
      <c r="F853" s="198"/>
      <c r="G853" s="201"/>
      <c r="H853" s="201"/>
      <c r="I853" s="201"/>
      <c r="J853" s="202"/>
      <c r="K853" s="203"/>
      <c r="L853" s="186">
        <f t="shared" si="15"/>
        <v>0</v>
      </c>
      <c r="M853" s="191"/>
      <c r="N853" s="191"/>
      <c r="O853" s="191"/>
      <c r="P853" s="191"/>
      <c r="Q853" s="191"/>
      <c r="R853" s="191"/>
      <c r="S853" s="191"/>
      <c r="T853" s="192"/>
      <c r="U853" s="189" t="str">
        <f t="shared" si="16"/>
        <v/>
      </c>
      <c r="V853" s="190" t="str">
        <f t="shared" si="17"/>
        <v/>
      </c>
      <c r="W853" s="190" t="str">
        <f t="shared" si="18"/>
        <v/>
      </c>
      <c r="X853" s="191" t="str">
        <f t="shared" si="19"/>
        <v/>
      </c>
      <c r="Y853" s="191" t="str">
        <f t="shared" si="20"/>
        <v/>
      </c>
      <c r="Z853" s="156"/>
    </row>
    <row r="854">
      <c r="A854" s="177" t="str">
        <f t="shared" si="14"/>
        <v/>
      </c>
      <c r="B854" s="196"/>
      <c r="C854" s="179" t="str">
        <f t="shared" si="2"/>
        <v/>
      </c>
      <c r="D854" s="197"/>
      <c r="E854" s="181"/>
      <c r="F854" s="198"/>
      <c r="G854" s="201"/>
      <c r="H854" s="201"/>
      <c r="I854" s="201"/>
      <c r="J854" s="202"/>
      <c r="K854" s="203"/>
      <c r="L854" s="186">
        <f t="shared" si="15"/>
        <v>0</v>
      </c>
      <c r="M854" s="191"/>
      <c r="N854" s="191"/>
      <c r="O854" s="191"/>
      <c r="P854" s="191"/>
      <c r="Q854" s="191"/>
      <c r="R854" s="191"/>
      <c r="S854" s="191"/>
      <c r="T854" s="192"/>
      <c r="U854" s="189" t="str">
        <f t="shared" si="16"/>
        <v/>
      </c>
      <c r="V854" s="190" t="str">
        <f t="shared" si="17"/>
        <v/>
      </c>
      <c r="W854" s="190" t="str">
        <f t="shared" si="18"/>
        <v/>
      </c>
      <c r="X854" s="191" t="str">
        <f t="shared" si="19"/>
        <v/>
      </c>
      <c r="Y854" s="191" t="str">
        <f t="shared" si="20"/>
        <v/>
      </c>
      <c r="Z854" s="156"/>
    </row>
    <row r="855">
      <c r="A855" s="177" t="str">
        <f t="shared" si="14"/>
        <v/>
      </c>
      <c r="B855" s="196"/>
      <c r="C855" s="179" t="str">
        <f t="shared" si="2"/>
        <v/>
      </c>
      <c r="D855" s="197"/>
      <c r="E855" s="181"/>
      <c r="F855" s="198"/>
      <c r="G855" s="201"/>
      <c r="H855" s="201"/>
      <c r="I855" s="201"/>
      <c r="J855" s="202"/>
      <c r="K855" s="203"/>
      <c r="L855" s="186">
        <f t="shared" si="15"/>
        <v>0</v>
      </c>
      <c r="M855" s="191"/>
      <c r="N855" s="191"/>
      <c r="O855" s="191"/>
      <c r="P855" s="191"/>
      <c r="Q855" s="191"/>
      <c r="R855" s="191"/>
      <c r="S855" s="191"/>
      <c r="T855" s="192"/>
      <c r="U855" s="189" t="str">
        <f t="shared" si="16"/>
        <v/>
      </c>
      <c r="V855" s="190" t="str">
        <f t="shared" si="17"/>
        <v/>
      </c>
      <c r="W855" s="190" t="str">
        <f t="shared" si="18"/>
        <v/>
      </c>
      <c r="X855" s="191" t="str">
        <f t="shared" si="19"/>
        <v/>
      </c>
      <c r="Y855" s="191" t="str">
        <f t="shared" si="20"/>
        <v/>
      </c>
      <c r="Z855" s="156"/>
    </row>
    <row r="856">
      <c r="A856" s="177" t="str">
        <f t="shared" si="14"/>
        <v/>
      </c>
      <c r="B856" s="196"/>
      <c r="C856" s="179" t="str">
        <f t="shared" si="2"/>
        <v/>
      </c>
      <c r="D856" s="197"/>
      <c r="E856" s="181"/>
      <c r="F856" s="198"/>
      <c r="G856" s="201"/>
      <c r="H856" s="201"/>
      <c r="I856" s="201"/>
      <c r="J856" s="202"/>
      <c r="K856" s="203"/>
      <c r="L856" s="186">
        <f t="shared" si="15"/>
        <v>0</v>
      </c>
      <c r="M856" s="191"/>
      <c r="N856" s="191"/>
      <c r="O856" s="191"/>
      <c r="P856" s="191"/>
      <c r="Q856" s="191"/>
      <c r="R856" s="191"/>
      <c r="S856" s="191"/>
      <c r="T856" s="192"/>
      <c r="U856" s="189" t="str">
        <f t="shared" si="16"/>
        <v/>
      </c>
      <c r="V856" s="190" t="str">
        <f t="shared" si="17"/>
        <v/>
      </c>
      <c r="W856" s="190" t="str">
        <f t="shared" si="18"/>
        <v/>
      </c>
      <c r="X856" s="191" t="str">
        <f t="shared" si="19"/>
        <v/>
      </c>
      <c r="Y856" s="191" t="str">
        <f t="shared" si="20"/>
        <v/>
      </c>
      <c r="Z856" s="156"/>
    </row>
    <row r="857">
      <c r="A857" s="177" t="str">
        <f t="shared" si="14"/>
        <v/>
      </c>
      <c r="B857" s="196"/>
      <c r="C857" s="179" t="str">
        <f t="shared" si="2"/>
        <v/>
      </c>
      <c r="D857" s="197"/>
      <c r="E857" s="181"/>
      <c r="F857" s="198"/>
      <c r="G857" s="201"/>
      <c r="H857" s="201"/>
      <c r="I857" s="201"/>
      <c r="J857" s="202"/>
      <c r="K857" s="203"/>
      <c r="L857" s="186">
        <f t="shared" si="15"/>
        <v>0</v>
      </c>
      <c r="M857" s="191"/>
      <c r="N857" s="191"/>
      <c r="O857" s="191"/>
      <c r="P857" s="191"/>
      <c r="Q857" s="191"/>
      <c r="R857" s="191"/>
      <c r="S857" s="191"/>
      <c r="T857" s="192"/>
      <c r="U857" s="189" t="str">
        <f t="shared" si="16"/>
        <v/>
      </c>
      <c r="V857" s="190" t="str">
        <f t="shared" si="17"/>
        <v/>
      </c>
      <c r="W857" s="190" t="str">
        <f t="shared" si="18"/>
        <v/>
      </c>
      <c r="X857" s="191" t="str">
        <f t="shared" si="19"/>
        <v/>
      </c>
      <c r="Y857" s="191" t="str">
        <f t="shared" si="20"/>
        <v/>
      </c>
      <c r="Z857" s="156"/>
    </row>
    <row r="858">
      <c r="A858" s="177" t="str">
        <f t="shared" si="14"/>
        <v/>
      </c>
      <c r="B858" s="196"/>
      <c r="C858" s="179" t="str">
        <f t="shared" si="2"/>
        <v/>
      </c>
      <c r="D858" s="197"/>
      <c r="E858" s="181"/>
      <c r="F858" s="198"/>
      <c r="G858" s="201"/>
      <c r="H858" s="201"/>
      <c r="I858" s="201"/>
      <c r="J858" s="202"/>
      <c r="K858" s="203"/>
      <c r="L858" s="186">
        <f t="shared" si="15"/>
        <v>0</v>
      </c>
      <c r="M858" s="191"/>
      <c r="N858" s="191"/>
      <c r="O858" s="191"/>
      <c r="P858" s="191"/>
      <c r="Q858" s="191"/>
      <c r="R858" s="191"/>
      <c r="S858" s="191"/>
      <c r="T858" s="192"/>
      <c r="U858" s="189" t="str">
        <f t="shared" si="16"/>
        <v/>
      </c>
      <c r="V858" s="190" t="str">
        <f t="shared" si="17"/>
        <v/>
      </c>
      <c r="W858" s="190" t="str">
        <f t="shared" si="18"/>
        <v/>
      </c>
      <c r="X858" s="191" t="str">
        <f t="shared" si="19"/>
        <v/>
      </c>
      <c r="Y858" s="191" t="str">
        <f t="shared" si="20"/>
        <v/>
      </c>
      <c r="Z858" s="156"/>
    </row>
    <row r="859">
      <c r="A859" s="177" t="str">
        <f t="shared" si="14"/>
        <v/>
      </c>
      <c r="B859" s="196"/>
      <c r="C859" s="179" t="str">
        <f t="shared" si="2"/>
        <v/>
      </c>
      <c r="D859" s="197"/>
      <c r="E859" s="181"/>
      <c r="F859" s="198"/>
      <c r="G859" s="201"/>
      <c r="H859" s="201"/>
      <c r="I859" s="201"/>
      <c r="J859" s="202"/>
      <c r="K859" s="203"/>
      <c r="L859" s="186">
        <f t="shared" si="15"/>
        <v>0</v>
      </c>
      <c r="M859" s="191"/>
      <c r="N859" s="191"/>
      <c r="O859" s="191"/>
      <c r="P859" s="191"/>
      <c r="Q859" s="191"/>
      <c r="R859" s="191"/>
      <c r="S859" s="191"/>
      <c r="T859" s="192"/>
      <c r="U859" s="189" t="str">
        <f t="shared" si="16"/>
        <v/>
      </c>
      <c r="V859" s="190" t="str">
        <f t="shared" si="17"/>
        <v/>
      </c>
      <c r="W859" s="190" t="str">
        <f t="shared" si="18"/>
        <v/>
      </c>
      <c r="X859" s="191" t="str">
        <f t="shared" si="19"/>
        <v/>
      </c>
      <c r="Y859" s="191" t="str">
        <f t="shared" si="20"/>
        <v/>
      </c>
      <c r="Z859" s="156"/>
    </row>
    <row r="860">
      <c r="A860" s="177" t="str">
        <f t="shared" si="14"/>
        <v/>
      </c>
      <c r="B860" s="196"/>
      <c r="C860" s="179" t="str">
        <f t="shared" si="2"/>
        <v/>
      </c>
      <c r="D860" s="197"/>
      <c r="E860" s="181"/>
      <c r="F860" s="198"/>
      <c r="G860" s="201"/>
      <c r="H860" s="201"/>
      <c r="I860" s="201"/>
      <c r="J860" s="202"/>
      <c r="K860" s="203"/>
      <c r="L860" s="186">
        <f t="shared" si="15"/>
        <v>0</v>
      </c>
      <c r="M860" s="191"/>
      <c r="N860" s="191"/>
      <c r="O860" s="191"/>
      <c r="P860" s="191"/>
      <c r="Q860" s="191"/>
      <c r="R860" s="191"/>
      <c r="S860" s="191"/>
      <c r="T860" s="192"/>
      <c r="U860" s="189" t="str">
        <f t="shared" si="16"/>
        <v/>
      </c>
      <c r="V860" s="190" t="str">
        <f t="shared" si="17"/>
        <v/>
      </c>
      <c r="W860" s="190" t="str">
        <f t="shared" si="18"/>
        <v/>
      </c>
      <c r="X860" s="191" t="str">
        <f t="shared" si="19"/>
        <v/>
      </c>
      <c r="Y860" s="191" t="str">
        <f t="shared" si="20"/>
        <v/>
      </c>
      <c r="Z860" s="156"/>
    </row>
    <row r="861">
      <c r="A861" s="177" t="str">
        <f t="shared" si="14"/>
        <v/>
      </c>
      <c r="B861" s="196"/>
      <c r="C861" s="179" t="str">
        <f t="shared" si="2"/>
        <v/>
      </c>
      <c r="D861" s="197"/>
      <c r="E861" s="181"/>
      <c r="F861" s="198"/>
      <c r="G861" s="201"/>
      <c r="H861" s="201"/>
      <c r="I861" s="201"/>
      <c r="J861" s="202"/>
      <c r="K861" s="203"/>
      <c r="L861" s="186">
        <f t="shared" si="15"/>
        <v>0</v>
      </c>
      <c r="M861" s="191"/>
      <c r="N861" s="191"/>
      <c r="O861" s="191"/>
      <c r="P861" s="191"/>
      <c r="Q861" s="191"/>
      <c r="R861" s="191"/>
      <c r="S861" s="191"/>
      <c r="T861" s="192"/>
      <c r="U861" s="189" t="str">
        <f t="shared" si="16"/>
        <v/>
      </c>
      <c r="V861" s="190" t="str">
        <f t="shared" si="17"/>
        <v/>
      </c>
      <c r="W861" s="190" t="str">
        <f t="shared" si="18"/>
        <v/>
      </c>
      <c r="X861" s="191" t="str">
        <f t="shared" si="19"/>
        <v/>
      </c>
      <c r="Y861" s="191" t="str">
        <f t="shared" si="20"/>
        <v/>
      </c>
      <c r="Z861" s="156"/>
    </row>
    <row r="862">
      <c r="A862" s="177" t="str">
        <f t="shared" si="14"/>
        <v/>
      </c>
      <c r="B862" s="196"/>
      <c r="C862" s="179" t="str">
        <f t="shared" si="2"/>
        <v/>
      </c>
      <c r="D862" s="197"/>
      <c r="E862" s="181"/>
      <c r="F862" s="198"/>
      <c r="G862" s="201"/>
      <c r="H862" s="201"/>
      <c r="I862" s="201"/>
      <c r="J862" s="202"/>
      <c r="K862" s="203"/>
      <c r="L862" s="186">
        <f t="shared" si="15"/>
        <v>0</v>
      </c>
      <c r="M862" s="191"/>
      <c r="N862" s="191"/>
      <c r="O862" s="191"/>
      <c r="P862" s="191"/>
      <c r="Q862" s="191"/>
      <c r="R862" s="191"/>
      <c r="S862" s="191"/>
      <c r="T862" s="192"/>
      <c r="U862" s="189" t="str">
        <f t="shared" si="16"/>
        <v/>
      </c>
      <c r="V862" s="190" t="str">
        <f t="shared" si="17"/>
        <v/>
      </c>
      <c r="W862" s="190" t="str">
        <f t="shared" si="18"/>
        <v/>
      </c>
      <c r="X862" s="191" t="str">
        <f t="shared" si="19"/>
        <v/>
      </c>
      <c r="Y862" s="191" t="str">
        <f t="shared" si="20"/>
        <v/>
      </c>
      <c r="Z862" s="156"/>
    </row>
    <row r="863">
      <c r="A863" s="177" t="str">
        <f t="shared" si="14"/>
        <v/>
      </c>
      <c r="B863" s="196"/>
      <c r="C863" s="179" t="str">
        <f t="shared" si="2"/>
        <v/>
      </c>
      <c r="D863" s="197"/>
      <c r="E863" s="181"/>
      <c r="F863" s="198"/>
      <c r="G863" s="201"/>
      <c r="H863" s="201"/>
      <c r="I863" s="201"/>
      <c r="J863" s="202"/>
      <c r="K863" s="203"/>
      <c r="L863" s="186">
        <f t="shared" si="15"/>
        <v>0</v>
      </c>
      <c r="M863" s="191"/>
      <c r="N863" s="191"/>
      <c r="O863" s="191"/>
      <c r="P863" s="191"/>
      <c r="Q863" s="191"/>
      <c r="R863" s="191"/>
      <c r="S863" s="191"/>
      <c r="T863" s="192"/>
      <c r="U863" s="189" t="str">
        <f t="shared" si="16"/>
        <v/>
      </c>
      <c r="V863" s="190" t="str">
        <f t="shared" si="17"/>
        <v/>
      </c>
      <c r="W863" s="190" t="str">
        <f t="shared" si="18"/>
        <v/>
      </c>
      <c r="X863" s="191" t="str">
        <f t="shared" si="19"/>
        <v/>
      </c>
      <c r="Y863" s="191" t="str">
        <f t="shared" si="20"/>
        <v/>
      </c>
      <c r="Z863" s="156"/>
    </row>
    <row r="864">
      <c r="A864" s="177" t="str">
        <f t="shared" si="14"/>
        <v/>
      </c>
      <c r="B864" s="196"/>
      <c r="C864" s="179" t="str">
        <f t="shared" si="2"/>
        <v/>
      </c>
      <c r="D864" s="197"/>
      <c r="E864" s="181"/>
      <c r="F864" s="198"/>
      <c r="G864" s="201"/>
      <c r="H864" s="201"/>
      <c r="I864" s="201"/>
      <c r="J864" s="202"/>
      <c r="K864" s="203"/>
      <c r="L864" s="186">
        <f t="shared" si="15"/>
        <v>0</v>
      </c>
      <c r="M864" s="191"/>
      <c r="N864" s="191"/>
      <c r="O864" s="191"/>
      <c r="P864" s="191"/>
      <c r="Q864" s="191"/>
      <c r="R864" s="191"/>
      <c r="S864" s="191"/>
      <c r="T864" s="192"/>
      <c r="U864" s="189" t="str">
        <f t="shared" si="16"/>
        <v/>
      </c>
      <c r="V864" s="190" t="str">
        <f t="shared" si="17"/>
        <v/>
      </c>
      <c r="W864" s="190" t="str">
        <f t="shared" si="18"/>
        <v/>
      </c>
      <c r="X864" s="191" t="str">
        <f t="shared" si="19"/>
        <v/>
      </c>
      <c r="Y864" s="191" t="str">
        <f t="shared" si="20"/>
        <v/>
      </c>
      <c r="Z864" s="156"/>
    </row>
    <row r="865">
      <c r="A865" s="177" t="str">
        <f t="shared" si="14"/>
        <v/>
      </c>
      <c r="B865" s="196"/>
      <c r="C865" s="179" t="str">
        <f t="shared" si="2"/>
        <v/>
      </c>
      <c r="D865" s="197"/>
      <c r="E865" s="181"/>
      <c r="F865" s="198"/>
      <c r="G865" s="201"/>
      <c r="H865" s="201"/>
      <c r="I865" s="201"/>
      <c r="J865" s="202"/>
      <c r="K865" s="203"/>
      <c r="L865" s="186">
        <f t="shared" si="15"/>
        <v>0</v>
      </c>
      <c r="M865" s="191"/>
      <c r="N865" s="191"/>
      <c r="O865" s="191"/>
      <c r="P865" s="191"/>
      <c r="Q865" s="191"/>
      <c r="R865" s="191"/>
      <c r="S865" s="191"/>
      <c r="T865" s="192"/>
      <c r="U865" s="189" t="str">
        <f t="shared" si="16"/>
        <v/>
      </c>
      <c r="V865" s="190" t="str">
        <f t="shared" si="17"/>
        <v/>
      </c>
      <c r="W865" s="190" t="str">
        <f t="shared" si="18"/>
        <v/>
      </c>
      <c r="X865" s="191" t="str">
        <f t="shared" si="19"/>
        <v/>
      </c>
      <c r="Y865" s="191" t="str">
        <f t="shared" si="20"/>
        <v/>
      </c>
      <c r="Z865" s="156"/>
    </row>
    <row r="866">
      <c r="A866" s="177" t="str">
        <f t="shared" si="14"/>
        <v/>
      </c>
      <c r="B866" s="196"/>
      <c r="C866" s="179" t="str">
        <f t="shared" si="2"/>
        <v/>
      </c>
      <c r="D866" s="197"/>
      <c r="E866" s="181"/>
      <c r="F866" s="198"/>
      <c r="G866" s="201"/>
      <c r="H866" s="201"/>
      <c r="I866" s="201"/>
      <c r="J866" s="202"/>
      <c r="K866" s="203"/>
      <c r="L866" s="186">
        <f t="shared" si="15"/>
        <v>0</v>
      </c>
      <c r="M866" s="191"/>
      <c r="N866" s="191"/>
      <c r="O866" s="191"/>
      <c r="P866" s="191"/>
      <c r="Q866" s="191"/>
      <c r="R866" s="191"/>
      <c r="S866" s="191"/>
      <c r="T866" s="192"/>
      <c r="U866" s="189" t="str">
        <f t="shared" si="16"/>
        <v/>
      </c>
      <c r="V866" s="190" t="str">
        <f t="shared" si="17"/>
        <v/>
      </c>
      <c r="W866" s="190" t="str">
        <f t="shared" si="18"/>
        <v/>
      </c>
      <c r="X866" s="191" t="str">
        <f t="shared" si="19"/>
        <v/>
      </c>
      <c r="Y866" s="191" t="str">
        <f t="shared" si="20"/>
        <v/>
      </c>
      <c r="Z866" s="156"/>
    </row>
    <row r="867">
      <c r="A867" s="177" t="str">
        <f t="shared" si="14"/>
        <v/>
      </c>
      <c r="B867" s="196"/>
      <c r="C867" s="179" t="str">
        <f t="shared" si="2"/>
        <v/>
      </c>
      <c r="D867" s="197"/>
      <c r="E867" s="181"/>
      <c r="F867" s="198"/>
      <c r="G867" s="201"/>
      <c r="H867" s="201"/>
      <c r="I867" s="201"/>
      <c r="J867" s="202"/>
      <c r="K867" s="203"/>
      <c r="L867" s="186">
        <f t="shared" si="15"/>
        <v>0</v>
      </c>
      <c r="M867" s="191"/>
      <c r="N867" s="191"/>
      <c r="O867" s="191"/>
      <c r="P867" s="191"/>
      <c r="Q867" s="191"/>
      <c r="R867" s="191"/>
      <c r="S867" s="191"/>
      <c r="T867" s="192"/>
      <c r="U867" s="189" t="str">
        <f t="shared" si="16"/>
        <v/>
      </c>
      <c r="V867" s="190" t="str">
        <f t="shared" si="17"/>
        <v/>
      </c>
      <c r="W867" s="190" t="str">
        <f t="shared" si="18"/>
        <v/>
      </c>
      <c r="X867" s="191" t="str">
        <f t="shared" si="19"/>
        <v/>
      </c>
      <c r="Y867" s="191" t="str">
        <f t="shared" si="20"/>
        <v/>
      </c>
      <c r="Z867" s="156"/>
    </row>
    <row r="868">
      <c r="A868" s="177" t="str">
        <f t="shared" si="14"/>
        <v/>
      </c>
      <c r="B868" s="196"/>
      <c r="C868" s="179" t="str">
        <f t="shared" si="2"/>
        <v/>
      </c>
      <c r="D868" s="197"/>
      <c r="E868" s="181"/>
      <c r="F868" s="198"/>
      <c r="G868" s="201"/>
      <c r="H868" s="201"/>
      <c r="I868" s="201"/>
      <c r="J868" s="202"/>
      <c r="K868" s="203"/>
      <c r="L868" s="186">
        <f t="shared" si="15"/>
        <v>0</v>
      </c>
      <c r="M868" s="191"/>
      <c r="N868" s="191"/>
      <c r="O868" s="191"/>
      <c r="P868" s="191"/>
      <c r="Q868" s="191"/>
      <c r="R868" s="191"/>
      <c r="S868" s="191"/>
      <c r="T868" s="192"/>
      <c r="U868" s="189" t="str">
        <f t="shared" si="16"/>
        <v/>
      </c>
      <c r="V868" s="190" t="str">
        <f t="shared" si="17"/>
        <v/>
      </c>
      <c r="W868" s="190" t="str">
        <f t="shared" si="18"/>
        <v/>
      </c>
      <c r="X868" s="191" t="str">
        <f t="shared" si="19"/>
        <v/>
      </c>
      <c r="Y868" s="191" t="str">
        <f t="shared" si="20"/>
        <v/>
      </c>
      <c r="Z868" s="156"/>
    </row>
    <row r="869">
      <c r="A869" s="177" t="str">
        <f t="shared" si="14"/>
        <v/>
      </c>
      <c r="B869" s="196"/>
      <c r="C869" s="179" t="str">
        <f t="shared" si="2"/>
        <v/>
      </c>
      <c r="D869" s="197"/>
      <c r="E869" s="181"/>
      <c r="F869" s="198"/>
      <c r="G869" s="201"/>
      <c r="H869" s="201"/>
      <c r="I869" s="201"/>
      <c r="J869" s="202"/>
      <c r="K869" s="203"/>
      <c r="L869" s="186">
        <f t="shared" si="15"/>
        <v>0</v>
      </c>
      <c r="M869" s="191"/>
      <c r="N869" s="191"/>
      <c r="O869" s="191"/>
      <c r="P869" s="191"/>
      <c r="Q869" s="191"/>
      <c r="R869" s="191"/>
      <c r="S869" s="191"/>
      <c r="T869" s="192"/>
      <c r="U869" s="189" t="str">
        <f t="shared" si="16"/>
        <v/>
      </c>
      <c r="V869" s="190" t="str">
        <f t="shared" si="17"/>
        <v/>
      </c>
      <c r="W869" s="190" t="str">
        <f t="shared" si="18"/>
        <v/>
      </c>
      <c r="X869" s="191" t="str">
        <f t="shared" si="19"/>
        <v/>
      </c>
      <c r="Y869" s="191" t="str">
        <f t="shared" si="20"/>
        <v/>
      </c>
      <c r="Z869" s="156"/>
    </row>
    <row r="870">
      <c r="A870" s="177" t="str">
        <f t="shared" si="14"/>
        <v/>
      </c>
      <c r="B870" s="196"/>
      <c r="C870" s="179" t="str">
        <f t="shared" si="2"/>
        <v/>
      </c>
      <c r="D870" s="197"/>
      <c r="E870" s="181"/>
      <c r="F870" s="198"/>
      <c r="G870" s="201"/>
      <c r="H870" s="201"/>
      <c r="I870" s="201"/>
      <c r="J870" s="202"/>
      <c r="K870" s="203"/>
      <c r="L870" s="186">
        <f t="shared" si="15"/>
        <v>0</v>
      </c>
      <c r="M870" s="191"/>
      <c r="N870" s="191"/>
      <c r="O870" s="191"/>
      <c r="P870" s="191"/>
      <c r="Q870" s="191"/>
      <c r="R870" s="191"/>
      <c r="S870" s="191"/>
      <c r="T870" s="192"/>
      <c r="U870" s="189" t="str">
        <f t="shared" si="16"/>
        <v/>
      </c>
      <c r="V870" s="190" t="str">
        <f t="shared" si="17"/>
        <v/>
      </c>
      <c r="W870" s="190" t="str">
        <f t="shared" si="18"/>
        <v/>
      </c>
      <c r="X870" s="191" t="str">
        <f t="shared" si="19"/>
        <v/>
      </c>
      <c r="Y870" s="191" t="str">
        <f t="shared" si="20"/>
        <v/>
      </c>
      <c r="Z870" s="156"/>
    </row>
    <row r="871">
      <c r="A871" s="177" t="str">
        <f t="shared" si="14"/>
        <v/>
      </c>
      <c r="B871" s="196"/>
      <c r="C871" s="179" t="str">
        <f t="shared" si="2"/>
        <v/>
      </c>
      <c r="D871" s="197"/>
      <c r="E871" s="181"/>
      <c r="F871" s="198"/>
      <c r="G871" s="201"/>
      <c r="H871" s="201"/>
      <c r="I871" s="201"/>
      <c r="J871" s="202"/>
      <c r="K871" s="203"/>
      <c r="L871" s="186">
        <f t="shared" si="15"/>
        <v>0</v>
      </c>
      <c r="M871" s="191"/>
      <c r="N871" s="191"/>
      <c r="O871" s="191"/>
      <c r="P871" s="191"/>
      <c r="Q871" s="191"/>
      <c r="R871" s="191"/>
      <c r="S871" s="191"/>
      <c r="T871" s="192"/>
      <c r="U871" s="189" t="str">
        <f t="shared" si="16"/>
        <v/>
      </c>
      <c r="V871" s="190" t="str">
        <f t="shared" si="17"/>
        <v/>
      </c>
      <c r="W871" s="190" t="str">
        <f t="shared" si="18"/>
        <v/>
      </c>
      <c r="X871" s="191" t="str">
        <f t="shared" si="19"/>
        <v/>
      </c>
      <c r="Y871" s="191" t="str">
        <f t="shared" si="20"/>
        <v/>
      </c>
      <c r="Z871" s="156"/>
    </row>
    <row r="872">
      <c r="A872" s="177" t="str">
        <f t="shared" si="14"/>
        <v/>
      </c>
      <c r="B872" s="196"/>
      <c r="C872" s="179" t="str">
        <f t="shared" si="2"/>
        <v/>
      </c>
      <c r="D872" s="197"/>
      <c r="E872" s="181"/>
      <c r="F872" s="198"/>
      <c r="G872" s="201"/>
      <c r="H872" s="201"/>
      <c r="I872" s="201"/>
      <c r="J872" s="202"/>
      <c r="K872" s="203"/>
      <c r="L872" s="186">
        <f t="shared" si="15"/>
        <v>0</v>
      </c>
      <c r="M872" s="191"/>
      <c r="N872" s="191"/>
      <c r="O872" s="191"/>
      <c r="P872" s="191"/>
      <c r="Q872" s="191"/>
      <c r="R872" s="191"/>
      <c r="S872" s="191"/>
      <c r="T872" s="192"/>
      <c r="U872" s="189" t="str">
        <f t="shared" si="16"/>
        <v/>
      </c>
      <c r="V872" s="190" t="str">
        <f t="shared" si="17"/>
        <v/>
      </c>
      <c r="W872" s="190" t="str">
        <f t="shared" si="18"/>
        <v/>
      </c>
      <c r="X872" s="191" t="str">
        <f t="shared" si="19"/>
        <v/>
      </c>
      <c r="Y872" s="191" t="str">
        <f t="shared" si="20"/>
        <v/>
      </c>
      <c r="Z872" s="156"/>
    </row>
    <row r="873">
      <c r="A873" s="177" t="str">
        <f t="shared" si="14"/>
        <v/>
      </c>
      <c r="B873" s="196"/>
      <c r="C873" s="179" t="str">
        <f t="shared" si="2"/>
        <v/>
      </c>
      <c r="D873" s="197"/>
      <c r="E873" s="181"/>
      <c r="F873" s="198"/>
      <c r="G873" s="201"/>
      <c r="H873" s="201"/>
      <c r="I873" s="201"/>
      <c r="J873" s="202"/>
      <c r="K873" s="203"/>
      <c r="L873" s="186">
        <f t="shared" si="15"/>
        <v>0</v>
      </c>
      <c r="M873" s="191"/>
      <c r="N873" s="191"/>
      <c r="O873" s="191"/>
      <c r="P873" s="191"/>
      <c r="Q873" s="191"/>
      <c r="R873" s="191"/>
      <c r="S873" s="191"/>
      <c r="T873" s="192"/>
      <c r="U873" s="189" t="str">
        <f t="shared" si="16"/>
        <v/>
      </c>
      <c r="V873" s="190" t="str">
        <f t="shared" si="17"/>
        <v/>
      </c>
      <c r="W873" s="190" t="str">
        <f t="shared" si="18"/>
        <v/>
      </c>
      <c r="X873" s="191" t="str">
        <f t="shared" si="19"/>
        <v/>
      </c>
      <c r="Y873" s="191" t="str">
        <f t="shared" si="20"/>
        <v/>
      </c>
      <c r="Z873" s="156"/>
    </row>
    <row r="874">
      <c r="A874" s="177" t="str">
        <f t="shared" si="14"/>
        <v/>
      </c>
      <c r="B874" s="196"/>
      <c r="C874" s="179" t="str">
        <f t="shared" si="2"/>
        <v/>
      </c>
      <c r="D874" s="197"/>
      <c r="E874" s="181"/>
      <c r="F874" s="198"/>
      <c r="G874" s="201"/>
      <c r="H874" s="201"/>
      <c r="I874" s="201"/>
      <c r="J874" s="202"/>
      <c r="K874" s="203"/>
      <c r="L874" s="186">
        <f t="shared" si="15"/>
        <v>0</v>
      </c>
      <c r="M874" s="191"/>
      <c r="N874" s="191"/>
      <c r="O874" s="191"/>
      <c r="P874" s="191"/>
      <c r="Q874" s="191"/>
      <c r="R874" s="191"/>
      <c r="S874" s="191"/>
      <c r="T874" s="192"/>
      <c r="U874" s="189" t="str">
        <f t="shared" si="16"/>
        <v/>
      </c>
      <c r="V874" s="190" t="str">
        <f t="shared" si="17"/>
        <v/>
      </c>
      <c r="W874" s="190" t="str">
        <f t="shared" si="18"/>
        <v/>
      </c>
      <c r="X874" s="191" t="str">
        <f t="shared" si="19"/>
        <v/>
      </c>
      <c r="Y874" s="191" t="str">
        <f t="shared" si="20"/>
        <v/>
      </c>
      <c r="Z874" s="156"/>
    </row>
    <row r="875">
      <c r="A875" s="177" t="str">
        <f t="shared" si="14"/>
        <v/>
      </c>
      <c r="B875" s="196"/>
      <c r="C875" s="179" t="str">
        <f t="shared" si="2"/>
        <v/>
      </c>
      <c r="D875" s="197"/>
      <c r="E875" s="181"/>
      <c r="F875" s="198"/>
      <c r="G875" s="201"/>
      <c r="H875" s="201"/>
      <c r="I875" s="201"/>
      <c r="J875" s="202"/>
      <c r="K875" s="203"/>
      <c r="L875" s="186">
        <f t="shared" si="15"/>
        <v>0</v>
      </c>
      <c r="M875" s="191"/>
      <c r="N875" s="191"/>
      <c r="O875" s="191"/>
      <c r="P875" s="191"/>
      <c r="Q875" s="191"/>
      <c r="R875" s="191"/>
      <c r="S875" s="191"/>
      <c r="T875" s="192"/>
      <c r="U875" s="189" t="str">
        <f t="shared" si="16"/>
        <v/>
      </c>
      <c r="V875" s="190" t="str">
        <f t="shared" si="17"/>
        <v/>
      </c>
      <c r="W875" s="190" t="str">
        <f t="shared" si="18"/>
        <v/>
      </c>
      <c r="X875" s="191" t="str">
        <f t="shared" si="19"/>
        <v/>
      </c>
      <c r="Y875" s="191" t="str">
        <f t="shared" si="20"/>
        <v/>
      </c>
      <c r="Z875" s="156"/>
    </row>
    <row r="876">
      <c r="A876" s="177" t="str">
        <f t="shared" si="14"/>
        <v/>
      </c>
      <c r="B876" s="196"/>
      <c r="C876" s="179" t="str">
        <f t="shared" si="2"/>
        <v/>
      </c>
      <c r="D876" s="197"/>
      <c r="E876" s="181"/>
      <c r="F876" s="198"/>
      <c r="G876" s="201"/>
      <c r="H876" s="201"/>
      <c r="I876" s="201"/>
      <c r="J876" s="202"/>
      <c r="K876" s="203"/>
      <c r="L876" s="186">
        <f t="shared" si="15"/>
        <v>0</v>
      </c>
      <c r="M876" s="191"/>
      <c r="N876" s="191"/>
      <c r="O876" s="191"/>
      <c r="P876" s="191"/>
      <c r="Q876" s="191"/>
      <c r="R876" s="191"/>
      <c r="S876" s="191"/>
      <c r="T876" s="192"/>
      <c r="U876" s="189" t="str">
        <f t="shared" si="16"/>
        <v/>
      </c>
      <c r="V876" s="190" t="str">
        <f t="shared" si="17"/>
        <v/>
      </c>
      <c r="W876" s="190" t="str">
        <f t="shared" si="18"/>
        <v/>
      </c>
      <c r="X876" s="191" t="str">
        <f t="shared" si="19"/>
        <v/>
      </c>
      <c r="Y876" s="191" t="str">
        <f t="shared" si="20"/>
        <v/>
      </c>
      <c r="Z876" s="156"/>
    </row>
    <row r="877">
      <c r="A877" s="177" t="str">
        <f t="shared" si="14"/>
        <v/>
      </c>
      <c r="B877" s="196"/>
      <c r="C877" s="179" t="str">
        <f t="shared" si="2"/>
        <v/>
      </c>
      <c r="D877" s="197"/>
      <c r="E877" s="181"/>
      <c r="F877" s="198"/>
      <c r="G877" s="201"/>
      <c r="H877" s="201"/>
      <c r="I877" s="201"/>
      <c r="J877" s="202"/>
      <c r="K877" s="203"/>
      <c r="L877" s="186">
        <f t="shared" si="15"/>
        <v>0</v>
      </c>
      <c r="M877" s="191"/>
      <c r="N877" s="191"/>
      <c r="O877" s="191"/>
      <c r="P877" s="191"/>
      <c r="Q877" s="191"/>
      <c r="R877" s="191"/>
      <c r="S877" s="191"/>
      <c r="T877" s="192"/>
      <c r="U877" s="189" t="str">
        <f t="shared" si="16"/>
        <v/>
      </c>
      <c r="V877" s="190" t="str">
        <f t="shared" si="17"/>
        <v/>
      </c>
      <c r="W877" s="190" t="str">
        <f t="shared" si="18"/>
        <v/>
      </c>
      <c r="X877" s="191" t="str">
        <f t="shared" si="19"/>
        <v/>
      </c>
      <c r="Y877" s="191" t="str">
        <f t="shared" si="20"/>
        <v/>
      </c>
      <c r="Z877" s="156"/>
    </row>
    <row r="878">
      <c r="A878" s="177" t="str">
        <f t="shared" si="14"/>
        <v/>
      </c>
      <c r="B878" s="196"/>
      <c r="C878" s="179" t="str">
        <f t="shared" si="2"/>
        <v/>
      </c>
      <c r="D878" s="197"/>
      <c r="E878" s="181"/>
      <c r="F878" s="198"/>
      <c r="G878" s="201"/>
      <c r="H878" s="201"/>
      <c r="I878" s="201"/>
      <c r="J878" s="202"/>
      <c r="K878" s="203"/>
      <c r="L878" s="186">
        <f t="shared" si="15"/>
        <v>0</v>
      </c>
      <c r="M878" s="191"/>
      <c r="N878" s="191"/>
      <c r="O878" s="191"/>
      <c r="P878" s="191"/>
      <c r="Q878" s="191"/>
      <c r="R878" s="191"/>
      <c r="S878" s="191"/>
      <c r="T878" s="192"/>
      <c r="U878" s="189" t="str">
        <f t="shared" si="16"/>
        <v/>
      </c>
      <c r="V878" s="190" t="str">
        <f t="shared" si="17"/>
        <v/>
      </c>
      <c r="W878" s="190" t="str">
        <f t="shared" si="18"/>
        <v/>
      </c>
      <c r="X878" s="191" t="str">
        <f t="shared" si="19"/>
        <v/>
      </c>
      <c r="Y878" s="191" t="str">
        <f t="shared" si="20"/>
        <v/>
      </c>
      <c r="Z878" s="156"/>
    </row>
    <row r="879">
      <c r="A879" s="177" t="str">
        <f t="shared" si="14"/>
        <v/>
      </c>
      <c r="B879" s="196"/>
      <c r="C879" s="179" t="str">
        <f t="shared" si="2"/>
        <v/>
      </c>
      <c r="D879" s="197"/>
      <c r="E879" s="181"/>
      <c r="F879" s="198"/>
      <c r="G879" s="201"/>
      <c r="H879" s="201"/>
      <c r="I879" s="201"/>
      <c r="J879" s="202"/>
      <c r="K879" s="203"/>
      <c r="L879" s="186">
        <f t="shared" si="15"/>
        <v>0</v>
      </c>
      <c r="M879" s="191"/>
      <c r="N879" s="191"/>
      <c r="O879" s="191"/>
      <c r="P879" s="191"/>
      <c r="Q879" s="191"/>
      <c r="R879" s="191"/>
      <c r="S879" s="191"/>
      <c r="T879" s="192"/>
      <c r="U879" s="189" t="str">
        <f t="shared" si="16"/>
        <v/>
      </c>
      <c r="V879" s="190" t="str">
        <f t="shared" si="17"/>
        <v/>
      </c>
      <c r="W879" s="190" t="str">
        <f t="shared" si="18"/>
        <v/>
      </c>
      <c r="X879" s="191" t="str">
        <f t="shared" si="19"/>
        <v/>
      </c>
      <c r="Y879" s="191" t="str">
        <f t="shared" si="20"/>
        <v/>
      </c>
      <c r="Z879" s="156"/>
    </row>
    <row r="880">
      <c r="A880" s="177" t="str">
        <f t="shared" si="14"/>
        <v/>
      </c>
      <c r="B880" s="196"/>
      <c r="C880" s="179" t="str">
        <f t="shared" si="2"/>
        <v/>
      </c>
      <c r="D880" s="197"/>
      <c r="E880" s="181"/>
      <c r="F880" s="198"/>
      <c r="G880" s="201"/>
      <c r="H880" s="201"/>
      <c r="I880" s="201"/>
      <c r="J880" s="202"/>
      <c r="K880" s="203"/>
      <c r="L880" s="186">
        <f t="shared" si="15"/>
        <v>0</v>
      </c>
      <c r="M880" s="191"/>
      <c r="N880" s="191"/>
      <c r="O880" s="191"/>
      <c r="P880" s="191"/>
      <c r="Q880" s="191"/>
      <c r="R880" s="191"/>
      <c r="S880" s="191"/>
      <c r="T880" s="192"/>
      <c r="U880" s="189" t="str">
        <f t="shared" si="16"/>
        <v/>
      </c>
      <c r="V880" s="190" t="str">
        <f t="shared" si="17"/>
        <v/>
      </c>
      <c r="W880" s="190" t="str">
        <f t="shared" si="18"/>
        <v/>
      </c>
      <c r="X880" s="191" t="str">
        <f t="shared" si="19"/>
        <v/>
      </c>
      <c r="Y880" s="191" t="str">
        <f t="shared" si="20"/>
        <v/>
      </c>
      <c r="Z880" s="156"/>
    </row>
    <row r="881">
      <c r="A881" s="177" t="str">
        <f t="shared" si="14"/>
        <v/>
      </c>
      <c r="B881" s="196"/>
      <c r="C881" s="179" t="str">
        <f t="shared" si="2"/>
        <v/>
      </c>
      <c r="D881" s="197"/>
      <c r="E881" s="181"/>
      <c r="F881" s="198"/>
      <c r="G881" s="201"/>
      <c r="H881" s="201"/>
      <c r="I881" s="201"/>
      <c r="J881" s="202"/>
      <c r="K881" s="203"/>
      <c r="L881" s="186">
        <f t="shared" si="15"/>
        <v>0</v>
      </c>
      <c r="M881" s="191"/>
      <c r="N881" s="191"/>
      <c r="O881" s="191"/>
      <c r="P881" s="191"/>
      <c r="Q881" s="191"/>
      <c r="R881" s="191"/>
      <c r="S881" s="191"/>
      <c r="T881" s="192"/>
      <c r="U881" s="189" t="str">
        <f t="shared" si="16"/>
        <v/>
      </c>
      <c r="V881" s="190" t="str">
        <f t="shared" si="17"/>
        <v/>
      </c>
      <c r="W881" s="190" t="str">
        <f t="shared" si="18"/>
        <v/>
      </c>
      <c r="X881" s="191" t="str">
        <f t="shared" si="19"/>
        <v/>
      </c>
      <c r="Y881" s="191" t="str">
        <f t="shared" si="20"/>
        <v/>
      </c>
      <c r="Z881" s="156"/>
    </row>
    <row r="882">
      <c r="A882" s="177" t="str">
        <f t="shared" si="14"/>
        <v/>
      </c>
      <c r="B882" s="196"/>
      <c r="C882" s="179" t="str">
        <f t="shared" si="2"/>
        <v/>
      </c>
      <c r="D882" s="197"/>
      <c r="E882" s="181"/>
      <c r="F882" s="198"/>
      <c r="G882" s="201"/>
      <c r="H882" s="201"/>
      <c r="I882" s="201"/>
      <c r="J882" s="202"/>
      <c r="K882" s="203"/>
      <c r="L882" s="186">
        <f t="shared" si="15"/>
        <v>0</v>
      </c>
      <c r="M882" s="191"/>
      <c r="N882" s="191"/>
      <c r="O882" s="191"/>
      <c r="P882" s="191"/>
      <c r="Q882" s="191"/>
      <c r="R882" s="191"/>
      <c r="S882" s="191"/>
      <c r="T882" s="192"/>
      <c r="U882" s="189" t="str">
        <f t="shared" si="16"/>
        <v/>
      </c>
      <c r="V882" s="190" t="str">
        <f t="shared" si="17"/>
        <v/>
      </c>
      <c r="W882" s="190" t="str">
        <f t="shared" si="18"/>
        <v/>
      </c>
      <c r="X882" s="191" t="str">
        <f t="shared" si="19"/>
        <v/>
      </c>
      <c r="Y882" s="191" t="str">
        <f t="shared" si="20"/>
        <v/>
      </c>
      <c r="Z882" s="156"/>
    </row>
    <row r="883">
      <c r="A883" s="177" t="str">
        <f t="shared" si="14"/>
        <v/>
      </c>
      <c r="B883" s="196"/>
      <c r="C883" s="179" t="str">
        <f t="shared" si="2"/>
        <v/>
      </c>
      <c r="D883" s="197"/>
      <c r="E883" s="181"/>
      <c r="F883" s="198"/>
      <c r="G883" s="201"/>
      <c r="H883" s="201"/>
      <c r="I883" s="201"/>
      <c r="J883" s="202"/>
      <c r="K883" s="203"/>
      <c r="L883" s="186">
        <f t="shared" si="15"/>
        <v>0</v>
      </c>
      <c r="M883" s="191"/>
      <c r="N883" s="191"/>
      <c r="O883" s="191"/>
      <c r="P883" s="191"/>
      <c r="Q883" s="191"/>
      <c r="R883" s="191"/>
      <c r="S883" s="191"/>
      <c r="T883" s="192"/>
      <c r="U883" s="189" t="str">
        <f t="shared" si="16"/>
        <v/>
      </c>
      <c r="V883" s="190" t="str">
        <f t="shared" si="17"/>
        <v/>
      </c>
      <c r="W883" s="190" t="str">
        <f t="shared" si="18"/>
        <v/>
      </c>
      <c r="X883" s="191" t="str">
        <f t="shared" si="19"/>
        <v/>
      </c>
      <c r="Y883" s="191" t="str">
        <f t="shared" si="20"/>
        <v/>
      </c>
      <c r="Z883" s="156"/>
    </row>
    <row r="884">
      <c r="A884" s="177" t="str">
        <f t="shared" si="14"/>
        <v/>
      </c>
      <c r="B884" s="196"/>
      <c r="C884" s="179" t="str">
        <f t="shared" si="2"/>
        <v/>
      </c>
      <c r="D884" s="197"/>
      <c r="E884" s="181"/>
      <c r="F884" s="198"/>
      <c r="G884" s="201"/>
      <c r="H884" s="201"/>
      <c r="I884" s="201"/>
      <c r="J884" s="202"/>
      <c r="K884" s="203"/>
      <c r="L884" s="186">
        <f t="shared" si="15"/>
        <v>0</v>
      </c>
      <c r="M884" s="191"/>
      <c r="N884" s="191"/>
      <c r="O884" s="191"/>
      <c r="P884" s="191"/>
      <c r="Q884" s="191"/>
      <c r="R884" s="191"/>
      <c r="S884" s="191"/>
      <c r="T884" s="192"/>
      <c r="U884" s="189" t="str">
        <f t="shared" si="16"/>
        <v/>
      </c>
      <c r="V884" s="190" t="str">
        <f t="shared" si="17"/>
        <v/>
      </c>
      <c r="W884" s="190" t="str">
        <f t="shared" si="18"/>
        <v/>
      </c>
      <c r="X884" s="191" t="str">
        <f t="shared" si="19"/>
        <v/>
      </c>
      <c r="Y884" s="191" t="str">
        <f t="shared" si="20"/>
        <v/>
      </c>
      <c r="Z884" s="156"/>
    </row>
    <row r="885">
      <c r="A885" s="177" t="str">
        <f t="shared" si="14"/>
        <v/>
      </c>
      <c r="B885" s="196"/>
      <c r="C885" s="179" t="str">
        <f t="shared" si="2"/>
        <v/>
      </c>
      <c r="D885" s="197"/>
      <c r="E885" s="181"/>
      <c r="F885" s="198"/>
      <c r="G885" s="201"/>
      <c r="H885" s="201"/>
      <c r="I885" s="201"/>
      <c r="J885" s="202"/>
      <c r="K885" s="203"/>
      <c r="L885" s="186">
        <f t="shared" si="15"/>
        <v>0</v>
      </c>
      <c r="M885" s="191"/>
      <c r="N885" s="191"/>
      <c r="O885" s="191"/>
      <c r="P885" s="191"/>
      <c r="Q885" s="191"/>
      <c r="R885" s="191"/>
      <c r="S885" s="191"/>
      <c r="T885" s="192"/>
      <c r="U885" s="189" t="str">
        <f t="shared" si="16"/>
        <v/>
      </c>
      <c r="V885" s="190" t="str">
        <f t="shared" si="17"/>
        <v/>
      </c>
      <c r="W885" s="190" t="str">
        <f t="shared" si="18"/>
        <v/>
      </c>
      <c r="X885" s="191" t="str">
        <f t="shared" si="19"/>
        <v/>
      </c>
      <c r="Y885" s="191" t="str">
        <f t="shared" si="20"/>
        <v/>
      </c>
      <c r="Z885" s="156"/>
    </row>
    <row r="886">
      <c r="A886" s="177" t="str">
        <f t="shared" si="14"/>
        <v/>
      </c>
      <c r="B886" s="196"/>
      <c r="C886" s="179" t="str">
        <f t="shared" si="2"/>
        <v/>
      </c>
      <c r="D886" s="197"/>
      <c r="E886" s="181"/>
      <c r="F886" s="198"/>
      <c r="G886" s="201"/>
      <c r="H886" s="201"/>
      <c r="I886" s="201"/>
      <c r="J886" s="202"/>
      <c r="K886" s="203"/>
      <c r="L886" s="186">
        <f t="shared" si="15"/>
        <v>0</v>
      </c>
      <c r="M886" s="191"/>
      <c r="N886" s="191"/>
      <c r="O886" s="191"/>
      <c r="P886" s="191"/>
      <c r="Q886" s="191"/>
      <c r="R886" s="191"/>
      <c r="S886" s="191"/>
      <c r="T886" s="192"/>
      <c r="U886" s="189" t="str">
        <f t="shared" si="16"/>
        <v/>
      </c>
      <c r="V886" s="190" t="str">
        <f t="shared" si="17"/>
        <v/>
      </c>
      <c r="W886" s="190" t="str">
        <f t="shared" si="18"/>
        <v/>
      </c>
      <c r="X886" s="191" t="str">
        <f t="shared" si="19"/>
        <v/>
      </c>
      <c r="Y886" s="191" t="str">
        <f t="shared" si="20"/>
        <v/>
      </c>
      <c r="Z886" s="156"/>
    </row>
    <row r="887">
      <c r="A887" s="177" t="str">
        <f t="shared" si="14"/>
        <v/>
      </c>
      <c r="B887" s="196"/>
      <c r="C887" s="179" t="str">
        <f t="shared" si="2"/>
        <v/>
      </c>
      <c r="D887" s="197"/>
      <c r="E887" s="181"/>
      <c r="F887" s="198"/>
      <c r="G887" s="201"/>
      <c r="H887" s="201"/>
      <c r="I887" s="201"/>
      <c r="J887" s="202"/>
      <c r="K887" s="203"/>
      <c r="L887" s="186">
        <f t="shared" si="15"/>
        <v>0</v>
      </c>
      <c r="M887" s="191"/>
      <c r="N887" s="191"/>
      <c r="O887" s="191"/>
      <c r="P887" s="191"/>
      <c r="Q887" s="191"/>
      <c r="R887" s="191"/>
      <c r="S887" s="191"/>
      <c r="T887" s="192"/>
      <c r="U887" s="189" t="str">
        <f t="shared" si="16"/>
        <v/>
      </c>
      <c r="V887" s="190" t="str">
        <f t="shared" si="17"/>
        <v/>
      </c>
      <c r="W887" s="190" t="str">
        <f t="shared" si="18"/>
        <v/>
      </c>
      <c r="X887" s="191" t="str">
        <f t="shared" si="19"/>
        <v/>
      </c>
      <c r="Y887" s="191" t="str">
        <f t="shared" si="20"/>
        <v/>
      </c>
      <c r="Z887" s="156"/>
    </row>
    <row r="888">
      <c r="A888" s="177" t="str">
        <f t="shared" si="14"/>
        <v/>
      </c>
      <c r="B888" s="196"/>
      <c r="C888" s="179" t="str">
        <f t="shared" si="2"/>
        <v/>
      </c>
      <c r="D888" s="197"/>
      <c r="E888" s="181"/>
      <c r="F888" s="198"/>
      <c r="G888" s="201"/>
      <c r="H888" s="201"/>
      <c r="I888" s="201"/>
      <c r="J888" s="202"/>
      <c r="K888" s="203"/>
      <c r="L888" s="186">
        <f t="shared" si="15"/>
        <v>0</v>
      </c>
      <c r="M888" s="191"/>
      <c r="N888" s="191"/>
      <c r="O888" s="191"/>
      <c r="P888" s="191"/>
      <c r="Q888" s="191"/>
      <c r="R888" s="191"/>
      <c r="S888" s="191"/>
      <c r="T888" s="192"/>
      <c r="U888" s="189" t="str">
        <f t="shared" si="16"/>
        <v/>
      </c>
      <c r="V888" s="190" t="str">
        <f t="shared" si="17"/>
        <v/>
      </c>
      <c r="W888" s="190" t="str">
        <f t="shared" si="18"/>
        <v/>
      </c>
      <c r="X888" s="191" t="str">
        <f t="shared" si="19"/>
        <v/>
      </c>
      <c r="Y888" s="191" t="str">
        <f t="shared" si="20"/>
        <v/>
      </c>
      <c r="Z888" s="156"/>
    </row>
    <row r="889">
      <c r="A889" s="177" t="str">
        <f t="shared" si="14"/>
        <v/>
      </c>
      <c r="B889" s="196"/>
      <c r="C889" s="179" t="str">
        <f t="shared" si="2"/>
        <v/>
      </c>
      <c r="D889" s="197"/>
      <c r="E889" s="181"/>
      <c r="F889" s="198"/>
      <c r="G889" s="201"/>
      <c r="H889" s="201"/>
      <c r="I889" s="201"/>
      <c r="J889" s="202"/>
      <c r="K889" s="203"/>
      <c r="L889" s="186">
        <f t="shared" si="15"/>
        <v>0</v>
      </c>
      <c r="M889" s="191"/>
      <c r="N889" s="191"/>
      <c r="O889" s="191"/>
      <c r="P889" s="191"/>
      <c r="Q889" s="191"/>
      <c r="R889" s="191"/>
      <c r="S889" s="191"/>
      <c r="T889" s="192"/>
      <c r="U889" s="189" t="str">
        <f t="shared" si="16"/>
        <v/>
      </c>
      <c r="V889" s="190" t="str">
        <f t="shared" si="17"/>
        <v/>
      </c>
      <c r="W889" s="190" t="str">
        <f t="shared" si="18"/>
        <v/>
      </c>
      <c r="X889" s="191" t="str">
        <f t="shared" si="19"/>
        <v/>
      </c>
      <c r="Y889" s="191" t="str">
        <f t="shared" si="20"/>
        <v/>
      </c>
      <c r="Z889" s="156"/>
    </row>
    <row r="890">
      <c r="A890" s="177" t="str">
        <f t="shared" si="14"/>
        <v/>
      </c>
      <c r="B890" s="196"/>
      <c r="C890" s="179" t="str">
        <f t="shared" si="2"/>
        <v/>
      </c>
      <c r="D890" s="197"/>
      <c r="E890" s="181"/>
      <c r="F890" s="198"/>
      <c r="G890" s="201"/>
      <c r="H890" s="201"/>
      <c r="I890" s="201"/>
      <c r="J890" s="202"/>
      <c r="K890" s="203"/>
      <c r="L890" s="186">
        <f t="shared" si="15"/>
        <v>0</v>
      </c>
      <c r="M890" s="191"/>
      <c r="N890" s="191"/>
      <c r="O890" s="191"/>
      <c r="P890" s="191"/>
      <c r="Q890" s="191"/>
      <c r="R890" s="191"/>
      <c r="S890" s="191"/>
      <c r="T890" s="192"/>
      <c r="U890" s="189" t="str">
        <f t="shared" si="16"/>
        <v/>
      </c>
      <c r="V890" s="190" t="str">
        <f t="shared" si="17"/>
        <v/>
      </c>
      <c r="W890" s="190" t="str">
        <f t="shared" si="18"/>
        <v/>
      </c>
      <c r="X890" s="191" t="str">
        <f t="shared" si="19"/>
        <v/>
      </c>
      <c r="Y890" s="191" t="str">
        <f t="shared" si="20"/>
        <v/>
      </c>
      <c r="Z890" s="156"/>
    </row>
    <row r="891">
      <c r="A891" s="177" t="str">
        <f t="shared" si="14"/>
        <v/>
      </c>
      <c r="B891" s="196"/>
      <c r="C891" s="179" t="str">
        <f t="shared" si="2"/>
        <v/>
      </c>
      <c r="D891" s="197"/>
      <c r="E891" s="181"/>
      <c r="F891" s="198"/>
      <c r="G891" s="201"/>
      <c r="H891" s="201"/>
      <c r="I891" s="201"/>
      <c r="J891" s="202"/>
      <c r="K891" s="203"/>
      <c r="L891" s="186">
        <f t="shared" si="15"/>
        <v>0</v>
      </c>
      <c r="M891" s="191"/>
      <c r="N891" s="191"/>
      <c r="O891" s="191"/>
      <c r="P891" s="191"/>
      <c r="Q891" s="191"/>
      <c r="R891" s="191"/>
      <c r="S891" s="191"/>
      <c r="T891" s="192"/>
      <c r="U891" s="189" t="str">
        <f t="shared" si="16"/>
        <v/>
      </c>
      <c r="V891" s="190" t="str">
        <f t="shared" si="17"/>
        <v/>
      </c>
      <c r="W891" s="190" t="str">
        <f t="shared" si="18"/>
        <v/>
      </c>
      <c r="X891" s="191" t="str">
        <f t="shared" si="19"/>
        <v/>
      </c>
      <c r="Y891" s="191" t="str">
        <f t="shared" si="20"/>
        <v/>
      </c>
      <c r="Z891" s="156"/>
    </row>
    <row r="892">
      <c r="A892" s="177" t="str">
        <f t="shared" si="14"/>
        <v/>
      </c>
      <c r="B892" s="196"/>
      <c r="C892" s="179" t="str">
        <f t="shared" si="2"/>
        <v/>
      </c>
      <c r="D892" s="197"/>
      <c r="E892" s="181"/>
      <c r="F892" s="198"/>
      <c r="G892" s="201"/>
      <c r="H892" s="201"/>
      <c r="I892" s="201"/>
      <c r="J892" s="202"/>
      <c r="K892" s="203"/>
      <c r="L892" s="186">
        <f t="shared" si="15"/>
        <v>0</v>
      </c>
      <c r="M892" s="191"/>
      <c r="N892" s="191"/>
      <c r="O892" s="191"/>
      <c r="P892" s="191"/>
      <c r="Q892" s="191"/>
      <c r="R892" s="191"/>
      <c r="S892" s="191"/>
      <c r="T892" s="192"/>
      <c r="U892" s="189" t="str">
        <f t="shared" si="16"/>
        <v/>
      </c>
      <c r="V892" s="190" t="str">
        <f t="shared" si="17"/>
        <v/>
      </c>
      <c r="W892" s="190" t="str">
        <f t="shared" si="18"/>
        <v/>
      </c>
      <c r="X892" s="191" t="str">
        <f t="shared" si="19"/>
        <v/>
      </c>
      <c r="Y892" s="191" t="str">
        <f t="shared" si="20"/>
        <v/>
      </c>
      <c r="Z892" s="156"/>
    </row>
    <row r="893">
      <c r="A893" s="177" t="str">
        <f t="shared" si="14"/>
        <v/>
      </c>
      <c r="B893" s="196"/>
      <c r="C893" s="179" t="str">
        <f t="shared" si="2"/>
        <v/>
      </c>
      <c r="D893" s="197"/>
      <c r="E893" s="181"/>
      <c r="F893" s="198"/>
      <c r="G893" s="201"/>
      <c r="H893" s="201"/>
      <c r="I893" s="201"/>
      <c r="J893" s="202"/>
      <c r="K893" s="203"/>
      <c r="L893" s="186">
        <f t="shared" si="15"/>
        <v>0</v>
      </c>
      <c r="M893" s="191"/>
      <c r="N893" s="191"/>
      <c r="O893" s="191"/>
      <c r="P893" s="191"/>
      <c r="Q893" s="191"/>
      <c r="R893" s="191"/>
      <c r="S893" s="191"/>
      <c r="T893" s="192"/>
      <c r="U893" s="189" t="str">
        <f t="shared" si="16"/>
        <v/>
      </c>
      <c r="V893" s="190" t="str">
        <f t="shared" si="17"/>
        <v/>
      </c>
      <c r="W893" s="190" t="str">
        <f t="shared" si="18"/>
        <v/>
      </c>
      <c r="X893" s="191" t="str">
        <f t="shared" si="19"/>
        <v/>
      </c>
      <c r="Y893" s="191" t="str">
        <f t="shared" si="20"/>
        <v/>
      </c>
      <c r="Z893" s="156"/>
    </row>
    <row r="894">
      <c r="A894" s="177" t="str">
        <f t="shared" si="14"/>
        <v/>
      </c>
      <c r="B894" s="196"/>
      <c r="C894" s="179" t="str">
        <f t="shared" si="2"/>
        <v/>
      </c>
      <c r="D894" s="197"/>
      <c r="E894" s="181"/>
      <c r="F894" s="198"/>
      <c r="G894" s="201"/>
      <c r="H894" s="201"/>
      <c r="I894" s="201"/>
      <c r="J894" s="202"/>
      <c r="K894" s="203"/>
      <c r="L894" s="186">
        <f t="shared" si="15"/>
        <v>0</v>
      </c>
      <c r="M894" s="191"/>
      <c r="N894" s="191"/>
      <c r="O894" s="191"/>
      <c r="P894" s="191"/>
      <c r="Q894" s="191"/>
      <c r="R894" s="191"/>
      <c r="S894" s="191"/>
      <c r="T894" s="192"/>
      <c r="U894" s="189" t="str">
        <f t="shared" si="16"/>
        <v/>
      </c>
      <c r="V894" s="190" t="str">
        <f t="shared" si="17"/>
        <v/>
      </c>
      <c r="W894" s="190" t="str">
        <f t="shared" si="18"/>
        <v/>
      </c>
      <c r="X894" s="191" t="str">
        <f t="shared" si="19"/>
        <v/>
      </c>
      <c r="Y894" s="191" t="str">
        <f t="shared" si="20"/>
        <v/>
      </c>
      <c r="Z894" s="156"/>
    </row>
    <row r="895">
      <c r="A895" s="177" t="str">
        <f t="shared" si="14"/>
        <v/>
      </c>
      <c r="B895" s="196"/>
      <c r="C895" s="179" t="str">
        <f t="shared" si="2"/>
        <v/>
      </c>
      <c r="D895" s="197"/>
      <c r="E895" s="181"/>
      <c r="F895" s="198"/>
      <c r="G895" s="201"/>
      <c r="H895" s="201"/>
      <c r="I895" s="201"/>
      <c r="J895" s="202"/>
      <c r="K895" s="203"/>
      <c r="L895" s="186">
        <f t="shared" si="15"/>
        <v>0</v>
      </c>
      <c r="M895" s="191"/>
      <c r="N895" s="191"/>
      <c r="O895" s="191"/>
      <c r="P895" s="191"/>
      <c r="Q895" s="191"/>
      <c r="R895" s="191"/>
      <c r="S895" s="191"/>
      <c r="T895" s="192"/>
      <c r="U895" s="189" t="str">
        <f t="shared" si="16"/>
        <v/>
      </c>
      <c r="V895" s="190" t="str">
        <f t="shared" si="17"/>
        <v/>
      </c>
      <c r="W895" s="190" t="str">
        <f t="shared" si="18"/>
        <v/>
      </c>
      <c r="X895" s="191" t="str">
        <f t="shared" si="19"/>
        <v/>
      </c>
      <c r="Y895" s="191" t="str">
        <f t="shared" si="20"/>
        <v/>
      </c>
      <c r="Z895" s="156"/>
    </row>
    <row r="896">
      <c r="A896" s="177" t="str">
        <f t="shared" si="14"/>
        <v/>
      </c>
      <c r="B896" s="196"/>
      <c r="C896" s="179" t="str">
        <f t="shared" si="2"/>
        <v/>
      </c>
      <c r="D896" s="197"/>
      <c r="E896" s="181"/>
      <c r="F896" s="198"/>
      <c r="G896" s="201"/>
      <c r="H896" s="201"/>
      <c r="I896" s="201"/>
      <c r="J896" s="202"/>
      <c r="K896" s="203"/>
      <c r="L896" s="186">
        <f t="shared" si="15"/>
        <v>0</v>
      </c>
      <c r="M896" s="191"/>
      <c r="N896" s="191"/>
      <c r="O896" s="191"/>
      <c r="P896" s="191"/>
      <c r="Q896" s="191"/>
      <c r="R896" s="191"/>
      <c r="S896" s="191"/>
      <c r="T896" s="192"/>
      <c r="U896" s="189" t="str">
        <f t="shared" si="16"/>
        <v/>
      </c>
      <c r="V896" s="190" t="str">
        <f t="shared" si="17"/>
        <v/>
      </c>
      <c r="W896" s="190" t="str">
        <f t="shared" si="18"/>
        <v/>
      </c>
      <c r="X896" s="191" t="str">
        <f t="shared" si="19"/>
        <v/>
      </c>
      <c r="Y896" s="191" t="str">
        <f t="shared" si="20"/>
        <v/>
      </c>
      <c r="Z896" s="156"/>
    </row>
    <row r="897">
      <c r="A897" s="177" t="str">
        <f t="shared" si="14"/>
        <v/>
      </c>
      <c r="B897" s="196"/>
      <c r="C897" s="179" t="str">
        <f t="shared" si="2"/>
        <v/>
      </c>
      <c r="D897" s="197"/>
      <c r="E897" s="181"/>
      <c r="F897" s="198"/>
      <c r="G897" s="201"/>
      <c r="H897" s="201"/>
      <c r="I897" s="201"/>
      <c r="J897" s="202"/>
      <c r="K897" s="203"/>
      <c r="L897" s="186">
        <f t="shared" si="15"/>
        <v>0</v>
      </c>
      <c r="M897" s="191"/>
      <c r="N897" s="191"/>
      <c r="O897" s="191"/>
      <c r="P897" s="191"/>
      <c r="Q897" s="191"/>
      <c r="R897" s="191"/>
      <c r="S897" s="191"/>
      <c r="T897" s="192"/>
      <c r="U897" s="189" t="str">
        <f t="shared" si="16"/>
        <v/>
      </c>
      <c r="V897" s="190" t="str">
        <f t="shared" si="17"/>
        <v/>
      </c>
      <c r="W897" s="190" t="str">
        <f t="shared" si="18"/>
        <v/>
      </c>
      <c r="X897" s="191" t="str">
        <f t="shared" si="19"/>
        <v/>
      </c>
      <c r="Y897" s="191" t="str">
        <f t="shared" si="20"/>
        <v/>
      </c>
      <c r="Z897" s="156"/>
    </row>
    <row r="898">
      <c r="A898" s="177" t="str">
        <f t="shared" si="14"/>
        <v/>
      </c>
      <c r="B898" s="196"/>
      <c r="C898" s="179" t="str">
        <f t="shared" si="2"/>
        <v/>
      </c>
      <c r="D898" s="197"/>
      <c r="E898" s="181"/>
      <c r="F898" s="198"/>
      <c r="G898" s="201"/>
      <c r="H898" s="201"/>
      <c r="I898" s="201"/>
      <c r="J898" s="202"/>
      <c r="K898" s="203"/>
      <c r="L898" s="186">
        <f t="shared" si="15"/>
        <v>0</v>
      </c>
      <c r="M898" s="191"/>
      <c r="N898" s="191"/>
      <c r="O898" s="191"/>
      <c r="P898" s="191"/>
      <c r="Q898" s="191"/>
      <c r="R898" s="191"/>
      <c r="S898" s="191"/>
      <c r="T898" s="192"/>
      <c r="U898" s="189" t="str">
        <f t="shared" si="16"/>
        <v/>
      </c>
      <c r="V898" s="190" t="str">
        <f t="shared" si="17"/>
        <v/>
      </c>
      <c r="W898" s="190" t="str">
        <f t="shared" si="18"/>
        <v/>
      </c>
      <c r="X898" s="191" t="str">
        <f t="shared" si="19"/>
        <v/>
      </c>
      <c r="Y898" s="191" t="str">
        <f t="shared" si="20"/>
        <v/>
      </c>
      <c r="Z898" s="156"/>
    </row>
    <row r="899">
      <c r="A899" s="177" t="str">
        <f t="shared" si="14"/>
        <v/>
      </c>
      <c r="B899" s="196"/>
      <c r="C899" s="179" t="str">
        <f t="shared" si="2"/>
        <v/>
      </c>
      <c r="D899" s="197"/>
      <c r="E899" s="181"/>
      <c r="F899" s="198"/>
      <c r="G899" s="201"/>
      <c r="H899" s="201"/>
      <c r="I899" s="201"/>
      <c r="J899" s="202"/>
      <c r="K899" s="203"/>
      <c r="L899" s="186">
        <f t="shared" si="15"/>
        <v>0</v>
      </c>
      <c r="M899" s="191"/>
      <c r="N899" s="191"/>
      <c r="O899" s="191"/>
      <c r="P899" s="191"/>
      <c r="Q899" s="191"/>
      <c r="R899" s="191"/>
      <c r="S899" s="191"/>
      <c r="T899" s="192"/>
      <c r="U899" s="189" t="str">
        <f t="shared" si="16"/>
        <v/>
      </c>
      <c r="V899" s="190" t="str">
        <f t="shared" si="17"/>
        <v/>
      </c>
      <c r="W899" s="190" t="str">
        <f t="shared" si="18"/>
        <v/>
      </c>
      <c r="X899" s="191" t="str">
        <f t="shared" si="19"/>
        <v/>
      </c>
      <c r="Y899" s="191" t="str">
        <f t="shared" si="20"/>
        <v/>
      </c>
      <c r="Z899" s="156"/>
    </row>
    <row r="900">
      <c r="A900" s="177" t="str">
        <f t="shared" si="14"/>
        <v/>
      </c>
      <c r="B900" s="196"/>
      <c r="C900" s="179" t="str">
        <f t="shared" si="2"/>
        <v/>
      </c>
      <c r="D900" s="197"/>
      <c r="E900" s="181"/>
      <c r="F900" s="198"/>
      <c r="G900" s="201"/>
      <c r="H900" s="201"/>
      <c r="I900" s="201"/>
      <c r="J900" s="202"/>
      <c r="K900" s="203"/>
      <c r="L900" s="186">
        <f t="shared" si="15"/>
        <v>0</v>
      </c>
      <c r="M900" s="191"/>
      <c r="N900" s="191"/>
      <c r="O900" s="191"/>
      <c r="P900" s="191"/>
      <c r="Q900" s="191"/>
      <c r="R900" s="191"/>
      <c r="S900" s="191"/>
      <c r="T900" s="192"/>
      <c r="U900" s="189" t="str">
        <f t="shared" si="16"/>
        <v/>
      </c>
      <c r="V900" s="190" t="str">
        <f t="shared" si="17"/>
        <v/>
      </c>
      <c r="W900" s="190" t="str">
        <f t="shared" si="18"/>
        <v/>
      </c>
      <c r="X900" s="191" t="str">
        <f t="shared" si="19"/>
        <v/>
      </c>
      <c r="Y900" s="191" t="str">
        <f t="shared" si="20"/>
        <v/>
      </c>
      <c r="Z900" s="156"/>
    </row>
    <row r="901">
      <c r="A901" s="177" t="str">
        <f t="shared" si="14"/>
        <v/>
      </c>
      <c r="B901" s="196"/>
      <c r="C901" s="179" t="str">
        <f t="shared" si="2"/>
        <v/>
      </c>
      <c r="D901" s="197"/>
      <c r="E901" s="181"/>
      <c r="F901" s="198"/>
      <c r="G901" s="201"/>
      <c r="H901" s="201"/>
      <c r="I901" s="201"/>
      <c r="J901" s="202"/>
      <c r="K901" s="203"/>
      <c r="L901" s="186">
        <f t="shared" si="15"/>
        <v>0</v>
      </c>
      <c r="M901" s="191"/>
      <c r="N901" s="191"/>
      <c r="O901" s="191"/>
      <c r="P901" s="191"/>
      <c r="Q901" s="191"/>
      <c r="R901" s="191"/>
      <c r="S901" s="191"/>
      <c r="T901" s="192"/>
      <c r="U901" s="189" t="str">
        <f t="shared" si="16"/>
        <v/>
      </c>
      <c r="V901" s="190" t="str">
        <f t="shared" si="17"/>
        <v/>
      </c>
      <c r="W901" s="190" t="str">
        <f t="shared" si="18"/>
        <v/>
      </c>
      <c r="X901" s="191" t="str">
        <f t="shared" si="19"/>
        <v/>
      </c>
      <c r="Y901" s="191" t="str">
        <f t="shared" si="20"/>
        <v/>
      </c>
      <c r="Z901" s="156"/>
    </row>
    <row r="902">
      <c r="A902" s="177" t="str">
        <f t="shared" si="14"/>
        <v/>
      </c>
      <c r="B902" s="196"/>
      <c r="C902" s="179" t="str">
        <f t="shared" si="2"/>
        <v/>
      </c>
      <c r="D902" s="197"/>
      <c r="E902" s="181"/>
      <c r="F902" s="198"/>
      <c r="G902" s="201"/>
      <c r="H902" s="201"/>
      <c r="I902" s="201"/>
      <c r="J902" s="202"/>
      <c r="K902" s="203"/>
      <c r="L902" s="186">
        <f t="shared" si="15"/>
        <v>0</v>
      </c>
      <c r="M902" s="191"/>
      <c r="N902" s="191"/>
      <c r="O902" s="191"/>
      <c r="P902" s="191"/>
      <c r="Q902" s="191"/>
      <c r="R902" s="191"/>
      <c r="S902" s="191"/>
      <c r="T902" s="192"/>
      <c r="U902" s="189" t="str">
        <f t="shared" si="16"/>
        <v/>
      </c>
      <c r="V902" s="190" t="str">
        <f t="shared" si="17"/>
        <v/>
      </c>
      <c r="W902" s="190" t="str">
        <f t="shared" si="18"/>
        <v/>
      </c>
      <c r="X902" s="191" t="str">
        <f t="shared" si="19"/>
        <v/>
      </c>
      <c r="Y902" s="191" t="str">
        <f t="shared" si="20"/>
        <v/>
      </c>
      <c r="Z902" s="156"/>
    </row>
    <row r="903">
      <c r="A903" s="177" t="str">
        <f t="shared" si="14"/>
        <v/>
      </c>
      <c r="B903" s="196"/>
      <c r="C903" s="179" t="str">
        <f t="shared" si="2"/>
        <v/>
      </c>
      <c r="D903" s="197"/>
      <c r="E903" s="181"/>
      <c r="F903" s="198"/>
      <c r="G903" s="201"/>
      <c r="H903" s="201"/>
      <c r="I903" s="201"/>
      <c r="J903" s="202"/>
      <c r="K903" s="203"/>
      <c r="L903" s="186">
        <f t="shared" si="15"/>
        <v>0</v>
      </c>
      <c r="M903" s="191"/>
      <c r="N903" s="191"/>
      <c r="O903" s="191"/>
      <c r="P903" s="191"/>
      <c r="Q903" s="191"/>
      <c r="R903" s="191"/>
      <c r="S903" s="191"/>
      <c r="T903" s="192"/>
      <c r="U903" s="189" t="str">
        <f t="shared" si="16"/>
        <v/>
      </c>
      <c r="V903" s="190" t="str">
        <f t="shared" si="17"/>
        <v/>
      </c>
      <c r="W903" s="190" t="str">
        <f t="shared" si="18"/>
        <v/>
      </c>
      <c r="X903" s="191" t="str">
        <f t="shared" si="19"/>
        <v/>
      </c>
      <c r="Y903" s="191" t="str">
        <f t="shared" si="20"/>
        <v/>
      </c>
      <c r="Z903" s="156"/>
    </row>
    <row r="904">
      <c r="A904" s="177" t="str">
        <f t="shared" si="14"/>
        <v/>
      </c>
      <c r="B904" s="196"/>
      <c r="C904" s="179" t="str">
        <f t="shared" si="2"/>
        <v/>
      </c>
      <c r="D904" s="197"/>
      <c r="E904" s="181"/>
      <c r="F904" s="198"/>
      <c r="G904" s="201"/>
      <c r="H904" s="201"/>
      <c r="I904" s="201"/>
      <c r="J904" s="202"/>
      <c r="K904" s="203"/>
      <c r="L904" s="186">
        <f t="shared" si="15"/>
        <v>0</v>
      </c>
      <c r="M904" s="191"/>
      <c r="N904" s="191"/>
      <c r="O904" s="191"/>
      <c r="P904" s="191"/>
      <c r="Q904" s="191"/>
      <c r="R904" s="191"/>
      <c r="S904" s="191"/>
      <c r="T904" s="192"/>
      <c r="U904" s="189" t="str">
        <f t="shared" si="16"/>
        <v/>
      </c>
      <c r="V904" s="190" t="str">
        <f t="shared" si="17"/>
        <v/>
      </c>
      <c r="W904" s="190" t="str">
        <f t="shared" si="18"/>
        <v/>
      </c>
      <c r="X904" s="191" t="str">
        <f t="shared" si="19"/>
        <v/>
      </c>
      <c r="Y904" s="191" t="str">
        <f t="shared" si="20"/>
        <v/>
      </c>
      <c r="Z904" s="156"/>
    </row>
    <row r="905">
      <c r="A905" s="177" t="str">
        <f t="shared" si="14"/>
        <v/>
      </c>
      <c r="B905" s="196"/>
      <c r="C905" s="179" t="str">
        <f t="shared" si="2"/>
        <v/>
      </c>
      <c r="D905" s="197"/>
      <c r="E905" s="181"/>
      <c r="F905" s="198"/>
      <c r="G905" s="201"/>
      <c r="H905" s="201"/>
      <c r="I905" s="201"/>
      <c r="J905" s="202"/>
      <c r="K905" s="203"/>
      <c r="L905" s="186">
        <f t="shared" si="15"/>
        <v>0</v>
      </c>
      <c r="M905" s="191"/>
      <c r="N905" s="191"/>
      <c r="O905" s="191"/>
      <c r="P905" s="191"/>
      <c r="Q905" s="191"/>
      <c r="R905" s="191"/>
      <c r="S905" s="191"/>
      <c r="T905" s="192"/>
      <c r="U905" s="189" t="str">
        <f t="shared" si="16"/>
        <v/>
      </c>
      <c r="V905" s="190" t="str">
        <f t="shared" si="17"/>
        <v/>
      </c>
      <c r="W905" s="190" t="str">
        <f t="shared" si="18"/>
        <v/>
      </c>
      <c r="X905" s="191" t="str">
        <f t="shared" si="19"/>
        <v/>
      </c>
      <c r="Y905" s="191" t="str">
        <f t="shared" si="20"/>
        <v/>
      </c>
      <c r="Z905" s="156"/>
    </row>
    <row r="906">
      <c r="A906" s="177" t="str">
        <f t="shared" si="14"/>
        <v/>
      </c>
      <c r="B906" s="196"/>
      <c r="C906" s="179" t="str">
        <f t="shared" si="2"/>
        <v/>
      </c>
      <c r="D906" s="197"/>
      <c r="E906" s="181"/>
      <c r="F906" s="198"/>
      <c r="G906" s="201"/>
      <c r="H906" s="201"/>
      <c r="I906" s="201"/>
      <c r="J906" s="202"/>
      <c r="K906" s="203"/>
      <c r="L906" s="186">
        <f t="shared" si="15"/>
        <v>0</v>
      </c>
      <c r="M906" s="191"/>
      <c r="N906" s="191"/>
      <c r="O906" s="191"/>
      <c r="P906" s="191"/>
      <c r="Q906" s="191"/>
      <c r="R906" s="191"/>
      <c r="S906" s="191"/>
      <c r="T906" s="192"/>
      <c r="U906" s="189" t="str">
        <f t="shared" si="16"/>
        <v/>
      </c>
      <c r="V906" s="190" t="str">
        <f t="shared" si="17"/>
        <v/>
      </c>
      <c r="W906" s="190" t="str">
        <f t="shared" si="18"/>
        <v/>
      </c>
      <c r="X906" s="191" t="str">
        <f t="shared" si="19"/>
        <v/>
      </c>
      <c r="Y906" s="191" t="str">
        <f t="shared" si="20"/>
        <v/>
      </c>
      <c r="Z906" s="156"/>
    </row>
    <row r="907">
      <c r="A907" s="177" t="str">
        <f t="shared" si="14"/>
        <v/>
      </c>
      <c r="B907" s="196"/>
      <c r="C907" s="179" t="str">
        <f t="shared" si="2"/>
        <v/>
      </c>
      <c r="D907" s="197"/>
      <c r="E907" s="181"/>
      <c r="F907" s="198"/>
      <c r="G907" s="201"/>
      <c r="H907" s="201"/>
      <c r="I907" s="201"/>
      <c r="J907" s="202"/>
      <c r="K907" s="203"/>
      <c r="L907" s="186">
        <f t="shared" si="15"/>
        <v>0</v>
      </c>
      <c r="M907" s="191"/>
      <c r="N907" s="191"/>
      <c r="O907" s="191"/>
      <c r="P907" s="191"/>
      <c r="Q907" s="191"/>
      <c r="R907" s="191"/>
      <c r="S907" s="191"/>
      <c r="T907" s="192"/>
      <c r="U907" s="189" t="str">
        <f t="shared" si="16"/>
        <v/>
      </c>
      <c r="V907" s="190" t="str">
        <f t="shared" si="17"/>
        <v/>
      </c>
      <c r="W907" s="190" t="str">
        <f t="shared" si="18"/>
        <v/>
      </c>
      <c r="X907" s="191" t="str">
        <f t="shared" si="19"/>
        <v/>
      </c>
      <c r="Y907" s="191" t="str">
        <f t="shared" si="20"/>
        <v/>
      </c>
      <c r="Z907" s="156"/>
    </row>
    <row r="908">
      <c r="A908" s="177" t="str">
        <f t="shared" si="14"/>
        <v/>
      </c>
      <c r="B908" s="196"/>
      <c r="C908" s="179" t="str">
        <f t="shared" si="2"/>
        <v/>
      </c>
      <c r="D908" s="197"/>
      <c r="E908" s="181"/>
      <c r="F908" s="198"/>
      <c r="G908" s="201"/>
      <c r="H908" s="201"/>
      <c r="I908" s="201"/>
      <c r="J908" s="202"/>
      <c r="K908" s="203"/>
      <c r="L908" s="186">
        <f t="shared" si="15"/>
        <v>0</v>
      </c>
      <c r="M908" s="191"/>
      <c r="N908" s="191"/>
      <c r="O908" s="191"/>
      <c r="P908" s="191"/>
      <c r="Q908" s="191"/>
      <c r="R908" s="191"/>
      <c r="S908" s="191"/>
      <c r="T908" s="192"/>
      <c r="U908" s="189" t="str">
        <f t="shared" si="16"/>
        <v/>
      </c>
      <c r="V908" s="190" t="str">
        <f t="shared" si="17"/>
        <v/>
      </c>
      <c r="W908" s="190" t="str">
        <f t="shared" si="18"/>
        <v/>
      </c>
      <c r="X908" s="191" t="str">
        <f t="shared" si="19"/>
        <v/>
      </c>
      <c r="Y908" s="191" t="str">
        <f t="shared" si="20"/>
        <v/>
      </c>
      <c r="Z908" s="156"/>
    </row>
    <row r="909">
      <c r="A909" s="177" t="str">
        <f t="shared" si="14"/>
        <v/>
      </c>
      <c r="B909" s="196"/>
      <c r="C909" s="179" t="str">
        <f t="shared" si="2"/>
        <v/>
      </c>
      <c r="D909" s="197"/>
      <c r="E909" s="181"/>
      <c r="F909" s="198"/>
      <c r="G909" s="201"/>
      <c r="H909" s="201"/>
      <c r="I909" s="201"/>
      <c r="J909" s="202"/>
      <c r="K909" s="203"/>
      <c r="L909" s="186">
        <f t="shared" si="15"/>
        <v>0</v>
      </c>
      <c r="M909" s="191"/>
      <c r="N909" s="191"/>
      <c r="O909" s="191"/>
      <c r="P909" s="191"/>
      <c r="Q909" s="191"/>
      <c r="R909" s="191"/>
      <c r="S909" s="191"/>
      <c r="T909" s="192"/>
      <c r="U909" s="189" t="str">
        <f t="shared" si="16"/>
        <v/>
      </c>
      <c r="V909" s="190" t="str">
        <f t="shared" si="17"/>
        <v/>
      </c>
      <c r="W909" s="190" t="str">
        <f t="shared" si="18"/>
        <v/>
      </c>
      <c r="X909" s="191" t="str">
        <f t="shared" si="19"/>
        <v/>
      </c>
      <c r="Y909" s="191" t="str">
        <f t="shared" si="20"/>
        <v/>
      </c>
      <c r="Z909" s="156"/>
    </row>
    <row r="910">
      <c r="A910" s="177" t="str">
        <f t="shared" si="14"/>
        <v/>
      </c>
      <c r="B910" s="196"/>
      <c r="C910" s="179" t="str">
        <f t="shared" si="2"/>
        <v/>
      </c>
      <c r="D910" s="197"/>
      <c r="E910" s="181"/>
      <c r="F910" s="198"/>
      <c r="G910" s="201"/>
      <c r="H910" s="201"/>
      <c r="I910" s="201"/>
      <c r="J910" s="202"/>
      <c r="K910" s="203"/>
      <c r="L910" s="186">
        <f t="shared" si="15"/>
        <v>0</v>
      </c>
      <c r="M910" s="191"/>
      <c r="N910" s="191"/>
      <c r="O910" s="191"/>
      <c r="P910" s="191"/>
      <c r="Q910" s="191"/>
      <c r="R910" s="191"/>
      <c r="S910" s="191"/>
      <c r="T910" s="192"/>
      <c r="U910" s="189" t="str">
        <f t="shared" si="16"/>
        <v/>
      </c>
      <c r="V910" s="190" t="str">
        <f t="shared" si="17"/>
        <v/>
      </c>
      <c r="W910" s="190" t="str">
        <f t="shared" si="18"/>
        <v/>
      </c>
      <c r="X910" s="191" t="str">
        <f t="shared" si="19"/>
        <v/>
      </c>
      <c r="Y910" s="191" t="str">
        <f t="shared" si="20"/>
        <v/>
      </c>
      <c r="Z910" s="156"/>
    </row>
    <row r="911">
      <c r="A911" s="177" t="str">
        <f t="shared" si="14"/>
        <v/>
      </c>
      <c r="B911" s="196"/>
      <c r="C911" s="179" t="str">
        <f t="shared" si="2"/>
        <v/>
      </c>
      <c r="D911" s="197"/>
      <c r="E911" s="181"/>
      <c r="F911" s="198"/>
      <c r="G911" s="201"/>
      <c r="H911" s="201"/>
      <c r="I911" s="201"/>
      <c r="J911" s="202"/>
      <c r="K911" s="203"/>
      <c r="L911" s="186">
        <f t="shared" si="15"/>
        <v>0</v>
      </c>
      <c r="M911" s="191"/>
      <c r="N911" s="191"/>
      <c r="O911" s="191"/>
      <c r="P911" s="191"/>
      <c r="Q911" s="191"/>
      <c r="R911" s="191"/>
      <c r="S911" s="191"/>
      <c r="T911" s="192"/>
      <c r="U911" s="189" t="str">
        <f t="shared" si="16"/>
        <v/>
      </c>
      <c r="V911" s="190" t="str">
        <f t="shared" si="17"/>
        <v/>
      </c>
      <c r="W911" s="190" t="str">
        <f t="shared" si="18"/>
        <v/>
      </c>
      <c r="X911" s="191" t="str">
        <f t="shared" si="19"/>
        <v/>
      </c>
      <c r="Y911" s="191" t="str">
        <f t="shared" si="20"/>
        <v/>
      </c>
      <c r="Z911" s="156"/>
    </row>
    <row r="912">
      <c r="A912" s="177" t="str">
        <f t="shared" si="14"/>
        <v/>
      </c>
      <c r="B912" s="196"/>
      <c r="C912" s="179" t="str">
        <f t="shared" si="2"/>
        <v/>
      </c>
      <c r="D912" s="197"/>
      <c r="E912" s="181"/>
      <c r="F912" s="198"/>
      <c r="G912" s="201"/>
      <c r="H912" s="201"/>
      <c r="I912" s="201"/>
      <c r="J912" s="202"/>
      <c r="K912" s="203"/>
      <c r="L912" s="186">
        <f t="shared" si="15"/>
        <v>0</v>
      </c>
      <c r="M912" s="191"/>
      <c r="N912" s="191"/>
      <c r="O912" s="191"/>
      <c r="P912" s="191"/>
      <c r="Q912" s="191"/>
      <c r="R912" s="191"/>
      <c r="S912" s="191"/>
      <c r="T912" s="192"/>
      <c r="U912" s="189" t="str">
        <f t="shared" si="16"/>
        <v/>
      </c>
      <c r="V912" s="190" t="str">
        <f t="shared" si="17"/>
        <v/>
      </c>
      <c r="W912" s="190" t="str">
        <f t="shared" si="18"/>
        <v/>
      </c>
      <c r="X912" s="191" t="str">
        <f t="shared" si="19"/>
        <v/>
      </c>
      <c r="Y912" s="191" t="str">
        <f t="shared" si="20"/>
        <v/>
      </c>
      <c r="Z912" s="156"/>
    </row>
    <row r="913">
      <c r="A913" s="177" t="str">
        <f t="shared" si="14"/>
        <v/>
      </c>
      <c r="B913" s="196"/>
      <c r="C913" s="179" t="str">
        <f t="shared" si="2"/>
        <v/>
      </c>
      <c r="D913" s="197"/>
      <c r="E913" s="181"/>
      <c r="F913" s="198"/>
      <c r="G913" s="201"/>
      <c r="H913" s="201"/>
      <c r="I913" s="201"/>
      <c r="J913" s="202"/>
      <c r="K913" s="203"/>
      <c r="L913" s="186">
        <f t="shared" si="15"/>
        <v>0</v>
      </c>
      <c r="M913" s="191"/>
      <c r="N913" s="191"/>
      <c r="O913" s="191"/>
      <c r="P913" s="191"/>
      <c r="Q913" s="191"/>
      <c r="R913" s="191"/>
      <c r="S913" s="191"/>
      <c r="T913" s="192"/>
      <c r="U913" s="189" t="str">
        <f t="shared" si="16"/>
        <v/>
      </c>
      <c r="V913" s="190" t="str">
        <f t="shared" si="17"/>
        <v/>
      </c>
      <c r="W913" s="190" t="str">
        <f t="shared" si="18"/>
        <v/>
      </c>
      <c r="X913" s="191" t="str">
        <f t="shared" si="19"/>
        <v/>
      </c>
      <c r="Y913" s="191" t="str">
        <f t="shared" si="20"/>
        <v/>
      </c>
      <c r="Z913" s="156"/>
    </row>
    <row r="914">
      <c r="A914" s="177" t="str">
        <f t="shared" si="14"/>
        <v/>
      </c>
      <c r="B914" s="196"/>
      <c r="C914" s="179" t="str">
        <f t="shared" si="2"/>
        <v/>
      </c>
      <c r="D914" s="197"/>
      <c r="E914" s="181"/>
      <c r="F914" s="198"/>
      <c r="G914" s="201"/>
      <c r="H914" s="201"/>
      <c r="I914" s="201"/>
      <c r="J914" s="202"/>
      <c r="K914" s="203"/>
      <c r="L914" s="186">
        <f t="shared" si="15"/>
        <v>0</v>
      </c>
      <c r="M914" s="191"/>
      <c r="N914" s="191"/>
      <c r="O914" s="191"/>
      <c r="P914" s="191"/>
      <c r="Q914" s="191"/>
      <c r="R914" s="191"/>
      <c r="S914" s="191"/>
      <c r="T914" s="192"/>
      <c r="U914" s="189" t="str">
        <f t="shared" si="16"/>
        <v/>
      </c>
      <c r="V914" s="190" t="str">
        <f t="shared" si="17"/>
        <v/>
      </c>
      <c r="W914" s="190" t="str">
        <f t="shared" si="18"/>
        <v/>
      </c>
      <c r="X914" s="191" t="str">
        <f t="shared" si="19"/>
        <v/>
      </c>
      <c r="Y914" s="191" t="str">
        <f t="shared" si="20"/>
        <v/>
      </c>
      <c r="Z914" s="156"/>
    </row>
    <row r="915">
      <c r="A915" s="177" t="str">
        <f t="shared" si="14"/>
        <v/>
      </c>
      <c r="B915" s="196"/>
      <c r="C915" s="179" t="str">
        <f t="shared" si="2"/>
        <v/>
      </c>
      <c r="D915" s="197"/>
      <c r="E915" s="181"/>
      <c r="F915" s="198"/>
      <c r="G915" s="201"/>
      <c r="H915" s="201"/>
      <c r="I915" s="201"/>
      <c r="J915" s="202"/>
      <c r="K915" s="203"/>
      <c r="L915" s="186">
        <f t="shared" si="15"/>
        <v>0</v>
      </c>
      <c r="M915" s="191"/>
      <c r="N915" s="191"/>
      <c r="O915" s="191"/>
      <c r="P915" s="191"/>
      <c r="Q915" s="191"/>
      <c r="R915" s="191"/>
      <c r="S915" s="191"/>
      <c r="T915" s="192"/>
      <c r="U915" s="189" t="str">
        <f t="shared" si="16"/>
        <v/>
      </c>
      <c r="V915" s="190" t="str">
        <f t="shared" si="17"/>
        <v/>
      </c>
      <c r="W915" s="190" t="str">
        <f t="shared" si="18"/>
        <v/>
      </c>
      <c r="X915" s="191" t="str">
        <f t="shared" si="19"/>
        <v/>
      </c>
      <c r="Y915" s="191" t="str">
        <f t="shared" si="20"/>
        <v/>
      </c>
      <c r="Z915" s="156"/>
    </row>
    <row r="916">
      <c r="A916" s="177" t="str">
        <f t="shared" si="14"/>
        <v/>
      </c>
      <c r="B916" s="196"/>
      <c r="C916" s="179" t="str">
        <f t="shared" si="2"/>
        <v/>
      </c>
      <c r="D916" s="197"/>
      <c r="E916" s="181"/>
      <c r="F916" s="198"/>
      <c r="G916" s="201"/>
      <c r="H916" s="201"/>
      <c r="I916" s="201"/>
      <c r="J916" s="202"/>
      <c r="K916" s="203"/>
      <c r="L916" s="186">
        <f t="shared" si="15"/>
        <v>0</v>
      </c>
      <c r="M916" s="191"/>
      <c r="N916" s="191"/>
      <c r="O916" s="191"/>
      <c r="P916" s="191"/>
      <c r="Q916" s="191"/>
      <c r="R916" s="191"/>
      <c r="S916" s="191"/>
      <c r="T916" s="192"/>
      <c r="U916" s="189" t="str">
        <f t="shared" si="16"/>
        <v/>
      </c>
      <c r="V916" s="190" t="str">
        <f t="shared" si="17"/>
        <v/>
      </c>
      <c r="W916" s="190" t="str">
        <f t="shared" si="18"/>
        <v/>
      </c>
      <c r="X916" s="191" t="str">
        <f t="shared" si="19"/>
        <v/>
      </c>
      <c r="Y916" s="191" t="str">
        <f t="shared" si="20"/>
        <v/>
      </c>
      <c r="Z916" s="156"/>
    </row>
    <row r="917">
      <c r="A917" s="177" t="str">
        <f t="shared" si="14"/>
        <v/>
      </c>
      <c r="B917" s="196"/>
      <c r="C917" s="179" t="str">
        <f t="shared" si="2"/>
        <v/>
      </c>
      <c r="D917" s="197"/>
      <c r="E917" s="181"/>
      <c r="F917" s="198"/>
      <c r="G917" s="201"/>
      <c r="H917" s="201"/>
      <c r="I917" s="201"/>
      <c r="J917" s="202"/>
      <c r="K917" s="203"/>
      <c r="L917" s="186">
        <f t="shared" si="15"/>
        <v>0</v>
      </c>
      <c r="M917" s="191"/>
      <c r="N917" s="191"/>
      <c r="O917" s="191"/>
      <c r="P917" s="191"/>
      <c r="Q917" s="191"/>
      <c r="R917" s="191"/>
      <c r="S917" s="191"/>
      <c r="T917" s="192"/>
      <c r="U917" s="189" t="str">
        <f t="shared" si="16"/>
        <v/>
      </c>
      <c r="V917" s="190" t="str">
        <f t="shared" si="17"/>
        <v/>
      </c>
      <c r="W917" s="190" t="str">
        <f t="shared" si="18"/>
        <v/>
      </c>
      <c r="X917" s="191" t="str">
        <f t="shared" si="19"/>
        <v/>
      </c>
      <c r="Y917" s="191" t="str">
        <f t="shared" si="20"/>
        <v/>
      </c>
      <c r="Z917" s="156"/>
    </row>
    <row r="918">
      <c r="A918" s="177" t="str">
        <f t="shared" si="14"/>
        <v/>
      </c>
      <c r="B918" s="196"/>
      <c r="C918" s="179" t="str">
        <f t="shared" si="2"/>
        <v/>
      </c>
      <c r="D918" s="197"/>
      <c r="E918" s="181"/>
      <c r="F918" s="198"/>
      <c r="G918" s="201"/>
      <c r="H918" s="201"/>
      <c r="I918" s="201"/>
      <c r="J918" s="202"/>
      <c r="K918" s="203"/>
      <c r="L918" s="186">
        <f t="shared" si="15"/>
        <v>0</v>
      </c>
      <c r="M918" s="191"/>
      <c r="N918" s="191"/>
      <c r="O918" s="191"/>
      <c r="P918" s="191"/>
      <c r="Q918" s="191"/>
      <c r="R918" s="191"/>
      <c r="S918" s="191"/>
      <c r="T918" s="192"/>
      <c r="U918" s="189" t="str">
        <f t="shared" si="16"/>
        <v/>
      </c>
      <c r="V918" s="190" t="str">
        <f t="shared" si="17"/>
        <v/>
      </c>
      <c r="W918" s="190" t="str">
        <f t="shared" si="18"/>
        <v/>
      </c>
      <c r="X918" s="191" t="str">
        <f t="shared" si="19"/>
        <v/>
      </c>
      <c r="Y918" s="191" t="str">
        <f t="shared" si="20"/>
        <v/>
      </c>
      <c r="Z918" s="156"/>
    </row>
    <row r="919">
      <c r="A919" s="177" t="str">
        <f t="shared" si="14"/>
        <v/>
      </c>
      <c r="B919" s="196"/>
      <c r="C919" s="179" t="str">
        <f t="shared" si="2"/>
        <v/>
      </c>
      <c r="D919" s="197"/>
      <c r="E919" s="181"/>
      <c r="F919" s="198"/>
      <c r="G919" s="201"/>
      <c r="H919" s="201"/>
      <c r="I919" s="201"/>
      <c r="J919" s="202"/>
      <c r="K919" s="203"/>
      <c r="L919" s="186">
        <f t="shared" si="15"/>
        <v>0</v>
      </c>
      <c r="M919" s="191"/>
      <c r="N919" s="191"/>
      <c r="O919" s="191"/>
      <c r="P919" s="191"/>
      <c r="Q919" s="191"/>
      <c r="R919" s="191"/>
      <c r="S919" s="191"/>
      <c r="T919" s="192"/>
      <c r="U919" s="189" t="str">
        <f t="shared" si="16"/>
        <v/>
      </c>
      <c r="V919" s="190" t="str">
        <f t="shared" si="17"/>
        <v/>
      </c>
      <c r="W919" s="190" t="str">
        <f t="shared" si="18"/>
        <v/>
      </c>
      <c r="X919" s="191" t="str">
        <f t="shared" si="19"/>
        <v/>
      </c>
      <c r="Y919" s="191" t="str">
        <f t="shared" si="20"/>
        <v/>
      </c>
      <c r="Z919" s="156"/>
    </row>
    <row r="920">
      <c r="A920" s="177" t="str">
        <f t="shared" si="14"/>
        <v/>
      </c>
      <c r="B920" s="196"/>
      <c r="C920" s="179" t="str">
        <f t="shared" si="2"/>
        <v/>
      </c>
      <c r="D920" s="197"/>
      <c r="E920" s="181"/>
      <c r="F920" s="198"/>
      <c r="G920" s="201"/>
      <c r="H920" s="201"/>
      <c r="I920" s="201"/>
      <c r="J920" s="202"/>
      <c r="K920" s="203"/>
      <c r="L920" s="186">
        <f t="shared" si="15"/>
        <v>0</v>
      </c>
      <c r="M920" s="191"/>
      <c r="N920" s="191"/>
      <c r="O920" s="191"/>
      <c r="P920" s="191"/>
      <c r="Q920" s="191"/>
      <c r="R920" s="191"/>
      <c r="S920" s="191"/>
      <c r="T920" s="192"/>
      <c r="U920" s="189" t="str">
        <f t="shared" si="16"/>
        <v/>
      </c>
      <c r="V920" s="190" t="str">
        <f t="shared" si="17"/>
        <v/>
      </c>
      <c r="W920" s="190" t="str">
        <f t="shared" si="18"/>
        <v/>
      </c>
      <c r="X920" s="191" t="str">
        <f t="shared" si="19"/>
        <v/>
      </c>
      <c r="Y920" s="191" t="str">
        <f t="shared" si="20"/>
        <v/>
      </c>
      <c r="Z920" s="156"/>
    </row>
    <row r="921">
      <c r="A921" s="177" t="str">
        <f t="shared" si="14"/>
        <v/>
      </c>
      <c r="B921" s="196"/>
      <c r="C921" s="179" t="str">
        <f t="shared" si="2"/>
        <v/>
      </c>
      <c r="D921" s="197"/>
      <c r="E921" s="181"/>
      <c r="F921" s="198"/>
      <c r="G921" s="201"/>
      <c r="H921" s="201"/>
      <c r="I921" s="201"/>
      <c r="J921" s="202"/>
      <c r="K921" s="203"/>
      <c r="L921" s="186">
        <f t="shared" si="15"/>
        <v>0</v>
      </c>
      <c r="M921" s="191"/>
      <c r="N921" s="191"/>
      <c r="O921" s="191"/>
      <c r="P921" s="191"/>
      <c r="Q921" s="191"/>
      <c r="R921" s="191"/>
      <c r="S921" s="191"/>
      <c r="T921" s="192"/>
      <c r="U921" s="189" t="str">
        <f t="shared" si="16"/>
        <v/>
      </c>
      <c r="V921" s="190" t="str">
        <f t="shared" si="17"/>
        <v/>
      </c>
      <c r="W921" s="190" t="str">
        <f t="shared" si="18"/>
        <v/>
      </c>
      <c r="X921" s="191" t="str">
        <f t="shared" si="19"/>
        <v/>
      </c>
      <c r="Y921" s="191" t="str">
        <f t="shared" si="20"/>
        <v/>
      </c>
      <c r="Z921" s="156"/>
    </row>
    <row r="922">
      <c r="A922" s="177" t="str">
        <f t="shared" si="14"/>
        <v/>
      </c>
      <c r="B922" s="196"/>
      <c r="C922" s="179" t="str">
        <f t="shared" si="2"/>
        <v/>
      </c>
      <c r="D922" s="197"/>
      <c r="E922" s="181"/>
      <c r="F922" s="198"/>
      <c r="G922" s="201"/>
      <c r="H922" s="201"/>
      <c r="I922" s="201"/>
      <c r="J922" s="202"/>
      <c r="K922" s="203"/>
      <c r="L922" s="186">
        <f t="shared" si="15"/>
        <v>0</v>
      </c>
      <c r="M922" s="191"/>
      <c r="N922" s="191"/>
      <c r="O922" s="191"/>
      <c r="P922" s="191"/>
      <c r="Q922" s="191"/>
      <c r="R922" s="191"/>
      <c r="S922" s="191"/>
      <c r="T922" s="192"/>
      <c r="U922" s="189" t="str">
        <f t="shared" si="16"/>
        <v/>
      </c>
      <c r="V922" s="190" t="str">
        <f t="shared" si="17"/>
        <v/>
      </c>
      <c r="W922" s="190" t="str">
        <f t="shared" si="18"/>
        <v/>
      </c>
      <c r="X922" s="191" t="str">
        <f t="shared" si="19"/>
        <v/>
      </c>
      <c r="Y922" s="191" t="str">
        <f t="shared" si="20"/>
        <v/>
      </c>
      <c r="Z922" s="156"/>
    </row>
    <row r="923">
      <c r="A923" s="177" t="str">
        <f t="shared" si="14"/>
        <v/>
      </c>
      <c r="B923" s="196"/>
      <c r="C923" s="179" t="str">
        <f t="shared" si="2"/>
        <v/>
      </c>
      <c r="D923" s="197"/>
      <c r="E923" s="181"/>
      <c r="F923" s="198"/>
      <c r="G923" s="201"/>
      <c r="H923" s="201"/>
      <c r="I923" s="201"/>
      <c r="J923" s="202"/>
      <c r="K923" s="203"/>
      <c r="L923" s="186">
        <f t="shared" si="15"/>
        <v>0</v>
      </c>
      <c r="M923" s="191"/>
      <c r="N923" s="191"/>
      <c r="O923" s="191"/>
      <c r="P923" s="191"/>
      <c r="Q923" s="191"/>
      <c r="R923" s="191"/>
      <c r="S923" s="191"/>
      <c r="T923" s="192"/>
      <c r="U923" s="189" t="str">
        <f t="shared" si="16"/>
        <v/>
      </c>
      <c r="V923" s="190" t="str">
        <f t="shared" si="17"/>
        <v/>
      </c>
      <c r="W923" s="190" t="str">
        <f t="shared" si="18"/>
        <v/>
      </c>
      <c r="X923" s="191" t="str">
        <f t="shared" si="19"/>
        <v/>
      </c>
      <c r="Y923" s="191" t="str">
        <f t="shared" si="20"/>
        <v/>
      </c>
      <c r="Z923" s="156"/>
    </row>
    <row r="924">
      <c r="A924" s="177" t="str">
        <f t="shared" si="14"/>
        <v/>
      </c>
      <c r="B924" s="196"/>
      <c r="C924" s="179" t="str">
        <f t="shared" si="2"/>
        <v/>
      </c>
      <c r="D924" s="197"/>
      <c r="E924" s="181"/>
      <c r="F924" s="198"/>
      <c r="G924" s="201"/>
      <c r="H924" s="201"/>
      <c r="I924" s="201"/>
      <c r="J924" s="202"/>
      <c r="K924" s="203"/>
      <c r="L924" s="186">
        <f t="shared" si="15"/>
        <v>0</v>
      </c>
      <c r="M924" s="191"/>
      <c r="N924" s="191"/>
      <c r="O924" s="191"/>
      <c r="P924" s="191"/>
      <c r="Q924" s="191"/>
      <c r="R924" s="191"/>
      <c r="S924" s="191"/>
      <c r="T924" s="192"/>
      <c r="U924" s="189" t="str">
        <f t="shared" si="16"/>
        <v/>
      </c>
      <c r="V924" s="190" t="str">
        <f t="shared" si="17"/>
        <v/>
      </c>
      <c r="W924" s="190" t="str">
        <f t="shared" si="18"/>
        <v/>
      </c>
      <c r="X924" s="191" t="str">
        <f t="shared" si="19"/>
        <v/>
      </c>
      <c r="Y924" s="191" t="str">
        <f t="shared" si="20"/>
        <v/>
      </c>
      <c r="Z924" s="156"/>
    </row>
    <row r="925">
      <c r="A925" s="177" t="str">
        <f t="shared" si="14"/>
        <v/>
      </c>
      <c r="B925" s="196"/>
      <c r="C925" s="179" t="str">
        <f t="shared" si="2"/>
        <v/>
      </c>
      <c r="D925" s="197"/>
      <c r="E925" s="181"/>
      <c r="F925" s="198"/>
      <c r="G925" s="201"/>
      <c r="H925" s="201"/>
      <c r="I925" s="201"/>
      <c r="J925" s="202"/>
      <c r="K925" s="203"/>
      <c r="L925" s="186">
        <f t="shared" si="15"/>
        <v>0</v>
      </c>
      <c r="M925" s="191"/>
      <c r="N925" s="191"/>
      <c r="O925" s="191"/>
      <c r="P925" s="191"/>
      <c r="Q925" s="191"/>
      <c r="R925" s="191"/>
      <c r="S925" s="191"/>
      <c r="T925" s="192"/>
      <c r="U925" s="189" t="str">
        <f t="shared" si="16"/>
        <v/>
      </c>
      <c r="V925" s="190" t="str">
        <f t="shared" si="17"/>
        <v/>
      </c>
      <c r="W925" s="190" t="str">
        <f t="shared" si="18"/>
        <v/>
      </c>
      <c r="X925" s="191" t="str">
        <f t="shared" si="19"/>
        <v/>
      </c>
      <c r="Y925" s="191" t="str">
        <f t="shared" si="20"/>
        <v/>
      </c>
      <c r="Z925" s="156"/>
    </row>
    <row r="926">
      <c r="A926" s="177" t="str">
        <f t="shared" si="14"/>
        <v/>
      </c>
      <c r="B926" s="196"/>
      <c r="C926" s="179" t="str">
        <f t="shared" si="2"/>
        <v/>
      </c>
      <c r="D926" s="197"/>
      <c r="E926" s="181"/>
      <c r="F926" s="198"/>
      <c r="G926" s="201"/>
      <c r="H926" s="201"/>
      <c r="I926" s="201"/>
      <c r="J926" s="202"/>
      <c r="K926" s="203"/>
      <c r="L926" s="186">
        <f t="shared" si="15"/>
        <v>0</v>
      </c>
      <c r="M926" s="191"/>
      <c r="N926" s="191"/>
      <c r="O926" s="191"/>
      <c r="P926" s="191"/>
      <c r="Q926" s="191"/>
      <c r="R926" s="191"/>
      <c r="S926" s="191"/>
      <c r="T926" s="192"/>
      <c r="U926" s="189" t="str">
        <f t="shared" si="16"/>
        <v/>
      </c>
      <c r="V926" s="190" t="str">
        <f t="shared" si="17"/>
        <v/>
      </c>
      <c r="W926" s="190" t="str">
        <f t="shared" si="18"/>
        <v/>
      </c>
      <c r="X926" s="191" t="str">
        <f t="shared" si="19"/>
        <v/>
      </c>
      <c r="Y926" s="191" t="str">
        <f t="shared" si="20"/>
        <v/>
      </c>
      <c r="Z926" s="156"/>
    </row>
    <row r="927">
      <c r="A927" s="177" t="str">
        <f t="shared" si="14"/>
        <v/>
      </c>
      <c r="B927" s="196"/>
      <c r="C927" s="179" t="str">
        <f t="shared" si="2"/>
        <v/>
      </c>
      <c r="D927" s="197"/>
      <c r="E927" s="181"/>
      <c r="F927" s="198"/>
      <c r="G927" s="201"/>
      <c r="H927" s="201"/>
      <c r="I927" s="201"/>
      <c r="J927" s="202"/>
      <c r="K927" s="203"/>
      <c r="L927" s="186">
        <f t="shared" si="15"/>
        <v>0</v>
      </c>
      <c r="M927" s="191"/>
      <c r="N927" s="191"/>
      <c r="O927" s="191"/>
      <c r="P927" s="191"/>
      <c r="Q927" s="191"/>
      <c r="R927" s="191"/>
      <c r="S927" s="191"/>
      <c r="T927" s="192"/>
      <c r="U927" s="189" t="str">
        <f t="shared" si="16"/>
        <v/>
      </c>
      <c r="V927" s="190" t="str">
        <f t="shared" si="17"/>
        <v/>
      </c>
      <c r="W927" s="190" t="str">
        <f t="shared" si="18"/>
        <v/>
      </c>
      <c r="X927" s="191" t="str">
        <f t="shared" si="19"/>
        <v/>
      </c>
      <c r="Y927" s="191" t="str">
        <f t="shared" si="20"/>
        <v/>
      </c>
      <c r="Z927" s="156"/>
    </row>
    <row r="928">
      <c r="A928" s="177" t="str">
        <f t="shared" si="14"/>
        <v/>
      </c>
      <c r="B928" s="196"/>
      <c r="C928" s="179" t="str">
        <f t="shared" si="2"/>
        <v/>
      </c>
      <c r="D928" s="197"/>
      <c r="E928" s="181"/>
      <c r="F928" s="198"/>
      <c r="G928" s="201"/>
      <c r="H928" s="201"/>
      <c r="I928" s="201"/>
      <c r="J928" s="202"/>
      <c r="K928" s="203"/>
      <c r="L928" s="186">
        <f t="shared" si="15"/>
        <v>0</v>
      </c>
      <c r="M928" s="191"/>
      <c r="N928" s="191"/>
      <c r="O928" s="191"/>
      <c r="P928" s="191"/>
      <c r="Q928" s="191"/>
      <c r="R928" s="191"/>
      <c r="S928" s="191"/>
      <c r="T928" s="192"/>
      <c r="U928" s="189" t="str">
        <f t="shared" si="16"/>
        <v/>
      </c>
      <c r="V928" s="190" t="str">
        <f t="shared" si="17"/>
        <v/>
      </c>
      <c r="W928" s="190" t="str">
        <f t="shared" si="18"/>
        <v/>
      </c>
      <c r="X928" s="191" t="str">
        <f t="shared" si="19"/>
        <v/>
      </c>
      <c r="Y928" s="191" t="str">
        <f t="shared" si="20"/>
        <v/>
      </c>
      <c r="Z928" s="156"/>
    </row>
    <row r="929">
      <c r="A929" s="177" t="str">
        <f t="shared" si="14"/>
        <v/>
      </c>
      <c r="B929" s="196"/>
      <c r="C929" s="179" t="str">
        <f t="shared" si="2"/>
        <v/>
      </c>
      <c r="D929" s="197"/>
      <c r="E929" s="181"/>
      <c r="F929" s="198"/>
      <c r="G929" s="201"/>
      <c r="H929" s="201"/>
      <c r="I929" s="201"/>
      <c r="J929" s="202"/>
      <c r="K929" s="203"/>
      <c r="L929" s="186">
        <f t="shared" si="15"/>
        <v>0</v>
      </c>
      <c r="M929" s="191"/>
      <c r="N929" s="191"/>
      <c r="O929" s="191"/>
      <c r="P929" s="191"/>
      <c r="Q929" s="191"/>
      <c r="R929" s="191"/>
      <c r="S929" s="191"/>
      <c r="T929" s="192"/>
      <c r="U929" s="189" t="str">
        <f t="shared" si="16"/>
        <v/>
      </c>
      <c r="V929" s="190" t="str">
        <f t="shared" si="17"/>
        <v/>
      </c>
      <c r="W929" s="190" t="str">
        <f t="shared" si="18"/>
        <v/>
      </c>
      <c r="X929" s="191" t="str">
        <f t="shared" si="19"/>
        <v/>
      </c>
      <c r="Y929" s="191" t="str">
        <f t="shared" si="20"/>
        <v/>
      </c>
      <c r="Z929" s="156"/>
    </row>
    <row r="930">
      <c r="A930" s="177" t="str">
        <f t="shared" si="14"/>
        <v/>
      </c>
      <c r="B930" s="196"/>
      <c r="C930" s="179" t="str">
        <f t="shared" si="2"/>
        <v/>
      </c>
      <c r="D930" s="197"/>
      <c r="E930" s="181"/>
      <c r="F930" s="198"/>
      <c r="G930" s="201"/>
      <c r="H930" s="201"/>
      <c r="I930" s="201"/>
      <c r="J930" s="202"/>
      <c r="K930" s="203"/>
      <c r="L930" s="186">
        <f t="shared" si="15"/>
        <v>0</v>
      </c>
      <c r="M930" s="191"/>
      <c r="N930" s="191"/>
      <c r="O930" s="191"/>
      <c r="P930" s="191"/>
      <c r="Q930" s="191"/>
      <c r="R930" s="191"/>
      <c r="S930" s="191"/>
      <c r="T930" s="192"/>
      <c r="U930" s="189" t="str">
        <f t="shared" si="16"/>
        <v/>
      </c>
      <c r="V930" s="190" t="str">
        <f t="shared" si="17"/>
        <v/>
      </c>
      <c r="W930" s="190" t="str">
        <f t="shared" si="18"/>
        <v/>
      </c>
      <c r="X930" s="191" t="str">
        <f t="shared" si="19"/>
        <v/>
      </c>
      <c r="Y930" s="191" t="str">
        <f t="shared" si="20"/>
        <v/>
      </c>
      <c r="Z930" s="156"/>
    </row>
    <row r="931">
      <c r="A931" s="177" t="str">
        <f t="shared" si="14"/>
        <v/>
      </c>
      <c r="B931" s="196"/>
      <c r="C931" s="179" t="str">
        <f t="shared" si="2"/>
        <v/>
      </c>
      <c r="D931" s="197"/>
      <c r="E931" s="181"/>
      <c r="F931" s="198"/>
      <c r="G931" s="201"/>
      <c r="H931" s="201"/>
      <c r="I931" s="201"/>
      <c r="J931" s="202"/>
      <c r="K931" s="203"/>
      <c r="L931" s="186">
        <f t="shared" si="15"/>
        <v>0</v>
      </c>
      <c r="M931" s="191"/>
      <c r="N931" s="191"/>
      <c r="O931" s="191"/>
      <c r="P931" s="191"/>
      <c r="Q931" s="191"/>
      <c r="R931" s="191"/>
      <c r="S931" s="191"/>
      <c r="T931" s="192"/>
      <c r="U931" s="189" t="str">
        <f t="shared" si="16"/>
        <v/>
      </c>
      <c r="V931" s="190" t="str">
        <f t="shared" si="17"/>
        <v/>
      </c>
      <c r="W931" s="190" t="str">
        <f t="shared" si="18"/>
        <v/>
      </c>
      <c r="X931" s="191" t="str">
        <f t="shared" si="19"/>
        <v/>
      </c>
      <c r="Y931" s="191" t="str">
        <f t="shared" si="20"/>
        <v/>
      </c>
      <c r="Z931" s="156"/>
    </row>
    <row r="932">
      <c r="A932" s="177" t="str">
        <f t="shared" si="14"/>
        <v/>
      </c>
      <c r="B932" s="196"/>
      <c r="C932" s="179" t="str">
        <f t="shared" si="2"/>
        <v/>
      </c>
      <c r="D932" s="197"/>
      <c r="E932" s="181"/>
      <c r="F932" s="198"/>
      <c r="G932" s="201"/>
      <c r="H932" s="201"/>
      <c r="I932" s="201"/>
      <c r="J932" s="202"/>
      <c r="K932" s="203"/>
      <c r="L932" s="186">
        <f t="shared" si="15"/>
        <v>0</v>
      </c>
      <c r="M932" s="191"/>
      <c r="N932" s="191"/>
      <c r="O932" s="191"/>
      <c r="P932" s="191"/>
      <c r="Q932" s="191"/>
      <c r="R932" s="191"/>
      <c r="S932" s="191"/>
      <c r="T932" s="192"/>
      <c r="U932" s="189" t="str">
        <f t="shared" si="16"/>
        <v/>
      </c>
      <c r="V932" s="190" t="str">
        <f t="shared" si="17"/>
        <v/>
      </c>
      <c r="W932" s="190" t="str">
        <f t="shared" si="18"/>
        <v/>
      </c>
      <c r="X932" s="191" t="str">
        <f t="shared" si="19"/>
        <v/>
      </c>
      <c r="Y932" s="191" t="str">
        <f t="shared" si="20"/>
        <v/>
      </c>
      <c r="Z932" s="156"/>
    </row>
    <row r="933">
      <c r="A933" s="177" t="str">
        <f t="shared" si="14"/>
        <v/>
      </c>
      <c r="B933" s="196"/>
      <c r="C933" s="179" t="str">
        <f t="shared" si="2"/>
        <v/>
      </c>
      <c r="D933" s="197"/>
      <c r="E933" s="181"/>
      <c r="F933" s="198"/>
      <c r="G933" s="201"/>
      <c r="H933" s="201"/>
      <c r="I933" s="201"/>
      <c r="J933" s="202"/>
      <c r="K933" s="203"/>
      <c r="L933" s="186">
        <f t="shared" si="15"/>
        <v>0</v>
      </c>
      <c r="M933" s="191"/>
      <c r="N933" s="191"/>
      <c r="O933" s="191"/>
      <c r="P933" s="191"/>
      <c r="Q933" s="191"/>
      <c r="R933" s="191"/>
      <c r="S933" s="191"/>
      <c r="T933" s="192"/>
      <c r="U933" s="189" t="str">
        <f t="shared" si="16"/>
        <v/>
      </c>
      <c r="V933" s="190" t="str">
        <f t="shared" si="17"/>
        <v/>
      </c>
      <c r="W933" s="190" t="str">
        <f t="shared" si="18"/>
        <v/>
      </c>
      <c r="X933" s="191" t="str">
        <f t="shared" si="19"/>
        <v/>
      </c>
      <c r="Y933" s="191" t="str">
        <f t="shared" si="20"/>
        <v/>
      </c>
      <c r="Z933" s="156"/>
    </row>
    <row r="934">
      <c r="A934" s="177" t="str">
        <f t="shared" si="14"/>
        <v/>
      </c>
      <c r="B934" s="196"/>
      <c r="C934" s="179" t="str">
        <f t="shared" si="2"/>
        <v/>
      </c>
      <c r="D934" s="197"/>
      <c r="E934" s="181"/>
      <c r="F934" s="198"/>
      <c r="G934" s="201"/>
      <c r="H934" s="201"/>
      <c r="I934" s="201"/>
      <c r="J934" s="202"/>
      <c r="K934" s="203"/>
      <c r="L934" s="186">
        <f t="shared" si="15"/>
        <v>0</v>
      </c>
      <c r="M934" s="191"/>
      <c r="N934" s="191"/>
      <c r="O934" s="191"/>
      <c r="P934" s="191"/>
      <c r="Q934" s="191"/>
      <c r="R934" s="191"/>
      <c r="S934" s="191"/>
      <c r="T934" s="192"/>
      <c r="U934" s="189" t="str">
        <f t="shared" si="16"/>
        <v/>
      </c>
      <c r="V934" s="190" t="str">
        <f t="shared" si="17"/>
        <v/>
      </c>
      <c r="W934" s="190" t="str">
        <f t="shared" si="18"/>
        <v/>
      </c>
      <c r="X934" s="191" t="str">
        <f t="shared" si="19"/>
        <v/>
      </c>
      <c r="Y934" s="191" t="str">
        <f t="shared" si="20"/>
        <v/>
      </c>
      <c r="Z934" s="156"/>
    </row>
    <row r="935">
      <c r="A935" s="177" t="str">
        <f t="shared" si="14"/>
        <v/>
      </c>
      <c r="B935" s="196"/>
      <c r="C935" s="179" t="str">
        <f t="shared" si="2"/>
        <v/>
      </c>
      <c r="D935" s="197"/>
      <c r="E935" s="181"/>
      <c r="F935" s="198"/>
      <c r="G935" s="201"/>
      <c r="H935" s="201"/>
      <c r="I935" s="201"/>
      <c r="J935" s="202"/>
      <c r="K935" s="203"/>
      <c r="L935" s="186">
        <f t="shared" si="15"/>
        <v>0</v>
      </c>
      <c r="M935" s="191"/>
      <c r="N935" s="191"/>
      <c r="O935" s="191"/>
      <c r="P935" s="191"/>
      <c r="Q935" s="191"/>
      <c r="R935" s="191"/>
      <c r="S935" s="191"/>
      <c r="T935" s="192"/>
      <c r="U935" s="189" t="str">
        <f t="shared" si="16"/>
        <v/>
      </c>
      <c r="V935" s="190" t="str">
        <f t="shared" si="17"/>
        <v/>
      </c>
      <c r="W935" s="190" t="str">
        <f t="shared" si="18"/>
        <v/>
      </c>
      <c r="X935" s="191" t="str">
        <f t="shared" si="19"/>
        <v/>
      </c>
      <c r="Y935" s="191" t="str">
        <f t="shared" si="20"/>
        <v/>
      </c>
      <c r="Z935" s="156"/>
    </row>
    <row r="936">
      <c r="A936" s="177" t="str">
        <f t="shared" si="14"/>
        <v/>
      </c>
      <c r="B936" s="196"/>
      <c r="C936" s="179" t="str">
        <f t="shared" si="2"/>
        <v/>
      </c>
      <c r="D936" s="197"/>
      <c r="E936" s="181"/>
      <c r="F936" s="198"/>
      <c r="G936" s="201"/>
      <c r="H936" s="201"/>
      <c r="I936" s="201"/>
      <c r="J936" s="202"/>
      <c r="K936" s="203"/>
      <c r="L936" s="186">
        <f t="shared" si="15"/>
        <v>0</v>
      </c>
      <c r="M936" s="191"/>
      <c r="N936" s="191"/>
      <c r="O936" s="191"/>
      <c r="P936" s="191"/>
      <c r="Q936" s="191"/>
      <c r="R936" s="191"/>
      <c r="S936" s="191"/>
      <c r="T936" s="192"/>
      <c r="U936" s="189" t="str">
        <f t="shared" si="16"/>
        <v/>
      </c>
      <c r="V936" s="190" t="str">
        <f t="shared" si="17"/>
        <v/>
      </c>
      <c r="W936" s="190" t="str">
        <f t="shared" si="18"/>
        <v/>
      </c>
      <c r="X936" s="191" t="str">
        <f t="shared" si="19"/>
        <v/>
      </c>
      <c r="Y936" s="191" t="str">
        <f t="shared" si="20"/>
        <v/>
      </c>
      <c r="Z936" s="156"/>
    </row>
    <row r="937">
      <c r="A937" s="177" t="str">
        <f t="shared" si="14"/>
        <v/>
      </c>
      <c r="B937" s="196"/>
      <c r="C937" s="179" t="str">
        <f t="shared" si="2"/>
        <v/>
      </c>
      <c r="D937" s="197"/>
      <c r="E937" s="181"/>
      <c r="F937" s="198"/>
      <c r="G937" s="201"/>
      <c r="H937" s="201"/>
      <c r="I937" s="201"/>
      <c r="J937" s="202"/>
      <c r="K937" s="203"/>
      <c r="L937" s="186">
        <f t="shared" si="15"/>
        <v>0</v>
      </c>
      <c r="M937" s="191"/>
      <c r="N937" s="191"/>
      <c r="O937" s="191"/>
      <c r="P937" s="191"/>
      <c r="Q937" s="191"/>
      <c r="R937" s="191"/>
      <c r="S937" s="191"/>
      <c r="T937" s="192"/>
      <c r="U937" s="189" t="str">
        <f t="shared" si="16"/>
        <v/>
      </c>
      <c r="V937" s="190" t="str">
        <f t="shared" si="17"/>
        <v/>
      </c>
      <c r="W937" s="190" t="str">
        <f t="shared" si="18"/>
        <v/>
      </c>
      <c r="X937" s="191" t="str">
        <f t="shared" si="19"/>
        <v/>
      </c>
      <c r="Y937" s="191" t="str">
        <f t="shared" si="20"/>
        <v/>
      </c>
      <c r="Z937" s="156"/>
    </row>
    <row r="938">
      <c r="A938" s="177" t="str">
        <f t="shared" si="14"/>
        <v/>
      </c>
      <c r="B938" s="196"/>
      <c r="C938" s="179" t="str">
        <f t="shared" si="2"/>
        <v/>
      </c>
      <c r="D938" s="197"/>
      <c r="E938" s="181"/>
      <c r="F938" s="198"/>
      <c r="G938" s="201"/>
      <c r="H938" s="201"/>
      <c r="I938" s="201"/>
      <c r="J938" s="202"/>
      <c r="K938" s="203"/>
      <c r="L938" s="186">
        <f t="shared" si="15"/>
        <v>0</v>
      </c>
      <c r="M938" s="191"/>
      <c r="N938" s="191"/>
      <c r="O938" s="191"/>
      <c r="P938" s="191"/>
      <c r="Q938" s="191"/>
      <c r="R938" s="191"/>
      <c r="S938" s="191"/>
      <c r="T938" s="192"/>
      <c r="U938" s="189" t="str">
        <f t="shared" si="16"/>
        <v/>
      </c>
      <c r="V938" s="190" t="str">
        <f t="shared" si="17"/>
        <v/>
      </c>
      <c r="W938" s="190" t="str">
        <f t="shared" si="18"/>
        <v/>
      </c>
      <c r="X938" s="191" t="str">
        <f t="shared" si="19"/>
        <v/>
      </c>
      <c r="Y938" s="191" t="str">
        <f t="shared" si="20"/>
        <v/>
      </c>
      <c r="Z938" s="156"/>
    </row>
    <row r="939">
      <c r="A939" s="177" t="str">
        <f t="shared" si="14"/>
        <v/>
      </c>
      <c r="B939" s="196"/>
      <c r="C939" s="179" t="str">
        <f t="shared" si="2"/>
        <v/>
      </c>
      <c r="D939" s="197"/>
      <c r="E939" s="181"/>
      <c r="F939" s="198"/>
      <c r="G939" s="201"/>
      <c r="H939" s="201"/>
      <c r="I939" s="201"/>
      <c r="J939" s="202"/>
      <c r="K939" s="203"/>
      <c r="L939" s="186">
        <f t="shared" si="15"/>
        <v>0</v>
      </c>
      <c r="M939" s="191"/>
      <c r="N939" s="191"/>
      <c r="O939" s="191"/>
      <c r="P939" s="191"/>
      <c r="Q939" s="191"/>
      <c r="R939" s="191"/>
      <c r="S939" s="191"/>
      <c r="T939" s="192"/>
      <c r="U939" s="189" t="str">
        <f t="shared" si="16"/>
        <v/>
      </c>
      <c r="V939" s="190" t="str">
        <f t="shared" si="17"/>
        <v/>
      </c>
      <c r="W939" s="190" t="str">
        <f t="shared" si="18"/>
        <v/>
      </c>
      <c r="X939" s="191" t="str">
        <f t="shared" si="19"/>
        <v/>
      </c>
      <c r="Y939" s="191" t="str">
        <f t="shared" si="20"/>
        <v/>
      </c>
      <c r="Z939" s="156"/>
    </row>
    <row r="940">
      <c r="A940" s="177" t="str">
        <f t="shared" si="14"/>
        <v/>
      </c>
      <c r="B940" s="196"/>
      <c r="C940" s="179" t="str">
        <f t="shared" si="2"/>
        <v/>
      </c>
      <c r="D940" s="197"/>
      <c r="E940" s="181"/>
      <c r="F940" s="198"/>
      <c r="G940" s="201"/>
      <c r="H940" s="201"/>
      <c r="I940" s="201"/>
      <c r="J940" s="202"/>
      <c r="K940" s="203"/>
      <c r="L940" s="186">
        <f t="shared" si="15"/>
        <v>0</v>
      </c>
      <c r="M940" s="191"/>
      <c r="N940" s="191"/>
      <c r="O940" s="191"/>
      <c r="P940" s="191"/>
      <c r="Q940" s="191"/>
      <c r="R940" s="191"/>
      <c r="S940" s="191"/>
      <c r="T940" s="192"/>
      <c r="U940" s="189" t="str">
        <f t="shared" si="16"/>
        <v/>
      </c>
      <c r="V940" s="190" t="str">
        <f t="shared" si="17"/>
        <v/>
      </c>
      <c r="W940" s="190" t="str">
        <f t="shared" si="18"/>
        <v/>
      </c>
      <c r="X940" s="191" t="str">
        <f t="shared" si="19"/>
        <v/>
      </c>
      <c r="Y940" s="191" t="str">
        <f t="shared" si="20"/>
        <v/>
      </c>
      <c r="Z940" s="156"/>
    </row>
    <row r="941">
      <c r="A941" s="177" t="str">
        <f t="shared" si="14"/>
        <v/>
      </c>
      <c r="B941" s="196"/>
      <c r="C941" s="179" t="str">
        <f t="shared" si="2"/>
        <v/>
      </c>
      <c r="D941" s="197"/>
      <c r="E941" s="181"/>
      <c r="F941" s="198"/>
      <c r="G941" s="201"/>
      <c r="H941" s="201"/>
      <c r="I941" s="201"/>
      <c r="J941" s="202"/>
      <c r="K941" s="203"/>
      <c r="L941" s="186">
        <f t="shared" si="15"/>
        <v>0</v>
      </c>
      <c r="M941" s="191"/>
      <c r="N941" s="191"/>
      <c r="O941" s="191"/>
      <c r="P941" s="191"/>
      <c r="Q941" s="191"/>
      <c r="R941" s="191"/>
      <c r="S941" s="191"/>
      <c r="T941" s="192"/>
      <c r="U941" s="189" t="str">
        <f t="shared" si="16"/>
        <v/>
      </c>
      <c r="V941" s="190" t="str">
        <f t="shared" si="17"/>
        <v/>
      </c>
      <c r="W941" s="190" t="str">
        <f t="shared" si="18"/>
        <v/>
      </c>
      <c r="X941" s="191" t="str">
        <f t="shared" si="19"/>
        <v/>
      </c>
      <c r="Y941" s="191" t="str">
        <f t="shared" si="20"/>
        <v/>
      </c>
      <c r="Z941" s="156"/>
    </row>
    <row r="942">
      <c r="A942" s="177" t="str">
        <f t="shared" si="14"/>
        <v/>
      </c>
      <c r="B942" s="196"/>
      <c r="C942" s="179" t="str">
        <f t="shared" si="2"/>
        <v/>
      </c>
      <c r="D942" s="197"/>
      <c r="E942" s="181"/>
      <c r="F942" s="198"/>
      <c r="G942" s="201"/>
      <c r="H942" s="201"/>
      <c r="I942" s="201"/>
      <c r="J942" s="202"/>
      <c r="K942" s="203"/>
      <c r="L942" s="186">
        <f t="shared" si="15"/>
        <v>0</v>
      </c>
      <c r="M942" s="191"/>
      <c r="N942" s="191"/>
      <c r="O942" s="191"/>
      <c r="P942" s="191"/>
      <c r="Q942" s="191"/>
      <c r="R942" s="191"/>
      <c r="S942" s="191"/>
      <c r="T942" s="192"/>
      <c r="U942" s="189" t="str">
        <f t="shared" si="16"/>
        <v/>
      </c>
      <c r="V942" s="190" t="str">
        <f t="shared" si="17"/>
        <v/>
      </c>
      <c r="W942" s="190" t="str">
        <f t="shared" si="18"/>
        <v/>
      </c>
      <c r="X942" s="191" t="str">
        <f t="shared" si="19"/>
        <v/>
      </c>
      <c r="Y942" s="191" t="str">
        <f t="shared" si="20"/>
        <v/>
      </c>
      <c r="Z942" s="156"/>
    </row>
    <row r="943">
      <c r="A943" s="177" t="str">
        <f t="shared" si="14"/>
        <v/>
      </c>
      <c r="B943" s="196"/>
      <c r="C943" s="179" t="str">
        <f t="shared" si="2"/>
        <v/>
      </c>
      <c r="D943" s="197"/>
      <c r="E943" s="181"/>
      <c r="F943" s="198"/>
      <c r="G943" s="201"/>
      <c r="H943" s="201"/>
      <c r="I943" s="201"/>
      <c r="J943" s="202"/>
      <c r="K943" s="203"/>
      <c r="L943" s="186">
        <f t="shared" si="15"/>
        <v>0</v>
      </c>
      <c r="M943" s="191"/>
      <c r="N943" s="191"/>
      <c r="O943" s="191"/>
      <c r="P943" s="191"/>
      <c r="Q943" s="191"/>
      <c r="R943" s="191"/>
      <c r="S943" s="191"/>
      <c r="T943" s="192"/>
      <c r="U943" s="189" t="str">
        <f t="shared" si="16"/>
        <v/>
      </c>
      <c r="V943" s="190" t="str">
        <f t="shared" si="17"/>
        <v/>
      </c>
      <c r="W943" s="190" t="str">
        <f t="shared" si="18"/>
        <v/>
      </c>
      <c r="X943" s="191" t="str">
        <f t="shared" si="19"/>
        <v/>
      </c>
      <c r="Y943" s="191" t="str">
        <f t="shared" si="20"/>
        <v/>
      </c>
      <c r="Z943" s="156"/>
    </row>
    <row r="944">
      <c r="A944" s="177" t="str">
        <f t="shared" si="14"/>
        <v/>
      </c>
      <c r="B944" s="196"/>
      <c r="C944" s="179" t="str">
        <f t="shared" si="2"/>
        <v/>
      </c>
      <c r="D944" s="197"/>
      <c r="E944" s="181"/>
      <c r="F944" s="198"/>
      <c r="G944" s="201"/>
      <c r="H944" s="201"/>
      <c r="I944" s="201"/>
      <c r="J944" s="202"/>
      <c r="K944" s="203"/>
      <c r="L944" s="186">
        <f t="shared" si="15"/>
        <v>0</v>
      </c>
      <c r="M944" s="191"/>
      <c r="N944" s="191"/>
      <c r="O944" s="191"/>
      <c r="P944" s="191"/>
      <c r="Q944" s="191"/>
      <c r="R944" s="191"/>
      <c r="S944" s="191"/>
      <c r="T944" s="192"/>
      <c r="U944" s="189" t="str">
        <f t="shared" si="16"/>
        <v/>
      </c>
      <c r="V944" s="190" t="str">
        <f t="shared" si="17"/>
        <v/>
      </c>
      <c r="W944" s="190" t="str">
        <f t="shared" si="18"/>
        <v/>
      </c>
      <c r="X944" s="191" t="str">
        <f t="shared" si="19"/>
        <v/>
      </c>
      <c r="Y944" s="191" t="str">
        <f t="shared" si="20"/>
        <v/>
      </c>
      <c r="Z944" s="156"/>
    </row>
    <row r="945">
      <c r="A945" s="177" t="str">
        <f t="shared" si="14"/>
        <v/>
      </c>
      <c r="B945" s="196"/>
      <c r="C945" s="179" t="str">
        <f t="shared" si="2"/>
        <v/>
      </c>
      <c r="D945" s="197"/>
      <c r="E945" s="181"/>
      <c r="F945" s="198"/>
      <c r="G945" s="201"/>
      <c r="H945" s="201"/>
      <c r="I945" s="201"/>
      <c r="J945" s="202"/>
      <c r="K945" s="203"/>
      <c r="L945" s="186">
        <f t="shared" si="15"/>
        <v>0</v>
      </c>
      <c r="M945" s="191"/>
      <c r="N945" s="191"/>
      <c r="O945" s="191"/>
      <c r="P945" s="191"/>
      <c r="Q945" s="191"/>
      <c r="R945" s="191"/>
      <c r="S945" s="191"/>
      <c r="T945" s="192"/>
      <c r="U945" s="189" t="str">
        <f t="shared" si="16"/>
        <v/>
      </c>
      <c r="V945" s="190" t="str">
        <f t="shared" si="17"/>
        <v/>
      </c>
      <c r="W945" s="190" t="str">
        <f t="shared" si="18"/>
        <v/>
      </c>
      <c r="X945" s="191" t="str">
        <f t="shared" si="19"/>
        <v/>
      </c>
      <c r="Y945" s="191" t="str">
        <f t="shared" si="20"/>
        <v/>
      </c>
      <c r="Z945" s="156"/>
    </row>
    <row r="946">
      <c r="A946" s="177" t="str">
        <f t="shared" si="14"/>
        <v/>
      </c>
      <c r="B946" s="196"/>
      <c r="C946" s="179" t="str">
        <f t="shared" si="2"/>
        <v/>
      </c>
      <c r="D946" s="197"/>
      <c r="E946" s="181"/>
      <c r="F946" s="198"/>
      <c r="G946" s="201"/>
      <c r="H946" s="201"/>
      <c r="I946" s="201"/>
      <c r="J946" s="202"/>
      <c r="K946" s="203"/>
      <c r="L946" s="186">
        <f t="shared" si="15"/>
        <v>0</v>
      </c>
      <c r="M946" s="191"/>
      <c r="N946" s="191"/>
      <c r="O946" s="191"/>
      <c r="P946" s="191"/>
      <c r="Q946" s="191"/>
      <c r="R946" s="191"/>
      <c r="S946" s="191"/>
      <c r="T946" s="192"/>
      <c r="U946" s="189" t="str">
        <f t="shared" si="16"/>
        <v/>
      </c>
      <c r="V946" s="190" t="str">
        <f t="shared" si="17"/>
        <v/>
      </c>
      <c r="W946" s="190" t="str">
        <f t="shared" si="18"/>
        <v/>
      </c>
      <c r="X946" s="191" t="str">
        <f t="shared" si="19"/>
        <v/>
      </c>
      <c r="Y946" s="191" t="str">
        <f t="shared" si="20"/>
        <v/>
      </c>
      <c r="Z946" s="156"/>
    </row>
    <row r="947">
      <c r="A947" s="177" t="str">
        <f t="shared" si="14"/>
        <v/>
      </c>
      <c r="B947" s="196"/>
      <c r="C947" s="179" t="str">
        <f t="shared" si="2"/>
        <v/>
      </c>
      <c r="D947" s="197"/>
      <c r="E947" s="181"/>
      <c r="F947" s="198"/>
      <c r="G947" s="201"/>
      <c r="H947" s="201"/>
      <c r="I947" s="201"/>
      <c r="J947" s="202"/>
      <c r="K947" s="203"/>
      <c r="L947" s="186">
        <f t="shared" si="15"/>
        <v>0</v>
      </c>
      <c r="M947" s="191"/>
      <c r="N947" s="191"/>
      <c r="O947" s="191"/>
      <c r="P947" s="191"/>
      <c r="Q947" s="191"/>
      <c r="R947" s="191"/>
      <c r="S947" s="191"/>
      <c r="T947" s="192"/>
      <c r="U947" s="189" t="str">
        <f t="shared" si="16"/>
        <v/>
      </c>
      <c r="V947" s="190" t="str">
        <f t="shared" si="17"/>
        <v/>
      </c>
      <c r="W947" s="190" t="str">
        <f t="shared" si="18"/>
        <v/>
      </c>
      <c r="X947" s="191" t="str">
        <f t="shared" si="19"/>
        <v/>
      </c>
      <c r="Y947" s="191" t="str">
        <f t="shared" si="20"/>
        <v/>
      </c>
      <c r="Z947" s="156"/>
    </row>
    <row r="948">
      <c r="A948" s="177" t="str">
        <f t="shared" si="14"/>
        <v/>
      </c>
      <c r="B948" s="196"/>
      <c r="C948" s="179" t="str">
        <f t="shared" si="2"/>
        <v/>
      </c>
      <c r="D948" s="197"/>
      <c r="E948" s="181"/>
      <c r="F948" s="198"/>
      <c r="G948" s="201"/>
      <c r="H948" s="201"/>
      <c r="I948" s="201"/>
      <c r="J948" s="202"/>
      <c r="K948" s="203"/>
      <c r="L948" s="186">
        <f t="shared" si="15"/>
        <v>0</v>
      </c>
      <c r="M948" s="191"/>
      <c r="N948" s="191"/>
      <c r="O948" s="191"/>
      <c r="P948" s="191"/>
      <c r="Q948" s="191"/>
      <c r="R948" s="191"/>
      <c r="S948" s="191"/>
      <c r="T948" s="192"/>
      <c r="U948" s="189" t="str">
        <f t="shared" si="16"/>
        <v/>
      </c>
      <c r="V948" s="190" t="str">
        <f t="shared" si="17"/>
        <v/>
      </c>
      <c r="W948" s="190" t="str">
        <f t="shared" si="18"/>
        <v/>
      </c>
      <c r="X948" s="191" t="str">
        <f t="shared" si="19"/>
        <v/>
      </c>
      <c r="Y948" s="191" t="str">
        <f t="shared" si="20"/>
        <v/>
      </c>
      <c r="Z948" s="156"/>
    </row>
    <row r="949">
      <c r="A949" s="177" t="str">
        <f t="shared" si="14"/>
        <v/>
      </c>
      <c r="B949" s="196"/>
      <c r="C949" s="179" t="str">
        <f t="shared" si="2"/>
        <v/>
      </c>
      <c r="D949" s="197"/>
      <c r="E949" s="181"/>
      <c r="F949" s="198"/>
      <c r="G949" s="201"/>
      <c r="H949" s="201"/>
      <c r="I949" s="201"/>
      <c r="J949" s="202"/>
      <c r="K949" s="203"/>
      <c r="L949" s="186">
        <f t="shared" si="15"/>
        <v>0</v>
      </c>
      <c r="M949" s="191"/>
      <c r="N949" s="191"/>
      <c r="O949" s="191"/>
      <c r="P949" s="191"/>
      <c r="Q949" s="191"/>
      <c r="R949" s="191"/>
      <c r="S949" s="191"/>
      <c r="T949" s="192"/>
      <c r="U949" s="189" t="str">
        <f t="shared" si="16"/>
        <v/>
      </c>
      <c r="V949" s="190" t="str">
        <f t="shared" si="17"/>
        <v/>
      </c>
      <c r="W949" s="190" t="str">
        <f t="shared" si="18"/>
        <v/>
      </c>
      <c r="X949" s="191" t="str">
        <f t="shared" si="19"/>
        <v/>
      </c>
      <c r="Y949" s="191" t="str">
        <f t="shared" si="20"/>
        <v/>
      </c>
      <c r="Z949" s="156"/>
    </row>
    <row r="950">
      <c r="A950" s="177" t="str">
        <f t="shared" si="14"/>
        <v/>
      </c>
      <c r="B950" s="196"/>
      <c r="C950" s="179" t="str">
        <f t="shared" si="2"/>
        <v/>
      </c>
      <c r="D950" s="197"/>
      <c r="E950" s="181"/>
      <c r="F950" s="198"/>
      <c r="G950" s="201"/>
      <c r="H950" s="201"/>
      <c r="I950" s="201"/>
      <c r="J950" s="202"/>
      <c r="K950" s="203"/>
      <c r="L950" s="186">
        <f t="shared" si="15"/>
        <v>0</v>
      </c>
      <c r="M950" s="191"/>
      <c r="N950" s="191"/>
      <c r="O950" s="191"/>
      <c r="P950" s="191"/>
      <c r="Q950" s="191"/>
      <c r="R950" s="191"/>
      <c r="S950" s="191"/>
      <c r="T950" s="192"/>
      <c r="U950" s="189" t="str">
        <f t="shared" si="16"/>
        <v/>
      </c>
      <c r="V950" s="190" t="str">
        <f t="shared" si="17"/>
        <v/>
      </c>
      <c r="W950" s="190" t="str">
        <f t="shared" si="18"/>
        <v/>
      </c>
      <c r="X950" s="191" t="str">
        <f t="shared" si="19"/>
        <v/>
      </c>
      <c r="Y950" s="191" t="str">
        <f t="shared" si="20"/>
        <v/>
      </c>
      <c r="Z950" s="156"/>
    </row>
    <row r="951">
      <c r="A951" s="177" t="str">
        <f t="shared" si="14"/>
        <v/>
      </c>
      <c r="B951" s="196"/>
      <c r="C951" s="179" t="str">
        <f t="shared" si="2"/>
        <v/>
      </c>
      <c r="D951" s="197"/>
      <c r="E951" s="181"/>
      <c r="F951" s="198"/>
      <c r="G951" s="201"/>
      <c r="H951" s="201"/>
      <c r="I951" s="201"/>
      <c r="J951" s="202"/>
      <c r="K951" s="203"/>
      <c r="L951" s="186">
        <f t="shared" si="15"/>
        <v>0</v>
      </c>
      <c r="M951" s="191"/>
      <c r="N951" s="191"/>
      <c r="O951" s="191"/>
      <c r="P951" s="191"/>
      <c r="Q951" s="191"/>
      <c r="R951" s="191"/>
      <c r="S951" s="191"/>
      <c r="T951" s="192"/>
      <c r="U951" s="189" t="str">
        <f t="shared" si="16"/>
        <v/>
      </c>
      <c r="V951" s="190" t="str">
        <f t="shared" si="17"/>
        <v/>
      </c>
      <c r="W951" s="190" t="str">
        <f t="shared" si="18"/>
        <v/>
      </c>
      <c r="X951" s="191" t="str">
        <f t="shared" si="19"/>
        <v/>
      </c>
      <c r="Y951" s="191" t="str">
        <f t="shared" si="20"/>
        <v/>
      </c>
      <c r="Z951" s="156"/>
    </row>
    <row r="952">
      <c r="A952" s="177" t="str">
        <f t="shared" si="14"/>
        <v/>
      </c>
      <c r="B952" s="196"/>
      <c r="C952" s="179" t="str">
        <f t="shared" si="2"/>
        <v/>
      </c>
      <c r="D952" s="197"/>
      <c r="E952" s="181"/>
      <c r="F952" s="198"/>
      <c r="G952" s="201"/>
      <c r="H952" s="201"/>
      <c r="I952" s="201"/>
      <c r="J952" s="202"/>
      <c r="K952" s="203"/>
      <c r="L952" s="186">
        <f t="shared" si="15"/>
        <v>0</v>
      </c>
      <c r="M952" s="191"/>
      <c r="N952" s="191"/>
      <c r="O952" s="191"/>
      <c r="P952" s="191"/>
      <c r="Q952" s="191"/>
      <c r="R952" s="191"/>
      <c r="S952" s="191"/>
      <c r="T952" s="192"/>
      <c r="U952" s="189" t="str">
        <f t="shared" si="16"/>
        <v/>
      </c>
      <c r="V952" s="190" t="str">
        <f t="shared" si="17"/>
        <v/>
      </c>
      <c r="W952" s="190" t="str">
        <f t="shared" si="18"/>
        <v/>
      </c>
      <c r="X952" s="191" t="str">
        <f t="shared" si="19"/>
        <v/>
      </c>
      <c r="Y952" s="191" t="str">
        <f t="shared" si="20"/>
        <v/>
      </c>
      <c r="Z952" s="156"/>
    </row>
    <row r="953">
      <c r="A953" s="177" t="str">
        <f t="shared" si="14"/>
        <v/>
      </c>
      <c r="B953" s="196"/>
      <c r="C953" s="179" t="str">
        <f t="shared" si="2"/>
        <v/>
      </c>
      <c r="D953" s="197"/>
      <c r="E953" s="181"/>
      <c r="F953" s="198"/>
      <c r="G953" s="201"/>
      <c r="H953" s="201"/>
      <c r="I953" s="201"/>
      <c r="J953" s="202"/>
      <c r="K953" s="203"/>
      <c r="L953" s="186">
        <f t="shared" si="15"/>
        <v>0</v>
      </c>
      <c r="M953" s="191"/>
      <c r="N953" s="191"/>
      <c r="O953" s="191"/>
      <c r="P953" s="191"/>
      <c r="Q953" s="191"/>
      <c r="R953" s="191"/>
      <c r="S953" s="191"/>
      <c r="T953" s="192"/>
      <c r="U953" s="189" t="str">
        <f t="shared" si="16"/>
        <v/>
      </c>
      <c r="V953" s="190" t="str">
        <f t="shared" si="17"/>
        <v/>
      </c>
      <c r="W953" s="190" t="str">
        <f t="shared" si="18"/>
        <v/>
      </c>
      <c r="X953" s="191" t="str">
        <f t="shared" si="19"/>
        <v/>
      </c>
      <c r="Y953" s="191" t="str">
        <f t="shared" si="20"/>
        <v/>
      </c>
      <c r="Z953" s="156"/>
    </row>
    <row r="954">
      <c r="A954" s="177" t="str">
        <f t="shared" si="14"/>
        <v/>
      </c>
      <c r="B954" s="196"/>
      <c r="C954" s="179" t="str">
        <f t="shared" si="2"/>
        <v/>
      </c>
      <c r="D954" s="197"/>
      <c r="E954" s="181"/>
      <c r="F954" s="198"/>
      <c r="G954" s="201"/>
      <c r="H954" s="201"/>
      <c r="I954" s="201"/>
      <c r="J954" s="202"/>
      <c r="K954" s="203"/>
      <c r="L954" s="186">
        <f t="shared" si="15"/>
        <v>0</v>
      </c>
      <c r="M954" s="191"/>
      <c r="N954" s="191"/>
      <c r="O954" s="191"/>
      <c r="P954" s="191"/>
      <c r="Q954" s="191"/>
      <c r="R954" s="191"/>
      <c r="S954" s="191"/>
      <c r="T954" s="192"/>
      <c r="U954" s="189" t="str">
        <f t="shared" si="16"/>
        <v/>
      </c>
      <c r="V954" s="190" t="str">
        <f t="shared" si="17"/>
        <v/>
      </c>
      <c r="W954" s="190" t="str">
        <f t="shared" si="18"/>
        <v/>
      </c>
      <c r="X954" s="191" t="str">
        <f t="shared" si="19"/>
        <v/>
      </c>
      <c r="Y954" s="191" t="str">
        <f t="shared" si="20"/>
        <v/>
      </c>
      <c r="Z954" s="156"/>
    </row>
    <row r="955">
      <c r="A955" s="177" t="str">
        <f t="shared" si="14"/>
        <v/>
      </c>
      <c r="B955" s="196"/>
      <c r="C955" s="179" t="str">
        <f t="shared" si="2"/>
        <v/>
      </c>
      <c r="D955" s="197"/>
      <c r="E955" s="181"/>
      <c r="F955" s="198"/>
      <c r="G955" s="201"/>
      <c r="H955" s="201"/>
      <c r="I955" s="201"/>
      <c r="J955" s="202"/>
      <c r="K955" s="203"/>
      <c r="L955" s="186">
        <f t="shared" si="15"/>
        <v>0</v>
      </c>
      <c r="M955" s="191"/>
      <c r="N955" s="191"/>
      <c r="O955" s="191"/>
      <c r="P955" s="191"/>
      <c r="Q955" s="191"/>
      <c r="R955" s="191"/>
      <c r="S955" s="191"/>
      <c r="T955" s="192"/>
      <c r="U955" s="189" t="str">
        <f t="shared" si="16"/>
        <v/>
      </c>
      <c r="V955" s="190" t="str">
        <f t="shared" si="17"/>
        <v/>
      </c>
      <c r="W955" s="190" t="str">
        <f t="shared" si="18"/>
        <v/>
      </c>
      <c r="X955" s="191" t="str">
        <f t="shared" si="19"/>
        <v/>
      </c>
      <c r="Y955" s="191" t="str">
        <f t="shared" si="20"/>
        <v/>
      </c>
      <c r="Z955" s="156"/>
    </row>
    <row r="956">
      <c r="A956" s="177" t="str">
        <f t="shared" si="14"/>
        <v/>
      </c>
      <c r="B956" s="196"/>
      <c r="C956" s="179" t="str">
        <f t="shared" si="2"/>
        <v/>
      </c>
      <c r="D956" s="197"/>
      <c r="E956" s="181"/>
      <c r="F956" s="198"/>
      <c r="G956" s="201"/>
      <c r="H956" s="201"/>
      <c r="I956" s="201"/>
      <c r="J956" s="202"/>
      <c r="K956" s="203"/>
      <c r="L956" s="186">
        <f t="shared" si="15"/>
        <v>0</v>
      </c>
      <c r="M956" s="191"/>
      <c r="N956" s="191"/>
      <c r="O956" s="191"/>
      <c r="P956" s="191"/>
      <c r="Q956" s="191"/>
      <c r="R956" s="191"/>
      <c r="S956" s="191"/>
      <c r="T956" s="192"/>
      <c r="U956" s="189" t="str">
        <f t="shared" si="16"/>
        <v/>
      </c>
      <c r="V956" s="190" t="str">
        <f t="shared" si="17"/>
        <v/>
      </c>
      <c r="W956" s="190" t="str">
        <f t="shared" si="18"/>
        <v/>
      </c>
      <c r="X956" s="191" t="str">
        <f t="shared" si="19"/>
        <v/>
      </c>
      <c r="Y956" s="191" t="str">
        <f t="shared" si="20"/>
        <v/>
      </c>
      <c r="Z956" s="156"/>
    </row>
    <row r="957">
      <c r="A957" s="177" t="str">
        <f t="shared" si="14"/>
        <v/>
      </c>
      <c r="B957" s="196"/>
      <c r="C957" s="179" t="str">
        <f t="shared" si="2"/>
        <v/>
      </c>
      <c r="D957" s="197"/>
      <c r="E957" s="181"/>
      <c r="F957" s="198"/>
      <c r="G957" s="201"/>
      <c r="H957" s="201"/>
      <c r="I957" s="201"/>
      <c r="J957" s="202"/>
      <c r="K957" s="203"/>
      <c r="L957" s="186">
        <f t="shared" si="15"/>
        <v>0</v>
      </c>
      <c r="M957" s="191"/>
      <c r="N957" s="191"/>
      <c r="O957" s="191"/>
      <c r="P957" s="191"/>
      <c r="Q957" s="191"/>
      <c r="R957" s="191"/>
      <c r="S957" s="191"/>
      <c r="T957" s="192"/>
      <c r="U957" s="189" t="str">
        <f t="shared" si="16"/>
        <v/>
      </c>
      <c r="V957" s="190" t="str">
        <f t="shared" si="17"/>
        <v/>
      </c>
      <c r="W957" s="190" t="str">
        <f t="shared" si="18"/>
        <v/>
      </c>
      <c r="X957" s="191" t="str">
        <f t="shared" si="19"/>
        <v/>
      </c>
      <c r="Y957" s="191" t="str">
        <f t="shared" si="20"/>
        <v/>
      </c>
      <c r="Z957" s="156"/>
    </row>
    <row r="958">
      <c r="A958" s="177" t="str">
        <f t="shared" si="14"/>
        <v/>
      </c>
      <c r="B958" s="196"/>
      <c r="C958" s="179" t="str">
        <f t="shared" si="2"/>
        <v/>
      </c>
      <c r="D958" s="197"/>
      <c r="E958" s="181"/>
      <c r="F958" s="198"/>
      <c r="G958" s="201"/>
      <c r="H958" s="201"/>
      <c r="I958" s="201"/>
      <c r="J958" s="202"/>
      <c r="K958" s="203"/>
      <c r="L958" s="186">
        <f t="shared" si="15"/>
        <v>0</v>
      </c>
      <c r="M958" s="191"/>
      <c r="N958" s="191"/>
      <c r="O958" s="191"/>
      <c r="P958" s="191"/>
      <c r="Q958" s="191"/>
      <c r="R958" s="191"/>
      <c r="S958" s="191"/>
      <c r="T958" s="192"/>
      <c r="U958" s="189" t="str">
        <f t="shared" si="16"/>
        <v/>
      </c>
      <c r="V958" s="190" t="str">
        <f t="shared" si="17"/>
        <v/>
      </c>
      <c r="W958" s="190" t="str">
        <f t="shared" si="18"/>
        <v/>
      </c>
      <c r="X958" s="191" t="str">
        <f t="shared" si="19"/>
        <v/>
      </c>
      <c r="Y958" s="191" t="str">
        <f t="shared" si="20"/>
        <v/>
      </c>
      <c r="Z958" s="156"/>
    </row>
    <row r="959">
      <c r="A959" s="177" t="str">
        <f t="shared" si="14"/>
        <v/>
      </c>
      <c r="B959" s="196"/>
      <c r="C959" s="179" t="str">
        <f t="shared" si="2"/>
        <v/>
      </c>
      <c r="D959" s="197"/>
      <c r="E959" s="181"/>
      <c r="F959" s="198"/>
      <c r="G959" s="201"/>
      <c r="H959" s="201"/>
      <c r="I959" s="201"/>
      <c r="J959" s="202"/>
      <c r="K959" s="203"/>
      <c r="L959" s="186">
        <f t="shared" si="15"/>
        <v>0</v>
      </c>
      <c r="M959" s="191"/>
      <c r="N959" s="191"/>
      <c r="O959" s="191"/>
      <c r="P959" s="191"/>
      <c r="Q959" s="191"/>
      <c r="R959" s="191"/>
      <c r="S959" s="191"/>
      <c r="T959" s="192"/>
      <c r="U959" s="189" t="str">
        <f t="shared" si="16"/>
        <v/>
      </c>
      <c r="V959" s="190" t="str">
        <f t="shared" si="17"/>
        <v/>
      </c>
      <c r="W959" s="190" t="str">
        <f t="shared" si="18"/>
        <v/>
      </c>
      <c r="X959" s="191" t="str">
        <f t="shared" si="19"/>
        <v/>
      </c>
      <c r="Y959" s="191" t="str">
        <f t="shared" si="20"/>
        <v/>
      </c>
      <c r="Z959" s="156"/>
    </row>
    <row r="960">
      <c r="A960" s="177" t="str">
        <f t="shared" si="14"/>
        <v/>
      </c>
      <c r="B960" s="196"/>
      <c r="C960" s="179" t="str">
        <f t="shared" si="2"/>
        <v/>
      </c>
      <c r="D960" s="197"/>
      <c r="E960" s="181"/>
      <c r="F960" s="198"/>
      <c r="G960" s="201"/>
      <c r="H960" s="201"/>
      <c r="I960" s="201"/>
      <c r="J960" s="202"/>
      <c r="K960" s="203"/>
      <c r="L960" s="186">
        <f t="shared" si="15"/>
        <v>0</v>
      </c>
      <c r="M960" s="191"/>
      <c r="N960" s="191"/>
      <c r="O960" s="191"/>
      <c r="P960" s="191"/>
      <c r="Q960" s="191"/>
      <c r="R960" s="191"/>
      <c r="S960" s="191"/>
      <c r="T960" s="192"/>
      <c r="U960" s="189" t="str">
        <f t="shared" si="16"/>
        <v/>
      </c>
      <c r="V960" s="190" t="str">
        <f t="shared" si="17"/>
        <v/>
      </c>
      <c r="W960" s="190" t="str">
        <f t="shared" si="18"/>
        <v/>
      </c>
      <c r="X960" s="191" t="str">
        <f t="shared" si="19"/>
        <v/>
      </c>
      <c r="Y960" s="191" t="str">
        <f t="shared" si="20"/>
        <v/>
      </c>
      <c r="Z960" s="156"/>
    </row>
    <row r="961">
      <c r="A961" s="177" t="str">
        <f t="shared" si="14"/>
        <v/>
      </c>
      <c r="B961" s="196"/>
      <c r="C961" s="179" t="str">
        <f t="shared" si="2"/>
        <v/>
      </c>
      <c r="D961" s="197"/>
      <c r="E961" s="181"/>
      <c r="F961" s="198"/>
      <c r="G961" s="201"/>
      <c r="H961" s="201"/>
      <c r="I961" s="201"/>
      <c r="J961" s="202"/>
      <c r="K961" s="203"/>
      <c r="L961" s="186">
        <f t="shared" si="15"/>
        <v>0</v>
      </c>
      <c r="M961" s="191"/>
      <c r="N961" s="191"/>
      <c r="O961" s="191"/>
      <c r="P961" s="191"/>
      <c r="Q961" s="191"/>
      <c r="R961" s="191"/>
      <c r="S961" s="191"/>
      <c r="T961" s="192"/>
      <c r="U961" s="189" t="str">
        <f t="shared" si="16"/>
        <v/>
      </c>
      <c r="V961" s="190" t="str">
        <f t="shared" si="17"/>
        <v/>
      </c>
      <c r="W961" s="190" t="str">
        <f t="shared" si="18"/>
        <v/>
      </c>
      <c r="X961" s="191" t="str">
        <f t="shared" si="19"/>
        <v/>
      </c>
      <c r="Y961" s="191" t="str">
        <f t="shared" si="20"/>
        <v/>
      </c>
      <c r="Z961" s="156"/>
    </row>
    <row r="962">
      <c r="A962" s="177" t="str">
        <f t="shared" si="14"/>
        <v/>
      </c>
      <c r="B962" s="196"/>
      <c r="C962" s="179" t="str">
        <f t="shared" si="2"/>
        <v/>
      </c>
      <c r="D962" s="197"/>
      <c r="E962" s="181"/>
      <c r="F962" s="198"/>
      <c r="G962" s="201"/>
      <c r="H962" s="201"/>
      <c r="I962" s="201"/>
      <c r="J962" s="202"/>
      <c r="K962" s="203"/>
      <c r="L962" s="186">
        <f t="shared" si="15"/>
        <v>0</v>
      </c>
      <c r="M962" s="191"/>
      <c r="N962" s="191"/>
      <c r="O962" s="191"/>
      <c r="P962" s="191"/>
      <c r="Q962" s="191"/>
      <c r="R962" s="191"/>
      <c r="S962" s="191"/>
      <c r="T962" s="192"/>
      <c r="U962" s="189" t="str">
        <f t="shared" si="16"/>
        <v/>
      </c>
      <c r="V962" s="190" t="str">
        <f t="shared" si="17"/>
        <v/>
      </c>
      <c r="W962" s="190" t="str">
        <f t="shared" si="18"/>
        <v/>
      </c>
      <c r="X962" s="191" t="str">
        <f t="shared" si="19"/>
        <v/>
      </c>
      <c r="Y962" s="191" t="str">
        <f t="shared" si="20"/>
        <v/>
      </c>
      <c r="Z962" s="156"/>
    </row>
    <row r="963">
      <c r="A963" s="177" t="str">
        <f t="shared" si="14"/>
        <v/>
      </c>
      <c r="B963" s="196"/>
      <c r="C963" s="179" t="str">
        <f t="shared" si="2"/>
        <v/>
      </c>
      <c r="D963" s="197"/>
      <c r="E963" s="181"/>
      <c r="F963" s="198"/>
      <c r="G963" s="201"/>
      <c r="H963" s="201"/>
      <c r="I963" s="201"/>
      <c r="J963" s="202"/>
      <c r="K963" s="203"/>
      <c r="L963" s="186">
        <f t="shared" si="15"/>
        <v>0</v>
      </c>
      <c r="M963" s="191"/>
      <c r="N963" s="191"/>
      <c r="O963" s="191"/>
      <c r="P963" s="191"/>
      <c r="Q963" s="191"/>
      <c r="R963" s="191"/>
      <c r="S963" s="191"/>
      <c r="T963" s="192"/>
      <c r="U963" s="189" t="str">
        <f t="shared" si="16"/>
        <v/>
      </c>
      <c r="V963" s="190" t="str">
        <f t="shared" si="17"/>
        <v/>
      </c>
      <c r="W963" s="190" t="str">
        <f t="shared" si="18"/>
        <v/>
      </c>
      <c r="X963" s="191" t="str">
        <f t="shared" si="19"/>
        <v/>
      </c>
      <c r="Y963" s="191" t="str">
        <f t="shared" si="20"/>
        <v/>
      </c>
      <c r="Z963" s="156"/>
    </row>
    <row r="964">
      <c r="A964" s="177" t="str">
        <f t="shared" si="14"/>
        <v/>
      </c>
      <c r="B964" s="196"/>
      <c r="C964" s="179" t="str">
        <f t="shared" si="2"/>
        <v/>
      </c>
      <c r="D964" s="197"/>
      <c r="E964" s="181"/>
      <c r="F964" s="198"/>
      <c r="G964" s="201"/>
      <c r="H964" s="201"/>
      <c r="I964" s="201"/>
      <c r="J964" s="202"/>
      <c r="K964" s="203"/>
      <c r="L964" s="186">
        <f t="shared" si="15"/>
        <v>0</v>
      </c>
      <c r="M964" s="191"/>
      <c r="N964" s="191"/>
      <c r="O964" s="191"/>
      <c r="P964" s="191"/>
      <c r="Q964" s="191"/>
      <c r="R964" s="191"/>
      <c r="S964" s="191"/>
      <c r="T964" s="192"/>
      <c r="U964" s="189" t="str">
        <f t="shared" si="16"/>
        <v/>
      </c>
      <c r="V964" s="190" t="str">
        <f t="shared" si="17"/>
        <v/>
      </c>
      <c r="W964" s="190" t="str">
        <f t="shared" si="18"/>
        <v/>
      </c>
      <c r="X964" s="191" t="str">
        <f t="shared" si="19"/>
        <v/>
      </c>
      <c r="Y964" s="191" t="str">
        <f t="shared" si="20"/>
        <v/>
      </c>
      <c r="Z964" s="156"/>
    </row>
    <row r="965">
      <c r="A965" s="177" t="str">
        <f t="shared" si="14"/>
        <v/>
      </c>
      <c r="B965" s="196"/>
      <c r="C965" s="179" t="str">
        <f t="shared" si="2"/>
        <v/>
      </c>
      <c r="D965" s="197"/>
      <c r="E965" s="181"/>
      <c r="F965" s="198"/>
      <c r="G965" s="201"/>
      <c r="H965" s="201"/>
      <c r="I965" s="201"/>
      <c r="J965" s="202"/>
      <c r="K965" s="203"/>
      <c r="L965" s="186">
        <f t="shared" si="15"/>
        <v>0</v>
      </c>
      <c r="M965" s="191"/>
      <c r="N965" s="191"/>
      <c r="O965" s="191"/>
      <c r="P965" s="191"/>
      <c r="Q965" s="191"/>
      <c r="R965" s="191"/>
      <c r="S965" s="191"/>
      <c r="T965" s="192"/>
      <c r="U965" s="189" t="str">
        <f t="shared" si="16"/>
        <v/>
      </c>
      <c r="V965" s="190" t="str">
        <f t="shared" si="17"/>
        <v/>
      </c>
      <c r="W965" s="190" t="str">
        <f t="shared" si="18"/>
        <v/>
      </c>
      <c r="X965" s="191" t="str">
        <f t="shared" si="19"/>
        <v/>
      </c>
      <c r="Y965" s="191" t="str">
        <f t="shared" si="20"/>
        <v/>
      </c>
      <c r="Z965" s="156"/>
    </row>
    <row r="966">
      <c r="A966" s="177" t="str">
        <f t="shared" si="14"/>
        <v/>
      </c>
      <c r="B966" s="196"/>
      <c r="C966" s="179" t="str">
        <f t="shared" si="2"/>
        <v/>
      </c>
      <c r="D966" s="197"/>
      <c r="E966" s="181"/>
      <c r="F966" s="198"/>
      <c r="G966" s="201"/>
      <c r="H966" s="201"/>
      <c r="I966" s="201"/>
      <c r="J966" s="202"/>
      <c r="K966" s="203"/>
      <c r="L966" s="186">
        <f t="shared" si="15"/>
        <v>0</v>
      </c>
      <c r="M966" s="191"/>
      <c r="N966" s="191"/>
      <c r="O966" s="191"/>
      <c r="P966" s="191"/>
      <c r="Q966" s="191"/>
      <c r="R966" s="191"/>
      <c r="S966" s="191"/>
      <c r="T966" s="192"/>
      <c r="U966" s="189" t="str">
        <f t="shared" si="16"/>
        <v/>
      </c>
      <c r="V966" s="190" t="str">
        <f t="shared" si="17"/>
        <v/>
      </c>
      <c r="W966" s="190" t="str">
        <f t="shared" si="18"/>
        <v/>
      </c>
      <c r="X966" s="191" t="str">
        <f t="shared" si="19"/>
        <v/>
      </c>
      <c r="Y966" s="191" t="str">
        <f t="shared" si="20"/>
        <v/>
      </c>
      <c r="Z966" s="156"/>
    </row>
    <row r="967">
      <c r="A967" s="177" t="str">
        <f t="shared" si="14"/>
        <v/>
      </c>
      <c r="B967" s="196"/>
      <c r="C967" s="179" t="str">
        <f t="shared" si="2"/>
        <v/>
      </c>
      <c r="D967" s="197"/>
      <c r="E967" s="181"/>
      <c r="F967" s="198"/>
      <c r="G967" s="201"/>
      <c r="H967" s="201"/>
      <c r="I967" s="201"/>
      <c r="J967" s="202"/>
      <c r="K967" s="203"/>
      <c r="L967" s="186">
        <f t="shared" si="15"/>
        <v>0</v>
      </c>
      <c r="M967" s="191"/>
      <c r="N967" s="191"/>
      <c r="O967" s="191"/>
      <c r="P967" s="191"/>
      <c r="Q967" s="191"/>
      <c r="R967" s="191"/>
      <c r="S967" s="191"/>
      <c r="T967" s="192"/>
      <c r="U967" s="189" t="str">
        <f t="shared" si="16"/>
        <v/>
      </c>
      <c r="V967" s="190" t="str">
        <f t="shared" si="17"/>
        <v/>
      </c>
      <c r="W967" s="190" t="str">
        <f t="shared" si="18"/>
        <v/>
      </c>
      <c r="X967" s="191" t="str">
        <f t="shared" si="19"/>
        <v/>
      </c>
      <c r="Y967" s="191" t="str">
        <f t="shared" si="20"/>
        <v/>
      </c>
      <c r="Z967" s="156"/>
    </row>
    <row r="968">
      <c r="A968" s="177" t="str">
        <f t="shared" si="14"/>
        <v/>
      </c>
      <c r="B968" s="196"/>
      <c r="C968" s="179" t="str">
        <f t="shared" si="2"/>
        <v/>
      </c>
      <c r="D968" s="197"/>
      <c r="E968" s="181"/>
      <c r="F968" s="198"/>
      <c r="G968" s="201"/>
      <c r="H968" s="201"/>
      <c r="I968" s="201"/>
      <c r="J968" s="202"/>
      <c r="K968" s="203"/>
      <c r="L968" s="186">
        <f t="shared" si="15"/>
        <v>0</v>
      </c>
      <c r="M968" s="191"/>
      <c r="N968" s="191"/>
      <c r="O968" s="191"/>
      <c r="P968" s="191"/>
      <c r="Q968" s="191"/>
      <c r="R968" s="191"/>
      <c r="S968" s="191"/>
      <c r="T968" s="192"/>
      <c r="U968" s="189" t="str">
        <f t="shared" si="16"/>
        <v/>
      </c>
      <c r="V968" s="190" t="str">
        <f t="shared" si="17"/>
        <v/>
      </c>
      <c r="W968" s="190" t="str">
        <f t="shared" si="18"/>
        <v/>
      </c>
      <c r="X968" s="191" t="str">
        <f t="shared" si="19"/>
        <v/>
      </c>
      <c r="Y968" s="191" t="str">
        <f t="shared" si="20"/>
        <v/>
      </c>
      <c r="Z968" s="156"/>
    </row>
    <row r="969">
      <c r="A969" s="177" t="str">
        <f t="shared" si="14"/>
        <v/>
      </c>
      <c r="B969" s="196"/>
      <c r="C969" s="179" t="str">
        <f t="shared" si="2"/>
        <v/>
      </c>
      <c r="D969" s="197"/>
      <c r="E969" s="181"/>
      <c r="F969" s="198"/>
      <c r="G969" s="201"/>
      <c r="H969" s="201"/>
      <c r="I969" s="201"/>
      <c r="J969" s="202"/>
      <c r="K969" s="203"/>
      <c r="L969" s="186">
        <f t="shared" si="15"/>
        <v>0</v>
      </c>
      <c r="M969" s="191"/>
      <c r="N969" s="191"/>
      <c r="O969" s="191"/>
      <c r="P969" s="191"/>
      <c r="Q969" s="191"/>
      <c r="R969" s="191"/>
      <c r="S969" s="191"/>
      <c r="T969" s="192"/>
      <c r="U969" s="189" t="str">
        <f t="shared" si="16"/>
        <v/>
      </c>
      <c r="V969" s="190" t="str">
        <f t="shared" si="17"/>
        <v/>
      </c>
      <c r="W969" s="190" t="str">
        <f t="shared" si="18"/>
        <v/>
      </c>
      <c r="X969" s="191" t="str">
        <f t="shared" si="19"/>
        <v/>
      </c>
      <c r="Y969" s="191" t="str">
        <f t="shared" si="20"/>
        <v/>
      </c>
      <c r="Z969" s="156"/>
    </row>
    <row r="970">
      <c r="A970" s="177" t="str">
        <f t="shared" si="14"/>
        <v/>
      </c>
      <c r="B970" s="196"/>
      <c r="C970" s="179" t="str">
        <f t="shared" si="2"/>
        <v/>
      </c>
      <c r="D970" s="197"/>
      <c r="E970" s="181"/>
      <c r="F970" s="198"/>
      <c r="G970" s="201"/>
      <c r="H970" s="201"/>
      <c r="I970" s="201"/>
      <c r="J970" s="202"/>
      <c r="K970" s="203"/>
      <c r="L970" s="186">
        <f t="shared" si="15"/>
        <v>0</v>
      </c>
      <c r="M970" s="191"/>
      <c r="N970" s="191"/>
      <c r="O970" s="191"/>
      <c r="P970" s="191"/>
      <c r="Q970" s="191"/>
      <c r="R970" s="191"/>
      <c r="S970" s="191"/>
      <c r="T970" s="192"/>
      <c r="U970" s="189" t="str">
        <f t="shared" si="16"/>
        <v/>
      </c>
      <c r="V970" s="190" t="str">
        <f t="shared" si="17"/>
        <v/>
      </c>
      <c r="W970" s="190" t="str">
        <f t="shared" si="18"/>
        <v/>
      </c>
      <c r="X970" s="191" t="str">
        <f t="shared" si="19"/>
        <v/>
      </c>
      <c r="Y970" s="191" t="str">
        <f t="shared" si="20"/>
        <v/>
      </c>
      <c r="Z970" s="156"/>
    </row>
    <row r="971">
      <c r="A971" s="177" t="str">
        <f t="shared" si="14"/>
        <v/>
      </c>
      <c r="B971" s="196"/>
      <c r="C971" s="179" t="str">
        <f t="shared" si="2"/>
        <v/>
      </c>
      <c r="D971" s="197"/>
      <c r="E971" s="181"/>
      <c r="F971" s="198"/>
      <c r="G971" s="201"/>
      <c r="H971" s="201"/>
      <c r="I971" s="201"/>
      <c r="J971" s="202"/>
      <c r="K971" s="203"/>
      <c r="L971" s="186">
        <f t="shared" si="15"/>
        <v>0</v>
      </c>
      <c r="M971" s="191"/>
      <c r="N971" s="191"/>
      <c r="O971" s="191"/>
      <c r="P971" s="191"/>
      <c r="Q971" s="191"/>
      <c r="R971" s="191"/>
      <c r="S971" s="191"/>
      <c r="T971" s="192"/>
      <c r="U971" s="189" t="str">
        <f t="shared" si="16"/>
        <v/>
      </c>
      <c r="V971" s="190" t="str">
        <f t="shared" si="17"/>
        <v/>
      </c>
      <c r="W971" s="190" t="str">
        <f t="shared" si="18"/>
        <v/>
      </c>
      <c r="X971" s="191" t="str">
        <f t="shared" si="19"/>
        <v/>
      </c>
      <c r="Y971" s="191" t="str">
        <f t="shared" si="20"/>
        <v/>
      </c>
      <c r="Z971" s="156"/>
    </row>
    <row r="972">
      <c r="A972" s="177" t="str">
        <f t="shared" si="14"/>
        <v/>
      </c>
      <c r="B972" s="196"/>
      <c r="C972" s="179" t="str">
        <f t="shared" si="2"/>
        <v/>
      </c>
      <c r="D972" s="197"/>
      <c r="E972" s="181"/>
      <c r="F972" s="198"/>
      <c r="G972" s="201"/>
      <c r="H972" s="201"/>
      <c r="I972" s="201"/>
      <c r="J972" s="202"/>
      <c r="K972" s="203"/>
      <c r="L972" s="186">
        <f t="shared" si="15"/>
        <v>0</v>
      </c>
      <c r="M972" s="191"/>
      <c r="N972" s="191"/>
      <c r="O972" s="191"/>
      <c r="P972" s="191"/>
      <c r="Q972" s="191"/>
      <c r="R972" s="191"/>
      <c r="S972" s="191"/>
      <c r="T972" s="192"/>
      <c r="U972" s="189" t="str">
        <f t="shared" si="16"/>
        <v/>
      </c>
      <c r="V972" s="190" t="str">
        <f t="shared" si="17"/>
        <v/>
      </c>
      <c r="W972" s="190" t="str">
        <f t="shared" si="18"/>
        <v/>
      </c>
      <c r="X972" s="191" t="str">
        <f t="shared" si="19"/>
        <v/>
      </c>
      <c r="Y972" s="191" t="str">
        <f t="shared" si="20"/>
        <v/>
      </c>
      <c r="Z972" s="156"/>
    </row>
    <row r="973">
      <c r="A973" s="177" t="str">
        <f t="shared" si="14"/>
        <v/>
      </c>
      <c r="B973" s="196"/>
      <c r="C973" s="179" t="str">
        <f t="shared" si="2"/>
        <v/>
      </c>
      <c r="D973" s="197"/>
      <c r="E973" s="181"/>
      <c r="F973" s="198"/>
      <c r="G973" s="201"/>
      <c r="H973" s="201"/>
      <c r="I973" s="201"/>
      <c r="J973" s="202"/>
      <c r="K973" s="203"/>
      <c r="L973" s="186">
        <f t="shared" si="15"/>
        <v>0</v>
      </c>
      <c r="M973" s="191"/>
      <c r="N973" s="191"/>
      <c r="O973" s="191"/>
      <c r="P973" s="191"/>
      <c r="Q973" s="191"/>
      <c r="R973" s="191"/>
      <c r="S973" s="191"/>
      <c r="T973" s="192"/>
      <c r="U973" s="189" t="str">
        <f t="shared" si="16"/>
        <v/>
      </c>
      <c r="V973" s="190" t="str">
        <f t="shared" si="17"/>
        <v/>
      </c>
      <c r="W973" s="190" t="str">
        <f t="shared" si="18"/>
        <v/>
      </c>
      <c r="X973" s="191" t="str">
        <f t="shared" si="19"/>
        <v/>
      </c>
      <c r="Y973" s="191" t="str">
        <f t="shared" si="20"/>
        <v/>
      </c>
      <c r="Z973" s="156"/>
    </row>
    <row r="974">
      <c r="A974" s="177" t="str">
        <f t="shared" si="14"/>
        <v/>
      </c>
      <c r="B974" s="196"/>
      <c r="C974" s="179" t="str">
        <f t="shared" si="2"/>
        <v/>
      </c>
      <c r="D974" s="197"/>
      <c r="E974" s="181"/>
      <c r="F974" s="198"/>
      <c r="G974" s="201"/>
      <c r="H974" s="201"/>
      <c r="I974" s="201"/>
      <c r="J974" s="202"/>
      <c r="K974" s="203"/>
      <c r="L974" s="186">
        <f t="shared" si="15"/>
        <v>0</v>
      </c>
      <c r="M974" s="191"/>
      <c r="N974" s="191"/>
      <c r="O974" s="191"/>
      <c r="P974" s="191"/>
      <c r="Q974" s="191"/>
      <c r="R974" s="191"/>
      <c r="S974" s="191"/>
      <c r="T974" s="192"/>
      <c r="U974" s="189" t="str">
        <f t="shared" si="16"/>
        <v/>
      </c>
      <c r="V974" s="190" t="str">
        <f t="shared" si="17"/>
        <v/>
      </c>
      <c r="W974" s="190" t="str">
        <f t="shared" si="18"/>
        <v/>
      </c>
      <c r="X974" s="191" t="str">
        <f t="shared" si="19"/>
        <v/>
      </c>
      <c r="Y974" s="191" t="str">
        <f t="shared" si="20"/>
        <v/>
      </c>
      <c r="Z974" s="156"/>
    </row>
    <row r="975">
      <c r="A975" s="177" t="str">
        <f t="shared" si="14"/>
        <v/>
      </c>
      <c r="B975" s="196"/>
      <c r="C975" s="179" t="str">
        <f t="shared" si="2"/>
        <v/>
      </c>
      <c r="D975" s="197"/>
      <c r="E975" s="181"/>
      <c r="F975" s="198"/>
      <c r="G975" s="201"/>
      <c r="H975" s="201"/>
      <c r="I975" s="201"/>
      <c r="J975" s="202"/>
      <c r="K975" s="203"/>
      <c r="L975" s="186">
        <f t="shared" si="15"/>
        <v>0</v>
      </c>
      <c r="M975" s="191"/>
      <c r="N975" s="191"/>
      <c r="O975" s="191"/>
      <c r="P975" s="191"/>
      <c r="Q975" s="191"/>
      <c r="R975" s="191"/>
      <c r="S975" s="191"/>
      <c r="T975" s="192"/>
      <c r="U975" s="189" t="str">
        <f t="shared" si="16"/>
        <v/>
      </c>
      <c r="V975" s="190" t="str">
        <f t="shared" si="17"/>
        <v/>
      </c>
      <c r="W975" s="190" t="str">
        <f t="shared" si="18"/>
        <v/>
      </c>
      <c r="X975" s="191" t="str">
        <f t="shared" si="19"/>
        <v/>
      </c>
      <c r="Y975" s="191" t="str">
        <f t="shared" si="20"/>
        <v/>
      </c>
      <c r="Z975" s="156"/>
    </row>
    <row r="976">
      <c r="A976" s="177" t="str">
        <f t="shared" si="14"/>
        <v/>
      </c>
      <c r="B976" s="196"/>
      <c r="C976" s="179" t="str">
        <f t="shared" si="2"/>
        <v/>
      </c>
      <c r="D976" s="197"/>
      <c r="E976" s="181"/>
      <c r="F976" s="198"/>
      <c r="G976" s="201"/>
      <c r="H976" s="201"/>
      <c r="I976" s="201"/>
      <c r="J976" s="202"/>
      <c r="K976" s="203"/>
      <c r="L976" s="186">
        <f t="shared" si="15"/>
        <v>0</v>
      </c>
      <c r="M976" s="191"/>
      <c r="N976" s="191"/>
      <c r="O976" s="191"/>
      <c r="P976" s="191"/>
      <c r="Q976" s="191"/>
      <c r="R976" s="191"/>
      <c r="S976" s="191"/>
      <c r="T976" s="192"/>
      <c r="U976" s="189" t="str">
        <f t="shared" si="16"/>
        <v/>
      </c>
      <c r="V976" s="190" t="str">
        <f t="shared" si="17"/>
        <v/>
      </c>
      <c r="W976" s="190" t="str">
        <f t="shared" si="18"/>
        <v/>
      </c>
      <c r="X976" s="191" t="str">
        <f t="shared" si="19"/>
        <v/>
      </c>
      <c r="Y976" s="191" t="str">
        <f t="shared" si="20"/>
        <v/>
      </c>
      <c r="Z976" s="156"/>
    </row>
    <row r="977">
      <c r="A977" s="177" t="str">
        <f t="shared" si="14"/>
        <v/>
      </c>
      <c r="B977" s="196"/>
      <c r="C977" s="179" t="str">
        <f t="shared" si="2"/>
        <v/>
      </c>
      <c r="D977" s="197"/>
      <c r="E977" s="181"/>
      <c r="F977" s="198"/>
      <c r="G977" s="201"/>
      <c r="H977" s="201"/>
      <c r="I977" s="201"/>
      <c r="J977" s="202"/>
      <c r="K977" s="203"/>
      <c r="L977" s="186">
        <f t="shared" si="15"/>
        <v>0</v>
      </c>
      <c r="M977" s="191"/>
      <c r="N977" s="191"/>
      <c r="O977" s="191"/>
      <c r="P977" s="191"/>
      <c r="Q977" s="191"/>
      <c r="R977" s="191"/>
      <c r="S977" s="191"/>
      <c r="T977" s="192"/>
      <c r="U977" s="189" t="str">
        <f t="shared" si="16"/>
        <v/>
      </c>
      <c r="V977" s="190" t="str">
        <f t="shared" si="17"/>
        <v/>
      </c>
      <c r="W977" s="190" t="str">
        <f t="shared" si="18"/>
        <v/>
      </c>
      <c r="X977" s="191" t="str">
        <f t="shared" si="19"/>
        <v/>
      </c>
      <c r="Y977" s="191" t="str">
        <f t="shared" si="20"/>
        <v/>
      </c>
      <c r="Z977" s="156"/>
    </row>
    <row r="978">
      <c r="A978" s="177" t="str">
        <f t="shared" si="14"/>
        <v/>
      </c>
      <c r="B978" s="196"/>
      <c r="C978" s="179" t="str">
        <f t="shared" si="2"/>
        <v/>
      </c>
      <c r="D978" s="197"/>
      <c r="E978" s="181"/>
      <c r="F978" s="198"/>
      <c r="G978" s="201"/>
      <c r="H978" s="201"/>
      <c r="I978" s="201"/>
      <c r="J978" s="202"/>
      <c r="K978" s="203"/>
      <c r="L978" s="186">
        <f t="shared" si="15"/>
        <v>0</v>
      </c>
      <c r="M978" s="191"/>
      <c r="N978" s="191"/>
      <c r="O978" s="191"/>
      <c r="P978" s="191"/>
      <c r="Q978" s="191"/>
      <c r="R978" s="191"/>
      <c r="S978" s="191"/>
      <c r="T978" s="192"/>
      <c r="U978" s="189" t="str">
        <f t="shared" si="16"/>
        <v/>
      </c>
      <c r="V978" s="190" t="str">
        <f t="shared" si="17"/>
        <v/>
      </c>
      <c r="W978" s="190" t="str">
        <f t="shared" si="18"/>
        <v/>
      </c>
      <c r="X978" s="191" t="str">
        <f t="shared" si="19"/>
        <v/>
      </c>
      <c r="Y978" s="191" t="str">
        <f t="shared" si="20"/>
        <v/>
      </c>
      <c r="Z978" s="156"/>
    </row>
    <row r="979">
      <c r="A979" s="177" t="str">
        <f t="shared" si="14"/>
        <v/>
      </c>
      <c r="B979" s="196"/>
      <c r="C979" s="179" t="str">
        <f t="shared" si="2"/>
        <v/>
      </c>
      <c r="D979" s="197"/>
      <c r="E979" s="181"/>
      <c r="F979" s="198"/>
      <c r="G979" s="201"/>
      <c r="H979" s="201"/>
      <c r="I979" s="201"/>
      <c r="J979" s="202"/>
      <c r="K979" s="203"/>
      <c r="L979" s="186">
        <f t="shared" si="15"/>
        <v>0</v>
      </c>
      <c r="M979" s="191"/>
      <c r="N979" s="191"/>
      <c r="O979" s="191"/>
      <c r="P979" s="191"/>
      <c r="Q979" s="191"/>
      <c r="R979" s="191"/>
      <c r="S979" s="191"/>
      <c r="T979" s="192"/>
      <c r="U979" s="189" t="str">
        <f t="shared" si="16"/>
        <v/>
      </c>
      <c r="V979" s="190" t="str">
        <f t="shared" si="17"/>
        <v/>
      </c>
      <c r="W979" s="190" t="str">
        <f t="shared" si="18"/>
        <v/>
      </c>
      <c r="X979" s="191" t="str">
        <f t="shared" si="19"/>
        <v/>
      </c>
      <c r="Y979" s="191" t="str">
        <f t="shared" si="20"/>
        <v/>
      </c>
      <c r="Z979" s="156"/>
    </row>
    <row r="980">
      <c r="A980" s="177" t="str">
        <f t="shared" si="14"/>
        <v/>
      </c>
      <c r="B980" s="196"/>
      <c r="C980" s="179" t="str">
        <f t="shared" si="2"/>
        <v/>
      </c>
      <c r="D980" s="197"/>
      <c r="E980" s="181"/>
      <c r="F980" s="198"/>
      <c r="G980" s="201"/>
      <c r="H980" s="201"/>
      <c r="I980" s="201"/>
      <c r="J980" s="202"/>
      <c r="K980" s="203"/>
      <c r="L980" s="186">
        <f t="shared" si="15"/>
        <v>0</v>
      </c>
      <c r="M980" s="191"/>
      <c r="N980" s="191"/>
      <c r="O980" s="191"/>
      <c r="P980" s="191"/>
      <c r="Q980" s="191"/>
      <c r="R980" s="191"/>
      <c r="S980" s="191"/>
      <c r="T980" s="192"/>
      <c r="U980" s="189" t="str">
        <f t="shared" si="16"/>
        <v/>
      </c>
      <c r="V980" s="190" t="str">
        <f t="shared" si="17"/>
        <v/>
      </c>
      <c r="W980" s="190" t="str">
        <f t="shared" si="18"/>
        <v/>
      </c>
      <c r="X980" s="191" t="str">
        <f t="shared" si="19"/>
        <v/>
      </c>
      <c r="Y980" s="191" t="str">
        <f t="shared" si="20"/>
        <v/>
      </c>
      <c r="Z980" s="156"/>
    </row>
    <row r="981">
      <c r="A981" s="177" t="str">
        <f t="shared" si="14"/>
        <v/>
      </c>
      <c r="B981" s="196"/>
      <c r="C981" s="179" t="str">
        <f t="shared" si="2"/>
        <v/>
      </c>
      <c r="D981" s="197"/>
      <c r="E981" s="181"/>
      <c r="F981" s="198"/>
      <c r="G981" s="201"/>
      <c r="H981" s="201"/>
      <c r="I981" s="201"/>
      <c r="J981" s="202"/>
      <c r="K981" s="203"/>
      <c r="L981" s="186">
        <f t="shared" si="15"/>
        <v>0</v>
      </c>
      <c r="M981" s="191"/>
      <c r="N981" s="191"/>
      <c r="O981" s="191"/>
      <c r="P981" s="191"/>
      <c r="Q981" s="191"/>
      <c r="R981" s="191"/>
      <c r="S981" s="191"/>
      <c r="T981" s="192"/>
      <c r="U981" s="189" t="str">
        <f t="shared" si="16"/>
        <v/>
      </c>
      <c r="V981" s="190" t="str">
        <f t="shared" si="17"/>
        <v/>
      </c>
      <c r="W981" s="190" t="str">
        <f t="shared" si="18"/>
        <v/>
      </c>
      <c r="X981" s="191" t="str">
        <f t="shared" si="19"/>
        <v/>
      </c>
      <c r="Y981" s="191" t="str">
        <f t="shared" si="20"/>
        <v/>
      </c>
      <c r="Z981" s="156"/>
    </row>
    <row r="982">
      <c r="A982" s="177" t="str">
        <f t="shared" si="14"/>
        <v/>
      </c>
      <c r="B982" s="196"/>
      <c r="C982" s="179" t="str">
        <f t="shared" si="2"/>
        <v/>
      </c>
      <c r="D982" s="197"/>
      <c r="E982" s="181"/>
      <c r="F982" s="198"/>
      <c r="G982" s="201"/>
      <c r="H982" s="201"/>
      <c r="I982" s="201"/>
      <c r="J982" s="202"/>
      <c r="K982" s="203"/>
      <c r="L982" s="186">
        <f t="shared" si="15"/>
        <v>0</v>
      </c>
      <c r="M982" s="191"/>
      <c r="N982" s="191"/>
      <c r="O982" s="191"/>
      <c r="P982" s="191"/>
      <c r="Q982" s="191"/>
      <c r="R982" s="191"/>
      <c r="S982" s="191"/>
      <c r="T982" s="192"/>
      <c r="U982" s="189" t="str">
        <f t="shared" si="16"/>
        <v/>
      </c>
      <c r="V982" s="190" t="str">
        <f t="shared" si="17"/>
        <v/>
      </c>
      <c r="W982" s="190" t="str">
        <f t="shared" si="18"/>
        <v/>
      </c>
      <c r="X982" s="191" t="str">
        <f t="shared" si="19"/>
        <v/>
      </c>
      <c r="Y982" s="191" t="str">
        <f t="shared" si="20"/>
        <v/>
      </c>
      <c r="Z982" s="156"/>
    </row>
    <row r="983">
      <c r="A983" s="177" t="str">
        <f t="shared" si="14"/>
        <v/>
      </c>
      <c r="B983" s="196"/>
      <c r="C983" s="179" t="str">
        <f t="shared" si="2"/>
        <v/>
      </c>
      <c r="D983" s="197"/>
      <c r="E983" s="181"/>
      <c r="F983" s="198"/>
      <c r="G983" s="201"/>
      <c r="H983" s="201"/>
      <c r="I983" s="201"/>
      <c r="J983" s="202"/>
      <c r="K983" s="203"/>
      <c r="L983" s="186">
        <f t="shared" si="15"/>
        <v>0</v>
      </c>
      <c r="M983" s="191"/>
      <c r="N983" s="191"/>
      <c r="O983" s="191"/>
      <c r="P983" s="191"/>
      <c r="Q983" s="191"/>
      <c r="R983" s="191"/>
      <c r="S983" s="191"/>
      <c r="T983" s="192"/>
      <c r="U983" s="189" t="str">
        <f t="shared" si="16"/>
        <v/>
      </c>
      <c r="V983" s="190" t="str">
        <f t="shared" si="17"/>
        <v/>
      </c>
      <c r="W983" s="190" t="str">
        <f t="shared" si="18"/>
        <v/>
      </c>
      <c r="X983" s="191" t="str">
        <f t="shared" si="19"/>
        <v/>
      </c>
      <c r="Y983" s="191" t="str">
        <f t="shared" si="20"/>
        <v/>
      </c>
      <c r="Z983" s="156"/>
    </row>
    <row r="984">
      <c r="A984" s="177" t="str">
        <f t="shared" si="14"/>
        <v/>
      </c>
      <c r="B984" s="196"/>
      <c r="C984" s="179" t="str">
        <f t="shared" si="2"/>
        <v/>
      </c>
      <c r="D984" s="197"/>
      <c r="E984" s="181"/>
      <c r="F984" s="198"/>
      <c r="G984" s="201"/>
      <c r="H984" s="201"/>
      <c r="I984" s="201"/>
      <c r="J984" s="202"/>
      <c r="K984" s="203"/>
      <c r="L984" s="186">
        <f t="shared" si="15"/>
        <v>0</v>
      </c>
      <c r="M984" s="191"/>
      <c r="N984" s="191"/>
      <c r="O984" s="191"/>
      <c r="P984" s="191"/>
      <c r="Q984" s="191"/>
      <c r="R984" s="191"/>
      <c r="S984" s="191"/>
      <c r="T984" s="192"/>
      <c r="U984" s="189" t="str">
        <f t="shared" si="16"/>
        <v/>
      </c>
      <c r="V984" s="190" t="str">
        <f t="shared" si="17"/>
        <v/>
      </c>
      <c r="W984" s="190" t="str">
        <f t="shared" si="18"/>
        <v/>
      </c>
      <c r="X984" s="191" t="str">
        <f t="shared" si="19"/>
        <v/>
      </c>
      <c r="Y984" s="191" t="str">
        <f t="shared" si="20"/>
        <v/>
      </c>
      <c r="Z984" s="156"/>
    </row>
    <row r="985">
      <c r="A985" s="177" t="str">
        <f t="shared" si="14"/>
        <v/>
      </c>
      <c r="B985" s="196"/>
      <c r="C985" s="179" t="str">
        <f t="shared" si="2"/>
        <v/>
      </c>
      <c r="D985" s="197"/>
      <c r="E985" s="181"/>
      <c r="F985" s="198"/>
      <c r="G985" s="201"/>
      <c r="H985" s="201"/>
      <c r="I985" s="201"/>
      <c r="J985" s="202"/>
      <c r="K985" s="203"/>
      <c r="L985" s="186">
        <f t="shared" si="15"/>
        <v>0</v>
      </c>
      <c r="M985" s="191"/>
      <c r="N985" s="191"/>
      <c r="O985" s="191"/>
      <c r="P985" s="191"/>
      <c r="Q985" s="191"/>
      <c r="R985" s="191"/>
      <c r="S985" s="191"/>
      <c r="T985" s="192"/>
      <c r="U985" s="189" t="str">
        <f t="shared" si="16"/>
        <v/>
      </c>
      <c r="V985" s="190" t="str">
        <f t="shared" si="17"/>
        <v/>
      </c>
      <c r="W985" s="190" t="str">
        <f t="shared" si="18"/>
        <v/>
      </c>
      <c r="X985" s="191" t="str">
        <f t="shared" si="19"/>
        <v/>
      </c>
      <c r="Y985" s="191" t="str">
        <f t="shared" si="20"/>
        <v/>
      </c>
      <c r="Z985" s="156"/>
    </row>
    <row r="986">
      <c r="A986" s="177" t="str">
        <f t="shared" si="14"/>
        <v/>
      </c>
      <c r="B986" s="196"/>
      <c r="C986" s="179" t="str">
        <f t="shared" si="2"/>
        <v/>
      </c>
      <c r="D986" s="197"/>
      <c r="E986" s="181"/>
      <c r="F986" s="198"/>
      <c r="G986" s="201"/>
      <c r="H986" s="201"/>
      <c r="I986" s="201"/>
      <c r="J986" s="202"/>
      <c r="K986" s="203"/>
      <c r="L986" s="186">
        <f t="shared" si="15"/>
        <v>0</v>
      </c>
      <c r="M986" s="191"/>
      <c r="N986" s="191"/>
      <c r="O986" s="191"/>
      <c r="P986" s="191"/>
      <c r="Q986" s="191"/>
      <c r="R986" s="191"/>
      <c r="S986" s="191"/>
      <c r="T986" s="192"/>
      <c r="U986" s="189" t="str">
        <f t="shared" si="16"/>
        <v/>
      </c>
      <c r="V986" s="190" t="str">
        <f t="shared" si="17"/>
        <v/>
      </c>
      <c r="W986" s="190" t="str">
        <f t="shared" si="18"/>
        <v/>
      </c>
      <c r="X986" s="191" t="str">
        <f t="shared" si="19"/>
        <v/>
      </c>
      <c r="Y986" s="191" t="str">
        <f t="shared" si="20"/>
        <v/>
      </c>
      <c r="Z986" s="156"/>
    </row>
    <row r="987">
      <c r="A987" s="177" t="str">
        <f t="shared" si="14"/>
        <v/>
      </c>
      <c r="B987" s="196"/>
      <c r="C987" s="179" t="str">
        <f t="shared" si="2"/>
        <v/>
      </c>
      <c r="D987" s="197"/>
      <c r="E987" s="181"/>
      <c r="F987" s="198"/>
      <c r="G987" s="201"/>
      <c r="H987" s="201"/>
      <c r="I987" s="201"/>
      <c r="J987" s="202"/>
      <c r="K987" s="203"/>
      <c r="L987" s="186">
        <f t="shared" si="15"/>
        <v>0</v>
      </c>
      <c r="M987" s="191"/>
      <c r="N987" s="191"/>
      <c r="O987" s="191"/>
      <c r="P987" s="191"/>
      <c r="Q987" s="191"/>
      <c r="R987" s="191"/>
      <c r="S987" s="191"/>
      <c r="T987" s="192"/>
      <c r="U987" s="189" t="str">
        <f t="shared" si="16"/>
        <v/>
      </c>
      <c r="V987" s="190" t="str">
        <f t="shared" si="17"/>
        <v/>
      </c>
      <c r="W987" s="190" t="str">
        <f t="shared" si="18"/>
        <v/>
      </c>
      <c r="X987" s="191" t="str">
        <f t="shared" si="19"/>
        <v/>
      </c>
      <c r="Y987" s="191" t="str">
        <f t="shared" si="20"/>
        <v/>
      </c>
      <c r="Z987" s="156"/>
    </row>
    <row r="988">
      <c r="A988" s="177" t="str">
        <f t="shared" si="14"/>
        <v/>
      </c>
      <c r="B988" s="196"/>
      <c r="C988" s="179" t="str">
        <f t="shared" si="2"/>
        <v/>
      </c>
      <c r="D988" s="197"/>
      <c r="E988" s="181"/>
      <c r="F988" s="198"/>
      <c r="G988" s="201"/>
      <c r="H988" s="201"/>
      <c r="I988" s="201"/>
      <c r="J988" s="202"/>
      <c r="K988" s="203"/>
      <c r="L988" s="186">
        <f t="shared" si="15"/>
        <v>0</v>
      </c>
      <c r="M988" s="191"/>
      <c r="N988" s="191"/>
      <c r="O988" s="191"/>
      <c r="P988" s="191"/>
      <c r="Q988" s="191"/>
      <c r="R988" s="191"/>
      <c r="S988" s="191"/>
      <c r="T988" s="192"/>
      <c r="U988" s="189" t="str">
        <f t="shared" si="16"/>
        <v/>
      </c>
      <c r="V988" s="190" t="str">
        <f t="shared" si="17"/>
        <v/>
      </c>
      <c r="W988" s="190" t="str">
        <f t="shared" si="18"/>
        <v/>
      </c>
      <c r="X988" s="191" t="str">
        <f t="shared" si="19"/>
        <v/>
      </c>
      <c r="Y988" s="191" t="str">
        <f t="shared" si="20"/>
        <v/>
      </c>
      <c r="Z988" s="156"/>
    </row>
    <row r="989">
      <c r="A989" s="177" t="str">
        <f t="shared" si="14"/>
        <v/>
      </c>
      <c r="B989" s="196"/>
      <c r="C989" s="179" t="str">
        <f t="shared" si="2"/>
        <v/>
      </c>
      <c r="D989" s="197"/>
      <c r="E989" s="181"/>
      <c r="F989" s="198"/>
      <c r="G989" s="201"/>
      <c r="H989" s="201"/>
      <c r="I989" s="201"/>
      <c r="J989" s="202"/>
      <c r="K989" s="203"/>
      <c r="L989" s="186">
        <f t="shared" si="15"/>
        <v>0</v>
      </c>
      <c r="M989" s="191"/>
      <c r="N989" s="191"/>
      <c r="O989" s="191"/>
      <c r="P989" s="191"/>
      <c r="Q989" s="191"/>
      <c r="R989" s="191"/>
      <c r="S989" s="191"/>
      <c r="T989" s="192"/>
      <c r="U989" s="189" t="str">
        <f t="shared" si="16"/>
        <v/>
      </c>
      <c r="V989" s="190" t="str">
        <f t="shared" si="17"/>
        <v/>
      </c>
      <c r="W989" s="190" t="str">
        <f t="shared" si="18"/>
        <v/>
      </c>
      <c r="X989" s="191" t="str">
        <f t="shared" si="19"/>
        <v/>
      </c>
      <c r="Y989" s="191" t="str">
        <f t="shared" si="20"/>
        <v/>
      </c>
      <c r="Z989" s="156"/>
    </row>
    <row r="990">
      <c r="A990" s="177" t="str">
        <f t="shared" si="14"/>
        <v/>
      </c>
      <c r="B990" s="196"/>
      <c r="C990" s="179" t="str">
        <f t="shared" si="2"/>
        <v/>
      </c>
      <c r="D990" s="197"/>
      <c r="E990" s="181"/>
      <c r="F990" s="198"/>
      <c r="G990" s="201"/>
      <c r="H990" s="201"/>
      <c r="I990" s="201"/>
      <c r="J990" s="202"/>
      <c r="K990" s="203"/>
      <c r="L990" s="186">
        <f t="shared" si="15"/>
        <v>0</v>
      </c>
      <c r="M990" s="191"/>
      <c r="N990" s="191"/>
      <c r="O990" s="191"/>
      <c r="P990" s="191"/>
      <c r="Q990" s="191"/>
      <c r="R990" s="191"/>
      <c r="S990" s="191"/>
      <c r="T990" s="192"/>
      <c r="U990" s="189" t="str">
        <f t="shared" si="16"/>
        <v/>
      </c>
      <c r="V990" s="190" t="str">
        <f t="shared" si="17"/>
        <v/>
      </c>
      <c r="W990" s="190" t="str">
        <f t="shared" si="18"/>
        <v/>
      </c>
      <c r="X990" s="191" t="str">
        <f t="shared" si="19"/>
        <v/>
      </c>
      <c r="Y990" s="191" t="str">
        <f t="shared" si="20"/>
        <v/>
      </c>
      <c r="Z990" s="156"/>
    </row>
    <row r="991">
      <c r="A991" s="177" t="str">
        <f t="shared" si="14"/>
        <v/>
      </c>
      <c r="B991" s="196"/>
      <c r="C991" s="179" t="str">
        <f t="shared" si="2"/>
        <v/>
      </c>
      <c r="D991" s="197"/>
      <c r="E991" s="181"/>
      <c r="F991" s="198"/>
      <c r="G991" s="201"/>
      <c r="H991" s="201"/>
      <c r="I991" s="201"/>
      <c r="J991" s="202"/>
      <c r="K991" s="203"/>
      <c r="L991" s="186">
        <f t="shared" si="15"/>
        <v>0</v>
      </c>
      <c r="M991" s="191"/>
      <c r="N991" s="191"/>
      <c r="O991" s="191"/>
      <c r="P991" s="191"/>
      <c r="Q991" s="191"/>
      <c r="R991" s="191"/>
      <c r="S991" s="191"/>
      <c r="T991" s="192"/>
      <c r="U991" s="189" t="str">
        <f t="shared" si="16"/>
        <v/>
      </c>
      <c r="V991" s="190" t="str">
        <f t="shared" si="17"/>
        <v/>
      </c>
      <c r="W991" s="190" t="str">
        <f t="shared" si="18"/>
        <v/>
      </c>
      <c r="X991" s="191" t="str">
        <f t="shared" si="19"/>
        <v/>
      </c>
      <c r="Y991" s="191" t="str">
        <f t="shared" si="20"/>
        <v/>
      </c>
      <c r="Z991" s="156"/>
    </row>
    <row r="992">
      <c r="A992" s="177" t="str">
        <f t="shared" si="14"/>
        <v/>
      </c>
      <c r="B992" s="196"/>
      <c r="C992" s="179" t="str">
        <f t="shared" si="2"/>
        <v/>
      </c>
      <c r="D992" s="197"/>
      <c r="E992" s="181"/>
      <c r="F992" s="198"/>
      <c r="G992" s="201"/>
      <c r="H992" s="201"/>
      <c r="I992" s="201"/>
      <c r="J992" s="202"/>
      <c r="K992" s="203"/>
      <c r="L992" s="186">
        <f t="shared" si="15"/>
        <v>0</v>
      </c>
      <c r="M992" s="191"/>
      <c r="N992" s="191"/>
      <c r="O992" s="191"/>
      <c r="P992" s="191"/>
      <c r="Q992" s="191"/>
      <c r="R992" s="191"/>
      <c r="S992" s="191"/>
      <c r="T992" s="192"/>
      <c r="U992" s="189" t="str">
        <f t="shared" si="16"/>
        <v/>
      </c>
      <c r="V992" s="190" t="str">
        <f t="shared" si="17"/>
        <v/>
      </c>
      <c r="W992" s="190" t="str">
        <f t="shared" si="18"/>
        <v/>
      </c>
      <c r="X992" s="191" t="str">
        <f t="shared" si="19"/>
        <v/>
      </c>
      <c r="Y992" s="191" t="str">
        <f t="shared" si="20"/>
        <v/>
      </c>
      <c r="Z992" s="156"/>
    </row>
    <row r="993">
      <c r="A993" s="177" t="str">
        <f t="shared" si="14"/>
        <v/>
      </c>
      <c r="B993" s="196"/>
      <c r="C993" s="179" t="str">
        <f t="shared" si="2"/>
        <v/>
      </c>
      <c r="D993" s="197"/>
      <c r="E993" s="181"/>
      <c r="F993" s="198"/>
      <c r="G993" s="201"/>
      <c r="H993" s="201"/>
      <c r="I993" s="201"/>
      <c r="J993" s="202"/>
      <c r="K993" s="203"/>
      <c r="L993" s="186">
        <f t="shared" si="15"/>
        <v>0</v>
      </c>
      <c r="M993" s="191"/>
      <c r="N993" s="191"/>
      <c r="O993" s="191"/>
      <c r="P993" s="191"/>
      <c r="Q993" s="191"/>
      <c r="R993" s="191"/>
      <c r="S993" s="191"/>
      <c r="T993" s="192"/>
      <c r="U993" s="189" t="str">
        <f t="shared" si="16"/>
        <v/>
      </c>
      <c r="V993" s="190" t="str">
        <f t="shared" si="17"/>
        <v/>
      </c>
      <c r="W993" s="190" t="str">
        <f t="shared" si="18"/>
        <v/>
      </c>
      <c r="X993" s="191" t="str">
        <f t="shared" si="19"/>
        <v/>
      </c>
      <c r="Y993" s="191" t="str">
        <f t="shared" si="20"/>
        <v/>
      </c>
      <c r="Z993" s="156"/>
    </row>
    <row r="994">
      <c r="A994" s="177" t="str">
        <f t="shared" si="14"/>
        <v/>
      </c>
      <c r="B994" s="196"/>
      <c r="C994" s="179" t="str">
        <f t="shared" si="2"/>
        <v/>
      </c>
      <c r="D994" s="197"/>
      <c r="E994" s="181"/>
      <c r="F994" s="198"/>
      <c r="G994" s="201"/>
      <c r="H994" s="201"/>
      <c r="I994" s="201"/>
      <c r="J994" s="202"/>
      <c r="K994" s="203"/>
      <c r="L994" s="186">
        <f t="shared" si="15"/>
        <v>0</v>
      </c>
      <c r="M994" s="191"/>
      <c r="N994" s="191"/>
      <c r="O994" s="191"/>
      <c r="P994" s="191"/>
      <c r="Q994" s="191"/>
      <c r="R994" s="191"/>
      <c r="S994" s="191"/>
      <c r="T994" s="192"/>
      <c r="U994" s="189" t="str">
        <f t="shared" si="16"/>
        <v/>
      </c>
      <c r="V994" s="190" t="str">
        <f t="shared" si="17"/>
        <v/>
      </c>
      <c r="W994" s="190" t="str">
        <f t="shared" si="18"/>
        <v/>
      </c>
      <c r="X994" s="191" t="str">
        <f t="shared" si="19"/>
        <v/>
      </c>
      <c r="Y994" s="191" t="str">
        <f t="shared" si="20"/>
        <v/>
      </c>
      <c r="Z994" s="156"/>
    </row>
    <row r="995">
      <c r="A995" s="177" t="str">
        <f t="shared" si="14"/>
        <v/>
      </c>
      <c r="B995" s="196"/>
      <c r="C995" s="179" t="str">
        <f t="shared" si="2"/>
        <v/>
      </c>
      <c r="D995" s="197"/>
      <c r="E995" s="181"/>
      <c r="F995" s="198"/>
      <c r="G995" s="201"/>
      <c r="H995" s="201"/>
      <c r="I995" s="201"/>
      <c r="J995" s="202"/>
      <c r="K995" s="203"/>
      <c r="L995" s="186">
        <f t="shared" si="15"/>
        <v>0</v>
      </c>
      <c r="M995" s="191"/>
      <c r="N995" s="191"/>
      <c r="O995" s="191"/>
      <c r="P995" s="191"/>
      <c r="Q995" s="191"/>
      <c r="R995" s="191"/>
      <c r="S995" s="191"/>
      <c r="T995" s="192"/>
      <c r="U995" s="189" t="str">
        <f t="shared" si="16"/>
        <v/>
      </c>
      <c r="V995" s="190" t="str">
        <f t="shared" si="17"/>
        <v/>
      </c>
      <c r="W995" s="190" t="str">
        <f t="shared" si="18"/>
        <v/>
      </c>
      <c r="X995" s="191" t="str">
        <f t="shared" si="19"/>
        <v/>
      </c>
      <c r="Y995" s="191" t="str">
        <f t="shared" si="20"/>
        <v/>
      </c>
      <c r="Z995" s="156"/>
    </row>
    <row r="996">
      <c r="A996" s="177" t="str">
        <f t="shared" si="14"/>
        <v/>
      </c>
      <c r="B996" s="196"/>
      <c r="C996" s="179" t="str">
        <f t="shared" si="2"/>
        <v/>
      </c>
      <c r="D996" s="197"/>
      <c r="E996" s="181"/>
      <c r="F996" s="198"/>
      <c r="G996" s="201"/>
      <c r="H996" s="201"/>
      <c r="I996" s="201"/>
      <c r="J996" s="202"/>
      <c r="K996" s="203"/>
      <c r="L996" s="186">
        <f t="shared" si="15"/>
        <v>0</v>
      </c>
      <c r="M996" s="191"/>
      <c r="N996" s="191"/>
      <c r="O996" s="191"/>
      <c r="P996" s="191"/>
      <c r="Q996" s="191"/>
      <c r="R996" s="191"/>
      <c r="S996" s="191"/>
      <c r="T996" s="192"/>
      <c r="U996" s="189" t="str">
        <f t="shared" si="16"/>
        <v/>
      </c>
      <c r="V996" s="190" t="str">
        <f t="shared" si="17"/>
        <v/>
      </c>
      <c r="W996" s="190" t="str">
        <f t="shared" si="18"/>
        <v/>
      </c>
      <c r="X996" s="191" t="str">
        <f t="shared" si="19"/>
        <v/>
      </c>
      <c r="Y996" s="191" t="str">
        <f t="shared" si="20"/>
        <v/>
      </c>
      <c r="Z996" s="156"/>
    </row>
    <row r="997">
      <c r="A997" s="177" t="str">
        <f t="shared" si="14"/>
        <v/>
      </c>
      <c r="B997" s="196"/>
      <c r="C997" s="179" t="str">
        <f t="shared" si="2"/>
        <v/>
      </c>
      <c r="D997" s="197"/>
      <c r="E997" s="181"/>
      <c r="F997" s="198"/>
      <c r="G997" s="201"/>
      <c r="H997" s="201"/>
      <c r="I997" s="201"/>
      <c r="J997" s="202"/>
      <c r="K997" s="203"/>
      <c r="L997" s="186">
        <f t="shared" si="15"/>
        <v>0</v>
      </c>
      <c r="M997" s="191"/>
      <c r="N997" s="191"/>
      <c r="O997" s="191"/>
      <c r="P997" s="191"/>
      <c r="Q997" s="191"/>
      <c r="R997" s="191"/>
      <c r="S997" s="191"/>
      <c r="T997" s="192"/>
      <c r="U997" s="189" t="str">
        <f t="shared" si="16"/>
        <v/>
      </c>
      <c r="V997" s="190" t="str">
        <f t="shared" si="17"/>
        <v/>
      </c>
      <c r="W997" s="190" t="str">
        <f t="shared" si="18"/>
        <v/>
      </c>
      <c r="X997" s="191" t="str">
        <f t="shared" si="19"/>
        <v/>
      </c>
      <c r="Y997" s="191" t="str">
        <f t="shared" si="20"/>
        <v/>
      </c>
      <c r="Z997" s="156"/>
    </row>
    <row r="998">
      <c r="A998" s="177" t="str">
        <f t="shared" si="14"/>
        <v/>
      </c>
      <c r="B998" s="196"/>
      <c r="C998" s="179" t="str">
        <f t="shared" si="2"/>
        <v/>
      </c>
      <c r="D998" s="197"/>
      <c r="E998" s="181"/>
      <c r="F998" s="198"/>
      <c r="G998" s="201"/>
      <c r="H998" s="201"/>
      <c r="I998" s="201"/>
      <c r="J998" s="202"/>
      <c r="K998" s="203"/>
      <c r="L998" s="186">
        <f t="shared" si="15"/>
        <v>0</v>
      </c>
      <c r="M998" s="191"/>
      <c r="N998" s="191"/>
      <c r="O998" s="191"/>
      <c r="P998" s="191"/>
      <c r="Q998" s="191"/>
      <c r="R998" s="191"/>
      <c r="S998" s="191"/>
      <c r="T998" s="192"/>
      <c r="U998" s="189" t="str">
        <f t="shared" si="16"/>
        <v/>
      </c>
      <c r="V998" s="190" t="str">
        <f t="shared" si="17"/>
        <v/>
      </c>
      <c r="W998" s="190" t="str">
        <f t="shared" si="18"/>
        <v/>
      </c>
      <c r="X998" s="191" t="str">
        <f t="shared" si="19"/>
        <v/>
      </c>
      <c r="Y998" s="191" t="str">
        <f t="shared" si="20"/>
        <v/>
      </c>
      <c r="Z998" s="156"/>
    </row>
    <row r="999">
      <c r="A999" s="177" t="str">
        <f t="shared" si="14"/>
        <v/>
      </c>
      <c r="B999" s="196"/>
      <c r="C999" s="179" t="str">
        <f t="shared" si="2"/>
        <v/>
      </c>
      <c r="D999" s="197"/>
      <c r="E999" s="181"/>
      <c r="F999" s="198"/>
      <c r="G999" s="201"/>
      <c r="H999" s="201"/>
      <c r="I999" s="201"/>
      <c r="J999" s="202"/>
      <c r="K999" s="203"/>
      <c r="L999" s="186">
        <f t="shared" si="15"/>
        <v>0</v>
      </c>
      <c r="M999" s="191"/>
      <c r="N999" s="191"/>
      <c r="O999" s="191"/>
      <c r="P999" s="191"/>
      <c r="Q999" s="191"/>
      <c r="R999" s="191"/>
      <c r="S999" s="191"/>
      <c r="T999" s="192"/>
      <c r="U999" s="189" t="str">
        <f t="shared" si="16"/>
        <v/>
      </c>
      <c r="V999" s="190" t="str">
        <f t="shared" si="17"/>
        <v/>
      </c>
      <c r="W999" s="190" t="str">
        <f t="shared" si="18"/>
        <v/>
      </c>
      <c r="X999" s="191" t="str">
        <f t="shared" si="19"/>
        <v/>
      </c>
      <c r="Y999" s="191" t="str">
        <f t="shared" si="20"/>
        <v/>
      </c>
      <c r="Z999" s="156"/>
    </row>
  </sheetData>
  <customSheetViews>
    <customSheetView guid="{C2DEA0A2-B222-4EAC-A578-3BE6F0504E29}" filter="1" showAutoFilter="1">
      <autoFilter ref="$C$3:$W$999"/>
    </customSheetView>
  </customSheetViews>
  <mergeCells count="2">
    <mergeCell ref="L2:T2"/>
    <mergeCell ref="U2:Y2"/>
  </mergeCells>
  <conditionalFormatting sqref="G4:G8 G10:G999">
    <cfRule type="expression" dxfId="0" priority="1">
      <formula>G4=SUM(H4,I4,J4)</formula>
    </cfRule>
  </conditionalFormatting>
  <conditionalFormatting sqref="G4:G8 G10:G999">
    <cfRule type="expression" dxfId="2" priority="2">
      <formula>G4&lt;SUM(H4,I4,J4)</formula>
    </cfRule>
  </conditionalFormatting>
  <conditionalFormatting sqref="G4:G8 G10:G999">
    <cfRule type="expression" dxfId="2" priority="3">
      <formula>G4&gt;SUM(H4,I4,J4)</formula>
    </cfRule>
  </conditionalFormatting>
  <dataValidations>
    <dataValidation type="list" allowBlank="1" showErrorMessage="1" sqref="D4:D999">
      <formula1>"January,February,March,April,May,June,July,August,September,October,November,December"</formula1>
    </dataValidation>
    <dataValidation type="list" allowBlank="1" showErrorMessage="1" sqref="E4:E999">
      <formula1>"Event,Webinar,Co-hosted,Fair / Trade Show,Other Inbound,Outbound Actions"</formula1>
    </dataValidation>
  </dataValidations>
  <drawing r:id="rId1"/>
  <tableParts count="2">
    <tablePart r:id="rId4"/>
    <tablePart r:id="rId5"/>
  </tableParts>
  <extLst>
    <ext uri="{3A4CF648-6AED-40f4-86FF-DC5316D8AED3}">
      <x14:slicerList>
        <x14:slicer r:id="rId6"/>
      </x14:slicerList>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showGridLines="0"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outlineLevelRow="1"/>
  <cols>
    <col customWidth="1" min="1" max="1" width="0.38"/>
    <col customWidth="1" min="2" max="2" width="2.0"/>
    <col customWidth="1" min="3" max="3" width="24.0"/>
    <col customWidth="1" min="4" max="4" width="15.88"/>
    <col customWidth="1" min="5" max="5" width="1.0"/>
    <col customWidth="1" min="6" max="6" width="15.25"/>
    <col customWidth="1" min="19" max="19" width="2.25"/>
    <col customWidth="1" min="21" max="21" width="2.25"/>
  </cols>
  <sheetData>
    <row r="1" ht="7.5" customHeight="1">
      <c r="G1" s="204">
        <v>1.0</v>
      </c>
      <c r="H1" s="204">
        <v>2.0</v>
      </c>
      <c r="I1" s="204">
        <v>3.0</v>
      </c>
      <c r="J1" s="204">
        <v>4.0</v>
      </c>
      <c r="K1" s="204">
        <v>5.0</v>
      </c>
      <c r="L1" s="204">
        <v>6.0</v>
      </c>
      <c r="M1" s="204">
        <v>7.0</v>
      </c>
      <c r="N1" s="204">
        <v>8.0</v>
      </c>
      <c r="O1" s="204">
        <v>9.0</v>
      </c>
      <c r="P1" s="204">
        <v>10.0</v>
      </c>
      <c r="Q1" s="204">
        <v>11.0</v>
      </c>
      <c r="R1" s="204">
        <v>12.0</v>
      </c>
      <c r="T1" s="204">
        <v>12.0</v>
      </c>
    </row>
    <row r="2">
      <c r="A2" s="3"/>
      <c r="C2" s="205" t="s">
        <v>120</v>
      </c>
      <c r="D2" s="12" t="s">
        <v>121</v>
      </c>
      <c r="G2" s="40" t="s">
        <v>31</v>
      </c>
      <c r="H2" s="40" t="s">
        <v>32</v>
      </c>
      <c r="I2" s="41" t="s">
        <v>33</v>
      </c>
      <c r="J2" s="42" t="s">
        <v>34</v>
      </c>
      <c r="K2" s="40" t="s">
        <v>35</v>
      </c>
      <c r="L2" s="41" t="s">
        <v>36</v>
      </c>
      <c r="M2" s="42" t="s">
        <v>37</v>
      </c>
      <c r="N2" s="40" t="s">
        <v>38</v>
      </c>
      <c r="O2" s="41" t="s">
        <v>39</v>
      </c>
      <c r="P2" s="42" t="s">
        <v>40</v>
      </c>
      <c r="Q2" s="40" t="s">
        <v>41</v>
      </c>
      <c r="R2" s="40" t="s">
        <v>42</v>
      </c>
      <c r="T2" s="206" t="s">
        <v>122</v>
      </c>
    </row>
    <row r="3">
      <c r="A3" s="3"/>
      <c r="C3" s="205" t="s">
        <v>123</v>
      </c>
      <c r="D3" s="207">
        <f>SUM(G3:R3)</f>
        <v>-170600</v>
      </c>
      <c r="F3" s="66" t="s">
        <v>124</v>
      </c>
      <c r="G3" s="46">
        <f t="shared" ref="G3:R3" si="1">if($D$2="YES",G9+G18+G27+G36+G45,"")</f>
        <v>-14216.66667</v>
      </c>
      <c r="H3" s="46">
        <f t="shared" si="1"/>
        <v>-14216.66667</v>
      </c>
      <c r="I3" s="47">
        <f t="shared" si="1"/>
        <v>-14216.66667</v>
      </c>
      <c r="J3" s="48">
        <f t="shared" si="1"/>
        <v>-14216.66667</v>
      </c>
      <c r="K3" s="46">
        <f t="shared" si="1"/>
        <v>-14216.66667</v>
      </c>
      <c r="L3" s="47">
        <f t="shared" si="1"/>
        <v>-14216.66667</v>
      </c>
      <c r="M3" s="48">
        <f t="shared" si="1"/>
        <v>-14216.66667</v>
      </c>
      <c r="N3" s="46">
        <f t="shared" si="1"/>
        <v>-14216.66667</v>
      </c>
      <c r="O3" s="47">
        <f t="shared" si="1"/>
        <v>-14216.66667</v>
      </c>
      <c r="P3" s="48">
        <f t="shared" si="1"/>
        <v>-14216.66667</v>
      </c>
      <c r="Q3" s="46">
        <f t="shared" si="1"/>
        <v>-14216.66667</v>
      </c>
      <c r="R3" s="46">
        <f t="shared" si="1"/>
        <v>-14216.66667</v>
      </c>
      <c r="T3" s="46">
        <f t="shared" ref="T3:T5" si="3">SUM(G3:R3)</f>
        <v>-170600</v>
      </c>
    </row>
    <row r="4">
      <c r="A4" s="3"/>
      <c r="C4" s="208"/>
      <c r="D4" s="209"/>
      <c r="F4" s="111" t="s">
        <v>76</v>
      </c>
      <c r="G4" s="142">
        <f t="shared" ref="G4:R4" si="2">if($D$2="YES",G10+G19+G28+G37+G46+G55+G64+G73+G82+G91+G100+G109,"")</f>
        <v>-14216.66667</v>
      </c>
      <c r="H4" s="142">
        <f t="shared" si="2"/>
        <v>-14216.66667</v>
      </c>
      <c r="I4" s="143">
        <f t="shared" si="2"/>
        <v>-14216.66667</v>
      </c>
      <c r="J4" s="144">
        <f t="shared" si="2"/>
        <v>-14216.66667</v>
      </c>
      <c r="K4" s="142">
        <f t="shared" si="2"/>
        <v>-14216.66667</v>
      </c>
      <c r="L4" s="143">
        <f t="shared" si="2"/>
        <v>-14216.66667</v>
      </c>
      <c r="M4" s="144">
        <f t="shared" si="2"/>
        <v>-14216.66667</v>
      </c>
      <c r="N4" s="142">
        <f t="shared" si="2"/>
        <v>-14216.66667</v>
      </c>
      <c r="O4" s="143">
        <f t="shared" si="2"/>
        <v>-14216.66667</v>
      </c>
      <c r="P4" s="144">
        <f t="shared" si="2"/>
        <v>-14216.66667</v>
      </c>
      <c r="Q4" s="142">
        <f t="shared" si="2"/>
        <v>-14216.66667</v>
      </c>
      <c r="R4" s="142">
        <f t="shared" si="2"/>
        <v>-14216.66667</v>
      </c>
      <c r="T4" s="142">
        <f t="shared" si="3"/>
        <v>-170600</v>
      </c>
    </row>
    <row r="5">
      <c r="A5" s="3"/>
      <c r="C5" s="208"/>
      <c r="D5" s="209"/>
      <c r="F5" s="210" t="s">
        <v>57</v>
      </c>
      <c r="G5" s="211">
        <f t="shared" ref="G5:R5" si="4">if($D$2="YES",G11+G20+G29+G38+G47+G56+G65+G74+G83+G92+G101+G110,"")</f>
        <v>0</v>
      </c>
      <c r="H5" s="211">
        <f t="shared" si="4"/>
        <v>0</v>
      </c>
      <c r="I5" s="212">
        <f t="shared" si="4"/>
        <v>0</v>
      </c>
      <c r="J5" s="213">
        <f t="shared" si="4"/>
        <v>0</v>
      </c>
      <c r="K5" s="211">
        <f t="shared" si="4"/>
        <v>0</v>
      </c>
      <c r="L5" s="212">
        <f t="shared" si="4"/>
        <v>0</v>
      </c>
      <c r="M5" s="213">
        <f t="shared" si="4"/>
        <v>0</v>
      </c>
      <c r="N5" s="211">
        <f t="shared" si="4"/>
        <v>0</v>
      </c>
      <c r="O5" s="212">
        <f t="shared" si="4"/>
        <v>0</v>
      </c>
      <c r="P5" s="213">
        <f t="shared" si="4"/>
        <v>0</v>
      </c>
      <c r="Q5" s="211">
        <f t="shared" si="4"/>
        <v>0</v>
      </c>
      <c r="R5" s="211">
        <f t="shared" si="4"/>
        <v>0</v>
      </c>
      <c r="T5" s="211">
        <f t="shared" si="3"/>
        <v>0</v>
      </c>
    </row>
    <row r="6" ht="7.5" customHeight="1"/>
    <row r="7">
      <c r="A7" s="3"/>
      <c r="C7" s="214" t="s">
        <v>125</v>
      </c>
      <c r="D7" s="215" t="s">
        <v>121</v>
      </c>
    </row>
    <row r="8">
      <c r="A8" s="3"/>
      <c r="C8" s="214" t="s">
        <v>126</v>
      </c>
      <c r="D8" s="216" t="s">
        <v>31</v>
      </c>
    </row>
    <row r="9">
      <c r="A9" s="3"/>
      <c r="C9" s="214" t="s">
        <v>127</v>
      </c>
      <c r="D9" s="216" t="s">
        <v>128</v>
      </c>
      <c r="F9" s="217" t="str">
        <f>D9</f>
        <v>AE 1 (Umar)</v>
      </c>
      <c r="G9" s="46">
        <f t="shared" ref="G9:R9" si="5">G10+G11</f>
        <v>-7050</v>
      </c>
      <c r="H9" s="46">
        <f t="shared" si="5"/>
        <v>-7050</v>
      </c>
      <c r="I9" s="47">
        <f t="shared" si="5"/>
        <v>-7050</v>
      </c>
      <c r="J9" s="48">
        <f t="shared" si="5"/>
        <v>-7050</v>
      </c>
      <c r="K9" s="46">
        <f t="shared" si="5"/>
        <v>-7050</v>
      </c>
      <c r="L9" s="47">
        <f t="shared" si="5"/>
        <v>-7050</v>
      </c>
      <c r="M9" s="48">
        <f t="shared" si="5"/>
        <v>-7050</v>
      </c>
      <c r="N9" s="46">
        <f t="shared" si="5"/>
        <v>-7050</v>
      </c>
      <c r="O9" s="47">
        <f t="shared" si="5"/>
        <v>-7050</v>
      </c>
      <c r="P9" s="48">
        <f t="shared" si="5"/>
        <v>-7050</v>
      </c>
      <c r="Q9" s="46">
        <f t="shared" si="5"/>
        <v>-7050</v>
      </c>
      <c r="R9" s="46">
        <f t="shared" si="5"/>
        <v>-7050</v>
      </c>
      <c r="T9" s="46">
        <f t="shared" ref="T9:T11" si="7">SUM(G9:R9)</f>
        <v>-84600</v>
      </c>
    </row>
    <row r="10" ht="21.75" customHeight="1">
      <c r="A10" s="3"/>
      <c r="C10" s="214" t="s">
        <v>129</v>
      </c>
      <c r="D10" s="216">
        <f>(14000/7*12*1.25+0.3*0.35*35000*12+35000*0.3)</f>
        <v>84600</v>
      </c>
      <c r="F10" s="111" t="s">
        <v>76</v>
      </c>
      <c r="G10" s="142">
        <f t="shared" ref="G10:R10" si="6">IF($D7="YES", IF($D8&gt;0,IF(AND(G$1 &gt;= MATCH($D8, $G$2:$R$2, 0)), -($D10/12), ""),""), "")</f>
        <v>-7050</v>
      </c>
      <c r="H10" s="142">
        <f t="shared" si="6"/>
        <v>-7050</v>
      </c>
      <c r="I10" s="143">
        <f t="shared" si="6"/>
        <v>-7050</v>
      </c>
      <c r="J10" s="144">
        <f t="shared" si="6"/>
        <v>-7050</v>
      </c>
      <c r="K10" s="142">
        <f t="shared" si="6"/>
        <v>-7050</v>
      </c>
      <c r="L10" s="143">
        <f t="shared" si="6"/>
        <v>-7050</v>
      </c>
      <c r="M10" s="144">
        <f t="shared" si="6"/>
        <v>-7050</v>
      </c>
      <c r="N10" s="142">
        <f t="shared" si="6"/>
        <v>-7050</v>
      </c>
      <c r="O10" s="143">
        <f t="shared" si="6"/>
        <v>-7050</v>
      </c>
      <c r="P10" s="144">
        <f t="shared" si="6"/>
        <v>-7050</v>
      </c>
      <c r="Q10" s="142">
        <f t="shared" si="6"/>
        <v>-7050</v>
      </c>
      <c r="R10" s="142">
        <f t="shared" si="6"/>
        <v>-7050</v>
      </c>
      <c r="T10" s="142">
        <f t="shared" si="7"/>
        <v>-84600</v>
      </c>
    </row>
    <row r="11" hidden="1">
      <c r="A11" s="20"/>
      <c r="C11" s="214" t="s">
        <v>130</v>
      </c>
      <c r="D11" s="215" t="s">
        <v>131</v>
      </c>
      <c r="F11" s="210" t="s">
        <v>57</v>
      </c>
      <c r="G11" s="211" t="str">
        <f t="shared" ref="G11:R11" si="8">IF($D7="YES", if($D11="YES", IF(AND(G$1 &gt;= MATCH($D14, $G$2:$R$2, 0), G$1 &lt;= (MATCH($D14, $G$2:$R$2, 0) + $D13 - 1)), (($D10/12)*$D12),""),""), "")</f>
        <v/>
      </c>
      <c r="H11" s="211" t="str">
        <f t="shared" si="8"/>
        <v/>
      </c>
      <c r="I11" s="212" t="str">
        <f t="shared" si="8"/>
        <v/>
      </c>
      <c r="J11" s="213" t="str">
        <f t="shared" si="8"/>
        <v/>
      </c>
      <c r="K11" s="211" t="str">
        <f t="shared" si="8"/>
        <v/>
      </c>
      <c r="L11" s="212" t="str">
        <f t="shared" si="8"/>
        <v/>
      </c>
      <c r="M11" s="213" t="str">
        <f t="shared" si="8"/>
        <v/>
      </c>
      <c r="N11" s="211" t="str">
        <f t="shared" si="8"/>
        <v/>
      </c>
      <c r="O11" s="212" t="str">
        <f t="shared" si="8"/>
        <v/>
      </c>
      <c r="P11" s="213" t="str">
        <f t="shared" si="8"/>
        <v/>
      </c>
      <c r="Q11" s="211" t="str">
        <f t="shared" si="8"/>
        <v/>
      </c>
      <c r="R11" s="211" t="str">
        <f t="shared" si="8"/>
        <v/>
      </c>
      <c r="T11" s="211">
        <f t="shared" si="7"/>
        <v>0</v>
      </c>
    </row>
    <row r="12" ht="18.0" hidden="1" customHeight="1">
      <c r="A12" s="20"/>
      <c r="C12" s="214" t="s">
        <v>132</v>
      </c>
      <c r="D12" s="218"/>
      <c r="F12" s="219"/>
      <c r="G12" s="142"/>
      <c r="H12" s="142"/>
      <c r="I12" s="142"/>
      <c r="J12" s="142"/>
      <c r="K12" s="142"/>
      <c r="L12" s="142"/>
      <c r="M12" s="142"/>
      <c r="N12" s="142"/>
      <c r="O12" s="142"/>
      <c r="P12" s="142"/>
      <c r="Q12" s="142"/>
      <c r="R12" s="142"/>
      <c r="T12" s="142"/>
    </row>
    <row r="13" ht="16.5" hidden="1" customHeight="1">
      <c r="A13" s="20"/>
      <c r="C13" s="214" t="s">
        <v>133</v>
      </c>
      <c r="D13" s="216"/>
    </row>
    <row r="14" ht="18.0" hidden="1" customHeight="1">
      <c r="A14" s="20"/>
      <c r="C14" s="214" t="s">
        <v>134</v>
      </c>
      <c r="D14" s="216" t="s">
        <v>31</v>
      </c>
    </row>
    <row r="15" ht="7.5" customHeight="1"/>
    <row r="16">
      <c r="A16" s="3"/>
      <c r="C16" s="214" t="s">
        <v>135</v>
      </c>
      <c r="D16" s="215" t="s">
        <v>121</v>
      </c>
    </row>
    <row r="17">
      <c r="A17" s="3"/>
      <c r="C17" s="214" t="s">
        <v>126</v>
      </c>
      <c r="D17" s="216" t="s">
        <v>31</v>
      </c>
    </row>
    <row r="18">
      <c r="A18" s="3"/>
      <c r="C18" s="214" t="s">
        <v>127</v>
      </c>
      <c r="D18" s="216" t="s">
        <v>136</v>
      </c>
      <c r="F18" s="217" t="str">
        <f>D18</f>
        <v>SDR 1</v>
      </c>
      <c r="G18" s="46">
        <f t="shared" ref="G18:R18" si="9">G19+G20</f>
        <v>-3854.166667</v>
      </c>
      <c r="H18" s="46">
        <f t="shared" si="9"/>
        <v>-3854.166667</v>
      </c>
      <c r="I18" s="47">
        <f t="shared" si="9"/>
        <v>-3854.166667</v>
      </c>
      <c r="J18" s="48">
        <f t="shared" si="9"/>
        <v>-3854.166667</v>
      </c>
      <c r="K18" s="46">
        <f t="shared" si="9"/>
        <v>-3854.166667</v>
      </c>
      <c r="L18" s="47">
        <f t="shared" si="9"/>
        <v>-3854.166667</v>
      </c>
      <c r="M18" s="48">
        <f t="shared" si="9"/>
        <v>-3854.166667</v>
      </c>
      <c r="N18" s="46">
        <f t="shared" si="9"/>
        <v>-3854.166667</v>
      </c>
      <c r="O18" s="47">
        <f t="shared" si="9"/>
        <v>-3854.166667</v>
      </c>
      <c r="P18" s="48">
        <f t="shared" si="9"/>
        <v>-3854.166667</v>
      </c>
      <c r="Q18" s="46">
        <f t="shared" si="9"/>
        <v>-3854.166667</v>
      </c>
      <c r="R18" s="46">
        <f t="shared" si="9"/>
        <v>-3854.166667</v>
      </c>
      <c r="T18" s="46">
        <f t="shared" ref="T18:T20" si="11">SUM(G18:R18)</f>
        <v>-46250</v>
      </c>
    </row>
    <row r="19">
      <c r="A19" s="3"/>
      <c r="C19" s="214" t="s">
        <v>129</v>
      </c>
      <c r="D19" s="216">
        <f>25000*1.25+15000</f>
        <v>46250</v>
      </c>
      <c r="F19" s="111" t="s">
        <v>76</v>
      </c>
      <c r="G19" s="142">
        <f t="shared" ref="G19:R19" si="10">IF($D16="YES", IF($D17&gt;0,IF(AND(G$1 &gt;= MATCH($D17, $G$2:$R$2, 0)), -($D19/12), ""),""), "")</f>
        <v>-3854.166667</v>
      </c>
      <c r="H19" s="142">
        <f t="shared" si="10"/>
        <v>-3854.166667</v>
      </c>
      <c r="I19" s="143">
        <f t="shared" si="10"/>
        <v>-3854.166667</v>
      </c>
      <c r="J19" s="144">
        <f t="shared" si="10"/>
        <v>-3854.166667</v>
      </c>
      <c r="K19" s="142">
        <f t="shared" si="10"/>
        <v>-3854.166667</v>
      </c>
      <c r="L19" s="143">
        <f t="shared" si="10"/>
        <v>-3854.166667</v>
      </c>
      <c r="M19" s="144">
        <f t="shared" si="10"/>
        <v>-3854.166667</v>
      </c>
      <c r="N19" s="142">
        <f t="shared" si="10"/>
        <v>-3854.166667</v>
      </c>
      <c r="O19" s="143">
        <f t="shared" si="10"/>
        <v>-3854.166667</v>
      </c>
      <c r="P19" s="144">
        <f t="shared" si="10"/>
        <v>-3854.166667</v>
      </c>
      <c r="Q19" s="142">
        <f t="shared" si="10"/>
        <v>-3854.166667</v>
      </c>
      <c r="R19" s="142">
        <f t="shared" si="10"/>
        <v>-3854.166667</v>
      </c>
      <c r="T19" s="142">
        <f t="shared" si="11"/>
        <v>-46250</v>
      </c>
    </row>
    <row r="20" hidden="1">
      <c r="A20" s="20"/>
      <c r="C20" s="214" t="s">
        <v>130</v>
      </c>
      <c r="D20" s="215" t="s">
        <v>131</v>
      </c>
      <c r="F20" s="210" t="s">
        <v>57</v>
      </c>
      <c r="G20" s="211" t="str">
        <f t="shared" ref="G20:R20" si="12">IF($D16="YES", if($D20="YES", IF(AND(G$1 &gt;= MATCH($D23, $G$2:$R$2, 0), G$1 &lt;= (MATCH($D23, $G$2:$R$2, 0) + $D22 - 1)), (($D19/12)*$D21),""),""), "")</f>
        <v/>
      </c>
      <c r="H20" s="211" t="str">
        <f t="shared" si="12"/>
        <v/>
      </c>
      <c r="I20" s="212" t="str">
        <f t="shared" si="12"/>
        <v/>
      </c>
      <c r="J20" s="213" t="str">
        <f t="shared" si="12"/>
        <v/>
      </c>
      <c r="K20" s="211" t="str">
        <f t="shared" si="12"/>
        <v/>
      </c>
      <c r="L20" s="212" t="str">
        <f t="shared" si="12"/>
        <v/>
      </c>
      <c r="M20" s="213" t="str">
        <f t="shared" si="12"/>
        <v/>
      </c>
      <c r="N20" s="211" t="str">
        <f t="shared" si="12"/>
        <v/>
      </c>
      <c r="O20" s="212" t="str">
        <f t="shared" si="12"/>
        <v/>
      </c>
      <c r="P20" s="213" t="str">
        <f t="shared" si="12"/>
        <v/>
      </c>
      <c r="Q20" s="211" t="str">
        <f t="shared" si="12"/>
        <v/>
      </c>
      <c r="R20" s="211" t="str">
        <f t="shared" si="12"/>
        <v/>
      </c>
      <c r="T20" s="211">
        <f t="shared" si="11"/>
        <v>0</v>
      </c>
    </row>
    <row r="21" hidden="1">
      <c r="A21" s="20"/>
      <c r="C21" s="214" t="s">
        <v>132</v>
      </c>
      <c r="D21" s="218">
        <v>0.5</v>
      </c>
    </row>
    <row r="22" hidden="1">
      <c r="A22" s="20"/>
      <c r="C22" s="214" t="s">
        <v>133</v>
      </c>
      <c r="D22" s="216"/>
    </row>
    <row r="23" hidden="1">
      <c r="A23" s="20"/>
      <c r="C23" s="214" t="s">
        <v>134</v>
      </c>
      <c r="D23" s="216" t="s">
        <v>31</v>
      </c>
    </row>
    <row r="24" ht="7.5" customHeight="1"/>
    <row r="25">
      <c r="A25" s="3"/>
      <c r="C25" s="214" t="s">
        <v>137</v>
      </c>
      <c r="D25" s="215" t="s">
        <v>121</v>
      </c>
    </row>
    <row r="26">
      <c r="A26" s="3"/>
      <c r="C26" s="214" t="s">
        <v>126</v>
      </c>
      <c r="D26" s="216" t="s">
        <v>31</v>
      </c>
    </row>
    <row r="27">
      <c r="A27" s="3"/>
      <c r="C27" s="214" t="s">
        <v>127</v>
      </c>
      <c r="D27" s="216" t="s">
        <v>138</v>
      </c>
      <c r="F27" s="217" t="str">
        <f>D27</f>
        <v>AE 2 50%</v>
      </c>
      <c r="G27" s="46">
        <f t="shared" ref="G27:R27" si="13">G28+G29</f>
        <v>0</v>
      </c>
      <c r="H27" s="46">
        <f t="shared" si="13"/>
        <v>0</v>
      </c>
      <c r="I27" s="47">
        <f t="shared" si="13"/>
        <v>0</v>
      </c>
      <c r="J27" s="48">
        <f t="shared" si="13"/>
        <v>0</v>
      </c>
      <c r="K27" s="46">
        <f t="shared" si="13"/>
        <v>0</v>
      </c>
      <c r="L27" s="47">
        <f t="shared" si="13"/>
        <v>0</v>
      </c>
      <c r="M27" s="48">
        <f t="shared" si="13"/>
        <v>0</v>
      </c>
      <c r="N27" s="46">
        <f t="shared" si="13"/>
        <v>0</v>
      </c>
      <c r="O27" s="47">
        <f t="shared" si="13"/>
        <v>0</v>
      </c>
      <c r="P27" s="48">
        <f t="shared" si="13"/>
        <v>0</v>
      </c>
      <c r="Q27" s="46">
        <f t="shared" si="13"/>
        <v>0</v>
      </c>
      <c r="R27" s="46">
        <f t="shared" si="13"/>
        <v>0</v>
      </c>
      <c r="T27" s="46">
        <f t="shared" ref="T27:T29" si="15">SUM(G27:R27)</f>
        <v>0</v>
      </c>
    </row>
    <row r="28">
      <c r="A28" s="3"/>
      <c r="C28" s="214" t="s">
        <v>129</v>
      </c>
      <c r="D28" s="216">
        <v>0.0</v>
      </c>
      <c r="F28" s="111" t="s">
        <v>76</v>
      </c>
      <c r="G28" s="142">
        <f t="shared" ref="G28:R28" si="14">IF($D25="YES", IF($D26&gt;0,IF(AND(G$1 &gt;= MATCH($D26, $G$2:$R$2, 0)), -($D28/12), ""),""), "")</f>
        <v>0</v>
      </c>
      <c r="H28" s="142">
        <f t="shared" si="14"/>
        <v>0</v>
      </c>
      <c r="I28" s="143">
        <f t="shared" si="14"/>
        <v>0</v>
      </c>
      <c r="J28" s="144">
        <f t="shared" si="14"/>
        <v>0</v>
      </c>
      <c r="K28" s="142">
        <f t="shared" si="14"/>
        <v>0</v>
      </c>
      <c r="L28" s="143">
        <f t="shared" si="14"/>
        <v>0</v>
      </c>
      <c r="M28" s="144">
        <f t="shared" si="14"/>
        <v>0</v>
      </c>
      <c r="N28" s="142">
        <f t="shared" si="14"/>
        <v>0</v>
      </c>
      <c r="O28" s="143">
        <f t="shared" si="14"/>
        <v>0</v>
      </c>
      <c r="P28" s="144">
        <f t="shared" si="14"/>
        <v>0</v>
      </c>
      <c r="Q28" s="142">
        <f t="shared" si="14"/>
        <v>0</v>
      </c>
      <c r="R28" s="142">
        <f t="shared" si="14"/>
        <v>0</v>
      </c>
      <c r="T28" s="142">
        <f t="shared" si="15"/>
        <v>0</v>
      </c>
    </row>
    <row r="29" hidden="1">
      <c r="A29" s="20"/>
      <c r="C29" s="214" t="s">
        <v>130</v>
      </c>
      <c r="D29" s="215" t="s">
        <v>131</v>
      </c>
      <c r="F29" s="210" t="s">
        <v>57</v>
      </c>
      <c r="G29" s="211" t="str">
        <f t="shared" ref="G29:R29" si="16">IF($D25="YES", if($D29="YES", IF(AND(G$1 &gt;= MATCH($D32, $G$2:$R$2, 0), G$1 &lt;= (MATCH($D32, $G$2:$R$2, 0) + $D31 - 1)), (($D28/12)*$D30),""),""), "")</f>
        <v/>
      </c>
      <c r="H29" s="211" t="str">
        <f t="shared" si="16"/>
        <v/>
      </c>
      <c r="I29" s="212" t="str">
        <f t="shared" si="16"/>
        <v/>
      </c>
      <c r="J29" s="213" t="str">
        <f t="shared" si="16"/>
        <v/>
      </c>
      <c r="K29" s="211" t="str">
        <f t="shared" si="16"/>
        <v/>
      </c>
      <c r="L29" s="212" t="str">
        <f t="shared" si="16"/>
        <v/>
      </c>
      <c r="M29" s="213" t="str">
        <f t="shared" si="16"/>
        <v/>
      </c>
      <c r="N29" s="211" t="str">
        <f t="shared" si="16"/>
        <v/>
      </c>
      <c r="O29" s="212" t="str">
        <f t="shared" si="16"/>
        <v/>
      </c>
      <c r="P29" s="213" t="str">
        <f t="shared" si="16"/>
        <v/>
      </c>
      <c r="Q29" s="211" t="str">
        <f t="shared" si="16"/>
        <v/>
      </c>
      <c r="R29" s="211" t="str">
        <f t="shared" si="16"/>
        <v/>
      </c>
      <c r="T29" s="211">
        <f t="shared" si="15"/>
        <v>0</v>
      </c>
    </row>
    <row r="30" hidden="1">
      <c r="A30" s="20"/>
      <c r="C30" s="214" t="s">
        <v>132</v>
      </c>
      <c r="D30" s="218"/>
    </row>
    <row r="31" hidden="1">
      <c r="A31" s="20"/>
      <c r="C31" s="214" t="s">
        <v>133</v>
      </c>
      <c r="D31" s="216"/>
    </row>
    <row r="32" hidden="1">
      <c r="A32" s="20"/>
      <c r="C32" s="214" t="s">
        <v>134</v>
      </c>
      <c r="D32" s="216" t="s">
        <v>31</v>
      </c>
    </row>
    <row r="33" ht="7.5" customHeight="1"/>
    <row r="34">
      <c r="A34" s="3"/>
      <c r="C34" s="214" t="s">
        <v>139</v>
      </c>
      <c r="D34" s="215" t="s">
        <v>121</v>
      </c>
    </row>
    <row r="35">
      <c r="A35" s="3"/>
      <c r="C35" s="214" t="s">
        <v>126</v>
      </c>
      <c r="D35" s="216" t="s">
        <v>31</v>
      </c>
    </row>
    <row r="36">
      <c r="A36" s="3"/>
      <c r="C36" s="214" t="s">
        <v>127</v>
      </c>
      <c r="D36" s="216" t="s">
        <v>140</v>
      </c>
      <c r="F36" s="217" t="str">
        <f>D36</f>
        <v>OB/AM specialist</v>
      </c>
      <c r="G36" s="46">
        <f t="shared" ref="G36:R36" si="17">G37+G38</f>
        <v>-3312.5</v>
      </c>
      <c r="H36" s="46">
        <f t="shared" si="17"/>
        <v>-3312.5</v>
      </c>
      <c r="I36" s="47">
        <f t="shared" si="17"/>
        <v>-3312.5</v>
      </c>
      <c r="J36" s="48">
        <f t="shared" si="17"/>
        <v>-3312.5</v>
      </c>
      <c r="K36" s="46">
        <f t="shared" si="17"/>
        <v>-3312.5</v>
      </c>
      <c r="L36" s="47">
        <f t="shared" si="17"/>
        <v>-3312.5</v>
      </c>
      <c r="M36" s="48">
        <f t="shared" si="17"/>
        <v>-3312.5</v>
      </c>
      <c r="N36" s="46">
        <f t="shared" si="17"/>
        <v>-3312.5</v>
      </c>
      <c r="O36" s="47">
        <f t="shared" si="17"/>
        <v>-3312.5</v>
      </c>
      <c r="P36" s="48">
        <f t="shared" si="17"/>
        <v>-3312.5</v>
      </c>
      <c r="Q36" s="46">
        <f t="shared" si="17"/>
        <v>-3312.5</v>
      </c>
      <c r="R36" s="46">
        <f t="shared" si="17"/>
        <v>-3312.5</v>
      </c>
      <c r="T36" s="46">
        <f t="shared" ref="T36:T38" si="19">SUM(G36:R36)</f>
        <v>-39750</v>
      </c>
    </row>
    <row r="37">
      <c r="A37" s="3"/>
      <c r="C37" s="214" t="s">
        <v>129</v>
      </c>
      <c r="D37" s="216">
        <f>27000*1.25+6000</f>
        <v>39750</v>
      </c>
      <c r="F37" s="111" t="s">
        <v>76</v>
      </c>
      <c r="G37" s="142">
        <f t="shared" ref="G37:R37" si="18">IF($D34="YES", IF($D35&gt;0,IF(AND(G$1 &gt;= MATCH($D35, $G$2:$R$2, 0)), -($D37/12), ""),""), "")</f>
        <v>-3312.5</v>
      </c>
      <c r="H37" s="142">
        <f t="shared" si="18"/>
        <v>-3312.5</v>
      </c>
      <c r="I37" s="143">
        <f t="shared" si="18"/>
        <v>-3312.5</v>
      </c>
      <c r="J37" s="144">
        <f t="shared" si="18"/>
        <v>-3312.5</v>
      </c>
      <c r="K37" s="142">
        <f t="shared" si="18"/>
        <v>-3312.5</v>
      </c>
      <c r="L37" s="143">
        <f t="shared" si="18"/>
        <v>-3312.5</v>
      </c>
      <c r="M37" s="144">
        <f t="shared" si="18"/>
        <v>-3312.5</v>
      </c>
      <c r="N37" s="142">
        <f t="shared" si="18"/>
        <v>-3312.5</v>
      </c>
      <c r="O37" s="143">
        <f t="shared" si="18"/>
        <v>-3312.5</v>
      </c>
      <c r="P37" s="144">
        <f t="shared" si="18"/>
        <v>-3312.5</v>
      </c>
      <c r="Q37" s="142">
        <f t="shared" si="18"/>
        <v>-3312.5</v>
      </c>
      <c r="R37" s="142">
        <f t="shared" si="18"/>
        <v>-3312.5</v>
      </c>
      <c r="T37" s="142">
        <f t="shared" si="19"/>
        <v>-39750</v>
      </c>
    </row>
    <row r="38" hidden="1">
      <c r="A38" s="20"/>
      <c r="C38" s="214" t="s">
        <v>130</v>
      </c>
      <c r="D38" s="215" t="s">
        <v>131</v>
      </c>
      <c r="F38" s="210" t="s">
        <v>57</v>
      </c>
      <c r="G38" s="211" t="str">
        <f t="shared" ref="G38:R38" si="20">IF($D34="YES", if($D38="YES", IF(AND(G$1 &gt;= MATCH($D41, $G$2:$R$2, 0), G$1 &lt;= (MATCH($D41, $G$2:$R$2, 0) + $D40 - 1)), (($D37/12)*$D39),""),""), "")</f>
        <v/>
      </c>
      <c r="H38" s="211" t="str">
        <f t="shared" si="20"/>
        <v/>
      </c>
      <c r="I38" s="212" t="str">
        <f t="shared" si="20"/>
        <v/>
      </c>
      <c r="J38" s="213" t="str">
        <f t="shared" si="20"/>
        <v/>
      </c>
      <c r="K38" s="211" t="str">
        <f t="shared" si="20"/>
        <v/>
      </c>
      <c r="L38" s="212" t="str">
        <f t="shared" si="20"/>
        <v/>
      </c>
      <c r="M38" s="213" t="str">
        <f t="shared" si="20"/>
        <v/>
      </c>
      <c r="N38" s="211" t="str">
        <f t="shared" si="20"/>
        <v/>
      </c>
      <c r="O38" s="212" t="str">
        <f t="shared" si="20"/>
        <v/>
      </c>
      <c r="P38" s="213" t="str">
        <f t="shared" si="20"/>
        <v/>
      </c>
      <c r="Q38" s="211" t="str">
        <f t="shared" si="20"/>
        <v/>
      </c>
      <c r="R38" s="211" t="str">
        <f t="shared" si="20"/>
        <v/>
      </c>
      <c r="T38" s="211">
        <f t="shared" si="19"/>
        <v>0</v>
      </c>
    </row>
    <row r="39" hidden="1">
      <c r="A39" s="20"/>
      <c r="C39" s="214" t="s">
        <v>132</v>
      </c>
      <c r="D39" s="218"/>
    </row>
    <row r="40" hidden="1">
      <c r="A40" s="20"/>
      <c r="C40" s="214" t="s">
        <v>133</v>
      </c>
      <c r="D40" s="216"/>
    </row>
    <row r="41" hidden="1">
      <c r="A41" s="20"/>
      <c r="C41" s="214" t="s">
        <v>134</v>
      </c>
      <c r="D41" s="216"/>
    </row>
    <row r="42" ht="7.5" customHeight="1"/>
    <row r="43" hidden="1">
      <c r="A43" s="3"/>
      <c r="C43" s="214" t="s">
        <v>141</v>
      </c>
      <c r="D43" s="215" t="s">
        <v>131</v>
      </c>
    </row>
    <row r="44" hidden="1">
      <c r="A44" s="3"/>
      <c r="C44" s="214" t="s">
        <v>126</v>
      </c>
      <c r="D44" s="216"/>
    </row>
    <row r="45" hidden="1">
      <c r="A45" s="3"/>
      <c r="C45" s="214" t="s">
        <v>127</v>
      </c>
      <c r="D45" s="216"/>
      <c r="F45" s="217" t="str">
        <f>D45</f>
        <v/>
      </c>
      <c r="G45" s="46">
        <f t="shared" ref="G45:R45" si="21">G46+G47</f>
        <v>0</v>
      </c>
      <c r="H45" s="46">
        <f t="shared" si="21"/>
        <v>0</v>
      </c>
      <c r="I45" s="47">
        <f t="shared" si="21"/>
        <v>0</v>
      </c>
      <c r="J45" s="48">
        <f t="shared" si="21"/>
        <v>0</v>
      </c>
      <c r="K45" s="46">
        <f t="shared" si="21"/>
        <v>0</v>
      </c>
      <c r="L45" s="47">
        <f t="shared" si="21"/>
        <v>0</v>
      </c>
      <c r="M45" s="48">
        <f t="shared" si="21"/>
        <v>0</v>
      </c>
      <c r="N45" s="46">
        <f t="shared" si="21"/>
        <v>0</v>
      </c>
      <c r="O45" s="47">
        <f t="shared" si="21"/>
        <v>0</v>
      </c>
      <c r="P45" s="48">
        <f t="shared" si="21"/>
        <v>0</v>
      </c>
      <c r="Q45" s="46">
        <f t="shared" si="21"/>
        <v>0</v>
      </c>
      <c r="R45" s="46">
        <f t="shared" si="21"/>
        <v>0</v>
      </c>
      <c r="T45" s="46">
        <f t="shared" ref="T45:T47" si="23">SUM(G45:R45)</f>
        <v>0</v>
      </c>
    </row>
    <row r="46" hidden="1">
      <c r="A46" s="3"/>
      <c r="C46" s="214" t="s">
        <v>129</v>
      </c>
      <c r="D46" s="216"/>
      <c r="F46" s="111" t="s">
        <v>76</v>
      </c>
      <c r="G46" s="142" t="str">
        <f t="shared" ref="G46:R46" si="22">IF($D43="YES", IF($D44&gt;0,IF(AND(G$1 &gt;= MATCH($D44, $G$2:$R$2, 0)), -($D46/12), ""),""), "")</f>
        <v/>
      </c>
      <c r="H46" s="142" t="str">
        <f t="shared" si="22"/>
        <v/>
      </c>
      <c r="I46" s="143" t="str">
        <f t="shared" si="22"/>
        <v/>
      </c>
      <c r="J46" s="144" t="str">
        <f t="shared" si="22"/>
        <v/>
      </c>
      <c r="K46" s="142" t="str">
        <f t="shared" si="22"/>
        <v/>
      </c>
      <c r="L46" s="143" t="str">
        <f t="shared" si="22"/>
        <v/>
      </c>
      <c r="M46" s="144" t="str">
        <f t="shared" si="22"/>
        <v/>
      </c>
      <c r="N46" s="142" t="str">
        <f t="shared" si="22"/>
        <v/>
      </c>
      <c r="O46" s="143" t="str">
        <f t="shared" si="22"/>
        <v/>
      </c>
      <c r="P46" s="144" t="str">
        <f t="shared" si="22"/>
        <v/>
      </c>
      <c r="Q46" s="142" t="str">
        <f t="shared" si="22"/>
        <v/>
      </c>
      <c r="R46" s="142" t="str">
        <f t="shared" si="22"/>
        <v/>
      </c>
      <c r="T46" s="142">
        <f t="shared" si="23"/>
        <v>0</v>
      </c>
    </row>
    <row r="47" hidden="1" outlineLevel="1">
      <c r="A47" s="20"/>
      <c r="C47" s="214" t="s">
        <v>130</v>
      </c>
      <c r="D47" s="215"/>
      <c r="F47" s="210" t="s">
        <v>57</v>
      </c>
      <c r="G47" s="211" t="str">
        <f t="shared" ref="G47:R47" si="24">IF($D43="YES", if($D47="YES", IF(AND(G$1 &gt;= MATCH($D50, $G$2:$R$2, 0), G$1 &lt;= (MATCH($D50, $G$2:$R$2, 0) + $D49 - 1)), (($D46/12)*$D48),""),""), "")</f>
        <v/>
      </c>
      <c r="H47" s="211" t="str">
        <f t="shared" si="24"/>
        <v/>
      </c>
      <c r="I47" s="212" t="str">
        <f t="shared" si="24"/>
        <v/>
      </c>
      <c r="J47" s="213" t="str">
        <f t="shared" si="24"/>
        <v/>
      </c>
      <c r="K47" s="211" t="str">
        <f t="shared" si="24"/>
        <v/>
      </c>
      <c r="L47" s="212" t="str">
        <f t="shared" si="24"/>
        <v/>
      </c>
      <c r="M47" s="213" t="str">
        <f t="shared" si="24"/>
        <v/>
      </c>
      <c r="N47" s="211" t="str">
        <f t="shared" si="24"/>
        <v/>
      </c>
      <c r="O47" s="212" t="str">
        <f t="shared" si="24"/>
        <v/>
      </c>
      <c r="P47" s="213" t="str">
        <f t="shared" si="24"/>
        <v/>
      </c>
      <c r="Q47" s="211" t="str">
        <f t="shared" si="24"/>
        <v/>
      </c>
      <c r="R47" s="211" t="str">
        <f t="shared" si="24"/>
        <v/>
      </c>
      <c r="T47" s="211">
        <f t="shared" si="23"/>
        <v>0</v>
      </c>
    </row>
    <row r="48" hidden="1" outlineLevel="1">
      <c r="A48" s="20"/>
      <c r="C48" s="214" t="s">
        <v>132</v>
      </c>
      <c r="D48" s="218"/>
    </row>
    <row r="49" hidden="1" outlineLevel="1">
      <c r="A49" s="20"/>
      <c r="C49" s="214" t="s">
        <v>133</v>
      </c>
      <c r="D49" s="216"/>
    </row>
    <row r="50" hidden="1" outlineLevel="1">
      <c r="A50" s="20"/>
      <c r="C50" s="214" t="s">
        <v>134</v>
      </c>
      <c r="D50" s="216"/>
    </row>
    <row r="51" ht="7.5" hidden="1" customHeight="1"/>
    <row r="52" hidden="1">
      <c r="A52" s="3"/>
      <c r="C52" s="214" t="s">
        <v>142</v>
      </c>
      <c r="D52" s="215" t="s">
        <v>131</v>
      </c>
    </row>
    <row r="53" hidden="1">
      <c r="A53" s="3"/>
      <c r="C53" s="214" t="s">
        <v>126</v>
      </c>
      <c r="D53" s="216"/>
    </row>
    <row r="54" hidden="1">
      <c r="A54" s="3"/>
      <c r="C54" s="214" t="s">
        <v>127</v>
      </c>
      <c r="D54" s="216"/>
      <c r="F54" s="217" t="str">
        <f>D54</f>
        <v/>
      </c>
      <c r="G54" s="46">
        <f t="shared" ref="G54:R54" si="25">G55+G56</f>
        <v>0</v>
      </c>
      <c r="H54" s="46">
        <f t="shared" si="25"/>
        <v>0</v>
      </c>
      <c r="I54" s="47">
        <f t="shared" si="25"/>
        <v>0</v>
      </c>
      <c r="J54" s="48">
        <f t="shared" si="25"/>
        <v>0</v>
      </c>
      <c r="K54" s="46">
        <f t="shared" si="25"/>
        <v>0</v>
      </c>
      <c r="L54" s="47">
        <f t="shared" si="25"/>
        <v>0</v>
      </c>
      <c r="M54" s="48">
        <f t="shared" si="25"/>
        <v>0</v>
      </c>
      <c r="N54" s="46">
        <f t="shared" si="25"/>
        <v>0</v>
      </c>
      <c r="O54" s="47">
        <f t="shared" si="25"/>
        <v>0</v>
      </c>
      <c r="P54" s="48">
        <f t="shared" si="25"/>
        <v>0</v>
      </c>
      <c r="Q54" s="46">
        <f t="shared" si="25"/>
        <v>0</v>
      </c>
      <c r="R54" s="46">
        <f t="shared" si="25"/>
        <v>0</v>
      </c>
      <c r="T54" s="46">
        <f t="shared" ref="T54:T56" si="27">SUM(G54:R54)</f>
        <v>0</v>
      </c>
    </row>
    <row r="55" hidden="1">
      <c r="A55" s="3"/>
      <c r="C55" s="214" t="s">
        <v>129</v>
      </c>
      <c r="D55" s="216"/>
      <c r="F55" s="111" t="s">
        <v>76</v>
      </c>
      <c r="G55" s="142" t="str">
        <f t="shared" ref="G55:R55" si="26">IF($D52="YES", IF($D53&gt;0,IF(AND(G$1 &gt;= MATCH($D53, $G$2:$R$2, 0)), -($D55/12), ""),""), "")</f>
        <v/>
      </c>
      <c r="H55" s="142" t="str">
        <f t="shared" si="26"/>
        <v/>
      </c>
      <c r="I55" s="143" t="str">
        <f t="shared" si="26"/>
        <v/>
      </c>
      <c r="J55" s="144" t="str">
        <f t="shared" si="26"/>
        <v/>
      </c>
      <c r="K55" s="142" t="str">
        <f t="shared" si="26"/>
        <v/>
      </c>
      <c r="L55" s="143" t="str">
        <f t="shared" si="26"/>
        <v/>
      </c>
      <c r="M55" s="144" t="str">
        <f t="shared" si="26"/>
        <v/>
      </c>
      <c r="N55" s="142" t="str">
        <f t="shared" si="26"/>
        <v/>
      </c>
      <c r="O55" s="143" t="str">
        <f t="shared" si="26"/>
        <v/>
      </c>
      <c r="P55" s="144" t="str">
        <f t="shared" si="26"/>
        <v/>
      </c>
      <c r="Q55" s="142" t="str">
        <f t="shared" si="26"/>
        <v/>
      </c>
      <c r="R55" s="142" t="str">
        <f t="shared" si="26"/>
        <v/>
      </c>
      <c r="T55" s="142">
        <f t="shared" si="27"/>
        <v>0</v>
      </c>
    </row>
    <row r="56" hidden="1">
      <c r="A56" s="20"/>
      <c r="C56" s="214" t="s">
        <v>130</v>
      </c>
      <c r="D56" s="215"/>
      <c r="F56" s="210" t="s">
        <v>57</v>
      </c>
      <c r="G56" s="211" t="str">
        <f t="shared" ref="G56:R56" si="28">IF($D52="YES", if($D56="YES", IF(AND(G$1 &gt;= MATCH($D59, $G$2:$R$2, 0), G$1 &lt;= (MATCH($D59, $G$2:$R$2, 0) + $D58 - 1)), (($D55/12)*$D57),""),""), "")</f>
        <v/>
      </c>
      <c r="H56" s="211" t="str">
        <f t="shared" si="28"/>
        <v/>
      </c>
      <c r="I56" s="212" t="str">
        <f t="shared" si="28"/>
        <v/>
      </c>
      <c r="J56" s="213" t="str">
        <f t="shared" si="28"/>
        <v/>
      </c>
      <c r="K56" s="211" t="str">
        <f t="shared" si="28"/>
        <v/>
      </c>
      <c r="L56" s="212" t="str">
        <f t="shared" si="28"/>
        <v/>
      </c>
      <c r="M56" s="213" t="str">
        <f t="shared" si="28"/>
        <v/>
      </c>
      <c r="N56" s="211" t="str">
        <f t="shared" si="28"/>
        <v/>
      </c>
      <c r="O56" s="212" t="str">
        <f t="shared" si="28"/>
        <v/>
      </c>
      <c r="P56" s="213" t="str">
        <f t="shared" si="28"/>
        <v/>
      </c>
      <c r="Q56" s="211" t="str">
        <f t="shared" si="28"/>
        <v/>
      </c>
      <c r="R56" s="211" t="str">
        <f t="shared" si="28"/>
        <v/>
      </c>
      <c r="T56" s="211">
        <f t="shared" si="27"/>
        <v>0</v>
      </c>
    </row>
    <row r="57" hidden="1">
      <c r="A57" s="20"/>
      <c r="C57" s="214" t="s">
        <v>132</v>
      </c>
      <c r="D57" s="218"/>
    </row>
    <row r="58" hidden="1">
      <c r="A58" s="20"/>
      <c r="C58" s="214" t="s">
        <v>133</v>
      </c>
      <c r="D58" s="216"/>
    </row>
    <row r="59" hidden="1">
      <c r="A59" s="20"/>
      <c r="C59" s="214" t="s">
        <v>134</v>
      </c>
      <c r="D59" s="216"/>
    </row>
    <row r="60" ht="7.5" hidden="1" customHeight="1"/>
    <row r="61" hidden="1">
      <c r="A61" s="3"/>
      <c r="C61" s="214" t="s">
        <v>143</v>
      </c>
      <c r="D61" s="215" t="s">
        <v>131</v>
      </c>
    </row>
    <row r="62" hidden="1">
      <c r="A62" s="3"/>
      <c r="C62" s="214" t="s">
        <v>126</v>
      </c>
      <c r="D62" s="216"/>
    </row>
    <row r="63" hidden="1">
      <c r="A63" s="3"/>
      <c r="C63" s="214" t="s">
        <v>127</v>
      </c>
      <c r="D63" s="216"/>
      <c r="F63" s="217" t="str">
        <f>D63</f>
        <v/>
      </c>
      <c r="G63" s="46">
        <f t="shared" ref="G63:R63" si="29">G64+G65</f>
        <v>0</v>
      </c>
      <c r="H63" s="46">
        <f t="shared" si="29"/>
        <v>0</v>
      </c>
      <c r="I63" s="47">
        <f t="shared" si="29"/>
        <v>0</v>
      </c>
      <c r="J63" s="48">
        <f t="shared" si="29"/>
        <v>0</v>
      </c>
      <c r="K63" s="46">
        <f t="shared" si="29"/>
        <v>0</v>
      </c>
      <c r="L63" s="47">
        <f t="shared" si="29"/>
        <v>0</v>
      </c>
      <c r="M63" s="48">
        <f t="shared" si="29"/>
        <v>0</v>
      </c>
      <c r="N63" s="46">
        <f t="shared" si="29"/>
        <v>0</v>
      </c>
      <c r="O63" s="47">
        <f t="shared" si="29"/>
        <v>0</v>
      </c>
      <c r="P63" s="48">
        <f t="shared" si="29"/>
        <v>0</v>
      </c>
      <c r="Q63" s="46">
        <f t="shared" si="29"/>
        <v>0</v>
      </c>
      <c r="R63" s="46">
        <f t="shared" si="29"/>
        <v>0</v>
      </c>
      <c r="T63" s="46">
        <f t="shared" ref="T63:T65" si="31">SUM(G63:R63)</f>
        <v>0</v>
      </c>
    </row>
    <row r="64" hidden="1">
      <c r="A64" s="3"/>
      <c r="C64" s="214" t="s">
        <v>129</v>
      </c>
      <c r="D64" s="216"/>
      <c r="F64" s="111" t="s">
        <v>76</v>
      </c>
      <c r="G64" s="142" t="str">
        <f t="shared" ref="G64:R64" si="30">IF($D61="YES", IF($D62&gt;0,IF(AND(G$1 &gt;= MATCH($D62, $G$2:$R$2, 0)), -($D64/12), ""),""), "")</f>
        <v/>
      </c>
      <c r="H64" s="142" t="str">
        <f t="shared" si="30"/>
        <v/>
      </c>
      <c r="I64" s="143" t="str">
        <f t="shared" si="30"/>
        <v/>
      </c>
      <c r="J64" s="144" t="str">
        <f t="shared" si="30"/>
        <v/>
      </c>
      <c r="K64" s="142" t="str">
        <f t="shared" si="30"/>
        <v/>
      </c>
      <c r="L64" s="143" t="str">
        <f t="shared" si="30"/>
        <v/>
      </c>
      <c r="M64" s="144" t="str">
        <f t="shared" si="30"/>
        <v/>
      </c>
      <c r="N64" s="142" t="str">
        <f t="shared" si="30"/>
        <v/>
      </c>
      <c r="O64" s="143" t="str">
        <f t="shared" si="30"/>
        <v/>
      </c>
      <c r="P64" s="144" t="str">
        <f t="shared" si="30"/>
        <v/>
      </c>
      <c r="Q64" s="142" t="str">
        <f t="shared" si="30"/>
        <v/>
      </c>
      <c r="R64" s="142" t="str">
        <f t="shared" si="30"/>
        <v/>
      </c>
      <c r="T64" s="142">
        <f t="shared" si="31"/>
        <v>0</v>
      </c>
    </row>
    <row r="65" hidden="1">
      <c r="A65" s="20"/>
      <c r="C65" s="214" t="s">
        <v>130</v>
      </c>
      <c r="D65" s="215"/>
      <c r="F65" s="210" t="s">
        <v>57</v>
      </c>
      <c r="G65" s="211" t="str">
        <f t="shared" ref="G65:R65" si="32">IF($D61="YES", if($D65="YES", IF(AND(G$1 &gt;= MATCH($D68, $G$2:$R$2, 0), G$1 &lt;= (MATCH($D68, $G$2:$R$2, 0) + $D67 - 1)), (($D64/12)*$D66),""),""), "")</f>
        <v/>
      </c>
      <c r="H65" s="211" t="str">
        <f t="shared" si="32"/>
        <v/>
      </c>
      <c r="I65" s="212" t="str">
        <f t="shared" si="32"/>
        <v/>
      </c>
      <c r="J65" s="213" t="str">
        <f t="shared" si="32"/>
        <v/>
      </c>
      <c r="K65" s="211" t="str">
        <f t="shared" si="32"/>
        <v/>
      </c>
      <c r="L65" s="212" t="str">
        <f t="shared" si="32"/>
        <v/>
      </c>
      <c r="M65" s="213" t="str">
        <f t="shared" si="32"/>
        <v/>
      </c>
      <c r="N65" s="211" t="str">
        <f t="shared" si="32"/>
        <v/>
      </c>
      <c r="O65" s="212" t="str">
        <f t="shared" si="32"/>
        <v/>
      </c>
      <c r="P65" s="213" t="str">
        <f t="shared" si="32"/>
        <v/>
      </c>
      <c r="Q65" s="211" t="str">
        <f t="shared" si="32"/>
        <v/>
      </c>
      <c r="R65" s="211" t="str">
        <f t="shared" si="32"/>
        <v/>
      </c>
      <c r="T65" s="211">
        <f t="shared" si="31"/>
        <v>0</v>
      </c>
    </row>
    <row r="66" hidden="1">
      <c r="A66" s="20"/>
      <c r="C66" s="214" t="s">
        <v>132</v>
      </c>
      <c r="D66" s="218"/>
    </row>
    <row r="67" hidden="1">
      <c r="A67" s="20"/>
      <c r="C67" s="214" t="s">
        <v>133</v>
      </c>
      <c r="D67" s="216"/>
    </row>
    <row r="68" hidden="1">
      <c r="A68" s="20"/>
      <c r="C68" s="214" t="s">
        <v>134</v>
      </c>
      <c r="D68" s="216"/>
    </row>
    <row r="69" ht="7.5" hidden="1" customHeight="1"/>
    <row r="70" hidden="1">
      <c r="A70" s="3"/>
      <c r="C70" s="214" t="s">
        <v>144</v>
      </c>
      <c r="D70" s="215" t="s">
        <v>131</v>
      </c>
    </row>
    <row r="71" hidden="1">
      <c r="A71" s="3"/>
      <c r="C71" s="214" t="s">
        <v>126</v>
      </c>
      <c r="D71" s="216"/>
    </row>
    <row r="72" hidden="1">
      <c r="A72" s="3"/>
      <c r="C72" s="214" t="s">
        <v>127</v>
      </c>
      <c r="D72" s="216"/>
      <c r="F72" s="217" t="str">
        <f>D72</f>
        <v/>
      </c>
      <c r="G72" s="46">
        <f t="shared" ref="G72:R72" si="33">G73+G74</f>
        <v>0</v>
      </c>
      <c r="H72" s="46">
        <f t="shared" si="33"/>
        <v>0</v>
      </c>
      <c r="I72" s="47">
        <f t="shared" si="33"/>
        <v>0</v>
      </c>
      <c r="J72" s="48">
        <f t="shared" si="33"/>
        <v>0</v>
      </c>
      <c r="K72" s="46">
        <f t="shared" si="33"/>
        <v>0</v>
      </c>
      <c r="L72" s="47">
        <f t="shared" si="33"/>
        <v>0</v>
      </c>
      <c r="M72" s="48">
        <f t="shared" si="33"/>
        <v>0</v>
      </c>
      <c r="N72" s="46">
        <f t="shared" si="33"/>
        <v>0</v>
      </c>
      <c r="O72" s="47">
        <f t="shared" si="33"/>
        <v>0</v>
      </c>
      <c r="P72" s="48">
        <f t="shared" si="33"/>
        <v>0</v>
      </c>
      <c r="Q72" s="46">
        <f t="shared" si="33"/>
        <v>0</v>
      </c>
      <c r="R72" s="46">
        <f t="shared" si="33"/>
        <v>0</v>
      </c>
      <c r="T72" s="46">
        <f t="shared" ref="T72:T74" si="35">SUM(G72:R72)</f>
        <v>0</v>
      </c>
    </row>
    <row r="73" hidden="1">
      <c r="A73" s="3"/>
      <c r="C73" s="214" t="s">
        <v>129</v>
      </c>
      <c r="D73" s="216"/>
      <c r="F73" s="111" t="s">
        <v>76</v>
      </c>
      <c r="G73" s="142" t="str">
        <f t="shared" ref="G73:R73" si="34">IF($D70="YES", IF($D71&gt;0,IF(AND(G$1 &gt;= MATCH($D71, $G$2:$R$2, 0)), -($D73/12), ""),""), "")</f>
        <v/>
      </c>
      <c r="H73" s="142" t="str">
        <f t="shared" si="34"/>
        <v/>
      </c>
      <c r="I73" s="143" t="str">
        <f t="shared" si="34"/>
        <v/>
      </c>
      <c r="J73" s="144" t="str">
        <f t="shared" si="34"/>
        <v/>
      </c>
      <c r="K73" s="142" t="str">
        <f t="shared" si="34"/>
        <v/>
      </c>
      <c r="L73" s="143" t="str">
        <f t="shared" si="34"/>
        <v/>
      </c>
      <c r="M73" s="144" t="str">
        <f t="shared" si="34"/>
        <v/>
      </c>
      <c r="N73" s="142" t="str">
        <f t="shared" si="34"/>
        <v/>
      </c>
      <c r="O73" s="143" t="str">
        <f t="shared" si="34"/>
        <v/>
      </c>
      <c r="P73" s="144" t="str">
        <f t="shared" si="34"/>
        <v/>
      </c>
      <c r="Q73" s="142" t="str">
        <f t="shared" si="34"/>
        <v/>
      </c>
      <c r="R73" s="142" t="str">
        <f t="shared" si="34"/>
        <v/>
      </c>
      <c r="T73" s="142">
        <f t="shared" si="35"/>
        <v>0</v>
      </c>
    </row>
    <row r="74" hidden="1">
      <c r="A74" s="20"/>
      <c r="C74" s="214" t="s">
        <v>130</v>
      </c>
      <c r="D74" s="215"/>
      <c r="F74" s="210" t="s">
        <v>57</v>
      </c>
      <c r="G74" s="211" t="str">
        <f t="shared" ref="G74:R74" si="36">IF($D70="YES", if($D74="YES", IF(AND(G$1 &gt;= MATCH($D77, $G$2:$R$2, 0), G$1 &lt;= (MATCH($D77, $G$2:$R$2, 0) + $D76 - 1)), (($D73/12)*$D75),""),""), "")</f>
        <v/>
      </c>
      <c r="H74" s="211" t="str">
        <f t="shared" si="36"/>
        <v/>
      </c>
      <c r="I74" s="212" t="str">
        <f t="shared" si="36"/>
        <v/>
      </c>
      <c r="J74" s="213" t="str">
        <f t="shared" si="36"/>
        <v/>
      </c>
      <c r="K74" s="211" t="str">
        <f t="shared" si="36"/>
        <v/>
      </c>
      <c r="L74" s="212" t="str">
        <f t="shared" si="36"/>
        <v/>
      </c>
      <c r="M74" s="213" t="str">
        <f t="shared" si="36"/>
        <v/>
      </c>
      <c r="N74" s="211" t="str">
        <f t="shared" si="36"/>
        <v/>
      </c>
      <c r="O74" s="212" t="str">
        <f t="shared" si="36"/>
        <v/>
      </c>
      <c r="P74" s="213" t="str">
        <f t="shared" si="36"/>
        <v/>
      </c>
      <c r="Q74" s="211" t="str">
        <f t="shared" si="36"/>
        <v/>
      </c>
      <c r="R74" s="211" t="str">
        <f t="shared" si="36"/>
        <v/>
      </c>
      <c r="T74" s="211">
        <f t="shared" si="35"/>
        <v>0</v>
      </c>
    </row>
    <row r="75" hidden="1">
      <c r="A75" s="20"/>
      <c r="C75" s="214" t="s">
        <v>132</v>
      </c>
      <c r="D75" s="218"/>
    </row>
    <row r="76" hidden="1">
      <c r="A76" s="20"/>
      <c r="C76" s="214" t="s">
        <v>133</v>
      </c>
      <c r="D76" s="216"/>
    </row>
    <row r="77" hidden="1">
      <c r="A77" s="20"/>
      <c r="C77" s="214" t="s">
        <v>134</v>
      </c>
      <c r="D77" s="216"/>
    </row>
    <row r="78" ht="7.5" hidden="1" customHeight="1"/>
    <row r="79" hidden="1">
      <c r="A79" s="3"/>
      <c r="C79" s="214" t="s">
        <v>145</v>
      </c>
      <c r="D79" s="215" t="s">
        <v>131</v>
      </c>
    </row>
    <row r="80" hidden="1">
      <c r="A80" s="3"/>
      <c r="C80" s="214" t="s">
        <v>126</v>
      </c>
      <c r="D80" s="216"/>
    </row>
    <row r="81" hidden="1">
      <c r="A81" s="3"/>
      <c r="C81" s="214" t="s">
        <v>127</v>
      </c>
      <c r="D81" s="216"/>
      <c r="F81" s="217" t="str">
        <f>D81</f>
        <v/>
      </c>
      <c r="G81" s="46">
        <f t="shared" ref="G81:R81" si="37">G82+G83</f>
        <v>0</v>
      </c>
      <c r="H81" s="46">
        <f t="shared" si="37"/>
        <v>0</v>
      </c>
      <c r="I81" s="47">
        <f t="shared" si="37"/>
        <v>0</v>
      </c>
      <c r="J81" s="48">
        <f t="shared" si="37"/>
        <v>0</v>
      </c>
      <c r="K81" s="46">
        <f t="shared" si="37"/>
        <v>0</v>
      </c>
      <c r="L81" s="47">
        <f t="shared" si="37"/>
        <v>0</v>
      </c>
      <c r="M81" s="48">
        <f t="shared" si="37"/>
        <v>0</v>
      </c>
      <c r="N81" s="46">
        <f t="shared" si="37"/>
        <v>0</v>
      </c>
      <c r="O81" s="47">
        <f t="shared" si="37"/>
        <v>0</v>
      </c>
      <c r="P81" s="48">
        <f t="shared" si="37"/>
        <v>0</v>
      </c>
      <c r="Q81" s="46">
        <f t="shared" si="37"/>
        <v>0</v>
      </c>
      <c r="R81" s="46">
        <f t="shared" si="37"/>
        <v>0</v>
      </c>
      <c r="T81" s="46">
        <f t="shared" ref="T81:T83" si="39">SUM(G81:R81)</f>
        <v>0</v>
      </c>
    </row>
    <row r="82" hidden="1">
      <c r="A82" s="3"/>
      <c r="C82" s="214" t="s">
        <v>129</v>
      </c>
      <c r="D82" s="216"/>
      <c r="F82" s="111" t="s">
        <v>76</v>
      </c>
      <c r="G82" s="142" t="str">
        <f t="shared" ref="G82:R82" si="38">IF($D79="YES", IF($D80&gt;0,IF(AND(G$1 &gt;= MATCH($D80, $G$2:$R$2, 0)), -($D82/12), ""),""), "")</f>
        <v/>
      </c>
      <c r="H82" s="142" t="str">
        <f t="shared" si="38"/>
        <v/>
      </c>
      <c r="I82" s="143" t="str">
        <f t="shared" si="38"/>
        <v/>
      </c>
      <c r="J82" s="144" t="str">
        <f t="shared" si="38"/>
        <v/>
      </c>
      <c r="K82" s="142" t="str">
        <f t="shared" si="38"/>
        <v/>
      </c>
      <c r="L82" s="143" t="str">
        <f t="shared" si="38"/>
        <v/>
      </c>
      <c r="M82" s="144" t="str">
        <f t="shared" si="38"/>
        <v/>
      </c>
      <c r="N82" s="142" t="str">
        <f t="shared" si="38"/>
        <v/>
      </c>
      <c r="O82" s="143" t="str">
        <f t="shared" si="38"/>
        <v/>
      </c>
      <c r="P82" s="144" t="str">
        <f t="shared" si="38"/>
        <v/>
      </c>
      <c r="Q82" s="142" t="str">
        <f t="shared" si="38"/>
        <v/>
      </c>
      <c r="R82" s="142" t="str">
        <f t="shared" si="38"/>
        <v/>
      </c>
      <c r="T82" s="142">
        <f t="shared" si="39"/>
        <v>0</v>
      </c>
    </row>
    <row r="83" hidden="1">
      <c r="A83" s="20"/>
      <c r="C83" s="214" t="s">
        <v>130</v>
      </c>
      <c r="D83" s="215"/>
      <c r="F83" s="210" t="s">
        <v>57</v>
      </c>
      <c r="G83" s="211" t="str">
        <f t="shared" ref="G83:R83" si="40">IF($D79="YES", if($D83="YES", IF(AND(G$1 &gt;= MATCH($D86, $G$2:$R$2, 0), G$1 &lt;= (MATCH($D86, $G$2:$R$2, 0) + $D85 - 1)), (($D82/12)*$D84),""),""), "")</f>
        <v/>
      </c>
      <c r="H83" s="211" t="str">
        <f t="shared" si="40"/>
        <v/>
      </c>
      <c r="I83" s="212" t="str">
        <f t="shared" si="40"/>
        <v/>
      </c>
      <c r="J83" s="213" t="str">
        <f t="shared" si="40"/>
        <v/>
      </c>
      <c r="K83" s="211" t="str">
        <f t="shared" si="40"/>
        <v/>
      </c>
      <c r="L83" s="212" t="str">
        <f t="shared" si="40"/>
        <v/>
      </c>
      <c r="M83" s="213" t="str">
        <f t="shared" si="40"/>
        <v/>
      </c>
      <c r="N83" s="211" t="str">
        <f t="shared" si="40"/>
        <v/>
      </c>
      <c r="O83" s="212" t="str">
        <f t="shared" si="40"/>
        <v/>
      </c>
      <c r="P83" s="213" t="str">
        <f t="shared" si="40"/>
        <v/>
      </c>
      <c r="Q83" s="211" t="str">
        <f t="shared" si="40"/>
        <v/>
      </c>
      <c r="R83" s="211" t="str">
        <f t="shared" si="40"/>
        <v/>
      </c>
      <c r="T83" s="211">
        <f t="shared" si="39"/>
        <v>0</v>
      </c>
    </row>
    <row r="84" hidden="1">
      <c r="A84" s="20"/>
      <c r="C84" s="214" t="s">
        <v>132</v>
      </c>
      <c r="D84" s="218"/>
    </row>
    <row r="85" hidden="1">
      <c r="A85" s="20"/>
      <c r="C85" s="214" t="s">
        <v>133</v>
      </c>
      <c r="D85" s="216"/>
    </row>
    <row r="86" hidden="1">
      <c r="A86" s="20"/>
      <c r="C86" s="214" t="s">
        <v>134</v>
      </c>
      <c r="D86" s="216"/>
    </row>
    <row r="87" ht="7.5" hidden="1" customHeight="1"/>
    <row r="88" hidden="1">
      <c r="A88" s="3"/>
      <c r="C88" s="214" t="s">
        <v>146</v>
      </c>
      <c r="D88" s="215" t="s">
        <v>131</v>
      </c>
    </row>
    <row r="89" hidden="1">
      <c r="A89" s="3"/>
      <c r="C89" s="214" t="s">
        <v>126</v>
      </c>
      <c r="D89" s="216"/>
    </row>
    <row r="90" hidden="1">
      <c r="A90" s="3"/>
      <c r="C90" s="214" t="s">
        <v>127</v>
      </c>
      <c r="D90" s="216"/>
      <c r="F90" s="217" t="str">
        <f>D90</f>
        <v/>
      </c>
      <c r="G90" s="46">
        <f t="shared" ref="G90:R90" si="41">G91+G92</f>
        <v>0</v>
      </c>
      <c r="H90" s="46">
        <f t="shared" si="41"/>
        <v>0</v>
      </c>
      <c r="I90" s="47">
        <f t="shared" si="41"/>
        <v>0</v>
      </c>
      <c r="J90" s="48">
        <f t="shared" si="41"/>
        <v>0</v>
      </c>
      <c r="K90" s="46">
        <f t="shared" si="41"/>
        <v>0</v>
      </c>
      <c r="L90" s="47">
        <f t="shared" si="41"/>
        <v>0</v>
      </c>
      <c r="M90" s="48">
        <f t="shared" si="41"/>
        <v>0</v>
      </c>
      <c r="N90" s="46">
        <f t="shared" si="41"/>
        <v>0</v>
      </c>
      <c r="O90" s="47">
        <f t="shared" si="41"/>
        <v>0</v>
      </c>
      <c r="P90" s="48">
        <f t="shared" si="41"/>
        <v>0</v>
      </c>
      <c r="Q90" s="46">
        <f t="shared" si="41"/>
        <v>0</v>
      </c>
      <c r="R90" s="46">
        <f t="shared" si="41"/>
        <v>0</v>
      </c>
      <c r="T90" s="46">
        <f t="shared" ref="T90:T92" si="43">SUM(G90:R90)</f>
        <v>0</v>
      </c>
    </row>
    <row r="91" hidden="1">
      <c r="A91" s="3"/>
      <c r="C91" s="214" t="s">
        <v>129</v>
      </c>
      <c r="D91" s="216"/>
      <c r="F91" s="111" t="s">
        <v>76</v>
      </c>
      <c r="G91" s="142" t="str">
        <f t="shared" ref="G91:R91" si="42">IF($D88="YES", IF($D89&gt;0,IF(AND(G$1 &gt;= MATCH($D89, $G$2:$R$2, 0)), -($D91/12), ""),""), "")</f>
        <v/>
      </c>
      <c r="H91" s="142" t="str">
        <f t="shared" si="42"/>
        <v/>
      </c>
      <c r="I91" s="143" t="str">
        <f t="shared" si="42"/>
        <v/>
      </c>
      <c r="J91" s="144" t="str">
        <f t="shared" si="42"/>
        <v/>
      </c>
      <c r="K91" s="142" t="str">
        <f t="shared" si="42"/>
        <v/>
      </c>
      <c r="L91" s="143" t="str">
        <f t="shared" si="42"/>
        <v/>
      </c>
      <c r="M91" s="144" t="str">
        <f t="shared" si="42"/>
        <v/>
      </c>
      <c r="N91" s="142" t="str">
        <f t="shared" si="42"/>
        <v/>
      </c>
      <c r="O91" s="143" t="str">
        <f t="shared" si="42"/>
        <v/>
      </c>
      <c r="P91" s="144" t="str">
        <f t="shared" si="42"/>
        <v/>
      </c>
      <c r="Q91" s="142" t="str">
        <f t="shared" si="42"/>
        <v/>
      </c>
      <c r="R91" s="142" t="str">
        <f t="shared" si="42"/>
        <v/>
      </c>
      <c r="T91" s="142">
        <f t="shared" si="43"/>
        <v>0</v>
      </c>
    </row>
    <row r="92" hidden="1">
      <c r="A92" s="20"/>
      <c r="C92" s="214" t="s">
        <v>130</v>
      </c>
      <c r="D92" s="215"/>
      <c r="F92" s="210" t="s">
        <v>57</v>
      </c>
      <c r="G92" s="211" t="str">
        <f t="shared" ref="G92:R92" si="44">IF($D88="YES", if($D92="YES", IF(AND(G$1 &gt;= MATCH($D95, $G$2:$R$2, 0), G$1 &lt;= (MATCH($D95, $G$2:$R$2, 0) + $D94 - 1)), (($D91/12)*$D93),""),""), "")</f>
        <v/>
      </c>
      <c r="H92" s="211" t="str">
        <f t="shared" si="44"/>
        <v/>
      </c>
      <c r="I92" s="212" t="str">
        <f t="shared" si="44"/>
        <v/>
      </c>
      <c r="J92" s="213" t="str">
        <f t="shared" si="44"/>
        <v/>
      </c>
      <c r="K92" s="211" t="str">
        <f t="shared" si="44"/>
        <v/>
      </c>
      <c r="L92" s="212" t="str">
        <f t="shared" si="44"/>
        <v/>
      </c>
      <c r="M92" s="213" t="str">
        <f t="shared" si="44"/>
        <v/>
      </c>
      <c r="N92" s="211" t="str">
        <f t="shared" si="44"/>
        <v/>
      </c>
      <c r="O92" s="212" t="str">
        <f t="shared" si="44"/>
        <v/>
      </c>
      <c r="P92" s="213" t="str">
        <f t="shared" si="44"/>
        <v/>
      </c>
      <c r="Q92" s="211" t="str">
        <f t="shared" si="44"/>
        <v/>
      </c>
      <c r="R92" s="211" t="str">
        <f t="shared" si="44"/>
        <v/>
      </c>
      <c r="T92" s="211">
        <f t="shared" si="43"/>
        <v>0</v>
      </c>
    </row>
    <row r="93" hidden="1">
      <c r="A93" s="20"/>
      <c r="C93" s="214" t="s">
        <v>132</v>
      </c>
      <c r="D93" s="218"/>
    </row>
    <row r="94" hidden="1">
      <c r="A94" s="20"/>
      <c r="C94" s="214" t="s">
        <v>133</v>
      </c>
      <c r="D94" s="216"/>
    </row>
    <row r="95" hidden="1">
      <c r="A95" s="20"/>
      <c r="C95" s="214" t="s">
        <v>134</v>
      </c>
      <c r="D95" s="216"/>
    </row>
    <row r="96" ht="7.5" hidden="1" customHeight="1"/>
    <row r="97" hidden="1">
      <c r="A97" s="3"/>
      <c r="C97" s="214" t="s">
        <v>147</v>
      </c>
      <c r="D97" s="215" t="s">
        <v>131</v>
      </c>
    </row>
    <row r="98" hidden="1">
      <c r="A98" s="3"/>
      <c r="C98" s="214" t="s">
        <v>126</v>
      </c>
      <c r="D98" s="216"/>
    </row>
    <row r="99" hidden="1">
      <c r="A99" s="3"/>
      <c r="C99" s="214" t="s">
        <v>127</v>
      </c>
      <c r="D99" s="216"/>
      <c r="F99" s="217" t="str">
        <f>D99</f>
        <v/>
      </c>
      <c r="G99" s="46">
        <f t="shared" ref="G99:R99" si="45">G100+G101</f>
        <v>0</v>
      </c>
      <c r="H99" s="46">
        <f t="shared" si="45"/>
        <v>0</v>
      </c>
      <c r="I99" s="47">
        <f t="shared" si="45"/>
        <v>0</v>
      </c>
      <c r="J99" s="48">
        <f t="shared" si="45"/>
        <v>0</v>
      </c>
      <c r="K99" s="46">
        <f t="shared" si="45"/>
        <v>0</v>
      </c>
      <c r="L99" s="47">
        <f t="shared" si="45"/>
        <v>0</v>
      </c>
      <c r="M99" s="48">
        <f t="shared" si="45"/>
        <v>0</v>
      </c>
      <c r="N99" s="46">
        <f t="shared" si="45"/>
        <v>0</v>
      </c>
      <c r="O99" s="47">
        <f t="shared" si="45"/>
        <v>0</v>
      </c>
      <c r="P99" s="48">
        <f t="shared" si="45"/>
        <v>0</v>
      </c>
      <c r="Q99" s="46">
        <f t="shared" si="45"/>
        <v>0</v>
      </c>
      <c r="R99" s="46">
        <f t="shared" si="45"/>
        <v>0</v>
      </c>
      <c r="T99" s="46">
        <f t="shared" ref="T99:T101" si="47">SUM(G99:R99)</f>
        <v>0</v>
      </c>
    </row>
    <row r="100" hidden="1">
      <c r="A100" s="3"/>
      <c r="C100" s="214" t="s">
        <v>129</v>
      </c>
      <c r="D100" s="216"/>
      <c r="F100" s="111" t="s">
        <v>76</v>
      </c>
      <c r="G100" s="142" t="str">
        <f t="shared" ref="G100:R100" si="46">IF($D97="YES", IF($D98&gt;0,IF(AND(G$1 &gt;= MATCH($D98, $G$2:$R$2, 0)), -($D100/12), ""),""), "")</f>
        <v/>
      </c>
      <c r="H100" s="142" t="str">
        <f t="shared" si="46"/>
        <v/>
      </c>
      <c r="I100" s="143" t="str">
        <f t="shared" si="46"/>
        <v/>
      </c>
      <c r="J100" s="144" t="str">
        <f t="shared" si="46"/>
        <v/>
      </c>
      <c r="K100" s="142" t="str">
        <f t="shared" si="46"/>
        <v/>
      </c>
      <c r="L100" s="143" t="str">
        <f t="shared" si="46"/>
        <v/>
      </c>
      <c r="M100" s="144" t="str">
        <f t="shared" si="46"/>
        <v/>
      </c>
      <c r="N100" s="142" t="str">
        <f t="shared" si="46"/>
        <v/>
      </c>
      <c r="O100" s="143" t="str">
        <f t="shared" si="46"/>
        <v/>
      </c>
      <c r="P100" s="144" t="str">
        <f t="shared" si="46"/>
        <v/>
      </c>
      <c r="Q100" s="142" t="str">
        <f t="shared" si="46"/>
        <v/>
      </c>
      <c r="R100" s="142" t="str">
        <f t="shared" si="46"/>
        <v/>
      </c>
      <c r="T100" s="142">
        <f t="shared" si="47"/>
        <v>0</v>
      </c>
    </row>
    <row r="101" hidden="1">
      <c r="A101" s="20"/>
      <c r="C101" s="214" t="s">
        <v>130</v>
      </c>
      <c r="D101" s="215"/>
      <c r="F101" s="210" t="s">
        <v>57</v>
      </c>
      <c r="G101" s="211" t="str">
        <f t="shared" ref="G101:R101" si="48">IF($D97="YES", if($D101="YES", IF(AND(G$1 &gt;= MATCH($D104, $G$2:$R$2, 0), G$1 &lt;= (MATCH($D104, $G$2:$R$2, 0) + $D103 - 1)), (($D100/12)*$D102),""),""), "")</f>
        <v/>
      </c>
      <c r="H101" s="211" t="str">
        <f t="shared" si="48"/>
        <v/>
      </c>
      <c r="I101" s="212" t="str">
        <f t="shared" si="48"/>
        <v/>
      </c>
      <c r="J101" s="213" t="str">
        <f t="shared" si="48"/>
        <v/>
      </c>
      <c r="K101" s="211" t="str">
        <f t="shared" si="48"/>
        <v/>
      </c>
      <c r="L101" s="212" t="str">
        <f t="shared" si="48"/>
        <v/>
      </c>
      <c r="M101" s="213" t="str">
        <f t="shared" si="48"/>
        <v/>
      </c>
      <c r="N101" s="211" t="str">
        <f t="shared" si="48"/>
        <v/>
      </c>
      <c r="O101" s="212" t="str">
        <f t="shared" si="48"/>
        <v/>
      </c>
      <c r="P101" s="213" t="str">
        <f t="shared" si="48"/>
        <v/>
      </c>
      <c r="Q101" s="211" t="str">
        <f t="shared" si="48"/>
        <v/>
      </c>
      <c r="R101" s="211" t="str">
        <f t="shared" si="48"/>
        <v/>
      </c>
      <c r="T101" s="211">
        <f t="shared" si="47"/>
        <v>0</v>
      </c>
    </row>
    <row r="102" hidden="1">
      <c r="A102" s="20"/>
      <c r="C102" s="214" t="s">
        <v>132</v>
      </c>
      <c r="D102" s="218"/>
    </row>
    <row r="103" hidden="1">
      <c r="A103" s="20"/>
      <c r="C103" s="214" t="s">
        <v>133</v>
      </c>
      <c r="D103" s="216"/>
    </row>
    <row r="104" hidden="1">
      <c r="A104" s="20"/>
      <c r="C104" s="214" t="s">
        <v>134</v>
      </c>
      <c r="D104" s="216"/>
    </row>
    <row r="105" ht="7.5" hidden="1" customHeight="1"/>
    <row r="106" hidden="1">
      <c r="A106" s="3"/>
      <c r="C106" s="214" t="s">
        <v>148</v>
      </c>
      <c r="D106" s="215" t="s">
        <v>131</v>
      </c>
    </row>
    <row r="107" hidden="1">
      <c r="A107" s="3"/>
      <c r="C107" s="214" t="s">
        <v>126</v>
      </c>
      <c r="D107" s="216"/>
    </row>
    <row r="108" hidden="1">
      <c r="A108" s="3"/>
      <c r="C108" s="214" t="s">
        <v>127</v>
      </c>
      <c r="D108" s="216"/>
      <c r="F108" s="217" t="str">
        <f>D108</f>
        <v/>
      </c>
      <c r="G108" s="46">
        <f t="shared" ref="G108:R108" si="49">G109+G110</f>
        <v>0</v>
      </c>
      <c r="H108" s="46">
        <f t="shared" si="49"/>
        <v>0</v>
      </c>
      <c r="I108" s="47">
        <f t="shared" si="49"/>
        <v>0</v>
      </c>
      <c r="J108" s="48">
        <f t="shared" si="49"/>
        <v>0</v>
      </c>
      <c r="K108" s="46">
        <f t="shared" si="49"/>
        <v>0</v>
      </c>
      <c r="L108" s="47">
        <f t="shared" si="49"/>
        <v>0</v>
      </c>
      <c r="M108" s="48">
        <f t="shared" si="49"/>
        <v>0</v>
      </c>
      <c r="N108" s="46">
        <f t="shared" si="49"/>
        <v>0</v>
      </c>
      <c r="O108" s="47">
        <f t="shared" si="49"/>
        <v>0</v>
      </c>
      <c r="P108" s="48">
        <f t="shared" si="49"/>
        <v>0</v>
      </c>
      <c r="Q108" s="46">
        <f t="shared" si="49"/>
        <v>0</v>
      </c>
      <c r="R108" s="46">
        <f t="shared" si="49"/>
        <v>0</v>
      </c>
      <c r="T108" s="46">
        <f t="shared" ref="T108:T110" si="51">SUM(G108:R108)</f>
        <v>0</v>
      </c>
    </row>
    <row r="109" hidden="1">
      <c r="A109" s="3"/>
      <c r="C109" s="214" t="s">
        <v>129</v>
      </c>
      <c r="D109" s="216"/>
      <c r="F109" s="111" t="s">
        <v>76</v>
      </c>
      <c r="G109" s="142" t="str">
        <f t="shared" ref="G109:R109" si="50">IF($D106="YES", IF($D107&gt;0,IF(AND(G$1 &gt;= MATCH($D107, $G$2:$R$2, 0)), -($D109/12), ""),""), "")</f>
        <v/>
      </c>
      <c r="H109" s="142" t="str">
        <f t="shared" si="50"/>
        <v/>
      </c>
      <c r="I109" s="143" t="str">
        <f t="shared" si="50"/>
        <v/>
      </c>
      <c r="J109" s="144" t="str">
        <f t="shared" si="50"/>
        <v/>
      </c>
      <c r="K109" s="142" t="str">
        <f t="shared" si="50"/>
        <v/>
      </c>
      <c r="L109" s="143" t="str">
        <f t="shared" si="50"/>
        <v/>
      </c>
      <c r="M109" s="144" t="str">
        <f t="shared" si="50"/>
        <v/>
      </c>
      <c r="N109" s="142" t="str">
        <f t="shared" si="50"/>
        <v/>
      </c>
      <c r="O109" s="143" t="str">
        <f t="shared" si="50"/>
        <v/>
      </c>
      <c r="P109" s="144" t="str">
        <f t="shared" si="50"/>
        <v/>
      </c>
      <c r="Q109" s="142" t="str">
        <f t="shared" si="50"/>
        <v/>
      </c>
      <c r="R109" s="142" t="str">
        <f t="shared" si="50"/>
        <v/>
      </c>
      <c r="T109" s="142">
        <f t="shared" si="51"/>
        <v>0</v>
      </c>
    </row>
    <row r="110" hidden="1">
      <c r="A110" s="20"/>
      <c r="C110" s="214" t="s">
        <v>130</v>
      </c>
      <c r="D110" s="215"/>
      <c r="F110" s="210" t="s">
        <v>57</v>
      </c>
      <c r="G110" s="211" t="str">
        <f t="shared" ref="G110:R110" si="52">IF($D106="YES", if($D110="YES", IF(AND(G$1 &gt;= MATCH($D113, $G$2:$R$2, 0), G$1 &lt;= (MATCH($D113, $G$2:$R$2, 0) + $D112 - 1)), (($D109/12)*$D111),""),""), "")</f>
        <v/>
      </c>
      <c r="H110" s="211" t="str">
        <f t="shared" si="52"/>
        <v/>
      </c>
      <c r="I110" s="212" t="str">
        <f t="shared" si="52"/>
        <v/>
      </c>
      <c r="J110" s="213" t="str">
        <f t="shared" si="52"/>
        <v/>
      </c>
      <c r="K110" s="211" t="str">
        <f t="shared" si="52"/>
        <v/>
      </c>
      <c r="L110" s="212" t="str">
        <f t="shared" si="52"/>
        <v/>
      </c>
      <c r="M110" s="213" t="str">
        <f t="shared" si="52"/>
        <v/>
      </c>
      <c r="N110" s="211" t="str">
        <f t="shared" si="52"/>
        <v/>
      </c>
      <c r="O110" s="212" t="str">
        <f t="shared" si="52"/>
        <v/>
      </c>
      <c r="P110" s="213" t="str">
        <f t="shared" si="52"/>
        <v/>
      </c>
      <c r="Q110" s="211" t="str">
        <f t="shared" si="52"/>
        <v/>
      </c>
      <c r="R110" s="211" t="str">
        <f t="shared" si="52"/>
        <v/>
      </c>
      <c r="T110" s="211">
        <f t="shared" si="51"/>
        <v>0</v>
      </c>
    </row>
    <row r="111" hidden="1">
      <c r="A111" s="20"/>
      <c r="C111" s="214" t="s">
        <v>132</v>
      </c>
      <c r="D111" s="218"/>
    </row>
    <row r="112" hidden="1">
      <c r="A112" s="20"/>
      <c r="C112" s="214" t="s">
        <v>133</v>
      </c>
      <c r="D112" s="216"/>
    </row>
    <row r="113" hidden="1">
      <c r="A113" s="20"/>
      <c r="C113" s="214" t="s">
        <v>134</v>
      </c>
      <c r="D113" s="216"/>
    </row>
    <row r="114" ht="7.5" customHeight="1"/>
  </sheetData>
  <dataValidations>
    <dataValidation type="list" allowBlank="1" showErrorMessage="1" sqref="D8 D14 D17 D23 D26 D32 D35 D41 D44 D50 D53 D59 D62 D68 D71 D77 D80 D86 D89 D95 D98 D104 D107 D113">
      <formula1>Headcount!$G$2:$R$2</formula1>
    </dataValidation>
    <dataValidation type="list" allowBlank="1" showErrorMessage="1" sqref="D2 D7 D11 D16 D20 D25 D29 D34 D38 D43 D47 D52 D56 D61 D65 D70 D74 D79 D83 D88 D92 D97 D101 D106 D110">
      <formula1>"YES,NO"</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5"/>
    <col customWidth="1" min="2" max="2" width="31.75"/>
    <col customWidth="1" min="3" max="3" width="11.75"/>
    <col customWidth="1" min="4" max="4" width="14.25"/>
    <col customWidth="1" min="5" max="5" width="15.38"/>
    <col customWidth="1" min="6" max="6" width="12.5"/>
    <col customWidth="1" min="7" max="7" width="16.0"/>
    <col customWidth="1" min="8" max="8" width="12.63"/>
    <col customWidth="1" min="9" max="9" width="12.0"/>
    <col customWidth="1" min="10" max="10" width="10.75"/>
    <col customWidth="1" min="11" max="12" width="13.63"/>
    <col customWidth="1" min="13" max="13" width="3.63"/>
    <col customWidth="1" hidden="1" min="14" max="18" width="18.25"/>
  </cols>
  <sheetData>
    <row r="1" ht="10.5" customHeight="1">
      <c r="A1" s="220"/>
      <c r="B1" s="221"/>
      <c r="C1" s="222"/>
      <c r="D1" s="222"/>
      <c r="E1" s="223"/>
      <c r="F1" s="223"/>
      <c r="G1" s="222"/>
      <c r="H1" s="223"/>
      <c r="I1" s="223"/>
      <c r="J1" s="222"/>
      <c r="K1" s="223"/>
      <c r="L1" s="224"/>
      <c r="M1" s="220"/>
      <c r="N1" s="220"/>
      <c r="O1" s="225" t="s">
        <v>149</v>
      </c>
      <c r="Q1" s="225" t="s">
        <v>150</v>
      </c>
    </row>
    <row r="2">
      <c r="A2" s="220"/>
      <c r="B2" s="226" t="s">
        <v>151</v>
      </c>
      <c r="C2" s="226" t="s">
        <v>152</v>
      </c>
      <c r="D2" s="226" t="s">
        <v>153</v>
      </c>
      <c r="E2" s="227" t="s">
        <v>154</v>
      </c>
      <c r="F2" s="227" t="s">
        <v>155</v>
      </c>
      <c r="G2" s="226" t="s">
        <v>156</v>
      </c>
      <c r="H2" s="228" t="s">
        <v>157</v>
      </c>
      <c r="I2" s="229" t="s">
        <v>149</v>
      </c>
      <c r="J2" s="230" t="s">
        <v>158</v>
      </c>
      <c r="K2" s="231" t="s">
        <v>159</v>
      </c>
      <c r="L2" s="232" t="s">
        <v>87</v>
      </c>
      <c r="M2" s="220"/>
      <c r="N2" s="220"/>
      <c r="O2" s="225" t="s">
        <v>160</v>
      </c>
      <c r="P2" s="225" t="s">
        <v>161</v>
      </c>
      <c r="Q2" s="225" t="s">
        <v>160</v>
      </c>
      <c r="R2" s="225" t="s">
        <v>161</v>
      </c>
    </row>
    <row r="3">
      <c r="A3" s="220"/>
      <c r="B3" s="233" t="s">
        <v>162</v>
      </c>
      <c r="C3" s="234" t="s">
        <v>160</v>
      </c>
      <c r="D3" s="234" t="s">
        <v>25</v>
      </c>
      <c r="E3" s="235" t="s">
        <v>163</v>
      </c>
      <c r="F3" s="236">
        <f t="shared" ref="F3:F6" si="2">(35000)/4</f>
        <v>8750</v>
      </c>
      <c r="G3" s="234" t="s">
        <v>33</v>
      </c>
      <c r="H3" s="237">
        <v>6300.0</v>
      </c>
      <c r="I3" s="238">
        <f>IFERROR(IF(C3="","",IF(C3="MRR",VLOOKUP(D3,$N$1:$P$21,2,false),if(C3="DEMOs",(VLOOKUP(D3,$N$1:$P$21,3,FALSE)),""))),"")</f>
        <v>0</v>
      </c>
      <c r="J3" s="239" t="str">
        <f t="shared" ref="J3:J291" si="3">IF(I3="","",(IF(I3&gt;=H3,"YES","NO")))</f>
        <v>NO</v>
      </c>
      <c r="K3" s="240" t="str">
        <f t="shared" ref="K3:K291" si="4">if(E3="Lump sum",if(J3="YES",F3,""),if(E3="Accelerator",if(J3="YES",(I3*F3)-I3,""),""))</f>
        <v/>
      </c>
      <c r="L3" s="234"/>
      <c r="M3" s="220"/>
      <c r="N3" s="241" t="s">
        <v>164</v>
      </c>
      <c r="O3" s="242">
        <f t="shared" ref="O3:R3" si="1">SUM(O4:O5)</f>
        <v>0</v>
      </c>
      <c r="P3" s="242">
        <f t="shared" si="1"/>
        <v>0</v>
      </c>
      <c r="Q3" s="242">
        <f t="shared" si="1"/>
        <v>35000</v>
      </c>
      <c r="R3" s="242">
        <f t="shared" si="1"/>
        <v>133</v>
      </c>
    </row>
    <row r="4">
      <c r="A4" s="220"/>
      <c r="B4" s="233" t="s">
        <v>165</v>
      </c>
      <c r="C4" s="234" t="s">
        <v>160</v>
      </c>
      <c r="D4" s="234" t="s">
        <v>26</v>
      </c>
      <c r="E4" s="235" t="s">
        <v>163</v>
      </c>
      <c r="F4" s="236">
        <f t="shared" si="2"/>
        <v>8750</v>
      </c>
      <c r="G4" s="234" t="s">
        <v>36</v>
      </c>
      <c r="H4" s="237">
        <v>8050.0</v>
      </c>
      <c r="I4" s="238">
        <f>IFERROR(IF(C4="","", IF(C4="MRR",VLOOKUP(D4,$N$1:$P$21,2,false),if(C4="DEMOs",(VLOOKUP(D4,$N$1:$P$21,3,FALSE)),""))),"")</f>
        <v>0</v>
      </c>
      <c r="J4" s="239" t="str">
        <f t="shared" si="3"/>
        <v>NO</v>
      </c>
      <c r="K4" s="240" t="str">
        <f t="shared" si="4"/>
        <v/>
      </c>
      <c r="L4" s="234"/>
      <c r="M4" s="220"/>
      <c r="N4" s="225" t="s">
        <v>166</v>
      </c>
      <c r="O4" s="242">
        <f t="shared" ref="O4:R4" si="5">SUM(O6:O7)</f>
        <v>0</v>
      </c>
      <c r="P4" s="242">
        <f t="shared" si="5"/>
        <v>0</v>
      </c>
      <c r="Q4" s="242">
        <f t="shared" si="5"/>
        <v>15050</v>
      </c>
      <c r="R4" s="242">
        <f t="shared" si="5"/>
        <v>53</v>
      </c>
    </row>
    <row r="5">
      <c r="A5" s="220"/>
      <c r="B5" s="233" t="s">
        <v>167</v>
      </c>
      <c r="C5" s="234" t="s">
        <v>160</v>
      </c>
      <c r="D5" s="234" t="s">
        <v>27</v>
      </c>
      <c r="E5" s="235" t="s">
        <v>163</v>
      </c>
      <c r="F5" s="236">
        <f t="shared" si="2"/>
        <v>8750</v>
      </c>
      <c r="G5" s="234" t="s">
        <v>39</v>
      </c>
      <c r="H5" s="237">
        <v>7700.0</v>
      </c>
      <c r="I5" s="238">
        <f t="shared" ref="I5:I291" si="7">IFERROR(IF(C5="","",IF(C5="MRR",VLOOKUP(D5,$N$1:$P$21,2,false),if(C5="DEMOs",(VLOOKUP(D5,$N$1:$P$21,3,FALSE)),""))),"")</f>
        <v>0</v>
      </c>
      <c r="J5" s="239" t="str">
        <f t="shared" si="3"/>
        <v>NO</v>
      </c>
      <c r="K5" s="240" t="str">
        <f t="shared" si="4"/>
        <v/>
      </c>
      <c r="L5" s="234"/>
      <c r="M5" s="220"/>
      <c r="N5" s="225" t="s">
        <v>168</v>
      </c>
      <c r="O5" s="242">
        <f t="shared" ref="O5:R5" si="6">SUM(O8:O9)</f>
        <v>0</v>
      </c>
      <c r="P5" s="242">
        <f t="shared" si="6"/>
        <v>0</v>
      </c>
      <c r="Q5" s="242">
        <f t="shared" si="6"/>
        <v>19950</v>
      </c>
      <c r="R5" s="242">
        <f t="shared" si="6"/>
        <v>80</v>
      </c>
    </row>
    <row r="6">
      <c r="A6" s="220"/>
      <c r="B6" s="233" t="s">
        <v>169</v>
      </c>
      <c r="C6" s="234" t="s">
        <v>160</v>
      </c>
      <c r="D6" s="234" t="s">
        <v>28</v>
      </c>
      <c r="E6" s="235" t="s">
        <v>163</v>
      </c>
      <c r="F6" s="236">
        <f t="shared" si="2"/>
        <v>8750</v>
      </c>
      <c r="G6" s="234" t="s">
        <v>42</v>
      </c>
      <c r="H6" s="237">
        <v>12950.0</v>
      </c>
      <c r="I6" s="238">
        <f t="shared" si="7"/>
        <v>0</v>
      </c>
      <c r="J6" s="239" t="str">
        <f t="shared" si="3"/>
        <v>NO</v>
      </c>
      <c r="K6" s="240" t="str">
        <f t="shared" si="4"/>
        <v/>
      </c>
      <c r="L6" s="234"/>
      <c r="M6" s="220"/>
      <c r="N6" s="225" t="s">
        <v>25</v>
      </c>
      <c r="O6" s="242">
        <f t="shared" ref="O6:R6" si="8">SUM(O10:O12)</f>
        <v>0</v>
      </c>
      <c r="P6" s="242">
        <f t="shared" si="8"/>
        <v>0</v>
      </c>
      <c r="Q6" s="242">
        <f t="shared" si="8"/>
        <v>6300</v>
      </c>
      <c r="R6" s="242">
        <f t="shared" si="8"/>
        <v>21</v>
      </c>
    </row>
    <row r="7">
      <c r="A7" s="220"/>
      <c r="B7" s="233" t="s">
        <v>170</v>
      </c>
      <c r="C7" s="234" t="s">
        <v>171</v>
      </c>
      <c r="D7" s="234" t="s">
        <v>25</v>
      </c>
      <c r="E7" s="235" t="s">
        <v>163</v>
      </c>
      <c r="F7" s="243">
        <f>SUMIF('Demand Generation Plan'!C:C,"=Q1",'Demand Generation Plan'!F:F)*0.5</f>
        <v>8450</v>
      </c>
      <c r="G7" s="234" t="s">
        <v>33</v>
      </c>
      <c r="H7" s="237" t="str">
        <f t="shared" ref="H7:H291" si="10">if(E7="Lump sum","",if(E7="Accelerator",IF(C7="MRR",VLOOKUP(D7,$N$1:$R$21,4,false),if(C7="DEMOs",VLOOKUP(D7,$N$1:$R$21,5,FALSE),"")),""))</f>
        <v/>
      </c>
      <c r="I7" s="238">
        <f t="shared" si="7"/>
        <v>0</v>
      </c>
      <c r="J7" s="239" t="str">
        <f t="shared" si="3"/>
        <v>NO</v>
      </c>
      <c r="K7" s="240" t="str">
        <f t="shared" si="4"/>
        <v/>
      </c>
      <c r="L7" s="234"/>
      <c r="M7" s="220"/>
      <c r="N7" s="225" t="s">
        <v>26</v>
      </c>
      <c r="O7" s="242">
        <f t="shared" ref="O7:R7" si="9">SUM(O13:O15)</f>
        <v>0</v>
      </c>
      <c r="P7" s="242">
        <f t="shared" si="9"/>
        <v>0</v>
      </c>
      <c r="Q7" s="242">
        <f t="shared" si="9"/>
        <v>8750</v>
      </c>
      <c r="R7" s="242">
        <f t="shared" si="9"/>
        <v>32</v>
      </c>
    </row>
    <row r="8">
      <c r="A8" s="220"/>
      <c r="B8" s="233" t="s">
        <v>172</v>
      </c>
      <c r="C8" s="234" t="s">
        <v>171</v>
      </c>
      <c r="D8" s="234" t="s">
        <v>26</v>
      </c>
      <c r="E8" s="235" t="s">
        <v>163</v>
      </c>
      <c r="F8" s="243">
        <f>SUMIF('Demand Generation Plan'!C:C,"=Q2",'Demand Generation Plan'!F:F)*0.5</f>
        <v>4800</v>
      </c>
      <c r="G8" s="234" t="s">
        <v>36</v>
      </c>
      <c r="H8" s="237" t="str">
        <f t="shared" si="10"/>
        <v/>
      </c>
      <c r="I8" s="238">
        <f t="shared" si="7"/>
        <v>0</v>
      </c>
      <c r="J8" s="239" t="str">
        <f t="shared" si="3"/>
        <v>NO</v>
      </c>
      <c r="K8" s="240" t="str">
        <f t="shared" si="4"/>
        <v/>
      </c>
      <c r="L8" s="234"/>
      <c r="M8" s="220"/>
      <c r="N8" s="225" t="s">
        <v>27</v>
      </c>
      <c r="O8" s="242">
        <f t="shared" ref="O8:R8" si="11">SUM(O16:O18)</f>
        <v>0</v>
      </c>
      <c r="P8" s="242">
        <f t="shared" si="11"/>
        <v>0</v>
      </c>
      <c r="Q8" s="242">
        <f t="shared" si="11"/>
        <v>9100</v>
      </c>
      <c r="R8" s="242">
        <f t="shared" si="11"/>
        <v>43</v>
      </c>
    </row>
    <row r="9">
      <c r="A9" s="220"/>
      <c r="B9" s="233" t="s">
        <v>173</v>
      </c>
      <c r="C9" s="234" t="s">
        <v>171</v>
      </c>
      <c r="D9" s="234" t="s">
        <v>27</v>
      </c>
      <c r="E9" s="235" t="s">
        <v>163</v>
      </c>
      <c r="F9" s="243">
        <f>SUMIF('Demand Generation Plan'!C:C,"=Q3",'Demand Generation Plan'!F:F)*0.5</f>
        <v>5300</v>
      </c>
      <c r="G9" s="234" t="s">
        <v>39</v>
      </c>
      <c r="H9" s="237" t="str">
        <f t="shared" si="10"/>
        <v/>
      </c>
      <c r="I9" s="238">
        <f t="shared" si="7"/>
        <v>0</v>
      </c>
      <c r="J9" s="239" t="str">
        <f t="shared" si="3"/>
        <v>NO</v>
      </c>
      <c r="K9" s="240" t="str">
        <f t="shared" si="4"/>
        <v/>
      </c>
      <c r="L9" s="234"/>
      <c r="M9" s="220"/>
      <c r="N9" s="225" t="s">
        <v>28</v>
      </c>
      <c r="O9" s="242">
        <f t="shared" ref="O9:R9" si="12">SUM(O19:O21)</f>
        <v>0</v>
      </c>
      <c r="P9" s="242">
        <f t="shared" si="12"/>
        <v>0</v>
      </c>
      <c r="Q9" s="242">
        <f t="shared" si="12"/>
        <v>10850</v>
      </c>
      <c r="R9" s="242">
        <f t="shared" si="12"/>
        <v>37</v>
      </c>
    </row>
    <row r="10">
      <c r="A10" s="220"/>
      <c r="B10" s="233" t="s">
        <v>174</v>
      </c>
      <c r="C10" s="234" t="s">
        <v>171</v>
      </c>
      <c r="D10" s="234" t="s">
        <v>28</v>
      </c>
      <c r="E10" s="235" t="s">
        <v>163</v>
      </c>
      <c r="F10" s="243">
        <f>SUMIF('Demand Generation Plan'!C:C,"=Q4",'Demand Generation Plan'!F:F)*0.5</f>
        <v>5800</v>
      </c>
      <c r="G10" s="234" t="s">
        <v>42</v>
      </c>
      <c r="H10" s="237" t="str">
        <f t="shared" si="10"/>
        <v/>
      </c>
      <c r="I10" s="238">
        <f t="shared" si="7"/>
        <v>0</v>
      </c>
      <c r="J10" s="239" t="str">
        <f t="shared" si="3"/>
        <v>NO</v>
      </c>
      <c r="K10" s="240" t="str">
        <f t="shared" si="4"/>
        <v/>
      </c>
      <c r="L10" s="234"/>
      <c r="M10" s="220"/>
      <c r="N10" s="225" t="s">
        <v>31</v>
      </c>
      <c r="O10" s="242">
        <f>'Actual v Plan'!E12</f>
        <v>0</v>
      </c>
      <c r="P10" s="242">
        <f>'Actual v Plan'!E5</f>
        <v>0</v>
      </c>
      <c r="Q10" s="242">
        <f>'Actual v Plan'!D12</f>
        <v>1750</v>
      </c>
      <c r="R10" s="242">
        <f>'Actual v Plan'!D5</f>
        <v>5</v>
      </c>
    </row>
    <row r="11">
      <c r="A11" s="220"/>
      <c r="B11" s="244"/>
      <c r="C11" s="245"/>
      <c r="D11" s="246"/>
      <c r="E11" s="235"/>
      <c r="F11" s="243"/>
      <c r="G11" s="234"/>
      <c r="H11" s="237" t="str">
        <f t="shared" si="10"/>
        <v/>
      </c>
      <c r="I11" s="238" t="str">
        <f t="shared" si="7"/>
        <v/>
      </c>
      <c r="J11" s="239" t="str">
        <f t="shared" si="3"/>
        <v/>
      </c>
      <c r="K11" s="240" t="str">
        <f t="shared" si="4"/>
        <v/>
      </c>
      <c r="L11" s="234"/>
      <c r="M11" s="220"/>
      <c r="N11" s="225" t="s">
        <v>32</v>
      </c>
      <c r="O11" s="242">
        <f>'Actual v Plan'!J12</f>
        <v>0</v>
      </c>
      <c r="P11" s="242">
        <f>'Actual v Plan'!J5</f>
        <v>0</v>
      </c>
      <c r="Q11" s="242">
        <f>'Actual v Plan'!I12</f>
        <v>2100</v>
      </c>
      <c r="R11" s="242">
        <f>'Actual v Plan'!I5</f>
        <v>5</v>
      </c>
    </row>
    <row r="12">
      <c r="A12" s="220"/>
      <c r="B12" s="244"/>
      <c r="C12" s="245"/>
      <c r="D12" s="246"/>
      <c r="E12" s="235"/>
      <c r="F12" s="243"/>
      <c r="G12" s="234"/>
      <c r="H12" s="237" t="str">
        <f t="shared" si="10"/>
        <v/>
      </c>
      <c r="I12" s="238" t="str">
        <f t="shared" si="7"/>
        <v/>
      </c>
      <c r="J12" s="239" t="str">
        <f t="shared" si="3"/>
        <v/>
      </c>
      <c r="K12" s="240" t="str">
        <f t="shared" si="4"/>
        <v/>
      </c>
      <c r="L12" s="234"/>
      <c r="M12" s="220"/>
      <c r="N12" s="225" t="s">
        <v>33</v>
      </c>
      <c r="O12" s="242">
        <f>'Actual v Plan'!O12</f>
        <v>0</v>
      </c>
      <c r="P12" s="242">
        <f>'Actual v Plan'!O5</f>
        <v>0</v>
      </c>
      <c r="Q12" s="242">
        <f>'Actual v Plan'!N12</f>
        <v>2450</v>
      </c>
      <c r="R12" s="242">
        <f>'Actual v Plan'!N5</f>
        <v>11</v>
      </c>
    </row>
    <row r="13">
      <c r="A13" s="220"/>
      <c r="B13" s="244"/>
      <c r="C13" s="245"/>
      <c r="D13" s="246"/>
      <c r="E13" s="235"/>
      <c r="F13" s="243"/>
      <c r="G13" s="234"/>
      <c r="H13" s="237" t="str">
        <f t="shared" si="10"/>
        <v/>
      </c>
      <c r="I13" s="238" t="str">
        <f t="shared" si="7"/>
        <v/>
      </c>
      <c r="J13" s="239" t="str">
        <f t="shared" si="3"/>
        <v/>
      </c>
      <c r="K13" s="240" t="str">
        <f t="shared" si="4"/>
        <v/>
      </c>
      <c r="L13" s="234"/>
      <c r="M13" s="220"/>
      <c r="N13" s="225" t="s">
        <v>34</v>
      </c>
      <c r="O13" s="242">
        <f>SUM('Actual v Plan'!T12)</f>
        <v>0</v>
      </c>
      <c r="P13" s="242">
        <f>SUM('Actual v Plan'!T5)</f>
        <v>0</v>
      </c>
      <c r="Q13" s="242">
        <f>SUM('Actual v Plan'!S12)</f>
        <v>2100</v>
      </c>
      <c r="R13" s="242">
        <f>SUM('Actual v Plan'!S5)</f>
        <v>5</v>
      </c>
    </row>
    <row r="14">
      <c r="A14" s="220"/>
      <c r="B14" s="244"/>
      <c r="C14" s="245"/>
      <c r="D14" s="246"/>
      <c r="E14" s="235"/>
      <c r="F14" s="243"/>
      <c r="G14" s="234"/>
      <c r="H14" s="237" t="str">
        <f t="shared" si="10"/>
        <v/>
      </c>
      <c r="I14" s="238" t="str">
        <f t="shared" si="7"/>
        <v/>
      </c>
      <c r="J14" s="239" t="str">
        <f t="shared" si="3"/>
        <v/>
      </c>
      <c r="K14" s="240" t="str">
        <f t="shared" si="4"/>
        <v/>
      </c>
      <c r="L14" s="234"/>
      <c r="M14" s="220"/>
      <c r="N14" s="225" t="s">
        <v>35</v>
      </c>
      <c r="O14" s="242">
        <f>SUM('Actual v Plan'!Y12)</f>
        <v>0</v>
      </c>
      <c r="P14" s="242">
        <f>SUM('Actual v Plan'!Y5)</f>
        <v>0</v>
      </c>
      <c r="Q14" s="242">
        <f>SUM('Actual v Plan'!X12)</f>
        <v>2450</v>
      </c>
      <c r="R14" s="242">
        <f>SUM('Actual v Plan'!X5)</f>
        <v>11</v>
      </c>
    </row>
    <row r="15">
      <c r="A15" s="220"/>
      <c r="B15" s="244"/>
      <c r="C15" s="245"/>
      <c r="D15" s="246"/>
      <c r="E15" s="235"/>
      <c r="F15" s="243"/>
      <c r="G15" s="234"/>
      <c r="H15" s="237" t="str">
        <f t="shared" si="10"/>
        <v/>
      </c>
      <c r="I15" s="238" t="str">
        <f t="shared" si="7"/>
        <v/>
      </c>
      <c r="J15" s="239" t="str">
        <f t="shared" si="3"/>
        <v/>
      </c>
      <c r="K15" s="240" t="str">
        <f t="shared" si="4"/>
        <v/>
      </c>
      <c r="L15" s="234"/>
      <c r="M15" s="220"/>
      <c r="N15" s="225" t="s">
        <v>36</v>
      </c>
      <c r="O15" s="242">
        <f>SUM('Actual v Plan'!AD12)</f>
        <v>0</v>
      </c>
      <c r="P15" s="242">
        <f>SUM('Actual v Plan'!AD5)</f>
        <v>0</v>
      </c>
      <c r="Q15" s="242">
        <f>SUM('Actual v Plan'!AC12)</f>
        <v>4200</v>
      </c>
      <c r="R15" s="242">
        <f>SUM('Actual v Plan'!AC5)</f>
        <v>16</v>
      </c>
    </row>
    <row r="16">
      <c r="A16" s="220"/>
      <c r="B16" s="244"/>
      <c r="C16" s="245"/>
      <c r="D16" s="246"/>
      <c r="E16" s="235"/>
      <c r="F16" s="243"/>
      <c r="G16" s="234"/>
      <c r="H16" s="237" t="str">
        <f t="shared" si="10"/>
        <v/>
      </c>
      <c r="I16" s="238" t="str">
        <f t="shared" si="7"/>
        <v/>
      </c>
      <c r="J16" s="239" t="str">
        <f t="shared" si="3"/>
        <v/>
      </c>
      <c r="K16" s="240" t="str">
        <f t="shared" si="4"/>
        <v/>
      </c>
      <c r="L16" s="234"/>
      <c r="M16" s="220"/>
      <c r="N16" s="225" t="s">
        <v>37</v>
      </c>
      <c r="O16" s="242">
        <f>SUM('Actual v Plan'!AI12)</f>
        <v>0</v>
      </c>
      <c r="P16" s="242">
        <f>SUM('Actual v Plan'!AI5)</f>
        <v>0</v>
      </c>
      <c r="Q16" s="242">
        <f>SUM('Actual v Plan'!AH12)</f>
        <v>2450</v>
      </c>
      <c r="R16" s="242">
        <f>SUM('Actual v Plan'!AH5)</f>
        <v>11</v>
      </c>
    </row>
    <row r="17">
      <c r="A17" s="220"/>
      <c r="B17" s="244"/>
      <c r="C17" s="245"/>
      <c r="D17" s="246"/>
      <c r="E17" s="235"/>
      <c r="F17" s="243"/>
      <c r="G17" s="234"/>
      <c r="H17" s="237" t="str">
        <f t="shared" si="10"/>
        <v/>
      </c>
      <c r="I17" s="238" t="str">
        <f t="shared" si="7"/>
        <v/>
      </c>
      <c r="J17" s="239" t="str">
        <f t="shared" si="3"/>
        <v/>
      </c>
      <c r="K17" s="240" t="str">
        <f t="shared" si="4"/>
        <v/>
      </c>
      <c r="L17" s="234"/>
      <c r="M17" s="220"/>
      <c r="N17" s="225" t="s">
        <v>38</v>
      </c>
      <c r="O17" s="242">
        <f>SUM('Actual v Plan'!AN12)</f>
        <v>0</v>
      </c>
      <c r="P17" s="242">
        <f>SUM('Actual v Plan'!AN5)</f>
        <v>0</v>
      </c>
      <c r="Q17" s="242">
        <f>SUM('Actual v Plan'!AM12)</f>
        <v>2800</v>
      </c>
      <c r="R17" s="242">
        <f>SUM('Actual v Plan'!AM5)</f>
        <v>16</v>
      </c>
    </row>
    <row r="18">
      <c r="A18" s="220"/>
      <c r="B18" s="244"/>
      <c r="C18" s="245"/>
      <c r="D18" s="246"/>
      <c r="E18" s="235"/>
      <c r="F18" s="243"/>
      <c r="G18" s="234"/>
      <c r="H18" s="237" t="str">
        <f t="shared" si="10"/>
        <v/>
      </c>
      <c r="I18" s="238" t="str">
        <f t="shared" si="7"/>
        <v/>
      </c>
      <c r="J18" s="239" t="str">
        <f t="shared" si="3"/>
        <v/>
      </c>
      <c r="K18" s="240" t="str">
        <f t="shared" si="4"/>
        <v/>
      </c>
      <c r="L18" s="234"/>
      <c r="M18" s="220"/>
      <c r="N18" s="225" t="s">
        <v>39</v>
      </c>
      <c r="O18" s="242">
        <f>SUM('Actual v Plan'!AS12)</f>
        <v>0</v>
      </c>
      <c r="P18" s="242">
        <f>SUM('Actual v Plan'!AS5)</f>
        <v>0</v>
      </c>
      <c r="Q18" s="242">
        <f>SUM('Actual v Plan'!AR12)</f>
        <v>3850</v>
      </c>
      <c r="R18" s="242">
        <f>SUM('Actual v Plan'!AR5)</f>
        <v>16</v>
      </c>
    </row>
    <row r="19">
      <c r="A19" s="220"/>
      <c r="B19" s="244"/>
      <c r="C19" s="245"/>
      <c r="D19" s="246"/>
      <c r="E19" s="235"/>
      <c r="F19" s="243"/>
      <c r="G19" s="234"/>
      <c r="H19" s="237" t="str">
        <f t="shared" si="10"/>
        <v/>
      </c>
      <c r="I19" s="238" t="str">
        <f t="shared" si="7"/>
        <v/>
      </c>
      <c r="J19" s="239" t="str">
        <f t="shared" si="3"/>
        <v/>
      </c>
      <c r="K19" s="240" t="str">
        <f t="shared" si="4"/>
        <v/>
      </c>
      <c r="L19" s="234"/>
      <c r="M19" s="220"/>
      <c r="N19" s="225" t="s">
        <v>40</v>
      </c>
      <c r="O19" s="242">
        <f>SUM('Actual v Plan'!AX12)</f>
        <v>0</v>
      </c>
      <c r="P19" s="242">
        <f>SUM('Actual v Plan'!AX5)</f>
        <v>0</v>
      </c>
      <c r="Q19" s="242">
        <f>SUM('Actual v Plan'!AW12)</f>
        <v>4200</v>
      </c>
      <c r="R19" s="242">
        <f>SUM('Actual v Plan'!AW5)</f>
        <v>16</v>
      </c>
    </row>
    <row r="20">
      <c r="A20" s="220"/>
      <c r="B20" s="244"/>
      <c r="C20" s="245"/>
      <c r="D20" s="246"/>
      <c r="E20" s="235"/>
      <c r="F20" s="243"/>
      <c r="G20" s="234"/>
      <c r="H20" s="237" t="str">
        <f t="shared" si="10"/>
        <v/>
      </c>
      <c r="I20" s="238" t="str">
        <f t="shared" si="7"/>
        <v/>
      </c>
      <c r="J20" s="239" t="str">
        <f t="shared" si="3"/>
        <v/>
      </c>
      <c r="K20" s="240" t="str">
        <f t="shared" si="4"/>
        <v/>
      </c>
      <c r="L20" s="234"/>
      <c r="M20" s="220"/>
      <c r="N20" s="225" t="s">
        <v>41</v>
      </c>
      <c r="O20" s="242">
        <f>SUM('Actual v Plan'!BC12)</f>
        <v>0</v>
      </c>
      <c r="P20" s="242">
        <f>SUM('Actual v Plan'!BC5)</f>
        <v>0</v>
      </c>
      <c r="Q20" s="242">
        <f>SUM('Actual v Plan'!BB12)</f>
        <v>4550</v>
      </c>
      <c r="R20" s="242">
        <f>SUM('Actual v Plan'!BB5)</f>
        <v>16</v>
      </c>
    </row>
    <row r="21">
      <c r="A21" s="220"/>
      <c r="B21" s="244"/>
      <c r="C21" s="245"/>
      <c r="D21" s="246"/>
      <c r="E21" s="235"/>
      <c r="F21" s="243"/>
      <c r="G21" s="234"/>
      <c r="H21" s="237" t="str">
        <f t="shared" si="10"/>
        <v/>
      </c>
      <c r="I21" s="238" t="str">
        <f t="shared" si="7"/>
        <v/>
      </c>
      <c r="J21" s="239" t="str">
        <f t="shared" si="3"/>
        <v/>
      </c>
      <c r="K21" s="240" t="str">
        <f t="shared" si="4"/>
        <v/>
      </c>
      <c r="L21" s="234"/>
      <c r="M21" s="220"/>
      <c r="N21" s="225" t="s">
        <v>42</v>
      </c>
      <c r="O21" s="242">
        <f>SUM('Actual v Plan'!BH12)</f>
        <v>0</v>
      </c>
      <c r="P21" s="242">
        <f>SUM('Actual v Plan'!BH5)</f>
        <v>0</v>
      </c>
      <c r="Q21" s="242">
        <f>SUM('Actual v Plan'!BG12)</f>
        <v>2100</v>
      </c>
      <c r="R21" s="242">
        <f>SUM('Actual v Plan'!BG5)</f>
        <v>5</v>
      </c>
    </row>
    <row r="22">
      <c r="A22" s="220"/>
      <c r="B22" s="244"/>
      <c r="C22" s="245"/>
      <c r="D22" s="246"/>
      <c r="E22" s="235"/>
      <c r="F22" s="243"/>
      <c r="G22" s="234"/>
      <c r="H22" s="237" t="str">
        <f t="shared" si="10"/>
        <v/>
      </c>
      <c r="I22" s="238" t="str">
        <f t="shared" si="7"/>
        <v/>
      </c>
      <c r="J22" s="239" t="str">
        <f t="shared" si="3"/>
        <v/>
      </c>
      <c r="K22" s="240" t="str">
        <f t="shared" si="4"/>
        <v/>
      </c>
      <c r="L22" s="234"/>
      <c r="M22" s="220"/>
      <c r="N22" s="225"/>
      <c r="O22" s="220"/>
      <c r="P22" s="220"/>
      <c r="Q22" s="220"/>
      <c r="R22" s="220"/>
    </row>
    <row r="23">
      <c r="A23" s="220"/>
      <c r="B23" s="244"/>
      <c r="C23" s="245"/>
      <c r="D23" s="246"/>
      <c r="E23" s="235"/>
      <c r="F23" s="243"/>
      <c r="G23" s="234"/>
      <c r="H23" s="237" t="str">
        <f t="shared" si="10"/>
        <v/>
      </c>
      <c r="I23" s="238" t="str">
        <f t="shared" si="7"/>
        <v/>
      </c>
      <c r="J23" s="239" t="str">
        <f t="shared" si="3"/>
        <v/>
      </c>
      <c r="K23" s="240" t="str">
        <f t="shared" si="4"/>
        <v/>
      </c>
      <c r="L23" s="234"/>
      <c r="M23" s="220"/>
      <c r="N23" s="225"/>
      <c r="O23" s="220"/>
      <c r="P23" s="220"/>
      <c r="Q23" s="220"/>
      <c r="R23" s="220"/>
    </row>
    <row r="24">
      <c r="A24" s="220"/>
      <c r="B24" s="244"/>
      <c r="C24" s="245"/>
      <c r="D24" s="246"/>
      <c r="E24" s="235"/>
      <c r="F24" s="243"/>
      <c r="G24" s="234"/>
      <c r="H24" s="237" t="str">
        <f t="shared" si="10"/>
        <v/>
      </c>
      <c r="I24" s="238" t="str">
        <f t="shared" si="7"/>
        <v/>
      </c>
      <c r="J24" s="239" t="str">
        <f t="shared" si="3"/>
        <v/>
      </c>
      <c r="K24" s="240" t="str">
        <f t="shared" si="4"/>
        <v/>
      </c>
      <c r="L24" s="234"/>
      <c r="M24" s="220"/>
      <c r="N24" s="225"/>
      <c r="O24" s="220"/>
      <c r="P24" s="220"/>
      <c r="Q24" s="220"/>
      <c r="R24" s="220"/>
    </row>
    <row r="25">
      <c r="A25" s="220"/>
      <c r="B25" s="244"/>
      <c r="C25" s="245"/>
      <c r="D25" s="246"/>
      <c r="E25" s="235"/>
      <c r="F25" s="243"/>
      <c r="G25" s="234"/>
      <c r="H25" s="237" t="str">
        <f t="shared" si="10"/>
        <v/>
      </c>
      <c r="I25" s="238" t="str">
        <f t="shared" si="7"/>
        <v/>
      </c>
      <c r="J25" s="239" t="str">
        <f t="shared" si="3"/>
        <v/>
      </c>
      <c r="K25" s="240" t="str">
        <f t="shared" si="4"/>
        <v/>
      </c>
      <c r="L25" s="234"/>
      <c r="M25" s="220"/>
      <c r="N25" s="225"/>
      <c r="O25" s="220"/>
      <c r="P25" s="220"/>
      <c r="Q25" s="220"/>
      <c r="R25" s="220"/>
    </row>
    <row r="26">
      <c r="A26" s="220"/>
      <c r="B26" s="244"/>
      <c r="C26" s="245"/>
      <c r="D26" s="246"/>
      <c r="E26" s="235"/>
      <c r="F26" s="243"/>
      <c r="G26" s="234"/>
      <c r="H26" s="237" t="str">
        <f t="shared" si="10"/>
        <v/>
      </c>
      <c r="I26" s="238" t="str">
        <f t="shared" si="7"/>
        <v/>
      </c>
      <c r="J26" s="239" t="str">
        <f t="shared" si="3"/>
        <v/>
      </c>
      <c r="K26" s="240" t="str">
        <f t="shared" si="4"/>
        <v/>
      </c>
      <c r="L26" s="234"/>
      <c r="M26" s="220"/>
      <c r="N26" s="225"/>
      <c r="O26" s="242"/>
      <c r="P26" s="242"/>
      <c r="Q26" s="220"/>
      <c r="R26" s="220"/>
    </row>
    <row r="27">
      <c r="A27" s="220"/>
      <c r="B27" s="244"/>
      <c r="C27" s="245"/>
      <c r="D27" s="246"/>
      <c r="E27" s="235"/>
      <c r="F27" s="243"/>
      <c r="G27" s="234"/>
      <c r="H27" s="237" t="str">
        <f t="shared" si="10"/>
        <v/>
      </c>
      <c r="I27" s="238" t="str">
        <f t="shared" si="7"/>
        <v/>
      </c>
      <c r="J27" s="239" t="str">
        <f t="shared" si="3"/>
        <v/>
      </c>
      <c r="K27" s="240" t="str">
        <f t="shared" si="4"/>
        <v/>
      </c>
      <c r="L27" s="234"/>
      <c r="M27" s="220"/>
      <c r="N27" s="225"/>
      <c r="O27" s="242"/>
      <c r="P27" s="242"/>
      <c r="Q27" s="220"/>
      <c r="R27" s="220"/>
    </row>
    <row r="28">
      <c r="A28" s="220"/>
      <c r="B28" s="244"/>
      <c r="C28" s="245"/>
      <c r="D28" s="246"/>
      <c r="E28" s="235"/>
      <c r="F28" s="243"/>
      <c r="G28" s="234"/>
      <c r="H28" s="237" t="str">
        <f t="shared" si="10"/>
        <v/>
      </c>
      <c r="I28" s="238" t="str">
        <f t="shared" si="7"/>
        <v/>
      </c>
      <c r="J28" s="239" t="str">
        <f t="shared" si="3"/>
        <v/>
      </c>
      <c r="K28" s="240" t="str">
        <f t="shared" si="4"/>
        <v/>
      </c>
      <c r="L28" s="234"/>
      <c r="M28" s="220"/>
      <c r="N28" s="225"/>
      <c r="O28" s="242"/>
      <c r="P28" s="242"/>
      <c r="Q28" s="220"/>
      <c r="R28" s="220"/>
    </row>
    <row r="29">
      <c r="A29" s="220"/>
      <c r="B29" s="244"/>
      <c r="C29" s="245"/>
      <c r="D29" s="246"/>
      <c r="E29" s="235"/>
      <c r="F29" s="243"/>
      <c r="G29" s="234"/>
      <c r="H29" s="237" t="str">
        <f t="shared" si="10"/>
        <v/>
      </c>
      <c r="I29" s="238" t="str">
        <f t="shared" si="7"/>
        <v/>
      </c>
      <c r="J29" s="239" t="str">
        <f t="shared" si="3"/>
        <v/>
      </c>
      <c r="K29" s="240" t="str">
        <f t="shared" si="4"/>
        <v/>
      </c>
      <c r="L29" s="234"/>
      <c r="M29" s="220"/>
      <c r="N29" s="225"/>
      <c r="O29" s="242"/>
      <c r="P29" s="242"/>
      <c r="Q29" s="220"/>
      <c r="R29" s="220"/>
    </row>
    <row r="30">
      <c r="A30" s="220"/>
      <c r="B30" s="244"/>
      <c r="C30" s="245"/>
      <c r="D30" s="246"/>
      <c r="E30" s="235"/>
      <c r="F30" s="243"/>
      <c r="G30" s="234"/>
      <c r="H30" s="237" t="str">
        <f t="shared" si="10"/>
        <v/>
      </c>
      <c r="I30" s="238" t="str">
        <f t="shared" si="7"/>
        <v/>
      </c>
      <c r="J30" s="239" t="str">
        <f t="shared" si="3"/>
        <v/>
      </c>
      <c r="K30" s="240" t="str">
        <f t="shared" si="4"/>
        <v/>
      </c>
      <c r="L30" s="234"/>
      <c r="M30" s="220"/>
      <c r="N30" s="225"/>
      <c r="O30" s="242"/>
      <c r="P30" s="242"/>
      <c r="Q30" s="220"/>
      <c r="R30" s="220"/>
    </row>
    <row r="31">
      <c r="A31" s="220"/>
      <c r="B31" s="244"/>
      <c r="C31" s="245"/>
      <c r="D31" s="246"/>
      <c r="E31" s="235"/>
      <c r="F31" s="243"/>
      <c r="G31" s="234"/>
      <c r="H31" s="237" t="str">
        <f t="shared" si="10"/>
        <v/>
      </c>
      <c r="I31" s="238" t="str">
        <f t="shared" si="7"/>
        <v/>
      </c>
      <c r="J31" s="239" t="str">
        <f t="shared" si="3"/>
        <v/>
      </c>
      <c r="K31" s="240" t="str">
        <f t="shared" si="4"/>
        <v/>
      </c>
      <c r="L31" s="234"/>
      <c r="M31" s="220"/>
      <c r="N31" s="225"/>
      <c r="O31" s="242"/>
      <c r="P31" s="242"/>
      <c r="Q31" s="220"/>
      <c r="R31" s="220"/>
    </row>
    <row r="32">
      <c r="A32" s="220"/>
      <c r="B32" s="244"/>
      <c r="C32" s="245"/>
      <c r="D32" s="246"/>
      <c r="E32" s="235"/>
      <c r="F32" s="243"/>
      <c r="G32" s="234"/>
      <c r="H32" s="237" t="str">
        <f t="shared" si="10"/>
        <v/>
      </c>
      <c r="I32" s="238" t="str">
        <f t="shared" si="7"/>
        <v/>
      </c>
      <c r="J32" s="239" t="str">
        <f t="shared" si="3"/>
        <v/>
      </c>
      <c r="K32" s="240" t="str">
        <f t="shared" si="4"/>
        <v/>
      </c>
      <c r="L32" s="234"/>
      <c r="M32" s="220"/>
      <c r="N32" s="225"/>
      <c r="O32" s="242"/>
      <c r="P32" s="242"/>
      <c r="Q32" s="220"/>
      <c r="R32" s="220"/>
    </row>
    <row r="33">
      <c r="A33" s="220"/>
      <c r="B33" s="244"/>
      <c r="C33" s="245"/>
      <c r="D33" s="246"/>
      <c r="E33" s="235"/>
      <c r="F33" s="243"/>
      <c r="G33" s="234"/>
      <c r="H33" s="237" t="str">
        <f t="shared" si="10"/>
        <v/>
      </c>
      <c r="I33" s="238" t="str">
        <f t="shared" si="7"/>
        <v/>
      </c>
      <c r="J33" s="239" t="str">
        <f t="shared" si="3"/>
        <v/>
      </c>
      <c r="K33" s="240" t="str">
        <f t="shared" si="4"/>
        <v/>
      </c>
      <c r="L33" s="234"/>
      <c r="M33" s="220"/>
      <c r="N33" s="225"/>
      <c r="O33" s="242"/>
      <c r="P33" s="242"/>
      <c r="Q33" s="220"/>
      <c r="R33" s="220"/>
    </row>
    <row r="34">
      <c r="A34" s="220"/>
      <c r="B34" s="244"/>
      <c r="C34" s="245"/>
      <c r="D34" s="246"/>
      <c r="E34" s="235"/>
      <c r="F34" s="243"/>
      <c r="G34" s="234"/>
      <c r="H34" s="237" t="str">
        <f t="shared" si="10"/>
        <v/>
      </c>
      <c r="I34" s="238" t="str">
        <f t="shared" si="7"/>
        <v/>
      </c>
      <c r="J34" s="239" t="str">
        <f t="shared" si="3"/>
        <v/>
      </c>
      <c r="K34" s="240" t="str">
        <f t="shared" si="4"/>
        <v/>
      </c>
      <c r="L34" s="234"/>
      <c r="M34" s="220"/>
      <c r="N34" s="225"/>
      <c r="O34" s="242"/>
      <c r="P34" s="242"/>
      <c r="Q34" s="220"/>
      <c r="R34" s="220"/>
    </row>
    <row r="35">
      <c r="A35" s="220"/>
      <c r="B35" s="244"/>
      <c r="C35" s="245"/>
      <c r="D35" s="246"/>
      <c r="E35" s="235"/>
      <c r="F35" s="243"/>
      <c r="G35" s="234"/>
      <c r="H35" s="237" t="str">
        <f t="shared" si="10"/>
        <v/>
      </c>
      <c r="I35" s="238" t="str">
        <f t="shared" si="7"/>
        <v/>
      </c>
      <c r="J35" s="239" t="str">
        <f t="shared" si="3"/>
        <v/>
      </c>
      <c r="K35" s="240" t="str">
        <f t="shared" si="4"/>
        <v/>
      </c>
      <c r="L35" s="234"/>
      <c r="M35" s="220"/>
      <c r="N35" s="225"/>
      <c r="O35" s="242"/>
      <c r="P35" s="242"/>
      <c r="Q35" s="220"/>
      <c r="R35" s="220"/>
    </row>
    <row r="36">
      <c r="A36" s="220"/>
      <c r="B36" s="244"/>
      <c r="C36" s="245"/>
      <c r="D36" s="246"/>
      <c r="E36" s="235"/>
      <c r="F36" s="243"/>
      <c r="G36" s="234"/>
      <c r="H36" s="237" t="str">
        <f t="shared" si="10"/>
        <v/>
      </c>
      <c r="I36" s="238" t="str">
        <f t="shared" si="7"/>
        <v/>
      </c>
      <c r="J36" s="239" t="str">
        <f t="shared" si="3"/>
        <v/>
      </c>
      <c r="K36" s="240" t="str">
        <f t="shared" si="4"/>
        <v/>
      </c>
      <c r="L36" s="234"/>
      <c r="M36" s="220"/>
      <c r="N36" s="225"/>
      <c r="O36" s="242"/>
      <c r="P36" s="242"/>
      <c r="Q36" s="220"/>
      <c r="R36" s="220"/>
    </row>
    <row r="37">
      <c r="A37" s="220"/>
      <c r="B37" s="244"/>
      <c r="C37" s="245"/>
      <c r="D37" s="246"/>
      <c r="E37" s="235"/>
      <c r="F37" s="243"/>
      <c r="G37" s="234"/>
      <c r="H37" s="237" t="str">
        <f t="shared" si="10"/>
        <v/>
      </c>
      <c r="I37" s="238" t="str">
        <f t="shared" si="7"/>
        <v/>
      </c>
      <c r="J37" s="239" t="str">
        <f t="shared" si="3"/>
        <v/>
      </c>
      <c r="K37" s="240" t="str">
        <f t="shared" si="4"/>
        <v/>
      </c>
      <c r="L37" s="234"/>
      <c r="M37" s="220"/>
      <c r="N37" s="225"/>
      <c r="O37" s="242"/>
      <c r="P37" s="242"/>
      <c r="Q37" s="220"/>
      <c r="R37" s="220"/>
    </row>
    <row r="38">
      <c r="A38" s="220"/>
      <c r="B38" s="244"/>
      <c r="C38" s="245"/>
      <c r="D38" s="246"/>
      <c r="E38" s="235"/>
      <c r="F38" s="243"/>
      <c r="G38" s="234"/>
      <c r="H38" s="237" t="str">
        <f t="shared" si="10"/>
        <v/>
      </c>
      <c r="I38" s="238" t="str">
        <f t="shared" si="7"/>
        <v/>
      </c>
      <c r="J38" s="239" t="str">
        <f t="shared" si="3"/>
        <v/>
      </c>
      <c r="K38" s="240" t="str">
        <f t="shared" si="4"/>
        <v/>
      </c>
      <c r="L38" s="234"/>
      <c r="M38" s="220"/>
      <c r="N38" s="220"/>
      <c r="O38" s="220"/>
      <c r="P38" s="220"/>
      <c r="Q38" s="220"/>
      <c r="R38" s="220"/>
    </row>
    <row r="39">
      <c r="A39" s="220"/>
      <c r="B39" s="244"/>
      <c r="C39" s="245"/>
      <c r="D39" s="246"/>
      <c r="E39" s="235"/>
      <c r="F39" s="243"/>
      <c r="G39" s="234"/>
      <c r="H39" s="237" t="str">
        <f t="shared" si="10"/>
        <v/>
      </c>
      <c r="I39" s="238" t="str">
        <f t="shared" si="7"/>
        <v/>
      </c>
      <c r="J39" s="239" t="str">
        <f t="shared" si="3"/>
        <v/>
      </c>
      <c r="K39" s="240" t="str">
        <f t="shared" si="4"/>
        <v/>
      </c>
      <c r="L39" s="234"/>
      <c r="M39" s="220"/>
      <c r="N39" s="220"/>
      <c r="O39" s="220"/>
      <c r="P39" s="220"/>
      <c r="Q39" s="220"/>
      <c r="R39" s="220"/>
    </row>
    <row r="40">
      <c r="A40" s="220"/>
      <c r="B40" s="244"/>
      <c r="C40" s="245"/>
      <c r="D40" s="246"/>
      <c r="E40" s="235"/>
      <c r="F40" s="243"/>
      <c r="G40" s="234"/>
      <c r="H40" s="237" t="str">
        <f t="shared" si="10"/>
        <v/>
      </c>
      <c r="I40" s="238" t="str">
        <f t="shared" si="7"/>
        <v/>
      </c>
      <c r="J40" s="239" t="str">
        <f t="shared" si="3"/>
        <v/>
      </c>
      <c r="K40" s="240" t="str">
        <f t="shared" si="4"/>
        <v/>
      </c>
      <c r="L40" s="234"/>
      <c r="M40" s="220"/>
      <c r="N40" s="220"/>
      <c r="O40" s="220"/>
      <c r="P40" s="220"/>
      <c r="Q40" s="220"/>
      <c r="R40" s="220"/>
    </row>
    <row r="41">
      <c r="A41" s="220"/>
      <c r="B41" s="244"/>
      <c r="C41" s="245"/>
      <c r="D41" s="246"/>
      <c r="E41" s="235"/>
      <c r="F41" s="243"/>
      <c r="G41" s="234"/>
      <c r="H41" s="237" t="str">
        <f t="shared" si="10"/>
        <v/>
      </c>
      <c r="I41" s="238" t="str">
        <f t="shared" si="7"/>
        <v/>
      </c>
      <c r="J41" s="239" t="str">
        <f t="shared" si="3"/>
        <v/>
      </c>
      <c r="K41" s="240" t="str">
        <f t="shared" si="4"/>
        <v/>
      </c>
      <c r="L41" s="234"/>
      <c r="M41" s="220"/>
      <c r="N41" s="220"/>
      <c r="O41" s="220"/>
      <c r="P41" s="220"/>
      <c r="Q41" s="220"/>
      <c r="R41" s="220"/>
    </row>
    <row r="42">
      <c r="A42" s="220"/>
      <c r="B42" s="244"/>
      <c r="C42" s="245"/>
      <c r="D42" s="246"/>
      <c r="E42" s="235"/>
      <c r="F42" s="243"/>
      <c r="G42" s="234"/>
      <c r="H42" s="237" t="str">
        <f t="shared" si="10"/>
        <v/>
      </c>
      <c r="I42" s="238" t="str">
        <f t="shared" si="7"/>
        <v/>
      </c>
      <c r="J42" s="239" t="str">
        <f t="shared" si="3"/>
        <v/>
      </c>
      <c r="K42" s="240" t="str">
        <f t="shared" si="4"/>
        <v/>
      </c>
      <c r="L42" s="234"/>
      <c r="M42" s="220"/>
      <c r="N42" s="220"/>
      <c r="O42" s="220"/>
      <c r="P42" s="220"/>
      <c r="Q42" s="220"/>
      <c r="R42" s="220"/>
    </row>
    <row r="43">
      <c r="A43" s="220"/>
      <c r="B43" s="244"/>
      <c r="C43" s="245"/>
      <c r="D43" s="246"/>
      <c r="E43" s="235"/>
      <c r="F43" s="243"/>
      <c r="G43" s="234"/>
      <c r="H43" s="237" t="str">
        <f t="shared" si="10"/>
        <v/>
      </c>
      <c r="I43" s="238" t="str">
        <f t="shared" si="7"/>
        <v/>
      </c>
      <c r="J43" s="239" t="str">
        <f t="shared" si="3"/>
        <v/>
      </c>
      <c r="K43" s="240" t="str">
        <f t="shared" si="4"/>
        <v/>
      </c>
      <c r="L43" s="234"/>
      <c r="M43" s="220"/>
      <c r="N43" s="220"/>
      <c r="O43" s="220"/>
      <c r="P43" s="220"/>
      <c r="Q43" s="220"/>
      <c r="R43" s="220"/>
    </row>
    <row r="44">
      <c r="A44" s="220"/>
      <c r="B44" s="244"/>
      <c r="C44" s="245"/>
      <c r="D44" s="246"/>
      <c r="E44" s="235"/>
      <c r="F44" s="243"/>
      <c r="G44" s="234"/>
      <c r="H44" s="237" t="str">
        <f t="shared" si="10"/>
        <v/>
      </c>
      <c r="I44" s="238" t="str">
        <f t="shared" si="7"/>
        <v/>
      </c>
      <c r="J44" s="239" t="str">
        <f t="shared" si="3"/>
        <v/>
      </c>
      <c r="K44" s="240" t="str">
        <f t="shared" si="4"/>
        <v/>
      </c>
      <c r="L44" s="234"/>
      <c r="M44" s="220"/>
      <c r="N44" s="220"/>
      <c r="O44" s="220"/>
      <c r="P44" s="220"/>
      <c r="Q44" s="220"/>
      <c r="R44" s="220"/>
    </row>
    <row r="45">
      <c r="A45" s="220"/>
      <c r="B45" s="244"/>
      <c r="C45" s="245"/>
      <c r="D45" s="246"/>
      <c r="E45" s="235"/>
      <c r="F45" s="243"/>
      <c r="G45" s="234"/>
      <c r="H45" s="237" t="str">
        <f t="shared" si="10"/>
        <v/>
      </c>
      <c r="I45" s="238" t="str">
        <f t="shared" si="7"/>
        <v/>
      </c>
      <c r="J45" s="239" t="str">
        <f t="shared" si="3"/>
        <v/>
      </c>
      <c r="K45" s="240" t="str">
        <f t="shared" si="4"/>
        <v/>
      </c>
      <c r="L45" s="234"/>
      <c r="M45" s="220"/>
      <c r="N45" s="220"/>
      <c r="O45" s="220"/>
      <c r="P45" s="220"/>
      <c r="Q45" s="220"/>
      <c r="R45" s="220"/>
    </row>
    <row r="46">
      <c r="A46" s="220"/>
      <c r="B46" s="244"/>
      <c r="C46" s="245"/>
      <c r="D46" s="246"/>
      <c r="E46" s="235"/>
      <c r="F46" s="243"/>
      <c r="G46" s="234"/>
      <c r="H46" s="237" t="str">
        <f t="shared" si="10"/>
        <v/>
      </c>
      <c r="I46" s="238" t="str">
        <f t="shared" si="7"/>
        <v/>
      </c>
      <c r="J46" s="239" t="str">
        <f t="shared" si="3"/>
        <v/>
      </c>
      <c r="K46" s="240" t="str">
        <f t="shared" si="4"/>
        <v/>
      </c>
      <c r="L46" s="234"/>
      <c r="M46" s="220"/>
      <c r="N46" s="220"/>
      <c r="O46" s="220"/>
      <c r="P46" s="220"/>
      <c r="Q46" s="220"/>
      <c r="R46" s="220"/>
    </row>
    <row r="47">
      <c r="A47" s="220"/>
      <c r="B47" s="244"/>
      <c r="C47" s="245"/>
      <c r="D47" s="246"/>
      <c r="E47" s="235"/>
      <c r="F47" s="243"/>
      <c r="G47" s="234"/>
      <c r="H47" s="237" t="str">
        <f t="shared" si="10"/>
        <v/>
      </c>
      <c r="I47" s="238" t="str">
        <f t="shared" si="7"/>
        <v/>
      </c>
      <c r="J47" s="239" t="str">
        <f t="shared" si="3"/>
        <v/>
      </c>
      <c r="K47" s="240" t="str">
        <f t="shared" si="4"/>
        <v/>
      </c>
      <c r="L47" s="234"/>
      <c r="M47" s="220"/>
      <c r="N47" s="220"/>
      <c r="O47" s="220"/>
      <c r="P47" s="220"/>
      <c r="Q47" s="220"/>
      <c r="R47" s="220"/>
    </row>
    <row r="48">
      <c r="A48" s="220"/>
      <c r="B48" s="244"/>
      <c r="C48" s="245"/>
      <c r="D48" s="246"/>
      <c r="E48" s="235"/>
      <c r="F48" s="243"/>
      <c r="G48" s="234"/>
      <c r="H48" s="237" t="str">
        <f t="shared" si="10"/>
        <v/>
      </c>
      <c r="I48" s="238" t="str">
        <f t="shared" si="7"/>
        <v/>
      </c>
      <c r="J48" s="239" t="str">
        <f t="shared" si="3"/>
        <v/>
      </c>
      <c r="K48" s="240" t="str">
        <f t="shared" si="4"/>
        <v/>
      </c>
      <c r="L48" s="234"/>
      <c r="M48" s="220"/>
      <c r="N48" s="220"/>
      <c r="O48" s="220"/>
      <c r="P48" s="220"/>
      <c r="Q48" s="220"/>
      <c r="R48" s="220"/>
    </row>
    <row r="49">
      <c r="A49" s="220"/>
      <c r="B49" s="244"/>
      <c r="C49" s="245"/>
      <c r="D49" s="246"/>
      <c r="E49" s="235"/>
      <c r="F49" s="243"/>
      <c r="G49" s="234"/>
      <c r="H49" s="237" t="str">
        <f t="shared" si="10"/>
        <v/>
      </c>
      <c r="I49" s="238" t="str">
        <f t="shared" si="7"/>
        <v/>
      </c>
      <c r="J49" s="239" t="str">
        <f t="shared" si="3"/>
        <v/>
      </c>
      <c r="K49" s="240" t="str">
        <f t="shared" si="4"/>
        <v/>
      </c>
      <c r="L49" s="234"/>
      <c r="M49" s="220"/>
      <c r="N49" s="220"/>
      <c r="O49" s="220"/>
      <c r="P49" s="220"/>
      <c r="Q49" s="220"/>
      <c r="R49" s="220"/>
    </row>
    <row r="50">
      <c r="A50" s="220"/>
      <c r="B50" s="244"/>
      <c r="C50" s="245"/>
      <c r="D50" s="246"/>
      <c r="E50" s="235"/>
      <c r="F50" s="243"/>
      <c r="G50" s="234"/>
      <c r="H50" s="237" t="str">
        <f t="shared" si="10"/>
        <v/>
      </c>
      <c r="I50" s="238" t="str">
        <f t="shared" si="7"/>
        <v/>
      </c>
      <c r="J50" s="239" t="str">
        <f t="shared" si="3"/>
        <v/>
      </c>
      <c r="K50" s="240" t="str">
        <f t="shared" si="4"/>
        <v/>
      </c>
      <c r="L50" s="234"/>
      <c r="M50" s="220"/>
      <c r="N50" s="220"/>
      <c r="O50" s="220"/>
      <c r="P50" s="220"/>
      <c r="Q50" s="220"/>
      <c r="R50" s="220"/>
    </row>
    <row r="51">
      <c r="A51" s="220"/>
      <c r="B51" s="244"/>
      <c r="C51" s="245"/>
      <c r="D51" s="246"/>
      <c r="E51" s="235"/>
      <c r="F51" s="243"/>
      <c r="G51" s="234"/>
      <c r="H51" s="237" t="str">
        <f t="shared" si="10"/>
        <v/>
      </c>
      <c r="I51" s="238" t="str">
        <f t="shared" si="7"/>
        <v/>
      </c>
      <c r="J51" s="239" t="str">
        <f t="shared" si="3"/>
        <v/>
      </c>
      <c r="K51" s="240" t="str">
        <f t="shared" si="4"/>
        <v/>
      </c>
      <c r="L51" s="234"/>
      <c r="M51" s="220"/>
      <c r="N51" s="220"/>
      <c r="O51" s="220"/>
      <c r="P51" s="220"/>
      <c r="Q51" s="220"/>
      <c r="R51" s="220"/>
    </row>
    <row r="52">
      <c r="A52" s="220"/>
      <c r="B52" s="244"/>
      <c r="C52" s="245"/>
      <c r="D52" s="246"/>
      <c r="E52" s="235"/>
      <c r="F52" s="243"/>
      <c r="G52" s="234"/>
      <c r="H52" s="237" t="str">
        <f t="shared" si="10"/>
        <v/>
      </c>
      <c r="I52" s="238" t="str">
        <f t="shared" si="7"/>
        <v/>
      </c>
      <c r="J52" s="239" t="str">
        <f t="shared" si="3"/>
        <v/>
      </c>
      <c r="K52" s="240" t="str">
        <f t="shared" si="4"/>
        <v/>
      </c>
      <c r="L52" s="234"/>
      <c r="M52" s="220"/>
      <c r="N52" s="220"/>
      <c r="O52" s="220"/>
      <c r="P52" s="220"/>
      <c r="Q52" s="220"/>
      <c r="R52" s="220"/>
    </row>
    <row r="53">
      <c r="A53" s="220"/>
      <c r="B53" s="244"/>
      <c r="C53" s="245"/>
      <c r="D53" s="246"/>
      <c r="E53" s="235"/>
      <c r="F53" s="243"/>
      <c r="G53" s="234"/>
      <c r="H53" s="237" t="str">
        <f t="shared" si="10"/>
        <v/>
      </c>
      <c r="I53" s="238" t="str">
        <f t="shared" si="7"/>
        <v/>
      </c>
      <c r="J53" s="239" t="str">
        <f t="shared" si="3"/>
        <v/>
      </c>
      <c r="K53" s="240" t="str">
        <f t="shared" si="4"/>
        <v/>
      </c>
      <c r="L53" s="234"/>
      <c r="M53" s="220"/>
      <c r="N53" s="220"/>
      <c r="O53" s="220"/>
      <c r="P53" s="220"/>
      <c r="Q53" s="220"/>
      <c r="R53" s="220"/>
    </row>
    <row r="54">
      <c r="A54" s="220"/>
      <c r="B54" s="244"/>
      <c r="C54" s="245"/>
      <c r="D54" s="246"/>
      <c r="E54" s="235"/>
      <c r="F54" s="243"/>
      <c r="G54" s="234"/>
      <c r="H54" s="237" t="str">
        <f t="shared" si="10"/>
        <v/>
      </c>
      <c r="I54" s="238" t="str">
        <f t="shared" si="7"/>
        <v/>
      </c>
      <c r="J54" s="239" t="str">
        <f t="shared" si="3"/>
        <v/>
      </c>
      <c r="K54" s="240" t="str">
        <f t="shared" si="4"/>
        <v/>
      </c>
      <c r="L54" s="234"/>
      <c r="M54" s="220"/>
      <c r="N54" s="220"/>
      <c r="O54" s="220"/>
      <c r="P54" s="220"/>
      <c r="Q54" s="220"/>
      <c r="R54" s="220"/>
    </row>
    <row r="55">
      <c r="A55" s="220"/>
      <c r="B55" s="244"/>
      <c r="C55" s="245"/>
      <c r="D55" s="246"/>
      <c r="E55" s="235"/>
      <c r="F55" s="243"/>
      <c r="G55" s="234"/>
      <c r="H55" s="237" t="str">
        <f t="shared" si="10"/>
        <v/>
      </c>
      <c r="I55" s="238" t="str">
        <f t="shared" si="7"/>
        <v/>
      </c>
      <c r="J55" s="239" t="str">
        <f t="shared" si="3"/>
        <v/>
      </c>
      <c r="K55" s="240" t="str">
        <f t="shared" si="4"/>
        <v/>
      </c>
      <c r="L55" s="234"/>
      <c r="M55" s="220"/>
      <c r="N55" s="220"/>
      <c r="O55" s="220"/>
      <c r="P55" s="220"/>
      <c r="Q55" s="220"/>
      <c r="R55" s="220"/>
    </row>
    <row r="56">
      <c r="A56" s="220"/>
      <c r="B56" s="244"/>
      <c r="C56" s="245"/>
      <c r="D56" s="246"/>
      <c r="E56" s="235"/>
      <c r="F56" s="243"/>
      <c r="G56" s="234"/>
      <c r="H56" s="237" t="str">
        <f t="shared" si="10"/>
        <v/>
      </c>
      <c r="I56" s="238" t="str">
        <f t="shared" si="7"/>
        <v/>
      </c>
      <c r="J56" s="239" t="str">
        <f t="shared" si="3"/>
        <v/>
      </c>
      <c r="K56" s="240" t="str">
        <f t="shared" si="4"/>
        <v/>
      </c>
      <c r="L56" s="234"/>
      <c r="M56" s="220"/>
      <c r="N56" s="220"/>
      <c r="O56" s="220"/>
      <c r="P56" s="220"/>
      <c r="Q56" s="220"/>
      <c r="R56" s="220"/>
    </row>
    <row r="57">
      <c r="A57" s="220"/>
      <c r="B57" s="244"/>
      <c r="C57" s="245"/>
      <c r="D57" s="246"/>
      <c r="E57" s="235"/>
      <c r="F57" s="243"/>
      <c r="G57" s="234"/>
      <c r="H57" s="237" t="str">
        <f t="shared" si="10"/>
        <v/>
      </c>
      <c r="I57" s="238" t="str">
        <f t="shared" si="7"/>
        <v/>
      </c>
      <c r="J57" s="239" t="str">
        <f t="shared" si="3"/>
        <v/>
      </c>
      <c r="K57" s="240" t="str">
        <f t="shared" si="4"/>
        <v/>
      </c>
      <c r="L57" s="234"/>
      <c r="M57" s="220"/>
      <c r="N57" s="220"/>
      <c r="O57" s="220"/>
      <c r="P57" s="220"/>
      <c r="Q57" s="220"/>
      <c r="R57" s="220"/>
    </row>
    <row r="58">
      <c r="A58" s="220"/>
      <c r="B58" s="244"/>
      <c r="C58" s="245"/>
      <c r="D58" s="246"/>
      <c r="E58" s="235"/>
      <c r="F58" s="243"/>
      <c r="G58" s="234"/>
      <c r="H58" s="237" t="str">
        <f t="shared" si="10"/>
        <v/>
      </c>
      <c r="I58" s="238" t="str">
        <f t="shared" si="7"/>
        <v/>
      </c>
      <c r="J58" s="239" t="str">
        <f t="shared" si="3"/>
        <v/>
      </c>
      <c r="K58" s="240" t="str">
        <f t="shared" si="4"/>
        <v/>
      </c>
      <c r="L58" s="234"/>
      <c r="M58" s="220"/>
      <c r="N58" s="220"/>
      <c r="O58" s="220"/>
      <c r="P58" s="220"/>
      <c r="Q58" s="220"/>
      <c r="R58" s="220"/>
    </row>
    <row r="59">
      <c r="A59" s="220"/>
      <c r="B59" s="244"/>
      <c r="C59" s="245"/>
      <c r="D59" s="246"/>
      <c r="E59" s="235"/>
      <c r="F59" s="243"/>
      <c r="G59" s="234"/>
      <c r="H59" s="237" t="str">
        <f t="shared" si="10"/>
        <v/>
      </c>
      <c r="I59" s="238" t="str">
        <f t="shared" si="7"/>
        <v/>
      </c>
      <c r="J59" s="239" t="str">
        <f t="shared" si="3"/>
        <v/>
      </c>
      <c r="K59" s="240" t="str">
        <f t="shared" si="4"/>
        <v/>
      </c>
      <c r="L59" s="234"/>
      <c r="M59" s="220"/>
      <c r="N59" s="220"/>
      <c r="O59" s="220"/>
      <c r="P59" s="220"/>
      <c r="Q59" s="220"/>
      <c r="R59" s="220"/>
    </row>
    <row r="60">
      <c r="A60" s="220"/>
      <c r="B60" s="244"/>
      <c r="C60" s="245"/>
      <c r="D60" s="246"/>
      <c r="E60" s="235"/>
      <c r="F60" s="243"/>
      <c r="G60" s="234"/>
      <c r="H60" s="237" t="str">
        <f t="shared" si="10"/>
        <v/>
      </c>
      <c r="I60" s="238" t="str">
        <f t="shared" si="7"/>
        <v/>
      </c>
      <c r="J60" s="239" t="str">
        <f t="shared" si="3"/>
        <v/>
      </c>
      <c r="K60" s="240" t="str">
        <f t="shared" si="4"/>
        <v/>
      </c>
      <c r="L60" s="234"/>
      <c r="M60" s="220"/>
      <c r="N60" s="220"/>
      <c r="O60" s="220"/>
      <c r="P60" s="220"/>
      <c r="Q60" s="220"/>
      <c r="R60" s="220"/>
    </row>
    <row r="61">
      <c r="A61" s="220"/>
      <c r="B61" s="244"/>
      <c r="C61" s="245"/>
      <c r="D61" s="246"/>
      <c r="E61" s="235"/>
      <c r="F61" s="243"/>
      <c r="G61" s="234"/>
      <c r="H61" s="237" t="str">
        <f t="shared" si="10"/>
        <v/>
      </c>
      <c r="I61" s="238" t="str">
        <f t="shared" si="7"/>
        <v/>
      </c>
      <c r="J61" s="239" t="str">
        <f t="shared" si="3"/>
        <v/>
      </c>
      <c r="K61" s="240" t="str">
        <f t="shared" si="4"/>
        <v/>
      </c>
      <c r="L61" s="234"/>
      <c r="M61" s="220"/>
      <c r="N61" s="220"/>
      <c r="O61" s="220"/>
      <c r="P61" s="220"/>
      <c r="Q61" s="220"/>
      <c r="R61" s="220"/>
    </row>
    <row r="62">
      <c r="A62" s="220"/>
      <c r="B62" s="244"/>
      <c r="C62" s="245"/>
      <c r="D62" s="246"/>
      <c r="E62" s="235"/>
      <c r="F62" s="243"/>
      <c r="G62" s="234"/>
      <c r="H62" s="237" t="str">
        <f t="shared" si="10"/>
        <v/>
      </c>
      <c r="I62" s="238" t="str">
        <f t="shared" si="7"/>
        <v/>
      </c>
      <c r="J62" s="239" t="str">
        <f t="shared" si="3"/>
        <v/>
      </c>
      <c r="K62" s="240" t="str">
        <f t="shared" si="4"/>
        <v/>
      </c>
      <c r="L62" s="234"/>
      <c r="M62" s="220"/>
      <c r="N62" s="220"/>
      <c r="O62" s="220"/>
      <c r="P62" s="220"/>
      <c r="Q62" s="220"/>
      <c r="R62" s="220"/>
    </row>
    <row r="63">
      <c r="A63" s="220"/>
      <c r="B63" s="244"/>
      <c r="C63" s="245"/>
      <c r="D63" s="246"/>
      <c r="E63" s="235"/>
      <c r="F63" s="243"/>
      <c r="G63" s="234"/>
      <c r="H63" s="237" t="str">
        <f t="shared" si="10"/>
        <v/>
      </c>
      <c r="I63" s="238" t="str">
        <f t="shared" si="7"/>
        <v/>
      </c>
      <c r="J63" s="239" t="str">
        <f t="shared" si="3"/>
        <v/>
      </c>
      <c r="K63" s="240" t="str">
        <f t="shared" si="4"/>
        <v/>
      </c>
      <c r="L63" s="234"/>
      <c r="M63" s="220"/>
      <c r="N63" s="220"/>
      <c r="O63" s="220"/>
      <c r="P63" s="220"/>
      <c r="Q63" s="220"/>
      <c r="R63" s="220"/>
    </row>
    <row r="64">
      <c r="A64" s="220"/>
      <c r="B64" s="244"/>
      <c r="C64" s="245"/>
      <c r="D64" s="246"/>
      <c r="E64" s="235"/>
      <c r="F64" s="243"/>
      <c r="G64" s="234"/>
      <c r="H64" s="237" t="str">
        <f t="shared" si="10"/>
        <v/>
      </c>
      <c r="I64" s="238" t="str">
        <f t="shared" si="7"/>
        <v/>
      </c>
      <c r="J64" s="239" t="str">
        <f t="shared" si="3"/>
        <v/>
      </c>
      <c r="K64" s="240" t="str">
        <f t="shared" si="4"/>
        <v/>
      </c>
      <c r="L64" s="234"/>
      <c r="M64" s="220"/>
      <c r="N64" s="220"/>
      <c r="O64" s="220"/>
      <c r="P64" s="220"/>
      <c r="Q64" s="220"/>
      <c r="R64" s="220"/>
    </row>
    <row r="65">
      <c r="A65" s="220"/>
      <c r="B65" s="244"/>
      <c r="C65" s="245"/>
      <c r="D65" s="246"/>
      <c r="E65" s="235"/>
      <c r="F65" s="243"/>
      <c r="G65" s="234"/>
      <c r="H65" s="237" t="str">
        <f t="shared" si="10"/>
        <v/>
      </c>
      <c r="I65" s="238" t="str">
        <f t="shared" si="7"/>
        <v/>
      </c>
      <c r="J65" s="239" t="str">
        <f t="shared" si="3"/>
        <v/>
      </c>
      <c r="K65" s="240" t="str">
        <f t="shared" si="4"/>
        <v/>
      </c>
      <c r="L65" s="234"/>
      <c r="M65" s="220"/>
      <c r="N65" s="220"/>
      <c r="O65" s="220"/>
      <c r="P65" s="220"/>
      <c r="Q65" s="220"/>
      <c r="R65" s="220"/>
    </row>
    <row r="66">
      <c r="A66" s="220"/>
      <c r="B66" s="244"/>
      <c r="C66" s="245"/>
      <c r="D66" s="246"/>
      <c r="E66" s="235"/>
      <c r="F66" s="243"/>
      <c r="G66" s="234"/>
      <c r="H66" s="237" t="str">
        <f t="shared" si="10"/>
        <v/>
      </c>
      <c r="I66" s="238" t="str">
        <f t="shared" si="7"/>
        <v/>
      </c>
      <c r="J66" s="239" t="str">
        <f t="shared" si="3"/>
        <v/>
      </c>
      <c r="K66" s="240" t="str">
        <f t="shared" si="4"/>
        <v/>
      </c>
      <c r="L66" s="234"/>
      <c r="M66" s="220"/>
      <c r="N66" s="220"/>
      <c r="O66" s="220"/>
      <c r="P66" s="220"/>
      <c r="Q66" s="220"/>
      <c r="R66" s="220"/>
    </row>
    <row r="67">
      <c r="A67" s="220"/>
      <c r="B67" s="244"/>
      <c r="C67" s="245"/>
      <c r="D67" s="246"/>
      <c r="E67" s="235"/>
      <c r="F67" s="243"/>
      <c r="G67" s="234"/>
      <c r="H67" s="237" t="str">
        <f t="shared" si="10"/>
        <v/>
      </c>
      <c r="I67" s="238" t="str">
        <f t="shared" si="7"/>
        <v/>
      </c>
      <c r="J67" s="239" t="str">
        <f t="shared" si="3"/>
        <v/>
      </c>
      <c r="K67" s="240" t="str">
        <f t="shared" si="4"/>
        <v/>
      </c>
      <c r="L67" s="234"/>
      <c r="M67" s="220"/>
      <c r="N67" s="220"/>
      <c r="O67" s="220"/>
      <c r="P67" s="220"/>
      <c r="Q67" s="220"/>
      <c r="R67" s="220"/>
    </row>
    <row r="68">
      <c r="A68" s="220"/>
      <c r="B68" s="244"/>
      <c r="C68" s="245"/>
      <c r="D68" s="246"/>
      <c r="E68" s="235"/>
      <c r="F68" s="243"/>
      <c r="G68" s="234"/>
      <c r="H68" s="237" t="str">
        <f t="shared" si="10"/>
        <v/>
      </c>
      <c r="I68" s="238" t="str">
        <f t="shared" si="7"/>
        <v/>
      </c>
      <c r="J68" s="239" t="str">
        <f t="shared" si="3"/>
        <v/>
      </c>
      <c r="K68" s="240" t="str">
        <f t="shared" si="4"/>
        <v/>
      </c>
      <c r="L68" s="234"/>
      <c r="M68" s="220"/>
      <c r="N68" s="220"/>
      <c r="O68" s="220"/>
      <c r="P68" s="220"/>
      <c r="Q68" s="220"/>
      <c r="R68" s="220"/>
    </row>
    <row r="69">
      <c r="A69" s="220"/>
      <c r="B69" s="244"/>
      <c r="C69" s="245"/>
      <c r="D69" s="246"/>
      <c r="E69" s="235"/>
      <c r="F69" s="243"/>
      <c r="G69" s="234"/>
      <c r="H69" s="237" t="str">
        <f t="shared" si="10"/>
        <v/>
      </c>
      <c r="I69" s="238" t="str">
        <f t="shared" si="7"/>
        <v/>
      </c>
      <c r="J69" s="239" t="str">
        <f t="shared" si="3"/>
        <v/>
      </c>
      <c r="K69" s="240" t="str">
        <f t="shared" si="4"/>
        <v/>
      </c>
      <c r="L69" s="234"/>
      <c r="M69" s="220"/>
      <c r="N69" s="220"/>
      <c r="O69" s="220"/>
      <c r="P69" s="220"/>
      <c r="Q69" s="220"/>
      <c r="R69" s="220"/>
    </row>
    <row r="70">
      <c r="A70" s="220"/>
      <c r="B70" s="244"/>
      <c r="C70" s="245"/>
      <c r="D70" s="246"/>
      <c r="E70" s="235"/>
      <c r="F70" s="243"/>
      <c r="G70" s="234"/>
      <c r="H70" s="237" t="str">
        <f t="shared" si="10"/>
        <v/>
      </c>
      <c r="I70" s="238" t="str">
        <f t="shared" si="7"/>
        <v/>
      </c>
      <c r="J70" s="239" t="str">
        <f t="shared" si="3"/>
        <v/>
      </c>
      <c r="K70" s="240" t="str">
        <f t="shared" si="4"/>
        <v/>
      </c>
      <c r="L70" s="234"/>
      <c r="M70" s="220"/>
      <c r="N70" s="220"/>
      <c r="O70" s="220"/>
      <c r="P70" s="220"/>
      <c r="Q70" s="220"/>
      <c r="R70" s="220"/>
    </row>
    <row r="71">
      <c r="A71" s="220"/>
      <c r="B71" s="244"/>
      <c r="C71" s="245"/>
      <c r="D71" s="246"/>
      <c r="E71" s="235"/>
      <c r="F71" s="243"/>
      <c r="G71" s="234"/>
      <c r="H71" s="237" t="str">
        <f t="shared" si="10"/>
        <v/>
      </c>
      <c r="I71" s="238" t="str">
        <f t="shared" si="7"/>
        <v/>
      </c>
      <c r="J71" s="239" t="str">
        <f t="shared" si="3"/>
        <v/>
      </c>
      <c r="K71" s="240" t="str">
        <f t="shared" si="4"/>
        <v/>
      </c>
      <c r="L71" s="234"/>
      <c r="M71" s="220"/>
      <c r="N71" s="220"/>
      <c r="O71" s="220"/>
      <c r="P71" s="220"/>
      <c r="Q71" s="220"/>
      <c r="R71" s="220"/>
    </row>
    <row r="72">
      <c r="A72" s="220"/>
      <c r="B72" s="244"/>
      <c r="C72" s="245"/>
      <c r="D72" s="246"/>
      <c r="E72" s="235"/>
      <c r="F72" s="243"/>
      <c r="G72" s="234"/>
      <c r="H72" s="237" t="str">
        <f t="shared" si="10"/>
        <v/>
      </c>
      <c r="I72" s="238" t="str">
        <f t="shared" si="7"/>
        <v/>
      </c>
      <c r="J72" s="239" t="str">
        <f t="shared" si="3"/>
        <v/>
      </c>
      <c r="K72" s="240" t="str">
        <f t="shared" si="4"/>
        <v/>
      </c>
      <c r="L72" s="234"/>
      <c r="M72" s="220"/>
      <c r="N72" s="220"/>
      <c r="O72" s="220"/>
      <c r="P72" s="220"/>
      <c r="Q72" s="220"/>
      <c r="R72" s="220"/>
    </row>
    <row r="73">
      <c r="A73" s="220"/>
      <c r="B73" s="244"/>
      <c r="C73" s="245"/>
      <c r="D73" s="246"/>
      <c r="E73" s="235"/>
      <c r="F73" s="243"/>
      <c r="G73" s="234"/>
      <c r="H73" s="237" t="str">
        <f t="shared" si="10"/>
        <v/>
      </c>
      <c r="I73" s="238" t="str">
        <f t="shared" si="7"/>
        <v/>
      </c>
      <c r="J73" s="239" t="str">
        <f t="shared" si="3"/>
        <v/>
      </c>
      <c r="K73" s="240" t="str">
        <f t="shared" si="4"/>
        <v/>
      </c>
      <c r="L73" s="234"/>
      <c r="M73" s="220"/>
      <c r="N73" s="220"/>
      <c r="O73" s="220"/>
      <c r="P73" s="220"/>
      <c r="Q73" s="220"/>
      <c r="R73" s="220"/>
    </row>
    <row r="74">
      <c r="A74" s="220"/>
      <c r="B74" s="244"/>
      <c r="C74" s="245"/>
      <c r="D74" s="246"/>
      <c r="E74" s="235"/>
      <c r="F74" s="243"/>
      <c r="G74" s="234"/>
      <c r="H74" s="237" t="str">
        <f t="shared" si="10"/>
        <v/>
      </c>
      <c r="I74" s="238" t="str">
        <f t="shared" si="7"/>
        <v/>
      </c>
      <c r="J74" s="239" t="str">
        <f t="shared" si="3"/>
        <v/>
      </c>
      <c r="K74" s="240" t="str">
        <f t="shared" si="4"/>
        <v/>
      </c>
      <c r="L74" s="234"/>
      <c r="M74" s="220"/>
      <c r="N74" s="220"/>
      <c r="O74" s="220"/>
      <c r="P74" s="220"/>
      <c r="Q74" s="220"/>
      <c r="R74" s="220"/>
    </row>
    <row r="75">
      <c r="A75" s="220"/>
      <c r="B75" s="244"/>
      <c r="C75" s="245"/>
      <c r="D75" s="246"/>
      <c r="E75" s="235"/>
      <c r="F75" s="243"/>
      <c r="G75" s="234"/>
      <c r="H75" s="237" t="str">
        <f t="shared" si="10"/>
        <v/>
      </c>
      <c r="I75" s="238" t="str">
        <f t="shared" si="7"/>
        <v/>
      </c>
      <c r="J75" s="239" t="str">
        <f t="shared" si="3"/>
        <v/>
      </c>
      <c r="K75" s="240" t="str">
        <f t="shared" si="4"/>
        <v/>
      </c>
      <c r="L75" s="234"/>
      <c r="M75" s="220"/>
      <c r="N75" s="220"/>
      <c r="O75" s="220"/>
      <c r="P75" s="220"/>
      <c r="Q75" s="220"/>
      <c r="R75" s="220"/>
    </row>
    <row r="76">
      <c r="A76" s="220"/>
      <c r="B76" s="244"/>
      <c r="C76" s="245"/>
      <c r="D76" s="246"/>
      <c r="E76" s="235"/>
      <c r="F76" s="243"/>
      <c r="G76" s="234"/>
      <c r="H76" s="237" t="str">
        <f t="shared" si="10"/>
        <v/>
      </c>
      <c r="I76" s="238" t="str">
        <f t="shared" si="7"/>
        <v/>
      </c>
      <c r="J76" s="239" t="str">
        <f t="shared" si="3"/>
        <v/>
      </c>
      <c r="K76" s="240" t="str">
        <f t="shared" si="4"/>
        <v/>
      </c>
      <c r="L76" s="234"/>
      <c r="M76" s="220"/>
      <c r="N76" s="220"/>
      <c r="O76" s="220"/>
      <c r="P76" s="220"/>
      <c r="Q76" s="220"/>
      <c r="R76" s="220"/>
    </row>
    <row r="77">
      <c r="A77" s="220"/>
      <c r="B77" s="244"/>
      <c r="C77" s="245"/>
      <c r="D77" s="246"/>
      <c r="E77" s="235"/>
      <c r="F77" s="243"/>
      <c r="G77" s="234"/>
      <c r="H77" s="237" t="str">
        <f t="shared" si="10"/>
        <v/>
      </c>
      <c r="I77" s="238" t="str">
        <f t="shared" si="7"/>
        <v/>
      </c>
      <c r="J77" s="239" t="str">
        <f t="shared" si="3"/>
        <v/>
      </c>
      <c r="K77" s="240" t="str">
        <f t="shared" si="4"/>
        <v/>
      </c>
      <c r="L77" s="234"/>
      <c r="M77" s="220"/>
      <c r="N77" s="220"/>
      <c r="O77" s="220"/>
      <c r="P77" s="220"/>
      <c r="Q77" s="220"/>
      <c r="R77" s="220"/>
    </row>
    <row r="78">
      <c r="A78" s="220"/>
      <c r="B78" s="244"/>
      <c r="C78" s="245"/>
      <c r="D78" s="246"/>
      <c r="E78" s="235"/>
      <c r="F78" s="243"/>
      <c r="G78" s="234"/>
      <c r="H78" s="237" t="str">
        <f t="shared" si="10"/>
        <v/>
      </c>
      <c r="I78" s="238" t="str">
        <f t="shared" si="7"/>
        <v/>
      </c>
      <c r="J78" s="239" t="str">
        <f t="shared" si="3"/>
        <v/>
      </c>
      <c r="K78" s="240" t="str">
        <f t="shared" si="4"/>
        <v/>
      </c>
      <c r="L78" s="234"/>
      <c r="M78" s="220"/>
      <c r="N78" s="220"/>
      <c r="O78" s="220"/>
      <c r="P78" s="220"/>
      <c r="Q78" s="220"/>
      <c r="R78" s="220"/>
    </row>
    <row r="79">
      <c r="A79" s="220"/>
      <c r="B79" s="244"/>
      <c r="C79" s="245"/>
      <c r="D79" s="246"/>
      <c r="E79" s="235"/>
      <c r="F79" s="243"/>
      <c r="G79" s="234"/>
      <c r="H79" s="237" t="str">
        <f t="shared" si="10"/>
        <v/>
      </c>
      <c r="I79" s="238" t="str">
        <f t="shared" si="7"/>
        <v/>
      </c>
      <c r="J79" s="239" t="str">
        <f t="shared" si="3"/>
        <v/>
      </c>
      <c r="K79" s="240" t="str">
        <f t="shared" si="4"/>
        <v/>
      </c>
      <c r="L79" s="234"/>
      <c r="M79" s="220"/>
      <c r="N79" s="220"/>
      <c r="O79" s="220"/>
      <c r="P79" s="220"/>
      <c r="Q79" s="220"/>
      <c r="R79" s="220"/>
    </row>
    <row r="80">
      <c r="A80" s="220"/>
      <c r="B80" s="244"/>
      <c r="C80" s="245"/>
      <c r="D80" s="246"/>
      <c r="E80" s="235"/>
      <c r="F80" s="243"/>
      <c r="G80" s="234"/>
      <c r="H80" s="237" t="str">
        <f t="shared" si="10"/>
        <v/>
      </c>
      <c r="I80" s="238" t="str">
        <f t="shared" si="7"/>
        <v/>
      </c>
      <c r="J80" s="239" t="str">
        <f t="shared" si="3"/>
        <v/>
      </c>
      <c r="K80" s="240" t="str">
        <f t="shared" si="4"/>
        <v/>
      </c>
      <c r="L80" s="234"/>
      <c r="M80" s="220"/>
      <c r="N80" s="220"/>
      <c r="O80" s="220"/>
      <c r="P80" s="220"/>
      <c r="Q80" s="220"/>
      <c r="R80" s="220"/>
    </row>
    <row r="81">
      <c r="A81" s="220"/>
      <c r="B81" s="244"/>
      <c r="C81" s="245"/>
      <c r="D81" s="246"/>
      <c r="E81" s="235"/>
      <c r="F81" s="243"/>
      <c r="G81" s="234"/>
      <c r="H81" s="237" t="str">
        <f t="shared" si="10"/>
        <v/>
      </c>
      <c r="I81" s="238" t="str">
        <f t="shared" si="7"/>
        <v/>
      </c>
      <c r="J81" s="239" t="str">
        <f t="shared" si="3"/>
        <v/>
      </c>
      <c r="K81" s="240" t="str">
        <f t="shared" si="4"/>
        <v/>
      </c>
      <c r="L81" s="234"/>
      <c r="M81" s="220"/>
      <c r="N81" s="220"/>
      <c r="O81" s="220"/>
      <c r="P81" s="220"/>
      <c r="Q81" s="220"/>
      <c r="R81" s="220"/>
    </row>
    <row r="82">
      <c r="A82" s="220"/>
      <c r="B82" s="244"/>
      <c r="C82" s="245"/>
      <c r="D82" s="246"/>
      <c r="E82" s="235"/>
      <c r="F82" s="243"/>
      <c r="G82" s="234"/>
      <c r="H82" s="237" t="str">
        <f t="shared" si="10"/>
        <v/>
      </c>
      <c r="I82" s="238" t="str">
        <f t="shared" si="7"/>
        <v/>
      </c>
      <c r="J82" s="239" t="str">
        <f t="shared" si="3"/>
        <v/>
      </c>
      <c r="K82" s="240" t="str">
        <f t="shared" si="4"/>
        <v/>
      </c>
      <c r="L82" s="234"/>
      <c r="M82" s="220"/>
      <c r="N82" s="220"/>
      <c r="O82" s="220"/>
      <c r="P82" s="220"/>
      <c r="Q82" s="220"/>
      <c r="R82" s="220"/>
    </row>
    <row r="83">
      <c r="A83" s="220"/>
      <c r="B83" s="244"/>
      <c r="C83" s="245"/>
      <c r="D83" s="246"/>
      <c r="E83" s="235"/>
      <c r="F83" s="243"/>
      <c r="G83" s="234"/>
      <c r="H83" s="237" t="str">
        <f t="shared" si="10"/>
        <v/>
      </c>
      <c r="I83" s="238" t="str">
        <f t="shared" si="7"/>
        <v/>
      </c>
      <c r="J83" s="239" t="str">
        <f t="shared" si="3"/>
        <v/>
      </c>
      <c r="K83" s="240" t="str">
        <f t="shared" si="4"/>
        <v/>
      </c>
      <c r="L83" s="234"/>
      <c r="M83" s="220"/>
      <c r="N83" s="220"/>
      <c r="O83" s="220"/>
      <c r="P83" s="220"/>
      <c r="Q83" s="220"/>
      <c r="R83" s="220"/>
    </row>
    <row r="84">
      <c r="A84" s="220"/>
      <c r="B84" s="244"/>
      <c r="C84" s="245"/>
      <c r="D84" s="246"/>
      <c r="E84" s="235"/>
      <c r="F84" s="243"/>
      <c r="G84" s="234"/>
      <c r="H84" s="237" t="str">
        <f t="shared" si="10"/>
        <v/>
      </c>
      <c r="I84" s="238" t="str">
        <f t="shared" si="7"/>
        <v/>
      </c>
      <c r="J84" s="239" t="str">
        <f t="shared" si="3"/>
        <v/>
      </c>
      <c r="K84" s="240" t="str">
        <f t="shared" si="4"/>
        <v/>
      </c>
      <c r="L84" s="234"/>
      <c r="M84" s="220"/>
      <c r="N84" s="220"/>
      <c r="O84" s="220"/>
      <c r="P84" s="220"/>
      <c r="Q84" s="220"/>
      <c r="R84" s="220"/>
    </row>
    <row r="85">
      <c r="A85" s="220"/>
      <c r="B85" s="244"/>
      <c r="C85" s="245"/>
      <c r="D85" s="246"/>
      <c r="E85" s="235"/>
      <c r="F85" s="243"/>
      <c r="G85" s="234"/>
      <c r="H85" s="237" t="str">
        <f t="shared" si="10"/>
        <v/>
      </c>
      <c r="I85" s="238" t="str">
        <f t="shared" si="7"/>
        <v/>
      </c>
      <c r="J85" s="239" t="str">
        <f t="shared" si="3"/>
        <v/>
      </c>
      <c r="K85" s="240" t="str">
        <f t="shared" si="4"/>
        <v/>
      </c>
      <c r="L85" s="234"/>
      <c r="M85" s="220"/>
      <c r="N85" s="220"/>
      <c r="O85" s="220"/>
      <c r="P85" s="220"/>
      <c r="Q85" s="220"/>
      <c r="R85" s="220"/>
    </row>
    <row r="86">
      <c r="A86" s="220"/>
      <c r="B86" s="244"/>
      <c r="C86" s="245"/>
      <c r="D86" s="246"/>
      <c r="E86" s="235"/>
      <c r="F86" s="243"/>
      <c r="G86" s="234"/>
      <c r="H86" s="237" t="str">
        <f t="shared" si="10"/>
        <v/>
      </c>
      <c r="I86" s="238" t="str">
        <f t="shared" si="7"/>
        <v/>
      </c>
      <c r="J86" s="239" t="str">
        <f t="shared" si="3"/>
        <v/>
      </c>
      <c r="K86" s="240" t="str">
        <f t="shared" si="4"/>
        <v/>
      </c>
      <c r="L86" s="234"/>
      <c r="M86" s="220"/>
      <c r="N86" s="220"/>
      <c r="O86" s="220"/>
      <c r="P86" s="220"/>
      <c r="Q86" s="220"/>
      <c r="R86" s="220"/>
    </row>
    <row r="87">
      <c r="A87" s="220"/>
      <c r="B87" s="244"/>
      <c r="C87" s="245"/>
      <c r="D87" s="246"/>
      <c r="E87" s="235"/>
      <c r="F87" s="243"/>
      <c r="G87" s="234"/>
      <c r="H87" s="237" t="str">
        <f t="shared" si="10"/>
        <v/>
      </c>
      <c r="I87" s="238" t="str">
        <f t="shared" si="7"/>
        <v/>
      </c>
      <c r="J87" s="239" t="str">
        <f t="shared" si="3"/>
        <v/>
      </c>
      <c r="K87" s="240" t="str">
        <f t="shared" si="4"/>
        <v/>
      </c>
      <c r="L87" s="234"/>
      <c r="M87" s="220"/>
      <c r="N87" s="220"/>
      <c r="O87" s="220"/>
      <c r="P87" s="220"/>
      <c r="Q87" s="220"/>
      <c r="R87" s="220"/>
    </row>
    <row r="88">
      <c r="A88" s="220"/>
      <c r="B88" s="244"/>
      <c r="C88" s="245"/>
      <c r="D88" s="246"/>
      <c r="E88" s="235"/>
      <c r="F88" s="243"/>
      <c r="G88" s="234"/>
      <c r="H88" s="237" t="str">
        <f t="shared" si="10"/>
        <v/>
      </c>
      <c r="I88" s="238" t="str">
        <f t="shared" si="7"/>
        <v/>
      </c>
      <c r="J88" s="239" t="str">
        <f t="shared" si="3"/>
        <v/>
      </c>
      <c r="K88" s="240" t="str">
        <f t="shared" si="4"/>
        <v/>
      </c>
      <c r="L88" s="234"/>
      <c r="M88" s="220"/>
      <c r="N88" s="220"/>
      <c r="O88" s="220"/>
      <c r="P88" s="220"/>
      <c r="Q88" s="220"/>
      <c r="R88" s="220"/>
    </row>
    <row r="89">
      <c r="A89" s="220"/>
      <c r="B89" s="244"/>
      <c r="C89" s="245"/>
      <c r="D89" s="246"/>
      <c r="E89" s="235"/>
      <c r="F89" s="243"/>
      <c r="G89" s="234"/>
      <c r="H89" s="237" t="str">
        <f t="shared" si="10"/>
        <v/>
      </c>
      <c r="I89" s="238" t="str">
        <f t="shared" si="7"/>
        <v/>
      </c>
      <c r="J89" s="239" t="str">
        <f t="shared" si="3"/>
        <v/>
      </c>
      <c r="K89" s="240" t="str">
        <f t="shared" si="4"/>
        <v/>
      </c>
      <c r="L89" s="234"/>
      <c r="M89" s="220"/>
      <c r="N89" s="220"/>
      <c r="O89" s="220"/>
      <c r="P89" s="220"/>
      <c r="Q89" s="220"/>
      <c r="R89" s="220"/>
    </row>
    <row r="90">
      <c r="A90" s="220"/>
      <c r="B90" s="244"/>
      <c r="C90" s="245"/>
      <c r="D90" s="246"/>
      <c r="E90" s="235"/>
      <c r="F90" s="243"/>
      <c r="G90" s="234"/>
      <c r="H90" s="237" t="str">
        <f t="shared" si="10"/>
        <v/>
      </c>
      <c r="I90" s="238" t="str">
        <f t="shared" si="7"/>
        <v/>
      </c>
      <c r="J90" s="239" t="str">
        <f t="shared" si="3"/>
        <v/>
      </c>
      <c r="K90" s="240" t="str">
        <f t="shared" si="4"/>
        <v/>
      </c>
      <c r="L90" s="234"/>
      <c r="M90" s="220"/>
      <c r="N90" s="220"/>
      <c r="O90" s="220"/>
      <c r="P90" s="220"/>
      <c r="Q90" s="220"/>
      <c r="R90" s="220"/>
    </row>
    <row r="91">
      <c r="A91" s="220"/>
      <c r="B91" s="244"/>
      <c r="C91" s="245"/>
      <c r="D91" s="246"/>
      <c r="E91" s="235"/>
      <c r="F91" s="243"/>
      <c r="G91" s="234"/>
      <c r="H91" s="237" t="str">
        <f t="shared" si="10"/>
        <v/>
      </c>
      <c r="I91" s="238" t="str">
        <f t="shared" si="7"/>
        <v/>
      </c>
      <c r="J91" s="239" t="str">
        <f t="shared" si="3"/>
        <v/>
      </c>
      <c r="K91" s="240" t="str">
        <f t="shared" si="4"/>
        <v/>
      </c>
      <c r="L91" s="234"/>
      <c r="M91" s="220"/>
      <c r="N91" s="220"/>
      <c r="O91" s="220"/>
      <c r="P91" s="220"/>
      <c r="Q91" s="220"/>
      <c r="R91" s="220"/>
    </row>
    <row r="92">
      <c r="A92" s="220"/>
      <c r="B92" s="244"/>
      <c r="C92" s="245"/>
      <c r="D92" s="246"/>
      <c r="E92" s="235"/>
      <c r="F92" s="243"/>
      <c r="G92" s="234"/>
      <c r="H92" s="237" t="str">
        <f t="shared" si="10"/>
        <v/>
      </c>
      <c r="I92" s="238" t="str">
        <f t="shared" si="7"/>
        <v/>
      </c>
      <c r="J92" s="239" t="str">
        <f t="shared" si="3"/>
        <v/>
      </c>
      <c r="K92" s="240" t="str">
        <f t="shared" si="4"/>
        <v/>
      </c>
      <c r="L92" s="234"/>
      <c r="M92" s="220"/>
      <c r="N92" s="220"/>
      <c r="O92" s="220"/>
      <c r="P92" s="220"/>
      <c r="Q92" s="220"/>
      <c r="R92" s="220"/>
    </row>
    <row r="93">
      <c r="A93" s="220"/>
      <c r="B93" s="244"/>
      <c r="C93" s="245"/>
      <c r="D93" s="246"/>
      <c r="E93" s="235"/>
      <c r="F93" s="243"/>
      <c r="G93" s="234"/>
      <c r="H93" s="237" t="str">
        <f t="shared" si="10"/>
        <v/>
      </c>
      <c r="I93" s="238" t="str">
        <f t="shared" si="7"/>
        <v/>
      </c>
      <c r="J93" s="239" t="str">
        <f t="shared" si="3"/>
        <v/>
      </c>
      <c r="K93" s="240" t="str">
        <f t="shared" si="4"/>
        <v/>
      </c>
      <c r="L93" s="234"/>
      <c r="M93" s="220"/>
      <c r="N93" s="220"/>
      <c r="O93" s="220"/>
      <c r="P93" s="220"/>
      <c r="Q93" s="220"/>
      <c r="R93" s="220"/>
    </row>
    <row r="94">
      <c r="A94" s="220"/>
      <c r="B94" s="244"/>
      <c r="C94" s="245"/>
      <c r="D94" s="246"/>
      <c r="E94" s="235"/>
      <c r="F94" s="243"/>
      <c r="G94" s="234"/>
      <c r="H94" s="237" t="str">
        <f t="shared" si="10"/>
        <v/>
      </c>
      <c r="I94" s="238" t="str">
        <f t="shared" si="7"/>
        <v/>
      </c>
      <c r="J94" s="239" t="str">
        <f t="shared" si="3"/>
        <v/>
      </c>
      <c r="K94" s="240" t="str">
        <f t="shared" si="4"/>
        <v/>
      </c>
      <c r="L94" s="234"/>
      <c r="M94" s="220"/>
      <c r="N94" s="220"/>
      <c r="O94" s="220"/>
      <c r="P94" s="220"/>
      <c r="Q94" s="220"/>
      <c r="R94" s="220"/>
    </row>
    <row r="95">
      <c r="A95" s="220"/>
      <c r="B95" s="244"/>
      <c r="C95" s="245"/>
      <c r="D95" s="246"/>
      <c r="E95" s="235"/>
      <c r="F95" s="243"/>
      <c r="G95" s="234"/>
      <c r="H95" s="237" t="str">
        <f t="shared" si="10"/>
        <v/>
      </c>
      <c r="I95" s="238" t="str">
        <f t="shared" si="7"/>
        <v/>
      </c>
      <c r="J95" s="239" t="str">
        <f t="shared" si="3"/>
        <v/>
      </c>
      <c r="K95" s="240" t="str">
        <f t="shared" si="4"/>
        <v/>
      </c>
      <c r="L95" s="234"/>
      <c r="M95" s="220"/>
      <c r="N95" s="220"/>
      <c r="O95" s="220"/>
      <c r="P95" s="220"/>
      <c r="Q95" s="220"/>
      <c r="R95" s="220"/>
    </row>
    <row r="96">
      <c r="A96" s="220"/>
      <c r="B96" s="244"/>
      <c r="C96" s="245"/>
      <c r="D96" s="246"/>
      <c r="E96" s="235"/>
      <c r="F96" s="243"/>
      <c r="G96" s="234"/>
      <c r="H96" s="237" t="str">
        <f t="shared" si="10"/>
        <v/>
      </c>
      <c r="I96" s="238" t="str">
        <f t="shared" si="7"/>
        <v/>
      </c>
      <c r="J96" s="239" t="str">
        <f t="shared" si="3"/>
        <v/>
      </c>
      <c r="K96" s="240" t="str">
        <f t="shared" si="4"/>
        <v/>
      </c>
      <c r="L96" s="234"/>
      <c r="M96" s="220"/>
      <c r="N96" s="220"/>
      <c r="O96" s="220"/>
      <c r="P96" s="220"/>
      <c r="Q96" s="220"/>
      <c r="R96" s="220"/>
    </row>
    <row r="97">
      <c r="A97" s="220"/>
      <c r="B97" s="244"/>
      <c r="C97" s="245"/>
      <c r="D97" s="246"/>
      <c r="E97" s="235"/>
      <c r="F97" s="243"/>
      <c r="G97" s="234"/>
      <c r="H97" s="237" t="str">
        <f t="shared" si="10"/>
        <v/>
      </c>
      <c r="I97" s="238" t="str">
        <f t="shared" si="7"/>
        <v/>
      </c>
      <c r="J97" s="239" t="str">
        <f t="shared" si="3"/>
        <v/>
      </c>
      <c r="K97" s="240" t="str">
        <f t="shared" si="4"/>
        <v/>
      </c>
      <c r="L97" s="234"/>
      <c r="M97" s="220"/>
      <c r="N97" s="220"/>
      <c r="O97" s="220"/>
      <c r="P97" s="220"/>
      <c r="Q97" s="220"/>
      <c r="R97" s="220"/>
    </row>
    <row r="98">
      <c r="A98" s="220"/>
      <c r="B98" s="244"/>
      <c r="C98" s="245"/>
      <c r="D98" s="246"/>
      <c r="E98" s="235"/>
      <c r="F98" s="243"/>
      <c r="G98" s="234"/>
      <c r="H98" s="237" t="str">
        <f t="shared" si="10"/>
        <v/>
      </c>
      <c r="I98" s="238" t="str">
        <f t="shared" si="7"/>
        <v/>
      </c>
      <c r="J98" s="239" t="str">
        <f t="shared" si="3"/>
        <v/>
      </c>
      <c r="K98" s="240" t="str">
        <f t="shared" si="4"/>
        <v/>
      </c>
      <c r="L98" s="234"/>
      <c r="M98" s="220"/>
      <c r="N98" s="220"/>
      <c r="O98" s="220"/>
      <c r="P98" s="220"/>
      <c r="Q98" s="220"/>
      <c r="R98" s="220"/>
    </row>
    <row r="99">
      <c r="A99" s="220"/>
      <c r="B99" s="244"/>
      <c r="C99" s="245"/>
      <c r="D99" s="246"/>
      <c r="E99" s="235"/>
      <c r="F99" s="243"/>
      <c r="G99" s="234"/>
      <c r="H99" s="237" t="str">
        <f t="shared" si="10"/>
        <v/>
      </c>
      <c r="I99" s="238" t="str">
        <f t="shared" si="7"/>
        <v/>
      </c>
      <c r="J99" s="239" t="str">
        <f t="shared" si="3"/>
        <v/>
      </c>
      <c r="K99" s="240" t="str">
        <f t="shared" si="4"/>
        <v/>
      </c>
      <c r="L99" s="234"/>
      <c r="M99" s="220"/>
      <c r="N99" s="220"/>
      <c r="O99" s="220"/>
      <c r="P99" s="220"/>
      <c r="Q99" s="220"/>
      <c r="R99" s="220"/>
    </row>
    <row r="100">
      <c r="A100" s="220"/>
      <c r="B100" s="244"/>
      <c r="C100" s="245"/>
      <c r="D100" s="246"/>
      <c r="E100" s="235"/>
      <c r="F100" s="243"/>
      <c r="G100" s="234"/>
      <c r="H100" s="237" t="str">
        <f t="shared" si="10"/>
        <v/>
      </c>
      <c r="I100" s="238" t="str">
        <f t="shared" si="7"/>
        <v/>
      </c>
      <c r="J100" s="239" t="str">
        <f t="shared" si="3"/>
        <v/>
      </c>
      <c r="K100" s="240" t="str">
        <f t="shared" si="4"/>
        <v/>
      </c>
      <c r="L100" s="234"/>
      <c r="M100" s="220"/>
      <c r="N100" s="220"/>
      <c r="O100" s="220"/>
      <c r="P100" s="220"/>
      <c r="Q100" s="220"/>
      <c r="R100" s="220"/>
    </row>
    <row r="101">
      <c r="A101" s="220"/>
      <c r="B101" s="244"/>
      <c r="C101" s="245"/>
      <c r="D101" s="246"/>
      <c r="E101" s="235"/>
      <c r="F101" s="243"/>
      <c r="G101" s="234"/>
      <c r="H101" s="237" t="str">
        <f t="shared" si="10"/>
        <v/>
      </c>
      <c r="I101" s="238" t="str">
        <f t="shared" si="7"/>
        <v/>
      </c>
      <c r="J101" s="239" t="str">
        <f t="shared" si="3"/>
        <v/>
      </c>
      <c r="K101" s="240" t="str">
        <f t="shared" si="4"/>
        <v/>
      </c>
      <c r="L101" s="234"/>
      <c r="M101" s="220"/>
      <c r="N101" s="220"/>
      <c r="O101" s="220"/>
      <c r="P101" s="220"/>
      <c r="Q101" s="220"/>
      <c r="R101" s="220"/>
    </row>
    <row r="102">
      <c r="A102" s="220"/>
      <c r="B102" s="244"/>
      <c r="C102" s="245"/>
      <c r="D102" s="246"/>
      <c r="E102" s="235"/>
      <c r="F102" s="243"/>
      <c r="G102" s="234"/>
      <c r="H102" s="237" t="str">
        <f t="shared" si="10"/>
        <v/>
      </c>
      <c r="I102" s="238" t="str">
        <f t="shared" si="7"/>
        <v/>
      </c>
      <c r="J102" s="239" t="str">
        <f t="shared" si="3"/>
        <v/>
      </c>
      <c r="K102" s="240" t="str">
        <f t="shared" si="4"/>
        <v/>
      </c>
      <c r="L102" s="234"/>
      <c r="M102" s="220"/>
      <c r="N102" s="220"/>
      <c r="O102" s="220"/>
      <c r="P102" s="220"/>
      <c r="Q102" s="220"/>
      <c r="R102" s="220"/>
    </row>
    <row r="103">
      <c r="A103" s="220"/>
      <c r="B103" s="244"/>
      <c r="C103" s="245"/>
      <c r="D103" s="246"/>
      <c r="E103" s="235"/>
      <c r="F103" s="243"/>
      <c r="G103" s="234"/>
      <c r="H103" s="237" t="str">
        <f t="shared" si="10"/>
        <v/>
      </c>
      <c r="I103" s="238" t="str">
        <f t="shared" si="7"/>
        <v/>
      </c>
      <c r="J103" s="239" t="str">
        <f t="shared" si="3"/>
        <v/>
      </c>
      <c r="K103" s="240" t="str">
        <f t="shared" si="4"/>
        <v/>
      </c>
      <c r="L103" s="234"/>
      <c r="M103" s="220"/>
      <c r="N103" s="220"/>
      <c r="O103" s="220"/>
      <c r="P103" s="220"/>
      <c r="Q103" s="220"/>
      <c r="R103" s="220"/>
    </row>
    <row r="104">
      <c r="A104" s="220"/>
      <c r="B104" s="244"/>
      <c r="C104" s="245"/>
      <c r="D104" s="246"/>
      <c r="E104" s="235"/>
      <c r="F104" s="243"/>
      <c r="G104" s="234"/>
      <c r="H104" s="237" t="str">
        <f t="shared" si="10"/>
        <v/>
      </c>
      <c r="I104" s="238" t="str">
        <f t="shared" si="7"/>
        <v/>
      </c>
      <c r="J104" s="239" t="str">
        <f t="shared" si="3"/>
        <v/>
      </c>
      <c r="K104" s="240" t="str">
        <f t="shared" si="4"/>
        <v/>
      </c>
      <c r="L104" s="234"/>
      <c r="M104" s="220"/>
      <c r="N104" s="220"/>
      <c r="O104" s="220"/>
      <c r="P104" s="220"/>
      <c r="Q104" s="220"/>
      <c r="R104" s="220"/>
    </row>
    <row r="105">
      <c r="A105" s="220"/>
      <c r="B105" s="244"/>
      <c r="C105" s="245"/>
      <c r="D105" s="246"/>
      <c r="E105" s="235"/>
      <c r="F105" s="243"/>
      <c r="G105" s="234"/>
      <c r="H105" s="237" t="str">
        <f t="shared" si="10"/>
        <v/>
      </c>
      <c r="I105" s="238" t="str">
        <f t="shared" si="7"/>
        <v/>
      </c>
      <c r="J105" s="239" t="str">
        <f t="shared" si="3"/>
        <v/>
      </c>
      <c r="K105" s="240" t="str">
        <f t="shared" si="4"/>
        <v/>
      </c>
      <c r="L105" s="234"/>
      <c r="M105" s="220"/>
      <c r="N105" s="220"/>
      <c r="O105" s="220"/>
      <c r="P105" s="220"/>
      <c r="Q105" s="220"/>
      <c r="R105" s="220"/>
    </row>
    <row r="106">
      <c r="A106" s="220"/>
      <c r="B106" s="244"/>
      <c r="C106" s="245"/>
      <c r="D106" s="246"/>
      <c r="E106" s="235"/>
      <c r="F106" s="243"/>
      <c r="G106" s="234"/>
      <c r="H106" s="237" t="str">
        <f t="shared" si="10"/>
        <v/>
      </c>
      <c r="I106" s="238" t="str">
        <f t="shared" si="7"/>
        <v/>
      </c>
      <c r="J106" s="239" t="str">
        <f t="shared" si="3"/>
        <v/>
      </c>
      <c r="K106" s="240" t="str">
        <f t="shared" si="4"/>
        <v/>
      </c>
      <c r="L106" s="234"/>
      <c r="M106" s="220"/>
      <c r="N106" s="220"/>
      <c r="O106" s="220"/>
      <c r="P106" s="220"/>
      <c r="Q106" s="220"/>
      <c r="R106" s="220"/>
    </row>
    <row r="107">
      <c r="A107" s="220"/>
      <c r="B107" s="244"/>
      <c r="C107" s="245"/>
      <c r="D107" s="246"/>
      <c r="E107" s="235"/>
      <c r="F107" s="243"/>
      <c r="G107" s="234"/>
      <c r="H107" s="237" t="str">
        <f t="shared" si="10"/>
        <v/>
      </c>
      <c r="I107" s="238" t="str">
        <f t="shared" si="7"/>
        <v/>
      </c>
      <c r="J107" s="239" t="str">
        <f t="shared" si="3"/>
        <v/>
      </c>
      <c r="K107" s="240" t="str">
        <f t="shared" si="4"/>
        <v/>
      </c>
      <c r="L107" s="234"/>
      <c r="M107" s="220"/>
      <c r="N107" s="220"/>
      <c r="O107" s="220"/>
      <c r="P107" s="220"/>
      <c r="Q107" s="220"/>
      <c r="R107" s="220"/>
    </row>
    <row r="108">
      <c r="A108" s="220"/>
      <c r="B108" s="244"/>
      <c r="C108" s="245"/>
      <c r="D108" s="246"/>
      <c r="E108" s="235"/>
      <c r="F108" s="243"/>
      <c r="G108" s="234"/>
      <c r="H108" s="237" t="str">
        <f t="shared" si="10"/>
        <v/>
      </c>
      <c r="I108" s="238" t="str">
        <f t="shared" si="7"/>
        <v/>
      </c>
      <c r="J108" s="239" t="str">
        <f t="shared" si="3"/>
        <v/>
      </c>
      <c r="K108" s="240" t="str">
        <f t="shared" si="4"/>
        <v/>
      </c>
      <c r="L108" s="234"/>
      <c r="M108" s="220"/>
      <c r="N108" s="220"/>
      <c r="O108" s="220"/>
      <c r="P108" s="220"/>
      <c r="Q108" s="220"/>
      <c r="R108" s="220"/>
    </row>
    <row r="109">
      <c r="A109" s="220"/>
      <c r="B109" s="244"/>
      <c r="C109" s="245"/>
      <c r="D109" s="246"/>
      <c r="E109" s="235"/>
      <c r="F109" s="243"/>
      <c r="G109" s="234"/>
      <c r="H109" s="237" t="str">
        <f t="shared" si="10"/>
        <v/>
      </c>
      <c r="I109" s="238" t="str">
        <f t="shared" si="7"/>
        <v/>
      </c>
      <c r="J109" s="239" t="str">
        <f t="shared" si="3"/>
        <v/>
      </c>
      <c r="K109" s="240" t="str">
        <f t="shared" si="4"/>
        <v/>
      </c>
      <c r="L109" s="234"/>
      <c r="M109" s="220"/>
      <c r="N109" s="220"/>
      <c r="O109" s="220"/>
      <c r="P109" s="220"/>
      <c r="Q109" s="220"/>
      <c r="R109" s="220"/>
    </row>
    <row r="110">
      <c r="A110" s="220"/>
      <c r="B110" s="244"/>
      <c r="C110" s="245"/>
      <c r="D110" s="246"/>
      <c r="E110" s="235"/>
      <c r="F110" s="243"/>
      <c r="G110" s="234"/>
      <c r="H110" s="237" t="str">
        <f t="shared" si="10"/>
        <v/>
      </c>
      <c r="I110" s="238" t="str">
        <f t="shared" si="7"/>
        <v/>
      </c>
      <c r="J110" s="239" t="str">
        <f t="shared" si="3"/>
        <v/>
      </c>
      <c r="K110" s="240" t="str">
        <f t="shared" si="4"/>
        <v/>
      </c>
      <c r="L110" s="234"/>
      <c r="M110" s="220"/>
      <c r="N110" s="220"/>
      <c r="O110" s="220"/>
      <c r="P110" s="220"/>
      <c r="Q110" s="220"/>
      <c r="R110" s="220"/>
    </row>
    <row r="111">
      <c r="A111" s="220"/>
      <c r="B111" s="244"/>
      <c r="C111" s="245"/>
      <c r="D111" s="246"/>
      <c r="E111" s="235"/>
      <c r="F111" s="243"/>
      <c r="G111" s="234"/>
      <c r="H111" s="237" t="str">
        <f t="shared" si="10"/>
        <v/>
      </c>
      <c r="I111" s="238" t="str">
        <f t="shared" si="7"/>
        <v/>
      </c>
      <c r="J111" s="239" t="str">
        <f t="shared" si="3"/>
        <v/>
      </c>
      <c r="K111" s="240" t="str">
        <f t="shared" si="4"/>
        <v/>
      </c>
      <c r="L111" s="234"/>
      <c r="M111" s="220"/>
      <c r="N111" s="220"/>
      <c r="O111" s="220"/>
      <c r="P111" s="220"/>
      <c r="Q111" s="220"/>
      <c r="R111" s="220"/>
    </row>
    <row r="112">
      <c r="A112" s="220"/>
      <c r="B112" s="244"/>
      <c r="C112" s="245"/>
      <c r="D112" s="246"/>
      <c r="E112" s="235"/>
      <c r="F112" s="243"/>
      <c r="G112" s="234"/>
      <c r="H112" s="237" t="str">
        <f t="shared" si="10"/>
        <v/>
      </c>
      <c r="I112" s="238" t="str">
        <f t="shared" si="7"/>
        <v/>
      </c>
      <c r="J112" s="239" t="str">
        <f t="shared" si="3"/>
        <v/>
      </c>
      <c r="K112" s="240" t="str">
        <f t="shared" si="4"/>
        <v/>
      </c>
      <c r="L112" s="234"/>
      <c r="M112" s="220"/>
      <c r="N112" s="220"/>
      <c r="O112" s="220"/>
      <c r="P112" s="220"/>
      <c r="Q112" s="220"/>
      <c r="R112" s="220"/>
    </row>
    <row r="113">
      <c r="A113" s="220"/>
      <c r="B113" s="244"/>
      <c r="C113" s="245"/>
      <c r="D113" s="246"/>
      <c r="E113" s="235"/>
      <c r="F113" s="243"/>
      <c r="G113" s="234"/>
      <c r="H113" s="237" t="str">
        <f t="shared" si="10"/>
        <v/>
      </c>
      <c r="I113" s="238" t="str">
        <f t="shared" si="7"/>
        <v/>
      </c>
      <c r="J113" s="239" t="str">
        <f t="shared" si="3"/>
        <v/>
      </c>
      <c r="K113" s="240" t="str">
        <f t="shared" si="4"/>
        <v/>
      </c>
      <c r="L113" s="234"/>
      <c r="M113" s="220"/>
      <c r="N113" s="220"/>
      <c r="O113" s="220"/>
      <c r="P113" s="220"/>
      <c r="Q113" s="220"/>
      <c r="R113" s="220"/>
    </row>
    <row r="114">
      <c r="A114" s="220"/>
      <c r="B114" s="244"/>
      <c r="C114" s="245"/>
      <c r="D114" s="246"/>
      <c r="E114" s="235"/>
      <c r="F114" s="243"/>
      <c r="G114" s="234"/>
      <c r="H114" s="237" t="str">
        <f t="shared" si="10"/>
        <v/>
      </c>
      <c r="I114" s="238" t="str">
        <f t="shared" si="7"/>
        <v/>
      </c>
      <c r="J114" s="239" t="str">
        <f t="shared" si="3"/>
        <v/>
      </c>
      <c r="K114" s="240" t="str">
        <f t="shared" si="4"/>
        <v/>
      </c>
      <c r="L114" s="234"/>
      <c r="M114" s="220"/>
      <c r="N114" s="220"/>
      <c r="O114" s="220"/>
      <c r="P114" s="220"/>
      <c r="Q114" s="220"/>
      <c r="R114" s="220"/>
    </row>
    <row r="115">
      <c r="A115" s="220"/>
      <c r="B115" s="244"/>
      <c r="C115" s="245"/>
      <c r="D115" s="246"/>
      <c r="E115" s="235"/>
      <c r="F115" s="243"/>
      <c r="G115" s="234"/>
      <c r="H115" s="237" t="str">
        <f t="shared" si="10"/>
        <v/>
      </c>
      <c r="I115" s="238" t="str">
        <f t="shared" si="7"/>
        <v/>
      </c>
      <c r="J115" s="239" t="str">
        <f t="shared" si="3"/>
        <v/>
      </c>
      <c r="K115" s="240" t="str">
        <f t="shared" si="4"/>
        <v/>
      </c>
      <c r="L115" s="234"/>
      <c r="M115" s="220"/>
      <c r="N115" s="220"/>
      <c r="O115" s="220"/>
      <c r="P115" s="220"/>
      <c r="Q115" s="220"/>
      <c r="R115" s="220"/>
    </row>
    <row r="116">
      <c r="A116" s="220"/>
      <c r="B116" s="244"/>
      <c r="C116" s="245"/>
      <c r="D116" s="246"/>
      <c r="E116" s="235"/>
      <c r="F116" s="243"/>
      <c r="G116" s="234"/>
      <c r="H116" s="237" t="str">
        <f t="shared" si="10"/>
        <v/>
      </c>
      <c r="I116" s="238" t="str">
        <f t="shared" si="7"/>
        <v/>
      </c>
      <c r="J116" s="239" t="str">
        <f t="shared" si="3"/>
        <v/>
      </c>
      <c r="K116" s="240" t="str">
        <f t="shared" si="4"/>
        <v/>
      </c>
      <c r="L116" s="234"/>
      <c r="M116" s="220"/>
      <c r="N116" s="220"/>
      <c r="O116" s="220"/>
      <c r="P116" s="220"/>
      <c r="Q116" s="220"/>
      <c r="R116" s="220"/>
    </row>
    <row r="117">
      <c r="A117" s="220"/>
      <c r="B117" s="244"/>
      <c r="C117" s="245"/>
      <c r="D117" s="246"/>
      <c r="E117" s="235"/>
      <c r="F117" s="243"/>
      <c r="G117" s="234"/>
      <c r="H117" s="237" t="str">
        <f t="shared" si="10"/>
        <v/>
      </c>
      <c r="I117" s="238" t="str">
        <f t="shared" si="7"/>
        <v/>
      </c>
      <c r="J117" s="239" t="str">
        <f t="shared" si="3"/>
        <v/>
      </c>
      <c r="K117" s="240" t="str">
        <f t="shared" si="4"/>
        <v/>
      </c>
      <c r="L117" s="234"/>
      <c r="M117" s="220"/>
      <c r="N117" s="220"/>
      <c r="O117" s="220"/>
      <c r="P117" s="220"/>
      <c r="Q117" s="220"/>
      <c r="R117" s="220"/>
    </row>
    <row r="118">
      <c r="A118" s="220"/>
      <c r="B118" s="244"/>
      <c r="C118" s="245"/>
      <c r="D118" s="246"/>
      <c r="E118" s="235"/>
      <c r="F118" s="243"/>
      <c r="G118" s="234"/>
      <c r="H118" s="237" t="str">
        <f t="shared" si="10"/>
        <v/>
      </c>
      <c r="I118" s="238" t="str">
        <f t="shared" si="7"/>
        <v/>
      </c>
      <c r="J118" s="239" t="str">
        <f t="shared" si="3"/>
        <v/>
      </c>
      <c r="K118" s="240" t="str">
        <f t="shared" si="4"/>
        <v/>
      </c>
      <c r="L118" s="234"/>
      <c r="M118" s="220"/>
      <c r="N118" s="220"/>
      <c r="O118" s="220"/>
      <c r="P118" s="220"/>
      <c r="Q118" s="220"/>
      <c r="R118" s="220"/>
    </row>
    <row r="119">
      <c r="A119" s="220"/>
      <c r="B119" s="244"/>
      <c r="C119" s="245"/>
      <c r="D119" s="246"/>
      <c r="E119" s="235"/>
      <c r="F119" s="243"/>
      <c r="G119" s="234"/>
      <c r="H119" s="237" t="str">
        <f t="shared" si="10"/>
        <v/>
      </c>
      <c r="I119" s="238" t="str">
        <f t="shared" si="7"/>
        <v/>
      </c>
      <c r="J119" s="239" t="str">
        <f t="shared" si="3"/>
        <v/>
      </c>
      <c r="K119" s="240" t="str">
        <f t="shared" si="4"/>
        <v/>
      </c>
      <c r="L119" s="234"/>
      <c r="M119" s="220"/>
      <c r="N119" s="220"/>
      <c r="O119" s="220"/>
      <c r="P119" s="220"/>
      <c r="Q119" s="220"/>
      <c r="R119" s="220"/>
    </row>
    <row r="120">
      <c r="A120" s="220"/>
      <c r="B120" s="244"/>
      <c r="C120" s="245"/>
      <c r="D120" s="246"/>
      <c r="E120" s="235"/>
      <c r="F120" s="243"/>
      <c r="G120" s="234"/>
      <c r="H120" s="237" t="str">
        <f t="shared" si="10"/>
        <v/>
      </c>
      <c r="I120" s="238" t="str">
        <f t="shared" si="7"/>
        <v/>
      </c>
      <c r="J120" s="239" t="str">
        <f t="shared" si="3"/>
        <v/>
      </c>
      <c r="K120" s="240" t="str">
        <f t="shared" si="4"/>
        <v/>
      </c>
      <c r="L120" s="234"/>
      <c r="M120" s="220"/>
      <c r="N120" s="220"/>
      <c r="O120" s="220"/>
      <c r="P120" s="220"/>
      <c r="Q120" s="220"/>
      <c r="R120" s="220"/>
    </row>
    <row r="121">
      <c r="A121" s="220"/>
      <c r="B121" s="244"/>
      <c r="C121" s="245"/>
      <c r="D121" s="246"/>
      <c r="E121" s="235"/>
      <c r="F121" s="243"/>
      <c r="G121" s="234"/>
      <c r="H121" s="237" t="str">
        <f t="shared" si="10"/>
        <v/>
      </c>
      <c r="I121" s="238" t="str">
        <f t="shared" si="7"/>
        <v/>
      </c>
      <c r="J121" s="239" t="str">
        <f t="shared" si="3"/>
        <v/>
      </c>
      <c r="K121" s="240" t="str">
        <f t="shared" si="4"/>
        <v/>
      </c>
      <c r="L121" s="234"/>
      <c r="M121" s="220"/>
      <c r="N121" s="220"/>
      <c r="O121" s="220"/>
      <c r="P121" s="220"/>
      <c r="Q121" s="220"/>
      <c r="R121" s="220"/>
    </row>
    <row r="122">
      <c r="A122" s="220"/>
      <c r="B122" s="244"/>
      <c r="C122" s="245"/>
      <c r="D122" s="246"/>
      <c r="E122" s="235"/>
      <c r="F122" s="243"/>
      <c r="G122" s="234"/>
      <c r="H122" s="237" t="str">
        <f t="shared" si="10"/>
        <v/>
      </c>
      <c r="I122" s="238" t="str">
        <f t="shared" si="7"/>
        <v/>
      </c>
      <c r="J122" s="239" t="str">
        <f t="shared" si="3"/>
        <v/>
      </c>
      <c r="K122" s="240" t="str">
        <f t="shared" si="4"/>
        <v/>
      </c>
      <c r="L122" s="234"/>
      <c r="M122" s="220"/>
      <c r="N122" s="220"/>
      <c r="O122" s="220"/>
      <c r="P122" s="220"/>
      <c r="Q122" s="220"/>
      <c r="R122" s="220"/>
    </row>
    <row r="123">
      <c r="A123" s="220"/>
      <c r="B123" s="244"/>
      <c r="C123" s="245"/>
      <c r="D123" s="246"/>
      <c r="E123" s="235"/>
      <c r="F123" s="243"/>
      <c r="G123" s="234"/>
      <c r="H123" s="237" t="str">
        <f t="shared" si="10"/>
        <v/>
      </c>
      <c r="I123" s="238" t="str">
        <f t="shared" si="7"/>
        <v/>
      </c>
      <c r="J123" s="239" t="str">
        <f t="shared" si="3"/>
        <v/>
      </c>
      <c r="K123" s="240" t="str">
        <f t="shared" si="4"/>
        <v/>
      </c>
      <c r="L123" s="234"/>
      <c r="M123" s="220"/>
      <c r="N123" s="220"/>
      <c r="O123" s="220"/>
      <c r="P123" s="220"/>
      <c r="Q123" s="220"/>
      <c r="R123" s="220"/>
    </row>
    <row r="124">
      <c r="A124" s="220"/>
      <c r="B124" s="244"/>
      <c r="C124" s="245"/>
      <c r="D124" s="246"/>
      <c r="E124" s="235"/>
      <c r="F124" s="243"/>
      <c r="G124" s="234"/>
      <c r="H124" s="237" t="str">
        <f t="shared" si="10"/>
        <v/>
      </c>
      <c r="I124" s="238" t="str">
        <f t="shared" si="7"/>
        <v/>
      </c>
      <c r="J124" s="239" t="str">
        <f t="shared" si="3"/>
        <v/>
      </c>
      <c r="K124" s="240" t="str">
        <f t="shared" si="4"/>
        <v/>
      </c>
      <c r="L124" s="234"/>
      <c r="M124" s="220"/>
      <c r="N124" s="220"/>
      <c r="O124" s="220"/>
      <c r="P124" s="220"/>
      <c r="Q124" s="220"/>
      <c r="R124" s="220"/>
    </row>
    <row r="125">
      <c r="A125" s="220"/>
      <c r="B125" s="244"/>
      <c r="C125" s="245"/>
      <c r="D125" s="246"/>
      <c r="E125" s="235"/>
      <c r="F125" s="243"/>
      <c r="G125" s="234"/>
      <c r="H125" s="237" t="str">
        <f t="shared" si="10"/>
        <v/>
      </c>
      <c r="I125" s="238" t="str">
        <f t="shared" si="7"/>
        <v/>
      </c>
      <c r="J125" s="239" t="str">
        <f t="shared" si="3"/>
        <v/>
      </c>
      <c r="K125" s="240" t="str">
        <f t="shared" si="4"/>
        <v/>
      </c>
      <c r="L125" s="234"/>
      <c r="M125" s="220"/>
      <c r="N125" s="220"/>
      <c r="O125" s="220"/>
      <c r="P125" s="220"/>
      <c r="Q125" s="220"/>
      <c r="R125" s="220"/>
    </row>
    <row r="126">
      <c r="A126" s="220"/>
      <c r="B126" s="244"/>
      <c r="C126" s="245"/>
      <c r="D126" s="246"/>
      <c r="E126" s="235"/>
      <c r="F126" s="243"/>
      <c r="G126" s="234"/>
      <c r="H126" s="237" t="str">
        <f t="shared" si="10"/>
        <v/>
      </c>
      <c r="I126" s="238" t="str">
        <f t="shared" si="7"/>
        <v/>
      </c>
      <c r="J126" s="239" t="str">
        <f t="shared" si="3"/>
        <v/>
      </c>
      <c r="K126" s="240" t="str">
        <f t="shared" si="4"/>
        <v/>
      </c>
      <c r="L126" s="234"/>
      <c r="M126" s="220"/>
      <c r="N126" s="220"/>
      <c r="O126" s="220"/>
      <c r="P126" s="220"/>
      <c r="Q126" s="220"/>
      <c r="R126" s="220"/>
    </row>
    <row r="127">
      <c r="A127" s="220"/>
      <c r="B127" s="244"/>
      <c r="C127" s="245"/>
      <c r="D127" s="246"/>
      <c r="E127" s="235"/>
      <c r="F127" s="243"/>
      <c r="G127" s="234"/>
      <c r="H127" s="237" t="str">
        <f t="shared" si="10"/>
        <v/>
      </c>
      <c r="I127" s="238" t="str">
        <f t="shared" si="7"/>
        <v/>
      </c>
      <c r="J127" s="239" t="str">
        <f t="shared" si="3"/>
        <v/>
      </c>
      <c r="K127" s="240" t="str">
        <f t="shared" si="4"/>
        <v/>
      </c>
      <c r="L127" s="234"/>
      <c r="M127" s="220"/>
      <c r="N127" s="220"/>
      <c r="O127" s="220"/>
      <c r="P127" s="220"/>
      <c r="Q127" s="220"/>
      <c r="R127" s="220"/>
    </row>
    <row r="128">
      <c r="A128" s="220"/>
      <c r="B128" s="244"/>
      <c r="C128" s="245"/>
      <c r="D128" s="246"/>
      <c r="E128" s="235"/>
      <c r="F128" s="243"/>
      <c r="G128" s="234"/>
      <c r="H128" s="237" t="str">
        <f t="shared" si="10"/>
        <v/>
      </c>
      <c r="I128" s="238" t="str">
        <f t="shared" si="7"/>
        <v/>
      </c>
      <c r="J128" s="239" t="str">
        <f t="shared" si="3"/>
        <v/>
      </c>
      <c r="K128" s="240" t="str">
        <f t="shared" si="4"/>
        <v/>
      </c>
      <c r="L128" s="234"/>
      <c r="M128" s="220"/>
      <c r="N128" s="220"/>
      <c r="O128" s="220"/>
      <c r="P128" s="220"/>
      <c r="Q128" s="220"/>
      <c r="R128" s="220"/>
    </row>
    <row r="129">
      <c r="A129" s="220"/>
      <c r="B129" s="244"/>
      <c r="C129" s="245"/>
      <c r="D129" s="246"/>
      <c r="E129" s="235"/>
      <c r="F129" s="243"/>
      <c r="G129" s="234"/>
      <c r="H129" s="237" t="str">
        <f t="shared" si="10"/>
        <v/>
      </c>
      <c r="I129" s="238" t="str">
        <f t="shared" si="7"/>
        <v/>
      </c>
      <c r="J129" s="239" t="str">
        <f t="shared" si="3"/>
        <v/>
      </c>
      <c r="K129" s="240" t="str">
        <f t="shared" si="4"/>
        <v/>
      </c>
      <c r="L129" s="234"/>
      <c r="M129" s="220"/>
      <c r="N129" s="220"/>
      <c r="O129" s="220"/>
      <c r="P129" s="220"/>
      <c r="Q129" s="220"/>
      <c r="R129" s="220"/>
    </row>
    <row r="130">
      <c r="A130" s="220"/>
      <c r="B130" s="244"/>
      <c r="C130" s="245"/>
      <c r="D130" s="246"/>
      <c r="E130" s="235"/>
      <c r="F130" s="243"/>
      <c r="G130" s="234"/>
      <c r="H130" s="237" t="str">
        <f t="shared" si="10"/>
        <v/>
      </c>
      <c r="I130" s="238" t="str">
        <f t="shared" si="7"/>
        <v/>
      </c>
      <c r="J130" s="239" t="str">
        <f t="shared" si="3"/>
        <v/>
      </c>
      <c r="K130" s="240" t="str">
        <f t="shared" si="4"/>
        <v/>
      </c>
      <c r="L130" s="234"/>
      <c r="M130" s="220"/>
      <c r="N130" s="220"/>
      <c r="O130" s="220"/>
      <c r="P130" s="220"/>
      <c r="Q130" s="220"/>
      <c r="R130" s="220"/>
    </row>
    <row r="131">
      <c r="A131" s="220"/>
      <c r="B131" s="244"/>
      <c r="C131" s="245"/>
      <c r="D131" s="246"/>
      <c r="E131" s="235"/>
      <c r="F131" s="243"/>
      <c r="G131" s="234"/>
      <c r="H131" s="237" t="str">
        <f t="shared" si="10"/>
        <v/>
      </c>
      <c r="I131" s="238" t="str">
        <f t="shared" si="7"/>
        <v/>
      </c>
      <c r="J131" s="239" t="str">
        <f t="shared" si="3"/>
        <v/>
      </c>
      <c r="K131" s="240" t="str">
        <f t="shared" si="4"/>
        <v/>
      </c>
      <c r="L131" s="234"/>
      <c r="M131" s="220"/>
      <c r="N131" s="220"/>
      <c r="O131" s="220"/>
      <c r="P131" s="220"/>
      <c r="Q131" s="220"/>
      <c r="R131" s="220"/>
    </row>
    <row r="132">
      <c r="A132" s="220"/>
      <c r="B132" s="244"/>
      <c r="C132" s="245"/>
      <c r="D132" s="246"/>
      <c r="E132" s="235"/>
      <c r="F132" s="243"/>
      <c r="G132" s="234"/>
      <c r="H132" s="237" t="str">
        <f t="shared" si="10"/>
        <v/>
      </c>
      <c r="I132" s="238" t="str">
        <f t="shared" si="7"/>
        <v/>
      </c>
      <c r="J132" s="239" t="str">
        <f t="shared" si="3"/>
        <v/>
      </c>
      <c r="K132" s="240" t="str">
        <f t="shared" si="4"/>
        <v/>
      </c>
      <c r="L132" s="234"/>
      <c r="M132" s="220"/>
      <c r="N132" s="220"/>
      <c r="O132" s="220"/>
      <c r="P132" s="220"/>
      <c r="Q132" s="220"/>
      <c r="R132" s="220"/>
    </row>
    <row r="133">
      <c r="A133" s="220"/>
      <c r="B133" s="244"/>
      <c r="C133" s="245"/>
      <c r="D133" s="246"/>
      <c r="E133" s="235"/>
      <c r="F133" s="243"/>
      <c r="G133" s="234"/>
      <c r="H133" s="237" t="str">
        <f t="shared" si="10"/>
        <v/>
      </c>
      <c r="I133" s="238" t="str">
        <f t="shared" si="7"/>
        <v/>
      </c>
      <c r="J133" s="239" t="str">
        <f t="shared" si="3"/>
        <v/>
      </c>
      <c r="K133" s="240" t="str">
        <f t="shared" si="4"/>
        <v/>
      </c>
      <c r="L133" s="234"/>
      <c r="M133" s="220"/>
      <c r="N133" s="220"/>
      <c r="O133" s="220"/>
      <c r="P133" s="220"/>
      <c r="Q133" s="220"/>
      <c r="R133" s="220"/>
    </row>
    <row r="134">
      <c r="A134" s="220"/>
      <c r="B134" s="244"/>
      <c r="C134" s="245"/>
      <c r="D134" s="246"/>
      <c r="E134" s="235"/>
      <c r="F134" s="243"/>
      <c r="G134" s="234"/>
      <c r="H134" s="237" t="str">
        <f t="shared" si="10"/>
        <v/>
      </c>
      <c r="I134" s="238" t="str">
        <f t="shared" si="7"/>
        <v/>
      </c>
      <c r="J134" s="239" t="str">
        <f t="shared" si="3"/>
        <v/>
      </c>
      <c r="K134" s="240" t="str">
        <f t="shared" si="4"/>
        <v/>
      </c>
      <c r="L134" s="234"/>
      <c r="M134" s="220"/>
      <c r="N134" s="220"/>
      <c r="O134" s="220"/>
      <c r="P134" s="220"/>
      <c r="Q134" s="220"/>
      <c r="R134" s="220"/>
    </row>
    <row r="135">
      <c r="A135" s="220"/>
      <c r="B135" s="244"/>
      <c r="C135" s="245"/>
      <c r="D135" s="246"/>
      <c r="E135" s="235"/>
      <c r="F135" s="243"/>
      <c r="G135" s="234"/>
      <c r="H135" s="237" t="str">
        <f t="shared" si="10"/>
        <v/>
      </c>
      <c r="I135" s="238" t="str">
        <f t="shared" si="7"/>
        <v/>
      </c>
      <c r="J135" s="239" t="str">
        <f t="shared" si="3"/>
        <v/>
      </c>
      <c r="K135" s="240" t="str">
        <f t="shared" si="4"/>
        <v/>
      </c>
      <c r="L135" s="234"/>
      <c r="M135" s="220"/>
      <c r="N135" s="220"/>
      <c r="O135" s="220"/>
      <c r="P135" s="220"/>
      <c r="Q135" s="220"/>
      <c r="R135" s="220"/>
    </row>
    <row r="136">
      <c r="A136" s="220"/>
      <c r="B136" s="244"/>
      <c r="C136" s="245"/>
      <c r="D136" s="246"/>
      <c r="E136" s="235"/>
      <c r="F136" s="243"/>
      <c r="G136" s="234"/>
      <c r="H136" s="237" t="str">
        <f t="shared" si="10"/>
        <v/>
      </c>
      <c r="I136" s="238" t="str">
        <f t="shared" si="7"/>
        <v/>
      </c>
      <c r="J136" s="239" t="str">
        <f t="shared" si="3"/>
        <v/>
      </c>
      <c r="K136" s="240" t="str">
        <f t="shared" si="4"/>
        <v/>
      </c>
      <c r="L136" s="234"/>
      <c r="M136" s="220"/>
      <c r="N136" s="220"/>
      <c r="O136" s="220"/>
      <c r="P136" s="220"/>
      <c r="Q136" s="220"/>
      <c r="R136" s="220"/>
    </row>
    <row r="137">
      <c r="A137" s="220"/>
      <c r="B137" s="244"/>
      <c r="C137" s="245"/>
      <c r="D137" s="246"/>
      <c r="E137" s="235"/>
      <c r="F137" s="243"/>
      <c r="G137" s="234"/>
      <c r="H137" s="237" t="str">
        <f t="shared" si="10"/>
        <v/>
      </c>
      <c r="I137" s="238" t="str">
        <f t="shared" si="7"/>
        <v/>
      </c>
      <c r="J137" s="239" t="str">
        <f t="shared" si="3"/>
        <v/>
      </c>
      <c r="K137" s="240" t="str">
        <f t="shared" si="4"/>
        <v/>
      </c>
      <c r="L137" s="234"/>
      <c r="M137" s="220"/>
      <c r="N137" s="220"/>
      <c r="O137" s="220"/>
      <c r="P137" s="220"/>
      <c r="Q137" s="220"/>
      <c r="R137" s="220"/>
    </row>
    <row r="138">
      <c r="A138" s="220"/>
      <c r="B138" s="244"/>
      <c r="C138" s="245"/>
      <c r="D138" s="246"/>
      <c r="E138" s="235"/>
      <c r="F138" s="243"/>
      <c r="G138" s="234"/>
      <c r="H138" s="237" t="str">
        <f t="shared" si="10"/>
        <v/>
      </c>
      <c r="I138" s="238" t="str">
        <f t="shared" si="7"/>
        <v/>
      </c>
      <c r="J138" s="239" t="str">
        <f t="shared" si="3"/>
        <v/>
      </c>
      <c r="K138" s="240" t="str">
        <f t="shared" si="4"/>
        <v/>
      </c>
      <c r="L138" s="234"/>
      <c r="M138" s="220"/>
      <c r="N138" s="220"/>
      <c r="O138" s="220"/>
      <c r="P138" s="220"/>
      <c r="Q138" s="220"/>
      <c r="R138" s="220"/>
    </row>
    <row r="139">
      <c r="A139" s="220"/>
      <c r="B139" s="244"/>
      <c r="C139" s="245"/>
      <c r="D139" s="246"/>
      <c r="E139" s="235"/>
      <c r="F139" s="243"/>
      <c r="G139" s="234"/>
      <c r="H139" s="237" t="str">
        <f t="shared" si="10"/>
        <v/>
      </c>
      <c r="I139" s="238" t="str">
        <f t="shared" si="7"/>
        <v/>
      </c>
      <c r="J139" s="239" t="str">
        <f t="shared" si="3"/>
        <v/>
      </c>
      <c r="K139" s="240" t="str">
        <f t="shared" si="4"/>
        <v/>
      </c>
      <c r="L139" s="234"/>
      <c r="M139" s="220"/>
      <c r="N139" s="220"/>
      <c r="O139" s="220"/>
      <c r="P139" s="220"/>
      <c r="Q139" s="220"/>
      <c r="R139" s="220"/>
    </row>
    <row r="140">
      <c r="A140" s="220"/>
      <c r="B140" s="244"/>
      <c r="C140" s="245"/>
      <c r="D140" s="246"/>
      <c r="E140" s="235"/>
      <c r="F140" s="243"/>
      <c r="G140" s="234"/>
      <c r="H140" s="237" t="str">
        <f t="shared" si="10"/>
        <v/>
      </c>
      <c r="I140" s="238" t="str">
        <f t="shared" si="7"/>
        <v/>
      </c>
      <c r="J140" s="239" t="str">
        <f t="shared" si="3"/>
        <v/>
      </c>
      <c r="K140" s="240" t="str">
        <f t="shared" si="4"/>
        <v/>
      </c>
      <c r="L140" s="234"/>
      <c r="M140" s="220"/>
      <c r="N140" s="220"/>
      <c r="O140" s="220"/>
      <c r="P140" s="220"/>
      <c r="Q140" s="220"/>
      <c r="R140" s="220"/>
    </row>
    <row r="141">
      <c r="A141" s="220"/>
      <c r="B141" s="244"/>
      <c r="C141" s="245"/>
      <c r="D141" s="246"/>
      <c r="E141" s="235"/>
      <c r="F141" s="243"/>
      <c r="G141" s="234"/>
      <c r="H141" s="237" t="str">
        <f t="shared" si="10"/>
        <v/>
      </c>
      <c r="I141" s="238" t="str">
        <f t="shared" si="7"/>
        <v/>
      </c>
      <c r="J141" s="239" t="str">
        <f t="shared" si="3"/>
        <v/>
      </c>
      <c r="K141" s="240" t="str">
        <f t="shared" si="4"/>
        <v/>
      </c>
      <c r="L141" s="234"/>
      <c r="M141" s="220"/>
      <c r="N141" s="220"/>
      <c r="O141" s="220"/>
      <c r="P141" s="220"/>
      <c r="Q141" s="220"/>
      <c r="R141" s="220"/>
    </row>
    <row r="142">
      <c r="A142" s="220"/>
      <c r="B142" s="244"/>
      <c r="C142" s="245"/>
      <c r="D142" s="246"/>
      <c r="E142" s="235"/>
      <c r="F142" s="243"/>
      <c r="G142" s="234"/>
      <c r="H142" s="237" t="str">
        <f t="shared" si="10"/>
        <v/>
      </c>
      <c r="I142" s="238" t="str">
        <f t="shared" si="7"/>
        <v/>
      </c>
      <c r="J142" s="239" t="str">
        <f t="shared" si="3"/>
        <v/>
      </c>
      <c r="K142" s="240" t="str">
        <f t="shared" si="4"/>
        <v/>
      </c>
      <c r="L142" s="234"/>
      <c r="M142" s="220"/>
      <c r="N142" s="220"/>
      <c r="O142" s="220"/>
      <c r="P142" s="220"/>
      <c r="Q142" s="220"/>
      <c r="R142" s="220"/>
    </row>
    <row r="143">
      <c r="A143" s="220"/>
      <c r="B143" s="244"/>
      <c r="C143" s="245"/>
      <c r="D143" s="246"/>
      <c r="E143" s="235"/>
      <c r="F143" s="243"/>
      <c r="G143" s="234"/>
      <c r="H143" s="237" t="str">
        <f t="shared" si="10"/>
        <v/>
      </c>
      <c r="I143" s="238" t="str">
        <f t="shared" si="7"/>
        <v/>
      </c>
      <c r="J143" s="239" t="str">
        <f t="shared" si="3"/>
        <v/>
      </c>
      <c r="K143" s="240" t="str">
        <f t="shared" si="4"/>
        <v/>
      </c>
      <c r="L143" s="234"/>
      <c r="M143" s="220"/>
      <c r="N143" s="220"/>
      <c r="O143" s="220"/>
      <c r="P143" s="220"/>
      <c r="Q143" s="220"/>
      <c r="R143" s="220"/>
    </row>
    <row r="144">
      <c r="A144" s="220"/>
      <c r="B144" s="244"/>
      <c r="C144" s="245"/>
      <c r="D144" s="246"/>
      <c r="E144" s="235"/>
      <c r="F144" s="243"/>
      <c r="G144" s="234"/>
      <c r="H144" s="237" t="str">
        <f t="shared" si="10"/>
        <v/>
      </c>
      <c r="I144" s="238" t="str">
        <f t="shared" si="7"/>
        <v/>
      </c>
      <c r="J144" s="239" t="str">
        <f t="shared" si="3"/>
        <v/>
      </c>
      <c r="K144" s="240" t="str">
        <f t="shared" si="4"/>
        <v/>
      </c>
      <c r="L144" s="234"/>
      <c r="M144" s="220"/>
      <c r="N144" s="220"/>
      <c r="O144" s="220"/>
      <c r="P144" s="220"/>
      <c r="Q144" s="220"/>
      <c r="R144" s="220"/>
    </row>
    <row r="145">
      <c r="A145" s="220"/>
      <c r="B145" s="244"/>
      <c r="C145" s="245"/>
      <c r="D145" s="246"/>
      <c r="E145" s="235"/>
      <c r="F145" s="243"/>
      <c r="G145" s="234"/>
      <c r="H145" s="237" t="str">
        <f t="shared" si="10"/>
        <v/>
      </c>
      <c r="I145" s="238" t="str">
        <f t="shared" si="7"/>
        <v/>
      </c>
      <c r="J145" s="239" t="str">
        <f t="shared" si="3"/>
        <v/>
      </c>
      <c r="K145" s="240" t="str">
        <f t="shared" si="4"/>
        <v/>
      </c>
      <c r="L145" s="234"/>
      <c r="M145" s="220"/>
      <c r="N145" s="220"/>
      <c r="O145" s="220"/>
      <c r="P145" s="220"/>
      <c r="Q145" s="220"/>
      <c r="R145" s="220"/>
    </row>
    <row r="146">
      <c r="A146" s="220"/>
      <c r="B146" s="244"/>
      <c r="C146" s="245"/>
      <c r="D146" s="246"/>
      <c r="E146" s="235"/>
      <c r="F146" s="243"/>
      <c r="G146" s="234"/>
      <c r="H146" s="237" t="str">
        <f t="shared" si="10"/>
        <v/>
      </c>
      <c r="I146" s="238" t="str">
        <f t="shared" si="7"/>
        <v/>
      </c>
      <c r="J146" s="239" t="str">
        <f t="shared" si="3"/>
        <v/>
      </c>
      <c r="K146" s="240" t="str">
        <f t="shared" si="4"/>
        <v/>
      </c>
      <c r="L146" s="234"/>
      <c r="M146" s="220"/>
      <c r="N146" s="220"/>
      <c r="O146" s="220"/>
      <c r="P146" s="220"/>
      <c r="Q146" s="220"/>
      <c r="R146" s="220"/>
    </row>
    <row r="147">
      <c r="A147" s="220"/>
      <c r="B147" s="244"/>
      <c r="C147" s="245"/>
      <c r="D147" s="246"/>
      <c r="E147" s="235"/>
      <c r="F147" s="243"/>
      <c r="G147" s="234"/>
      <c r="H147" s="237" t="str">
        <f t="shared" si="10"/>
        <v/>
      </c>
      <c r="I147" s="238" t="str">
        <f t="shared" si="7"/>
        <v/>
      </c>
      <c r="J147" s="239" t="str">
        <f t="shared" si="3"/>
        <v/>
      </c>
      <c r="K147" s="240" t="str">
        <f t="shared" si="4"/>
        <v/>
      </c>
      <c r="L147" s="234"/>
      <c r="M147" s="220"/>
      <c r="N147" s="220"/>
      <c r="O147" s="220"/>
      <c r="P147" s="220"/>
      <c r="Q147" s="220"/>
      <c r="R147" s="220"/>
    </row>
    <row r="148">
      <c r="A148" s="220"/>
      <c r="B148" s="244"/>
      <c r="C148" s="245"/>
      <c r="D148" s="246"/>
      <c r="E148" s="235"/>
      <c r="F148" s="243"/>
      <c r="G148" s="234"/>
      <c r="H148" s="237" t="str">
        <f t="shared" si="10"/>
        <v/>
      </c>
      <c r="I148" s="238" t="str">
        <f t="shared" si="7"/>
        <v/>
      </c>
      <c r="J148" s="239" t="str">
        <f t="shared" si="3"/>
        <v/>
      </c>
      <c r="K148" s="240" t="str">
        <f t="shared" si="4"/>
        <v/>
      </c>
      <c r="L148" s="234"/>
      <c r="M148" s="220"/>
      <c r="N148" s="220"/>
      <c r="O148" s="220"/>
      <c r="P148" s="220"/>
      <c r="Q148" s="220"/>
      <c r="R148" s="220"/>
    </row>
    <row r="149">
      <c r="A149" s="220"/>
      <c r="B149" s="244"/>
      <c r="C149" s="245"/>
      <c r="D149" s="246"/>
      <c r="E149" s="235"/>
      <c r="F149" s="243"/>
      <c r="G149" s="234"/>
      <c r="H149" s="237" t="str">
        <f t="shared" si="10"/>
        <v/>
      </c>
      <c r="I149" s="238" t="str">
        <f t="shared" si="7"/>
        <v/>
      </c>
      <c r="J149" s="239" t="str">
        <f t="shared" si="3"/>
        <v/>
      </c>
      <c r="K149" s="240" t="str">
        <f t="shared" si="4"/>
        <v/>
      </c>
      <c r="L149" s="234"/>
      <c r="M149" s="220"/>
      <c r="N149" s="220"/>
      <c r="O149" s="220"/>
      <c r="P149" s="220"/>
      <c r="Q149" s="220"/>
      <c r="R149" s="220"/>
    </row>
    <row r="150">
      <c r="A150" s="220"/>
      <c r="B150" s="244"/>
      <c r="C150" s="245"/>
      <c r="D150" s="246"/>
      <c r="E150" s="235"/>
      <c r="F150" s="243"/>
      <c r="G150" s="234"/>
      <c r="H150" s="237" t="str">
        <f t="shared" si="10"/>
        <v/>
      </c>
      <c r="I150" s="238" t="str">
        <f t="shared" si="7"/>
        <v/>
      </c>
      <c r="J150" s="239" t="str">
        <f t="shared" si="3"/>
        <v/>
      </c>
      <c r="K150" s="240" t="str">
        <f t="shared" si="4"/>
        <v/>
      </c>
      <c r="L150" s="234"/>
      <c r="M150" s="220"/>
      <c r="N150" s="220"/>
      <c r="O150" s="220"/>
      <c r="P150" s="220"/>
      <c r="Q150" s="220"/>
      <c r="R150" s="220"/>
    </row>
    <row r="151">
      <c r="A151" s="220"/>
      <c r="B151" s="244"/>
      <c r="C151" s="245"/>
      <c r="D151" s="246"/>
      <c r="E151" s="235"/>
      <c r="F151" s="243"/>
      <c r="G151" s="234"/>
      <c r="H151" s="237" t="str">
        <f t="shared" si="10"/>
        <v/>
      </c>
      <c r="I151" s="238" t="str">
        <f t="shared" si="7"/>
        <v/>
      </c>
      <c r="J151" s="239" t="str">
        <f t="shared" si="3"/>
        <v/>
      </c>
      <c r="K151" s="240" t="str">
        <f t="shared" si="4"/>
        <v/>
      </c>
      <c r="L151" s="234"/>
      <c r="M151" s="220"/>
      <c r="N151" s="220"/>
      <c r="O151" s="220"/>
      <c r="P151" s="220"/>
      <c r="Q151" s="220"/>
      <c r="R151" s="220"/>
    </row>
    <row r="152">
      <c r="A152" s="220"/>
      <c r="B152" s="244"/>
      <c r="C152" s="245"/>
      <c r="D152" s="246"/>
      <c r="E152" s="235"/>
      <c r="F152" s="243"/>
      <c r="G152" s="234"/>
      <c r="H152" s="237" t="str">
        <f t="shared" si="10"/>
        <v/>
      </c>
      <c r="I152" s="238" t="str">
        <f t="shared" si="7"/>
        <v/>
      </c>
      <c r="J152" s="239" t="str">
        <f t="shared" si="3"/>
        <v/>
      </c>
      <c r="K152" s="240" t="str">
        <f t="shared" si="4"/>
        <v/>
      </c>
      <c r="L152" s="234"/>
      <c r="M152" s="220"/>
      <c r="N152" s="220"/>
      <c r="O152" s="220"/>
      <c r="P152" s="220"/>
      <c r="Q152" s="220"/>
      <c r="R152" s="220"/>
    </row>
    <row r="153">
      <c r="A153" s="220"/>
      <c r="B153" s="244"/>
      <c r="C153" s="245"/>
      <c r="D153" s="246"/>
      <c r="E153" s="235"/>
      <c r="F153" s="243"/>
      <c r="G153" s="234"/>
      <c r="H153" s="237" t="str">
        <f t="shared" si="10"/>
        <v/>
      </c>
      <c r="I153" s="238" t="str">
        <f t="shared" si="7"/>
        <v/>
      </c>
      <c r="J153" s="239" t="str">
        <f t="shared" si="3"/>
        <v/>
      </c>
      <c r="K153" s="240" t="str">
        <f t="shared" si="4"/>
        <v/>
      </c>
      <c r="L153" s="234"/>
      <c r="M153" s="220"/>
      <c r="N153" s="220"/>
      <c r="O153" s="220"/>
      <c r="P153" s="220"/>
      <c r="Q153" s="220"/>
      <c r="R153" s="220"/>
    </row>
    <row r="154">
      <c r="A154" s="220"/>
      <c r="B154" s="244"/>
      <c r="C154" s="245"/>
      <c r="D154" s="246"/>
      <c r="E154" s="235"/>
      <c r="F154" s="243"/>
      <c r="G154" s="234"/>
      <c r="H154" s="237" t="str">
        <f t="shared" si="10"/>
        <v/>
      </c>
      <c r="I154" s="238" t="str">
        <f t="shared" si="7"/>
        <v/>
      </c>
      <c r="J154" s="239" t="str">
        <f t="shared" si="3"/>
        <v/>
      </c>
      <c r="K154" s="240" t="str">
        <f t="shared" si="4"/>
        <v/>
      </c>
      <c r="L154" s="234"/>
      <c r="M154" s="220"/>
      <c r="N154" s="220"/>
      <c r="O154" s="220"/>
      <c r="P154" s="220"/>
      <c r="Q154" s="220"/>
      <c r="R154" s="220"/>
    </row>
    <row r="155">
      <c r="A155" s="220"/>
      <c r="B155" s="244"/>
      <c r="C155" s="245"/>
      <c r="D155" s="246"/>
      <c r="E155" s="235"/>
      <c r="F155" s="243"/>
      <c r="G155" s="234"/>
      <c r="H155" s="237" t="str">
        <f t="shared" si="10"/>
        <v/>
      </c>
      <c r="I155" s="238" t="str">
        <f t="shared" si="7"/>
        <v/>
      </c>
      <c r="J155" s="239" t="str">
        <f t="shared" si="3"/>
        <v/>
      </c>
      <c r="K155" s="240" t="str">
        <f t="shared" si="4"/>
        <v/>
      </c>
      <c r="L155" s="234"/>
      <c r="M155" s="220"/>
      <c r="N155" s="220"/>
      <c r="O155" s="220"/>
      <c r="P155" s="220"/>
      <c r="Q155" s="220"/>
      <c r="R155" s="220"/>
    </row>
    <row r="156">
      <c r="A156" s="220"/>
      <c r="B156" s="244"/>
      <c r="C156" s="245"/>
      <c r="D156" s="246"/>
      <c r="E156" s="235"/>
      <c r="F156" s="243"/>
      <c r="G156" s="234"/>
      <c r="H156" s="237" t="str">
        <f t="shared" si="10"/>
        <v/>
      </c>
      <c r="I156" s="238" t="str">
        <f t="shared" si="7"/>
        <v/>
      </c>
      <c r="J156" s="239" t="str">
        <f t="shared" si="3"/>
        <v/>
      </c>
      <c r="K156" s="240" t="str">
        <f t="shared" si="4"/>
        <v/>
      </c>
      <c r="L156" s="234"/>
      <c r="M156" s="220"/>
      <c r="N156" s="220"/>
      <c r="O156" s="220"/>
      <c r="P156" s="220"/>
      <c r="Q156" s="220"/>
      <c r="R156" s="220"/>
    </row>
    <row r="157">
      <c r="A157" s="220"/>
      <c r="B157" s="244"/>
      <c r="C157" s="245"/>
      <c r="D157" s="246"/>
      <c r="E157" s="235"/>
      <c r="F157" s="243"/>
      <c r="G157" s="234"/>
      <c r="H157" s="237" t="str">
        <f t="shared" si="10"/>
        <v/>
      </c>
      <c r="I157" s="238" t="str">
        <f t="shared" si="7"/>
        <v/>
      </c>
      <c r="J157" s="239" t="str">
        <f t="shared" si="3"/>
        <v/>
      </c>
      <c r="K157" s="240" t="str">
        <f t="shared" si="4"/>
        <v/>
      </c>
      <c r="L157" s="234"/>
      <c r="M157" s="220"/>
      <c r="N157" s="220"/>
      <c r="O157" s="220"/>
      <c r="P157" s="220"/>
      <c r="Q157" s="220"/>
      <c r="R157" s="220"/>
    </row>
    <row r="158">
      <c r="A158" s="220"/>
      <c r="B158" s="244"/>
      <c r="C158" s="245"/>
      <c r="D158" s="246"/>
      <c r="E158" s="235"/>
      <c r="F158" s="243"/>
      <c r="G158" s="234"/>
      <c r="H158" s="237" t="str">
        <f t="shared" si="10"/>
        <v/>
      </c>
      <c r="I158" s="238" t="str">
        <f t="shared" si="7"/>
        <v/>
      </c>
      <c r="J158" s="239" t="str">
        <f t="shared" si="3"/>
        <v/>
      </c>
      <c r="K158" s="240" t="str">
        <f t="shared" si="4"/>
        <v/>
      </c>
      <c r="L158" s="234"/>
      <c r="M158" s="220"/>
      <c r="N158" s="220"/>
      <c r="O158" s="220"/>
      <c r="P158" s="220"/>
      <c r="Q158" s="220"/>
      <c r="R158" s="220"/>
    </row>
    <row r="159">
      <c r="A159" s="220"/>
      <c r="B159" s="244"/>
      <c r="C159" s="245"/>
      <c r="D159" s="246"/>
      <c r="E159" s="235"/>
      <c r="F159" s="243"/>
      <c r="G159" s="234"/>
      <c r="H159" s="237" t="str">
        <f t="shared" si="10"/>
        <v/>
      </c>
      <c r="I159" s="238" t="str">
        <f t="shared" si="7"/>
        <v/>
      </c>
      <c r="J159" s="239" t="str">
        <f t="shared" si="3"/>
        <v/>
      </c>
      <c r="K159" s="240" t="str">
        <f t="shared" si="4"/>
        <v/>
      </c>
      <c r="L159" s="234"/>
      <c r="M159" s="220"/>
      <c r="N159" s="220"/>
      <c r="O159" s="220"/>
      <c r="P159" s="220"/>
      <c r="Q159" s="220"/>
      <c r="R159" s="220"/>
    </row>
    <row r="160">
      <c r="A160" s="220"/>
      <c r="B160" s="244"/>
      <c r="C160" s="245"/>
      <c r="D160" s="246"/>
      <c r="E160" s="235"/>
      <c r="F160" s="243"/>
      <c r="G160" s="234"/>
      <c r="H160" s="237" t="str">
        <f t="shared" si="10"/>
        <v/>
      </c>
      <c r="I160" s="238" t="str">
        <f t="shared" si="7"/>
        <v/>
      </c>
      <c r="J160" s="239" t="str">
        <f t="shared" si="3"/>
        <v/>
      </c>
      <c r="K160" s="240" t="str">
        <f t="shared" si="4"/>
        <v/>
      </c>
      <c r="L160" s="234"/>
      <c r="M160" s="220"/>
      <c r="N160" s="220"/>
      <c r="O160" s="220"/>
      <c r="P160" s="220"/>
      <c r="Q160" s="220"/>
      <c r="R160" s="220"/>
    </row>
    <row r="161">
      <c r="A161" s="220"/>
      <c r="B161" s="244"/>
      <c r="C161" s="245"/>
      <c r="D161" s="246"/>
      <c r="E161" s="235"/>
      <c r="F161" s="243"/>
      <c r="G161" s="234"/>
      <c r="H161" s="237" t="str">
        <f t="shared" si="10"/>
        <v/>
      </c>
      <c r="I161" s="238" t="str">
        <f t="shared" si="7"/>
        <v/>
      </c>
      <c r="J161" s="239" t="str">
        <f t="shared" si="3"/>
        <v/>
      </c>
      <c r="K161" s="240" t="str">
        <f t="shared" si="4"/>
        <v/>
      </c>
      <c r="L161" s="234"/>
      <c r="M161" s="220"/>
      <c r="N161" s="220"/>
      <c r="O161" s="220"/>
      <c r="P161" s="220"/>
      <c r="Q161" s="220"/>
      <c r="R161" s="220"/>
    </row>
    <row r="162">
      <c r="A162" s="220"/>
      <c r="B162" s="244"/>
      <c r="C162" s="245"/>
      <c r="D162" s="246"/>
      <c r="E162" s="235"/>
      <c r="F162" s="243"/>
      <c r="G162" s="234"/>
      <c r="H162" s="237" t="str">
        <f t="shared" si="10"/>
        <v/>
      </c>
      <c r="I162" s="238" t="str">
        <f t="shared" si="7"/>
        <v/>
      </c>
      <c r="J162" s="239" t="str">
        <f t="shared" si="3"/>
        <v/>
      </c>
      <c r="K162" s="240" t="str">
        <f t="shared" si="4"/>
        <v/>
      </c>
      <c r="L162" s="234"/>
      <c r="M162" s="220"/>
      <c r="N162" s="220"/>
      <c r="O162" s="220"/>
      <c r="P162" s="220"/>
      <c r="Q162" s="220"/>
      <c r="R162" s="220"/>
    </row>
    <row r="163">
      <c r="A163" s="220"/>
      <c r="B163" s="244"/>
      <c r="C163" s="245"/>
      <c r="D163" s="246"/>
      <c r="E163" s="235"/>
      <c r="F163" s="243"/>
      <c r="G163" s="234"/>
      <c r="H163" s="237" t="str">
        <f t="shared" si="10"/>
        <v/>
      </c>
      <c r="I163" s="238" t="str">
        <f t="shared" si="7"/>
        <v/>
      </c>
      <c r="J163" s="239" t="str">
        <f t="shared" si="3"/>
        <v/>
      </c>
      <c r="K163" s="240" t="str">
        <f t="shared" si="4"/>
        <v/>
      </c>
      <c r="L163" s="234"/>
      <c r="M163" s="220"/>
      <c r="N163" s="220"/>
      <c r="O163" s="220"/>
      <c r="P163" s="220"/>
      <c r="Q163" s="220"/>
      <c r="R163" s="220"/>
    </row>
    <row r="164">
      <c r="A164" s="220"/>
      <c r="B164" s="244"/>
      <c r="C164" s="245"/>
      <c r="D164" s="246"/>
      <c r="E164" s="235"/>
      <c r="F164" s="243"/>
      <c r="G164" s="234"/>
      <c r="H164" s="237" t="str">
        <f t="shared" si="10"/>
        <v/>
      </c>
      <c r="I164" s="238" t="str">
        <f t="shared" si="7"/>
        <v/>
      </c>
      <c r="J164" s="239" t="str">
        <f t="shared" si="3"/>
        <v/>
      </c>
      <c r="K164" s="240" t="str">
        <f t="shared" si="4"/>
        <v/>
      </c>
      <c r="L164" s="234"/>
      <c r="M164" s="220"/>
      <c r="N164" s="220"/>
      <c r="O164" s="220"/>
      <c r="P164" s="220"/>
      <c r="Q164" s="220"/>
      <c r="R164" s="220"/>
    </row>
    <row r="165">
      <c r="A165" s="220"/>
      <c r="B165" s="244"/>
      <c r="C165" s="245"/>
      <c r="D165" s="246"/>
      <c r="E165" s="235"/>
      <c r="F165" s="243"/>
      <c r="G165" s="234"/>
      <c r="H165" s="237" t="str">
        <f t="shared" si="10"/>
        <v/>
      </c>
      <c r="I165" s="238" t="str">
        <f t="shared" si="7"/>
        <v/>
      </c>
      <c r="J165" s="239" t="str">
        <f t="shared" si="3"/>
        <v/>
      </c>
      <c r="K165" s="240" t="str">
        <f t="shared" si="4"/>
        <v/>
      </c>
      <c r="L165" s="234"/>
      <c r="M165" s="220"/>
      <c r="N165" s="220"/>
      <c r="O165" s="220"/>
      <c r="P165" s="220"/>
      <c r="Q165" s="220"/>
      <c r="R165" s="220"/>
    </row>
    <row r="166">
      <c r="A166" s="220"/>
      <c r="B166" s="244"/>
      <c r="C166" s="245"/>
      <c r="D166" s="246"/>
      <c r="E166" s="235"/>
      <c r="F166" s="243"/>
      <c r="G166" s="234"/>
      <c r="H166" s="237" t="str">
        <f t="shared" si="10"/>
        <v/>
      </c>
      <c r="I166" s="238" t="str">
        <f t="shared" si="7"/>
        <v/>
      </c>
      <c r="J166" s="239" t="str">
        <f t="shared" si="3"/>
        <v/>
      </c>
      <c r="K166" s="240" t="str">
        <f t="shared" si="4"/>
        <v/>
      </c>
      <c r="L166" s="234"/>
      <c r="M166" s="220"/>
      <c r="N166" s="220"/>
      <c r="O166" s="220"/>
      <c r="P166" s="220"/>
      <c r="Q166" s="220"/>
      <c r="R166" s="220"/>
    </row>
    <row r="167">
      <c r="A167" s="220"/>
      <c r="B167" s="244"/>
      <c r="C167" s="245"/>
      <c r="D167" s="246"/>
      <c r="E167" s="235"/>
      <c r="F167" s="243"/>
      <c r="G167" s="234"/>
      <c r="H167" s="237" t="str">
        <f t="shared" si="10"/>
        <v/>
      </c>
      <c r="I167" s="238" t="str">
        <f t="shared" si="7"/>
        <v/>
      </c>
      <c r="J167" s="239" t="str">
        <f t="shared" si="3"/>
        <v/>
      </c>
      <c r="K167" s="240" t="str">
        <f t="shared" si="4"/>
        <v/>
      </c>
      <c r="L167" s="234"/>
      <c r="M167" s="220"/>
      <c r="N167" s="220"/>
      <c r="O167" s="220"/>
      <c r="P167" s="220"/>
      <c r="Q167" s="220"/>
      <c r="R167" s="220"/>
    </row>
    <row r="168">
      <c r="A168" s="220"/>
      <c r="B168" s="244"/>
      <c r="C168" s="245"/>
      <c r="D168" s="246"/>
      <c r="E168" s="235"/>
      <c r="F168" s="243"/>
      <c r="G168" s="234"/>
      <c r="H168" s="237" t="str">
        <f t="shared" si="10"/>
        <v/>
      </c>
      <c r="I168" s="238" t="str">
        <f t="shared" si="7"/>
        <v/>
      </c>
      <c r="J168" s="239" t="str">
        <f t="shared" si="3"/>
        <v/>
      </c>
      <c r="K168" s="240" t="str">
        <f t="shared" si="4"/>
        <v/>
      </c>
      <c r="L168" s="234"/>
      <c r="M168" s="220"/>
      <c r="N168" s="220"/>
      <c r="O168" s="220"/>
      <c r="P168" s="220"/>
      <c r="Q168" s="220"/>
      <c r="R168" s="220"/>
    </row>
    <row r="169">
      <c r="A169" s="220"/>
      <c r="B169" s="244"/>
      <c r="C169" s="245"/>
      <c r="D169" s="246"/>
      <c r="E169" s="235"/>
      <c r="F169" s="243"/>
      <c r="G169" s="234"/>
      <c r="H169" s="237" t="str">
        <f t="shared" si="10"/>
        <v/>
      </c>
      <c r="I169" s="238" t="str">
        <f t="shared" si="7"/>
        <v/>
      </c>
      <c r="J169" s="239" t="str">
        <f t="shared" si="3"/>
        <v/>
      </c>
      <c r="K169" s="240" t="str">
        <f t="shared" si="4"/>
        <v/>
      </c>
      <c r="L169" s="234"/>
      <c r="M169" s="220"/>
      <c r="N169" s="220"/>
      <c r="O169" s="220"/>
      <c r="P169" s="220"/>
      <c r="Q169" s="220"/>
      <c r="R169" s="220"/>
    </row>
    <row r="170">
      <c r="A170" s="220"/>
      <c r="B170" s="244"/>
      <c r="C170" s="245"/>
      <c r="D170" s="246"/>
      <c r="E170" s="235"/>
      <c r="F170" s="243"/>
      <c r="G170" s="234"/>
      <c r="H170" s="237" t="str">
        <f t="shared" si="10"/>
        <v/>
      </c>
      <c r="I170" s="238" t="str">
        <f t="shared" si="7"/>
        <v/>
      </c>
      <c r="J170" s="239" t="str">
        <f t="shared" si="3"/>
        <v/>
      </c>
      <c r="K170" s="240" t="str">
        <f t="shared" si="4"/>
        <v/>
      </c>
      <c r="L170" s="234"/>
      <c r="M170" s="220"/>
      <c r="N170" s="220"/>
      <c r="O170" s="220"/>
      <c r="P170" s="220"/>
      <c r="Q170" s="220"/>
      <c r="R170" s="220"/>
    </row>
    <row r="171">
      <c r="A171" s="220"/>
      <c r="B171" s="244"/>
      <c r="C171" s="245"/>
      <c r="D171" s="246"/>
      <c r="E171" s="235"/>
      <c r="F171" s="243"/>
      <c r="G171" s="234"/>
      <c r="H171" s="237" t="str">
        <f t="shared" si="10"/>
        <v/>
      </c>
      <c r="I171" s="238" t="str">
        <f t="shared" si="7"/>
        <v/>
      </c>
      <c r="J171" s="239" t="str">
        <f t="shared" si="3"/>
        <v/>
      </c>
      <c r="K171" s="240" t="str">
        <f t="shared" si="4"/>
        <v/>
      </c>
      <c r="L171" s="234"/>
      <c r="M171" s="220"/>
      <c r="N171" s="220"/>
      <c r="O171" s="220"/>
      <c r="P171" s="220"/>
      <c r="Q171" s="220"/>
      <c r="R171" s="220"/>
    </row>
    <row r="172">
      <c r="A172" s="220"/>
      <c r="B172" s="244"/>
      <c r="C172" s="245"/>
      <c r="D172" s="246"/>
      <c r="E172" s="235"/>
      <c r="F172" s="243"/>
      <c r="G172" s="234"/>
      <c r="H172" s="237" t="str">
        <f t="shared" si="10"/>
        <v/>
      </c>
      <c r="I172" s="238" t="str">
        <f t="shared" si="7"/>
        <v/>
      </c>
      <c r="J172" s="239" t="str">
        <f t="shared" si="3"/>
        <v/>
      </c>
      <c r="K172" s="240" t="str">
        <f t="shared" si="4"/>
        <v/>
      </c>
      <c r="L172" s="234"/>
      <c r="M172" s="220"/>
      <c r="N172" s="220"/>
      <c r="O172" s="220"/>
      <c r="P172" s="220"/>
      <c r="Q172" s="220"/>
      <c r="R172" s="220"/>
    </row>
    <row r="173">
      <c r="A173" s="220"/>
      <c r="B173" s="244"/>
      <c r="C173" s="245"/>
      <c r="D173" s="246"/>
      <c r="E173" s="235"/>
      <c r="F173" s="243"/>
      <c r="G173" s="234"/>
      <c r="H173" s="237" t="str">
        <f t="shared" si="10"/>
        <v/>
      </c>
      <c r="I173" s="238" t="str">
        <f t="shared" si="7"/>
        <v/>
      </c>
      <c r="J173" s="239" t="str">
        <f t="shared" si="3"/>
        <v/>
      </c>
      <c r="K173" s="240" t="str">
        <f t="shared" si="4"/>
        <v/>
      </c>
      <c r="L173" s="234"/>
      <c r="M173" s="220"/>
      <c r="N173" s="220"/>
      <c r="O173" s="220"/>
      <c r="P173" s="220"/>
      <c r="Q173" s="220"/>
      <c r="R173" s="220"/>
    </row>
    <row r="174">
      <c r="A174" s="220"/>
      <c r="B174" s="244"/>
      <c r="C174" s="245"/>
      <c r="D174" s="246"/>
      <c r="E174" s="235"/>
      <c r="F174" s="243"/>
      <c r="G174" s="234"/>
      <c r="H174" s="237" t="str">
        <f t="shared" si="10"/>
        <v/>
      </c>
      <c r="I174" s="238" t="str">
        <f t="shared" si="7"/>
        <v/>
      </c>
      <c r="J174" s="239" t="str">
        <f t="shared" si="3"/>
        <v/>
      </c>
      <c r="K174" s="240" t="str">
        <f t="shared" si="4"/>
        <v/>
      </c>
      <c r="L174" s="234"/>
      <c r="M174" s="220"/>
      <c r="N174" s="220"/>
      <c r="O174" s="220"/>
      <c r="P174" s="220"/>
      <c r="Q174" s="220"/>
      <c r="R174" s="220"/>
    </row>
    <row r="175">
      <c r="A175" s="220"/>
      <c r="B175" s="244"/>
      <c r="C175" s="245"/>
      <c r="D175" s="246"/>
      <c r="E175" s="235"/>
      <c r="F175" s="243"/>
      <c r="G175" s="234"/>
      <c r="H175" s="237" t="str">
        <f t="shared" si="10"/>
        <v/>
      </c>
      <c r="I175" s="238" t="str">
        <f t="shared" si="7"/>
        <v/>
      </c>
      <c r="J175" s="239" t="str">
        <f t="shared" si="3"/>
        <v/>
      </c>
      <c r="K175" s="240" t="str">
        <f t="shared" si="4"/>
        <v/>
      </c>
      <c r="L175" s="234"/>
      <c r="M175" s="220"/>
      <c r="N175" s="220"/>
      <c r="O175" s="220"/>
      <c r="P175" s="220"/>
      <c r="Q175" s="220"/>
      <c r="R175" s="220"/>
    </row>
    <row r="176">
      <c r="A176" s="220"/>
      <c r="B176" s="244"/>
      <c r="C176" s="245"/>
      <c r="D176" s="246"/>
      <c r="E176" s="235"/>
      <c r="F176" s="243"/>
      <c r="G176" s="234"/>
      <c r="H176" s="237" t="str">
        <f t="shared" si="10"/>
        <v/>
      </c>
      <c r="I176" s="238" t="str">
        <f t="shared" si="7"/>
        <v/>
      </c>
      <c r="J176" s="239" t="str">
        <f t="shared" si="3"/>
        <v/>
      </c>
      <c r="K176" s="240" t="str">
        <f t="shared" si="4"/>
        <v/>
      </c>
      <c r="L176" s="234"/>
      <c r="M176" s="220"/>
      <c r="N176" s="220"/>
      <c r="O176" s="220"/>
      <c r="P176" s="220"/>
      <c r="Q176" s="220"/>
      <c r="R176" s="220"/>
    </row>
    <row r="177">
      <c r="A177" s="220"/>
      <c r="B177" s="244"/>
      <c r="C177" s="245"/>
      <c r="D177" s="246"/>
      <c r="E177" s="235"/>
      <c r="F177" s="243"/>
      <c r="G177" s="234"/>
      <c r="H177" s="237" t="str">
        <f t="shared" si="10"/>
        <v/>
      </c>
      <c r="I177" s="238" t="str">
        <f t="shared" si="7"/>
        <v/>
      </c>
      <c r="J177" s="239" t="str">
        <f t="shared" si="3"/>
        <v/>
      </c>
      <c r="K177" s="240" t="str">
        <f t="shared" si="4"/>
        <v/>
      </c>
      <c r="L177" s="234"/>
      <c r="M177" s="220"/>
      <c r="N177" s="220"/>
      <c r="O177" s="220"/>
      <c r="P177" s="220"/>
      <c r="Q177" s="220"/>
      <c r="R177" s="220"/>
    </row>
    <row r="178">
      <c r="A178" s="220"/>
      <c r="B178" s="244"/>
      <c r="C178" s="245"/>
      <c r="D178" s="246"/>
      <c r="E178" s="235"/>
      <c r="F178" s="243"/>
      <c r="G178" s="234"/>
      <c r="H178" s="237" t="str">
        <f t="shared" si="10"/>
        <v/>
      </c>
      <c r="I178" s="238" t="str">
        <f t="shared" si="7"/>
        <v/>
      </c>
      <c r="J178" s="239" t="str">
        <f t="shared" si="3"/>
        <v/>
      </c>
      <c r="K178" s="240" t="str">
        <f t="shared" si="4"/>
        <v/>
      </c>
      <c r="L178" s="234"/>
      <c r="M178" s="220"/>
      <c r="N178" s="220"/>
      <c r="O178" s="220"/>
      <c r="P178" s="220"/>
      <c r="Q178" s="220"/>
      <c r="R178" s="220"/>
    </row>
    <row r="179">
      <c r="A179" s="220"/>
      <c r="B179" s="244"/>
      <c r="C179" s="245"/>
      <c r="D179" s="246"/>
      <c r="E179" s="235"/>
      <c r="F179" s="243"/>
      <c r="G179" s="234"/>
      <c r="H179" s="237" t="str">
        <f t="shared" si="10"/>
        <v/>
      </c>
      <c r="I179" s="238" t="str">
        <f t="shared" si="7"/>
        <v/>
      </c>
      <c r="J179" s="239" t="str">
        <f t="shared" si="3"/>
        <v/>
      </c>
      <c r="K179" s="240" t="str">
        <f t="shared" si="4"/>
        <v/>
      </c>
      <c r="L179" s="234"/>
      <c r="M179" s="220"/>
      <c r="N179" s="220"/>
      <c r="O179" s="220"/>
      <c r="P179" s="220"/>
      <c r="Q179" s="220"/>
      <c r="R179" s="220"/>
    </row>
    <row r="180">
      <c r="A180" s="220"/>
      <c r="B180" s="244"/>
      <c r="C180" s="245"/>
      <c r="D180" s="246"/>
      <c r="E180" s="235"/>
      <c r="F180" s="243"/>
      <c r="G180" s="234"/>
      <c r="H180" s="237" t="str">
        <f t="shared" si="10"/>
        <v/>
      </c>
      <c r="I180" s="238" t="str">
        <f t="shared" si="7"/>
        <v/>
      </c>
      <c r="J180" s="239" t="str">
        <f t="shared" si="3"/>
        <v/>
      </c>
      <c r="K180" s="240" t="str">
        <f t="shared" si="4"/>
        <v/>
      </c>
      <c r="L180" s="234"/>
      <c r="M180" s="220"/>
      <c r="N180" s="220"/>
      <c r="O180" s="220"/>
      <c r="P180" s="220"/>
      <c r="Q180" s="220"/>
      <c r="R180" s="220"/>
    </row>
    <row r="181">
      <c r="A181" s="220"/>
      <c r="B181" s="244"/>
      <c r="C181" s="245"/>
      <c r="D181" s="246"/>
      <c r="E181" s="235"/>
      <c r="F181" s="243"/>
      <c r="G181" s="234"/>
      <c r="H181" s="237" t="str">
        <f t="shared" si="10"/>
        <v/>
      </c>
      <c r="I181" s="238" t="str">
        <f t="shared" si="7"/>
        <v/>
      </c>
      <c r="J181" s="239" t="str">
        <f t="shared" si="3"/>
        <v/>
      </c>
      <c r="K181" s="240" t="str">
        <f t="shared" si="4"/>
        <v/>
      </c>
      <c r="L181" s="234"/>
      <c r="M181" s="220"/>
      <c r="N181" s="220"/>
      <c r="O181" s="220"/>
      <c r="P181" s="220"/>
      <c r="Q181" s="220"/>
      <c r="R181" s="220"/>
    </row>
    <row r="182">
      <c r="A182" s="220"/>
      <c r="B182" s="244"/>
      <c r="C182" s="245"/>
      <c r="D182" s="246"/>
      <c r="E182" s="235"/>
      <c r="F182" s="243"/>
      <c r="G182" s="234"/>
      <c r="H182" s="237" t="str">
        <f t="shared" si="10"/>
        <v/>
      </c>
      <c r="I182" s="238" t="str">
        <f t="shared" si="7"/>
        <v/>
      </c>
      <c r="J182" s="239" t="str">
        <f t="shared" si="3"/>
        <v/>
      </c>
      <c r="K182" s="240" t="str">
        <f t="shared" si="4"/>
        <v/>
      </c>
      <c r="L182" s="234"/>
      <c r="M182" s="220"/>
      <c r="N182" s="220"/>
      <c r="O182" s="220"/>
      <c r="P182" s="220"/>
      <c r="Q182" s="220"/>
      <c r="R182" s="220"/>
    </row>
    <row r="183">
      <c r="A183" s="220"/>
      <c r="B183" s="244"/>
      <c r="C183" s="245"/>
      <c r="D183" s="246"/>
      <c r="E183" s="235"/>
      <c r="F183" s="243"/>
      <c r="G183" s="234"/>
      <c r="H183" s="237" t="str">
        <f t="shared" si="10"/>
        <v/>
      </c>
      <c r="I183" s="238" t="str">
        <f t="shared" si="7"/>
        <v/>
      </c>
      <c r="J183" s="239" t="str">
        <f t="shared" si="3"/>
        <v/>
      </c>
      <c r="K183" s="240" t="str">
        <f t="shared" si="4"/>
        <v/>
      </c>
      <c r="L183" s="234"/>
      <c r="M183" s="220"/>
      <c r="N183" s="220"/>
      <c r="O183" s="220"/>
      <c r="P183" s="220"/>
      <c r="Q183" s="220"/>
      <c r="R183" s="220"/>
    </row>
    <row r="184">
      <c r="A184" s="220"/>
      <c r="B184" s="244"/>
      <c r="C184" s="245"/>
      <c r="D184" s="246"/>
      <c r="E184" s="235"/>
      <c r="F184" s="243"/>
      <c r="G184" s="234"/>
      <c r="H184" s="237" t="str">
        <f t="shared" si="10"/>
        <v/>
      </c>
      <c r="I184" s="238" t="str">
        <f t="shared" si="7"/>
        <v/>
      </c>
      <c r="J184" s="239" t="str">
        <f t="shared" si="3"/>
        <v/>
      </c>
      <c r="K184" s="240" t="str">
        <f t="shared" si="4"/>
        <v/>
      </c>
      <c r="L184" s="234"/>
      <c r="M184" s="220"/>
      <c r="N184" s="220"/>
      <c r="O184" s="220"/>
      <c r="P184" s="220"/>
      <c r="Q184" s="220"/>
      <c r="R184" s="220"/>
    </row>
    <row r="185">
      <c r="A185" s="220"/>
      <c r="B185" s="244"/>
      <c r="C185" s="245"/>
      <c r="D185" s="246"/>
      <c r="E185" s="235"/>
      <c r="F185" s="243"/>
      <c r="G185" s="234"/>
      <c r="H185" s="237" t="str">
        <f t="shared" si="10"/>
        <v/>
      </c>
      <c r="I185" s="238" t="str">
        <f t="shared" si="7"/>
        <v/>
      </c>
      <c r="J185" s="239" t="str">
        <f t="shared" si="3"/>
        <v/>
      </c>
      <c r="K185" s="240" t="str">
        <f t="shared" si="4"/>
        <v/>
      </c>
      <c r="L185" s="234"/>
      <c r="M185" s="220"/>
      <c r="N185" s="220"/>
      <c r="O185" s="220"/>
      <c r="P185" s="220"/>
      <c r="Q185" s="220"/>
      <c r="R185" s="220"/>
    </row>
    <row r="186">
      <c r="A186" s="220"/>
      <c r="B186" s="244"/>
      <c r="C186" s="245"/>
      <c r="D186" s="246"/>
      <c r="E186" s="235"/>
      <c r="F186" s="243"/>
      <c r="G186" s="234"/>
      <c r="H186" s="237" t="str">
        <f t="shared" si="10"/>
        <v/>
      </c>
      <c r="I186" s="238" t="str">
        <f t="shared" si="7"/>
        <v/>
      </c>
      <c r="J186" s="239" t="str">
        <f t="shared" si="3"/>
        <v/>
      </c>
      <c r="K186" s="240" t="str">
        <f t="shared" si="4"/>
        <v/>
      </c>
      <c r="L186" s="234"/>
      <c r="M186" s="220"/>
      <c r="N186" s="220"/>
      <c r="O186" s="220"/>
      <c r="P186" s="220"/>
      <c r="Q186" s="220"/>
      <c r="R186" s="220"/>
    </row>
    <row r="187">
      <c r="A187" s="220"/>
      <c r="B187" s="244"/>
      <c r="C187" s="245"/>
      <c r="D187" s="246"/>
      <c r="E187" s="235"/>
      <c r="F187" s="243"/>
      <c r="G187" s="234"/>
      <c r="H187" s="237" t="str">
        <f t="shared" si="10"/>
        <v/>
      </c>
      <c r="I187" s="238" t="str">
        <f t="shared" si="7"/>
        <v/>
      </c>
      <c r="J187" s="239" t="str">
        <f t="shared" si="3"/>
        <v/>
      </c>
      <c r="K187" s="240" t="str">
        <f t="shared" si="4"/>
        <v/>
      </c>
      <c r="L187" s="234"/>
      <c r="M187" s="220"/>
      <c r="N187" s="220"/>
      <c r="O187" s="220"/>
      <c r="P187" s="220"/>
      <c r="Q187" s="220"/>
      <c r="R187" s="220"/>
    </row>
    <row r="188">
      <c r="A188" s="220"/>
      <c r="B188" s="244"/>
      <c r="C188" s="245"/>
      <c r="D188" s="246"/>
      <c r="E188" s="235"/>
      <c r="F188" s="243"/>
      <c r="G188" s="234"/>
      <c r="H188" s="237" t="str">
        <f t="shared" si="10"/>
        <v/>
      </c>
      <c r="I188" s="238" t="str">
        <f t="shared" si="7"/>
        <v/>
      </c>
      <c r="J188" s="239" t="str">
        <f t="shared" si="3"/>
        <v/>
      </c>
      <c r="K188" s="240" t="str">
        <f t="shared" si="4"/>
        <v/>
      </c>
      <c r="L188" s="234"/>
      <c r="M188" s="220"/>
      <c r="N188" s="220"/>
      <c r="O188" s="220"/>
      <c r="P188" s="220"/>
      <c r="Q188" s="220"/>
      <c r="R188" s="220"/>
    </row>
    <row r="189">
      <c r="A189" s="220"/>
      <c r="B189" s="244"/>
      <c r="C189" s="245"/>
      <c r="D189" s="246"/>
      <c r="E189" s="235"/>
      <c r="F189" s="243"/>
      <c r="G189" s="234"/>
      <c r="H189" s="237" t="str">
        <f t="shared" si="10"/>
        <v/>
      </c>
      <c r="I189" s="238" t="str">
        <f t="shared" si="7"/>
        <v/>
      </c>
      <c r="J189" s="239" t="str">
        <f t="shared" si="3"/>
        <v/>
      </c>
      <c r="K189" s="240" t="str">
        <f t="shared" si="4"/>
        <v/>
      </c>
      <c r="L189" s="234"/>
      <c r="M189" s="220"/>
      <c r="N189" s="220"/>
      <c r="O189" s="220"/>
      <c r="P189" s="220"/>
      <c r="Q189" s="220"/>
      <c r="R189" s="220"/>
    </row>
    <row r="190">
      <c r="A190" s="220"/>
      <c r="B190" s="244"/>
      <c r="C190" s="245"/>
      <c r="D190" s="246"/>
      <c r="E190" s="235"/>
      <c r="F190" s="243"/>
      <c r="G190" s="234"/>
      <c r="H190" s="237" t="str">
        <f t="shared" si="10"/>
        <v/>
      </c>
      <c r="I190" s="238" t="str">
        <f t="shared" si="7"/>
        <v/>
      </c>
      <c r="J190" s="239" t="str">
        <f t="shared" si="3"/>
        <v/>
      </c>
      <c r="K190" s="240" t="str">
        <f t="shared" si="4"/>
        <v/>
      </c>
      <c r="L190" s="234"/>
      <c r="M190" s="220"/>
      <c r="N190" s="220"/>
      <c r="O190" s="220"/>
      <c r="P190" s="220"/>
      <c r="Q190" s="220"/>
      <c r="R190" s="220"/>
    </row>
    <row r="191">
      <c r="A191" s="220"/>
      <c r="B191" s="244"/>
      <c r="C191" s="245"/>
      <c r="D191" s="246"/>
      <c r="E191" s="235"/>
      <c r="F191" s="243"/>
      <c r="G191" s="234"/>
      <c r="H191" s="237" t="str">
        <f t="shared" si="10"/>
        <v/>
      </c>
      <c r="I191" s="238" t="str">
        <f t="shared" si="7"/>
        <v/>
      </c>
      <c r="J191" s="239" t="str">
        <f t="shared" si="3"/>
        <v/>
      </c>
      <c r="K191" s="240" t="str">
        <f t="shared" si="4"/>
        <v/>
      </c>
      <c r="L191" s="234"/>
      <c r="M191" s="220"/>
      <c r="N191" s="220"/>
      <c r="O191" s="220"/>
      <c r="P191" s="220"/>
      <c r="Q191" s="220"/>
      <c r="R191" s="220"/>
    </row>
    <row r="192">
      <c r="A192" s="220"/>
      <c r="B192" s="244"/>
      <c r="C192" s="245"/>
      <c r="D192" s="246"/>
      <c r="E192" s="235"/>
      <c r="F192" s="243"/>
      <c r="G192" s="234"/>
      <c r="H192" s="237" t="str">
        <f t="shared" si="10"/>
        <v/>
      </c>
      <c r="I192" s="238" t="str">
        <f t="shared" si="7"/>
        <v/>
      </c>
      <c r="J192" s="239" t="str">
        <f t="shared" si="3"/>
        <v/>
      </c>
      <c r="K192" s="240" t="str">
        <f t="shared" si="4"/>
        <v/>
      </c>
      <c r="L192" s="234"/>
      <c r="M192" s="220"/>
      <c r="N192" s="220"/>
      <c r="O192" s="220"/>
      <c r="P192" s="220"/>
      <c r="Q192" s="220"/>
      <c r="R192" s="220"/>
    </row>
    <row r="193">
      <c r="A193" s="220"/>
      <c r="B193" s="244"/>
      <c r="C193" s="245"/>
      <c r="D193" s="246"/>
      <c r="E193" s="235"/>
      <c r="F193" s="243"/>
      <c r="G193" s="234"/>
      <c r="H193" s="237" t="str">
        <f t="shared" si="10"/>
        <v/>
      </c>
      <c r="I193" s="238" t="str">
        <f t="shared" si="7"/>
        <v/>
      </c>
      <c r="J193" s="239" t="str">
        <f t="shared" si="3"/>
        <v/>
      </c>
      <c r="K193" s="240" t="str">
        <f t="shared" si="4"/>
        <v/>
      </c>
      <c r="L193" s="234"/>
      <c r="M193" s="220"/>
      <c r="N193" s="220"/>
      <c r="O193" s="220"/>
      <c r="P193" s="220"/>
      <c r="Q193" s="220"/>
      <c r="R193" s="220"/>
    </row>
    <row r="194">
      <c r="A194" s="220"/>
      <c r="B194" s="244"/>
      <c r="C194" s="245"/>
      <c r="D194" s="246"/>
      <c r="E194" s="235"/>
      <c r="F194" s="243"/>
      <c r="G194" s="234"/>
      <c r="H194" s="237" t="str">
        <f t="shared" si="10"/>
        <v/>
      </c>
      <c r="I194" s="238" t="str">
        <f t="shared" si="7"/>
        <v/>
      </c>
      <c r="J194" s="239" t="str">
        <f t="shared" si="3"/>
        <v/>
      </c>
      <c r="K194" s="240" t="str">
        <f t="shared" si="4"/>
        <v/>
      </c>
      <c r="L194" s="234"/>
      <c r="M194" s="220"/>
      <c r="N194" s="220"/>
      <c r="O194" s="220"/>
      <c r="P194" s="220"/>
      <c r="Q194" s="220"/>
      <c r="R194" s="220"/>
    </row>
    <row r="195">
      <c r="A195" s="220"/>
      <c r="B195" s="244"/>
      <c r="C195" s="245"/>
      <c r="D195" s="246"/>
      <c r="E195" s="235"/>
      <c r="F195" s="243"/>
      <c r="G195" s="234"/>
      <c r="H195" s="237" t="str">
        <f t="shared" si="10"/>
        <v/>
      </c>
      <c r="I195" s="238" t="str">
        <f t="shared" si="7"/>
        <v/>
      </c>
      <c r="J195" s="239" t="str">
        <f t="shared" si="3"/>
        <v/>
      </c>
      <c r="K195" s="240" t="str">
        <f t="shared" si="4"/>
        <v/>
      </c>
      <c r="L195" s="234"/>
      <c r="M195" s="220"/>
      <c r="N195" s="220"/>
      <c r="O195" s="220"/>
      <c r="P195" s="220"/>
      <c r="Q195" s="220"/>
      <c r="R195" s="220"/>
    </row>
    <row r="196">
      <c r="A196" s="220"/>
      <c r="B196" s="244"/>
      <c r="C196" s="245"/>
      <c r="D196" s="246"/>
      <c r="E196" s="235"/>
      <c r="F196" s="243"/>
      <c r="G196" s="234"/>
      <c r="H196" s="237" t="str">
        <f t="shared" si="10"/>
        <v/>
      </c>
      <c r="I196" s="238" t="str">
        <f t="shared" si="7"/>
        <v/>
      </c>
      <c r="J196" s="239" t="str">
        <f t="shared" si="3"/>
        <v/>
      </c>
      <c r="K196" s="240" t="str">
        <f t="shared" si="4"/>
        <v/>
      </c>
      <c r="L196" s="234"/>
      <c r="M196" s="220"/>
      <c r="N196" s="220"/>
      <c r="O196" s="220"/>
      <c r="P196" s="220"/>
      <c r="Q196" s="220"/>
      <c r="R196" s="220"/>
    </row>
    <row r="197">
      <c r="A197" s="220"/>
      <c r="B197" s="244"/>
      <c r="C197" s="245"/>
      <c r="D197" s="246"/>
      <c r="E197" s="235"/>
      <c r="F197" s="243"/>
      <c r="G197" s="234"/>
      <c r="H197" s="237" t="str">
        <f t="shared" si="10"/>
        <v/>
      </c>
      <c r="I197" s="238" t="str">
        <f t="shared" si="7"/>
        <v/>
      </c>
      <c r="J197" s="239" t="str">
        <f t="shared" si="3"/>
        <v/>
      </c>
      <c r="K197" s="240" t="str">
        <f t="shared" si="4"/>
        <v/>
      </c>
      <c r="L197" s="234"/>
      <c r="M197" s="220"/>
      <c r="N197" s="220"/>
      <c r="O197" s="220"/>
      <c r="P197" s="220"/>
      <c r="Q197" s="220"/>
      <c r="R197" s="220"/>
    </row>
    <row r="198">
      <c r="A198" s="220"/>
      <c r="B198" s="244"/>
      <c r="C198" s="245"/>
      <c r="D198" s="246"/>
      <c r="E198" s="235"/>
      <c r="F198" s="243"/>
      <c r="G198" s="234"/>
      <c r="H198" s="237" t="str">
        <f t="shared" si="10"/>
        <v/>
      </c>
      <c r="I198" s="238" t="str">
        <f t="shared" si="7"/>
        <v/>
      </c>
      <c r="J198" s="239" t="str">
        <f t="shared" si="3"/>
        <v/>
      </c>
      <c r="K198" s="240" t="str">
        <f t="shared" si="4"/>
        <v/>
      </c>
      <c r="L198" s="234"/>
      <c r="M198" s="220"/>
      <c r="N198" s="220"/>
      <c r="O198" s="220"/>
      <c r="P198" s="220"/>
      <c r="Q198" s="220"/>
      <c r="R198" s="220"/>
    </row>
    <row r="199">
      <c r="A199" s="220"/>
      <c r="B199" s="244"/>
      <c r="C199" s="245"/>
      <c r="D199" s="246"/>
      <c r="E199" s="235"/>
      <c r="F199" s="243"/>
      <c r="G199" s="234"/>
      <c r="H199" s="237" t="str">
        <f t="shared" si="10"/>
        <v/>
      </c>
      <c r="I199" s="238" t="str">
        <f t="shared" si="7"/>
        <v/>
      </c>
      <c r="J199" s="239" t="str">
        <f t="shared" si="3"/>
        <v/>
      </c>
      <c r="K199" s="240" t="str">
        <f t="shared" si="4"/>
        <v/>
      </c>
      <c r="L199" s="234"/>
      <c r="M199" s="220"/>
      <c r="N199" s="220"/>
      <c r="O199" s="220"/>
      <c r="P199" s="220"/>
      <c r="Q199" s="220"/>
      <c r="R199" s="220"/>
    </row>
    <row r="200">
      <c r="A200" s="220"/>
      <c r="B200" s="244"/>
      <c r="C200" s="245"/>
      <c r="D200" s="246"/>
      <c r="E200" s="235"/>
      <c r="F200" s="243"/>
      <c r="G200" s="234"/>
      <c r="H200" s="237" t="str">
        <f t="shared" si="10"/>
        <v/>
      </c>
      <c r="I200" s="238" t="str">
        <f t="shared" si="7"/>
        <v/>
      </c>
      <c r="J200" s="239" t="str">
        <f t="shared" si="3"/>
        <v/>
      </c>
      <c r="K200" s="240" t="str">
        <f t="shared" si="4"/>
        <v/>
      </c>
      <c r="L200" s="234"/>
      <c r="M200" s="220"/>
      <c r="N200" s="220"/>
      <c r="O200" s="220"/>
      <c r="P200" s="220"/>
      <c r="Q200" s="220"/>
      <c r="R200" s="220"/>
    </row>
    <row r="201">
      <c r="A201" s="220"/>
      <c r="B201" s="244"/>
      <c r="C201" s="245"/>
      <c r="D201" s="246"/>
      <c r="E201" s="235"/>
      <c r="F201" s="243"/>
      <c r="G201" s="234"/>
      <c r="H201" s="237" t="str">
        <f t="shared" si="10"/>
        <v/>
      </c>
      <c r="I201" s="238" t="str">
        <f t="shared" si="7"/>
        <v/>
      </c>
      <c r="J201" s="239" t="str">
        <f t="shared" si="3"/>
        <v/>
      </c>
      <c r="K201" s="240" t="str">
        <f t="shared" si="4"/>
        <v/>
      </c>
      <c r="L201" s="234"/>
      <c r="M201" s="220"/>
      <c r="N201" s="220"/>
      <c r="O201" s="220"/>
      <c r="P201" s="220"/>
      <c r="Q201" s="220"/>
      <c r="R201" s="220"/>
    </row>
    <row r="202">
      <c r="A202" s="220"/>
      <c r="B202" s="244"/>
      <c r="C202" s="245"/>
      <c r="D202" s="246"/>
      <c r="E202" s="235"/>
      <c r="F202" s="243"/>
      <c r="G202" s="234"/>
      <c r="H202" s="237" t="str">
        <f t="shared" si="10"/>
        <v/>
      </c>
      <c r="I202" s="238" t="str">
        <f t="shared" si="7"/>
        <v/>
      </c>
      <c r="J202" s="239" t="str">
        <f t="shared" si="3"/>
        <v/>
      </c>
      <c r="K202" s="240" t="str">
        <f t="shared" si="4"/>
        <v/>
      </c>
      <c r="L202" s="234"/>
      <c r="M202" s="220"/>
      <c r="N202" s="220"/>
      <c r="O202" s="220"/>
      <c r="P202" s="220"/>
      <c r="Q202" s="220"/>
      <c r="R202" s="220"/>
    </row>
    <row r="203">
      <c r="A203" s="220"/>
      <c r="B203" s="244"/>
      <c r="C203" s="245"/>
      <c r="D203" s="246"/>
      <c r="E203" s="235"/>
      <c r="F203" s="243"/>
      <c r="G203" s="234"/>
      <c r="H203" s="237" t="str">
        <f t="shared" si="10"/>
        <v/>
      </c>
      <c r="I203" s="238" t="str">
        <f t="shared" si="7"/>
        <v/>
      </c>
      <c r="J203" s="239" t="str">
        <f t="shared" si="3"/>
        <v/>
      </c>
      <c r="K203" s="240" t="str">
        <f t="shared" si="4"/>
        <v/>
      </c>
      <c r="L203" s="234"/>
      <c r="M203" s="220"/>
      <c r="N203" s="220"/>
      <c r="O203" s="220"/>
      <c r="P203" s="220"/>
      <c r="Q203" s="220"/>
      <c r="R203" s="220"/>
    </row>
    <row r="204">
      <c r="A204" s="220"/>
      <c r="B204" s="244"/>
      <c r="C204" s="245"/>
      <c r="D204" s="246"/>
      <c r="E204" s="235"/>
      <c r="F204" s="243"/>
      <c r="G204" s="234"/>
      <c r="H204" s="237" t="str">
        <f t="shared" si="10"/>
        <v/>
      </c>
      <c r="I204" s="238" t="str">
        <f t="shared" si="7"/>
        <v/>
      </c>
      <c r="J204" s="239" t="str">
        <f t="shared" si="3"/>
        <v/>
      </c>
      <c r="K204" s="240" t="str">
        <f t="shared" si="4"/>
        <v/>
      </c>
      <c r="L204" s="234"/>
      <c r="M204" s="220"/>
      <c r="N204" s="220"/>
      <c r="O204" s="220"/>
      <c r="P204" s="220"/>
      <c r="Q204" s="220"/>
      <c r="R204" s="220"/>
    </row>
    <row r="205">
      <c r="A205" s="220"/>
      <c r="B205" s="244"/>
      <c r="C205" s="245"/>
      <c r="D205" s="246"/>
      <c r="E205" s="235"/>
      <c r="F205" s="243"/>
      <c r="G205" s="234"/>
      <c r="H205" s="237" t="str">
        <f t="shared" si="10"/>
        <v/>
      </c>
      <c r="I205" s="238" t="str">
        <f t="shared" si="7"/>
        <v/>
      </c>
      <c r="J205" s="239" t="str">
        <f t="shared" si="3"/>
        <v/>
      </c>
      <c r="K205" s="240" t="str">
        <f t="shared" si="4"/>
        <v/>
      </c>
      <c r="L205" s="234"/>
      <c r="M205" s="220"/>
      <c r="N205" s="220"/>
      <c r="O205" s="220"/>
      <c r="P205" s="220"/>
      <c r="Q205" s="220"/>
      <c r="R205" s="220"/>
    </row>
    <row r="206">
      <c r="A206" s="220"/>
      <c r="B206" s="244"/>
      <c r="C206" s="245"/>
      <c r="D206" s="246"/>
      <c r="E206" s="235"/>
      <c r="F206" s="243"/>
      <c r="G206" s="234"/>
      <c r="H206" s="237" t="str">
        <f t="shared" si="10"/>
        <v/>
      </c>
      <c r="I206" s="238" t="str">
        <f t="shared" si="7"/>
        <v/>
      </c>
      <c r="J206" s="239" t="str">
        <f t="shared" si="3"/>
        <v/>
      </c>
      <c r="K206" s="240" t="str">
        <f t="shared" si="4"/>
        <v/>
      </c>
      <c r="L206" s="234"/>
      <c r="M206" s="220"/>
      <c r="N206" s="220"/>
      <c r="O206" s="220"/>
      <c r="P206" s="220"/>
      <c r="Q206" s="220"/>
      <c r="R206" s="220"/>
    </row>
    <row r="207">
      <c r="A207" s="220"/>
      <c r="B207" s="244"/>
      <c r="C207" s="245"/>
      <c r="D207" s="246"/>
      <c r="E207" s="235"/>
      <c r="F207" s="243"/>
      <c r="G207" s="234"/>
      <c r="H207" s="237" t="str">
        <f t="shared" si="10"/>
        <v/>
      </c>
      <c r="I207" s="238" t="str">
        <f t="shared" si="7"/>
        <v/>
      </c>
      <c r="J207" s="239" t="str">
        <f t="shared" si="3"/>
        <v/>
      </c>
      <c r="K207" s="240" t="str">
        <f t="shared" si="4"/>
        <v/>
      </c>
      <c r="L207" s="234"/>
      <c r="M207" s="220"/>
      <c r="N207" s="220"/>
      <c r="O207" s="220"/>
      <c r="P207" s="220"/>
      <c r="Q207" s="220"/>
      <c r="R207" s="220"/>
    </row>
    <row r="208">
      <c r="A208" s="220"/>
      <c r="B208" s="244"/>
      <c r="C208" s="245"/>
      <c r="D208" s="246"/>
      <c r="E208" s="235"/>
      <c r="F208" s="243"/>
      <c r="G208" s="234"/>
      <c r="H208" s="237" t="str">
        <f t="shared" si="10"/>
        <v/>
      </c>
      <c r="I208" s="238" t="str">
        <f t="shared" si="7"/>
        <v/>
      </c>
      <c r="J208" s="239" t="str">
        <f t="shared" si="3"/>
        <v/>
      </c>
      <c r="K208" s="240" t="str">
        <f t="shared" si="4"/>
        <v/>
      </c>
      <c r="L208" s="234"/>
      <c r="M208" s="220"/>
      <c r="N208" s="220"/>
      <c r="O208" s="220"/>
      <c r="P208" s="220"/>
      <c r="Q208" s="220"/>
      <c r="R208" s="220"/>
    </row>
    <row r="209">
      <c r="A209" s="220"/>
      <c r="B209" s="244"/>
      <c r="C209" s="245"/>
      <c r="D209" s="246"/>
      <c r="E209" s="235"/>
      <c r="F209" s="243"/>
      <c r="G209" s="234"/>
      <c r="H209" s="237" t="str">
        <f t="shared" si="10"/>
        <v/>
      </c>
      <c r="I209" s="238" t="str">
        <f t="shared" si="7"/>
        <v/>
      </c>
      <c r="J209" s="239" t="str">
        <f t="shared" si="3"/>
        <v/>
      </c>
      <c r="K209" s="240" t="str">
        <f t="shared" si="4"/>
        <v/>
      </c>
      <c r="L209" s="234"/>
      <c r="M209" s="220"/>
      <c r="N209" s="220"/>
      <c r="O209" s="220"/>
      <c r="P209" s="220"/>
      <c r="Q209" s="220"/>
      <c r="R209" s="220"/>
    </row>
    <row r="210">
      <c r="A210" s="220"/>
      <c r="B210" s="244"/>
      <c r="C210" s="245"/>
      <c r="D210" s="246"/>
      <c r="E210" s="235"/>
      <c r="F210" s="243"/>
      <c r="G210" s="234"/>
      <c r="H210" s="237" t="str">
        <f t="shared" si="10"/>
        <v/>
      </c>
      <c r="I210" s="238" t="str">
        <f t="shared" si="7"/>
        <v/>
      </c>
      <c r="J210" s="239" t="str">
        <f t="shared" si="3"/>
        <v/>
      </c>
      <c r="K210" s="240" t="str">
        <f t="shared" si="4"/>
        <v/>
      </c>
      <c r="L210" s="234"/>
      <c r="M210" s="220"/>
      <c r="N210" s="220"/>
      <c r="O210" s="220"/>
      <c r="P210" s="220"/>
      <c r="Q210" s="220"/>
      <c r="R210" s="220"/>
    </row>
    <row r="211">
      <c r="A211" s="220"/>
      <c r="B211" s="244"/>
      <c r="C211" s="245"/>
      <c r="D211" s="246"/>
      <c r="E211" s="235"/>
      <c r="F211" s="243"/>
      <c r="G211" s="234"/>
      <c r="H211" s="237" t="str">
        <f t="shared" si="10"/>
        <v/>
      </c>
      <c r="I211" s="238" t="str">
        <f t="shared" si="7"/>
        <v/>
      </c>
      <c r="J211" s="239" t="str">
        <f t="shared" si="3"/>
        <v/>
      </c>
      <c r="K211" s="240" t="str">
        <f t="shared" si="4"/>
        <v/>
      </c>
      <c r="L211" s="234"/>
      <c r="M211" s="220"/>
      <c r="N211" s="220"/>
      <c r="O211" s="220"/>
      <c r="P211" s="220"/>
      <c r="Q211" s="220"/>
      <c r="R211" s="220"/>
    </row>
    <row r="212">
      <c r="A212" s="220"/>
      <c r="B212" s="244"/>
      <c r="C212" s="245"/>
      <c r="D212" s="246"/>
      <c r="E212" s="235"/>
      <c r="F212" s="243"/>
      <c r="G212" s="234"/>
      <c r="H212" s="237" t="str">
        <f t="shared" si="10"/>
        <v/>
      </c>
      <c r="I212" s="238" t="str">
        <f t="shared" si="7"/>
        <v/>
      </c>
      <c r="J212" s="239" t="str">
        <f t="shared" si="3"/>
        <v/>
      </c>
      <c r="K212" s="240" t="str">
        <f t="shared" si="4"/>
        <v/>
      </c>
      <c r="L212" s="234"/>
      <c r="M212" s="220"/>
      <c r="N212" s="220"/>
      <c r="O212" s="220"/>
      <c r="P212" s="220"/>
      <c r="Q212" s="220"/>
      <c r="R212" s="220"/>
    </row>
    <row r="213">
      <c r="A213" s="220"/>
      <c r="B213" s="244"/>
      <c r="C213" s="245"/>
      <c r="D213" s="246"/>
      <c r="E213" s="235"/>
      <c r="F213" s="243"/>
      <c r="G213" s="234"/>
      <c r="H213" s="237" t="str">
        <f t="shared" si="10"/>
        <v/>
      </c>
      <c r="I213" s="238" t="str">
        <f t="shared" si="7"/>
        <v/>
      </c>
      <c r="J213" s="239" t="str">
        <f t="shared" si="3"/>
        <v/>
      </c>
      <c r="K213" s="240" t="str">
        <f t="shared" si="4"/>
        <v/>
      </c>
      <c r="L213" s="234"/>
      <c r="M213" s="220"/>
      <c r="N213" s="220"/>
      <c r="O213" s="220"/>
      <c r="P213" s="220"/>
      <c r="Q213" s="220"/>
      <c r="R213" s="220"/>
    </row>
    <row r="214">
      <c r="A214" s="220"/>
      <c r="B214" s="244"/>
      <c r="C214" s="245"/>
      <c r="D214" s="246"/>
      <c r="E214" s="235"/>
      <c r="F214" s="243"/>
      <c r="G214" s="234"/>
      <c r="H214" s="237" t="str">
        <f t="shared" si="10"/>
        <v/>
      </c>
      <c r="I214" s="238" t="str">
        <f t="shared" si="7"/>
        <v/>
      </c>
      <c r="J214" s="239" t="str">
        <f t="shared" si="3"/>
        <v/>
      </c>
      <c r="K214" s="240" t="str">
        <f t="shared" si="4"/>
        <v/>
      </c>
      <c r="L214" s="234"/>
      <c r="M214" s="220"/>
      <c r="N214" s="220"/>
      <c r="O214" s="220"/>
      <c r="P214" s="220"/>
      <c r="Q214" s="220"/>
      <c r="R214" s="220"/>
    </row>
    <row r="215">
      <c r="A215" s="220"/>
      <c r="B215" s="244"/>
      <c r="C215" s="245"/>
      <c r="D215" s="246"/>
      <c r="E215" s="235"/>
      <c r="F215" s="243"/>
      <c r="G215" s="234"/>
      <c r="H215" s="237" t="str">
        <f t="shared" si="10"/>
        <v/>
      </c>
      <c r="I215" s="238" t="str">
        <f t="shared" si="7"/>
        <v/>
      </c>
      <c r="J215" s="239" t="str">
        <f t="shared" si="3"/>
        <v/>
      </c>
      <c r="K215" s="240" t="str">
        <f t="shared" si="4"/>
        <v/>
      </c>
      <c r="L215" s="234"/>
      <c r="M215" s="220"/>
      <c r="N215" s="220"/>
      <c r="O215" s="220"/>
      <c r="P215" s="220"/>
      <c r="Q215" s="220"/>
      <c r="R215" s="220"/>
    </row>
    <row r="216">
      <c r="A216" s="220"/>
      <c r="B216" s="244"/>
      <c r="C216" s="245"/>
      <c r="D216" s="246"/>
      <c r="E216" s="235"/>
      <c r="F216" s="243"/>
      <c r="G216" s="234"/>
      <c r="H216" s="237" t="str">
        <f t="shared" si="10"/>
        <v/>
      </c>
      <c r="I216" s="238" t="str">
        <f t="shared" si="7"/>
        <v/>
      </c>
      <c r="J216" s="239" t="str">
        <f t="shared" si="3"/>
        <v/>
      </c>
      <c r="K216" s="240" t="str">
        <f t="shared" si="4"/>
        <v/>
      </c>
      <c r="L216" s="234"/>
      <c r="M216" s="220"/>
      <c r="N216" s="220"/>
      <c r="O216" s="220"/>
      <c r="P216" s="220"/>
      <c r="Q216" s="220"/>
      <c r="R216" s="220"/>
    </row>
    <row r="217">
      <c r="A217" s="220"/>
      <c r="B217" s="244"/>
      <c r="C217" s="245"/>
      <c r="D217" s="246"/>
      <c r="E217" s="235"/>
      <c r="F217" s="243"/>
      <c r="G217" s="234"/>
      <c r="H217" s="237" t="str">
        <f t="shared" si="10"/>
        <v/>
      </c>
      <c r="I217" s="238" t="str">
        <f t="shared" si="7"/>
        <v/>
      </c>
      <c r="J217" s="239" t="str">
        <f t="shared" si="3"/>
        <v/>
      </c>
      <c r="K217" s="240" t="str">
        <f t="shared" si="4"/>
        <v/>
      </c>
      <c r="L217" s="234"/>
      <c r="M217" s="220"/>
      <c r="N217" s="220"/>
      <c r="O217" s="220"/>
      <c r="P217" s="220"/>
      <c r="Q217" s="220"/>
      <c r="R217" s="220"/>
    </row>
    <row r="218">
      <c r="A218" s="220"/>
      <c r="B218" s="244"/>
      <c r="C218" s="245"/>
      <c r="D218" s="246"/>
      <c r="E218" s="235"/>
      <c r="F218" s="243"/>
      <c r="G218" s="234"/>
      <c r="H218" s="237" t="str">
        <f t="shared" si="10"/>
        <v/>
      </c>
      <c r="I218" s="238" t="str">
        <f t="shared" si="7"/>
        <v/>
      </c>
      <c r="J218" s="239" t="str">
        <f t="shared" si="3"/>
        <v/>
      </c>
      <c r="K218" s="240" t="str">
        <f t="shared" si="4"/>
        <v/>
      </c>
      <c r="L218" s="234"/>
      <c r="M218" s="220"/>
      <c r="N218" s="220"/>
      <c r="O218" s="220"/>
      <c r="P218" s="220"/>
      <c r="Q218" s="220"/>
      <c r="R218" s="220"/>
    </row>
    <row r="219">
      <c r="A219" s="220"/>
      <c r="B219" s="244"/>
      <c r="C219" s="245"/>
      <c r="D219" s="246"/>
      <c r="E219" s="235"/>
      <c r="F219" s="243"/>
      <c r="G219" s="234"/>
      <c r="H219" s="237" t="str">
        <f t="shared" si="10"/>
        <v/>
      </c>
      <c r="I219" s="238" t="str">
        <f t="shared" si="7"/>
        <v/>
      </c>
      <c r="J219" s="239" t="str">
        <f t="shared" si="3"/>
        <v/>
      </c>
      <c r="K219" s="240" t="str">
        <f t="shared" si="4"/>
        <v/>
      </c>
      <c r="L219" s="234"/>
      <c r="M219" s="220"/>
      <c r="N219" s="220"/>
      <c r="O219" s="220"/>
      <c r="P219" s="220"/>
      <c r="Q219" s="220"/>
      <c r="R219" s="220"/>
    </row>
    <row r="220">
      <c r="A220" s="220"/>
      <c r="B220" s="244"/>
      <c r="C220" s="245"/>
      <c r="D220" s="246"/>
      <c r="E220" s="235"/>
      <c r="F220" s="243"/>
      <c r="G220" s="234"/>
      <c r="H220" s="237" t="str">
        <f t="shared" si="10"/>
        <v/>
      </c>
      <c r="I220" s="238" t="str">
        <f t="shared" si="7"/>
        <v/>
      </c>
      <c r="J220" s="239" t="str">
        <f t="shared" si="3"/>
        <v/>
      </c>
      <c r="K220" s="240" t="str">
        <f t="shared" si="4"/>
        <v/>
      </c>
      <c r="L220" s="234"/>
      <c r="M220" s="220"/>
      <c r="N220" s="220"/>
      <c r="O220" s="220"/>
      <c r="P220" s="220"/>
      <c r="Q220" s="220"/>
      <c r="R220" s="220"/>
    </row>
    <row r="221">
      <c r="A221" s="220"/>
      <c r="B221" s="244"/>
      <c r="C221" s="245"/>
      <c r="D221" s="246"/>
      <c r="E221" s="235"/>
      <c r="F221" s="243"/>
      <c r="G221" s="234"/>
      <c r="H221" s="237" t="str">
        <f t="shared" si="10"/>
        <v/>
      </c>
      <c r="I221" s="238" t="str">
        <f t="shared" si="7"/>
        <v/>
      </c>
      <c r="J221" s="239" t="str">
        <f t="shared" si="3"/>
        <v/>
      </c>
      <c r="K221" s="240" t="str">
        <f t="shared" si="4"/>
        <v/>
      </c>
      <c r="L221" s="234"/>
      <c r="M221" s="220"/>
      <c r="N221" s="220"/>
      <c r="O221" s="220"/>
      <c r="P221" s="220"/>
      <c r="Q221" s="220"/>
      <c r="R221" s="220"/>
    </row>
    <row r="222">
      <c r="A222" s="220"/>
      <c r="B222" s="244"/>
      <c r="C222" s="245"/>
      <c r="D222" s="246"/>
      <c r="E222" s="235"/>
      <c r="F222" s="243"/>
      <c r="G222" s="234"/>
      <c r="H222" s="237" t="str">
        <f t="shared" si="10"/>
        <v/>
      </c>
      <c r="I222" s="238" t="str">
        <f t="shared" si="7"/>
        <v/>
      </c>
      <c r="J222" s="239" t="str">
        <f t="shared" si="3"/>
        <v/>
      </c>
      <c r="K222" s="240" t="str">
        <f t="shared" si="4"/>
        <v/>
      </c>
      <c r="L222" s="234"/>
      <c r="M222" s="220"/>
      <c r="N222" s="220"/>
      <c r="O222" s="220"/>
      <c r="P222" s="220"/>
      <c r="Q222" s="220"/>
      <c r="R222" s="220"/>
    </row>
    <row r="223">
      <c r="A223" s="220"/>
      <c r="B223" s="244"/>
      <c r="C223" s="245"/>
      <c r="D223" s="246"/>
      <c r="E223" s="235"/>
      <c r="F223" s="243"/>
      <c r="G223" s="234"/>
      <c r="H223" s="237" t="str">
        <f t="shared" si="10"/>
        <v/>
      </c>
      <c r="I223" s="238" t="str">
        <f t="shared" si="7"/>
        <v/>
      </c>
      <c r="J223" s="239" t="str">
        <f t="shared" si="3"/>
        <v/>
      </c>
      <c r="K223" s="240" t="str">
        <f t="shared" si="4"/>
        <v/>
      </c>
      <c r="L223" s="234"/>
      <c r="M223" s="220"/>
      <c r="N223" s="220"/>
      <c r="O223" s="220"/>
      <c r="P223" s="220"/>
      <c r="Q223" s="220"/>
      <c r="R223" s="220"/>
    </row>
    <row r="224">
      <c r="A224" s="220"/>
      <c r="B224" s="244"/>
      <c r="C224" s="245"/>
      <c r="D224" s="246"/>
      <c r="E224" s="235"/>
      <c r="F224" s="243"/>
      <c r="G224" s="234"/>
      <c r="H224" s="237" t="str">
        <f t="shared" si="10"/>
        <v/>
      </c>
      <c r="I224" s="238" t="str">
        <f t="shared" si="7"/>
        <v/>
      </c>
      <c r="J224" s="239" t="str">
        <f t="shared" si="3"/>
        <v/>
      </c>
      <c r="K224" s="240" t="str">
        <f t="shared" si="4"/>
        <v/>
      </c>
      <c r="L224" s="234"/>
      <c r="M224" s="220"/>
      <c r="N224" s="220"/>
      <c r="O224" s="220"/>
      <c r="P224" s="220"/>
      <c r="Q224" s="220"/>
      <c r="R224" s="220"/>
    </row>
    <row r="225">
      <c r="A225" s="220"/>
      <c r="B225" s="244"/>
      <c r="C225" s="245"/>
      <c r="D225" s="246"/>
      <c r="E225" s="235"/>
      <c r="F225" s="243"/>
      <c r="G225" s="234"/>
      <c r="H225" s="237" t="str">
        <f t="shared" si="10"/>
        <v/>
      </c>
      <c r="I225" s="238" t="str">
        <f t="shared" si="7"/>
        <v/>
      </c>
      <c r="J225" s="239" t="str">
        <f t="shared" si="3"/>
        <v/>
      </c>
      <c r="K225" s="240" t="str">
        <f t="shared" si="4"/>
        <v/>
      </c>
      <c r="L225" s="234"/>
      <c r="M225" s="220"/>
      <c r="N225" s="220"/>
      <c r="O225" s="220"/>
      <c r="P225" s="220"/>
      <c r="Q225" s="220"/>
      <c r="R225" s="220"/>
    </row>
    <row r="226">
      <c r="A226" s="220"/>
      <c r="B226" s="244"/>
      <c r="C226" s="245"/>
      <c r="D226" s="246"/>
      <c r="E226" s="235"/>
      <c r="F226" s="243"/>
      <c r="G226" s="234"/>
      <c r="H226" s="237" t="str">
        <f t="shared" si="10"/>
        <v/>
      </c>
      <c r="I226" s="238" t="str">
        <f t="shared" si="7"/>
        <v/>
      </c>
      <c r="J226" s="239" t="str">
        <f t="shared" si="3"/>
        <v/>
      </c>
      <c r="K226" s="240" t="str">
        <f t="shared" si="4"/>
        <v/>
      </c>
      <c r="L226" s="234"/>
      <c r="M226" s="220"/>
      <c r="N226" s="220"/>
      <c r="O226" s="220"/>
      <c r="P226" s="220"/>
      <c r="Q226" s="220"/>
      <c r="R226" s="220"/>
    </row>
    <row r="227">
      <c r="A227" s="220"/>
      <c r="B227" s="244"/>
      <c r="C227" s="245"/>
      <c r="D227" s="246"/>
      <c r="E227" s="235"/>
      <c r="F227" s="243"/>
      <c r="G227" s="234"/>
      <c r="H227" s="237" t="str">
        <f t="shared" si="10"/>
        <v/>
      </c>
      <c r="I227" s="238" t="str">
        <f t="shared" si="7"/>
        <v/>
      </c>
      <c r="J227" s="239" t="str">
        <f t="shared" si="3"/>
        <v/>
      </c>
      <c r="K227" s="240" t="str">
        <f t="shared" si="4"/>
        <v/>
      </c>
      <c r="L227" s="234"/>
      <c r="M227" s="220"/>
      <c r="N227" s="220"/>
      <c r="O227" s="220"/>
      <c r="P227" s="220"/>
      <c r="Q227" s="220"/>
      <c r="R227" s="220"/>
    </row>
    <row r="228">
      <c r="A228" s="220"/>
      <c r="B228" s="244"/>
      <c r="C228" s="245"/>
      <c r="D228" s="246"/>
      <c r="E228" s="235"/>
      <c r="F228" s="243"/>
      <c r="G228" s="234"/>
      <c r="H228" s="237" t="str">
        <f t="shared" si="10"/>
        <v/>
      </c>
      <c r="I228" s="238" t="str">
        <f t="shared" si="7"/>
        <v/>
      </c>
      <c r="J228" s="239" t="str">
        <f t="shared" si="3"/>
        <v/>
      </c>
      <c r="K228" s="240" t="str">
        <f t="shared" si="4"/>
        <v/>
      </c>
      <c r="L228" s="234"/>
      <c r="M228" s="220"/>
      <c r="N228" s="220"/>
      <c r="O228" s="220"/>
      <c r="P228" s="220"/>
      <c r="Q228" s="220"/>
      <c r="R228" s="220"/>
    </row>
    <row r="229">
      <c r="A229" s="220"/>
      <c r="B229" s="244"/>
      <c r="C229" s="245"/>
      <c r="D229" s="246"/>
      <c r="E229" s="235"/>
      <c r="F229" s="243"/>
      <c r="G229" s="234"/>
      <c r="H229" s="237" t="str">
        <f t="shared" si="10"/>
        <v/>
      </c>
      <c r="I229" s="238" t="str">
        <f t="shared" si="7"/>
        <v/>
      </c>
      <c r="J229" s="239" t="str">
        <f t="shared" si="3"/>
        <v/>
      </c>
      <c r="K229" s="240" t="str">
        <f t="shared" si="4"/>
        <v/>
      </c>
      <c r="L229" s="234"/>
      <c r="M229" s="220"/>
      <c r="N229" s="220"/>
      <c r="O229" s="220"/>
      <c r="P229" s="220"/>
      <c r="Q229" s="220"/>
      <c r="R229" s="220"/>
    </row>
    <row r="230">
      <c r="A230" s="220"/>
      <c r="B230" s="244"/>
      <c r="C230" s="245"/>
      <c r="D230" s="246"/>
      <c r="E230" s="235"/>
      <c r="F230" s="243"/>
      <c r="G230" s="234"/>
      <c r="H230" s="237" t="str">
        <f t="shared" si="10"/>
        <v/>
      </c>
      <c r="I230" s="238" t="str">
        <f t="shared" si="7"/>
        <v/>
      </c>
      <c r="J230" s="239" t="str">
        <f t="shared" si="3"/>
        <v/>
      </c>
      <c r="K230" s="240" t="str">
        <f t="shared" si="4"/>
        <v/>
      </c>
      <c r="L230" s="234"/>
      <c r="M230" s="220"/>
      <c r="N230" s="220"/>
      <c r="O230" s="220"/>
      <c r="P230" s="220"/>
      <c r="Q230" s="220"/>
      <c r="R230" s="220"/>
    </row>
    <row r="231">
      <c r="A231" s="220"/>
      <c r="B231" s="244"/>
      <c r="C231" s="245"/>
      <c r="D231" s="246"/>
      <c r="E231" s="235"/>
      <c r="F231" s="243"/>
      <c r="G231" s="234"/>
      <c r="H231" s="237" t="str">
        <f t="shared" si="10"/>
        <v/>
      </c>
      <c r="I231" s="238" t="str">
        <f t="shared" si="7"/>
        <v/>
      </c>
      <c r="J231" s="239" t="str">
        <f t="shared" si="3"/>
        <v/>
      </c>
      <c r="K231" s="240" t="str">
        <f t="shared" si="4"/>
        <v/>
      </c>
      <c r="L231" s="234"/>
      <c r="M231" s="220"/>
      <c r="N231" s="220"/>
      <c r="O231" s="220"/>
      <c r="P231" s="220"/>
      <c r="Q231" s="220"/>
      <c r="R231" s="220"/>
    </row>
    <row r="232">
      <c r="A232" s="220"/>
      <c r="B232" s="244"/>
      <c r="C232" s="245"/>
      <c r="D232" s="246"/>
      <c r="E232" s="235"/>
      <c r="F232" s="243"/>
      <c r="G232" s="234"/>
      <c r="H232" s="237" t="str">
        <f t="shared" si="10"/>
        <v/>
      </c>
      <c r="I232" s="238" t="str">
        <f t="shared" si="7"/>
        <v/>
      </c>
      <c r="J232" s="239" t="str">
        <f t="shared" si="3"/>
        <v/>
      </c>
      <c r="K232" s="240" t="str">
        <f t="shared" si="4"/>
        <v/>
      </c>
      <c r="L232" s="234"/>
      <c r="M232" s="220"/>
      <c r="N232" s="220"/>
      <c r="O232" s="220"/>
      <c r="P232" s="220"/>
      <c r="Q232" s="220"/>
      <c r="R232" s="220"/>
    </row>
    <row r="233">
      <c r="A233" s="220"/>
      <c r="B233" s="244"/>
      <c r="C233" s="245"/>
      <c r="D233" s="246"/>
      <c r="E233" s="235"/>
      <c r="F233" s="243"/>
      <c r="G233" s="234"/>
      <c r="H233" s="237" t="str">
        <f t="shared" si="10"/>
        <v/>
      </c>
      <c r="I233" s="238" t="str">
        <f t="shared" si="7"/>
        <v/>
      </c>
      <c r="J233" s="239" t="str">
        <f t="shared" si="3"/>
        <v/>
      </c>
      <c r="K233" s="240" t="str">
        <f t="shared" si="4"/>
        <v/>
      </c>
      <c r="L233" s="234"/>
      <c r="M233" s="220"/>
      <c r="N233" s="220"/>
      <c r="O233" s="220"/>
      <c r="P233" s="220"/>
      <c r="Q233" s="220"/>
      <c r="R233" s="220"/>
    </row>
    <row r="234">
      <c r="A234" s="220"/>
      <c r="B234" s="244"/>
      <c r="C234" s="245"/>
      <c r="D234" s="246"/>
      <c r="E234" s="235"/>
      <c r="F234" s="243"/>
      <c r="G234" s="234"/>
      <c r="H234" s="237" t="str">
        <f t="shared" si="10"/>
        <v/>
      </c>
      <c r="I234" s="238" t="str">
        <f t="shared" si="7"/>
        <v/>
      </c>
      <c r="J234" s="239" t="str">
        <f t="shared" si="3"/>
        <v/>
      </c>
      <c r="K234" s="240" t="str">
        <f t="shared" si="4"/>
        <v/>
      </c>
      <c r="L234" s="234"/>
      <c r="M234" s="220"/>
      <c r="N234" s="220"/>
      <c r="O234" s="220"/>
      <c r="P234" s="220"/>
      <c r="Q234" s="220"/>
      <c r="R234" s="220"/>
    </row>
    <row r="235">
      <c r="A235" s="220"/>
      <c r="B235" s="244"/>
      <c r="C235" s="245"/>
      <c r="D235" s="246"/>
      <c r="E235" s="235"/>
      <c r="F235" s="243"/>
      <c r="G235" s="234"/>
      <c r="H235" s="237" t="str">
        <f t="shared" si="10"/>
        <v/>
      </c>
      <c r="I235" s="238" t="str">
        <f t="shared" si="7"/>
        <v/>
      </c>
      <c r="J235" s="239" t="str">
        <f t="shared" si="3"/>
        <v/>
      </c>
      <c r="K235" s="240" t="str">
        <f t="shared" si="4"/>
        <v/>
      </c>
      <c r="L235" s="234"/>
      <c r="M235" s="220"/>
      <c r="N235" s="220"/>
      <c r="O235" s="220"/>
      <c r="P235" s="220"/>
      <c r="Q235" s="220"/>
      <c r="R235" s="220"/>
    </row>
    <row r="236">
      <c r="A236" s="220"/>
      <c r="B236" s="244"/>
      <c r="C236" s="245"/>
      <c r="D236" s="246"/>
      <c r="E236" s="235"/>
      <c r="F236" s="243"/>
      <c r="G236" s="234"/>
      <c r="H236" s="237" t="str">
        <f t="shared" si="10"/>
        <v/>
      </c>
      <c r="I236" s="238" t="str">
        <f t="shared" si="7"/>
        <v/>
      </c>
      <c r="J236" s="239" t="str">
        <f t="shared" si="3"/>
        <v/>
      </c>
      <c r="K236" s="240" t="str">
        <f t="shared" si="4"/>
        <v/>
      </c>
      <c r="L236" s="234"/>
      <c r="M236" s="220"/>
      <c r="N236" s="220"/>
      <c r="O236" s="220"/>
      <c r="P236" s="220"/>
      <c r="Q236" s="220"/>
      <c r="R236" s="220"/>
    </row>
    <row r="237">
      <c r="A237" s="220"/>
      <c r="B237" s="244"/>
      <c r="C237" s="245"/>
      <c r="D237" s="246"/>
      <c r="E237" s="235"/>
      <c r="F237" s="243"/>
      <c r="G237" s="234"/>
      <c r="H237" s="237" t="str">
        <f t="shared" si="10"/>
        <v/>
      </c>
      <c r="I237" s="238" t="str">
        <f t="shared" si="7"/>
        <v/>
      </c>
      <c r="J237" s="239" t="str">
        <f t="shared" si="3"/>
        <v/>
      </c>
      <c r="K237" s="240" t="str">
        <f t="shared" si="4"/>
        <v/>
      </c>
      <c r="L237" s="234"/>
      <c r="M237" s="220"/>
      <c r="N237" s="220"/>
      <c r="O237" s="220"/>
      <c r="P237" s="220"/>
      <c r="Q237" s="220"/>
      <c r="R237" s="220"/>
    </row>
    <row r="238">
      <c r="A238" s="220"/>
      <c r="B238" s="244"/>
      <c r="C238" s="245"/>
      <c r="D238" s="246"/>
      <c r="E238" s="235"/>
      <c r="F238" s="243"/>
      <c r="G238" s="234"/>
      <c r="H238" s="237" t="str">
        <f t="shared" si="10"/>
        <v/>
      </c>
      <c r="I238" s="238" t="str">
        <f t="shared" si="7"/>
        <v/>
      </c>
      <c r="J238" s="239" t="str">
        <f t="shared" si="3"/>
        <v/>
      </c>
      <c r="K238" s="240" t="str">
        <f t="shared" si="4"/>
        <v/>
      </c>
      <c r="L238" s="234"/>
      <c r="M238" s="220"/>
      <c r="N238" s="220"/>
      <c r="O238" s="220"/>
      <c r="P238" s="220"/>
      <c r="Q238" s="220"/>
      <c r="R238" s="220"/>
    </row>
    <row r="239">
      <c r="A239" s="220"/>
      <c r="B239" s="244"/>
      <c r="C239" s="245"/>
      <c r="D239" s="246"/>
      <c r="E239" s="235"/>
      <c r="F239" s="243"/>
      <c r="G239" s="234"/>
      <c r="H239" s="237" t="str">
        <f t="shared" si="10"/>
        <v/>
      </c>
      <c r="I239" s="238" t="str">
        <f t="shared" si="7"/>
        <v/>
      </c>
      <c r="J239" s="239" t="str">
        <f t="shared" si="3"/>
        <v/>
      </c>
      <c r="K239" s="240" t="str">
        <f t="shared" si="4"/>
        <v/>
      </c>
      <c r="L239" s="234"/>
      <c r="M239" s="220"/>
      <c r="N239" s="220"/>
      <c r="O239" s="220"/>
      <c r="P239" s="220"/>
      <c r="Q239" s="220"/>
      <c r="R239" s="220"/>
    </row>
    <row r="240">
      <c r="A240" s="220"/>
      <c r="B240" s="244"/>
      <c r="C240" s="245"/>
      <c r="D240" s="246"/>
      <c r="E240" s="235"/>
      <c r="F240" s="243"/>
      <c r="G240" s="234"/>
      <c r="H240" s="237" t="str">
        <f t="shared" si="10"/>
        <v/>
      </c>
      <c r="I240" s="238" t="str">
        <f t="shared" si="7"/>
        <v/>
      </c>
      <c r="J240" s="239" t="str">
        <f t="shared" si="3"/>
        <v/>
      </c>
      <c r="K240" s="240" t="str">
        <f t="shared" si="4"/>
        <v/>
      </c>
      <c r="L240" s="234"/>
      <c r="M240" s="220"/>
      <c r="N240" s="220"/>
      <c r="O240" s="220"/>
      <c r="P240" s="220"/>
      <c r="Q240" s="220"/>
      <c r="R240" s="220"/>
    </row>
    <row r="241">
      <c r="A241" s="220"/>
      <c r="B241" s="244"/>
      <c r="C241" s="245"/>
      <c r="D241" s="246"/>
      <c r="E241" s="235"/>
      <c r="F241" s="243"/>
      <c r="G241" s="234"/>
      <c r="H241" s="237" t="str">
        <f t="shared" si="10"/>
        <v/>
      </c>
      <c r="I241" s="238" t="str">
        <f t="shared" si="7"/>
        <v/>
      </c>
      <c r="J241" s="239" t="str">
        <f t="shared" si="3"/>
        <v/>
      </c>
      <c r="K241" s="240" t="str">
        <f t="shared" si="4"/>
        <v/>
      </c>
      <c r="L241" s="234"/>
      <c r="M241" s="220"/>
      <c r="N241" s="220"/>
      <c r="O241" s="220"/>
      <c r="P241" s="220"/>
      <c r="Q241" s="220"/>
      <c r="R241" s="220"/>
    </row>
    <row r="242">
      <c r="A242" s="220"/>
      <c r="B242" s="244"/>
      <c r="C242" s="245"/>
      <c r="D242" s="246"/>
      <c r="E242" s="235"/>
      <c r="F242" s="243"/>
      <c r="G242" s="234"/>
      <c r="H242" s="237" t="str">
        <f t="shared" si="10"/>
        <v/>
      </c>
      <c r="I242" s="238" t="str">
        <f t="shared" si="7"/>
        <v/>
      </c>
      <c r="J242" s="239" t="str">
        <f t="shared" si="3"/>
        <v/>
      </c>
      <c r="K242" s="240" t="str">
        <f t="shared" si="4"/>
        <v/>
      </c>
      <c r="L242" s="234"/>
      <c r="M242" s="220"/>
      <c r="N242" s="220"/>
      <c r="O242" s="220"/>
      <c r="P242" s="220"/>
      <c r="Q242" s="220"/>
      <c r="R242" s="220"/>
    </row>
    <row r="243">
      <c r="A243" s="220"/>
      <c r="B243" s="244"/>
      <c r="C243" s="245"/>
      <c r="D243" s="246"/>
      <c r="E243" s="235"/>
      <c r="F243" s="243"/>
      <c r="G243" s="234"/>
      <c r="H243" s="237" t="str">
        <f t="shared" si="10"/>
        <v/>
      </c>
      <c r="I243" s="238" t="str">
        <f t="shared" si="7"/>
        <v/>
      </c>
      <c r="J243" s="239" t="str">
        <f t="shared" si="3"/>
        <v/>
      </c>
      <c r="K243" s="240" t="str">
        <f t="shared" si="4"/>
        <v/>
      </c>
      <c r="L243" s="234"/>
      <c r="M243" s="220"/>
      <c r="N243" s="220"/>
      <c r="O243" s="220"/>
      <c r="P243" s="220"/>
      <c r="Q243" s="220"/>
      <c r="R243" s="220"/>
    </row>
    <row r="244">
      <c r="A244" s="220"/>
      <c r="B244" s="244"/>
      <c r="C244" s="245"/>
      <c r="D244" s="246"/>
      <c r="E244" s="235"/>
      <c r="F244" s="243"/>
      <c r="G244" s="234"/>
      <c r="H244" s="237" t="str">
        <f t="shared" si="10"/>
        <v/>
      </c>
      <c r="I244" s="238" t="str">
        <f t="shared" si="7"/>
        <v/>
      </c>
      <c r="J244" s="239" t="str">
        <f t="shared" si="3"/>
        <v/>
      </c>
      <c r="K244" s="240" t="str">
        <f t="shared" si="4"/>
        <v/>
      </c>
      <c r="L244" s="234"/>
      <c r="M244" s="220"/>
      <c r="N244" s="220"/>
      <c r="O244" s="220"/>
      <c r="P244" s="220"/>
      <c r="Q244" s="220"/>
      <c r="R244" s="220"/>
    </row>
    <row r="245">
      <c r="A245" s="220"/>
      <c r="B245" s="244"/>
      <c r="C245" s="245"/>
      <c r="D245" s="246"/>
      <c r="E245" s="235"/>
      <c r="F245" s="243"/>
      <c r="G245" s="234"/>
      <c r="H245" s="237" t="str">
        <f t="shared" si="10"/>
        <v/>
      </c>
      <c r="I245" s="238" t="str">
        <f t="shared" si="7"/>
        <v/>
      </c>
      <c r="J245" s="239" t="str">
        <f t="shared" si="3"/>
        <v/>
      </c>
      <c r="K245" s="240" t="str">
        <f t="shared" si="4"/>
        <v/>
      </c>
      <c r="L245" s="234"/>
      <c r="M245" s="220"/>
      <c r="N245" s="220"/>
      <c r="O245" s="220"/>
      <c r="P245" s="220"/>
      <c r="Q245" s="220"/>
      <c r="R245" s="220"/>
    </row>
    <row r="246">
      <c r="A246" s="220"/>
      <c r="B246" s="244"/>
      <c r="C246" s="245"/>
      <c r="D246" s="246"/>
      <c r="E246" s="235"/>
      <c r="F246" s="243"/>
      <c r="G246" s="234"/>
      <c r="H246" s="237" t="str">
        <f t="shared" si="10"/>
        <v/>
      </c>
      <c r="I246" s="238" t="str">
        <f t="shared" si="7"/>
        <v/>
      </c>
      <c r="J246" s="239" t="str">
        <f t="shared" si="3"/>
        <v/>
      </c>
      <c r="K246" s="240" t="str">
        <f t="shared" si="4"/>
        <v/>
      </c>
      <c r="L246" s="234"/>
      <c r="M246" s="220"/>
      <c r="N246" s="220"/>
      <c r="O246" s="220"/>
      <c r="P246" s="220"/>
      <c r="Q246" s="220"/>
      <c r="R246" s="220"/>
    </row>
    <row r="247">
      <c r="A247" s="220"/>
      <c r="B247" s="244"/>
      <c r="C247" s="245"/>
      <c r="D247" s="246"/>
      <c r="E247" s="235"/>
      <c r="F247" s="243"/>
      <c r="G247" s="234"/>
      <c r="H247" s="237" t="str">
        <f t="shared" si="10"/>
        <v/>
      </c>
      <c r="I247" s="238" t="str">
        <f t="shared" si="7"/>
        <v/>
      </c>
      <c r="J247" s="239" t="str">
        <f t="shared" si="3"/>
        <v/>
      </c>
      <c r="K247" s="240" t="str">
        <f t="shared" si="4"/>
        <v/>
      </c>
      <c r="L247" s="234"/>
      <c r="M247" s="220"/>
      <c r="N247" s="220"/>
      <c r="O247" s="220"/>
      <c r="P247" s="220"/>
      <c r="Q247" s="220"/>
      <c r="R247" s="220"/>
    </row>
    <row r="248">
      <c r="A248" s="220"/>
      <c r="B248" s="244"/>
      <c r="C248" s="245"/>
      <c r="D248" s="246"/>
      <c r="E248" s="235"/>
      <c r="F248" s="243"/>
      <c r="G248" s="234"/>
      <c r="H248" s="237" t="str">
        <f t="shared" si="10"/>
        <v/>
      </c>
      <c r="I248" s="238" t="str">
        <f t="shared" si="7"/>
        <v/>
      </c>
      <c r="J248" s="239" t="str">
        <f t="shared" si="3"/>
        <v/>
      </c>
      <c r="K248" s="240" t="str">
        <f t="shared" si="4"/>
        <v/>
      </c>
      <c r="L248" s="234"/>
      <c r="M248" s="220"/>
      <c r="N248" s="220"/>
      <c r="O248" s="220"/>
      <c r="P248" s="220"/>
      <c r="Q248" s="220"/>
      <c r="R248" s="220"/>
    </row>
    <row r="249">
      <c r="A249" s="220"/>
      <c r="B249" s="244"/>
      <c r="C249" s="245"/>
      <c r="D249" s="246"/>
      <c r="E249" s="235"/>
      <c r="F249" s="243"/>
      <c r="G249" s="234"/>
      <c r="H249" s="237" t="str">
        <f t="shared" si="10"/>
        <v/>
      </c>
      <c r="I249" s="238" t="str">
        <f t="shared" si="7"/>
        <v/>
      </c>
      <c r="J249" s="239" t="str">
        <f t="shared" si="3"/>
        <v/>
      </c>
      <c r="K249" s="240" t="str">
        <f t="shared" si="4"/>
        <v/>
      </c>
      <c r="L249" s="234"/>
      <c r="M249" s="220"/>
      <c r="N249" s="220"/>
      <c r="O249" s="220"/>
      <c r="P249" s="220"/>
      <c r="Q249" s="220"/>
      <c r="R249" s="220"/>
    </row>
    <row r="250">
      <c r="A250" s="220"/>
      <c r="B250" s="244"/>
      <c r="C250" s="245"/>
      <c r="D250" s="246"/>
      <c r="E250" s="235"/>
      <c r="F250" s="243"/>
      <c r="G250" s="234"/>
      <c r="H250" s="237" t="str">
        <f t="shared" si="10"/>
        <v/>
      </c>
      <c r="I250" s="238" t="str">
        <f t="shared" si="7"/>
        <v/>
      </c>
      <c r="J250" s="239" t="str">
        <f t="shared" si="3"/>
        <v/>
      </c>
      <c r="K250" s="240" t="str">
        <f t="shared" si="4"/>
        <v/>
      </c>
      <c r="L250" s="234"/>
      <c r="M250" s="220"/>
      <c r="N250" s="220"/>
      <c r="O250" s="220"/>
      <c r="P250" s="220"/>
      <c r="Q250" s="220"/>
      <c r="R250" s="220"/>
    </row>
    <row r="251">
      <c r="A251" s="220"/>
      <c r="B251" s="244"/>
      <c r="C251" s="245"/>
      <c r="D251" s="246"/>
      <c r="E251" s="235"/>
      <c r="F251" s="243"/>
      <c r="G251" s="234"/>
      <c r="H251" s="237" t="str">
        <f t="shared" si="10"/>
        <v/>
      </c>
      <c r="I251" s="238" t="str">
        <f t="shared" si="7"/>
        <v/>
      </c>
      <c r="J251" s="239" t="str">
        <f t="shared" si="3"/>
        <v/>
      </c>
      <c r="K251" s="240" t="str">
        <f t="shared" si="4"/>
        <v/>
      </c>
      <c r="L251" s="234"/>
      <c r="M251" s="220"/>
      <c r="N251" s="220"/>
      <c r="O251" s="220"/>
      <c r="P251" s="220"/>
      <c r="Q251" s="220"/>
      <c r="R251" s="220"/>
    </row>
    <row r="252">
      <c r="A252" s="220"/>
      <c r="B252" s="244"/>
      <c r="C252" s="245"/>
      <c r="D252" s="246"/>
      <c r="E252" s="235"/>
      <c r="F252" s="243"/>
      <c r="G252" s="234"/>
      <c r="H252" s="237" t="str">
        <f t="shared" si="10"/>
        <v/>
      </c>
      <c r="I252" s="238" t="str">
        <f t="shared" si="7"/>
        <v/>
      </c>
      <c r="J252" s="239" t="str">
        <f t="shared" si="3"/>
        <v/>
      </c>
      <c r="K252" s="240" t="str">
        <f t="shared" si="4"/>
        <v/>
      </c>
      <c r="L252" s="234"/>
      <c r="M252" s="220"/>
      <c r="N252" s="220"/>
      <c r="O252" s="220"/>
      <c r="P252" s="220"/>
      <c r="Q252" s="220"/>
      <c r="R252" s="220"/>
    </row>
    <row r="253">
      <c r="A253" s="220"/>
      <c r="B253" s="244"/>
      <c r="C253" s="245"/>
      <c r="D253" s="246"/>
      <c r="E253" s="235"/>
      <c r="F253" s="243"/>
      <c r="G253" s="234"/>
      <c r="H253" s="237" t="str">
        <f t="shared" si="10"/>
        <v/>
      </c>
      <c r="I253" s="238" t="str">
        <f t="shared" si="7"/>
        <v/>
      </c>
      <c r="J253" s="239" t="str">
        <f t="shared" si="3"/>
        <v/>
      </c>
      <c r="K253" s="240" t="str">
        <f t="shared" si="4"/>
        <v/>
      </c>
      <c r="L253" s="234"/>
      <c r="M253" s="220"/>
      <c r="N253" s="220"/>
      <c r="O253" s="220"/>
      <c r="P253" s="220"/>
      <c r="Q253" s="220"/>
      <c r="R253" s="220"/>
    </row>
    <row r="254">
      <c r="A254" s="220"/>
      <c r="B254" s="244"/>
      <c r="C254" s="245"/>
      <c r="D254" s="246"/>
      <c r="E254" s="235"/>
      <c r="F254" s="243"/>
      <c r="G254" s="234"/>
      <c r="H254" s="237" t="str">
        <f t="shared" si="10"/>
        <v/>
      </c>
      <c r="I254" s="238" t="str">
        <f t="shared" si="7"/>
        <v/>
      </c>
      <c r="J254" s="239" t="str">
        <f t="shared" si="3"/>
        <v/>
      </c>
      <c r="K254" s="240" t="str">
        <f t="shared" si="4"/>
        <v/>
      </c>
      <c r="L254" s="234"/>
      <c r="M254" s="220"/>
      <c r="N254" s="220"/>
      <c r="O254" s="220"/>
      <c r="P254" s="220"/>
      <c r="Q254" s="220"/>
      <c r="R254" s="220"/>
    </row>
    <row r="255">
      <c r="A255" s="220"/>
      <c r="B255" s="244"/>
      <c r="C255" s="245"/>
      <c r="D255" s="246"/>
      <c r="E255" s="235"/>
      <c r="F255" s="243"/>
      <c r="G255" s="234"/>
      <c r="H255" s="237" t="str">
        <f t="shared" si="10"/>
        <v/>
      </c>
      <c r="I255" s="238" t="str">
        <f t="shared" si="7"/>
        <v/>
      </c>
      <c r="J255" s="239" t="str">
        <f t="shared" si="3"/>
        <v/>
      </c>
      <c r="K255" s="240" t="str">
        <f t="shared" si="4"/>
        <v/>
      </c>
      <c r="L255" s="234"/>
      <c r="M255" s="220"/>
      <c r="N255" s="220"/>
      <c r="O255" s="220"/>
      <c r="P255" s="220"/>
      <c r="Q255" s="220"/>
      <c r="R255" s="220"/>
    </row>
    <row r="256">
      <c r="A256" s="220"/>
      <c r="B256" s="244"/>
      <c r="C256" s="245"/>
      <c r="D256" s="246"/>
      <c r="E256" s="235"/>
      <c r="F256" s="243"/>
      <c r="G256" s="234"/>
      <c r="H256" s="237" t="str">
        <f t="shared" si="10"/>
        <v/>
      </c>
      <c r="I256" s="238" t="str">
        <f t="shared" si="7"/>
        <v/>
      </c>
      <c r="J256" s="239" t="str">
        <f t="shared" si="3"/>
        <v/>
      </c>
      <c r="K256" s="240" t="str">
        <f t="shared" si="4"/>
        <v/>
      </c>
      <c r="L256" s="234"/>
      <c r="M256" s="220"/>
      <c r="N256" s="220"/>
      <c r="O256" s="220"/>
      <c r="P256" s="220"/>
      <c r="Q256" s="220"/>
      <c r="R256" s="220"/>
    </row>
    <row r="257">
      <c r="A257" s="220"/>
      <c r="B257" s="244"/>
      <c r="C257" s="245"/>
      <c r="D257" s="246"/>
      <c r="E257" s="235"/>
      <c r="F257" s="243"/>
      <c r="G257" s="234"/>
      <c r="H257" s="237" t="str">
        <f t="shared" si="10"/>
        <v/>
      </c>
      <c r="I257" s="238" t="str">
        <f t="shared" si="7"/>
        <v/>
      </c>
      <c r="J257" s="239" t="str">
        <f t="shared" si="3"/>
        <v/>
      </c>
      <c r="K257" s="240" t="str">
        <f t="shared" si="4"/>
        <v/>
      </c>
      <c r="L257" s="234"/>
      <c r="M257" s="220"/>
      <c r="N257" s="220"/>
      <c r="O257" s="220"/>
      <c r="P257" s="220"/>
      <c r="Q257" s="220"/>
      <c r="R257" s="220"/>
    </row>
    <row r="258">
      <c r="A258" s="220"/>
      <c r="B258" s="244"/>
      <c r="C258" s="245"/>
      <c r="D258" s="246"/>
      <c r="E258" s="235"/>
      <c r="F258" s="243"/>
      <c r="G258" s="234"/>
      <c r="H258" s="237" t="str">
        <f t="shared" si="10"/>
        <v/>
      </c>
      <c r="I258" s="238" t="str">
        <f t="shared" si="7"/>
        <v/>
      </c>
      <c r="J258" s="239" t="str">
        <f t="shared" si="3"/>
        <v/>
      </c>
      <c r="K258" s="240" t="str">
        <f t="shared" si="4"/>
        <v/>
      </c>
      <c r="L258" s="234"/>
      <c r="M258" s="220"/>
      <c r="N258" s="220"/>
      <c r="O258" s="220"/>
      <c r="P258" s="220"/>
      <c r="Q258" s="220"/>
      <c r="R258" s="220"/>
    </row>
    <row r="259">
      <c r="A259" s="220"/>
      <c r="B259" s="244"/>
      <c r="C259" s="245"/>
      <c r="D259" s="246"/>
      <c r="E259" s="235"/>
      <c r="F259" s="243"/>
      <c r="G259" s="234"/>
      <c r="H259" s="237" t="str">
        <f t="shared" si="10"/>
        <v/>
      </c>
      <c r="I259" s="238" t="str">
        <f t="shared" si="7"/>
        <v/>
      </c>
      <c r="J259" s="239" t="str">
        <f t="shared" si="3"/>
        <v/>
      </c>
      <c r="K259" s="240" t="str">
        <f t="shared" si="4"/>
        <v/>
      </c>
      <c r="L259" s="234"/>
      <c r="M259" s="220"/>
      <c r="N259" s="220"/>
      <c r="O259" s="220"/>
      <c r="P259" s="220"/>
      <c r="Q259" s="220"/>
      <c r="R259" s="220"/>
    </row>
    <row r="260">
      <c r="A260" s="220"/>
      <c r="B260" s="244"/>
      <c r="C260" s="245"/>
      <c r="D260" s="246"/>
      <c r="E260" s="235"/>
      <c r="F260" s="243"/>
      <c r="G260" s="234"/>
      <c r="H260" s="237" t="str">
        <f t="shared" si="10"/>
        <v/>
      </c>
      <c r="I260" s="238" t="str">
        <f t="shared" si="7"/>
        <v/>
      </c>
      <c r="J260" s="239" t="str">
        <f t="shared" si="3"/>
        <v/>
      </c>
      <c r="K260" s="240" t="str">
        <f t="shared" si="4"/>
        <v/>
      </c>
      <c r="L260" s="234"/>
      <c r="M260" s="220"/>
      <c r="N260" s="220"/>
      <c r="O260" s="220"/>
      <c r="P260" s="220"/>
      <c r="Q260" s="220"/>
      <c r="R260" s="220"/>
    </row>
    <row r="261">
      <c r="A261" s="220"/>
      <c r="B261" s="244"/>
      <c r="C261" s="245"/>
      <c r="D261" s="246"/>
      <c r="E261" s="235"/>
      <c r="F261" s="243"/>
      <c r="G261" s="234"/>
      <c r="H261" s="237" t="str">
        <f t="shared" si="10"/>
        <v/>
      </c>
      <c r="I261" s="238" t="str">
        <f t="shared" si="7"/>
        <v/>
      </c>
      <c r="J261" s="239" t="str">
        <f t="shared" si="3"/>
        <v/>
      </c>
      <c r="K261" s="240" t="str">
        <f t="shared" si="4"/>
        <v/>
      </c>
      <c r="L261" s="234"/>
      <c r="M261" s="220"/>
      <c r="N261" s="220"/>
      <c r="O261" s="220"/>
      <c r="P261" s="220"/>
      <c r="Q261" s="220"/>
      <c r="R261" s="220"/>
    </row>
    <row r="262">
      <c r="A262" s="220"/>
      <c r="B262" s="244"/>
      <c r="C262" s="245"/>
      <c r="D262" s="246"/>
      <c r="E262" s="235"/>
      <c r="F262" s="243"/>
      <c r="G262" s="234"/>
      <c r="H262" s="237" t="str">
        <f t="shared" si="10"/>
        <v/>
      </c>
      <c r="I262" s="238" t="str">
        <f t="shared" si="7"/>
        <v/>
      </c>
      <c r="J262" s="239" t="str">
        <f t="shared" si="3"/>
        <v/>
      </c>
      <c r="K262" s="240" t="str">
        <f t="shared" si="4"/>
        <v/>
      </c>
      <c r="L262" s="234"/>
      <c r="M262" s="220"/>
      <c r="N262" s="220"/>
      <c r="O262" s="220"/>
      <c r="P262" s="220"/>
      <c r="Q262" s="220"/>
      <c r="R262" s="220"/>
    </row>
    <row r="263">
      <c r="A263" s="220"/>
      <c r="B263" s="244"/>
      <c r="C263" s="245"/>
      <c r="D263" s="246"/>
      <c r="E263" s="235"/>
      <c r="F263" s="243"/>
      <c r="G263" s="234"/>
      <c r="H263" s="237" t="str">
        <f t="shared" si="10"/>
        <v/>
      </c>
      <c r="I263" s="238" t="str">
        <f t="shared" si="7"/>
        <v/>
      </c>
      <c r="J263" s="239" t="str">
        <f t="shared" si="3"/>
        <v/>
      </c>
      <c r="K263" s="240" t="str">
        <f t="shared" si="4"/>
        <v/>
      </c>
      <c r="L263" s="234"/>
      <c r="M263" s="220"/>
      <c r="N263" s="220"/>
      <c r="O263" s="220"/>
      <c r="P263" s="220"/>
      <c r="Q263" s="220"/>
      <c r="R263" s="220"/>
    </row>
    <row r="264">
      <c r="A264" s="220"/>
      <c r="B264" s="244"/>
      <c r="C264" s="245"/>
      <c r="D264" s="246"/>
      <c r="E264" s="235"/>
      <c r="F264" s="243"/>
      <c r="G264" s="234"/>
      <c r="H264" s="237" t="str">
        <f t="shared" si="10"/>
        <v/>
      </c>
      <c r="I264" s="238" t="str">
        <f t="shared" si="7"/>
        <v/>
      </c>
      <c r="J264" s="239" t="str">
        <f t="shared" si="3"/>
        <v/>
      </c>
      <c r="K264" s="240" t="str">
        <f t="shared" si="4"/>
        <v/>
      </c>
      <c r="L264" s="234"/>
      <c r="M264" s="220"/>
      <c r="N264" s="220"/>
      <c r="O264" s="220"/>
      <c r="P264" s="220"/>
      <c r="Q264" s="220"/>
      <c r="R264" s="220"/>
    </row>
    <row r="265">
      <c r="A265" s="220"/>
      <c r="B265" s="244"/>
      <c r="C265" s="245"/>
      <c r="D265" s="246"/>
      <c r="E265" s="235"/>
      <c r="F265" s="243"/>
      <c r="G265" s="234"/>
      <c r="H265" s="237" t="str">
        <f t="shared" si="10"/>
        <v/>
      </c>
      <c r="I265" s="238" t="str">
        <f t="shared" si="7"/>
        <v/>
      </c>
      <c r="J265" s="239" t="str">
        <f t="shared" si="3"/>
        <v/>
      </c>
      <c r="K265" s="240" t="str">
        <f t="shared" si="4"/>
        <v/>
      </c>
      <c r="L265" s="234"/>
      <c r="M265" s="220"/>
      <c r="N265" s="220"/>
      <c r="O265" s="220"/>
      <c r="P265" s="220"/>
      <c r="Q265" s="220"/>
      <c r="R265" s="220"/>
    </row>
    <row r="266">
      <c r="A266" s="220"/>
      <c r="B266" s="244"/>
      <c r="C266" s="245"/>
      <c r="D266" s="246"/>
      <c r="E266" s="235"/>
      <c r="F266" s="243"/>
      <c r="G266" s="234"/>
      <c r="H266" s="237" t="str">
        <f t="shared" si="10"/>
        <v/>
      </c>
      <c r="I266" s="238" t="str">
        <f t="shared" si="7"/>
        <v/>
      </c>
      <c r="J266" s="239" t="str">
        <f t="shared" si="3"/>
        <v/>
      </c>
      <c r="K266" s="240" t="str">
        <f t="shared" si="4"/>
        <v/>
      </c>
      <c r="L266" s="234"/>
      <c r="M266" s="220"/>
      <c r="N266" s="220"/>
      <c r="O266" s="220"/>
      <c r="P266" s="220"/>
      <c r="Q266" s="220"/>
      <c r="R266" s="220"/>
    </row>
    <row r="267">
      <c r="A267" s="220"/>
      <c r="B267" s="244"/>
      <c r="C267" s="245"/>
      <c r="D267" s="246"/>
      <c r="E267" s="235"/>
      <c r="F267" s="243"/>
      <c r="G267" s="234"/>
      <c r="H267" s="237" t="str">
        <f t="shared" si="10"/>
        <v/>
      </c>
      <c r="I267" s="238" t="str">
        <f t="shared" si="7"/>
        <v/>
      </c>
      <c r="J267" s="239" t="str">
        <f t="shared" si="3"/>
        <v/>
      </c>
      <c r="K267" s="240" t="str">
        <f t="shared" si="4"/>
        <v/>
      </c>
      <c r="L267" s="234"/>
      <c r="M267" s="220"/>
      <c r="N267" s="220"/>
      <c r="O267" s="220"/>
      <c r="P267" s="220"/>
      <c r="Q267" s="220"/>
      <c r="R267" s="220"/>
    </row>
    <row r="268">
      <c r="A268" s="220"/>
      <c r="B268" s="244"/>
      <c r="C268" s="245"/>
      <c r="D268" s="246"/>
      <c r="E268" s="235"/>
      <c r="F268" s="243"/>
      <c r="G268" s="234"/>
      <c r="H268" s="237" t="str">
        <f t="shared" si="10"/>
        <v/>
      </c>
      <c r="I268" s="238" t="str">
        <f t="shared" si="7"/>
        <v/>
      </c>
      <c r="J268" s="239" t="str">
        <f t="shared" si="3"/>
        <v/>
      </c>
      <c r="K268" s="240" t="str">
        <f t="shared" si="4"/>
        <v/>
      </c>
      <c r="L268" s="234"/>
      <c r="M268" s="220"/>
      <c r="N268" s="220"/>
      <c r="O268" s="220"/>
      <c r="P268" s="220"/>
      <c r="Q268" s="220"/>
      <c r="R268" s="220"/>
    </row>
    <row r="269">
      <c r="A269" s="220"/>
      <c r="B269" s="244"/>
      <c r="C269" s="245"/>
      <c r="D269" s="246"/>
      <c r="E269" s="235"/>
      <c r="F269" s="243"/>
      <c r="G269" s="234"/>
      <c r="H269" s="237" t="str">
        <f t="shared" si="10"/>
        <v/>
      </c>
      <c r="I269" s="238" t="str">
        <f t="shared" si="7"/>
        <v/>
      </c>
      <c r="J269" s="239" t="str">
        <f t="shared" si="3"/>
        <v/>
      </c>
      <c r="K269" s="240" t="str">
        <f t="shared" si="4"/>
        <v/>
      </c>
      <c r="L269" s="234"/>
      <c r="M269" s="220"/>
      <c r="N269" s="220"/>
      <c r="O269" s="220"/>
      <c r="P269" s="220"/>
      <c r="Q269" s="220"/>
      <c r="R269" s="220"/>
    </row>
    <row r="270">
      <c r="A270" s="220"/>
      <c r="B270" s="244"/>
      <c r="C270" s="245"/>
      <c r="D270" s="246"/>
      <c r="E270" s="235"/>
      <c r="F270" s="243"/>
      <c r="G270" s="234"/>
      <c r="H270" s="237" t="str">
        <f t="shared" si="10"/>
        <v/>
      </c>
      <c r="I270" s="238" t="str">
        <f t="shared" si="7"/>
        <v/>
      </c>
      <c r="J270" s="239" t="str">
        <f t="shared" si="3"/>
        <v/>
      </c>
      <c r="K270" s="240" t="str">
        <f t="shared" si="4"/>
        <v/>
      </c>
      <c r="L270" s="234"/>
      <c r="M270" s="220"/>
      <c r="N270" s="220"/>
      <c r="O270" s="220"/>
      <c r="P270" s="220"/>
      <c r="Q270" s="220"/>
      <c r="R270" s="220"/>
    </row>
    <row r="271">
      <c r="A271" s="220"/>
      <c r="B271" s="244"/>
      <c r="C271" s="245"/>
      <c r="D271" s="246"/>
      <c r="E271" s="235"/>
      <c r="F271" s="243"/>
      <c r="G271" s="234"/>
      <c r="H271" s="237" t="str">
        <f t="shared" si="10"/>
        <v/>
      </c>
      <c r="I271" s="238" t="str">
        <f t="shared" si="7"/>
        <v/>
      </c>
      <c r="J271" s="239" t="str">
        <f t="shared" si="3"/>
        <v/>
      </c>
      <c r="K271" s="240" t="str">
        <f t="shared" si="4"/>
        <v/>
      </c>
      <c r="L271" s="234"/>
      <c r="M271" s="220"/>
      <c r="N271" s="220"/>
      <c r="O271" s="220"/>
      <c r="P271" s="220"/>
      <c r="Q271" s="220"/>
      <c r="R271" s="220"/>
    </row>
    <row r="272">
      <c r="A272" s="220"/>
      <c r="B272" s="244"/>
      <c r="C272" s="245"/>
      <c r="D272" s="246"/>
      <c r="E272" s="235"/>
      <c r="F272" s="243"/>
      <c r="G272" s="234"/>
      <c r="H272" s="237" t="str">
        <f t="shared" si="10"/>
        <v/>
      </c>
      <c r="I272" s="238" t="str">
        <f t="shared" si="7"/>
        <v/>
      </c>
      <c r="J272" s="239" t="str">
        <f t="shared" si="3"/>
        <v/>
      </c>
      <c r="K272" s="240" t="str">
        <f t="shared" si="4"/>
        <v/>
      </c>
      <c r="L272" s="234"/>
      <c r="M272" s="220"/>
      <c r="N272" s="220"/>
      <c r="O272" s="220"/>
      <c r="P272" s="220"/>
      <c r="Q272" s="220"/>
      <c r="R272" s="220"/>
    </row>
    <row r="273">
      <c r="A273" s="220"/>
      <c r="B273" s="244"/>
      <c r="C273" s="245"/>
      <c r="D273" s="246"/>
      <c r="E273" s="235"/>
      <c r="F273" s="243"/>
      <c r="G273" s="234"/>
      <c r="H273" s="237" t="str">
        <f t="shared" si="10"/>
        <v/>
      </c>
      <c r="I273" s="238" t="str">
        <f t="shared" si="7"/>
        <v/>
      </c>
      <c r="J273" s="239" t="str">
        <f t="shared" si="3"/>
        <v/>
      </c>
      <c r="K273" s="240" t="str">
        <f t="shared" si="4"/>
        <v/>
      </c>
      <c r="L273" s="234"/>
      <c r="M273" s="220"/>
      <c r="N273" s="220"/>
      <c r="O273" s="220"/>
      <c r="P273" s="220"/>
      <c r="Q273" s="220"/>
      <c r="R273" s="220"/>
    </row>
    <row r="274">
      <c r="A274" s="220"/>
      <c r="B274" s="244"/>
      <c r="C274" s="245"/>
      <c r="D274" s="246"/>
      <c r="E274" s="235"/>
      <c r="F274" s="243"/>
      <c r="G274" s="234"/>
      <c r="H274" s="237" t="str">
        <f t="shared" si="10"/>
        <v/>
      </c>
      <c r="I274" s="238" t="str">
        <f t="shared" si="7"/>
        <v/>
      </c>
      <c r="J274" s="239" t="str">
        <f t="shared" si="3"/>
        <v/>
      </c>
      <c r="K274" s="240" t="str">
        <f t="shared" si="4"/>
        <v/>
      </c>
      <c r="L274" s="234"/>
      <c r="M274" s="220"/>
      <c r="N274" s="220"/>
      <c r="O274" s="220"/>
      <c r="P274" s="220"/>
      <c r="Q274" s="220"/>
      <c r="R274" s="220"/>
    </row>
    <row r="275">
      <c r="A275" s="220"/>
      <c r="B275" s="244"/>
      <c r="C275" s="245"/>
      <c r="D275" s="246"/>
      <c r="E275" s="235"/>
      <c r="F275" s="243"/>
      <c r="G275" s="234"/>
      <c r="H275" s="237" t="str">
        <f t="shared" si="10"/>
        <v/>
      </c>
      <c r="I275" s="238" t="str">
        <f t="shared" si="7"/>
        <v/>
      </c>
      <c r="J275" s="239" t="str">
        <f t="shared" si="3"/>
        <v/>
      </c>
      <c r="K275" s="240" t="str">
        <f t="shared" si="4"/>
        <v/>
      </c>
      <c r="L275" s="234"/>
      <c r="M275" s="220"/>
      <c r="N275" s="220"/>
      <c r="O275" s="220"/>
      <c r="P275" s="220"/>
      <c r="Q275" s="220"/>
      <c r="R275" s="220"/>
    </row>
    <row r="276">
      <c r="A276" s="220"/>
      <c r="B276" s="244"/>
      <c r="C276" s="245"/>
      <c r="D276" s="246"/>
      <c r="E276" s="235"/>
      <c r="F276" s="243"/>
      <c r="G276" s="234"/>
      <c r="H276" s="237" t="str">
        <f t="shared" si="10"/>
        <v/>
      </c>
      <c r="I276" s="238" t="str">
        <f t="shared" si="7"/>
        <v/>
      </c>
      <c r="J276" s="239" t="str">
        <f t="shared" si="3"/>
        <v/>
      </c>
      <c r="K276" s="240" t="str">
        <f t="shared" si="4"/>
        <v/>
      </c>
      <c r="L276" s="234"/>
      <c r="M276" s="220"/>
      <c r="N276" s="220"/>
      <c r="O276" s="220"/>
      <c r="P276" s="220"/>
      <c r="Q276" s="220"/>
      <c r="R276" s="220"/>
    </row>
    <row r="277">
      <c r="A277" s="220"/>
      <c r="B277" s="244"/>
      <c r="C277" s="245"/>
      <c r="D277" s="246"/>
      <c r="E277" s="235"/>
      <c r="F277" s="243"/>
      <c r="G277" s="234"/>
      <c r="H277" s="237" t="str">
        <f t="shared" si="10"/>
        <v/>
      </c>
      <c r="I277" s="238" t="str">
        <f t="shared" si="7"/>
        <v/>
      </c>
      <c r="J277" s="239" t="str">
        <f t="shared" si="3"/>
        <v/>
      </c>
      <c r="K277" s="240" t="str">
        <f t="shared" si="4"/>
        <v/>
      </c>
      <c r="L277" s="234"/>
      <c r="M277" s="220"/>
      <c r="N277" s="220"/>
      <c r="O277" s="220"/>
      <c r="P277" s="220"/>
      <c r="Q277" s="220"/>
      <c r="R277" s="220"/>
    </row>
    <row r="278">
      <c r="A278" s="220"/>
      <c r="B278" s="244"/>
      <c r="C278" s="245"/>
      <c r="D278" s="246"/>
      <c r="E278" s="235"/>
      <c r="F278" s="243"/>
      <c r="G278" s="234"/>
      <c r="H278" s="237" t="str">
        <f t="shared" si="10"/>
        <v/>
      </c>
      <c r="I278" s="238" t="str">
        <f t="shared" si="7"/>
        <v/>
      </c>
      <c r="J278" s="239" t="str">
        <f t="shared" si="3"/>
        <v/>
      </c>
      <c r="K278" s="240" t="str">
        <f t="shared" si="4"/>
        <v/>
      </c>
      <c r="L278" s="234"/>
      <c r="M278" s="220"/>
      <c r="N278" s="220"/>
      <c r="O278" s="220"/>
      <c r="P278" s="220"/>
      <c r="Q278" s="220"/>
      <c r="R278" s="220"/>
    </row>
    <row r="279">
      <c r="A279" s="220"/>
      <c r="B279" s="244"/>
      <c r="C279" s="234"/>
      <c r="D279" s="234"/>
      <c r="E279" s="235"/>
      <c r="F279" s="243"/>
      <c r="G279" s="234"/>
      <c r="H279" s="237" t="str">
        <f t="shared" si="10"/>
        <v/>
      </c>
      <c r="I279" s="238" t="str">
        <f t="shared" si="7"/>
        <v/>
      </c>
      <c r="J279" s="239" t="str">
        <f t="shared" si="3"/>
        <v/>
      </c>
      <c r="K279" s="240" t="str">
        <f t="shared" si="4"/>
        <v/>
      </c>
      <c r="L279" s="234"/>
      <c r="M279" s="220"/>
      <c r="N279" s="220"/>
      <c r="O279" s="220"/>
      <c r="P279" s="220"/>
      <c r="Q279" s="220"/>
      <c r="R279" s="220"/>
    </row>
    <row r="280">
      <c r="A280" s="220"/>
      <c r="B280" s="244"/>
      <c r="C280" s="245"/>
      <c r="D280" s="246"/>
      <c r="E280" s="235"/>
      <c r="F280" s="243"/>
      <c r="G280" s="234"/>
      <c r="H280" s="237" t="str">
        <f t="shared" si="10"/>
        <v/>
      </c>
      <c r="I280" s="238" t="str">
        <f t="shared" si="7"/>
        <v/>
      </c>
      <c r="J280" s="239" t="str">
        <f t="shared" si="3"/>
        <v/>
      </c>
      <c r="K280" s="240" t="str">
        <f t="shared" si="4"/>
        <v/>
      </c>
      <c r="L280" s="234"/>
      <c r="M280" s="220"/>
      <c r="N280" s="220"/>
      <c r="O280" s="220"/>
      <c r="P280" s="220"/>
      <c r="Q280" s="220"/>
      <c r="R280" s="220"/>
    </row>
    <row r="281">
      <c r="A281" s="220"/>
      <c r="B281" s="244"/>
      <c r="C281" s="245"/>
      <c r="D281" s="246"/>
      <c r="E281" s="235"/>
      <c r="F281" s="243"/>
      <c r="G281" s="234"/>
      <c r="H281" s="237" t="str">
        <f t="shared" si="10"/>
        <v/>
      </c>
      <c r="I281" s="238" t="str">
        <f t="shared" si="7"/>
        <v/>
      </c>
      <c r="J281" s="239" t="str">
        <f t="shared" si="3"/>
        <v/>
      </c>
      <c r="K281" s="240" t="str">
        <f t="shared" si="4"/>
        <v/>
      </c>
      <c r="L281" s="234"/>
      <c r="M281" s="220"/>
      <c r="N281" s="220"/>
      <c r="O281" s="220"/>
      <c r="P281" s="220"/>
      <c r="Q281" s="220"/>
      <c r="R281" s="220"/>
    </row>
    <row r="282">
      <c r="A282" s="220"/>
      <c r="B282" s="244"/>
      <c r="C282" s="245"/>
      <c r="D282" s="246"/>
      <c r="E282" s="235"/>
      <c r="F282" s="243"/>
      <c r="G282" s="234"/>
      <c r="H282" s="237" t="str">
        <f t="shared" si="10"/>
        <v/>
      </c>
      <c r="I282" s="238" t="str">
        <f t="shared" si="7"/>
        <v/>
      </c>
      <c r="J282" s="239" t="str">
        <f t="shared" si="3"/>
        <v/>
      </c>
      <c r="K282" s="240" t="str">
        <f t="shared" si="4"/>
        <v/>
      </c>
      <c r="L282" s="234"/>
      <c r="M282" s="220"/>
      <c r="N282" s="220"/>
      <c r="O282" s="220"/>
      <c r="P282" s="220"/>
      <c r="Q282" s="220"/>
      <c r="R282" s="220"/>
    </row>
    <row r="283">
      <c r="A283" s="220"/>
      <c r="B283" s="244"/>
      <c r="C283" s="245"/>
      <c r="D283" s="246"/>
      <c r="E283" s="235"/>
      <c r="F283" s="243"/>
      <c r="G283" s="234"/>
      <c r="H283" s="237" t="str">
        <f t="shared" si="10"/>
        <v/>
      </c>
      <c r="I283" s="238" t="str">
        <f t="shared" si="7"/>
        <v/>
      </c>
      <c r="J283" s="239" t="str">
        <f t="shared" si="3"/>
        <v/>
      </c>
      <c r="K283" s="240" t="str">
        <f t="shared" si="4"/>
        <v/>
      </c>
      <c r="L283" s="234"/>
      <c r="M283" s="220"/>
      <c r="N283" s="220"/>
      <c r="O283" s="220"/>
      <c r="P283" s="220"/>
      <c r="Q283" s="220"/>
      <c r="R283" s="220"/>
    </row>
    <row r="284">
      <c r="A284" s="220"/>
      <c r="B284" s="244"/>
      <c r="C284" s="245"/>
      <c r="D284" s="246"/>
      <c r="E284" s="235"/>
      <c r="F284" s="243"/>
      <c r="G284" s="234"/>
      <c r="H284" s="237" t="str">
        <f t="shared" si="10"/>
        <v/>
      </c>
      <c r="I284" s="238" t="str">
        <f t="shared" si="7"/>
        <v/>
      </c>
      <c r="J284" s="239" t="str">
        <f t="shared" si="3"/>
        <v/>
      </c>
      <c r="K284" s="240" t="str">
        <f t="shared" si="4"/>
        <v/>
      </c>
      <c r="L284" s="234"/>
      <c r="M284" s="220"/>
      <c r="N284" s="220"/>
      <c r="O284" s="220"/>
      <c r="P284" s="220"/>
      <c r="Q284" s="220"/>
      <c r="R284" s="220"/>
    </row>
    <row r="285">
      <c r="A285" s="220"/>
      <c r="B285" s="244"/>
      <c r="C285" s="245"/>
      <c r="D285" s="246"/>
      <c r="E285" s="235"/>
      <c r="F285" s="243"/>
      <c r="G285" s="234"/>
      <c r="H285" s="237" t="str">
        <f t="shared" si="10"/>
        <v/>
      </c>
      <c r="I285" s="238" t="str">
        <f t="shared" si="7"/>
        <v/>
      </c>
      <c r="J285" s="239" t="str">
        <f t="shared" si="3"/>
        <v/>
      </c>
      <c r="K285" s="240" t="str">
        <f t="shared" si="4"/>
        <v/>
      </c>
      <c r="L285" s="234"/>
      <c r="M285" s="220"/>
      <c r="N285" s="220"/>
      <c r="O285" s="220"/>
      <c r="P285" s="220"/>
      <c r="Q285" s="220"/>
      <c r="R285" s="220"/>
    </row>
    <row r="286">
      <c r="A286" s="220"/>
      <c r="B286" s="244"/>
      <c r="C286" s="245"/>
      <c r="D286" s="246"/>
      <c r="E286" s="235"/>
      <c r="F286" s="243"/>
      <c r="G286" s="234"/>
      <c r="H286" s="237" t="str">
        <f t="shared" si="10"/>
        <v/>
      </c>
      <c r="I286" s="238" t="str">
        <f t="shared" si="7"/>
        <v/>
      </c>
      <c r="J286" s="239" t="str">
        <f t="shared" si="3"/>
        <v/>
      </c>
      <c r="K286" s="240" t="str">
        <f t="shared" si="4"/>
        <v/>
      </c>
      <c r="L286" s="234"/>
      <c r="M286" s="220"/>
      <c r="N286" s="220"/>
      <c r="O286" s="220"/>
      <c r="P286" s="220"/>
      <c r="Q286" s="220"/>
      <c r="R286" s="220"/>
    </row>
    <row r="287">
      <c r="A287" s="220"/>
      <c r="B287" s="244"/>
      <c r="C287" s="245"/>
      <c r="D287" s="246"/>
      <c r="E287" s="235"/>
      <c r="F287" s="243"/>
      <c r="G287" s="234"/>
      <c r="H287" s="237" t="str">
        <f t="shared" si="10"/>
        <v/>
      </c>
      <c r="I287" s="238" t="str">
        <f t="shared" si="7"/>
        <v/>
      </c>
      <c r="J287" s="239" t="str">
        <f t="shared" si="3"/>
        <v/>
      </c>
      <c r="K287" s="240" t="str">
        <f t="shared" si="4"/>
        <v/>
      </c>
      <c r="L287" s="234"/>
      <c r="M287" s="220"/>
      <c r="N287" s="220"/>
      <c r="O287" s="220"/>
      <c r="P287" s="220"/>
      <c r="Q287" s="220"/>
      <c r="R287" s="220"/>
    </row>
    <row r="288">
      <c r="A288" s="220"/>
      <c r="B288" s="244"/>
      <c r="C288" s="245"/>
      <c r="D288" s="246"/>
      <c r="E288" s="235"/>
      <c r="F288" s="243"/>
      <c r="G288" s="234"/>
      <c r="H288" s="237" t="str">
        <f t="shared" si="10"/>
        <v/>
      </c>
      <c r="I288" s="238" t="str">
        <f t="shared" si="7"/>
        <v/>
      </c>
      <c r="J288" s="239" t="str">
        <f t="shared" si="3"/>
        <v/>
      </c>
      <c r="K288" s="240" t="str">
        <f t="shared" si="4"/>
        <v/>
      </c>
      <c r="L288" s="234"/>
      <c r="M288" s="220"/>
      <c r="N288" s="220"/>
      <c r="O288" s="220"/>
      <c r="P288" s="220"/>
      <c r="Q288" s="220"/>
      <c r="R288" s="220"/>
    </row>
    <row r="289">
      <c r="A289" s="220"/>
      <c r="B289" s="244"/>
      <c r="C289" s="245"/>
      <c r="D289" s="246"/>
      <c r="E289" s="235"/>
      <c r="F289" s="243"/>
      <c r="G289" s="234"/>
      <c r="H289" s="237" t="str">
        <f t="shared" si="10"/>
        <v/>
      </c>
      <c r="I289" s="238" t="str">
        <f t="shared" si="7"/>
        <v/>
      </c>
      <c r="J289" s="239" t="str">
        <f t="shared" si="3"/>
        <v/>
      </c>
      <c r="K289" s="240" t="str">
        <f t="shared" si="4"/>
        <v/>
      </c>
      <c r="L289" s="234"/>
      <c r="M289" s="220"/>
      <c r="N289" s="220"/>
      <c r="O289" s="220"/>
      <c r="P289" s="220"/>
      <c r="Q289" s="220"/>
      <c r="R289" s="220"/>
    </row>
    <row r="290">
      <c r="A290" s="220"/>
      <c r="B290" s="244"/>
      <c r="C290" s="245"/>
      <c r="D290" s="246"/>
      <c r="E290" s="235"/>
      <c r="F290" s="243"/>
      <c r="G290" s="234"/>
      <c r="H290" s="237" t="str">
        <f t="shared" si="10"/>
        <v/>
      </c>
      <c r="I290" s="238" t="str">
        <f t="shared" si="7"/>
        <v/>
      </c>
      <c r="J290" s="239" t="str">
        <f t="shared" si="3"/>
        <v/>
      </c>
      <c r="K290" s="240" t="str">
        <f t="shared" si="4"/>
        <v/>
      </c>
      <c r="L290" s="234"/>
      <c r="M290" s="220"/>
      <c r="N290" s="220"/>
      <c r="O290" s="220"/>
      <c r="P290" s="220"/>
      <c r="Q290" s="220"/>
      <c r="R290" s="220"/>
    </row>
    <row r="291">
      <c r="A291" s="220"/>
      <c r="B291" s="244"/>
      <c r="C291" s="245"/>
      <c r="D291" s="246"/>
      <c r="E291" s="235"/>
      <c r="F291" s="243"/>
      <c r="G291" s="234"/>
      <c r="H291" s="237" t="str">
        <f t="shared" si="10"/>
        <v/>
      </c>
      <c r="I291" s="238" t="str">
        <f t="shared" si="7"/>
        <v/>
      </c>
      <c r="J291" s="239" t="str">
        <f t="shared" si="3"/>
        <v/>
      </c>
      <c r="K291" s="240" t="str">
        <f t="shared" si="4"/>
        <v/>
      </c>
      <c r="L291" s="234"/>
      <c r="M291" s="220"/>
      <c r="N291" s="220"/>
      <c r="O291" s="220"/>
      <c r="P291" s="220"/>
      <c r="Q291" s="220"/>
      <c r="R291" s="220"/>
    </row>
    <row r="292">
      <c r="A292" s="220"/>
      <c r="B292" s="220"/>
      <c r="C292" s="224"/>
      <c r="D292" s="224"/>
      <c r="E292" s="242"/>
      <c r="F292" s="242"/>
      <c r="G292" s="224"/>
      <c r="H292" s="242"/>
      <c r="I292" s="242"/>
      <c r="J292" s="224"/>
      <c r="K292" s="247" t="str">
        <f>if(J292="YES",F292,"")</f>
        <v/>
      </c>
      <c r="L292" s="248" t="str">
        <f>if(G292="","", date(year(G292),month(G292),1))</f>
        <v/>
      </c>
      <c r="M292" s="220"/>
      <c r="N292" s="220"/>
      <c r="O292" s="220"/>
      <c r="P292" s="220"/>
      <c r="Q292" s="220"/>
      <c r="R292" s="220"/>
    </row>
  </sheetData>
  <mergeCells count="2">
    <mergeCell ref="O1:P1"/>
    <mergeCell ref="Q1:R1"/>
  </mergeCells>
  <conditionalFormatting sqref="J3:J292">
    <cfRule type="containsText" dxfId="11" priority="1" operator="containsText" text="YES">
      <formula>NOT(ISERROR(SEARCH(("YES"),(J3))))</formula>
    </cfRule>
  </conditionalFormatting>
  <conditionalFormatting sqref="J3:J292">
    <cfRule type="containsText" dxfId="12" priority="2" operator="containsText" text="NO">
      <formula>NOT(ISERROR(SEARCH(("NO"),(J3))))</formula>
    </cfRule>
  </conditionalFormatting>
  <dataValidations>
    <dataValidation type="list" allowBlank="1" showErrorMessage="1" sqref="E3:E291">
      <formula1>"Lump sum,Accelerator"</formula1>
    </dataValidation>
    <dataValidation type="list" allowBlank="1" showErrorMessage="1" sqref="D3:D291">
      <formula1>'B&amp;I'!$N$3:$N$21</formula1>
    </dataValidation>
    <dataValidation type="list" allowBlank="1" showErrorMessage="1" sqref="C3:C291">
      <formula1>"MRR,DEMOs,Other"</formula1>
    </dataValidation>
    <dataValidation type="list" allowBlank="1" showErrorMessage="1" sqref="G3:G291 L3:L291">
      <formula1>'Business Plan'!$E$3:$P$3</formula1>
    </dataValidation>
  </dataValidations>
  <drawing r:id="rId1"/>
  <tableParts count="3">
    <tablePart r:id="rId5"/>
    <tablePart r:id="rId6"/>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0.38"/>
    <col customWidth="1" min="2" max="2" width="1.25"/>
    <col customWidth="1" min="3" max="3" width="24.25"/>
    <col customWidth="1" min="4" max="15" width="13.0"/>
    <col customWidth="1" min="16" max="16" width="2.25"/>
    <col customWidth="1" min="17" max="21" width="13.0"/>
    <col customWidth="1" min="22" max="22" width="1.63"/>
  </cols>
  <sheetData>
    <row r="1" ht="7.5" customHeight="1">
      <c r="A1" s="249"/>
      <c r="B1" s="249"/>
      <c r="C1" s="249"/>
      <c r="D1" s="250">
        <v>46023.0</v>
      </c>
      <c r="E1" s="250">
        <v>46024.0</v>
      </c>
      <c r="F1" s="250">
        <v>46025.0</v>
      </c>
      <c r="G1" s="250">
        <v>46026.0</v>
      </c>
      <c r="H1" s="250">
        <v>46027.0</v>
      </c>
      <c r="I1" s="250">
        <v>46028.0</v>
      </c>
      <c r="J1" s="250">
        <v>46029.0</v>
      </c>
      <c r="K1" s="250">
        <v>46030.0</v>
      </c>
      <c r="L1" s="250">
        <v>46031.0</v>
      </c>
      <c r="M1" s="250">
        <v>46032.0</v>
      </c>
      <c r="N1" s="250">
        <v>46033.0</v>
      </c>
      <c r="O1" s="250">
        <v>46034.0</v>
      </c>
      <c r="P1" s="152"/>
      <c r="Q1" s="152"/>
      <c r="R1" s="152"/>
      <c r="S1" s="152"/>
      <c r="T1" s="152"/>
      <c r="U1" s="152"/>
      <c r="V1" s="30"/>
    </row>
    <row r="2" ht="13.5" customHeight="1">
      <c r="A2" s="31"/>
      <c r="B2" s="31"/>
      <c r="C2" s="32" t="s">
        <v>175</v>
      </c>
      <c r="D2" s="33" t="s">
        <v>25</v>
      </c>
      <c r="F2" s="34"/>
      <c r="G2" s="35" t="s">
        <v>26</v>
      </c>
      <c r="I2" s="34"/>
      <c r="J2" s="35" t="s">
        <v>27</v>
      </c>
      <c r="L2" s="34"/>
      <c r="M2" s="35" t="s">
        <v>28</v>
      </c>
      <c r="P2" s="36"/>
      <c r="Q2" s="37" t="s">
        <v>25</v>
      </c>
      <c r="R2" s="38" t="s">
        <v>26</v>
      </c>
      <c r="S2" s="38" t="s">
        <v>27</v>
      </c>
      <c r="T2" s="38" t="s">
        <v>28</v>
      </c>
      <c r="U2" s="38" t="s">
        <v>58</v>
      </c>
      <c r="V2" s="36"/>
    </row>
    <row r="3" ht="16.5" customHeight="1">
      <c r="A3" s="31"/>
      <c r="B3" s="31"/>
      <c r="D3" s="40" t="s">
        <v>31</v>
      </c>
      <c r="E3" s="40" t="s">
        <v>32</v>
      </c>
      <c r="F3" s="41" t="s">
        <v>33</v>
      </c>
      <c r="G3" s="42" t="s">
        <v>34</v>
      </c>
      <c r="H3" s="40" t="s">
        <v>35</v>
      </c>
      <c r="I3" s="41" t="s">
        <v>36</v>
      </c>
      <c r="J3" s="42" t="s">
        <v>37</v>
      </c>
      <c r="K3" s="40" t="s">
        <v>38</v>
      </c>
      <c r="L3" s="41" t="s">
        <v>39</v>
      </c>
      <c r="M3" s="42" t="s">
        <v>40</v>
      </c>
      <c r="N3" s="40" t="s">
        <v>41</v>
      </c>
      <c r="O3" s="40" t="s">
        <v>42</v>
      </c>
      <c r="P3" s="36"/>
      <c r="Q3" s="43"/>
      <c r="R3" s="44"/>
      <c r="S3" s="44"/>
      <c r="T3" s="44"/>
      <c r="U3" s="44"/>
      <c r="V3" s="36"/>
    </row>
    <row r="4" ht="20.25" customHeight="1">
      <c r="A4" s="3"/>
      <c r="B4" s="31"/>
      <c r="C4" s="45" t="s">
        <v>176</v>
      </c>
      <c r="D4" s="46">
        <f>'Actual v Plan'!E5</f>
        <v>0</v>
      </c>
      <c r="E4" s="46">
        <f>'Actual v Plan'!J5</f>
        <v>0</v>
      </c>
      <c r="F4" s="47">
        <f>'Actual v Plan'!O5</f>
        <v>0</v>
      </c>
      <c r="G4" s="46">
        <f>'Actual v Plan'!T5</f>
        <v>0</v>
      </c>
      <c r="H4" s="46">
        <f>'Actual v Plan'!Y5</f>
        <v>0</v>
      </c>
      <c r="I4" s="47">
        <f>'Actual v Plan'!AD5</f>
        <v>0</v>
      </c>
      <c r="J4" s="48">
        <f>'Actual v Plan'!AI5</f>
        <v>0</v>
      </c>
      <c r="K4" s="46">
        <f>'Actual v Plan'!AN5</f>
        <v>0</v>
      </c>
      <c r="L4" s="47">
        <f>'Actual v Plan'!AS5</f>
        <v>0</v>
      </c>
      <c r="M4" s="48">
        <f>'Actual v Plan'!AX5</f>
        <v>0</v>
      </c>
      <c r="N4" s="46">
        <f>'Actual v Plan'!BC5</f>
        <v>0</v>
      </c>
      <c r="O4" s="46">
        <f>'Actual v Plan'!BH5</f>
        <v>0</v>
      </c>
      <c r="P4" s="49"/>
      <c r="Q4" s="50">
        <f t="shared" ref="Q4:Q5" si="2">SUM(D4:F4)</f>
        <v>0</v>
      </c>
      <c r="R4" s="50">
        <f t="shared" ref="R4:R5" si="3">SUM(G4:I4)</f>
        <v>0</v>
      </c>
      <c r="S4" s="50">
        <f t="shared" ref="S4:S5" si="4">SUM(J4:L4)</f>
        <v>0</v>
      </c>
      <c r="T4" s="50">
        <f t="shared" ref="T4:T5" si="5">SUM(M3:O4)</f>
        <v>0</v>
      </c>
      <c r="U4" s="51">
        <f>SUM(D4:O4)</f>
        <v>0</v>
      </c>
      <c r="V4" s="49"/>
    </row>
    <row r="5" ht="20.25" customHeight="1">
      <c r="A5" s="251"/>
      <c r="B5" s="252"/>
      <c r="C5" s="111" t="s">
        <v>177</v>
      </c>
      <c r="D5" s="142" t="str">
        <f>IF(D4&gt;0,-(#REF!-D4),"")</f>
        <v/>
      </c>
      <c r="E5" s="142" t="str">
        <f t="shared" ref="E5:O5" si="1">IF(E4&gt;0,-#REF!-E4,"")</f>
        <v/>
      </c>
      <c r="F5" s="143" t="str">
        <f t="shared" si="1"/>
        <v/>
      </c>
      <c r="G5" s="142" t="str">
        <f t="shared" si="1"/>
        <v/>
      </c>
      <c r="H5" s="142" t="str">
        <f t="shared" si="1"/>
        <v/>
      </c>
      <c r="I5" s="143" t="str">
        <f t="shared" si="1"/>
        <v/>
      </c>
      <c r="J5" s="144" t="str">
        <f t="shared" si="1"/>
        <v/>
      </c>
      <c r="K5" s="142" t="str">
        <f t="shared" si="1"/>
        <v/>
      </c>
      <c r="L5" s="143" t="str">
        <f t="shared" si="1"/>
        <v/>
      </c>
      <c r="M5" s="144" t="str">
        <f t="shared" si="1"/>
        <v/>
      </c>
      <c r="N5" s="142" t="str">
        <f t="shared" si="1"/>
        <v/>
      </c>
      <c r="O5" s="142" t="str">
        <f t="shared" si="1"/>
        <v/>
      </c>
      <c r="P5" s="253"/>
      <c r="Q5" s="254">
        <f t="shared" si="2"/>
        <v>0</v>
      </c>
      <c r="R5" s="254">
        <f t="shared" si="3"/>
        <v>0</v>
      </c>
      <c r="S5" s="254">
        <f t="shared" si="4"/>
        <v>0</v>
      </c>
      <c r="T5" s="254">
        <f t="shared" si="5"/>
        <v>0</v>
      </c>
      <c r="U5" s="255">
        <f>U4*12</f>
        <v>0</v>
      </c>
      <c r="V5" s="253"/>
    </row>
    <row r="6" ht="7.5" customHeight="1">
      <c r="A6" s="31"/>
      <c r="B6" s="31"/>
      <c r="C6" s="52"/>
      <c r="D6" s="53"/>
      <c r="E6" s="54" t="str">
        <f t="shared" ref="E6:O6" si="6">D6</f>
        <v/>
      </c>
      <c r="F6" s="54" t="str">
        <f t="shared" si="6"/>
        <v/>
      </c>
      <c r="G6" s="54" t="str">
        <f t="shared" si="6"/>
        <v/>
      </c>
      <c r="H6" s="54" t="str">
        <f t="shared" si="6"/>
        <v/>
      </c>
      <c r="I6" s="54" t="str">
        <f t="shared" si="6"/>
        <v/>
      </c>
      <c r="J6" s="54" t="str">
        <f t="shared" si="6"/>
        <v/>
      </c>
      <c r="K6" s="54" t="str">
        <f t="shared" si="6"/>
        <v/>
      </c>
      <c r="L6" s="54" t="str">
        <f t="shared" si="6"/>
        <v/>
      </c>
      <c r="M6" s="54" t="str">
        <f t="shared" si="6"/>
        <v/>
      </c>
      <c r="N6" s="54" t="str">
        <f t="shared" si="6"/>
        <v/>
      </c>
      <c r="O6" s="54" t="str">
        <f t="shared" si="6"/>
        <v/>
      </c>
      <c r="P6" s="55"/>
      <c r="Q6" s="56"/>
      <c r="R6" s="56"/>
      <c r="S6" s="56"/>
      <c r="T6" s="56"/>
      <c r="U6" s="57"/>
      <c r="V6" s="55"/>
    </row>
    <row r="7" ht="20.25" customHeight="1">
      <c r="A7" s="3"/>
      <c r="B7" s="31"/>
      <c r="C7" s="58" t="s">
        <v>44</v>
      </c>
      <c r="D7" s="46">
        <f>'Actual v Plan'!E12</f>
        <v>0</v>
      </c>
      <c r="E7" s="46">
        <f>'Actual v Plan'!J12</f>
        <v>0</v>
      </c>
      <c r="F7" s="47">
        <f>'Actual v Plan'!O12</f>
        <v>0</v>
      </c>
      <c r="G7" s="46">
        <f>'Actual v Plan'!T12</f>
        <v>0</v>
      </c>
      <c r="H7" s="46">
        <f>'Actual v Plan'!Y12</f>
        <v>0</v>
      </c>
      <c r="I7" s="47">
        <f>'Actual v Plan'!AD12</f>
        <v>0</v>
      </c>
      <c r="J7" s="48">
        <f>'Actual v Plan'!AI12</f>
        <v>0</v>
      </c>
      <c r="K7" s="46">
        <f>'Actual v Plan'!AN12</f>
        <v>0</v>
      </c>
      <c r="L7" s="47">
        <f>'Actual v Plan'!AS12</f>
        <v>0</v>
      </c>
      <c r="M7" s="48">
        <f>'Actual v Plan'!AX12</f>
        <v>0</v>
      </c>
      <c r="N7" s="46">
        <f>'Actual v Plan'!BC12</f>
        <v>0</v>
      </c>
      <c r="O7" s="46">
        <f>'Actual v Plan'!BH12</f>
        <v>0</v>
      </c>
      <c r="P7" s="55"/>
      <c r="Q7" s="59">
        <f>SUM(D7:F7)</f>
        <v>0</v>
      </c>
      <c r="R7" s="59">
        <f>SUM(G7:I7)</f>
        <v>0</v>
      </c>
      <c r="S7" s="59">
        <f>SUM(J7:L7)</f>
        <v>0</v>
      </c>
      <c r="T7" s="59">
        <f>SUM(M6:O7)</f>
        <v>0</v>
      </c>
      <c r="U7" s="48">
        <f>SUM(D7:O7)</f>
        <v>0</v>
      </c>
      <c r="V7" s="55"/>
    </row>
    <row r="8" ht="17.25" customHeight="1">
      <c r="A8" s="3"/>
      <c r="B8" s="31"/>
      <c r="C8" s="111" t="s">
        <v>178</v>
      </c>
      <c r="D8" s="142" t="str">
        <f>IF(D7&gt;0,-('Plan Summary'!D6-D7),if(TODAY()&gt;D1,-('Plan Summary'!D6-D7),""))</f>
        <v/>
      </c>
      <c r="E8" s="142" t="str">
        <f>IF(E7&gt;0,-('Plan Summary'!E6-E7),if(TODAY()&gt;E1,-('Plan Summary'!E6-E7),""))</f>
        <v/>
      </c>
      <c r="F8" s="143" t="str">
        <f>IF(F7&gt;0,-('Plan Summary'!F6-F7),if(TODAY()&gt;F1,-('Plan Summary'!F6-F7),""))</f>
        <v/>
      </c>
      <c r="G8" s="142" t="str">
        <f>IF(G7&gt;0,-('Plan Summary'!G6-G7),if(TODAY()&gt;G1,-('Plan Summary'!G6-G7),""))</f>
        <v/>
      </c>
      <c r="H8" s="142" t="str">
        <f>IF(H7&gt;0,-('Plan Summary'!H6-H7),if(TODAY()&gt;H1,-('Plan Summary'!H6-H7),""))</f>
        <v/>
      </c>
      <c r="I8" s="143" t="str">
        <f>IF(I7&gt;0,-('Plan Summary'!I6-I7),if(TODAY()&gt;I1,-('Plan Summary'!I6-I7),""))</f>
        <v/>
      </c>
      <c r="J8" s="144" t="str">
        <f>IF(J7&gt;0,-('Plan Summary'!J6-J7),if(TODAY()&gt;J1,-('Plan Summary'!J6-J7),""))</f>
        <v/>
      </c>
      <c r="K8" s="142" t="str">
        <f>IF(K7&gt;0,-('Plan Summary'!K6-K7),if(TODAY()&gt;K1,-('Plan Summary'!K6-K7),""))</f>
        <v/>
      </c>
      <c r="L8" s="143" t="str">
        <f>IF(L7&gt;0,-('Plan Summary'!L6-L7),if(TODAY()&gt;L1,-('Plan Summary'!L6-L7),""))</f>
        <v/>
      </c>
      <c r="M8" s="144" t="str">
        <f>IF(M7&gt;0,-('Plan Summary'!M6-M7),if(TODAY()&gt;M1,-('Plan Summary'!M6-M7),""))</f>
        <v/>
      </c>
      <c r="N8" s="142" t="str">
        <f>IF(N7&gt;0,-('Plan Summary'!N6-N7),if(TODAY()&gt;N1,-('Plan Summary'!N6-N7),""))</f>
        <v/>
      </c>
      <c r="O8" s="142" t="str">
        <f>IF(O7&gt;0,-('Plan Summary'!O6-O7),if(TODAY()&gt;O1,-('Plan Summary'!O6-O7),""))</f>
        <v/>
      </c>
      <c r="P8" s="55"/>
      <c r="Q8" s="62"/>
      <c r="R8" s="62"/>
      <c r="S8" s="62"/>
      <c r="T8" s="62"/>
      <c r="U8" s="63"/>
      <c r="V8" s="55"/>
    </row>
    <row r="9" ht="17.25" customHeight="1">
      <c r="A9" s="3"/>
      <c r="B9" s="31"/>
      <c r="C9" s="60" t="s">
        <v>45</v>
      </c>
      <c r="D9" s="61">
        <f t="shared" ref="D9:O9" si="7">D7*12</f>
        <v>0</v>
      </c>
      <c r="E9" s="61">
        <f t="shared" si="7"/>
        <v>0</v>
      </c>
      <c r="F9" s="62">
        <f t="shared" si="7"/>
        <v>0</v>
      </c>
      <c r="G9" s="61">
        <f t="shared" si="7"/>
        <v>0</v>
      </c>
      <c r="H9" s="61">
        <f t="shared" si="7"/>
        <v>0</v>
      </c>
      <c r="I9" s="62">
        <f t="shared" si="7"/>
        <v>0</v>
      </c>
      <c r="J9" s="63">
        <f t="shared" si="7"/>
        <v>0</v>
      </c>
      <c r="K9" s="61">
        <f t="shared" si="7"/>
        <v>0</v>
      </c>
      <c r="L9" s="62">
        <f t="shared" si="7"/>
        <v>0</v>
      </c>
      <c r="M9" s="63">
        <f t="shared" si="7"/>
        <v>0</v>
      </c>
      <c r="N9" s="61">
        <f t="shared" si="7"/>
        <v>0</v>
      </c>
      <c r="O9" s="61">
        <f t="shared" si="7"/>
        <v>0</v>
      </c>
      <c r="P9" s="55"/>
      <c r="Q9" s="62">
        <f>SUM(D9:F9)</f>
        <v>0</v>
      </c>
      <c r="R9" s="62">
        <f>SUM(G9:I9)</f>
        <v>0</v>
      </c>
      <c r="S9" s="62">
        <f>SUM(J9:L9)</f>
        <v>0</v>
      </c>
      <c r="T9" s="62">
        <f>SUM(M7:O9)</f>
        <v>0</v>
      </c>
      <c r="U9" s="63">
        <f>U7*12</f>
        <v>0</v>
      </c>
      <c r="V9" s="55"/>
    </row>
    <row r="10" ht="7.5" customHeight="1">
      <c r="A10" s="27"/>
      <c r="B10" s="27"/>
      <c r="C10" s="28"/>
      <c r="D10" s="29"/>
      <c r="E10" s="29"/>
      <c r="F10" s="29"/>
      <c r="G10" s="29"/>
      <c r="H10" s="29"/>
      <c r="I10" s="29"/>
      <c r="J10" s="29"/>
      <c r="K10" s="29"/>
      <c r="L10" s="29"/>
      <c r="M10" s="29"/>
      <c r="N10" s="29"/>
      <c r="O10" s="29"/>
      <c r="P10" s="29"/>
      <c r="Q10" s="64"/>
      <c r="R10" s="64"/>
      <c r="S10" s="64"/>
      <c r="T10" s="64"/>
      <c r="U10" s="65"/>
      <c r="V10" s="30"/>
    </row>
    <row r="11" ht="21.75" customHeight="1">
      <c r="A11" s="3"/>
      <c r="B11" s="31"/>
      <c r="C11" s="66" t="s">
        <v>179</v>
      </c>
      <c r="D11" s="46">
        <f t="shared" ref="D11:O11" si="8">SUM(D17:D20)</f>
        <v>0</v>
      </c>
      <c r="E11" s="46">
        <f t="shared" si="8"/>
        <v>0</v>
      </c>
      <c r="F11" s="47">
        <f t="shared" si="8"/>
        <v>0</v>
      </c>
      <c r="G11" s="46">
        <f t="shared" si="8"/>
        <v>0</v>
      </c>
      <c r="H11" s="46">
        <f t="shared" si="8"/>
        <v>0</v>
      </c>
      <c r="I11" s="47">
        <f t="shared" si="8"/>
        <v>0</v>
      </c>
      <c r="J11" s="48">
        <f t="shared" si="8"/>
        <v>0</v>
      </c>
      <c r="K11" s="46">
        <f t="shared" si="8"/>
        <v>0</v>
      </c>
      <c r="L11" s="47">
        <f t="shared" si="8"/>
        <v>0</v>
      </c>
      <c r="M11" s="48">
        <f t="shared" si="8"/>
        <v>0</v>
      </c>
      <c r="N11" s="46">
        <f t="shared" si="8"/>
        <v>0</v>
      </c>
      <c r="O11" s="46">
        <f t="shared" si="8"/>
        <v>0</v>
      </c>
      <c r="P11" s="55"/>
      <c r="Q11" s="59">
        <f>SUM(D11:F11)</f>
        <v>0</v>
      </c>
      <c r="R11" s="59">
        <f>SUM(G11:I11)</f>
        <v>0</v>
      </c>
      <c r="S11" s="59">
        <f>SUM(J11:L11)</f>
        <v>0</v>
      </c>
      <c r="T11" s="59">
        <f>SUM(M10:O11)</f>
        <v>0</v>
      </c>
      <c r="U11" s="48">
        <f>SUM(D11:O11)</f>
        <v>0</v>
      </c>
      <c r="V11" s="55"/>
    </row>
    <row r="12" ht="7.5" customHeight="1">
      <c r="A12" s="27"/>
      <c r="B12" s="27"/>
      <c r="C12" s="28"/>
      <c r="D12" s="29"/>
      <c r="E12" s="29"/>
      <c r="F12" s="29"/>
      <c r="G12" s="29"/>
      <c r="H12" s="29"/>
      <c r="I12" s="29"/>
      <c r="J12" s="29"/>
      <c r="K12" s="29"/>
      <c r="L12" s="29"/>
      <c r="M12" s="29"/>
      <c r="N12" s="29"/>
      <c r="O12" s="29"/>
      <c r="P12" s="29"/>
      <c r="Q12" s="67"/>
      <c r="R12" s="67"/>
      <c r="S12" s="67"/>
      <c r="T12" s="67"/>
      <c r="U12" s="65"/>
      <c r="V12" s="30"/>
    </row>
    <row r="13" ht="21.75" customHeight="1">
      <c r="A13" s="3"/>
      <c r="B13" s="31"/>
      <c r="C13" s="66" t="s">
        <v>47</v>
      </c>
      <c r="D13" s="46">
        <f t="shared" ref="D13:O13" si="9">(D22+D23)+D24</f>
        <v>0</v>
      </c>
      <c r="E13" s="46">
        <f t="shared" si="9"/>
        <v>0</v>
      </c>
      <c r="F13" s="47">
        <f t="shared" si="9"/>
        <v>0</v>
      </c>
      <c r="G13" s="46">
        <f t="shared" si="9"/>
        <v>0</v>
      </c>
      <c r="H13" s="46">
        <f t="shared" si="9"/>
        <v>0</v>
      </c>
      <c r="I13" s="47">
        <f t="shared" si="9"/>
        <v>0</v>
      </c>
      <c r="J13" s="48">
        <f t="shared" si="9"/>
        <v>0</v>
      </c>
      <c r="K13" s="46">
        <f t="shared" si="9"/>
        <v>0</v>
      </c>
      <c r="L13" s="47">
        <f t="shared" si="9"/>
        <v>0</v>
      </c>
      <c r="M13" s="48">
        <f t="shared" si="9"/>
        <v>0</v>
      </c>
      <c r="N13" s="46">
        <f t="shared" si="9"/>
        <v>0</v>
      </c>
      <c r="O13" s="46">
        <f t="shared" si="9"/>
        <v>0</v>
      </c>
      <c r="P13" s="55"/>
      <c r="Q13" s="59">
        <f>SUM(D13:F13)</f>
        <v>0</v>
      </c>
      <c r="R13" s="59">
        <f>SUM(G13:I13)</f>
        <v>0</v>
      </c>
      <c r="S13" s="59">
        <f>SUM(J13:L13)</f>
        <v>0</v>
      </c>
      <c r="T13" s="59">
        <f>SUM(M12:O13)</f>
        <v>0</v>
      </c>
      <c r="U13" s="48">
        <f>SUM(D13:O13)</f>
        <v>0</v>
      </c>
      <c r="V13" s="55"/>
    </row>
    <row r="14" ht="7.5" customHeight="1">
      <c r="A14" s="27"/>
      <c r="B14" s="27"/>
      <c r="C14" s="28"/>
      <c r="D14" s="29"/>
      <c r="E14" s="29"/>
      <c r="F14" s="29"/>
      <c r="G14" s="29"/>
      <c r="H14" s="29"/>
      <c r="I14" s="29"/>
      <c r="J14" s="29"/>
      <c r="K14" s="29"/>
      <c r="L14" s="29"/>
      <c r="M14" s="29"/>
      <c r="N14" s="29"/>
      <c r="O14" s="29"/>
      <c r="P14" s="29"/>
      <c r="Q14" s="67"/>
      <c r="R14" s="67"/>
      <c r="S14" s="67"/>
      <c r="T14" s="67"/>
      <c r="U14" s="65"/>
      <c r="V14" s="30"/>
    </row>
    <row r="15" ht="21.75" customHeight="1">
      <c r="A15" s="3"/>
      <c r="B15" s="31"/>
      <c r="C15" s="68" t="s">
        <v>180</v>
      </c>
      <c r="D15" s="69">
        <f t="shared" ref="D15:O15" si="10">D11+D13</f>
        <v>0</v>
      </c>
      <c r="E15" s="69">
        <f t="shared" si="10"/>
        <v>0</v>
      </c>
      <c r="F15" s="70">
        <f t="shared" si="10"/>
        <v>0</v>
      </c>
      <c r="G15" s="69">
        <f t="shared" si="10"/>
        <v>0</v>
      </c>
      <c r="H15" s="69">
        <f t="shared" si="10"/>
        <v>0</v>
      </c>
      <c r="I15" s="70">
        <f t="shared" si="10"/>
        <v>0</v>
      </c>
      <c r="J15" s="71">
        <f t="shared" si="10"/>
        <v>0</v>
      </c>
      <c r="K15" s="69">
        <f t="shared" si="10"/>
        <v>0</v>
      </c>
      <c r="L15" s="70">
        <f t="shared" si="10"/>
        <v>0</v>
      </c>
      <c r="M15" s="71">
        <f t="shared" si="10"/>
        <v>0</v>
      </c>
      <c r="N15" s="69">
        <f t="shared" si="10"/>
        <v>0</v>
      </c>
      <c r="O15" s="69">
        <f t="shared" si="10"/>
        <v>0</v>
      </c>
      <c r="P15" s="55"/>
      <c r="Q15" s="72">
        <f>SUM(D15:F15)</f>
        <v>0</v>
      </c>
      <c r="R15" s="72">
        <f>SUM(G15:I15)</f>
        <v>0</v>
      </c>
      <c r="S15" s="72">
        <f>SUM(J15:L15)</f>
        <v>0</v>
      </c>
      <c r="T15" s="72">
        <f>SUM(M14:O15)</f>
        <v>0</v>
      </c>
      <c r="U15" s="71">
        <f>SUM(D15:O15)</f>
        <v>0</v>
      </c>
      <c r="V15" s="55"/>
    </row>
    <row r="16" ht="7.5" customHeight="1">
      <c r="A16" s="31"/>
      <c r="B16" s="31"/>
      <c r="C16" s="60"/>
      <c r="D16" s="61"/>
      <c r="E16" s="61"/>
      <c r="F16" s="61"/>
      <c r="G16" s="61"/>
      <c r="H16" s="61"/>
      <c r="I16" s="61"/>
      <c r="J16" s="61"/>
      <c r="K16" s="61"/>
      <c r="L16" s="61"/>
      <c r="M16" s="61"/>
      <c r="N16" s="61"/>
      <c r="O16" s="61"/>
      <c r="P16" s="55"/>
      <c r="Q16" s="76"/>
      <c r="R16" s="76"/>
      <c r="S16" s="76"/>
      <c r="T16" s="76"/>
      <c r="U16" s="76"/>
      <c r="V16" s="55"/>
    </row>
    <row r="17" ht="17.25" hidden="1" customHeight="1">
      <c r="A17" s="20"/>
      <c r="B17" s="31"/>
      <c r="C17" s="60" t="s">
        <v>50</v>
      </c>
      <c r="D17" s="61">
        <f>'Actual v Plan'!E18</f>
        <v>0</v>
      </c>
      <c r="E17" s="61" t="str">
        <f>'Actual v Plan'!J18</f>
        <v/>
      </c>
      <c r="F17" s="62" t="str">
        <f>'Actual v Plan'!O18</f>
        <v/>
      </c>
      <c r="G17" s="61" t="str">
        <f>'Actual v Plan'!T18</f>
        <v/>
      </c>
      <c r="H17" s="61" t="str">
        <f>'Actual v Plan'!Y18</f>
        <v/>
      </c>
      <c r="I17" s="62" t="str">
        <f>'Actual v Plan'!AD18</f>
        <v/>
      </c>
      <c r="J17" s="63" t="str">
        <f>'Actual v Plan'!AI18</f>
        <v/>
      </c>
      <c r="K17" s="61" t="str">
        <f>'Actual v Plan'!AN18</f>
        <v/>
      </c>
      <c r="L17" s="62" t="str">
        <f>'Actual v Plan'!AS18</f>
        <v/>
      </c>
      <c r="M17" s="63" t="str">
        <f>'Actual v Plan'!AX18</f>
        <v/>
      </c>
      <c r="N17" s="61" t="str">
        <f>'Actual v Plan'!BC18</f>
        <v/>
      </c>
      <c r="O17" s="61" t="str">
        <f>'Actual v Plan'!BH18</f>
        <v/>
      </c>
      <c r="P17" s="55"/>
      <c r="Q17" s="62">
        <f t="shared" ref="Q17:Q18" si="11">SUM(D17:F17)</f>
        <v>0</v>
      </c>
      <c r="R17" s="62">
        <f t="shared" ref="R17:R18" si="12">SUM(G17:I17)</f>
        <v>0</v>
      </c>
      <c r="S17" s="62">
        <f t="shared" ref="S17:S18" si="13">SUM(J17:L17)</f>
        <v>0</v>
      </c>
      <c r="T17" s="62">
        <f>SUM(M9:O17)</f>
        <v>0</v>
      </c>
      <c r="U17" s="63">
        <f t="shared" ref="U17:U18" si="14">SUM(D17:O17)</f>
        <v>0</v>
      </c>
      <c r="V17" s="55"/>
    </row>
    <row r="18" ht="17.25" hidden="1" customHeight="1">
      <c r="A18" s="20"/>
      <c r="B18" s="31"/>
      <c r="C18" s="60" t="s">
        <v>51</v>
      </c>
      <c r="D18" s="61" t="str">
        <f>'Actual v Plan'!E19</f>
        <v/>
      </c>
      <c r="E18" s="61" t="str">
        <f>'Actual v Plan'!J19</f>
        <v/>
      </c>
      <c r="F18" s="62" t="str">
        <f>'Actual v Plan'!O19</f>
        <v/>
      </c>
      <c r="G18" s="61" t="str">
        <f>'Actual v Plan'!T19</f>
        <v/>
      </c>
      <c r="H18" s="61" t="str">
        <f>'Actual v Plan'!Y19</f>
        <v/>
      </c>
      <c r="I18" s="62" t="str">
        <f>'Actual v Plan'!AD19</f>
        <v/>
      </c>
      <c r="J18" s="63" t="str">
        <f>'Actual v Plan'!AI19</f>
        <v/>
      </c>
      <c r="K18" s="61" t="str">
        <f>'Actual v Plan'!AN19</f>
        <v/>
      </c>
      <c r="L18" s="62" t="str">
        <f>'Actual v Plan'!AS19</f>
        <v/>
      </c>
      <c r="M18" s="63" t="str">
        <f>'Actual v Plan'!AX19</f>
        <v/>
      </c>
      <c r="N18" s="61" t="str">
        <f>'Actual v Plan'!BC19</f>
        <v/>
      </c>
      <c r="O18" s="61" t="str">
        <f>'Actual v Plan'!BH19</f>
        <v/>
      </c>
      <c r="P18" s="55"/>
      <c r="Q18" s="62">
        <f t="shared" si="11"/>
        <v>0</v>
      </c>
      <c r="R18" s="62">
        <f t="shared" si="12"/>
        <v>0</v>
      </c>
      <c r="S18" s="62">
        <f t="shared" si="13"/>
        <v>0</v>
      </c>
      <c r="T18" s="62">
        <f>SUM(M17:O18)</f>
        <v>0</v>
      </c>
      <c r="U18" s="63">
        <f t="shared" si="14"/>
        <v>0</v>
      </c>
      <c r="V18" s="55"/>
    </row>
    <row r="19" ht="17.25" hidden="1" customHeight="1">
      <c r="A19" s="20"/>
      <c r="B19" s="31"/>
      <c r="C19" s="60" t="s">
        <v>52</v>
      </c>
      <c r="D19" s="61" t="str">
        <f>'Actual v Plan'!E20</f>
        <v/>
      </c>
      <c r="E19" s="61" t="str">
        <f>'Actual v Plan'!J20</f>
        <v/>
      </c>
      <c r="F19" s="62" t="str">
        <f>'Actual v Plan'!O20</f>
        <v/>
      </c>
      <c r="G19" s="61" t="str">
        <f>'Actual v Plan'!T20</f>
        <v/>
      </c>
      <c r="H19" s="61" t="str">
        <f>'Actual v Plan'!Y20</f>
        <v/>
      </c>
      <c r="I19" s="62" t="str">
        <f>'Actual v Plan'!AD20</f>
        <v/>
      </c>
      <c r="J19" s="63" t="str">
        <f>'Actual v Plan'!AI20</f>
        <v/>
      </c>
      <c r="K19" s="61" t="str">
        <f>'Actual v Plan'!AN20</f>
        <v/>
      </c>
      <c r="L19" s="62" t="str">
        <f>'Actual v Plan'!AS20</f>
        <v/>
      </c>
      <c r="M19" s="63" t="str">
        <f>'Actual v Plan'!AX20</f>
        <v/>
      </c>
      <c r="N19" s="61" t="str">
        <f>'Actual v Plan'!BC20</f>
        <v/>
      </c>
      <c r="O19" s="61" t="str">
        <f>'Actual v Plan'!BH20</f>
        <v/>
      </c>
      <c r="P19" s="55"/>
      <c r="Q19" s="62"/>
      <c r="R19" s="62"/>
      <c r="S19" s="62"/>
      <c r="T19" s="62"/>
      <c r="U19" s="63"/>
      <c r="V19" s="55"/>
    </row>
    <row r="20" ht="15.75" hidden="1" customHeight="1">
      <c r="A20" s="20"/>
      <c r="B20" s="31"/>
      <c r="C20" s="60" t="s">
        <v>53</v>
      </c>
      <c r="D20" s="61">
        <f>'Actual v Plan'!E21</f>
        <v>0</v>
      </c>
      <c r="E20" s="61">
        <f>'Actual v Plan'!J21</f>
        <v>0</v>
      </c>
      <c r="F20" s="62">
        <f>'Actual v Plan'!O21</f>
        <v>0</v>
      </c>
      <c r="G20" s="61">
        <f>'Actual v Plan'!T21</f>
        <v>0</v>
      </c>
      <c r="H20" s="61">
        <f>'Actual v Plan'!Y21</f>
        <v>0</v>
      </c>
      <c r="I20" s="62">
        <f>'Actual v Plan'!AD21</f>
        <v>0</v>
      </c>
      <c r="J20" s="63">
        <f>'Actual v Plan'!AI21</f>
        <v>0</v>
      </c>
      <c r="K20" s="61">
        <f>'Actual v Plan'!AN21</f>
        <v>0</v>
      </c>
      <c r="L20" s="62">
        <f>'Actual v Plan'!AS21</f>
        <v>0</v>
      </c>
      <c r="M20" s="63">
        <f>'Actual v Plan'!AX21</f>
        <v>0</v>
      </c>
      <c r="N20" s="61">
        <f>'Actual v Plan'!BC21</f>
        <v>0</v>
      </c>
      <c r="O20" s="61">
        <f>'Actual v Plan'!BH21</f>
        <v>0</v>
      </c>
      <c r="P20" s="55"/>
      <c r="Q20" s="77">
        <f t="shared" ref="Q20:Q24" si="16">SUM(D20:F20)</f>
        <v>0</v>
      </c>
      <c r="R20" s="77">
        <f t="shared" ref="R20:R24" si="17">SUM(G20:I20)</f>
        <v>0</v>
      </c>
      <c r="S20" s="77">
        <f t="shared" ref="S20:S24" si="18">SUM(J20:L20)</f>
        <v>0</v>
      </c>
      <c r="T20" s="77">
        <f>SUM(M18:O20)</f>
        <v>0</v>
      </c>
      <c r="U20" s="256"/>
      <c r="V20" s="55"/>
    </row>
    <row r="21" ht="21.75" hidden="1" customHeight="1">
      <c r="A21" s="20"/>
      <c r="B21" s="31"/>
      <c r="C21" s="66" t="s">
        <v>181</v>
      </c>
      <c r="D21" s="46">
        <f t="shared" ref="D21:O21" si="15">D22-D23</f>
        <v>0</v>
      </c>
      <c r="E21" s="46">
        <f t="shared" si="15"/>
        <v>0</v>
      </c>
      <c r="F21" s="47">
        <f t="shared" si="15"/>
        <v>0</v>
      </c>
      <c r="G21" s="46">
        <f t="shared" si="15"/>
        <v>0</v>
      </c>
      <c r="H21" s="46">
        <f t="shared" si="15"/>
        <v>0</v>
      </c>
      <c r="I21" s="47">
        <f t="shared" si="15"/>
        <v>0</v>
      </c>
      <c r="J21" s="48">
        <f t="shared" si="15"/>
        <v>0</v>
      </c>
      <c r="K21" s="46">
        <f t="shared" si="15"/>
        <v>0</v>
      </c>
      <c r="L21" s="47">
        <f t="shared" si="15"/>
        <v>0</v>
      </c>
      <c r="M21" s="48">
        <f t="shared" si="15"/>
        <v>0</v>
      </c>
      <c r="N21" s="46">
        <f t="shared" si="15"/>
        <v>0</v>
      </c>
      <c r="O21" s="46">
        <f t="shared" si="15"/>
        <v>0</v>
      </c>
      <c r="P21" s="55"/>
      <c r="Q21" s="83">
        <f t="shared" si="16"/>
        <v>0</v>
      </c>
      <c r="R21" s="83">
        <f t="shared" si="17"/>
        <v>0</v>
      </c>
      <c r="S21" s="83">
        <f t="shared" si="18"/>
        <v>0</v>
      </c>
      <c r="T21" s="83">
        <f>SUM(M10:O21)</f>
        <v>0</v>
      </c>
      <c r="U21" s="48">
        <f t="shared" ref="U21:U24" si="19">SUM(D21:O21)</f>
        <v>0</v>
      </c>
      <c r="V21" s="55"/>
    </row>
    <row r="22" ht="16.5" hidden="1" customHeight="1">
      <c r="A22" s="20"/>
      <c r="B22" s="31"/>
      <c r="C22" s="60" t="s">
        <v>55</v>
      </c>
      <c r="D22" s="61" t="str">
        <f>'Actual v Plan'!E30</f>
        <v/>
      </c>
      <c r="E22" s="61" t="str">
        <f>'Actual v Plan'!J30</f>
        <v/>
      </c>
      <c r="F22" s="62" t="str">
        <f>'Actual v Plan'!O30</f>
        <v/>
      </c>
      <c r="G22" s="61" t="str">
        <f>'Actual v Plan'!T30</f>
        <v/>
      </c>
      <c r="H22" s="61" t="str">
        <f>'Actual v Plan'!Y30</f>
        <v/>
      </c>
      <c r="I22" s="62" t="str">
        <f>'Actual v Plan'!AD30</f>
        <v/>
      </c>
      <c r="J22" s="63" t="str">
        <f>'Actual v Plan'!AI30</f>
        <v/>
      </c>
      <c r="K22" s="61" t="str">
        <f>'Actual v Plan'!AN30</f>
        <v/>
      </c>
      <c r="L22" s="62" t="str">
        <f>'Actual v Plan'!AS30</f>
        <v/>
      </c>
      <c r="M22" s="63" t="str">
        <f>'Actual v Plan'!AX30</f>
        <v/>
      </c>
      <c r="N22" s="61" t="str">
        <f>'Actual v Plan'!BC30</f>
        <v/>
      </c>
      <c r="O22" s="61" t="str">
        <f>'Actual v Plan'!BH30</f>
        <v/>
      </c>
      <c r="P22" s="55"/>
      <c r="Q22" s="62">
        <f t="shared" si="16"/>
        <v>0</v>
      </c>
      <c r="R22" s="62">
        <f t="shared" si="17"/>
        <v>0</v>
      </c>
      <c r="S22" s="62">
        <f t="shared" si="18"/>
        <v>0</v>
      </c>
      <c r="T22" s="62">
        <f t="shared" ref="T22:T23" si="20">SUM(M21:O22)</f>
        <v>0</v>
      </c>
      <c r="U22" s="63">
        <f t="shared" si="19"/>
        <v>0</v>
      </c>
      <c r="V22" s="55"/>
    </row>
    <row r="23" ht="16.5" hidden="1" customHeight="1">
      <c r="A23" s="20"/>
      <c r="B23" s="31"/>
      <c r="C23" s="60" t="s">
        <v>57</v>
      </c>
      <c r="D23" s="61" t="str">
        <f>'Actual v Plan'!E31</f>
        <v/>
      </c>
      <c r="E23" s="61" t="str">
        <f>'Actual v Plan'!J31</f>
        <v/>
      </c>
      <c r="F23" s="62" t="str">
        <f>'Actual v Plan'!O31</f>
        <v/>
      </c>
      <c r="G23" s="61" t="str">
        <f>'Actual v Plan'!T31</f>
        <v/>
      </c>
      <c r="H23" s="61" t="str">
        <f>'Actual v Plan'!Y31</f>
        <v/>
      </c>
      <c r="I23" s="62" t="str">
        <f>'Actual v Plan'!AD31</f>
        <v/>
      </c>
      <c r="J23" s="63" t="str">
        <f>'Actual v Plan'!AI31</f>
        <v/>
      </c>
      <c r="K23" s="61" t="str">
        <f>'Actual v Plan'!AN31</f>
        <v/>
      </c>
      <c r="L23" s="62" t="str">
        <f>'Actual v Plan'!AS31</f>
        <v/>
      </c>
      <c r="M23" s="63" t="str">
        <f>'Actual v Plan'!AX31</f>
        <v/>
      </c>
      <c r="N23" s="61" t="str">
        <f>'Actual v Plan'!BC31</f>
        <v/>
      </c>
      <c r="O23" s="61" t="str">
        <f>'Actual v Plan'!BH31</f>
        <v/>
      </c>
      <c r="P23" s="55"/>
      <c r="Q23" s="62">
        <f t="shared" si="16"/>
        <v>0</v>
      </c>
      <c r="R23" s="62">
        <f t="shared" si="17"/>
        <v>0</v>
      </c>
      <c r="S23" s="62">
        <f t="shared" si="18"/>
        <v>0</v>
      </c>
      <c r="T23" s="62">
        <f t="shared" si="20"/>
        <v>0</v>
      </c>
      <c r="U23" s="63">
        <f t="shared" si="19"/>
        <v>0</v>
      </c>
      <c r="V23" s="55"/>
    </row>
    <row r="24" ht="16.5" hidden="1" customHeight="1">
      <c r="A24" s="20"/>
      <c r="B24" s="84"/>
      <c r="C24" s="60" t="s">
        <v>56</v>
      </c>
      <c r="D24" s="61">
        <f>-sumif('Demand Generation Plan'!$D$4:$D24,D3,'Demand Generation Plan'!$R$4:$R24)</f>
        <v>0</v>
      </c>
      <c r="E24" s="61">
        <f>-sumif('Demand Generation Plan'!$D$4:$D24,E3,'Demand Generation Plan'!$R$4:$R24)</f>
        <v>0</v>
      </c>
      <c r="F24" s="62">
        <f>-sumif('Demand Generation Plan'!$D$4:$D24,F3,'Demand Generation Plan'!$R$4:$R24)</f>
        <v>0</v>
      </c>
      <c r="G24" s="61">
        <f>-sumif('Demand Generation Plan'!$D$4:$D24,G3,'Demand Generation Plan'!$R$4:$R24)</f>
        <v>0</v>
      </c>
      <c r="H24" s="61">
        <f>-sumif('Demand Generation Plan'!$D$4:$D24,H3,'Demand Generation Plan'!$R$4:$R24)</f>
        <v>0</v>
      </c>
      <c r="I24" s="62">
        <f>-sumif('Demand Generation Plan'!$D$4:$D24,I3,'Demand Generation Plan'!$R$4:$R24)</f>
        <v>0</v>
      </c>
      <c r="J24" s="63">
        <f>-sumif('Demand Generation Plan'!$D$4:$D24,J3,'Demand Generation Plan'!$R$4:$R24)</f>
        <v>0</v>
      </c>
      <c r="K24" s="61">
        <f>-sumif('Demand Generation Plan'!$D$4:$D24,K3,'Demand Generation Plan'!$R$4:$R24)</f>
        <v>0</v>
      </c>
      <c r="L24" s="62">
        <f>-sumif('Demand Generation Plan'!$D$4:$D24,L3,'Demand Generation Plan'!$R$4:$R24)</f>
        <v>0</v>
      </c>
      <c r="M24" s="63">
        <f>-sumif('Demand Generation Plan'!$D$4:$D24,M3,'Demand Generation Plan'!$R$4:$R24)</f>
        <v>0</v>
      </c>
      <c r="N24" s="61">
        <f>-sumif('Demand Generation Plan'!$D$4:$D24,N3,'Demand Generation Plan'!$R$4:$R24)</f>
        <v>0</v>
      </c>
      <c r="O24" s="61">
        <f>-sumif('Demand Generation Plan'!$D$4:$D24,O3,'Demand Generation Plan'!$R$4:$R24)</f>
        <v>0</v>
      </c>
      <c r="P24" s="55"/>
      <c r="Q24" s="62">
        <f t="shared" si="16"/>
        <v>0</v>
      </c>
      <c r="R24" s="62">
        <f t="shared" si="17"/>
        <v>0</v>
      </c>
      <c r="S24" s="62">
        <f t="shared" si="18"/>
        <v>0</v>
      </c>
      <c r="T24" s="62">
        <f>SUM(M24:O24)</f>
        <v>0</v>
      </c>
      <c r="U24" s="63">
        <f t="shared" si="19"/>
        <v>0</v>
      </c>
      <c r="V24" s="55"/>
    </row>
  </sheetData>
  <mergeCells count="10">
    <mergeCell ref="S2:S3"/>
    <mergeCell ref="T2:T3"/>
    <mergeCell ref="U2:U3"/>
    <mergeCell ref="C2:C3"/>
    <mergeCell ref="D2:F2"/>
    <mergeCell ref="G2:I2"/>
    <mergeCell ref="J2:L2"/>
    <mergeCell ref="M2:O2"/>
    <mergeCell ref="Q2:Q3"/>
    <mergeCell ref="R2:R3"/>
  </mergeCells>
  <conditionalFormatting sqref="D5:O5 D8:O8">
    <cfRule type="cellIs" dxfId="0" priority="1" operator="greaterThan">
      <formula>0</formula>
    </cfRule>
  </conditionalFormatting>
  <conditionalFormatting sqref="D5:O5 D8:O8">
    <cfRule type="cellIs" dxfId="15" priority="2" operator="lessThan">
      <formula>0</formula>
    </cfRule>
  </conditionalFormatting>
  <conditionalFormatting sqref="D15:O15">
    <cfRule type="cellIs" dxfId="0" priority="3" operator="greaterThan">
      <formula>0</formula>
    </cfRule>
  </conditionalFormatting>
  <conditionalFormatting sqref="D15:O15">
    <cfRule type="cellIs" dxfId="1" priority="4" operator="lessThan">
      <formula>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355E"/>
    <outlinePr summaryBelow="0" summaryRight="0"/>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1" max="1" width="0.38"/>
    <col customWidth="1" min="2" max="2" width="1.38"/>
    <col customWidth="1" min="3" max="3" width="22.13"/>
    <col customWidth="1" min="4" max="7" width="10.38"/>
    <col customWidth="1" min="8" max="8" width="1.5"/>
    <col customWidth="1" min="9" max="12" width="10.38"/>
    <col customWidth="1" min="13" max="13" width="1.5"/>
    <col customWidth="1" min="14" max="17" width="10.38"/>
    <col customWidth="1" min="18" max="18" width="1.5"/>
    <col customWidth="1" min="19" max="22" width="10.38"/>
    <col customWidth="1" min="23" max="23" width="1.5"/>
    <col customWidth="1" min="24" max="27" width="10.38"/>
    <col customWidth="1" min="28" max="28" width="1.5"/>
    <col customWidth="1" min="29" max="32" width="10.38"/>
    <col customWidth="1" min="33" max="33" width="1.5"/>
    <col customWidth="1" min="34" max="37" width="10.38"/>
    <col customWidth="1" min="38" max="38" width="1.5"/>
    <col customWidth="1" min="39" max="42" width="10.38"/>
    <col customWidth="1" min="43" max="43" width="1.5"/>
    <col customWidth="1" min="44" max="47" width="10.38"/>
    <col customWidth="1" min="48" max="48" width="1.5"/>
    <col customWidth="1" min="49" max="52" width="10.38"/>
    <col customWidth="1" min="53" max="53" width="1.5"/>
    <col customWidth="1" min="54" max="57" width="10.38"/>
    <col customWidth="1" min="58" max="58" width="1.5"/>
    <col customWidth="1" min="59" max="62" width="10.38"/>
    <col customWidth="1" min="63" max="63" width="1.5"/>
    <col customWidth="1" min="64" max="67" width="10.38"/>
    <col customWidth="1" min="68" max="68" width="1.5"/>
    <col customWidth="1" min="69" max="72" width="10.38"/>
    <col customWidth="1" min="73" max="73" width="1.5"/>
    <col customWidth="1" min="74" max="77" width="10.38"/>
    <col customWidth="1" min="78" max="78" width="1.5"/>
    <col customWidth="1" min="79" max="82" width="10.38"/>
    <col customWidth="1" min="83" max="83" width="1.5"/>
    <col customWidth="1" min="84" max="87" width="10.38"/>
    <col customWidth="1" min="88" max="88" width="1.5"/>
  </cols>
  <sheetData>
    <row r="1" ht="7.5" customHeight="1">
      <c r="A1" s="249"/>
      <c r="B1" s="249"/>
      <c r="C1" s="249"/>
      <c r="D1" s="152"/>
      <c r="E1" s="250">
        <v>46023.0</v>
      </c>
      <c r="F1" s="250">
        <v>46054.0</v>
      </c>
      <c r="G1" s="257"/>
      <c r="H1" s="152"/>
      <c r="I1" s="152"/>
      <c r="J1" s="250">
        <v>46054.0</v>
      </c>
      <c r="K1" s="250">
        <v>46082.0</v>
      </c>
      <c r="L1" s="257"/>
      <c r="M1" s="152"/>
      <c r="N1" s="152"/>
      <c r="O1" s="250">
        <v>46082.0</v>
      </c>
      <c r="P1" s="250">
        <v>46113.0</v>
      </c>
      <c r="Q1" s="257"/>
      <c r="R1" s="30"/>
      <c r="S1" s="152"/>
      <c r="T1" s="250">
        <v>46113.0</v>
      </c>
      <c r="U1" s="250">
        <v>46143.0</v>
      </c>
      <c r="V1" s="257"/>
      <c r="W1" s="152"/>
      <c r="X1" s="152"/>
      <c r="Y1" s="250">
        <v>46143.0</v>
      </c>
      <c r="Z1" s="250">
        <v>46174.0</v>
      </c>
      <c r="AA1" s="257"/>
      <c r="AB1" s="152"/>
      <c r="AC1" s="152"/>
      <c r="AD1" s="250">
        <v>46174.0</v>
      </c>
      <c r="AE1" s="250">
        <v>46204.0</v>
      </c>
      <c r="AF1" s="257"/>
      <c r="AG1" s="30"/>
      <c r="AH1" s="152"/>
      <c r="AI1" s="250">
        <v>46204.0</v>
      </c>
      <c r="AJ1" s="250">
        <v>46235.0</v>
      </c>
      <c r="AK1" s="257"/>
      <c r="AL1" s="152"/>
      <c r="AM1" s="152"/>
      <c r="AN1" s="250">
        <v>46235.0</v>
      </c>
      <c r="AO1" s="250">
        <v>46266.0</v>
      </c>
      <c r="AP1" s="257"/>
      <c r="AQ1" s="152"/>
      <c r="AR1" s="152"/>
      <c r="AS1" s="250">
        <v>46266.0</v>
      </c>
      <c r="AT1" s="250">
        <v>46296.0</v>
      </c>
      <c r="AU1" s="257"/>
      <c r="AV1" s="30"/>
      <c r="AW1" s="152"/>
      <c r="AX1" s="250">
        <v>46296.0</v>
      </c>
      <c r="AY1" s="250">
        <v>46327.0</v>
      </c>
      <c r="AZ1" s="257"/>
      <c r="BA1" s="152"/>
      <c r="BB1" s="152"/>
      <c r="BC1" s="250">
        <v>46327.0</v>
      </c>
      <c r="BD1" s="250">
        <v>46357.0</v>
      </c>
      <c r="BE1" s="257"/>
      <c r="BF1" s="152"/>
      <c r="BG1" s="152"/>
      <c r="BH1" s="250">
        <v>46357.0</v>
      </c>
      <c r="BI1" s="258">
        <v>46388.0</v>
      </c>
      <c r="BJ1" s="257"/>
      <c r="BK1" s="30"/>
      <c r="BL1" s="152"/>
      <c r="BM1" s="152"/>
      <c r="BN1" s="152"/>
      <c r="BO1" s="257"/>
      <c r="BP1" s="30"/>
      <c r="BQ1" s="152"/>
      <c r="BR1" s="152"/>
      <c r="BS1" s="152"/>
      <c r="BT1" s="257"/>
      <c r="BU1" s="30"/>
      <c r="BV1" s="152"/>
      <c r="BW1" s="152"/>
      <c r="BX1" s="152"/>
      <c r="BY1" s="257"/>
      <c r="BZ1" s="30"/>
      <c r="CA1" s="152"/>
      <c r="CB1" s="152"/>
      <c r="CC1" s="152"/>
      <c r="CD1" s="257"/>
      <c r="CE1" s="30"/>
      <c r="CF1" s="152"/>
      <c r="CG1" s="152"/>
      <c r="CH1" s="152"/>
      <c r="CI1" s="257"/>
      <c r="CJ1" s="30"/>
    </row>
    <row r="2" ht="14.25" customHeight="1">
      <c r="A2" s="31"/>
      <c r="B2" s="31"/>
      <c r="C2" s="28"/>
      <c r="D2" s="259" t="s">
        <v>25</v>
      </c>
      <c r="R2" s="36"/>
      <c r="S2" s="33" t="s">
        <v>26</v>
      </c>
      <c r="AG2" s="36"/>
      <c r="AH2" s="33" t="s">
        <v>27</v>
      </c>
      <c r="AV2" s="36"/>
      <c r="AW2" s="33" t="s">
        <v>28</v>
      </c>
      <c r="BK2" s="36"/>
      <c r="BL2" s="40" t="s">
        <v>122</v>
      </c>
      <c r="BP2" s="36"/>
      <c r="BQ2" s="40" t="s">
        <v>25</v>
      </c>
      <c r="BU2" s="36"/>
      <c r="BV2" s="40" t="s">
        <v>26</v>
      </c>
      <c r="BZ2" s="36"/>
      <c r="CA2" s="40" t="s">
        <v>27</v>
      </c>
      <c r="CE2" s="36"/>
      <c r="CF2" s="40" t="s">
        <v>28</v>
      </c>
      <c r="CJ2" s="36"/>
    </row>
    <row r="3" ht="13.5" customHeight="1">
      <c r="A3" s="31"/>
      <c r="B3" s="31"/>
      <c r="C3" s="28"/>
      <c r="D3" s="40" t="s">
        <v>31</v>
      </c>
      <c r="H3" s="36"/>
      <c r="I3" s="40" t="s">
        <v>32</v>
      </c>
      <c r="M3" s="36"/>
      <c r="N3" s="40" t="s">
        <v>33</v>
      </c>
      <c r="R3" s="36"/>
      <c r="S3" s="40" t="s">
        <v>34</v>
      </c>
      <c r="W3" s="36"/>
      <c r="X3" s="40" t="s">
        <v>35</v>
      </c>
      <c r="AB3" s="36"/>
      <c r="AC3" s="40" t="s">
        <v>36</v>
      </c>
      <c r="AG3" s="36"/>
      <c r="AH3" s="40" t="s">
        <v>37</v>
      </c>
      <c r="AL3" s="36"/>
      <c r="AM3" s="40" t="s">
        <v>38</v>
      </c>
      <c r="AQ3" s="36"/>
      <c r="AR3" s="40" t="s">
        <v>39</v>
      </c>
      <c r="AV3" s="36"/>
      <c r="AW3" s="40" t="s">
        <v>40</v>
      </c>
      <c r="BA3" s="36"/>
      <c r="BB3" s="40" t="s">
        <v>41</v>
      </c>
      <c r="BF3" s="36"/>
      <c r="BG3" s="40" t="s">
        <v>42</v>
      </c>
      <c r="BK3" s="36"/>
      <c r="BP3" s="36"/>
      <c r="BU3" s="36"/>
      <c r="BZ3" s="36"/>
      <c r="CE3" s="36"/>
      <c r="CJ3" s="36"/>
    </row>
    <row r="4" ht="20.25" customHeight="1">
      <c r="A4" s="31"/>
      <c r="B4" s="31"/>
      <c r="C4" s="260"/>
      <c r="D4" s="261" t="s">
        <v>182</v>
      </c>
      <c r="E4" s="262" t="s">
        <v>149</v>
      </c>
      <c r="F4" s="263" t="s">
        <v>183</v>
      </c>
      <c r="H4" s="36"/>
      <c r="I4" s="261" t="s">
        <v>182</v>
      </c>
      <c r="J4" s="262" t="s">
        <v>149</v>
      </c>
      <c r="K4" s="263" t="s">
        <v>183</v>
      </c>
      <c r="M4" s="36"/>
      <c r="N4" s="261" t="s">
        <v>182</v>
      </c>
      <c r="O4" s="262" t="s">
        <v>149</v>
      </c>
      <c r="P4" s="263" t="s">
        <v>183</v>
      </c>
      <c r="R4" s="36"/>
      <c r="S4" s="261" t="s">
        <v>182</v>
      </c>
      <c r="T4" s="262" t="s">
        <v>149</v>
      </c>
      <c r="U4" s="263" t="s">
        <v>183</v>
      </c>
      <c r="W4" s="36"/>
      <c r="X4" s="261" t="s">
        <v>182</v>
      </c>
      <c r="Y4" s="262" t="s">
        <v>149</v>
      </c>
      <c r="Z4" s="263" t="s">
        <v>183</v>
      </c>
      <c r="AB4" s="36"/>
      <c r="AC4" s="261" t="s">
        <v>182</v>
      </c>
      <c r="AD4" s="262" t="s">
        <v>149</v>
      </c>
      <c r="AE4" s="263" t="s">
        <v>183</v>
      </c>
      <c r="AG4" s="36"/>
      <c r="AH4" s="261" t="s">
        <v>182</v>
      </c>
      <c r="AI4" s="262" t="s">
        <v>149</v>
      </c>
      <c r="AJ4" s="263" t="s">
        <v>183</v>
      </c>
      <c r="AL4" s="36"/>
      <c r="AM4" s="261" t="s">
        <v>182</v>
      </c>
      <c r="AN4" s="262" t="s">
        <v>149</v>
      </c>
      <c r="AO4" s="263" t="s">
        <v>183</v>
      </c>
      <c r="AQ4" s="36"/>
      <c r="AR4" s="261" t="s">
        <v>182</v>
      </c>
      <c r="AS4" s="262" t="s">
        <v>149</v>
      </c>
      <c r="AT4" s="263" t="s">
        <v>183</v>
      </c>
      <c r="AV4" s="36"/>
      <c r="AW4" s="261" t="s">
        <v>182</v>
      </c>
      <c r="AX4" s="262" t="s">
        <v>149</v>
      </c>
      <c r="AY4" s="263" t="s">
        <v>183</v>
      </c>
      <c r="BA4" s="36"/>
      <c r="BB4" s="261" t="s">
        <v>182</v>
      </c>
      <c r="BC4" s="262" t="s">
        <v>149</v>
      </c>
      <c r="BD4" s="263" t="s">
        <v>183</v>
      </c>
      <c r="BF4" s="36"/>
      <c r="BG4" s="261" t="s">
        <v>182</v>
      </c>
      <c r="BH4" s="262" t="s">
        <v>149</v>
      </c>
      <c r="BI4" s="263" t="s">
        <v>183</v>
      </c>
      <c r="BK4" s="36"/>
      <c r="BL4" s="261" t="s">
        <v>182</v>
      </c>
      <c r="BM4" s="262" t="s">
        <v>149</v>
      </c>
      <c r="BN4" s="263" t="s">
        <v>183</v>
      </c>
      <c r="BP4" s="36"/>
      <c r="BQ4" s="261" t="s">
        <v>182</v>
      </c>
      <c r="BR4" s="262" t="s">
        <v>149</v>
      </c>
      <c r="BS4" s="263" t="s">
        <v>183</v>
      </c>
      <c r="BU4" s="36"/>
      <c r="BV4" s="261" t="s">
        <v>182</v>
      </c>
      <c r="BW4" s="262" t="s">
        <v>149</v>
      </c>
      <c r="BX4" s="263" t="s">
        <v>183</v>
      </c>
      <c r="BZ4" s="36"/>
      <c r="CA4" s="261" t="s">
        <v>182</v>
      </c>
      <c r="CB4" s="262" t="s">
        <v>149</v>
      </c>
      <c r="CC4" s="263" t="s">
        <v>183</v>
      </c>
      <c r="CE4" s="36"/>
      <c r="CF4" s="261" t="s">
        <v>182</v>
      </c>
      <c r="CG4" s="262" t="s">
        <v>149</v>
      </c>
      <c r="CH4" s="263" t="s">
        <v>183</v>
      </c>
      <c r="CJ4" s="36"/>
    </row>
    <row r="5" ht="19.5" customHeight="1">
      <c r="A5" s="3"/>
      <c r="B5" s="31"/>
      <c r="C5" s="45" t="s">
        <v>176</v>
      </c>
      <c r="D5" s="86">
        <f>'Business Plan'!E4</f>
        <v>5</v>
      </c>
      <c r="E5" s="86">
        <f>SUMIFS('DATA-IMP'!$Y$3:$Y43, 'DATA-IMP'!$E$3:$E43, "&gt;" &amp; E$1, 'DATA-IMP'!$E$3:$E43, "&lt;" &amp; F$1)</f>
        <v>0</v>
      </c>
      <c r="F5" s="264">
        <f>E5-D5</f>
        <v>-5</v>
      </c>
      <c r="G5" s="265">
        <f>iferror(E5/D5,"")</f>
        <v>0</v>
      </c>
      <c r="H5" s="49"/>
      <c r="I5" s="86">
        <f>'Business Plan'!F4</f>
        <v>5</v>
      </c>
      <c r="J5" s="86">
        <f>SUMIFS('DATA-IMP'!$Y$3:$Y43, 'DATA-IMP'!$E$3:$E43, "&gt;" &amp; J$1, 'DATA-IMP'!$E$3:$E43, "&lt;" &amp; K$1)</f>
        <v>0</v>
      </c>
      <c r="K5" s="264">
        <f>J5-I$5</f>
        <v>-5</v>
      </c>
      <c r="L5" s="265">
        <f>iferror(J5/I5,"")</f>
        <v>0</v>
      </c>
      <c r="M5" s="49"/>
      <c r="N5" s="86">
        <f>'Business Plan'!G4</f>
        <v>11</v>
      </c>
      <c r="O5" s="86">
        <f>SUMIFS('DATA-IMP'!$Y$3:$Y43, 'DATA-IMP'!$E$3:$E43, "&gt;" &amp; O$1, 'DATA-IMP'!$E$3:$E43, "&lt;" &amp; P$1)</f>
        <v>0</v>
      </c>
      <c r="P5" s="264">
        <f>O5-N$5</f>
        <v>-11</v>
      </c>
      <c r="Q5" s="265">
        <f>iferror(O5/N5,"")</f>
        <v>0</v>
      </c>
      <c r="R5" s="49"/>
      <c r="S5" s="86">
        <f>'Business Plan'!H4</f>
        <v>5</v>
      </c>
      <c r="T5" s="86">
        <f>SUMIFS('DATA-IMP'!$Y$3:$Y43, 'DATA-IMP'!$E$3:$E43, "&gt;" &amp; T$1, 'DATA-IMP'!$E$3:$E43, "&lt;" &amp; U$1)</f>
        <v>0</v>
      </c>
      <c r="U5" s="264">
        <f>T5-S$5</f>
        <v>-5</v>
      </c>
      <c r="V5" s="265">
        <f>iferror(T5/S5,"")</f>
        <v>0</v>
      </c>
      <c r="W5" s="49"/>
      <c r="X5" s="86">
        <f>'Business Plan'!I4</f>
        <v>11</v>
      </c>
      <c r="Y5" s="86">
        <f>SUMIFS('DATA-IMP'!$Y$3:$Y43, 'DATA-IMP'!$E$3:$E43, "&gt;" &amp; Y$1, 'DATA-IMP'!$E$3:$E43, "&lt;" &amp; Z$1)</f>
        <v>0</v>
      </c>
      <c r="Z5" s="264">
        <f>Y5-X$5</f>
        <v>-11</v>
      </c>
      <c r="AA5" s="265">
        <f>iferror(Y5/X5,"")</f>
        <v>0</v>
      </c>
      <c r="AB5" s="49"/>
      <c r="AC5" s="86">
        <f>'Business Plan'!J4</f>
        <v>16</v>
      </c>
      <c r="AD5" s="86">
        <f>SUMIFS('DATA-IMP'!$Y$3:$Y43, 'DATA-IMP'!$E$3:$E43, "&gt;" &amp; AD$1, 'DATA-IMP'!$E$3:$E43, "&lt;" &amp; AE$1)</f>
        <v>0</v>
      </c>
      <c r="AE5" s="264">
        <f>AD5-AC$5</f>
        <v>-16</v>
      </c>
      <c r="AF5" s="265">
        <f>iferror(AD5/AC5,"")</f>
        <v>0</v>
      </c>
      <c r="AG5" s="49"/>
      <c r="AH5" s="86">
        <f>'Business Plan'!K4</f>
        <v>11</v>
      </c>
      <c r="AI5" s="86">
        <f>SUMIFS('DATA-IMP'!$Y$3:$Y43, 'DATA-IMP'!$E$3:$E43, "&gt;" &amp; AI$1, 'DATA-IMP'!$E$3:$E43, "&lt;" &amp; AJ$1)</f>
        <v>0</v>
      </c>
      <c r="AJ5" s="264">
        <f>AI5-AH$5</f>
        <v>-11</v>
      </c>
      <c r="AK5" s="265">
        <f>iferror(AI5/AH5,"")</f>
        <v>0</v>
      </c>
      <c r="AL5" s="49"/>
      <c r="AM5" s="86">
        <f>'Business Plan'!L4</f>
        <v>16</v>
      </c>
      <c r="AN5" s="86">
        <f>SUMIFS('DATA-IMP'!$Y$3:$Y43, 'DATA-IMP'!$E$3:$E43, "&gt;" &amp; AN$1, 'DATA-IMP'!$E$3:$E43, "&lt;" &amp; AO$1)</f>
        <v>0</v>
      </c>
      <c r="AO5" s="264">
        <f>AN5-AM$5</f>
        <v>-16</v>
      </c>
      <c r="AP5" s="265">
        <f>iferror(AN5/AM5,"")</f>
        <v>0</v>
      </c>
      <c r="AQ5" s="49"/>
      <c r="AR5" s="86">
        <f>'Business Plan'!M4</f>
        <v>16</v>
      </c>
      <c r="AS5" s="86">
        <f>SUMIFS('DATA-IMP'!$Y$3:$Y43, 'DATA-IMP'!$E$3:$E43, "&gt;" &amp; AS$1, 'DATA-IMP'!$E$3:$E43, "&lt;" &amp; AT$1)</f>
        <v>0</v>
      </c>
      <c r="AT5" s="264">
        <f>AS5-AR$5</f>
        <v>-16</v>
      </c>
      <c r="AU5" s="265">
        <f>iferror(AS5/AR5,"")</f>
        <v>0</v>
      </c>
      <c r="AV5" s="49"/>
      <c r="AW5" s="86">
        <f>'Business Plan'!N4</f>
        <v>16</v>
      </c>
      <c r="AX5" s="86">
        <f>SUMIFS('DATA-IMP'!$Y$3:$Y43, 'DATA-IMP'!$E$3:$E43, "&gt;" &amp; AX$1, 'DATA-IMP'!$E$3:$E43, "&lt;" &amp; AY$1)</f>
        <v>0</v>
      </c>
      <c r="AY5" s="264">
        <f>AX5-AW$5</f>
        <v>-16</v>
      </c>
      <c r="AZ5" s="265">
        <f>iferror(AX5/AW5,"")</f>
        <v>0</v>
      </c>
      <c r="BA5" s="49"/>
      <c r="BB5" s="86">
        <f>'Business Plan'!O4</f>
        <v>16</v>
      </c>
      <c r="BC5" s="86">
        <f>SUMIFS('DATA-IMP'!$Y$3:$Y43, 'DATA-IMP'!$E$3:$E43, "&gt;" &amp; BC$1, 'DATA-IMP'!$E$3:$E43, "&lt;" &amp; BD$1)</f>
        <v>0</v>
      </c>
      <c r="BD5" s="264">
        <f>BC5-BB$5</f>
        <v>-16</v>
      </c>
      <c r="BE5" s="265">
        <f>iferror(BC5/BB5,"")</f>
        <v>0</v>
      </c>
      <c r="BF5" s="49"/>
      <c r="BG5" s="86">
        <f>'Business Plan'!P4</f>
        <v>5</v>
      </c>
      <c r="BH5" s="86">
        <f>SUMIFS('DATA-IMP'!$Y$3:$Y43, 'DATA-IMP'!$E$3:$E43, "&gt;" &amp; BH$1, 'DATA-IMP'!$E$3:$E43, "&lt;" &amp; BI$1)</f>
        <v>0</v>
      </c>
      <c r="BI5" s="264">
        <f>BH5-BG$5</f>
        <v>-5</v>
      </c>
      <c r="BJ5" s="265">
        <f>iferror(BH5/BG5,"")</f>
        <v>0</v>
      </c>
      <c r="BK5" s="49"/>
      <c r="BL5" s="86">
        <f t="shared" ref="BL5:BM5" si="1">SUM(BG5,BB5,AW5,AR5,AM5,AH5,AC5,X5,S5,N5,I5,D5,)</f>
        <v>133</v>
      </c>
      <c r="BM5" s="86">
        <f t="shared" si="1"/>
        <v>0</v>
      </c>
      <c r="BN5" s="264">
        <f>BM5-BL$5</f>
        <v>-133</v>
      </c>
      <c r="BO5" s="265">
        <f>iferror(BM5/BL5,"")</f>
        <v>0</v>
      </c>
      <c r="BP5" s="49"/>
      <c r="BQ5" s="86">
        <f t="shared" ref="BQ5:BR5" si="2">D5+I5+N5</f>
        <v>21</v>
      </c>
      <c r="BR5" s="86">
        <f t="shared" si="2"/>
        <v>0</v>
      </c>
      <c r="BS5" s="264">
        <f>BR5-BQ$5</f>
        <v>-21</v>
      </c>
      <c r="BT5" s="265">
        <f>iferror(BR5/BQ5,"")</f>
        <v>0</v>
      </c>
      <c r="BU5" s="49"/>
      <c r="BV5" s="86">
        <f t="shared" ref="BV5:BW5" si="3">S5+X5+AC5</f>
        <v>32</v>
      </c>
      <c r="BW5" s="86">
        <f t="shared" si="3"/>
        <v>0</v>
      </c>
      <c r="BX5" s="264">
        <f>BW5-BV$5</f>
        <v>-32</v>
      </c>
      <c r="BY5" s="265">
        <f>iferror(BW5/BV5,"")</f>
        <v>0</v>
      </c>
      <c r="BZ5" s="49"/>
      <c r="CA5" s="86">
        <f t="shared" ref="CA5:CB5" si="4">AH5+AM5+AR5</f>
        <v>43</v>
      </c>
      <c r="CB5" s="86">
        <f t="shared" si="4"/>
        <v>0</v>
      </c>
      <c r="CC5" s="264">
        <f>CB5-CA$5</f>
        <v>-43</v>
      </c>
      <c r="CD5" s="265">
        <f>iferror(CB5/CA5,"")</f>
        <v>0</v>
      </c>
      <c r="CE5" s="49"/>
      <c r="CF5" s="86">
        <f t="shared" ref="CF5:CG5" si="5">BG5+BB5+AW5</f>
        <v>37</v>
      </c>
      <c r="CG5" s="86">
        <f t="shared" si="5"/>
        <v>0</v>
      </c>
      <c r="CH5" s="264">
        <f>CG5-CF$5</f>
        <v>-37</v>
      </c>
      <c r="CI5" s="265">
        <f>iferror(CG5/CF5,"")</f>
        <v>0</v>
      </c>
      <c r="CJ5" s="49"/>
    </row>
    <row r="6">
      <c r="A6" s="3"/>
      <c r="B6" s="266"/>
      <c r="C6" s="267" t="s">
        <v>60</v>
      </c>
      <c r="D6" s="268">
        <f>'Business Plan'!E5</f>
        <v>0.18</v>
      </c>
      <c r="E6" s="268" t="str">
        <f>iferror(E9/E5,"")</f>
        <v/>
      </c>
      <c r="F6" s="268"/>
      <c r="G6" s="268"/>
      <c r="H6" s="269"/>
      <c r="I6" s="268">
        <f>'Business Plan'!F5</f>
        <v>0.18</v>
      </c>
      <c r="J6" s="268" t="str">
        <f>iferror(J9/J5,"")</f>
        <v/>
      </c>
      <c r="K6" s="268"/>
      <c r="L6" s="268"/>
      <c r="M6" s="269"/>
      <c r="N6" s="268">
        <f>'Business Plan'!G5</f>
        <v>0.18</v>
      </c>
      <c r="O6" s="268" t="str">
        <f>iferror(O9/O5,"")</f>
        <v/>
      </c>
      <c r="P6" s="268"/>
      <c r="Q6" s="268"/>
      <c r="R6" s="269"/>
      <c r="S6" s="268">
        <f>'Business Plan'!H5</f>
        <v>0.18</v>
      </c>
      <c r="T6" s="268" t="str">
        <f>iferror(T9/T5,"")</f>
        <v/>
      </c>
      <c r="U6" s="268"/>
      <c r="V6" s="268"/>
      <c r="W6" s="269"/>
      <c r="X6" s="268">
        <f>'Business Plan'!I5</f>
        <v>0.18</v>
      </c>
      <c r="Y6" s="268" t="str">
        <f>iferror(Y9/Y5,"")</f>
        <v/>
      </c>
      <c r="Z6" s="268"/>
      <c r="AA6" s="268"/>
      <c r="AB6" s="269"/>
      <c r="AC6" s="268">
        <f>'Business Plan'!J5</f>
        <v>0.18</v>
      </c>
      <c r="AD6" s="268" t="str">
        <f>iferror(AD9/AD5,"")</f>
        <v/>
      </c>
      <c r="AE6" s="268"/>
      <c r="AF6" s="268"/>
      <c r="AG6" s="269"/>
      <c r="AH6" s="268">
        <f>'Business Plan'!K5</f>
        <v>0.18</v>
      </c>
      <c r="AI6" s="268" t="str">
        <f>iferror(AI9/AI5,"")</f>
        <v/>
      </c>
      <c r="AJ6" s="268"/>
      <c r="AK6" s="268"/>
      <c r="AL6" s="269"/>
      <c r="AM6" s="268">
        <f>'Business Plan'!L5</f>
        <v>0.18</v>
      </c>
      <c r="AN6" s="268" t="str">
        <f>iferror(AN9/AN5,"")</f>
        <v/>
      </c>
      <c r="AO6" s="268"/>
      <c r="AP6" s="268"/>
      <c r="AQ6" s="269"/>
      <c r="AR6" s="268">
        <f>'Business Plan'!M5</f>
        <v>0.18</v>
      </c>
      <c r="AS6" s="268" t="str">
        <f>iferror(AS9/AS5,"")</f>
        <v/>
      </c>
      <c r="AT6" s="268"/>
      <c r="AU6" s="268"/>
      <c r="AV6" s="269"/>
      <c r="AW6" s="268">
        <f>'Business Plan'!N5</f>
        <v>0.18</v>
      </c>
      <c r="AX6" s="268" t="str">
        <f>iferror(AX9/AX5,"")</f>
        <v/>
      </c>
      <c r="AY6" s="268"/>
      <c r="AZ6" s="268"/>
      <c r="BA6" s="269"/>
      <c r="BB6" s="268">
        <f>'Business Plan'!O5</f>
        <v>0.18</v>
      </c>
      <c r="BC6" s="268" t="str">
        <f>iferror(BC9/BC5,"")</f>
        <v/>
      </c>
      <c r="BD6" s="268"/>
      <c r="BE6" s="268"/>
      <c r="BF6" s="269"/>
      <c r="BG6" s="268">
        <f>'Business Plan'!P5</f>
        <v>0.18</v>
      </c>
      <c r="BH6" s="268" t="str">
        <f>iferror(BH9/BH5,"")</f>
        <v/>
      </c>
      <c r="BI6" s="268"/>
      <c r="BJ6" s="268"/>
      <c r="BK6" s="269"/>
      <c r="BL6" s="268" t="str">
        <f>'Business Plan'!D5</f>
        <v/>
      </c>
      <c r="BM6" s="268" t="str">
        <f>iferror(BM9/BM5,"")</f>
        <v/>
      </c>
      <c r="BN6" s="268"/>
      <c r="BO6" s="268"/>
      <c r="BP6" s="269"/>
      <c r="BQ6" s="268">
        <f t="shared" ref="BQ6:BR6" si="6">D6+I6+N6</f>
        <v>0.54</v>
      </c>
      <c r="BR6" s="268">
        <f t="shared" si="6"/>
        <v>0</v>
      </c>
      <c r="BS6" s="268"/>
      <c r="BT6" s="268"/>
      <c r="BU6" s="269"/>
      <c r="BV6" s="268">
        <f t="shared" ref="BV6:BW6" si="7">S6+X6+AC6</f>
        <v>0.54</v>
      </c>
      <c r="BW6" s="268">
        <f t="shared" si="7"/>
        <v>0</v>
      </c>
      <c r="BX6" s="268"/>
      <c r="BY6" s="268"/>
      <c r="BZ6" s="269"/>
      <c r="CA6" s="268">
        <f t="shared" ref="CA6:CB6" si="8">AH6+AM6+AR6</f>
        <v>0.54</v>
      </c>
      <c r="CB6" s="268">
        <f t="shared" si="8"/>
        <v>0</v>
      </c>
      <c r="CC6" s="268"/>
      <c r="CD6" s="268"/>
      <c r="CE6" s="269"/>
      <c r="CF6" s="268">
        <f t="shared" ref="CF6:CG6" si="9">BG6+BB6+AW6</f>
        <v>0.54</v>
      </c>
      <c r="CG6" s="268">
        <f t="shared" si="9"/>
        <v>0</v>
      </c>
      <c r="CH6" s="268"/>
      <c r="CI6" s="268"/>
      <c r="CJ6" s="269"/>
    </row>
    <row r="7">
      <c r="A7" s="3"/>
      <c r="B7" s="270"/>
      <c r="C7" s="271" t="s">
        <v>184</v>
      </c>
      <c r="D7" s="272">
        <f t="shared" ref="D7:E7" si="10">D5</f>
        <v>5</v>
      </c>
      <c r="E7" s="272">
        <f t="shared" si="10"/>
        <v>0</v>
      </c>
      <c r="F7" s="272"/>
      <c r="G7" s="272"/>
      <c r="H7" s="273"/>
      <c r="I7" s="272">
        <f t="shared" ref="I7:J7" si="11">D7+I5</f>
        <v>10</v>
      </c>
      <c r="J7" s="272">
        <f t="shared" si="11"/>
        <v>0</v>
      </c>
      <c r="K7" s="272"/>
      <c r="L7" s="272"/>
      <c r="M7" s="273"/>
      <c r="N7" s="272">
        <f t="shared" ref="N7:O7" si="12">I7+N5</f>
        <v>21</v>
      </c>
      <c r="O7" s="272">
        <f t="shared" si="12"/>
        <v>0</v>
      </c>
      <c r="P7" s="272"/>
      <c r="Q7" s="272"/>
      <c r="R7" s="273"/>
      <c r="S7" s="272">
        <f t="shared" ref="S7:T7" si="13">N7+S5</f>
        <v>26</v>
      </c>
      <c r="T7" s="272">
        <f t="shared" si="13"/>
        <v>0</v>
      </c>
      <c r="U7" s="272"/>
      <c r="V7" s="272"/>
      <c r="W7" s="273"/>
      <c r="X7" s="272">
        <f t="shared" ref="X7:Y7" si="14">S7+X5</f>
        <v>37</v>
      </c>
      <c r="Y7" s="272">
        <f t="shared" si="14"/>
        <v>0</v>
      </c>
      <c r="Z7" s="272"/>
      <c r="AA7" s="272"/>
      <c r="AB7" s="273"/>
      <c r="AC7" s="272">
        <f t="shared" ref="AC7:AD7" si="15">X7+AC5</f>
        <v>53</v>
      </c>
      <c r="AD7" s="272">
        <f t="shared" si="15"/>
        <v>0</v>
      </c>
      <c r="AE7" s="272"/>
      <c r="AF7" s="272"/>
      <c r="AG7" s="273"/>
      <c r="AH7" s="272">
        <f t="shared" ref="AH7:AI7" si="16">AC7+AH5</f>
        <v>64</v>
      </c>
      <c r="AI7" s="272">
        <f t="shared" si="16"/>
        <v>0</v>
      </c>
      <c r="AJ7" s="272"/>
      <c r="AK7" s="272"/>
      <c r="AL7" s="273"/>
      <c r="AM7" s="272">
        <f t="shared" ref="AM7:AN7" si="17">AH7+AM5</f>
        <v>80</v>
      </c>
      <c r="AN7" s="272">
        <f t="shared" si="17"/>
        <v>0</v>
      </c>
      <c r="AO7" s="272"/>
      <c r="AP7" s="272"/>
      <c r="AQ7" s="273"/>
      <c r="AR7" s="272">
        <f t="shared" ref="AR7:AS7" si="18">AM7+AR5</f>
        <v>96</v>
      </c>
      <c r="AS7" s="272">
        <f t="shared" si="18"/>
        <v>0</v>
      </c>
      <c r="AT7" s="272"/>
      <c r="AU7" s="272"/>
      <c r="AV7" s="273"/>
      <c r="AW7" s="272">
        <f t="shared" ref="AW7:AX7" si="19">AR7+AW5</f>
        <v>112</v>
      </c>
      <c r="AX7" s="272">
        <f t="shared" si="19"/>
        <v>0</v>
      </c>
      <c r="AY7" s="272"/>
      <c r="AZ7" s="272"/>
      <c r="BA7" s="273"/>
      <c r="BB7" s="272">
        <f t="shared" ref="BB7:BC7" si="20">AW7+BB5</f>
        <v>128</v>
      </c>
      <c r="BC7" s="272">
        <f t="shared" si="20"/>
        <v>0</v>
      </c>
      <c r="BD7" s="272"/>
      <c r="BE7" s="272"/>
      <c r="BF7" s="273"/>
      <c r="BG7" s="272">
        <f t="shared" ref="BG7:BH7" si="21">BB7+BG5</f>
        <v>133</v>
      </c>
      <c r="BH7" s="272">
        <f t="shared" si="21"/>
        <v>0</v>
      </c>
      <c r="BI7" s="272"/>
      <c r="BJ7" s="272"/>
      <c r="BK7" s="273"/>
      <c r="BL7" s="272"/>
      <c r="BM7" s="272"/>
      <c r="BN7" s="272"/>
      <c r="BO7" s="272"/>
      <c r="BP7" s="274"/>
      <c r="BQ7" s="272">
        <f t="shared" ref="BQ7:BR7" si="22">D7+I7+N7</f>
        <v>36</v>
      </c>
      <c r="BR7" s="272">
        <f t="shared" si="22"/>
        <v>0</v>
      </c>
      <c r="BS7" s="272"/>
      <c r="BT7" s="272"/>
      <c r="BU7" s="273"/>
      <c r="BV7" s="272">
        <f t="shared" ref="BV7:BW7" si="23">S7+X7+AC7</f>
        <v>116</v>
      </c>
      <c r="BW7" s="272">
        <f t="shared" si="23"/>
        <v>0</v>
      </c>
      <c r="BX7" s="272"/>
      <c r="BY7" s="272"/>
      <c r="BZ7" s="273"/>
      <c r="CA7" s="272">
        <f t="shared" ref="CA7:CB7" si="24">AH7+AM7+AR7</f>
        <v>240</v>
      </c>
      <c r="CB7" s="272">
        <f t="shared" si="24"/>
        <v>0</v>
      </c>
      <c r="CC7" s="272"/>
      <c r="CD7" s="272"/>
      <c r="CE7" s="273"/>
      <c r="CF7" s="272">
        <f t="shared" ref="CF7:CG7" si="25">BG7+BB7+AW7</f>
        <v>373</v>
      </c>
      <c r="CG7" s="272">
        <f t="shared" si="25"/>
        <v>0</v>
      </c>
      <c r="CH7" s="272"/>
      <c r="CI7" s="272"/>
      <c r="CJ7" s="274"/>
    </row>
    <row r="8" ht="7.5" customHeight="1">
      <c r="A8" s="31"/>
      <c r="B8" s="31"/>
      <c r="C8" s="52"/>
      <c r="D8" s="53"/>
      <c r="E8" s="53"/>
      <c r="F8" s="275"/>
      <c r="G8" s="53"/>
      <c r="H8" s="55"/>
      <c r="I8" s="53"/>
      <c r="J8" s="53"/>
      <c r="K8" s="275"/>
      <c r="L8" s="53"/>
      <c r="M8" s="55"/>
      <c r="N8" s="53"/>
      <c r="O8" s="53"/>
      <c r="P8" s="275"/>
      <c r="Q8" s="53"/>
      <c r="R8" s="55"/>
      <c r="S8" s="53"/>
      <c r="T8" s="53"/>
      <c r="U8" s="275"/>
      <c r="V8" s="53"/>
      <c r="W8" s="55"/>
      <c r="X8" s="53"/>
      <c r="Y8" s="53"/>
      <c r="Z8" s="275"/>
      <c r="AA8" s="53"/>
      <c r="AB8" s="55"/>
      <c r="AC8" s="53"/>
      <c r="AD8" s="53"/>
      <c r="AE8" s="275"/>
      <c r="AF8" s="53"/>
      <c r="AG8" s="55"/>
      <c r="AH8" s="53"/>
      <c r="AI8" s="53"/>
      <c r="AJ8" s="275"/>
      <c r="AK8" s="53"/>
      <c r="AL8" s="55"/>
      <c r="AM8" s="53"/>
      <c r="AN8" s="53"/>
      <c r="AO8" s="275"/>
      <c r="AP8" s="53"/>
      <c r="AQ8" s="55"/>
      <c r="AR8" s="53"/>
      <c r="AS8" s="53"/>
      <c r="AT8" s="275"/>
      <c r="AU8" s="53"/>
      <c r="AV8" s="55"/>
      <c r="AW8" s="53"/>
      <c r="AX8" s="53"/>
      <c r="AY8" s="275"/>
      <c r="AZ8" s="53"/>
      <c r="BA8" s="55"/>
      <c r="BB8" s="53"/>
      <c r="BC8" s="53"/>
      <c r="BD8" s="275"/>
      <c r="BE8" s="53"/>
      <c r="BF8" s="55"/>
      <c r="BG8" s="53"/>
      <c r="BH8" s="53"/>
      <c r="BI8" s="275"/>
      <c r="BJ8" s="53"/>
      <c r="BK8" s="55"/>
      <c r="BL8" s="53"/>
      <c r="BM8" s="53"/>
      <c r="BN8" s="275"/>
      <c r="BO8" s="53"/>
      <c r="BP8" s="55"/>
      <c r="BQ8" s="53"/>
      <c r="BR8" s="53"/>
      <c r="BS8" s="275"/>
      <c r="BT8" s="53"/>
      <c r="BU8" s="55"/>
      <c r="BV8" s="53"/>
      <c r="BW8" s="53"/>
      <c r="BX8" s="275"/>
      <c r="BY8" s="53"/>
      <c r="BZ8" s="55"/>
      <c r="CA8" s="53"/>
      <c r="CB8" s="53"/>
      <c r="CC8" s="275"/>
      <c r="CD8" s="53"/>
      <c r="CE8" s="55"/>
      <c r="CF8" s="53"/>
      <c r="CG8" s="53"/>
      <c r="CH8" s="275"/>
      <c r="CI8" s="53"/>
      <c r="CJ8" s="55"/>
    </row>
    <row r="9" ht="24.75" customHeight="1">
      <c r="A9" s="3"/>
      <c r="B9" s="31"/>
      <c r="C9" s="66" t="s">
        <v>43</v>
      </c>
      <c r="D9" s="276">
        <f>'Business Plan'!E9</f>
        <v>1</v>
      </c>
      <c r="E9" s="276">
        <f>SUMIFS('DATA-IMP'!$Z$3:$Z43, 'DATA-IMP'!$D$3:$D43, "&gt;=" &amp; E$1, 'DATA-IMP'!$D$3:$D43, "&lt;" &amp; F$1)</f>
        <v>0</v>
      </c>
      <c r="F9" s="264">
        <f>E9-D9</f>
        <v>-1</v>
      </c>
      <c r="G9" s="265">
        <f>iferror(E9/D9,"")</f>
        <v>0</v>
      </c>
      <c r="H9" s="55"/>
      <c r="I9" s="276">
        <f>'Business Plan'!F9</f>
        <v>1</v>
      </c>
      <c r="J9" s="276">
        <f>SUMIFS('DATA-IMP'!$Z$3:$Z43, 'DATA-IMP'!$D$3:$D43, "&gt;=" &amp; J$1, 'DATA-IMP'!$D$3:$D43, "&lt;" &amp; K$1)</f>
        <v>0</v>
      </c>
      <c r="K9" s="264">
        <f>J9-I$9</f>
        <v>-1</v>
      </c>
      <c r="L9" s="265">
        <f>iferror(J9/I9,"")</f>
        <v>0</v>
      </c>
      <c r="M9" s="55"/>
      <c r="N9" s="276">
        <f>'Business Plan'!G9</f>
        <v>2</v>
      </c>
      <c r="O9" s="276">
        <f>SUMIFS('DATA-IMP'!$Z$3:$Z43, 'DATA-IMP'!$D$3:$D43, "&gt;=" &amp; O$1, 'DATA-IMP'!$D$3:$D43, "&lt;" &amp; P$1)</f>
        <v>0</v>
      </c>
      <c r="P9" s="264">
        <f>O9-N$9</f>
        <v>-2</v>
      </c>
      <c r="Q9" s="265">
        <f>iferror(O9/N9,"")</f>
        <v>0</v>
      </c>
      <c r="R9" s="55"/>
      <c r="S9" s="276">
        <f>'Business Plan'!H9</f>
        <v>1</v>
      </c>
      <c r="T9" s="276">
        <f>SUMIFS('DATA-IMP'!$Z$3:$Z43, 'DATA-IMP'!$D$3:$D43, "&gt;=" &amp; T$1, 'DATA-IMP'!$D$3:$D43, "&lt;" &amp; U$1)</f>
        <v>0</v>
      </c>
      <c r="U9" s="264">
        <f>T9-S$9</f>
        <v>-1</v>
      </c>
      <c r="V9" s="265">
        <f>iferror(T9/S9,"")</f>
        <v>0</v>
      </c>
      <c r="W9" s="55"/>
      <c r="X9" s="276">
        <f>'Business Plan'!I9</f>
        <v>2</v>
      </c>
      <c r="Y9" s="276">
        <f>SUMIFS('DATA-IMP'!$Z$3:$Z43, 'DATA-IMP'!$D$3:$D43, "&gt;=" &amp; Y$1, 'DATA-IMP'!$D$3:$D43, "&lt;" &amp; Z$1)</f>
        <v>0</v>
      </c>
      <c r="Z9" s="264">
        <f>Y9-X$9</f>
        <v>-2</v>
      </c>
      <c r="AA9" s="265">
        <f>iferror(Y9/X9,"")</f>
        <v>0</v>
      </c>
      <c r="AB9" s="55"/>
      <c r="AC9" s="276">
        <f>'Business Plan'!J9</f>
        <v>3</v>
      </c>
      <c r="AD9" s="276">
        <f>SUMIFS('DATA-IMP'!$Z$3:$Z43, 'DATA-IMP'!$D$3:$D43, "&gt;=" &amp; AD$1, 'DATA-IMP'!$D$3:$D43, "&lt;" &amp; AE$1)</f>
        <v>0</v>
      </c>
      <c r="AE9" s="264">
        <f>AD9-AC$9</f>
        <v>-3</v>
      </c>
      <c r="AF9" s="265">
        <f>iferror(AD9/AC9,"")</f>
        <v>0</v>
      </c>
      <c r="AG9" s="55"/>
      <c r="AH9" s="276">
        <f>'Business Plan'!K9</f>
        <v>2</v>
      </c>
      <c r="AI9" s="276">
        <f>SUMIFS('DATA-IMP'!$Z$3:$Z43, 'DATA-IMP'!$D$3:$D43, "&gt;=" &amp; AI$1, 'DATA-IMP'!$D$3:$D43, "&lt;" &amp; AJ$1)</f>
        <v>0</v>
      </c>
      <c r="AJ9" s="264">
        <f>AI9-AH$9</f>
        <v>-2</v>
      </c>
      <c r="AK9" s="265">
        <f>iferror(AI9/AH9,"")</f>
        <v>0</v>
      </c>
      <c r="AL9" s="55"/>
      <c r="AM9" s="276">
        <f>'Business Plan'!L9</f>
        <v>3</v>
      </c>
      <c r="AN9" s="276">
        <f>SUMIFS('DATA-IMP'!$Z$3:$Z43, 'DATA-IMP'!$D$3:$D43, "&gt;=" &amp; AN$1, 'DATA-IMP'!$D$3:$D43, "&lt;" &amp; AO$1)</f>
        <v>0</v>
      </c>
      <c r="AO9" s="264">
        <f>AN9-AM$9</f>
        <v>-3</v>
      </c>
      <c r="AP9" s="265">
        <f>iferror(AN9/AM9,"")</f>
        <v>0</v>
      </c>
      <c r="AQ9" s="55"/>
      <c r="AR9" s="276">
        <f>'Business Plan'!M9</f>
        <v>3</v>
      </c>
      <c r="AS9" s="276">
        <f>SUMIFS('DATA-IMP'!$Z$3:$Z43, 'DATA-IMP'!$D$3:$D43, "&gt;=" &amp; AS$1, 'DATA-IMP'!$D$3:$D43, "&lt;" &amp; AT$1)</f>
        <v>0</v>
      </c>
      <c r="AT9" s="264">
        <f>AS9-AR$9</f>
        <v>-3</v>
      </c>
      <c r="AU9" s="265">
        <f>iferror(AS9/AR9,"")</f>
        <v>0</v>
      </c>
      <c r="AV9" s="55"/>
      <c r="AW9" s="276">
        <f>'Business Plan'!N9</f>
        <v>3</v>
      </c>
      <c r="AX9" s="276">
        <f>SUMIFS('DATA-IMP'!$Z$3:$Z43, 'DATA-IMP'!$D$3:$D43, "&gt;=" &amp; AX$1, 'DATA-IMP'!$D$3:$D43, "&lt;" &amp; AY$1)</f>
        <v>0</v>
      </c>
      <c r="AY9" s="264">
        <f>AX9-AW$9</f>
        <v>-3</v>
      </c>
      <c r="AZ9" s="265">
        <f>iferror(AX9/AW9,"")</f>
        <v>0</v>
      </c>
      <c r="BA9" s="55"/>
      <c r="BB9" s="276">
        <f>'Business Plan'!O9</f>
        <v>3</v>
      </c>
      <c r="BC9" s="276">
        <f>SUMIFS('DATA-IMP'!$Z$3:$Z43, 'DATA-IMP'!$D$3:$D43, "&gt;=" &amp; BC$1, 'DATA-IMP'!$D$3:$D43, "&lt;" &amp; BD$1)</f>
        <v>0</v>
      </c>
      <c r="BD9" s="264">
        <f>BC9-BB$9</f>
        <v>-3</v>
      </c>
      <c r="BE9" s="265">
        <f>iferror(BC9/BB9,"")</f>
        <v>0</v>
      </c>
      <c r="BF9" s="55"/>
      <c r="BG9" s="276">
        <f>'Business Plan'!P9</f>
        <v>1</v>
      </c>
      <c r="BH9" s="276">
        <f>SUMIFS('DATA-IMP'!$Z$3:$Z43, 'DATA-IMP'!$D$3:$D43, "&gt;=" &amp; BH$1, 'DATA-IMP'!$D$3:$D43, "&lt;" &amp; BI$1)</f>
        <v>0</v>
      </c>
      <c r="BI9" s="264">
        <f>BH9-BG$9</f>
        <v>-1</v>
      </c>
      <c r="BJ9" s="265">
        <f>iferror(BH9/BG9,"")</f>
        <v>0</v>
      </c>
      <c r="BK9" s="55"/>
      <c r="BL9" s="276">
        <f t="shared" ref="BL9:BM9" si="26">SUM(BG9,BB9,AW9,AR9,AM9,AH9,AC9,X9,S9,N9,I9,D9,)</f>
        <v>25</v>
      </c>
      <c r="BM9" s="276">
        <f t="shared" si="26"/>
        <v>0</v>
      </c>
      <c r="BN9" s="264">
        <f>BM9-BL$9</f>
        <v>-25</v>
      </c>
      <c r="BO9" s="265">
        <f>iferror(BM9/BL9,"")</f>
        <v>0</v>
      </c>
      <c r="BP9" s="55"/>
      <c r="BQ9" s="276">
        <f t="shared" ref="BQ9:BR9" si="27">D9+I9+N9</f>
        <v>4</v>
      </c>
      <c r="BR9" s="276">
        <f t="shared" si="27"/>
        <v>0</v>
      </c>
      <c r="BS9" s="264">
        <f>BR9-BQ$9</f>
        <v>-4</v>
      </c>
      <c r="BT9" s="265">
        <f>iferror(BR9/BQ9,"")</f>
        <v>0</v>
      </c>
      <c r="BU9" s="55"/>
      <c r="BV9" s="276">
        <f t="shared" ref="BV9:BW9" si="28">S9+X9+AC9</f>
        <v>6</v>
      </c>
      <c r="BW9" s="276">
        <f t="shared" si="28"/>
        <v>0</v>
      </c>
      <c r="BX9" s="264">
        <f>BW9-BV$9</f>
        <v>-6</v>
      </c>
      <c r="BY9" s="265">
        <f>iferror(BW9/BV9,"")</f>
        <v>0</v>
      </c>
      <c r="BZ9" s="55"/>
      <c r="CA9" s="276">
        <f t="shared" ref="CA9:CB9" si="29">AH9+AM9+AR9</f>
        <v>8</v>
      </c>
      <c r="CB9" s="276">
        <f t="shared" si="29"/>
        <v>0</v>
      </c>
      <c r="CC9" s="264">
        <f>CB9-CA$9</f>
        <v>-8</v>
      </c>
      <c r="CD9" s="265">
        <f>iferror(CB9/CA9,"")</f>
        <v>0</v>
      </c>
      <c r="CE9" s="55"/>
      <c r="CF9" s="276">
        <f t="shared" ref="CF9:CG9" si="30">BG9+BB9+AW9</f>
        <v>7</v>
      </c>
      <c r="CG9" s="276">
        <f t="shared" si="30"/>
        <v>0</v>
      </c>
      <c r="CH9" s="264">
        <f>CG9-CF$9</f>
        <v>-7</v>
      </c>
      <c r="CI9" s="265">
        <f>iferror(CG9/CF9,"")</f>
        <v>0</v>
      </c>
      <c r="CJ9" s="55"/>
    </row>
    <row r="10">
      <c r="A10" s="3"/>
      <c r="B10" s="270"/>
      <c r="C10" s="271" t="s">
        <v>185</v>
      </c>
      <c r="D10" s="272">
        <f t="shared" ref="D10:E10" si="31">D9</f>
        <v>1</v>
      </c>
      <c r="E10" s="272">
        <f t="shared" si="31"/>
        <v>0</v>
      </c>
      <c r="F10" s="272"/>
      <c r="G10" s="272"/>
      <c r="H10" s="273"/>
      <c r="I10" s="272">
        <f t="shared" ref="I10:J10" si="32">I9+D10</f>
        <v>2</v>
      </c>
      <c r="J10" s="272">
        <f t="shared" si="32"/>
        <v>0</v>
      </c>
      <c r="K10" s="272"/>
      <c r="L10" s="272"/>
      <c r="M10" s="273"/>
      <c r="N10" s="272">
        <f t="shared" ref="N10:O10" si="33">N9+I10</f>
        <v>4</v>
      </c>
      <c r="O10" s="272">
        <f t="shared" si="33"/>
        <v>0</v>
      </c>
      <c r="P10" s="272"/>
      <c r="Q10" s="272"/>
      <c r="R10" s="273"/>
      <c r="S10" s="272">
        <f t="shared" ref="S10:T10" si="34">S9+N10</f>
        <v>5</v>
      </c>
      <c r="T10" s="272">
        <f t="shared" si="34"/>
        <v>0</v>
      </c>
      <c r="U10" s="272"/>
      <c r="V10" s="272"/>
      <c r="W10" s="273"/>
      <c r="X10" s="272">
        <f t="shared" ref="X10:Y10" si="35">X9+S10</f>
        <v>7</v>
      </c>
      <c r="Y10" s="272">
        <f t="shared" si="35"/>
        <v>0</v>
      </c>
      <c r="Z10" s="272"/>
      <c r="AA10" s="272"/>
      <c r="AB10" s="273"/>
      <c r="AC10" s="272">
        <f t="shared" ref="AC10:AD10" si="36">AC9+X10</f>
        <v>10</v>
      </c>
      <c r="AD10" s="272">
        <f t="shared" si="36"/>
        <v>0</v>
      </c>
      <c r="AE10" s="272"/>
      <c r="AF10" s="272"/>
      <c r="AG10" s="273"/>
      <c r="AH10" s="272">
        <f t="shared" ref="AH10:AI10" si="37">AH9+AC10</f>
        <v>12</v>
      </c>
      <c r="AI10" s="272">
        <f t="shared" si="37"/>
        <v>0</v>
      </c>
      <c r="AJ10" s="272"/>
      <c r="AK10" s="272"/>
      <c r="AL10" s="273"/>
      <c r="AM10" s="272">
        <f t="shared" ref="AM10:AN10" si="38">AM9+AH10</f>
        <v>15</v>
      </c>
      <c r="AN10" s="272">
        <f t="shared" si="38"/>
        <v>0</v>
      </c>
      <c r="AO10" s="272"/>
      <c r="AP10" s="272"/>
      <c r="AQ10" s="273"/>
      <c r="AR10" s="272">
        <f t="shared" ref="AR10:AS10" si="39">AR9+AM10</f>
        <v>18</v>
      </c>
      <c r="AS10" s="272">
        <f t="shared" si="39"/>
        <v>0</v>
      </c>
      <c r="AT10" s="272"/>
      <c r="AU10" s="272"/>
      <c r="AV10" s="273"/>
      <c r="AW10" s="272">
        <f t="shared" ref="AW10:AX10" si="40">AW9+AR10</f>
        <v>21</v>
      </c>
      <c r="AX10" s="272">
        <f t="shared" si="40"/>
        <v>0</v>
      </c>
      <c r="AY10" s="272"/>
      <c r="AZ10" s="272"/>
      <c r="BA10" s="273"/>
      <c r="BB10" s="272">
        <f t="shared" ref="BB10:BC10" si="41">BB9+AW10</f>
        <v>24</v>
      </c>
      <c r="BC10" s="272">
        <f t="shared" si="41"/>
        <v>0</v>
      </c>
      <c r="BD10" s="272"/>
      <c r="BE10" s="272"/>
      <c r="BF10" s="273"/>
      <c r="BG10" s="272">
        <f t="shared" ref="BG10:BH10" si="42">BG9+BB10</f>
        <v>25</v>
      </c>
      <c r="BH10" s="272">
        <f t="shared" si="42"/>
        <v>0</v>
      </c>
      <c r="BI10" s="272"/>
      <c r="BJ10" s="272"/>
      <c r="BK10" s="273"/>
      <c r="BL10" s="272"/>
      <c r="BM10" s="272"/>
      <c r="BN10" s="272"/>
      <c r="BO10" s="272"/>
      <c r="BP10" s="274"/>
      <c r="BQ10" s="272">
        <f t="shared" ref="BQ10:BR10" si="43">D10+I10+N10</f>
        <v>7</v>
      </c>
      <c r="BR10" s="272">
        <f t="shared" si="43"/>
        <v>0</v>
      </c>
      <c r="BS10" s="272"/>
      <c r="BT10" s="272"/>
      <c r="BU10" s="273"/>
      <c r="BV10" s="272">
        <f t="shared" ref="BV10:BW10" si="44">S10+X10+AC10</f>
        <v>22</v>
      </c>
      <c r="BW10" s="272">
        <f t="shared" si="44"/>
        <v>0</v>
      </c>
      <c r="BX10" s="272"/>
      <c r="BY10" s="272"/>
      <c r="BZ10" s="273"/>
      <c r="CA10" s="272">
        <f t="shared" ref="CA10:CB10" si="45">AH10+AM10+AR10</f>
        <v>45</v>
      </c>
      <c r="CB10" s="272">
        <f t="shared" si="45"/>
        <v>0</v>
      </c>
      <c r="CC10" s="272"/>
      <c r="CD10" s="272"/>
      <c r="CE10" s="273"/>
      <c r="CF10" s="272">
        <f t="shared" ref="CF10:CG10" si="46">BG10+BB10+AW10</f>
        <v>70</v>
      </c>
      <c r="CG10" s="272">
        <f t="shared" si="46"/>
        <v>0</v>
      </c>
      <c r="CH10" s="272"/>
      <c r="CI10" s="272"/>
      <c r="CJ10" s="274"/>
    </row>
    <row r="11" ht="7.5" customHeight="1">
      <c r="A11" s="31"/>
      <c r="B11" s="31"/>
      <c r="C11" s="111"/>
      <c r="D11" s="277"/>
      <c r="E11" s="277"/>
      <c r="F11" s="278"/>
      <c r="G11" s="279"/>
      <c r="H11" s="55"/>
      <c r="I11" s="277"/>
      <c r="J11" s="277"/>
      <c r="K11" s="278"/>
      <c r="L11" s="279"/>
      <c r="M11" s="55"/>
      <c r="N11" s="277"/>
      <c r="O11" s="277"/>
      <c r="P11" s="278"/>
      <c r="Q11" s="279"/>
      <c r="R11" s="55"/>
      <c r="S11" s="277"/>
      <c r="T11" s="277"/>
      <c r="U11" s="278"/>
      <c r="V11" s="279"/>
      <c r="W11" s="55"/>
      <c r="X11" s="277"/>
      <c r="Y11" s="277"/>
      <c r="Z11" s="278"/>
      <c r="AA11" s="279"/>
      <c r="AB11" s="55"/>
      <c r="AC11" s="277"/>
      <c r="AD11" s="277"/>
      <c r="AE11" s="278"/>
      <c r="AF11" s="279"/>
      <c r="AG11" s="55"/>
      <c r="AH11" s="277"/>
      <c r="AI11" s="277"/>
      <c r="AJ11" s="278"/>
      <c r="AK11" s="279"/>
      <c r="AL11" s="55"/>
      <c r="AM11" s="277"/>
      <c r="AN11" s="277"/>
      <c r="AO11" s="278"/>
      <c r="AP11" s="279"/>
      <c r="AQ11" s="55"/>
      <c r="AR11" s="277"/>
      <c r="AS11" s="277"/>
      <c r="AT11" s="278"/>
      <c r="AU11" s="279"/>
      <c r="AV11" s="55"/>
      <c r="AW11" s="277"/>
      <c r="AX11" s="277"/>
      <c r="AY11" s="278"/>
      <c r="AZ11" s="279"/>
      <c r="BA11" s="55"/>
      <c r="BB11" s="277"/>
      <c r="BC11" s="277"/>
      <c r="BD11" s="278"/>
      <c r="BE11" s="279"/>
      <c r="BF11" s="55"/>
      <c r="BG11" s="277"/>
      <c r="BH11" s="277"/>
      <c r="BI11" s="278"/>
      <c r="BJ11" s="279"/>
      <c r="BK11" s="55"/>
      <c r="BL11" s="277"/>
      <c r="BM11" s="277"/>
      <c r="BN11" s="278"/>
      <c r="BO11" s="279"/>
      <c r="BP11" s="55"/>
      <c r="BQ11" s="277"/>
      <c r="BR11" s="277"/>
      <c r="BS11" s="278"/>
      <c r="BT11" s="279"/>
      <c r="BU11" s="55"/>
      <c r="BV11" s="277"/>
      <c r="BW11" s="277"/>
      <c r="BX11" s="278"/>
      <c r="BY11" s="279"/>
      <c r="BZ11" s="55"/>
      <c r="CA11" s="277"/>
      <c r="CB11" s="277"/>
      <c r="CC11" s="278"/>
      <c r="CD11" s="279"/>
      <c r="CE11" s="55"/>
      <c r="CF11" s="277">
        <f t="shared" ref="CF11:CG11" si="47">BG11+BB11+AW11</f>
        <v>0</v>
      </c>
      <c r="CG11" s="277">
        <f t="shared" si="47"/>
        <v>0</v>
      </c>
      <c r="CH11" s="278"/>
      <c r="CI11" s="279"/>
      <c r="CJ11" s="55"/>
    </row>
    <row r="12" ht="23.25" customHeight="1">
      <c r="A12" s="3"/>
      <c r="B12" s="270"/>
      <c r="C12" s="217" t="s">
        <v>44</v>
      </c>
      <c r="D12" s="46">
        <f>'Business Plan'!E12</f>
        <v>1750</v>
      </c>
      <c r="E12" s="46">
        <f>SUMIFS('DATA-IMP'!$U$3:$U43, 'DATA-IMP'!$D$3:$D43, "&gt;=" &amp; E$1, 'DATA-IMP'!$D$3:$D43, "&lt;" &amp; F$1,'DATA-IMP'!$F$3:$F43,"Closed Won")</f>
        <v>0</v>
      </c>
      <c r="F12" s="264">
        <f t="shared" ref="F12:F15" si="53">E12-D12</f>
        <v>-1750</v>
      </c>
      <c r="G12" s="265">
        <f t="shared" ref="G12:G15" si="54">iferror(E12/D12,"")</f>
        <v>0</v>
      </c>
      <c r="H12" s="280"/>
      <c r="I12" s="46">
        <f>'Business Plan'!F12</f>
        <v>2100</v>
      </c>
      <c r="J12" s="46">
        <f>SUMIFS('DATA-IMP'!$U$3:$U43, 'DATA-IMP'!$D$3:$D43, "&gt;=" &amp; J$1, 'DATA-IMP'!$D$3:$D43, "&lt;" &amp; K$1,'DATA-IMP'!$F$3:$F43,"Closed Won")</f>
        <v>0</v>
      </c>
      <c r="K12" s="264">
        <f>J12-I$12</f>
        <v>-2100</v>
      </c>
      <c r="L12" s="265">
        <f t="shared" ref="L12:L15" si="55">iferror(J12/I12,"")</f>
        <v>0</v>
      </c>
      <c r="M12" s="280"/>
      <c r="N12" s="46">
        <f>'Business Plan'!G12</f>
        <v>2450</v>
      </c>
      <c r="O12" s="46">
        <f>SUMIFS('DATA-IMP'!$U$3:$U43, 'DATA-IMP'!$D$3:$D43, "&gt;=" &amp; O$1, 'DATA-IMP'!$D$3:$D43, "&lt;" &amp; P$1,'DATA-IMP'!$F$3:$F43,"Closed Won")</f>
        <v>0</v>
      </c>
      <c r="P12" s="264">
        <f>O12-N$12</f>
        <v>-2450</v>
      </c>
      <c r="Q12" s="265">
        <f t="shared" ref="Q12:Q15" si="56">iferror(O12/N12,"")</f>
        <v>0</v>
      </c>
      <c r="R12" s="280"/>
      <c r="S12" s="46">
        <f>'Business Plan'!H12</f>
        <v>2100</v>
      </c>
      <c r="T12" s="46">
        <f>SUMIFS('DATA-IMP'!$U$3:$U43, 'DATA-IMP'!$D$3:$D43, "&gt;=" &amp; T$1, 'DATA-IMP'!$D$3:$D43, "&lt;" &amp; U$1,'DATA-IMP'!$F$3:$F43,"Closed Won")</f>
        <v>0</v>
      </c>
      <c r="U12" s="264">
        <f>T12-S$12</f>
        <v>-2100</v>
      </c>
      <c r="V12" s="265">
        <f t="shared" ref="V12:V15" si="57">iferror(T12/S12,"")</f>
        <v>0</v>
      </c>
      <c r="W12" s="280"/>
      <c r="X12" s="46">
        <f>'Business Plan'!I12</f>
        <v>2450</v>
      </c>
      <c r="Y12" s="46">
        <f>SUMIFS('DATA-IMP'!$U$3:$U43, 'DATA-IMP'!$D$3:$D43, "&gt;=" &amp; Y$1, 'DATA-IMP'!$D$3:$D43, "&lt;" &amp; Z$1,'DATA-IMP'!$F$3:$F43,"Closed Won")</f>
        <v>0</v>
      </c>
      <c r="Z12" s="264">
        <f>Y12-X$12</f>
        <v>-2450</v>
      </c>
      <c r="AA12" s="265">
        <f t="shared" ref="AA12:AA15" si="58">iferror(Y12/X12,"")</f>
        <v>0</v>
      </c>
      <c r="AB12" s="280"/>
      <c r="AC12" s="46">
        <f>'Business Plan'!J12</f>
        <v>4200</v>
      </c>
      <c r="AD12" s="46">
        <f>SUMIFS('DATA-IMP'!$U$3:$U43, 'DATA-IMP'!$D$3:$D43, "&gt;=" &amp; AD$1, 'DATA-IMP'!$D$3:$D43, "&lt;" &amp; AE$1,'DATA-IMP'!$F$3:$F43,"Closed Won")</f>
        <v>0</v>
      </c>
      <c r="AE12" s="264">
        <f>AD12-AC$12</f>
        <v>-4200</v>
      </c>
      <c r="AF12" s="265">
        <f t="shared" ref="AF12:AF15" si="59">iferror(AD12/AC12,"")</f>
        <v>0</v>
      </c>
      <c r="AG12" s="280"/>
      <c r="AH12" s="46">
        <f>'Business Plan'!K12</f>
        <v>2450</v>
      </c>
      <c r="AI12" s="46">
        <f>SUMIFS('DATA-IMP'!$U$3:$U43, 'DATA-IMP'!$D$3:$D43, "&gt;=" &amp; AI$1, 'DATA-IMP'!$D$3:$D43, "&lt;" &amp; AJ$1,'DATA-IMP'!$F$3:$F43,"Closed Won")</f>
        <v>0</v>
      </c>
      <c r="AJ12" s="264">
        <f>AI12-AH$12</f>
        <v>-2450</v>
      </c>
      <c r="AK12" s="265">
        <f t="shared" ref="AK12:AK15" si="60">iferror(AI12/AH12,"")</f>
        <v>0</v>
      </c>
      <c r="AL12" s="280"/>
      <c r="AM12" s="46">
        <f>'Business Plan'!L12</f>
        <v>2800</v>
      </c>
      <c r="AN12" s="46">
        <f>SUMIFS('DATA-IMP'!$U$3:$U43, 'DATA-IMP'!$D$3:$D43, "&gt;=" &amp; AN$1, 'DATA-IMP'!$D$3:$D43, "&lt;" &amp; AO$1,'DATA-IMP'!$F$3:$F43,"Closed Won")</f>
        <v>0</v>
      </c>
      <c r="AO12" s="264">
        <f>AN12-AM$12</f>
        <v>-2800</v>
      </c>
      <c r="AP12" s="265">
        <f t="shared" ref="AP12:AP15" si="61">iferror(AN12/AM12,"")</f>
        <v>0</v>
      </c>
      <c r="AQ12" s="280"/>
      <c r="AR12" s="46">
        <f>'Business Plan'!M12</f>
        <v>3850</v>
      </c>
      <c r="AS12" s="46">
        <f>SUMIFS('DATA-IMP'!$U$3:$U43, 'DATA-IMP'!$D$3:$D43, "&gt;=" &amp; AS$1, 'DATA-IMP'!$D$3:$D43, "&lt;" &amp; AT$1,'DATA-IMP'!$F$3:$F43,"Closed Won")</f>
        <v>0</v>
      </c>
      <c r="AT12" s="264">
        <f>AS12-AR$12</f>
        <v>-3850</v>
      </c>
      <c r="AU12" s="265">
        <f t="shared" ref="AU12:AU15" si="62">iferror(AS12/AR12,"")</f>
        <v>0</v>
      </c>
      <c r="AV12" s="280"/>
      <c r="AW12" s="46">
        <f>'Business Plan'!N12</f>
        <v>4200</v>
      </c>
      <c r="AX12" s="46">
        <f>SUMIFS('DATA-IMP'!$U$3:$U43, 'DATA-IMP'!$D$3:$D43, "&gt;=" &amp; AX$1, 'DATA-IMP'!$D$3:$D43, "&lt;" &amp; AY$1,'DATA-IMP'!$F$3:$F43,"Closed Won")</f>
        <v>0</v>
      </c>
      <c r="AY12" s="264">
        <f>AX12-AW$12</f>
        <v>-4200</v>
      </c>
      <c r="AZ12" s="265">
        <f t="shared" ref="AZ12:AZ15" si="63">iferror(AX12/AW12,"")</f>
        <v>0</v>
      </c>
      <c r="BA12" s="280"/>
      <c r="BB12" s="46">
        <f>'Business Plan'!O12</f>
        <v>4550</v>
      </c>
      <c r="BC12" s="46">
        <f>SUMIFS('DATA-IMP'!$U$3:$U43, 'DATA-IMP'!$D$3:$D43, "&gt;=" &amp; BC$1, 'DATA-IMP'!$D$3:$D43, "&lt;" &amp; BD$1,'DATA-IMP'!$F$3:$F43,"Closed Won")</f>
        <v>0</v>
      </c>
      <c r="BD12" s="264">
        <f>BC12-BB$12</f>
        <v>-4550</v>
      </c>
      <c r="BE12" s="265">
        <f t="shared" ref="BE12:BE15" si="64">iferror(BC12/BB12,"")</f>
        <v>0</v>
      </c>
      <c r="BF12" s="280"/>
      <c r="BG12" s="46">
        <f>'Business Plan'!P12</f>
        <v>2100</v>
      </c>
      <c r="BH12" s="46">
        <f>SUMIFS('DATA-IMP'!$U$3:$U43, 'DATA-IMP'!$D$3:$D43, "&gt;=" &amp; BH$1, 'DATA-IMP'!$D$3:$D43, "&lt;" &amp; BI$1,'DATA-IMP'!$F$3:$F43,"Closed Won")</f>
        <v>0</v>
      </c>
      <c r="BI12" s="264">
        <f>BH12-BG$12</f>
        <v>-2100</v>
      </c>
      <c r="BJ12" s="265">
        <f t="shared" ref="BJ12:BJ15" si="65">iferror(BH12/BG12,"")</f>
        <v>0</v>
      </c>
      <c r="BK12" s="280"/>
      <c r="BL12" s="46">
        <f t="shared" ref="BL12:BM12" si="48">SUM(BG12,BB12,AW12,AR12,AM12,AH12,AC12,X12,S12,N12,I12,D12,)</f>
        <v>35000</v>
      </c>
      <c r="BM12" s="46">
        <f t="shared" si="48"/>
        <v>0</v>
      </c>
      <c r="BN12" s="264">
        <f>BM12-BL$12</f>
        <v>-35000</v>
      </c>
      <c r="BO12" s="265">
        <f t="shared" ref="BO12:BO15" si="67">iferror(BM12/BL12,"")</f>
        <v>0</v>
      </c>
      <c r="BP12" s="280"/>
      <c r="BQ12" s="46">
        <f t="shared" ref="BQ12:BR12" si="49">D12+I12+N12</f>
        <v>6300</v>
      </c>
      <c r="BR12" s="46">
        <f t="shared" si="49"/>
        <v>0</v>
      </c>
      <c r="BS12" s="264">
        <f>BR12-BQ$12</f>
        <v>-6300</v>
      </c>
      <c r="BT12" s="265">
        <f t="shared" ref="BT12:BT15" si="69">iferror(BR12/BQ12,"")</f>
        <v>0</v>
      </c>
      <c r="BU12" s="280"/>
      <c r="BV12" s="46">
        <f t="shared" ref="BV12:BW12" si="50">S12+X12+AC12</f>
        <v>8750</v>
      </c>
      <c r="BW12" s="46">
        <f t="shared" si="50"/>
        <v>0</v>
      </c>
      <c r="BX12" s="264">
        <f>BW12-BV$12</f>
        <v>-8750</v>
      </c>
      <c r="BY12" s="265">
        <f t="shared" ref="BY12:BY15" si="71">iferror(BW12/BV12,"")</f>
        <v>0</v>
      </c>
      <c r="BZ12" s="280"/>
      <c r="CA12" s="46">
        <f t="shared" ref="CA12:CB12" si="51">AH12+AM12+AR12</f>
        <v>9100</v>
      </c>
      <c r="CB12" s="46">
        <f t="shared" si="51"/>
        <v>0</v>
      </c>
      <c r="CC12" s="264">
        <f>CB12-CA$12</f>
        <v>-9100</v>
      </c>
      <c r="CD12" s="265">
        <f t="shared" ref="CD12:CD15" si="73">iferror(CB12/CA12,"")</f>
        <v>0</v>
      </c>
      <c r="CE12" s="280"/>
      <c r="CF12" s="46">
        <f t="shared" ref="CF12:CG12" si="52">BG12+BB12+AW12</f>
        <v>10850</v>
      </c>
      <c r="CG12" s="46">
        <f t="shared" si="52"/>
        <v>0</v>
      </c>
      <c r="CH12" s="264">
        <f>CG12-CF$12</f>
        <v>-10850</v>
      </c>
      <c r="CI12" s="265">
        <f t="shared" ref="CI12:CI15" si="75">iferror(CG12/CF12,"")</f>
        <v>0</v>
      </c>
      <c r="CJ12" s="280"/>
    </row>
    <row r="13" ht="17.25" customHeight="1">
      <c r="A13" s="3"/>
      <c r="B13" s="270"/>
      <c r="C13" s="281" t="s">
        <v>65</v>
      </c>
      <c r="D13" s="282">
        <f>'Business Plan'!E14</f>
        <v>1200</v>
      </c>
      <c r="E13" s="282" t="str">
        <f>iferror(E12/E9,"")</f>
        <v/>
      </c>
      <c r="F13" s="282">
        <f t="shared" si="53"/>
        <v>-1200</v>
      </c>
      <c r="G13" s="283">
        <f t="shared" si="54"/>
        <v>0</v>
      </c>
      <c r="H13" s="280"/>
      <c r="I13" s="282">
        <f>'Business Plan'!F14</f>
        <v>1200</v>
      </c>
      <c r="J13" s="282" t="str">
        <f>iferror(J12/J9,"")</f>
        <v/>
      </c>
      <c r="K13" s="282">
        <f t="shared" ref="K13:K14" si="76">J13-I13</f>
        <v>-1200</v>
      </c>
      <c r="L13" s="283">
        <f t="shared" si="55"/>
        <v>0</v>
      </c>
      <c r="M13" s="280"/>
      <c r="N13" s="282">
        <f>'Business Plan'!G14</f>
        <v>1200</v>
      </c>
      <c r="O13" s="282" t="str">
        <f>iferror(O12/O9,"")</f>
        <v/>
      </c>
      <c r="P13" s="282">
        <f t="shared" ref="P13:P14" si="77">O13-N13</f>
        <v>-1200</v>
      </c>
      <c r="Q13" s="283">
        <f t="shared" si="56"/>
        <v>0</v>
      </c>
      <c r="R13" s="280"/>
      <c r="S13" s="282">
        <f>'Business Plan'!H14</f>
        <v>1200</v>
      </c>
      <c r="T13" s="282" t="str">
        <f>iferror(T12/T9,"")</f>
        <v/>
      </c>
      <c r="U13" s="282">
        <f t="shared" ref="U13:U14" si="78">T13-S13</f>
        <v>-1200</v>
      </c>
      <c r="V13" s="283">
        <f t="shared" si="57"/>
        <v>0</v>
      </c>
      <c r="W13" s="280"/>
      <c r="X13" s="282">
        <f>'Business Plan'!I14</f>
        <v>1200</v>
      </c>
      <c r="Y13" s="282" t="str">
        <f>iferror(Y12/Y9,"")</f>
        <v/>
      </c>
      <c r="Z13" s="282">
        <f t="shared" ref="Z13:Z14" si="79">Y13-X13</f>
        <v>-1200</v>
      </c>
      <c r="AA13" s="283">
        <f t="shared" si="58"/>
        <v>0</v>
      </c>
      <c r="AB13" s="280"/>
      <c r="AC13" s="282">
        <f>'Business Plan'!J14</f>
        <v>1200</v>
      </c>
      <c r="AD13" s="282" t="str">
        <f>iferror(AD12/AD9,"")</f>
        <v/>
      </c>
      <c r="AE13" s="282">
        <f t="shared" ref="AE13:AE14" si="80">AD13-AC13</f>
        <v>-1200</v>
      </c>
      <c r="AF13" s="283">
        <f t="shared" si="59"/>
        <v>0</v>
      </c>
      <c r="AG13" s="280"/>
      <c r="AH13" s="282">
        <f>'Business Plan'!K14</f>
        <v>1200</v>
      </c>
      <c r="AI13" s="282" t="str">
        <f>iferror(AI12/AI9,"")</f>
        <v/>
      </c>
      <c r="AJ13" s="282">
        <f t="shared" ref="AJ13:AJ14" si="81">AI13-AH13</f>
        <v>-1200</v>
      </c>
      <c r="AK13" s="283">
        <f t="shared" si="60"/>
        <v>0</v>
      </c>
      <c r="AL13" s="280"/>
      <c r="AM13" s="282">
        <f>'Business Plan'!L14</f>
        <v>1200</v>
      </c>
      <c r="AN13" s="282" t="str">
        <f>iferror(AN12/AN9,"")</f>
        <v/>
      </c>
      <c r="AO13" s="282">
        <f t="shared" ref="AO13:AO14" si="82">AN13-AM13</f>
        <v>-1200</v>
      </c>
      <c r="AP13" s="283">
        <f t="shared" si="61"/>
        <v>0</v>
      </c>
      <c r="AQ13" s="280"/>
      <c r="AR13" s="282">
        <f>'Business Plan'!M14</f>
        <v>1200</v>
      </c>
      <c r="AS13" s="282" t="str">
        <f>iferror(AS12/AS9,"")</f>
        <v/>
      </c>
      <c r="AT13" s="282">
        <f t="shared" ref="AT13:AT14" si="83">AS13-AR13</f>
        <v>-1200</v>
      </c>
      <c r="AU13" s="283">
        <f t="shared" si="62"/>
        <v>0</v>
      </c>
      <c r="AV13" s="280"/>
      <c r="AW13" s="282">
        <f>'Business Plan'!N14</f>
        <v>1200</v>
      </c>
      <c r="AX13" s="282" t="str">
        <f>iferror(AX12/AX9,"")</f>
        <v/>
      </c>
      <c r="AY13" s="282">
        <f t="shared" ref="AY13:AY14" si="84">AX13-AW13</f>
        <v>-1200</v>
      </c>
      <c r="AZ13" s="283">
        <f t="shared" si="63"/>
        <v>0</v>
      </c>
      <c r="BA13" s="280"/>
      <c r="BB13" s="282">
        <f>'Business Plan'!O14</f>
        <v>1200</v>
      </c>
      <c r="BC13" s="282" t="str">
        <f>iferror(BC12/BC9,"")</f>
        <v/>
      </c>
      <c r="BD13" s="282">
        <f t="shared" ref="BD13:BD14" si="85">BC13-BB13</f>
        <v>-1200</v>
      </c>
      <c r="BE13" s="283">
        <f t="shared" si="64"/>
        <v>0</v>
      </c>
      <c r="BF13" s="280"/>
      <c r="BG13" s="282">
        <f>'Business Plan'!P14</f>
        <v>1200</v>
      </c>
      <c r="BH13" s="282" t="str">
        <f>iferror(BH12/BH9,"")</f>
        <v/>
      </c>
      <c r="BI13" s="282">
        <f t="shared" ref="BI13:BI14" si="86">BH13-BG13</f>
        <v>-1200</v>
      </c>
      <c r="BJ13" s="283">
        <f t="shared" si="65"/>
        <v>0</v>
      </c>
      <c r="BK13" s="280"/>
      <c r="BL13" s="282">
        <f t="shared" ref="BL13:BM13" si="66">SUM(BG13,BB13,AW13,AR13,AM13,AH13,AC13,X13,S13,N13,I13,D13,)</f>
        <v>14400</v>
      </c>
      <c r="BM13" s="282">
        <f t="shared" si="66"/>
        <v>0</v>
      </c>
      <c r="BN13" s="282">
        <f t="shared" ref="BN13:BN14" si="88">BM13-BL13</f>
        <v>-14400</v>
      </c>
      <c r="BO13" s="283">
        <f t="shared" si="67"/>
        <v>0</v>
      </c>
      <c r="BP13" s="280"/>
      <c r="BQ13" s="282">
        <f t="shared" ref="BQ13:BR13" si="68">D13+I13+N13</f>
        <v>3600</v>
      </c>
      <c r="BR13" s="282">
        <f t="shared" si="68"/>
        <v>0</v>
      </c>
      <c r="BS13" s="282">
        <f t="shared" ref="BS13:BS14" si="90">BR13-BQ13</f>
        <v>-3600</v>
      </c>
      <c r="BT13" s="283">
        <f t="shared" si="69"/>
        <v>0</v>
      </c>
      <c r="BU13" s="280"/>
      <c r="BV13" s="282">
        <f t="shared" ref="BV13:BW13" si="70">S13+X13+AC13</f>
        <v>3600</v>
      </c>
      <c r="BW13" s="282">
        <f t="shared" si="70"/>
        <v>0</v>
      </c>
      <c r="BX13" s="282">
        <f t="shared" ref="BX13:BX14" si="92">BW13-BV13</f>
        <v>-3600</v>
      </c>
      <c r="BY13" s="283">
        <f t="shared" si="71"/>
        <v>0</v>
      </c>
      <c r="BZ13" s="280"/>
      <c r="CA13" s="282">
        <f t="shared" ref="CA13:CB13" si="72">AH13+AM13+AR13</f>
        <v>3600</v>
      </c>
      <c r="CB13" s="282">
        <f t="shared" si="72"/>
        <v>0</v>
      </c>
      <c r="CC13" s="282">
        <f t="shared" ref="CC13:CC14" si="94">CB13-CA13</f>
        <v>-3600</v>
      </c>
      <c r="CD13" s="283">
        <f t="shared" si="73"/>
        <v>0</v>
      </c>
      <c r="CE13" s="280"/>
      <c r="CF13" s="282">
        <f t="shared" ref="CF13:CG13" si="74">BG13+BB13+AW13</f>
        <v>3600</v>
      </c>
      <c r="CG13" s="282">
        <f t="shared" si="74"/>
        <v>0</v>
      </c>
      <c r="CH13" s="282">
        <f t="shared" ref="CH13:CH14" si="96">CG13-CF13</f>
        <v>-3600</v>
      </c>
      <c r="CI13" s="283">
        <f t="shared" si="75"/>
        <v>0</v>
      </c>
      <c r="CJ13" s="280"/>
    </row>
    <row r="14" ht="23.25" customHeight="1">
      <c r="A14" s="3"/>
      <c r="B14" s="31"/>
      <c r="C14" s="60" t="s">
        <v>45</v>
      </c>
      <c r="D14" s="61">
        <f>'Business Plan'!E15</f>
        <v>21000</v>
      </c>
      <c r="E14" s="61">
        <f>IFERROR(E12*12,"")</f>
        <v>0</v>
      </c>
      <c r="F14" s="284">
        <f t="shared" si="53"/>
        <v>-21000</v>
      </c>
      <c r="G14" s="285">
        <f t="shared" si="54"/>
        <v>0</v>
      </c>
      <c r="H14" s="55"/>
      <c r="I14" s="61">
        <f>'Business Plan'!F15</f>
        <v>25200</v>
      </c>
      <c r="J14" s="61">
        <f>IFERROR(J12*12,"")</f>
        <v>0</v>
      </c>
      <c r="K14" s="284">
        <f t="shared" si="76"/>
        <v>-25200</v>
      </c>
      <c r="L14" s="285">
        <f t="shared" si="55"/>
        <v>0</v>
      </c>
      <c r="M14" s="55"/>
      <c r="N14" s="61">
        <f>'Business Plan'!G15</f>
        <v>29400</v>
      </c>
      <c r="O14" s="61">
        <f>IFERROR(O12*12,"")</f>
        <v>0</v>
      </c>
      <c r="P14" s="284">
        <f t="shared" si="77"/>
        <v>-29400</v>
      </c>
      <c r="Q14" s="285">
        <f t="shared" si="56"/>
        <v>0</v>
      </c>
      <c r="R14" s="55"/>
      <c r="S14" s="61">
        <f>'Business Plan'!H15</f>
        <v>25200</v>
      </c>
      <c r="T14" s="61">
        <f>IFERROR(T12*12,"")</f>
        <v>0</v>
      </c>
      <c r="U14" s="284">
        <f t="shared" si="78"/>
        <v>-25200</v>
      </c>
      <c r="V14" s="285">
        <f t="shared" si="57"/>
        <v>0</v>
      </c>
      <c r="W14" s="55"/>
      <c r="X14" s="61">
        <f>'Business Plan'!I15</f>
        <v>29400</v>
      </c>
      <c r="Y14" s="61">
        <f>IFERROR(Y12*12,"")</f>
        <v>0</v>
      </c>
      <c r="Z14" s="284">
        <f t="shared" si="79"/>
        <v>-29400</v>
      </c>
      <c r="AA14" s="285">
        <f t="shared" si="58"/>
        <v>0</v>
      </c>
      <c r="AB14" s="55"/>
      <c r="AC14" s="61">
        <f>'Business Plan'!J15</f>
        <v>50400</v>
      </c>
      <c r="AD14" s="61">
        <f>IFERROR(AD12*12,"")</f>
        <v>0</v>
      </c>
      <c r="AE14" s="284">
        <f t="shared" si="80"/>
        <v>-50400</v>
      </c>
      <c r="AF14" s="285">
        <f t="shared" si="59"/>
        <v>0</v>
      </c>
      <c r="AG14" s="55"/>
      <c r="AH14" s="61">
        <f>'Business Plan'!K15</f>
        <v>29400</v>
      </c>
      <c r="AI14" s="61">
        <f>IFERROR(AI12*12,"")</f>
        <v>0</v>
      </c>
      <c r="AJ14" s="284">
        <f t="shared" si="81"/>
        <v>-29400</v>
      </c>
      <c r="AK14" s="285">
        <f t="shared" si="60"/>
        <v>0</v>
      </c>
      <c r="AL14" s="55"/>
      <c r="AM14" s="61">
        <f>'Business Plan'!L15</f>
        <v>33600</v>
      </c>
      <c r="AN14" s="61">
        <f>IFERROR(AN12*12,"")</f>
        <v>0</v>
      </c>
      <c r="AO14" s="284">
        <f t="shared" si="82"/>
        <v>-33600</v>
      </c>
      <c r="AP14" s="285">
        <f t="shared" si="61"/>
        <v>0</v>
      </c>
      <c r="AQ14" s="55"/>
      <c r="AR14" s="61">
        <f>'Business Plan'!M15</f>
        <v>46200</v>
      </c>
      <c r="AS14" s="61">
        <f>IFERROR(AS12*12,"")</f>
        <v>0</v>
      </c>
      <c r="AT14" s="284">
        <f t="shared" si="83"/>
        <v>-46200</v>
      </c>
      <c r="AU14" s="285">
        <f t="shared" si="62"/>
        <v>0</v>
      </c>
      <c r="AV14" s="55"/>
      <c r="AW14" s="61">
        <f>'Business Plan'!N15</f>
        <v>50400</v>
      </c>
      <c r="AX14" s="61">
        <f>IFERROR(AX12*12,"")</f>
        <v>0</v>
      </c>
      <c r="AY14" s="284">
        <f t="shared" si="84"/>
        <v>-50400</v>
      </c>
      <c r="AZ14" s="285">
        <f t="shared" si="63"/>
        <v>0</v>
      </c>
      <c r="BA14" s="55"/>
      <c r="BB14" s="61">
        <f>'Business Plan'!O15</f>
        <v>54600</v>
      </c>
      <c r="BC14" s="61">
        <f>IFERROR(BC12*12,"")</f>
        <v>0</v>
      </c>
      <c r="BD14" s="284">
        <f t="shared" si="85"/>
        <v>-54600</v>
      </c>
      <c r="BE14" s="285">
        <f t="shared" si="64"/>
        <v>0</v>
      </c>
      <c r="BF14" s="55"/>
      <c r="BG14" s="61">
        <f>'Business Plan'!P15</f>
        <v>25200</v>
      </c>
      <c r="BH14" s="61">
        <f>IFERROR(BH12*12,"")</f>
        <v>0</v>
      </c>
      <c r="BI14" s="284">
        <f t="shared" si="86"/>
        <v>-25200</v>
      </c>
      <c r="BJ14" s="285">
        <f t="shared" si="65"/>
        <v>0</v>
      </c>
      <c r="BK14" s="55"/>
      <c r="BL14" s="61">
        <f t="shared" ref="BL14:BM14" si="87">SUM(BG14,BB14,AW14,AR14,AM14,AH14,AC14,X14,S14,N14,I14,D14,)</f>
        <v>420000</v>
      </c>
      <c r="BM14" s="61">
        <f t="shared" si="87"/>
        <v>0</v>
      </c>
      <c r="BN14" s="284">
        <f t="shared" si="88"/>
        <v>-420000</v>
      </c>
      <c r="BO14" s="285">
        <f t="shared" si="67"/>
        <v>0</v>
      </c>
      <c r="BP14" s="55"/>
      <c r="BQ14" s="61">
        <f t="shared" ref="BQ14:BR14" si="89">D14+I14+N14</f>
        <v>75600</v>
      </c>
      <c r="BR14" s="61">
        <f t="shared" si="89"/>
        <v>0</v>
      </c>
      <c r="BS14" s="284">
        <f t="shared" si="90"/>
        <v>-75600</v>
      </c>
      <c r="BT14" s="285">
        <f t="shared" si="69"/>
        <v>0</v>
      </c>
      <c r="BU14" s="55"/>
      <c r="BV14" s="61">
        <f t="shared" ref="BV14:BW14" si="91">S14+X14+AC14</f>
        <v>105000</v>
      </c>
      <c r="BW14" s="61">
        <f t="shared" si="91"/>
        <v>0</v>
      </c>
      <c r="BX14" s="284">
        <f t="shared" si="92"/>
        <v>-105000</v>
      </c>
      <c r="BY14" s="285">
        <f t="shared" si="71"/>
        <v>0</v>
      </c>
      <c r="BZ14" s="55"/>
      <c r="CA14" s="61">
        <f t="shared" ref="CA14:CB14" si="93">AH14+AM14+AR14</f>
        <v>109200</v>
      </c>
      <c r="CB14" s="61">
        <f t="shared" si="93"/>
        <v>0</v>
      </c>
      <c r="CC14" s="284">
        <f t="shared" si="94"/>
        <v>-109200</v>
      </c>
      <c r="CD14" s="285">
        <f t="shared" si="73"/>
        <v>0</v>
      </c>
      <c r="CE14" s="55"/>
      <c r="CF14" s="61">
        <f t="shared" ref="CF14:CG14" si="95">BG14+BB14+AW14</f>
        <v>130200</v>
      </c>
      <c r="CG14" s="61">
        <f t="shared" si="95"/>
        <v>0</v>
      </c>
      <c r="CH14" s="284">
        <f t="shared" si="96"/>
        <v>-130200</v>
      </c>
      <c r="CI14" s="285">
        <f t="shared" si="75"/>
        <v>0</v>
      </c>
      <c r="CJ14" s="55"/>
    </row>
    <row r="15" ht="24.75" customHeight="1">
      <c r="A15" s="3"/>
      <c r="B15" s="31"/>
      <c r="C15" s="131" t="s">
        <v>66</v>
      </c>
      <c r="D15" s="133">
        <f>'Business Plan'!E16</f>
        <v>21000</v>
      </c>
      <c r="E15" s="133">
        <f>E14</f>
        <v>0</v>
      </c>
      <c r="F15" s="286">
        <f t="shared" si="53"/>
        <v>-21000</v>
      </c>
      <c r="G15" s="287">
        <f t="shared" si="54"/>
        <v>0</v>
      </c>
      <c r="H15" s="55"/>
      <c r="I15" s="133">
        <f>'Business Plan'!F16</f>
        <v>46200</v>
      </c>
      <c r="J15" s="133">
        <f>sum(E15,J14)</f>
        <v>0</v>
      </c>
      <c r="K15" s="286">
        <f>J15-I$15</f>
        <v>-46200</v>
      </c>
      <c r="L15" s="287">
        <f t="shared" si="55"/>
        <v>0</v>
      </c>
      <c r="M15" s="55"/>
      <c r="N15" s="133">
        <f>'Business Plan'!G16</f>
        <v>75600</v>
      </c>
      <c r="O15" s="133">
        <f>sum(J15,O14)</f>
        <v>0</v>
      </c>
      <c r="P15" s="286">
        <f>O15-N$15</f>
        <v>-75600</v>
      </c>
      <c r="Q15" s="287">
        <f t="shared" si="56"/>
        <v>0</v>
      </c>
      <c r="R15" s="55"/>
      <c r="S15" s="133">
        <f>'Business Plan'!H16</f>
        <v>100800</v>
      </c>
      <c r="T15" s="133">
        <f>sum(O15,T14)</f>
        <v>0</v>
      </c>
      <c r="U15" s="286">
        <f>T15-S$15</f>
        <v>-100800</v>
      </c>
      <c r="V15" s="287">
        <f t="shared" si="57"/>
        <v>0</v>
      </c>
      <c r="W15" s="55"/>
      <c r="X15" s="133">
        <f>'Business Plan'!I16</f>
        <v>130200</v>
      </c>
      <c r="Y15" s="133">
        <f>sum(T15,Y14)</f>
        <v>0</v>
      </c>
      <c r="Z15" s="286">
        <f>Y15-X$15</f>
        <v>-130200</v>
      </c>
      <c r="AA15" s="287">
        <f t="shared" si="58"/>
        <v>0</v>
      </c>
      <c r="AB15" s="55"/>
      <c r="AC15" s="133">
        <f>'Business Plan'!J16</f>
        <v>180600</v>
      </c>
      <c r="AD15" s="133">
        <f>sum(Y15,AD14)</f>
        <v>0</v>
      </c>
      <c r="AE15" s="286">
        <f>AD15-AC$15</f>
        <v>-180600</v>
      </c>
      <c r="AF15" s="287">
        <f t="shared" si="59"/>
        <v>0</v>
      </c>
      <c r="AG15" s="55"/>
      <c r="AH15" s="133">
        <f>'Business Plan'!K16</f>
        <v>210000</v>
      </c>
      <c r="AI15" s="133">
        <f>sum(AD15,AI14)</f>
        <v>0</v>
      </c>
      <c r="AJ15" s="286">
        <f>AI15-AH$15</f>
        <v>-210000</v>
      </c>
      <c r="AK15" s="287">
        <f t="shared" si="60"/>
        <v>0</v>
      </c>
      <c r="AL15" s="55"/>
      <c r="AM15" s="133">
        <f>'Business Plan'!L16</f>
        <v>243600</v>
      </c>
      <c r="AN15" s="133">
        <f>sum(AI15,AN14)</f>
        <v>0</v>
      </c>
      <c r="AO15" s="286">
        <f>AN15-AM$15</f>
        <v>-243600</v>
      </c>
      <c r="AP15" s="287">
        <f t="shared" si="61"/>
        <v>0</v>
      </c>
      <c r="AQ15" s="55"/>
      <c r="AR15" s="133">
        <f>'Business Plan'!M16</f>
        <v>289800</v>
      </c>
      <c r="AS15" s="133">
        <f>sum(AN15,AS14)</f>
        <v>0</v>
      </c>
      <c r="AT15" s="286">
        <f>AS15-AR$15</f>
        <v>-289800</v>
      </c>
      <c r="AU15" s="287">
        <f t="shared" si="62"/>
        <v>0</v>
      </c>
      <c r="AV15" s="55"/>
      <c r="AW15" s="133">
        <f>'Business Plan'!N16</f>
        <v>340200</v>
      </c>
      <c r="AX15" s="133">
        <f>sum(AS15,AX14)</f>
        <v>0</v>
      </c>
      <c r="AY15" s="286">
        <f>AX15-AW$15</f>
        <v>-340200</v>
      </c>
      <c r="AZ15" s="287">
        <f t="shared" si="63"/>
        <v>0</v>
      </c>
      <c r="BA15" s="55"/>
      <c r="BB15" s="133">
        <f>'Business Plan'!O16</f>
        <v>394800</v>
      </c>
      <c r="BC15" s="133">
        <f>sum(AX15,BC14)</f>
        <v>0</v>
      </c>
      <c r="BD15" s="286">
        <f>BC15-BB$15</f>
        <v>-394800</v>
      </c>
      <c r="BE15" s="287">
        <f t="shared" si="64"/>
        <v>0</v>
      </c>
      <c r="BF15" s="55"/>
      <c r="BG15" s="133">
        <f>'Business Plan'!P16</f>
        <v>420000</v>
      </c>
      <c r="BH15" s="133">
        <f>sum(BC15,BH14)</f>
        <v>0</v>
      </c>
      <c r="BI15" s="286">
        <f>BH15-BG$15</f>
        <v>-420000</v>
      </c>
      <c r="BJ15" s="287">
        <f t="shared" si="65"/>
        <v>0</v>
      </c>
      <c r="BK15" s="55"/>
      <c r="BL15" s="133">
        <f t="shared" ref="BL15:BM15" si="97">SUM(BG15,BB15,AW15,AR15,AM15,AH15,AC15,X15,S15,N15,I15,D15,)</f>
        <v>2452800</v>
      </c>
      <c r="BM15" s="133">
        <f t="shared" si="97"/>
        <v>0</v>
      </c>
      <c r="BN15" s="286">
        <f>BM15-BL$15</f>
        <v>-2452800</v>
      </c>
      <c r="BO15" s="287">
        <f t="shared" si="67"/>
        <v>0</v>
      </c>
      <c r="BP15" s="55"/>
      <c r="BQ15" s="133">
        <f t="shared" ref="BQ15:BR15" si="98">D15+I15+N15</f>
        <v>142800</v>
      </c>
      <c r="BR15" s="133">
        <f t="shared" si="98"/>
        <v>0</v>
      </c>
      <c r="BS15" s="286">
        <f>BR15-BQ$15</f>
        <v>-142800</v>
      </c>
      <c r="BT15" s="287">
        <f t="shared" si="69"/>
        <v>0</v>
      </c>
      <c r="BU15" s="55"/>
      <c r="BV15" s="133">
        <f t="shared" ref="BV15:BW15" si="99">S15+X15+AC15</f>
        <v>411600</v>
      </c>
      <c r="BW15" s="133">
        <f t="shared" si="99"/>
        <v>0</v>
      </c>
      <c r="BX15" s="286">
        <f>BW15-BV$15</f>
        <v>-411600</v>
      </c>
      <c r="BY15" s="287">
        <f t="shared" si="71"/>
        <v>0</v>
      </c>
      <c r="BZ15" s="55"/>
      <c r="CA15" s="133">
        <f t="shared" ref="CA15:CB15" si="100">AH15+AM15+AR15</f>
        <v>743400</v>
      </c>
      <c r="CB15" s="133">
        <f t="shared" si="100"/>
        <v>0</v>
      </c>
      <c r="CC15" s="286">
        <f>CB15-CA$15</f>
        <v>-743400</v>
      </c>
      <c r="CD15" s="287">
        <f t="shared" si="73"/>
        <v>0</v>
      </c>
      <c r="CE15" s="55"/>
      <c r="CF15" s="133">
        <f t="shared" ref="CF15:CG15" si="101">BG15+BB15+AW15</f>
        <v>1155000</v>
      </c>
      <c r="CG15" s="133">
        <f t="shared" si="101"/>
        <v>0</v>
      </c>
      <c r="CH15" s="286">
        <f>CG15-CF$15</f>
        <v>-1155000</v>
      </c>
      <c r="CI15" s="287">
        <f t="shared" si="75"/>
        <v>0</v>
      </c>
      <c r="CJ15" s="55"/>
    </row>
    <row r="16" ht="7.5" customHeight="1">
      <c r="A16" s="31"/>
      <c r="B16" s="31"/>
      <c r="C16" s="55"/>
      <c r="D16" s="288"/>
      <c r="E16" s="288"/>
      <c r="F16" s="284"/>
      <c r="G16" s="285"/>
      <c r="H16" s="55"/>
      <c r="I16" s="288"/>
      <c r="J16" s="288"/>
      <c r="K16" s="284"/>
      <c r="L16" s="285"/>
      <c r="M16" s="55"/>
      <c r="N16" s="288"/>
      <c r="O16" s="288"/>
      <c r="P16" s="284"/>
      <c r="Q16" s="285"/>
      <c r="R16" s="55"/>
      <c r="S16" s="288"/>
      <c r="T16" s="288"/>
      <c r="U16" s="284"/>
      <c r="V16" s="285"/>
      <c r="W16" s="55"/>
      <c r="X16" s="288"/>
      <c r="Y16" s="288"/>
      <c r="Z16" s="284"/>
      <c r="AA16" s="285"/>
      <c r="AB16" s="55"/>
      <c r="AC16" s="288"/>
      <c r="AD16" s="288"/>
      <c r="AE16" s="284"/>
      <c r="AF16" s="285"/>
      <c r="AG16" s="55"/>
      <c r="AH16" s="288"/>
      <c r="AI16" s="288"/>
      <c r="AJ16" s="284"/>
      <c r="AK16" s="285"/>
      <c r="AL16" s="55"/>
      <c r="AM16" s="288"/>
      <c r="AN16" s="288"/>
      <c r="AO16" s="284"/>
      <c r="AP16" s="285"/>
      <c r="AQ16" s="55"/>
      <c r="AR16" s="288"/>
      <c r="AS16" s="288"/>
      <c r="AT16" s="284"/>
      <c r="AU16" s="285"/>
      <c r="AV16" s="55"/>
      <c r="AW16" s="288"/>
      <c r="AX16" s="288"/>
      <c r="AY16" s="284"/>
      <c r="AZ16" s="285"/>
      <c r="BA16" s="55"/>
      <c r="BB16" s="288"/>
      <c r="BC16" s="288"/>
      <c r="BD16" s="284"/>
      <c r="BE16" s="285"/>
      <c r="BF16" s="55"/>
      <c r="BG16" s="288"/>
      <c r="BH16" s="288"/>
      <c r="BI16" s="284"/>
      <c r="BJ16" s="285"/>
      <c r="BK16" s="55"/>
      <c r="BL16" s="288"/>
      <c r="BM16" s="288"/>
      <c r="BN16" s="284"/>
      <c r="BO16" s="285"/>
      <c r="BP16" s="55"/>
      <c r="BQ16" s="288"/>
      <c r="BR16" s="288"/>
      <c r="BS16" s="284"/>
      <c r="BT16" s="285"/>
      <c r="BU16" s="55"/>
      <c r="BV16" s="288"/>
      <c r="BW16" s="288"/>
      <c r="BX16" s="284"/>
      <c r="BY16" s="285"/>
      <c r="BZ16" s="55"/>
      <c r="CA16" s="288"/>
      <c r="CB16" s="288"/>
      <c r="CC16" s="284"/>
      <c r="CD16" s="285"/>
      <c r="CE16" s="55"/>
      <c r="CF16" s="288"/>
      <c r="CG16" s="288"/>
      <c r="CH16" s="284"/>
      <c r="CI16" s="285"/>
      <c r="CJ16" s="55"/>
    </row>
    <row r="17" ht="24.75" customHeight="1">
      <c r="A17" s="3"/>
      <c r="B17" s="31"/>
      <c r="C17" s="66" t="s">
        <v>67</v>
      </c>
      <c r="D17" s="46">
        <f>'Business Plan'!E18</f>
        <v>8100</v>
      </c>
      <c r="E17" s="46">
        <f>SUM(E18:E21)</f>
        <v>0</v>
      </c>
      <c r="F17" s="264">
        <f t="shared" ref="F17:F18" si="107">E17-D17</f>
        <v>-8100</v>
      </c>
      <c r="G17" s="265">
        <f t="shared" ref="G17:G18" si="108">iferror(E17/D17,"")</f>
        <v>0</v>
      </c>
      <c r="H17" s="281"/>
      <c r="I17" s="46">
        <f>'Business Plan'!F18</f>
        <v>9570</v>
      </c>
      <c r="J17" s="46">
        <f>SUM(J18:J21)</f>
        <v>0</v>
      </c>
      <c r="K17" s="264">
        <f>J17-I$17</f>
        <v>-9570</v>
      </c>
      <c r="L17" s="265">
        <f t="shared" ref="L17:L18" si="109">iferror(J17/I17,"")</f>
        <v>0</v>
      </c>
      <c r="M17" s="281"/>
      <c r="N17" s="46">
        <f>'Business Plan'!G18</f>
        <v>28990</v>
      </c>
      <c r="O17" s="46">
        <f>SUM(O18:O21)</f>
        <v>0</v>
      </c>
      <c r="P17" s="264">
        <f>O17-N$17</f>
        <v>-28990</v>
      </c>
      <c r="Q17" s="265">
        <f t="shared" ref="Q17:Q18" si="110">iferror(O17/N17,"")</f>
        <v>0</v>
      </c>
      <c r="R17" s="281"/>
      <c r="S17" s="46">
        <f>'Business Plan'!H18</f>
        <v>10320</v>
      </c>
      <c r="T17" s="46">
        <f>SUM(T18:T21)</f>
        <v>0</v>
      </c>
      <c r="U17" s="264">
        <f>T17-S$17</f>
        <v>-10320</v>
      </c>
      <c r="V17" s="265">
        <f t="shared" ref="V17:V18" si="111">iferror(T17/S17,"")</f>
        <v>0</v>
      </c>
      <c r="W17" s="281"/>
      <c r="X17" s="46">
        <f>'Business Plan'!I18</f>
        <v>13290</v>
      </c>
      <c r="Y17" s="46">
        <f>SUM(Y18:Y21)</f>
        <v>0</v>
      </c>
      <c r="Z17" s="264">
        <f>Y17-X$17</f>
        <v>-13290</v>
      </c>
      <c r="AA17" s="265">
        <f t="shared" ref="AA17:AA18" si="112">iferror(Y17/X17,"")</f>
        <v>0</v>
      </c>
      <c r="AB17" s="281"/>
      <c r="AC17" s="46">
        <f>'Business Plan'!J18</f>
        <v>35690</v>
      </c>
      <c r="AD17" s="46">
        <f>SUM(AD18:AD21)</f>
        <v>0</v>
      </c>
      <c r="AE17" s="264">
        <f>AD17-AC$17</f>
        <v>-35690</v>
      </c>
      <c r="AF17" s="265">
        <f t="shared" ref="AF17:AF18" si="113">iferror(AD17/AC17,"")</f>
        <v>0</v>
      </c>
      <c r="AG17" s="281"/>
      <c r="AH17" s="46">
        <f>'Business Plan'!K18</f>
        <v>16290</v>
      </c>
      <c r="AI17" s="46">
        <f>SUM(AI18:AI21)</f>
        <v>0</v>
      </c>
      <c r="AJ17" s="264">
        <f>AI17-AH$17</f>
        <v>-16290</v>
      </c>
      <c r="AK17" s="265">
        <f t="shared" ref="AK17:AK18" si="114">iferror(AI17/AH17,"")</f>
        <v>0</v>
      </c>
      <c r="AL17" s="281"/>
      <c r="AM17" s="46">
        <f>'Business Plan'!L18</f>
        <v>20760</v>
      </c>
      <c r="AN17" s="46">
        <f>SUM(AN18:AN21)</f>
        <v>0</v>
      </c>
      <c r="AO17" s="264">
        <f>AN17-AM$17</f>
        <v>-20760</v>
      </c>
      <c r="AP17" s="265">
        <f t="shared" ref="AP17:AP18" si="115">iferror(AN17/AM17,"")</f>
        <v>0</v>
      </c>
      <c r="AQ17" s="281"/>
      <c r="AR17" s="46">
        <f>'Business Plan'!M18</f>
        <v>39220</v>
      </c>
      <c r="AS17" s="46">
        <f>SUM(AS18:AS21)</f>
        <v>0</v>
      </c>
      <c r="AT17" s="264">
        <f>AS17-AR$17</f>
        <v>-39220</v>
      </c>
      <c r="AU17" s="265">
        <f t="shared" ref="AU17:AU18" si="116">iferror(AS17/AR17,"")</f>
        <v>0</v>
      </c>
      <c r="AV17" s="281"/>
      <c r="AW17" s="46">
        <f>'Business Plan'!N18</f>
        <v>26640</v>
      </c>
      <c r="AX17" s="46">
        <f>SUM(AX18:AX21)</f>
        <v>0</v>
      </c>
      <c r="AY17" s="264">
        <f>AX17-AW$17</f>
        <v>-26640</v>
      </c>
      <c r="AZ17" s="265">
        <f t="shared" ref="AZ17:AZ18" si="117">iferror(AX17/AW17,"")</f>
        <v>0</v>
      </c>
      <c r="BA17" s="281"/>
      <c r="BB17" s="46">
        <f>'Business Plan'!O18</f>
        <v>28110</v>
      </c>
      <c r="BC17" s="46">
        <f>SUM(BC18:BC21)</f>
        <v>0</v>
      </c>
      <c r="BD17" s="264">
        <f>BC17-BB$17</f>
        <v>-28110</v>
      </c>
      <c r="BE17" s="265">
        <f t="shared" ref="BE17:BE18" si="118">iferror(BC17/BB17,"")</f>
        <v>0</v>
      </c>
      <c r="BF17" s="281"/>
      <c r="BG17" s="46">
        <f>'Business Plan'!P18</f>
        <v>26370</v>
      </c>
      <c r="BH17" s="46">
        <f>SUM(BH18:BH21)</f>
        <v>0</v>
      </c>
      <c r="BI17" s="264">
        <f>BH17-BG$17</f>
        <v>-26370</v>
      </c>
      <c r="BJ17" s="265">
        <f t="shared" ref="BJ17:BJ18" si="119">iferror(BH17/BG17,"")</f>
        <v>0</v>
      </c>
      <c r="BK17" s="281"/>
      <c r="BL17" s="46">
        <f t="shared" ref="BL17:BM17" si="102">SUM(BG17,BB17,AW17,AR17,AM17,AH17,AC17,X17,S17,N17,I17,D17,)</f>
        <v>263350</v>
      </c>
      <c r="BM17" s="46">
        <f t="shared" si="102"/>
        <v>0</v>
      </c>
      <c r="BN17" s="264">
        <f>BM17-BL$17</f>
        <v>-263350</v>
      </c>
      <c r="BO17" s="265">
        <f t="shared" ref="BO17:BO18" si="121">iferror(BM17/BL17,"")</f>
        <v>0</v>
      </c>
      <c r="BP17" s="281"/>
      <c r="BQ17" s="46">
        <f t="shared" ref="BQ17:BR17" si="103">D17+I17+N17</f>
        <v>46660</v>
      </c>
      <c r="BR17" s="46">
        <f t="shared" si="103"/>
        <v>0</v>
      </c>
      <c r="BS17" s="264">
        <f>BR17-BQ$17</f>
        <v>-46660</v>
      </c>
      <c r="BT17" s="265">
        <f t="shared" ref="BT17:BT18" si="123">iferror(BR17/BQ17,"")</f>
        <v>0</v>
      </c>
      <c r="BU17" s="281"/>
      <c r="BV17" s="46">
        <f t="shared" ref="BV17:BW17" si="104">S17+X17+AC17</f>
        <v>59300</v>
      </c>
      <c r="BW17" s="46">
        <f t="shared" si="104"/>
        <v>0</v>
      </c>
      <c r="BX17" s="264">
        <f>BW17-BV$17</f>
        <v>-59300</v>
      </c>
      <c r="BY17" s="265">
        <f t="shared" ref="BY17:BY18" si="125">iferror(BW17/BV17,"")</f>
        <v>0</v>
      </c>
      <c r="BZ17" s="281"/>
      <c r="CA17" s="46">
        <f t="shared" ref="CA17:CB17" si="105">AH17+AM17+AR17</f>
        <v>76270</v>
      </c>
      <c r="CB17" s="46">
        <f t="shared" si="105"/>
        <v>0</v>
      </c>
      <c r="CC17" s="264">
        <f>CB17-CA$17</f>
        <v>-76270</v>
      </c>
      <c r="CD17" s="265">
        <f t="shared" ref="CD17:CD18" si="127">iferror(CB17/CA17,"")</f>
        <v>0</v>
      </c>
      <c r="CE17" s="281"/>
      <c r="CF17" s="46">
        <f t="shared" ref="CF17:CG17" si="106">BG17+BB17+AW17</f>
        <v>81120</v>
      </c>
      <c r="CG17" s="46">
        <f t="shared" si="106"/>
        <v>0</v>
      </c>
      <c r="CH17" s="264">
        <f>CG17-CF$17</f>
        <v>-81120</v>
      </c>
      <c r="CI17" s="265">
        <f t="shared" ref="CI17:CI18" si="129">iferror(CG17/CF17,"")</f>
        <v>0</v>
      </c>
      <c r="CJ17" s="281"/>
    </row>
    <row r="18" ht="17.25" customHeight="1">
      <c r="A18" s="3"/>
      <c r="B18" s="31"/>
      <c r="C18" s="60" t="s">
        <v>50</v>
      </c>
      <c r="D18" s="61">
        <f>'Business Plan'!E19</f>
        <v>7350</v>
      </c>
      <c r="E18" s="289">
        <f>E14*'Partnership Info'!$D$11</f>
        <v>0</v>
      </c>
      <c r="F18" s="284">
        <f t="shared" si="107"/>
        <v>-7350</v>
      </c>
      <c r="G18" s="285">
        <f t="shared" si="108"/>
        <v>0</v>
      </c>
      <c r="H18" s="280"/>
      <c r="I18" s="61">
        <f>'Business Plan'!F19</f>
        <v>8820</v>
      </c>
      <c r="J18" s="289"/>
      <c r="K18" s="284">
        <f>J18-I$18</f>
        <v>-8820</v>
      </c>
      <c r="L18" s="285">
        <f t="shared" si="109"/>
        <v>0</v>
      </c>
      <c r="M18" s="280"/>
      <c r="N18" s="61">
        <f>'Business Plan'!G19</f>
        <v>10290</v>
      </c>
      <c r="O18" s="61"/>
      <c r="P18" s="284">
        <f>O18-N$18</f>
        <v>-10290</v>
      </c>
      <c r="Q18" s="285">
        <f t="shared" si="110"/>
        <v>0</v>
      </c>
      <c r="R18" s="280"/>
      <c r="S18" s="61">
        <f>'Business Plan'!H19</f>
        <v>8820</v>
      </c>
      <c r="T18" s="61"/>
      <c r="U18" s="284">
        <f>T18-S$18</f>
        <v>-8820</v>
      </c>
      <c r="V18" s="285">
        <f t="shared" si="111"/>
        <v>0</v>
      </c>
      <c r="W18" s="280"/>
      <c r="X18" s="61">
        <f>'Business Plan'!I19</f>
        <v>10290</v>
      </c>
      <c r="Y18" s="61"/>
      <c r="Z18" s="284">
        <f>Y18-X$18</f>
        <v>-10290</v>
      </c>
      <c r="AA18" s="285">
        <f t="shared" si="112"/>
        <v>0</v>
      </c>
      <c r="AB18" s="280"/>
      <c r="AC18" s="61">
        <f>'Business Plan'!J19</f>
        <v>17640</v>
      </c>
      <c r="AD18" s="61"/>
      <c r="AE18" s="284">
        <f>AD18-AC$18</f>
        <v>-17640</v>
      </c>
      <c r="AF18" s="285">
        <f t="shared" si="113"/>
        <v>0</v>
      </c>
      <c r="AG18" s="280"/>
      <c r="AH18" s="61">
        <f>'Business Plan'!K19</f>
        <v>10290</v>
      </c>
      <c r="AI18" s="61"/>
      <c r="AJ18" s="284">
        <f>AI18-AH$18</f>
        <v>-10290</v>
      </c>
      <c r="AK18" s="285">
        <f t="shared" si="114"/>
        <v>0</v>
      </c>
      <c r="AL18" s="280"/>
      <c r="AM18" s="61">
        <f>'Business Plan'!L19</f>
        <v>11760</v>
      </c>
      <c r="AN18" s="61"/>
      <c r="AO18" s="284">
        <f>AN18-AM$18</f>
        <v>-11760</v>
      </c>
      <c r="AP18" s="285">
        <f t="shared" si="115"/>
        <v>0</v>
      </c>
      <c r="AQ18" s="280"/>
      <c r="AR18" s="61">
        <f>'Business Plan'!M19</f>
        <v>16170</v>
      </c>
      <c r="AS18" s="61"/>
      <c r="AT18" s="284">
        <f>AS18-AR$18</f>
        <v>-16170</v>
      </c>
      <c r="AU18" s="285">
        <f t="shared" si="116"/>
        <v>0</v>
      </c>
      <c r="AV18" s="280"/>
      <c r="AW18" s="61">
        <f>'Business Plan'!N19</f>
        <v>17640</v>
      </c>
      <c r="AX18" s="61"/>
      <c r="AY18" s="284">
        <f>AX18-AW$18</f>
        <v>-17640</v>
      </c>
      <c r="AZ18" s="285">
        <f t="shared" si="117"/>
        <v>0</v>
      </c>
      <c r="BA18" s="280"/>
      <c r="BB18" s="61">
        <f>'Business Plan'!O19</f>
        <v>19110</v>
      </c>
      <c r="BC18" s="61"/>
      <c r="BD18" s="284">
        <f>BC18-BB$18</f>
        <v>-19110</v>
      </c>
      <c r="BE18" s="285">
        <f t="shared" si="118"/>
        <v>0</v>
      </c>
      <c r="BF18" s="280"/>
      <c r="BG18" s="61">
        <f>'Business Plan'!P19</f>
        <v>8820</v>
      </c>
      <c r="BH18" s="61"/>
      <c r="BI18" s="284">
        <f>BH18-BG$18</f>
        <v>-8820</v>
      </c>
      <c r="BJ18" s="285">
        <f t="shared" si="119"/>
        <v>0</v>
      </c>
      <c r="BK18" s="280"/>
      <c r="BL18" s="61">
        <f t="shared" ref="BL18:BM18" si="120">SUM(BG18,BB18,AW18,AR18,AM18,AH18,AC18,X18,S18,N18,I18,D18,)</f>
        <v>147000</v>
      </c>
      <c r="BM18" s="61">
        <f t="shared" si="120"/>
        <v>0</v>
      </c>
      <c r="BN18" s="284">
        <f>BM18-BL$18</f>
        <v>-147000</v>
      </c>
      <c r="BO18" s="285">
        <f t="shared" si="121"/>
        <v>0</v>
      </c>
      <c r="BP18" s="280"/>
      <c r="BQ18" s="61">
        <f t="shared" ref="BQ18:BR18" si="122">D18+I18+N18</f>
        <v>26460</v>
      </c>
      <c r="BR18" s="61">
        <f t="shared" si="122"/>
        <v>0</v>
      </c>
      <c r="BS18" s="284">
        <f>BR18-BQ$18</f>
        <v>-26460</v>
      </c>
      <c r="BT18" s="285">
        <f t="shared" si="123"/>
        <v>0</v>
      </c>
      <c r="BU18" s="280"/>
      <c r="BV18" s="61">
        <f t="shared" ref="BV18:BW18" si="124">S18+X18+AC18</f>
        <v>36750</v>
      </c>
      <c r="BW18" s="61">
        <f t="shared" si="124"/>
        <v>0</v>
      </c>
      <c r="BX18" s="284">
        <f>BW18-BV$18</f>
        <v>-36750</v>
      </c>
      <c r="BY18" s="285">
        <f t="shared" si="125"/>
        <v>0</v>
      </c>
      <c r="BZ18" s="280"/>
      <c r="CA18" s="61">
        <f t="shared" ref="CA18:CB18" si="126">AH18+AM18+AR18</f>
        <v>38220</v>
      </c>
      <c r="CB18" s="61">
        <f t="shared" si="126"/>
        <v>0</v>
      </c>
      <c r="CC18" s="284">
        <f>CB18-CA$18</f>
        <v>-38220</v>
      </c>
      <c r="CD18" s="285">
        <f t="shared" si="127"/>
        <v>0</v>
      </c>
      <c r="CE18" s="280"/>
      <c r="CF18" s="61">
        <f t="shared" ref="CF18:CG18" si="128">BG18+BB18+AW18</f>
        <v>45570</v>
      </c>
      <c r="CG18" s="61">
        <f t="shared" si="128"/>
        <v>0</v>
      </c>
      <c r="CH18" s="284">
        <f>CG18-CF$18</f>
        <v>-45570</v>
      </c>
      <c r="CI18" s="285">
        <f t="shared" si="129"/>
        <v>0</v>
      </c>
      <c r="CJ18" s="280"/>
    </row>
    <row r="19" ht="17.25" customHeight="1">
      <c r="A19" s="20"/>
      <c r="B19" s="31"/>
      <c r="C19" s="60" t="s">
        <v>68</v>
      </c>
      <c r="D19" s="61">
        <f>'Business Plan'!E21</f>
        <v>0</v>
      </c>
      <c r="E19" s="61"/>
      <c r="F19" s="284"/>
      <c r="G19" s="285"/>
      <c r="H19" s="280"/>
      <c r="I19" s="61">
        <f>'Business Plan'!F21</f>
        <v>0</v>
      </c>
      <c r="J19" s="61"/>
      <c r="K19" s="284"/>
      <c r="L19" s="285"/>
      <c r="M19" s="280"/>
      <c r="N19" s="61">
        <f>'Business Plan'!G21</f>
        <v>0</v>
      </c>
      <c r="O19" s="61"/>
      <c r="P19" s="284"/>
      <c r="Q19" s="285"/>
      <c r="R19" s="280"/>
      <c r="S19" s="61">
        <f>'Business Plan'!H21</f>
        <v>0</v>
      </c>
      <c r="T19" s="61"/>
      <c r="U19" s="284"/>
      <c r="V19" s="285"/>
      <c r="W19" s="280"/>
      <c r="X19" s="61">
        <f>'Business Plan'!I21</f>
        <v>0</v>
      </c>
      <c r="Y19" s="61"/>
      <c r="Z19" s="284"/>
      <c r="AA19" s="285"/>
      <c r="AB19" s="280"/>
      <c r="AC19" s="61">
        <f>'Business Plan'!J21</f>
        <v>0</v>
      </c>
      <c r="AD19" s="61"/>
      <c r="AE19" s="284"/>
      <c r="AF19" s="285"/>
      <c r="AG19" s="280"/>
      <c r="AH19" s="61">
        <f>'Business Plan'!K21</f>
        <v>0</v>
      </c>
      <c r="AI19" s="61"/>
      <c r="AJ19" s="284"/>
      <c r="AK19" s="285"/>
      <c r="AL19" s="280"/>
      <c r="AM19" s="61">
        <f>'Business Plan'!L21</f>
        <v>0</v>
      </c>
      <c r="AN19" s="61"/>
      <c r="AO19" s="284"/>
      <c r="AP19" s="285"/>
      <c r="AQ19" s="280"/>
      <c r="AR19" s="61">
        <f>'Business Plan'!M21</f>
        <v>0</v>
      </c>
      <c r="AS19" s="61"/>
      <c r="AT19" s="284"/>
      <c r="AU19" s="285"/>
      <c r="AV19" s="280"/>
      <c r="AW19" s="61">
        <f>'Business Plan'!N21</f>
        <v>0</v>
      </c>
      <c r="AX19" s="61"/>
      <c r="AY19" s="284"/>
      <c r="AZ19" s="285"/>
      <c r="BA19" s="280"/>
      <c r="BB19" s="61">
        <f>'Business Plan'!O21</f>
        <v>0</v>
      </c>
      <c r="BC19" s="61"/>
      <c r="BD19" s="284"/>
      <c r="BE19" s="285"/>
      <c r="BF19" s="280"/>
      <c r="BG19" s="61">
        <f>'Business Plan'!P21</f>
        <v>0</v>
      </c>
      <c r="BH19" s="61"/>
      <c r="BI19" s="284"/>
      <c r="BJ19" s="285"/>
      <c r="BK19" s="280"/>
      <c r="BL19" s="61">
        <f t="shared" ref="BL19:BM19" si="130">SUM(BG19,BB19,AW19,AR19,AM19,AH19,AC19,X19,S19,N19,I19,D19,)</f>
        <v>0</v>
      </c>
      <c r="BM19" s="61">
        <f t="shared" si="130"/>
        <v>0</v>
      </c>
      <c r="BN19" s="284"/>
      <c r="BO19" s="285"/>
      <c r="BP19" s="280"/>
      <c r="BQ19" s="61">
        <f t="shared" ref="BQ19:BR19" si="131">D19+I19+N19</f>
        <v>0</v>
      </c>
      <c r="BR19" s="61">
        <f t="shared" si="131"/>
        <v>0</v>
      </c>
      <c r="BS19" s="284"/>
      <c r="BT19" s="285"/>
      <c r="BU19" s="280"/>
      <c r="BV19" s="61">
        <f t="shared" ref="BV19:BW19" si="132">S19+X19+AC19</f>
        <v>0</v>
      </c>
      <c r="BW19" s="61">
        <f t="shared" si="132"/>
        <v>0</v>
      </c>
      <c r="BX19" s="284"/>
      <c r="BY19" s="285"/>
      <c r="BZ19" s="280"/>
      <c r="CA19" s="61">
        <f t="shared" ref="CA19:CB19" si="133">AH19+AM19+AR19</f>
        <v>0</v>
      </c>
      <c r="CB19" s="61">
        <f t="shared" si="133"/>
        <v>0</v>
      </c>
      <c r="CC19" s="284"/>
      <c r="CD19" s="285"/>
      <c r="CE19" s="280"/>
      <c r="CF19" s="61">
        <f t="shared" ref="CF19:CG19" si="134">BG19+BB19+AW19</f>
        <v>0</v>
      </c>
      <c r="CG19" s="61">
        <f t="shared" si="134"/>
        <v>0</v>
      </c>
      <c r="CH19" s="284"/>
      <c r="CI19" s="285"/>
      <c r="CJ19" s="280"/>
    </row>
    <row r="20" ht="17.25" customHeight="1">
      <c r="A20" s="20"/>
      <c r="B20" s="31"/>
      <c r="C20" s="60" t="s">
        <v>52</v>
      </c>
      <c r="D20" s="61">
        <f>'Business Plan'!E22</f>
        <v>750</v>
      </c>
      <c r="E20" s="61"/>
      <c r="F20" s="284">
        <f t="shared" ref="F20:F22" si="140">E20-D20</f>
        <v>-750</v>
      </c>
      <c r="G20" s="285">
        <f t="shared" ref="G20:G22" si="141">iferror(E20/D20,"")</f>
        <v>0</v>
      </c>
      <c r="H20" s="280"/>
      <c r="I20" s="61">
        <f>'Business Plan'!F22</f>
        <v>750</v>
      </c>
      <c r="J20" s="61"/>
      <c r="K20" s="284">
        <f>J20-I$20</f>
        <v>-750</v>
      </c>
      <c r="L20" s="285">
        <f t="shared" ref="L20:L22" si="142">iferror(J20/I20,"")</f>
        <v>0</v>
      </c>
      <c r="M20" s="280"/>
      <c r="N20" s="61">
        <f>'Business Plan'!G22</f>
        <v>1500</v>
      </c>
      <c r="O20" s="61"/>
      <c r="P20" s="284">
        <f>O20-N$20</f>
        <v>-1500</v>
      </c>
      <c r="Q20" s="285">
        <f t="shared" ref="Q20:Q22" si="143">iferror(O20/N20,"")</f>
        <v>0</v>
      </c>
      <c r="R20" s="280"/>
      <c r="S20" s="61">
        <f>'Business Plan'!H22</f>
        <v>1500</v>
      </c>
      <c r="T20" s="61"/>
      <c r="U20" s="284">
        <f>T20-S$20</f>
        <v>-1500</v>
      </c>
      <c r="V20" s="285">
        <f t="shared" ref="V20:V22" si="144">iferror(T20/S20,"")</f>
        <v>0</v>
      </c>
      <c r="W20" s="280"/>
      <c r="X20" s="61">
        <f>'Business Plan'!I22</f>
        <v>3000</v>
      </c>
      <c r="Y20" s="61"/>
      <c r="Z20" s="284">
        <f>Y20-X$20</f>
        <v>-3000</v>
      </c>
      <c r="AA20" s="285">
        <f t="shared" ref="AA20:AA22" si="145">iferror(Y20/X20,"")</f>
        <v>0</v>
      </c>
      <c r="AB20" s="280"/>
      <c r="AC20" s="61">
        <f>'Business Plan'!J22</f>
        <v>4500</v>
      </c>
      <c r="AD20" s="61"/>
      <c r="AE20" s="284">
        <f>AD20-AC$20</f>
        <v>-4500</v>
      </c>
      <c r="AF20" s="285">
        <f t="shared" ref="AF20:AF22" si="146">iferror(AD20/AC20,"")</f>
        <v>0</v>
      </c>
      <c r="AG20" s="280"/>
      <c r="AH20" s="61">
        <f>'Business Plan'!K22</f>
        <v>6000</v>
      </c>
      <c r="AI20" s="61"/>
      <c r="AJ20" s="284">
        <f>AI20-AH$20</f>
        <v>-6000</v>
      </c>
      <c r="AK20" s="285">
        <f t="shared" ref="AK20:AK22" si="147">iferror(AI20/AH20,"")</f>
        <v>0</v>
      </c>
      <c r="AL20" s="280"/>
      <c r="AM20" s="61">
        <f>'Business Plan'!L22</f>
        <v>9000</v>
      </c>
      <c r="AN20" s="61"/>
      <c r="AO20" s="284">
        <f>AN20-AM$20</f>
        <v>-9000</v>
      </c>
      <c r="AP20" s="285">
        <f t="shared" ref="AP20:AP22" si="148">iferror(AN20/AM20,"")</f>
        <v>0</v>
      </c>
      <c r="AQ20" s="280"/>
      <c r="AR20" s="61">
        <f>'Business Plan'!M22</f>
        <v>9000</v>
      </c>
      <c r="AS20" s="61"/>
      <c r="AT20" s="284">
        <f>AS20-AR$20</f>
        <v>-9000</v>
      </c>
      <c r="AU20" s="285">
        <f t="shared" ref="AU20:AU22" si="149">iferror(AS20/AR20,"")</f>
        <v>0</v>
      </c>
      <c r="AV20" s="280"/>
      <c r="AW20" s="61">
        <f>'Business Plan'!N22</f>
        <v>9000</v>
      </c>
      <c r="AX20" s="61"/>
      <c r="AY20" s="284">
        <f>AX20-AW$20</f>
        <v>-9000</v>
      </c>
      <c r="AZ20" s="285">
        <f t="shared" ref="AZ20:AZ22" si="150">iferror(AX20/AW20,"")</f>
        <v>0</v>
      </c>
      <c r="BA20" s="280"/>
      <c r="BB20" s="61">
        <f>'Business Plan'!O22</f>
        <v>9000</v>
      </c>
      <c r="BC20" s="61"/>
      <c r="BD20" s="284">
        <f>BC20-BB$20</f>
        <v>-9000</v>
      </c>
      <c r="BE20" s="285">
        <f t="shared" ref="BE20:BE22" si="151">iferror(BC20/BB20,"")</f>
        <v>0</v>
      </c>
      <c r="BF20" s="280"/>
      <c r="BG20" s="61">
        <f>'Business Plan'!P22</f>
        <v>3000</v>
      </c>
      <c r="BH20" s="61"/>
      <c r="BI20" s="284">
        <f>BH20-BG$20</f>
        <v>-3000</v>
      </c>
      <c r="BJ20" s="285">
        <f t="shared" ref="BJ20:BJ22" si="152">iferror(BH20/BG20,"")</f>
        <v>0</v>
      </c>
      <c r="BK20" s="280"/>
      <c r="BL20" s="61">
        <f t="shared" ref="BL20:BM20" si="135">SUM(BG20,BB20,AW20,AR20,AM20,AH20,AC20,X20,S20,N20,I20,D20,)</f>
        <v>57000</v>
      </c>
      <c r="BM20" s="61">
        <f t="shared" si="135"/>
        <v>0</v>
      </c>
      <c r="BN20" s="284">
        <f>BM20-BL$20</f>
        <v>-57000</v>
      </c>
      <c r="BO20" s="285">
        <f t="shared" ref="BO20:BO22" si="154">iferror(BM20/BL20,"")</f>
        <v>0</v>
      </c>
      <c r="BP20" s="280"/>
      <c r="BQ20" s="61">
        <f t="shared" ref="BQ20:BR20" si="136">D20+I20+N20</f>
        <v>3000</v>
      </c>
      <c r="BR20" s="61">
        <f t="shared" si="136"/>
        <v>0</v>
      </c>
      <c r="BS20" s="284">
        <f>BR20-BQ$20</f>
        <v>-3000</v>
      </c>
      <c r="BT20" s="285">
        <f t="shared" ref="BT20:BT22" si="156">iferror(BR20/BQ20,"")</f>
        <v>0</v>
      </c>
      <c r="BU20" s="280"/>
      <c r="BV20" s="61">
        <f t="shared" ref="BV20:BW20" si="137">S20+X20+AC20</f>
        <v>9000</v>
      </c>
      <c r="BW20" s="61">
        <f t="shared" si="137"/>
        <v>0</v>
      </c>
      <c r="BX20" s="284">
        <f>BW20-BV$20</f>
        <v>-9000</v>
      </c>
      <c r="BY20" s="285">
        <f t="shared" ref="BY20:BY22" si="158">iferror(BW20/BV20,"")</f>
        <v>0</v>
      </c>
      <c r="BZ20" s="280"/>
      <c r="CA20" s="61">
        <f t="shared" ref="CA20:CB20" si="138">AH20+AM20+AR20</f>
        <v>24000</v>
      </c>
      <c r="CB20" s="61">
        <f t="shared" si="138"/>
        <v>0</v>
      </c>
      <c r="CC20" s="284">
        <f>CB20-CA$20</f>
        <v>-24000</v>
      </c>
      <c r="CD20" s="285">
        <f t="shared" ref="CD20:CD22" si="160">iferror(CB20/CA20,"")</f>
        <v>0</v>
      </c>
      <c r="CE20" s="280"/>
      <c r="CF20" s="61">
        <f t="shared" ref="CF20:CG20" si="139">BG20+BB20+AW20</f>
        <v>21000</v>
      </c>
      <c r="CG20" s="61">
        <f t="shared" si="139"/>
        <v>0</v>
      </c>
      <c r="CH20" s="284">
        <f>CG20-CF$20</f>
        <v>-21000</v>
      </c>
      <c r="CI20" s="285">
        <f t="shared" ref="CI20:CI22" si="162">iferror(CG20/CF20,"")</f>
        <v>0</v>
      </c>
      <c r="CJ20" s="280"/>
    </row>
    <row r="21" ht="17.25" customHeight="1">
      <c r="A21" s="20"/>
      <c r="B21" s="31"/>
      <c r="C21" s="60" t="s">
        <v>53</v>
      </c>
      <c r="D21" s="61">
        <f>'Business Plan'!E20</f>
        <v>0</v>
      </c>
      <c r="E21" s="61">
        <f>SUMIF('B&amp;I'!$L$3:$L43,D3,'B&amp;I'!$K$3:$K43)</f>
        <v>0</v>
      </c>
      <c r="F21" s="61">
        <f t="shared" si="140"/>
        <v>0</v>
      </c>
      <c r="G21" s="285" t="str">
        <f t="shared" si="141"/>
        <v/>
      </c>
      <c r="H21" s="280"/>
      <c r="I21" s="61">
        <f>'Business Plan'!F20</f>
        <v>0</v>
      </c>
      <c r="J21" s="61">
        <f>SUMIF('B&amp;I'!$L$3:$L43,I3,'B&amp;I'!$K$3:$K43)</f>
        <v>0</v>
      </c>
      <c r="K21" s="61">
        <f>J21-I$21</f>
        <v>0</v>
      </c>
      <c r="L21" s="285" t="str">
        <f t="shared" si="142"/>
        <v/>
      </c>
      <c r="M21" s="280"/>
      <c r="N21" s="61">
        <f>'Business Plan'!G20</f>
        <v>17200</v>
      </c>
      <c r="O21" s="61">
        <f>SUMIF('B&amp;I'!$L$3:$L43,N3,'B&amp;I'!$K$3:$K43)</f>
        <v>0</v>
      </c>
      <c r="P21" s="61">
        <f>O21-N$21</f>
        <v>-17200</v>
      </c>
      <c r="Q21" s="285">
        <f t="shared" si="143"/>
        <v>0</v>
      </c>
      <c r="R21" s="280"/>
      <c r="S21" s="61">
        <f>'Business Plan'!H20</f>
        <v>0</v>
      </c>
      <c r="T21" s="61">
        <f>SUMIF('B&amp;I'!$L$3:$L43,S3,'B&amp;I'!$K$3:$K43)</f>
        <v>0</v>
      </c>
      <c r="U21" s="61">
        <f>T21-S$21</f>
        <v>0</v>
      </c>
      <c r="V21" s="285" t="str">
        <f t="shared" si="144"/>
        <v/>
      </c>
      <c r="W21" s="280"/>
      <c r="X21" s="61">
        <f>'Business Plan'!I20</f>
        <v>0</v>
      </c>
      <c r="Y21" s="61">
        <f>SUMIF('B&amp;I'!$L$3:$L43,X3,'B&amp;I'!$K$3:$K43)</f>
        <v>0</v>
      </c>
      <c r="Z21" s="61">
        <f>Y21-X$21</f>
        <v>0</v>
      </c>
      <c r="AA21" s="285" t="str">
        <f t="shared" si="145"/>
        <v/>
      </c>
      <c r="AB21" s="280"/>
      <c r="AC21" s="61">
        <f>'Business Plan'!J20</f>
        <v>13550</v>
      </c>
      <c r="AD21" s="61">
        <f>SUMIF('B&amp;I'!$L$3:$L43,AC3,'B&amp;I'!$K$3:$K43)</f>
        <v>0</v>
      </c>
      <c r="AE21" s="61">
        <f>AD21-AC$21</f>
        <v>-13550</v>
      </c>
      <c r="AF21" s="285">
        <f t="shared" si="146"/>
        <v>0</v>
      </c>
      <c r="AG21" s="280"/>
      <c r="AH21" s="61">
        <f>'Business Plan'!K20</f>
        <v>0</v>
      </c>
      <c r="AI21" s="61">
        <f>SUMIF('B&amp;I'!$L$3:$L43,AH3,'B&amp;I'!$K$3:$K43)</f>
        <v>0</v>
      </c>
      <c r="AJ21" s="61">
        <f>AI21-AH$21</f>
        <v>0</v>
      </c>
      <c r="AK21" s="285" t="str">
        <f t="shared" si="147"/>
        <v/>
      </c>
      <c r="AL21" s="280"/>
      <c r="AM21" s="61">
        <f>'Business Plan'!L20</f>
        <v>0</v>
      </c>
      <c r="AN21" s="61">
        <f>SUMIF('B&amp;I'!$L$3:$L43,AM3,'B&amp;I'!$K$3:$K43)</f>
        <v>0</v>
      </c>
      <c r="AO21" s="61">
        <f>AN21-AM$21</f>
        <v>0</v>
      </c>
      <c r="AP21" s="285" t="str">
        <f t="shared" si="148"/>
        <v/>
      </c>
      <c r="AQ21" s="280"/>
      <c r="AR21" s="61">
        <f>'Business Plan'!M20</f>
        <v>14050</v>
      </c>
      <c r="AS21" s="61">
        <f>SUMIF('B&amp;I'!$L$3:$L43,AR3,'B&amp;I'!$K$3:$K43)</f>
        <v>0</v>
      </c>
      <c r="AT21" s="61">
        <f>AS21-AR$21</f>
        <v>-14050</v>
      </c>
      <c r="AU21" s="285">
        <f t="shared" si="149"/>
        <v>0</v>
      </c>
      <c r="AV21" s="280"/>
      <c r="AW21" s="61">
        <f>'Business Plan'!N20</f>
        <v>0</v>
      </c>
      <c r="AX21" s="61">
        <f>SUMIF('B&amp;I'!$L$3:$L43,AW3,'B&amp;I'!$K$3:$K43)</f>
        <v>0</v>
      </c>
      <c r="AY21" s="61">
        <f>AX21-AW$21</f>
        <v>0</v>
      </c>
      <c r="AZ21" s="285" t="str">
        <f t="shared" si="150"/>
        <v/>
      </c>
      <c r="BA21" s="280"/>
      <c r="BB21" s="61">
        <f>'Business Plan'!O20</f>
        <v>0</v>
      </c>
      <c r="BC21" s="61">
        <f>SUMIF('B&amp;I'!$L$3:$L43,BB3,'B&amp;I'!$K$3:$K43)</f>
        <v>0</v>
      </c>
      <c r="BD21" s="61">
        <f>BC21-BB$21</f>
        <v>0</v>
      </c>
      <c r="BE21" s="285" t="str">
        <f t="shared" si="151"/>
        <v/>
      </c>
      <c r="BF21" s="280"/>
      <c r="BG21" s="61">
        <f>'Business Plan'!P20</f>
        <v>14550</v>
      </c>
      <c r="BH21" s="61">
        <f>SUMIF('B&amp;I'!$L$3:$L43,BG3,'B&amp;I'!$K$3:$K43)</f>
        <v>0</v>
      </c>
      <c r="BI21" s="61">
        <f>BH21-BG$21</f>
        <v>-14550</v>
      </c>
      <c r="BJ21" s="285">
        <f t="shared" si="152"/>
        <v>0</v>
      </c>
      <c r="BK21" s="290"/>
      <c r="BL21" s="61">
        <f t="shared" ref="BL21:BM21" si="153">SUM(BG21,BB21,AW21,AR21,AM21,AH21,AC21,X21,S21,N21,I21,D21,)</f>
        <v>59350</v>
      </c>
      <c r="BM21" s="61">
        <f t="shared" si="153"/>
        <v>0</v>
      </c>
      <c r="BN21" s="61">
        <f>BM21-BL$21</f>
        <v>-59350</v>
      </c>
      <c r="BO21" s="285">
        <f t="shared" si="154"/>
        <v>0</v>
      </c>
      <c r="BP21" s="290"/>
      <c r="BQ21" s="61">
        <f t="shared" ref="BQ21:BR21" si="155">D21+I21+N21</f>
        <v>17200</v>
      </c>
      <c r="BR21" s="61">
        <f t="shared" si="155"/>
        <v>0</v>
      </c>
      <c r="BS21" s="61">
        <f>BR21-BQ$21</f>
        <v>-17200</v>
      </c>
      <c r="BT21" s="285">
        <f t="shared" si="156"/>
        <v>0</v>
      </c>
      <c r="BU21" s="290"/>
      <c r="BV21" s="61">
        <f t="shared" ref="BV21:BW21" si="157">S21+X21+AC21</f>
        <v>13550</v>
      </c>
      <c r="BW21" s="61">
        <f t="shared" si="157"/>
        <v>0</v>
      </c>
      <c r="BX21" s="61">
        <f>BW21-BV$21</f>
        <v>-13550</v>
      </c>
      <c r="BY21" s="285">
        <f t="shared" si="158"/>
        <v>0</v>
      </c>
      <c r="BZ21" s="290"/>
      <c r="CA21" s="61">
        <f t="shared" ref="CA21:CB21" si="159">AH21+AM21+AR21</f>
        <v>14050</v>
      </c>
      <c r="CB21" s="61">
        <f t="shared" si="159"/>
        <v>0</v>
      </c>
      <c r="CC21" s="61">
        <f>CB21-CA$21</f>
        <v>-14050</v>
      </c>
      <c r="CD21" s="285">
        <f t="shared" si="160"/>
        <v>0</v>
      </c>
      <c r="CE21" s="290"/>
      <c r="CF21" s="61">
        <f t="shared" ref="CF21:CG21" si="161">BG21+BB21+AW21</f>
        <v>14550</v>
      </c>
      <c r="CG21" s="61">
        <f t="shared" si="161"/>
        <v>0</v>
      </c>
      <c r="CH21" s="61">
        <f>CG21-CF$21</f>
        <v>-14550</v>
      </c>
      <c r="CI21" s="285">
        <f t="shared" si="162"/>
        <v>0</v>
      </c>
      <c r="CJ21" s="290"/>
    </row>
    <row r="22" ht="22.5" customHeight="1">
      <c r="A22" s="3"/>
      <c r="B22" s="31"/>
      <c r="C22" s="291" t="s">
        <v>70</v>
      </c>
      <c r="D22" s="292">
        <f>'Business Plan'!E24</f>
        <v>8100</v>
      </c>
      <c r="E22" s="292">
        <f>SUM(E18:E21)</f>
        <v>0</v>
      </c>
      <c r="F22" s="293">
        <f t="shared" si="140"/>
        <v>-8100</v>
      </c>
      <c r="G22" s="294">
        <f t="shared" si="141"/>
        <v>0</v>
      </c>
      <c r="H22" s="280"/>
      <c r="I22" s="292">
        <f>'Business Plan'!F24</f>
        <v>17670</v>
      </c>
      <c r="J22" s="292">
        <f>E22+SUM(J18:J21)</f>
        <v>0</v>
      </c>
      <c r="K22" s="293">
        <f>J22-I$22</f>
        <v>-17670</v>
      </c>
      <c r="L22" s="294">
        <f t="shared" si="142"/>
        <v>0</v>
      </c>
      <c r="M22" s="280"/>
      <c r="N22" s="292">
        <f>'Business Plan'!G24</f>
        <v>46660</v>
      </c>
      <c r="O22" s="292">
        <f>J22+SUM(O18:O21)</f>
        <v>0</v>
      </c>
      <c r="P22" s="293">
        <f>O22-N$22</f>
        <v>-46660</v>
      </c>
      <c r="Q22" s="294">
        <f t="shared" si="143"/>
        <v>0</v>
      </c>
      <c r="R22" s="280"/>
      <c r="S22" s="292">
        <f>'Business Plan'!H24</f>
        <v>56980</v>
      </c>
      <c r="T22" s="292">
        <f>O22+SUM(T18:T21)</f>
        <v>0</v>
      </c>
      <c r="U22" s="293">
        <f>T22-S$22</f>
        <v>-56980</v>
      </c>
      <c r="V22" s="294">
        <f t="shared" si="144"/>
        <v>0</v>
      </c>
      <c r="W22" s="280"/>
      <c r="X22" s="292">
        <f>'Business Plan'!I24</f>
        <v>70270</v>
      </c>
      <c r="Y22" s="292">
        <f>T22+SUM(Y18:Y21)</f>
        <v>0</v>
      </c>
      <c r="Z22" s="293">
        <f>Y22-X$22</f>
        <v>-70270</v>
      </c>
      <c r="AA22" s="294">
        <f t="shared" si="145"/>
        <v>0</v>
      </c>
      <c r="AB22" s="280"/>
      <c r="AC22" s="292">
        <f>'Business Plan'!J24</f>
        <v>105960</v>
      </c>
      <c r="AD22" s="292">
        <f>Y22+SUM(AD18:AD21)</f>
        <v>0</v>
      </c>
      <c r="AE22" s="293">
        <f>AD22-AC$22</f>
        <v>-105960</v>
      </c>
      <c r="AF22" s="294">
        <f t="shared" si="146"/>
        <v>0</v>
      </c>
      <c r="AG22" s="280"/>
      <c r="AH22" s="292">
        <f>'Business Plan'!K24</f>
        <v>122250</v>
      </c>
      <c r="AI22" s="292">
        <f>AD22+SUM(AI18:AI21)</f>
        <v>0</v>
      </c>
      <c r="AJ22" s="293">
        <f>AI22-AH$22</f>
        <v>-122250</v>
      </c>
      <c r="AK22" s="294">
        <f t="shared" si="147"/>
        <v>0</v>
      </c>
      <c r="AL22" s="280"/>
      <c r="AM22" s="292">
        <f>'Business Plan'!L24</f>
        <v>143010</v>
      </c>
      <c r="AN22" s="292">
        <f>AI22+SUM(AN18:AN21)</f>
        <v>0</v>
      </c>
      <c r="AO22" s="293">
        <f>AN22-AM$22</f>
        <v>-143010</v>
      </c>
      <c r="AP22" s="294">
        <f t="shared" si="148"/>
        <v>0</v>
      </c>
      <c r="AQ22" s="280"/>
      <c r="AR22" s="292">
        <f>'Business Plan'!M24</f>
        <v>182230</v>
      </c>
      <c r="AS22" s="292">
        <f>AN22+SUM(AS18:AS21)</f>
        <v>0</v>
      </c>
      <c r="AT22" s="293">
        <f>AS22-AR$22</f>
        <v>-182230</v>
      </c>
      <c r="AU22" s="294">
        <f t="shared" si="149"/>
        <v>0</v>
      </c>
      <c r="AV22" s="280"/>
      <c r="AW22" s="292">
        <f>'Business Plan'!N24</f>
        <v>208870</v>
      </c>
      <c r="AX22" s="292">
        <f>AS22+SUM(AX18:AX21)</f>
        <v>0</v>
      </c>
      <c r="AY22" s="293">
        <f>AX22-AW$22</f>
        <v>-208870</v>
      </c>
      <c r="AZ22" s="294">
        <f t="shared" si="150"/>
        <v>0</v>
      </c>
      <c r="BA22" s="280"/>
      <c r="BB22" s="292">
        <f>'Business Plan'!O24</f>
        <v>236980</v>
      </c>
      <c r="BC22" s="292">
        <f>AX22+SUM(BC18:BC21)</f>
        <v>0</v>
      </c>
      <c r="BD22" s="293">
        <f>BC22-BB$22</f>
        <v>-236980</v>
      </c>
      <c r="BE22" s="294">
        <f t="shared" si="151"/>
        <v>0</v>
      </c>
      <c r="BF22" s="280"/>
      <c r="BG22" s="292">
        <f>'Business Plan'!P24</f>
        <v>263350</v>
      </c>
      <c r="BH22" s="292">
        <f>BC22+SUM(BH18:BH21)</f>
        <v>0</v>
      </c>
      <c r="BI22" s="293">
        <f>BH22-BG$22</f>
        <v>-263350</v>
      </c>
      <c r="BJ22" s="294">
        <f t="shared" si="152"/>
        <v>0</v>
      </c>
      <c r="BK22" s="280"/>
      <c r="BL22" s="292">
        <f t="shared" ref="BL22:BM22" si="163">BG22</f>
        <v>263350</v>
      </c>
      <c r="BM22" s="292">
        <f t="shared" si="163"/>
        <v>0</v>
      </c>
      <c r="BN22" s="293">
        <f>BM22-BL$22</f>
        <v>-263350</v>
      </c>
      <c r="BO22" s="294">
        <f t="shared" si="154"/>
        <v>0</v>
      </c>
      <c r="BP22" s="280"/>
      <c r="BQ22" s="292">
        <f t="shared" ref="BQ22:BR22" si="164">N22</f>
        <v>46660</v>
      </c>
      <c r="BR22" s="292">
        <f t="shared" si="164"/>
        <v>0</v>
      </c>
      <c r="BS22" s="293">
        <f>BR22-BQ$22</f>
        <v>-46660</v>
      </c>
      <c r="BT22" s="294">
        <f t="shared" si="156"/>
        <v>0</v>
      </c>
      <c r="BU22" s="280"/>
      <c r="BV22" s="292">
        <f t="shared" ref="BV22:BW22" si="165">AC22</f>
        <v>105960</v>
      </c>
      <c r="BW22" s="292">
        <f t="shared" si="165"/>
        <v>0</v>
      </c>
      <c r="BX22" s="293">
        <f>BW22-BV$22</f>
        <v>-105960</v>
      </c>
      <c r="BY22" s="294">
        <f t="shared" si="158"/>
        <v>0</v>
      </c>
      <c r="BZ22" s="280"/>
      <c r="CA22" s="292">
        <f t="shared" ref="CA22:CB22" si="166">AR22</f>
        <v>182230</v>
      </c>
      <c r="CB22" s="292">
        <f t="shared" si="166"/>
        <v>0</v>
      </c>
      <c r="CC22" s="293">
        <f>CB22-CA$22</f>
        <v>-182230</v>
      </c>
      <c r="CD22" s="294">
        <f t="shared" si="160"/>
        <v>0</v>
      </c>
      <c r="CE22" s="280"/>
      <c r="CF22" s="292">
        <f t="shared" ref="CF22:CG22" si="167">BG22</f>
        <v>263350</v>
      </c>
      <c r="CG22" s="292">
        <f t="shared" si="167"/>
        <v>0</v>
      </c>
      <c r="CH22" s="293">
        <f>CG22-CF$22</f>
        <v>-263350</v>
      </c>
      <c r="CI22" s="294">
        <f t="shared" si="162"/>
        <v>0</v>
      </c>
      <c r="CJ22" s="280"/>
    </row>
    <row r="23" ht="7.5" customHeight="1">
      <c r="A23" s="31"/>
      <c r="B23" s="31"/>
      <c r="C23" s="55"/>
      <c r="D23" s="288"/>
      <c r="E23" s="288"/>
      <c r="F23" s="284"/>
      <c r="G23" s="285"/>
      <c r="H23" s="55"/>
      <c r="I23" s="288"/>
      <c r="J23" s="288"/>
      <c r="K23" s="284"/>
      <c r="L23" s="285"/>
      <c r="M23" s="55"/>
      <c r="N23" s="288"/>
      <c r="O23" s="288"/>
      <c r="P23" s="284"/>
      <c r="Q23" s="285"/>
      <c r="R23" s="55"/>
      <c r="S23" s="288"/>
      <c r="T23" s="288"/>
      <c r="U23" s="284"/>
      <c r="V23" s="285"/>
      <c r="W23" s="55"/>
      <c r="X23" s="288"/>
      <c r="Y23" s="288"/>
      <c r="Z23" s="284"/>
      <c r="AA23" s="285"/>
      <c r="AB23" s="55"/>
      <c r="AC23" s="288"/>
      <c r="AD23" s="288"/>
      <c r="AE23" s="284"/>
      <c r="AF23" s="285"/>
      <c r="AG23" s="55"/>
      <c r="AH23" s="288"/>
      <c r="AI23" s="288"/>
      <c r="AJ23" s="284"/>
      <c r="AK23" s="285"/>
      <c r="AL23" s="55"/>
      <c r="AM23" s="288"/>
      <c r="AN23" s="288"/>
      <c r="AO23" s="284"/>
      <c r="AP23" s="285"/>
      <c r="AQ23" s="55"/>
      <c r="AR23" s="288"/>
      <c r="AS23" s="288"/>
      <c r="AT23" s="284"/>
      <c r="AU23" s="285"/>
      <c r="AV23" s="55"/>
      <c r="AW23" s="288"/>
      <c r="AX23" s="288"/>
      <c r="AY23" s="284"/>
      <c r="AZ23" s="285"/>
      <c r="BA23" s="55"/>
      <c r="BB23" s="288"/>
      <c r="BC23" s="288"/>
      <c r="BD23" s="284"/>
      <c r="BE23" s="285"/>
      <c r="BF23" s="55"/>
      <c r="BG23" s="288"/>
      <c r="BH23" s="288"/>
      <c r="BI23" s="284"/>
      <c r="BJ23" s="285"/>
      <c r="BK23" s="55"/>
      <c r="BL23" s="288"/>
      <c r="BM23" s="288"/>
      <c r="BN23" s="284"/>
      <c r="BO23" s="285"/>
      <c r="BP23" s="55"/>
      <c r="BQ23" s="288"/>
      <c r="BR23" s="288"/>
      <c r="BS23" s="284"/>
      <c r="BT23" s="285"/>
      <c r="BU23" s="55"/>
      <c r="BV23" s="288"/>
      <c r="BW23" s="288"/>
      <c r="BX23" s="284"/>
      <c r="BY23" s="285"/>
      <c r="BZ23" s="55"/>
      <c r="CA23" s="288"/>
      <c r="CB23" s="288"/>
      <c r="CC23" s="284"/>
      <c r="CD23" s="285"/>
      <c r="CE23" s="55"/>
      <c r="CF23" s="288"/>
      <c r="CG23" s="288"/>
      <c r="CH23" s="284"/>
      <c r="CI23" s="285"/>
      <c r="CJ23" s="55"/>
    </row>
    <row r="24" ht="24.75" customHeight="1">
      <c r="A24" s="20"/>
      <c r="B24" s="31"/>
      <c r="C24" s="66" t="s">
        <v>74</v>
      </c>
      <c r="D24" s="276"/>
      <c r="E24" s="276"/>
      <c r="F24" s="264"/>
      <c r="G24" s="265" t="str">
        <f t="shared" ref="G24:G26" si="172">iferror(E24/D24,"")</f>
        <v/>
      </c>
      <c r="H24" s="55"/>
      <c r="I24" s="276"/>
      <c r="J24" s="276"/>
      <c r="K24" s="264"/>
      <c r="L24" s="265" t="str">
        <f t="shared" ref="L24:L26" si="173">iferror(J24/I24,"")</f>
        <v/>
      </c>
      <c r="M24" s="55"/>
      <c r="N24" s="276"/>
      <c r="O24" s="276"/>
      <c r="P24" s="264"/>
      <c r="Q24" s="265" t="str">
        <f t="shared" ref="Q24:Q26" si="174">iferror(O24/N24,"")</f>
        <v/>
      </c>
      <c r="R24" s="55"/>
      <c r="S24" s="276"/>
      <c r="T24" s="276"/>
      <c r="U24" s="264"/>
      <c r="V24" s="265" t="str">
        <f t="shared" ref="V24:V26" si="175">iferror(T24/S24,"")</f>
        <v/>
      </c>
      <c r="W24" s="55"/>
      <c r="X24" s="276"/>
      <c r="Y24" s="276"/>
      <c r="Z24" s="264"/>
      <c r="AA24" s="265" t="str">
        <f t="shared" ref="AA24:AA26" si="176">iferror(Y24/X24,"")</f>
        <v/>
      </c>
      <c r="AB24" s="55"/>
      <c r="AC24" s="276"/>
      <c r="AD24" s="276"/>
      <c r="AE24" s="264"/>
      <c r="AF24" s="265" t="str">
        <f t="shared" ref="AF24:AF26" si="177">iferror(AD24/AC24,"")</f>
        <v/>
      </c>
      <c r="AG24" s="55"/>
      <c r="AH24" s="276"/>
      <c r="AI24" s="276"/>
      <c r="AJ24" s="264"/>
      <c r="AK24" s="265" t="str">
        <f t="shared" ref="AK24:AK26" si="178">iferror(AI24/AH24,"")</f>
        <v/>
      </c>
      <c r="AL24" s="55"/>
      <c r="AM24" s="276"/>
      <c r="AN24" s="276"/>
      <c r="AO24" s="264"/>
      <c r="AP24" s="265" t="str">
        <f t="shared" ref="AP24:AP26" si="179">iferror(AN24/AM24,"")</f>
        <v/>
      </c>
      <c r="AQ24" s="55"/>
      <c r="AR24" s="276"/>
      <c r="AS24" s="276"/>
      <c r="AT24" s="264"/>
      <c r="AU24" s="265" t="str">
        <f t="shared" ref="AU24:AU26" si="180">iferror(AS24/AR24,"")</f>
        <v/>
      </c>
      <c r="AV24" s="55"/>
      <c r="AW24" s="276"/>
      <c r="AX24" s="276"/>
      <c r="AY24" s="264"/>
      <c r="AZ24" s="265" t="str">
        <f t="shared" ref="AZ24:AZ26" si="181">iferror(AX24/AW24,"")</f>
        <v/>
      </c>
      <c r="BA24" s="55"/>
      <c r="BB24" s="276"/>
      <c r="BC24" s="276"/>
      <c r="BD24" s="264"/>
      <c r="BE24" s="265" t="str">
        <f t="shared" ref="BE24:BE26" si="182">iferror(BC24/BB24,"")</f>
        <v/>
      </c>
      <c r="BF24" s="55"/>
      <c r="BG24" s="276"/>
      <c r="BH24" s="276"/>
      <c r="BI24" s="264"/>
      <c r="BJ24" s="265" t="str">
        <f t="shared" ref="BJ24:BJ26" si="183">iferror(BH24/BG24,"")</f>
        <v/>
      </c>
      <c r="BK24" s="55"/>
      <c r="BL24" s="276"/>
      <c r="BM24" s="276"/>
      <c r="BN24" s="264"/>
      <c r="BO24" s="265" t="str">
        <f t="shared" ref="BO24:BO26" si="185">iferror(BM24/BL24,"")</f>
        <v/>
      </c>
      <c r="BP24" s="55"/>
      <c r="BQ24" s="276">
        <f t="shared" ref="BQ24:BR24" si="168">D24+I24+N24</f>
        <v>0</v>
      </c>
      <c r="BR24" s="276">
        <f t="shared" si="168"/>
        <v>0</v>
      </c>
      <c r="BS24" s="264"/>
      <c r="BT24" s="265" t="str">
        <f t="shared" ref="BT24:BT26" si="187">iferror(BR24/BQ24,"")</f>
        <v/>
      </c>
      <c r="BU24" s="55"/>
      <c r="BV24" s="276">
        <f t="shared" ref="BV24:BW24" si="169">S24+X24+AC24</f>
        <v>0</v>
      </c>
      <c r="BW24" s="276">
        <f t="shared" si="169"/>
        <v>0</v>
      </c>
      <c r="BX24" s="264"/>
      <c r="BY24" s="265" t="str">
        <f t="shared" ref="BY24:BY26" si="189">iferror(BW24/BV24,"")</f>
        <v/>
      </c>
      <c r="BZ24" s="55"/>
      <c r="CA24" s="276">
        <f t="shared" ref="CA24:CB24" si="170">AH24+AM24+AR24</f>
        <v>0</v>
      </c>
      <c r="CB24" s="276">
        <f t="shared" si="170"/>
        <v>0</v>
      </c>
      <c r="CC24" s="264"/>
      <c r="CD24" s="265" t="str">
        <f t="shared" ref="CD24:CD26" si="191">iferror(CB24/CA24,"")</f>
        <v/>
      </c>
      <c r="CE24" s="55"/>
      <c r="CF24" s="276">
        <f t="shared" ref="CF24:CG24" si="171">BG24+BB24+AW24</f>
        <v>0</v>
      </c>
      <c r="CG24" s="276">
        <f t="shared" si="171"/>
        <v>0</v>
      </c>
      <c r="CH24" s="264"/>
      <c r="CI24" s="265" t="str">
        <f t="shared" ref="CI24:CI26" si="193">iferror(CG24/CF24,"")</f>
        <v/>
      </c>
      <c r="CJ24" s="55"/>
    </row>
    <row r="25" ht="17.25" customHeight="1">
      <c r="A25" s="20"/>
      <c r="B25" s="31"/>
      <c r="C25" s="60" t="s">
        <v>75</v>
      </c>
      <c r="D25" s="61">
        <f>'Business Plan'!E33</f>
        <v>3</v>
      </c>
      <c r="E25" s="61">
        <f>COUNTIFS('Demand Generation Plan'!$P$4:$P43,"&gt;0",'Demand Generation Plan'!$D$4:$D43,D3)</f>
        <v>0</v>
      </c>
      <c r="F25" s="61">
        <f t="shared" ref="F25:F26" si="194">E25-D25</f>
        <v>-3</v>
      </c>
      <c r="G25" s="285">
        <f t="shared" si="172"/>
        <v>0</v>
      </c>
      <c r="H25" s="55"/>
      <c r="I25" s="142">
        <f>'Business Plan'!F33</f>
        <v>3</v>
      </c>
      <c r="J25" s="61">
        <f>COUNTIFS('Demand Generation Plan'!$P$4:$P43,"&gt;0",'Demand Generation Plan'!$D$4:$D43,I3)</f>
        <v>0</v>
      </c>
      <c r="K25" s="61">
        <f t="shared" ref="K25:K26" si="195">J25-I25</f>
        <v>-3</v>
      </c>
      <c r="L25" s="285">
        <f t="shared" si="173"/>
        <v>0</v>
      </c>
      <c r="M25" s="55"/>
      <c r="N25" s="142">
        <f>'Business Plan'!G33</f>
        <v>2</v>
      </c>
      <c r="O25" s="61">
        <f>COUNTIFS('Demand Generation Plan'!$P$4:$P43,"&gt;0",'Demand Generation Plan'!$D$4:$D43,N3)</f>
        <v>0</v>
      </c>
      <c r="P25" s="61">
        <f t="shared" ref="P25:P26" si="196">O25-N25</f>
        <v>-2</v>
      </c>
      <c r="Q25" s="285">
        <f t="shared" si="174"/>
        <v>0</v>
      </c>
      <c r="R25" s="55"/>
      <c r="S25" s="142">
        <f>'Business Plan'!H33</f>
        <v>3</v>
      </c>
      <c r="T25" s="61">
        <f>COUNTIFS('Demand Generation Plan'!$P$4:$P43,"&gt;0",'Demand Generation Plan'!$D$4:$D43,S3)</f>
        <v>0</v>
      </c>
      <c r="U25" s="61">
        <f t="shared" ref="U25:U26" si="197">T25-S25</f>
        <v>-3</v>
      </c>
      <c r="V25" s="285">
        <f t="shared" si="175"/>
        <v>0</v>
      </c>
      <c r="W25" s="55"/>
      <c r="X25" s="142">
        <f>'Business Plan'!I33</f>
        <v>3</v>
      </c>
      <c r="Y25" s="61">
        <f>COUNTIFS('Demand Generation Plan'!$P$4:$P43,"&gt;0",'Demand Generation Plan'!$D$4:$D43,X3)</f>
        <v>0</v>
      </c>
      <c r="Z25" s="61">
        <f t="shared" ref="Z25:Z26" si="198">Y25-X25</f>
        <v>-3</v>
      </c>
      <c r="AA25" s="285">
        <f t="shared" si="176"/>
        <v>0</v>
      </c>
      <c r="AB25" s="55"/>
      <c r="AC25" s="142">
        <f>'Business Plan'!J33</f>
        <v>2</v>
      </c>
      <c r="AD25" s="61">
        <f>COUNTIFS('Demand Generation Plan'!$P$4:$P43,"&gt;0",'Demand Generation Plan'!$D$4:$D43,AC3)</f>
        <v>0</v>
      </c>
      <c r="AE25" s="61">
        <f t="shared" ref="AE25:AE26" si="199">AD25-AC25</f>
        <v>-2</v>
      </c>
      <c r="AF25" s="285">
        <f t="shared" si="177"/>
        <v>0</v>
      </c>
      <c r="AG25" s="55"/>
      <c r="AH25" s="142">
        <f>'Business Plan'!K33</f>
        <v>4</v>
      </c>
      <c r="AI25" s="61">
        <f>COUNTIFS('Demand Generation Plan'!$P$4:$P43,"&gt;0",'Demand Generation Plan'!$D$4:$D43,AH3)</f>
        <v>0</v>
      </c>
      <c r="AJ25" s="61">
        <f t="shared" ref="AJ25:AJ26" si="200">AI25-AH25</f>
        <v>-4</v>
      </c>
      <c r="AK25" s="285">
        <f t="shared" si="178"/>
        <v>0</v>
      </c>
      <c r="AL25" s="55"/>
      <c r="AM25" s="142">
        <f>'Business Plan'!L33</f>
        <v>2</v>
      </c>
      <c r="AN25" s="61">
        <f>COUNTIFS('Demand Generation Plan'!$P$4:$P43,"&gt;0",'Demand Generation Plan'!$D$4:$D43,AM3)</f>
        <v>0</v>
      </c>
      <c r="AO25" s="61">
        <f t="shared" ref="AO25:AO26" si="201">AN25-AM25</f>
        <v>-2</v>
      </c>
      <c r="AP25" s="285">
        <f t="shared" si="179"/>
        <v>0</v>
      </c>
      <c r="AQ25" s="55"/>
      <c r="AR25" s="142">
        <f>'Business Plan'!M33</f>
        <v>2</v>
      </c>
      <c r="AS25" s="61">
        <f>COUNTIFS('Demand Generation Plan'!$P$4:$P43,"&gt;0",'Demand Generation Plan'!$D$4:$D43,AR3)</f>
        <v>0</v>
      </c>
      <c r="AT25" s="61">
        <f t="shared" ref="AT25:AT26" si="202">AS25-AR25</f>
        <v>-2</v>
      </c>
      <c r="AU25" s="285">
        <f t="shared" si="180"/>
        <v>0</v>
      </c>
      <c r="AV25" s="55"/>
      <c r="AW25" s="142">
        <f>'Business Plan'!N33</f>
        <v>4</v>
      </c>
      <c r="AX25" s="61">
        <f>COUNTIFS('Demand Generation Plan'!$P$4:$P43,"&gt;0",'Demand Generation Plan'!$D$4:$D43,AW3)</f>
        <v>0</v>
      </c>
      <c r="AY25" s="61">
        <f t="shared" ref="AY25:AY26" si="203">AX25-AW25</f>
        <v>-4</v>
      </c>
      <c r="AZ25" s="285">
        <f t="shared" si="181"/>
        <v>0</v>
      </c>
      <c r="BA25" s="55"/>
      <c r="BB25" s="142">
        <f>'Business Plan'!O33</f>
        <v>2</v>
      </c>
      <c r="BC25" s="61">
        <f>COUNTIFS('Demand Generation Plan'!$P$4:$P43,"&gt;0",'Demand Generation Plan'!$D$4:$D43,BB3)</f>
        <v>0</v>
      </c>
      <c r="BD25" s="61">
        <f t="shared" ref="BD25:BD26" si="204">BC25-BB25</f>
        <v>-2</v>
      </c>
      <c r="BE25" s="285">
        <f t="shared" si="182"/>
        <v>0</v>
      </c>
      <c r="BF25" s="55"/>
      <c r="BG25" s="142">
        <f>'Business Plan'!P33</f>
        <v>2</v>
      </c>
      <c r="BH25" s="61">
        <f>COUNTIFS('Demand Generation Plan'!$P$4:$P43,"&gt;0",'Demand Generation Plan'!$D$4:$D43,BG3)</f>
        <v>0</v>
      </c>
      <c r="BI25" s="61">
        <f t="shared" ref="BI25:BI26" si="205">BH25-BG25</f>
        <v>-2</v>
      </c>
      <c r="BJ25" s="285">
        <f t="shared" si="183"/>
        <v>0</v>
      </c>
      <c r="BK25" s="55"/>
      <c r="BL25" s="61">
        <f t="shared" ref="BL25:BM25" si="184">SUM(BG25,BB25,AW25,AR25,AM25,AH25,AC25,X25,S25,N25,I25,D25,)</f>
        <v>32</v>
      </c>
      <c r="BM25" s="61">
        <f t="shared" si="184"/>
        <v>0</v>
      </c>
      <c r="BN25" s="282">
        <f t="shared" ref="BN25:BN27" si="207">BM25-BL25</f>
        <v>-32</v>
      </c>
      <c r="BO25" s="285">
        <f t="shared" si="185"/>
        <v>0</v>
      </c>
      <c r="BP25" s="55"/>
      <c r="BQ25" s="142">
        <f t="shared" ref="BQ25:BR25" si="186">D25+I25+N25</f>
        <v>8</v>
      </c>
      <c r="BR25" s="61">
        <f t="shared" si="186"/>
        <v>0</v>
      </c>
      <c r="BS25" s="282">
        <f t="shared" ref="BS25:BS26" si="209">BR25-BQ25</f>
        <v>-8</v>
      </c>
      <c r="BT25" s="285">
        <f t="shared" si="187"/>
        <v>0</v>
      </c>
      <c r="BU25" s="55"/>
      <c r="BV25" s="142">
        <f t="shared" ref="BV25:BW25" si="188">S25+X25+AC25</f>
        <v>8</v>
      </c>
      <c r="BW25" s="61">
        <f t="shared" si="188"/>
        <v>0</v>
      </c>
      <c r="BX25" s="282">
        <f t="shared" ref="BX25:BX26" si="211">BW25-BV25</f>
        <v>-8</v>
      </c>
      <c r="BY25" s="285">
        <f t="shared" si="189"/>
        <v>0</v>
      </c>
      <c r="BZ25" s="55"/>
      <c r="CA25" s="142">
        <f t="shared" ref="CA25:CB25" si="190">AH25+AM25+AR25</f>
        <v>8</v>
      </c>
      <c r="CB25" s="61">
        <f t="shared" si="190"/>
        <v>0</v>
      </c>
      <c r="CC25" s="282">
        <f t="shared" ref="CC25:CC26" si="213">CB25-CA25</f>
        <v>-8</v>
      </c>
      <c r="CD25" s="285">
        <f t="shared" si="191"/>
        <v>0</v>
      </c>
      <c r="CE25" s="55"/>
      <c r="CF25" s="142">
        <f t="shared" ref="CF25:CG25" si="192">BG25+BB25+AW25</f>
        <v>8</v>
      </c>
      <c r="CG25" s="61">
        <f t="shared" si="192"/>
        <v>0</v>
      </c>
      <c r="CH25" s="282">
        <f t="shared" ref="CH25:CH26" si="215">CG25-CF25</f>
        <v>-8</v>
      </c>
      <c r="CI25" s="285">
        <f t="shared" si="193"/>
        <v>0</v>
      </c>
      <c r="CJ25" s="55"/>
    </row>
    <row r="26" ht="17.25" customHeight="1">
      <c r="A26" s="20"/>
      <c r="B26" s="31"/>
      <c r="C26" s="111" t="s">
        <v>56</v>
      </c>
      <c r="D26" s="142">
        <f>'Business Plan'!E34</f>
        <v>-1700</v>
      </c>
      <c r="E26" s="282">
        <f>-SUMIF('Demand Generation Plan'!$D$4:$D43,D3,'Demand Generation Plan'!$R$4:$R43)</f>
        <v>0</v>
      </c>
      <c r="F26" s="142">
        <f t="shared" si="194"/>
        <v>1700</v>
      </c>
      <c r="G26" s="279">
        <f t="shared" si="172"/>
        <v>0</v>
      </c>
      <c r="H26" s="55"/>
      <c r="I26" s="142">
        <f>'Business Plan'!F34</f>
        <v>-11000</v>
      </c>
      <c r="J26" s="282">
        <f>SUMIF('Demand Generation Plan'!$D$4:$D43,I3,'Demand Generation Plan'!$R$4:$R43)</f>
        <v>0</v>
      </c>
      <c r="K26" s="142">
        <f t="shared" si="195"/>
        <v>11000</v>
      </c>
      <c r="L26" s="279">
        <f t="shared" si="173"/>
        <v>0</v>
      </c>
      <c r="M26" s="55"/>
      <c r="N26" s="142">
        <f>'Business Plan'!G34</f>
        <v>-1200</v>
      </c>
      <c r="O26" s="282">
        <f>SUMIF('Demand Generation Plan'!$D$4:$D43,N3,'Demand Generation Plan'!$R$4:$R43)</f>
        <v>0</v>
      </c>
      <c r="P26" s="142">
        <f t="shared" si="196"/>
        <v>1200</v>
      </c>
      <c r="Q26" s="279">
        <f t="shared" si="174"/>
        <v>0</v>
      </c>
      <c r="R26" s="55"/>
      <c r="S26" s="142">
        <f>'Business Plan'!H34</f>
        <v>-1700</v>
      </c>
      <c r="T26" s="282">
        <f>SUMIF('Demand Generation Plan'!$D$4:$D43,S3,'Demand Generation Plan'!$R$4:$R43)</f>
        <v>0</v>
      </c>
      <c r="U26" s="142">
        <f t="shared" si="197"/>
        <v>1700</v>
      </c>
      <c r="V26" s="279">
        <f t="shared" si="175"/>
        <v>0</v>
      </c>
      <c r="W26" s="55"/>
      <c r="X26" s="142">
        <f>'Business Plan'!I34</f>
        <v>-8700</v>
      </c>
      <c r="Y26" s="282">
        <f>SUMIF('Demand Generation Plan'!$D$4:$D43,X3,'Demand Generation Plan'!$R$4:$R43)</f>
        <v>0</v>
      </c>
      <c r="Z26" s="142">
        <f t="shared" si="198"/>
        <v>8700</v>
      </c>
      <c r="AA26" s="279">
        <f t="shared" si="176"/>
        <v>0</v>
      </c>
      <c r="AB26" s="55"/>
      <c r="AC26" s="142">
        <f>'Business Plan'!J34</f>
        <v>-1200</v>
      </c>
      <c r="AD26" s="282">
        <f>SUMIF('Demand Generation Plan'!$D$4:$D43,AC3,'Demand Generation Plan'!$R$4:$R43)</f>
        <v>0</v>
      </c>
      <c r="AE26" s="142">
        <f t="shared" si="199"/>
        <v>1200</v>
      </c>
      <c r="AF26" s="279">
        <f t="shared" si="177"/>
        <v>0</v>
      </c>
      <c r="AG26" s="55"/>
      <c r="AH26" s="142">
        <f>'Business Plan'!K34</f>
        <v>-9200</v>
      </c>
      <c r="AI26" s="282">
        <f>SUMIF('Demand Generation Plan'!$D$4:$D43,AH3,'Demand Generation Plan'!$R$4:$R43)</f>
        <v>0</v>
      </c>
      <c r="AJ26" s="142">
        <f t="shared" si="200"/>
        <v>9200</v>
      </c>
      <c r="AK26" s="279">
        <f t="shared" si="178"/>
        <v>0</v>
      </c>
      <c r="AL26" s="55"/>
      <c r="AM26" s="142">
        <f>'Business Plan'!L34</f>
        <v>-1200</v>
      </c>
      <c r="AN26" s="282">
        <f>SUMIF('Demand Generation Plan'!$D$4:$D43,AM3,'Demand Generation Plan'!$R$4:$R43)</f>
        <v>0</v>
      </c>
      <c r="AO26" s="142">
        <f t="shared" si="201"/>
        <v>1200</v>
      </c>
      <c r="AP26" s="279">
        <f t="shared" si="179"/>
        <v>0</v>
      </c>
      <c r="AQ26" s="55"/>
      <c r="AR26" s="142">
        <f>'Business Plan'!M34</f>
        <v>-1200</v>
      </c>
      <c r="AS26" s="282">
        <f>SUMIF('Demand Generation Plan'!$D$4:$D43,AR3,'Demand Generation Plan'!$R$4:$R43)</f>
        <v>0</v>
      </c>
      <c r="AT26" s="142">
        <f t="shared" si="202"/>
        <v>1200</v>
      </c>
      <c r="AU26" s="279">
        <f t="shared" si="180"/>
        <v>0</v>
      </c>
      <c r="AV26" s="55"/>
      <c r="AW26" s="142">
        <f>'Business Plan'!N34</f>
        <v>-9200</v>
      </c>
      <c r="AX26" s="282">
        <f>SUMIF('Demand Generation Plan'!$D$4:$D43,AW3,'Demand Generation Plan'!$R$4:$R43)</f>
        <v>0</v>
      </c>
      <c r="AY26" s="142">
        <f t="shared" si="203"/>
        <v>9200</v>
      </c>
      <c r="AZ26" s="279">
        <f t="shared" si="181"/>
        <v>0</v>
      </c>
      <c r="BA26" s="55"/>
      <c r="BB26" s="142">
        <f>'Business Plan'!O34</f>
        <v>-1200</v>
      </c>
      <c r="BC26" s="282">
        <f>SUMIF('Demand Generation Plan'!$D$4:$D43,BB3,'Demand Generation Plan'!$R$4:$R43)</f>
        <v>0</v>
      </c>
      <c r="BD26" s="142">
        <f t="shared" si="204"/>
        <v>1200</v>
      </c>
      <c r="BE26" s="279">
        <f t="shared" si="182"/>
        <v>0</v>
      </c>
      <c r="BF26" s="55"/>
      <c r="BG26" s="142">
        <f>'Business Plan'!P34</f>
        <v>-1200</v>
      </c>
      <c r="BH26" s="282">
        <f>SUMIF('Demand Generation Plan'!$D$4:$D43,BG3,'Demand Generation Plan'!$R$4:$R43)</f>
        <v>0</v>
      </c>
      <c r="BI26" s="142">
        <f t="shared" si="205"/>
        <v>1200</v>
      </c>
      <c r="BJ26" s="279">
        <f t="shared" si="183"/>
        <v>0</v>
      </c>
      <c r="BK26" s="55"/>
      <c r="BL26" s="61">
        <f t="shared" ref="BL26:BM26" si="206">SUM(BG26,BB26,AW26,AR26,AM26,AH26,AC26,X26,S26,N26,I26,D26,)</f>
        <v>-48700</v>
      </c>
      <c r="BM26" s="61">
        <f t="shared" si="206"/>
        <v>0</v>
      </c>
      <c r="BN26" s="282">
        <f t="shared" si="207"/>
        <v>48700</v>
      </c>
      <c r="BO26" s="279">
        <f t="shared" si="185"/>
        <v>0</v>
      </c>
      <c r="BP26" s="55"/>
      <c r="BQ26" s="142">
        <f t="shared" ref="BQ26:BR26" si="208">D26+I26+N26</f>
        <v>-13900</v>
      </c>
      <c r="BR26" s="282">
        <f t="shared" si="208"/>
        <v>0</v>
      </c>
      <c r="BS26" s="282">
        <f t="shared" si="209"/>
        <v>13900</v>
      </c>
      <c r="BT26" s="279">
        <f t="shared" si="187"/>
        <v>0</v>
      </c>
      <c r="BU26" s="55"/>
      <c r="BV26" s="142">
        <f t="shared" ref="BV26:BW26" si="210">S26+X26+AC26</f>
        <v>-11600</v>
      </c>
      <c r="BW26" s="282">
        <f t="shared" si="210"/>
        <v>0</v>
      </c>
      <c r="BX26" s="282">
        <f t="shared" si="211"/>
        <v>11600</v>
      </c>
      <c r="BY26" s="279">
        <f t="shared" si="189"/>
        <v>0</v>
      </c>
      <c r="BZ26" s="55"/>
      <c r="CA26" s="142">
        <f t="shared" ref="CA26:CB26" si="212">AH26+AM26+AR26</f>
        <v>-11600</v>
      </c>
      <c r="CB26" s="282">
        <f t="shared" si="212"/>
        <v>0</v>
      </c>
      <c r="CC26" s="282">
        <f t="shared" si="213"/>
        <v>11600</v>
      </c>
      <c r="CD26" s="279">
        <f t="shared" si="191"/>
        <v>0</v>
      </c>
      <c r="CE26" s="55"/>
      <c r="CF26" s="142">
        <f t="shared" ref="CF26:CG26" si="214">BG26+BB26+AW26</f>
        <v>-11600</v>
      </c>
      <c r="CG26" s="282">
        <f t="shared" si="214"/>
        <v>0</v>
      </c>
      <c r="CH26" s="282">
        <f t="shared" si="215"/>
        <v>11600</v>
      </c>
      <c r="CI26" s="279">
        <f t="shared" si="193"/>
        <v>0</v>
      </c>
      <c r="CJ26" s="55"/>
    </row>
    <row r="27" ht="17.25" customHeight="1">
      <c r="A27" s="20"/>
      <c r="B27" s="31"/>
      <c r="C27" s="60" t="s">
        <v>186</v>
      </c>
      <c r="D27" s="289" t="s">
        <v>187</v>
      </c>
      <c r="E27" s="289">
        <f>SUMIF('Demand Generation Plan'!$D$4:$D43,D3,'Demand Generation Plan'!$P$4:$P43)</f>
        <v>0</v>
      </c>
      <c r="F27" s="61"/>
      <c r="G27" s="285"/>
      <c r="H27" s="55"/>
      <c r="I27" s="289" t="s">
        <v>187</v>
      </c>
      <c r="J27" s="289">
        <f>SUMIF('Demand Generation Plan'!$D$4:$D43,I3,'Demand Generation Plan'!$P$4:$P43)</f>
        <v>0</v>
      </c>
      <c r="K27" s="61"/>
      <c r="L27" s="285"/>
      <c r="M27" s="55"/>
      <c r="N27" s="289" t="s">
        <v>187</v>
      </c>
      <c r="O27" s="289">
        <f>SUMIF('Demand Generation Plan'!$D$4:$D43,N3,'Demand Generation Plan'!$P$4:$P43)</f>
        <v>0</v>
      </c>
      <c r="P27" s="61"/>
      <c r="Q27" s="285"/>
      <c r="R27" s="55"/>
      <c r="S27" s="289" t="s">
        <v>187</v>
      </c>
      <c r="T27" s="289">
        <f>SUMIF('Demand Generation Plan'!$D$4:$D43,S3,'Demand Generation Plan'!$P$4:$P43)</f>
        <v>0</v>
      </c>
      <c r="U27" s="61"/>
      <c r="V27" s="285"/>
      <c r="W27" s="55"/>
      <c r="X27" s="289" t="s">
        <v>187</v>
      </c>
      <c r="Y27" s="289">
        <f>SUMIF('Demand Generation Plan'!$D$4:$D43,X3,'Demand Generation Plan'!$P$4:$P43)</f>
        <v>0</v>
      </c>
      <c r="Z27" s="61"/>
      <c r="AA27" s="285"/>
      <c r="AB27" s="55"/>
      <c r="AC27" s="289" t="s">
        <v>187</v>
      </c>
      <c r="AD27" s="289">
        <f>SUMIF('Demand Generation Plan'!$D$4:$D43,AC3,'Demand Generation Plan'!$P$4:$P43)</f>
        <v>0</v>
      </c>
      <c r="AE27" s="61"/>
      <c r="AF27" s="285"/>
      <c r="AG27" s="55"/>
      <c r="AH27" s="289" t="s">
        <v>187</v>
      </c>
      <c r="AI27" s="289">
        <f>SUMIF('Demand Generation Plan'!$D$4:$D43,AH3,'Demand Generation Plan'!$P$4:$P43)</f>
        <v>0</v>
      </c>
      <c r="AJ27" s="61"/>
      <c r="AK27" s="285"/>
      <c r="AL27" s="55"/>
      <c r="AM27" s="289" t="s">
        <v>187</v>
      </c>
      <c r="AN27" s="289">
        <f>SUMIF('Demand Generation Plan'!$D$4:$D43,AM3,'Demand Generation Plan'!$P$4:$P43)</f>
        <v>0</v>
      </c>
      <c r="AO27" s="61"/>
      <c r="AP27" s="285"/>
      <c r="AQ27" s="55"/>
      <c r="AR27" s="289" t="s">
        <v>187</v>
      </c>
      <c r="AS27" s="289">
        <f>SUMIF('Demand Generation Plan'!$D$4:$D43,AR3,'Demand Generation Plan'!$P$4:$P43)</f>
        <v>0</v>
      </c>
      <c r="AT27" s="61"/>
      <c r="AU27" s="285"/>
      <c r="AV27" s="55"/>
      <c r="AW27" s="289" t="s">
        <v>187</v>
      </c>
      <c r="AX27" s="289">
        <f>SUMIF('Demand Generation Plan'!$D$4:$D43,AW3,'Demand Generation Plan'!$P$4:$P43)</f>
        <v>0</v>
      </c>
      <c r="AY27" s="61"/>
      <c r="AZ27" s="285"/>
      <c r="BA27" s="55"/>
      <c r="BB27" s="289" t="s">
        <v>187</v>
      </c>
      <c r="BC27" s="289">
        <f>SUMIF('Demand Generation Plan'!$D$4:$D43,BB3,'Demand Generation Plan'!$P$4:$P43)</f>
        <v>0</v>
      </c>
      <c r="BD27" s="61"/>
      <c r="BE27" s="285"/>
      <c r="BF27" s="55"/>
      <c r="BG27" s="289" t="s">
        <v>187</v>
      </c>
      <c r="BH27" s="289">
        <f>SUMIF('Demand Generation Plan'!$D$4:$D43,BG3,'Demand Generation Plan'!$P$4:$P43)</f>
        <v>0</v>
      </c>
      <c r="BI27" s="61"/>
      <c r="BJ27" s="285"/>
      <c r="BK27" s="55"/>
      <c r="BL27" s="61">
        <f t="shared" ref="BL27:BM27" si="216">SUM(BG27,BB27,AW27,AR27,AM27,AH27,AC27,X27,S27,N27,I27,D27,)</f>
        <v>0</v>
      </c>
      <c r="BM27" s="61">
        <f t="shared" si="216"/>
        <v>0</v>
      </c>
      <c r="BN27" s="282">
        <f t="shared" si="207"/>
        <v>0</v>
      </c>
      <c r="BO27" s="285"/>
      <c r="BP27" s="55"/>
      <c r="BQ27" s="289"/>
      <c r="BR27" s="289">
        <f>E27+J27+O27</f>
        <v>0</v>
      </c>
      <c r="BS27" s="282"/>
      <c r="BT27" s="285"/>
      <c r="BU27" s="55"/>
      <c r="BV27" s="289"/>
      <c r="BW27" s="289">
        <f>T27+Y27+AD27</f>
        <v>0</v>
      </c>
      <c r="BX27" s="282"/>
      <c r="BY27" s="285"/>
      <c r="BZ27" s="55"/>
      <c r="CA27" s="289"/>
      <c r="CB27" s="289">
        <f>AI27+AN27+AS27</f>
        <v>0</v>
      </c>
      <c r="CC27" s="282"/>
      <c r="CD27" s="285"/>
      <c r="CE27" s="55"/>
      <c r="CF27" s="289"/>
      <c r="CG27" s="289">
        <f>BH27+BC27+AX27</f>
        <v>0</v>
      </c>
      <c r="CH27" s="282"/>
      <c r="CI27" s="285"/>
      <c r="CJ27" s="55"/>
    </row>
    <row r="28" ht="7.5" customHeight="1">
      <c r="A28" s="31"/>
      <c r="B28" s="31"/>
      <c r="C28" s="60"/>
      <c r="D28" s="288"/>
      <c r="E28" s="288"/>
      <c r="F28" s="284"/>
      <c r="G28" s="285"/>
      <c r="H28" s="55"/>
      <c r="I28" s="288"/>
      <c r="J28" s="288"/>
      <c r="K28" s="284"/>
      <c r="L28" s="285"/>
      <c r="M28" s="55"/>
      <c r="N28" s="288"/>
      <c r="O28" s="288"/>
      <c r="P28" s="284"/>
      <c r="Q28" s="285"/>
      <c r="R28" s="55"/>
      <c r="S28" s="288"/>
      <c r="T28" s="288"/>
      <c r="U28" s="284"/>
      <c r="V28" s="285"/>
      <c r="W28" s="55"/>
      <c r="X28" s="288"/>
      <c r="Y28" s="288"/>
      <c r="Z28" s="284"/>
      <c r="AA28" s="285"/>
      <c r="AB28" s="55"/>
      <c r="AC28" s="288"/>
      <c r="AD28" s="288"/>
      <c r="AE28" s="284"/>
      <c r="AF28" s="285"/>
      <c r="AG28" s="55"/>
      <c r="AH28" s="288"/>
      <c r="AI28" s="288"/>
      <c r="AJ28" s="284"/>
      <c r="AK28" s="285"/>
      <c r="AL28" s="55"/>
      <c r="AM28" s="288"/>
      <c r="AN28" s="288"/>
      <c r="AO28" s="284"/>
      <c r="AP28" s="285"/>
      <c r="AQ28" s="55"/>
      <c r="AR28" s="288"/>
      <c r="AS28" s="288"/>
      <c r="AT28" s="284"/>
      <c r="AU28" s="285"/>
      <c r="AV28" s="55"/>
      <c r="AW28" s="288"/>
      <c r="AX28" s="288"/>
      <c r="AY28" s="284"/>
      <c r="AZ28" s="285"/>
      <c r="BA28" s="55"/>
      <c r="BB28" s="288"/>
      <c r="BC28" s="288"/>
      <c r="BD28" s="284"/>
      <c r="BE28" s="285"/>
      <c r="BF28" s="55"/>
      <c r="BH28" s="288"/>
      <c r="BI28" s="284"/>
      <c r="BJ28" s="285"/>
      <c r="BK28" s="55"/>
      <c r="BM28" s="288"/>
      <c r="BN28" s="284"/>
      <c r="BO28" s="285"/>
      <c r="BP28" s="55"/>
      <c r="BR28" s="288"/>
      <c r="BS28" s="284"/>
      <c r="BT28" s="285"/>
      <c r="BU28" s="55"/>
      <c r="BW28" s="288"/>
      <c r="BX28" s="284"/>
      <c r="BY28" s="285"/>
      <c r="BZ28" s="55"/>
      <c r="CB28" s="288"/>
      <c r="CC28" s="284"/>
      <c r="CD28" s="285"/>
      <c r="CE28" s="55"/>
      <c r="CG28" s="288"/>
      <c r="CH28" s="284"/>
      <c r="CI28" s="285"/>
      <c r="CJ28" s="55"/>
    </row>
    <row r="29" ht="24.75" customHeight="1">
      <c r="A29" s="20"/>
      <c r="B29" s="31"/>
      <c r="C29" s="66" t="s">
        <v>54</v>
      </c>
      <c r="D29" s="276">
        <f t="shared" ref="D29:E29" si="217">D30+D31</f>
        <v>-14216.66667</v>
      </c>
      <c r="E29" s="276">
        <f t="shared" si="217"/>
        <v>0</v>
      </c>
      <c r="F29" s="264"/>
      <c r="G29" s="265">
        <f t="shared" ref="G29:G30" si="234">iferror(E29/D29,"")</f>
        <v>0</v>
      </c>
      <c r="H29" s="55"/>
      <c r="I29" s="276">
        <f t="shared" ref="I29:J29" si="218">I30+I31</f>
        <v>-14216.66667</v>
      </c>
      <c r="J29" s="276">
        <f t="shared" si="218"/>
        <v>0</v>
      </c>
      <c r="K29" s="264"/>
      <c r="L29" s="265">
        <f t="shared" ref="L29:L30" si="235">iferror(J29/I29,"")</f>
        <v>0</v>
      </c>
      <c r="M29" s="55"/>
      <c r="N29" s="276">
        <f t="shared" ref="N29:O29" si="219">N30+N31</f>
        <v>-14216.66667</v>
      </c>
      <c r="O29" s="276">
        <f t="shared" si="219"/>
        <v>0</v>
      </c>
      <c r="P29" s="264"/>
      <c r="Q29" s="265">
        <f t="shared" ref="Q29:Q30" si="236">iferror(O29/N29,"")</f>
        <v>0</v>
      </c>
      <c r="R29" s="55"/>
      <c r="S29" s="276">
        <f t="shared" ref="S29:T29" si="220">S30+S31</f>
        <v>-14216.66667</v>
      </c>
      <c r="T29" s="276">
        <f t="shared" si="220"/>
        <v>0</v>
      </c>
      <c r="U29" s="264"/>
      <c r="V29" s="265">
        <f t="shared" ref="V29:V30" si="237">iferror(T29/S29,"")</f>
        <v>0</v>
      </c>
      <c r="W29" s="55"/>
      <c r="X29" s="276">
        <f t="shared" ref="X29:Y29" si="221">X30+X31</f>
        <v>-14216.66667</v>
      </c>
      <c r="Y29" s="276">
        <f t="shared" si="221"/>
        <v>0</v>
      </c>
      <c r="Z29" s="264"/>
      <c r="AA29" s="265">
        <f t="shared" ref="AA29:AA30" si="238">iferror(Y29/X29,"")</f>
        <v>0</v>
      </c>
      <c r="AB29" s="55"/>
      <c r="AC29" s="276">
        <f t="shared" ref="AC29:AD29" si="222">AC30+AC31</f>
        <v>-14216.66667</v>
      </c>
      <c r="AD29" s="276">
        <f t="shared" si="222"/>
        <v>0</v>
      </c>
      <c r="AE29" s="264"/>
      <c r="AF29" s="265">
        <f t="shared" ref="AF29:AF30" si="239">iferror(AD29/AC29,"")</f>
        <v>0</v>
      </c>
      <c r="AG29" s="55"/>
      <c r="AH29" s="276">
        <f t="shared" ref="AH29:AI29" si="223">AH30+AH31</f>
        <v>-14216.66667</v>
      </c>
      <c r="AI29" s="276">
        <f t="shared" si="223"/>
        <v>0</v>
      </c>
      <c r="AJ29" s="264"/>
      <c r="AK29" s="265">
        <f t="shared" ref="AK29:AK30" si="240">iferror(AI29/AH29,"")</f>
        <v>0</v>
      </c>
      <c r="AL29" s="55"/>
      <c r="AM29" s="276">
        <f t="shared" ref="AM29:AN29" si="224">AM30+AM31</f>
        <v>-14216.66667</v>
      </c>
      <c r="AN29" s="276">
        <f t="shared" si="224"/>
        <v>0</v>
      </c>
      <c r="AO29" s="264"/>
      <c r="AP29" s="265">
        <f t="shared" ref="AP29:AP30" si="241">iferror(AN29/AM29,"")</f>
        <v>0</v>
      </c>
      <c r="AQ29" s="55"/>
      <c r="AR29" s="276">
        <f t="shared" ref="AR29:AS29" si="225">AR30+AR31</f>
        <v>-14216.66667</v>
      </c>
      <c r="AS29" s="276">
        <f t="shared" si="225"/>
        <v>0</v>
      </c>
      <c r="AT29" s="264"/>
      <c r="AU29" s="265">
        <f t="shared" ref="AU29:AU30" si="242">iferror(AS29/AR29,"")</f>
        <v>0</v>
      </c>
      <c r="AV29" s="55"/>
      <c r="AW29" s="276">
        <f t="shared" ref="AW29:AX29" si="226">AW30+AW31</f>
        <v>-14216.66667</v>
      </c>
      <c r="AX29" s="276">
        <f t="shared" si="226"/>
        <v>0</v>
      </c>
      <c r="AY29" s="264"/>
      <c r="AZ29" s="265">
        <f t="shared" ref="AZ29:AZ30" si="243">iferror(AX29/AW29,"")</f>
        <v>0</v>
      </c>
      <c r="BA29" s="55"/>
      <c r="BB29" s="276">
        <f t="shared" ref="BB29:BC29" si="227">BB30+BB31</f>
        <v>-14216.66667</v>
      </c>
      <c r="BC29" s="276">
        <f t="shared" si="227"/>
        <v>0</v>
      </c>
      <c r="BD29" s="264"/>
      <c r="BE29" s="265">
        <f t="shared" ref="BE29:BE30" si="244">iferror(BC29/BB29,"")</f>
        <v>0</v>
      </c>
      <c r="BF29" s="55"/>
      <c r="BG29" s="276">
        <f t="shared" ref="BG29:BH29" si="228">BG30+BG31</f>
        <v>-14216.66667</v>
      </c>
      <c r="BH29" s="276">
        <f t="shared" si="228"/>
        <v>0</v>
      </c>
      <c r="BI29" s="264"/>
      <c r="BJ29" s="265">
        <f t="shared" ref="BJ29:BJ30" si="245">iferror(BH29/BG29,"")</f>
        <v>0</v>
      </c>
      <c r="BK29" s="55"/>
      <c r="BL29" s="276">
        <f t="shared" ref="BL29:BM29" si="229">BL30+BL31</f>
        <v>-170600</v>
      </c>
      <c r="BM29" s="276">
        <f t="shared" si="229"/>
        <v>0</v>
      </c>
      <c r="BN29" s="264"/>
      <c r="BO29" s="265">
        <f t="shared" ref="BO29:BO30" si="246">iferror(BM29/BL29,"")</f>
        <v>0</v>
      </c>
      <c r="BP29" s="55"/>
      <c r="BQ29" s="276">
        <f t="shared" ref="BQ29:BR29" si="230">D29+I29+N29</f>
        <v>-42650</v>
      </c>
      <c r="BR29" s="276">
        <f t="shared" si="230"/>
        <v>0</v>
      </c>
      <c r="BS29" s="264"/>
      <c r="BT29" s="265">
        <f t="shared" ref="BT29:BT30" si="248">iferror(BR29/BQ29,"")</f>
        <v>0</v>
      </c>
      <c r="BU29" s="55"/>
      <c r="BV29" s="276">
        <f t="shared" ref="BV29:BW29" si="231">S29+X29+AC29</f>
        <v>-42650</v>
      </c>
      <c r="BW29" s="276">
        <f t="shared" si="231"/>
        <v>0</v>
      </c>
      <c r="BX29" s="264"/>
      <c r="BY29" s="265">
        <f t="shared" ref="BY29:BY30" si="250">iferror(BW29/BV29,"")</f>
        <v>0</v>
      </c>
      <c r="BZ29" s="55"/>
      <c r="CA29" s="276">
        <f t="shared" ref="CA29:CB29" si="232">AH29+AM29+AR29</f>
        <v>-42650</v>
      </c>
      <c r="CB29" s="276">
        <f t="shared" si="232"/>
        <v>0</v>
      </c>
      <c r="CC29" s="264"/>
      <c r="CD29" s="265">
        <f t="shared" ref="CD29:CD30" si="252">iferror(CB29/CA29,"")</f>
        <v>0</v>
      </c>
      <c r="CE29" s="55"/>
      <c r="CF29" s="276">
        <f t="shared" ref="CF29:CG29" si="233">BG29+BB29+AW29</f>
        <v>-42650</v>
      </c>
      <c r="CG29" s="276">
        <f t="shared" si="233"/>
        <v>0</v>
      </c>
      <c r="CH29" s="264"/>
      <c r="CI29" s="265">
        <f t="shared" ref="CI29:CI30" si="254">iferror(CG29/CF29,"")</f>
        <v>0</v>
      </c>
      <c r="CJ29" s="55"/>
    </row>
    <row r="30" ht="17.25" customHeight="1">
      <c r="A30" s="20"/>
      <c r="B30" s="31"/>
      <c r="C30" s="60" t="s">
        <v>76</v>
      </c>
      <c r="D30" s="289">
        <f>'Business Plan'!E37</f>
        <v>-14216.66667</v>
      </c>
      <c r="E30" s="295"/>
      <c r="F30" s="284">
        <f>E30-D30</f>
        <v>14216.66667</v>
      </c>
      <c r="G30" s="285">
        <f t="shared" si="234"/>
        <v>0</v>
      </c>
      <c r="H30" s="55"/>
      <c r="I30" s="61">
        <f>'Business Plan'!F37</f>
        <v>-14216.66667</v>
      </c>
      <c r="J30" s="295"/>
      <c r="K30" s="284">
        <f>J30-I30</f>
        <v>14216.66667</v>
      </c>
      <c r="L30" s="285">
        <f t="shared" si="235"/>
        <v>0</v>
      </c>
      <c r="M30" s="55"/>
      <c r="N30" s="61">
        <f>'Business Plan'!G37</f>
        <v>-14216.66667</v>
      </c>
      <c r="O30" s="295"/>
      <c r="P30" s="284">
        <f>O30-N30</f>
        <v>14216.66667</v>
      </c>
      <c r="Q30" s="285">
        <f t="shared" si="236"/>
        <v>0</v>
      </c>
      <c r="R30" s="55"/>
      <c r="S30" s="61">
        <f>'Business Plan'!H37</f>
        <v>-14216.66667</v>
      </c>
      <c r="T30" s="295"/>
      <c r="U30" s="284">
        <f>T30-S30</f>
        <v>14216.66667</v>
      </c>
      <c r="V30" s="285">
        <f t="shared" si="237"/>
        <v>0</v>
      </c>
      <c r="W30" s="55"/>
      <c r="X30" s="61">
        <f>'Business Plan'!I37</f>
        <v>-14216.66667</v>
      </c>
      <c r="Y30" s="295"/>
      <c r="Z30" s="284">
        <f>Y30-X30</f>
        <v>14216.66667</v>
      </c>
      <c r="AA30" s="285">
        <f t="shared" si="238"/>
        <v>0</v>
      </c>
      <c r="AB30" s="55"/>
      <c r="AC30" s="61">
        <f>'Business Plan'!J37</f>
        <v>-14216.66667</v>
      </c>
      <c r="AD30" s="295"/>
      <c r="AE30" s="284">
        <f>AD30-AC30</f>
        <v>14216.66667</v>
      </c>
      <c r="AF30" s="285">
        <f t="shared" si="239"/>
        <v>0</v>
      </c>
      <c r="AG30" s="55"/>
      <c r="AH30" s="289">
        <f>'Business Plan'!K37</f>
        <v>-14216.66667</v>
      </c>
      <c r="AI30" s="295"/>
      <c r="AJ30" s="284">
        <f>AI30-AH30</f>
        <v>14216.66667</v>
      </c>
      <c r="AK30" s="285">
        <f t="shared" si="240"/>
        <v>0</v>
      </c>
      <c r="AL30" s="55"/>
      <c r="AM30" s="289">
        <f>'Business Plan'!L37</f>
        <v>-14216.66667</v>
      </c>
      <c r="AN30" s="295"/>
      <c r="AO30" s="284">
        <f>AN30-AM30</f>
        <v>14216.66667</v>
      </c>
      <c r="AP30" s="285">
        <f t="shared" si="241"/>
        <v>0</v>
      </c>
      <c r="AQ30" s="55"/>
      <c r="AR30" s="289">
        <f>'Business Plan'!M37</f>
        <v>-14216.66667</v>
      </c>
      <c r="AS30" s="295"/>
      <c r="AT30" s="284">
        <f>AS30-AR30</f>
        <v>14216.66667</v>
      </c>
      <c r="AU30" s="285">
        <f t="shared" si="242"/>
        <v>0</v>
      </c>
      <c r="AV30" s="55"/>
      <c r="AW30" s="289">
        <f>'Business Plan'!N37</f>
        <v>-14216.66667</v>
      </c>
      <c r="AX30" s="295"/>
      <c r="AY30" s="284">
        <f>AX30-AW30</f>
        <v>14216.66667</v>
      </c>
      <c r="AZ30" s="285">
        <f t="shared" si="243"/>
        <v>0</v>
      </c>
      <c r="BA30" s="55"/>
      <c r="BB30" s="289">
        <f>'Business Plan'!O37</f>
        <v>-14216.66667</v>
      </c>
      <c r="BC30" s="295"/>
      <c r="BD30" s="284">
        <f>BC30-BB30</f>
        <v>14216.66667</v>
      </c>
      <c r="BE30" s="285">
        <f t="shared" si="244"/>
        <v>0</v>
      </c>
      <c r="BF30" s="55"/>
      <c r="BG30" s="289">
        <f>'Business Plan'!P37</f>
        <v>-14216.66667</v>
      </c>
      <c r="BH30" s="295"/>
      <c r="BI30" s="284">
        <f>BH30-BG30</f>
        <v>14216.66667</v>
      </c>
      <c r="BJ30" s="285">
        <f t="shared" si="245"/>
        <v>0</v>
      </c>
      <c r="BK30" s="55"/>
      <c r="BL30" s="61">
        <f t="shared" ref="BL30:BL31" si="255">SUM(BG30,BB30,AW30,AR30,AM30,AH30,AC30,X30,S30,N30,I30,D30)</f>
        <v>-170600</v>
      </c>
      <c r="BM30" s="61">
        <f t="shared" ref="BM30:BM31" si="256">SUM(BH30,BC30,AX30,AS30,AN30,AI30,AD30,Y30,T30,O30,J30,E30,)</f>
        <v>0</v>
      </c>
      <c r="BN30" s="278">
        <f>BM30-BL30</f>
        <v>170600</v>
      </c>
      <c r="BO30" s="285">
        <f t="shared" si="246"/>
        <v>0</v>
      </c>
      <c r="BP30" s="55"/>
      <c r="BQ30" s="289">
        <f t="shared" ref="BQ30:BR30" si="247">D30+I30+N30</f>
        <v>-42650</v>
      </c>
      <c r="BR30" s="295">
        <f t="shared" si="247"/>
        <v>0</v>
      </c>
      <c r="BS30" s="278">
        <f>BR30-BQ30</f>
        <v>42650</v>
      </c>
      <c r="BT30" s="285">
        <f t="shared" si="248"/>
        <v>0</v>
      </c>
      <c r="BU30" s="55"/>
      <c r="BV30" s="289">
        <f t="shared" ref="BV30:BW30" si="249">S30+X30+AC30</f>
        <v>-42650</v>
      </c>
      <c r="BW30" s="295">
        <f t="shared" si="249"/>
        <v>0</v>
      </c>
      <c r="BX30" s="278">
        <f>BW30-BV30</f>
        <v>42650</v>
      </c>
      <c r="BY30" s="285">
        <f t="shared" si="250"/>
        <v>0</v>
      </c>
      <c r="BZ30" s="55"/>
      <c r="CA30" s="289">
        <f t="shared" ref="CA30:CB30" si="251">AH30+AM30+AR30</f>
        <v>-42650</v>
      </c>
      <c r="CB30" s="295">
        <f t="shared" si="251"/>
        <v>0</v>
      </c>
      <c r="CC30" s="278">
        <f>CB30-CA30</f>
        <v>42650</v>
      </c>
      <c r="CD30" s="285">
        <f t="shared" si="252"/>
        <v>0</v>
      </c>
      <c r="CE30" s="55"/>
      <c r="CF30" s="289">
        <f t="shared" ref="CF30:CG30" si="253">BG30+BB30+AW30</f>
        <v>-42650</v>
      </c>
      <c r="CG30" s="295">
        <f t="shared" si="253"/>
        <v>0</v>
      </c>
      <c r="CH30" s="278">
        <f>CG30-CF30</f>
        <v>42650</v>
      </c>
      <c r="CI30" s="285">
        <f t="shared" si="254"/>
        <v>0</v>
      </c>
      <c r="CJ30" s="55"/>
    </row>
    <row r="31" ht="17.25" customHeight="1">
      <c r="A31" s="20"/>
      <c r="B31" s="31"/>
      <c r="C31" s="60" t="s">
        <v>57</v>
      </c>
      <c r="D31" s="289">
        <f>'Business Plan'!E38</f>
        <v>0</v>
      </c>
      <c r="E31" s="295"/>
      <c r="F31" s="284"/>
      <c r="G31" s="285"/>
      <c r="H31" s="55"/>
      <c r="I31" s="61">
        <f>'Business Plan'!F38</f>
        <v>0</v>
      </c>
      <c r="J31" s="295"/>
      <c r="K31" s="284"/>
      <c r="L31" s="285"/>
      <c r="M31" s="55"/>
      <c r="N31" s="61">
        <f>'Business Plan'!G38</f>
        <v>0</v>
      </c>
      <c r="O31" s="295"/>
      <c r="P31" s="284"/>
      <c r="Q31" s="285"/>
      <c r="R31" s="55"/>
      <c r="S31" s="61">
        <f>'Business Plan'!H38</f>
        <v>0</v>
      </c>
      <c r="T31" s="295"/>
      <c r="U31" s="284"/>
      <c r="V31" s="285"/>
      <c r="W31" s="55"/>
      <c r="X31" s="61">
        <f>'Business Plan'!I38</f>
        <v>0</v>
      </c>
      <c r="Y31" s="295"/>
      <c r="Z31" s="284"/>
      <c r="AA31" s="285"/>
      <c r="AB31" s="55"/>
      <c r="AC31" s="61">
        <f>'Business Plan'!J38</f>
        <v>0</v>
      </c>
      <c r="AD31" s="295"/>
      <c r="AE31" s="284"/>
      <c r="AF31" s="285"/>
      <c r="AG31" s="55"/>
      <c r="AH31" s="289">
        <f>'Business Plan'!K38</f>
        <v>0</v>
      </c>
      <c r="AI31" s="295"/>
      <c r="AJ31" s="284"/>
      <c r="AK31" s="285"/>
      <c r="AL31" s="55"/>
      <c r="AM31" s="289">
        <f>'Business Plan'!L38</f>
        <v>0</v>
      </c>
      <c r="AN31" s="295"/>
      <c r="AO31" s="284"/>
      <c r="AP31" s="285"/>
      <c r="AQ31" s="55"/>
      <c r="AR31" s="289">
        <f>'Business Plan'!M38</f>
        <v>0</v>
      </c>
      <c r="AS31" s="295"/>
      <c r="AT31" s="284"/>
      <c r="AU31" s="285"/>
      <c r="AV31" s="55"/>
      <c r="AW31" s="289">
        <f>'Business Plan'!N38</f>
        <v>0</v>
      </c>
      <c r="AX31" s="295"/>
      <c r="AY31" s="284"/>
      <c r="AZ31" s="285"/>
      <c r="BA31" s="55"/>
      <c r="BB31" s="289">
        <f>'Business Plan'!O38</f>
        <v>0</v>
      </c>
      <c r="BC31" s="295"/>
      <c r="BD31" s="284"/>
      <c r="BE31" s="285"/>
      <c r="BF31" s="55"/>
      <c r="BG31" s="289">
        <f>'Business Plan'!P38</f>
        <v>0</v>
      </c>
      <c r="BH31" s="295"/>
      <c r="BI31" s="284"/>
      <c r="BJ31" s="285"/>
      <c r="BK31" s="55"/>
      <c r="BL31" s="61">
        <f t="shared" si="255"/>
        <v>0</v>
      </c>
      <c r="BM31" s="61">
        <f t="shared" si="256"/>
        <v>0</v>
      </c>
      <c r="BN31" s="284"/>
      <c r="BO31" s="285"/>
      <c r="BP31" s="55"/>
      <c r="BQ31" s="289">
        <f t="shared" ref="BQ31:BR31" si="257">D31+I31+N31</f>
        <v>0</v>
      </c>
      <c r="BR31" s="295">
        <f t="shared" si="257"/>
        <v>0</v>
      </c>
      <c r="BS31" s="284"/>
      <c r="BT31" s="285"/>
      <c r="BU31" s="55"/>
      <c r="BV31" s="289">
        <f t="shared" ref="BV31:BW31" si="258">S31+X31+AC31</f>
        <v>0</v>
      </c>
      <c r="BW31" s="295">
        <f t="shared" si="258"/>
        <v>0</v>
      </c>
      <c r="BX31" s="284"/>
      <c r="BY31" s="285"/>
      <c r="BZ31" s="55"/>
      <c r="CA31" s="289">
        <f t="shared" ref="CA31:CB31" si="259">AH31+AM31+AR31</f>
        <v>0</v>
      </c>
      <c r="CB31" s="295">
        <f t="shared" si="259"/>
        <v>0</v>
      </c>
      <c r="CC31" s="284"/>
      <c r="CD31" s="285"/>
      <c r="CE31" s="55"/>
      <c r="CF31" s="289">
        <f t="shared" ref="CF31:CG31" si="260">BG31+BB31+AW31</f>
        <v>0</v>
      </c>
      <c r="CG31" s="295">
        <f t="shared" si="260"/>
        <v>0</v>
      </c>
      <c r="CH31" s="284"/>
      <c r="CI31" s="285"/>
      <c r="CJ31" s="55"/>
    </row>
    <row r="32">
      <c r="A32" s="20"/>
      <c r="B32" s="270"/>
      <c r="C32" s="271" t="s">
        <v>188</v>
      </c>
      <c r="D32" s="272">
        <f t="shared" ref="D32:E32" si="261">D29</f>
        <v>-14216.66667</v>
      </c>
      <c r="E32" s="272">
        <f t="shared" si="261"/>
        <v>0</v>
      </c>
      <c r="F32" s="272"/>
      <c r="G32" s="272"/>
      <c r="H32" s="273"/>
      <c r="I32" s="272">
        <f t="shared" ref="I32:J32" si="262">I29+D32</f>
        <v>-28433.33333</v>
      </c>
      <c r="J32" s="272">
        <f t="shared" si="262"/>
        <v>0</v>
      </c>
      <c r="K32" s="272"/>
      <c r="L32" s="272"/>
      <c r="M32" s="273"/>
      <c r="N32" s="272">
        <f t="shared" ref="N32:O32" si="263">N29+I32</f>
        <v>-42650</v>
      </c>
      <c r="O32" s="272">
        <f t="shared" si="263"/>
        <v>0</v>
      </c>
      <c r="P32" s="272"/>
      <c r="Q32" s="272"/>
      <c r="R32" s="273"/>
      <c r="S32" s="272">
        <f t="shared" ref="S32:T32" si="264">S29+N32</f>
        <v>-56866.66667</v>
      </c>
      <c r="T32" s="272">
        <f t="shared" si="264"/>
        <v>0</v>
      </c>
      <c r="U32" s="272"/>
      <c r="V32" s="272"/>
      <c r="W32" s="273"/>
      <c r="X32" s="272">
        <f t="shared" ref="X32:Y32" si="265">X29+S32</f>
        <v>-71083.33333</v>
      </c>
      <c r="Y32" s="272">
        <f t="shared" si="265"/>
        <v>0</v>
      </c>
      <c r="Z32" s="272"/>
      <c r="AA32" s="272"/>
      <c r="AB32" s="273"/>
      <c r="AC32" s="272">
        <f t="shared" ref="AC32:AD32" si="266">AC29+X32</f>
        <v>-85300</v>
      </c>
      <c r="AD32" s="272">
        <f t="shared" si="266"/>
        <v>0</v>
      </c>
      <c r="AE32" s="272"/>
      <c r="AF32" s="272"/>
      <c r="AG32" s="273"/>
      <c r="AH32" s="272">
        <f t="shared" ref="AH32:AI32" si="267">AH29+AC32</f>
        <v>-99516.66667</v>
      </c>
      <c r="AI32" s="272">
        <f t="shared" si="267"/>
        <v>0</v>
      </c>
      <c r="AJ32" s="272"/>
      <c r="AK32" s="272"/>
      <c r="AL32" s="273"/>
      <c r="AM32" s="272">
        <f t="shared" ref="AM32:AN32" si="268">AM29+AH32</f>
        <v>-113733.3333</v>
      </c>
      <c r="AN32" s="272">
        <f t="shared" si="268"/>
        <v>0</v>
      </c>
      <c r="AO32" s="272"/>
      <c r="AP32" s="272"/>
      <c r="AQ32" s="273"/>
      <c r="AR32" s="272">
        <f t="shared" ref="AR32:AS32" si="269">AR29+AM32</f>
        <v>-127950</v>
      </c>
      <c r="AS32" s="272">
        <f t="shared" si="269"/>
        <v>0</v>
      </c>
      <c r="AT32" s="272"/>
      <c r="AU32" s="272"/>
      <c r="AV32" s="273"/>
      <c r="AW32" s="272">
        <f t="shared" ref="AW32:AX32" si="270">AW29+AR32</f>
        <v>-142166.6667</v>
      </c>
      <c r="AX32" s="272">
        <f t="shared" si="270"/>
        <v>0</v>
      </c>
      <c r="AY32" s="272"/>
      <c r="AZ32" s="272"/>
      <c r="BA32" s="273"/>
      <c r="BB32" s="272">
        <f t="shared" ref="BB32:BC32" si="271">BB29+AW32</f>
        <v>-156383.3333</v>
      </c>
      <c r="BC32" s="272">
        <f t="shared" si="271"/>
        <v>0</v>
      </c>
      <c r="BD32" s="272"/>
      <c r="BE32" s="272"/>
      <c r="BF32" s="273"/>
      <c r="BG32" s="272">
        <f t="shared" ref="BG32:BH32" si="272">BG29+BB32</f>
        <v>-170600</v>
      </c>
      <c r="BH32" s="272">
        <f t="shared" si="272"/>
        <v>0</v>
      </c>
      <c r="BI32" s="272"/>
      <c r="BJ32" s="272"/>
      <c r="BK32" s="273"/>
      <c r="BL32" s="272"/>
      <c r="BM32" s="272"/>
      <c r="BN32" s="272"/>
      <c r="BO32" s="272"/>
      <c r="BP32" s="274"/>
      <c r="BQ32" s="272">
        <f t="shared" ref="BQ32:BR32" si="273">D32+I32+N32</f>
        <v>-85300</v>
      </c>
      <c r="BR32" s="272">
        <f t="shared" si="273"/>
        <v>0</v>
      </c>
      <c r="BS32" s="272"/>
      <c r="BT32" s="272"/>
      <c r="BU32" s="273"/>
      <c r="BV32" s="272">
        <f t="shared" ref="BV32:BW32" si="274">S32+X32+AC32</f>
        <v>-213250</v>
      </c>
      <c r="BW32" s="272">
        <f t="shared" si="274"/>
        <v>0</v>
      </c>
      <c r="BX32" s="272"/>
      <c r="BY32" s="272"/>
      <c r="BZ32" s="273"/>
      <c r="CA32" s="272">
        <f t="shared" ref="CA32:CB32" si="275">AH32+AM32+AR32</f>
        <v>-341200</v>
      </c>
      <c r="CB32" s="272">
        <f t="shared" si="275"/>
        <v>0</v>
      </c>
      <c r="CC32" s="272"/>
      <c r="CD32" s="272"/>
      <c r="CE32" s="273"/>
      <c r="CF32" s="272">
        <f t="shared" ref="CF32:CG32" si="276">BG32+BB32+AW32</f>
        <v>-469150</v>
      </c>
      <c r="CG32" s="272">
        <f t="shared" si="276"/>
        <v>0</v>
      </c>
      <c r="CH32" s="272"/>
      <c r="CI32" s="272"/>
      <c r="CJ32" s="274"/>
    </row>
    <row r="33" ht="7.5" customHeight="1">
      <c r="A33" s="31"/>
      <c r="B33" s="31"/>
      <c r="C33" s="60"/>
      <c r="D33" s="288"/>
      <c r="E33" s="288"/>
      <c r="F33" s="284"/>
      <c r="G33" s="285"/>
      <c r="H33" s="55"/>
      <c r="I33" s="288"/>
      <c r="J33" s="288"/>
      <c r="K33" s="284"/>
      <c r="L33" s="285"/>
      <c r="M33" s="55"/>
      <c r="N33" s="288"/>
      <c r="O33" s="288"/>
      <c r="P33" s="284"/>
      <c r="Q33" s="285"/>
      <c r="R33" s="55"/>
      <c r="S33" s="288"/>
      <c r="T33" s="288"/>
      <c r="U33" s="284"/>
      <c r="V33" s="285"/>
      <c r="W33" s="55"/>
      <c r="X33" s="288"/>
      <c r="Y33" s="288"/>
      <c r="Z33" s="284"/>
      <c r="AA33" s="285"/>
      <c r="AB33" s="55"/>
      <c r="AC33" s="288"/>
      <c r="AD33" s="288"/>
      <c r="AE33" s="284"/>
      <c r="AF33" s="285"/>
      <c r="AG33" s="55"/>
      <c r="AH33" s="288"/>
      <c r="AI33" s="288"/>
      <c r="AJ33" s="284"/>
      <c r="AK33" s="285"/>
      <c r="AL33" s="55"/>
      <c r="AM33" s="288"/>
      <c r="AN33" s="288"/>
      <c r="AO33" s="284"/>
      <c r="AP33" s="285"/>
      <c r="AQ33" s="55"/>
      <c r="AR33" s="288"/>
      <c r="AS33" s="288"/>
      <c r="AT33" s="284"/>
      <c r="AU33" s="285"/>
      <c r="AV33" s="55"/>
      <c r="AW33" s="288"/>
      <c r="AX33" s="288"/>
      <c r="AY33" s="284"/>
      <c r="AZ33" s="285"/>
      <c r="BC33" s="288"/>
      <c r="BD33" s="284"/>
      <c r="BE33" s="285"/>
      <c r="BF33" s="55"/>
      <c r="BH33" s="288"/>
      <c r="BI33" s="284"/>
      <c r="BJ33" s="285"/>
      <c r="BK33" s="55"/>
      <c r="BM33" s="288"/>
      <c r="BN33" s="284"/>
      <c r="BO33" s="285"/>
      <c r="BP33" s="55"/>
      <c r="BR33" s="288"/>
      <c r="BS33" s="284"/>
      <c r="BT33" s="285"/>
      <c r="BU33" s="55"/>
      <c r="BW33" s="288"/>
      <c r="BX33" s="284"/>
      <c r="BY33" s="285"/>
      <c r="BZ33" s="55"/>
      <c r="CB33" s="288"/>
      <c r="CC33" s="284"/>
      <c r="CD33" s="285"/>
      <c r="CE33" s="55"/>
      <c r="CG33" s="288"/>
      <c r="CH33" s="284"/>
      <c r="CI33" s="285"/>
      <c r="CJ33" s="55"/>
    </row>
    <row r="34" ht="17.25" hidden="1" customHeight="1">
      <c r="A34" s="31"/>
      <c r="B34" s="31"/>
      <c r="C34" s="60"/>
      <c r="D34" s="288"/>
      <c r="E34" s="150">
        <v>1.0</v>
      </c>
      <c r="F34" s="150">
        <v>2.0</v>
      </c>
      <c r="G34" s="150">
        <v>3.0</v>
      </c>
      <c r="H34" s="150">
        <v>4.0</v>
      </c>
      <c r="I34" s="150">
        <v>5.0</v>
      </c>
      <c r="J34" s="150">
        <v>6.0</v>
      </c>
      <c r="K34" s="150">
        <v>7.0</v>
      </c>
      <c r="L34" s="150">
        <v>8.0</v>
      </c>
      <c r="M34" s="150">
        <v>9.0</v>
      </c>
      <c r="N34" s="150">
        <v>10.0</v>
      </c>
      <c r="O34" s="150">
        <v>11.0</v>
      </c>
      <c r="P34" s="150">
        <v>12.0</v>
      </c>
      <c r="Q34" s="285"/>
      <c r="R34" s="55"/>
      <c r="S34" s="288"/>
      <c r="T34" s="288"/>
      <c r="U34" s="284"/>
      <c r="V34" s="285"/>
      <c r="W34" s="55"/>
      <c r="X34" s="288"/>
      <c r="Y34" s="288"/>
      <c r="Z34" s="284"/>
      <c r="AA34" s="285"/>
      <c r="AB34" s="55"/>
      <c r="AC34" s="288"/>
      <c r="AD34" s="288"/>
      <c r="AE34" s="284"/>
      <c r="AF34" s="285"/>
      <c r="AG34" s="55"/>
      <c r="AH34" s="288"/>
      <c r="AI34" s="288"/>
      <c r="AJ34" s="284"/>
      <c r="AK34" s="285"/>
      <c r="AL34" s="55"/>
      <c r="AM34" s="288"/>
      <c r="AN34" s="288"/>
      <c r="AO34" s="284"/>
      <c r="AP34" s="285"/>
      <c r="AQ34" s="55"/>
      <c r="AR34" s="288"/>
      <c r="AS34" s="288"/>
      <c r="AT34" s="284"/>
      <c r="AU34" s="285"/>
      <c r="AV34" s="55"/>
      <c r="AW34" s="288"/>
      <c r="AX34" s="288"/>
      <c r="AY34" s="284"/>
      <c r="AZ34" s="285"/>
      <c r="BC34" s="288"/>
      <c r="BD34" s="284"/>
      <c r="BE34" s="285"/>
      <c r="BF34" s="55"/>
      <c r="BH34" s="288"/>
      <c r="BI34" s="284"/>
      <c r="BJ34" s="285"/>
      <c r="BK34" s="55"/>
      <c r="BM34" s="288"/>
      <c r="BN34" s="284"/>
      <c r="BO34" s="285"/>
      <c r="BP34" s="55"/>
      <c r="BR34" s="288"/>
      <c r="BS34" s="284"/>
      <c r="BT34" s="285"/>
      <c r="BU34" s="55"/>
      <c r="BW34" s="288"/>
      <c r="BX34" s="284"/>
      <c r="BY34" s="285"/>
      <c r="BZ34" s="55"/>
      <c r="CB34" s="288"/>
      <c r="CC34" s="284"/>
      <c r="CD34" s="285"/>
      <c r="CE34" s="55"/>
      <c r="CG34" s="288"/>
      <c r="CH34" s="284"/>
      <c r="CI34" s="285"/>
      <c r="CJ34" s="55"/>
    </row>
    <row r="35" ht="17.25" hidden="1" customHeight="1">
      <c r="A35" s="31"/>
      <c r="B35" s="31"/>
      <c r="C35" s="60"/>
      <c r="D35" s="288"/>
      <c r="E35" s="40" t="s">
        <v>31</v>
      </c>
      <c r="F35" s="40" t="s">
        <v>32</v>
      </c>
      <c r="G35" s="41" t="s">
        <v>33</v>
      </c>
      <c r="H35" s="42" t="s">
        <v>34</v>
      </c>
      <c r="I35" s="40" t="s">
        <v>35</v>
      </c>
      <c r="J35" s="41" t="s">
        <v>36</v>
      </c>
      <c r="K35" s="42" t="s">
        <v>37</v>
      </c>
      <c r="L35" s="40" t="s">
        <v>38</v>
      </c>
      <c r="M35" s="41" t="s">
        <v>39</v>
      </c>
      <c r="N35" s="42" t="s">
        <v>40</v>
      </c>
      <c r="O35" s="40" t="s">
        <v>41</v>
      </c>
      <c r="P35" s="40" t="s">
        <v>42</v>
      </c>
      <c r="Q35" s="285"/>
      <c r="R35" s="55"/>
      <c r="S35" s="288"/>
      <c r="T35" s="288"/>
      <c r="U35" s="284"/>
      <c r="V35" s="285"/>
      <c r="W35" s="55"/>
      <c r="X35" s="288"/>
      <c r="Y35" s="288"/>
      <c r="Z35" s="284"/>
      <c r="AA35" s="285"/>
      <c r="AB35" s="55"/>
      <c r="AC35" s="288"/>
      <c r="AD35" s="288"/>
      <c r="AE35" s="284"/>
      <c r="AF35" s="285"/>
      <c r="AG35" s="55"/>
      <c r="AH35" s="288"/>
      <c r="AI35" s="288"/>
      <c r="AJ35" s="284"/>
      <c r="AK35" s="285"/>
      <c r="AL35" s="55"/>
      <c r="AM35" s="288"/>
      <c r="AN35" s="288"/>
      <c r="AO35" s="284"/>
      <c r="AP35" s="285"/>
      <c r="AQ35" s="55"/>
      <c r="AR35" s="288"/>
      <c r="AS35" s="288"/>
      <c r="AT35" s="284"/>
      <c r="AU35" s="285"/>
      <c r="AV35" s="55"/>
      <c r="AW35" s="288"/>
      <c r="AX35" s="288"/>
      <c r="AY35" s="284"/>
      <c r="AZ35" s="285"/>
      <c r="BC35" s="288"/>
      <c r="BD35" s="284"/>
      <c r="BE35" s="285"/>
      <c r="BF35" s="55"/>
      <c r="BH35" s="288"/>
      <c r="BI35" s="284"/>
      <c r="BJ35" s="285"/>
      <c r="BK35" s="55"/>
      <c r="BM35" s="288"/>
      <c r="BN35" s="284"/>
      <c r="BO35" s="285"/>
      <c r="BP35" s="55"/>
      <c r="BR35" s="288"/>
      <c r="BS35" s="284"/>
      <c r="BT35" s="285"/>
      <c r="BU35" s="55"/>
      <c r="BW35" s="288"/>
      <c r="BX35" s="284"/>
      <c r="BY35" s="285"/>
      <c r="BZ35" s="55"/>
      <c r="CB35" s="288"/>
      <c r="CC35" s="284"/>
      <c r="CD35" s="285"/>
      <c r="CE35" s="55"/>
      <c r="CG35" s="288"/>
      <c r="CH35" s="284"/>
      <c r="CI35" s="285"/>
      <c r="CJ35" s="55"/>
    </row>
    <row r="36" ht="17.25" hidden="1" customHeight="1">
      <c r="A36" s="31"/>
      <c r="B36" s="31"/>
      <c r="C36" s="60"/>
      <c r="D36" s="288"/>
      <c r="E36" s="151">
        <f>SUMPRODUCT((IFERROR(MATCH('Demand Generation Plan'!$D$4:$D999, $E$35:$P$35, 0),"") = MOD(E$34 - 'Demand Generation Plan'!$M$1 - 1, 12) + 1) * ('Demand Generation Plan'!$D$4:$D999 &lt;&gt; ""), 'Demand Generation Plan'!$M$4:$M999) + 
SUMPRODUCT((IFERROR(MATCH('Demand Generation Plan'!$D$4:$D999, $E$35:$P$35, 0),"") = MOD(E$34 - 'Demand Generation Plan'!$N$1 - 1, 12) + 1) * ('Demand Generation Plan'!$D$4:$D999 &lt;&gt; ""), 'Demand Generation Plan'!$N$4:$N999) +
SUMPRODUCT((IFERROR(MATCH('Demand Generation Plan'!$D$4:$D999, $E$35:$P$35, 0),"") = MOD(E$34 - 'Demand Generation Plan'!$O$1 - 1, 12) + 1) * ('Demand Generation Plan'!$D$4:$D999 &lt;&gt; ""), 'Demand Generation Plan'!$O$4:$O999)</f>
        <v>0</v>
      </c>
      <c r="F36" s="151">
        <f>SUMPRODUCT((IFERROR(MATCH('Demand Generation Plan'!$D$4:$D999, $E$35:$P$35, 0),"") = MOD(F$34 - 'Demand Generation Plan'!$M$1 - 1, 12) + 1) * ('Demand Generation Plan'!$D$4:$D999 &lt;&gt; ""), 'Demand Generation Plan'!$M$4:$M999) + 
SUMPRODUCT((IFERROR(MATCH('Demand Generation Plan'!$D$4:$D999, $E$35:$P$35, 0),"") = MOD(F$34 - 'Demand Generation Plan'!$N$1 - 1, 12) + 1) * ('Demand Generation Plan'!$D$4:$D999 &lt;&gt; ""), 'Demand Generation Plan'!$N$4:$N999) +
SUMPRODUCT((IFERROR(MATCH('Demand Generation Plan'!$D$4:$D999, $E$35:$P$35, 0),"") = MOD(F$34 - 'Demand Generation Plan'!$O$1 - 1, 12) + 1) * ('Demand Generation Plan'!$D$4:$D999 &lt;&gt; ""), 'Demand Generation Plan'!$O$4:$O999)</f>
        <v>0</v>
      </c>
      <c r="G36" s="151">
        <f>SUMPRODUCT((IFERROR(MATCH('Demand Generation Plan'!$D$4:$D999, $E$35:$P$35, 0),"") = MOD(G$34 - 'Demand Generation Plan'!$M$1 - 1, 12) + 1) * ('Demand Generation Plan'!$D$4:$D999 &lt;&gt; ""), 'Demand Generation Plan'!$M$4:$M999) + 
SUMPRODUCT((IFERROR(MATCH('Demand Generation Plan'!$D$4:$D999, $E$35:$P$35, 0),"") = MOD(G$34 - 'Demand Generation Plan'!$N$1 - 1, 12) + 1) * ('Demand Generation Plan'!$D$4:$D999 &lt;&gt; ""), 'Demand Generation Plan'!$N$4:$N999) +
SUMPRODUCT((IFERROR(MATCH('Demand Generation Plan'!$D$4:$D999, $E$35:$P$35, 0),"") = MOD(G$34 - 'Demand Generation Plan'!$O$1 - 1, 12) + 1) * ('Demand Generation Plan'!$D$4:$D999 &lt;&gt; ""), 'Demand Generation Plan'!$O$4:$O999)</f>
        <v>0</v>
      </c>
      <c r="H36" s="151">
        <f>SUMPRODUCT((IFERROR(MATCH('Demand Generation Plan'!$D$4:$D999, $E$35:$P$35, 0),"") = MOD(H$34 - 'Demand Generation Plan'!$M$1 - 1, 12) + 1) * ('Demand Generation Plan'!$D$4:$D999 &lt;&gt; ""), 'Demand Generation Plan'!$M$4:$M999) + 
SUMPRODUCT((IFERROR(MATCH('Demand Generation Plan'!$D$4:$D999, $E$35:$P$35, 0),"") = MOD(H$34 - 'Demand Generation Plan'!$N$1 - 1, 12) + 1) * ('Demand Generation Plan'!$D$4:$D999 &lt;&gt; ""), 'Demand Generation Plan'!$N$4:$N999) +
SUMPRODUCT((IFERROR(MATCH('Demand Generation Plan'!$D$4:$D999, $E$35:$P$35, 0),"") = MOD(H$34 - 'Demand Generation Plan'!$O$1 - 1, 12) + 1) * ('Demand Generation Plan'!$D$4:$D999 &lt;&gt; ""), 'Demand Generation Plan'!$O$4:$O999)</f>
        <v>0</v>
      </c>
      <c r="I36" s="151">
        <f>SUMPRODUCT((IFERROR(MATCH('Demand Generation Plan'!$D$4:$D999, $E$35:$P$35, 0),"") = MOD(I$34 - 'Demand Generation Plan'!$M$1 - 1, 12) + 1) * ('Demand Generation Plan'!$D$4:$D999 &lt;&gt; ""), 'Demand Generation Plan'!$M$4:$M999) + 
SUMPRODUCT((IFERROR(MATCH('Demand Generation Plan'!$D$4:$D999, $E$35:$P$35, 0),"") = MOD(I$34 - 'Demand Generation Plan'!$N$1 - 1, 12) + 1) * ('Demand Generation Plan'!$D$4:$D999 &lt;&gt; ""), 'Demand Generation Plan'!$N$4:$N999) +
SUMPRODUCT((IFERROR(MATCH('Demand Generation Plan'!$D$4:$D999, $E$35:$P$35, 0),"") = MOD(I$34 - 'Demand Generation Plan'!$O$1 - 1, 12) + 1) * ('Demand Generation Plan'!$D$4:$D999 &lt;&gt; ""), 'Demand Generation Plan'!$O$4:$O999)</f>
        <v>0</v>
      </c>
      <c r="J36" s="151">
        <f>SUMPRODUCT((IFERROR(MATCH('Demand Generation Plan'!$D$4:$D999, $E$35:$P$35, 0),"") = MOD(J$34 - 'Demand Generation Plan'!$M$1 - 1, 12) + 1) * ('Demand Generation Plan'!$D$4:$D999 &lt;&gt; ""), 'Demand Generation Plan'!$M$4:$M999) + 
SUMPRODUCT((IFERROR(MATCH('Demand Generation Plan'!$D$4:$D999, $E$35:$P$35, 0),"") = MOD(J$34 - 'Demand Generation Plan'!$N$1 - 1, 12) + 1) * ('Demand Generation Plan'!$D$4:$D999 &lt;&gt; ""), 'Demand Generation Plan'!$N$4:$N999) +
SUMPRODUCT((IFERROR(MATCH('Demand Generation Plan'!$D$4:$D999, $E$35:$P$35, 0),"") = MOD(J$34 - 'Demand Generation Plan'!$O$1 - 1, 12) + 1) * ('Demand Generation Plan'!$D$4:$D999 &lt;&gt; ""), 'Demand Generation Plan'!$O$4:$O999)</f>
        <v>0</v>
      </c>
      <c r="K36" s="151">
        <f>SUMPRODUCT((IFERROR(MATCH('Demand Generation Plan'!$D$4:$D999, $E$35:$P$35, 0),"") = MOD(K$34 - 'Demand Generation Plan'!$M$1 - 1, 12) + 1) * ('Demand Generation Plan'!$D$4:$D999 &lt;&gt; ""), 'Demand Generation Plan'!$M$4:$M999) + 
SUMPRODUCT((IFERROR(MATCH('Demand Generation Plan'!$D$4:$D999, $E$35:$P$35, 0),"") = MOD(K$34 - 'Demand Generation Plan'!$N$1 - 1, 12) + 1) * ('Demand Generation Plan'!$D$4:$D999 &lt;&gt; ""), 'Demand Generation Plan'!$N$4:$N999) +
SUMPRODUCT((IFERROR(MATCH('Demand Generation Plan'!$D$4:$D999, $E$35:$P$35, 0),"") = MOD(K$34 - 'Demand Generation Plan'!$O$1 - 1, 12) + 1) * ('Demand Generation Plan'!$D$4:$D999 &lt;&gt; ""), 'Demand Generation Plan'!$O$4:$O999)</f>
        <v>0</v>
      </c>
      <c r="L36" s="151">
        <f>SUMPRODUCT((IFERROR(MATCH('Demand Generation Plan'!$D$4:$D999, $E$35:$P$35, 0),"") = MOD(L$34 - 'Demand Generation Plan'!$M$1 - 1, 12) + 1) * ('Demand Generation Plan'!$D$4:$D999 &lt;&gt; ""), 'Demand Generation Plan'!$M$4:$M999) + 
SUMPRODUCT((IFERROR(MATCH('Demand Generation Plan'!$D$4:$D999, $E$35:$P$35, 0),"") = MOD(L$34 - 'Demand Generation Plan'!$N$1 - 1, 12) + 1) * ('Demand Generation Plan'!$D$4:$D999 &lt;&gt; ""), 'Demand Generation Plan'!$N$4:$N999) +
SUMPRODUCT((IFERROR(MATCH('Demand Generation Plan'!$D$4:$D999, $E$35:$P$35, 0),"") = MOD(L$34 - 'Demand Generation Plan'!$O$1 - 1, 12) + 1) * ('Demand Generation Plan'!$D$4:$D999 &lt;&gt; ""), 'Demand Generation Plan'!$O$4:$O999)</f>
        <v>0</v>
      </c>
      <c r="M36" s="151">
        <f>SUMPRODUCT((IFERROR(MATCH('Demand Generation Plan'!$D$4:$D999, $E$35:$P$35, 0),"") = MOD(M$34 - 'Demand Generation Plan'!$M$1 - 1, 12) + 1) * ('Demand Generation Plan'!$D$4:$D999 &lt;&gt; ""), 'Demand Generation Plan'!$M$4:$M999) + 
SUMPRODUCT((IFERROR(MATCH('Demand Generation Plan'!$D$4:$D999, $E$35:$P$35, 0),"") = MOD(M$34 - 'Demand Generation Plan'!$N$1 - 1, 12) + 1) * ('Demand Generation Plan'!$D$4:$D999 &lt;&gt; ""), 'Demand Generation Plan'!$N$4:$N999) +
SUMPRODUCT((IFERROR(MATCH('Demand Generation Plan'!$D$4:$D999, $E$35:$P$35, 0),"") = MOD(M$34 - 'Demand Generation Plan'!$O$1 - 1, 12) + 1) * ('Demand Generation Plan'!$D$4:$D999 &lt;&gt; ""), 'Demand Generation Plan'!$O$4:$O999)</f>
        <v>0</v>
      </c>
      <c r="N36" s="151">
        <f>SUMPRODUCT((IFERROR(MATCH('Demand Generation Plan'!$D$4:$D999, $E$35:$P$35, 0),"") = MOD(N$34 - 'Demand Generation Plan'!$M$1 - 1, 12) + 1) * ('Demand Generation Plan'!$D$4:$D999 &lt;&gt; ""), 'Demand Generation Plan'!$M$4:$M999) + 
SUMPRODUCT((IFERROR(MATCH('Demand Generation Plan'!$D$4:$D999, $E$35:$P$35, 0),"") = MOD(N$34 - 'Demand Generation Plan'!$N$1 - 1, 12) + 1) * ('Demand Generation Plan'!$D$4:$D999 &lt;&gt; ""), 'Demand Generation Plan'!$N$4:$N999) +
SUMPRODUCT((IFERROR(MATCH('Demand Generation Plan'!$D$4:$D999, $E$35:$P$35, 0),"") = MOD(N$34 - 'Demand Generation Plan'!$O$1 - 1, 12) + 1) * ('Demand Generation Plan'!$D$4:$D999 &lt;&gt; ""), 'Demand Generation Plan'!$O$4:$O999)</f>
        <v>0</v>
      </c>
      <c r="O36" s="151">
        <f>SUMPRODUCT((IFERROR(MATCH('Demand Generation Plan'!$D$4:$D999, $E$35:$P$35, 0),"") = MOD(O$34 - 'Demand Generation Plan'!$M$1 - 1, 12) + 1) * ('Demand Generation Plan'!$D$4:$D999 &lt;&gt; ""), 'Demand Generation Plan'!$M$4:$M999) + 
SUMPRODUCT((IFERROR(MATCH('Demand Generation Plan'!$D$4:$D999, $E$35:$P$35, 0),"") = MOD(O$34 - 'Demand Generation Plan'!$N$1 - 1, 12) + 1) * ('Demand Generation Plan'!$D$4:$D999 &lt;&gt; ""), 'Demand Generation Plan'!$N$4:$N999) +
SUMPRODUCT((IFERROR(MATCH('Demand Generation Plan'!$D$4:$D999, $E$35:$P$35, 0),"") = MOD(O$34 - 'Demand Generation Plan'!$O$1 - 1, 12) + 1) * ('Demand Generation Plan'!$D$4:$D999 &lt;&gt; ""), 'Demand Generation Plan'!$O$4:$O999)</f>
        <v>0</v>
      </c>
      <c r="P36" s="151">
        <f>SUMPRODUCT((IFERROR(MATCH('Demand Generation Plan'!$D$4:$D999, $E$35:$P$35, 0),"") = MOD(P$34 - 'Demand Generation Plan'!$M$1 - 1, 12) + 1) * ('Demand Generation Plan'!$D$4:$D999 &lt;&gt; ""), 'Demand Generation Plan'!$M$4:$M999) + 
SUMPRODUCT((IFERROR(MATCH('Demand Generation Plan'!$D$4:$D999, $E$35:$P$35, 0),"") = MOD(P$34 - 'Demand Generation Plan'!$N$1 - 1, 12) + 1) * ('Demand Generation Plan'!$D$4:$D999 &lt;&gt; ""), 'Demand Generation Plan'!$N$4:$N999) +
SUMPRODUCT((IFERROR(MATCH('Demand Generation Plan'!$D$4:$D999, $E$35:$P$35, 0),"") = MOD(P$34 - 'Demand Generation Plan'!$O$1 - 1, 12) + 1) * ('Demand Generation Plan'!$D$4:$D999 &lt;&gt; ""), 'Demand Generation Plan'!$O$4:$O999)</f>
        <v>0</v>
      </c>
      <c r="Q36" s="285"/>
      <c r="R36" s="55"/>
      <c r="S36" s="288"/>
      <c r="T36" s="288"/>
      <c r="U36" s="284"/>
      <c r="V36" s="285"/>
      <c r="W36" s="55"/>
      <c r="X36" s="288"/>
      <c r="Y36" s="288"/>
      <c r="Z36" s="284"/>
      <c r="AA36" s="285"/>
      <c r="AB36" s="55"/>
      <c r="AC36" s="288"/>
      <c r="AD36" s="288"/>
      <c r="AE36" s="284"/>
      <c r="AF36" s="285"/>
      <c r="AG36" s="55"/>
      <c r="AH36" s="288"/>
      <c r="AI36" s="288"/>
      <c r="AJ36" s="284"/>
      <c r="AK36" s="285"/>
      <c r="AL36" s="55"/>
      <c r="AM36" s="288"/>
      <c r="AN36" s="288"/>
      <c r="AO36" s="284"/>
      <c r="AP36" s="285"/>
      <c r="AQ36" s="55"/>
      <c r="AR36" s="288"/>
      <c r="AS36" s="288"/>
      <c r="AT36" s="284"/>
      <c r="AU36" s="285"/>
      <c r="AV36" s="55"/>
      <c r="AW36" s="288"/>
      <c r="AX36" s="288"/>
      <c r="AY36" s="284"/>
      <c r="AZ36" s="285"/>
      <c r="BC36" s="288"/>
      <c r="BD36" s="284"/>
      <c r="BE36" s="285"/>
      <c r="BF36" s="55"/>
      <c r="BH36" s="288"/>
      <c r="BI36" s="284"/>
      <c r="BJ36" s="285"/>
      <c r="BK36" s="55"/>
      <c r="BM36" s="288"/>
      <c r="BN36" s="284"/>
      <c r="BO36" s="285"/>
      <c r="BP36" s="55"/>
      <c r="BR36" s="288"/>
      <c r="BS36" s="284"/>
      <c r="BT36" s="285"/>
      <c r="BU36" s="55"/>
      <c r="BW36" s="288"/>
      <c r="BX36" s="284"/>
      <c r="BY36" s="285"/>
      <c r="BZ36" s="55"/>
      <c r="CB36" s="288"/>
      <c r="CC36" s="284"/>
      <c r="CD36" s="285"/>
      <c r="CE36" s="55"/>
      <c r="CG36" s="288"/>
      <c r="CH36" s="284"/>
      <c r="CI36" s="285"/>
      <c r="CJ36" s="55"/>
    </row>
    <row r="37" ht="17.25" hidden="1" customHeight="1">
      <c r="A37" s="31"/>
      <c r="B37" s="31"/>
      <c r="C37" s="60"/>
      <c r="D37" s="288"/>
      <c r="E37" s="288"/>
      <c r="F37" s="284"/>
      <c r="G37" s="285"/>
      <c r="H37" s="55"/>
      <c r="I37" s="288"/>
      <c r="J37" s="288"/>
      <c r="K37" s="284"/>
      <c r="L37" s="285"/>
      <c r="M37" s="55"/>
      <c r="N37" s="288"/>
      <c r="O37" s="288"/>
      <c r="P37" s="284"/>
      <c r="Q37" s="285"/>
      <c r="R37" s="55"/>
      <c r="S37" s="288"/>
      <c r="T37" s="288"/>
      <c r="U37" s="284"/>
      <c r="V37" s="285"/>
      <c r="W37" s="55"/>
      <c r="X37" s="288"/>
      <c r="Y37" s="288"/>
      <c r="Z37" s="284"/>
      <c r="AA37" s="285"/>
      <c r="AB37" s="55"/>
      <c r="AC37" s="288"/>
      <c r="AD37" s="288"/>
      <c r="AE37" s="284"/>
      <c r="AF37" s="285"/>
      <c r="AG37" s="55"/>
      <c r="AH37" s="288"/>
      <c r="AI37" s="288"/>
      <c r="AJ37" s="284"/>
      <c r="AK37" s="285"/>
      <c r="AL37" s="55"/>
      <c r="AM37" s="288"/>
      <c r="AN37" s="288"/>
      <c r="AO37" s="284"/>
      <c r="AP37" s="285"/>
      <c r="AQ37" s="55"/>
      <c r="AR37" s="288"/>
      <c r="AS37" s="288"/>
      <c r="AT37" s="284"/>
      <c r="AU37" s="285"/>
      <c r="AV37" s="55"/>
      <c r="AW37" s="288"/>
      <c r="AX37" s="288"/>
      <c r="AY37" s="284"/>
      <c r="AZ37" s="285"/>
      <c r="BC37" s="288"/>
      <c r="BD37" s="284"/>
      <c r="BE37" s="285"/>
      <c r="BF37" s="55"/>
      <c r="BH37" s="288"/>
      <c r="BI37" s="284"/>
      <c r="BJ37" s="285"/>
      <c r="BK37" s="55"/>
      <c r="BM37" s="288"/>
      <c r="BN37" s="284"/>
      <c r="BO37" s="285"/>
      <c r="BP37" s="55"/>
      <c r="BR37" s="288"/>
      <c r="BS37" s="284"/>
      <c r="BT37" s="285"/>
      <c r="BU37" s="55"/>
      <c r="BW37" s="288"/>
      <c r="BX37" s="284"/>
      <c r="BY37" s="285"/>
      <c r="BZ37" s="55"/>
      <c r="CB37" s="288"/>
      <c r="CC37" s="284"/>
      <c r="CD37" s="285"/>
      <c r="CE37" s="55"/>
      <c r="CG37" s="288"/>
      <c r="CH37" s="284"/>
      <c r="CI37" s="285"/>
      <c r="CJ37" s="55"/>
    </row>
    <row r="38" ht="17.25" hidden="1" customHeight="1">
      <c r="A38" s="31"/>
      <c r="B38" s="31"/>
      <c r="C38" s="60"/>
      <c r="D38" s="288"/>
      <c r="E38" s="288"/>
      <c r="F38" s="284"/>
      <c r="G38" s="285"/>
      <c r="H38" s="55"/>
      <c r="I38" s="288"/>
      <c r="J38" s="288"/>
      <c r="K38" s="284"/>
      <c r="L38" s="285"/>
      <c r="M38" s="55"/>
      <c r="N38" s="288"/>
      <c r="O38" s="288"/>
      <c r="P38" s="284"/>
      <c r="Q38" s="285"/>
      <c r="R38" s="55"/>
      <c r="S38" s="288"/>
      <c r="T38" s="288"/>
      <c r="U38" s="284"/>
      <c r="V38" s="285"/>
      <c r="W38" s="55"/>
      <c r="X38" s="288"/>
      <c r="Y38" s="288"/>
      <c r="Z38" s="284"/>
      <c r="AA38" s="285"/>
      <c r="AB38" s="55"/>
      <c r="AC38" s="288"/>
      <c r="AD38" s="288"/>
      <c r="AE38" s="284"/>
      <c r="AF38" s="285"/>
      <c r="AG38" s="55"/>
      <c r="AH38" s="288"/>
      <c r="AI38" s="288"/>
      <c r="AJ38" s="284"/>
      <c r="AK38" s="285"/>
      <c r="AL38" s="55"/>
      <c r="AM38" s="288"/>
      <c r="AN38" s="288"/>
      <c r="AO38" s="284"/>
      <c r="AP38" s="285"/>
      <c r="AQ38" s="55"/>
      <c r="AR38" s="288"/>
      <c r="AS38" s="288"/>
      <c r="AT38" s="284"/>
      <c r="AU38" s="285"/>
      <c r="AV38" s="55"/>
      <c r="AW38" s="288"/>
      <c r="AX38" s="288"/>
      <c r="AY38" s="284"/>
      <c r="AZ38" s="285"/>
      <c r="BC38" s="288"/>
      <c r="BD38" s="284"/>
      <c r="BE38" s="285"/>
      <c r="BF38" s="55"/>
      <c r="BH38" s="288"/>
      <c r="BI38" s="284"/>
      <c r="BJ38" s="285"/>
      <c r="BK38" s="55"/>
      <c r="BM38" s="288"/>
      <c r="BN38" s="284"/>
      <c r="BO38" s="285"/>
      <c r="BP38" s="55"/>
      <c r="BR38" s="288"/>
      <c r="BS38" s="284"/>
      <c r="BT38" s="285"/>
      <c r="BU38" s="55"/>
      <c r="BW38" s="288"/>
      <c r="BX38" s="284"/>
      <c r="BY38" s="285"/>
      <c r="BZ38" s="55"/>
      <c r="CB38" s="288"/>
      <c r="CC38" s="284"/>
      <c r="CD38" s="285"/>
      <c r="CE38" s="55"/>
      <c r="CG38" s="288"/>
      <c r="CH38" s="284"/>
      <c r="CI38" s="285"/>
      <c r="CJ38" s="55"/>
    </row>
    <row r="39" ht="17.25" hidden="1" customHeight="1">
      <c r="A39" s="31"/>
      <c r="B39" s="31"/>
      <c r="C39" s="60"/>
      <c r="D39" s="288"/>
      <c r="E39" s="288"/>
      <c r="F39" s="284"/>
      <c r="G39" s="285"/>
      <c r="H39" s="55"/>
      <c r="I39" s="288"/>
      <c r="J39" s="288"/>
      <c r="K39" s="284"/>
      <c r="L39" s="285"/>
      <c r="M39" s="55"/>
      <c r="N39" s="288"/>
      <c r="O39" s="288"/>
      <c r="P39" s="284"/>
      <c r="Q39" s="285"/>
      <c r="R39" s="55"/>
      <c r="S39" s="288"/>
      <c r="T39" s="288"/>
      <c r="U39" s="284"/>
      <c r="V39" s="285"/>
      <c r="W39" s="55"/>
      <c r="X39" s="288"/>
      <c r="Y39" s="288"/>
      <c r="Z39" s="284"/>
      <c r="AA39" s="285"/>
      <c r="AB39" s="55"/>
      <c r="AC39" s="288"/>
      <c r="AD39" s="288"/>
      <c r="AE39" s="284"/>
      <c r="AF39" s="285"/>
      <c r="AG39" s="55"/>
      <c r="AH39" s="288"/>
      <c r="AI39" s="288"/>
      <c r="AJ39" s="284"/>
      <c r="AK39" s="285"/>
      <c r="AL39" s="55"/>
      <c r="AM39" s="288"/>
      <c r="AN39" s="288"/>
      <c r="AO39" s="284"/>
      <c r="AP39" s="285"/>
      <c r="AQ39" s="55"/>
      <c r="AR39" s="288"/>
      <c r="AS39" s="288"/>
      <c r="AT39" s="284"/>
      <c r="AU39" s="285"/>
      <c r="AV39" s="55"/>
      <c r="AW39" s="288"/>
      <c r="AX39" s="288"/>
      <c r="AY39" s="284"/>
      <c r="AZ39" s="285"/>
      <c r="BC39" s="288"/>
      <c r="BD39" s="284"/>
      <c r="BE39" s="285"/>
      <c r="BF39" s="55"/>
      <c r="BH39" s="288"/>
      <c r="BI39" s="284"/>
      <c r="BJ39" s="285"/>
      <c r="BK39" s="55"/>
      <c r="BM39" s="288"/>
      <c r="BN39" s="284"/>
      <c r="BO39" s="285"/>
      <c r="BP39" s="55"/>
      <c r="BR39" s="288"/>
      <c r="BS39" s="284"/>
      <c r="BT39" s="285"/>
      <c r="BU39" s="55"/>
      <c r="BW39" s="288"/>
      <c r="BX39" s="284"/>
      <c r="BY39" s="285"/>
      <c r="BZ39" s="55"/>
      <c r="CB39" s="288"/>
      <c r="CC39" s="284"/>
      <c r="CD39" s="285"/>
      <c r="CE39" s="55"/>
      <c r="CG39" s="288"/>
      <c r="CH39" s="284"/>
      <c r="CI39" s="285"/>
      <c r="CJ39" s="55"/>
    </row>
    <row r="40" ht="17.25" hidden="1" customHeight="1">
      <c r="A40" s="31"/>
      <c r="B40" s="31"/>
      <c r="C40" s="60"/>
      <c r="D40" s="288"/>
      <c r="E40" s="288"/>
      <c r="F40" s="284"/>
      <c r="G40" s="285"/>
      <c r="H40" s="55"/>
      <c r="I40" s="288"/>
      <c r="J40" s="288"/>
      <c r="K40" s="284"/>
      <c r="L40" s="285"/>
      <c r="M40" s="55"/>
      <c r="N40" s="288"/>
      <c r="O40" s="288"/>
      <c r="P40" s="284"/>
      <c r="Q40" s="285"/>
      <c r="R40" s="55"/>
      <c r="S40" s="288"/>
      <c r="T40" s="288"/>
      <c r="U40" s="284"/>
      <c r="V40" s="285"/>
      <c r="W40" s="55"/>
      <c r="X40" s="288"/>
      <c r="Y40" s="288"/>
      <c r="Z40" s="284"/>
      <c r="AA40" s="285"/>
      <c r="AB40" s="55"/>
      <c r="AC40" s="288"/>
      <c r="AD40" s="288"/>
      <c r="AE40" s="284"/>
      <c r="AF40" s="285"/>
      <c r="AG40" s="55"/>
      <c r="AH40" s="288"/>
      <c r="AI40" s="288"/>
      <c r="AJ40" s="284"/>
      <c r="AK40" s="285"/>
      <c r="AL40" s="55"/>
      <c r="AM40" s="288"/>
      <c r="AN40" s="288"/>
      <c r="AO40" s="284"/>
      <c r="AP40" s="285"/>
      <c r="AQ40" s="55"/>
      <c r="AR40" s="288"/>
      <c r="AS40" s="288"/>
      <c r="AT40" s="284"/>
      <c r="AU40" s="285"/>
      <c r="AV40" s="55"/>
      <c r="AW40" s="288"/>
      <c r="AX40" s="288"/>
      <c r="AY40" s="284"/>
      <c r="AZ40" s="285"/>
      <c r="BC40" s="288"/>
      <c r="BD40" s="284"/>
      <c r="BE40" s="285"/>
      <c r="BF40" s="55"/>
      <c r="BH40" s="288"/>
      <c r="BI40" s="284"/>
      <c r="BJ40" s="285"/>
      <c r="BK40" s="55"/>
      <c r="BM40" s="288"/>
      <c r="BN40" s="284"/>
      <c r="BO40" s="285"/>
      <c r="BP40" s="55"/>
      <c r="BR40" s="288"/>
      <c r="BS40" s="284"/>
      <c r="BT40" s="285"/>
      <c r="BU40" s="55"/>
      <c r="BW40" s="288"/>
      <c r="BX40" s="284"/>
      <c r="BY40" s="285"/>
      <c r="BZ40" s="55"/>
      <c r="CB40" s="288"/>
      <c r="CC40" s="284"/>
      <c r="CD40" s="285"/>
      <c r="CE40" s="55"/>
      <c r="CG40" s="288"/>
      <c r="CH40" s="284"/>
      <c r="CI40" s="285"/>
      <c r="CJ40" s="55"/>
    </row>
    <row r="41" ht="17.25" hidden="1" customHeight="1">
      <c r="A41" s="31"/>
      <c r="B41" s="31"/>
      <c r="C41" s="60"/>
      <c r="D41" s="288"/>
      <c r="E41" s="288"/>
      <c r="F41" s="284"/>
      <c r="G41" s="285"/>
      <c r="H41" s="55"/>
      <c r="I41" s="288"/>
      <c r="J41" s="288"/>
      <c r="K41" s="284"/>
      <c r="L41" s="285"/>
      <c r="M41" s="55"/>
      <c r="N41" s="288"/>
      <c r="O41" s="288"/>
      <c r="P41" s="284"/>
      <c r="Q41" s="285"/>
      <c r="R41" s="55"/>
      <c r="S41" s="288"/>
      <c r="T41" s="288"/>
      <c r="U41" s="284"/>
      <c r="V41" s="285"/>
      <c r="W41" s="55"/>
      <c r="X41" s="288"/>
      <c r="Y41" s="288"/>
      <c r="Z41" s="284"/>
      <c r="AA41" s="285"/>
      <c r="AB41" s="55"/>
      <c r="AC41" s="288"/>
      <c r="AD41" s="288"/>
      <c r="AE41" s="284"/>
      <c r="AF41" s="285"/>
      <c r="AG41" s="55"/>
      <c r="AH41" s="288"/>
      <c r="AI41" s="288"/>
      <c r="AJ41" s="284"/>
      <c r="AK41" s="285"/>
      <c r="AL41" s="55"/>
      <c r="AM41" s="288"/>
      <c r="AN41" s="288"/>
      <c r="AO41" s="284"/>
      <c r="AP41" s="285"/>
      <c r="AQ41" s="55"/>
      <c r="AR41" s="288"/>
      <c r="AS41" s="288"/>
      <c r="AT41" s="284"/>
      <c r="AU41" s="285"/>
      <c r="AV41" s="55"/>
      <c r="AW41" s="288"/>
      <c r="AX41" s="288"/>
      <c r="AY41" s="284"/>
      <c r="AZ41" s="285"/>
      <c r="BC41" s="288"/>
      <c r="BD41" s="284"/>
      <c r="BE41" s="285"/>
      <c r="BF41" s="55"/>
      <c r="BH41" s="288"/>
      <c r="BI41" s="284"/>
      <c r="BJ41" s="285"/>
      <c r="BK41" s="55"/>
      <c r="BM41" s="288"/>
      <c r="BN41" s="284"/>
      <c r="BO41" s="285"/>
      <c r="BP41" s="55"/>
      <c r="BR41" s="288"/>
      <c r="BS41" s="284"/>
      <c r="BT41" s="285"/>
      <c r="BU41" s="55"/>
      <c r="BW41" s="288"/>
      <c r="BX41" s="284"/>
      <c r="BY41" s="285"/>
      <c r="BZ41" s="55"/>
      <c r="CB41" s="288"/>
      <c r="CC41" s="284"/>
      <c r="CD41" s="285"/>
      <c r="CE41" s="55"/>
      <c r="CG41" s="288"/>
      <c r="CH41" s="284"/>
      <c r="CI41" s="285"/>
      <c r="CJ41" s="55"/>
    </row>
    <row r="42" ht="17.25" hidden="1" customHeight="1">
      <c r="A42" s="31"/>
      <c r="B42" s="31"/>
      <c r="C42" s="60"/>
      <c r="D42" s="288"/>
      <c r="E42" s="288"/>
      <c r="F42" s="284"/>
      <c r="G42" s="285"/>
      <c r="H42" s="55"/>
      <c r="I42" s="288"/>
      <c r="J42" s="288"/>
      <c r="K42" s="284"/>
      <c r="L42" s="285"/>
      <c r="M42" s="55"/>
      <c r="N42" s="288"/>
      <c r="O42" s="288"/>
      <c r="P42" s="284"/>
      <c r="Q42" s="285"/>
      <c r="R42" s="55"/>
      <c r="S42" s="288"/>
      <c r="T42" s="288"/>
      <c r="U42" s="284"/>
      <c r="V42" s="285"/>
      <c r="W42" s="55"/>
      <c r="X42" s="288"/>
      <c r="Y42" s="288"/>
      <c r="Z42" s="284"/>
      <c r="AA42" s="285"/>
      <c r="AB42" s="55"/>
      <c r="AC42" s="288"/>
      <c r="AD42" s="288"/>
      <c r="AE42" s="284"/>
      <c r="AF42" s="285"/>
      <c r="AG42" s="55"/>
      <c r="AH42" s="288"/>
      <c r="AI42" s="288"/>
      <c r="AJ42" s="284"/>
      <c r="AK42" s="285"/>
      <c r="AL42" s="55"/>
      <c r="AM42" s="288"/>
      <c r="AN42" s="288"/>
      <c r="AO42" s="284"/>
      <c r="AP42" s="285"/>
      <c r="AQ42" s="55"/>
      <c r="AR42" s="288"/>
      <c r="AS42" s="288"/>
      <c r="AT42" s="284"/>
      <c r="AU42" s="285"/>
      <c r="AV42" s="55"/>
      <c r="AW42" s="288"/>
      <c r="AX42" s="288"/>
      <c r="AY42" s="284"/>
      <c r="AZ42" s="285"/>
      <c r="BC42" s="288"/>
      <c r="BD42" s="284"/>
      <c r="BE42" s="285"/>
      <c r="BF42" s="55"/>
      <c r="BH42" s="288"/>
      <c r="BI42" s="284"/>
      <c r="BJ42" s="285"/>
      <c r="BK42" s="55"/>
      <c r="BM42" s="288"/>
      <c r="BN42" s="284"/>
      <c r="BO42" s="285"/>
      <c r="BP42" s="55"/>
      <c r="BR42" s="288"/>
      <c r="BS42" s="284"/>
      <c r="BT42" s="285"/>
      <c r="BU42" s="55"/>
      <c r="BW42" s="288"/>
      <c r="BX42" s="284"/>
      <c r="BY42" s="285"/>
      <c r="BZ42" s="55"/>
      <c r="CB42" s="288"/>
      <c r="CC42" s="284"/>
      <c r="CD42" s="285"/>
      <c r="CE42" s="55"/>
      <c r="CG42" s="288"/>
      <c r="CH42" s="284"/>
      <c r="CI42" s="285"/>
      <c r="CJ42" s="55"/>
    </row>
    <row r="43" ht="17.25" hidden="1" customHeight="1">
      <c r="A43" s="31"/>
      <c r="B43" s="31"/>
      <c r="C43" s="60"/>
      <c r="D43" s="288"/>
      <c r="E43" s="288"/>
      <c r="F43" s="284"/>
      <c r="G43" s="285"/>
      <c r="H43" s="55"/>
      <c r="I43" s="288"/>
      <c r="J43" s="288"/>
      <c r="K43" s="284"/>
      <c r="L43" s="285"/>
      <c r="M43" s="55"/>
      <c r="N43" s="288"/>
      <c r="O43" s="288"/>
      <c r="P43" s="284"/>
      <c r="Q43" s="285"/>
      <c r="R43" s="55"/>
      <c r="S43" s="288"/>
      <c r="T43" s="288"/>
      <c r="U43" s="284"/>
      <c r="V43" s="285"/>
      <c r="W43" s="55"/>
      <c r="X43" s="288"/>
      <c r="Y43" s="288"/>
      <c r="Z43" s="284"/>
      <c r="AA43" s="285"/>
      <c r="AB43" s="55"/>
      <c r="AC43" s="288"/>
      <c r="AD43" s="288"/>
      <c r="AE43" s="284"/>
      <c r="AF43" s="285"/>
      <c r="AG43" s="55"/>
      <c r="AH43" s="288"/>
      <c r="AI43" s="288"/>
      <c r="AJ43" s="284"/>
      <c r="AK43" s="285"/>
      <c r="AL43" s="55"/>
      <c r="AM43" s="288"/>
      <c r="AN43" s="288"/>
      <c r="AO43" s="284"/>
      <c r="AP43" s="285"/>
      <c r="AQ43" s="55"/>
      <c r="AR43" s="288"/>
      <c r="AS43" s="288"/>
      <c r="AT43" s="284"/>
      <c r="AU43" s="285"/>
      <c r="AV43" s="55"/>
      <c r="AW43" s="288"/>
      <c r="AX43" s="288"/>
      <c r="AY43" s="284"/>
      <c r="AZ43" s="285"/>
      <c r="BC43" s="288"/>
      <c r="BD43" s="284"/>
      <c r="BE43" s="285"/>
      <c r="BF43" s="55"/>
      <c r="BH43" s="288"/>
      <c r="BI43" s="284"/>
      <c r="BJ43" s="285"/>
      <c r="BK43" s="55"/>
      <c r="BM43" s="288"/>
      <c r="BN43" s="284"/>
      <c r="BO43" s="285"/>
      <c r="BP43" s="55"/>
      <c r="BR43" s="288"/>
      <c r="BS43" s="284"/>
      <c r="BT43" s="285"/>
      <c r="BU43" s="55"/>
      <c r="BW43" s="288"/>
      <c r="BX43" s="284"/>
      <c r="BY43" s="285"/>
      <c r="BZ43" s="55"/>
      <c r="CB43" s="288"/>
      <c r="CC43" s="284"/>
      <c r="CD43" s="285"/>
      <c r="CE43" s="55"/>
      <c r="CG43" s="288"/>
      <c r="CH43" s="284"/>
      <c r="CI43" s="285"/>
      <c r="CJ43" s="55"/>
    </row>
  </sheetData>
  <mergeCells count="38">
    <mergeCell ref="CA2:CD3"/>
    <mergeCell ref="CF2:CI3"/>
    <mergeCell ref="CC4:CD4"/>
    <mergeCell ref="CH4:CI4"/>
    <mergeCell ref="D3:G3"/>
    <mergeCell ref="I3:L3"/>
    <mergeCell ref="F4:G4"/>
    <mergeCell ref="K4:L4"/>
    <mergeCell ref="N3:Q3"/>
    <mergeCell ref="S3:V3"/>
    <mergeCell ref="P4:Q4"/>
    <mergeCell ref="U4:V4"/>
    <mergeCell ref="X3:AA3"/>
    <mergeCell ref="AC3:AF3"/>
    <mergeCell ref="Z4:AA4"/>
    <mergeCell ref="AE4:AF4"/>
    <mergeCell ref="AH3:AK3"/>
    <mergeCell ref="AM3:AP3"/>
    <mergeCell ref="AJ4:AK4"/>
    <mergeCell ref="AO4:AP4"/>
    <mergeCell ref="AR3:AU3"/>
    <mergeCell ref="AW3:AZ3"/>
    <mergeCell ref="AT4:AU4"/>
    <mergeCell ref="AY4:AZ4"/>
    <mergeCell ref="BB3:BE3"/>
    <mergeCell ref="BG3:BJ3"/>
    <mergeCell ref="BD4:BE4"/>
    <mergeCell ref="BI4:BJ4"/>
    <mergeCell ref="BN4:BO4"/>
    <mergeCell ref="BS4:BT4"/>
    <mergeCell ref="BX4:BY4"/>
    <mergeCell ref="D2:Q2"/>
    <mergeCell ref="S2:AF2"/>
    <mergeCell ref="AH2:AU2"/>
    <mergeCell ref="AW2:BJ2"/>
    <mergeCell ref="BL2:BO3"/>
    <mergeCell ref="BQ2:BT3"/>
    <mergeCell ref="BV2:BY3"/>
  </mergeCells>
  <conditionalFormatting sqref="BG5 BL5 BQ5:BR32 BS5:BT5 BV5:BW32 CA5:CB32 CF5:CG32">
    <cfRule type="containsText" dxfId="2" priority="1" operator="containsText" text="missing">
      <formula>NOT(ISERROR(SEARCH(("missing"),(BG5))))</formula>
    </cfRule>
  </conditionalFormatting>
  <conditionalFormatting sqref="F5:F27 K5:K27 P5:P33 U5:U27 Z5:Z27 AE5:AE27 AJ5:AJ27 AO5:AO27 AT5:AT27 AY5:AY27 BD5:BD27 BI5:BI27 BN5:BN27 BS5:BS27 BX5:BX27 CC5:CC27 CH5:CH27 F29:F32 K29:K32 U29:U32 Z29:Z32 AE29:AE32 AJ29:AJ32 AO29:AO32 AT29:AT32 AY29:AY32 BD29:BD32 BI29:BI32 BN29:BN32 BS29:BS32 BX29:BX32 CC29:CC32 CH29:CH32 P37:P43">
    <cfRule type="cellIs" dxfId="16" priority="2" operator="lessThan">
      <formula>0</formula>
    </cfRule>
  </conditionalFormatting>
  <conditionalFormatting sqref="F5:F27 K5:K27 P5:P33 U5:U27 Z5:Z27 AE5:AE27 AJ5:AJ27 AO5:AO27 AT5:AT27 AY5:AY27 BD5:BD27 BI5:BI27 BN5:BN27 BS5:BS27 BX5:BX27 CC5:CC27 CH5:CH27 F29:F32 K29:K32 U29:U32 Z29:Z32 AE29:AE32 AJ29:AJ32 AO29:AO32 AT29:AT32 AY29:AY32 BD29:BD32 BI29:BI32 BN29:BN32 BS29:BS32 BX29:BX32 CC29:CC32 CH29:CH32 P37:P43">
    <cfRule type="cellIs" dxfId="17" priority="3" operator="greaterThan">
      <formula>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showGridLines="0"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75"/>
  <cols>
    <col customWidth="1" min="1" max="1" width="1.5"/>
    <col customWidth="1" min="2" max="2" width="20.88"/>
    <col customWidth="1" min="3" max="3" width="12.5"/>
    <col customWidth="1" min="6" max="6" width="7.38"/>
    <col customWidth="1" min="7" max="58" width="4.63"/>
    <col customWidth="1" min="59" max="59" width="2.5"/>
  </cols>
  <sheetData>
    <row r="1" ht="5.25" customHeight="1">
      <c r="A1" s="296"/>
      <c r="B1" s="297"/>
      <c r="C1" s="297"/>
      <c r="D1" s="298"/>
      <c r="E1" s="298"/>
      <c r="F1" s="298"/>
      <c r="G1" s="299"/>
      <c r="H1" s="299"/>
      <c r="I1" s="299"/>
      <c r="J1" s="296"/>
      <c r="K1" s="299"/>
      <c r="L1" s="299"/>
      <c r="M1" s="296"/>
      <c r="N1" s="296"/>
      <c r="O1" s="296"/>
      <c r="P1" s="296"/>
      <c r="Q1" s="296"/>
      <c r="R1" s="296"/>
      <c r="S1" s="296"/>
      <c r="T1" s="296"/>
      <c r="U1" s="296"/>
      <c r="V1" s="296"/>
      <c r="W1" s="296"/>
      <c r="X1" s="296"/>
      <c r="Y1" s="296"/>
      <c r="Z1" s="296"/>
      <c r="AA1" s="296"/>
      <c r="AB1" s="296"/>
      <c r="AC1" s="296"/>
      <c r="AD1" s="296"/>
      <c r="AE1" s="296"/>
      <c r="AF1" s="296"/>
      <c r="AG1" s="296"/>
      <c r="AH1" s="296"/>
      <c r="AI1" s="296"/>
      <c r="AJ1" s="296"/>
      <c r="AK1" s="296"/>
      <c r="AL1" s="296"/>
      <c r="AM1" s="296"/>
      <c r="AN1" s="296"/>
      <c r="AO1" s="296"/>
      <c r="AP1" s="296"/>
      <c r="AQ1" s="296"/>
      <c r="AR1" s="296"/>
      <c r="AS1" s="296"/>
      <c r="AT1" s="296"/>
      <c r="AU1" s="296"/>
      <c r="AV1" s="296"/>
      <c r="AW1" s="296"/>
      <c r="AX1" s="296"/>
      <c r="AY1" s="296"/>
      <c r="AZ1" s="296"/>
      <c r="BA1" s="296"/>
      <c r="BB1" s="296"/>
      <c r="BC1" s="296"/>
      <c r="BD1" s="296"/>
      <c r="BE1" s="296"/>
      <c r="BF1" s="296"/>
      <c r="BG1" s="296"/>
    </row>
    <row r="2" ht="12.0" customHeight="1">
      <c r="A2" s="296"/>
      <c r="B2" s="300" t="s">
        <v>189</v>
      </c>
      <c r="C2" s="301"/>
      <c r="D2" s="302" t="s">
        <v>190</v>
      </c>
      <c r="E2" s="303"/>
      <c r="F2" s="301"/>
      <c r="G2" s="304" t="s">
        <v>25</v>
      </c>
      <c r="H2" s="305"/>
      <c r="I2" s="305"/>
      <c r="J2" s="305"/>
      <c r="K2" s="305"/>
      <c r="L2" s="305"/>
      <c r="M2" s="305"/>
      <c r="N2" s="305"/>
      <c r="O2" s="305"/>
      <c r="P2" s="305"/>
      <c r="Q2" s="305"/>
      <c r="R2" s="305"/>
      <c r="S2" s="306"/>
      <c r="T2" s="307" t="s">
        <v>26</v>
      </c>
      <c r="U2" s="305"/>
      <c r="V2" s="305"/>
      <c r="W2" s="305"/>
      <c r="X2" s="305"/>
      <c r="Y2" s="305"/>
      <c r="Z2" s="305"/>
      <c r="AA2" s="305"/>
      <c r="AB2" s="305"/>
      <c r="AC2" s="305"/>
      <c r="AD2" s="305"/>
      <c r="AE2" s="305"/>
      <c r="AF2" s="306"/>
      <c r="AG2" s="307" t="s">
        <v>27</v>
      </c>
      <c r="AH2" s="305"/>
      <c r="AI2" s="305"/>
      <c r="AJ2" s="305"/>
      <c r="AK2" s="305"/>
      <c r="AL2" s="305"/>
      <c r="AM2" s="305"/>
      <c r="AN2" s="305"/>
      <c r="AO2" s="305"/>
      <c r="AP2" s="305"/>
      <c r="AQ2" s="305"/>
      <c r="AR2" s="305"/>
      <c r="AS2" s="306"/>
      <c r="AT2" s="307" t="s">
        <v>28</v>
      </c>
      <c r="AU2" s="305"/>
      <c r="AV2" s="305"/>
      <c r="AW2" s="305"/>
      <c r="AX2" s="305"/>
      <c r="AY2" s="305"/>
      <c r="AZ2" s="305"/>
      <c r="BA2" s="305"/>
      <c r="BB2" s="305"/>
      <c r="BC2" s="305"/>
      <c r="BD2" s="305"/>
      <c r="BE2" s="305"/>
      <c r="BF2" s="308"/>
      <c r="BG2" s="296"/>
    </row>
    <row r="3" ht="3.0" customHeight="1">
      <c r="A3" s="296"/>
      <c r="B3" s="297"/>
      <c r="C3" s="297"/>
      <c r="D3" s="297"/>
      <c r="E3" s="297"/>
      <c r="F3" s="297"/>
      <c r="G3" s="309"/>
      <c r="H3" s="310"/>
      <c r="I3" s="310"/>
      <c r="J3" s="310"/>
      <c r="K3" s="310"/>
      <c r="L3" s="310"/>
      <c r="M3" s="310"/>
      <c r="N3" s="310"/>
      <c r="O3" s="310"/>
      <c r="P3" s="310"/>
      <c r="Q3" s="310"/>
      <c r="R3" s="310"/>
      <c r="S3" s="311"/>
      <c r="T3" s="312"/>
      <c r="U3" s="310"/>
      <c r="V3" s="310"/>
      <c r="W3" s="310"/>
      <c r="X3" s="310"/>
      <c r="Y3" s="310"/>
      <c r="Z3" s="310"/>
      <c r="AA3" s="310"/>
      <c r="AB3" s="310"/>
      <c r="AC3" s="310"/>
      <c r="AD3" s="310"/>
      <c r="AE3" s="310"/>
      <c r="AF3" s="311"/>
      <c r="AG3" s="312"/>
      <c r="AH3" s="310"/>
      <c r="AI3" s="310"/>
      <c r="AJ3" s="310"/>
      <c r="AK3" s="310"/>
      <c r="AL3" s="310"/>
      <c r="AM3" s="310"/>
      <c r="AN3" s="310"/>
      <c r="AO3" s="310"/>
      <c r="AP3" s="310"/>
      <c r="AQ3" s="310"/>
      <c r="AR3" s="310"/>
      <c r="AS3" s="311"/>
      <c r="AT3" s="312"/>
      <c r="AU3" s="310"/>
      <c r="AV3" s="310"/>
      <c r="AW3" s="310"/>
      <c r="AX3" s="310"/>
      <c r="AY3" s="310"/>
      <c r="AZ3" s="310"/>
      <c r="BA3" s="310"/>
      <c r="BB3" s="310"/>
      <c r="BC3" s="310"/>
      <c r="BD3" s="310"/>
      <c r="BE3" s="310"/>
      <c r="BF3" s="313"/>
      <c r="BG3" s="296"/>
    </row>
    <row r="4" ht="15.75" customHeight="1">
      <c r="A4" s="296"/>
      <c r="B4" s="314" t="s">
        <v>191</v>
      </c>
      <c r="C4" s="314" t="s">
        <v>192</v>
      </c>
      <c r="D4" s="315" t="s">
        <v>193</v>
      </c>
      <c r="E4" s="316" t="s">
        <v>194</v>
      </c>
      <c r="F4" s="317" t="s">
        <v>195</v>
      </c>
      <c r="G4" s="318" t="s">
        <v>31</v>
      </c>
      <c r="H4" s="319"/>
      <c r="I4" s="319"/>
      <c r="J4" s="319"/>
      <c r="K4" s="320"/>
      <c r="L4" s="321" t="s">
        <v>32</v>
      </c>
      <c r="M4" s="319"/>
      <c r="N4" s="319"/>
      <c r="O4" s="320"/>
      <c r="P4" s="321" t="s">
        <v>33</v>
      </c>
      <c r="Q4" s="319"/>
      <c r="R4" s="319"/>
      <c r="S4" s="320"/>
      <c r="T4" s="321" t="s">
        <v>34</v>
      </c>
      <c r="U4" s="319"/>
      <c r="V4" s="319"/>
      <c r="W4" s="319"/>
      <c r="X4" s="320"/>
      <c r="Y4" s="321" t="s">
        <v>35</v>
      </c>
      <c r="Z4" s="319"/>
      <c r="AA4" s="319"/>
      <c r="AB4" s="320"/>
      <c r="AC4" s="321" t="s">
        <v>36</v>
      </c>
      <c r="AD4" s="319"/>
      <c r="AE4" s="319"/>
      <c r="AF4" s="320"/>
      <c r="AG4" s="321" t="s">
        <v>37</v>
      </c>
      <c r="AH4" s="319"/>
      <c r="AI4" s="319"/>
      <c r="AJ4" s="319"/>
      <c r="AK4" s="320"/>
      <c r="AL4" s="321" t="s">
        <v>38</v>
      </c>
      <c r="AM4" s="319"/>
      <c r="AN4" s="319"/>
      <c r="AO4" s="320"/>
      <c r="AP4" s="321" t="s">
        <v>39</v>
      </c>
      <c r="AQ4" s="319"/>
      <c r="AR4" s="319"/>
      <c r="AS4" s="320"/>
      <c r="AT4" s="321" t="s">
        <v>40</v>
      </c>
      <c r="AU4" s="319"/>
      <c r="AV4" s="319"/>
      <c r="AW4" s="319"/>
      <c r="AX4" s="320"/>
      <c r="AY4" s="321" t="s">
        <v>41</v>
      </c>
      <c r="AZ4" s="319"/>
      <c r="BA4" s="319"/>
      <c r="BB4" s="320"/>
      <c r="BC4" s="321" t="s">
        <v>42</v>
      </c>
      <c r="BD4" s="319"/>
      <c r="BE4" s="319"/>
      <c r="BF4" s="322"/>
      <c r="BG4" s="323"/>
    </row>
    <row r="5" ht="13.5" customHeight="1">
      <c r="A5" s="324"/>
      <c r="B5" s="325"/>
      <c r="C5" s="325"/>
      <c r="D5" s="325"/>
      <c r="E5" s="326"/>
      <c r="F5" s="326"/>
      <c r="G5" s="327" t="s">
        <v>196</v>
      </c>
      <c r="H5" s="327" t="s">
        <v>197</v>
      </c>
      <c r="I5" s="327" t="s">
        <v>198</v>
      </c>
      <c r="J5" s="327" t="s">
        <v>199</v>
      </c>
      <c r="K5" s="328" t="s">
        <v>200</v>
      </c>
      <c r="L5" s="329" t="s">
        <v>201</v>
      </c>
      <c r="M5" s="327" t="s">
        <v>202</v>
      </c>
      <c r="N5" s="327" t="s">
        <v>203</v>
      </c>
      <c r="O5" s="328" t="s">
        <v>204</v>
      </c>
      <c r="P5" s="329" t="s">
        <v>205</v>
      </c>
      <c r="Q5" s="327" t="s">
        <v>206</v>
      </c>
      <c r="R5" s="327" t="s">
        <v>207</v>
      </c>
      <c r="S5" s="328" t="s">
        <v>208</v>
      </c>
      <c r="T5" s="329" t="s">
        <v>209</v>
      </c>
      <c r="U5" s="327" t="s">
        <v>210</v>
      </c>
      <c r="V5" s="327" t="s">
        <v>211</v>
      </c>
      <c r="W5" s="327" t="s">
        <v>212</v>
      </c>
      <c r="X5" s="328" t="s">
        <v>213</v>
      </c>
      <c r="Y5" s="329" t="s">
        <v>214</v>
      </c>
      <c r="Z5" s="327" t="s">
        <v>215</v>
      </c>
      <c r="AA5" s="327" t="s">
        <v>216</v>
      </c>
      <c r="AB5" s="328" t="s">
        <v>217</v>
      </c>
      <c r="AC5" s="329" t="s">
        <v>218</v>
      </c>
      <c r="AD5" s="327" t="s">
        <v>219</v>
      </c>
      <c r="AE5" s="327" t="s">
        <v>220</v>
      </c>
      <c r="AF5" s="328" t="s">
        <v>221</v>
      </c>
      <c r="AG5" s="329" t="s">
        <v>222</v>
      </c>
      <c r="AH5" s="327" t="s">
        <v>223</v>
      </c>
      <c r="AI5" s="327" t="s">
        <v>224</v>
      </c>
      <c r="AJ5" s="327" t="s">
        <v>225</v>
      </c>
      <c r="AK5" s="328" t="s">
        <v>226</v>
      </c>
      <c r="AL5" s="329" t="s">
        <v>227</v>
      </c>
      <c r="AM5" s="327" t="s">
        <v>228</v>
      </c>
      <c r="AN5" s="327" t="s">
        <v>229</v>
      </c>
      <c r="AO5" s="328" t="s">
        <v>230</v>
      </c>
      <c r="AP5" s="329" t="s">
        <v>231</v>
      </c>
      <c r="AQ5" s="327" t="s">
        <v>232</v>
      </c>
      <c r="AR5" s="327" t="s">
        <v>233</v>
      </c>
      <c r="AS5" s="328" t="s">
        <v>234</v>
      </c>
      <c r="AT5" s="329" t="s">
        <v>235</v>
      </c>
      <c r="AU5" s="327" t="s">
        <v>236</v>
      </c>
      <c r="AV5" s="327" t="s">
        <v>237</v>
      </c>
      <c r="AW5" s="327" t="s">
        <v>238</v>
      </c>
      <c r="AX5" s="328" t="s">
        <v>239</v>
      </c>
      <c r="AY5" s="329" t="s">
        <v>240</v>
      </c>
      <c r="AZ5" s="327" t="s">
        <v>241</v>
      </c>
      <c r="BA5" s="327" t="s">
        <v>242</v>
      </c>
      <c r="BB5" s="328" t="s">
        <v>243</v>
      </c>
      <c r="BC5" s="329" t="s">
        <v>244</v>
      </c>
      <c r="BD5" s="327" t="s">
        <v>245</v>
      </c>
      <c r="BE5" s="327" t="s">
        <v>246</v>
      </c>
      <c r="BF5" s="327" t="s">
        <v>247</v>
      </c>
      <c r="BG5" s="330"/>
    </row>
    <row r="6">
      <c r="A6" s="331"/>
      <c r="B6" s="332" t="s">
        <v>248</v>
      </c>
      <c r="G6" s="333"/>
      <c r="H6" s="334"/>
      <c r="I6" s="335"/>
      <c r="J6" s="335"/>
      <c r="K6" s="336"/>
      <c r="L6" s="336"/>
      <c r="M6" s="336"/>
      <c r="N6" s="336"/>
      <c r="O6" s="336"/>
      <c r="P6" s="336"/>
      <c r="Q6" s="336"/>
      <c r="R6" s="336"/>
      <c r="S6" s="336"/>
      <c r="T6" s="336"/>
      <c r="U6" s="336"/>
      <c r="V6" s="336"/>
      <c r="W6" s="336"/>
      <c r="X6" s="336"/>
      <c r="Y6" s="336"/>
      <c r="Z6" s="336"/>
      <c r="AA6" s="336"/>
      <c r="AB6" s="336"/>
      <c r="AC6" s="336"/>
      <c r="AD6" s="336"/>
      <c r="AE6" s="336"/>
      <c r="AF6" s="336"/>
      <c r="AG6" s="336"/>
      <c r="AH6" s="336"/>
      <c r="AI6" s="336"/>
      <c r="AJ6" s="336"/>
      <c r="AK6" s="336"/>
      <c r="AL6" s="336"/>
      <c r="AM6" s="336"/>
      <c r="AN6" s="336"/>
      <c r="AO6" s="336"/>
      <c r="AP6" s="336"/>
      <c r="AQ6" s="336"/>
      <c r="AR6" s="336"/>
      <c r="AS6" s="336"/>
      <c r="AT6" s="336"/>
      <c r="AU6" s="336"/>
      <c r="AV6" s="336"/>
      <c r="AW6" s="336"/>
      <c r="AX6" s="336"/>
      <c r="AY6" s="336"/>
      <c r="AZ6" s="336"/>
      <c r="BA6" s="336"/>
      <c r="BB6" s="336"/>
      <c r="BC6" s="336"/>
      <c r="BD6" s="336"/>
      <c r="BE6" s="336"/>
      <c r="BF6" s="336"/>
      <c r="BG6" s="323"/>
    </row>
    <row r="7">
      <c r="A7" s="331"/>
      <c r="B7" s="337" t="s">
        <v>249</v>
      </c>
      <c r="C7" s="337" t="s">
        <v>250</v>
      </c>
      <c r="D7" s="337" t="s">
        <v>251</v>
      </c>
      <c r="E7" s="337" t="s">
        <v>252</v>
      </c>
      <c r="F7" s="338">
        <v>45664.0</v>
      </c>
      <c r="G7" s="339"/>
      <c r="H7" s="340"/>
      <c r="I7" s="340"/>
      <c r="J7" s="340"/>
      <c r="K7" s="340"/>
      <c r="L7" s="340"/>
      <c r="M7" s="340"/>
      <c r="N7" s="340"/>
      <c r="O7" s="340"/>
      <c r="P7" s="340"/>
      <c r="Q7" s="340"/>
      <c r="R7" s="340"/>
      <c r="S7" s="340"/>
      <c r="T7" s="340"/>
      <c r="U7" s="340"/>
      <c r="V7" s="340"/>
      <c r="W7" s="340"/>
      <c r="X7" s="340"/>
      <c r="Y7" s="340"/>
      <c r="Z7" s="340"/>
      <c r="AA7" s="340"/>
      <c r="AB7" s="340"/>
      <c r="AC7" s="340"/>
      <c r="AD7" s="340"/>
      <c r="AE7" s="340"/>
      <c r="AF7" s="340"/>
      <c r="AG7" s="340"/>
      <c r="AH7" s="340"/>
      <c r="AI7" s="340"/>
      <c r="AJ7" s="340"/>
      <c r="AK7" s="340"/>
      <c r="AL7" s="340"/>
      <c r="AM7" s="340"/>
      <c r="AN7" s="340"/>
      <c r="AO7" s="340"/>
      <c r="AP7" s="340"/>
      <c r="AQ7" s="340"/>
      <c r="AR7" s="340"/>
      <c r="AS7" s="340"/>
      <c r="AT7" s="341"/>
      <c r="AU7" s="340"/>
      <c r="AV7" s="340"/>
      <c r="AW7" s="340"/>
      <c r="AX7" s="340"/>
      <c r="AY7" s="340"/>
      <c r="AZ7" s="340"/>
      <c r="BA7" s="340"/>
      <c r="BB7" s="340"/>
      <c r="BC7" s="340"/>
      <c r="BD7" s="340"/>
      <c r="BE7" s="340"/>
      <c r="BF7" s="340"/>
      <c r="BG7" s="323"/>
    </row>
    <row r="8">
      <c r="A8" s="331"/>
      <c r="B8" s="337" t="s">
        <v>253</v>
      </c>
      <c r="C8" s="342" t="s">
        <v>1</v>
      </c>
      <c r="D8" s="337" t="s">
        <v>254</v>
      </c>
      <c r="E8" s="337" t="s">
        <v>252</v>
      </c>
      <c r="F8" s="338">
        <v>45675.0</v>
      </c>
      <c r="G8" s="339"/>
      <c r="H8" s="339"/>
      <c r="I8" s="339"/>
      <c r="J8" s="340"/>
      <c r="K8" s="340"/>
      <c r="L8" s="340"/>
      <c r="M8" s="340"/>
      <c r="N8" s="340"/>
      <c r="O8" s="340"/>
      <c r="P8" s="340"/>
      <c r="Q8" s="340"/>
      <c r="R8" s="340"/>
      <c r="S8" s="340"/>
      <c r="T8" s="340"/>
      <c r="U8" s="340"/>
      <c r="V8" s="340"/>
      <c r="W8" s="340"/>
      <c r="X8" s="340"/>
      <c r="Y8" s="340"/>
      <c r="Z8" s="340"/>
      <c r="AA8" s="340"/>
      <c r="AB8" s="340"/>
      <c r="AC8" s="340"/>
      <c r="AD8" s="340"/>
      <c r="AE8" s="340"/>
      <c r="AF8" s="340"/>
      <c r="AG8" s="340"/>
      <c r="AH8" s="340"/>
      <c r="AI8" s="340"/>
      <c r="AJ8" s="340"/>
      <c r="AK8" s="340"/>
      <c r="AL8" s="340"/>
      <c r="AM8" s="340"/>
      <c r="AN8" s="340"/>
      <c r="AO8" s="340"/>
      <c r="AP8" s="340"/>
      <c r="AQ8" s="340"/>
      <c r="AR8" s="340"/>
      <c r="AS8" s="340"/>
      <c r="AT8" s="341"/>
      <c r="AU8" s="340"/>
      <c r="AV8" s="340"/>
      <c r="AW8" s="340"/>
      <c r="AX8" s="340"/>
      <c r="AY8" s="340"/>
      <c r="AZ8" s="340"/>
      <c r="BA8" s="340"/>
      <c r="BB8" s="340"/>
      <c r="BC8" s="340"/>
      <c r="BD8" s="340"/>
      <c r="BE8" s="340"/>
      <c r="BF8" s="340"/>
      <c r="BG8" s="323"/>
    </row>
    <row r="9">
      <c r="A9" s="331"/>
      <c r="B9" s="343" t="s">
        <v>255</v>
      </c>
      <c r="C9" s="344" t="s">
        <v>1</v>
      </c>
      <c r="D9" s="343" t="s">
        <v>256</v>
      </c>
      <c r="E9" s="337" t="s">
        <v>252</v>
      </c>
      <c r="F9" s="345">
        <v>45681.0</v>
      </c>
      <c r="G9" s="340"/>
      <c r="H9" s="340"/>
      <c r="I9" s="339"/>
      <c r="J9" s="339"/>
      <c r="K9" s="340"/>
      <c r="L9" s="340"/>
      <c r="M9" s="340"/>
      <c r="N9" s="340"/>
      <c r="O9" s="340"/>
      <c r="P9" s="340"/>
      <c r="Q9" s="340"/>
      <c r="R9" s="340"/>
      <c r="S9" s="340"/>
      <c r="T9" s="340"/>
      <c r="U9" s="340"/>
      <c r="V9" s="340"/>
      <c r="W9" s="340"/>
      <c r="X9" s="340"/>
      <c r="Y9" s="340"/>
      <c r="Z9" s="340"/>
      <c r="AA9" s="340"/>
      <c r="AB9" s="340"/>
      <c r="AC9" s="346"/>
      <c r="AD9" s="346"/>
      <c r="AE9" s="346"/>
      <c r="AF9" s="346"/>
      <c r="AG9" s="346"/>
      <c r="AH9" s="346"/>
      <c r="AI9" s="346"/>
      <c r="AJ9" s="346"/>
      <c r="AK9" s="346"/>
      <c r="AL9" s="346"/>
      <c r="AM9" s="346"/>
      <c r="AN9" s="346"/>
      <c r="AO9" s="346"/>
      <c r="AP9" s="346"/>
      <c r="AQ9" s="346"/>
      <c r="AR9" s="346"/>
      <c r="AS9" s="346"/>
      <c r="AT9" s="346"/>
      <c r="AU9" s="347"/>
      <c r="AV9" s="346"/>
      <c r="AW9" s="346"/>
      <c r="AX9" s="346"/>
      <c r="AY9" s="346"/>
      <c r="AZ9" s="346"/>
      <c r="BA9" s="346"/>
      <c r="BB9" s="346"/>
      <c r="BC9" s="346"/>
      <c r="BD9" s="346"/>
      <c r="BE9" s="346"/>
      <c r="BF9" s="346"/>
      <c r="BG9" s="323"/>
    </row>
    <row r="10">
      <c r="A10" s="331"/>
      <c r="B10" s="343" t="s">
        <v>257</v>
      </c>
      <c r="C10" s="343" t="s">
        <v>250</v>
      </c>
      <c r="D10" s="343" t="s">
        <v>258</v>
      </c>
      <c r="E10" s="337" t="s">
        <v>259</v>
      </c>
      <c r="F10" s="345">
        <v>45688.0</v>
      </c>
      <c r="G10" s="340"/>
      <c r="H10" s="340"/>
      <c r="I10" s="340"/>
      <c r="J10" s="339"/>
      <c r="K10" s="339"/>
      <c r="L10" s="340"/>
      <c r="M10" s="340"/>
      <c r="N10" s="340"/>
      <c r="O10" s="340"/>
      <c r="P10" s="340"/>
      <c r="Q10" s="340"/>
      <c r="R10" s="340"/>
      <c r="S10" s="340"/>
      <c r="T10" s="340"/>
      <c r="U10" s="340"/>
      <c r="V10" s="340"/>
      <c r="W10" s="340"/>
      <c r="X10" s="340"/>
      <c r="Y10" s="340"/>
      <c r="Z10" s="340"/>
      <c r="AA10" s="340"/>
      <c r="AB10" s="340"/>
      <c r="AC10" s="346"/>
      <c r="AD10" s="346"/>
      <c r="AE10" s="346"/>
      <c r="AF10" s="346"/>
      <c r="AG10" s="346"/>
      <c r="AH10" s="346"/>
      <c r="AI10" s="346"/>
      <c r="AJ10" s="346"/>
      <c r="AK10" s="346"/>
      <c r="AL10" s="346"/>
      <c r="AM10" s="346"/>
      <c r="AN10" s="346"/>
      <c r="AO10" s="346"/>
      <c r="AP10" s="346"/>
      <c r="AQ10" s="346"/>
      <c r="AR10" s="346"/>
      <c r="AS10" s="346"/>
      <c r="AT10" s="346"/>
      <c r="AU10" s="346"/>
      <c r="AV10" s="346"/>
      <c r="AW10" s="347"/>
      <c r="AX10" s="346"/>
      <c r="AY10" s="346"/>
      <c r="AZ10" s="346"/>
      <c r="BA10" s="346"/>
      <c r="BB10" s="346"/>
      <c r="BC10" s="346"/>
      <c r="BD10" s="346"/>
      <c r="BE10" s="346"/>
      <c r="BF10" s="346"/>
      <c r="BG10" s="323"/>
    </row>
    <row r="11" ht="7.5" customHeight="1">
      <c r="A11" s="348"/>
      <c r="B11" s="349"/>
      <c r="C11" s="349"/>
      <c r="D11" s="349"/>
      <c r="E11" s="349"/>
      <c r="F11" s="350"/>
      <c r="G11" s="351"/>
      <c r="H11" s="351"/>
      <c r="I11" s="351"/>
      <c r="J11" s="351"/>
      <c r="K11" s="351"/>
      <c r="L11" s="351"/>
      <c r="M11" s="351"/>
      <c r="N11" s="351"/>
      <c r="O11" s="351"/>
      <c r="P11" s="351"/>
      <c r="Q11" s="351"/>
      <c r="R11" s="351"/>
      <c r="S11" s="351"/>
      <c r="T11" s="351"/>
      <c r="U11" s="351"/>
      <c r="V11" s="351"/>
      <c r="W11" s="351"/>
      <c r="X11" s="351"/>
      <c r="Y11" s="351"/>
      <c r="Z11" s="351"/>
      <c r="AA11" s="351"/>
      <c r="AB11" s="351"/>
      <c r="AC11" s="351"/>
      <c r="AD11" s="351"/>
      <c r="AE11" s="351"/>
      <c r="AF11" s="351"/>
      <c r="AG11" s="351"/>
      <c r="AH11" s="351"/>
      <c r="AI11" s="351"/>
      <c r="AJ11" s="351"/>
      <c r="AK11" s="351"/>
      <c r="AL11" s="351"/>
      <c r="AM11" s="351"/>
      <c r="AN11" s="351"/>
      <c r="AO11" s="351"/>
      <c r="AP11" s="351"/>
      <c r="AQ11" s="351"/>
      <c r="AR11" s="351"/>
      <c r="AS11" s="351"/>
      <c r="AT11" s="351"/>
      <c r="AU11" s="351"/>
      <c r="AV11" s="351"/>
      <c r="AW11" s="352"/>
      <c r="AX11" s="351"/>
      <c r="AY11" s="351"/>
      <c r="AZ11" s="351"/>
      <c r="BA11" s="351"/>
      <c r="BB11" s="351"/>
      <c r="BC11" s="351"/>
      <c r="BD11" s="351"/>
      <c r="BE11" s="351"/>
      <c r="BF11" s="351"/>
      <c r="BG11" s="351"/>
    </row>
    <row r="12">
      <c r="A12" s="296"/>
      <c r="B12" s="353"/>
      <c r="F12" s="354"/>
      <c r="G12" s="336"/>
      <c r="H12" s="334"/>
      <c r="I12" s="335"/>
      <c r="J12" s="335"/>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6"/>
      <c r="AI12" s="336"/>
      <c r="AJ12" s="336"/>
      <c r="AK12" s="336"/>
      <c r="AL12" s="336"/>
      <c r="AM12" s="336"/>
      <c r="AN12" s="336"/>
      <c r="AO12" s="336"/>
      <c r="AP12" s="336"/>
      <c r="AQ12" s="336"/>
      <c r="AR12" s="336"/>
      <c r="AS12" s="336"/>
      <c r="AT12" s="336"/>
      <c r="AU12" s="336"/>
      <c r="AV12" s="336"/>
      <c r="AW12" s="336"/>
      <c r="AX12" s="336"/>
      <c r="AY12" s="336"/>
      <c r="AZ12" s="336"/>
      <c r="BA12" s="336"/>
      <c r="BB12" s="336"/>
      <c r="BC12" s="336"/>
      <c r="BD12" s="336"/>
      <c r="BE12" s="336"/>
      <c r="BF12" s="336"/>
      <c r="BG12" s="323"/>
    </row>
    <row r="13">
      <c r="A13" s="331"/>
      <c r="B13" s="337"/>
      <c r="C13" s="337"/>
      <c r="D13" s="337"/>
      <c r="E13" s="337"/>
      <c r="F13" s="338"/>
      <c r="G13" s="340"/>
      <c r="H13" s="340"/>
      <c r="I13" s="340"/>
      <c r="J13" s="340"/>
      <c r="K13" s="340"/>
      <c r="L13" s="340"/>
      <c r="M13" s="340"/>
      <c r="N13" s="340"/>
      <c r="O13" s="340"/>
      <c r="P13" s="340"/>
      <c r="Q13" s="340"/>
      <c r="R13" s="340"/>
      <c r="S13" s="340"/>
      <c r="T13" s="340"/>
      <c r="U13" s="340"/>
      <c r="V13" s="340"/>
      <c r="W13" s="340"/>
      <c r="X13" s="340"/>
      <c r="Y13" s="340"/>
      <c r="Z13" s="340"/>
      <c r="AA13" s="340"/>
      <c r="AB13" s="340"/>
      <c r="AC13" s="340"/>
      <c r="AD13" s="340"/>
      <c r="AE13" s="340"/>
      <c r="AF13" s="340"/>
      <c r="AG13" s="340"/>
      <c r="AH13" s="340"/>
      <c r="AI13" s="340"/>
      <c r="AJ13" s="340"/>
      <c r="AK13" s="340"/>
      <c r="AL13" s="340"/>
      <c r="AM13" s="340"/>
      <c r="AN13" s="340"/>
      <c r="AO13" s="340"/>
      <c r="AP13" s="340"/>
      <c r="AQ13" s="340"/>
      <c r="AR13" s="340"/>
      <c r="AS13" s="340"/>
      <c r="AT13" s="341"/>
      <c r="AU13" s="340"/>
      <c r="AV13" s="340"/>
      <c r="AW13" s="340"/>
      <c r="AX13" s="340"/>
      <c r="AY13" s="340"/>
      <c r="AZ13" s="340"/>
      <c r="BA13" s="340"/>
      <c r="BB13" s="340"/>
      <c r="BC13" s="340"/>
      <c r="BD13" s="340"/>
      <c r="BE13" s="340"/>
      <c r="BF13" s="340"/>
      <c r="BG13" s="323"/>
    </row>
    <row r="14">
      <c r="A14" s="331"/>
      <c r="B14" s="343"/>
      <c r="C14" s="343"/>
      <c r="D14" s="343"/>
      <c r="E14" s="337"/>
      <c r="F14" s="338"/>
      <c r="G14" s="340"/>
      <c r="H14" s="340"/>
      <c r="I14" s="340"/>
      <c r="J14" s="340"/>
      <c r="K14" s="340"/>
      <c r="L14" s="340"/>
      <c r="M14" s="340"/>
      <c r="N14" s="340"/>
      <c r="O14" s="340"/>
      <c r="P14" s="340"/>
      <c r="Q14" s="340"/>
      <c r="R14" s="340"/>
      <c r="S14" s="340"/>
      <c r="T14" s="340"/>
      <c r="U14" s="340"/>
      <c r="V14" s="340"/>
      <c r="W14" s="340"/>
      <c r="X14" s="340"/>
      <c r="Y14" s="340"/>
      <c r="Z14" s="340"/>
      <c r="AA14" s="340"/>
      <c r="AB14" s="340"/>
      <c r="AC14" s="340"/>
      <c r="AD14" s="340"/>
      <c r="AE14" s="340"/>
      <c r="AF14" s="340"/>
      <c r="AG14" s="340"/>
      <c r="AH14" s="340"/>
      <c r="AI14" s="340"/>
      <c r="AJ14" s="340"/>
      <c r="AK14" s="340"/>
      <c r="AL14" s="340"/>
      <c r="AM14" s="340"/>
      <c r="AN14" s="340"/>
      <c r="AO14" s="340"/>
      <c r="AP14" s="340"/>
      <c r="AQ14" s="340"/>
      <c r="AR14" s="340"/>
      <c r="AS14" s="340"/>
      <c r="AT14" s="341"/>
      <c r="AU14" s="340"/>
      <c r="AV14" s="340"/>
      <c r="AW14" s="340"/>
      <c r="AX14" s="340"/>
      <c r="AY14" s="340"/>
      <c r="AZ14" s="340"/>
      <c r="BA14" s="340"/>
      <c r="BB14" s="340"/>
      <c r="BC14" s="340"/>
      <c r="BD14" s="340"/>
      <c r="BE14" s="340"/>
      <c r="BF14" s="340"/>
      <c r="BG14" s="323"/>
    </row>
    <row r="15">
      <c r="A15" s="331"/>
      <c r="B15" s="343"/>
      <c r="C15" s="344"/>
      <c r="D15" s="343"/>
      <c r="E15" s="337"/>
      <c r="F15" s="338"/>
      <c r="G15" s="340"/>
      <c r="H15" s="340"/>
      <c r="I15" s="340"/>
      <c r="J15" s="340"/>
      <c r="K15" s="340"/>
      <c r="L15" s="340"/>
      <c r="M15" s="340"/>
      <c r="N15" s="340"/>
      <c r="O15" s="340"/>
      <c r="P15" s="340"/>
      <c r="Q15" s="340"/>
      <c r="R15" s="340"/>
      <c r="S15" s="340"/>
      <c r="T15" s="340"/>
      <c r="U15" s="340"/>
      <c r="V15" s="340"/>
      <c r="W15" s="340"/>
      <c r="X15" s="340"/>
      <c r="Y15" s="340"/>
      <c r="Z15" s="340"/>
      <c r="AA15" s="340"/>
      <c r="AB15" s="340"/>
      <c r="AC15" s="340"/>
      <c r="AD15" s="340"/>
      <c r="AE15" s="340"/>
      <c r="AF15" s="340"/>
      <c r="AG15" s="340"/>
      <c r="AH15" s="340"/>
      <c r="AI15" s="340"/>
      <c r="AJ15" s="340"/>
      <c r="AK15" s="340"/>
      <c r="AL15" s="340"/>
      <c r="AM15" s="340"/>
      <c r="AN15" s="340"/>
      <c r="AO15" s="340"/>
      <c r="AP15" s="340"/>
      <c r="AQ15" s="340"/>
      <c r="AR15" s="340"/>
      <c r="AS15" s="340"/>
      <c r="AT15" s="341"/>
      <c r="AU15" s="340"/>
      <c r="AV15" s="340"/>
      <c r="AW15" s="340"/>
      <c r="AX15" s="340"/>
      <c r="AY15" s="340"/>
      <c r="AZ15" s="340"/>
      <c r="BA15" s="340"/>
      <c r="BB15" s="340"/>
      <c r="BC15" s="340"/>
      <c r="BD15" s="340"/>
      <c r="BE15" s="340"/>
      <c r="BF15" s="340"/>
      <c r="BG15" s="323"/>
    </row>
    <row r="16">
      <c r="A16" s="331"/>
      <c r="B16" s="343"/>
      <c r="C16" s="343"/>
      <c r="D16" s="343"/>
      <c r="E16" s="337"/>
      <c r="F16" s="345"/>
      <c r="G16" s="340"/>
      <c r="H16" s="340"/>
      <c r="I16" s="340"/>
      <c r="J16" s="340"/>
      <c r="K16" s="340"/>
      <c r="L16" s="340"/>
      <c r="M16" s="340"/>
      <c r="N16" s="340"/>
      <c r="O16" s="340"/>
      <c r="P16" s="340"/>
      <c r="Q16" s="340"/>
      <c r="R16" s="340"/>
      <c r="S16" s="340"/>
      <c r="T16" s="340"/>
      <c r="U16" s="340"/>
      <c r="V16" s="340"/>
      <c r="W16" s="340"/>
      <c r="X16" s="340"/>
      <c r="Y16" s="340"/>
      <c r="Z16" s="340"/>
      <c r="AA16" s="340"/>
      <c r="AB16" s="340"/>
      <c r="AC16" s="346"/>
      <c r="AD16" s="346"/>
      <c r="AE16" s="346"/>
      <c r="AF16" s="346"/>
      <c r="AG16" s="346"/>
      <c r="AH16" s="346"/>
      <c r="AI16" s="346"/>
      <c r="AJ16" s="346"/>
      <c r="AK16" s="346"/>
      <c r="AL16" s="346"/>
      <c r="AM16" s="346"/>
      <c r="AN16" s="346"/>
      <c r="AO16" s="346"/>
      <c r="AP16" s="346"/>
      <c r="AQ16" s="346"/>
      <c r="AR16" s="346"/>
      <c r="AS16" s="346"/>
      <c r="AT16" s="346"/>
      <c r="AU16" s="346"/>
      <c r="AV16" s="347"/>
      <c r="AW16" s="346"/>
      <c r="AX16" s="346"/>
      <c r="AY16" s="346"/>
      <c r="AZ16" s="346"/>
      <c r="BA16" s="346"/>
      <c r="BB16" s="346"/>
      <c r="BC16" s="346"/>
      <c r="BD16" s="346"/>
      <c r="BE16" s="346"/>
      <c r="BF16" s="346"/>
      <c r="BG16" s="323"/>
    </row>
    <row r="17">
      <c r="A17" s="331"/>
      <c r="B17" s="343"/>
      <c r="C17" s="343"/>
      <c r="D17" s="343"/>
      <c r="E17" s="337"/>
      <c r="F17" s="345"/>
      <c r="G17" s="340"/>
      <c r="H17" s="340"/>
      <c r="I17" s="340"/>
      <c r="J17" s="340"/>
      <c r="K17" s="340"/>
      <c r="L17" s="340"/>
      <c r="M17" s="340"/>
      <c r="N17" s="340"/>
      <c r="O17" s="340"/>
      <c r="P17" s="340"/>
      <c r="Q17" s="340"/>
      <c r="R17" s="340"/>
      <c r="S17" s="340"/>
      <c r="T17" s="340"/>
      <c r="U17" s="340"/>
      <c r="V17" s="340"/>
      <c r="W17" s="340"/>
      <c r="X17" s="340"/>
      <c r="Y17" s="340"/>
      <c r="Z17" s="340"/>
      <c r="AA17" s="340"/>
      <c r="AB17" s="340"/>
      <c r="AC17" s="346"/>
      <c r="AD17" s="346"/>
      <c r="AE17" s="346"/>
      <c r="AF17" s="346"/>
      <c r="AG17" s="346"/>
      <c r="AH17" s="346"/>
      <c r="AI17" s="346"/>
      <c r="AJ17" s="346"/>
      <c r="AK17" s="346"/>
      <c r="AL17" s="346"/>
      <c r="AM17" s="346"/>
      <c r="AN17" s="346"/>
      <c r="AO17" s="346"/>
      <c r="AP17" s="346"/>
      <c r="AQ17" s="346"/>
      <c r="AR17" s="346"/>
      <c r="AS17" s="346"/>
      <c r="AT17" s="346"/>
      <c r="AU17" s="347"/>
      <c r="AV17" s="346"/>
      <c r="AW17" s="346"/>
      <c r="AX17" s="346"/>
      <c r="AY17" s="346"/>
      <c r="AZ17" s="346"/>
      <c r="BA17" s="346"/>
      <c r="BB17" s="346"/>
      <c r="BC17" s="346"/>
      <c r="BD17" s="346"/>
      <c r="BE17" s="346"/>
      <c r="BF17" s="346"/>
      <c r="BG17" s="323"/>
    </row>
    <row r="18" ht="7.5" customHeight="1">
      <c r="A18" s="348"/>
      <c r="B18" s="349"/>
      <c r="C18" s="349"/>
      <c r="D18" s="349"/>
      <c r="E18" s="349"/>
      <c r="F18" s="350"/>
      <c r="G18" s="351"/>
      <c r="H18" s="351"/>
      <c r="I18" s="351"/>
      <c r="J18" s="351"/>
      <c r="K18" s="351"/>
      <c r="L18" s="351"/>
      <c r="M18" s="351"/>
      <c r="N18" s="351"/>
      <c r="O18" s="351"/>
      <c r="P18" s="351"/>
      <c r="Q18" s="351"/>
      <c r="R18" s="351"/>
      <c r="S18" s="351"/>
      <c r="T18" s="351"/>
      <c r="U18" s="351"/>
      <c r="V18" s="351"/>
      <c r="W18" s="351"/>
      <c r="X18" s="351"/>
      <c r="Y18" s="351"/>
      <c r="Z18" s="351"/>
      <c r="AA18" s="351"/>
      <c r="AB18" s="351"/>
      <c r="AC18" s="351"/>
      <c r="AD18" s="351"/>
      <c r="AE18" s="351"/>
      <c r="AF18" s="351"/>
      <c r="AG18" s="351"/>
      <c r="AH18" s="351"/>
      <c r="AI18" s="351"/>
      <c r="AJ18" s="351"/>
      <c r="AK18" s="351"/>
      <c r="AL18" s="351"/>
      <c r="AM18" s="351"/>
      <c r="AN18" s="351"/>
      <c r="AO18" s="351"/>
      <c r="AP18" s="351"/>
      <c r="AQ18" s="351"/>
      <c r="AR18" s="351"/>
      <c r="AS18" s="351"/>
      <c r="AT18" s="351"/>
      <c r="AU18" s="351"/>
      <c r="AV18" s="351"/>
      <c r="AW18" s="352"/>
      <c r="AX18" s="351"/>
      <c r="AY18" s="351"/>
      <c r="AZ18" s="351"/>
      <c r="BA18" s="351"/>
      <c r="BB18" s="351"/>
      <c r="BC18" s="351"/>
      <c r="BD18" s="351"/>
      <c r="BE18" s="351"/>
      <c r="BF18" s="351"/>
      <c r="BG18" s="351"/>
    </row>
    <row r="19">
      <c r="A19" s="296"/>
      <c r="B19" s="353"/>
      <c r="F19" s="354"/>
      <c r="G19" s="336"/>
      <c r="H19" s="334"/>
      <c r="I19" s="335"/>
      <c r="J19" s="335"/>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6"/>
      <c r="AI19" s="336"/>
      <c r="AJ19" s="336"/>
      <c r="AK19" s="336"/>
      <c r="AL19" s="336"/>
      <c r="AM19" s="336"/>
      <c r="AN19" s="336"/>
      <c r="AO19" s="336"/>
      <c r="AP19" s="336"/>
      <c r="AQ19" s="336"/>
      <c r="AR19" s="336"/>
      <c r="AS19" s="336"/>
      <c r="AT19" s="336"/>
      <c r="AU19" s="336"/>
      <c r="AV19" s="336"/>
      <c r="AW19" s="336"/>
      <c r="AX19" s="336"/>
      <c r="AY19" s="336"/>
      <c r="AZ19" s="336"/>
      <c r="BA19" s="336"/>
      <c r="BB19" s="336"/>
      <c r="BC19" s="336"/>
      <c r="BD19" s="336"/>
      <c r="BE19" s="336"/>
      <c r="BF19" s="336"/>
      <c r="BG19" s="323"/>
    </row>
    <row r="20">
      <c r="A20" s="331"/>
      <c r="B20" s="337"/>
      <c r="C20" s="337"/>
      <c r="D20" s="337"/>
      <c r="E20" s="337"/>
      <c r="F20" s="338"/>
      <c r="G20" s="355"/>
      <c r="H20" s="356"/>
      <c r="I20" s="346"/>
      <c r="J20" s="346"/>
      <c r="K20" s="346"/>
      <c r="L20" s="346"/>
      <c r="M20" s="346"/>
      <c r="N20" s="346"/>
      <c r="O20" s="346"/>
      <c r="P20" s="346"/>
      <c r="Q20" s="346"/>
      <c r="R20" s="346"/>
      <c r="S20" s="346"/>
      <c r="T20" s="346"/>
      <c r="U20" s="346"/>
      <c r="V20" s="340"/>
      <c r="W20" s="340"/>
      <c r="X20" s="340"/>
      <c r="Y20" s="340"/>
      <c r="Z20" s="340"/>
      <c r="AA20" s="340"/>
      <c r="AB20" s="340"/>
      <c r="AC20" s="340"/>
      <c r="AD20" s="340"/>
      <c r="AE20" s="340"/>
      <c r="AF20" s="340"/>
      <c r="AG20" s="340"/>
      <c r="AH20" s="340"/>
      <c r="AI20" s="340"/>
      <c r="AJ20" s="340"/>
      <c r="AK20" s="340"/>
      <c r="AL20" s="340"/>
      <c r="AM20" s="340"/>
      <c r="AN20" s="340"/>
      <c r="AO20" s="340"/>
      <c r="AP20" s="340"/>
      <c r="AQ20" s="346"/>
      <c r="AR20" s="346"/>
      <c r="AS20" s="346"/>
      <c r="AT20" s="346"/>
      <c r="AU20" s="346"/>
      <c r="AV20" s="346"/>
      <c r="AW20" s="346"/>
      <c r="AX20" s="346"/>
      <c r="AY20" s="346"/>
      <c r="AZ20" s="346"/>
      <c r="BA20" s="346"/>
      <c r="BB20" s="347"/>
      <c r="BC20" s="346"/>
      <c r="BD20" s="346"/>
      <c r="BE20" s="346"/>
      <c r="BF20" s="346"/>
      <c r="BG20" s="323"/>
    </row>
    <row r="21">
      <c r="A21" s="357"/>
      <c r="B21" s="358"/>
      <c r="C21" s="359"/>
      <c r="D21" s="358"/>
      <c r="E21" s="337"/>
      <c r="F21" s="360"/>
      <c r="G21" s="361"/>
      <c r="H21" s="362"/>
      <c r="I21" s="363"/>
      <c r="J21" s="363"/>
      <c r="K21" s="363"/>
      <c r="L21" s="363"/>
      <c r="M21" s="363"/>
      <c r="N21" s="363"/>
      <c r="O21" s="363"/>
      <c r="P21" s="363"/>
      <c r="Q21" s="363"/>
      <c r="R21" s="363"/>
      <c r="S21" s="363"/>
      <c r="T21" s="363"/>
      <c r="U21" s="363"/>
      <c r="V21" s="364"/>
      <c r="W21" s="364"/>
      <c r="X21" s="364"/>
      <c r="Y21" s="364"/>
      <c r="Z21" s="364"/>
      <c r="AA21" s="364"/>
      <c r="AB21" s="364"/>
      <c r="AC21" s="364"/>
      <c r="AD21" s="364"/>
      <c r="AE21" s="364"/>
      <c r="AF21" s="364"/>
      <c r="AG21" s="364"/>
      <c r="AH21" s="364"/>
      <c r="AI21" s="364"/>
      <c r="AJ21" s="364"/>
      <c r="AK21" s="364"/>
      <c r="AL21" s="364"/>
      <c r="AM21" s="364"/>
      <c r="AN21" s="364"/>
      <c r="AO21" s="364"/>
      <c r="AP21" s="364"/>
      <c r="AQ21" s="363"/>
      <c r="AR21" s="363"/>
      <c r="AS21" s="363"/>
      <c r="AT21" s="363"/>
      <c r="AU21" s="363"/>
      <c r="AV21" s="363"/>
      <c r="AW21" s="363"/>
      <c r="AX21" s="363"/>
      <c r="AY21" s="363"/>
      <c r="AZ21" s="363"/>
      <c r="BA21" s="363"/>
      <c r="BB21" s="363"/>
      <c r="BC21" s="363"/>
      <c r="BD21" s="363"/>
      <c r="BE21" s="363"/>
      <c r="BF21" s="363"/>
      <c r="BG21" s="365"/>
    </row>
    <row r="22">
      <c r="A22" s="331"/>
      <c r="B22" s="343"/>
      <c r="C22" s="344"/>
      <c r="D22" s="343"/>
      <c r="E22" s="337"/>
      <c r="F22" s="338"/>
      <c r="G22" s="355"/>
      <c r="H22" s="356"/>
      <c r="I22" s="346"/>
      <c r="J22" s="346"/>
      <c r="K22" s="346"/>
      <c r="L22" s="346"/>
      <c r="M22" s="346"/>
      <c r="N22" s="346"/>
      <c r="O22" s="346"/>
      <c r="P22" s="346"/>
      <c r="Q22" s="346"/>
      <c r="R22" s="346"/>
      <c r="S22" s="346"/>
      <c r="T22" s="346"/>
      <c r="U22" s="346"/>
      <c r="V22" s="340"/>
      <c r="W22" s="340"/>
      <c r="X22" s="340"/>
      <c r="Y22" s="340"/>
      <c r="Z22" s="340"/>
      <c r="AA22" s="340"/>
      <c r="AB22" s="340"/>
      <c r="AC22" s="340"/>
      <c r="AD22" s="340"/>
      <c r="AE22" s="340"/>
      <c r="AF22" s="340"/>
      <c r="AG22" s="340"/>
      <c r="AH22" s="340"/>
      <c r="AI22" s="340"/>
      <c r="AJ22" s="340"/>
      <c r="AK22" s="340"/>
      <c r="AL22" s="340"/>
      <c r="AM22" s="340"/>
      <c r="AN22" s="340"/>
      <c r="AO22" s="340"/>
      <c r="AP22" s="340"/>
      <c r="AQ22" s="346"/>
      <c r="AR22" s="346"/>
      <c r="AS22" s="346"/>
      <c r="AT22" s="346"/>
      <c r="AU22" s="346"/>
      <c r="AV22" s="346"/>
      <c r="AW22" s="346"/>
      <c r="AX22" s="346"/>
      <c r="AY22" s="346"/>
      <c r="AZ22" s="346"/>
      <c r="BA22" s="346"/>
      <c r="BB22" s="346"/>
      <c r="BC22" s="347"/>
      <c r="BD22" s="346"/>
      <c r="BE22" s="346"/>
      <c r="BF22" s="346"/>
      <c r="BG22" s="323"/>
    </row>
    <row r="23">
      <c r="A23" s="331"/>
      <c r="B23" s="343"/>
      <c r="C23" s="343"/>
      <c r="D23" s="343"/>
      <c r="E23" s="337"/>
      <c r="F23" s="345"/>
      <c r="G23" s="355"/>
      <c r="H23" s="356"/>
      <c r="I23" s="346"/>
      <c r="J23" s="346"/>
      <c r="K23" s="346"/>
      <c r="L23" s="346"/>
      <c r="M23" s="346"/>
      <c r="N23" s="346"/>
      <c r="O23" s="346"/>
      <c r="P23" s="346"/>
      <c r="Q23" s="346"/>
      <c r="R23" s="346"/>
      <c r="S23" s="346"/>
      <c r="T23" s="346"/>
      <c r="U23" s="346"/>
      <c r="V23" s="340"/>
      <c r="W23" s="340"/>
      <c r="X23" s="340"/>
      <c r="Y23" s="340"/>
      <c r="Z23" s="340"/>
      <c r="AA23" s="340"/>
      <c r="AB23" s="340"/>
      <c r="AC23" s="340"/>
      <c r="AD23" s="340"/>
      <c r="AE23" s="340"/>
      <c r="AF23" s="340"/>
      <c r="AG23" s="340"/>
      <c r="AH23" s="340"/>
      <c r="AI23" s="340"/>
      <c r="AJ23" s="340"/>
      <c r="AK23" s="340"/>
      <c r="AL23" s="340"/>
      <c r="AM23" s="340"/>
      <c r="AN23" s="340"/>
      <c r="AO23" s="340"/>
      <c r="AP23" s="340"/>
      <c r="AQ23" s="346"/>
      <c r="AR23" s="346"/>
      <c r="AS23" s="346"/>
      <c r="AT23" s="346"/>
      <c r="AU23" s="346"/>
      <c r="AV23" s="346"/>
      <c r="AW23" s="346"/>
      <c r="AX23" s="346"/>
      <c r="AY23" s="346"/>
      <c r="AZ23" s="346"/>
      <c r="BA23" s="346"/>
      <c r="BB23" s="346"/>
      <c r="BC23" s="346"/>
      <c r="BD23" s="347"/>
      <c r="BE23" s="346"/>
      <c r="BF23" s="346"/>
      <c r="BG23" s="323"/>
    </row>
    <row r="24">
      <c r="A24" s="331"/>
      <c r="B24" s="343"/>
      <c r="C24" s="343"/>
      <c r="D24" s="343"/>
      <c r="E24" s="337"/>
      <c r="F24" s="345"/>
      <c r="G24" s="355"/>
      <c r="H24" s="356"/>
      <c r="I24" s="346"/>
      <c r="J24" s="346"/>
      <c r="K24" s="346"/>
      <c r="L24" s="346"/>
      <c r="M24" s="346"/>
      <c r="N24" s="346"/>
      <c r="O24" s="346"/>
      <c r="P24" s="346"/>
      <c r="Q24" s="346"/>
      <c r="R24" s="346"/>
      <c r="S24" s="346"/>
      <c r="T24" s="346"/>
      <c r="U24" s="346"/>
      <c r="V24" s="340"/>
      <c r="W24" s="340"/>
      <c r="X24" s="340"/>
      <c r="Y24" s="340"/>
      <c r="Z24" s="340"/>
      <c r="AA24" s="340"/>
      <c r="AB24" s="340"/>
      <c r="AC24" s="340"/>
      <c r="AD24" s="340"/>
      <c r="AE24" s="340"/>
      <c r="AF24" s="340"/>
      <c r="AG24" s="340"/>
      <c r="AH24" s="340"/>
      <c r="AI24" s="340"/>
      <c r="AJ24" s="340"/>
      <c r="AK24" s="340"/>
      <c r="AL24" s="340"/>
      <c r="AM24" s="340"/>
      <c r="AN24" s="340"/>
      <c r="AO24" s="340"/>
      <c r="AP24" s="340"/>
      <c r="AQ24" s="346"/>
      <c r="AR24" s="346"/>
      <c r="AS24" s="346"/>
      <c r="AT24" s="346"/>
      <c r="AU24" s="346"/>
      <c r="AV24" s="346"/>
      <c r="AW24" s="346"/>
      <c r="AX24" s="346"/>
      <c r="AY24" s="346"/>
      <c r="AZ24" s="346"/>
      <c r="BA24" s="346"/>
      <c r="BB24" s="346"/>
      <c r="BC24" s="346"/>
      <c r="BD24" s="346"/>
      <c r="BE24" s="347"/>
      <c r="BF24" s="346"/>
      <c r="BG24" s="323"/>
    </row>
    <row r="25">
      <c r="A25" s="331"/>
      <c r="B25" s="343"/>
      <c r="C25" s="343"/>
      <c r="D25" s="343"/>
      <c r="E25" s="337"/>
      <c r="F25" s="345"/>
      <c r="G25" s="355"/>
      <c r="H25" s="356"/>
      <c r="I25" s="346"/>
      <c r="J25" s="346"/>
      <c r="K25" s="346"/>
      <c r="L25" s="346"/>
      <c r="M25" s="346"/>
      <c r="N25" s="346"/>
      <c r="O25" s="346"/>
      <c r="P25" s="346"/>
      <c r="Q25" s="346"/>
      <c r="R25" s="346"/>
      <c r="S25" s="346"/>
      <c r="T25" s="346"/>
      <c r="U25" s="346"/>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6"/>
      <c r="AR25" s="346"/>
      <c r="AS25" s="346"/>
      <c r="AT25" s="346"/>
      <c r="AU25" s="346"/>
      <c r="AV25" s="346"/>
      <c r="AW25" s="346"/>
      <c r="AX25" s="346"/>
      <c r="AY25" s="346"/>
      <c r="AZ25" s="346"/>
      <c r="BA25" s="346"/>
      <c r="BB25" s="346"/>
      <c r="BC25" s="346"/>
      <c r="BD25" s="346"/>
      <c r="BE25" s="347"/>
      <c r="BF25" s="346"/>
      <c r="BG25" s="323"/>
    </row>
    <row r="26" ht="7.5" customHeight="1">
      <c r="A26" s="348"/>
      <c r="B26" s="349"/>
      <c r="C26" s="349"/>
      <c r="D26" s="349"/>
      <c r="E26" s="349"/>
      <c r="F26" s="350"/>
      <c r="G26" s="351"/>
      <c r="H26" s="351"/>
      <c r="I26" s="351"/>
      <c r="J26" s="351"/>
      <c r="K26" s="351"/>
      <c r="L26" s="351"/>
      <c r="M26" s="351"/>
      <c r="N26" s="351"/>
      <c r="O26" s="351"/>
      <c r="P26" s="351"/>
      <c r="Q26" s="351"/>
      <c r="R26" s="351"/>
      <c r="S26" s="351"/>
      <c r="T26" s="351"/>
      <c r="U26" s="351"/>
      <c r="V26" s="351"/>
      <c r="W26" s="351"/>
      <c r="X26" s="351"/>
      <c r="Y26" s="351"/>
      <c r="Z26" s="351"/>
      <c r="AA26" s="351"/>
      <c r="AB26" s="351"/>
      <c r="AC26" s="351"/>
      <c r="AD26" s="351"/>
      <c r="AE26" s="351"/>
      <c r="AF26" s="351"/>
      <c r="AG26" s="351"/>
      <c r="AH26" s="351"/>
      <c r="AI26" s="351"/>
      <c r="AJ26" s="351"/>
      <c r="AK26" s="351"/>
      <c r="AL26" s="351"/>
      <c r="AM26" s="351"/>
      <c r="AN26" s="351"/>
      <c r="AO26" s="351"/>
      <c r="AP26" s="351"/>
      <c r="AQ26" s="351"/>
      <c r="AR26" s="351"/>
      <c r="AS26" s="351"/>
      <c r="AT26" s="351"/>
      <c r="AU26" s="351"/>
      <c r="AV26" s="351"/>
      <c r="AW26" s="352"/>
      <c r="AX26" s="351"/>
      <c r="AY26" s="351"/>
      <c r="AZ26" s="351"/>
      <c r="BA26" s="351"/>
      <c r="BB26" s="351"/>
      <c r="BC26" s="351"/>
      <c r="BD26" s="351"/>
      <c r="BE26" s="351"/>
      <c r="BF26" s="351"/>
      <c r="BG26" s="351"/>
    </row>
    <row r="27">
      <c r="A27" s="331"/>
      <c r="B27" s="332"/>
      <c r="G27" s="333"/>
      <c r="H27" s="334"/>
      <c r="I27" s="335"/>
      <c r="J27" s="335"/>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6"/>
      <c r="AI27" s="336"/>
      <c r="AJ27" s="336"/>
      <c r="AK27" s="336"/>
      <c r="AL27" s="336"/>
      <c r="AM27" s="336"/>
      <c r="AN27" s="336"/>
      <c r="AO27" s="336"/>
      <c r="AP27" s="336"/>
      <c r="AQ27" s="336"/>
      <c r="AR27" s="336"/>
      <c r="AS27" s="336"/>
      <c r="AT27" s="336"/>
      <c r="AU27" s="336"/>
      <c r="AV27" s="336"/>
      <c r="AW27" s="336"/>
      <c r="AX27" s="336"/>
      <c r="AY27" s="336"/>
      <c r="AZ27" s="336"/>
      <c r="BA27" s="336"/>
      <c r="BB27" s="336"/>
      <c r="BC27" s="336"/>
      <c r="BD27" s="336"/>
      <c r="BE27" s="336"/>
      <c r="BF27" s="336"/>
      <c r="BG27" s="323"/>
    </row>
    <row r="28">
      <c r="A28" s="296"/>
      <c r="B28" s="342"/>
      <c r="C28" s="343"/>
      <c r="D28" s="344"/>
      <c r="E28" s="337"/>
      <c r="F28" s="366"/>
      <c r="G28" s="355"/>
      <c r="H28" s="356"/>
      <c r="I28" s="346"/>
      <c r="J28" s="346"/>
      <c r="K28" s="346"/>
      <c r="L28" s="340"/>
      <c r="M28" s="340"/>
      <c r="N28" s="340"/>
      <c r="O28" s="340"/>
      <c r="P28" s="340"/>
      <c r="Q28" s="340"/>
      <c r="R28" s="340"/>
      <c r="S28" s="340"/>
      <c r="T28" s="340"/>
      <c r="U28" s="340"/>
      <c r="V28" s="340"/>
      <c r="W28" s="340"/>
      <c r="X28" s="340"/>
      <c r="Y28" s="340"/>
      <c r="Z28" s="340"/>
      <c r="AA28" s="340"/>
      <c r="AB28" s="340"/>
      <c r="AC28" s="340"/>
      <c r="AD28" s="340"/>
      <c r="AE28" s="340"/>
      <c r="AF28" s="340"/>
      <c r="AG28" s="340"/>
      <c r="AH28" s="340"/>
      <c r="AI28" s="340"/>
      <c r="AJ28" s="340"/>
      <c r="AK28" s="340"/>
      <c r="AL28" s="340"/>
      <c r="AM28" s="340"/>
      <c r="AN28" s="340"/>
      <c r="AO28" s="340"/>
      <c r="AP28" s="340"/>
      <c r="AQ28" s="346"/>
      <c r="AR28" s="346"/>
      <c r="AS28" s="346"/>
      <c r="AT28" s="346"/>
      <c r="AU28" s="346"/>
      <c r="AV28" s="346"/>
      <c r="AW28" s="346"/>
      <c r="AX28" s="346"/>
      <c r="AY28" s="346"/>
      <c r="AZ28" s="346"/>
      <c r="BA28" s="346"/>
      <c r="BB28" s="347"/>
      <c r="BC28" s="346"/>
      <c r="BD28" s="346"/>
      <c r="BE28" s="346"/>
      <c r="BF28" s="346"/>
      <c r="BG28" s="323"/>
    </row>
    <row r="29">
      <c r="A29" s="296"/>
      <c r="B29" s="344"/>
      <c r="C29" s="343"/>
      <c r="D29" s="344"/>
      <c r="E29" s="337"/>
      <c r="F29" s="366"/>
      <c r="G29" s="355"/>
      <c r="H29" s="356"/>
      <c r="I29" s="346"/>
      <c r="J29" s="346"/>
      <c r="K29" s="346"/>
      <c r="L29" s="340"/>
      <c r="M29" s="340"/>
      <c r="N29" s="340"/>
      <c r="O29" s="340"/>
      <c r="P29" s="340"/>
      <c r="Q29" s="340"/>
      <c r="R29" s="340"/>
      <c r="S29" s="340"/>
      <c r="T29" s="340"/>
      <c r="U29" s="340"/>
      <c r="V29" s="340"/>
      <c r="W29" s="340"/>
      <c r="X29" s="340"/>
      <c r="Y29" s="340"/>
      <c r="Z29" s="340"/>
      <c r="AA29" s="340"/>
      <c r="AB29" s="340"/>
      <c r="AC29" s="340"/>
      <c r="AD29" s="340"/>
      <c r="AE29" s="340"/>
      <c r="AF29" s="340"/>
      <c r="AG29" s="340"/>
      <c r="AH29" s="340"/>
      <c r="AI29" s="340"/>
      <c r="AJ29" s="340"/>
      <c r="AK29" s="340"/>
      <c r="AL29" s="340"/>
      <c r="AM29" s="340"/>
      <c r="AN29" s="340"/>
      <c r="AO29" s="340"/>
      <c r="AP29" s="340"/>
      <c r="AQ29" s="346"/>
      <c r="AR29" s="346"/>
      <c r="AS29" s="346"/>
      <c r="AT29" s="346"/>
      <c r="AU29" s="346"/>
      <c r="AV29" s="346"/>
      <c r="AW29" s="346"/>
      <c r="AX29" s="346"/>
      <c r="AY29" s="346"/>
      <c r="AZ29" s="346"/>
      <c r="BA29" s="346"/>
      <c r="BB29" s="347"/>
      <c r="BC29" s="346"/>
      <c r="BD29" s="346"/>
      <c r="BE29" s="346"/>
      <c r="BF29" s="346"/>
      <c r="BG29" s="323"/>
    </row>
    <row r="30">
      <c r="A30" s="296"/>
      <c r="B30" s="344"/>
      <c r="C30" s="343"/>
      <c r="D30" s="344"/>
      <c r="E30" s="337"/>
      <c r="F30" s="366"/>
      <c r="G30" s="355"/>
      <c r="H30" s="356"/>
      <c r="I30" s="346"/>
      <c r="J30" s="346"/>
      <c r="K30" s="346"/>
      <c r="L30" s="340"/>
      <c r="M30" s="340"/>
      <c r="N30" s="340"/>
      <c r="O30" s="340"/>
      <c r="P30" s="340"/>
      <c r="Q30" s="340"/>
      <c r="R30" s="340"/>
      <c r="S30" s="340"/>
      <c r="T30" s="340"/>
      <c r="U30" s="340"/>
      <c r="V30" s="340"/>
      <c r="W30" s="340"/>
      <c r="X30" s="340"/>
      <c r="Y30" s="340"/>
      <c r="Z30" s="340"/>
      <c r="AA30" s="340"/>
      <c r="AB30" s="340"/>
      <c r="AC30" s="340"/>
      <c r="AD30" s="340"/>
      <c r="AE30" s="340"/>
      <c r="AF30" s="340"/>
      <c r="AG30" s="340"/>
      <c r="AH30" s="340"/>
      <c r="AI30" s="340"/>
      <c r="AJ30" s="340"/>
      <c r="AK30" s="340"/>
      <c r="AL30" s="340"/>
      <c r="AM30" s="340"/>
      <c r="AN30" s="340"/>
      <c r="AO30" s="340"/>
      <c r="AP30" s="340"/>
      <c r="AQ30" s="346"/>
      <c r="AR30" s="346"/>
      <c r="AS30" s="346"/>
      <c r="AT30" s="346"/>
      <c r="AU30" s="346"/>
      <c r="AV30" s="346"/>
      <c r="AW30" s="346"/>
      <c r="AX30" s="346"/>
      <c r="AY30" s="346"/>
      <c r="AZ30" s="346"/>
      <c r="BA30" s="346"/>
      <c r="BB30" s="346"/>
      <c r="BC30" s="347"/>
      <c r="BD30" s="346"/>
      <c r="BE30" s="346"/>
      <c r="BF30" s="346"/>
      <c r="BG30" s="323"/>
    </row>
    <row r="31">
      <c r="A31" s="296"/>
      <c r="B31" s="344"/>
      <c r="C31" s="343"/>
      <c r="D31" s="344"/>
      <c r="E31" s="337"/>
      <c r="F31" s="366"/>
      <c r="G31" s="355"/>
      <c r="H31" s="356"/>
      <c r="I31" s="346"/>
      <c r="J31" s="346"/>
      <c r="K31" s="346"/>
      <c r="L31" s="340"/>
      <c r="M31" s="340"/>
      <c r="N31" s="340"/>
      <c r="O31" s="340"/>
      <c r="P31" s="340"/>
      <c r="Q31" s="340"/>
      <c r="R31" s="340"/>
      <c r="S31" s="340"/>
      <c r="T31" s="340"/>
      <c r="U31" s="340"/>
      <c r="V31" s="340"/>
      <c r="W31" s="340"/>
      <c r="X31" s="340"/>
      <c r="Y31" s="340"/>
      <c r="Z31" s="340"/>
      <c r="AA31" s="340"/>
      <c r="AB31" s="340"/>
      <c r="AC31" s="340"/>
      <c r="AD31" s="340"/>
      <c r="AE31" s="340"/>
      <c r="AF31" s="340"/>
      <c r="AG31" s="340"/>
      <c r="AH31" s="340"/>
      <c r="AI31" s="340"/>
      <c r="AJ31" s="340"/>
      <c r="AK31" s="340"/>
      <c r="AL31" s="340"/>
      <c r="AM31" s="340"/>
      <c r="AN31" s="340"/>
      <c r="AO31" s="340"/>
      <c r="AP31" s="340"/>
      <c r="AQ31" s="346"/>
      <c r="AR31" s="346"/>
      <c r="AS31" s="346"/>
      <c r="AT31" s="346"/>
      <c r="AU31" s="346"/>
      <c r="AV31" s="346"/>
      <c r="AW31" s="346"/>
      <c r="AX31" s="346"/>
      <c r="AY31" s="346"/>
      <c r="AZ31" s="346"/>
      <c r="BA31" s="346"/>
      <c r="BB31" s="346"/>
      <c r="BC31" s="346"/>
      <c r="BD31" s="347"/>
      <c r="BE31" s="346"/>
      <c r="BF31" s="346"/>
      <c r="BG31" s="323"/>
    </row>
    <row r="32">
      <c r="A32" s="296"/>
      <c r="B32" s="344"/>
      <c r="C32" s="343"/>
      <c r="D32" s="344"/>
      <c r="E32" s="337"/>
      <c r="F32" s="366"/>
      <c r="G32" s="355"/>
      <c r="H32" s="356"/>
      <c r="I32" s="346"/>
      <c r="J32" s="346"/>
      <c r="K32" s="346"/>
      <c r="L32" s="340"/>
      <c r="M32" s="340"/>
      <c r="N32" s="340"/>
      <c r="O32" s="340"/>
      <c r="P32" s="340"/>
      <c r="Q32" s="340"/>
      <c r="R32" s="340"/>
      <c r="S32" s="340"/>
      <c r="T32" s="340"/>
      <c r="U32" s="340"/>
      <c r="V32" s="340"/>
      <c r="W32" s="340"/>
      <c r="X32" s="340"/>
      <c r="Y32" s="340"/>
      <c r="Z32" s="340"/>
      <c r="AA32" s="340"/>
      <c r="AB32" s="340"/>
      <c r="AC32" s="340"/>
      <c r="AD32" s="340"/>
      <c r="AE32" s="340"/>
      <c r="AF32" s="340"/>
      <c r="AG32" s="340"/>
      <c r="AH32" s="340"/>
      <c r="AI32" s="340"/>
      <c r="AJ32" s="340"/>
      <c r="AK32" s="340"/>
      <c r="AL32" s="340"/>
      <c r="AM32" s="340"/>
      <c r="AN32" s="340"/>
      <c r="AO32" s="340"/>
      <c r="AP32" s="340"/>
      <c r="AQ32" s="346"/>
      <c r="AR32" s="346"/>
      <c r="AS32" s="346"/>
      <c r="AT32" s="346"/>
      <c r="AU32" s="346"/>
      <c r="AV32" s="346"/>
      <c r="AW32" s="346"/>
      <c r="AX32" s="346"/>
      <c r="AY32" s="346"/>
      <c r="AZ32" s="346"/>
      <c r="BA32" s="346"/>
      <c r="BB32" s="346"/>
      <c r="BC32" s="346"/>
      <c r="BD32" s="346"/>
      <c r="BE32" s="347"/>
      <c r="BF32" s="346"/>
      <c r="BG32" s="323"/>
    </row>
    <row r="33">
      <c r="A33" s="296"/>
      <c r="B33" s="344"/>
      <c r="C33" s="343"/>
      <c r="D33" s="344"/>
      <c r="E33" s="337"/>
      <c r="F33" s="345"/>
      <c r="G33" s="355"/>
      <c r="H33" s="356"/>
      <c r="I33" s="346"/>
      <c r="J33" s="346"/>
      <c r="K33" s="346"/>
      <c r="L33" s="340"/>
      <c r="M33" s="340"/>
      <c r="N33" s="340"/>
      <c r="O33" s="340"/>
      <c r="P33" s="340"/>
      <c r="Q33" s="340"/>
      <c r="R33" s="340"/>
      <c r="S33" s="340"/>
      <c r="T33" s="340"/>
      <c r="U33" s="340"/>
      <c r="V33" s="340"/>
      <c r="W33" s="340"/>
      <c r="X33" s="340"/>
      <c r="Y33" s="340"/>
      <c r="Z33" s="340"/>
      <c r="AA33" s="340"/>
      <c r="AB33" s="340"/>
      <c r="AC33" s="340"/>
      <c r="AD33" s="340"/>
      <c r="AE33" s="340"/>
      <c r="AF33" s="340"/>
      <c r="AG33" s="340"/>
      <c r="AH33" s="340"/>
      <c r="AI33" s="340"/>
      <c r="AJ33" s="340"/>
      <c r="AK33" s="340"/>
      <c r="AL33" s="340"/>
      <c r="AM33" s="340"/>
      <c r="AN33" s="340"/>
      <c r="AO33" s="340"/>
      <c r="AP33" s="340"/>
      <c r="AQ33" s="346"/>
      <c r="AR33" s="346"/>
      <c r="AS33" s="346"/>
      <c r="AT33" s="346"/>
      <c r="AU33" s="346"/>
      <c r="AV33" s="346"/>
      <c r="AW33" s="346"/>
      <c r="AX33" s="346"/>
      <c r="AY33" s="346"/>
      <c r="AZ33" s="346"/>
      <c r="BA33" s="346"/>
      <c r="BB33" s="346"/>
      <c r="BC33" s="346"/>
      <c r="BD33" s="346"/>
      <c r="BE33" s="347"/>
      <c r="BF33" s="346"/>
      <c r="BG33" s="323"/>
    </row>
    <row r="34" ht="7.5" customHeight="1">
      <c r="A34" s="348"/>
      <c r="B34" s="349"/>
      <c r="C34" s="349"/>
      <c r="D34" s="349"/>
      <c r="E34" s="349"/>
      <c r="F34" s="350"/>
      <c r="G34" s="351"/>
      <c r="H34" s="351"/>
      <c r="I34" s="351"/>
      <c r="J34" s="351"/>
      <c r="K34" s="351"/>
      <c r="L34" s="351"/>
      <c r="M34" s="351"/>
      <c r="N34" s="351"/>
      <c r="O34" s="351"/>
      <c r="P34" s="351"/>
      <c r="Q34" s="351"/>
      <c r="R34" s="351"/>
      <c r="S34" s="351"/>
      <c r="T34" s="351"/>
      <c r="U34" s="351"/>
      <c r="V34" s="351"/>
      <c r="W34" s="351"/>
      <c r="X34" s="351"/>
      <c r="Y34" s="351"/>
      <c r="Z34" s="351"/>
      <c r="AA34" s="351"/>
      <c r="AB34" s="351"/>
      <c r="AC34" s="351"/>
      <c r="AD34" s="351"/>
      <c r="AE34" s="351"/>
      <c r="AF34" s="351"/>
      <c r="AG34" s="351"/>
      <c r="AH34" s="351"/>
      <c r="AI34" s="351"/>
      <c r="AJ34" s="351"/>
      <c r="AK34" s="351"/>
      <c r="AL34" s="351"/>
      <c r="AM34" s="351"/>
      <c r="AN34" s="351"/>
      <c r="AO34" s="351"/>
      <c r="AP34" s="351"/>
      <c r="AQ34" s="351"/>
      <c r="AR34" s="351"/>
      <c r="AS34" s="351"/>
      <c r="AT34" s="351"/>
      <c r="AU34" s="351"/>
      <c r="AV34" s="351"/>
      <c r="AW34" s="352"/>
      <c r="AX34" s="351"/>
      <c r="AY34" s="351"/>
      <c r="AZ34" s="351"/>
      <c r="BA34" s="351"/>
      <c r="BB34" s="351"/>
      <c r="BC34" s="351"/>
      <c r="BD34" s="351"/>
      <c r="BE34" s="351"/>
      <c r="BF34" s="351"/>
      <c r="BG34" s="351"/>
    </row>
    <row r="35">
      <c r="A35" s="331"/>
      <c r="B35" s="367"/>
      <c r="G35" s="333"/>
      <c r="H35" s="334"/>
      <c r="I35" s="335"/>
      <c r="J35" s="335"/>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6"/>
      <c r="AI35" s="336"/>
      <c r="AJ35" s="336"/>
      <c r="AK35" s="336"/>
      <c r="AL35" s="336"/>
      <c r="AM35" s="336"/>
      <c r="AN35" s="336"/>
      <c r="AO35" s="336"/>
      <c r="AP35" s="336"/>
      <c r="AQ35" s="336"/>
      <c r="AR35" s="336"/>
      <c r="AS35" s="336"/>
      <c r="AT35" s="336"/>
      <c r="AU35" s="336"/>
      <c r="AV35" s="336"/>
      <c r="AW35" s="336"/>
      <c r="AX35" s="336"/>
      <c r="AY35" s="336"/>
      <c r="AZ35" s="336"/>
      <c r="BA35" s="336"/>
      <c r="BB35" s="336"/>
      <c r="BC35" s="336"/>
      <c r="BD35" s="336"/>
      <c r="BE35" s="336"/>
      <c r="BF35" s="336"/>
      <c r="BG35" s="323"/>
    </row>
    <row r="36">
      <c r="A36" s="296"/>
      <c r="B36" s="342"/>
      <c r="C36" s="337"/>
      <c r="D36" s="342"/>
      <c r="E36" s="337"/>
      <c r="F36" s="368"/>
      <c r="G36" s="355"/>
      <c r="H36" s="356"/>
      <c r="I36" s="346"/>
      <c r="J36" s="346"/>
      <c r="K36" s="346"/>
      <c r="L36" s="340"/>
      <c r="M36" s="340"/>
      <c r="N36" s="340"/>
      <c r="O36" s="340"/>
      <c r="P36" s="340"/>
      <c r="Q36" s="340"/>
      <c r="R36" s="340"/>
      <c r="S36" s="340"/>
      <c r="T36" s="340"/>
      <c r="U36" s="340"/>
      <c r="V36" s="340"/>
      <c r="W36" s="340"/>
      <c r="X36" s="340"/>
      <c r="Y36" s="340"/>
      <c r="Z36" s="340"/>
      <c r="AA36" s="340"/>
      <c r="AB36" s="340"/>
      <c r="AC36" s="340"/>
      <c r="AD36" s="340"/>
      <c r="AE36" s="340"/>
      <c r="AF36" s="340"/>
      <c r="AG36" s="340"/>
      <c r="AH36" s="340"/>
      <c r="AI36" s="340"/>
      <c r="AJ36" s="340"/>
      <c r="AK36" s="340"/>
      <c r="AL36" s="340"/>
      <c r="AM36" s="340"/>
      <c r="AN36" s="340"/>
      <c r="AO36" s="340"/>
      <c r="AP36" s="340"/>
      <c r="AQ36" s="346"/>
      <c r="AR36" s="346"/>
      <c r="AS36" s="346"/>
      <c r="AT36" s="346"/>
      <c r="AU36" s="346"/>
      <c r="AV36" s="346"/>
      <c r="AW36" s="346"/>
      <c r="AX36" s="346"/>
      <c r="AY36" s="346"/>
      <c r="AZ36" s="346"/>
      <c r="BA36" s="346"/>
      <c r="BB36" s="347"/>
      <c r="BC36" s="346"/>
      <c r="BD36" s="346"/>
      <c r="BE36" s="346"/>
      <c r="BF36" s="346"/>
      <c r="BG36" s="323"/>
    </row>
    <row r="37">
      <c r="A37" s="296"/>
      <c r="B37" s="344"/>
      <c r="C37" s="343"/>
      <c r="D37" s="344"/>
      <c r="E37" s="337"/>
      <c r="F37" s="369"/>
      <c r="G37" s="355"/>
      <c r="H37" s="356"/>
      <c r="I37" s="346"/>
      <c r="J37" s="346"/>
      <c r="K37" s="346"/>
      <c r="L37" s="340"/>
      <c r="M37" s="340"/>
      <c r="N37" s="340"/>
      <c r="O37" s="340"/>
      <c r="P37" s="340"/>
      <c r="Q37" s="340"/>
      <c r="R37" s="340"/>
      <c r="S37" s="340"/>
      <c r="T37" s="340"/>
      <c r="U37" s="340"/>
      <c r="V37" s="340"/>
      <c r="W37" s="340"/>
      <c r="X37" s="340"/>
      <c r="Y37" s="340"/>
      <c r="Z37" s="340"/>
      <c r="AA37" s="340"/>
      <c r="AB37" s="340"/>
      <c r="AC37" s="340"/>
      <c r="AD37" s="340"/>
      <c r="AE37" s="340"/>
      <c r="AF37" s="340"/>
      <c r="AG37" s="340"/>
      <c r="AH37" s="340"/>
      <c r="AI37" s="340"/>
      <c r="AJ37" s="340"/>
      <c r="AK37" s="340"/>
      <c r="AL37" s="340"/>
      <c r="AM37" s="340"/>
      <c r="AN37" s="340"/>
      <c r="AO37" s="340"/>
      <c r="AP37" s="340"/>
      <c r="AQ37" s="346"/>
      <c r="AR37" s="346"/>
      <c r="AS37" s="346"/>
      <c r="AT37" s="346"/>
      <c r="AU37" s="346"/>
      <c r="AV37" s="346"/>
      <c r="AW37" s="346"/>
      <c r="AX37" s="346"/>
      <c r="AY37" s="346"/>
      <c r="AZ37" s="346"/>
      <c r="BA37" s="346"/>
      <c r="BB37" s="347"/>
      <c r="BC37" s="346"/>
      <c r="BD37" s="346"/>
      <c r="BE37" s="346"/>
      <c r="BF37" s="346"/>
      <c r="BG37" s="323"/>
    </row>
    <row r="38">
      <c r="A38" s="296"/>
      <c r="B38" s="344"/>
      <c r="C38" s="344"/>
      <c r="D38" s="344"/>
      <c r="E38" s="337"/>
      <c r="F38" s="369"/>
      <c r="G38" s="355"/>
      <c r="H38" s="356"/>
      <c r="I38" s="346"/>
      <c r="J38" s="346"/>
      <c r="K38" s="346"/>
      <c r="L38" s="340"/>
      <c r="M38" s="340"/>
      <c r="N38" s="340"/>
      <c r="O38" s="340"/>
      <c r="P38" s="340"/>
      <c r="Q38" s="340"/>
      <c r="R38" s="340"/>
      <c r="S38" s="340"/>
      <c r="T38" s="340"/>
      <c r="U38" s="340"/>
      <c r="V38" s="340"/>
      <c r="W38" s="340"/>
      <c r="X38" s="340"/>
      <c r="Y38" s="340"/>
      <c r="Z38" s="340"/>
      <c r="AA38" s="340"/>
      <c r="AB38" s="340"/>
      <c r="AC38" s="340"/>
      <c r="AD38" s="340"/>
      <c r="AE38" s="340"/>
      <c r="AF38" s="340"/>
      <c r="AG38" s="340"/>
      <c r="AH38" s="340"/>
      <c r="AI38" s="340"/>
      <c r="AJ38" s="340"/>
      <c r="AK38" s="340"/>
      <c r="AL38" s="340"/>
      <c r="AM38" s="340"/>
      <c r="AN38" s="340"/>
      <c r="AO38" s="340"/>
      <c r="AP38" s="340"/>
      <c r="AQ38" s="346"/>
      <c r="AR38" s="346"/>
      <c r="AS38" s="346"/>
      <c r="AT38" s="346"/>
      <c r="AU38" s="346"/>
      <c r="AV38" s="346"/>
      <c r="AW38" s="346"/>
      <c r="AX38" s="346"/>
      <c r="AY38" s="346"/>
      <c r="AZ38" s="346"/>
      <c r="BA38" s="346"/>
      <c r="BB38" s="346"/>
      <c r="BC38" s="347"/>
      <c r="BD38" s="346"/>
      <c r="BE38" s="346"/>
      <c r="BF38" s="346"/>
      <c r="BG38" s="323"/>
    </row>
    <row r="39">
      <c r="A39" s="296"/>
      <c r="B39" s="344"/>
      <c r="C39" s="343"/>
      <c r="D39" s="344"/>
      <c r="E39" s="337"/>
      <c r="F39" s="369"/>
      <c r="G39" s="355"/>
      <c r="H39" s="356"/>
      <c r="I39" s="346"/>
      <c r="J39" s="346"/>
      <c r="K39" s="346"/>
      <c r="L39" s="340"/>
      <c r="M39" s="340"/>
      <c r="N39" s="340"/>
      <c r="O39" s="340"/>
      <c r="P39" s="340"/>
      <c r="Q39" s="340"/>
      <c r="R39" s="340"/>
      <c r="S39" s="340"/>
      <c r="T39" s="340"/>
      <c r="U39" s="340"/>
      <c r="V39" s="340"/>
      <c r="W39" s="340"/>
      <c r="X39" s="340"/>
      <c r="Y39" s="340"/>
      <c r="Z39" s="340"/>
      <c r="AA39" s="340"/>
      <c r="AB39" s="340"/>
      <c r="AC39" s="340"/>
      <c r="AD39" s="340"/>
      <c r="AE39" s="340"/>
      <c r="AF39" s="340"/>
      <c r="AG39" s="340"/>
      <c r="AH39" s="340"/>
      <c r="AI39" s="340"/>
      <c r="AJ39" s="340"/>
      <c r="AK39" s="340"/>
      <c r="AL39" s="340"/>
      <c r="AM39" s="340"/>
      <c r="AN39" s="340"/>
      <c r="AO39" s="340"/>
      <c r="AP39" s="340"/>
      <c r="AQ39" s="346"/>
      <c r="AR39" s="346"/>
      <c r="AS39" s="346"/>
      <c r="AT39" s="346"/>
      <c r="AU39" s="346"/>
      <c r="AV39" s="346"/>
      <c r="AW39" s="346"/>
      <c r="AX39" s="346"/>
      <c r="AY39" s="346"/>
      <c r="AZ39" s="346"/>
      <c r="BA39" s="346"/>
      <c r="BB39" s="346"/>
      <c r="BC39" s="346"/>
      <c r="BD39" s="347"/>
      <c r="BE39" s="346"/>
      <c r="BF39" s="346"/>
      <c r="BG39" s="323"/>
    </row>
    <row r="40">
      <c r="A40" s="296"/>
      <c r="B40" s="344"/>
      <c r="C40" s="343"/>
      <c r="D40" s="344"/>
      <c r="E40" s="337"/>
      <c r="F40" s="369"/>
      <c r="G40" s="355"/>
      <c r="H40" s="356"/>
      <c r="I40" s="346"/>
      <c r="J40" s="346"/>
      <c r="K40" s="346"/>
      <c r="L40" s="340"/>
      <c r="M40" s="340"/>
      <c r="N40" s="340"/>
      <c r="O40" s="340"/>
      <c r="P40" s="340"/>
      <c r="Q40" s="340"/>
      <c r="R40" s="340"/>
      <c r="S40" s="340"/>
      <c r="T40" s="340"/>
      <c r="U40" s="340"/>
      <c r="V40" s="340"/>
      <c r="W40" s="340"/>
      <c r="X40" s="340"/>
      <c r="Y40" s="340"/>
      <c r="Z40" s="340"/>
      <c r="AA40" s="340"/>
      <c r="AB40" s="340"/>
      <c r="AC40" s="340"/>
      <c r="AD40" s="340"/>
      <c r="AE40" s="340"/>
      <c r="AF40" s="340"/>
      <c r="AG40" s="340"/>
      <c r="AH40" s="340"/>
      <c r="AI40" s="340"/>
      <c r="AJ40" s="340"/>
      <c r="AK40" s="340"/>
      <c r="AL40" s="340"/>
      <c r="AM40" s="340"/>
      <c r="AN40" s="340"/>
      <c r="AO40" s="340"/>
      <c r="AP40" s="340"/>
      <c r="AQ40" s="346"/>
      <c r="AR40" s="346"/>
      <c r="AS40" s="346"/>
      <c r="AT40" s="346"/>
      <c r="AU40" s="346"/>
      <c r="AV40" s="346"/>
      <c r="AW40" s="346"/>
      <c r="AX40" s="346"/>
      <c r="AY40" s="346"/>
      <c r="AZ40" s="346"/>
      <c r="BA40" s="346"/>
      <c r="BB40" s="346"/>
      <c r="BC40" s="346"/>
      <c r="BD40" s="346"/>
      <c r="BE40" s="347"/>
      <c r="BF40" s="346"/>
      <c r="BG40" s="323"/>
    </row>
    <row r="41">
      <c r="A41" s="296"/>
      <c r="B41" s="344"/>
      <c r="C41" s="343"/>
      <c r="D41" s="344"/>
      <c r="E41" s="337"/>
      <c r="F41" s="370"/>
      <c r="G41" s="355"/>
      <c r="H41" s="356"/>
      <c r="I41" s="346"/>
      <c r="J41" s="346"/>
      <c r="K41" s="346"/>
      <c r="L41" s="340"/>
      <c r="M41" s="340"/>
      <c r="N41" s="340"/>
      <c r="O41" s="340"/>
      <c r="P41" s="340"/>
      <c r="Q41" s="340"/>
      <c r="R41" s="340"/>
      <c r="S41" s="340"/>
      <c r="T41" s="340"/>
      <c r="U41" s="340"/>
      <c r="V41" s="340"/>
      <c r="W41" s="340"/>
      <c r="X41" s="340"/>
      <c r="Y41" s="340"/>
      <c r="Z41" s="340"/>
      <c r="AA41" s="340"/>
      <c r="AB41" s="340"/>
      <c r="AC41" s="340"/>
      <c r="AD41" s="340"/>
      <c r="AE41" s="340"/>
      <c r="AF41" s="340"/>
      <c r="AG41" s="340"/>
      <c r="AH41" s="340"/>
      <c r="AI41" s="340"/>
      <c r="AJ41" s="340"/>
      <c r="AK41" s="340"/>
      <c r="AL41" s="340"/>
      <c r="AM41" s="340"/>
      <c r="AN41" s="340"/>
      <c r="AO41" s="340"/>
      <c r="AP41" s="340"/>
      <c r="AQ41" s="346"/>
      <c r="AR41" s="346"/>
      <c r="AS41" s="346"/>
      <c r="AT41" s="346"/>
      <c r="AU41" s="346"/>
      <c r="AV41" s="346"/>
      <c r="AW41" s="346"/>
      <c r="AX41" s="346"/>
      <c r="AY41" s="346"/>
      <c r="AZ41" s="346"/>
      <c r="BA41" s="346"/>
      <c r="BB41" s="346"/>
      <c r="BC41" s="346"/>
      <c r="BD41" s="346"/>
      <c r="BE41" s="347"/>
      <c r="BF41" s="346"/>
      <c r="BG41" s="323"/>
    </row>
    <row r="42" ht="7.5" customHeight="1">
      <c r="A42" s="348"/>
      <c r="B42" s="349"/>
      <c r="C42" s="349"/>
      <c r="D42" s="349"/>
      <c r="E42" s="349"/>
      <c r="F42" s="371"/>
      <c r="G42" s="351"/>
      <c r="H42" s="351"/>
      <c r="I42" s="351"/>
      <c r="J42" s="351"/>
      <c r="K42" s="351"/>
      <c r="L42" s="351"/>
      <c r="M42" s="351"/>
      <c r="N42" s="351"/>
      <c r="O42" s="351"/>
      <c r="P42" s="351"/>
      <c r="Q42" s="351"/>
      <c r="R42" s="351"/>
      <c r="S42" s="351"/>
      <c r="T42" s="351"/>
      <c r="U42" s="351"/>
      <c r="V42" s="351"/>
      <c r="W42" s="351"/>
      <c r="X42" s="351"/>
      <c r="Y42" s="351"/>
      <c r="Z42" s="351"/>
      <c r="AA42" s="351"/>
      <c r="AB42" s="351"/>
      <c r="AC42" s="351"/>
      <c r="AD42" s="351"/>
      <c r="AE42" s="351"/>
      <c r="AF42" s="351"/>
      <c r="AG42" s="351"/>
      <c r="AH42" s="351"/>
      <c r="AI42" s="351"/>
      <c r="AJ42" s="351"/>
      <c r="AK42" s="351"/>
      <c r="AL42" s="351"/>
      <c r="AM42" s="351"/>
      <c r="AN42" s="351"/>
      <c r="AO42" s="351"/>
      <c r="AP42" s="351"/>
      <c r="AQ42" s="351"/>
      <c r="AR42" s="351"/>
      <c r="AS42" s="351"/>
      <c r="AT42" s="351"/>
      <c r="AU42" s="351"/>
      <c r="AV42" s="351"/>
      <c r="AW42" s="352"/>
      <c r="AX42" s="351"/>
      <c r="AY42" s="351"/>
      <c r="AZ42" s="351"/>
      <c r="BA42" s="351"/>
      <c r="BB42" s="351"/>
      <c r="BC42" s="351"/>
      <c r="BD42" s="351"/>
      <c r="BE42" s="351"/>
      <c r="BF42" s="351"/>
      <c r="BG42" s="351"/>
    </row>
    <row r="43">
      <c r="A43" s="331"/>
      <c r="B43" s="367"/>
      <c r="G43" s="333"/>
      <c r="H43" s="334"/>
      <c r="I43" s="335"/>
      <c r="J43" s="335"/>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6"/>
      <c r="AI43" s="336"/>
      <c r="AJ43" s="336"/>
      <c r="AK43" s="336"/>
      <c r="AL43" s="336"/>
      <c r="AM43" s="336"/>
      <c r="AN43" s="336"/>
      <c r="AO43" s="336"/>
      <c r="AP43" s="336"/>
      <c r="AQ43" s="336"/>
      <c r="AR43" s="336"/>
      <c r="AS43" s="336"/>
      <c r="AT43" s="336"/>
      <c r="AU43" s="336"/>
      <c r="AV43" s="336"/>
      <c r="AW43" s="336"/>
      <c r="AX43" s="336"/>
      <c r="AY43" s="336"/>
      <c r="AZ43" s="336"/>
      <c r="BA43" s="336"/>
      <c r="BB43" s="336"/>
      <c r="BC43" s="336"/>
      <c r="BD43" s="336"/>
      <c r="BE43" s="336"/>
      <c r="BF43" s="336"/>
      <c r="BG43" s="323"/>
    </row>
    <row r="44">
      <c r="A44" s="296"/>
      <c r="B44" s="342"/>
      <c r="C44" s="337"/>
      <c r="D44" s="342"/>
      <c r="E44" s="337"/>
      <c r="F44" s="368"/>
      <c r="G44" s="355"/>
      <c r="H44" s="356"/>
      <c r="I44" s="346"/>
      <c r="J44" s="346"/>
      <c r="K44" s="346"/>
      <c r="L44" s="340"/>
      <c r="M44" s="340"/>
      <c r="N44" s="340"/>
      <c r="O44" s="340"/>
      <c r="P44" s="340"/>
      <c r="Q44" s="340"/>
      <c r="R44" s="340"/>
      <c r="S44" s="340"/>
      <c r="T44" s="340"/>
      <c r="U44" s="340"/>
      <c r="V44" s="340"/>
      <c r="W44" s="340"/>
      <c r="X44" s="340"/>
      <c r="Y44" s="340"/>
      <c r="Z44" s="340"/>
      <c r="AA44" s="340"/>
      <c r="AB44" s="340"/>
      <c r="AC44" s="340"/>
      <c r="AD44" s="340"/>
      <c r="AE44" s="340"/>
      <c r="AF44" s="340"/>
      <c r="AG44" s="340"/>
      <c r="AH44" s="340"/>
      <c r="AI44" s="340"/>
      <c r="AJ44" s="340"/>
      <c r="AK44" s="340"/>
      <c r="AL44" s="340"/>
      <c r="AM44" s="340"/>
      <c r="AN44" s="340"/>
      <c r="AO44" s="340"/>
      <c r="AP44" s="340"/>
      <c r="AQ44" s="346"/>
      <c r="AR44" s="346"/>
      <c r="AS44" s="346"/>
      <c r="AT44" s="346"/>
      <c r="AU44" s="346"/>
      <c r="AV44" s="346"/>
      <c r="AW44" s="346"/>
      <c r="AX44" s="346"/>
      <c r="AY44" s="346"/>
      <c r="AZ44" s="346"/>
      <c r="BA44" s="346"/>
      <c r="BB44" s="347"/>
      <c r="BC44" s="346"/>
      <c r="BD44" s="346"/>
      <c r="BE44" s="346"/>
      <c r="BF44" s="346"/>
      <c r="BG44" s="323"/>
    </row>
    <row r="45">
      <c r="A45" s="296"/>
      <c r="B45" s="344"/>
      <c r="C45" s="343"/>
      <c r="D45" s="344"/>
      <c r="E45" s="337"/>
      <c r="F45" s="369"/>
      <c r="G45" s="355"/>
      <c r="H45" s="356"/>
      <c r="I45" s="346"/>
      <c r="J45" s="346"/>
      <c r="K45" s="346"/>
      <c r="L45" s="340"/>
      <c r="M45" s="340"/>
      <c r="N45" s="340"/>
      <c r="O45" s="340"/>
      <c r="P45" s="340"/>
      <c r="Q45" s="340"/>
      <c r="R45" s="340"/>
      <c r="S45" s="340"/>
      <c r="T45" s="340"/>
      <c r="U45" s="340"/>
      <c r="V45" s="340"/>
      <c r="W45" s="340"/>
      <c r="X45" s="340"/>
      <c r="Y45" s="340"/>
      <c r="Z45" s="340"/>
      <c r="AA45" s="340"/>
      <c r="AB45" s="340"/>
      <c r="AC45" s="340"/>
      <c r="AD45" s="340"/>
      <c r="AE45" s="340"/>
      <c r="AF45" s="340"/>
      <c r="AG45" s="340"/>
      <c r="AH45" s="340"/>
      <c r="AI45" s="340"/>
      <c r="AJ45" s="340"/>
      <c r="AK45" s="340"/>
      <c r="AL45" s="340"/>
      <c r="AM45" s="340"/>
      <c r="AN45" s="340"/>
      <c r="AO45" s="340"/>
      <c r="AP45" s="340"/>
      <c r="AQ45" s="346"/>
      <c r="AR45" s="346"/>
      <c r="AS45" s="346"/>
      <c r="AT45" s="346"/>
      <c r="AU45" s="346"/>
      <c r="AV45" s="346"/>
      <c r="AW45" s="346"/>
      <c r="AX45" s="346"/>
      <c r="AY45" s="346"/>
      <c r="AZ45" s="346"/>
      <c r="BA45" s="346"/>
      <c r="BB45" s="347"/>
      <c r="BC45" s="346"/>
      <c r="BD45" s="346"/>
      <c r="BE45" s="346"/>
      <c r="BF45" s="346"/>
      <c r="BG45" s="323"/>
    </row>
    <row r="46">
      <c r="A46" s="296"/>
      <c r="B46" s="344"/>
      <c r="C46" s="344"/>
      <c r="D46" s="344"/>
      <c r="E46" s="337"/>
      <c r="F46" s="369"/>
      <c r="G46" s="355"/>
      <c r="H46" s="356"/>
      <c r="I46" s="346"/>
      <c r="J46" s="346"/>
      <c r="K46" s="346"/>
      <c r="L46" s="340"/>
      <c r="M46" s="340"/>
      <c r="N46" s="340"/>
      <c r="O46" s="340"/>
      <c r="P46" s="340"/>
      <c r="Q46" s="340"/>
      <c r="R46" s="340"/>
      <c r="S46" s="340"/>
      <c r="T46" s="340"/>
      <c r="U46" s="340"/>
      <c r="V46" s="340"/>
      <c r="W46" s="340"/>
      <c r="X46" s="340"/>
      <c r="Y46" s="340"/>
      <c r="Z46" s="340"/>
      <c r="AA46" s="340"/>
      <c r="AB46" s="340"/>
      <c r="AC46" s="340"/>
      <c r="AD46" s="340"/>
      <c r="AE46" s="340"/>
      <c r="AF46" s="340"/>
      <c r="AG46" s="340"/>
      <c r="AH46" s="340"/>
      <c r="AI46" s="340"/>
      <c r="AJ46" s="340"/>
      <c r="AK46" s="340"/>
      <c r="AL46" s="340"/>
      <c r="AM46" s="340"/>
      <c r="AN46" s="340"/>
      <c r="AO46" s="340"/>
      <c r="AP46" s="340"/>
      <c r="AQ46" s="346"/>
      <c r="AR46" s="346"/>
      <c r="AS46" s="346"/>
      <c r="AT46" s="346"/>
      <c r="AU46" s="346"/>
      <c r="AV46" s="346"/>
      <c r="AW46" s="346"/>
      <c r="AX46" s="346"/>
      <c r="AY46" s="346"/>
      <c r="AZ46" s="346"/>
      <c r="BA46" s="346"/>
      <c r="BB46" s="346"/>
      <c r="BC46" s="347"/>
      <c r="BD46" s="346"/>
      <c r="BE46" s="346"/>
      <c r="BF46" s="346"/>
      <c r="BG46" s="323"/>
    </row>
    <row r="47">
      <c r="A47" s="296"/>
      <c r="B47" s="344"/>
      <c r="C47" s="343"/>
      <c r="D47" s="344"/>
      <c r="E47" s="337"/>
      <c r="F47" s="369"/>
      <c r="G47" s="355"/>
      <c r="H47" s="356"/>
      <c r="I47" s="346"/>
      <c r="J47" s="346"/>
      <c r="K47" s="346"/>
      <c r="L47" s="340"/>
      <c r="M47" s="340"/>
      <c r="N47" s="340"/>
      <c r="O47" s="340"/>
      <c r="P47" s="340"/>
      <c r="Q47" s="340"/>
      <c r="R47" s="340"/>
      <c r="S47" s="340"/>
      <c r="T47" s="340"/>
      <c r="U47" s="340"/>
      <c r="V47" s="340"/>
      <c r="W47" s="340"/>
      <c r="X47" s="340"/>
      <c r="Y47" s="340"/>
      <c r="Z47" s="340"/>
      <c r="AA47" s="340"/>
      <c r="AB47" s="340"/>
      <c r="AC47" s="340"/>
      <c r="AD47" s="340"/>
      <c r="AE47" s="340"/>
      <c r="AF47" s="340"/>
      <c r="AG47" s="340"/>
      <c r="AH47" s="340"/>
      <c r="AI47" s="340"/>
      <c r="AJ47" s="340"/>
      <c r="AK47" s="340"/>
      <c r="AL47" s="340"/>
      <c r="AM47" s="340"/>
      <c r="AN47" s="340"/>
      <c r="AO47" s="340"/>
      <c r="AP47" s="340"/>
      <c r="AQ47" s="346"/>
      <c r="AR47" s="346"/>
      <c r="AS47" s="346"/>
      <c r="AT47" s="346"/>
      <c r="AU47" s="346"/>
      <c r="AV47" s="346"/>
      <c r="AW47" s="346"/>
      <c r="AX47" s="346"/>
      <c r="AY47" s="346"/>
      <c r="AZ47" s="346"/>
      <c r="BA47" s="346"/>
      <c r="BB47" s="346"/>
      <c r="BC47" s="346"/>
      <c r="BD47" s="347"/>
      <c r="BE47" s="346"/>
      <c r="BF47" s="346"/>
      <c r="BG47" s="323"/>
    </row>
    <row r="48">
      <c r="A48" s="296"/>
      <c r="B48" s="344"/>
      <c r="C48" s="343"/>
      <c r="D48" s="344"/>
      <c r="E48" s="337"/>
      <c r="F48" s="369"/>
      <c r="G48" s="355"/>
      <c r="H48" s="356"/>
      <c r="I48" s="346"/>
      <c r="J48" s="346"/>
      <c r="K48" s="346"/>
      <c r="L48" s="340"/>
      <c r="M48" s="340"/>
      <c r="N48" s="340"/>
      <c r="O48" s="340"/>
      <c r="P48" s="340"/>
      <c r="Q48" s="340"/>
      <c r="R48" s="340"/>
      <c r="S48" s="340"/>
      <c r="T48" s="340"/>
      <c r="U48" s="340"/>
      <c r="V48" s="340"/>
      <c r="W48" s="340"/>
      <c r="X48" s="340"/>
      <c r="Y48" s="340"/>
      <c r="Z48" s="340"/>
      <c r="AA48" s="340"/>
      <c r="AB48" s="340"/>
      <c r="AC48" s="340"/>
      <c r="AD48" s="340"/>
      <c r="AE48" s="340"/>
      <c r="AF48" s="340"/>
      <c r="AG48" s="340"/>
      <c r="AH48" s="340"/>
      <c r="AI48" s="340"/>
      <c r="AJ48" s="340"/>
      <c r="AK48" s="340"/>
      <c r="AL48" s="340"/>
      <c r="AM48" s="340"/>
      <c r="AN48" s="340"/>
      <c r="AO48" s="340"/>
      <c r="AP48" s="340"/>
      <c r="AQ48" s="346"/>
      <c r="AR48" s="346"/>
      <c r="AS48" s="346"/>
      <c r="AT48" s="346"/>
      <c r="AU48" s="346"/>
      <c r="AV48" s="346"/>
      <c r="AW48" s="346"/>
      <c r="AX48" s="346"/>
      <c r="AY48" s="346"/>
      <c r="AZ48" s="346"/>
      <c r="BA48" s="346"/>
      <c r="BB48" s="346"/>
      <c r="BC48" s="346"/>
      <c r="BD48" s="346"/>
      <c r="BE48" s="347"/>
      <c r="BF48" s="346"/>
      <c r="BG48" s="323"/>
    </row>
    <row r="49">
      <c r="A49" s="296"/>
      <c r="B49" s="344"/>
      <c r="C49" s="343"/>
      <c r="D49" s="344"/>
      <c r="E49" s="337"/>
      <c r="F49" s="370"/>
      <c r="G49" s="355"/>
      <c r="H49" s="356"/>
      <c r="I49" s="346"/>
      <c r="J49" s="346"/>
      <c r="K49" s="346"/>
      <c r="L49" s="340"/>
      <c r="M49" s="340"/>
      <c r="N49" s="340"/>
      <c r="O49" s="340"/>
      <c r="P49" s="340"/>
      <c r="Q49" s="340"/>
      <c r="R49" s="340"/>
      <c r="S49" s="340"/>
      <c r="T49" s="340"/>
      <c r="U49" s="340"/>
      <c r="V49" s="340"/>
      <c r="W49" s="340"/>
      <c r="X49" s="340"/>
      <c r="Y49" s="340"/>
      <c r="Z49" s="340"/>
      <c r="AA49" s="340"/>
      <c r="AB49" s="340"/>
      <c r="AC49" s="340"/>
      <c r="AD49" s="340"/>
      <c r="AE49" s="340"/>
      <c r="AF49" s="340"/>
      <c r="AG49" s="340"/>
      <c r="AH49" s="340"/>
      <c r="AI49" s="340"/>
      <c r="AJ49" s="340"/>
      <c r="AK49" s="340"/>
      <c r="AL49" s="340"/>
      <c r="AM49" s="340"/>
      <c r="AN49" s="340"/>
      <c r="AO49" s="340"/>
      <c r="AP49" s="340"/>
      <c r="AQ49" s="346"/>
      <c r="AR49" s="346"/>
      <c r="AS49" s="346"/>
      <c r="AT49" s="346"/>
      <c r="AU49" s="346"/>
      <c r="AV49" s="346"/>
      <c r="AW49" s="346"/>
      <c r="AX49" s="346"/>
      <c r="AY49" s="346"/>
      <c r="AZ49" s="346"/>
      <c r="BA49" s="346"/>
      <c r="BB49" s="346"/>
      <c r="BC49" s="346"/>
      <c r="BD49" s="346"/>
      <c r="BE49" s="347"/>
      <c r="BF49" s="346"/>
      <c r="BG49" s="323"/>
    </row>
    <row r="50" ht="7.5" customHeight="1">
      <c r="A50" s="323"/>
      <c r="B50" s="138"/>
      <c r="C50" s="138"/>
      <c r="D50" s="138"/>
      <c r="E50" s="138"/>
      <c r="F50" s="371"/>
      <c r="G50" s="323"/>
      <c r="H50" s="323"/>
      <c r="I50" s="323"/>
      <c r="J50" s="323"/>
      <c r="K50" s="323"/>
      <c r="L50" s="323"/>
      <c r="M50" s="323"/>
      <c r="N50" s="323"/>
      <c r="O50" s="323"/>
      <c r="P50" s="323"/>
      <c r="Q50" s="323"/>
      <c r="R50" s="323"/>
      <c r="S50" s="323"/>
      <c r="T50" s="323"/>
      <c r="U50" s="323"/>
      <c r="V50" s="323"/>
      <c r="W50" s="323"/>
      <c r="X50" s="323"/>
      <c r="Y50" s="323"/>
      <c r="Z50" s="323"/>
      <c r="AA50" s="323"/>
      <c r="AB50" s="323"/>
      <c r="AC50" s="323"/>
      <c r="AD50" s="323"/>
      <c r="AE50" s="323"/>
      <c r="AF50" s="323"/>
      <c r="AG50" s="323"/>
      <c r="AH50" s="323"/>
      <c r="AI50" s="323"/>
      <c r="AJ50" s="323"/>
      <c r="AK50" s="323"/>
      <c r="AL50" s="323"/>
      <c r="AM50" s="323"/>
      <c r="AN50" s="323"/>
      <c r="AO50" s="323"/>
      <c r="AP50" s="323"/>
      <c r="AQ50" s="323"/>
      <c r="AR50" s="323"/>
      <c r="AS50" s="323"/>
      <c r="AT50" s="323"/>
      <c r="AU50" s="323"/>
      <c r="AV50" s="323"/>
      <c r="AW50" s="323"/>
      <c r="AX50" s="323"/>
      <c r="AY50" s="323"/>
      <c r="AZ50" s="323"/>
      <c r="BA50" s="323"/>
      <c r="BB50" s="323"/>
      <c r="BC50" s="323"/>
      <c r="BD50" s="323"/>
      <c r="BE50" s="323"/>
      <c r="BF50" s="323"/>
      <c r="BG50" s="323"/>
    </row>
  </sheetData>
  <mergeCells count="29">
    <mergeCell ref="AP4:AS4"/>
    <mergeCell ref="AT4:AX4"/>
    <mergeCell ref="B6:F6"/>
    <mergeCell ref="B12:F12"/>
    <mergeCell ref="B19:F19"/>
    <mergeCell ref="B27:F27"/>
    <mergeCell ref="B35:F35"/>
    <mergeCell ref="B43:F43"/>
    <mergeCell ref="B2:C2"/>
    <mergeCell ref="D2:F2"/>
    <mergeCell ref="G2:S3"/>
    <mergeCell ref="T2:AF3"/>
    <mergeCell ref="AG2:AS3"/>
    <mergeCell ref="AT2:BF3"/>
    <mergeCell ref="B4:B5"/>
    <mergeCell ref="C4:C5"/>
    <mergeCell ref="D4:D5"/>
    <mergeCell ref="E4:E5"/>
    <mergeCell ref="F4:F5"/>
    <mergeCell ref="G4:K4"/>
    <mergeCell ref="L4:O4"/>
    <mergeCell ref="P4:S4"/>
    <mergeCell ref="T4:X4"/>
    <mergeCell ref="Y4:AB4"/>
    <mergeCell ref="AC4:AF4"/>
    <mergeCell ref="AG4:AK4"/>
    <mergeCell ref="AL4:AO4"/>
    <mergeCell ref="AY4:BB4"/>
    <mergeCell ref="BC4:BF4"/>
  </mergeCells>
  <dataValidations>
    <dataValidation type="list" allowBlank="1" showErrorMessage="1" sqref="E7:E10 E13:E17 E20:E25 E28:E33 E36:E41 E44:E49">
      <formula1>"Not started,In progress,Done,Not done"</formula1>
    </dataValidation>
    <dataValidation type="list" allowBlank="1" showErrorMessage="1" sqref="C7:C10 C13:C17 C20:C25 C28:C33 C36:C41 C44:C49">
      <formula1>"Partner,Factorial,Partner + Factorial"</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sheetData>
    <row r="1">
      <c r="A1" s="241" t="s">
        <v>260</v>
      </c>
      <c r="B1" s="241" t="s">
        <v>261</v>
      </c>
      <c r="C1" s="241" t="s">
        <v>262</v>
      </c>
      <c r="D1" s="241" t="s">
        <v>263</v>
      </c>
      <c r="E1" s="241" t="s">
        <v>10</v>
      </c>
      <c r="F1" s="241" t="s">
        <v>87</v>
      </c>
      <c r="G1" s="241" t="s">
        <v>264</v>
      </c>
      <c r="H1" s="372" t="str">
        <f t="array" ref="H1:AI3">TRANSPOSE('Actual v Plan'!C5:E32)</f>
        <v>Demos #</v>
      </c>
      <c r="I1" s="373" t="s">
        <v>60</v>
      </c>
      <c r="J1" s="374" t="s">
        <v>184</v>
      </c>
      <c r="K1" s="372"/>
      <c r="L1" s="372" t="s">
        <v>43</v>
      </c>
      <c r="M1" s="374" t="s">
        <v>185</v>
      </c>
      <c r="N1" s="372"/>
      <c r="O1" s="374" t="s">
        <v>44</v>
      </c>
      <c r="P1" s="374" t="s">
        <v>65</v>
      </c>
      <c r="Q1" s="372" t="s">
        <v>45</v>
      </c>
      <c r="R1" s="372" t="s">
        <v>66</v>
      </c>
      <c r="S1" s="372"/>
      <c r="T1" s="372" t="s">
        <v>67</v>
      </c>
      <c r="U1" s="372" t="s">
        <v>50</v>
      </c>
      <c r="V1" s="372" t="s">
        <v>68</v>
      </c>
      <c r="W1" s="372" t="s">
        <v>52</v>
      </c>
      <c r="X1" s="372" t="s">
        <v>53</v>
      </c>
      <c r="Y1" s="372" t="s">
        <v>70</v>
      </c>
      <c r="Z1" s="372"/>
      <c r="AA1" s="372" t="s">
        <v>74</v>
      </c>
      <c r="AB1" s="372" t="s">
        <v>75</v>
      </c>
      <c r="AC1" s="372" t="s">
        <v>56</v>
      </c>
      <c r="AD1" s="372" t="s">
        <v>186</v>
      </c>
      <c r="AE1" s="372"/>
      <c r="AF1" s="372" t="s">
        <v>54</v>
      </c>
      <c r="AG1" s="372" t="s">
        <v>76</v>
      </c>
      <c r="AH1" s="372" t="s">
        <v>57</v>
      </c>
      <c r="AI1" s="374" t="s">
        <v>188</v>
      </c>
    </row>
    <row r="2">
      <c r="A2" s="372" t="str">
        <f>'Partnership Info'!$D$10</f>
        <v>ROW</v>
      </c>
      <c r="B2" s="372" t="str">
        <f>'Partnership Info'!$D$2</f>
        <v>Partner</v>
      </c>
      <c r="C2" s="372" t="str">
        <f>'Partnership Info'!$D$5</f>
        <v>Leon Ribeiro</v>
      </c>
      <c r="D2" s="372" t="str">
        <f>'Partnership Info'!$D$6</f>
        <v>Edgar Balby</v>
      </c>
      <c r="E2" s="372" t="str">
        <f>'Partnership Info'!$D$7</f>
        <v>Agata Lech</v>
      </c>
      <c r="F2" s="241" t="s">
        <v>31</v>
      </c>
      <c r="G2" s="241" t="s">
        <v>150</v>
      </c>
      <c r="H2" s="375">
        <v>5.0</v>
      </c>
      <c r="I2" s="373">
        <v>0.18</v>
      </c>
      <c r="J2" s="374">
        <v>5.0</v>
      </c>
      <c r="K2" s="373"/>
      <c r="L2" s="375">
        <v>1.0</v>
      </c>
      <c r="M2" s="374">
        <v>1.0</v>
      </c>
      <c r="N2" s="372"/>
      <c r="O2" s="374">
        <v>1750.0</v>
      </c>
      <c r="P2" s="374">
        <v>1200.0</v>
      </c>
      <c r="Q2" s="374">
        <v>21000.0</v>
      </c>
      <c r="R2" s="374">
        <v>21000.0</v>
      </c>
      <c r="S2" s="372"/>
      <c r="T2" s="374">
        <v>8099.999999999999</v>
      </c>
      <c r="U2" s="374">
        <v>7349.999999999999</v>
      </c>
      <c r="V2" s="374">
        <v>0.0</v>
      </c>
      <c r="W2" s="374">
        <v>750.0</v>
      </c>
      <c r="X2" s="374">
        <v>0.0</v>
      </c>
      <c r="Y2" s="374">
        <v>8099.999999999999</v>
      </c>
      <c r="Z2" s="372"/>
      <c r="AA2" s="375"/>
      <c r="AB2" s="374">
        <v>3.0</v>
      </c>
      <c r="AC2" s="374">
        <v>-1700.0</v>
      </c>
      <c r="AD2" s="374" t="s">
        <v>187</v>
      </c>
      <c r="AE2" s="372"/>
      <c r="AF2" s="375">
        <v>-14216.666666666666</v>
      </c>
      <c r="AG2" s="374">
        <v>-14216.666666666666</v>
      </c>
      <c r="AH2" s="374">
        <v>0.0</v>
      </c>
      <c r="AI2" s="374">
        <v>-14216.666666666666</v>
      </c>
    </row>
    <row r="3">
      <c r="A3" s="372" t="str">
        <f>'Partnership Info'!$D$10</f>
        <v>ROW</v>
      </c>
      <c r="B3" s="372" t="str">
        <f>'Partnership Info'!$D$2</f>
        <v>Partner</v>
      </c>
      <c r="C3" s="372" t="str">
        <f>'Partnership Info'!$D$5</f>
        <v>Leon Ribeiro</v>
      </c>
      <c r="D3" s="372" t="str">
        <f>'Partnership Info'!$D$6</f>
        <v>Edgar Balby</v>
      </c>
      <c r="E3" s="372" t="str">
        <f>'Partnership Info'!$D$7</f>
        <v>Agata Lech</v>
      </c>
      <c r="F3" s="241" t="s">
        <v>31</v>
      </c>
      <c r="G3" s="241" t="s">
        <v>149</v>
      </c>
      <c r="H3" s="375">
        <v>0.0</v>
      </c>
      <c r="I3" s="373" t="s">
        <v>265</v>
      </c>
      <c r="J3" s="374">
        <v>0.0</v>
      </c>
      <c r="K3" s="373"/>
      <c r="L3" s="375">
        <v>0.0</v>
      </c>
      <c r="M3" s="374">
        <v>0.0</v>
      </c>
      <c r="N3" s="372"/>
      <c r="O3" s="374">
        <v>0.0</v>
      </c>
      <c r="P3" s="374" t="s">
        <v>265</v>
      </c>
      <c r="Q3" s="374">
        <v>0.0</v>
      </c>
      <c r="R3" s="374">
        <v>0.0</v>
      </c>
      <c r="S3" s="372"/>
      <c r="T3" s="374">
        <v>0.0</v>
      </c>
      <c r="U3" s="374">
        <v>0.0</v>
      </c>
      <c r="V3" s="374"/>
      <c r="W3" s="374"/>
      <c r="X3" s="374">
        <v>0.0</v>
      </c>
      <c r="Y3" s="374">
        <v>0.0</v>
      </c>
      <c r="Z3" s="372"/>
      <c r="AA3" s="375"/>
      <c r="AB3" s="374">
        <v>0.0</v>
      </c>
      <c r="AC3" s="374">
        <v>0.0</v>
      </c>
      <c r="AD3" s="374">
        <v>0.0</v>
      </c>
      <c r="AE3" s="372"/>
      <c r="AF3" s="375">
        <v>0.0</v>
      </c>
      <c r="AG3" s="372"/>
      <c r="AH3" s="372"/>
      <c r="AI3" s="374">
        <v>0.0</v>
      </c>
    </row>
    <row r="4">
      <c r="A4" s="372" t="str">
        <f>'Partnership Info'!$D$10</f>
        <v>ROW</v>
      </c>
      <c r="B4" s="372" t="str">
        <f>'Partnership Info'!$D$2</f>
        <v>Partner</v>
      </c>
      <c r="C4" s="372" t="str">
        <f>'Partnership Info'!$D$5</f>
        <v>Leon Ribeiro</v>
      </c>
      <c r="D4" s="372" t="str">
        <f>'Partnership Info'!$D$6</f>
        <v>Edgar Balby</v>
      </c>
      <c r="E4" s="372" t="str">
        <f>'Partnership Info'!$D$7</f>
        <v>Agata Lech</v>
      </c>
      <c r="F4" s="241" t="s">
        <v>32</v>
      </c>
      <c r="G4" s="241" t="s">
        <v>150</v>
      </c>
      <c r="H4" s="375">
        <f t="array" ref="H4:AI5">TRANSPOSE('Actual v Plan'!I5:J32)</f>
        <v>5</v>
      </c>
      <c r="I4" s="373">
        <v>0.18</v>
      </c>
      <c r="J4" s="374">
        <v>10.0</v>
      </c>
      <c r="K4" s="373"/>
      <c r="L4" s="375">
        <v>1.0</v>
      </c>
      <c r="M4" s="374">
        <v>2.0</v>
      </c>
      <c r="N4" s="372"/>
      <c r="O4" s="374">
        <v>2100.0</v>
      </c>
      <c r="P4" s="374">
        <v>1200.0</v>
      </c>
      <c r="Q4" s="374">
        <v>25200.0</v>
      </c>
      <c r="R4" s="374">
        <v>46200.0</v>
      </c>
      <c r="S4" s="372"/>
      <c r="T4" s="374">
        <v>9570.0</v>
      </c>
      <c r="U4" s="374">
        <v>8820.0</v>
      </c>
      <c r="V4" s="374">
        <v>0.0</v>
      </c>
      <c r="W4" s="374">
        <v>750.0</v>
      </c>
      <c r="X4" s="374">
        <v>0.0</v>
      </c>
      <c r="Y4" s="374">
        <v>17670.0</v>
      </c>
      <c r="Z4" s="372"/>
      <c r="AA4" s="375"/>
      <c r="AB4" s="374">
        <v>3.0</v>
      </c>
      <c r="AC4" s="374">
        <v>-11000.0</v>
      </c>
      <c r="AD4" s="374" t="s">
        <v>187</v>
      </c>
      <c r="AE4" s="372"/>
      <c r="AF4" s="375">
        <v>-14216.666666666666</v>
      </c>
      <c r="AG4" s="374">
        <v>-14216.666666666666</v>
      </c>
      <c r="AH4" s="374">
        <v>0.0</v>
      </c>
      <c r="AI4" s="374">
        <v>-28433.333333333332</v>
      </c>
    </row>
    <row r="5">
      <c r="A5" s="372" t="str">
        <f>'Partnership Info'!$D$10</f>
        <v>ROW</v>
      </c>
      <c r="B5" s="372" t="str">
        <f>'Partnership Info'!$D$2</f>
        <v>Partner</v>
      </c>
      <c r="C5" s="372" t="str">
        <f>'Partnership Info'!$D$5</f>
        <v>Leon Ribeiro</v>
      </c>
      <c r="D5" s="372" t="str">
        <f>'Partnership Info'!$D$6</f>
        <v>Edgar Balby</v>
      </c>
      <c r="E5" s="372" t="str">
        <f>'Partnership Info'!$D$7</f>
        <v>Agata Lech</v>
      </c>
      <c r="F5" s="241" t="s">
        <v>32</v>
      </c>
      <c r="G5" s="241" t="s">
        <v>149</v>
      </c>
      <c r="H5" s="375">
        <v>0.0</v>
      </c>
      <c r="I5" s="373" t="s">
        <v>265</v>
      </c>
      <c r="J5" s="374">
        <v>0.0</v>
      </c>
      <c r="K5" s="373"/>
      <c r="L5" s="375">
        <v>0.0</v>
      </c>
      <c r="M5" s="374">
        <v>0.0</v>
      </c>
      <c r="N5" s="372"/>
      <c r="O5" s="374">
        <v>0.0</v>
      </c>
      <c r="P5" s="374" t="s">
        <v>265</v>
      </c>
      <c r="Q5" s="374">
        <v>0.0</v>
      </c>
      <c r="R5" s="374">
        <v>0.0</v>
      </c>
      <c r="S5" s="372"/>
      <c r="T5" s="374">
        <v>0.0</v>
      </c>
      <c r="U5" s="374"/>
      <c r="V5" s="374"/>
      <c r="W5" s="374"/>
      <c r="X5" s="374">
        <v>0.0</v>
      </c>
      <c r="Y5" s="374">
        <v>0.0</v>
      </c>
      <c r="Z5" s="372"/>
      <c r="AA5" s="375"/>
      <c r="AB5" s="374">
        <v>0.0</v>
      </c>
      <c r="AC5" s="374">
        <v>0.0</v>
      </c>
      <c r="AD5" s="374">
        <v>0.0</v>
      </c>
      <c r="AE5" s="372"/>
      <c r="AF5" s="375">
        <v>0.0</v>
      </c>
      <c r="AG5" s="372"/>
      <c r="AH5" s="372"/>
      <c r="AI5" s="374">
        <v>0.0</v>
      </c>
    </row>
    <row r="6">
      <c r="A6" s="372" t="str">
        <f>'Partnership Info'!$D$10</f>
        <v>ROW</v>
      </c>
      <c r="B6" s="372" t="str">
        <f>'Partnership Info'!$D$2</f>
        <v>Partner</v>
      </c>
      <c r="C6" s="372" t="str">
        <f>'Partnership Info'!$D$5</f>
        <v>Leon Ribeiro</v>
      </c>
      <c r="D6" s="372" t="str">
        <f>'Partnership Info'!$D$6</f>
        <v>Edgar Balby</v>
      </c>
      <c r="E6" s="372" t="str">
        <f>'Partnership Info'!$D$7</f>
        <v>Agata Lech</v>
      </c>
      <c r="F6" s="241" t="s">
        <v>33</v>
      </c>
      <c r="G6" s="241" t="s">
        <v>150</v>
      </c>
      <c r="H6" s="375">
        <f t="array" ref="H6:AI7">TRANSPOSE('Actual v Plan'!N5:O32)</f>
        <v>11</v>
      </c>
      <c r="I6" s="373">
        <v>0.18</v>
      </c>
      <c r="J6" s="374">
        <v>21.0</v>
      </c>
      <c r="K6" s="373"/>
      <c r="L6" s="375">
        <v>2.0</v>
      </c>
      <c r="M6" s="374">
        <v>4.0</v>
      </c>
      <c r="N6" s="372"/>
      <c r="O6" s="374">
        <v>2450.0000000000005</v>
      </c>
      <c r="P6" s="374">
        <v>1200.0</v>
      </c>
      <c r="Q6" s="374">
        <v>29400.000000000007</v>
      </c>
      <c r="R6" s="374">
        <v>75600.0</v>
      </c>
      <c r="S6" s="372"/>
      <c r="T6" s="374">
        <v>28990.0</v>
      </c>
      <c r="U6" s="374">
        <v>10290.000000000002</v>
      </c>
      <c r="V6" s="374">
        <v>0.0</v>
      </c>
      <c r="W6" s="374">
        <v>1500.0</v>
      </c>
      <c r="X6" s="374">
        <v>17200.0</v>
      </c>
      <c r="Y6" s="374">
        <v>46660.0</v>
      </c>
      <c r="Z6" s="372"/>
      <c r="AA6" s="375"/>
      <c r="AB6" s="374">
        <v>2.0</v>
      </c>
      <c r="AC6" s="374">
        <v>-1200.0</v>
      </c>
      <c r="AD6" s="374" t="s">
        <v>187</v>
      </c>
      <c r="AE6" s="372"/>
      <c r="AF6" s="375">
        <v>-14216.666666666666</v>
      </c>
      <c r="AG6" s="374">
        <v>-14216.666666666666</v>
      </c>
      <c r="AH6" s="374">
        <v>0.0</v>
      </c>
      <c r="AI6" s="374">
        <v>-42650.0</v>
      </c>
    </row>
    <row r="7">
      <c r="A7" s="372" t="str">
        <f>'Partnership Info'!$D$10</f>
        <v>ROW</v>
      </c>
      <c r="B7" s="372" t="str">
        <f>'Partnership Info'!$D$2</f>
        <v>Partner</v>
      </c>
      <c r="C7" s="372" t="str">
        <f>'Partnership Info'!$D$5</f>
        <v>Leon Ribeiro</v>
      </c>
      <c r="D7" s="372" t="str">
        <f>'Partnership Info'!$D$6</f>
        <v>Edgar Balby</v>
      </c>
      <c r="E7" s="372" t="str">
        <f>'Partnership Info'!$D$7</f>
        <v>Agata Lech</v>
      </c>
      <c r="F7" s="241" t="s">
        <v>33</v>
      </c>
      <c r="G7" s="241" t="s">
        <v>149</v>
      </c>
      <c r="H7" s="375">
        <v>0.0</v>
      </c>
      <c r="I7" s="373" t="s">
        <v>265</v>
      </c>
      <c r="J7" s="374">
        <v>0.0</v>
      </c>
      <c r="K7" s="373"/>
      <c r="L7" s="375">
        <v>0.0</v>
      </c>
      <c r="M7" s="374">
        <v>0.0</v>
      </c>
      <c r="N7" s="372"/>
      <c r="O7" s="374">
        <v>0.0</v>
      </c>
      <c r="P7" s="374" t="s">
        <v>265</v>
      </c>
      <c r="Q7" s="374">
        <v>0.0</v>
      </c>
      <c r="R7" s="374">
        <v>0.0</v>
      </c>
      <c r="S7" s="372"/>
      <c r="T7" s="374">
        <v>0.0</v>
      </c>
      <c r="U7" s="374"/>
      <c r="V7" s="374"/>
      <c r="W7" s="374"/>
      <c r="X7" s="374">
        <v>0.0</v>
      </c>
      <c r="Y7" s="374">
        <v>0.0</v>
      </c>
      <c r="Z7" s="372"/>
      <c r="AA7" s="375"/>
      <c r="AB7" s="374">
        <v>0.0</v>
      </c>
      <c r="AC7" s="374">
        <v>0.0</v>
      </c>
      <c r="AD7" s="374">
        <v>0.0</v>
      </c>
      <c r="AE7" s="372"/>
      <c r="AF7" s="375">
        <v>0.0</v>
      </c>
      <c r="AG7" s="372"/>
      <c r="AH7" s="372"/>
      <c r="AI7" s="374">
        <v>0.0</v>
      </c>
    </row>
    <row r="8">
      <c r="A8" s="372" t="str">
        <f>'Partnership Info'!$D$10</f>
        <v>ROW</v>
      </c>
      <c r="B8" s="372" t="str">
        <f>'Partnership Info'!$D$2</f>
        <v>Partner</v>
      </c>
      <c r="C8" s="372" t="str">
        <f>'Partnership Info'!$D$5</f>
        <v>Leon Ribeiro</v>
      </c>
      <c r="D8" s="372" t="str">
        <f>'Partnership Info'!$D$6</f>
        <v>Edgar Balby</v>
      </c>
      <c r="E8" s="372" t="str">
        <f>'Partnership Info'!$D$7</f>
        <v>Agata Lech</v>
      </c>
      <c r="F8" s="241" t="s">
        <v>34</v>
      </c>
      <c r="G8" s="241" t="s">
        <v>150</v>
      </c>
      <c r="H8" s="375">
        <f t="array" ref="H8:AI9">TRANSPOSE('Actual v Plan'!S5:T32)</f>
        <v>5</v>
      </c>
      <c r="I8" s="373">
        <v>0.18</v>
      </c>
      <c r="J8" s="374">
        <v>26.0</v>
      </c>
      <c r="K8" s="373"/>
      <c r="L8" s="375">
        <v>1.0</v>
      </c>
      <c r="M8" s="374">
        <v>5.0</v>
      </c>
      <c r="N8" s="372"/>
      <c r="O8" s="374">
        <v>2100.0</v>
      </c>
      <c r="P8" s="374">
        <v>1200.0</v>
      </c>
      <c r="Q8" s="374">
        <v>25200.0</v>
      </c>
      <c r="R8" s="374">
        <v>100800.0</v>
      </c>
      <c r="S8" s="372"/>
      <c r="T8" s="374">
        <v>10320.0</v>
      </c>
      <c r="U8" s="374">
        <v>8820.0</v>
      </c>
      <c r="V8" s="374">
        <v>0.0</v>
      </c>
      <c r="W8" s="374">
        <v>1500.0</v>
      </c>
      <c r="X8" s="374">
        <v>0.0</v>
      </c>
      <c r="Y8" s="374">
        <v>56980.0</v>
      </c>
      <c r="Z8" s="372"/>
      <c r="AA8" s="375"/>
      <c r="AB8" s="374">
        <v>3.0</v>
      </c>
      <c r="AC8" s="374">
        <v>-1700.0</v>
      </c>
      <c r="AD8" s="374" t="s">
        <v>187</v>
      </c>
      <c r="AE8" s="372"/>
      <c r="AF8" s="375">
        <v>-14216.666666666666</v>
      </c>
      <c r="AG8" s="374">
        <v>-14216.666666666666</v>
      </c>
      <c r="AH8" s="374">
        <v>0.0</v>
      </c>
      <c r="AI8" s="374">
        <v>-56866.666666666664</v>
      </c>
    </row>
    <row r="9">
      <c r="A9" s="372" t="str">
        <f>'Partnership Info'!$D$10</f>
        <v>ROW</v>
      </c>
      <c r="B9" s="372" t="str">
        <f>'Partnership Info'!$D$2</f>
        <v>Partner</v>
      </c>
      <c r="C9" s="372" t="str">
        <f>'Partnership Info'!$D$5</f>
        <v>Leon Ribeiro</v>
      </c>
      <c r="D9" s="372" t="str">
        <f>'Partnership Info'!$D$6</f>
        <v>Edgar Balby</v>
      </c>
      <c r="E9" s="372" t="str">
        <f>'Partnership Info'!$D$7</f>
        <v>Agata Lech</v>
      </c>
      <c r="F9" s="241" t="s">
        <v>34</v>
      </c>
      <c r="G9" s="241" t="s">
        <v>149</v>
      </c>
      <c r="H9" s="375">
        <v>0.0</v>
      </c>
      <c r="I9" s="373" t="s">
        <v>265</v>
      </c>
      <c r="J9" s="374">
        <v>0.0</v>
      </c>
      <c r="K9" s="373"/>
      <c r="L9" s="375">
        <v>0.0</v>
      </c>
      <c r="M9" s="374">
        <v>0.0</v>
      </c>
      <c r="N9" s="372"/>
      <c r="O9" s="374">
        <v>0.0</v>
      </c>
      <c r="P9" s="374" t="s">
        <v>265</v>
      </c>
      <c r="Q9" s="374">
        <v>0.0</v>
      </c>
      <c r="R9" s="374">
        <v>0.0</v>
      </c>
      <c r="S9" s="372"/>
      <c r="T9" s="374">
        <v>0.0</v>
      </c>
      <c r="U9" s="374"/>
      <c r="V9" s="374"/>
      <c r="W9" s="374"/>
      <c r="X9" s="374">
        <v>0.0</v>
      </c>
      <c r="Y9" s="374">
        <v>0.0</v>
      </c>
      <c r="Z9" s="372"/>
      <c r="AA9" s="375"/>
      <c r="AB9" s="374">
        <v>0.0</v>
      </c>
      <c r="AC9" s="374">
        <v>0.0</v>
      </c>
      <c r="AD9" s="374">
        <v>0.0</v>
      </c>
      <c r="AE9" s="372"/>
      <c r="AF9" s="375">
        <v>0.0</v>
      </c>
      <c r="AG9" s="372"/>
      <c r="AH9" s="372"/>
      <c r="AI9" s="374">
        <v>0.0</v>
      </c>
    </row>
    <row r="10">
      <c r="A10" s="372" t="str">
        <f>'Partnership Info'!$D$10</f>
        <v>ROW</v>
      </c>
      <c r="B10" s="372" t="str">
        <f>'Partnership Info'!$D$2</f>
        <v>Partner</v>
      </c>
      <c r="C10" s="372" t="str">
        <f>'Partnership Info'!$D$5</f>
        <v>Leon Ribeiro</v>
      </c>
      <c r="D10" s="372" t="str">
        <f>'Partnership Info'!$D$6</f>
        <v>Edgar Balby</v>
      </c>
      <c r="E10" s="372" t="str">
        <f>'Partnership Info'!$D$7</f>
        <v>Agata Lech</v>
      </c>
      <c r="F10" s="241" t="s">
        <v>35</v>
      </c>
      <c r="G10" s="241" t="s">
        <v>150</v>
      </c>
      <c r="H10" s="375">
        <f t="array" ref="H10:AI11">TRANSPOSE('Actual v Plan'!X5:Y32)</f>
        <v>11</v>
      </c>
      <c r="I10" s="373">
        <v>0.18</v>
      </c>
      <c r="J10" s="374">
        <v>37.0</v>
      </c>
      <c r="K10" s="373"/>
      <c r="L10" s="375">
        <v>2.0</v>
      </c>
      <c r="M10" s="374">
        <v>7.0</v>
      </c>
      <c r="N10" s="372"/>
      <c r="O10" s="374">
        <v>2450.0000000000005</v>
      </c>
      <c r="P10" s="374">
        <v>1200.0</v>
      </c>
      <c r="Q10" s="374">
        <v>29400.000000000007</v>
      </c>
      <c r="R10" s="374">
        <v>130200.0</v>
      </c>
      <c r="S10" s="372"/>
      <c r="T10" s="374">
        <v>13290.000000000002</v>
      </c>
      <c r="U10" s="374">
        <v>10290.000000000002</v>
      </c>
      <c r="V10" s="374">
        <v>0.0</v>
      </c>
      <c r="W10" s="374">
        <v>3000.0</v>
      </c>
      <c r="X10" s="374">
        <v>0.0</v>
      </c>
      <c r="Y10" s="374">
        <v>70270.0</v>
      </c>
      <c r="Z10" s="372"/>
      <c r="AA10" s="375"/>
      <c r="AB10" s="374">
        <v>3.0</v>
      </c>
      <c r="AC10" s="374">
        <v>-8700.0</v>
      </c>
      <c r="AD10" s="374" t="s">
        <v>187</v>
      </c>
      <c r="AE10" s="372"/>
      <c r="AF10" s="375">
        <v>-14216.666666666666</v>
      </c>
      <c r="AG10" s="374">
        <v>-14216.666666666666</v>
      </c>
      <c r="AH10" s="374">
        <v>0.0</v>
      </c>
      <c r="AI10" s="374">
        <v>-71083.33333333333</v>
      </c>
    </row>
    <row r="11">
      <c r="A11" s="372" t="str">
        <f>'Partnership Info'!$D$10</f>
        <v>ROW</v>
      </c>
      <c r="B11" s="372" t="str">
        <f>'Partnership Info'!$D$2</f>
        <v>Partner</v>
      </c>
      <c r="C11" s="372" t="str">
        <f>'Partnership Info'!$D$5</f>
        <v>Leon Ribeiro</v>
      </c>
      <c r="D11" s="372" t="str">
        <f>'Partnership Info'!$D$6</f>
        <v>Edgar Balby</v>
      </c>
      <c r="E11" s="372" t="str">
        <f>'Partnership Info'!$D$7</f>
        <v>Agata Lech</v>
      </c>
      <c r="F11" s="241" t="s">
        <v>35</v>
      </c>
      <c r="G11" s="241" t="s">
        <v>149</v>
      </c>
      <c r="H11" s="375">
        <v>0.0</v>
      </c>
      <c r="I11" s="373" t="s">
        <v>265</v>
      </c>
      <c r="J11" s="374">
        <v>0.0</v>
      </c>
      <c r="K11" s="373"/>
      <c r="L11" s="375">
        <v>0.0</v>
      </c>
      <c r="M11" s="374">
        <v>0.0</v>
      </c>
      <c r="N11" s="372"/>
      <c r="O11" s="374">
        <v>0.0</v>
      </c>
      <c r="P11" s="374" t="s">
        <v>265</v>
      </c>
      <c r="Q11" s="374">
        <v>0.0</v>
      </c>
      <c r="R11" s="374">
        <v>0.0</v>
      </c>
      <c r="S11" s="372"/>
      <c r="T11" s="374">
        <v>0.0</v>
      </c>
      <c r="U11" s="374"/>
      <c r="V11" s="374"/>
      <c r="W11" s="374"/>
      <c r="X11" s="374">
        <v>0.0</v>
      </c>
      <c r="Y11" s="374">
        <v>0.0</v>
      </c>
      <c r="Z11" s="372"/>
      <c r="AA11" s="375"/>
      <c r="AB11" s="374">
        <v>0.0</v>
      </c>
      <c r="AC11" s="374">
        <v>0.0</v>
      </c>
      <c r="AD11" s="374">
        <v>0.0</v>
      </c>
      <c r="AE11" s="372"/>
      <c r="AF11" s="375">
        <v>0.0</v>
      </c>
      <c r="AG11" s="372"/>
      <c r="AH11" s="372"/>
      <c r="AI11" s="374">
        <v>0.0</v>
      </c>
    </row>
    <row r="12">
      <c r="A12" s="372" t="str">
        <f>'Partnership Info'!$D$10</f>
        <v>ROW</v>
      </c>
      <c r="B12" s="372" t="str">
        <f>'Partnership Info'!$D$2</f>
        <v>Partner</v>
      </c>
      <c r="C12" s="372" t="str">
        <f>'Partnership Info'!$D$5</f>
        <v>Leon Ribeiro</v>
      </c>
      <c r="D12" s="372" t="str">
        <f>'Partnership Info'!$D$6</f>
        <v>Edgar Balby</v>
      </c>
      <c r="E12" s="372" t="str">
        <f>'Partnership Info'!$D$7</f>
        <v>Agata Lech</v>
      </c>
      <c r="F12" s="241" t="s">
        <v>36</v>
      </c>
      <c r="G12" s="241" t="s">
        <v>150</v>
      </c>
      <c r="H12" s="375">
        <f t="array" ref="H12:AI13">TRANSPOSE('Actual v Plan'!AC5:AD32)</f>
        <v>16</v>
      </c>
      <c r="I12" s="373">
        <v>0.18</v>
      </c>
      <c r="J12" s="374">
        <v>53.0</v>
      </c>
      <c r="K12" s="373"/>
      <c r="L12" s="375">
        <v>3.0</v>
      </c>
      <c r="M12" s="374">
        <v>10.0</v>
      </c>
      <c r="N12" s="372"/>
      <c r="O12" s="374">
        <v>4200.0</v>
      </c>
      <c r="P12" s="374">
        <v>1200.0</v>
      </c>
      <c r="Q12" s="374">
        <v>50400.0</v>
      </c>
      <c r="R12" s="374">
        <v>180600.0</v>
      </c>
      <c r="S12" s="372"/>
      <c r="T12" s="374">
        <v>35690.0</v>
      </c>
      <c r="U12" s="374">
        <v>17640.0</v>
      </c>
      <c r="V12" s="374">
        <v>0.0</v>
      </c>
      <c r="W12" s="374">
        <v>4500.0</v>
      </c>
      <c r="X12" s="374">
        <v>13550.0</v>
      </c>
      <c r="Y12" s="374">
        <v>105960.0</v>
      </c>
      <c r="Z12" s="372"/>
      <c r="AA12" s="375"/>
      <c r="AB12" s="374">
        <v>2.0</v>
      </c>
      <c r="AC12" s="374">
        <v>-1200.0</v>
      </c>
      <c r="AD12" s="374" t="s">
        <v>187</v>
      </c>
      <c r="AE12" s="372"/>
      <c r="AF12" s="375">
        <v>-14216.666666666666</v>
      </c>
      <c r="AG12" s="374">
        <v>-14216.666666666666</v>
      </c>
      <c r="AH12" s="374">
        <v>0.0</v>
      </c>
      <c r="AI12" s="374">
        <v>-85300.0</v>
      </c>
    </row>
    <row r="13">
      <c r="A13" s="372" t="str">
        <f>'Partnership Info'!$D$10</f>
        <v>ROW</v>
      </c>
      <c r="B13" s="372" t="str">
        <f>'Partnership Info'!$D$2</f>
        <v>Partner</v>
      </c>
      <c r="C13" s="372" t="str">
        <f>'Partnership Info'!$D$5</f>
        <v>Leon Ribeiro</v>
      </c>
      <c r="D13" s="372" t="str">
        <f>'Partnership Info'!$D$6</f>
        <v>Edgar Balby</v>
      </c>
      <c r="E13" s="372" t="str">
        <f>'Partnership Info'!$D$7</f>
        <v>Agata Lech</v>
      </c>
      <c r="F13" s="241" t="s">
        <v>36</v>
      </c>
      <c r="G13" s="241" t="s">
        <v>149</v>
      </c>
      <c r="H13" s="375">
        <v>0.0</v>
      </c>
      <c r="I13" s="373" t="s">
        <v>265</v>
      </c>
      <c r="J13" s="374">
        <v>0.0</v>
      </c>
      <c r="K13" s="373"/>
      <c r="L13" s="375">
        <v>0.0</v>
      </c>
      <c r="M13" s="374">
        <v>0.0</v>
      </c>
      <c r="N13" s="372"/>
      <c r="O13" s="374">
        <v>0.0</v>
      </c>
      <c r="P13" s="374" t="s">
        <v>265</v>
      </c>
      <c r="Q13" s="374">
        <v>0.0</v>
      </c>
      <c r="R13" s="374">
        <v>0.0</v>
      </c>
      <c r="S13" s="372"/>
      <c r="T13" s="374">
        <v>0.0</v>
      </c>
      <c r="U13" s="374"/>
      <c r="V13" s="374"/>
      <c r="W13" s="374"/>
      <c r="X13" s="374">
        <v>0.0</v>
      </c>
      <c r="Y13" s="374">
        <v>0.0</v>
      </c>
      <c r="Z13" s="372"/>
      <c r="AA13" s="375"/>
      <c r="AB13" s="374">
        <v>0.0</v>
      </c>
      <c r="AC13" s="374">
        <v>0.0</v>
      </c>
      <c r="AD13" s="374">
        <v>0.0</v>
      </c>
      <c r="AE13" s="372"/>
      <c r="AF13" s="375">
        <v>0.0</v>
      </c>
      <c r="AG13" s="372"/>
      <c r="AH13" s="372"/>
      <c r="AI13" s="374">
        <v>0.0</v>
      </c>
    </row>
    <row r="14">
      <c r="A14" s="372" t="str">
        <f>'Partnership Info'!$D$10</f>
        <v>ROW</v>
      </c>
      <c r="B14" s="372" t="str">
        <f>'Partnership Info'!$D$2</f>
        <v>Partner</v>
      </c>
      <c r="C14" s="372" t="str">
        <f>'Partnership Info'!$D$5</f>
        <v>Leon Ribeiro</v>
      </c>
      <c r="D14" s="372" t="str">
        <f>'Partnership Info'!$D$6</f>
        <v>Edgar Balby</v>
      </c>
      <c r="E14" s="372" t="str">
        <f>'Partnership Info'!$D$7</f>
        <v>Agata Lech</v>
      </c>
      <c r="F14" s="241" t="s">
        <v>37</v>
      </c>
      <c r="G14" s="241" t="s">
        <v>150</v>
      </c>
      <c r="H14" s="375">
        <f t="array" ref="H14:AI15">TRANSPOSE('Actual v Plan'!AH5:AI32)</f>
        <v>11</v>
      </c>
      <c r="I14" s="373">
        <v>0.18</v>
      </c>
      <c r="J14" s="374">
        <v>64.0</v>
      </c>
      <c r="K14" s="373"/>
      <c r="L14" s="375">
        <v>2.0</v>
      </c>
      <c r="M14" s="374">
        <v>12.0</v>
      </c>
      <c r="N14" s="372"/>
      <c r="O14" s="374">
        <v>2450.0000000000005</v>
      </c>
      <c r="P14" s="374">
        <v>1200.0</v>
      </c>
      <c r="Q14" s="374">
        <v>29400.000000000007</v>
      </c>
      <c r="R14" s="374">
        <v>210000.0</v>
      </c>
      <c r="S14" s="372"/>
      <c r="T14" s="374">
        <v>16290.000000000002</v>
      </c>
      <c r="U14" s="374">
        <v>10290.000000000002</v>
      </c>
      <c r="V14" s="374">
        <v>0.0</v>
      </c>
      <c r="W14" s="374">
        <v>6000.0</v>
      </c>
      <c r="X14" s="374">
        <v>0.0</v>
      </c>
      <c r="Y14" s="374">
        <v>122250.0</v>
      </c>
      <c r="Z14" s="372"/>
      <c r="AA14" s="375"/>
      <c r="AB14" s="374">
        <v>4.0</v>
      </c>
      <c r="AC14" s="374">
        <v>-9200.0</v>
      </c>
      <c r="AD14" s="374" t="s">
        <v>187</v>
      </c>
      <c r="AE14" s="372"/>
      <c r="AF14" s="375">
        <v>-14216.666666666666</v>
      </c>
      <c r="AG14" s="374">
        <v>-14216.666666666666</v>
      </c>
      <c r="AH14" s="374">
        <v>0.0</v>
      </c>
      <c r="AI14" s="374">
        <v>-99516.66666666667</v>
      </c>
    </row>
    <row r="15">
      <c r="A15" s="372" t="str">
        <f>'Partnership Info'!$D$10</f>
        <v>ROW</v>
      </c>
      <c r="B15" s="372" t="str">
        <f>'Partnership Info'!$D$2</f>
        <v>Partner</v>
      </c>
      <c r="C15" s="372" t="str">
        <f>'Partnership Info'!$D$5</f>
        <v>Leon Ribeiro</v>
      </c>
      <c r="D15" s="372" t="str">
        <f>'Partnership Info'!$D$6</f>
        <v>Edgar Balby</v>
      </c>
      <c r="E15" s="372" t="str">
        <f>'Partnership Info'!$D$7</f>
        <v>Agata Lech</v>
      </c>
      <c r="F15" s="241" t="s">
        <v>37</v>
      </c>
      <c r="G15" s="241" t="s">
        <v>149</v>
      </c>
      <c r="H15" s="375">
        <v>0.0</v>
      </c>
      <c r="I15" s="373" t="s">
        <v>265</v>
      </c>
      <c r="J15" s="374">
        <v>0.0</v>
      </c>
      <c r="K15" s="373"/>
      <c r="L15" s="375">
        <v>0.0</v>
      </c>
      <c r="M15" s="374">
        <v>0.0</v>
      </c>
      <c r="N15" s="372"/>
      <c r="O15" s="374">
        <v>0.0</v>
      </c>
      <c r="P15" s="374" t="s">
        <v>265</v>
      </c>
      <c r="Q15" s="374">
        <v>0.0</v>
      </c>
      <c r="R15" s="374">
        <v>0.0</v>
      </c>
      <c r="S15" s="372"/>
      <c r="T15" s="374">
        <v>0.0</v>
      </c>
      <c r="U15" s="374"/>
      <c r="V15" s="374"/>
      <c r="W15" s="374"/>
      <c r="X15" s="374">
        <v>0.0</v>
      </c>
      <c r="Y15" s="374">
        <v>0.0</v>
      </c>
      <c r="Z15" s="372"/>
      <c r="AA15" s="375"/>
      <c r="AB15" s="374">
        <v>0.0</v>
      </c>
      <c r="AC15" s="374">
        <v>0.0</v>
      </c>
      <c r="AD15" s="374">
        <v>0.0</v>
      </c>
      <c r="AE15" s="372"/>
      <c r="AF15" s="375">
        <v>0.0</v>
      </c>
      <c r="AG15" s="372"/>
      <c r="AH15" s="372"/>
      <c r="AI15" s="374">
        <v>0.0</v>
      </c>
    </row>
    <row r="16">
      <c r="A16" s="372" t="str">
        <f>'Partnership Info'!$D$10</f>
        <v>ROW</v>
      </c>
      <c r="B16" s="372" t="str">
        <f>'Partnership Info'!$D$2</f>
        <v>Partner</v>
      </c>
      <c r="C16" s="372" t="str">
        <f>'Partnership Info'!$D$5</f>
        <v>Leon Ribeiro</v>
      </c>
      <c r="D16" s="372" t="str">
        <f>'Partnership Info'!$D$6</f>
        <v>Edgar Balby</v>
      </c>
      <c r="E16" s="372" t="str">
        <f>'Partnership Info'!$D$7</f>
        <v>Agata Lech</v>
      </c>
      <c r="F16" s="241" t="s">
        <v>38</v>
      </c>
      <c r="G16" s="241" t="s">
        <v>150</v>
      </c>
      <c r="H16" s="375">
        <f t="array" ref="H16:AI17">TRANSPOSE('Actual v Plan'!AM5:AN32)</f>
        <v>16</v>
      </c>
      <c r="I16" s="373">
        <v>0.18</v>
      </c>
      <c r="J16" s="374">
        <v>80.0</v>
      </c>
      <c r="K16" s="373"/>
      <c r="L16" s="375">
        <v>3.0</v>
      </c>
      <c r="M16" s="374">
        <v>15.0</v>
      </c>
      <c r="N16" s="372"/>
      <c r="O16" s="374">
        <v>2800.0</v>
      </c>
      <c r="P16" s="374">
        <v>1200.0</v>
      </c>
      <c r="Q16" s="374">
        <v>33600.0</v>
      </c>
      <c r="R16" s="374">
        <v>243600.0</v>
      </c>
      <c r="S16" s="372"/>
      <c r="T16" s="374">
        <v>20760.0</v>
      </c>
      <c r="U16" s="374">
        <v>11760.0</v>
      </c>
      <c r="V16" s="374">
        <v>0.0</v>
      </c>
      <c r="W16" s="374">
        <v>9000.0</v>
      </c>
      <c r="X16" s="374">
        <v>0.0</v>
      </c>
      <c r="Y16" s="374">
        <v>143010.0</v>
      </c>
      <c r="Z16" s="372"/>
      <c r="AA16" s="375"/>
      <c r="AB16" s="374">
        <v>2.0</v>
      </c>
      <c r="AC16" s="374">
        <v>-1200.0</v>
      </c>
      <c r="AD16" s="374" t="s">
        <v>187</v>
      </c>
      <c r="AE16" s="372"/>
      <c r="AF16" s="375">
        <v>-14216.666666666666</v>
      </c>
      <c r="AG16" s="374">
        <v>-14216.666666666666</v>
      </c>
      <c r="AH16" s="374">
        <v>0.0</v>
      </c>
      <c r="AI16" s="374">
        <v>-113733.33333333334</v>
      </c>
    </row>
    <row r="17">
      <c r="A17" s="372" t="str">
        <f>'Partnership Info'!$D$10</f>
        <v>ROW</v>
      </c>
      <c r="B17" s="372" t="str">
        <f>'Partnership Info'!$D$2</f>
        <v>Partner</v>
      </c>
      <c r="C17" s="372" t="str">
        <f>'Partnership Info'!$D$5</f>
        <v>Leon Ribeiro</v>
      </c>
      <c r="D17" s="372" t="str">
        <f>'Partnership Info'!$D$6</f>
        <v>Edgar Balby</v>
      </c>
      <c r="E17" s="372" t="str">
        <f>'Partnership Info'!$D$7</f>
        <v>Agata Lech</v>
      </c>
      <c r="F17" s="241" t="s">
        <v>38</v>
      </c>
      <c r="G17" s="241" t="s">
        <v>149</v>
      </c>
      <c r="H17" s="375">
        <v>0.0</v>
      </c>
      <c r="I17" s="373" t="s">
        <v>265</v>
      </c>
      <c r="J17" s="374">
        <v>0.0</v>
      </c>
      <c r="K17" s="373"/>
      <c r="L17" s="375">
        <v>0.0</v>
      </c>
      <c r="M17" s="374">
        <v>0.0</v>
      </c>
      <c r="N17" s="372"/>
      <c r="O17" s="374">
        <v>0.0</v>
      </c>
      <c r="P17" s="374" t="s">
        <v>265</v>
      </c>
      <c r="Q17" s="374">
        <v>0.0</v>
      </c>
      <c r="R17" s="374">
        <v>0.0</v>
      </c>
      <c r="S17" s="372"/>
      <c r="T17" s="374">
        <v>0.0</v>
      </c>
      <c r="U17" s="374"/>
      <c r="V17" s="374"/>
      <c r="W17" s="374"/>
      <c r="X17" s="374">
        <v>0.0</v>
      </c>
      <c r="Y17" s="374">
        <v>0.0</v>
      </c>
      <c r="Z17" s="372"/>
      <c r="AA17" s="375"/>
      <c r="AB17" s="374">
        <v>0.0</v>
      </c>
      <c r="AC17" s="374">
        <v>0.0</v>
      </c>
      <c r="AD17" s="374">
        <v>0.0</v>
      </c>
      <c r="AE17" s="372"/>
      <c r="AF17" s="375">
        <v>0.0</v>
      </c>
      <c r="AG17" s="372"/>
      <c r="AH17" s="372"/>
      <c r="AI17" s="374">
        <v>0.0</v>
      </c>
    </row>
    <row r="18">
      <c r="A18" s="372" t="str">
        <f>'Partnership Info'!$D$10</f>
        <v>ROW</v>
      </c>
      <c r="B18" s="372" t="str">
        <f>'Partnership Info'!$D$2</f>
        <v>Partner</v>
      </c>
      <c r="C18" s="372" t="str">
        <f>'Partnership Info'!$D$5</f>
        <v>Leon Ribeiro</v>
      </c>
      <c r="D18" s="372" t="str">
        <f>'Partnership Info'!$D$6</f>
        <v>Edgar Balby</v>
      </c>
      <c r="E18" s="372" t="str">
        <f>'Partnership Info'!$D$7</f>
        <v>Agata Lech</v>
      </c>
      <c r="F18" s="241" t="s">
        <v>39</v>
      </c>
      <c r="G18" s="241" t="s">
        <v>150</v>
      </c>
      <c r="H18" s="375">
        <f t="array" ref="H18:AI19">TRANSPOSE('Actual v Plan'!AR5:AS32)</f>
        <v>16</v>
      </c>
      <c r="I18" s="373">
        <v>0.18</v>
      </c>
      <c r="J18" s="374">
        <v>96.0</v>
      </c>
      <c r="K18" s="373"/>
      <c r="L18" s="375">
        <v>3.0</v>
      </c>
      <c r="M18" s="374">
        <v>18.0</v>
      </c>
      <c r="N18" s="372"/>
      <c r="O18" s="374">
        <v>3850.0</v>
      </c>
      <c r="P18" s="374">
        <v>1200.0</v>
      </c>
      <c r="Q18" s="374">
        <v>46200.0</v>
      </c>
      <c r="R18" s="374">
        <v>289800.0</v>
      </c>
      <c r="S18" s="372"/>
      <c r="T18" s="374">
        <v>39220.0</v>
      </c>
      <c r="U18" s="374">
        <v>16169.999999999998</v>
      </c>
      <c r="V18" s="374">
        <v>0.0</v>
      </c>
      <c r="W18" s="374">
        <v>9000.0</v>
      </c>
      <c r="X18" s="374">
        <v>14050.0</v>
      </c>
      <c r="Y18" s="374">
        <v>182230.0</v>
      </c>
      <c r="Z18" s="372"/>
      <c r="AA18" s="375"/>
      <c r="AB18" s="374">
        <v>2.0</v>
      </c>
      <c r="AC18" s="374">
        <v>-1200.0</v>
      </c>
      <c r="AD18" s="374" t="s">
        <v>187</v>
      </c>
      <c r="AE18" s="372"/>
      <c r="AF18" s="375">
        <v>-14216.666666666666</v>
      </c>
      <c r="AG18" s="374">
        <v>-14216.666666666666</v>
      </c>
      <c r="AH18" s="374">
        <v>0.0</v>
      </c>
      <c r="AI18" s="374">
        <v>-127950.00000000001</v>
      </c>
    </row>
    <row r="19">
      <c r="A19" s="372" t="str">
        <f>'Partnership Info'!$D$10</f>
        <v>ROW</v>
      </c>
      <c r="B19" s="372" t="str">
        <f>'Partnership Info'!$D$2</f>
        <v>Partner</v>
      </c>
      <c r="C19" s="372" t="str">
        <f>'Partnership Info'!$D$5</f>
        <v>Leon Ribeiro</v>
      </c>
      <c r="D19" s="372" t="str">
        <f>'Partnership Info'!$D$6</f>
        <v>Edgar Balby</v>
      </c>
      <c r="E19" s="372" t="str">
        <f>'Partnership Info'!$D$7</f>
        <v>Agata Lech</v>
      </c>
      <c r="F19" s="241" t="s">
        <v>39</v>
      </c>
      <c r="G19" s="241" t="s">
        <v>149</v>
      </c>
      <c r="H19" s="375">
        <v>0.0</v>
      </c>
      <c r="I19" s="373" t="s">
        <v>265</v>
      </c>
      <c r="J19" s="374">
        <v>0.0</v>
      </c>
      <c r="K19" s="373"/>
      <c r="L19" s="375">
        <v>0.0</v>
      </c>
      <c r="M19" s="374">
        <v>0.0</v>
      </c>
      <c r="N19" s="372"/>
      <c r="O19" s="374">
        <v>0.0</v>
      </c>
      <c r="P19" s="374" t="s">
        <v>265</v>
      </c>
      <c r="Q19" s="374">
        <v>0.0</v>
      </c>
      <c r="R19" s="374">
        <v>0.0</v>
      </c>
      <c r="S19" s="372"/>
      <c r="T19" s="374">
        <v>0.0</v>
      </c>
      <c r="U19" s="374"/>
      <c r="V19" s="374"/>
      <c r="W19" s="374"/>
      <c r="X19" s="374">
        <v>0.0</v>
      </c>
      <c r="Y19" s="374">
        <v>0.0</v>
      </c>
      <c r="Z19" s="372"/>
      <c r="AA19" s="375"/>
      <c r="AB19" s="374">
        <v>0.0</v>
      </c>
      <c r="AC19" s="374">
        <v>0.0</v>
      </c>
      <c r="AD19" s="374">
        <v>0.0</v>
      </c>
      <c r="AE19" s="372"/>
      <c r="AF19" s="375">
        <v>0.0</v>
      </c>
      <c r="AG19" s="372"/>
      <c r="AH19" s="372"/>
      <c r="AI19" s="374">
        <v>0.0</v>
      </c>
    </row>
    <row r="20">
      <c r="A20" s="372" t="str">
        <f>'Partnership Info'!$D$10</f>
        <v>ROW</v>
      </c>
      <c r="B20" s="372" t="str">
        <f>'Partnership Info'!$D$2</f>
        <v>Partner</v>
      </c>
      <c r="C20" s="372" t="str">
        <f>'Partnership Info'!$D$5</f>
        <v>Leon Ribeiro</v>
      </c>
      <c r="D20" s="372" t="str">
        <f>'Partnership Info'!$D$6</f>
        <v>Edgar Balby</v>
      </c>
      <c r="E20" s="372" t="str">
        <f>'Partnership Info'!$D$7</f>
        <v>Agata Lech</v>
      </c>
      <c r="F20" s="241" t="s">
        <v>40</v>
      </c>
      <c r="G20" s="241" t="s">
        <v>150</v>
      </c>
      <c r="H20" s="375">
        <f t="array" ref="H20:AI21">TRANSPOSE('Actual v Plan'!AW5:AX32)</f>
        <v>16</v>
      </c>
      <c r="I20" s="373">
        <v>0.18</v>
      </c>
      <c r="J20" s="374">
        <v>112.0</v>
      </c>
      <c r="K20" s="373"/>
      <c r="L20" s="375">
        <v>3.0</v>
      </c>
      <c r="M20" s="374">
        <v>21.0</v>
      </c>
      <c r="N20" s="372"/>
      <c r="O20" s="374">
        <v>4200.0</v>
      </c>
      <c r="P20" s="374">
        <v>1200.0</v>
      </c>
      <c r="Q20" s="374">
        <v>50400.0</v>
      </c>
      <c r="R20" s="374">
        <v>340200.0</v>
      </c>
      <c r="S20" s="372"/>
      <c r="T20" s="374">
        <v>26640.0</v>
      </c>
      <c r="U20" s="374">
        <v>17640.0</v>
      </c>
      <c r="V20" s="374">
        <v>0.0</v>
      </c>
      <c r="W20" s="374">
        <v>9000.0</v>
      </c>
      <c r="X20" s="374">
        <v>0.0</v>
      </c>
      <c r="Y20" s="374">
        <v>208870.0</v>
      </c>
      <c r="Z20" s="372"/>
      <c r="AA20" s="375"/>
      <c r="AB20" s="374">
        <v>4.0</v>
      </c>
      <c r="AC20" s="374">
        <v>-9200.0</v>
      </c>
      <c r="AD20" s="374" t="s">
        <v>187</v>
      </c>
      <c r="AE20" s="372"/>
      <c r="AF20" s="375">
        <v>-14216.666666666666</v>
      </c>
      <c r="AG20" s="374">
        <v>-14216.666666666666</v>
      </c>
      <c r="AH20" s="374">
        <v>0.0</v>
      </c>
      <c r="AI20" s="374">
        <v>-142166.6666666667</v>
      </c>
    </row>
    <row r="21">
      <c r="A21" s="372" t="str">
        <f>'Partnership Info'!$D$10</f>
        <v>ROW</v>
      </c>
      <c r="B21" s="372" t="str">
        <f>'Partnership Info'!$D$2</f>
        <v>Partner</v>
      </c>
      <c r="C21" s="372" t="str">
        <f>'Partnership Info'!$D$5</f>
        <v>Leon Ribeiro</v>
      </c>
      <c r="D21" s="372" t="str">
        <f>'Partnership Info'!$D$6</f>
        <v>Edgar Balby</v>
      </c>
      <c r="E21" s="372" t="str">
        <f>'Partnership Info'!$D$7</f>
        <v>Agata Lech</v>
      </c>
      <c r="F21" s="241" t="s">
        <v>40</v>
      </c>
      <c r="G21" s="241" t="s">
        <v>149</v>
      </c>
      <c r="H21" s="375">
        <v>0.0</v>
      </c>
      <c r="I21" s="373" t="s">
        <v>265</v>
      </c>
      <c r="J21" s="374">
        <v>0.0</v>
      </c>
      <c r="K21" s="373"/>
      <c r="L21" s="375">
        <v>0.0</v>
      </c>
      <c r="M21" s="374">
        <v>0.0</v>
      </c>
      <c r="N21" s="372"/>
      <c r="O21" s="374">
        <v>0.0</v>
      </c>
      <c r="P21" s="374" t="s">
        <v>265</v>
      </c>
      <c r="Q21" s="374">
        <v>0.0</v>
      </c>
      <c r="R21" s="374">
        <v>0.0</v>
      </c>
      <c r="S21" s="372"/>
      <c r="T21" s="374">
        <v>0.0</v>
      </c>
      <c r="U21" s="374"/>
      <c r="V21" s="374"/>
      <c r="W21" s="374"/>
      <c r="X21" s="374">
        <v>0.0</v>
      </c>
      <c r="Y21" s="374">
        <v>0.0</v>
      </c>
      <c r="Z21" s="372"/>
      <c r="AA21" s="375"/>
      <c r="AB21" s="374">
        <v>0.0</v>
      </c>
      <c r="AC21" s="374">
        <v>0.0</v>
      </c>
      <c r="AD21" s="374">
        <v>0.0</v>
      </c>
      <c r="AE21" s="372"/>
      <c r="AF21" s="375">
        <v>0.0</v>
      </c>
      <c r="AG21" s="372"/>
      <c r="AH21" s="372"/>
      <c r="AI21" s="374">
        <v>0.0</v>
      </c>
    </row>
    <row r="22">
      <c r="A22" s="372" t="str">
        <f>'Partnership Info'!$D$10</f>
        <v>ROW</v>
      </c>
      <c r="B22" s="372" t="str">
        <f>'Partnership Info'!$D$2</f>
        <v>Partner</v>
      </c>
      <c r="C22" s="372" t="str">
        <f>'Partnership Info'!$D$5</f>
        <v>Leon Ribeiro</v>
      </c>
      <c r="D22" s="372" t="str">
        <f>'Partnership Info'!$D$6</f>
        <v>Edgar Balby</v>
      </c>
      <c r="E22" s="372" t="str">
        <f>'Partnership Info'!$D$7</f>
        <v>Agata Lech</v>
      </c>
      <c r="F22" s="241" t="s">
        <v>41</v>
      </c>
      <c r="G22" s="241" t="s">
        <v>150</v>
      </c>
      <c r="H22" s="375">
        <f t="array" ref="H22:AI23">TRANSPOSE('Actual v Plan'!BB5:BC32)</f>
        <v>16</v>
      </c>
      <c r="I22" s="373">
        <v>0.18</v>
      </c>
      <c r="J22" s="374">
        <v>128.0</v>
      </c>
      <c r="K22" s="373"/>
      <c r="L22" s="375">
        <v>3.0</v>
      </c>
      <c r="M22" s="374">
        <v>24.0</v>
      </c>
      <c r="N22" s="372"/>
      <c r="O22" s="374">
        <v>4550.0</v>
      </c>
      <c r="P22" s="374">
        <v>1200.0</v>
      </c>
      <c r="Q22" s="374">
        <v>54600.0</v>
      </c>
      <c r="R22" s="374">
        <v>394800.0</v>
      </c>
      <c r="S22" s="372"/>
      <c r="T22" s="374">
        <v>28110.0</v>
      </c>
      <c r="U22" s="374">
        <v>19110.0</v>
      </c>
      <c r="V22" s="374">
        <v>0.0</v>
      </c>
      <c r="W22" s="374">
        <v>9000.0</v>
      </c>
      <c r="X22" s="374">
        <v>0.0</v>
      </c>
      <c r="Y22" s="374">
        <v>236980.0</v>
      </c>
      <c r="Z22" s="372"/>
      <c r="AA22" s="375"/>
      <c r="AB22" s="374">
        <v>2.0</v>
      </c>
      <c r="AC22" s="374">
        <v>-1200.0</v>
      </c>
      <c r="AD22" s="374" t="s">
        <v>187</v>
      </c>
      <c r="AE22" s="372"/>
      <c r="AF22" s="375">
        <v>-14216.666666666666</v>
      </c>
      <c r="AG22" s="374">
        <v>-14216.666666666666</v>
      </c>
      <c r="AH22" s="374">
        <v>0.0</v>
      </c>
      <c r="AI22" s="374">
        <v>-156383.33333333334</v>
      </c>
    </row>
    <row r="23">
      <c r="A23" s="372" t="str">
        <f>'Partnership Info'!$D$10</f>
        <v>ROW</v>
      </c>
      <c r="B23" s="372" t="str">
        <f>'Partnership Info'!$D$2</f>
        <v>Partner</v>
      </c>
      <c r="C23" s="372" t="str">
        <f>'Partnership Info'!$D$5</f>
        <v>Leon Ribeiro</v>
      </c>
      <c r="D23" s="372" t="str">
        <f>'Partnership Info'!$D$6</f>
        <v>Edgar Balby</v>
      </c>
      <c r="E23" s="372" t="str">
        <f>'Partnership Info'!$D$7</f>
        <v>Agata Lech</v>
      </c>
      <c r="F23" s="241" t="s">
        <v>41</v>
      </c>
      <c r="G23" s="241" t="s">
        <v>149</v>
      </c>
      <c r="H23" s="375">
        <v>0.0</v>
      </c>
      <c r="I23" s="373" t="s">
        <v>265</v>
      </c>
      <c r="J23" s="374">
        <v>0.0</v>
      </c>
      <c r="K23" s="373"/>
      <c r="L23" s="375">
        <v>0.0</v>
      </c>
      <c r="M23" s="374">
        <v>0.0</v>
      </c>
      <c r="N23" s="372"/>
      <c r="O23" s="374">
        <v>0.0</v>
      </c>
      <c r="P23" s="374" t="s">
        <v>265</v>
      </c>
      <c r="Q23" s="374">
        <v>0.0</v>
      </c>
      <c r="R23" s="374">
        <v>0.0</v>
      </c>
      <c r="S23" s="372"/>
      <c r="T23" s="374">
        <v>0.0</v>
      </c>
      <c r="U23" s="374"/>
      <c r="V23" s="374"/>
      <c r="W23" s="374"/>
      <c r="X23" s="374">
        <v>0.0</v>
      </c>
      <c r="Y23" s="374">
        <v>0.0</v>
      </c>
      <c r="Z23" s="372"/>
      <c r="AA23" s="375"/>
      <c r="AB23" s="374">
        <v>0.0</v>
      </c>
      <c r="AC23" s="374">
        <v>0.0</v>
      </c>
      <c r="AD23" s="374">
        <v>0.0</v>
      </c>
      <c r="AE23" s="372"/>
      <c r="AF23" s="375">
        <v>0.0</v>
      </c>
      <c r="AG23" s="372"/>
      <c r="AH23" s="372"/>
      <c r="AI23" s="374">
        <v>0.0</v>
      </c>
    </row>
    <row r="24">
      <c r="A24" s="372" t="str">
        <f>'Partnership Info'!$D$10</f>
        <v>ROW</v>
      </c>
      <c r="B24" s="372" t="str">
        <f>'Partnership Info'!$D$2</f>
        <v>Partner</v>
      </c>
      <c r="C24" s="372" t="str">
        <f>'Partnership Info'!$D$5</f>
        <v>Leon Ribeiro</v>
      </c>
      <c r="D24" s="372" t="str">
        <f>'Partnership Info'!$D$6</f>
        <v>Edgar Balby</v>
      </c>
      <c r="E24" s="372" t="str">
        <f>'Partnership Info'!$D$7</f>
        <v>Agata Lech</v>
      </c>
      <c r="F24" s="241" t="s">
        <v>42</v>
      </c>
      <c r="G24" s="241" t="s">
        <v>150</v>
      </c>
      <c r="H24" s="375">
        <f t="array" ref="H24:AI25">TRANSPOSE('Actual v Plan'!BG5:BH32)</f>
        <v>5</v>
      </c>
      <c r="I24" s="373">
        <v>0.18</v>
      </c>
      <c r="J24" s="374">
        <v>133.0</v>
      </c>
      <c r="K24" s="373"/>
      <c r="L24" s="375">
        <v>1.0</v>
      </c>
      <c r="M24" s="374">
        <v>25.0</v>
      </c>
      <c r="N24" s="372"/>
      <c r="O24" s="374">
        <v>2100.0</v>
      </c>
      <c r="P24" s="374">
        <v>1200.0</v>
      </c>
      <c r="Q24" s="374">
        <v>25200.0</v>
      </c>
      <c r="R24" s="374">
        <v>420000.0</v>
      </c>
      <c r="S24" s="372"/>
      <c r="T24" s="374">
        <v>26370.0</v>
      </c>
      <c r="U24" s="374">
        <v>8820.0</v>
      </c>
      <c r="V24" s="374">
        <v>0.0</v>
      </c>
      <c r="W24" s="374">
        <v>3000.0</v>
      </c>
      <c r="X24" s="374">
        <v>14550.0</v>
      </c>
      <c r="Y24" s="374">
        <v>263350.0</v>
      </c>
      <c r="Z24" s="372"/>
      <c r="AA24" s="375"/>
      <c r="AB24" s="374">
        <v>2.0</v>
      </c>
      <c r="AC24" s="374">
        <v>-1200.0</v>
      </c>
      <c r="AD24" s="374" t="s">
        <v>187</v>
      </c>
      <c r="AE24" s="372"/>
      <c r="AF24" s="375">
        <v>-14216.666666666666</v>
      </c>
      <c r="AG24" s="374">
        <v>-14216.666666666666</v>
      </c>
      <c r="AH24" s="374">
        <v>0.0</v>
      </c>
      <c r="AI24" s="374">
        <v>-170600.0</v>
      </c>
    </row>
    <row r="25">
      <c r="A25" s="372" t="str">
        <f>'Partnership Info'!$D$10</f>
        <v>ROW</v>
      </c>
      <c r="B25" s="372" t="str">
        <f>'Partnership Info'!$D$2</f>
        <v>Partner</v>
      </c>
      <c r="C25" s="372" t="str">
        <f>'Partnership Info'!$D$5</f>
        <v>Leon Ribeiro</v>
      </c>
      <c r="D25" s="372" t="str">
        <f>'Partnership Info'!$D$6</f>
        <v>Edgar Balby</v>
      </c>
      <c r="E25" s="372" t="str">
        <f>'Partnership Info'!$D$7</f>
        <v>Agata Lech</v>
      </c>
      <c r="F25" s="241" t="s">
        <v>42</v>
      </c>
      <c r="G25" s="241" t="s">
        <v>149</v>
      </c>
      <c r="H25" s="375">
        <v>0.0</v>
      </c>
      <c r="I25" s="373" t="s">
        <v>265</v>
      </c>
      <c r="J25" s="374">
        <v>0.0</v>
      </c>
      <c r="K25" s="373"/>
      <c r="L25" s="375">
        <v>0.0</v>
      </c>
      <c r="M25" s="374">
        <v>0.0</v>
      </c>
      <c r="N25" s="372"/>
      <c r="O25" s="374">
        <v>0.0</v>
      </c>
      <c r="P25" s="374" t="s">
        <v>265</v>
      </c>
      <c r="Q25" s="374">
        <v>0.0</v>
      </c>
      <c r="R25" s="374">
        <v>0.0</v>
      </c>
      <c r="S25" s="372"/>
      <c r="T25" s="374">
        <v>0.0</v>
      </c>
      <c r="U25" s="374"/>
      <c r="V25" s="374"/>
      <c r="W25" s="374"/>
      <c r="X25" s="374">
        <v>0.0</v>
      </c>
      <c r="Y25" s="374">
        <v>0.0</v>
      </c>
      <c r="Z25" s="372"/>
      <c r="AA25" s="375"/>
      <c r="AB25" s="374">
        <v>0.0</v>
      </c>
      <c r="AC25" s="374">
        <v>0.0</v>
      </c>
      <c r="AD25" s="374">
        <v>0.0</v>
      </c>
      <c r="AE25" s="372"/>
      <c r="AF25" s="375">
        <v>0.0</v>
      </c>
      <c r="AG25" s="372"/>
      <c r="AH25" s="372"/>
      <c r="AI25" s="374">
        <v>0.0</v>
      </c>
    </row>
    <row r="46">
      <c r="V46" s="372" t="str">
        <f>'Business Plan'!X61</f>
        <v/>
      </c>
      <c r="W46" s="372" t="str">
        <f>'Business Plan'!Y61</f>
        <v/>
      </c>
      <c r="X46" s="372" t="str">
        <f>'Business Plan'!Z61</f>
        <v/>
      </c>
    </row>
    <row r="47">
      <c r="V47" s="372" t="str">
        <f>'Business Plan'!X62</f>
        <v/>
      </c>
      <c r="W47" s="372" t="str">
        <f>'Business Plan'!Y62</f>
        <v/>
      </c>
      <c r="X47" s="372" t="str">
        <f>'Business Plan'!Z62</f>
        <v/>
      </c>
    </row>
    <row r="48">
      <c r="V48" s="372" t="str">
        <f>'Business Plan'!X63</f>
        <v/>
      </c>
      <c r="W48" s="372" t="str">
        <f>'Business Plan'!Y63</f>
        <v/>
      </c>
      <c r="X48" s="372" t="str">
        <f>'Business Plan'!Z63</f>
        <v/>
      </c>
    </row>
    <row r="49">
      <c r="V49" s="372" t="str">
        <f>'Business Plan'!X64</f>
        <v/>
      </c>
      <c r="W49" s="372" t="str">
        <f>'Business Plan'!Y64</f>
        <v/>
      </c>
      <c r="X49" s="372" t="str">
        <f>'Business Plan'!Z64</f>
        <v/>
      </c>
    </row>
    <row r="50">
      <c r="V50" s="372" t="str">
        <f>'Business Plan'!X65</f>
        <v/>
      </c>
      <c r="W50" s="372" t="str">
        <f>'Business Plan'!Y65</f>
        <v/>
      </c>
      <c r="X50" s="372" t="str">
        <f>'Business Plan'!Z65</f>
        <v/>
      </c>
    </row>
    <row r="51">
      <c r="V51" s="372" t="str">
        <f>'Business Plan'!X66</f>
        <v/>
      </c>
      <c r="W51" s="372" t="str">
        <f>'Business Plan'!Y66</f>
        <v/>
      </c>
      <c r="X51" s="372" t="str">
        <f>'Business Plan'!Z66</f>
        <v/>
      </c>
    </row>
    <row r="52">
      <c r="V52" s="372" t="str">
        <f>'Business Plan'!X67</f>
        <v/>
      </c>
      <c r="W52" s="372" t="str">
        <f>'Business Plan'!Y67</f>
        <v/>
      </c>
      <c r="X52" s="372" t="str">
        <f>'Business Plan'!Z67</f>
        <v/>
      </c>
    </row>
    <row r="53">
      <c r="V53" s="372" t="str">
        <f>'Business Plan'!X68</f>
        <v/>
      </c>
      <c r="W53" s="372" t="str">
        <f>'Business Plan'!Y68</f>
        <v/>
      </c>
      <c r="X53" s="372" t="str">
        <f>'Business Plan'!Z68</f>
        <v/>
      </c>
    </row>
    <row r="54">
      <c r="V54" s="372" t="str">
        <f>'Business Plan'!X69</f>
        <v/>
      </c>
      <c r="W54" s="372" t="str">
        <f>'Business Plan'!Y69</f>
        <v/>
      </c>
      <c r="X54" s="372" t="str">
        <f>'Business Plan'!Z69</f>
        <v/>
      </c>
    </row>
    <row r="55">
      <c r="V55" s="372" t="str">
        <f>'Business Plan'!X70</f>
        <v/>
      </c>
      <c r="W55" s="372" t="str">
        <f>'Business Plan'!Y70</f>
        <v/>
      </c>
      <c r="X55" s="372" t="str">
        <f>'Business Plan'!Z70</f>
        <v/>
      </c>
    </row>
    <row r="56">
      <c r="V56" s="372" t="str">
        <f>'Business Plan'!X71</f>
        <v/>
      </c>
      <c r="W56" s="372" t="str">
        <f>'Business Plan'!Y71</f>
        <v/>
      </c>
      <c r="X56" s="372" t="str">
        <f>'Business Plan'!Z71</f>
        <v/>
      </c>
    </row>
    <row r="57">
      <c r="V57" s="372" t="str">
        <f>'Business Plan'!X72</f>
        <v/>
      </c>
      <c r="W57" s="372" t="str">
        <f>'Business Plan'!Y72</f>
        <v/>
      </c>
      <c r="X57" s="372" t="str">
        <f>'Business Plan'!Z72</f>
        <v/>
      </c>
    </row>
    <row r="58">
      <c r="V58" s="372" t="str">
        <f>'Business Plan'!X73</f>
        <v/>
      </c>
      <c r="W58" s="372" t="str">
        <f>'Business Plan'!Y73</f>
        <v/>
      </c>
      <c r="X58" s="372" t="str">
        <f>'Business Plan'!Z73</f>
        <v/>
      </c>
    </row>
    <row r="59">
      <c r="V59" s="372" t="str">
        <f>'Business Plan'!X74</f>
        <v/>
      </c>
      <c r="W59" s="372" t="str">
        <f>'Business Plan'!Y74</f>
        <v/>
      </c>
      <c r="X59" s="372" t="str">
        <f>'Business Plan'!Z74</f>
        <v/>
      </c>
    </row>
    <row r="60">
      <c r="V60" s="372" t="str">
        <f>'Business Plan'!X75</f>
        <v/>
      </c>
      <c r="W60" s="372" t="str">
        <f>'Business Plan'!Y75</f>
        <v/>
      </c>
      <c r="X60" s="372" t="str">
        <f>'Business Plan'!Z75</f>
        <v/>
      </c>
    </row>
    <row r="61">
      <c r="V61" s="372" t="str">
        <f>'Business Plan'!X76</f>
        <v/>
      </c>
      <c r="W61" s="372" t="str">
        <f>'Business Plan'!Y76</f>
        <v/>
      </c>
      <c r="X61" s="372" t="str">
        <f>'Business Plan'!Z76</f>
        <v/>
      </c>
    </row>
    <row r="62">
      <c r="V62" s="372" t="str">
        <f>'Business Plan'!X77</f>
        <v/>
      </c>
      <c r="W62" s="372" t="str">
        <f>'Business Plan'!Y77</f>
        <v/>
      </c>
      <c r="X62" s="372" t="str">
        <f>'Business Plan'!Z77</f>
        <v/>
      </c>
    </row>
    <row r="63">
      <c r="V63" s="372" t="str">
        <f>'Business Plan'!X78</f>
        <v/>
      </c>
      <c r="W63" s="372" t="str">
        <f>'Business Plan'!Y78</f>
        <v/>
      </c>
      <c r="X63" s="372" t="str">
        <f>'Business Plan'!Z78</f>
        <v/>
      </c>
    </row>
    <row r="64">
      <c r="V64" s="372" t="str">
        <f>'Business Plan'!X79</f>
        <v/>
      </c>
      <c r="W64" s="372" t="str">
        <f>'Business Plan'!Y79</f>
        <v/>
      </c>
      <c r="X64" s="372" t="str">
        <f>'Business Plan'!Z79</f>
        <v/>
      </c>
    </row>
    <row r="65">
      <c r="V65" s="372" t="str">
        <f>'Business Plan'!X80</f>
        <v/>
      </c>
      <c r="W65" s="372" t="str">
        <f>'Business Plan'!Y80</f>
        <v/>
      </c>
      <c r="X65" s="372" t="str">
        <f>'Business Plan'!Z80</f>
        <v/>
      </c>
    </row>
    <row r="66">
      <c r="V66" s="372" t="str">
        <f>'Business Plan'!X81</f>
        <v/>
      </c>
      <c r="W66" s="372" t="str">
        <f>'Business Plan'!Y81</f>
        <v/>
      </c>
      <c r="X66" s="372" t="str">
        <f>'Business Plan'!Z81</f>
        <v/>
      </c>
    </row>
    <row r="67">
      <c r="V67" s="372" t="str">
        <f>'Business Plan'!X82</f>
        <v/>
      </c>
      <c r="W67" s="372" t="str">
        <f>'Business Plan'!Y82</f>
        <v/>
      </c>
      <c r="X67" s="372" t="str">
        <f>'Business Plan'!Z82</f>
        <v/>
      </c>
    </row>
    <row r="68">
      <c r="V68" s="372" t="str">
        <f>'Business Plan'!X83</f>
        <v/>
      </c>
      <c r="W68" s="372" t="str">
        <f>'Business Plan'!Y83</f>
        <v/>
      </c>
      <c r="X68" s="372" t="str">
        <f>'Business Plan'!Z83</f>
        <v/>
      </c>
    </row>
    <row r="69">
      <c r="V69" s="372" t="str">
        <f>'Business Plan'!X84</f>
        <v/>
      </c>
      <c r="W69" s="372" t="str">
        <f>'Business Plan'!Y84</f>
        <v/>
      </c>
      <c r="X69" s="372" t="str">
        <f>'Business Plan'!Z84</f>
        <v/>
      </c>
    </row>
    <row r="70">
      <c r="V70" s="372" t="str">
        <f>'Business Plan'!X85</f>
        <v/>
      </c>
      <c r="W70" s="372" t="str">
        <f>'Business Plan'!Y85</f>
        <v/>
      </c>
      <c r="X70" s="372" t="str">
        <f>'Business Plan'!Z85</f>
        <v/>
      </c>
    </row>
    <row r="71">
      <c r="V71" s="372" t="str">
        <f>'Business Plan'!X86</f>
        <v/>
      </c>
      <c r="W71" s="372" t="str">
        <f>'Business Plan'!Y86</f>
        <v/>
      </c>
      <c r="X71" s="372" t="str">
        <f>'Business Plan'!Z86</f>
        <v/>
      </c>
    </row>
    <row r="72">
      <c r="V72" s="372" t="str">
        <f>'Business Plan'!X87</f>
        <v/>
      </c>
      <c r="W72" s="372" t="str">
        <f>'Business Plan'!Y87</f>
        <v/>
      </c>
      <c r="X72" s="372" t="str">
        <f>'Business Plan'!Z87</f>
        <v/>
      </c>
    </row>
    <row r="73">
      <c r="V73" s="372" t="str">
        <f>'Business Plan'!X88</f>
        <v/>
      </c>
      <c r="W73" s="372" t="str">
        <f>'Business Plan'!Y88</f>
        <v/>
      </c>
      <c r="X73" s="372" t="str">
        <f>'Business Plan'!Z88</f>
        <v/>
      </c>
    </row>
    <row r="74">
      <c r="V74" s="372" t="str">
        <f>'Business Plan'!X89</f>
        <v/>
      </c>
      <c r="W74" s="372" t="str">
        <f>'Business Plan'!Y89</f>
        <v/>
      </c>
      <c r="X74" s="372" t="str">
        <f>'Business Plan'!Z89</f>
        <v/>
      </c>
    </row>
    <row r="75">
      <c r="V75" s="372" t="str">
        <f>'Business Plan'!X90</f>
        <v/>
      </c>
      <c r="W75" s="372" t="str">
        <f>'Business Plan'!Y90</f>
        <v/>
      </c>
      <c r="X75" s="372" t="str">
        <f>'Business Plan'!Z90</f>
        <v/>
      </c>
    </row>
    <row r="76">
      <c r="V76" s="372" t="str">
        <f>'Business Plan'!X91</f>
        <v/>
      </c>
      <c r="W76" s="372" t="str">
        <f>'Business Plan'!Y91</f>
        <v/>
      </c>
      <c r="X76" s="372" t="str">
        <f>'Business Plan'!Z91</f>
        <v/>
      </c>
    </row>
    <row r="77">
      <c r="V77" s="372" t="str">
        <f>'Business Plan'!X92</f>
        <v/>
      </c>
      <c r="W77" s="372" t="str">
        <f>'Business Plan'!Y92</f>
        <v/>
      </c>
      <c r="X77" s="372" t="str">
        <f>'Business Plan'!Z92</f>
        <v/>
      </c>
    </row>
    <row r="78">
      <c r="V78" s="372" t="str">
        <f>'Business Plan'!X93</f>
        <v/>
      </c>
      <c r="W78" s="372" t="str">
        <f>'Business Plan'!Y93</f>
        <v/>
      </c>
      <c r="X78" s="372" t="str">
        <f>'Business Plan'!Z93</f>
        <v/>
      </c>
    </row>
    <row r="79">
      <c r="V79" s="372" t="str">
        <f>'Business Plan'!X94</f>
        <v/>
      </c>
      <c r="W79" s="372" t="str">
        <f>'Business Plan'!Y94</f>
        <v/>
      </c>
      <c r="X79" s="372" t="str">
        <f>'Business Plan'!Z94</f>
        <v/>
      </c>
    </row>
    <row r="80">
      <c r="V80" s="372" t="str">
        <f>'Business Plan'!X95</f>
        <v/>
      </c>
      <c r="W80" s="372" t="str">
        <f>'Business Plan'!Y95</f>
        <v/>
      </c>
      <c r="X80" s="372" t="str">
        <f>'Business Plan'!Z95</f>
        <v/>
      </c>
    </row>
    <row r="81">
      <c r="V81" s="372" t="str">
        <f>'Business Plan'!X96</f>
        <v/>
      </c>
      <c r="W81" s="372" t="str">
        <f>'Business Plan'!Y96</f>
        <v/>
      </c>
      <c r="X81" s="372" t="str">
        <f>'Business Plan'!Z96</f>
        <v/>
      </c>
    </row>
    <row r="82">
      <c r="V82" s="372" t="str">
        <f>'Business Plan'!X97</f>
        <v/>
      </c>
      <c r="W82" s="372" t="str">
        <f>'Business Plan'!Y97</f>
        <v/>
      </c>
      <c r="X82" s="372" t="str">
        <f>'Business Plan'!Z97</f>
        <v/>
      </c>
    </row>
    <row r="83">
      <c r="V83" s="372" t="str">
        <f>'Business Plan'!X98</f>
        <v/>
      </c>
      <c r="W83" s="372" t="str">
        <f>'Business Plan'!Y98</f>
        <v/>
      </c>
      <c r="X83" s="372" t="str">
        <f>'Business Plan'!Z98</f>
        <v/>
      </c>
    </row>
    <row r="84">
      <c r="V84" s="372" t="str">
        <f>'Business Plan'!X99</f>
        <v/>
      </c>
      <c r="W84" s="372" t="str">
        <f>'Business Plan'!Y99</f>
        <v/>
      </c>
      <c r="X84" s="372" t="str">
        <f>'Business Plan'!Z99</f>
        <v/>
      </c>
    </row>
    <row r="85">
      <c r="V85" s="372" t="str">
        <f>'Business Plan'!X100</f>
        <v/>
      </c>
      <c r="W85" s="372" t="str">
        <f>'Business Plan'!Y100</f>
        <v/>
      </c>
      <c r="X85" s="372" t="str">
        <f>'Business Plan'!Z100</f>
        <v/>
      </c>
    </row>
    <row r="86">
      <c r="V86" s="372" t="str">
        <f>'Business Plan'!X101</f>
        <v/>
      </c>
      <c r="W86" s="372" t="str">
        <f>'Business Plan'!Y101</f>
        <v/>
      </c>
      <c r="X86" s="372" t="str">
        <f>'Business Plan'!Z101</f>
        <v/>
      </c>
    </row>
    <row r="87">
      <c r="V87" s="372" t="str">
        <f>'Business Plan'!X102</f>
        <v/>
      </c>
      <c r="W87" s="372" t="str">
        <f>'Business Plan'!Y102</f>
        <v/>
      </c>
      <c r="X87" s="372" t="str">
        <f>'Business Plan'!Z102</f>
        <v/>
      </c>
    </row>
    <row r="88">
      <c r="V88" s="372" t="str">
        <f>'Business Plan'!X103</f>
        <v/>
      </c>
      <c r="W88" s="372" t="str">
        <f>'Business Plan'!Y103</f>
        <v/>
      </c>
      <c r="X88" s="372" t="str">
        <f>'Business Plan'!Z103</f>
        <v/>
      </c>
    </row>
    <row r="89">
      <c r="V89" s="372" t="str">
        <f>'Business Plan'!X104</f>
        <v/>
      </c>
      <c r="W89" s="372" t="str">
        <f>'Business Plan'!Y104</f>
        <v/>
      </c>
      <c r="X89" s="372" t="str">
        <f>'Business Plan'!Z104</f>
        <v/>
      </c>
    </row>
    <row r="90">
      <c r="V90" s="372" t="str">
        <f>'Business Plan'!X105</f>
        <v/>
      </c>
      <c r="W90" s="372" t="str">
        <f>'Business Plan'!Y105</f>
        <v/>
      </c>
      <c r="X90" s="372" t="str">
        <f>'Business Plan'!Z105</f>
        <v/>
      </c>
    </row>
    <row r="91">
      <c r="V91" s="372" t="str">
        <f>'Business Plan'!X106</f>
        <v/>
      </c>
      <c r="W91" s="372" t="str">
        <f>'Business Plan'!Y106</f>
        <v/>
      </c>
      <c r="X91" s="372" t="str">
        <f>'Business Plan'!Z106</f>
        <v/>
      </c>
    </row>
    <row r="92">
      <c r="V92" s="372" t="str">
        <f>'Business Plan'!X107</f>
        <v/>
      </c>
      <c r="W92" s="372" t="str">
        <f>'Business Plan'!Y107</f>
        <v/>
      </c>
      <c r="X92" s="372" t="str">
        <f>'Business Plan'!Z107</f>
        <v/>
      </c>
    </row>
    <row r="93">
      <c r="V93" s="372" t="str">
        <f>'Business Plan'!X108</f>
        <v/>
      </c>
      <c r="W93" s="372" t="str">
        <f>'Business Plan'!Y108</f>
        <v/>
      </c>
      <c r="X93" s="372" t="str">
        <f>'Business Plan'!Z108</f>
        <v/>
      </c>
    </row>
    <row r="94">
      <c r="V94" s="372" t="str">
        <f>'Business Plan'!X109</f>
        <v/>
      </c>
      <c r="W94" s="372" t="str">
        <f>'Business Plan'!Y109</f>
        <v/>
      </c>
      <c r="X94" s="372" t="str">
        <f>'Business Plan'!Z109</f>
        <v/>
      </c>
    </row>
    <row r="95">
      <c r="V95" s="372" t="str">
        <f>'Business Plan'!X110</f>
        <v/>
      </c>
      <c r="W95" s="372" t="str">
        <f>'Business Plan'!Y110</f>
        <v/>
      </c>
      <c r="X95" s="372" t="str">
        <f>'Business Plan'!Z110</f>
        <v/>
      </c>
    </row>
    <row r="96">
      <c r="V96" s="372" t="str">
        <f>'Business Plan'!X111</f>
        <v/>
      </c>
      <c r="W96" s="372" t="str">
        <f>'Business Plan'!Y111</f>
        <v/>
      </c>
      <c r="X96" s="372" t="str">
        <f>'Business Plan'!Z111</f>
        <v/>
      </c>
    </row>
    <row r="97">
      <c r="V97" s="372" t="str">
        <f>'Business Plan'!X112</f>
        <v/>
      </c>
      <c r="W97" s="372" t="str">
        <f>'Business Plan'!Y112</f>
        <v/>
      </c>
      <c r="X97" s="372" t="str">
        <f>'Business Plan'!Z112</f>
        <v/>
      </c>
    </row>
    <row r="98">
      <c r="V98" s="372" t="str">
        <f>'Business Plan'!X113</f>
        <v/>
      </c>
      <c r="W98" s="372" t="str">
        <f>'Business Plan'!Y113</f>
        <v/>
      </c>
      <c r="X98" s="372" t="str">
        <f>'Business Plan'!Z113</f>
        <v/>
      </c>
    </row>
    <row r="99">
      <c r="V99" s="372" t="str">
        <f>'Business Plan'!X114</f>
        <v/>
      </c>
      <c r="W99" s="372" t="str">
        <f>'Business Plan'!Y114</f>
        <v/>
      </c>
      <c r="X99" s="372" t="str">
        <f>'Business Plan'!Z114</f>
        <v/>
      </c>
    </row>
    <row r="100">
      <c r="V100" s="372" t="str">
        <f>'Business Plan'!X115</f>
        <v/>
      </c>
      <c r="W100" s="372" t="str">
        <f>'Business Plan'!Y115</f>
        <v/>
      </c>
      <c r="X100" s="372" t="str">
        <f>'Business Plan'!Z115</f>
        <v/>
      </c>
    </row>
    <row r="101">
      <c r="A101" s="372" t="str">
        <f>'Business Plan'!C116</f>
        <v/>
      </c>
      <c r="B101" s="372" t="str">
        <f>'Business Plan'!E116</f>
        <v/>
      </c>
      <c r="F101" s="372" t="str">
        <f>'Business Plan'!F116</f>
        <v/>
      </c>
      <c r="H101" s="372" t="str">
        <f>'Business Plan'!G116</f>
        <v/>
      </c>
      <c r="I101" s="372" t="str">
        <f>'Business Plan'!H116</f>
        <v/>
      </c>
      <c r="J101" s="372" t="str">
        <f>'Business Plan'!I116</f>
        <v/>
      </c>
      <c r="K101" s="372" t="str">
        <f>'Business Plan'!J116</f>
        <v/>
      </c>
      <c r="L101" s="372" t="str">
        <f>'Business Plan'!K116</f>
        <v/>
      </c>
      <c r="M101" s="372" t="str">
        <f>'Business Plan'!L116</f>
        <v/>
      </c>
      <c r="N101" s="372" t="str">
        <f>'Business Plan'!M116</f>
        <v/>
      </c>
      <c r="O101" s="372" t="str">
        <f>'Business Plan'!N116</f>
        <v/>
      </c>
      <c r="P101" s="372" t="str">
        <f>'Business Plan'!O116</f>
        <v/>
      </c>
      <c r="Q101" s="372" t="str">
        <f>'Business Plan'!P116</f>
        <v/>
      </c>
      <c r="R101" s="372" t="str">
        <f>'Business Plan'!Q116</f>
        <v/>
      </c>
      <c r="S101" s="372" t="str">
        <f>'Business Plan'!D116</f>
        <v/>
      </c>
      <c r="T101" s="372" t="str">
        <f>'Business Plan'!R116</f>
        <v/>
      </c>
      <c r="U101" s="372" t="str">
        <f>'Business Plan'!W116</f>
        <v/>
      </c>
      <c r="V101" s="372" t="str">
        <f>'Business Plan'!X116</f>
        <v/>
      </c>
      <c r="W101" s="372" t="str">
        <f>'Business Plan'!Y116</f>
        <v/>
      </c>
      <c r="X101" s="372" t="str">
        <f>'Business Plan'!Z116</f>
        <v/>
      </c>
    </row>
    <row r="102">
      <c r="A102" s="372" t="str">
        <f>'Business Plan'!C117</f>
        <v/>
      </c>
      <c r="B102" s="372" t="str">
        <f>'Business Plan'!E117</f>
        <v/>
      </c>
      <c r="F102" s="372" t="str">
        <f>'Business Plan'!F117</f>
        <v/>
      </c>
      <c r="H102" s="372" t="str">
        <f>'Business Plan'!G117</f>
        <v/>
      </c>
      <c r="I102" s="372" t="str">
        <f>'Business Plan'!H117</f>
        <v/>
      </c>
      <c r="J102" s="372" t="str">
        <f>'Business Plan'!I117</f>
        <v/>
      </c>
      <c r="K102" s="372" t="str">
        <f>'Business Plan'!J117</f>
        <v/>
      </c>
      <c r="L102" s="372" t="str">
        <f>'Business Plan'!K117</f>
        <v/>
      </c>
      <c r="M102" s="372" t="str">
        <f>'Business Plan'!L117</f>
        <v/>
      </c>
      <c r="N102" s="372" t="str">
        <f>'Business Plan'!M117</f>
        <v/>
      </c>
      <c r="O102" s="372" t="str">
        <f>'Business Plan'!N117</f>
        <v/>
      </c>
      <c r="P102" s="372" t="str">
        <f>'Business Plan'!O117</f>
        <v/>
      </c>
      <c r="Q102" s="372" t="str">
        <f>'Business Plan'!P117</f>
        <v/>
      </c>
      <c r="R102" s="372" t="str">
        <f>'Business Plan'!Q117</f>
        <v/>
      </c>
      <c r="S102" s="372" t="str">
        <f>'Business Plan'!D117</f>
        <v/>
      </c>
      <c r="T102" s="372" t="str">
        <f>'Business Plan'!R117</f>
        <v/>
      </c>
      <c r="U102" s="372" t="str">
        <f>'Business Plan'!W117</f>
        <v/>
      </c>
      <c r="V102" s="372" t="str">
        <f>'Business Plan'!X117</f>
        <v/>
      </c>
      <c r="W102" s="372" t="str">
        <f>'Business Plan'!Y117</f>
        <v/>
      </c>
      <c r="X102" s="372" t="str">
        <f>'Business Plan'!Z117</f>
        <v/>
      </c>
    </row>
    <row r="103">
      <c r="A103" s="372" t="str">
        <f>'Business Plan'!C118</f>
        <v/>
      </c>
      <c r="B103" s="372" t="str">
        <f>'Business Plan'!E118</f>
        <v/>
      </c>
      <c r="F103" s="372" t="str">
        <f>'Business Plan'!F118</f>
        <v/>
      </c>
      <c r="H103" s="372" t="str">
        <f>'Business Plan'!G118</f>
        <v/>
      </c>
      <c r="I103" s="372" t="str">
        <f>'Business Plan'!H118</f>
        <v/>
      </c>
      <c r="J103" s="372" t="str">
        <f>'Business Plan'!I118</f>
        <v/>
      </c>
      <c r="K103" s="372" t="str">
        <f>'Business Plan'!J118</f>
        <v/>
      </c>
      <c r="L103" s="372" t="str">
        <f>'Business Plan'!K118</f>
        <v/>
      </c>
      <c r="M103" s="372" t="str">
        <f>'Business Plan'!L118</f>
        <v/>
      </c>
      <c r="N103" s="372" t="str">
        <f>'Business Plan'!M118</f>
        <v/>
      </c>
      <c r="O103" s="372" t="str">
        <f>'Business Plan'!N118</f>
        <v/>
      </c>
      <c r="P103" s="372" t="str">
        <f>'Business Plan'!O118</f>
        <v/>
      </c>
      <c r="Q103" s="372" t="str">
        <f>'Business Plan'!P118</f>
        <v/>
      </c>
      <c r="R103" s="372" t="str">
        <f>'Business Plan'!Q118</f>
        <v/>
      </c>
      <c r="S103" s="372" t="str">
        <f>'Business Plan'!D118</f>
        <v/>
      </c>
      <c r="T103" s="372" t="str">
        <f>'Business Plan'!R118</f>
        <v/>
      </c>
      <c r="U103" s="372" t="str">
        <f>'Business Plan'!W118</f>
        <v/>
      </c>
      <c r="V103" s="372" t="str">
        <f>'Business Plan'!X118</f>
        <v/>
      </c>
      <c r="W103" s="372" t="str">
        <f>'Business Plan'!Y118</f>
        <v/>
      </c>
      <c r="X103" s="372" t="str">
        <f>'Business Plan'!Z118</f>
        <v/>
      </c>
    </row>
    <row r="104">
      <c r="A104" s="372" t="str">
        <f>'Business Plan'!C119</f>
        <v/>
      </c>
      <c r="B104" s="372" t="str">
        <f>'Business Plan'!E119</f>
        <v/>
      </c>
      <c r="F104" s="372" t="str">
        <f>'Business Plan'!F119</f>
        <v/>
      </c>
      <c r="H104" s="372" t="str">
        <f>'Business Plan'!G119</f>
        <v/>
      </c>
      <c r="I104" s="372" t="str">
        <f>'Business Plan'!H119</f>
        <v/>
      </c>
      <c r="J104" s="372" t="str">
        <f>'Business Plan'!I119</f>
        <v/>
      </c>
      <c r="K104" s="372" t="str">
        <f>'Business Plan'!J119</f>
        <v/>
      </c>
      <c r="L104" s="372" t="str">
        <f>'Business Plan'!K119</f>
        <v/>
      </c>
      <c r="M104" s="372" t="str">
        <f>'Business Plan'!L119</f>
        <v/>
      </c>
      <c r="N104" s="372" t="str">
        <f>'Business Plan'!M119</f>
        <v/>
      </c>
      <c r="O104" s="372" t="str">
        <f>'Business Plan'!N119</f>
        <v/>
      </c>
      <c r="P104" s="372" t="str">
        <f>'Business Plan'!O119</f>
        <v/>
      </c>
      <c r="Q104" s="372" t="str">
        <f>'Business Plan'!P119</f>
        <v/>
      </c>
      <c r="R104" s="372" t="str">
        <f>'Business Plan'!Q119</f>
        <v/>
      </c>
      <c r="S104" s="372" t="str">
        <f>'Business Plan'!D119</f>
        <v/>
      </c>
      <c r="T104" s="372" t="str">
        <f>'Business Plan'!R119</f>
        <v/>
      </c>
      <c r="U104" s="372" t="str">
        <f>'Business Plan'!W119</f>
        <v/>
      </c>
      <c r="V104" s="372" t="str">
        <f>'Business Plan'!X119</f>
        <v/>
      </c>
      <c r="W104" s="372" t="str">
        <f>'Business Plan'!Y119</f>
        <v/>
      </c>
      <c r="X104" s="372" t="str">
        <f>'Business Plan'!Z119</f>
        <v/>
      </c>
    </row>
    <row r="105">
      <c r="A105" s="372" t="str">
        <f>'Business Plan'!C120</f>
        <v/>
      </c>
      <c r="B105" s="372" t="str">
        <f>'Business Plan'!E120</f>
        <v/>
      </c>
      <c r="F105" s="372" t="str">
        <f>'Business Plan'!F120</f>
        <v/>
      </c>
      <c r="H105" s="372" t="str">
        <f>'Business Plan'!G120</f>
        <v/>
      </c>
      <c r="I105" s="372" t="str">
        <f>'Business Plan'!H120</f>
        <v/>
      </c>
      <c r="J105" s="372" t="str">
        <f>'Business Plan'!I120</f>
        <v/>
      </c>
      <c r="K105" s="372" t="str">
        <f>'Business Plan'!J120</f>
        <v/>
      </c>
      <c r="L105" s="372" t="str">
        <f>'Business Plan'!K120</f>
        <v/>
      </c>
      <c r="M105" s="372" t="str">
        <f>'Business Plan'!L120</f>
        <v/>
      </c>
      <c r="N105" s="372" t="str">
        <f>'Business Plan'!M120</f>
        <v/>
      </c>
      <c r="O105" s="372" t="str">
        <f>'Business Plan'!N120</f>
        <v/>
      </c>
      <c r="P105" s="372" t="str">
        <f>'Business Plan'!O120</f>
        <v/>
      </c>
      <c r="Q105" s="372" t="str">
        <f>'Business Plan'!P120</f>
        <v/>
      </c>
      <c r="R105" s="372" t="str">
        <f>'Business Plan'!Q120</f>
        <v/>
      </c>
      <c r="S105" s="372" t="str">
        <f>'Business Plan'!D120</f>
        <v/>
      </c>
      <c r="T105" s="372" t="str">
        <f>'Business Plan'!R120</f>
        <v/>
      </c>
      <c r="U105" s="372" t="str">
        <f>'Business Plan'!W120</f>
        <v/>
      </c>
      <c r="V105" s="372" t="str">
        <f>'Business Plan'!X120</f>
        <v/>
      </c>
      <c r="W105" s="372" t="str">
        <f>'Business Plan'!Y120</f>
        <v/>
      </c>
      <c r="X105" s="372" t="str">
        <f>'Business Plan'!Z120</f>
        <v/>
      </c>
    </row>
    <row r="106">
      <c r="A106" s="372" t="str">
        <f>'Business Plan'!C121</f>
        <v/>
      </c>
      <c r="B106" s="372" t="str">
        <f>'Business Plan'!E121</f>
        <v/>
      </c>
      <c r="F106" s="372" t="str">
        <f>'Business Plan'!F121</f>
        <v/>
      </c>
      <c r="H106" s="372" t="str">
        <f>'Business Plan'!G121</f>
        <v/>
      </c>
      <c r="I106" s="372" t="str">
        <f>'Business Plan'!H121</f>
        <v/>
      </c>
      <c r="J106" s="372" t="str">
        <f>'Business Plan'!I121</f>
        <v/>
      </c>
      <c r="K106" s="372" t="str">
        <f>'Business Plan'!J121</f>
        <v/>
      </c>
      <c r="L106" s="372" t="str">
        <f>'Business Plan'!K121</f>
        <v/>
      </c>
      <c r="M106" s="372" t="str">
        <f>'Business Plan'!L121</f>
        <v/>
      </c>
      <c r="N106" s="372" t="str">
        <f>'Business Plan'!M121</f>
        <v/>
      </c>
      <c r="O106" s="372" t="str">
        <f>'Business Plan'!N121</f>
        <v/>
      </c>
      <c r="P106" s="372" t="str">
        <f>'Business Plan'!O121</f>
        <v/>
      </c>
      <c r="Q106" s="372" t="str">
        <f>'Business Plan'!P121</f>
        <v/>
      </c>
      <c r="R106" s="372" t="str">
        <f>'Business Plan'!Q121</f>
        <v/>
      </c>
      <c r="S106" s="372" t="str">
        <f>'Business Plan'!D121</f>
        <v/>
      </c>
      <c r="T106" s="372" t="str">
        <f>'Business Plan'!R121</f>
        <v/>
      </c>
      <c r="U106" s="372" t="str">
        <f>'Business Plan'!W121</f>
        <v/>
      </c>
      <c r="V106" s="372" t="str">
        <f>'Business Plan'!X121</f>
        <v/>
      </c>
      <c r="W106" s="372" t="str">
        <f>'Business Plan'!Y121</f>
        <v/>
      </c>
      <c r="X106" s="372" t="str">
        <f>'Business Plan'!Z121</f>
        <v/>
      </c>
    </row>
    <row r="107">
      <c r="A107" s="372" t="str">
        <f>'Business Plan'!C122</f>
        <v/>
      </c>
      <c r="B107" s="372" t="str">
        <f>'Business Plan'!E122</f>
        <v/>
      </c>
      <c r="F107" s="372" t="str">
        <f>'Business Plan'!F122</f>
        <v/>
      </c>
      <c r="H107" s="372" t="str">
        <f>'Business Plan'!G122</f>
        <v/>
      </c>
      <c r="I107" s="372" t="str">
        <f>'Business Plan'!H122</f>
        <v/>
      </c>
      <c r="J107" s="372" t="str">
        <f>'Business Plan'!I122</f>
        <v/>
      </c>
      <c r="K107" s="372" t="str">
        <f>'Business Plan'!J122</f>
        <v/>
      </c>
      <c r="L107" s="372" t="str">
        <f>'Business Plan'!K122</f>
        <v/>
      </c>
      <c r="M107" s="372" t="str">
        <f>'Business Plan'!L122</f>
        <v/>
      </c>
      <c r="N107" s="372" t="str">
        <f>'Business Plan'!M122</f>
        <v/>
      </c>
      <c r="O107" s="372" t="str">
        <f>'Business Plan'!N122</f>
        <v/>
      </c>
      <c r="P107" s="372" t="str">
        <f>'Business Plan'!O122</f>
        <v/>
      </c>
      <c r="Q107" s="372" t="str">
        <f>'Business Plan'!P122</f>
        <v/>
      </c>
      <c r="R107" s="372" t="str">
        <f>'Business Plan'!Q122</f>
        <v/>
      </c>
      <c r="S107" s="372" t="str">
        <f>'Business Plan'!D122</f>
        <v/>
      </c>
      <c r="T107" s="372" t="str">
        <f>'Business Plan'!R122</f>
        <v/>
      </c>
      <c r="U107" s="372" t="str">
        <f>'Business Plan'!W122</f>
        <v/>
      </c>
      <c r="V107" s="372" t="str">
        <f>'Business Plan'!X122</f>
        <v/>
      </c>
      <c r="W107" s="372" t="str">
        <f>'Business Plan'!Y122</f>
        <v/>
      </c>
      <c r="X107" s="372" t="str">
        <f>'Business Plan'!Z122</f>
        <v/>
      </c>
    </row>
    <row r="108">
      <c r="A108" s="372" t="str">
        <f>'Business Plan'!C123</f>
        <v/>
      </c>
      <c r="B108" s="372" t="str">
        <f>'Business Plan'!E123</f>
        <v/>
      </c>
      <c r="F108" s="372" t="str">
        <f>'Business Plan'!F123</f>
        <v/>
      </c>
      <c r="H108" s="372" t="str">
        <f>'Business Plan'!G123</f>
        <v/>
      </c>
      <c r="I108" s="372" t="str">
        <f>'Business Plan'!H123</f>
        <v/>
      </c>
      <c r="J108" s="372" t="str">
        <f>'Business Plan'!I123</f>
        <v/>
      </c>
      <c r="K108" s="372" t="str">
        <f>'Business Plan'!J123</f>
        <v/>
      </c>
      <c r="L108" s="372" t="str">
        <f>'Business Plan'!K123</f>
        <v/>
      </c>
      <c r="M108" s="372" t="str">
        <f>'Business Plan'!L123</f>
        <v/>
      </c>
      <c r="N108" s="372" t="str">
        <f>'Business Plan'!M123</f>
        <v/>
      </c>
      <c r="O108" s="372" t="str">
        <f>'Business Plan'!N123</f>
        <v/>
      </c>
      <c r="P108" s="372" t="str">
        <f>'Business Plan'!O123</f>
        <v/>
      </c>
      <c r="Q108" s="372" t="str">
        <f>'Business Plan'!P123</f>
        <v/>
      </c>
      <c r="R108" s="372" t="str">
        <f>'Business Plan'!Q123</f>
        <v/>
      </c>
      <c r="S108" s="372" t="str">
        <f>'Business Plan'!D123</f>
        <v/>
      </c>
      <c r="T108" s="372" t="str">
        <f>'Business Plan'!R123</f>
        <v/>
      </c>
      <c r="U108" s="372" t="str">
        <f>'Business Plan'!W123</f>
        <v/>
      </c>
      <c r="V108" s="372" t="str">
        <f>'Business Plan'!X123</f>
        <v/>
      </c>
      <c r="W108" s="372" t="str">
        <f>'Business Plan'!Y123</f>
        <v/>
      </c>
      <c r="X108" s="372" t="str">
        <f>'Business Plan'!Z123</f>
        <v/>
      </c>
    </row>
    <row r="109">
      <c r="A109" s="372" t="str">
        <f>'Business Plan'!C124</f>
        <v/>
      </c>
      <c r="B109" s="372" t="str">
        <f>'Business Plan'!E124</f>
        <v/>
      </c>
      <c r="F109" s="372" t="str">
        <f>'Business Plan'!F124</f>
        <v/>
      </c>
      <c r="H109" s="372" t="str">
        <f>'Business Plan'!G124</f>
        <v/>
      </c>
      <c r="I109" s="372" t="str">
        <f>'Business Plan'!H124</f>
        <v/>
      </c>
      <c r="J109" s="372" t="str">
        <f>'Business Plan'!I124</f>
        <v/>
      </c>
      <c r="K109" s="372" t="str">
        <f>'Business Plan'!J124</f>
        <v/>
      </c>
      <c r="L109" s="372" t="str">
        <f>'Business Plan'!K124</f>
        <v/>
      </c>
      <c r="M109" s="372" t="str">
        <f>'Business Plan'!L124</f>
        <v/>
      </c>
      <c r="N109" s="372" t="str">
        <f>'Business Plan'!M124</f>
        <v/>
      </c>
      <c r="O109" s="372" t="str">
        <f>'Business Plan'!N124</f>
        <v/>
      </c>
      <c r="P109" s="372" t="str">
        <f>'Business Plan'!O124</f>
        <v/>
      </c>
      <c r="Q109" s="372" t="str">
        <f>'Business Plan'!P124</f>
        <v/>
      </c>
      <c r="R109" s="372" t="str">
        <f>'Business Plan'!Q124</f>
        <v/>
      </c>
      <c r="S109" s="372" t="str">
        <f>'Business Plan'!D124</f>
        <v/>
      </c>
      <c r="T109" s="372" t="str">
        <f>'Business Plan'!R124</f>
        <v/>
      </c>
      <c r="U109" s="372" t="str">
        <f>'Business Plan'!W124</f>
        <v/>
      </c>
      <c r="V109" s="372" t="str">
        <f>'Business Plan'!X124</f>
        <v/>
      </c>
      <c r="W109" s="372" t="str">
        <f>'Business Plan'!Y124</f>
        <v/>
      </c>
      <c r="X109" s="372" t="str">
        <f>'Business Plan'!Z124</f>
        <v/>
      </c>
    </row>
    <row r="110">
      <c r="A110" s="372" t="str">
        <f>'Business Plan'!C125</f>
        <v/>
      </c>
      <c r="B110" s="372" t="str">
        <f>'Business Plan'!E125</f>
        <v/>
      </c>
      <c r="F110" s="372" t="str">
        <f>'Business Plan'!F125</f>
        <v/>
      </c>
      <c r="H110" s="372" t="str">
        <f>'Business Plan'!G125</f>
        <v/>
      </c>
      <c r="I110" s="372" t="str">
        <f>'Business Plan'!H125</f>
        <v/>
      </c>
      <c r="J110" s="372" t="str">
        <f>'Business Plan'!I125</f>
        <v/>
      </c>
      <c r="K110" s="372" t="str">
        <f>'Business Plan'!J125</f>
        <v/>
      </c>
      <c r="L110" s="372" t="str">
        <f>'Business Plan'!K125</f>
        <v/>
      </c>
      <c r="M110" s="372" t="str">
        <f>'Business Plan'!L125</f>
        <v/>
      </c>
      <c r="N110" s="372" t="str">
        <f>'Business Plan'!M125</f>
        <v/>
      </c>
      <c r="O110" s="372" t="str">
        <f>'Business Plan'!N125</f>
        <v/>
      </c>
      <c r="P110" s="372" t="str">
        <f>'Business Plan'!O125</f>
        <v/>
      </c>
      <c r="Q110" s="372" t="str">
        <f>'Business Plan'!P125</f>
        <v/>
      </c>
      <c r="R110" s="372" t="str">
        <f>'Business Plan'!Q125</f>
        <v/>
      </c>
      <c r="S110" s="372" t="str">
        <f>'Business Plan'!D125</f>
        <v/>
      </c>
      <c r="T110" s="372" t="str">
        <f>'Business Plan'!R125</f>
        <v/>
      </c>
      <c r="U110" s="372" t="str">
        <f>'Business Plan'!W125</f>
        <v/>
      </c>
      <c r="V110" s="372" t="str">
        <f>'Business Plan'!X125</f>
        <v/>
      </c>
      <c r="W110" s="372" t="str">
        <f>'Business Plan'!Y125</f>
        <v/>
      </c>
      <c r="X110" s="372" t="str">
        <f>'Business Plan'!Z125</f>
        <v/>
      </c>
    </row>
    <row r="111">
      <c r="A111" s="372" t="str">
        <f>'Business Plan'!C126</f>
        <v/>
      </c>
      <c r="B111" s="372" t="str">
        <f>'Business Plan'!E126</f>
        <v/>
      </c>
      <c r="F111" s="372" t="str">
        <f>'Business Plan'!F126</f>
        <v/>
      </c>
      <c r="H111" s="372" t="str">
        <f>'Business Plan'!G126</f>
        <v/>
      </c>
      <c r="I111" s="372" t="str">
        <f>'Business Plan'!H126</f>
        <v/>
      </c>
      <c r="J111" s="372" t="str">
        <f>'Business Plan'!I126</f>
        <v/>
      </c>
      <c r="K111" s="372" t="str">
        <f>'Business Plan'!J126</f>
        <v/>
      </c>
      <c r="L111" s="372" t="str">
        <f>'Business Plan'!K126</f>
        <v/>
      </c>
      <c r="M111" s="372" t="str">
        <f>'Business Plan'!L126</f>
        <v/>
      </c>
      <c r="N111" s="372" t="str">
        <f>'Business Plan'!M126</f>
        <v/>
      </c>
      <c r="O111" s="372" t="str">
        <f>'Business Plan'!N126</f>
        <v/>
      </c>
      <c r="P111" s="372" t="str">
        <f>'Business Plan'!O126</f>
        <v/>
      </c>
      <c r="Q111" s="372" t="str">
        <f>'Business Plan'!P126</f>
        <v/>
      </c>
      <c r="R111" s="372" t="str">
        <f>'Business Plan'!Q126</f>
        <v/>
      </c>
      <c r="S111" s="372" t="str">
        <f>'Business Plan'!D126</f>
        <v/>
      </c>
      <c r="T111" s="372" t="str">
        <f>'Business Plan'!R126</f>
        <v/>
      </c>
      <c r="U111" s="372" t="str">
        <f>'Business Plan'!W126</f>
        <v/>
      </c>
      <c r="V111" s="372" t="str">
        <f>'Business Plan'!X126</f>
        <v/>
      </c>
      <c r="W111" s="372" t="str">
        <f>'Business Plan'!Y126</f>
        <v/>
      </c>
      <c r="X111" s="372" t="str">
        <f>'Business Plan'!Z126</f>
        <v/>
      </c>
    </row>
    <row r="112">
      <c r="A112" s="372" t="str">
        <f>'Business Plan'!C127</f>
        <v/>
      </c>
      <c r="B112" s="372" t="str">
        <f>'Business Plan'!E127</f>
        <v/>
      </c>
      <c r="F112" s="372" t="str">
        <f>'Business Plan'!F127</f>
        <v/>
      </c>
      <c r="H112" s="372" t="str">
        <f>'Business Plan'!G127</f>
        <v/>
      </c>
      <c r="I112" s="372" t="str">
        <f>'Business Plan'!H127</f>
        <v/>
      </c>
      <c r="J112" s="372" t="str">
        <f>'Business Plan'!I127</f>
        <v/>
      </c>
      <c r="K112" s="372" t="str">
        <f>'Business Plan'!J127</f>
        <v/>
      </c>
      <c r="L112" s="372" t="str">
        <f>'Business Plan'!K127</f>
        <v/>
      </c>
      <c r="M112" s="372" t="str">
        <f>'Business Plan'!L127</f>
        <v/>
      </c>
      <c r="N112" s="372" t="str">
        <f>'Business Plan'!M127</f>
        <v/>
      </c>
      <c r="O112" s="372" t="str">
        <f>'Business Plan'!N127</f>
        <v/>
      </c>
      <c r="P112" s="372" t="str">
        <f>'Business Plan'!O127</f>
        <v/>
      </c>
      <c r="Q112" s="372" t="str">
        <f>'Business Plan'!P127</f>
        <v/>
      </c>
      <c r="R112" s="372" t="str">
        <f>'Business Plan'!Q127</f>
        <v/>
      </c>
      <c r="S112" s="372" t="str">
        <f>'Business Plan'!D127</f>
        <v/>
      </c>
      <c r="T112" s="372" t="str">
        <f>'Business Plan'!R127</f>
        <v/>
      </c>
      <c r="U112" s="372" t="str">
        <f>'Business Plan'!W127</f>
        <v/>
      </c>
      <c r="V112" s="372" t="str">
        <f>'Business Plan'!X127</f>
        <v/>
      </c>
      <c r="W112" s="372" t="str">
        <f>'Business Plan'!Y127</f>
        <v/>
      </c>
      <c r="X112" s="372" t="str">
        <f>'Business Plan'!Z127</f>
        <v/>
      </c>
    </row>
    <row r="113">
      <c r="A113" s="372" t="str">
        <f>'Business Plan'!C128</f>
        <v/>
      </c>
      <c r="B113" s="372" t="str">
        <f>'Business Plan'!E128</f>
        <v/>
      </c>
      <c r="F113" s="372" t="str">
        <f>'Business Plan'!F128</f>
        <v/>
      </c>
      <c r="H113" s="372" t="str">
        <f>'Business Plan'!G128</f>
        <v/>
      </c>
      <c r="I113" s="372" t="str">
        <f>'Business Plan'!H128</f>
        <v/>
      </c>
      <c r="J113" s="372" t="str">
        <f>'Business Plan'!I128</f>
        <v/>
      </c>
      <c r="K113" s="372" t="str">
        <f>'Business Plan'!J128</f>
        <v/>
      </c>
      <c r="L113" s="372" t="str">
        <f>'Business Plan'!K128</f>
        <v/>
      </c>
      <c r="M113" s="372" t="str">
        <f>'Business Plan'!L128</f>
        <v/>
      </c>
      <c r="N113" s="372" t="str">
        <f>'Business Plan'!M128</f>
        <v/>
      </c>
      <c r="O113" s="372" t="str">
        <f>'Business Plan'!N128</f>
        <v/>
      </c>
      <c r="P113" s="372" t="str">
        <f>'Business Plan'!O128</f>
        <v/>
      </c>
      <c r="Q113" s="372" t="str">
        <f>'Business Plan'!P128</f>
        <v/>
      </c>
      <c r="R113" s="372" t="str">
        <f>'Business Plan'!Q128</f>
        <v/>
      </c>
      <c r="S113" s="372" t="str">
        <f>'Business Plan'!D128</f>
        <v/>
      </c>
      <c r="T113" s="372" t="str">
        <f>'Business Plan'!R128</f>
        <v/>
      </c>
      <c r="U113" s="372" t="str">
        <f>'Business Plan'!W128</f>
        <v/>
      </c>
      <c r="V113" s="372" t="str">
        <f>'Business Plan'!X128</f>
        <v/>
      </c>
      <c r="W113" s="372" t="str">
        <f>'Business Plan'!Y128</f>
        <v/>
      </c>
      <c r="X113" s="372" t="str">
        <f>'Business Plan'!Z128</f>
        <v/>
      </c>
    </row>
    <row r="114">
      <c r="A114" s="372" t="str">
        <f>'Business Plan'!C129</f>
        <v/>
      </c>
      <c r="B114" s="372" t="str">
        <f>'Business Plan'!E129</f>
        <v/>
      </c>
      <c r="F114" s="372" t="str">
        <f>'Business Plan'!F129</f>
        <v/>
      </c>
      <c r="H114" s="372" t="str">
        <f>'Business Plan'!G129</f>
        <v/>
      </c>
      <c r="I114" s="372" t="str">
        <f>'Business Plan'!H129</f>
        <v/>
      </c>
      <c r="J114" s="372" t="str">
        <f>'Business Plan'!I129</f>
        <v/>
      </c>
      <c r="K114" s="372" t="str">
        <f>'Business Plan'!J129</f>
        <v/>
      </c>
      <c r="L114" s="372" t="str">
        <f>'Business Plan'!K129</f>
        <v/>
      </c>
      <c r="M114" s="372" t="str">
        <f>'Business Plan'!L129</f>
        <v/>
      </c>
      <c r="N114" s="372" t="str">
        <f>'Business Plan'!M129</f>
        <v/>
      </c>
      <c r="O114" s="372" t="str">
        <f>'Business Plan'!N129</f>
        <v/>
      </c>
      <c r="P114" s="372" t="str">
        <f>'Business Plan'!O129</f>
        <v/>
      </c>
      <c r="Q114" s="372" t="str">
        <f>'Business Plan'!P129</f>
        <v/>
      </c>
      <c r="R114" s="372" t="str">
        <f>'Business Plan'!Q129</f>
        <v/>
      </c>
      <c r="S114" s="372" t="str">
        <f>'Business Plan'!D129</f>
        <v/>
      </c>
      <c r="T114" s="372" t="str">
        <f>'Business Plan'!R129</f>
        <v/>
      </c>
      <c r="U114" s="372" t="str">
        <f>'Business Plan'!W129</f>
        <v/>
      </c>
      <c r="V114" s="372" t="str">
        <f>'Business Plan'!X129</f>
        <v/>
      </c>
      <c r="W114" s="372" t="str">
        <f>'Business Plan'!Y129</f>
        <v/>
      </c>
      <c r="X114" s="372" t="str">
        <f>'Business Plan'!Z129</f>
        <v/>
      </c>
    </row>
    <row r="115">
      <c r="A115" s="372" t="str">
        <f>'Business Plan'!C130</f>
        <v/>
      </c>
      <c r="B115" s="372" t="str">
        <f>'Business Plan'!E130</f>
        <v/>
      </c>
      <c r="F115" s="372" t="str">
        <f>'Business Plan'!F130</f>
        <v/>
      </c>
      <c r="H115" s="372" t="str">
        <f>'Business Plan'!G130</f>
        <v/>
      </c>
      <c r="I115" s="372" t="str">
        <f>'Business Plan'!H130</f>
        <v/>
      </c>
      <c r="J115" s="372" t="str">
        <f>'Business Plan'!I130</f>
        <v/>
      </c>
      <c r="K115" s="372" t="str">
        <f>'Business Plan'!J130</f>
        <v/>
      </c>
      <c r="L115" s="372" t="str">
        <f>'Business Plan'!K130</f>
        <v/>
      </c>
      <c r="M115" s="372" t="str">
        <f>'Business Plan'!L130</f>
        <v/>
      </c>
      <c r="N115" s="372" t="str">
        <f>'Business Plan'!M130</f>
        <v/>
      </c>
      <c r="O115" s="372" t="str">
        <f>'Business Plan'!N130</f>
        <v/>
      </c>
      <c r="P115" s="372" t="str">
        <f>'Business Plan'!O130</f>
        <v/>
      </c>
      <c r="Q115" s="372" t="str">
        <f>'Business Plan'!P130</f>
        <v/>
      </c>
      <c r="R115" s="372" t="str">
        <f>'Business Plan'!Q130</f>
        <v/>
      </c>
      <c r="S115" s="372" t="str">
        <f>'Business Plan'!D130</f>
        <v/>
      </c>
      <c r="T115" s="372" t="str">
        <f>'Business Plan'!R130</f>
        <v/>
      </c>
      <c r="U115" s="372" t="str">
        <f>'Business Plan'!W130</f>
        <v/>
      </c>
      <c r="V115" s="372" t="str">
        <f>'Business Plan'!X130</f>
        <v/>
      </c>
      <c r="W115" s="372" t="str">
        <f>'Business Plan'!Y130</f>
        <v/>
      </c>
      <c r="X115" s="372" t="str">
        <f>'Business Plan'!Z130</f>
        <v/>
      </c>
    </row>
    <row r="116">
      <c r="A116" s="372" t="str">
        <f>'Business Plan'!C131</f>
        <v/>
      </c>
      <c r="B116" s="372" t="str">
        <f>'Business Plan'!E131</f>
        <v/>
      </c>
      <c r="F116" s="372" t="str">
        <f>'Business Plan'!F131</f>
        <v/>
      </c>
      <c r="H116" s="372" t="str">
        <f>'Business Plan'!G131</f>
        <v/>
      </c>
      <c r="I116" s="372" t="str">
        <f>'Business Plan'!H131</f>
        <v/>
      </c>
      <c r="J116" s="372" t="str">
        <f>'Business Plan'!I131</f>
        <v/>
      </c>
      <c r="K116" s="372" t="str">
        <f>'Business Plan'!J131</f>
        <v/>
      </c>
      <c r="L116" s="372" t="str">
        <f>'Business Plan'!K131</f>
        <v/>
      </c>
      <c r="M116" s="372" t="str">
        <f>'Business Plan'!L131</f>
        <v/>
      </c>
      <c r="N116" s="372" t="str">
        <f>'Business Plan'!M131</f>
        <v/>
      </c>
      <c r="O116" s="372" t="str">
        <f>'Business Plan'!N131</f>
        <v/>
      </c>
      <c r="P116" s="372" t="str">
        <f>'Business Plan'!O131</f>
        <v/>
      </c>
      <c r="Q116" s="372" t="str">
        <f>'Business Plan'!P131</f>
        <v/>
      </c>
      <c r="R116" s="372" t="str">
        <f>'Business Plan'!Q131</f>
        <v/>
      </c>
      <c r="S116" s="372" t="str">
        <f>'Business Plan'!D131</f>
        <v/>
      </c>
      <c r="T116" s="372" t="str">
        <f>'Business Plan'!R131</f>
        <v/>
      </c>
      <c r="U116" s="372" t="str">
        <f>'Business Plan'!W131</f>
        <v/>
      </c>
      <c r="V116" s="372" t="str">
        <f>'Business Plan'!X131</f>
        <v/>
      </c>
      <c r="W116" s="372" t="str">
        <f>'Business Plan'!Y131</f>
        <v/>
      </c>
      <c r="X116" s="372" t="str">
        <f>'Business Plan'!Z131</f>
        <v/>
      </c>
    </row>
    <row r="117">
      <c r="A117" s="372" t="str">
        <f>'Business Plan'!C132</f>
        <v/>
      </c>
      <c r="B117" s="372" t="str">
        <f>'Business Plan'!E132</f>
        <v/>
      </c>
      <c r="F117" s="372" t="str">
        <f>'Business Plan'!F132</f>
        <v/>
      </c>
      <c r="H117" s="372" t="str">
        <f>'Business Plan'!G132</f>
        <v/>
      </c>
      <c r="I117" s="372" t="str">
        <f>'Business Plan'!H132</f>
        <v/>
      </c>
      <c r="J117" s="372" t="str">
        <f>'Business Plan'!I132</f>
        <v/>
      </c>
      <c r="K117" s="372" t="str">
        <f>'Business Plan'!J132</f>
        <v/>
      </c>
      <c r="L117" s="372" t="str">
        <f>'Business Plan'!K132</f>
        <v/>
      </c>
      <c r="M117" s="372" t="str">
        <f>'Business Plan'!L132</f>
        <v/>
      </c>
      <c r="N117" s="372" t="str">
        <f>'Business Plan'!M132</f>
        <v/>
      </c>
      <c r="O117" s="372" t="str">
        <f>'Business Plan'!N132</f>
        <v/>
      </c>
      <c r="P117" s="372" t="str">
        <f>'Business Plan'!O132</f>
        <v/>
      </c>
      <c r="Q117" s="372" t="str">
        <f>'Business Plan'!P132</f>
        <v/>
      </c>
      <c r="R117" s="372" t="str">
        <f>'Business Plan'!Q132</f>
        <v/>
      </c>
      <c r="S117" s="372" t="str">
        <f>'Business Plan'!D132</f>
        <v/>
      </c>
      <c r="T117" s="372" t="str">
        <f>'Business Plan'!R132</f>
        <v/>
      </c>
      <c r="U117" s="372" t="str">
        <f>'Business Plan'!W132</f>
        <v/>
      </c>
      <c r="V117" s="372" t="str">
        <f>'Business Plan'!X132</f>
        <v/>
      </c>
      <c r="W117" s="372" t="str">
        <f>'Business Plan'!Y132</f>
        <v/>
      </c>
      <c r="X117" s="372" t="str">
        <f>'Business Plan'!Z132</f>
        <v/>
      </c>
    </row>
    <row r="118">
      <c r="A118" s="372" t="str">
        <f>'Business Plan'!C133</f>
        <v/>
      </c>
      <c r="B118" s="372" t="str">
        <f>'Business Plan'!E133</f>
        <v/>
      </c>
      <c r="F118" s="372" t="str">
        <f>'Business Plan'!F133</f>
        <v/>
      </c>
      <c r="H118" s="372" t="str">
        <f>'Business Plan'!G133</f>
        <v/>
      </c>
      <c r="I118" s="372" t="str">
        <f>'Business Plan'!H133</f>
        <v/>
      </c>
      <c r="J118" s="372" t="str">
        <f>'Business Plan'!I133</f>
        <v/>
      </c>
      <c r="K118" s="372" t="str">
        <f>'Business Plan'!J133</f>
        <v/>
      </c>
      <c r="L118" s="372" t="str">
        <f>'Business Plan'!K133</f>
        <v/>
      </c>
      <c r="M118" s="372" t="str">
        <f>'Business Plan'!L133</f>
        <v/>
      </c>
      <c r="N118" s="372" t="str">
        <f>'Business Plan'!M133</f>
        <v/>
      </c>
      <c r="O118" s="372" t="str">
        <f>'Business Plan'!N133</f>
        <v/>
      </c>
      <c r="P118" s="372" t="str">
        <f>'Business Plan'!O133</f>
        <v/>
      </c>
      <c r="Q118" s="372" t="str">
        <f>'Business Plan'!P133</f>
        <v/>
      </c>
      <c r="R118" s="372" t="str">
        <f>'Business Plan'!Q133</f>
        <v/>
      </c>
      <c r="S118" s="372" t="str">
        <f>'Business Plan'!D133</f>
        <v/>
      </c>
      <c r="T118" s="372" t="str">
        <f>'Business Plan'!R133</f>
        <v/>
      </c>
      <c r="U118" s="372" t="str">
        <f>'Business Plan'!W133</f>
        <v/>
      </c>
      <c r="V118" s="372" t="str">
        <f>'Business Plan'!X133</f>
        <v/>
      </c>
      <c r="W118" s="372" t="str">
        <f>'Business Plan'!Y133</f>
        <v/>
      </c>
      <c r="X118" s="372" t="str">
        <f>'Business Plan'!Z133</f>
        <v/>
      </c>
    </row>
    <row r="119">
      <c r="A119" s="372" t="str">
        <f>'Business Plan'!C134</f>
        <v/>
      </c>
      <c r="B119" s="372" t="str">
        <f>'Business Plan'!E134</f>
        <v/>
      </c>
      <c r="F119" s="372" t="str">
        <f>'Business Plan'!F134</f>
        <v/>
      </c>
      <c r="H119" s="372" t="str">
        <f>'Business Plan'!G134</f>
        <v/>
      </c>
      <c r="I119" s="372" t="str">
        <f>'Business Plan'!H134</f>
        <v/>
      </c>
      <c r="J119" s="372" t="str">
        <f>'Business Plan'!I134</f>
        <v/>
      </c>
      <c r="K119" s="372" t="str">
        <f>'Business Plan'!J134</f>
        <v/>
      </c>
      <c r="L119" s="372" t="str">
        <f>'Business Plan'!K134</f>
        <v/>
      </c>
      <c r="M119" s="372" t="str">
        <f>'Business Plan'!L134</f>
        <v/>
      </c>
      <c r="N119" s="372" t="str">
        <f>'Business Plan'!M134</f>
        <v/>
      </c>
      <c r="O119" s="372" t="str">
        <f>'Business Plan'!N134</f>
        <v/>
      </c>
      <c r="P119" s="372" t="str">
        <f>'Business Plan'!O134</f>
        <v/>
      </c>
      <c r="Q119" s="372" t="str">
        <f>'Business Plan'!P134</f>
        <v/>
      </c>
      <c r="R119" s="372" t="str">
        <f>'Business Plan'!Q134</f>
        <v/>
      </c>
      <c r="S119" s="372" t="str">
        <f>'Business Plan'!D134</f>
        <v/>
      </c>
      <c r="T119" s="372" t="str">
        <f>'Business Plan'!R134</f>
        <v/>
      </c>
      <c r="U119" s="372" t="str">
        <f>'Business Plan'!W134</f>
        <v/>
      </c>
      <c r="V119" s="372" t="str">
        <f>'Business Plan'!X134</f>
        <v/>
      </c>
      <c r="W119" s="372" t="str">
        <f>'Business Plan'!Y134</f>
        <v/>
      </c>
      <c r="X119" s="372" t="str">
        <f>'Business Plan'!Z134</f>
        <v/>
      </c>
    </row>
    <row r="120">
      <c r="A120" s="372" t="str">
        <f>'Business Plan'!C135</f>
        <v/>
      </c>
      <c r="B120" s="372" t="str">
        <f>'Business Plan'!E135</f>
        <v/>
      </c>
      <c r="F120" s="372" t="str">
        <f>'Business Plan'!F135</f>
        <v/>
      </c>
      <c r="H120" s="372" t="str">
        <f>'Business Plan'!G135</f>
        <v/>
      </c>
      <c r="I120" s="372" t="str">
        <f>'Business Plan'!H135</f>
        <v/>
      </c>
      <c r="J120" s="372" t="str">
        <f>'Business Plan'!I135</f>
        <v/>
      </c>
      <c r="K120" s="372" t="str">
        <f>'Business Plan'!J135</f>
        <v/>
      </c>
      <c r="L120" s="372" t="str">
        <f>'Business Plan'!K135</f>
        <v/>
      </c>
      <c r="M120" s="372" t="str">
        <f>'Business Plan'!L135</f>
        <v/>
      </c>
      <c r="N120" s="372" t="str">
        <f>'Business Plan'!M135</f>
        <v/>
      </c>
      <c r="O120" s="372" t="str">
        <f>'Business Plan'!N135</f>
        <v/>
      </c>
      <c r="P120" s="372" t="str">
        <f>'Business Plan'!O135</f>
        <v/>
      </c>
      <c r="Q120" s="372" t="str">
        <f>'Business Plan'!P135</f>
        <v/>
      </c>
      <c r="R120" s="372" t="str">
        <f>'Business Plan'!Q135</f>
        <v/>
      </c>
      <c r="S120" s="372" t="str">
        <f>'Business Plan'!D135</f>
        <v/>
      </c>
      <c r="T120" s="372" t="str">
        <f>'Business Plan'!R135</f>
        <v/>
      </c>
      <c r="U120" s="372" t="str">
        <f>'Business Plan'!W135</f>
        <v/>
      </c>
      <c r="V120" s="372" t="str">
        <f>'Business Plan'!X135</f>
        <v/>
      </c>
      <c r="W120" s="372" t="str">
        <f>'Business Plan'!Y135</f>
        <v/>
      </c>
      <c r="X120" s="372" t="str">
        <f>'Business Plan'!Z135</f>
        <v/>
      </c>
    </row>
    <row r="121">
      <c r="A121" s="372" t="str">
        <f>'Business Plan'!C136</f>
        <v/>
      </c>
      <c r="B121" s="372" t="str">
        <f>'Business Plan'!E136</f>
        <v/>
      </c>
      <c r="F121" s="372" t="str">
        <f>'Business Plan'!F136</f>
        <v/>
      </c>
      <c r="H121" s="372" t="str">
        <f>'Business Plan'!G136</f>
        <v/>
      </c>
      <c r="I121" s="372" t="str">
        <f>'Business Plan'!H136</f>
        <v/>
      </c>
      <c r="J121" s="372" t="str">
        <f>'Business Plan'!I136</f>
        <v/>
      </c>
      <c r="K121" s="372" t="str">
        <f>'Business Plan'!J136</f>
        <v/>
      </c>
      <c r="L121" s="372" t="str">
        <f>'Business Plan'!K136</f>
        <v/>
      </c>
      <c r="M121" s="372" t="str">
        <f>'Business Plan'!L136</f>
        <v/>
      </c>
      <c r="N121" s="372" t="str">
        <f>'Business Plan'!M136</f>
        <v/>
      </c>
      <c r="O121" s="372" t="str">
        <f>'Business Plan'!N136</f>
        <v/>
      </c>
      <c r="P121" s="372" t="str">
        <f>'Business Plan'!O136</f>
        <v/>
      </c>
      <c r="Q121" s="372" t="str">
        <f>'Business Plan'!P136</f>
        <v/>
      </c>
      <c r="R121" s="372" t="str">
        <f>'Business Plan'!Q136</f>
        <v/>
      </c>
      <c r="S121" s="372" t="str">
        <f>'Business Plan'!D136</f>
        <v/>
      </c>
      <c r="T121" s="372" t="str">
        <f>'Business Plan'!R136</f>
        <v/>
      </c>
      <c r="U121" s="372" t="str">
        <f>'Business Plan'!W136</f>
        <v/>
      </c>
      <c r="V121" s="372" t="str">
        <f>'Business Plan'!X136</f>
        <v/>
      </c>
      <c r="W121" s="372" t="str">
        <f>'Business Plan'!Y136</f>
        <v/>
      </c>
      <c r="X121" s="372" t="str">
        <f>'Business Plan'!Z136</f>
        <v/>
      </c>
    </row>
    <row r="122">
      <c r="A122" s="372" t="str">
        <f>'Business Plan'!C137</f>
        <v/>
      </c>
      <c r="B122" s="372" t="str">
        <f>'Business Plan'!E137</f>
        <v/>
      </c>
      <c r="F122" s="372" t="str">
        <f>'Business Plan'!F137</f>
        <v/>
      </c>
      <c r="H122" s="372" t="str">
        <f>'Business Plan'!G137</f>
        <v/>
      </c>
      <c r="I122" s="372" t="str">
        <f>'Business Plan'!H137</f>
        <v/>
      </c>
      <c r="J122" s="372" t="str">
        <f>'Business Plan'!I137</f>
        <v/>
      </c>
      <c r="K122" s="372" t="str">
        <f>'Business Plan'!J137</f>
        <v/>
      </c>
      <c r="L122" s="372" t="str">
        <f>'Business Plan'!K137</f>
        <v/>
      </c>
      <c r="M122" s="372" t="str">
        <f>'Business Plan'!L137</f>
        <v/>
      </c>
      <c r="N122" s="372" t="str">
        <f>'Business Plan'!M137</f>
        <v/>
      </c>
      <c r="O122" s="372" t="str">
        <f>'Business Plan'!N137</f>
        <v/>
      </c>
      <c r="P122" s="372" t="str">
        <f>'Business Plan'!O137</f>
        <v/>
      </c>
      <c r="Q122" s="372" t="str">
        <f>'Business Plan'!P137</f>
        <v/>
      </c>
      <c r="R122" s="372" t="str">
        <f>'Business Plan'!Q137</f>
        <v/>
      </c>
      <c r="S122" s="372" t="str">
        <f>'Business Plan'!D137</f>
        <v/>
      </c>
      <c r="T122" s="372" t="str">
        <f>'Business Plan'!R137</f>
        <v/>
      </c>
      <c r="U122" s="372" t="str">
        <f>'Business Plan'!W137</f>
        <v/>
      </c>
      <c r="V122" s="372" t="str">
        <f>'Business Plan'!X137</f>
        <v/>
      </c>
      <c r="W122" s="372" t="str">
        <f>'Business Plan'!Y137</f>
        <v/>
      </c>
      <c r="X122" s="372" t="str">
        <f>'Business Plan'!Z137</f>
        <v/>
      </c>
    </row>
    <row r="123">
      <c r="A123" s="372" t="str">
        <f>'Business Plan'!C138</f>
        <v/>
      </c>
      <c r="B123" s="372" t="str">
        <f>'Business Plan'!E138</f>
        <v/>
      </c>
      <c r="F123" s="372" t="str">
        <f>'Business Plan'!F138</f>
        <v/>
      </c>
      <c r="H123" s="372" t="str">
        <f>'Business Plan'!G138</f>
        <v/>
      </c>
      <c r="I123" s="372" t="str">
        <f>'Business Plan'!H138</f>
        <v/>
      </c>
      <c r="J123" s="372" t="str">
        <f>'Business Plan'!I138</f>
        <v/>
      </c>
      <c r="K123" s="372" t="str">
        <f>'Business Plan'!J138</f>
        <v/>
      </c>
      <c r="L123" s="372" t="str">
        <f>'Business Plan'!K138</f>
        <v/>
      </c>
      <c r="M123" s="372" t="str">
        <f>'Business Plan'!L138</f>
        <v/>
      </c>
      <c r="N123" s="372" t="str">
        <f>'Business Plan'!M138</f>
        <v/>
      </c>
      <c r="O123" s="372" t="str">
        <f>'Business Plan'!N138</f>
        <v/>
      </c>
      <c r="P123" s="372" t="str">
        <f>'Business Plan'!O138</f>
        <v/>
      </c>
      <c r="Q123" s="372" t="str">
        <f>'Business Plan'!P138</f>
        <v/>
      </c>
      <c r="R123" s="372" t="str">
        <f>'Business Plan'!Q138</f>
        <v/>
      </c>
      <c r="S123" s="372" t="str">
        <f>'Business Plan'!D138</f>
        <v/>
      </c>
      <c r="T123" s="372" t="str">
        <f>'Business Plan'!R138</f>
        <v/>
      </c>
      <c r="U123" s="372" t="str">
        <f>'Business Plan'!W138</f>
        <v/>
      </c>
      <c r="V123" s="372" t="str">
        <f>'Business Plan'!X138</f>
        <v/>
      </c>
      <c r="W123" s="372" t="str">
        <f>'Business Plan'!Y138</f>
        <v/>
      </c>
      <c r="X123" s="372" t="str">
        <f>'Business Plan'!Z138</f>
        <v/>
      </c>
    </row>
    <row r="124">
      <c r="A124" s="372" t="str">
        <f>'Business Plan'!C139</f>
        <v/>
      </c>
      <c r="B124" s="372" t="str">
        <f>'Business Plan'!E139</f>
        <v/>
      </c>
      <c r="F124" s="372" t="str">
        <f>'Business Plan'!F139</f>
        <v/>
      </c>
      <c r="H124" s="372" t="str">
        <f>'Business Plan'!G139</f>
        <v/>
      </c>
      <c r="I124" s="372" t="str">
        <f>'Business Plan'!H139</f>
        <v/>
      </c>
      <c r="J124" s="372" t="str">
        <f>'Business Plan'!I139</f>
        <v/>
      </c>
      <c r="K124" s="372" t="str">
        <f>'Business Plan'!J139</f>
        <v/>
      </c>
      <c r="L124" s="372" t="str">
        <f>'Business Plan'!K139</f>
        <v/>
      </c>
      <c r="M124" s="372" t="str">
        <f>'Business Plan'!L139</f>
        <v/>
      </c>
      <c r="N124" s="372" t="str">
        <f>'Business Plan'!M139</f>
        <v/>
      </c>
      <c r="O124" s="372" t="str">
        <f>'Business Plan'!N139</f>
        <v/>
      </c>
      <c r="P124" s="372" t="str">
        <f>'Business Plan'!O139</f>
        <v/>
      </c>
      <c r="Q124" s="372" t="str">
        <f>'Business Plan'!P139</f>
        <v/>
      </c>
      <c r="R124" s="372" t="str">
        <f>'Business Plan'!Q139</f>
        <v/>
      </c>
      <c r="S124" s="372" t="str">
        <f>'Business Plan'!D139</f>
        <v/>
      </c>
      <c r="T124" s="372" t="str">
        <f>'Business Plan'!R139</f>
        <v/>
      </c>
      <c r="U124" s="372" t="str">
        <f>'Business Plan'!W139</f>
        <v/>
      </c>
      <c r="V124" s="372" t="str">
        <f>'Business Plan'!X139</f>
        <v/>
      </c>
      <c r="W124" s="372" t="str">
        <f>'Business Plan'!Y139</f>
        <v/>
      </c>
      <c r="X124" s="372" t="str">
        <f>'Business Plan'!Z139</f>
        <v/>
      </c>
    </row>
    <row r="125">
      <c r="A125" s="372" t="str">
        <f>'Business Plan'!C140</f>
        <v/>
      </c>
      <c r="B125" s="372" t="str">
        <f>'Business Plan'!E140</f>
        <v/>
      </c>
      <c r="F125" s="372" t="str">
        <f>'Business Plan'!F140</f>
        <v/>
      </c>
      <c r="H125" s="372" t="str">
        <f>'Business Plan'!G140</f>
        <v/>
      </c>
      <c r="I125" s="372" t="str">
        <f>'Business Plan'!H140</f>
        <v/>
      </c>
      <c r="J125" s="372" t="str">
        <f>'Business Plan'!I140</f>
        <v/>
      </c>
      <c r="K125" s="372" t="str">
        <f>'Business Plan'!J140</f>
        <v/>
      </c>
      <c r="L125" s="372" t="str">
        <f>'Business Plan'!K140</f>
        <v/>
      </c>
      <c r="M125" s="372" t="str">
        <f>'Business Plan'!L140</f>
        <v/>
      </c>
      <c r="N125" s="372" t="str">
        <f>'Business Plan'!M140</f>
        <v/>
      </c>
      <c r="O125" s="372" t="str">
        <f>'Business Plan'!N140</f>
        <v/>
      </c>
      <c r="P125" s="372" t="str">
        <f>'Business Plan'!O140</f>
        <v/>
      </c>
      <c r="Q125" s="372" t="str">
        <f>'Business Plan'!P140</f>
        <v/>
      </c>
      <c r="R125" s="372" t="str">
        <f>'Business Plan'!Q140</f>
        <v/>
      </c>
      <c r="S125" s="372" t="str">
        <f>'Business Plan'!D140</f>
        <v/>
      </c>
      <c r="T125" s="372" t="str">
        <f>'Business Plan'!R140</f>
        <v/>
      </c>
      <c r="U125" s="372" t="str">
        <f>'Business Plan'!W140</f>
        <v/>
      </c>
      <c r="V125" s="372" t="str">
        <f>'Business Plan'!X140</f>
        <v/>
      </c>
      <c r="W125" s="372" t="str">
        <f>'Business Plan'!Y140</f>
        <v/>
      </c>
      <c r="X125" s="372" t="str">
        <f>'Business Plan'!Z140</f>
        <v/>
      </c>
    </row>
    <row r="126">
      <c r="A126" s="372" t="str">
        <f>'Business Plan'!C141</f>
        <v/>
      </c>
      <c r="B126" s="372" t="str">
        <f>'Business Plan'!E141</f>
        <v/>
      </c>
      <c r="F126" s="372" t="str">
        <f>'Business Plan'!F141</f>
        <v/>
      </c>
      <c r="H126" s="372" t="str">
        <f>'Business Plan'!G141</f>
        <v/>
      </c>
      <c r="I126" s="372" t="str">
        <f>'Business Plan'!H141</f>
        <v/>
      </c>
      <c r="J126" s="372" t="str">
        <f>'Business Plan'!I141</f>
        <v/>
      </c>
      <c r="K126" s="372" t="str">
        <f>'Business Plan'!J141</f>
        <v/>
      </c>
      <c r="L126" s="372" t="str">
        <f>'Business Plan'!K141</f>
        <v/>
      </c>
      <c r="M126" s="372" t="str">
        <f>'Business Plan'!L141</f>
        <v/>
      </c>
      <c r="N126" s="372" t="str">
        <f>'Business Plan'!M141</f>
        <v/>
      </c>
      <c r="O126" s="372" t="str">
        <f>'Business Plan'!N141</f>
        <v/>
      </c>
      <c r="P126" s="372" t="str">
        <f>'Business Plan'!O141</f>
        <v/>
      </c>
      <c r="Q126" s="372" t="str">
        <f>'Business Plan'!P141</f>
        <v/>
      </c>
      <c r="R126" s="372" t="str">
        <f>'Business Plan'!Q141</f>
        <v/>
      </c>
      <c r="S126" s="372" t="str">
        <f>'Business Plan'!D141</f>
        <v/>
      </c>
      <c r="T126" s="372" t="str">
        <f>'Business Plan'!R141</f>
        <v/>
      </c>
      <c r="U126" s="372" t="str">
        <f>'Business Plan'!W141</f>
        <v/>
      </c>
      <c r="V126" s="372" t="str">
        <f>'Business Plan'!X141</f>
        <v/>
      </c>
      <c r="W126" s="372" t="str">
        <f>'Business Plan'!Y141</f>
        <v/>
      </c>
      <c r="X126" s="372" t="str">
        <f>'Business Plan'!Z141</f>
        <v/>
      </c>
    </row>
    <row r="127">
      <c r="A127" s="372" t="str">
        <f>'Business Plan'!C142</f>
        <v/>
      </c>
      <c r="B127" s="372" t="str">
        <f>'Business Plan'!E142</f>
        <v/>
      </c>
      <c r="F127" s="372" t="str">
        <f>'Business Plan'!F142</f>
        <v/>
      </c>
      <c r="H127" s="372" t="str">
        <f>'Business Plan'!G142</f>
        <v/>
      </c>
      <c r="I127" s="372" t="str">
        <f>'Business Plan'!H142</f>
        <v/>
      </c>
      <c r="J127" s="372" t="str">
        <f>'Business Plan'!I142</f>
        <v/>
      </c>
      <c r="K127" s="372" t="str">
        <f>'Business Plan'!J142</f>
        <v/>
      </c>
      <c r="L127" s="372" t="str">
        <f>'Business Plan'!K142</f>
        <v/>
      </c>
      <c r="M127" s="372" t="str">
        <f>'Business Plan'!L142</f>
        <v/>
      </c>
      <c r="N127" s="372" t="str">
        <f>'Business Plan'!M142</f>
        <v/>
      </c>
      <c r="O127" s="372" t="str">
        <f>'Business Plan'!N142</f>
        <v/>
      </c>
      <c r="P127" s="372" t="str">
        <f>'Business Plan'!O142</f>
        <v/>
      </c>
      <c r="Q127" s="372" t="str">
        <f>'Business Plan'!P142</f>
        <v/>
      </c>
      <c r="R127" s="372" t="str">
        <f>'Business Plan'!Q142</f>
        <v/>
      </c>
      <c r="S127" s="372" t="str">
        <f>'Business Plan'!D142</f>
        <v/>
      </c>
      <c r="T127" s="372" t="str">
        <f>'Business Plan'!R142</f>
        <v/>
      </c>
      <c r="U127" s="372" t="str">
        <f>'Business Plan'!W142</f>
        <v/>
      </c>
      <c r="V127" s="372" t="str">
        <f>'Business Plan'!X142</f>
        <v/>
      </c>
      <c r="W127" s="372" t="str">
        <f>'Business Plan'!Y142</f>
        <v/>
      </c>
      <c r="X127" s="372" t="str">
        <f>'Business Plan'!Z142</f>
        <v/>
      </c>
    </row>
    <row r="128">
      <c r="A128" s="372" t="str">
        <f>'Business Plan'!C143</f>
        <v/>
      </c>
      <c r="B128" s="372" t="str">
        <f>'Business Plan'!E143</f>
        <v/>
      </c>
      <c r="F128" s="372" t="str">
        <f>'Business Plan'!F143</f>
        <v/>
      </c>
      <c r="H128" s="372" t="str">
        <f>'Business Plan'!G143</f>
        <v/>
      </c>
      <c r="I128" s="372" t="str">
        <f>'Business Plan'!H143</f>
        <v/>
      </c>
      <c r="J128" s="372" t="str">
        <f>'Business Plan'!I143</f>
        <v/>
      </c>
      <c r="K128" s="372" t="str">
        <f>'Business Plan'!J143</f>
        <v/>
      </c>
      <c r="L128" s="372" t="str">
        <f>'Business Plan'!K143</f>
        <v/>
      </c>
      <c r="M128" s="372" t="str">
        <f>'Business Plan'!L143</f>
        <v/>
      </c>
      <c r="N128" s="372" t="str">
        <f>'Business Plan'!M143</f>
        <v/>
      </c>
      <c r="O128" s="372" t="str">
        <f>'Business Plan'!N143</f>
        <v/>
      </c>
      <c r="P128" s="372" t="str">
        <f>'Business Plan'!O143</f>
        <v/>
      </c>
      <c r="Q128" s="372" t="str">
        <f>'Business Plan'!P143</f>
        <v/>
      </c>
      <c r="R128" s="372" t="str">
        <f>'Business Plan'!Q143</f>
        <v/>
      </c>
      <c r="S128" s="372" t="str">
        <f>'Business Plan'!D143</f>
        <v/>
      </c>
      <c r="T128" s="372" t="str">
        <f>'Business Plan'!R143</f>
        <v/>
      </c>
      <c r="U128" s="372" t="str">
        <f>'Business Plan'!W143</f>
        <v/>
      </c>
      <c r="V128" s="372" t="str">
        <f>'Business Plan'!X143</f>
        <v/>
      </c>
      <c r="W128" s="372" t="str">
        <f>'Business Plan'!Y143</f>
        <v/>
      </c>
      <c r="X128" s="372" t="str">
        <f>'Business Plan'!Z143</f>
        <v/>
      </c>
    </row>
    <row r="129">
      <c r="A129" s="372" t="str">
        <f>'Business Plan'!C144</f>
        <v/>
      </c>
      <c r="B129" s="372" t="str">
        <f>'Business Plan'!E144</f>
        <v/>
      </c>
      <c r="F129" s="372" t="str">
        <f>'Business Plan'!F144</f>
        <v/>
      </c>
      <c r="H129" s="372" t="str">
        <f>'Business Plan'!G144</f>
        <v/>
      </c>
      <c r="I129" s="372" t="str">
        <f>'Business Plan'!H144</f>
        <v/>
      </c>
      <c r="J129" s="372" t="str">
        <f>'Business Plan'!I144</f>
        <v/>
      </c>
      <c r="K129" s="372" t="str">
        <f>'Business Plan'!J144</f>
        <v/>
      </c>
      <c r="L129" s="372" t="str">
        <f>'Business Plan'!K144</f>
        <v/>
      </c>
      <c r="M129" s="372" t="str">
        <f>'Business Plan'!L144</f>
        <v/>
      </c>
      <c r="N129" s="372" t="str">
        <f>'Business Plan'!M144</f>
        <v/>
      </c>
      <c r="O129" s="372" t="str">
        <f>'Business Plan'!N144</f>
        <v/>
      </c>
      <c r="P129" s="372" t="str">
        <f>'Business Plan'!O144</f>
        <v/>
      </c>
      <c r="Q129" s="372" t="str">
        <f>'Business Plan'!P144</f>
        <v/>
      </c>
      <c r="R129" s="372" t="str">
        <f>'Business Plan'!Q144</f>
        <v/>
      </c>
      <c r="S129" s="372" t="str">
        <f>'Business Plan'!D144</f>
        <v/>
      </c>
      <c r="T129" s="372" t="str">
        <f>'Business Plan'!R144</f>
        <v/>
      </c>
      <c r="U129" s="372" t="str">
        <f>'Business Plan'!W144</f>
        <v/>
      </c>
      <c r="V129" s="372" t="str">
        <f>'Business Plan'!X144</f>
        <v/>
      </c>
      <c r="W129" s="372" t="str">
        <f>'Business Plan'!Y144</f>
        <v/>
      </c>
      <c r="X129" s="372" t="str">
        <f>'Business Plan'!Z144</f>
        <v/>
      </c>
    </row>
    <row r="130">
      <c r="A130" s="372" t="str">
        <f>'Business Plan'!C145</f>
        <v/>
      </c>
      <c r="B130" s="372" t="str">
        <f>'Business Plan'!E145</f>
        <v/>
      </c>
      <c r="F130" s="372" t="str">
        <f>'Business Plan'!F145</f>
        <v/>
      </c>
      <c r="H130" s="372" t="str">
        <f>'Business Plan'!G145</f>
        <v/>
      </c>
      <c r="I130" s="372" t="str">
        <f>'Business Plan'!H145</f>
        <v/>
      </c>
      <c r="J130" s="372" t="str">
        <f>'Business Plan'!I145</f>
        <v/>
      </c>
      <c r="K130" s="372" t="str">
        <f>'Business Plan'!J145</f>
        <v/>
      </c>
      <c r="L130" s="372" t="str">
        <f>'Business Plan'!K145</f>
        <v/>
      </c>
      <c r="M130" s="372" t="str">
        <f>'Business Plan'!L145</f>
        <v/>
      </c>
      <c r="N130" s="372" t="str">
        <f>'Business Plan'!M145</f>
        <v/>
      </c>
      <c r="O130" s="372" t="str">
        <f>'Business Plan'!N145</f>
        <v/>
      </c>
      <c r="P130" s="372" t="str">
        <f>'Business Plan'!O145</f>
        <v/>
      </c>
      <c r="Q130" s="372" t="str">
        <f>'Business Plan'!P145</f>
        <v/>
      </c>
      <c r="R130" s="372" t="str">
        <f>'Business Plan'!Q145</f>
        <v/>
      </c>
      <c r="S130" s="372" t="str">
        <f>'Business Plan'!D145</f>
        <v/>
      </c>
      <c r="T130" s="372" t="str">
        <f>'Business Plan'!R145</f>
        <v/>
      </c>
      <c r="U130" s="372" t="str">
        <f>'Business Plan'!W145</f>
        <v/>
      </c>
      <c r="V130" s="372" t="str">
        <f>'Business Plan'!X145</f>
        <v/>
      </c>
      <c r="W130" s="372" t="str">
        <f>'Business Plan'!Y145</f>
        <v/>
      </c>
      <c r="X130" s="372" t="str">
        <f>'Business Plan'!Z145</f>
        <v/>
      </c>
    </row>
    <row r="131">
      <c r="A131" s="372" t="str">
        <f>'Business Plan'!C146</f>
        <v/>
      </c>
      <c r="B131" s="372" t="str">
        <f>'Business Plan'!E146</f>
        <v/>
      </c>
      <c r="F131" s="372" t="str">
        <f>'Business Plan'!F146</f>
        <v/>
      </c>
      <c r="H131" s="372" t="str">
        <f>'Business Plan'!G146</f>
        <v/>
      </c>
      <c r="I131" s="372" t="str">
        <f>'Business Plan'!H146</f>
        <v/>
      </c>
      <c r="J131" s="372" t="str">
        <f>'Business Plan'!I146</f>
        <v/>
      </c>
      <c r="K131" s="372" t="str">
        <f>'Business Plan'!J146</f>
        <v/>
      </c>
      <c r="L131" s="372" t="str">
        <f>'Business Plan'!K146</f>
        <v/>
      </c>
      <c r="M131" s="372" t="str">
        <f>'Business Plan'!L146</f>
        <v/>
      </c>
      <c r="N131" s="372" t="str">
        <f>'Business Plan'!M146</f>
        <v/>
      </c>
      <c r="O131" s="372" t="str">
        <f>'Business Plan'!N146</f>
        <v/>
      </c>
      <c r="P131" s="372" t="str">
        <f>'Business Plan'!O146</f>
        <v/>
      </c>
      <c r="Q131" s="372" t="str">
        <f>'Business Plan'!P146</f>
        <v/>
      </c>
      <c r="R131" s="372" t="str">
        <f>'Business Plan'!Q146</f>
        <v/>
      </c>
      <c r="S131" s="372" t="str">
        <f>'Business Plan'!D146</f>
        <v/>
      </c>
      <c r="T131" s="372" t="str">
        <f>'Business Plan'!R146</f>
        <v/>
      </c>
      <c r="U131" s="372" t="str">
        <f>'Business Plan'!W146</f>
        <v/>
      </c>
      <c r="V131" s="372" t="str">
        <f>'Business Plan'!X146</f>
        <v/>
      </c>
      <c r="W131" s="372" t="str">
        <f>'Business Plan'!Y146</f>
        <v/>
      </c>
      <c r="X131" s="372" t="str">
        <f>'Business Plan'!Z146</f>
        <v/>
      </c>
    </row>
    <row r="132">
      <c r="A132" s="372" t="str">
        <f>'Business Plan'!C147</f>
        <v/>
      </c>
      <c r="B132" s="372" t="str">
        <f>'Business Plan'!E147</f>
        <v/>
      </c>
      <c r="F132" s="372" t="str">
        <f>'Business Plan'!F147</f>
        <v/>
      </c>
      <c r="H132" s="372" t="str">
        <f>'Business Plan'!G147</f>
        <v/>
      </c>
      <c r="I132" s="372" t="str">
        <f>'Business Plan'!H147</f>
        <v/>
      </c>
      <c r="J132" s="372" t="str">
        <f>'Business Plan'!I147</f>
        <v/>
      </c>
      <c r="K132" s="372" t="str">
        <f>'Business Plan'!J147</f>
        <v/>
      </c>
      <c r="L132" s="372" t="str">
        <f>'Business Plan'!K147</f>
        <v/>
      </c>
      <c r="M132" s="372" t="str">
        <f>'Business Plan'!L147</f>
        <v/>
      </c>
      <c r="N132" s="372" t="str">
        <f>'Business Plan'!M147</f>
        <v/>
      </c>
      <c r="O132" s="372" t="str">
        <f>'Business Plan'!N147</f>
        <v/>
      </c>
      <c r="P132" s="372" t="str">
        <f>'Business Plan'!O147</f>
        <v/>
      </c>
      <c r="Q132" s="372" t="str">
        <f>'Business Plan'!P147</f>
        <v/>
      </c>
      <c r="R132" s="372" t="str">
        <f>'Business Plan'!Q147</f>
        <v/>
      </c>
      <c r="S132" s="372" t="str">
        <f>'Business Plan'!D147</f>
        <v/>
      </c>
      <c r="T132" s="372" t="str">
        <f>'Business Plan'!R147</f>
        <v/>
      </c>
      <c r="U132" s="372" t="str">
        <f>'Business Plan'!W147</f>
        <v/>
      </c>
      <c r="V132" s="372" t="str">
        <f>'Business Plan'!X147</f>
        <v/>
      </c>
      <c r="W132" s="372" t="str">
        <f>'Business Plan'!Y147</f>
        <v/>
      </c>
      <c r="X132" s="372" t="str">
        <f>'Business Plan'!Z147</f>
        <v/>
      </c>
    </row>
    <row r="133">
      <c r="A133" s="372" t="str">
        <f>'Business Plan'!C148</f>
        <v/>
      </c>
      <c r="B133" s="372" t="str">
        <f>'Business Plan'!E148</f>
        <v/>
      </c>
      <c r="F133" s="372" t="str">
        <f>'Business Plan'!F148</f>
        <v/>
      </c>
      <c r="H133" s="372" t="str">
        <f>'Business Plan'!G148</f>
        <v/>
      </c>
      <c r="I133" s="372" t="str">
        <f>'Business Plan'!H148</f>
        <v/>
      </c>
      <c r="J133" s="372" t="str">
        <f>'Business Plan'!I148</f>
        <v/>
      </c>
      <c r="K133" s="372" t="str">
        <f>'Business Plan'!J148</f>
        <v/>
      </c>
      <c r="L133" s="372" t="str">
        <f>'Business Plan'!K148</f>
        <v/>
      </c>
      <c r="M133" s="372" t="str">
        <f>'Business Plan'!L148</f>
        <v/>
      </c>
      <c r="N133" s="372" t="str">
        <f>'Business Plan'!M148</f>
        <v/>
      </c>
      <c r="O133" s="372" t="str">
        <f>'Business Plan'!N148</f>
        <v/>
      </c>
      <c r="P133" s="372" t="str">
        <f>'Business Plan'!O148</f>
        <v/>
      </c>
      <c r="Q133" s="372" t="str">
        <f>'Business Plan'!P148</f>
        <v/>
      </c>
      <c r="R133" s="372" t="str">
        <f>'Business Plan'!Q148</f>
        <v/>
      </c>
      <c r="S133" s="372" t="str">
        <f>'Business Plan'!D148</f>
        <v/>
      </c>
      <c r="T133" s="372" t="str">
        <f>'Business Plan'!R148</f>
        <v/>
      </c>
      <c r="U133" s="372" t="str">
        <f>'Business Plan'!W148</f>
        <v/>
      </c>
      <c r="V133" s="372" t="str">
        <f>'Business Plan'!X148</f>
        <v/>
      </c>
      <c r="W133" s="372" t="str">
        <f>'Business Plan'!Y148</f>
        <v/>
      </c>
      <c r="X133" s="372" t="str">
        <f>'Business Plan'!Z148</f>
        <v/>
      </c>
    </row>
    <row r="134">
      <c r="A134" s="372" t="str">
        <f>'Business Plan'!C149</f>
        <v/>
      </c>
      <c r="B134" s="372" t="str">
        <f>'Business Plan'!E149</f>
        <v/>
      </c>
      <c r="F134" s="372" t="str">
        <f>'Business Plan'!F149</f>
        <v/>
      </c>
      <c r="H134" s="372" t="str">
        <f>'Business Plan'!G149</f>
        <v/>
      </c>
      <c r="I134" s="372" t="str">
        <f>'Business Plan'!H149</f>
        <v/>
      </c>
      <c r="J134" s="372" t="str">
        <f>'Business Plan'!I149</f>
        <v/>
      </c>
      <c r="K134" s="372" t="str">
        <f>'Business Plan'!J149</f>
        <v/>
      </c>
      <c r="L134" s="372" t="str">
        <f>'Business Plan'!K149</f>
        <v/>
      </c>
      <c r="M134" s="372" t="str">
        <f>'Business Plan'!L149</f>
        <v/>
      </c>
      <c r="N134" s="372" t="str">
        <f>'Business Plan'!M149</f>
        <v/>
      </c>
      <c r="O134" s="372" t="str">
        <f>'Business Plan'!N149</f>
        <v/>
      </c>
      <c r="P134" s="372" t="str">
        <f>'Business Plan'!O149</f>
        <v/>
      </c>
      <c r="Q134" s="372" t="str">
        <f>'Business Plan'!P149</f>
        <v/>
      </c>
      <c r="R134" s="372" t="str">
        <f>'Business Plan'!Q149</f>
        <v/>
      </c>
      <c r="S134" s="372" t="str">
        <f>'Business Plan'!D149</f>
        <v/>
      </c>
      <c r="T134" s="372" t="str">
        <f>'Business Plan'!R149</f>
        <v/>
      </c>
      <c r="U134" s="372" t="str">
        <f>'Business Plan'!W149</f>
        <v/>
      </c>
      <c r="V134" s="372" t="str">
        <f>'Business Plan'!X149</f>
        <v/>
      </c>
      <c r="W134" s="372" t="str">
        <f>'Business Plan'!Y149</f>
        <v/>
      </c>
      <c r="X134" s="372" t="str">
        <f>'Business Plan'!Z149</f>
        <v/>
      </c>
    </row>
    <row r="135">
      <c r="A135" s="372" t="str">
        <f>'Business Plan'!C150</f>
        <v/>
      </c>
      <c r="B135" s="372" t="str">
        <f>'Business Plan'!E150</f>
        <v/>
      </c>
      <c r="F135" s="372" t="str">
        <f>'Business Plan'!F150</f>
        <v/>
      </c>
      <c r="H135" s="372" t="str">
        <f>'Business Plan'!G150</f>
        <v/>
      </c>
      <c r="I135" s="372" t="str">
        <f>'Business Plan'!H150</f>
        <v/>
      </c>
      <c r="J135" s="372" t="str">
        <f>'Business Plan'!I150</f>
        <v/>
      </c>
      <c r="K135" s="372" t="str">
        <f>'Business Plan'!J150</f>
        <v/>
      </c>
      <c r="L135" s="372" t="str">
        <f>'Business Plan'!K150</f>
        <v/>
      </c>
      <c r="M135" s="372" t="str">
        <f>'Business Plan'!L150</f>
        <v/>
      </c>
      <c r="N135" s="372" t="str">
        <f>'Business Plan'!M150</f>
        <v/>
      </c>
      <c r="O135" s="372" t="str">
        <f>'Business Plan'!N150</f>
        <v/>
      </c>
      <c r="P135" s="372" t="str">
        <f>'Business Plan'!O150</f>
        <v/>
      </c>
      <c r="Q135" s="372" t="str">
        <f>'Business Plan'!P150</f>
        <v/>
      </c>
      <c r="R135" s="372" t="str">
        <f>'Business Plan'!Q150</f>
        <v/>
      </c>
      <c r="S135" s="372" t="str">
        <f>'Business Plan'!D150</f>
        <v/>
      </c>
      <c r="T135" s="372" t="str">
        <f>'Business Plan'!R150</f>
        <v/>
      </c>
      <c r="U135" s="372" t="str">
        <f>'Business Plan'!W150</f>
        <v/>
      </c>
      <c r="V135" s="372" t="str">
        <f>'Business Plan'!X150</f>
        <v/>
      </c>
      <c r="W135" s="372" t="str">
        <f>'Business Plan'!Y150</f>
        <v/>
      </c>
      <c r="X135" s="372" t="str">
        <f>'Business Plan'!Z150</f>
        <v/>
      </c>
    </row>
    <row r="136">
      <c r="A136" s="372" t="str">
        <f>'Business Plan'!C151</f>
        <v/>
      </c>
      <c r="B136" s="372" t="str">
        <f>'Business Plan'!E151</f>
        <v/>
      </c>
      <c r="F136" s="372" t="str">
        <f>'Business Plan'!F151</f>
        <v/>
      </c>
      <c r="H136" s="372" t="str">
        <f>'Business Plan'!G151</f>
        <v/>
      </c>
      <c r="I136" s="372" t="str">
        <f>'Business Plan'!H151</f>
        <v/>
      </c>
      <c r="J136" s="372" t="str">
        <f>'Business Plan'!I151</f>
        <v/>
      </c>
      <c r="K136" s="372" t="str">
        <f>'Business Plan'!J151</f>
        <v/>
      </c>
      <c r="L136" s="372" t="str">
        <f>'Business Plan'!K151</f>
        <v/>
      </c>
      <c r="M136" s="372" t="str">
        <f>'Business Plan'!L151</f>
        <v/>
      </c>
      <c r="N136" s="372" t="str">
        <f>'Business Plan'!M151</f>
        <v/>
      </c>
      <c r="O136" s="372" t="str">
        <f>'Business Plan'!N151</f>
        <v/>
      </c>
      <c r="P136" s="372" t="str">
        <f>'Business Plan'!O151</f>
        <v/>
      </c>
      <c r="Q136" s="372" t="str">
        <f>'Business Plan'!P151</f>
        <v/>
      </c>
      <c r="R136" s="372" t="str">
        <f>'Business Plan'!Q151</f>
        <v/>
      </c>
      <c r="S136" s="372" t="str">
        <f>'Business Plan'!D151</f>
        <v/>
      </c>
      <c r="T136" s="372" t="str">
        <f>'Business Plan'!R151</f>
        <v/>
      </c>
      <c r="U136" s="372" t="str">
        <f>'Business Plan'!W151</f>
        <v/>
      </c>
      <c r="V136" s="372" t="str">
        <f>'Business Plan'!X151</f>
        <v/>
      </c>
      <c r="W136" s="372" t="str">
        <f>'Business Plan'!Y151</f>
        <v/>
      </c>
      <c r="X136" s="372" t="str">
        <f>'Business Plan'!Z151</f>
        <v/>
      </c>
    </row>
    <row r="137">
      <c r="A137" s="372" t="str">
        <f>'Business Plan'!C152</f>
        <v/>
      </c>
      <c r="B137" s="372" t="str">
        <f>'Business Plan'!E152</f>
        <v/>
      </c>
      <c r="F137" s="372" t="str">
        <f>'Business Plan'!F152</f>
        <v/>
      </c>
      <c r="H137" s="372" t="str">
        <f>'Business Plan'!G152</f>
        <v/>
      </c>
      <c r="I137" s="372" t="str">
        <f>'Business Plan'!H152</f>
        <v/>
      </c>
      <c r="J137" s="372" t="str">
        <f>'Business Plan'!I152</f>
        <v/>
      </c>
      <c r="K137" s="372" t="str">
        <f>'Business Plan'!J152</f>
        <v/>
      </c>
      <c r="L137" s="372" t="str">
        <f>'Business Plan'!K152</f>
        <v/>
      </c>
      <c r="M137" s="372" t="str">
        <f>'Business Plan'!L152</f>
        <v/>
      </c>
      <c r="N137" s="372" t="str">
        <f>'Business Plan'!M152</f>
        <v/>
      </c>
      <c r="O137" s="372" t="str">
        <f>'Business Plan'!N152</f>
        <v/>
      </c>
      <c r="P137" s="372" t="str">
        <f>'Business Plan'!O152</f>
        <v/>
      </c>
      <c r="Q137" s="372" t="str">
        <f>'Business Plan'!P152</f>
        <v/>
      </c>
      <c r="R137" s="372" t="str">
        <f>'Business Plan'!Q152</f>
        <v/>
      </c>
      <c r="S137" s="372" t="str">
        <f>'Business Plan'!D152</f>
        <v/>
      </c>
      <c r="T137" s="372" t="str">
        <f>'Business Plan'!R152</f>
        <v/>
      </c>
      <c r="U137" s="372" t="str">
        <f>'Business Plan'!W152</f>
        <v/>
      </c>
      <c r="V137" s="372" t="str">
        <f>'Business Plan'!X152</f>
        <v/>
      </c>
      <c r="W137" s="372" t="str">
        <f>'Business Plan'!Y152</f>
        <v/>
      </c>
      <c r="X137" s="372" t="str">
        <f>'Business Plan'!Z152</f>
        <v/>
      </c>
    </row>
    <row r="138">
      <c r="A138" s="372" t="str">
        <f>'Business Plan'!C153</f>
        <v/>
      </c>
      <c r="B138" s="372" t="str">
        <f>'Business Plan'!E153</f>
        <v/>
      </c>
      <c r="F138" s="372" t="str">
        <f>'Business Plan'!F153</f>
        <v/>
      </c>
      <c r="H138" s="372" t="str">
        <f>'Business Plan'!G153</f>
        <v/>
      </c>
      <c r="I138" s="372" t="str">
        <f>'Business Plan'!H153</f>
        <v/>
      </c>
      <c r="J138" s="372" t="str">
        <f>'Business Plan'!I153</f>
        <v/>
      </c>
      <c r="K138" s="372" t="str">
        <f>'Business Plan'!J153</f>
        <v/>
      </c>
      <c r="L138" s="372" t="str">
        <f>'Business Plan'!K153</f>
        <v/>
      </c>
      <c r="M138" s="372" t="str">
        <f>'Business Plan'!L153</f>
        <v/>
      </c>
      <c r="N138" s="372" t="str">
        <f>'Business Plan'!M153</f>
        <v/>
      </c>
      <c r="O138" s="372" t="str">
        <f>'Business Plan'!N153</f>
        <v/>
      </c>
      <c r="P138" s="372" t="str">
        <f>'Business Plan'!O153</f>
        <v/>
      </c>
      <c r="Q138" s="372" t="str">
        <f>'Business Plan'!P153</f>
        <v/>
      </c>
      <c r="R138" s="372" t="str">
        <f>'Business Plan'!Q153</f>
        <v/>
      </c>
      <c r="S138" s="372" t="str">
        <f>'Business Plan'!D153</f>
        <v/>
      </c>
      <c r="T138" s="372" t="str">
        <f>'Business Plan'!R153</f>
        <v/>
      </c>
      <c r="U138" s="372" t="str">
        <f>'Business Plan'!W153</f>
        <v/>
      </c>
      <c r="V138" s="372" t="str">
        <f>'Business Plan'!X153</f>
        <v/>
      </c>
      <c r="W138" s="372" t="str">
        <f>'Business Plan'!Y153</f>
        <v/>
      </c>
      <c r="X138" s="372" t="str">
        <f>'Business Plan'!Z153</f>
        <v/>
      </c>
    </row>
    <row r="139">
      <c r="A139" s="372" t="str">
        <f>'Business Plan'!C154</f>
        <v/>
      </c>
      <c r="B139" s="372" t="str">
        <f>'Business Plan'!E154</f>
        <v/>
      </c>
      <c r="F139" s="372" t="str">
        <f>'Business Plan'!F154</f>
        <v/>
      </c>
      <c r="H139" s="372" t="str">
        <f>'Business Plan'!G154</f>
        <v/>
      </c>
      <c r="I139" s="372" t="str">
        <f>'Business Plan'!H154</f>
        <v/>
      </c>
      <c r="J139" s="372" t="str">
        <f>'Business Plan'!I154</f>
        <v/>
      </c>
      <c r="K139" s="372" t="str">
        <f>'Business Plan'!J154</f>
        <v/>
      </c>
      <c r="L139" s="372" t="str">
        <f>'Business Plan'!K154</f>
        <v/>
      </c>
      <c r="M139" s="372" t="str">
        <f>'Business Plan'!L154</f>
        <v/>
      </c>
      <c r="N139" s="372" t="str">
        <f>'Business Plan'!M154</f>
        <v/>
      </c>
      <c r="O139" s="372" t="str">
        <f>'Business Plan'!N154</f>
        <v/>
      </c>
      <c r="P139" s="372" t="str">
        <f>'Business Plan'!O154</f>
        <v/>
      </c>
      <c r="Q139" s="372" t="str">
        <f>'Business Plan'!P154</f>
        <v/>
      </c>
      <c r="R139" s="372" t="str">
        <f>'Business Plan'!Q154</f>
        <v/>
      </c>
      <c r="S139" s="372" t="str">
        <f>'Business Plan'!D154</f>
        <v/>
      </c>
      <c r="T139" s="372" t="str">
        <f>'Business Plan'!R154</f>
        <v/>
      </c>
      <c r="U139" s="372" t="str">
        <f>'Business Plan'!W154</f>
        <v/>
      </c>
      <c r="V139" s="372" t="str">
        <f>'Business Plan'!X154</f>
        <v/>
      </c>
      <c r="W139" s="372" t="str">
        <f>'Business Plan'!Y154</f>
        <v/>
      </c>
      <c r="X139" s="372" t="str">
        <f>'Business Plan'!Z154</f>
        <v/>
      </c>
    </row>
    <row r="140">
      <c r="A140" s="372" t="str">
        <f>'Business Plan'!C155</f>
        <v/>
      </c>
      <c r="B140" s="372" t="str">
        <f>'Business Plan'!E155</f>
        <v/>
      </c>
      <c r="F140" s="372" t="str">
        <f>'Business Plan'!F155</f>
        <v/>
      </c>
      <c r="H140" s="372" t="str">
        <f>'Business Plan'!G155</f>
        <v/>
      </c>
      <c r="I140" s="372" t="str">
        <f>'Business Plan'!H155</f>
        <v/>
      </c>
      <c r="J140" s="372" t="str">
        <f>'Business Plan'!I155</f>
        <v/>
      </c>
      <c r="K140" s="372" t="str">
        <f>'Business Plan'!J155</f>
        <v/>
      </c>
      <c r="L140" s="372" t="str">
        <f>'Business Plan'!K155</f>
        <v/>
      </c>
      <c r="M140" s="372" t="str">
        <f>'Business Plan'!L155</f>
        <v/>
      </c>
      <c r="N140" s="372" t="str">
        <f>'Business Plan'!M155</f>
        <v/>
      </c>
      <c r="O140" s="372" t="str">
        <f>'Business Plan'!N155</f>
        <v/>
      </c>
      <c r="P140" s="372" t="str">
        <f>'Business Plan'!O155</f>
        <v/>
      </c>
      <c r="Q140" s="372" t="str">
        <f>'Business Plan'!P155</f>
        <v/>
      </c>
      <c r="R140" s="372" t="str">
        <f>'Business Plan'!Q155</f>
        <v/>
      </c>
      <c r="S140" s="372" t="str">
        <f>'Business Plan'!D155</f>
        <v/>
      </c>
      <c r="T140" s="372" t="str">
        <f>'Business Plan'!R155</f>
        <v/>
      </c>
      <c r="U140" s="372" t="str">
        <f>'Business Plan'!W155</f>
        <v/>
      </c>
      <c r="V140" s="372" t="str">
        <f>'Business Plan'!X155</f>
        <v/>
      </c>
      <c r="W140" s="372" t="str">
        <f>'Business Plan'!Y155</f>
        <v/>
      </c>
      <c r="X140" s="372" t="str">
        <f>'Business Plan'!Z155</f>
        <v/>
      </c>
    </row>
    <row r="141">
      <c r="A141" s="372" t="str">
        <f>'Business Plan'!C156</f>
        <v/>
      </c>
      <c r="B141" s="372" t="str">
        <f>'Business Plan'!E156</f>
        <v/>
      </c>
      <c r="F141" s="372" t="str">
        <f>'Business Plan'!F156</f>
        <v/>
      </c>
      <c r="H141" s="372" t="str">
        <f>'Business Plan'!G156</f>
        <v/>
      </c>
      <c r="I141" s="372" t="str">
        <f>'Business Plan'!H156</f>
        <v/>
      </c>
      <c r="J141" s="372" t="str">
        <f>'Business Plan'!I156</f>
        <v/>
      </c>
      <c r="K141" s="372" t="str">
        <f>'Business Plan'!J156</f>
        <v/>
      </c>
      <c r="L141" s="372" t="str">
        <f>'Business Plan'!K156</f>
        <v/>
      </c>
      <c r="M141" s="372" t="str">
        <f>'Business Plan'!L156</f>
        <v/>
      </c>
      <c r="N141" s="372" t="str">
        <f>'Business Plan'!M156</f>
        <v/>
      </c>
      <c r="O141" s="372" t="str">
        <f>'Business Plan'!N156</f>
        <v/>
      </c>
      <c r="P141" s="372" t="str">
        <f>'Business Plan'!O156</f>
        <v/>
      </c>
      <c r="Q141" s="372" t="str">
        <f>'Business Plan'!P156</f>
        <v/>
      </c>
      <c r="R141" s="372" t="str">
        <f>'Business Plan'!Q156</f>
        <v/>
      </c>
      <c r="S141" s="372" t="str">
        <f>'Business Plan'!D156</f>
        <v/>
      </c>
      <c r="T141" s="372" t="str">
        <f>'Business Plan'!R156</f>
        <v/>
      </c>
      <c r="U141" s="372" t="str">
        <f>'Business Plan'!W156</f>
        <v/>
      </c>
      <c r="V141" s="372" t="str">
        <f>'Business Plan'!X156</f>
        <v/>
      </c>
      <c r="W141" s="372" t="str">
        <f>'Business Plan'!Y156</f>
        <v/>
      </c>
      <c r="X141" s="372" t="str">
        <f>'Business Plan'!Z156</f>
        <v/>
      </c>
    </row>
    <row r="142">
      <c r="A142" s="372" t="str">
        <f>'Business Plan'!C157</f>
        <v/>
      </c>
      <c r="B142" s="372" t="str">
        <f>'Business Plan'!E157</f>
        <v/>
      </c>
      <c r="F142" s="372" t="str">
        <f>'Business Plan'!F157</f>
        <v/>
      </c>
      <c r="H142" s="372" t="str">
        <f>'Business Plan'!G157</f>
        <v/>
      </c>
      <c r="I142" s="372" t="str">
        <f>'Business Plan'!H157</f>
        <v/>
      </c>
      <c r="J142" s="372" t="str">
        <f>'Business Plan'!I157</f>
        <v/>
      </c>
      <c r="K142" s="372" t="str">
        <f>'Business Plan'!J157</f>
        <v/>
      </c>
      <c r="L142" s="372" t="str">
        <f>'Business Plan'!K157</f>
        <v/>
      </c>
      <c r="M142" s="372" t="str">
        <f>'Business Plan'!L157</f>
        <v/>
      </c>
      <c r="N142" s="372" t="str">
        <f>'Business Plan'!M157</f>
        <v/>
      </c>
      <c r="O142" s="372" t="str">
        <f>'Business Plan'!N157</f>
        <v/>
      </c>
      <c r="P142" s="372" t="str">
        <f>'Business Plan'!O157</f>
        <v/>
      </c>
      <c r="Q142" s="372" t="str">
        <f>'Business Plan'!P157</f>
        <v/>
      </c>
      <c r="R142" s="372" t="str">
        <f>'Business Plan'!Q157</f>
        <v/>
      </c>
      <c r="S142" s="372" t="str">
        <f>'Business Plan'!D157</f>
        <v/>
      </c>
      <c r="T142" s="372" t="str">
        <f>'Business Plan'!R157</f>
        <v/>
      </c>
      <c r="U142" s="372" t="str">
        <f>'Business Plan'!W157</f>
        <v/>
      </c>
      <c r="V142" s="372" t="str">
        <f>'Business Plan'!X157</f>
        <v/>
      </c>
      <c r="W142" s="372" t="str">
        <f>'Business Plan'!Y157</f>
        <v/>
      </c>
      <c r="X142" s="372" t="str">
        <f>'Business Plan'!Z157</f>
        <v/>
      </c>
    </row>
    <row r="143">
      <c r="A143" s="372" t="str">
        <f>'Business Plan'!C158</f>
        <v/>
      </c>
      <c r="B143" s="372" t="str">
        <f>'Business Plan'!E158</f>
        <v/>
      </c>
      <c r="F143" s="372" t="str">
        <f>'Business Plan'!F158</f>
        <v/>
      </c>
      <c r="H143" s="372" t="str">
        <f>'Business Plan'!G158</f>
        <v/>
      </c>
      <c r="I143" s="372" t="str">
        <f>'Business Plan'!H158</f>
        <v/>
      </c>
      <c r="J143" s="372" t="str">
        <f>'Business Plan'!I158</f>
        <v/>
      </c>
      <c r="K143" s="372" t="str">
        <f>'Business Plan'!J158</f>
        <v/>
      </c>
      <c r="L143" s="372" t="str">
        <f>'Business Plan'!K158</f>
        <v/>
      </c>
      <c r="M143" s="372" t="str">
        <f>'Business Plan'!L158</f>
        <v/>
      </c>
      <c r="N143" s="372" t="str">
        <f>'Business Plan'!M158</f>
        <v/>
      </c>
      <c r="O143" s="372" t="str">
        <f>'Business Plan'!N158</f>
        <v/>
      </c>
      <c r="P143" s="372" t="str">
        <f>'Business Plan'!O158</f>
        <v/>
      </c>
      <c r="Q143" s="372" t="str">
        <f>'Business Plan'!P158</f>
        <v/>
      </c>
      <c r="R143" s="372" t="str">
        <f>'Business Plan'!Q158</f>
        <v/>
      </c>
      <c r="S143" s="372" t="str">
        <f>'Business Plan'!D158</f>
        <v/>
      </c>
      <c r="T143" s="372" t="str">
        <f>'Business Plan'!R158</f>
        <v/>
      </c>
      <c r="U143" s="372" t="str">
        <f>'Business Plan'!W158</f>
        <v/>
      </c>
      <c r="V143" s="372" t="str">
        <f>'Business Plan'!X158</f>
        <v/>
      </c>
      <c r="W143" s="372" t="str">
        <f>'Business Plan'!Y158</f>
        <v/>
      </c>
      <c r="X143" s="372" t="str">
        <f>'Business Plan'!Z158</f>
        <v/>
      </c>
    </row>
    <row r="144">
      <c r="A144" s="372" t="str">
        <f>'Business Plan'!C159</f>
        <v/>
      </c>
      <c r="B144" s="372" t="str">
        <f>'Business Plan'!E159</f>
        <v/>
      </c>
      <c r="F144" s="372" t="str">
        <f>'Business Plan'!F159</f>
        <v/>
      </c>
      <c r="H144" s="372" t="str">
        <f>'Business Plan'!G159</f>
        <v/>
      </c>
      <c r="I144" s="372" t="str">
        <f>'Business Plan'!H159</f>
        <v/>
      </c>
      <c r="J144" s="372" t="str">
        <f>'Business Plan'!I159</f>
        <v/>
      </c>
      <c r="K144" s="372" t="str">
        <f>'Business Plan'!J159</f>
        <v/>
      </c>
      <c r="L144" s="372" t="str">
        <f>'Business Plan'!K159</f>
        <v/>
      </c>
      <c r="M144" s="372" t="str">
        <f>'Business Plan'!L159</f>
        <v/>
      </c>
      <c r="N144" s="372" t="str">
        <f>'Business Plan'!M159</f>
        <v/>
      </c>
      <c r="O144" s="372" t="str">
        <f>'Business Plan'!N159</f>
        <v/>
      </c>
      <c r="P144" s="372" t="str">
        <f>'Business Plan'!O159</f>
        <v/>
      </c>
      <c r="Q144" s="372" t="str">
        <f>'Business Plan'!P159</f>
        <v/>
      </c>
      <c r="R144" s="372" t="str">
        <f>'Business Plan'!Q159</f>
        <v/>
      </c>
      <c r="S144" s="372" t="str">
        <f>'Business Plan'!D159</f>
        <v/>
      </c>
      <c r="T144" s="372" t="str">
        <f>'Business Plan'!R159</f>
        <v/>
      </c>
      <c r="U144" s="372" t="str">
        <f>'Business Plan'!W159</f>
        <v/>
      </c>
      <c r="V144" s="372" t="str">
        <f>'Business Plan'!X159</f>
        <v/>
      </c>
      <c r="W144" s="372" t="str">
        <f>'Business Plan'!Y159</f>
        <v/>
      </c>
      <c r="X144" s="372" t="str">
        <f>'Business Plan'!Z159</f>
        <v/>
      </c>
    </row>
    <row r="145">
      <c r="A145" s="372" t="str">
        <f>'Business Plan'!C160</f>
        <v/>
      </c>
      <c r="B145" s="372" t="str">
        <f>'Business Plan'!E160</f>
        <v/>
      </c>
      <c r="F145" s="372" t="str">
        <f>'Business Plan'!F160</f>
        <v/>
      </c>
      <c r="H145" s="372" t="str">
        <f>'Business Plan'!G160</f>
        <v/>
      </c>
      <c r="I145" s="372" t="str">
        <f>'Business Plan'!H160</f>
        <v/>
      </c>
      <c r="J145" s="372" t="str">
        <f>'Business Plan'!I160</f>
        <v/>
      </c>
      <c r="K145" s="372" t="str">
        <f>'Business Plan'!J160</f>
        <v/>
      </c>
      <c r="L145" s="372" t="str">
        <f>'Business Plan'!K160</f>
        <v/>
      </c>
      <c r="M145" s="372" t="str">
        <f>'Business Plan'!L160</f>
        <v/>
      </c>
      <c r="N145" s="372" t="str">
        <f>'Business Plan'!M160</f>
        <v/>
      </c>
      <c r="O145" s="372" t="str">
        <f>'Business Plan'!N160</f>
        <v/>
      </c>
      <c r="P145" s="372" t="str">
        <f>'Business Plan'!O160</f>
        <v/>
      </c>
      <c r="Q145" s="372" t="str">
        <f>'Business Plan'!P160</f>
        <v/>
      </c>
      <c r="R145" s="372" t="str">
        <f>'Business Plan'!Q160</f>
        <v/>
      </c>
      <c r="S145" s="372" t="str">
        <f>'Business Plan'!D160</f>
        <v/>
      </c>
      <c r="T145" s="372" t="str">
        <f>'Business Plan'!R160</f>
        <v/>
      </c>
      <c r="U145" s="372" t="str">
        <f>'Business Plan'!W160</f>
        <v/>
      </c>
      <c r="V145" s="372" t="str">
        <f>'Business Plan'!X160</f>
        <v/>
      </c>
      <c r="W145" s="372" t="str">
        <f>'Business Plan'!Y160</f>
        <v/>
      </c>
      <c r="X145" s="372" t="str">
        <f>'Business Plan'!Z160</f>
        <v/>
      </c>
    </row>
    <row r="146">
      <c r="A146" s="372" t="str">
        <f>'Business Plan'!C161</f>
        <v/>
      </c>
      <c r="B146" s="372" t="str">
        <f>'Business Plan'!E161</f>
        <v/>
      </c>
      <c r="F146" s="372" t="str">
        <f>'Business Plan'!F161</f>
        <v/>
      </c>
      <c r="H146" s="372" t="str">
        <f>'Business Plan'!G161</f>
        <v/>
      </c>
      <c r="I146" s="372" t="str">
        <f>'Business Plan'!H161</f>
        <v/>
      </c>
      <c r="J146" s="372" t="str">
        <f>'Business Plan'!I161</f>
        <v/>
      </c>
      <c r="K146" s="372" t="str">
        <f>'Business Plan'!J161</f>
        <v/>
      </c>
      <c r="L146" s="372" t="str">
        <f>'Business Plan'!K161</f>
        <v/>
      </c>
      <c r="M146" s="372" t="str">
        <f>'Business Plan'!L161</f>
        <v/>
      </c>
      <c r="N146" s="372" t="str">
        <f>'Business Plan'!M161</f>
        <v/>
      </c>
      <c r="O146" s="372" t="str">
        <f>'Business Plan'!N161</f>
        <v/>
      </c>
      <c r="P146" s="372" t="str">
        <f>'Business Plan'!O161</f>
        <v/>
      </c>
      <c r="Q146" s="372" t="str">
        <f>'Business Plan'!P161</f>
        <v/>
      </c>
      <c r="R146" s="372" t="str">
        <f>'Business Plan'!Q161</f>
        <v/>
      </c>
      <c r="S146" s="372" t="str">
        <f>'Business Plan'!D161</f>
        <v/>
      </c>
      <c r="T146" s="372" t="str">
        <f>'Business Plan'!R161</f>
        <v/>
      </c>
      <c r="U146" s="372" t="str">
        <f>'Business Plan'!W161</f>
        <v/>
      </c>
      <c r="V146" s="372" t="str">
        <f>'Business Plan'!X161</f>
        <v/>
      </c>
      <c r="W146" s="372" t="str">
        <f>'Business Plan'!Y161</f>
        <v/>
      </c>
      <c r="X146" s="372" t="str">
        <f>'Business Plan'!Z161</f>
        <v/>
      </c>
    </row>
    <row r="147">
      <c r="A147" s="372" t="str">
        <f>'Business Plan'!C162</f>
        <v/>
      </c>
      <c r="B147" s="372" t="str">
        <f>'Business Plan'!E162</f>
        <v/>
      </c>
      <c r="F147" s="372" t="str">
        <f>'Business Plan'!F162</f>
        <v/>
      </c>
      <c r="H147" s="372" t="str">
        <f>'Business Plan'!G162</f>
        <v/>
      </c>
      <c r="I147" s="372" t="str">
        <f>'Business Plan'!H162</f>
        <v/>
      </c>
      <c r="J147" s="372" t="str">
        <f>'Business Plan'!I162</f>
        <v/>
      </c>
      <c r="K147" s="372" t="str">
        <f>'Business Plan'!J162</f>
        <v/>
      </c>
      <c r="L147" s="372" t="str">
        <f>'Business Plan'!K162</f>
        <v/>
      </c>
      <c r="M147" s="372" t="str">
        <f>'Business Plan'!L162</f>
        <v/>
      </c>
      <c r="N147" s="372" t="str">
        <f>'Business Plan'!M162</f>
        <v/>
      </c>
      <c r="O147" s="372" t="str">
        <f>'Business Plan'!N162</f>
        <v/>
      </c>
      <c r="P147" s="372" t="str">
        <f>'Business Plan'!O162</f>
        <v/>
      </c>
      <c r="Q147" s="372" t="str">
        <f>'Business Plan'!P162</f>
        <v/>
      </c>
      <c r="R147" s="372" t="str">
        <f>'Business Plan'!Q162</f>
        <v/>
      </c>
      <c r="S147" s="372" t="str">
        <f>'Business Plan'!D162</f>
        <v/>
      </c>
      <c r="T147" s="372" t="str">
        <f>'Business Plan'!R162</f>
        <v/>
      </c>
      <c r="U147" s="372" t="str">
        <f>'Business Plan'!W162</f>
        <v/>
      </c>
      <c r="V147" s="372" t="str">
        <f>'Business Plan'!X162</f>
        <v/>
      </c>
      <c r="W147" s="372" t="str">
        <f>'Business Plan'!Y162</f>
        <v/>
      </c>
      <c r="X147" s="372" t="str">
        <f>'Business Plan'!Z162</f>
        <v/>
      </c>
    </row>
    <row r="148">
      <c r="A148" s="372" t="str">
        <f>'Business Plan'!C163</f>
        <v/>
      </c>
      <c r="B148" s="372" t="str">
        <f>'Business Plan'!E163</f>
        <v/>
      </c>
      <c r="F148" s="372" t="str">
        <f>'Business Plan'!F163</f>
        <v/>
      </c>
      <c r="H148" s="372" t="str">
        <f>'Business Plan'!G163</f>
        <v/>
      </c>
      <c r="I148" s="372" t="str">
        <f>'Business Plan'!H163</f>
        <v/>
      </c>
      <c r="J148" s="372" t="str">
        <f>'Business Plan'!I163</f>
        <v/>
      </c>
      <c r="K148" s="372" t="str">
        <f>'Business Plan'!J163</f>
        <v/>
      </c>
      <c r="L148" s="372" t="str">
        <f>'Business Plan'!K163</f>
        <v/>
      </c>
      <c r="M148" s="372" t="str">
        <f>'Business Plan'!L163</f>
        <v/>
      </c>
      <c r="N148" s="372" t="str">
        <f>'Business Plan'!M163</f>
        <v/>
      </c>
      <c r="O148" s="372" t="str">
        <f>'Business Plan'!N163</f>
        <v/>
      </c>
      <c r="P148" s="372" t="str">
        <f>'Business Plan'!O163</f>
        <v/>
      </c>
      <c r="Q148" s="372" t="str">
        <f>'Business Plan'!P163</f>
        <v/>
      </c>
      <c r="R148" s="372" t="str">
        <f>'Business Plan'!Q163</f>
        <v/>
      </c>
      <c r="S148" s="372" t="str">
        <f>'Business Plan'!D163</f>
        <v/>
      </c>
      <c r="T148" s="372" t="str">
        <f>'Business Plan'!R163</f>
        <v/>
      </c>
      <c r="U148" s="372" t="str">
        <f>'Business Plan'!W163</f>
        <v/>
      </c>
      <c r="V148" s="372" t="str">
        <f>'Business Plan'!X163</f>
        <v/>
      </c>
      <c r="W148" s="372" t="str">
        <f>'Business Plan'!Y163</f>
        <v/>
      </c>
      <c r="X148" s="372" t="str">
        <f>'Business Plan'!Z163</f>
        <v/>
      </c>
    </row>
    <row r="149">
      <c r="A149" s="372" t="str">
        <f>'Business Plan'!C164</f>
        <v/>
      </c>
      <c r="B149" s="372" t="str">
        <f>'Business Plan'!E164</f>
        <v/>
      </c>
      <c r="F149" s="372" t="str">
        <f>'Business Plan'!F164</f>
        <v/>
      </c>
      <c r="H149" s="372" t="str">
        <f>'Business Plan'!G164</f>
        <v/>
      </c>
      <c r="I149" s="372" t="str">
        <f>'Business Plan'!H164</f>
        <v/>
      </c>
      <c r="J149" s="372" t="str">
        <f>'Business Plan'!I164</f>
        <v/>
      </c>
      <c r="K149" s="372" t="str">
        <f>'Business Plan'!J164</f>
        <v/>
      </c>
      <c r="L149" s="372" t="str">
        <f>'Business Plan'!K164</f>
        <v/>
      </c>
      <c r="M149" s="372" t="str">
        <f>'Business Plan'!L164</f>
        <v/>
      </c>
      <c r="N149" s="372" t="str">
        <f>'Business Plan'!M164</f>
        <v/>
      </c>
      <c r="O149" s="372" t="str">
        <f>'Business Plan'!N164</f>
        <v/>
      </c>
      <c r="P149" s="372" t="str">
        <f>'Business Plan'!O164</f>
        <v/>
      </c>
      <c r="Q149" s="372" t="str">
        <f>'Business Plan'!P164</f>
        <v/>
      </c>
      <c r="R149" s="372" t="str">
        <f>'Business Plan'!Q164</f>
        <v/>
      </c>
      <c r="S149" s="372" t="str">
        <f>'Business Plan'!D164</f>
        <v/>
      </c>
      <c r="T149" s="372" t="str">
        <f>'Business Plan'!R164</f>
        <v/>
      </c>
      <c r="U149" s="372" t="str">
        <f>'Business Plan'!W164</f>
        <v/>
      </c>
      <c r="V149" s="372" t="str">
        <f>'Business Plan'!X164</f>
        <v/>
      </c>
      <c r="W149" s="372" t="str">
        <f>'Business Plan'!Y164</f>
        <v/>
      </c>
      <c r="X149" s="372" t="str">
        <f>'Business Plan'!Z164</f>
        <v/>
      </c>
    </row>
    <row r="150">
      <c r="A150" s="372" t="str">
        <f>'Business Plan'!C165</f>
        <v/>
      </c>
      <c r="B150" s="372" t="str">
        <f>'Business Plan'!E165</f>
        <v/>
      </c>
      <c r="F150" s="372" t="str">
        <f>'Business Plan'!F165</f>
        <v/>
      </c>
      <c r="H150" s="372" t="str">
        <f>'Business Plan'!G165</f>
        <v/>
      </c>
      <c r="I150" s="372" t="str">
        <f>'Business Plan'!H165</f>
        <v/>
      </c>
      <c r="J150" s="372" t="str">
        <f>'Business Plan'!I165</f>
        <v/>
      </c>
      <c r="K150" s="372" t="str">
        <f>'Business Plan'!J165</f>
        <v/>
      </c>
      <c r="L150" s="372" t="str">
        <f>'Business Plan'!K165</f>
        <v/>
      </c>
      <c r="M150" s="372" t="str">
        <f>'Business Plan'!L165</f>
        <v/>
      </c>
      <c r="N150" s="372" t="str">
        <f>'Business Plan'!M165</f>
        <v/>
      </c>
      <c r="O150" s="372" t="str">
        <f>'Business Plan'!N165</f>
        <v/>
      </c>
      <c r="P150" s="372" t="str">
        <f>'Business Plan'!O165</f>
        <v/>
      </c>
      <c r="Q150" s="372" t="str">
        <f>'Business Plan'!P165</f>
        <v/>
      </c>
      <c r="R150" s="372" t="str">
        <f>'Business Plan'!Q165</f>
        <v/>
      </c>
      <c r="S150" s="372" t="str">
        <f>'Business Plan'!D165</f>
        <v/>
      </c>
      <c r="T150" s="372" t="str">
        <f>'Business Plan'!R165</f>
        <v/>
      </c>
      <c r="U150" s="372" t="str">
        <f>'Business Plan'!W165</f>
        <v/>
      </c>
      <c r="V150" s="372" t="str">
        <f>'Business Plan'!X165</f>
        <v/>
      </c>
      <c r="W150" s="372" t="str">
        <f>'Business Plan'!Y165</f>
        <v/>
      </c>
      <c r="X150" s="372" t="str">
        <f>'Business Plan'!Z165</f>
        <v/>
      </c>
    </row>
    <row r="151">
      <c r="A151" s="372" t="str">
        <f>'Business Plan'!C166</f>
        <v/>
      </c>
      <c r="B151" s="372" t="str">
        <f>'Business Plan'!E166</f>
        <v/>
      </c>
      <c r="F151" s="372" t="str">
        <f>'Business Plan'!F166</f>
        <v/>
      </c>
      <c r="H151" s="372" t="str">
        <f>'Business Plan'!G166</f>
        <v/>
      </c>
      <c r="I151" s="372" t="str">
        <f>'Business Plan'!H166</f>
        <v/>
      </c>
      <c r="J151" s="372" t="str">
        <f>'Business Plan'!I166</f>
        <v/>
      </c>
      <c r="K151" s="372" t="str">
        <f>'Business Plan'!J166</f>
        <v/>
      </c>
      <c r="L151" s="372" t="str">
        <f>'Business Plan'!K166</f>
        <v/>
      </c>
      <c r="M151" s="372" t="str">
        <f>'Business Plan'!L166</f>
        <v/>
      </c>
      <c r="N151" s="372" t="str">
        <f>'Business Plan'!M166</f>
        <v/>
      </c>
      <c r="O151" s="372" t="str">
        <f>'Business Plan'!N166</f>
        <v/>
      </c>
      <c r="P151" s="372" t="str">
        <f>'Business Plan'!O166</f>
        <v/>
      </c>
      <c r="Q151" s="372" t="str">
        <f>'Business Plan'!P166</f>
        <v/>
      </c>
      <c r="R151" s="372" t="str">
        <f>'Business Plan'!Q166</f>
        <v/>
      </c>
      <c r="S151" s="372" t="str">
        <f>'Business Plan'!D166</f>
        <v/>
      </c>
      <c r="T151" s="372" t="str">
        <f>'Business Plan'!R166</f>
        <v/>
      </c>
      <c r="U151" s="372" t="str">
        <f>'Business Plan'!W166</f>
        <v/>
      </c>
      <c r="V151" s="372" t="str">
        <f>'Business Plan'!X166</f>
        <v/>
      </c>
      <c r="W151" s="372" t="str">
        <f>'Business Plan'!Y166</f>
        <v/>
      </c>
      <c r="X151" s="372" t="str">
        <f>'Business Plan'!Z166</f>
        <v/>
      </c>
    </row>
    <row r="152">
      <c r="A152" s="372" t="str">
        <f>'Business Plan'!C167</f>
        <v/>
      </c>
      <c r="B152" s="372" t="str">
        <f>'Business Plan'!E167</f>
        <v/>
      </c>
      <c r="F152" s="372" t="str">
        <f>'Business Plan'!F167</f>
        <v/>
      </c>
      <c r="H152" s="372" t="str">
        <f>'Business Plan'!G167</f>
        <v/>
      </c>
      <c r="I152" s="372" t="str">
        <f>'Business Plan'!H167</f>
        <v/>
      </c>
      <c r="J152" s="372" t="str">
        <f>'Business Plan'!I167</f>
        <v/>
      </c>
      <c r="K152" s="372" t="str">
        <f>'Business Plan'!J167</f>
        <v/>
      </c>
      <c r="L152" s="372" t="str">
        <f>'Business Plan'!K167</f>
        <v/>
      </c>
      <c r="M152" s="372" t="str">
        <f>'Business Plan'!L167</f>
        <v/>
      </c>
      <c r="N152" s="372" t="str">
        <f>'Business Plan'!M167</f>
        <v/>
      </c>
      <c r="O152" s="372" t="str">
        <f>'Business Plan'!N167</f>
        <v/>
      </c>
      <c r="P152" s="372" t="str">
        <f>'Business Plan'!O167</f>
        <v/>
      </c>
      <c r="Q152" s="372" t="str">
        <f>'Business Plan'!P167</f>
        <v/>
      </c>
      <c r="R152" s="372" t="str">
        <f>'Business Plan'!Q167</f>
        <v/>
      </c>
      <c r="S152" s="372" t="str">
        <f>'Business Plan'!D167</f>
        <v/>
      </c>
      <c r="T152" s="372" t="str">
        <f>'Business Plan'!R167</f>
        <v/>
      </c>
      <c r="U152" s="372" t="str">
        <f>'Business Plan'!W167</f>
        <v/>
      </c>
      <c r="V152" s="372" t="str">
        <f>'Business Plan'!X167</f>
        <v/>
      </c>
      <c r="W152" s="372" t="str">
        <f>'Business Plan'!Y167</f>
        <v/>
      </c>
      <c r="X152" s="372" t="str">
        <f>'Business Plan'!Z167</f>
        <v/>
      </c>
    </row>
    <row r="153">
      <c r="A153" s="372" t="str">
        <f>'Business Plan'!C168</f>
        <v/>
      </c>
      <c r="B153" s="372" t="str">
        <f>'Business Plan'!E168</f>
        <v/>
      </c>
      <c r="F153" s="372" t="str">
        <f>'Business Plan'!F168</f>
        <v/>
      </c>
      <c r="H153" s="372" t="str">
        <f>'Business Plan'!G168</f>
        <v/>
      </c>
      <c r="I153" s="372" t="str">
        <f>'Business Plan'!H168</f>
        <v/>
      </c>
      <c r="J153" s="372" t="str">
        <f>'Business Plan'!I168</f>
        <v/>
      </c>
      <c r="K153" s="372" t="str">
        <f>'Business Plan'!J168</f>
        <v/>
      </c>
      <c r="L153" s="372" t="str">
        <f>'Business Plan'!K168</f>
        <v/>
      </c>
      <c r="M153" s="372" t="str">
        <f>'Business Plan'!L168</f>
        <v/>
      </c>
      <c r="N153" s="372" t="str">
        <f>'Business Plan'!M168</f>
        <v/>
      </c>
      <c r="O153" s="372" t="str">
        <f>'Business Plan'!N168</f>
        <v/>
      </c>
      <c r="P153" s="372" t="str">
        <f>'Business Plan'!O168</f>
        <v/>
      </c>
      <c r="Q153" s="372" t="str">
        <f>'Business Plan'!P168</f>
        <v/>
      </c>
      <c r="R153" s="372" t="str">
        <f>'Business Plan'!Q168</f>
        <v/>
      </c>
      <c r="S153" s="372" t="str">
        <f>'Business Plan'!D168</f>
        <v/>
      </c>
      <c r="T153" s="372" t="str">
        <f>'Business Plan'!R168</f>
        <v/>
      </c>
      <c r="U153" s="372" t="str">
        <f>'Business Plan'!W168</f>
        <v/>
      </c>
      <c r="V153" s="372" t="str">
        <f>'Business Plan'!X168</f>
        <v/>
      </c>
      <c r="W153" s="372" t="str">
        <f>'Business Plan'!Y168</f>
        <v/>
      </c>
      <c r="X153" s="372" t="str">
        <f>'Business Plan'!Z168</f>
        <v/>
      </c>
    </row>
    <row r="154">
      <c r="A154" s="372" t="str">
        <f>'Business Plan'!C169</f>
        <v/>
      </c>
      <c r="B154" s="372" t="str">
        <f>'Business Plan'!E169</f>
        <v/>
      </c>
      <c r="F154" s="372" t="str">
        <f>'Business Plan'!F169</f>
        <v/>
      </c>
      <c r="H154" s="372" t="str">
        <f>'Business Plan'!G169</f>
        <v/>
      </c>
      <c r="I154" s="372" t="str">
        <f>'Business Plan'!H169</f>
        <v/>
      </c>
      <c r="J154" s="372" t="str">
        <f>'Business Plan'!I169</f>
        <v/>
      </c>
      <c r="K154" s="372" t="str">
        <f>'Business Plan'!J169</f>
        <v/>
      </c>
      <c r="L154" s="372" t="str">
        <f>'Business Plan'!K169</f>
        <v/>
      </c>
      <c r="M154" s="372" t="str">
        <f>'Business Plan'!L169</f>
        <v/>
      </c>
      <c r="N154" s="372" t="str">
        <f>'Business Plan'!M169</f>
        <v/>
      </c>
      <c r="O154" s="372" t="str">
        <f>'Business Plan'!N169</f>
        <v/>
      </c>
      <c r="P154" s="372" t="str">
        <f>'Business Plan'!O169</f>
        <v/>
      </c>
      <c r="Q154" s="372" t="str">
        <f>'Business Plan'!P169</f>
        <v/>
      </c>
      <c r="R154" s="372" t="str">
        <f>'Business Plan'!Q169</f>
        <v/>
      </c>
      <c r="S154" s="372" t="str">
        <f>'Business Plan'!D169</f>
        <v/>
      </c>
      <c r="T154" s="372" t="str">
        <f>'Business Plan'!R169</f>
        <v/>
      </c>
      <c r="U154" s="372" t="str">
        <f>'Business Plan'!W169</f>
        <v/>
      </c>
      <c r="V154" s="372" t="str">
        <f>'Business Plan'!X169</f>
        <v/>
      </c>
      <c r="W154" s="372" t="str">
        <f>'Business Plan'!Y169</f>
        <v/>
      </c>
      <c r="X154" s="372" t="str">
        <f>'Business Plan'!Z169</f>
        <v/>
      </c>
    </row>
    <row r="155">
      <c r="A155" s="372" t="str">
        <f>'Business Plan'!C170</f>
        <v/>
      </c>
      <c r="B155" s="372" t="str">
        <f>'Business Plan'!E170</f>
        <v/>
      </c>
      <c r="F155" s="372" t="str">
        <f>'Business Plan'!F170</f>
        <v/>
      </c>
      <c r="H155" s="372" t="str">
        <f>'Business Plan'!G170</f>
        <v/>
      </c>
      <c r="I155" s="372" t="str">
        <f>'Business Plan'!H170</f>
        <v/>
      </c>
      <c r="J155" s="372" t="str">
        <f>'Business Plan'!I170</f>
        <v/>
      </c>
      <c r="K155" s="372" t="str">
        <f>'Business Plan'!J170</f>
        <v/>
      </c>
      <c r="L155" s="372" t="str">
        <f>'Business Plan'!K170</f>
        <v/>
      </c>
      <c r="M155" s="372" t="str">
        <f>'Business Plan'!L170</f>
        <v/>
      </c>
      <c r="N155" s="372" t="str">
        <f>'Business Plan'!M170</f>
        <v/>
      </c>
      <c r="O155" s="372" t="str">
        <f>'Business Plan'!N170</f>
        <v/>
      </c>
      <c r="P155" s="372" t="str">
        <f>'Business Plan'!O170</f>
        <v/>
      </c>
      <c r="Q155" s="372" t="str">
        <f>'Business Plan'!P170</f>
        <v/>
      </c>
      <c r="R155" s="372" t="str">
        <f>'Business Plan'!Q170</f>
        <v/>
      </c>
      <c r="S155" s="372" t="str">
        <f>'Business Plan'!D170</f>
        <v/>
      </c>
      <c r="T155" s="372" t="str">
        <f>'Business Plan'!R170</f>
        <v/>
      </c>
      <c r="U155" s="372" t="str">
        <f>'Business Plan'!W170</f>
        <v/>
      </c>
      <c r="V155" s="372" t="str">
        <f>'Business Plan'!X170</f>
        <v/>
      </c>
      <c r="W155" s="372" t="str">
        <f>'Business Plan'!Y170</f>
        <v/>
      </c>
      <c r="X155" s="372" t="str">
        <f>'Business Plan'!Z170</f>
        <v/>
      </c>
    </row>
    <row r="156">
      <c r="A156" s="372" t="str">
        <f>'Business Plan'!C171</f>
        <v/>
      </c>
      <c r="B156" s="372" t="str">
        <f>'Business Plan'!E171</f>
        <v/>
      </c>
      <c r="F156" s="372" t="str">
        <f>'Business Plan'!F171</f>
        <v/>
      </c>
      <c r="H156" s="372" t="str">
        <f>'Business Plan'!G171</f>
        <v/>
      </c>
      <c r="I156" s="372" t="str">
        <f>'Business Plan'!H171</f>
        <v/>
      </c>
      <c r="J156" s="372" t="str">
        <f>'Business Plan'!I171</f>
        <v/>
      </c>
      <c r="K156" s="372" t="str">
        <f>'Business Plan'!J171</f>
        <v/>
      </c>
      <c r="L156" s="372" t="str">
        <f>'Business Plan'!K171</f>
        <v/>
      </c>
      <c r="M156" s="372" t="str">
        <f>'Business Plan'!L171</f>
        <v/>
      </c>
      <c r="N156" s="372" t="str">
        <f>'Business Plan'!M171</f>
        <v/>
      </c>
      <c r="O156" s="372" t="str">
        <f>'Business Plan'!N171</f>
        <v/>
      </c>
      <c r="P156" s="372" t="str">
        <f>'Business Plan'!O171</f>
        <v/>
      </c>
      <c r="Q156" s="372" t="str">
        <f>'Business Plan'!P171</f>
        <v/>
      </c>
      <c r="R156" s="372" t="str">
        <f>'Business Plan'!Q171</f>
        <v/>
      </c>
      <c r="S156" s="372" t="str">
        <f>'Business Plan'!D171</f>
        <v/>
      </c>
      <c r="T156" s="372" t="str">
        <f>'Business Plan'!R171</f>
        <v/>
      </c>
      <c r="U156" s="372" t="str">
        <f>'Business Plan'!W171</f>
        <v/>
      </c>
      <c r="V156" s="372" t="str">
        <f>'Business Plan'!X171</f>
        <v/>
      </c>
      <c r="W156" s="372" t="str">
        <f>'Business Plan'!Y171</f>
        <v/>
      </c>
      <c r="X156" s="372" t="str">
        <f>'Business Plan'!Z171</f>
        <v/>
      </c>
    </row>
    <row r="157">
      <c r="A157" s="372" t="str">
        <f>'Business Plan'!C172</f>
        <v/>
      </c>
      <c r="B157" s="372" t="str">
        <f>'Business Plan'!E172</f>
        <v/>
      </c>
      <c r="F157" s="372" t="str">
        <f>'Business Plan'!F172</f>
        <v/>
      </c>
      <c r="H157" s="372" t="str">
        <f>'Business Plan'!G172</f>
        <v/>
      </c>
      <c r="I157" s="372" t="str">
        <f>'Business Plan'!H172</f>
        <v/>
      </c>
      <c r="J157" s="372" t="str">
        <f>'Business Plan'!I172</f>
        <v/>
      </c>
      <c r="K157" s="372" t="str">
        <f>'Business Plan'!J172</f>
        <v/>
      </c>
      <c r="L157" s="372" t="str">
        <f>'Business Plan'!K172</f>
        <v/>
      </c>
      <c r="M157" s="372" t="str">
        <f>'Business Plan'!L172</f>
        <v/>
      </c>
      <c r="N157" s="372" t="str">
        <f>'Business Plan'!M172</f>
        <v/>
      </c>
      <c r="O157" s="372" t="str">
        <f>'Business Plan'!N172</f>
        <v/>
      </c>
      <c r="P157" s="372" t="str">
        <f>'Business Plan'!O172</f>
        <v/>
      </c>
      <c r="Q157" s="372" t="str">
        <f>'Business Plan'!P172</f>
        <v/>
      </c>
      <c r="R157" s="372" t="str">
        <f>'Business Plan'!Q172</f>
        <v/>
      </c>
      <c r="S157" s="372" t="str">
        <f>'Business Plan'!D172</f>
        <v/>
      </c>
      <c r="T157" s="372" t="str">
        <f>'Business Plan'!R172</f>
        <v/>
      </c>
      <c r="U157" s="372" t="str">
        <f>'Business Plan'!W172</f>
        <v/>
      </c>
      <c r="V157" s="372" t="str">
        <f>'Business Plan'!X172</f>
        <v/>
      </c>
      <c r="W157" s="372" t="str">
        <f>'Business Plan'!Y172</f>
        <v/>
      </c>
      <c r="X157" s="372" t="str">
        <f>'Business Plan'!Z172</f>
        <v/>
      </c>
    </row>
    <row r="158">
      <c r="A158" s="372" t="str">
        <f>'Business Plan'!C173</f>
        <v/>
      </c>
      <c r="B158" s="372" t="str">
        <f>'Business Plan'!E173</f>
        <v/>
      </c>
      <c r="F158" s="372" t="str">
        <f>'Business Plan'!F173</f>
        <v/>
      </c>
      <c r="H158" s="372" t="str">
        <f>'Business Plan'!G173</f>
        <v/>
      </c>
      <c r="I158" s="372" t="str">
        <f>'Business Plan'!H173</f>
        <v/>
      </c>
      <c r="J158" s="372" t="str">
        <f>'Business Plan'!I173</f>
        <v/>
      </c>
      <c r="K158" s="372" t="str">
        <f>'Business Plan'!J173</f>
        <v/>
      </c>
      <c r="L158" s="372" t="str">
        <f>'Business Plan'!K173</f>
        <v/>
      </c>
      <c r="M158" s="372" t="str">
        <f>'Business Plan'!L173</f>
        <v/>
      </c>
      <c r="N158" s="372" t="str">
        <f>'Business Plan'!M173</f>
        <v/>
      </c>
      <c r="O158" s="372" t="str">
        <f>'Business Plan'!N173</f>
        <v/>
      </c>
      <c r="P158" s="372" t="str">
        <f>'Business Plan'!O173</f>
        <v/>
      </c>
      <c r="Q158" s="372" t="str">
        <f>'Business Plan'!P173</f>
        <v/>
      </c>
      <c r="R158" s="372" t="str">
        <f>'Business Plan'!Q173</f>
        <v/>
      </c>
      <c r="S158" s="372" t="str">
        <f>'Business Plan'!D173</f>
        <v/>
      </c>
      <c r="T158" s="372" t="str">
        <f>'Business Plan'!R173</f>
        <v/>
      </c>
      <c r="U158" s="372" t="str">
        <f>'Business Plan'!W173</f>
        <v/>
      </c>
      <c r="V158" s="372" t="str">
        <f>'Business Plan'!X173</f>
        <v/>
      </c>
      <c r="W158" s="372" t="str">
        <f>'Business Plan'!Y173</f>
        <v/>
      </c>
      <c r="X158" s="372" t="str">
        <f>'Business Plan'!Z173</f>
        <v/>
      </c>
    </row>
    <row r="159">
      <c r="A159" s="372" t="str">
        <f>'Business Plan'!C174</f>
        <v/>
      </c>
      <c r="B159" s="372" t="str">
        <f>'Business Plan'!E174</f>
        <v/>
      </c>
      <c r="F159" s="372" t="str">
        <f>'Business Plan'!F174</f>
        <v/>
      </c>
      <c r="H159" s="372" t="str">
        <f>'Business Plan'!G174</f>
        <v/>
      </c>
      <c r="I159" s="372" t="str">
        <f>'Business Plan'!H174</f>
        <v/>
      </c>
      <c r="J159" s="372" t="str">
        <f>'Business Plan'!I174</f>
        <v/>
      </c>
      <c r="K159" s="372" t="str">
        <f>'Business Plan'!J174</f>
        <v/>
      </c>
      <c r="L159" s="372" t="str">
        <f>'Business Plan'!K174</f>
        <v/>
      </c>
      <c r="M159" s="372" t="str">
        <f>'Business Plan'!L174</f>
        <v/>
      </c>
      <c r="N159" s="372" t="str">
        <f>'Business Plan'!M174</f>
        <v/>
      </c>
      <c r="O159" s="372" t="str">
        <f>'Business Plan'!N174</f>
        <v/>
      </c>
      <c r="P159" s="372" t="str">
        <f>'Business Plan'!O174</f>
        <v/>
      </c>
      <c r="Q159" s="372" t="str">
        <f>'Business Plan'!P174</f>
        <v/>
      </c>
      <c r="R159" s="372" t="str">
        <f>'Business Plan'!Q174</f>
        <v/>
      </c>
      <c r="S159" s="372" t="str">
        <f>'Business Plan'!D174</f>
        <v/>
      </c>
      <c r="T159" s="372" t="str">
        <f>'Business Plan'!R174</f>
        <v/>
      </c>
      <c r="U159" s="372" t="str">
        <f>'Business Plan'!W174</f>
        <v/>
      </c>
      <c r="V159" s="372" t="str">
        <f>'Business Plan'!X174</f>
        <v/>
      </c>
      <c r="W159" s="372" t="str">
        <f>'Business Plan'!Y174</f>
        <v/>
      </c>
      <c r="X159" s="372" t="str">
        <f>'Business Plan'!Z174</f>
        <v/>
      </c>
    </row>
    <row r="160">
      <c r="A160" s="372" t="str">
        <f>'Business Plan'!C175</f>
        <v/>
      </c>
      <c r="B160" s="372" t="str">
        <f>'Business Plan'!E175</f>
        <v/>
      </c>
      <c r="F160" s="372" t="str">
        <f>'Business Plan'!F175</f>
        <v/>
      </c>
      <c r="H160" s="372" t="str">
        <f>'Business Plan'!G175</f>
        <v/>
      </c>
      <c r="I160" s="372" t="str">
        <f>'Business Plan'!H175</f>
        <v/>
      </c>
      <c r="J160" s="372" t="str">
        <f>'Business Plan'!I175</f>
        <v/>
      </c>
      <c r="K160" s="372" t="str">
        <f>'Business Plan'!J175</f>
        <v/>
      </c>
      <c r="L160" s="372" t="str">
        <f>'Business Plan'!K175</f>
        <v/>
      </c>
      <c r="M160" s="372" t="str">
        <f>'Business Plan'!L175</f>
        <v/>
      </c>
      <c r="N160" s="372" t="str">
        <f>'Business Plan'!M175</f>
        <v/>
      </c>
      <c r="O160" s="372" t="str">
        <f>'Business Plan'!N175</f>
        <v/>
      </c>
      <c r="P160" s="372" t="str">
        <f>'Business Plan'!O175</f>
        <v/>
      </c>
      <c r="Q160" s="372" t="str">
        <f>'Business Plan'!P175</f>
        <v/>
      </c>
      <c r="R160" s="372" t="str">
        <f>'Business Plan'!Q175</f>
        <v/>
      </c>
      <c r="S160" s="372" t="str">
        <f>'Business Plan'!D175</f>
        <v/>
      </c>
      <c r="T160" s="372" t="str">
        <f>'Business Plan'!R175</f>
        <v/>
      </c>
      <c r="U160" s="372" t="str">
        <f>'Business Plan'!W175</f>
        <v/>
      </c>
      <c r="V160" s="372" t="str">
        <f>'Business Plan'!X175</f>
        <v/>
      </c>
      <c r="W160" s="372" t="str">
        <f>'Business Plan'!Y175</f>
        <v/>
      </c>
      <c r="X160" s="372" t="str">
        <f>'Business Plan'!Z175</f>
        <v/>
      </c>
    </row>
    <row r="161">
      <c r="A161" s="372" t="str">
        <f>'Business Plan'!C176</f>
        <v/>
      </c>
      <c r="B161" s="372" t="str">
        <f>'Business Plan'!E176</f>
        <v/>
      </c>
      <c r="F161" s="372" t="str">
        <f>'Business Plan'!F176</f>
        <v/>
      </c>
      <c r="H161" s="372" t="str">
        <f>'Business Plan'!G176</f>
        <v/>
      </c>
      <c r="I161" s="372" t="str">
        <f>'Business Plan'!H176</f>
        <v/>
      </c>
      <c r="J161" s="372" t="str">
        <f>'Business Plan'!I176</f>
        <v/>
      </c>
      <c r="K161" s="372" t="str">
        <f>'Business Plan'!J176</f>
        <v/>
      </c>
      <c r="L161" s="372" t="str">
        <f>'Business Plan'!K176</f>
        <v/>
      </c>
      <c r="M161" s="372" t="str">
        <f>'Business Plan'!L176</f>
        <v/>
      </c>
      <c r="N161" s="372" t="str">
        <f>'Business Plan'!M176</f>
        <v/>
      </c>
      <c r="O161" s="372" t="str">
        <f>'Business Plan'!N176</f>
        <v/>
      </c>
      <c r="P161" s="372" t="str">
        <f>'Business Plan'!O176</f>
        <v/>
      </c>
      <c r="Q161" s="372" t="str">
        <f>'Business Plan'!P176</f>
        <v/>
      </c>
      <c r="R161" s="372" t="str">
        <f>'Business Plan'!Q176</f>
        <v/>
      </c>
      <c r="S161" s="372" t="str">
        <f>'Business Plan'!D176</f>
        <v/>
      </c>
      <c r="T161" s="372" t="str">
        <f>'Business Plan'!R176</f>
        <v/>
      </c>
      <c r="U161" s="372" t="str">
        <f>'Business Plan'!W176</f>
        <v/>
      </c>
      <c r="V161" s="372" t="str">
        <f>'Business Plan'!X176</f>
        <v/>
      </c>
      <c r="W161" s="372" t="str">
        <f>'Business Plan'!Y176</f>
        <v/>
      </c>
      <c r="X161" s="372" t="str">
        <f>'Business Plan'!Z176</f>
        <v/>
      </c>
    </row>
    <row r="162">
      <c r="A162" s="372" t="str">
        <f>'Business Plan'!C177</f>
        <v/>
      </c>
      <c r="B162" s="372" t="str">
        <f>'Business Plan'!E177</f>
        <v/>
      </c>
      <c r="F162" s="372" t="str">
        <f>'Business Plan'!F177</f>
        <v/>
      </c>
      <c r="H162" s="372" t="str">
        <f>'Business Plan'!G177</f>
        <v/>
      </c>
      <c r="I162" s="372" t="str">
        <f>'Business Plan'!H177</f>
        <v/>
      </c>
      <c r="J162" s="372" t="str">
        <f>'Business Plan'!I177</f>
        <v/>
      </c>
      <c r="K162" s="372" t="str">
        <f>'Business Plan'!J177</f>
        <v/>
      </c>
      <c r="L162" s="372" t="str">
        <f>'Business Plan'!K177</f>
        <v/>
      </c>
      <c r="M162" s="372" t="str">
        <f>'Business Plan'!L177</f>
        <v/>
      </c>
      <c r="N162" s="372" t="str">
        <f>'Business Plan'!M177</f>
        <v/>
      </c>
      <c r="O162" s="372" t="str">
        <f>'Business Plan'!N177</f>
        <v/>
      </c>
      <c r="P162" s="372" t="str">
        <f>'Business Plan'!O177</f>
        <v/>
      </c>
      <c r="Q162" s="372" t="str">
        <f>'Business Plan'!P177</f>
        <v/>
      </c>
      <c r="R162" s="372" t="str">
        <f>'Business Plan'!Q177</f>
        <v/>
      </c>
      <c r="S162" s="372" t="str">
        <f>'Business Plan'!D177</f>
        <v/>
      </c>
      <c r="T162" s="372" t="str">
        <f>'Business Plan'!R177</f>
        <v/>
      </c>
      <c r="U162" s="372" t="str">
        <f>'Business Plan'!W177</f>
        <v/>
      </c>
      <c r="V162" s="372" t="str">
        <f>'Business Plan'!X177</f>
        <v/>
      </c>
      <c r="W162" s="372" t="str">
        <f>'Business Plan'!Y177</f>
        <v/>
      </c>
      <c r="X162" s="372" t="str">
        <f>'Business Plan'!Z177</f>
        <v/>
      </c>
    </row>
    <row r="163">
      <c r="A163" s="372" t="str">
        <f>'Business Plan'!C178</f>
        <v/>
      </c>
      <c r="B163" s="372" t="str">
        <f>'Business Plan'!E178</f>
        <v/>
      </c>
      <c r="F163" s="372" t="str">
        <f>'Business Plan'!F178</f>
        <v/>
      </c>
      <c r="H163" s="372" t="str">
        <f>'Business Plan'!G178</f>
        <v/>
      </c>
      <c r="I163" s="372" t="str">
        <f>'Business Plan'!H178</f>
        <v/>
      </c>
      <c r="J163" s="372" t="str">
        <f>'Business Plan'!I178</f>
        <v/>
      </c>
      <c r="K163" s="372" t="str">
        <f>'Business Plan'!J178</f>
        <v/>
      </c>
      <c r="L163" s="372" t="str">
        <f>'Business Plan'!K178</f>
        <v/>
      </c>
      <c r="M163" s="372" t="str">
        <f>'Business Plan'!L178</f>
        <v/>
      </c>
      <c r="N163" s="372" t="str">
        <f>'Business Plan'!M178</f>
        <v/>
      </c>
      <c r="O163" s="372" t="str">
        <f>'Business Plan'!N178</f>
        <v/>
      </c>
      <c r="P163" s="372" t="str">
        <f>'Business Plan'!O178</f>
        <v/>
      </c>
      <c r="Q163" s="372" t="str">
        <f>'Business Plan'!P178</f>
        <v/>
      </c>
      <c r="R163" s="372" t="str">
        <f>'Business Plan'!Q178</f>
        <v/>
      </c>
      <c r="S163" s="372" t="str">
        <f>'Business Plan'!D178</f>
        <v/>
      </c>
      <c r="T163" s="372" t="str">
        <f>'Business Plan'!R178</f>
        <v/>
      </c>
      <c r="U163" s="372" t="str">
        <f>'Business Plan'!W178</f>
        <v/>
      </c>
      <c r="V163" s="372" t="str">
        <f>'Business Plan'!X178</f>
        <v/>
      </c>
      <c r="W163" s="372" t="str">
        <f>'Business Plan'!Y178</f>
        <v/>
      </c>
      <c r="X163" s="372" t="str">
        <f>'Business Plan'!Z178</f>
        <v/>
      </c>
    </row>
    <row r="164">
      <c r="A164" s="372" t="str">
        <f>'Business Plan'!C179</f>
        <v/>
      </c>
      <c r="B164" s="372" t="str">
        <f>'Business Plan'!E179</f>
        <v/>
      </c>
      <c r="F164" s="372" t="str">
        <f>'Business Plan'!F179</f>
        <v/>
      </c>
      <c r="H164" s="372" t="str">
        <f>'Business Plan'!G179</f>
        <v/>
      </c>
      <c r="I164" s="372" t="str">
        <f>'Business Plan'!H179</f>
        <v/>
      </c>
      <c r="J164" s="372" t="str">
        <f>'Business Plan'!I179</f>
        <v/>
      </c>
      <c r="K164" s="372" t="str">
        <f>'Business Plan'!J179</f>
        <v/>
      </c>
      <c r="L164" s="372" t="str">
        <f>'Business Plan'!K179</f>
        <v/>
      </c>
      <c r="M164" s="372" t="str">
        <f>'Business Plan'!L179</f>
        <v/>
      </c>
      <c r="N164" s="372" t="str">
        <f>'Business Plan'!M179</f>
        <v/>
      </c>
      <c r="O164" s="372" t="str">
        <f>'Business Plan'!N179</f>
        <v/>
      </c>
      <c r="P164" s="372" t="str">
        <f>'Business Plan'!O179</f>
        <v/>
      </c>
      <c r="Q164" s="372" t="str">
        <f>'Business Plan'!P179</f>
        <v/>
      </c>
      <c r="R164" s="372" t="str">
        <f>'Business Plan'!Q179</f>
        <v/>
      </c>
      <c r="S164" s="372" t="str">
        <f>'Business Plan'!D179</f>
        <v/>
      </c>
      <c r="T164" s="372" t="str">
        <f>'Business Plan'!R179</f>
        <v/>
      </c>
      <c r="U164" s="372" t="str">
        <f>'Business Plan'!W179</f>
        <v/>
      </c>
      <c r="V164" s="372" t="str">
        <f>'Business Plan'!X179</f>
        <v/>
      </c>
      <c r="W164" s="372" t="str">
        <f>'Business Plan'!Y179</f>
        <v/>
      </c>
      <c r="X164" s="372" t="str">
        <f>'Business Plan'!Z179</f>
        <v/>
      </c>
    </row>
    <row r="165">
      <c r="A165" s="372" t="str">
        <f>'Business Plan'!C180</f>
        <v/>
      </c>
      <c r="B165" s="372" t="str">
        <f>'Business Plan'!E180</f>
        <v/>
      </c>
      <c r="F165" s="372" t="str">
        <f>'Business Plan'!F180</f>
        <v/>
      </c>
      <c r="H165" s="372" t="str">
        <f>'Business Plan'!G180</f>
        <v/>
      </c>
      <c r="I165" s="372" t="str">
        <f>'Business Plan'!H180</f>
        <v/>
      </c>
      <c r="J165" s="372" t="str">
        <f>'Business Plan'!I180</f>
        <v/>
      </c>
      <c r="K165" s="372" t="str">
        <f>'Business Plan'!J180</f>
        <v/>
      </c>
      <c r="L165" s="372" t="str">
        <f>'Business Plan'!K180</f>
        <v/>
      </c>
      <c r="M165" s="372" t="str">
        <f>'Business Plan'!L180</f>
        <v/>
      </c>
      <c r="N165" s="372" t="str">
        <f>'Business Plan'!M180</f>
        <v/>
      </c>
      <c r="O165" s="372" t="str">
        <f>'Business Plan'!N180</f>
        <v/>
      </c>
      <c r="P165" s="372" t="str">
        <f>'Business Plan'!O180</f>
        <v/>
      </c>
      <c r="Q165" s="372" t="str">
        <f>'Business Plan'!P180</f>
        <v/>
      </c>
      <c r="R165" s="372" t="str">
        <f>'Business Plan'!Q180</f>
        <v/>
      </c>
      <c r="S165" s="372" t="str">
        <f>'Business Plan'!D180</f>
        <v/>
      </c>
      <c r="T165" s="372" t="str">
        <f>'Business Plan'!R180</f>
        <v/>
      </c>
      <c r="U165" s="372" t="str">
        <f>'Business Plan'!W180</f>
        <v/>
      </c>
      <c r="V165" s="372" t="str">
        <f>'Business Plan'!X180</f>
        <v/>
      </c>
      <c r="W165" s="372" t="str">
        <f>'Business Plan'!Y180</f>
        <v/>
      </c>
      <c r="X165" s="372" t="str">
        <f>'Business Plan'!Z180</f>
        <v/>
      </c>
    </row>
    <row r="166">
      <c r="A166" s="372" t="str">
        <f>'Business Plan'!C181</f>
        <v/>
      </c>
      <c r="B166" s="372" t="str">
        <f>'Business Plan'!E181</f>
        <v/>
      </c>
      <c r="F166" s="372" t="str">
        <f>'Business Plan'!F181</f>
        <v/>
      </c>
      <c r="H166" s="372" t="str">
        <f>'Business Plan'!G181</f>
        <v/>
      </c>
      <c r="I166" s="372" t="str">
        <f>'Business Plan'!H181</f>
        <v/>
      </c>
      <c r="J166" s="372" t="str">
        <f>'Business Plan'!I181</f>
        <v/>
      </c>
      <c r="K166" s="372" t="str">
        <f>'Business Plan'!J181</f>
        <v/>
      </c>
      <c r="L166" s="372" t="str">
        <f>'Business Plan'!K181</f>
        <v/>
      </c>
      <c r="M166" s="372" t="str">
        <f>'Business Plan'!L181</f>
        <v/>
      </c>
      <c r="N166" s="372" t="str">
        <f>'Business Plan'!M181</f>
        <v/>
      </c>
      <c r="O166" s="372" t="str">
        <f>'Business Plan'!N181</f>
        <v/>
      </c>
      <c r="P166" s="372" t="str">
        <f>'Business Plan'!O181</f>
        <v/>
      </c>
      <c r="Q166" s="372" t="str">
        <f>'Business Plan'!P181</f>
        <v/>
      </c>
      <c r="R166" s="372" t="str">
        <f>'Business Plan'!Q181</f>
        <v/>
      </c>
      <c r="S166" s="372" t="str">
        <f>'Business Plan'!D181</f>
        <v/>
      </c>
      <c r="T166" s="372" t="str">
        <f>'Business Plan'!R181</f>
        <v/>
      </c>
      <c r="U166" s="372" t="str">
        <f>'Business Plan'!W181</f>
        <v/>
      </c>
      <c r="V166" s="372" t="str">
        <f>'Business Plan'!X181</f>
        <v/>
      </c>
      <c r="W166" s="372" t="str">
        <f>'Business Plan'!Y181</f>
        <v/>
      </c>
      <c r="X166" s="372" t="str">
        <f>'Business Plan'!Z181</f>
        <v/>
      </c>
    </row>
    <row r="167">
      <c r="A167" s="372" t="str">
        <f>'Business Plan'!C182</f>
        <v/>
      </c>
      <c r="B167" s="372" t="str">
        <f>'Business Plan'!E182</f>
        <v/>
      </c>
      <c r="F167" s="372" t="str">
        <f>'Business Plan'!F182</f>
        <v/>
      </c>
      <c r="H167" s="372" t="str">
        <f>'Business Plan'!G182</f>
        <v/>
      </c>
      <c r="I167" s="372" t="str">
        <f>'Business Plan'!H182</f>
        <v/>
      </c>
      <c r="J167" s="372" t="str">
        <f>'Business Plan'!I182</f>
        <v/>
      </c>
      <c r="K167" s="372" t="str">
        <f>'Business Plan'!J182</f>
        <v/>
      </c>
      <c r="L167" s="372" t="str">
        <f>'Business Plan'!K182</f>
        <v/>
      </c>
      <c r="M167" s="372" t="str">
        <f>'Business Plan'!L182</f>
        <v/>
      </c>
      <c r="N167" s="372" t="str">
        <f>'Business Plan'!M182</f>
        <v/>
      </c>
      <c r="O167" s="372" t="str">
        <f>'Business Plan'!N182</f>
        <v/>
      </c>
      <c r="P167" s="372" t="str">
        <f>'Business Plan'!O182</f>
        <v/>
      </c>
      <c r="Q167" s="372" t="str">
        <f>'Business Plan'!P182</f>
        <v/>
      </c>
      <c r="R167" s="372" t="str">
        <f>'Business Plan'!Q182</f>
        <v/>
      </c>
      <c r="S167" s="372" t="str">
        <f>'Business Plan'!D182</f>
        <v/>
      </c>
      <c r="T167" s="372" t="str">
        <f>'Business Plan'!R182</f>
        <v/>
      </c>
      <c r="U167" s="372" t="str">
        <f>'Business Plan'!W182</f>
        <v/>
      </c>
      <c r="V167" s="372" t="str">
        <f>'Business Plan'!X182</f>
        <v/>
      </c>
      <c r="W167" s="372" t="str">
        <f>'Business Plan'!Y182</f>
        <v/>
      </c>
      <c r="X167" s="372" t="str">
        <f>'Business Plan'!Z182</f>
        <v/>
      </c>
    </row>
    <row r="168">
      <c r="A168" s="372" t="str">
        <f>'Business Plan'!C183</f>
        <v/>
      </c>
      <c r="B168" s="372" t="str">
        <f>'Business Plan'!E183</f>
        <v/>
      </c>
      <c r="F168" s="372" t="str">
        <f>'Business Plan'!F183</f>
        <v/>
      </c>
      <c r="H168" s="372" t="str">
        <f>'Business Plan'!G183</f>
        <v/>
      </c>
      <c r="I168" s="372" t="str">
        <f>'Business Plan'!H183</f>
        <v/>
      </c>
      <c r="J168" s="372" t="str">
        <f>'Business Plan'!I183</f>
        <v/>
      </c>
      <c r="K168" s="372" t="str">
        <f>'Business Plan'!J183</f>
        <v/>
      </c>
      <c r="L168" s="372" t="str">
        <f>'Business Plan'!K183</f>
        <v/>
      </c>
      <c r="M168" s="372" t="str">
        <f>'Business Plan'!L183</f>
        <v/>
      </c>
      <c r="N168" s="372" t="str">
        <f>'Business Plan'!M183</f>
        <v/>
      </c>
      <c r="O168" s="372" t="str">
        <f>'Business Plan'!N183</f>
        <v/>
      </c>
      <c r="P168" s="372" t="str">
        <f>'Business Plan'!O183</f>
        <v/>
      </c>
      <c r="Q168" s="372" t="str">
        <f>'Business Plan'!P183</f>
        <v/>
      </c>
      <c r="R168" s="372" t="str">
        <f>'Business Plan'!Q183</f>
        <v/>
      </c>
      <c r="S168" s="372" t="str">
        <f>'Business Plan'!D183</f>
        <v/>
      </c>
      <c r="T168" s="372" t="str">
        <f>'Business Plan'!R183</f>
        <v/>
      </c>
      <c r="U168" s="372" t="str">
        <f>'Business Plan'!W183</f>
        <v/>
      </c>
      <c r="V168" s="372" t="str">
        <f>'Business Plan'!X183</f>
        <v/>
      </c>
      <c r="W168" s="372" t="str">
        <f>'Business Plan'!Y183</f>
        <v/>
      </c>
      <c r="X168" s="372" t="str">
        <f>'Business Plan'!Z183</f>
        <v/>
      </c>
    </row>
    <row r="169">
      <c r="A169" s="372" t="str">
        <f>'Business Plan'!C184</f>
        <v/>
      </c>
      <c r="B169" s="372" t="str">
        <f>'Business Plan'!E184</f>
        <v/>
      </c>
      <c r="F169" s="372" t="str">
        <f>'Business Plan'!F184</f>
        <v/>
      </c>
      <c r="H169" s="372" t="str">
        <f>'Business Plan'!G184</f>
        <v/>
      </c>
      <c r="I169" s="372" t="str">
        <f>'Business Plan'!H184</f>
        <v/>
      </c>
      <c r="J169" s="372" t="str">
        <f>'Business Plan'!I184</f>
        <v/>
      </c>
      <c r="K169" s="372" t="str">
        <f>'Business Plan'!J184</f>
        <v/>
      </c>
      <c r="L169" s="372" t="str">
        <f>'Business Plan'!K184</f>
        <v/>
      </c>
      <c r="M169" s="372" t="str">
        <f>'Business Plan'!L184</f>
        <v/>
      </c>
      <c r="N169" s="372" t="str">
        <f>'Business Plan'!M184</f>
        <v/>
      </c>
      <c r="O169" s="372" t="str">
        <f>'Business Plan'!N184</f>
        <v/>
      </c>
      <c r="P169" s="372" t="str">
        <f>'Business Plan'!O184</f>
        <v/>
      </c>
      <c r="Q169" s="372" t="str">
        <f>'Business Plan'!P184</f>
        <v/>
      </c>
      <c r="R169" s="372" t="str">
        <f>'Business Plan'!Q184</f>
        <v/>
      </c>
      <c r="S169" s="372" t="str">
        <f>'Business Plan'!D184</f>
        <v/>
      </c>
      <c r="T169" s="372" t="str">
        <f>'Business Plan'!R184</f>
        <v/>
      </c>
      <c r="U169" s="372" t="str">
        <f>'Business Plan'!W184</f>
        <v/>
      </c>
      <c r="V169" s="372" t="str">
        <f>'Business Plan'!X184</f>
        <v/>
      </c>
      <c r="W169" s="372" t="str">
        <f>'Business Plan'!Y184</f>
        <v/>
      </c>
      <c r="X169" s="372" t="str">
        <f>'Business Plan'!Z184</f>
        <v/>
      </c>
    </row>
    <row r="170">
      <c r="A170" s="372" t="str">
        <f>'Business Plan'!C185</f>
        <v/>
      </c>
      <c r="B170" s="372" t="str">
        <f>'Business Plan'!E185</f>
        <v/>
      </c>
      <c r="F170" s="372" t="str">
        <f>'Business Plan'!F185</f>
        <v/>
      </c>
      <c r="H170" s="372" t="str">
        <f>'Business Plan'!G185</f>
        <v/>
      </c>
      <c r="I170" s="372" t="str">
        <f>'Business Plan'!H185</f>
        <v/>
      </c>
      <c r="J170" s="372" t="str">
        <f>'Business Plan'!I185</f>
        <v/>
      </c>
      <c r="K170" s="372" t="str">
        <f>'Business Plan'!J185</f>
        <v/>
      </c>
      <c r="L170" s="372" t="str">
        <f>'Business Plan'!K185</f>
        <v/>
      </c>
      <c r="M170" s="372" t="str">
        <f>'Business Plan'!L185</f>
        <v/>
      </c>
      <c r="N170" s="372" t="str">
        <f>'Business Plan'!M185</f>
        <v/>
      </c>
      <c r="O170" s="372" t="str">
        <f>'Business Plan'!N185</f>
        <v/>
      </c>
      <c r="P170" s="372" t="str">
        <f>'Business Plan'!O185</f>
        <v/>
      </c>
      <c r="Q170" s="372" t="str">
        <f>'Business Plan'!P185</f>
        <v/>
      </c>
      <c r="R170" s="372" t="str">
        <f>'Business Plan'!Q185</f>
        <v/>
      </c>
      <c r="S170" s="372" t="str">
        <f>'Business Plan'!D185</f>
        <v/>
      </c>
      <c r="T170" s="372" t="str">
        <f>'Business Plan'!R185</f>
        <v/>
      </c>
      <c r="U170" s="372" t="str">
        <f>'Business Plan'!W185</f>
        <v/>
      </c>
      <c r="V170" s="372" t="str">
        <f>'Business Plan'!X185</f>
        <v/>
      </c>
      <c r="W170" s="372" t="str">
        <f>'Business Plan'!Y185</f>
        <v/>
      </c>
      <c r="X170" s="372" t="str">
        <f>'Business Plan'!Z185</f>
        <v/>
      </c>
    </row>
    <row r="171">
      <c r="A171" s="372" t="str">
        <f>'Business Plan'!C186</f>
        <v/>
      </c>
      <c r="B171" s="372" t="str">
        <f>'Business Plan'!E186</f>
        <v/>
      </c>
      <c r="F171" s="372" t="str">
        <f>'Business Plan'!F186</f>
        <v/>
      </c>
      <c r="H171" s="372" t="str">
        <f>'Business Plan'!G186</f>
        <v/>
      </c>
      <c r="I171" s="372" t="str">
        <f>'Business Plan'!H186</f>
        <v/>
      </c>
      <c r="J171" s="372" t="str">
        <f>'Business Plan'!I186</f>
        <v/>
      </c>
      <c r="K171" s="372" t="str">
        <f>'Business Plan'!J186</f>
        <v/>
      </c>
      <c r="L171" s="372" t="str">
        <f>'Business Plan'!K186</f>
        <v/>
      </c>
      <c r="M171" s="372" t="str">
        <f>'Business Plan'!L186</f>
        <v/>
      </c>
      <c r="N171" s="372" t="str">
        <f>'Business Plan'!M186</f>
        <v/>
      </c>
      <c r="O171" s="372" t="str">
        <f>'Business Plan'!N186</f>
        <v/>
      </c>
      <c r="P171" s="372" t="str">
        <f>'Business Plan'!O186</f>
        <v/>
      </c>
      <c r="Q171" s="372" t="str">
        <f>'Business Plan'!P186</f>
        <v/>
      </c>
      <c r="R171" s="372" t="str">
        <f>'Business Plan'!Q186</f>
        <v/>
      </c>
      <c r="S171" s="372" t="str">
        <f>'Business Plan'!D186</f>
        <v/>
      </c>
      <c r="T171" s="372" t="str">
        <f>'Business Plan'!R186</f>
        <v/>
      </c>
      <c r="U171" s="372" t="str">
        <f>'Business Plan'!W186</f>
        <v/>
      </c>
      <c r="V171" s="372" t="str">
        <f>'Business Plan'!X186</f>
        <v/>
      </c>
      <c r="W171" s="372" t="str">
        <f>'Business Plan'!Y186</f>
        <v/>
      </c>
      <c r="X171" s="372" t="str">
        <f>'Business Plan'!Z186</f>
        <v/>
      </c>
    </row>
    <row r="172">
      <c r="A172" s="372" t="str">
        <f>'Business Plan'!C187</f>
        <v/>
      </c>
      <c r="B172" s="372" t="str">
        <f>'Business Plan'!E187</f>
        <v/>
      </c>
      <c r="F172" s="372" t="str">
        <f>'Business Plan'!F187</f>
        <v/>
      </c>
      <c r="H172" s="372" t="str">
        <f>'Business Plan'!G187</f>
        <v/>
      </c>
      <c r="I172" s="372" t="str">
        <f>'Business Plan'!H187</f>
        <v/>
      </c>
      <c r="J172" s="372" t="str">
        <f>'Business Plan'!I187</f>
        <v/>
      </c>
      <c r="K172" s="372" t="str">
        <f>'Business Plan'!J187</f>
        <v/>
      </c>
      <c r="L172" s="372" t="str">
        <f>'Business Plan'!K187</f>
        <v/>
      </c>
      <c r="M172" s="372" t="str">
        <f>'Business Plan'!L187</f>
        <v/>
      </c>
      <c r="N172" s="372" t="str">
        <f>'Business Plan'!M187</f>
        <v/>
      </c>
      <c r="O172" s="372" t="str">
        <f>'Business Plan'!N187</f>
        <v/>
      </c>
      <c r="P172" s="372" t="str">
        <f>'Business Plan'!O187</f>
        <v/>
      </c>
      <c r="Q172" s="372" t="str">
        <f>'Business Plan'!P187</f>
        <v/>
      </c>
      <c r="R172" s="372" t="str">
        <f>'Business Plan'!Q187</f>
        <v/>
      </c>
      <c r="S172" s="372" t="str">
        <f>'Business Plan'!D187</f>
        <v/>
      </c>
      <c r="T172" s="372" t="str">
        <f>'Business Plan'!R187</f>
        <v/>
      </c>
      <c r="U172" s="372" t="str">
        <f>'Business Plan'!W187</f>
        <v/>
      </c>
      <c r="V172" s="372" t="str">
        <f>'Business Plan'!X187</f>
        <v/>
      </c>
      <c r="W172" s="372" t="str">
        <f>'Business Plan'!Y187</f>
        <v/>
      </c>
      <c r="X172" s="372" t="str">
        <f>'Business Plan'!Z187</f>
        <v/>
      </c>
    </row>
    <row r="173">
      <c r="A173" s="372" t="str">
        <f>'Business Plan'!C188</f>
        <v/>
      </c>
      <c r="B173" s="372" t="str">
        <f>'Business Plan'!E188</f>
        <v/>
      </c>
      <c r="F173" s="372" t="str">
        <f>'Business Plan'!F188</f>
        <v/>
      </c>
      <c r="H173" s="372" t="str">
        <f>'Business Plan'!G188</f>
        <v/>
      </c>
      <c r="I173" s="372" t="str">
        <f>'Business Plan'!H188</f>
        <v/>
      </c>
      <c r="J173" s="372" t="str">
        <f>'Business Plan'!I188</f>
        <v/>
      </c>
      <c r="K173" s="372" t="str">
        <f>'Business Plan'!J188</f>
        <v/>
      </c>
      <c r="L173" s="372" t="str">
        <f>'Business Plan'!K188</f>
        <v/>
      </c>
      <c r="M173" s="372" t="str">
        <f>'Business Plan'!L188</f>
        <v/>
      </c>
      <c r="N173" s="372" t="str">
        <f>'Business Plan'!M188</f>
        <v/>
      </c>
      <c r="O173" s="372" t="str">
        <f>'Business Plan'!N188</f>
        <v/>
      </c>
      <c r="P173" s="372" t="str">
        <f>'Business Plan'!O188</f>
        <v/>
      </c>
      <c r="Q173" s="372" t="str">
        <f>'Business Plan'!P188</f>
        <v/>
      </c>
      <c r="R173" s="372" t="str">
        <f>'Business Plan'!Q188</f>
        <v/>
      </c>
      <c r="S173" s="372" t="str">
        <f>'Business Plan'!D188</f>
        <v/>
      </c>
      <c r="T173" s="372" t="str">
        <f>'Business Plan'!R188</f>
        <v/>
      </c>
      <c r="U173" s="372" t="str">
        <f>'Business Plan'!W188</f>
        <v/>
      </c>
      <c r="V173" s="372" t="str">
        <f>'Business Plan'!X188</f>
        <v/>
      </c>
      <c r="W173" s="372" t="str">
        <f>'Business Plan'!Y188</f>
        <v/>
      </c>
      <c r="X173" s="372" t="str">
        <f>'Business Plan'!Z188</f>
        <v/>
      </c>
    </row>
    <row r="174">
      <c r="A174" s="372" t="str">
        <f>'Business Plan'!C189</f>
        <v/>
      </c>
      <c r="B174" s="372" t="str">
        <f>'Business Plan'!E189</f>
        <v/>
      </c>
      <c r="F174" s="372" t="str">
        <f>'Business Plan'!F189</f>
        <v/>
      </c>
      <c r="H174" s="372" t="str">
        <f>'Business Plan'!G189</f>
        <v/>
      </c>
      <c r="I174" s="372" t="str">
        <f>'Business Plan'!H189</f>
        <v/>
      </c>
      <c r="J174" s="372" t="str">
        <f>'Business Plan'!I189</f>
        <v/>
      </c>
      <c r="K174" s="372" t="str">
        <f>'Business Plan'!J189</f>
        <v/>
      </c>
      <c r="L174" s="372" t="str">
        <f>'Business Plan'!K189</f>
        <v/>
      </c>
      <c r="M174" s="372" t="str">
        <f>'Business Plan'!L189</f>
        <v/>
      </c>
      <c r="N174" s="372" t="str">
        <f>'Business Plan'!M189</f>
        <v/>
      </c>
      <c r="O174" s="372" t="str">
        <f>'Business Plan'!N189</f>
        <v/>
      </c>
      <c r="P174" s="372" t="str">
        <f>'Business Plan'!O189</f>
        <v/>
      </c>
      <c r="Q174" s="372" t="str">
        <f>'Business Plan'!P189</f>
        <v/>
      </c>
      <c r="R174" s="372" t="str">
        <f>'Business Plan'!Q189</f>
        <v/>
      </c>
      <c r="S174" s="372" t="str">
        <f>'Business Plan'!D189</f>
        <v/>
      </c>
      <c r="T174" s="372" t="str">
        <f>'Business Plan'!R189</f>
        <v/>
      </c>
      <c r="U174" s="372" t="str">
        <f>'Business Plan'!W189</f>
        <v/>
      </c>
      <c r="V174" s="372" t="str">
        <f>'Business Plan'!X189</f>
        <v/>
      </c>
      <c r="W174" s="372" t="str">
        <f>'Business Plan'!Y189</f>
        <v/>
      </c>
      <c r="X174" s="372" t="str">
        <f>'Business Plan'!Z189</f>
        <v/>
      </c>
    </row>
    <row r="175">
      <c r="A175" s="372" t="str">
        <f>'Business Plan'!C190</f>
        <v/>
      </c>
      <c r="B175" s="372" t="str">
        <f>'Business Plan'!E190</f>
        <v/>
      </c>
      <c r="F175" s="372" t="str">
        <f>'Business Plan'!F190</f>
        <v/>
      </c>
      <c r="H175" s="372" t="str">
        <f>'Business Plan'!G190</f>
        <v/>
      </c>
      <c r="I175" s="372" t="str">
        <f>'Business Plan'!H190</f>
        <v/>
      </c>
      <c r="J175" s="372" t="str">
        <f>'Business Plan'!I190</f>
        <v/>
      </c>
      <c r="K175" s="372" t="str">
        <f>'Business Plan'!J190</f>
        <v/>
      </c>
      <c r="L175" s="372" t="str">
        <f>'Business Plan'!K190</f>
        <v/>
      </c>
      <c r="M175" s="372" t="str">
        <f>'Business Plan'!L190</f>
        <v/>
      </c>
      <c r="N175" s="372" t="str">
        <f>'Business Plan'!M190</f>
        <v/>
      </c>
      <c r="O175" s="372" t="str">
        <f>'Business Plan'!N190</f>
        <v/>
      </c>
      <c r="P175" s="372" t="str">
        <f>'Business Plan'!O190</f>
        <v/>
      </c>
      <c r="Q175" s="372" t="str">
        <f>'Business Plan'!P190</f>
        <v/>
      </c>
      <c r="R175" s="372" t="str">
        <f>'Business Plan'!Q190</f>
        <v/>
      </c>
      <c r="S175" s="372" t="str">
        <f>'Business Plan'!D190</f>
        <v/>
      </c>
      <c r="T175" s="372" t="str">
        <f>'Business Plan'!R190</f>
        <v/>
      </c>
      <c r="U175" s="372" t="str">
        <f>'Business Plan'!W190</f>
        <v/>
      </c>
      <c r="V175" s="372" t="str">
        <f>'Business Plan'!X190</f>
        <v/>
      </c>
      <c r="W175" s="372" t="str">
        <f>'Business Plan'!Y190</f>
        <v/>
      </c>
      <c r="X175" s="372" t="str">
        <f>'Business Plan'!Z190</f>
        <v/>
      </c>
    </row>
    <row r="176">
      <c r="A176" s="372" t="str">
        <f>'Business Plan'!C191</f>
        <v/>
      </c>
      <c r="B176" s="372" t="str">
        <f>'Business Plan'!E191</f>
        <v/>
      </c>
      <c r="F176" s="372" t="str">
        <f>'Business Plan'!F191</f>
        <v/>
      </c>
      <c r="H176" s="372" t="str">
        <f>'Business Plan'!G191</f>
        <v/>
      </c>
      <c r="I176" s="372" t="str">
        <f>'Business Plan'!H191</f>
        <v/>
      </c>
      <c r="J176" s="372" t="str">
        <f>'Business Plan'!I191</f>
        <v/>
      </c>
      <c r="K176" s="372" t="str">
        <f>'Business Plan'!J191</f>
        <v/>
      </c>
      <c r="L176" s="372" t="str">
        <f>'Business Plan'!K191</f>
        <v/>
      </c>
      <c r="M176" s="372" t="str">
        <f>'Business Plan'!L191</f>
        <v/>
      </c>
      <c r="N176" s="372" t="str">
        <f>'Business Plan'!M191</f>
        <v/>
      </c>
      <c r="O176" s="372" t="str">
        <f>'Business Plan'!N191</f>
        <v/>
      </c>
      <c r="P176" s="372" t="str">
        <f>'Business Plan'!O191</f>
        <v/>
      </c>
      <c r="Q176" s="372" t="str">
        <f>'Business Plan'!P191</f>
        <v/>
      </c>
      <c r="R176" s="372" t="str">
        <f>'Business Plan'!Q191</f>
        <v/>
      </c>
      <c r="S176" s="372" t="str">
        <f>'Business Plan'!D191</f>
        <v/>
      </c>
      <c r="T176" s="372" t="str">
        <f>'Business Plan'!R191</f>
        <v/>
      </c>
      <c r="U176" s="372" t="str">
        <f>'Business Plan'!W191</f>
        <v/>
      </c>
      <c r="V176" s="372" t="str">
        <f>'Business Plan'!X191</f>
        <v/>
      </c>
      <c r="W176" s="372" t="str">
        <f>'Business Plan'!Y191</f>
        <v/>
      </c>
      <c r="X176" s="372" t="str">
        <f>'Business Plan'!Z191</f>
        <v/>
      </c>
    </row>
    <row r="177">
      <c r="A177" s="372" t="str">
        <f>'Business Plan'!C192</f>
        <v/>
      </c>
      <c r="B177" s="372" t="str">
        <f>'Business Plan'!E192</f>
        <v/>
      </c>
      <c r="F177" s="372" t="str">
        <f>'Business Plan'!F192</f>
        <v/>
      </c>
      <c r="H177" s="372" t="str">
        <f>'Business Plan'!G192</f>
        <v/>
      </c>
      <c r="I177" s="372" t="str">
        <f>'Business Plan'!H192</f>
        <v/>
      </c>
      <c r="J177" s="372" t="str">
        <f>'Business Plan'!I192</f>
        <v/>
      </c>
      <c r="K177" s="372" t="str">
        <f>'Business Plan'!J192</f>
        <v/>
      </c>
      <c r="L177" s="372" t="str">
        <f>'Business Plan'!K192</f>
        <v/>
      </c>
      <c r="M177" s="372" t="str">
        <f>'Business Plan'!L192</f>
        <v/>
      </c>
      <c r="N177" s="372" t="str">
        <f>'Business Plan'!M192</f>
        <v/>
      </c>
      <c r="O177" s="372" t="str">
        <f>'Business Plan'!N192</f>
        <v/>
      </c>
      <c r="P177" s="372" t="str">
        <f>'Business Plan'!O192</f>
        <v/>
      </c>
      <c r="Q177" s="372" t="str">
        <f>'Business Plan'!P192</f>
        <v/>
      </c>
      <c r="R177" s="372" t="str">
        <f>'Business Plan'!Q192</f>
        <v/>
      </c>
      <c r="S177" s="372" t="str">
        <f>'Business Plan'!D192</f>
        <v/>
      </c>
      <c r="T177" s="372" t="str">
        <f>'Business Plan'!R192</f>
        <v/>
      </c>
      <c r="U177" s="372" t="str">
        <f>'Business Plan'!W192</f>
        <v/>
      </c>
      <c r="V177" s="372" t="str">
        <f>'Business Plan'!X192</f>
        <v/>
      </c>
      <c r="W177" s="372" t="str">
        <f>'Business Plan'!Y192</f>
        <v/>
      </c>
      <c r="X177" s="372" t="str">
        <f>'Business Plan'!Z192</f>
        <v/>
      </c>
    </row>
    <row r="178">
      <c r="A178" s="372" t="str">
        <f>'Business Plan'!C193</f>
        <v/>
      </c>
      <c r="B178" s="372" t="str">
        <f>'Business Plan'!E193</f>
        <v/>
      </c>
      <c r="F178" s="372" t="str">
        <f>'Business Plan'!F193</f>
        <v/>
      </c>
      <c r="H178" s="372" t="str">
        <f>'Business Plan'!G193</f>
        <v/>
      </c>
      <c r="I178" s="372" t="str">
        <f>'Business Plan'!H193</f>
        <v/>
      </c>
      <c r="J178" s="372" t="str">
        <f>'Business Plan'!I193</f>
        <v/>
      </c>
      <c r="K178" s="372" t="str">
        <f>'Business Plan'!J193</f>
        <v/>
      </c>
      <c r="L178" s="372" t="str">
        <f>'Business Plan'!K193</f>
        <v/>
      </c>
      <c r="M178" s="372" t="str">
        <f>'Business Plan'!L193</f>
        <v/>
      </c>
      <c r="N178" s="372" t="str">
        <f>'Business Plan'!M193</f>
        <v/>
      </c>
      <c r="O178" s="372" t="str">
        <f>'Business Plan'!N193</f>
        <v/>
      </c>
      <c r="P178" s="372" t="str">
        <f>'Business Plan'!O193</f>
        <v/>
      </c>
      <c r="Q178" s="372" t="str">
        <f>'Business Plan'!P193</f>
        <v/>
      </c>
      <c r="R178" s="372" t="str">
        <f>'Business Plan'!Q193</f>
        <v/>
      </c>
      <c r="S178" s="372" t="str">
        <f>'Business Plan'!D193</f>
        <v/>
      </c>
      <c r="T178" s="372" t="str">
        <f>'Business Plan'!R193</f>
        <v/>
      </c>
      <c r="U178" s="372" t="str">
        <f>'Business Plan'!W193</f>
        <v/>
      </c>
      <c r="V178" s="372" t="str">
        <f>'Business Plan'!X193</f>
        <v/>
      </c>
      <c r="W178" s="372" t="str">
        <f>'Business Plan'!Y193</f>
        <v/>
      </c>
      <c r="X178" s="372" t="str">
        <f>'Business Plan'!Z193</f>
        <v/>
      </c>
    </row>
    <row r="179">
      <c r="A179" s="372" t="str">
        <f>'Business Plan'!C194</f>
        <v/>
      </c>
      <c r="B179" s="372" t="str">
        <f>'Business Plan'!E194</f>
        <v/>
      </c>
      <c r="F179" s="372" t="str">
        <f>'Business Plan'!F194</f>
        <v/>
      </c>
      <c r="H179" s="372" t="str">
        <f>'Business Plan'!G194</f>
        <v/>
      </c>
      <c r="I179" s="372" t="str">
        <f>'Business Plan'!H194</f>
        <v/>
      </c>
      <c r="J179" s="372" t="str">
        <f>'Business Plan'!I194</f>
        <v/>
      </c>
      <c r="K179" s="372" t="str">
        <f>'Business Plan'!J194</f>
        <v/>
      </c>
      <c r="L179" s="372" t="str">
        <f>'Business Plan'!K194</f>
        <v/>
      </c>
      <c r="M179" s="372" t="str">
        <f>'Business Plan'!L194</f>
        <v/>
      </c>
      <c r="N179" s="372" t="str">
        <f>'Business Plan'!M194</f>
        <v/>
      </c>
      <c r="O179" s="372" t="str">
        <f>'Business Plan'!N194</f>
        <v/>
      </c>
      <c r="P179" s="372" t="str">
        <f>'Business Plan'!O194</f>
        <v/>
      </c>
      <c r="Q179" s="372" t="str">
        <f>'Business Plan'!P194</f>
        <v/>
      </c>
      <c r="R179" s="372" t="str">
        <f>'Business Plan'!Q194</f>
        <v/>
      </c>
      <c r="S179" s="372" t="str">
        <f>'Business Plan'!D194</f>
        <v/>
      </c>
      <c r="T179" s="372" t="str">
        <f>'Business Plan'!R194</f>
        <v/>
      </c>
      <c r="U179" s="372" t="str">
        <f>'Business Plan'!W194</f>
        <v/>
      </c>
      <c r="V179" s="372" t="str">
        <f>'Business Plan'!X194</f>
        <v/>
      </c>
      <c r="W179" s="372" t="str">
        <f>'Business Plan'!Y194</f>
        <v/>
      </c>
      <c r="X179" s="372" t="str">
        <f>'Business Plan'!Z194</f>
        <v/>
      </c>
    </row>
    <row r="180">
      <c r="A180" s="372" t="str">
        <f>'Business Plan'!C195</f>
        <v/>
      </c>
      <c r="B180" s="372" t="str">
        <f>'Business Plan'!E195</f>
        <v/>
      </c>
      <c r="F180" s="372" t="str">
        <f>'Business Plan'!F195</f>
        <v/>
      </c>
      <c r="H180" s="372" t="str">
        <f>'Business Plan'!G195</f>
        <v/>
      </c>
      <c r="I180" s="372" t="str">
        <f>'Business Plan'!H195</f>
        <v/>
      </c>
      <c r="J180" s="372" t="str">
        <f>'Business Plan'!I195</f>
        <v/>
      </c>
      <c r="K180" s="372" t="str">
        <f>'Business Plan'!J195</f>
        <v/>
      </c>
      <c r="L180" s="372" t="str">
        <f>'Business Plan'!K195</f>
        <v/>
      </c>
      <c r="M180" s="372" t="str">
        <f>'Business Plan'!L195</f>
        <v/>
      </c>
      <c r="N180" s="372" t="str">
        <f>'Business Plan'!M195</f>
        <v/>
      </c>
      <c r="O180" s="372" t="str">
        <f>'Business Plan'!N195</f>
        <v/>
      </c>
      <c r="P180" s="372" t="str">
        <f>'Business Plan'!O195</f>
        <v/>
      </c>
      <c r="Q180" s="372" t="str">
        <f>'Business Plan'!P195</f>
        <v/>
      </c>
      <c r="R180" s="372" t="str">
        <f>'Business Plan'!Q195</f>
        <v/>
      </c>
      <c r="S180" s="372" t="str">
        <f>'Business Plan'!D195</f>
        <v/>
      </c>
      <c r="T180" s="372" t="str">
        <f>'Business Plan'!R195</f>
        <v/>
      </c>
      <c r="U180" s="372" t="str">
        <f>'Business Plan'!W195</f>
        <v/>
      </c>
      <c r="V180" s="372" t="str">
        <f>'Business Plan'!X195</f>
        <v/>
      </c>
      <c r="W180" s="372" t="str">
        <f>'Business Plan'!Y195</f>
        <v/>
      </c>
      <c r="X180" s="372" t="str">
        <f>'Business Plan'!Z195</f>
        <v/>
      </c>
    </row>
    <row r="181">
      <c r="A181" s="372" t="str">
        <f>'Business Plan'!C196</f>
        <v/>
      </c>
      <c r="B181" s="372" t="str">
        <f>'Business Plan'!E196</f>
        <v/>
      </c>
      <c r="F181" s="372" t="str">
        <f>'Business Plan'!F196</f>
        <v/>
      </c>
      <c r="H181" s="372" t="str">
        <f>'Business Plan'!G196</f>
        <v/>
      </c>
      <c r="I181" s="372" t="str">
        <f>'Business Plan'!H196</f>
        <v/>
      </c>
      <c r="J181" s="372" t="str">
        <f>'Business Plan'!I196</f>
        <v/>
      </c>
      <c r="K181" s="372" t="str">
        <f>'Business Plan'!J196</f>
        <v/>
      </c>
      <c r="L181" s="372" t="str">
        <f>'Business Plan'!K196</f>
        <v/>
      </c>
      <c r="M181" s="372" t="str">
        <f>'Business Plan'!L196</f>
        <v/>
      </c>
      <c r="N181" s="372" t="str">
        <f>'Business Plan'!M196</f>
        <v/>
      </c>
      <c r="O181" s="372" t="str">
        <f>'Business Plan'!N196</f>
        <v/>
      </c>
      <c r="P181" s="372" t="str">
        <f>'Business Plan'!O196</f>
        <v/>
      </c>
      <c r="Q181" s="372" t="str">
        <f>'Business Plan'!P196</f>
        <v/>
      </c>
      <c r="R181" s="372" t="str">
        <f>'Business Plan'!Q196</f>
        <v/>
      </c>
      <c r="S181" s="372" t="str">
        <f>'Business Plan'!D196</f>
        <v/>
      </c>
      <c r="T181" s="372" t="str">
        <f>'Business Plan'!R196</f>
        <v/>
      </c>
      <c r="U181" s="372" t="str">
        <f>'Business Plan'!W196</f>
        <v/>
      </c>
      <c r="V181" s="372" t="str">
        <f>'Business Plan'!X196</f>
        <v/>
      </c>
      <c r="W181" s="372" t="str">
        <f>'Business Plan'!Y196</f>
        <v/>
      </c>
      <c r="X181" s="372" t="str">
        <f>'Business Plan'!Z196</f>
        <v/>
      </c>
    </row>
    <row r="182">
      <c r="A182" s="372" t="str">
        <f>'Business Plan'!C197</f>
        <v/>
      </c>
      <c r="B182" s="372" t="str">
        <f>'Business Plan'!E197</f>
        <v/>
      </c>
      <c r="F182" s="372" t="str">
        <f>'Business Plan'!F197</f>
        <v/>
      </c>
      <c r="H182" s="372" t="str">
        <f>'Business Plan'!G197</f>
        <v/>
      </c>
      <c r="I182" s="372" t="str">
        <f>'Business Plan'!H197</f>
        <v/>
      </c>
      <c r="J182" s="372" t="str">
        <f>'Business Plan'!I197</f>
        <v/>
      </c>
      <c r="K182" s="372" t="str">
        <f>'Business Plan'!J197</f>
        <v/>
      </c>
      <c r="L182" s="372" t="str">
        <f>'Business Plan'!K197</f>
        <v/>
      </c>
      <c r="M182" s="372" t="str">
        <f>'Business Plan'!L197</f>
        <v/>
      </c>
      <c r="N182" s="372" t="str">
        <f>'Business Plan'!M197</f>
        <v/>
      </c>
      <c r="O182" s="372" t="str">
        <f>'Business Plan'!N197</f>
        <v/>
      </c>
      <c r="P182" s="372" t="str">
        <f>'Business Plan'!O197</f>
        <v/>
      </c>
      <c r="Q182" s="372" t="str">
        <f>'Business Plan'!P197</f>
        <v/>
      </c>
      <c r="R182" s="372" t="str">
        <f>'Business Plan'!Q197</f>
        <v/>
      </c>
      <c r="S182" s="372" t="str">
        <f>'Business Plan'!D197</f>
        <v/>
      </c>
      <c r="T182" s="372" t="str">
        <f>'Business Plan'!R197</f>
        <v/>
      </c>
      <c r="U182" s="372" t="str">
        <f>'Business Plan'!W197</f>
        <v/>
      </c>
      <c r="V182" s="372" t="str">
        <f>'Business Plan'!X197</f>
        <v/>
      </c>
      <c r="W182" s="372" t="str">
        <f>'Business Plan'!Y197</f>
        <v/>
      </c>
      <c r="X182" s="372" t="str">
        <f>'Business Plan'!Z197</f>
        <v/>
      </c>
    </row>
    <row r="183">
      <c r="A183" s="372" t="str">
        <f>'Business Plan'!C198</f>
        <v/>
      </c>
      <c r="B183" s="372" t="str">
        <f>'Business Plan'!E198</f>
        <v/>
      </c>
      <c r="F183" s="372" t="str">
        <f>'Business Plan'!F198</f>
        <v/>
      </c>
      <c r="H183" s="372" t="str">
        <f>'Business Plan'!G198</f>
        <v/>
      </c>
      <c r="I183" s="372" t="str">
        <f>'Business Plan'!H198</f>
        <v/>
      </c>
      <c r="J183" s="372" t="str">
        <f>'Business Plan'!I198</f>
        <v/>
      </c>
      <c r="K183" s="372" t="str">
        <f>'Business Plan'!J198</f>
        <v/>
      </c>
      <c r="L183" s="372" t="str">
        <f>'Business Plan'!K198</f>
        <v/>
      </c>
      <c r="M183" s="372" t="str">
        <f>'Business Plan'!L198</f>
        <v/>
      </c>
      <c r="N183" s="372" t="str">
        <f>'Business Plan'!M198</f>
        <v/>
      </c>
      <c r="O183" s="372" t="str">
        <f>'Business Plan'!N198</f>
        <v/>
      </c>
      <c r="P183" s="372" t="str">
        <f>'Business Plan'!O198</f>
        <v/>
      </c>
      <c r="Q183" s="372" t="str">
        <f>'Business Plan'!P198</f>
        <v/>
      </c>
      <c r="R183" s="372" t="str">
        <f>'Business Plan'!Q198</f>
        <v/>
      </c>
      <c r="S183" s="372" t="str">
        <f>'Business Plan'!D198</f>
        <v/>
      </c>
      <c r="T183" s="372" t="str">
        <f>'Business Plan'!R198</f>
        <v/>
      </c>
      <c r="U183" s="372" t="str">
        <f>'Business Plan'!W198</f>
        <v/>
      </c>
      <c r="V183" s="372" t="str">
        <f>'Business Plan'!X198</f>
        <v/>
      </c>
      <c r="W183" s="372" t="str">
        <f>'Business Plan'!Y198</f>
        <v/>
      </c>
      <c r="X183" s="372" t="str">
        <f>'Business Plan'!Z198</f>
        <v/>
      </c>
    </row>
    <row r="184">
      <c r="A184" s="372" t="str">
        <f>'Business Plan'!C199</f>
        <v/>
      </c>
      <c r="B184" s="372" t="str">
        <f>'Business Plan'!E199</f>
        <v/>
      </c>
      <c r="F184" s="372" t="str">
        <f>'Business Plan'!F199</f>
        <v/>
      </c>
      <c r="H184" s="372" t="str">
        <f>'Business Plan'!G199</f>
        <v/>
      </c>
      <c r="I184" s="372" t="str">
        <f>'Business Plan'!H199</f>
        <v/>
      </c>
      <c r="J184" s="372" t="str">
        <f>'Business Plan'!I199</f>
        <v/>
      </c>
      <c r="K184" s="372" t="str">
        <f>'Business Plan'!J199</f>
        <v/>
      </c>
      <c r="L184" s="372" t="str">
        <f>'Business Plan'!K199</f>
        <v/>
      </c>
      <c r="M184" s="372" t="str">
        <f>'Business Plan'!L199</f>
        <v/>
      </c>
      <c r="N184" s="372" t="str">
        <f>'Business Plan'!M199</f>
        <v/>
      </c>
      <c r="O184" s="372" t="str">
        <f>'Business Plan'!N199</f>
        <v/>
      </c>
      <c r="P184" s="372" t="str">
        <f>'Business Plan'!O199</f>
        <v/>
      </c>
      <c r="Q184" s="372" t="str">
        <f>'Business Plan'!P199</f>
        <v/>
      </c>
      <c r="R184" s="372" t="str">
        <f>'Business Plan'!Q199</f>
        <v/>
      </c>
      <c r="S184" s="372" t="str">
        <f>'Business Plan'!D199</f>
        <v/>
      </c>
      <c r="T184" s="372" t="str">
        <f>'Business Plan'!R199</f>
        <v/>
      </c>
      <c r="U184" s="372" t="str">
        <f>'Business Plan'!W199</f>
        <v/>
      </c>
      <c r="V184" s="372" t="str">
        <f>'Business Plan'!X199</f>
        <v/>
      </c>
      <c r="W184" s="372" t="str">
        <f>'Business Plan'!Y199</f>
        <v/>
      </c>
      <c r="X184" s="372" t="str">
        <f>'Business Plan'!Z199</f>
        <v/>
      </c>
    </row>
    <row r="185">
      <c r="A185" s="372" t="str">
        <f>'Business Plan'!C200</f>
        <v/>
      </c>
      <c r="B185" s="372" t="str">
        <f>'Business Plan'!E200</f>
        <v/>
      </c>
      <c r="F185" s="372" t="str">
        <f>'Business Plan'!F200</f>
        <v/>
      </c>
      <c r="H185" s="372" t="str">
        <f>'Business Plan'!G200</f>
        <v/>
      </c>
      <c r="I185" s="372" t="str">
        <f>'Business Plan'!H200</f>
        <v/>
      </c>
      <c r="J185" s="372" t="str">
        <f>'Business Plan'!I200</f>
        <v/>
      </c>
      <c r="K185" s="372" t="str">
        <f>'Business Plan'!J200</f>
        <v/>
      </c>
      <c r="L185" s="372" t="str">
        <f>'Business Plan'!K200</f>
        <v/>
      </c>
      <c r="M185" s="372" t="str">
        <f>'Business Plan'!L200</f>
        <v/>
      </c>
      <c r="N185" s="372" t="str">
        <f>'Business Plan'!M200</f>
        <v/>
      </c>
      <c r="O185" s="372" t="str">
        <f>'Business Plan'!N200</f>
        <v/>
      </c>
      <c r="P185" s="372" t="str">
        <f>'Business Plan'!O200</f>
        <v/>
      </c>
      <c r="Q185" s="372" t="str">
        <f>'Business Plan'!P200</f>
        <v/>
      </c>
      <c r="R185" s="372" t="str">
        <f>'Business Plan'!Q200</f>
        <v/>
      </c>
      <c r="S185" s="372" t="str">
        <f>'Business Plan'!D200</f>
        <v/>
      </c>
      <c r="T185" s="372" t="str">
        <f>'Business Plan'!R200</f>
        <v/>
      </c>
      <c r="U185" s="372" t="str">
        <f>'Business Plan'!W200</f>
        <v/>
      </c>
      <c r="V185" s="372" t="str">
        <f>'Business Plan'!X200</f>
        <v/>
      </c>
      <c r="W185" s="372" t="str">
        <f>'Business Plan'!Y200</f>
        <v/>
      </c>
      <c r="X185" s="372" t="str">
        <f>'Business Plan'!Z200</f>
        <v/>
      </c>
    </row>
    <row r="186">
      <c r="A186" s="372" t="str">
        <f>'Business Plan'!C201</f>
        <v/>
      </c>
      <c r="B186" s="372" t="str">
        <f>'Business Plan'!E201</f>
        <v/>
      </c>
      <c r="F186" s="372" t="str">
        <f>'Business Plan'!F201</f>
        <v/>
      </c>
      <c r="H186" s="372" t="str">
        <f>'Business Plan'!G201</f>
        <v/>
      </c>
      <c r="I186" s="372" t="str">
        <f>'Business Plan'!H201</f>
        <v/>
      </c>
      <c r="J186" s="372" t="str">
        <f>'Business Plan'!I201</f>
        <v/>
      </c>
      <c r="K186" s="372" t="str">
        <f>'Business Plan'!J201</f>
        <v/>
      </c>
      <c r="L186" s="372" t="str">
        <f>'Business Plan'!K201</f>
        <v/>
      </c>
      <c r="M186" s="372" t="str">
        <f>'Business Plan'!L201</f>
        <v/>
      </c>
      <c r="N186" s="372" t="str">
        <f>'Business Plan'!M201</f>
        <v/>
      </c>
      <c r="O186" s="372" t="str">
        <f>'Business Plan'!N201</f>
        <v/>
      </c>
      <c r="P186" s="372" t="str">
        <f>'Business Plan'!O201</f>
        <v/>
      </c>
      <c r="Q186" s="372" t="str">
        <f>'Business Plan'!P201</f>
        <v/>
      </c>
      <c r="R186" s="372" t="str">
        <f>'Business Plan'!Q201</f>
        <v/>
      </c>
      <c r="S186" s="372" t="str">
        <f>'Business Plan'!D201</f>
        <v/>
      </c>
      <c r="T186" s="372" t="str">
        <f>'Business Plan'!R201</f>
        <v/>
      </c>
      <c r="U186" s="372" t="str">
        <f>'Business Plan'!W201</f>
        <v/>
      </c>
      <c r="V186" s="372" t="str">
        <f>'Business Plan'!X201</f>
        <v/>
      </c>
      <c r="W186" s="372" t="str">
        <f>'Business Plan'!Y201</f>
        <v/>
      </c>
      <c r="X186" s="372" t="str">
        <f>'Business Plan'!Z201</f>
        <v/>
      </c>
    </row>
    <row r="187">
      <c r="A187" s="372" t="str">
        <f>'Business Plan'!C202</f>
        <v/>
      </c>
      <c r="B187" s="372" t="str">
        <f>'Business Plan'!E202</f>
        <v/>
      </c>
      <c r="F187" s="372" t="str">
        <f>'Business Plan'!F202</f>
        <v/>
      </c>
      <c r="H187" s="372" t="str">
        <f>'Business Plan'!G202</f>
        <v/>
      </c>
      <c r="I187" s="372" t="str">
        <f>'Business Plan'!H202</f>
        <v/>
      </c>
      <c r="J187" s="372" t="str">
        <f>'Business Plan'!I202</f>
        <v/>
      </c>
      <c r="K187" s="372" t="str">
        <f>'Business Plan'!J202</f>
        <v/>
      </c>
      <c r="L187" s="372" t="str">
        <f>'Business Plan'!K202</f>
        <v/>
      </c>
      <c r="M187" s="372" t="str">
        <f>'Business Plan'!L202</f>
        <v/>
      </c>
      <c r="N187" s="372" t="str">
        <f>'Business Plan'!M202</f>
        <v/>
      </c>
      <c r="O187" s="372" t="str">
        <f>'Business Plan'!N202</f>
        <v/>
      </c>
      <c r="P187" s="372" t="str">
        <f>'Business Plan'!O202</f>
        <v/>
      </c>
      <c r="Q187" s="372" t="str">
        <f>'Business Plan'!P202</f>
        <v/>
      </c>
      <c r="R187" s="372" t="str">
        <f>'Business Plan'!Q202</f>
        <v/>
      </c>
      <c r="S187" s="372" t="str">
        <f>'Business Plan'!D202</f>
        <v/>
      </c>
      <c r="T187" s="372" t="str">
        <f>'Business Plan'!R202</f>
        <v/>
      </c>
      <c r="U187" s="372" t="str">
        <f>'Business Plan'!W202</f>
        <v/>
      </c>
      <c r="V187" s="372" t="str">
        <f>'Business Plan'!X202</f>
        <v/>
      </c>
      <c r="W187" s="372" t="str">
        <f>'Business Plan'!Y202</f>
        <v/>
      </c>
      <c r="X187" s="372" t="str">
        <f>'Business Plan'!Z202</f>
        <v/>
      </c>
    </row>
    <row r="188">
      <c r="A188" s="372" t="str">
        <f>'Business Plan'!C203</f>
        <v/>
      </c>
      <c r="B188" s="372" t="str">
        <f>'Business Plan'!E203</f>
        <v/>
      </c>
      <c r="F188" s="372" t="str">
        <f>'Business Plan'!F203</f>
        <v/>
      </c>
      <c r="H188" s="372" t="str">
        <f>'Business Plan'!G203</f>
        <v/>
      </c>
      <c r="I188" s="372" t="str">
        <f>'Business Plan'!H203</f>
        <v/>
      </c>
      <c r="J188" s="372" t="str">
        <f>'Business Plan'!I203</f>
        <v/>
      </c>
      <c r="K188" s="372" t="str">
        <f>'Business Plan'!J203</f>
        <v/>
      </c>
      <c r="L188" s="372" t="str">
        <f>'Business Plan'!K203</f>
        <v/>
      </c>
      <c r="M188" s="372" t="str">
        <f>'Business Plan'!L203</f>
        <v/>
      </c>
      <c r="N188" s="372" t="str">
        <f>'Business Plan'!M203</f>
        <v/>
      </c>
      <c r="O188" s="372" t="str">
        <f>'Business Plan'!N203</f>
        <v/>
      </c>
      <c r="P188" s="372" t="str">
        <f>'Business Plan'!O203</f>
        <v/>
      </c>
      <c r="Q188" s="372" t="str">
        <f>'Business Plan'!P203</f>
        <v/>
      </c>
      <c r="R188" s="372" t="str">
        <f>'Business Plan'!Q203</f>
        <v/>
      </c>
      <c r="S188" s="372" t="str">
        <f>'Business Plan'!D203</f>
        <v/>
      </c>
      <c r="T188" s="372" t="str">
        <f>'Business Plan'!R203</f>
        <v/>
      </c>
      <c r="U188" s="372" t="str">
        <f>'Business Plan'!W203</f>
        <v/>
      </c>
      <c r="V188" s="372" t="str">
        <f>'Business Plan'!X203</f>
        <v/>
      </c>
      <c r="W188" s="372" t="str">
        <f>'Business Plan'!Y203</f>
        <v/>
      </c>
      <c r="X188" s="372" t="str">
        <f>'Business Plan'!Z203</f>
        <v/>
      </c>
    </row>
    <row r="189">
      <c r="A189" s="372" t="str">
        <f>'Business Plan'!C204</f>
        <v/>
      </c>
      <c r="B189" s="372" t="str">
        <f>'Business Plan'!E204</f>
        <v/>
      </c>
      <c r="F189" s="372" t="str">
        <f>'Business Plan'!F204</f>
        <v/>
      </c>
      <c r="H189" s="372" t="str">
        <f>'Business Plan'!G204</f>
        <v/>
      </c>
      <c r="I189" s="372" t="str">
        <f>'Business Plan'!H204</f>
        <v/>
      </c>
      <c r="J189" s="372" t="str">
        <f>'Business Plan'!I204</f>
        <v/>
      </c>
      <c r="K189" s="372" t="str">
        <f>'Business Plan'!J204</f>
        <v/>
      </c>
      <c r="L189" s="372" t="str">
        <f>'Business Plan'!K204</f>
        <v/>
      </c>
      <c r="M189" s="372" t="str">
        <f>'Business Plan'!L204</f>
        <v/>
      </c>
      <c r="N189" s="372" t="str">
        <f>'Business Plan'!M204</f>
        <v/>
      </c>
      <c r="O189" s="372" t="str">
        <f>'Business Plan'!N204</f>
        <v/>
      </c>
      <c r="P189" s="372" t="str">
        <f>'Business Plan'!O204</f>
        <v/>
      </c>
      <c r="Q189" s="372" t="str">
        <f>'Business Plan'!P204</f>
        <v/>
      </c>
      <c r="R189" s="372" t="str">
        <f>'Business Plan'!Q204</f>
        <v/>
      </c>
      <c r="S189" s="372" t="str">
        <f>'Business Plan'!D204</f>
        <v/>
      </c>
      <c r="T189" s="372" t="str">
        <f>'Business Plan'!R204</f>
        <v/>
      </c>
      <c r="U189" s="372" t="str">
        <f>'Business Plan'!W204</f>
        <v/>
      </c>
      <c r="V189" s="372" t="str">
        <f>'Business Plan'!X204</f>
        <v/>
      </c>
      <c r="W189" s="372" t="str">
        <f>'Business Plan'!Y204</f>
        <v/>
      </c>
      <c r="X189" s="372" t="str">
        <f>'Business Plan'!Z204</f>
        <v/>
      </c>
    </row>
    <row r="190">
      <c r="A190" s="372" t="str">
        <f>'Business Plan'!C205</f>
        <v/>
      </c>
      <c r="B190" s="372" t="str">
        <f>'Business Plan'!E205</f>
        <v/>
      </c>
      <c r="F190" s="372" t="str">
        <f>'Business Plan'!F205</f>
        <v/>
      </c>
      <c r="H190" s="372" t="str">
        <f>'Business Plan'!G205</f>
        <v/>
      </c>
      <c r="I190" s="372" t="str">
        <f>'Business Plan'!H205</f>
        <v/>
      </c>
      <c r="J190" s="372" t="str">
        <f>'Business Plan'!I205</f>
        <v/>
      </c>
      <c r="K190" s="372" t="str">
        <f>'Business Plan'!J205</f>
        <v/>
      </c>
      <c r="L190" s="372" t="str">
        <f>'Business Plan'!K205</f>
        <v/>
      </c>
      <c r="M190" s="372" t="str">
        <f>'Business Plan'!L205</f>
        <v/>
      </c>
      <c r="N190" s="372" t="str">
        <f>'Business Plan'!M205</f>
        <v/>
      </c>
      <c r="O190" s="372" t="str">
        <f>'Business Plan'!N205</f>
        <v/>
      </c>
      <c r="P190" s="372" t="str">
        <f>'Business Plan'!O205</f>
        <v/>
      </c>
      <c r="Q190" s="372" t="str">
        <f>'Business Plan'!P205</f>
        <v/>
      </c>
      <c r="R190" s="372" t="str">
        <f>'Business Plan'!Q205</f>
        <v/>
      </c>
      <c r="S190" s="372" t="str">
        <f>'Business Plan'!D205</f>
        <v/>
      </c>
      <c r="T190" s="372" t="str">
        <f>'Business Plan'!R205</f>
        <v/>
      </c>
      <c r="U190" s="372" t="str">
        <f>'Business Plan'!W205</f>
        <v/>
      </c>
      <c r="V190" s="372" t="str">
        <f>'Business Plan'!X205</f>
        <v/>
      </c>
      <c r="W190" s="372" t="str">
        <f>'Business Plan'!Y205</f>
        <v/>
      </c>
      <c r="X190" s="372" t="str">
        <f>'Business Plan'!Z205</f>
        <v/>
      </c>
    </row>
    <row r="191">
      <c r="A191" s="372" t="str">
        <f>'Business Plan'!C206</f>
        <v/>
      </c>
      <c r="B191" s="372" t="str">
        <f>'Business Plan'!E206</f>
        <v/>
      </c>
      <c r="F191" s="372" t="str">
        <f>'Business Plan'!F206</f>
        <v/>
      </c>
      <c r="H191" s="372" t="str">
        <f>'Business Plan'!G206</f>
        <v/>
      </c>
      <c r="I191" s="372" t="str">
        <f>'Business Plan'!H206</f>
        <v/>
      </c>
      <c r="J191" s="372" t="str">
        <f>'Business Plan'!I206</f>
        <v/>
      </c>
      <c r="K191" s="372" t="str">
        <f>'Business Plan'!J206</f>
        <v/>
      </c>
      <c r="L191" s="372" t="str">
        <f>'Business Plan'!K206</f>
        <v/>
      </c>
      <c r="M191" s="372" t="str">
        <f>'Business Plan'!L206</f>
        <v/>
      </c>
      <c r="N191" s="372" t="str">
        <f>'Business Plan'!M206</f>
        <v/>
      </c>
      <c r="O191" s="372" t="str">
        <f>'Business Plan'!N206</f>
        <v/>
      </c>
      <c r="P191" s="372" t="str">
        <f>'Business Plan'!O206</f>
        <v/>
      </c>
      <c r="Q191" s="372" t="str">
        <f>'Business Plan'!P206</f>
        <v/>
      </c>
      <c r="R191" s="372" t="str">
        <f>'Business Plan'!Q206</f>
        <v/>
      </c>
      <c r="S191" s="372" t="str">
        <f>'Business Plan'!D206</f>
        <v/>
      </c>
      <c r="T191" s="372" t="str">
        <f>'Business Plan'!R206</f>
        <v/>
      </c>
      <c r="U191" s="372" t="str">
        <f>'Business Plan'!W206</f>
        <v/>
      </c>
      <c r="V191" s="372" t="str">
        <f>'Business Plan'!X206</f>
        <v/>
      </c>
      <c r="W191" s="372" t="str">
        <f>'Business Plan'!Y206</f>
        <v/>
      </c>
      <c r="X191" s="372" t="str">
        <f>'Business Plan'!Z206</f>
        <v/>
      </c>
    </row>
    <row r="192">
      <c r="A192" s="372" t="str">
        <f>'Business Plan'!C207</f>
        <v/>
      </c>
      <c r="B192" s="372" t="str">
        <f>'Business Plan'!E207</f>
        <v/>
      </c>
      <c r="F192" s="372" t="str">
        <f>'Business Plan'!F207</f>
        <v/>
      </c>
      <c r="H192" s="372" t="str">
        <f>'Business Plan'!G207</f>
        <v/>
      </c>
      <c r="I192" s="372" t="str">
        <f>'Business Plan'!H207</f>
        <v/>
      </c>
      <c r="J192" s="372" t="str">
        <f>'Business Plan'!I207</f>
        <v/>
      </c>
      <c r="K192" s="372" t="str">
        <f>'Business Plan'!J207</f>
        <v/>
      </c>
      <c r="L192" s="372" t="str">
        <f>'Business Plan'!K207</f>
        <v/>
      </c>
      <c r="M192" s="372" t="str">
        <f>'Business Plan'!L207</f>
        <v/>
      </c>
      <c r="N192" s="372" t="str">
        <f>'Business Plan'!M207</f>
        <v/>
      </c>
      <c r="O192" s="372" t="str">
        <f>'Business Plan'!N207</f>
        <v/>
      </c>
      <c r="P192" s="372" t="str">
        <f>'Business Plan'!O207</f>
        <v/>
      </c>
      <c r="Q192" s="372" t="str">
        <f>'Business Plan'!P207</f>
        <v/>
      </c>
      <c r="R192" s="372" t="str">
        <f>'Business Plan'!Q207</f>
        <v/>
      </c>
      <c r="S192" s="372" t="str">
        <f>'Business Plan'!D207</f>
        <v/>
      </c>
      <c r="T192" s="372" t="str">
        <f>'Business Plan'!R207</f>
        <v/>
      </c>
      <c r="U192" s="372" t="str">
        <f>'Business Plan'!W207</f>
        <v/>
      </c>
      <c r="V192" s="372" t="str">
        <f>'Business Plan'!X207</f>
        <v/>
      </c>
      <c r="W192" s="372" t="str">
        <f>'Business Plan'!Y207</f>
        <v/>
      </c>
      <c r="X192" s="372" t="str">
        <f>'Business Plan'!Z207</f>
        <v/>
      </c>
    </row>
    <row r="193">
      <c r="A193" s="372" t="str">
        <f>'Business Plan'!C208</f>
        <v/>
      </c>
      <c r="B193" s="372" t="str">
        <f>'Business Plan'!E208</f>
        <v/>
      </c>
      <c r="F193" s="372" t="str">
        <f>'Business Plan'!F208</f>
        <v/>
      </c>
      <c r="H193" s="372" t="str">
        <f>'Business Plan'!G208</f>
        <v/>
      </c>
      <c r="I193" s="372" t="str">
        <f>'Business Plan'!H208</f>
        <v/>
      </c>
      <c r="J193" s="372" t="str">
        <f>'Business Plan'!I208</f>
        <v/>
      </c>
      <c r="K193" s="372" t="str">
        <f>'Business Plan'!J208</f>
        <v/>
      </c>
      <c r="L193" s="372" t="str">
        <f>'Business Plan'!K208</f>
        <v/>
      </c>
      <c r="M193" s="372" t="str">
        <f>'Business Plan'!L208</f>
        <v/>
      </c>
      <c r="N193" s="372" t="str">
        <f>'Business Plan'!M208</f>
        <v/>
      </c>
      <c r="O193" s="372" t="str">
        <f>'Business Plan'!N208</f>
        <v/>
      </c>
      <c r="P193" s="372" t="str">
        <f>'Business Plan'!O208</f>
        <v/>
      </c>
      <c r="Q193" s="372" t="str">
        <f>'Business Plan'!P208</f>
        <v/>
      </c>
      <c r="R193" s="372" t="str">
        <f>'Business Plan'!Q208</f>
        <v/>
      </c>
      <c r="S193" s="372" t="str">
        <f>'Business Plan'!D208</f>
        <v/>
      </c>
      <c r="T193" s="372" t="str">
        <f>'Business Plan'!R208</f>
        <v/>
      </c>
      <c r="U193" s="372" t="str">
        <f>'Business Plan'!W208</f>
        <v/>
      </c>
      <c r="V193" s="372" t="str">
        <f>'Business Plan'!X208</f>
        <v/>
      </c>
      <c r="W193" s="372" t="str">
        <f>'Business Plan'!Y208</f>
        <v/>
      </c>
      <c r="X193" s="372" t="str">
        <f>'Business Plan'!Z208</f>
        <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sheetData>
    <row r="1">
      <c r="A1" s="241" t="s">
        <v>260</v>
      </c>
      <c r="B1" s="241" t="s">
        <v>261</v>
      </c>
      <c r="C1" s="241" t="s">
        <v>10</v>
      </c>
      <c r="D1" s="376" t="s">
        <v>85</v>
      </c>
      <c r="E1" s="372" t="s">
        <v>86</v>
      </c>
      <c r="F1" s="372" t="s">
        <v>87</v>
      </c>
      <c r="G1" s="372" t="s">
        <v>88</v>
      </c>
      <c r="H1" s="372" t="s">
        <v>89</v>
      </c>
      <c r="I1" s="372" t="s">
        <v>90</v>
      </c>
      <c r="J1" s="372" t="s">
        <v>91</v>
      </c>
      <c r="K1" s="372" t="s">
        <v>92</v>
      </c>
      <c r="L1" s="372" t="s">
        <v>93</v>
      </c>
      <c r="M1" s="372" t="s">
        <v>95</v>
      </c>
      <c r="N1" s="372" t="s">
        <v>91</v>
      </c>
      <c r="O1" s="372" t="s">
        <v>92</v>
      </c>
      <c r="P1" s="372" t="s">
        <v>93</v>
      </c>
      <c r="Q1" s="372" t="s">
        <v>96</v>
      </c>
      <c r="R1" s="372" t="s">
        <v>97</v>
      </c>
      <c r="S1" s="372" t="s">
        <v>98</v>
      </c>
      <c r="T1" s="372" t="s">
        <v>99</v>
      </c>
      <c r="U1" s="374" t="s">
        <v>100</v>
      </c>
      <c r="V1" s="372" t="s">
        <v>101</v>
      </c>
      <c r="W1" s="372" t="s">
        <v>102</v>
      </c>
      <c r="X1" s="372" t="s">
        <v>103</v>
      </c>
      <c r="Y1" s="372" t="s">
        <v>104</v>
      </c>
      <c r="Z1" s="372" t="s">
        <v>105</v>
      </c>
    </row>
    <row r="2">
      <c r="A2" s="372" t="str">
        <f t="array" ref="A2:C1000">IF(D2:D1000 &lt;&gt; "", 
     {'Partnership Info'!$D$10, 'Partnership Info'!$D$2, 'Partnership Info'!$D$7},
     {"", "", ""}
  )</f>
        <v>ROW</v>
      </c>
      <c r="B2" s="372" t="s">
        <v>1</v>
      </c>
      <c r="C2" s="372" t="s">
        <v>11</v>
      </c>
      <c r="D2" s="376" t="str">
        <f>IFERROR(__xludf.DUMMYFUNCTION("FILTER('Demand Generation Plan'!B4:Y1000,'Demand Generation Plan'!E4:E1000&gt;1)"),"Outbound Q1")</f>
        <v>Outbound Q1</v>
      </c>
      <c r="E2" s="372" t="str">
        <f>IFERROR(__xludf.DUMMYFUNCTION("""COMPUTED_VALUE"""),"Q1")</f>
        <v>Q1</v>
      </c>
      <c r="F2" s="372" t="str">
        <f>IFERROR(__xludf.DUMMYFUNCTION("""COMPUTED_VALUE"""),"January")</f>
        <v>January</v>
      </c>
      <c r="G2" s="372" t="str">
        <f>IFERROR(__xludf.DUMMYFUNCTION("""COMPUTED_VALUE"""),"Outbound Actions")</f>
        <v>Outbound Actions</v>
      </c>
      <c r="H2" s="374">
        <f>IFERROR(__xludf.DUMMYFUNCTION("""COMPUTED_VALUE"""),500.0)</f>
        <v>500</v>
      </c>
      <c r="I2" s="372">
        <f>IFERROR(__xludf.DUMMYFUNCTION("""COMPUTED_VALUE"""),9.0)</f>
        <v>9</v>
      </c>
      <c r="J2" s="372">
        <f>IFERROR(__xludf.DUMMYFUNCTION("""COMPUTED_VALUE"""),3.0)</f>
        <v>3</v>
      </c>
      <c r="K2" s="372">
        <f>IFERROR(__xludf.DUMMYFUNCTION("""COMPUTED_VALUE"""),3.0)</f>
        <v>3</v>
      </c>
      <c r="L2" s="372">
        <f>IFERROR(__xludf.DUMMYFUNCTION("""COMPUTED_VALUE"""),3.0)</f>
        <v>3</v>
      </c>
      <c r="M2" s="375">
        <f>IFERROR(__xludf.DUMMYFUNCTION("""COMPUTED_VALUE"""),55.55555555555556)</f>
        <v>55.55555556</v>
      </c>
      <c r="N2" s="374">
        <f>IFERROR(__xludf.DUMMYFUNCTION("""COMPUTED_VALUE"""),0.0)</f>
        <v>0</v>
      </c>
      <c r="O2" s="374">
        <f>IFERROR(__xludf.DUMMYFUNCTION("""COMPUTED_VALUE"""),0.0)</f>
        <v>0</v>
      </c>
      <c r="P2" s="374">
        <f>IFERROR(__xludf.DUMMYFUNCTION("""COMPUTED_VALUE"""),0.0)</f>
        <v>0</v>
      </c>
      <c r="Q2" s="374">
        <f>IFERROR(__xludf.DUMMYFUNCTION("""COMPUTED_VALUE"""),0.0)</f>
        <v>0</v>
      </c>
      <c r="R2" s="374">
        <f>IFERROR(__xludf.DUMMYFUNCTION("""COMPUTED_VALUE"""),0.0)</f>
        <v>0</v>
      </c>
      <c r="S2" s="374">
        <f>IFERROR(__xludf.DUMMYFUNCTION("""COMPUTED_VALUE"""),0.0)</f>
        <v>0</v>
      </c>
      <c r="T2" s="374">
        <f>IFERROR(__xludf.DUMMYFUNCTION("""COMPUTED_VALUE"""),0.0)</f>
        <v>0</v>
      </c>
      <c r="U2" s="374"/>
      <c r="V2" s="374">
        <f>IFERROR(__xludf.DUMMYFUNCTION("""COMPUTED_VALUE"""),0.0)</f>
        <v>0</v>
      </c>
      <c r="W2" s="373" t="str">
        <f>IFERROR(__xludf.DUMMYFUNCTION("""COMPUTED_VALUE"""),"")</f>
        <v/>
      </c>
      <c r="X2" s="373" t="str">
        <f>IFERROR(__xludf.DUMMYFUNCTION("""COMPUTED_VALUE"""),"")</f>
        <v/>
      </c>
      <c r="Y2" s="373" t="str">
        <f>IFERROR(__xludf.DUMMYFUNCTION("""COMPUTED_VALUE"""),"")</f>
        <v/>
      </c>
      <c r="Z2" s="374" t="str">
        <f>IFERROR(__xludf.DUMMYFUNCTION("""COMPUTED_VALUE"""),"")</f>
        <v/>
      </c>
      <c r="AA2" s="374" t="str">
        <f>IFERROR(__xludf.DUMMYFUNCTION("""COMPUTED_VALUE"""),"")</f>
        <v/>
      </c>
    </row>
    <row r="3">
      <c r="A3" s="372" t="s">
        <v>15</v>
      </c>
      <c r="B3" s="372" t="s">
        <v>1</v>
      </c>
      <c r="C3" s="372" t="s">
        <v>11</v>
      </c>
      <c r="D3" s="376" t="str">
        <f>IFERROR(__xludf.DUMMYFUNCTION("""COMPUTED_VALUE"""),"Outbound Q2")</f>
        <v>Outbound Q2</v>
      </c>
      <c r="E3" s="372" t="str">
        <f>IFERROR(__xludf.DUMMYFUNCTION("""COMPUTED_VALUE"""),"Q2")</f>
        <v>Q2</v>
      </c>
      <c r="F3" s="372" t="str">
        <f>IFERROR(__xludf.DUMMYFUNCTION("""COMPUTED_VALUE"""),"April")</f>
        <v>April</v>
      </c>
      <c r="G3" s="372" t="str">
        <f>IFERROR(__xludf.DUMMYFUNCTION("""COMPUTED_VALUE"""),"Outbound Actions")</f>
        <v>Outbound Actions</v>
      </c>
      <c r="H3" s="374">
        <f>IFERROR(__xludf.DUMMYFUNCTION("""COMPUTED_VALUE"""),500.0)</f>
        <v>500</v>
      </c>
      <c r="I3" s="372">
        <f>IFERROR(__xludf.DUMMYFUNCTION("""COMPUTED_VALUE"""),12.0)</f>
        <v>12</v>
      </c>
      <c r="J3" s="372">
        <f>IFERROR(__xludf.DUMMYFUNCTION("""COMPUTED_VALUE"""),4.0)</f>
        <v>4</v>
      </c>
      <c r="K3" s="372">
        <f>IFERROR(__xludf.DUMMYFUNCTION("""COMPUTED_VALUE"""),4.0)</f>
        <v>4</v>
      </c>
      <c r="L3" s="372">
        <f>IFERROR(__xludf.DUMMYFUNCTION("""COMPUTED_VALUE"""),4.0)</f>
        <v>4</v>
      </c>
      <c r="M3" s="375">
        <f>IFERROR(__xludf.DUMMYFUNCTION("""COMPUTED_VALUE"""),41.666666666666664)</f>
        <v>41.66666667</v>
      </c>
      <c r="N3" s="374">
        <f>IFERROR(__xludf.DUMMYFUNCTION("""COMPUTED_VALUE"""),0.0)</f>
        <v>0</v>
      </c>
      <c r="O3" s="374"/>
      <c r="P3" s="374"/>
      <c r="Q3" s="374"/>
      <c r="R3" s="374"/>
      <c r="S3" s="374"/>
      <c r="T3" s="374"/>
      <c r="U3" s="374"/>
      <c r="V3" s="374"/>
      <c r="W3" s="373" t="str">
        <f>IFERROR(__xludf.DUMMYFUNCTION("""COMPUTED_VALUE"""),"")</f>
        <v/>
      </c>
      <c r="X3" s="373" t="str">
        <f>IFERROR(__xludf.DUMMYFUNCTION("""COMPUTED_VALUE"""),"")</f>
        <v/>
      </c>
      <c r="Y3" s="373" t="str">
        <f>IFERROR(__xludf.DUMMYFUNCTION("""COMPUTED_VALUE"""),"")</f>
        <v/>
      </c>
      <c r="Z3" s="374" t="str">
        <f>IFERROR(__xludf.DUMMYFUNCTION("""COMPUTED_VALUE"""),"")</f>
        <v/>
      </c>
      <c r="AA3" s="374" t="str">
        <f>IFERROR(__xludf.DUMMYFUNCTION("""COMPUTED_VALUE"""),"")</f>
        <v/>
      </c>
    </row>
    <row r="4">
      <c r="A4" s="372" t="s">
        <v>15</v>
      </c>
      <c r="B4" s="372" t="s">
        <v>1</v>
      </c>
      <c r="C4" s="372" t="s">
        <v>11</v>
      </c>
      <c r="D4" s="376" t="str">
        <f>IFERROR(__xludf.DUMMYFUNCTION("""COMPUTED_VALUE"""),"Outbound Q3")</f>
        <v>Outbound Q3</v>
      </c>
      <c r="E4" s="372" t="str">
        <f>IFERROR(__xludf.DUMMYFUNCTION("""COMPUTED_VALUE"""),"Q3")</f>
        <v>Q3</v>
      </c>
      <c r="F4" s="372" t="str">
        <f>IFERROR(__xludf.DUMMYFUNCTION("""COMPUTED_VALUE"""),"July")</f>
        <v>July</v>
      </c>
      <c r="G4" s="372" t="str">
        <f>IFERROR(__xludf.DUMMYFUNCTION("""COMPUTED_VALUE"""),"Outbound Actions")</f>
        <v>Outbound Actions</v>
      </c>
      <c r="H4" s="374">
        <f>IFERROR(__xludf.DUMMYFUNCTION("""COMPUTED_VALUE"""),500.0)</f>
        <v>500</v>
      </c>
      <c r="I4" s="372">
        <f>IFERROR(__xludf.DUMMYFUNCTION("""COMPUTED_VALUE"""),15.0)</f>
        <v>15</v>
      </c>
      <c r="J4" s="372">
        <f>IFERROR(__xludf.DUMMYFUNCTION("""COMPUTED_VALUE"""),5.0)</f>
        <v>5</v>
      </c>
      <c r="K4" s="372">
        <f>IFERROR(__xludf.DUMMYFUNCTION("""COMPUTED_VALUE"""),5.0)</f>
        <v>5</v>
      </c>
      <c r="L4" s="372">
        <f>IFERROR(__xludf.DUMMYFUNCTION("""COMPUTED_VALUE"""),5.0)</f>
        <v>5</v>
      </c>
      <c r="M4" s="375">
        <f>IFERROR(__xludf.DUMMYFUNCTION("""COMPUTED_VALUE"""),33.333333333333336)</f>
        <v>33.33333333</v>
      </c>
      <c r="N4" s="374">
        <f>IFERROR(__xludf.DUMMYFUNCTION("""COMPUTED_VALUE"""),0.0)</f>
        <v>0</v>
      </c>
      <c r="O4" s="374"/>
      <c r="P4" s="374"/>
      <c r="Q4" s="374"/>
      <c r="R4" s="374"/>
      <c r="S4" s="374"/>
      <c r="T4" s="374"/>
      <c r="U4" s="374"/>
      <c r="V4" s="374"/>
      <c r="W4" s="373" t="str">
        <f>IFERROR(__xludf.DUMMYFUNCTION("""COMPUTED_VALUE"""),"")</f>
        <v/>
      </c>
      <c r="X4" s="373" t="str">
        <f>IFERROR(__xludf.DUMMYFUNCTION("""COMPUTED_VALUE"""),"")</f>
        <v/>
      </c>
      <c r="Y4" s="373" t="str">
        <f>IFERROR(__xludf.DUMMYFUNCTION("""COMPUTED_VALUE"""),"")</f>
        <v/>
      </c>
      <c r="Z4" s="374" t="str">
        <f>IFERROR(__xludf.DUMMYFUNCTION("""COMPUTED_VALUE"""),"")</f>
        <v/>
      </c>
      <c r="AA4" s="374" t="str">
        <f>IFERROR(__xludf.DUMMYFUNCTION("""COMPUTED_VALUE"""),"")</f>
        <v/>
      </c>
    </row>
    <row r="5">
      <c r="A5" s="372" t="s">
        <v>15</v>
      </c>
      <c r="B5" s="372" t="s">
        <v>1</v>
      </c>
      <c r="C5" s="372" t="s">
        <v>11</v>
      </c>
      <c r="D5" s="376" t="str">
        <f>IFERROR(__xludf.DUMMYFUNCTION("""COMPUTED_VALUE"""),"Outbound Q4")</f>
        <v>Outbound Q4</v>
      </c>
      <c r="E5" s="372" t="str">
        <f>IFERROR(__xludf.DUMMYFUNCTION("""COMPUTED_VALUE"""),"Q4")</f>
        <v>Q4</v>
      </c>
      <c r="F5" s="372" t="str">
        <f>IFERROR(__xludf.DUMMYFUNCTION("""COMPUTED_VALUE"""),"October")</f>
        <v>October</v>
      </c>
      <c r="G5" s="372" t="str">
        <f>IFERROR(__xludf.DUMMYFUNCTION("""COMPUTED_VALUE"""),"Outbound Actions")</f>
        <v>Outbound Actions</v>
      </c>
      <c r="H5" s="374">
        <f>IFERROR(__xludf.DUMMYFUNCTION("""COMPUTED_VALUE"""),500.0)</f>
        <v>500</v>
      </c>
      <c r="I5" s="372">
        <f>IFERROR(__xludf.DUMMYFUNCTION("""COMPUTED_VALUE"""),18.0)</f>
        <v>18</v>
      </c>
      <c r="J5" s="372">
        <f>IFERROR(__xludf.DUMMYFUNCTION("""COMPUTED_VALUE"""),6.0)</f>
        <v>6</v>
      </c>
      <c r="K5" s="372">
        <f>IFERROR(__xludf.DUMMYFUNCTION("""COMPUTED_VALUE"""),6.0)</f>
        <v>6</v>
      </c>
      <c r="L5" s="372">
        <f>IFERROR(__xludf.DUMMYFUNCTION("""COMPUTED_VALUE"""),6.0)</f>
        <v>6</v>
      </c>
      <c r="M5" s="375">
        <f>IFERROR(__xludf.DUMMYFUNCTION("""COMPUTED_VALUE"""),27.77777777777778)</f>
        <v>27.77777778</v>
      </c>
      <c r="N5" s="374">
        <f>IFERROR(__xludf.DUMMYFUNCTION("""COMPUTED_VALUE"""),0.0)</f>
        <v>0</v>
      </c>
      <c r="O5" s="374"/>
      <c r="P5" s="374"/>
      <c r="Q5" s="374"/>
      <c r="R5" s="374"/>
      <c r="S5" s="374"/>
      <c r="T5" s="374"/>
      <c r="U5" s="374"/>
      <c r="V5" s="374"/>
      <c r="W5" s="373" t="str">
        <f>IFERROR(__xludf.DUMMYFUNCTION("""COMPUTED_VALUE"""),"")</f>
        <v/>
      </c>
      <c r="X5" s="373" t="str">
        <f>IFERROR(__xludf.DUMMYFUNCTION("""COMPUTED_VALUE"""),"")</f>
        <v/>
      </c>
      <c r="Y5" s="373" t="str">
        <f>IFERROR(__xludf.DUMMYFUNCTION("""COMPUTED_VALUE"""),"")</f>
        <v/>
      </c>
      <c r="Z5" s="374" t="str">
        <f>IFERROR(__xludf.DUMMYFUNCTION("""COMPUTED_VALUE"""),"")</f>
        <v/>
      </c>
      <c r="AA5" s="374" t="str">
        <f>IFERROR(__xludf.DUMMYFUNCTION("""COMPUTED_VALUE"""),"")</f>
        <v/>
      </c>
    </row>
    <row r="6">
      <c r="A6" s="372" t="s">
        <v>15</v>
      </c>
      <c r="B6" s="372" t="s">
        <v>1</v>
      </c>
      <c r="C6" s="372" t="s">
        <v>11</v>
      </c>
      <c r="D6" s="376" t="str">
        <f>IFERROR(__xludf.DUMMYFUNCTION("""COMPUTED_VALUE"""),"Webinar")</f>
        <v>Webinar</v>
      </c>
      <c r="E6" s="372" t="str">
        <f>IFERROR(__xludf.DUMMYFUNCTION("""COMPUTED_VALUE"""),"Q1")</f>
        <v>Q1</v>
      </c>
      <c r="F6" s="372" t="str">
        <f>IFERROR(__xludf.DUMMYFUNCTION("""COMPUTED_VALUE"""),"January")</f>
        <v>January</v>
      </c>
      <c r="G6" s="372" t="str">
        <f>IFERROR(__xludf.DUMMYFUNCTION("""COMPUTED_VALUE"""),"Webinar")</f>
        <v>Webinar</v>
      </c>
      <c r="H6" s="374">
        <f>IFERROR(__xludf.DUMMYFUNCTION("""COMPUTED_VALUE"""),200.0)</f>
        <v>200</v>
      </c>
      <c r="I6" s="372">
        <f>IFERROR(__xludf.DUMMYFUNCTION("""COMPUTED_VALUE"""),5.0)</f>
        <v>5</v>
      </c>
      <c r="J6" s="372">
        <f>IFERROR(__xludf.DUMMYFUNCTION("""COMPUTED_VALUE"""),5.0)</f>
        <v>5</v>
      </c>
      <c r="K6" s="372"/>
      <c r="L6" s="372"/>
      <c r="M6" s="375">
        <f>IFERROR(__xludf.DUMMYFUNCTION("""COMPUTED_VALUE"""),40.0)</f>
        <v>40</v>
      </c>
      <c r="N6" s="374">
        <f>IFERROR(__xludf.DUMMYFUNCTION("""COMPUTED_VALUE"""),0.0)</f>
        <v>0</v>
      </c>
      <c r="O6" s="374"/>
      <c r="P6" s="374"/>
      <c r="Q6" s="374"/>
      <c r="R6" s="374"/>
      <c r="S6" s="374"/>
      <c r="T6" s="374"/>
      <c r="U6" s="374"/>
      <c r="V6" s="374"/>
      <c r="W6" s="373" t="str">
        <f>IFERROR(__xludf.DUMMYFUNCTION("""COMPUTED_VALUE"""),"")</f>
        <v/>
      </c>
      <c r="X6" s="373" t="str">
        <f>IFERROR(__xludf.DUMMYFUNCTION("""COMPUTED_VALUE"""),"")</f>
        <v/>
      </c>
      <c r="Y6" s="373" t="str">
        <f>IFERROR(__xludf.DUMMYFUNCTION("""COMPUTED_VALUE"""),"")</f>
        <v/>
      </c>
      <c r="Z6" s="374" t="str">
        <f>IFERROR(__xludf.DUMMYFUNCTION("""COMPUTED_VALUE"""),"")</f>
        <v/>
      </c>
      <c r="AA6" s="374" t="str">
        <f>IFERROR(__xludf.DUMMYFUNCTION("""COMPUTED_VALUE"""),"")</f>
        <v/>
      </c>
    </row>
    <row r="7">
      <c r="A7" s="372" t="s">
        <v>15</v>
      </c>
      <c r="B7" s="372" t="s">
        <v>1</v>
      </c>
      <c r="C7" s="372" t="s">
        <v>11</v>
      </c>
      <c r="D7" s="376" t="str">
        <f>IFERROR(__xludf.DUMMYFUNCTION("""COMPUTED_VALUE"""),"Webinar")</f>
        <v>Webinar</v>
      </c>
      <c r="E7" s="372" t="str">
        <f>IFERROR(__xludf.DUMMYFUNCTION("""COMPUTED_VALUE"""),"Q1")</f>
        <v>Q1</v>
      </c>
      <c r="F7" s="372" t="str">
        <f>IFERROR(__xludf.DUMMYFUNCTION("""COMPUTED_VALUE"""),"March")</f>
        <v>March</v>
      </c>
      <c r="G7" s="372" t="str">
        <f>IFERROR(__xludf.DUMMYFUNCTION("""COMPUTED_VALUE"""),"Webinar")</f>
        <v>Webinar</v>
      </c>
      <c r="H7" s="374">
        <f>IFERROR(__xludf.DUMMYFUNCTION("""COMPUTED_VALUE"""),200.0)</f>
        <v>200</v>
      </c>
      <c r="I7" s="372">
        <f>IFERROR(__xludf.DUMMYFUNCTION("""COMPUTED_VALUE"""),2.0)</f>
        <v>2</v>
      </c>
      <c r="J7" s="372">
        <f>IFERROR(__xludf.DUMMYFUNCTION("""COMPUTED_VALUE"""),2.0)</f>
        <v>2</v>
      </c>
      <c r="K7" s="372"/>
      <c r="L7" s="372"/>
      <c r="M7" s="375">
        <f>IFERROR(__xludf.DUMMYFUNCTION("""COMPUTED_VALUE"""),100.0)</f>
        <v>100</v>
      </c>
      <c r="N7" s="374">
        <f>IFERROR(__xludf.DUMMYFUNCTION("""COMPUTED_VALUE"""),0.0)</f>
        <v>0</v>
      </c>
      <c r="O7" s="374"/>
      <c r="P7" s="374"/>
      <c r="Q7" s="374"/>
      <c r="R7" s="374"/>
      <c r="S7" s="374"/>
      <c r="T7" s="374"/>
      <c r="U7" s="374"/>
      <c r="V7" s="374"/>
      <c r="W7" s="373" t="str">
        <f>IFERROR(__xludf.DUMMYFUNCTION("""COMPUTED_VALUE"""),"")</f>
        <v/>
      </c>
      <c r="X7" s="373" t="str">
        <f>IFERROR(__xludf.DUMMYFUNCTION("""COMPUTED_VALUE"""),"")</f>
        <v/>
      </c>
      <c r="Y7" s="373" t="str">
        <f>IFERROR(__xludf.DUMMYFUNCTION("""COMPUTED_VALUE"""),"")</f>
        <v/>
      </c>
      <c r="Z7" s="374" t="str">
        <f>IFERROR(__xludf.DUMMYFUNCTION("""COMPUTED_VALUE"""),"")</f>
        <v/>
      </c>
      <c r="AA7" s="374" t="str">
        <f>IFERROR(__xludf.DUMMYFUNCTION("""COMPUTED_VALUE"""),"")</f>
        <v/>
      </c>
    </row>
    <row r="8">
      <c r="A8" s="372" t="s">
        <v>15</v>
      </c>
      <c r="B8" s="372" t="s">
        <v>1</v>
      </c>
      <c r="C8" s="372" t="s">
        <v>11</v>
      </c>
      <c r="D8" s="376" t="str">
        <f>IFERROR(__xludf.DUMMYFUNCTION("""COMPUTED_VALUE"""),"Webinar")</f>
        <v>Webinar</v>
      </c>
      <c r="E8" s="372" t="str">
        <f>IFERROR(__xludf.DUMMYFUNCTION("""COMPUTED_VALUE"""),"Q2")</f>
        <v>Q2</v>
      </c>
      <c r="F8" s="372" t="str">
        <f>IFERROR(__xludf.DUMMYFUNCTION("""COMPUTED_VALUE"""),"April")</f>
        <v>April</v>
      </c>
      <c r="G8" s="372" t="str">
        <f>IFERROR(__xludf.DUMMYFUNCTION("""COMPUTED_VALUE"""),"Webinar")</f>
        <v>Webinar</v>
      </c>
      <c r="H8" s="374">
        <f>IFERROR(__xludf.DUMMYFUNCTION("""COMPUTED_VALUE"""),200.0)</f>
        <v>200</v>
      </c>
      <c r="I8" s="372">
        <f>IFERROR(__xludf.DUMMYFUNCTION("""COMPUTED_VALUE"""),3.0)</f>
        <v>3</v>
      </c>
      <c r="J8" s="372">
        <f>IFERROR(__xludf.DUMMYFUNCTION("""COMPUTED_VALUE"""),3.0)</f>
        <v>3</v>
      </c>
      <c r="K8" s="372"/>
      <c r="L8" s="372"/>
      <c r="M8" s="375">
        <f>IFERROR(__xludf.DUMMYFUNCTION("""COMPUTED_VALUE"""),66.66666666666667)</f>
        <v>66.66666667</v>
      </c>
      <c r="N8" s="374">
        <f>IFERROR(__xludf.DUMMYFUNCTION("""COMPUTED_VALUE"""),0.0)</f>
        <v>0</v>
      </c>
      <c r="O8" s="374"/>
      <c r="P8" s="374"/>
      <c r="Q8" s="374"/>
      <c r="R8" s="374"/>
      <c r="S8" s="374"/>
      <c r="T8" s="374"/>
      <c r="U8" s="374"/>
      <c r="V8" s="374"/>
      <c r="W8" s="373" t="str">
        <f>IFERROR(__xludf.DUMMYFUNCTION("""COMPUTED_VALUE"""),"")</f>
        <v/>
      </c>
      <c r="X8" s="373" t="str">
        <f>IFERROR(__xludf.DUMMYFUNCTION("""COMPUTED_VALUE"""),"")</f>
        <v/>
      </c>
      <c r="Y8" s="373" t="str">
        <f>IFERROR(__xludf.DUMMYFUNCTION("""COMPUTED_VALUE"""),"")</f>
        <v/>
      </c>
      <c r="Z8" s="374" t="str">
        <f>IFERROR(__xludf.DUMMYFUNCTION("""COMPUTED_VALUE"""),"")</f>
        <v/>
      </c>
      <c r="AA8" s="374" t="str">
        <f>IFERROR(__xludf.DUMMYFUNCTION("""COMPUTED_VALUE"""),"")</f>
        <v/>
      </c>
    </row>
    <row r="9">
      <c r="A9" s="372" t="s">
        <v>15</v>
      </c>
      <c r="B9" s="372" t="s">
        <v>1</v>
      </c>
      <c r="C9" s="372" t="s">
        <v>11</v>
      </c>
      <c r="D9" s="376" t="str">
        <f>IFERROR(__xludf.DUMMYFUNCTION("""COMPUTED_VALUE"""),"Webinar")</f>
        <v>Webinar</v>
      </c>
      <c r="E9" s="372" t="str">
        <f>IFERROR(__xludf.DUMMYFUNCTION("""COMPUTED_VALUE"""),"Q2")</f>
        <v>Q2</v>
      </c>
      <c r="F9" s="372" t="str">
        <f>IFERROR(__xludf.DUMMYFUNCTION("""COMPUTED_VALUE"""),"May")</f>
        <v>May</v>
      </c>
      <c r="G9" s="372" t="str">
        <f>IFERROR(__xludf.DUMMYFUNCTION("""COMPUTED_VALUE"""),"Webinar")</f>
        <v>Webinar</v>
      </c>
      <c r="H9" s="374">
        <f>IFERROR(__xludf.DUMMYFUNCTION("""COMPUTED_VALUE"""),200.0)</f>
        <v>200</v>
      </c>
      <c r="I9" s="372">
        <f>IFERROR(__xludf.DUMMYFUNCTION("""COMPUTED_VALUE"""),3.0)</f>
        <v>3</v>
      </c>
      <c r="J9" s="372">
        <f>IFERROR(__xludf.DUMMYFUNCTION("""COMPUTED_VALUE"""),3.0)</f>
        <v>3</v>
      </c>
      <c r="K9" s="372"/>
      <c r="L9" s="372"/>
      <c r="M9" s="375">
        <f>IFERROR(__xludf.DUMMYFUNCTION("""COMPUTED_VALUE"""),66.66666666666667)</f>
        <v>66.66666667</v>
      </c>
      <c r="N9" s="374">
        <f>IFERROR(__xludf.DUMMYFUNCTION("""COMPUTED_VALUE"""),0.0)</f>
        <v>0</v>
      </c>
      <c r="O9" s="374"/>
      <c r="P9" s="374"/>
      <c r="Q9" s="374"/>
      <c r="R9" s="374"/>
      <c r="S9" s="374"/>
      <c r="T9" s="374"/>
      <c r="U9" s="374"/>
      <c r="V9" s="374"/>
      <c r="W9" s="373" t="str">
        <f>IFERROR(__xludf.DUMMYFUNCTION("""COMPUTED_VALUE"""),"")</f>
        <v/>
      </c>
      <c r="X9" s="373" t="str">
        <f>IFERROR(__xludf.DUMMYFUNCTION("""COMPUTED_VALUE"""),"")</f>
        <v/>
      </c>
      <c r="Y9" s="373" t="str">
        <f>IFERROR(__xludf.DUMMYFUNCTION("""COMPUTED_VALUE"""),"")</f>
        <v/>
      </c>
      <c r="Z9" s="374" t="str">
        <f>IFERROR(__xludf.DUMMYFUNCTION("""COMPUTED_VALUE"""),"")</f>
        <v/>
      </c>
      <c r="AA9" s="374" t="str">
        <f>IFERROR(__xludf.DUMMYFUNCTION("""COMPUTED_VALUE"""),"")</f>
        <v/>
      </c>
    </row>
    <row r="10">
      <c r="A10" s="372" t="s">
        <v>15</v>
      </c>
      <c r="B10" s="372" t="s">
        <v>1</v>
      </c>
      <c r="C10" s="372" t="s">
        <v>11</v>
      </c>
      <c r="D10" s="376" t="str">
        <f>IFERROR(__xludf.DUMMYFUNCTION("""COMPUTED_VALUE"""),"Webinar")</f>
        <v>Webinar</v>
      </c>
      <c r="E10" s="372" t="str">
        <f>IFERROR(__xludf.DUMMYFUNCTION("""COMPUTED_VALUE"""),"Q2")</f>
        <v>Q2</v>
      </c>
      <c r="F10" s="372" t="str">
        <f>IFERROR(__xludf.DUMMYFUNCTION("""COMPUTED_VALUE"""),"June")</f>
        <v>June</v>
      </c>
      <c r="G10" s="372" t="str">
        <f>IFERROR(__xludf.DUMMYFUNCTION("""COMPUTED_VALUE"""),"Webinar")</f>
        <v>Webinar</v>
      </c>
      <c r="H10" s="374">
        <f>IFERROR(__xludf.DUMMYFUNCTION("""COMPUTED_VALUE"""),200.0)</f>
        <v>200</v>
      </c>
      <c r="I10" s="372">
        <f>IFERROR(__xludf.DUMMYFUNCTION("""COMPUTED_VALUE"""),3.0)</f>
        <v>3</v>
      </c>
      <c r="J10" s="372">
        <f>IFERROR(__xludf.DUMMYFUNCTION("""COMPUTED_VALUE"""),3.0)</f>
        <v>3</v>
      </c>
      <c r="K10" s="372"/>
      <c r="L10" s="372"/>
      <c r="M10" s="375">
        <f>IFERROR(__xludf.DUMMYFUNCTION("""COMPUTED_VALUE"""),66.66666666666667)</f>
        <v>66.66666667</v>
      </c>
      <c r="N10" s="374">
        <f>IFERROR(__xludf.DUMMYFUNCTION("""COMPUTED_VALUE"""),0.0)</f>
        <v>0</v>
      </c>
      <c r="O10" s="374"/>
      <c r="P10" s="374"/>
      <c r="Q10" s="374"/>
      <c r="R10" s="374"/>
      <c r="S10" s="374"/>
      <c r="T10" s="374"/>
      <c r="U10" s="374"/>
      <c r="V10" s="374"/>
      <c r="W10" s="373" t="str">
        <f>IFERROR(__xludf.DUMMYFUNCTION("""COMPUTED_VALUE"""),"")</f>
        <v/>
      </c>
      <c r="X10" s="373" t="str">
        <f>IFERROR(__xludf.DUMMYFUNCTION("""COMPUTED_VALUE"""),"")</f>
        <v/>
      </c>
      <c r="Y10" s="373" t="str">
        <f>IFERROR(__xludf.DUMMYFUNCTION("""COMPUTED_VALUE"""),"")</f>
        <v/>
      </c>
      <c r="Z10" s="374" t="str">
        <f>IFERROR(__xludf.DUMMYFUNCTION("""COMPUTED_VALUE"""),"")</f>
        <v/>
      </c>
      <c r="AA10" s="374" t="str">
        <f>IFERROR(__xludf.DUMMYFUNCTION("""COMPUTED_VALUE"""),"")</f>
        <v/>
      </c>
    </row>
    <row r="11">
      <c r="A11" s="372" t="s">
        <v>15</v>
      </c>
      <c r="B11" s="372" t="s">
        <v>1</v>
      </c>
      <c r="C11" s="372" t="s">
        <v>11</v>
      </c>
      <c r="D11" s="376" t="str">
        <f>IFERROR(__xludf.DUMMYFUNCTION("""COMPUTED_VALUE"""),"Webinar")</f>
        <v>Webinar</v>
      </c>
      <c r="E11" s="372" t="str">
        <f>IFERROR(__xludf.DUMMYFUNCTION("""COMPUTED_VALUE"""),"Q3")</f>
        <v>Q3</v>
      </c>
      <c r="F11" s="372" t="str">
        <f>IFERROR(__xludf.DUMMYFUNCTION("""COMPUTED_VALUE"""),"July")</f>
        <v>July</v>
      </c>
      <c r="G11" s="372" t="str">
        <f>IFERROR(__xludf.DUMMYFUNCTION("""COMPUTED_VALUE"""),"Webinar")</f>
        <v>Webinar</v>
      </c>
      <c r="H11" s="374">
        <f>IFERROR(__xludf.DUMMYFUNCTION("""COMPUTED_VALUE"""),200.0)</f>
        <v>200</v>
      </c>
      <c r="I11" s="372">
        <f>IFERROR(__xludf.DUMMYFUNCTION("""COMPUTED_VALUE"""),3.0)</f>
        <v>3</v>
      </c>
      <c r="J11" s="372">
        <f>IFERROR(__xludf.DUMMYFUNCTION("""COMPUTED_VALUE"""),3.0)</f>
        <v>3</v>
      </c>
      <c r="K11" s="372"/>
      <c r="L11" s="372"/>
      <c r="M11" s="375">
        <f>IFERROR(__xludf.DUMMYFUNCTION("""COMPUTED_VALUE"""),66.66666666666667)</f>
        <v>66.66666667</v>
      </c>
      <c r="N11" s="374">
        <f>IFERROR(__xludf.DUMMYFUNCTION("""COMPUTED_VALUE"""),0.0)</f>
        <v>0</v>
      </c>
      <c r="O11" s="374"/>
      <c r="P11" s="374"/>
      <c r="Q11" s="374"/>
      <c r="R11" s="374"/>
      <c r="S11" s="374"/>
      <c r="T11" s="374"/>
      <c r="U11" s="374"/>
      <c r="V11" s="374"/>
      <c r="W11" s="373" t="str">
        <f>IFERROR(__xludf.DUMMYFUNCTION("""COMPUTED_VALUE"""),"")</f>
        <v/>
      </c>
      <c r="X11" s="373" t="str">
        <f>IFERROR(__xludf.DUMMYFUNCTION("""COMPUTED_VALUE"""),"")</f>
        <v/>
      </c>
      <c r="Y11" s="373" t="str">
        <f>IFERROR(__xludf.DUMMYFUNCTION("""COMPUTED_VALUE"""),"")</f>
        <v/>
      </c>
      <c r="Z11" s="374" t="str">
        <f>IFERROR(__xludf.DUMMYFUNCTION("""COMPUTED_VALUE"""),"")</f>
        <v/>
      </c>
      <c r="AA11" s="374" t="str">
        <f>IFERROR(__xludf.DUMMYFUNCTION("""COMPUTED_VALUE"""),"")</f>
        <v/>
      </c>
    </row>
    <row r="12">
      <c r="A12" s="372" t="s">
        <v>15</v>
      </c>
      <c r="B12" s="372" t="s">
        <v>1</v>
      </c>
      <c r="C12" s="372" t="s">
        <v>11</v>
      </c>
      <c r="D12" s="376" t="str">
        <f>IFERROR(__xludf.DUMMYFUNCTION("""COMPUTED_VALUE"""),"Webinar")</f>
        <v>Webinar</v>
      </c>
      <c r="E12" s="372" t="str">
        <f>IFERROR(__xludf.DUMMYFUNCTION("""COMPUTED_VALUE"""),"Q3")</f>
        <v>Q3</v>
      </c>
      <c r="F12" s="372" t="str">
        <f>IFERROR(__xludf.DUMMYFUNCTION("""COMPUTED_VALUE"""),"August")</f>
        <v>August</v>
      </c>
      <c r="G12" s="372" t="str">
        <f>IFERROR(__xludf.DUMMYFUNCTION("""COMPUTED_VALUE"""),"Webinar")</f>
        <v>Webinar</v>
      </c>
      <c r="H12" s="374">
        <f>IFERROR(__xludf.DUMMYFUNCTION("""COMPUTED_VALUE"""),200.0)</f>
        <v>200</v>
      </c>
      <c r="I12" s="372">
        <f>IFERROR(__xludf.DUMMYFUNCTION("""COMPUTED_VALUE"""),3.0)</f>
        <v>3</v>
      </c>
      <c r="J12" s="372">
        <f>IFERROR(__xludf.DUMMYFUNCTION("""COMPUTED_VALUE"""),3.0)</f>
        <v>3</v>
      </c>
      <c r="K12" s="372"/>
      <c r="L12" s="372"/>
      <c r="M12" s="375">
        <f>IFERROR(__xludf.DUMMYFUNCTION("""COMPUTED_VALUE"""),66.66666666666667)</f>
        <v>66.66666667</v>
      </c>
      <c r="N12" s="374">
        <f>IFERROR(__xludf.DUMMYFUNCTION("""COMPUTED_VALUE"""),0.0)</f>
        <v>0</v>
      </c>
      <c r="O12" s="374"/>
      <c r="P12" s="374"/>
      <c r="Q12" s="374"/>
      <c r="R12" s="374"/>
      <c r="S12" s="374"/>
      <c r="T12" s="374"/>
      <c r="U12" s="374"/>
      <c r="V12" s="374"/>
      <c r="W12" s="373" t="str">
        <f>IFERROR(__xludf.DUMMYFUNCTION("""COMPUTED_VALUE"""),"")</f>
        <v/>
      </c>
      <c r="X12" s="373" t="str">
        <f>IFERROR(__xludf.DUMMYFUNCTION("""COMPUTED_VALUE"""),"")</f>
        <v/>
      </c>
      <c r="Y12" s="373" t="str">
        <f>IFERROR(__xludf.DUMMYFUNCTION("""COMPUTED_VALUE"""),"")</f>
        <v/>
      </c>
      <c r="Z12" s="374" t="str">
        <f>IFERROR(__xludf.DUMMYFUNCTION("""COMPUTED_VALUE"""),"")</f>
        <v/>
      </c>
      <c r="AA12" s="374" t="str">
        <f>IFERROR(__xludf.DUMMYFUNCTION("""COMPUTED_VALUE"""),"")</f>
        <v/>
      </c>
    </row>
    <row r="13">
      <c r="A13" s="372" t="s">
        <v>15</v>
      </c>
      <c r="B13" s="372" t="s">
        <v>1</v>
      </c>
      <c r="C13" s="372" t="s">
        <v>11</v>
      </c>
      <c r="D13" s="376" t="str">
        <f>IFERROR(__xludf.DUMMYFUNCTION("""COMPUTED_VALUE"""),"Webinar")</f>
        <v>Webinar</v>
      </c>
      <c r="E13" s="372" t="str">
        <f>IFERROR(__xludf.DUMMYFUNCTION("""COMPUTED_VALUE"""),"Q3")</f>
        <v>Q3</v>
      </c>
      <c r="F13" s="372" t="str">
        <f>IFERROR(__xludf.DUMMYFUNCTION("""COMPUTED_VALUE"""),"September")</f>
        <v>September</v>
      </c>
      <c r="G13" s="372" t="str">
        <f>IFERROR(__xludf.DUMMYFUNCTION("""COMPUTED_VALUE"""),"Webinar")</f>
        <v>Webinar</v>
      </c>
      <c r="H13" s="374">
        <f>IFERROR(__xludf.DUMMYFUNCTION("""COMPUTED_VALUE"""),200.0)</f>
        <v>200</v>
      </c>
      <c r="I13" s="372">
        <f>IFERROR(__xludf.DUMMYFUNCTION("""COMPUTED_VALUE"""),5.0)</f>
        <v>5</v>
      </c>
      <c r="J13" s="372">
        <f>IFERROR(__xludf.DUMMYFUNCTION("""COMPUTED_VALUE"""),5.0)</f>
        <v>5</v>
      </c>
      <c r="K13" s="372"/>
      <c r="L13" s="372"/>
      <c r="M13" s="375">
        <f>IFERROR(__xludf.DUMMYFUNCTION("""COMPUTED_VALUE"""),40.0)</f>
        <v>40</v>
      </c>
      <c r="N13" s="374">
        <f>IFERROR(__xludf.DUMMYFUNCTION("""COMPUTED_VALUE"""),0.0)</f>
        <v>0</v>
      </c>
      <c r="O13" s="374"/>
      <c r="P13" s="374"/>
      <c r="Q13" s="374"/>
      <c r="R13" s="374"/>
      <c r="S13" s="374"/>
      <c r="T13" s="374"/>
      <c r="U13" s="374"/>
      <c r="V13" s="374"/>
      <c r="W13" s="373" t="str">
        <f>IFERROR(__xludf.DUMMYFUNCTION("""COMPUTED_VALUE"""),"")</f>
        <v/>
      </c>
      <c r="X13" s="373" t="str">
        <f>IFERROR(__xludf.DUMMYFUNCTION("""COMPUTED_VALUE"""),"")</f>
        <v/>
      </c>
      <c r="Y13" s="373" t="str">
        <f>IFERROR(__xludf.DUMMYFUNCTION("""COMPUTED_VALUE"""),"")</f>
        <v/>
      </c>
      <c r="Z13" s="374" t="str">
        <f>IFERROR(__xludf.DUMMYFUNCTION("""COMPUTED_VALUE"""),"")</f>
        <v/>
      </c>
      <c r="AA13" s="374" t="str">
        <f>IFERROR(__xludf.DUMMYFUNCTION("""COMPUTED_VALUE"""),"")</f>
        <v/>
      </c>
    </row>
    <row r="14">
      <c r="A14" s="372" t="s">
        <v>15</v>
      </c>
      <c r="B14" s="372" t="s">
        <v>1</v>
      </c>
      <c r="C14" s="372" t="s">
        <v>11</v>
      </c>
      <c r="D14" s="376" t="str">
        <f>IFERROR(__xludf.DUMMYFUNCTION("""COMPUTED_VALUE"""),"Webinar")</f>
        <v>Webinar</v>
      </c>
      <c r="E14" s="372" t="str">
        <f>IFERROR(__xludf.DUMMYFUNCTION("""COMPUTED_VALUE"""),"Q4")</f>
        <v>Q4</v>
      </c>
      <c r="F14" s="372" t="str">
        <f>IFERROR(__xludf.DUMMYFUNCTION("""COMPUTED_VALUE"""),"October")</f>
        <v>October</v>
      </c>
      <c r="G14" s="372" t="str">
        <f>IFERROR(__xludf.DUMMYFUNCTION("""COMPUTED_VALUE"""),"Webinar")</f>
        <v>Webinar</v>
      </c>
      <c r="H14" s="374">
        <f>IFERROR(__xludf.DUMMYFUNCTION("""COMPUTED_VALUE"""),200.0)</f>
        <v>200</v>
      </c>
      <c r="I14" s="372">
        <f>IFERROR(__xludf.DUMMYFUNCTION("""COMPUTED_VALUE"""),3.0)</f>
        <v>3</v>
      </c>
      <c r="J14" s="372">
        <f>IFERROR(__xludf.DUMMYFUNCTION("""COMPUTED_VALUE"""),3.0)</f>
        <v>3</v>
      </c>
      <c r="K14" s="372"/>
      <c r="L14" s="372"/>
      <c r="M14" s="375">
        <f>IFERROR(__xludf.DUMMYFUNCTION("""COMPUTED_VALUE"""),66.66666666666667)</f>
        <v>66.66666667</v>
      </c>
      <c r="N14" s="374">
        <f>IFERROR(__xludf.DUMMYFUNCTION("""COMPUTED_VALUE"""),0.0)</f>
        <v>0</v>
      </c>
      <c r="O14" s="374"/>
      <c r="P14" s="374"/>
      <c r="Q14" s="374"/>
      <c r="R14" s="374"/>
      <c r="S14" s="374"/>
      <c r="T14" s="374"/>
      <c r="U14" s="374"/>
      <c r="V14" s="374"/>
      <c r="W14" s="373" t="str">
        <f>IFERROR(__xludf.DUMMYFUNCTION("""COMPUTED_VALUE"""),"")</f>
        <v/>
      </c>
      <c r="X14" s="373" t="str">
        <f>IFERROR(__xludf.DUMMYFUNCTION("""COMPUTED_VALUE"""),"")</f>
        <v/>
      </c>
      <c r="Y14" s="373" t="str">
        <f>IFERROR(__xludf.DUMMYFUNCTION("""COMPUTED_VALUE"""),"")</f>
        <v/>
      </c>
      <c r="Z14" s="374" t="str">
        <f>IFERROR(__xludf.DUMMYFUNCTION("""COMPUTED_VALUE"""),"")</f>
        <v/>
      </c>
      <c r="AA14" s="374" t="str">
        <f>IFERROR(__xludf.DUMMYFUNCTION("""COMPUTED_VALUE"""),"")</f>
        <v/>
      </c>
    </row>
    <row r="15">
      <c r="A15" s="372" t="s">
        <v>15</v>
      </c>
      <c r="B15" s="372" t="s">
        <v>1</v>
      </c>
      <c r="C15" s="372" t="s">
        <v>11</v>
      </c>
      <c r="D15" s="376" t="str">
        <f>IFERROR(__xludf.DUMMYFUNCTION("""COMPUTED_VALUE"""),"Webinar")</f>
        <v>Webinar</v>
      </c>
      <c r="E15" s="372" t="str">
        <f>IFERROR(__xludf.DUMMYFUNCTION("""COMPUTED_VALUE"""),"Q4")</f>
        <v>Q4</v>
      </c>
      <c r="F15" s="372" t="str">
        <f>IFERROR(__xludf.DUMMYFUNCTION("""COMPUTED_VALUE"""),"November")</f>
        <v>November</v>
      </c>
      <c r="G15" s="372" t="str">
        <f>IFERROR(__xludf.DUMMYFUNCTION("""COMPUTED_VALUE"""),"Webinar")</f>
        <v>Webinar</v>
      </c>
      <c r="H15" s="374">
        <f>IFERROR(__xludf.DUMMYFUNCTION("""COMPUTED_VALUE"""),200.0)</f>
        <v>200</v>
      </c>
      <c r="I15" s="372">
        <f>IFERROR(__xludf.DUMMYFUNCTION("""COMPUTED_VALUE"""),3.0)</f>
        <v>3</v>
      </c>
      <c r="J15" s="372">
        <f>IFERROR(__xludf.DUMMYFUNCTION("""COMPUTED_VALUE"""),3.0)</f>
        <v>3</v>
      </c>
      <c r="K15" s="372"/>
      <c r="L15" s="372"/>
      <c r="M15" s="375">
        <f>IFERROR(__xludf.DUMMYFUNCTION("""COMPUTED_VALUE"""),66.66666666666667)</f>
        <v>66.66666667</v>
      </c>
      <c r="N15" s="374">
        <f>IFERROR(__xludf.DUMMYFUNCTION("""COMPUTED_VALUE"""),0.0)</f>
        <v>0</v>
      </c>
      <c r="O15" s="374"/>
      <c r="P15" s="374"/>
      <c r="Q15" s="374"/>
      <c r="R15" s="374"/>
      <c r="S15" s="374"/>
      <c r="T15" s="374"/>
      <c r="U15" s="374"/>
      <c r="V15" s="374"/>
      <c r="W15" s="373" t="str">
        <f>IFERROR(__xludf.DUMMYFUNCTION("""COMPUTED_VALUE"""),"")</f>
        <v/>
      </c>
      <c r="X15" s="373" t="str">
        <f>IFERROR(__xludf.DUMMYFUNCTION("""COMPUTED_VALUE"""),"")</f>
        <v/>
      </c>
      <c r="Y15" s="373" t="str">
        <f>IFERROR(__xludf.DUMMYFUNCTION("""COMPUTED_VALUE"""),"")</f>
        <v/>
      </c>
      <c r="Z15" s="374" t="str">
        <f>IFERROR(__xludf.DUMMYFUNCTION("""COMPUTED_VALUE"""),"")</f>
        <v/>
      </c>
      <c r="AA15" s="374" t="str">
        <f>IFERROR(__xludf.DUMMYFUNCTION("""COMPUTED_VALUE"""),"")</f>
        <v/>
      </c>
    </row>
    <row r="16">
      <c r="A16" s="372" t="s">
        <v>15</v>
      </c>
      <c r="B16" s="372" t="s">
        <v>1</v>
      </c>
      <c r="C16" s="372" t="s">
        <v>11</v>
      </c>
      <c r="D16" s="376" t="str">
        <f>IFERROR(__xludf.DUMMYFUNCTION("""COMPUTED_VALUE"""),"Webinar")</f>
        <v>Webinar</v>
      </c>
      <c r="E16" s="372" t="str">
        <f>IFERROR(__xludf.DUMMYFUNCTION("""COMPUTED_VALUE"""),"Q4")</f>
        <v>Q4</v>
      </c>
      <c r="F16" s="372" t="str">
        <f>IFERROR(__xludf.DUMMYFUNCTION("""COMPUTED_VALUE"""),"December")</f>
        <v>December</v>
      </c>
      <c r="G16" s="372" t="str">
        <f>IFERROR(__xludf.DUMMYFUNCTION("""COMPUTED_VALUE"""),"Webinar")</f>
        <v>Webinar</v>
      </c>
      <c r="H16" s="374">
        <f>IFERROR(__xludf.DUMMYFUNCTION("""COMPUTED_VALUE"""),200.0)</f>
        <v>200</v>
      </c>
      <c r="I16" s="372">
        <f>IFERROR(__xludf.DUMMYFUNCTION("""COMPUTED_VALUE"""),3.0)</f>
        <v>3</v>
      </c>
      <c r="J16" s="372">
        <f>IFERROR(__xludf.DUMMYFUNCTION("""COMPUTED_VALUE"""),3.0)</f>
        <v>3</v>
      </c>
      <c r="K16" s="372"/>
      <c r="L16" s="372"/>
      <c r="M16" s="375">
        <f>IFERROR(__xludf.DUMMYFUNCTION("""COMPUTED_VALUE"""),66.66666666666667)</f>
        <v>66.66666667</v>
      </c>
      <c r="N16" s="374">
        <f>IFERROR(__xludf.DUMMYFUNCTION("""COMPUTED_VALUE"""),0.0)</f>
        <v>0</v>
      </c>
      <c r="O16" s="374"/>
      <c r="P16" s="374"/>
      <c r="Q16" s="374"/>
      <c r="R16" s="374"/>
      <c r="S16" s="374"/>
      <c r="T16" s="374"/>
      <c r="U16" s="374"/>
      <c r="V16" s="374"/>
      <c r="W16" s="373" t="str">
        <f>IFERROR(__xludf.DUMMYFUNCTION("""COMPUTED_VALUE"""),"")</f>
        <v/>
      </c>
      <c r="X16" s="373" t="str">
        <f>IFERROR(__xludf.DUMMYFUNCTION("""COMPUTED_VALUE"""),"")</f>
        <v/>
      </c>
      <c r="Y16" s="373" t="str">
        <f>IFERROR(__xludf.DUMMYFUNCTION("""COMPUTED_VALUE"""),"")</f>
        <v/>
      </c>
      <c r="Z16" s="374" t="str">
        <f>IFERROR(__xludf.DUMMYFUNCTION("""COMPUTED_VALUE"""),"")</f>
        <v/>
      </c>
      <c r="AA16" s="374" t="str">
        <f>IFERROR(__xludf.DUMMYFUNCTION("""COMPUTED_VALUE"""),"")</f>
        <v/>
      </c>
    </row>
    <row r="17">
      <c r="A17" s="372" t="s">
        <v>15</v>
      </c>
      <c r="B17" s="372" t="s">
        <v>1</v>
      </c>
      <c r="C17" s="372" t="s">
        <v>11</v>
      </c>
      <c r="D17" s="376" t="str">
        <f>IFERROR(__xludf.DUMMYFUNCTION("""COMPUTED_VALUE"""),"Roadshow")</f>
        <v>Roadshow</v>
      </c>
      <c r="E17" s="372" t="str">
        <f>IFERROR(__xludf.DUMMYFUNCTION("""COMPUTED_VALUE"""),"Q1")</f>
        <v>Q1</v>
      </c>
      <c r="F17" s="372" t="str">
        <f>IFERROR(__xludf.DUMMYFUNCTION("""COMPUTED_VALUE"""),"February")</f>
        <v>February</v>
      </c>
      <c r="G17" s="372" t="str">
        <f>IFERROR(__xludf.DUMMYFUNCTION("""COMPUTED_VALUE"""),"Co-hosted")</f>
        <v>Co-hosted</v>
      </c>
      <c r="H17" s="374">
        <f>IFERROR(__xludf.DUMMYFUNCTION("""COMPUTED_VALUE"""),10000.0)</f>
        <v>10000</v>
      </c>
      <c r="I17" s="372">
        <f>IFERROR(__xludf.DUMMYFUNCTION("""COMPUTED_VALUE"""),30.0)</f>
        <v>30</v>
      </c>
      <c r="J17" s="372">
        <f>IFERROR(__xludf.DUMMYFUNCTION("""COMPUTED_VALUE"""),5.0)</f>
        <v>5</v>
      </c>
      <c r="K17" s="372">
        <f>IFERROR(__xludf.DUMMYFUNCTION("""COMPUTED_VALUE"""),25.0)</f>
        <v>25</v>
      </c>
      <c r="L17" s="372"/>
      <c r="M17" s="375">
        <f>IFERROR(__xludf.DUMMYFUNCTION("""COMPUTED_VALUE"""),333.3333333333333)</f>
        <v>333.3333333</v>
      </c>
      <c r="N17" s="374">
        <f>IFERROR(__xludf.DUMMYFUNCTION("""COMPUTED_VALUE"""),0.0)</f>
        <v>0</v>
      </c>
      <c r="O17" s="374"/>
      <c r="P17" s="374"/>
      <c r="Q17" s="374"/>
      <c r="R17" s="374"/>
      <c r="S17" s="374"/>
      <c r="T17" s="374"/>
      <c r="U17" s="374"/>
      <c r="V17" s="374"/>
      <c r="W17" s="373" t="str">
        <f>IFERROR(__xludf.DUMMYFUNCTION("""COMPUTED_VALUE"""),"")</f>
        <v/>
      </c>
      <c r="X17" s="373" t="str">
        <f>IFERROR(__xludf.DUMMYFUNCTION("""COMPUTED_VALUE"""),"")</f>
        <v/>
      </c>
      <c r="Y17" s="373" t="str">
        <f>IFERROR(__xludf.DUMMYFUNCTION("""COMPUTED_VALUE"""),"")</f>
        <v/>
      </c>
      <c r="Z17" s="374" t="str">
        <f>IFERROR(__xludf.DUMMYFUNCTION("""COMPUTED_VALUE"""),"")</f>
        <v/>
      </c>
      <c r="AA17" s="374" t="str">
        <f>IFERROR(__xludf.DUMMYFUNCTION("""COMPUTED_VALUE"""),"")</f>
        <v/>
      </c>
    </row>
    <row r="18">
      <c r="A18" s="372" t="s">
        <v>15</v>
      </c>
      <c r="B18" s="372" t="s">
        <v>1</v>
      </c>
      <c r="C18" s="372" t="s">
        <v>11</v>
      </c>
      <c r="D18" s="376" t="str">
        <f>IFERROR(__xludf.DUMMYFUNCTION("""COMPUTED_VALUE"""),"Event 2")</f>
        <v>Event 2</v>
      </c>
      <c r="E18" s="372" t="str">
        <f>IFERROR(__xludf.DUMMYFUNCTION("""COMPUTED_VALUE"""),"Q2")</f>
        <v>Q2</v>
      </c>
      <c r="F18" s="372" t="str">
        <f>IFERROR(__xludf.DUMMYFUNCTION("""COMPUTED_VALUE"""),"May")</f>
        <v>May</v>
      </c>
      <c r="G18" s="372" t="str">
        <f>IFERROR(__xludf.DUMMYFUNCTION("""COMPUTED_VALUE"""),"Fair / Trade Show")</f>
        <v>Fair / Trade Show</v>
      </c>
      <c r="H18" s="374">
        <f>IFERROR(__xludf.DUMMYFUNCTION("""COMPUTED_VALUE"""),7500.0)</f>
        <v>7500</v>
      </c>
      <c r="I18" s="372">
        <f>IFERROR(__xludf.DUMMYFUNCTION("""COMPUTED_VALUE"""),15.0)</f>
        <v>15</v>
      </c>
      <c r="J18" s="372">
        <f>IFERROR(__xludf.DUMMYFUNCTION("""COMPUTED_VALUE"""),10.0)</f>
        <v>10</v>
      </c>
      <c r="K18" s="372">
        <f>IFERROR(__xludf.DUMMYFUNCTION("""COMPUTED_VALUE"""),5.0)</f>
        <v>5</v>
      </c>
      <c r="L18" s="372"/>
      <c r="M18" s="375">
        <f>IFERROR(__xludf.DUMMYFUNCTION("""COMPUTED_VALUE"""),500.0)</f>
        <v>500</v>
      </c>
      <c r="N18" s="374">
        <f>IFERROR(__xludf.DUMMYFUNCTION("""COMPUTED_VALUE"""),0.0)</f>
        <v>0</v>
      </c>
      <c r="O18" s="374"/>
      <c r="P18" s="374"/>
      <c r="Q18" s="374"/>
      <c r="R18" s="374"/>
      <c r="S18" s="374"/>
      <c r="T18" s="374"/>
      <c r="U18" s="374"/>
      <c r="V18" s="374"/>
      <c r="W18" s="373" t="str">
        <f>IFERROR(__xludf.DUMMYFUNCTION("""COMPUTED_VALUE"""),"")</f>
        <v/>
      </c>
      <c r="X18" s="373" t="str">
        <f>IFERROR(__xludf.DUMMYFUNCTION("""COMPUTED_VALUE"""),"")</f>
        <v/>
      </c>
      <c r="Y18" s="373" t="str">
        <f>IFERROR(__xludf.DUMMYFUNCTION("""COMPUTED_VALUE"""),"")</f>
        <v/>
      </c>
      <c r="Z18" s="374" t="str">
        <f>IFERROR(__xludf.DUMMYFUNCTION("""COMPUTED_VALUE"""),"")</f>
        <v/>
      </c>
      <c r="AA18" s="374" t="str">
        <f>IFERROR(__xludf.DUMMYFUNCTION("""COMPUTED_VALUE"""),"")</f>
        <v/>
      </c>
    </row>
    <row r="19">
      <c r="A19" s="372" t="s">
        <v>15</v>
      </c>
      <c r="B19" s="372" t="s">
        <v>1</v>
      </c>
      <c r="C19" s="372" t="s">
        <v>11</v>
      </c>
      <c r="D19" s="376" t="str">
        <f>IFERROR(__xludf.DUMMYFUNCTION("""COMPUTED_VALUE"""),"Event 3")</f>
        <v>Event 3</v>
      </c>
      <c r="E19" s="372" t="str">
        <f>IFERROR(__xludf.DUMMYFUNCTION("""COMPUTED_VALUE"""),"Q3")</f>
        <v>Q3</v>
      </c>
      <c r="F19" s="372" t="str">
        <f>IFERROR(__xludf.DUMMYFUNCTION("""COMPUTED_VALUE"""),"July")</f>
        <v>July</v>
      </c>
      <c r="G19" s="372" t="str">
        <f>IFERROR(__xludf.DUMMYFUNCTION("""COMPUTED_VALUE"""),"Fair / Trade Show")</f>
        <v>Fair / Trade Show</v>
      </c>
      <c r="H19" s="374">
        <f>IFERROR(__xludf.DUMMYFUNCTION("""COMPUTED_VALUE"""),7500.0)</f>
        <v>7500</v>
      </c>
      <c r="I19" s="372">
        <f>IFERROR(__xludf.DUMMYFUNCTION("""COMPUTED_VALUE"""),15.0)</f>
        <v>15</v>
      </c>
      <c r="J19" s="372">
        <f>IFERROR(__xludf.DUMMYFUNCTION("""COMPUTED_VALUE"""),10.0)</f>
        <v>10</v>
      </c>
      <c r="K19" s="372">
        <f>IFERROR(__xludf.DUMMYFUNCTION("""COMPUTED_VALUE"""),5.0)</f>
        <v>5</v>
      </c>
      <c r="L19" s="372"/>
      <c r="M19" s="375">
        <f>IFERROR(__xludf.DUMMYFUNCTION("""COMPUTED_VALUE"""),500.0)</f>
        <v>500</v>
      </c>
      <c r="N19" s="374">
        <f>IFERROR(__xludf.DUMMYFUNCTION("""COMPUTED_VALUE"""),0.0)</f>
        <v>0</v>
      </c>
      <c r="O19" s="374"/>
      <c r="P19" s="374"/>
      <c r="Q19" s="374"/>
      <c r="R19" s="374"/>
      <c r="S19" s="374"/>
      <c r="T19" s="374"/>
      <c r="U19" s="374"/>
      <c r="V19" s="374"/>
      <c r="W19" s="373" t="str">
        <f>IFERROR(__xludf.DUMMYFUNCTION("""COMPUTED_VALUE"""),"")</f>
        <v/>
      </c>
      <c r="X19" s="373" t="str">
        <f>IFERROR(__xludf.DUMMYFUNCTION("""COMPUTED_VALUE"""),"")</f>
        <v/>
      </c>
      <c r="Y19" s="373" t="str">
        <f>IFERROR(__xludf.DUMMYFUNCTION("""COMPUTED_VALUE"""),"")</f>
        <v/>
      </c>
      <c r="Z19" s="374" t="str">
        <f>IFERROR(__xludf.DUMMYFUNCTION("""COMPUTED_VALUE"""),"")</f>
        <v/>
      </c>
      <c r="AA19" s="374" t="str">
        <f>IFERROR(__xludf.DUMMYFUNCTION("""COMPUTED_VALUE"""),"")</f>
        <v/>
      </c>
    </row>
    <row r="20">
      <c r="A20" s="372" t="s">
        <v>15</v>
      </c>
      <c r="B20" s="372" t="s">
        <v>1</v>
      </c>
      <c r="C20" s="372" t="s">
        <v>11</v>
      </c>
      <c r="D20" s="376" t="str">
        <f>IFERROR(__xludf.DUMMYFUNCTION("""COMPUTED_VALUE"""),"Event 4")</f>
        <v>Event 4</v>
      </c>
      <c r="E20" s="372" t="str">
        <f>IFERROR(__xludf.DUMMYFUNCTION("""COMPUTED_VALUE"""),"Q4")</f>
        <v>Q4</v>
      </c>
      <c r="F20" s="372" t="str">
        <f>IFERROR(__xludf.DUMMYFUNCTION("""COMPUTED_VALUE"""),"October")</f>
        <v>October</v>
      </c>
      <c r="G20" s="372" t="str">
        <f>IFERROR(__xludf.DUMMYFUNCTION("""COMPUTED_VALUE"""),"Fair / Trade Show")</f>
        <v>Fair / Trade Show</v>
      </c>
      <c r="H20" s="374">
        <f>IFERROR(__xludf.DUMMYFUNCTION("""COMPUTED_VALUE"""),7500.0)</f>
        <v>7500</v>
      </c>
      <c r="I20" s="372">
        <f>IFERROR(__xludf.DUMMYFUNCTION("""COMPUTED_VALUE"""),15.0)</f>
        <v>15</v>
      </c>
      <c r="J20" s="372">
        <f>IFERROR(__xludf.DUMMYFUNCTION("""COMPUTED_VALUE"""),10.0)</f>
        <v>10</v>
      </c>
      <c r="K20" s="372">
        <f>IFERROR(__xludf.DUMMYFUNCTION("""COMPUTED_VALUE"""),5.0)</f>
        <v>5</v>
      </c>
      <c r="L20" s="372"/>
      <c r="M20" s="375">
        <f>IFERROR(__xludf.DUMMYFUNCTION("""COMPUTED_VALUE"""),500.0)</f>
        <v>500</v>
      </c>
      <c r="N20" s="374">
        <f>IFERROR(__xludf.DUMMYFUNCTION("""COMPUTED_VALUE"""),0.0)</f>
        <v>0</v>
      </c>
      <c r="O20" s="374"/>
      <c r="P20" s="374"/>
      <c r="Q20" s="374"/>
      <c r="R20" s="374"/>
      <c r="S20" s="374"/>
      <c r="T20" s="374"/>
      <c r="U20" s="374"/>
      <c r="V20" s="374"/>
      <c r="W20" s="373" t="str">
        <f>IFERROR(__xludf.DUMMYFUNCTION("""COMPUTED_VALUE"""),"")</f>
        <v/>
      </c>
      <c r="X20" s="373" t="str">
        <f>IFERROR(__xludf.DUMMYFUNCTION("""COMPUTED_VALUE"""),"")</f>
        <v/>
      </c>
      <c r="Y20" s="373" t="str">
        <f>IFERROR(__xludf.DUMMYFUNCTION("""COMPUTED_VALUE"""),"")</f>
        <v/>
      </c>
      <c r="Z20" s="374" t="str">
        <f>IFERROR(__xludf.DUMMYFUNCTION("""COMPUTED_VALUE"""),"")</f>
        <v/>
      </c>
      <c r="AA20" s="374" t="str">
        <f>IFERROR(__xludf.DUMMYFUNCTION("""COMPUTED_VALUE"""),"")</f>
        <v/>
      </c>
    </row>
    <row r="21">
      <c r="A21" s="372" t="s">
        <v>15</v>
      </c>
      <c r="B21" s="372" t="s">
        <v>1</v>
      </c>
      <c r="C21" s="372" t="s">
        <v>11</v>
      </c>
      <c r="D21" s="376" t="str">
        <f>IFERROR(__xludf.DUMMYFUNCTION("""COMPUTED_VALUE"""),"Paid")</f>
        <v>Paid</v>
      </c>
      <c r="E21" s="372" t="str">
        <f>IFERROR(__xludf.DUMMYFUNCTION("""COMPUTED_VALUE"""),"Q1")</f>
        <v>Q1</v>
      </c>
      <c r="F21" s="372" t="str">
        <f>IFERROR(__xludf.DUMMYFUNCTION("""COMPUTED_VALUE"""),"January")</f>
        <v>January</v>
      </c>
      <c r="G21" s="372" t="str">
        <f>IFERROR(__xludf.DUMMYFUNCTION("""COMPUTED_VALUE"""),"Other Inbound")</f>
        <v>Other Inbound</v>
      </c>
      <c r="H21" s="374">
        <f>IFERROR(__xludf.DUMMYFUNCTION("""COMPUTED_VALUE"""),1000.0)</f>
        <v>1000</v>
      </c>
      <c r="I21" s="372">
        <f>IFERROR(__xludf.DUMMYFUNCTION("""COMPUTED_VALUE"""),2.0)</f>
        <v>2</v>
      </c>
      <c r="J21" s="372">
        <f>IFERROR(__xludf.DUMMYFUNCTION("""COMPUTED_VALUE"""),2.0)</f>
        <v>2</v>
      </c>
      <c r="K21" s="372"/>
      <c r="L21" s="372"/>
      <c r="M21" s="375">
        <f>IFERROR(__xludf.DUMMYFUNCTION("""COMPUTED_VALUE"""),500.0)</f>
        <v>500</v>
      </c>
      <c r="N21" s="374">
        <f>IFERROR(__xludf.DUMMYFUNCTION("""COMPUTED_VALUE"""),0.0)</f>
        <v>0</v>
      </c>
      <c r="O21" s="374"/>
      <c r="P21" s="374"/>
      <c r="Q21" s="374"/>
      <c r="R21" s="374"/>
      <c r="S21" s="374"/>
      <c r="T21" s="374"/>
      <c r="U21" s="374"/>
      <c r="V21" s="374"/>
      <c r="W21" s="373" t="str">
        <f>IFERROR(__xludf.DUMMYFUNCTION("""COMPUTED_VALUE"""),"")</f>
        <v/>
      </c>
      <c r="X21" s="373" t="str">
        <f>IFERROR(__xludf.DUMMYFUNCTION("""COMPUTED_VALUE"""),"")</f>
        <v/>
      </c>
      <c r="Y21" s="373" t="str">
        <f>IFERROR(__xludf.DUMMYFUNCTION("""COMPUTED_VALUE"""),"")</f>
        <v/>
      </c>
      <c r="Z21" s="374" t="str">
        <f>IFERROR(__xludf.DUMMYFUNCTION("""COMPUTED_VALUE"""),"")</f>
        <v/>
      </c>
      <c r="AA21" s="374" t="str">
        <f>IFERROR(__xludf.DUMMYFUNCTION("""COMPUTED_VALUE"""),"")</f>
        <v/>
      </c>
    </row>
    <row r="22">
      <c r="A22" s="372" t="s">
        <v>15</v>
      </c>
      <c r="B22" s="372" t="s">
        <v>1</v>
      </c>
      <c r="C22" s="372" t="s">
        <v>11</v>
      </c>
      <c r="D22" s="376" t="str">
        <f>IFERROR(__xludf.DUMMYFUNCTION("""COMPUTED_VALUE"""),"Paid")</f>
        <v>Paid</v>
      </c>
      <c r="E22" s="372" t="str">
        <f>IFERROR(__xludf.DUMMYFUNCTION("""COMPUTED_VALUE"""),"Q1")</f>
        <v>Q1</v>
      </c>
      <c r="F22" s="372" t="str">
        <f>IFERROR(__xludf.DUMMYFUNCTION("""COMPUTED_VALUE"""),"February")</f>
        <v>February</v>
      </c>
      <c r="G22" s="372" t="str">
        <f>IFERROR(__xludf.DUMMYFUNCTION("""COMPUTED_VALUE"""),"Other Inbound")</f>
        <v>Other Inbound</v>
      </c>
      <c r="H22" s="374">
        <f>IFERROR(__xludf.DUMMYFUNCTION("""COMPUTED_VALUE"""),1000.0)</f>
        <v>1000</v>
      </c>
      <c r="I22" s="372">
        <f>IFERROR(__xludf.DUMMYFUNCTION("""COMPUTED_VALUE"""),3.0)</f>
        <v>3</v>
      </c>
      <c r="J22" s="372">
        <f>IFERROR(__xludf.DUMMYFUNCTION("""COMPUTED_VALUE"""),3.0)</f>
        <v>3</v>
      </c>
      <c r="K22" s="372"/>
      <c r="L22" s="372"/>
      <c r="M22" s="375">
        <f>IFERROR(__xludf.DUMMYFUNCTION("""COMPUTED_VALUE"""),333.3333333333333)</f>
        <v>333.3333333</v>
      </c>
      <c r="N22" s="374">
        <f>IFERROR(__xludf.DUMMYFUNCTION("""COMPUTED_VALUE"""),0.0)</f>
        <v>0</v>
      </c>
      <c r="O22" s="374"/>
      <c r="P22" s="374"/>
      <c r="Q22" s="374"/>
      <c r="R22" s="374"/>
      <c r="S22" s="374"/>
      <c r="T22" s="374"/>
      <c r="U22" s="374"/>
      <c r="V22" s="374"/>
      <c r="W22" s="373" t="str">
        <f>IFERROR(__xludf.DUMMYFUNCTION("""COMPUTED_VALUE"""),"")</f>
        <v/>
      </c>
      <c r="X22" s="373" t="str">
        <f>IFERROR(__xludf.DUMMYFUNCTION("""COMPUTED_VALUE"""),"")</f>
        <v/>
      </c>
      <c r="Y22" s="373" t="str">
        <f>IFERROR(__xludf.DUMMYFUNCTION("""COMPUTED_VALUE"""),"")</f>
        <v/>
      </c>
      <c r="Z22" s="374" t="str">
        <f>IFERROR(__xludf.DUMMYFUNCTION("""COMPUTED_VALUE"""),"")</f>
        <v/>
      </c>
      <c r="AA22" s="374" t="str">
        <f>IFERROR(__xludf.DUMMYFUNCTION("""COMPUTED_VALUE"""),"")</f>
        <v/>
      </c>
    </row>
    <row r="23">
      <c r="A23" s="372" t="s">
        <v>15</v>
      </c>
      <c r="B23" s="372" t="s">
        <v>1</v>
      </c>
      <c r="C23" s="372" t="s">
        <v>11</v>
      </c>
      <c r="D23" s="376" t="str">
        <f>IFERROR(__xludf.DUMMYFUNCTION("""COMPUTED_VALUE"""),"Paid")</f>
        <v>Paid</v>
      </c>
      <c r="E23" s="372" t="str">
        <f>IFERROR(__xludf.DUMMYFUNCTION("""COMPUTED_VALUE"""),"Q1")</f>
        <v>Q1</v>
      </c>
      <c r="F23" s="372" t="str">
        <f>IFERROR(__xludf.DUMMYFUNCTION("""COMPUTED_VALUE"""),"March")</f>
        <v>March</v>
      </c>
      <c r="G23" s="372" t="str">
        <f>IFERROR(__xludf.DUMMYFUNCTION("""COMPUTED_VALUE"""),"Other Inbound")</f>
        <v>Other Inbound</v>
      </c>
      <c r="H23" s="374">
        <f>IFERROR(__xludf.DUMMYFUNCTION("""COMPUTED_VALUE"""),1000.0)</f>
        <v>1000</v>
      </c>
      <c r="I23" s="372">
        <f>IFERROR(__xludf.DUMMYFUNCTION("""COMPUTED_VALUE"""),4.0)</f>
        <v>4</v>
      </c>
      <c r="J23" s="372">
        <f>IFERROR(__xludf.DUMMYFUNCTION("""COMPUTED_VALUE"""),4.0)</f>
        <v>4</v>
      </c>
      <c r="K23" s="372"/>
      <c r="L23" s="372"/>
      <c r="M23" s="375">
        <f>IFERROR(__xludf.DUMMYFUNCTION("""COMPUTED_VALUE"""),250.0)</f>
        <v>250</v>
      </c>
      <c r="N23" s="374">
        <f>IFERROR(__xludf.DUMMYFUNCTION("""COMPUTED_VALUE"""),0.0)</f>
        <v>0</v>
      </c>
      <c r="O23" s="374"/>
      <c r="P23" s="374"/>
      <c r="Q23" s="374"/>
      <c r="R23" s="374"/>
      <c r="S23" s="374"/>
      <c r="T23" s="374"/>
      <c r="U23" s="374"/>
      <c r="V23" s="374"/>
      <c r="W23" s="373" t="str">
        <f>IFERROR(__xludf.DUMMYFUNCTION("""COMPUTED_VALUE"""),"")</f>
        <v/>
      </c>
      <c r="X23" s="373" t="str">
        <f>IFERROR(__xludf.DUMMYFUNCTION("""COMPUTED_VALUE"""),"")</f>
        <v/>
      </c>
      <c r="Y23" s="373" t="str">
        <f>IFERROR(__xludf.DUMMYFUNCTION("""COMPUTED_VALUE"""),"")</f>
        <v/>
      </c>
      <c r="Z23" s="374" t="str">
        <f>IFERROR(__xludf.DUMMYFUNCTION("""COMPUTED_VALUE"""),"")</f>
        <v/>
      </c>
      <c r="AA23" s="374" t="str">
        <f>IFERROR(__xludf.DUMMYFUNCTION("""COMPUTED_VALUE"""),"")</f>
        <v/>
      </c>
    </row>
    <row r="24">
      <c r="A24" s="372" t="s">
        <v>15</v>
      </c>
      <c r="B24" s="372" t="s">
        <v>1</v>
      </c>
      <c r="C24" s="372" t="s">
        <v>11</v>
      </c>
      <c r="D24" s="376" t="str">
        <f>IFERROR(__xludf.DUMMYFUNCTION("""COMPUTED_VALUE"""),"Paid")</f>
        <v>Paid</v>
      </c>
      <c r="E24" s="372" t="str">
        <f>IFERROR(__xludf.DUMMYFUNCTION("""COMPUTED_VALUE"""),"Q2")</f>
        <v>Q2</v>
      </c>
      <c r="F24" s="372" t="str">
        <f>IFERROR(__xludf.DUMMYFUNCTION("""COMPUTED_VALUE"""),"April")</f>
        <v>April</v>
      </c>
      <c r="G24" s="372" t="str">
        <f>IFERROR(__xludf.DUMMYFUNCTION("""COMPUTED_VALUE"""),"Other Inbound")</f>
        <v>Other Inbound</v>
      </c>
      <c r="H24" s="374">
        <f>IFERROR(__xludf.DUMMYFUNCTION("""COMPUTED_VALUE"""),1000.0)</f>
        <v>1000</v>
      </c>
      <c r="I24" s="372">
        <f>IFERROR(__xludf.DUMMYFUNCTION("""COMPUTED_VALUE"""),5.0)</f>
        <v>5</v>
      </c>
      <c r="J24" s="372">
        <f>IFERROR(__xludf.DUMMYFUNCTION("""COMPUTED_VALUE"""),5.0)</f>
        <v>5</v>
      </c>
      <c r="K24" s="372"/>
      <c r="L24" s="372"/>
      <c r="M24" s="375">
        <f>IFERROR(__xludf.DUMMYFUNCTION("""COMPUTED_VALUE"""),200.0)</f>
        <v>200</v>
      </c>
      <c r="N24" s="374">
        <f>IFERROR(__xludf.DUMMYFUNCTION("""COMPUTED_VALUE"""),0.0)</f>
        <v>0</v>
      </c>
      <c r="O24" s="374"/>
      <c r="P24" s="374"/>
      <c r="Q24" s="374"/>
      <c r="R24" s="374"/>
      <c r="S24" s="374"/>
      <c r="T24" s="374"/>
      <c r="U24" s="374"/>
      <c r="V24" s="374"/>
      <c r="W24" s="373" t="str">
        <f>IFERROR(__xludf.DUMMYFUNCTION("""COMPUTED_VALUE"""),"")</f>
        <v/>
      </c>
      <c r="X24" s="373" t="str">
        <f>IFERROR(__xludf.DUMMYFUNCTION("""COMPUTED_VALUE"""),"")</f>
        <v/>
      </c>
      <c r="Y24" s="373" t="str">
        <f>IFERROR(__xludf.DUMMYFUNCTION("""COMPUTED_VALUE"""),"")</f>
        <v/>
      </c>
      <c r="Z24" s="374" t="str">
        <f>IFERROR(__xludf.DUMMYFUNCTION("""COMPUTED_VALUE"""),"")</f>
        <v/>
      </c>
      <c r="AA24" s="374" t="str">
        <f>IFERROR(__xludf.DUMMYFUNCTION("""COMPUTED_VALUE"""),"")</f>
        <v/>
      </c>
    </row>
    <row r="25">
      <c r="A25" s="372" t="s">
        <v>15</v>
      </c>
      <c r="B25" s="372" t="s">
        <v>1</v>
      </c>
      <c r="C25" s="372" t="s">
        <v>11</v>
      </c>
      <c r="D25" s="376" t="str">
        <f>IFERROR(__xludf.DUMMYFUNCTION("""COMPUTED_VALUE"""),"Paid")</f>
        <v>Paid</v>
      </c>
      <c r="E25" s="372" t="str">
        <f>IFERROR(__xludf.DUMMYFUNCTION("""COMPUTED_VALUE"""),"Q1")</f>
        <v>Q1</v>
      </c>
      <c r="F25" s="372" t="str">
        <f>IFERROR(__xludf.DUMMYFUNCTION("""COMPUTED_VALUE"""),"May")</f>
        <v>May</v>
      </c>
      <c r="G25" s="372" t="str">
        <f>IFERROR(__xludf.DUMMYFUNCTION("""COMPUTED_VALUE"""),"Other Inbound")</f>
        <v>Other Inbound</v>
      </c>
      <c r="H25" s="374">
        <f>IFERROR(__xludf.DUMMYFUNCTION("""COMPUTED_VALUE"""),1000.0)</f>
        <v>1000</v>
      </c>
      <c r="I25" s="372">
        <f>IFERROR(__xludf.DUMMYFUNCTION("""COMPUTED_VALUE"""),5.0)</f>
        <v>5</v>
      </c>
      <c r="J25" s="372">
        <f>IFERROR(__xludf.DUMMYFUNCTION("""COMPUTED_VALUE"""),5.0)</f>
        <v>5</v>
      </c>
      <c r="K25" s="372"/>
      <c r="L25" s="372"/>
      <c r="M25" s="375">
        <f>IFERROR(__xludf.DUMMYFUNCTION("""COMPUTED_VALUE"""),200.0)</f>
        <v>200</v>
      </c>
      <c r="N25" s="372"/>
      <c r="O25" s="374"/>
      <c r="P25" s="374"/>
      <c r="Q25" s="374"/>
      <c r="R25" s="374"/>
      <c r="S25" s="374"/>
      <c r="T25" s="374"/>
      <c r="U25" s="374"/>
      <c r="V25" s="374"/>
      <c r="W25" s="373"/>
      <c r="X25" s="373"/>
      <c r="Y25" s="373"/>
      <c r="Z25" s="374"/>
      <c r="AA25" s="374"/>
    </row>
    <row r="26">
      <c r="A26" s="372" t="s">
        <v>15</v>
      </c>
      <c r="B26" s="372" t="s">
        <v>1</v>
      </c>
      <c r="C26" s="372" t="s">
        <v>11</v>
      </c>
      <c r="D26" s="376" t="str">
        <f>IFERROR(__xludf.DUMMYFUNCTION("""COMPUTED_VALUE"""),"Paid")</f>
        <v>Paid</v>
      </c>
      <c r="E26" s="372" t="str">
        <f>IFERROR(__xludf.DUMMYFUNCTION("""COMPUTED_VALUE"""),"Q1")</f>
        <v>Q1</v>
      </c>
      <c r="F26" s="372" t="str">
        <f>IFERROR(__xludf.DUMMYFUNCTION("""COMPUTED_VALUE"""),"June")</f>
        <v>June</v>
      </c>
      <c r="G26" s="372" t="str">
        <f>IFERROR(__xludf.DUMMYFUNCTION("""COMPUTED_VALUE"""),"Other Inbound")</f>
        <v>Other Inbound</v>
      </c>
      <c r="H26" s="374">
        <f>IFERROR(__xludf.DUMMYFUNCTION("""COMPUTED_VALUE"""),1000.0)</f>
        <v>1000</v>
      </c>
      <c r="I26" s="372">
        <f>IFERROR(__xludf.DUMMYFUNCTION("""COMPUTED_VALUE"""),5.0)</f>
        <v>5</v>
      </c>
      <c r="J26" s="372">
        <f>IFERROR(__xludf.DUMMYFUNCTION("""COMPUTED_VALUE"""),5.0)</f>
        <v>5</v>
      </c>
      <c r="K26" s="372"/>
      <c r="L26" s="372"/>
      <c r="M26" s="375">
        <f>IFERROR(__xludf.DUMMYFUNCTION("""COMPUTED_VALUE"""),200.0)</f>
        <v>200</v>
      </c>
      <c r="N26" s="372"/>
      <c r="O26" s="374"/>
      <c r="P26" s="374"/>
      <c r="Q26" s="374"/>
      <c r="R26" s="374"/>
      <c r="S26" s="374"/>
      <c r="T26" s="374"/>
      <c r="U26" s="374"/>
      <c r="V26" s="374"/>
      <c r="W26" s="373"/>
      <c r="X26" s="373"/>
      <c r="Y26" s="373"/>
      <c r="Z26" s="374"/>
      <c r="AA26" s="374"/>
    </row>
    <row r="27">
      <c r="A27" s="372" t="s">
        <v>15</v>
      </c>
      <c r="B27" s="372" t="s">
        <v>1</v>
      </c>
      <c r="C27" s="372" t="s">
        <v>11</v>
      </c>
      <c r="D27" s="376" t="str">
        <f>IFERROR(__xludf.DUMMYFUNCTION("""COMPUTED_VALUE"""),"Paid")</f>
        <v>Paid</v>
      </c>
      <c r="E27" s="372" t="str">
        <f>IFERROR(__xludf.DUMMYFUNCTION("""COMPUTED_VALUE"""),"Q1")</f>
        <v>Q1</v>
      </c>
      <c r="F27" s="372" t="str">
        <f>IFERROR(__xludf.DUMMYFUNCTION("""COMPUTED_VALUE"""),"July")</f>
        <v>July</v>
      </c>
      <c r="G27" s="372" t="str">
        <f>IFERROR(__xludf.DUMMYFUNCTION("""COMPUTED_VALUE"""),"Other Inbound")</f>
        <v>Other Inbound</v>
      </c>
      <c r="H27" s="374">
        <f>IFERROR(__xludf.DUMMYFUNCTION("""COMPUTED_VALUE"""),1000.0)</f>
        <v>1000</v>
      </c>
      <c r="I27" s="372">
        <f>IFERROR(__xludf.DUMMYFUNCTION("""COMPUTED_VALUE"""),5.0)</f>
        <v>5</v>
      </c>
      <c r="J27" s="372">
        <f>IFERROR(__xludf.DUMMYFUNCTION("""COMPUTED_VALUE"""),5.0)</f>
        <v>5</v>
      </c>
      <c r="K27" s="372"/>
      <c r="L27" s="372"/>
      <c r="M27" s="375">
        <f>IFERROR(__xludf.DUMMYFUNCTION("""COMPUTED_VALUE"""),200.0)</f>
        <v>200</v>
      </c>
      <c r="N27" s="372"/>
      <c r="O27" s="374"/>
      <c r="P27" s="374"/>
      <c r="Q27" s="374"/>
      <c r="R27" s="374"/>
      <c r="S27" s="374"/>
      <c r="T27" s="374"/>
      <c r="U27" s="374"/>
      <c r="V27" s="374"/>
      <c r="W27" s="373"/>
      <c r="X27" s="373"/>
      <c r="Y27" s="373"/>
      <c r="Z27" s="374"/>
      <c r="AA27" s="374"/>
    </row>
    <row r="28">
      <c r="A28" s="372" t="s">
        <v>15</v>
      </c>
      <c r="B28" s="372" t="s">
        <v>1</v>
      </c>
      <c r="C28" s="372" t="s">
        <v>11</v>
      </c>
      <c r="D28" s="376" t="str">
        <f>IFERROR(__xludf.DUMMYFUNCTION("""COMPUTED_VALUE"""),"Paid")</f>
        <v>Paid</v>
      </c>
      <c r="E28" s="372" t="str">
        <f>IFERROR(__xludf.DUMMYFUNCTION("""COMPUTED_VALUE"""),"Q3")</f>
        <v>Q3</v>
      </c>
      <c r="F28" s="372" t="str">
        <f>IFERROR(__xludf.DUMMYFUNCTION("""COMPUTED_VALUE"""),"August")</f>
        <v>August</v>
      </c>
      <c r="G28" s="372" t="str">
        <f>IFERROR(__xludf.DUMMYFUNCTION("""COMPUTED_VALUE"""),"Other Inbound")</f>
        <v>Other Inbound</v>
      </c>
      <c r="H28" s="374">
        <f>IFERROR(__xludf.DUMMYFUNCTION("""COMPUTED_VALUE"""),1000.0)</f>
        <v>1000</v>
      </c>
      <c r="I28" s="372">
        <f>IFERROR(__xludf.DUMMYFUNCTION("""COMPUTED_VALUE"""),5.0)</f>
        <v>5</v>
      </c>
      <c r="J28" s="372">
        <f>IFERROR(__xludf.DUMMYFUNCTION("""COMPUTED_VALUE"""),5.0)</f>
        <v>5</v>
      </c>
      <c r="K28" s="372"/>
      <c r="L28" s="372"/>
      <c r="M28" s="375">
        <f>IFERROR(__xludf.DUMMYFUNCTION("""COMPUTED_VALUE"""),200.0)</f>
        <v>200</v>
      </c>
      <c r="N28" s="374">
        <f>IFERROR(__xludf.DUMMYFUNCTION("""COMPUTED_VALUE"""),0.0)</f>
        <v>0</v>
      </c>
      <c r="O28" s="374"/>
      <c r="P28" s="374"/>
      <c r="Q28" s="374"/>
      <c r="R28" s="374"/>
      <c r="S28" s="374"/>
      <c r="T28" s="374"/>
      <c r="U28" s="374"/>
      <c r="V28" s="374"/>
      <c r="W28" s="373" t="str">
        <f>IFERROR(__xludf.DUMMYFUNCTION("""COMPUTED_VALUE"""),"")</f>
        <v/>
      </c>
      <c r="X28" s="373" t="str">
        <f>IFERROR(__xludf.DUMMYFUNCTION("""COMPUTED_VALUE"""),"")</f>
        <v/>
      </c>
      <c r="Y28" s="373" t="str">
        <f>IFERROR(__xludf.DUMMYFUNCTION("""COMPUTED_VALUE"""),"")</f>
        <v/>
      </c>
      <c r="Z28" s="374" t="str">
        <f>IFERROR(__xludf.DUMMYFUNCTION("""COMPUTED_VALUE"""),"")</f>
        <v/>
      </c>
      <c r="AA28" s="374" t="str">
        <f>IFERROR(__xludf.DUMMYFUNCTION("""COMPUTED_VALUE"""),"")</f>
        <v/>
      </c>
    </row>
    <row r="29">
      <c r="A29" s="372" t="s">
        <v>15</v>
      </c>
      <c r="B29" s="372" t="s">
        <v>1</v>
      </c>
      <c r="C29" s="372" t="s">
        <v>11</v>
      </c>
      <c r="D29" s="376" t="str">
        <f>IFERROR(__xludf.DUMMYFUNCTION("""COMPUTED_VALUE"""),"Paid")</f>
        <v>Paid</v>
      </c>
      <c r="E29" s="372" t="str">
        <f>IFERROR(__xludf.DUMMYFUNCTION("""COMPUTED_VALUE"""),"Q3")</f>
        <v>Q3</v>
      </c>
      <c r="F29" s="372" t="str">
        <f>IFERROR(__xludf.DUMMYFUNCTION("""COMPUTED_VALUE"""),"September")</f>
        <v>September</v>
      </c>
      <c r="G29" s="372" t="str">
        <f>IFERROR(__xludf.DUMMYFUNCTION("""COMPUTED_VALUE"""),"Other Inbound")</f>
        <v>Other Inbound</v>
      </c>
      <c r="H29" s="374">
        <f>IFERROR(__xludf.DUMMYFUNCTION("""COMPUTED_VALUE"""),1000.0)</f>
        <v>1000</v>
      </c>
      <c r="I29" s="372">
        <f>IFERROR(__xludf.DUMMYFUNCTION("""COMPUTED_VALUE"""),6.0)</f>
        <v>6</v>
      </c>
      <c r="J29" s="372">
        <f>IFERROR(__xludf.DUMMYFUNCTION("""COMPUTED_VALUE"""),6.0)</f>
        <v>6</v>
      </c>
      <c r="K29" s="372"/>
      <c r="L29" s="372"/>
      <c r="M29" s="375">
        <f>IFERROR(__xludf.DUMMYFUNCTION("""COMPUTED_VALUE"""),166.66666666666666)</f>
        <v>166.6666667</v>
      </c>
      <c r="N29" s="374">
        <f>IFERROR(__xludf.DUMMYFUNCTION("""COMPUTED_VALUE"""),0.0)</f>
        <v>0</v>
      </c>
      <c r="O29" s="374"/>
      <c r="P29" s="374"/>
      <c r="Q29" s="374"/>
      <c r="R29" s="374"/>
      <c r="S29" s="374"/>
      <c r="T29" s="374"/>
      <c r="U29" s="374"/>
      <c r="V29" s="374"/>
      <c r="W29" s="373" t="str">
        <f>IFERROR(__xludf.DUMMYFUNCTION("""COMPUTED_VALUE"""),"")</f>
        <v/>
      </c>
      <c r="X29" s="373" t="str">
        <f>IFERROR(__xludf.DUMMYFUNCTION("""COMPUTED_VALUE"""),"")</f>
        <v/>
      </c>
      <c r="Y29" s="373" t="str">
        <f>IFERROR(__xludf.DUMMYFUNCTION("""COMPUTED_VALUE"""),"")</f>
        <v/>
      </c>
      <c r="Z29" s="374" t="str">
        <f>IFERROR(__xludf.DUMMYFUNCTION("""COMPUTED_VALUE"""),"")</f>
        <v/>
      </c>
      <c r="AA29" s="374" t="str">
        <f>IFERROR(__xludf.DUMMYFUNCTION("""COMPUTED_VALUE"""),"")</f>
        <v/>
      </c>
    </row>
    <row r="30">
      <c r="A30" s="372" t="s">
        <v>15</v>
      </c>
      <c r="B30" s="372" t="s">
        <v>1</v>
      </c>
      <c r="C30" s="372" t="s">
        <v>11</v>
      </c>
      <c r="D30" s="376" t="str">
        <f>IFERROR(__xludf.DUMMYFUNCTION("""COMPUTED_VALUE"""),"Paid")</f>
        <v>Paid</v>
      </c>
      <c r="E30" s="372" t="str">
        <f>IFERROR(__xludf.DUMMYFUNCTION("""COMPUTED_VALUE"""),"Q4")</f>
        <v>Q4</v>
      </c>
      <c r="F30" s="372" t="str">
        <f>IFERROR(__xludf.DUMMYFUNCTION("""COMPUTED_VALUE"""),"October")</f>
        <v>October</v>
      </c>
      <c r="G30" s="372" t="str">
        <f>IFERROR(__xludf.DUMMYFUNCTION("""COMPUTED_VALUE"""),"Other Inbound")</f>
        <v>Other Inbound</v>
      </c>
      <c r="H30" s="374">
        <f>IFERROR(__xludf.DUMMYFUNCTION("""COMPUTED_VALUE"""),1000.0)</f>
        <v>1000</v>
      </c>
      <c r="I30" s="372">
        <f>IFERROR(__xludf.DUMMYFUNCTION("""COMPUTED_VALUE"""),5.0)</f>
        <v>5</v>
      </c>
      <c r="J30" s="372">
        <f>IFERROR(__xludf.DUMMYFUNCTION("""COMPUTED_VALUE"""),5.0)</f>
        <v>5</v>
      </c>
      <c r="K30" s="372"/>
      <c r="L30" s="372"/>
      <c r="M30" s="375">
        <f>IFERROR(__xludf.DUMMYFUNCTION("""COMPUTED_VALUE"""),200.0)</f>
        <v>200</v>
      </c>
      <c r="N30" s="374">
        <f>IFERROR(__xludf.DUMMYFUNCTION("""COMPUTED_VALUE"""),0.0)</f>
        <v>0</v>
      </c>
      <c r="O30" s="374"/>
      <c r="P30" s="374"/>
      <c r="Q30" s="374"/>
      <c r="R30" s="374"/>
      <c r="S30" s="374"/>
      <c r="T30" s="374"/>
      <c r="U30" s="374"/>
      <c r="V30" s="374"/>
      <c r="W30" s="373" t="str">
        <f>IFERROR(__xludf.DUMMYFUNCTION("""COMPUTED_VALUE"""),"")</f>
        <v/>
      </c>
      <c r="X30" s="373" t="str">
        <f>IFERROR(__xludf.DUMMYFUNCTION("""COMPUTED_VALUE"""),"")</f>
        <v/>
      </c>
      <c r="Y30" s="373" t="str">
        <f>IFERROR(__xludf.DUMMYFUNCTION("""COMPUTED_VALUE"""),"")</f>
        <v/>
      </c>
      <c r="Z30" s="374" t="str">
        <f>IFERROR(__xludf.DUMMYFUNCTION("""COMPUTED_VALUE"""),"")</f>
        <v/>
      </c>
      <c r="AA30" s="374" t="str">
        <f>IFERROR(__xludf.DUMMYFUNCTION("""COMPUTED_VALUE"""),"")</f>
        <v/>
      </c>
    </row>
    <row r="31">
      <c r="A31" s="372" t="s">
        <v>15</v>
      </c>
      <c r="B31" s="372" t="s">
        <v>1</v>
      </c>
      <c r="C31" s="372" t="s">
        <v>11</v>
      </c>
      <c r="D31" s="376" t="str">
        <f>IFERROR(__xludf.DUMMYFUNCTION("""COMPUTED_VALUE"""),"Paid")</f>
        <v>Paid</v>
      </c>
      <c r="E31" s="372" t="str">
        <f>IFERROR(__xludf.DUMMYFUNCTION("""COMPUTED_VALUE"""),"Q4")</f>
        <v>Q4</v>
      </c>
      <c r="F31" s="372" t="str">
        <f>IFERROR(__xludf.DUMMYFUNCTION("""COMPUTED_VALUE"""),"November")</f>
        <v>November</v>
      </c>
      <c r="G31" s="372" t="str">
        <f>IFERROR(__xludf.DUMMYFUNCTION("""COMPUTED_VALUE"""),"Other Inbound")</f>
        <v>Other Inbound</v>
      </c>
      <c r="H31" s="374">
        <f>IFERROR(__xludf.DUMMYFUNCTION("""COMPUTED_VALUE"""),1000.0)</f>
        <v>1000</v>
      </c>
      <c r="I31" s="372">
        <f>IFERROR(__xludf.DUMMYFUNCTION("""COMPUTED_VALUE"""),5.0)</f>
        <v>5</v>
      </c>
      <c r="J31" s="372">
        <f>IFERROR(__xludf.DUMMYFUNCTION("""COMPUTED_VALUE"""),5.0)</f>
        <v>5</v>
      </c>
      <c r="K31" s="372"/>
      <c r="L31" s="372"/>
      <c r="M31" s="375">
        <f>IFERROR(__xludf.DUMMYFUNCTION("""COMPUTED_VALUE"""),200.0)</f>
        <v>200</v>
      </c>
      <c r="N31" s="374">
        <f>IFERROR(__xludf.DUMMYFUNCTION("""COMPUTED_VALUE"""),0.0)</f>
        <v>0</v>
      </c>
      <c r="O31" s="374"/>
      <c r="P31" s="374"/>
      <c r="Q31" s="374"/>
      <c r="R31" s="374"/>
      <c r="S31" s="374"/>
      <c r="T31" s="374"/>
      <c r="U31" s="374"/>
      <c r="V31" s="374"/>
      <c r="W31" s="373" t="str">
        <f>IFERROR(__xludf.DUMMYFUNCTION("""COMPUTED_VALUE"""),"")</f>
        <v/>
      </c>
      <c r="X31" s="373" t="str">
        <f>IFERROR(__xludf.DUMMYFUNCTION("""COMPUTED_VALUE"""),"")</f>
        <v/>
      </c>
      <c r="Y31" s="373" t="str">
        <f>IFERROR(__xludf.DUMMYFUNCTION("""COMPUTED_VALUE"""),"")</f>
        <v/>
      </c>
      <c r="Z31" s="374" t="str">
        <f>IFERROR(__xludf.DUMMYFUNCTION("""COMPUTED_VALUE"""),"")</f>
        <v/>
      </c>
      <c r="AA31" s="374" t="str">
        <f>IFERROR(__xludf.DUMMYFUNCTION("""COMPUTED_VALUE"""),"")</f>
        <v/>
      </c>
    </row>
    <row r="32">
      <c r="A32" s="372" t="s">
        <v>15</v>
      </c>
      <c r="B32" s="372" t="s">
        <v>1</v>
      </c>
      <c r="C32" s="372" t="s">
        <v>11</v>
      </c>
      <c r="D32" s="376" t="str">
        <f>IFERROR(__xludf.DUMMYFUNCTION("""COMPUTED_VALUE"""),"Paid")</f>
        <v>Paid</v>
      </c>
      <c r="E32" s="372" t="str">
        <f>IFERROR(__xludf.DUMMYFUNCTION("""COMPUTED_VALUE"""),"Q4")</f>
        <v>Q4</v>
      </c>
      <c r="F32" s="372" t="str">
        <f>IFERROR(__xludf.DUMMYFUNCTION("""COMPUTED_VALUE"""),"December")</f>
        <v>December</v>
      </c>
      <c r="G32" s="372" t="str">
        <f>IFERROR(__xludf.DUMMYFUNCTION("""COMPUTED_VALUE"""),"Other Inbound")</f>
        <v>Other Inbound</v>
      </c>
      <c r="H32" s="374">
        <f>IFERROR(__xludf.DUMMYFUNCTION("""COMPUTED_VALUE"""),1000.0)</f>
        <v>1000</v>
      </c>
      <c r="I32" s="372">
        <f>IFERROR(__xludf.DUMMYFUNCTION("""COMPUTED_VALUE"""),5.0)</f>
        <v>5</v>
      </c>
      <c r="J32" s="372">
        <f>IFERROR(__xludf.DUMMYFUNCTION("""COMPUTED_VALUE"""),5.0)</f>
        <v>5</v>
      </c>
      <c r="K32" s="372"/>
      <c r="L32" s="372"/>
      <c r="M32" s="375">
        <f>IFERROR(__xludf.DUMMYFUNCTION("""COMPUTED_VALUE"""),200.0)</f>
        <v>200</v>
      </c>
      <c r="N32" s="374">
        <f>IFERROR(__xludf.DUMMYFUNCTION("""COMPUTED_VALUE"""),0.0)</f>
        <v>0</v>
      </c>
      <c r="O32" s="374"/>
      <c r="P32" s="374"/>
      <c r="Q32" s="374"/>
      <c r="R32" s="374"/>
      <c r="S32" s="374"/>
      <c r="T32" s="374"/>
      <c r="U32" s="374"/>
      <c r="V32" s="374"/>
      <c r="W32" s="373" t="str">
        <f>IFERROR(__xludf.DUMMYFUNCTION("""COMPUTED_VALUE"""),"")</f>
        <v/>
      </c>
      <c r="X32" s="373" t="str">
        <f>IFERROR(__xludf.DUMMYFUNCTION("""COMPUTED_VALUE"""),"")</f>
        <v/>
      </c>
      <c r="Y32" s="373" t="str">
        <f>IFERROR(__xludf.DUMMYFUNCTION("""COMPUTED_VALUE"""),"")</f>
        <v/>
      </c>
      <c r="Z32" s="374" t="str">
        <f>IFERROR(__xludf.DUMMYFUNCTION("""COMPUTED_VALUE"""),"")</f>
        <v/>
      </c>
      <c r="AA32" s="374" t="str">
        <f>IFERROR(__xludf.DUMMYFUNCTION("""COMPUTED_VALUE"""),"")</f>
        <v/>
      </c>
    </row>
    <row r="33">
      <c r="A33" s="372" t="s">
        <v>265</v>
      </c>
      <c r="B33" s="372" t="s">
        <v>265</v>
      </c>
      <c r="C33" s="372" t="s">
        <v>265</v>
      </c>
    </row>
    <row r="34">
      <c r="A34" s="372" t="s">
        <v>265</v>
      </c>
      <c r="B34" s="372" t="s">
        <v>265</v>
      </c>
      <c r="C34" s="372" t="s">
        <v>265</v>
      </c>
    </row>
    <row r="35">
      <c r="A35" s="372" t="s">
        <v>265</v>
      </c>
      <c r="B35" s="372" t="s">
        <v>265</v>
      </c>
      <c r="C35" s="372" t="s">
        <v>265</v>
      </c>
    </row>
    <row r="36">
      <c r="A36" s="372" t="s">
        <v>265</v>
      </c>
      <c r="B36" s="372" t="s">
        <v>265</v>
      </c>
      <c r="C36" s="372" t="s">
        <v>265</v>
      </c>
    </row>
    <row r="37">
      <c r="A37" s="372" t="s">
        <v>265</v>
      </c>
      <c r="B37" s="372" t="s">
        <v>265</v>
      </c>
      <c r="C37" s="372" t="s">
        <v>265</v>
      </c>
    </row>
    <row r="38">
      <c r="A38" s="372" t="s">
        <v>265</v>
      </c>
      <c r="B38" s="372" t="s">
        <v>265</v>
      </c>
      <c r="C38" s="372" t="s">
        <v>265</v>
      </c>
    </row>
    <row r="39">
      <c r="A39" s="372" t="s">
        <v>265</v>
      </c>
      <c r="B39" s="372" t="s">
        <v>265</v>
      </c>
      <c r="C39" s="372" t="s">
        <v>265</v>
      </c>
    </row>
    <row r="40">
      <c r="A40" s="372" t="s">
        <v>265</v>
      </c>
      <c r="B40" s="372" t="s">
        <v>265</v>
      </c>
      <c r="C40" s="372" t="s">
        <v>265</v>
      </c>
    </row>
    <row r="41">
      <c r="A41" s="372" t="s">
        <v>265</v>
      </c>
      <c r="B41" s="372" t="s">
        <v>265</v>
      </c>
      <c r="C41" s="372" t="s">
        <v>265</v>
      </c>
    </row>
    <row r="42">
      <c r="A42" s="372" t="s">
        <v>265</v>
      </c>
      <c r="B42" s="372" t="s">
        <v>265</v>
      </c>
      <c r="C42" s="372" t="s">
        <v>265</v>
      </c>
    </row>
    <row r="43">
      <c r="A43" s="372" t="s">
        <v>265</v>
      </c>
      <c r="B43" s="372" t="s">
        <v>265</v>
      </c>
      <c r="C43" s="372" t="s">
        <v>265</v>
      </c>
    </row>
    <row r="44">
      <c r="A44" s="372" t="s">
        <v>265</v>
      </c>
      <c r="B44" s="372" t="s">
        <v>265</v>
      </c>
      <c r="C44" s="372" t="s">
        <v>265</v>
      </c>
    </row>
    <row r="45">
      <c r="A45" s="372" t="s">
        <v>265</v>
      </c>
      <c r="B45" s="372" t="s">
        <v>265</v>
      </c>
      <c r="C45" s="372" t="s">
        <v>265</v>
      </c>
    </row>
    <row r="46">
      <c r="A46" s="372" t="s">
        <v>265</v>
      </c>
      <c r="B46" s="372" t="s">
        <v>265</v>
      </c>
      <c r="C46" s="372" t="s">
        <v>265</v>
      </c>
    </row>
    <row r="47">
      <c r="A47" s="372" t="s">
        <v>265</v>
      </c>
      <c r="B47" s="372" t="s">
        <v>265</v>
      </c>
      <c r="C47" s="372" t="s">
        <v>265</v>
      </c>
    </row>
    <row r="48">
      <c r="A48" s="372" t="s">
        <v>265</v>
      </c>
      <c r="B48" s="372" t="s">
        <v>265</v>
      </c>
      <c r="C48" s="372" t="s">
        <v>265</v>
      </c>
    </row>
    <row r="49">
      <c r="A49" s="372" t="s">
        <v>265</v>
      </c>
      <c r="B49" s="372" t="s">
        <v>265</v>
      </c>
      <c r="C49" s="372" t="s">
        <v>265</v>
      </c>
    </row>
    <row r="50">
      <c r="A50" s="372" t="s">
        <v>265</v>
      </c>
      <c r="B50" s="372" t="s">
        <v>265</v>
      </c>
      <c r="C50" s="372" t="s">
        <v>265</v>
      </c>
    </row>
    <row r="51">
      <c r="A51" s="372" t="s">
        <v>265</v>
      </c>
      <c r="B51" s="372" t="s">
        <v>265</v>
      </c>
      <c r="C51" s="372" t="s">
        <v>265</v>
      </c>
    </row>
    <row r="52">
      <c r="A52" s="372" t="s">
        <v>265</v>
      </c>
      <c r="B52" s="372" t="s">
        <v>265</v>
      </c>
      <c r="C52" s="372" t="s">
        <v>265</v>
      </c>
    </row>
    <row r="53">
      <c r="A53" s="372" t="s">
        <v>265</v>
      </c>
      <c r="B53" s="372" t="s">
        <v>265</v>
      </c>
      <c r="C53" s="372" t="s">
        <v>265</v>
      </c>
    </row>
    <row r="54">
      <c r="A54" s="372" t="s">
        <v>265</v>
      </c>
      <c r="B54" s="372" t="s">
        <v>265</v>
      </c>
      <c r="C54" s="372" t="s">
        <v>265</v>
      </c>
    </row>
    <row r="55">
      <c r="A55" s="372" t="s">
        <v>265</v>
      </c>
      <c r="B55" s="372" t="s">
        <v>265</v>
      </c>
      <c r="C55" s="372" t="s">
        <v>265</v>
      </c>
    </row>
    <row r="56">
      <c r="A56" s="372" t="s">
        <v>265</v>
      </c>
      <c r="B56" s="372" t="s">
        <v>265</v>
      </c>
      <c r="C56" s="372" t="s">
        <v>265</v>
      </c>
    </row>
    <row r="57">
      <c r="A57" s="372" t="s">
        <v>265</v>
      </c>
      <c r="B57" s="372" t="s">
        <v>265</v>
      </c>
      <c r="C57" s="372" t="s">
        <v>265</v>
      </c>
    </row>
    <row r="58">
      <c r="A58" s="372" t="s">
        <v>265</v>
      </c>
      <c r="B58" s="372" t="s">
        <v>265</v>
      </c>
      <c r="C58" s="372" t="s">
        <v>265</v>
      </c>
    </row>
    <row r="59">
      <c r="A59" s="372" t="s">
        <v>265</v>
      </c>
      <c r="B59" s="372" t="s">
        <v>265</v>
      </c>
      <c r="C59" s="372" t="s">
        <v>265</v>
      </c>
    </row>
    <row r="60">
      <c r="A60" s="372" t="s">
        <v>265</v>
      </c>
      <c r="B60" s="372" t="s">
        <v>265</v>
      </c>
      <c r="C60" s="372" t="s">
        <v>265</v>
      </c>
    </row>
    <row r="61">
      <c r="A61" s="372" t="s">
        <v>265</v>
      </c>
      <c r="B61" s="372" t="s">
        <v>265</v>
      </c>
      <c r="C61" s="372" t="s">
        <v>265</v>
      </c>
    </row>
    <row r="62">
      <c r="A62" s="372" t="s">
        <v>265</v>
      </c>
      <c r="B62" s="372" t="s">
        <v>265</v>
      </c>
      <c r="C62" s="372" t="s">
        <v>265</v>
      </c>
    </row>
    <row r="63">
      <c r="A63" s="372" t="s">
        <v>265</v>
      </c>
      <c r="B63" s="372" t="s">
        <v>265</v>
      </c>
      <c r="C63" s="372" t="s">
        <v>265</v>
      </c>
    </row>
    <row r="64">
      <c r="A64" s="372" t="s">
        <v>265</v>
      </c>
      <c r="B64" s="372" t="s">
        <v>265</v>
      </c>
      <c r="C64" s="372" t="s">
        <v>265</v>
      </c>
    </row>
    <row r="65">
      <c r="A65" s="372" t="s">
        <v>265</v>
      </c>
      <c r="B65" s="372" t="s">
        <v>265</v>
      </c>
      <c r="C65" s="372" t="s">
        <v>265</v>
      </c>
    </row>
    <row r="66">
      <c r="A66" s="372" t="s">
        <v>265</v>
      </c>
      <c r="B66" s="372" t="s">
        <v>265</v>
      </c>
      <c r="C66" s="372" t="s">
        <v>265</v>
      </c>
    </row>
    <row r="67">
      <c r="A67" s="372" t="s">
        <v>265</v>
      </c>
      <c r="B67" s="372" t="s">
        <v>265</v>
      </c>
      <c r="C67" s="372" t="s">
        <v>265</v>
      </c>
    </row>
    <row r="68">
      <c r="A68" s="372" t="s">
        <v>265</v>
      </c>
      <c r="B68" s="372" t="s">
        <v>265</v>
      </c>
      <c r="C68" s="372" t="s">
        <v>265</v>
      </c>
    </row>
    <row r="69">
      <c r="A69" s="372" t="s">
        <v>265</v>
      </c>
      <c r="B69" s="372" t="s">
        <v>265</v>
      </c>
      <c r="C69" s="372" t="s">
        <v>265</v>
      </c>
    </row>
    <row r="70">
      <c r="A70" s="372" t="s">
        <v>265</v>
      </c>
      <c r="B70" s="372" t="s">
        <v>265</v>
      </c>
      <c r="C70" s="372" t="s">
        <v>265</v>
      </c>
    </row>
    <row r="71">
      <c r="A71" s="372" t="s">
        <v>265</v>
      </c>
      <c r="B71" s="372" t="s">
        <v>265</v>
      </c>
      <c r="C71" s="372" t="s">
        <v>265</v>
      </c>
    </row>
    <row r="72">
      <c r="A72" s="372" t="s">
        <v>265</v>
      </c>
      <c r="B72" s="372" t="s">
        <v>265</v>
      </c>
      <c r="C72" s="372" t="s">
        <v>265</v>
      </c>
    </row>
    <row r="73">
      <c r="A73" s="372" t="s">
        <v>265</v>
      </c>
      <c r="B73" s="372" t="s">
        <v>265</v>
      </c>
      <c r="C73" s="372" t="s">
        <v>265</v>
      </c>
    </row>
    <row r="74">
      <c r="A74" s="372" t="s">
        <v>265</v>
      </c>
      <c r="B74" s="372" t="s">
        <v>265</v>
      </c>
      <c r="C74" s="372" t="s">
        <v>265</v>
      </c>
    </row>
    <row r="75">
      <c r="A75" s="372" t="s">
        <v>265</v>
      </c>
      <c r="B75" s="372" t="s">
        <v>265</v>
      </c>
      <c r="C75" s="372" t="s">
        <v>265</v>
      </c>
    </row>
    <row r="76">
      <c r="A76" s="372" t="s">
        <v>265</v>
      </c>
      <c r="B76" s="372" t="s">
        <v>265</v>
      </c>
      <c r="C76" s="372" t="s">
        <v>265</v>
      </c>
    </row>
    <row r="77">
      <c r="A77" s="372" t="s">
        <v>265</v>
      </c>
      <c r="B77" s="372" t="s">
        <v>265</v>
      </c>
      <c r="C77" s="372" t="s">
        <v>265</v>
      </c>
    </row>
    <row r="78">
      <c r="A78" s="372" t="s">
        <v>265</v>
      </c>
      <c r="B78" s="372" t="s">
        <v>265</v>
      </c>
      <c r="C78" s="372" t="s">
        <v>265</v>
      </c>
    </row>
    <row r="79">
      <c r="A79" s="372" t="s">
        <v>265</v>
      </c>
      <c r="B79" s="372" t="s">
        <v>265</v>
      </c>
      <c r="C79" s="372" t="s">
        <v>265</v>
      </c>
    </row>
    <row r="80">
      <c r="A80" s="372" t="s">
        <v>265</v>
      </c>
      <c r="B80" s="372" t="s">
        <v>265</v>
      </c>
      <c r="C80" s="372" t="s">
        <v>265</v>
      </c>
    </row>
    <row r="81">
      <c r="A81" s="372" t="s">
        <v>265</v>
      </c>
      <c r="B81" s="372" t="s">
        <v>265</v>
      </c>
      <c r="C81" s="372" t="s">
        <v>265</v>
      </c>
    </row>
    <row r="82">
      <c r="A82" s="372" t="s">
        <v>265</v>
      </c>
      <c r="B82" s="372" t="s">
        <v>265</v>
      </c>
      <c r="C82" s="372" t="s">
        <v>265</v>
      </c>
    </row>
    <row r="83">
      <c r="A83" s="372" t="s">
        <v>265</v>
      </c>
      <c r="B83" s="372" t="s">
        <v>265</v>
      </c>
      <c r="C83" s="372" t="s">
        <v>265</v>
      </c>
    </row>
    <row r="84">
      <c r="A84" s="372" t="s">
        <v>265</v>
      </c>
      <c r="B84" s="372" t="s">
        <v>265</v>
      </c>
      <c r="C84" s="372" t="s">
        <v>265</v>
      </c>
    </row>
    <row r="85">
      <c r="A85" s="372" t="s">
        <v>265</v>
      </c>
      <c r="B85" s="372" t="s">
        <v>265</v>
      </c>
      <c r="C85" s="372" t="s">
        <v>265</v>
      </c>
    </row>
    <row r="86">
      <c r="A86" s="372" t="s">
        <v>265</v>
      </c>
      <c r="B86" s="372" t="s">
        <v>265</v>
      </c>
      <c r="C86" s="372" t="s">
        <v>265</v>
      </c>
    </row>
    <row r="87">
      <c r="A87" s="372" t="s">
        <v>265</v>
      </c>
      <c r="B87" s="372" t="s">
        <v>265</v>
      </c>
      <c r="C87" s="372" t="s">
        <v>265</v>
      </c>
    </row>
    <row r="88">
      <c r="A88" s="372" t="s">
        <v>265</v>
      </c>
      <c r="B88" s="372" t="s">
        <v>265</v>
      </c>
      <c r="C88" s="372" t="s">
        <v>265</v>
      </c>
    </row>
    <row r="89">
      <c r="A89" s="372" t="s">
        <v>265</v>
      </c>
      <c r="B89" s="372" t="s">
        <v>265</v>
      </c>
      <c r="C89" s="372" t="s">
        <v>265</v>
      </c>
    </row>
    <row r="90">
      <c r="A90" s="372" t="s">
        <v>265</v>
      </c>
      <c r="B90" s="372" t="s">
        <v>265</v>
      </c>
      <c r="C90" s="372" t="s">
        <v>265</v>
      </c>
    </row>
    <row r="91">
      <c r="A91" s="372" t="s">
        <v>265</v>
      </c>
      <c r="B91" s="372" t="s">
        <v>265</v>
      </c>
      <c r="C91" s="372" t="s">
        <v>265</v>
      </c>
    </row>
    <row r="92">
      <c r="A92" s="372" t="s">
        <v>265</v>
      </c>
      <c r="B92" s="372" t="s">
        <v>265</v>
      </c>
      <c r="C92" s="372" t="s">
        <v>265</v>
      </c>
    </row>
    <row r="93">
      <c r="A93" s="372" t="s">
        <v>265</v>
      </c>
      <c r="B93" s="372" t="s">
        <v>265</v>
      </c>
      <c r="C93" s="372" t="s">
        <v>265</v>
      </c>
    </row>
    <row r="94">
      <c r="A94" s="372" t="s">
        <v>265</v>
      </c>
      <c r="B94" s="372" t="s">
        <v>265</v>
      </c>
      <c r="C94" s="372" t="s">
        <v>265</v>
      </c>
    </row>
    <row r="95">
      <c r="A95" s="372" t="s">
        <v>265</v>
      </c>
      <c r="B95" s="372" t="s">
        <v>265</v>
      </c>
      <c r="C95" s="372" t="s">
        <v>265</v>
      </c>
    </row>
    <row r="96">
      <c r="A96" s="372" t="s">
        <v>265</v>
      </c>
      <c r="B96" s="372" t="s">
        <v>265</v>
      </c>
      <c r="C96" s="372" t="s">
        <v>265</v>
      </c>
    </row>
    <row r="97">
      <c r="A97" s="372" t="s">
        <v>265</v>
      </c>
      <c r="B97" s="372" t="s">
        <v>265</v>
      </c>
      <c r="C97" s="372" t="s">
        <v>265</v>
      </c>
    </row>
    <row r="98">
      <c r="A98" s="372" t="s">
        <v>265</v>
      </c>
      <c r="B98" s="372" t="s">
        <v>265</v>
      </c>
      <c r="C98" s="372" t="s">
        <v>265</v>
      </c>
    </row>
    <row r="99">
      <c r="A99" s="372" t="s">
        <v>265</v>
      </c>
      <c r="B99" s="372" t="s">
        <v>265</v>
      </c>
      <c r="C99" s="372" t="s">
        <v>265</v>
      </c>
    </row>
    <row r="100">
      <c r="A100" s="372" t="s">
        <v>265</v>
      </c>
      <c r="B100" s="372" t="s">
        <v>265</v>
      </c>
      <c r="C100" s="372" t="s">
        <v>265</v>
      </c>
    </row>
    <row r="101">
      <c r="A101" s="372" t="s">
        <v>265</v>
      </c>
      <c r="B101" s="372" t="s">
        <v>265</v>
      </c>
      <c r="C101" s="372" t="s">
        <v>265</v>
      </c>
    </row>
    <row r="102">
      <c r="A102" s="372" t="s">
        <v>265</v>
      </c>
      <c r="B102" s="372" t="s">
        <v>265</v>
      </c>
      <c r="C102" s="372" t="s">
        <v>265</v>
      </c>
    </row>
    <row r="103">
      <c r="A103" s="372" t="s">
        <v>265</v>
      </c>
      <c r="B103" s="372" t="s">
        <v>265</v>
      </c>
      <c r="C103" s="372" t="s">
        <v>265</v>
      </c>
    </row>
    <row r="104">
      <c r="A104" s="372" t="s">
        <v>265</v>
      </c>
      <c r="B104" s="372" t="s">
        <v>265</v>
      </c>
      <c r="C104" s="372" t="s">
        <v>265</v>
      </c>
    </row>
    <row r="105">
      <c r="A105" s="372" t="s">
        <v>265</v>
      </c>
      <c r="B105" s="372" t="s">
        <v>265</v>
      </c>
      <c r="C105" s="372" t="s">
        <v>265</v>
      </c>
    </row>
    <row r="106">
      <c r="A106" s="372" t="s">
        <v>265</v>
      </c>
      <c r="B106" s="372" t="s">
        <v>265</v>
      </c>
      <c r="C106" s="372" t="s">
        <v>265</v>
      </c>
    </row>
    <row r="107">
      <c r="A107" s="372" t="s">
        <v>265</v>
      </c>
      <c r="B107" s="372" t="s">
        <v>265</v>
      </c>
      <c r="C107" s="372" t="s">
        <v>265</v>
      </c>
    </row>
    <row r="108">
      <c r="A108" s="372" t="s">
        <v>265</v>
      </c>
      <c r="B108" s="372" t="s">
        <v>265</v>
      </c>
      <c r="C108" s="372" t="s">
        <v>265</v>
      </c>
    </row>
    <row r="109">
      <c r="A109" s="372" t="s">
        <v>265</v>
      </c>
      <c r="B109" s="372" t="s">
        <v>265</v>
      </c>
      <c r="C109" s="372" t="s">
        <v>265</v>
      </c>
    </row>
    <row r="110">
      <c r="A110" s="372" t="s">
        <v>265</v>
      </c>
      <c r="B110" s="372" t="s">
        <v>265</v>
      </c>
      <c r="C110" s="372" t="s">
        <v>265</v>
      </c>
    </row>
    <row r="111">
      <c r="A111" s="372" t="s">
        <v>265</v>
      </c>
      <c r="B111" s="372" t="s">
        <v>265</v>
      </c>
      <c r="C111" s="372" t="s">
        <v>265</v>
      </c>
    </row>
    <row r="112">
      <c r="A112" s="372" t="s">
        <v>265</v>
      </c>
      <c r="B112" s="372" t="s">
        <v>265</v>
      </c>
      <c r="C112" s="372" t="s">
        <v>265</v>
      </c>
    </row>
    <row r="113">
      <c r="A113" s="372" t="s">
        <v>265</v>
      </c>
      <c r="B113" s="372" t="s">
        <v>265</v>
      </c>
      <c r="C113" s="372" t="s">
        <v>265</v>
      </c>
    </row>
    <row r="114">
      <c r="A114" s="372" t="s">
        <v>265</v>
      </c>
      <c r="B114" s="372" t="s">
        <v>265</v>
      </c>
      <c r="C114" s="372" t="s">
        <v>265</v>
      </c>
    </row>
    <row r="115">
      <c r="A115" s="372" t="s">
        <v>265</v>
      </c>
      <c r="B115" s="372" t="s">
        <v>265</v>
      </c>
      <c r="C115" s="372" t="s">
        <v>265</v>
      </c>
    </row>
    <row r="116">
      <c r="A116" s="372" t="s">
        <v>265</v>
      </c>
      <c r="B116" s="372" t="s">
        <v>265</v>
      </c>
      <c r="C116" s="372" t="s">
        <v>265</v>
      </c>
    </row>
    <row r="117">
      <c r="A117" s="372" t="s">
        <v>265</v>
      </c>
      <c r="B117" s="372" t="s">
        <v>265</v>
      </c>
      <c r="C117" s="372" t="s">
        <v>265</v>
      </c>
    </row>
    <row r="118">
      <c r="A118" s="372" t="s">
        <v>265</v>
      </c>
      <c r="B118" s="372" t="s">
        <v>265</v>
      </c>
      <c r="C118" s="372" t="s">
        <v>265</v>
      </c>
    </row>
    <row r="119">
      <c r="A119" s="372" t="s">
        <v>265</v>
      </c>
      <c r="B119" s="372" t="s">
        <v>265</v>
      </c>
      <c r="C119" s="372" t="s">
        <v>265</v>
      </c>
    </row>
    <row r="120">
      <c r="A120" s="372" t="s">
        <v>265</v>
      </c>
      <c r="B120" s="372" t="s">
        <v>265</v>
      </c>
      <c r="C120" s="372" t="s">
        <v>265</v>
      </c>
    </row>
    <row r="121">
      <c r="A121" s="372" t="s">
        <v>265</v>
      </c>
      <c r="B121" s="372" t="s">
        <v>265</v>
      </c>
      <c r="C121" s="372" t="s">
        <v>265</v>
      </c>
    </row>
    <row r="122">
      <c r="A122" s="372" t="s">
        <v>265</v>
      </c>
      <c r="B122" s="372" t="s">
        <v>265</v>
      </c>
      <c r="C122" s="372" t="s">
        <v>265</v>
      </c>
    </row>
    <row r="123">
      <c r="A123" s="372" t="s">
        <v>265</v>
      </c>
      <c r="B123" s="372" t="s">
        <v>265</v>
      </c>
      <c r="C123" s="372" t="s">
        <v>265</v>
      </c>
    </row>
    <row r="124">
      <c r="A124" s="372" t="s">
        <v>265</v>
      </c>
      <c r="B124" s="372" t="s">
        <v>265</v>
      </c>
      <c r="C124" s="372" t="s">
        <v>265</v>
      </c>
    </row>
    <row r="125">
      <c r="A125" s="372" t="s">
        <v>265</v>
      </c>
      <c r="B125" s="372" t="s">
        <v>265</v>
      </c>
      <c r="C125" s="372" t="s">
        <v>265</v>
      </c>
    </row>
    <row r="126">
      <c r="A126" s="372" t="s">
        <v>265</v>
      </c>
      <c r="B126" s="372" t="s">
        <v>265</v>
      </c>
      <c r="C126" s="372" t="s">
        <v>265</v>
      </c>
    </row>
    <row r="127">
      <c r="A127" s="372" t="s">
        <v>265</v>
      </c>
      <c r="B127" s="372" t="s">
        <v>265</v>
      </c>
      <c r="C127" s="372" t="s">
        <v>265</v>
      </c>
    </row>
    <row r="128">
      <c r="A128" s="372" t="s">
        <v>265</v>
      </c>
      <c r="B128" s="372" t="s">
        <v>265</v>
      </c>
      <c r="C128" s="372" t="s">
        <v>265</v>
      </c>
    </row>
    <row r="129">
      <c r="A129" s="372" t="s">
        <v>265</v>
      </c>
      <c r="B129" s="372" t="s">
        <v>265</v>
      </c>
      <c r="C129" s="372" t="s">
        <v>265</v>
      </c>
    </row>
    <row r="130">
      <c r="A130" s="372" t="s">
        <v>265</v>
      </c>
      <c r="B130" s="372" t="s">
        <v>265</v>
      </c>
      <c r="C130" s="372" t="s">
        <v>265</v>
      </c>
    </row>
    <row r="131">
      <c r="A131" s="372" t="s">
        <v>265</v>
      </c>
      <c r="B131" s="372" t="s">
        <v>265</v>
      </c>
      <c r="C131" s="372" t="s">
        <v>265</v>
      </c>
    </row>
    <row r="132">
      <c r="A132" s="372" t="s">
        <v>265</v>
      </c>
      <c r="B132" s="372" t="s">
        <v>265</v>
      </c>
      <c r="C132" s="372" t="s">
        <v>265</v>
      </c>
    </row>
    <row r="133">
      <c r="A133" s="372" t="s">
        <v>265</v>
      </c>
      <c r="B133" s="372" t="s">
        <v>265</v>
      </c>
      <c r="C133" s="372" t="s">
        <v>265</v>
      </c>
    </row>
    <row r="134">
      <c r="A134" s="372" t="s">
        <v>265</v>
      </c>
      <c r="B134" s="372" t="s">
        <v>265</v>
      </c>
      <c r="C134" s="372" t="s">
        <v>265</v>
      </c>
    </row>
    <row r="135">
      <c r="A135" s="372" t="s">
        <v>265</v>
      </c>
      <c r="B135" s="372" t="s">
        <v>265</v>
      </c>
      <c r="C135" s="372" t="s">
        <v>265</v>
      </c>
    </row>
    <row r="136">
      <c r="A136" s="372" t="s">
        <v>265</v>
      </c>
      <c r="B136" s="372" t="s">
        <v>265</v>
      </c>
      <c r="C136" s="372" t="s">
        <v>265</v>
      </c>
    </row>
    <row r="137">
      <c r="A137" s="372" t="s">
        <v>265</v>
      </c>
      <c r="B137" s="372" t="s">
        <v>265</v>
      </c>
      <c r="C137" s="372" t="s">
        <v>265</v>
      </c>
    </row>
    <row r="138">
      <c r="A138" s="372" t="s">
        <v>265</v>
      </c>
      <c r="B138" s="372" t="s">
        <v>265</v>
      </c>
      <c r="C138" s="372" t="s">
        <v>265</v>
      </c>
    </row>
    <row r="139">
      <c r="A139" s="372" t="s">
        <v>265</v>
      </c>
      <c r="B139" s="372" t="s">
        <v>265</v>
      </c>
      <c r="C139" s="372" t="s">
        <v>265</v>
      </c>
    </row>
    <row r="140">
      <c r="A140" s="372" t="s">
        <v>265</v>
      </c>
      <c r="B140" s="372" t="s">
        <v>265</v>
      </c>
      <c r="C140" s="372" t="s">
        <v>265</v>
      </c>
    </row>
    <row r="141">
      <c r="A141" s="372" t="s">
        <v>265</v>
      </c>
      <c r="B141" s="372" t="s">
        <v>265</v>
      </c>
      <c r="C141" s="372" t="s">
        <v>265</v>
      </c>
    </row>
    <row r="142">
      <c r="A142" s="372" t="s">
        <v>265</v>
      </c>
      <c r="B142" s="372" t="s">
        <v>265</v>
      </c>
      <c r="C142" s="372" t="s">
        <v>265</v>
      </c>
    </row>
    <row r="143">
      <c r="A143" s="372" t="s">
        <v>265</v>
      </c>
      <c r="B143" s="372" t="s">
        <v>265</v>
      </c>
      <c r="C143" s="372" t="s">
        <v>265</v>
      </c>
    </row>
    <row r="144">
      <c r="A144" s="372" t="s">
        <v>265</v>
      </c>
      <c r="B144" s="372" t="s">
        <v>265</v>
      </c>
      <c r="C144" s="372" t="s">
        <v>265</v>
      </c>
    </row>
    <row r="145">
      <c r="A145" s="372" t="s">
        <v>265</v>
      </c>
      <c r="B145" s="372" t="s">
        <v>265</v>
      </c>
      <c r="C145" s="372" t="s">
        <v>265</v>
      </c>
    </row>
    <row r="146">
      <c r="A146" s="372" t="s">
        <v>265</v>
      </c>
      <c r="B146" s="372" t="s">
        <v>265</v>
      </c>
      <c r="C146" s="372" t="s">
        <v>265</v>
      </c>
    </row>
    <row r="147">
      <c r="A147" s="372" t="s">
        <v>265</v>
      </c>
      <c r="B147" s="372" t="s">
        <v>265</v>
      </c>
      <c r="C147" s="372" t="s">
        <v>265</v>
      </c>
    </row>
    <row r="148">
      <c r="A148" s="372" t="s">
        <v>265</v>
      </c>
      <c r="B148" s="372" t="s">
        <v>265</v>
      </c>
      <c r="C148" s="372" t="s">
        <v>265</v>
      </c>
    </row>
    <row r="149">
      <c r="A149" s="372" t="s">
        <v>265</v>
      </c>
      <c r="B149" s="372" t="s">
        <v>265</v>
      </c>
      <c r="C149" s="372" t="s">
        <v>265</v>
      </c>
    </row>
    <row r="150">
      <c r="A150" s="372" t="s">
        <v>265</v>
      </c>
      <c r="B150" s="372" t="s">
        <v>265</v>
      </c>
      <c r="C150" s="372" t="s">
        <v>265</v>
      </c>
    </row>
    <row r="151">
      <c r="A151" s="372" t="s">
        <v>265</v>
      </c>
      <c r="B151" s="372" t="s">
        <v>265</v>
      </c>
      <c r="C151" s="372" t="s">
        <v>265</v>
      </c>
    </row>
    <row r="152">
      <c r="A152" s="372" t="s">
        <v>265</v>
      </c>
      <c r="B152" s="372" t="s">
        <v>265</v>
      </c>
      <c r="C152" s="372" t="s">
        <v>265</v>
      </c>
    </row>
    <row r="153">
      <c r="A153" s="372" t="s">
        <v>265</v>
      </c>
      <c r="B153" s="372" t="s">
        <v>265</v>
      </c>
      <c r="C153" s="372" t="s">
        <v>265</v>
      </c>
    </row>
    <row r="154">
      <c r="A154" s="372" t="s">
        <v>265</v>
      </c>
      <c r="B154" s="372" t="s">
        <v>265</v>
      </c>
      <c r="C154" s="372" t="s">
        <v>265</v>
      </c>
    </row>
    <row r="155">
      <c r="A155" s="372" t="s">
        <v>265</v>
      </c>
      <c r="B155" s="372" t="s">
        <v>265</v>
      </c>
      <c r="C155" s="372" t="s">
        <v>265</v>
      </c>
    </row>
    <row r="156">
      <c r="A156" s="372" t="s">
        <v>265</v>
      </c>
      <c r="B156" s="372" t="s">
        <v>265</v>
      </c>
      <c r="C156" s="372" t="s">
        <v>265</v>
      </c>
    </row>
    <row r="157">
      <c r="A157" s="372" t="s">
        <v>265</v>
      </c>
      <c r="B157" s="372" t="s">
        <v>265</v>
      </c>
      <c r="C157" s="372" t="s">
        <v>265</v>
      </c>
    </row>
    <row r="158">
      <c r="A158" s="372" t="s">
        <v>265</v>
      </c>
      <c r="B158" s="372" t="s">
        <v>265</v>
      </c>
      <c r="C158" s="372" t="s">
        <v>265</v>
      </c>
    </row>
    <row r="159">
      <c r="A159" s="372" t="s">
        <v>265</v>
      </c>
      <c r="B159" s="372" t="s">
        <v>265</v>
      </c>
      <c r="C159" s="372" t="s">
        <v>265</v>
      </c>
    </row>
    <row r="160">
      <c r="A160" s="372" t="s">
        <v>265</v>
      </c>
      <c r="B160" s="372" t="s">
        <v>265</v>
      </c>
      <c r="C160" s="372" t="s">
        <v>265</v>
      </c>
    </row>
    <row r="161">
      <c r="A161" s="372" t="s">
        <v>265</v>
      </c>
      <c r="B161" s="372" t="s">
        <v>265</v>
      </c>
      <c r="C161" s="372" t="s">
        <v>265</v>
      </c>
    </row>
    <row r="162">
      <c r="A162" s="372" t="s">
        <v>265</v>
      </c>
      <c r="B162" s="372" t="s">
        <v>265</v>
      </c>
      <c r="C162" s="372" t="s">
        <v>265</v>
      </c>
    </row>
    <row r="163">
      <c r="A163" s="372" t="s">
        <v>265</v>
      </c>
      <c r="B163" s="372" t="s">
        <v>265</v>
      </c>
      <c r="C163" s="372" t="s">
        <v>265</v>
      </c>
    </row>
    <row r="164">
      <c r="A164" s="372" t="s">
        <v>265</v>
      </c>
      <c r="B164" s="372" t="s">
        <v>265</v>
      </c>
      <c r="C164" s="372" t="s">
        <v>265</v>
      </c>
    </row>
    <row r="165">
      <c r="A165" s="372" t="s">
        <v>265</v>
      </c>
      <c r="B165" s="372" t="s">
        <v>265</v>
      </c>
      <c r="C165" s="372" t="s">
        <v>265</v>
      </c>
    </row>
    <row r="166">
      <c r="A166" s="372" t="s">
        <v>265</v>
      </c>
      <c r="B166" s="372" t="s">
        <v>265</v>
      </c>
      <c r="C166" s="372" t="s">
        <v>265</v>
      </c>
    </row>
    <row r="167">
      <c r="A167" s="372" t="s">
        <v>265</v>
      </c>
      <c r="B167" s="372" t="s">
        <v>265</v>
      </c>
      <c r="C167" s="372" t="s">
        <v>265</v>
      </c>
    </row>
    <row r="168">
      <c r="A168" s="372" t="s">
        <v>265</v>
      </c>
      <c r="B168" s="372" t="s">
        <v>265</v>
      </c>
      <c r="C168" s="372" t="s">
        <v>265</v>
      </c>
    </row>
    <row r="169">
      <c r="A169" s="372" t="s">
        <v>265</v>
      </c>
      <c r="B169" s="372" t="s">
        <v>265</v>
      </c>
      <c r="C169" s="372" t="s">
        <v>265</v>
      </c>
    </row>
    <row r="170">
      <c r="A170" s="372" t="s">
        <v>265</v>
      </c>
      <c r="B170" s="372" t="s">
        <v>265</v>
      </c>
      <c r="C170" s="372" t="s">
        <v>265</v>
      </c>
    </row>
    <row r="171">
      <c r="A171" s="372" t="s">
        <v>265</v>
      </c>
      <c r="B171" s="372" t="s">
        <v>265</v>
      </c>
      <c r="C171" s="372" t="s">
        <v>265</v>
      </c>
    </row>
    <row r="172">
      <c r="A172" s="372" t="s">
        <v>265</v>
      </c>
      <c r="B172" s="372" t="s">
        <v>265</v>
      </c>
      <c r="C172" s="372" t="s">
        <v>265</v>
      </c>
    </row>
    <row r="173">
      <c r="A173" s="372" t="s">
        <v>265</v>
      </c>
      <c r="B173" s="372" t="s">
        <v>265</v>
      </c>
      <c r="C173" s="372" t="s">
        <v>265</v>
      </c>
    </row>
    <row r="174">
      <c r="A174" s="372" t="s">
        <v>265</v>
      </c>
      <c r="B174" s="372" t="s">
        <v>265</v>
      </c>
      <c r="C174" s="372" t="s">
        <v>265</v>
      </c>
    </row>
    <row r="175">
      <c r="A175" s="372" t="s">
        <v>265</v>
      </c>
      <c r="B175" s="372" t="s">
        <v>265</v>
      </c>
      <c r="C175" s="372" t="s">
        <v>265</v>
      </c>
    </row>
    <row r="176">
      <c r="A176" s="372" t="s">
        <v>265</v>
      </c>
      <c r="B176" s="372" t="s">
        <v>265</v>
      </c>
      <c r="C176" s="372" t="s">
        <v>265</v>
      </c>
    </row>
    <row r="177">
      <c r="A177" s="372" t="s">
        <v>265</v>
      </c>
      <c r="B177" s="372" t="s">
        <v>265</v>
      </c>
      <c r="C177" s="372" t="s">
        <v>265</v>
      </c>
    </row>
    <row r="178">
      <c r="A178" s="372" t="s">
        <v>265</v>
      </c>
      <c r="B178" s="372" t="s">
        <v>265</v>
      </c>
      <c r="C178" s="372" t="s">
        <v>265</v>
      </c>
    </row>
    <row r="179">
      <c r="A179" s="372" t="s">
        <v>265</v>
      </c>
      <c r="B179" s="372" t="s">
        <v>265</v>
      </c>
      <c r="C179" s="372" t="s">
        <v>265</v>
      </c>
    </row>
    <row r="180">
      <c r="A180" s="372" t="s">
        <v>265</v>
      </c>
      <c r="B180" s="372" t="s">
        <v>265</v>
      </c>
      <c r="C180" s="372" t="s">
        <v>265</v>
      </c>
    </row>
    <row r="181">
      <c r="A181" s="372" t="s">
        <v>265</v>
      </c>
      <c r="B181" s="372" t="s">
        <v>265</v>
      </c>
      <c r="C181" s="372" t="s">
        <v>265</v>
      </c>
    </row>
    <row r="182">
      <c r="A182" s="372" t="s">
        <v>265</v>
      </c>
      <c r="B182" s="372" t="s">
        <v>265</v>
      </c>
      <c r="C182" s="372" t="s">
        <v>265</v>
      </c>
    </row>
    <row r="183">
      <c r="A183" s="372" t="s">
        <v>265</v>
      </c>
      <c r="B183" s="372" t="s">
        <v>265</v>
      </c>
      <c r="C183" s="372" t="s">
        <v>265</v>
      </c>
    </row>
    <row r="184">
      <c r="A184" s="372" t="s">
        <v>265</v>
      </c>
      <c r="B184" s="372" t="s">
        <v>265</v>
      </c>
      <c r="C184" s="372" t="s">
        <v>265</v>
      </c>
    </row>
    <row r="185">
      <c r="A185" s="372" t="s">
        <v>265</v>
      </c>
      <c r="B185" s="372" t="s">
        <v>265</v>
      </c>
      <c r="C185" s="372" t="s">
        <v>265</v>
      </c>
    </row>
    <row r="186">
      <c r="A186" s="372" t="s">
        <v>265</v>
      </c>
      <c r="B186" s="372" t="s">
        <v>265</v>
      </c>
      <c r="C186" s="372" t="s">
        <v>265</v>
      </c>
    </row>
    <row r="187">
      <c r="A187" s="372" t="s">
        <v>265</v>
      </c>
      <c r="B187" s="372" t="s">
        <v>265</v>
      </c>
      <c r="C187" s="372" t="s">
        <v>265</v>
      </c>
    </row>
    <row r="188">
      <c r="A188" s="372" t="s">
        <v>265</v>
      </c>
      <c r="B188" s="372" t="s">
        <v>265</v>
      </c>
      <c r="C188" s="372" t="s">
        <v>265</v>
      </c>
    </row>
    <row r="189">
      <c r="A189" s="372" t="s">
        <v>265</v>
      </c>
      <c r="B189" s="372" t="s">
        <v>265</v>
      </c>
      <c r="C189" s="372" t="s">
        <v>265</v>
      </c>
    </row>
    <row r="190">
      <c r="A190" s="372" t="s">
        <v>265</v>
      </c>
      <c r="B190" s="372" t="s">
        <v>265</v>
      </c>
      <c r="C190" s="372" t="s">
        <v>265</v>
      </c>
    </row>
    <row r="191">
      <c r="A191" s="372" t="s">
        <v>265</v>
      </c>
      <c r="B191" s="372" t="s">
        <v>265</v>
      </c>
      <c r="C191" s="372" t="s">
        <v>265</v>
      </c>
    </row>
    <row r="192">
      <c r="A192" s="372" t="s">
        <v>265</v>
      </c>
      <c r="B192" s="372" t="s">
        <v>265</v>
      </c>
      <c r="C192" s="372" t="s">
        <v>265</v>
      </c>
    </row>
    <row r="193">
      <c r="A193" s="372" t="s">
        <v>265</v>
      </c>
      <c r="B193" s="372" t="s">
        <v>265</v>
      </c>
      <c r="C193" s="372" t="s">
        <v>265</v>
      </c>
    </row>
    <row r="194">
      <c r="A194" s="372" t="s">
        <v>265</v>
      </c>
      <c r="B194" s="372" t="s">
        <v>265</v>
      </c>
      <c r="C194" s="372" t="s">
        <v>265</v>
      </c>
    </row>
    <row r="195">
      <c r="A195" s="372" t="s">
        <v>265</v>
      </c>
      <c r="B195" s="372" t="s">
        <v>265</v>
      </c>
      <c r="C195" s="372" t="s">
        <v>265</v>
      </c>
    </row>
    <row r="196">
      <c r="A196" s="372" t="s">
        <v>265</v>
      </c>
      <c r="B196" s="372" t="s">
        <v>265</v>
      </c>
      <c r="C196" s="372" t="s">
        <v>265</v>
      </c>
    </row>
    <row r="197">
      <c r="A197" s="372" t="s">
        <v>265</v>
      </c>
      <c r="B197" s="372" t="s">
        <v>265</v>
      </c>
      <c r="C197" s="372" t="s">
        <v>265</v>
      </c>
    </row>
    <row r="198">
      <c r="A198" s="372" t="s">
        <v>265</v>
      </c>
      <c r="B198" s="372" t="s">
        <v>265</v>
      </c>
      <c r="C198" s="372" t="s">
        <v>265</v>
      </c>
    </row>
    <row r="199">
      <c r="A199" s="372" t="s">
        <v>265</v>
      </c>
      <c r="B199" s="372" t="s">
        <v>265</v>
      </c>
      <c r="C199" s="372" t="s">
        <v>265</v>
      </c>
    </row>
    <row r="200">
      <c r="A200" s="372" t="s">
        <v>265</v>
      </c>
      <c r="B200" s="372" t="s">
        <v>265</v>
      </c>
      <c r="C200" s="372" t="s">
        <v>265</v>
      </c>
    </row>
    <row r="201">
      <c r="A201" s="372" t="s">
        <v>265</v>
      </c>
      <c r="B201" s="372" t="s">
        <v>265</v>
      </c>
      <c r="C201" s="372" t="s">
        <v>265</v>
      </c>
    </row>
    <row r="202">
      <c r="A202" s="372" t="s">
        <v>265</v>
      </c>
      <c r="B202" s="372" t="s">
        <v>265</v>
      </c>
      <c r="C202" s="372" t="s">
        <v>265</v>
      </c>
    </row>
    <row r="203">
      <c r="A203" s="372" t="s">
        <v>265</v>
      </c>
      <c r="B203" s="372" t="s">
        <v>265</v>
      </c>
      <c r="C203" s="372" t="s">
        <v>265</v>
      </c>
    </row>
    <row r="204">
      <c r="A204" s="372" t="s">
        <v>265</v>
      </c>
      <c r="B204" s="372" t="s">
        <v>265</v>
      </c>
      <c r="C204" s="372" t="s">
        <v>265</v>
      </c>
    </row>
    <row r="205">
      <c r="A205" s="372" t="s">
        <v>265</v>
      </c>
      <c r="B205" s="372" t="s">
        <v>265</v>
      </c>
      <c r="C205" s="372" t="s">
        <v>265</v>
      </c>
    </row>
    <row r="206">
      <c r="A206" s="372" t="s">
        <v>265</v>
      </c>
      <c r="B206" s="372" t="s">
        <v>265</v>
      </c>
      <c r="C206" s="372" t="s">
        <v>265</v>
      </c>
    </row>
    <row r="207">
      <c r="A207" s="372" t="s">
        <v>265</v>
      </c>
      <c r="B207" s="372" t="s">
        <v>265</v>
      </c>
      <c r="C207" s="372" t="s">
        <v>265</v>
      </c>
    </row>
    <row r="208">
      <c r="A208" s="372" t="s">
        <v>265</v>
      </c>
      <c r="B208" s="372" t="s">
        <v>265</v>
      </c>
      <c r="C208" s="372" t="s">
        <v>265</v>
      </c>
    </row>
    <row r="209">
      <c r="A209" s="372" t="s">
        <v>265</v>
      </c>
      <c r="B209" s="372" t="s">
        <v>265</v>
      </c>
      <c r="C209" s="372" t="s">
        <v>265</v>
      </c>
    </row>
    <row r="210">
      <c r="A210" s="372" t="s">
        <v>265</v>
      </c>
      <c r="B210" s="372" t="s">
        <v>265</v>
      </c>
      <c r="C210" s="372" t="s">
        <v>265</v>
      </c>
    </row>
    <row r="211">
      <c r="A211" s="372" t="s">
        <v>265</v>
      </c>
      <c r="B211" s="372" t="s">
        <v>265</v>
      </c>
      <c r="C211" s="372" t="s">
        <v>265</v>
      </c>
    </row>
    <row r="212">
      <c r="A212" s="372" t="s">
        <v>265</v>
      </c>
      <c r="B212" s="372" t="s">
        <v>265</v>
      </c>
      <c r="C212" s="372" t="s">
        <v>265</v>
      </c>
    </row>
    <row r="213">
      <c r="A213" s="372" t="s">
        <v>265</v>
      </c>
      <c r="B213" s="372" t="s">
        <v>265</v>
      </c>
      <c r="C213" s="372" t="s">
        <v>265</v>
      </c>
    </row>
    <row r="214">
      <c r="A214" s="372" t="s">
        <v>265</v>
      </c>
      <c r="B214" s="372" t="s">
        <v>265</v>
      </c>
      <c r="C214" s="372" t="s">
        <v>265</v>
      </c>
    </row>
    <row r="215">
      <c r="A215" s="372" t="s">
        <v>265</v>
      </c>
      <c r="B215" s="372" t="s">
        <v>265</v>
      </c>
      <c r="C215" s="372" t="s">
        <v>265</v>
      </c>
    </row>
    <row r="216">
      <c r="A216" s="372" t="s">
        <v>265</v>
      </c>
      <c r="B216" s="372" t="s">
        <v>265</v>
      </c>
      <c r="C216" s="372" t="s">
        <v>265</v>
      </c>
    </row>
    <row r="217">
      <c r="A217" s="372" t="s">
        <v>265</v>
      </c>
      <c r="B217" s="372" t="s">
        <v>265</v>
      </c>
      <c r="C217" s="372" t="s">
        <v>265</v>
      </c>
    </row>
    <row r="218">
      <c r="A218" s="372" t="s">
        <v>265</v>
      </c>
      <c r="B218" s="372" t="s">
        <v>265</v>
      </c>
      <c r="C218" s="372" t="s">
        <v>265</v>
      </c>
    </row>
    <row r="219">
      <c r="A219" s="372" t="s">
        <v>265</v>
      </c>
      <c r="B219" s="372" t="s">
        <v>265</v>
      </c>
      <c r="C219" s="372" t="s">
        <v>265</v>
      </c>
    </row>
    <row r="220">
      <c r="A220" s="372" t="s">
        <v>265</v>
      </c>
      <c r="B220" s="372" t="s">
        <v>265</v>
      </c>
      <c r="C220" s="372" t="s">
        <v>265</v>
      </c>
    </row>
    <row r="221">
      <c r="A221" s="372" t="s">
        <v>265</v>
      </c>
      <c r="B221" s="372" t="s">
        <v>265</v>
      </c>
      <c r="C221" s="372" t="s">
        <v>265</v>
      </c>
    </row>
    <row r="222">
      <c r="A222" s="372" t="s">
        <v>265</v>
      </c>
      <c r="B222" s="372" t="s">
        <v>265</v>
      </c>
      <c r="C222" s="372" t="s">
        <v>265</v>
      </c>
    </row>
    <row r="223">
      <c r="A223" s="372" t="s">
        <v>265</v>
      </c>
      <c r="B223" s="372" t="s">
        <v>265</v>
      </c>
      <c r="C223" s="372" t="s">
        <v>265</v>
      </c>
    </row>
    <row r="224">
      <c r="A224" s="372" t="s">
        <v>265</v>
      </c>
      <c r="B224" s="372" t="s">
        <v>265</v>
      </c>
      <c r="C224" s="372" t="s">
        <v>265</v>
      </c>
    </row>
    <row r="225">
      <c r="A225" s="372" t="s">
        <v>265</v>
      </c>
      <c r="B225" s="372" t="s">
        <v>265</v>
      </c>
      <c r="C225" s="372" t="s">
        <v>265</v>
      </c>
    </row>
    <row r="226">
      <c r="A226" s="372" t="s">
        <v>265</v>
      </c>
      <c r="B226" s="372" t="s">
        <v>265</v>
      </c>
      <c r="C226" s="372" t="s">
        <v>265</v>
      </c>
    </row>
    <row r="227">
      <c r="A227" s="372" t="s">
        <v>265</v>
      </c>
      <c r="B227" s="372" t="s">
        <v>265</v>
      </c>
      <c r="C227" s="372" t="s">
        <v>265</v>
      </c>
    </row>
    <row r="228">
      <c r="A228" s="372" t="s">
        <v>265</v>
      </c>
      <c r="B228" s="372" t="s">
        <v>265</v>
      </c>
      <c r="C228" s="372" t="s">
        <v>265</v>
      </c>
    </row>
    <row r="229">
      <c r="A229" s="372" t="s">
        <v>265</v>
      </c>
      <c r="B229" s="372" t="s">
        <v>265</v>
      </c>
      <c r="C229" s="372" t="s">
        <v>265</v>
      </c>
    </row>
    <row r="230">
      <c r="A230" s="372" t="s">
        <v>265</v>
      </c>
      <c r="B230" s="372" t="s">
        <v>265</v>
      </c>
      <c r="C230" s="372" t="s">
        <v>265</v>
      </c>
    </row>
    <row r="231">
      <c r="A231" s="372" t="s">
        <v>265</v>
      </c>
      <c r="B231" s="372" t="s">
        <v>265</v>
      </c>
      <c r="C231" s="372" t="s">
        <v>265</v>
      </c>
    </row>
    <row r="232">
      <c r="A232" s="372" t="s">
        <v>265</v>
      </c>
      <c r="B232" s="372" t="s">
        <v>265</v>
      </c>
      <c r="C232" s="372" t="s">
        <v>265</v>
      </c>
    </row>
    <row r="233">
      <c r="A233" s="372" t="s">
        <v>265</v>
      </c>
      <c r="B233" s="372" t="s">
        <v>265</v>
      </c>
      <c r="C233" s="372" t="s">
        <v>265</v>
      </c>
    </row>
    <row r="234">
      <c r="A234" s="372" t="s">
        <v>265</v>
      </c>
      <c r="B234" s="372" t="s">
        <v>265</v>
      </c>
      <c r="C234" s="372" t="s">
        <v>265</v>
      </c>
    </row>
    <row r="235">
      <c r="A235" s="372" t="s">
        <v>265</v>
      </c>
      <c r="B235" s="372" t="s">
        <v>265</v>
      </c>
      <c r="C235" s="372" t="s">
        <v>265</v>
      </c>
    </row>
    <row r="236">
      <c r="A236" s="372" t="s">
        <v>265</v>
      </c>
      <c r="B236" s="372" t="s">
        <v>265</v>
      </c>
      <c r="C236" s="372" t="s">
        <v>265</v>
      </c>
    </row>
    <row r="237">
      <c r="A237" s="372" t="s">
        <v>265</v>
      </c>
      <c r="B237" s="372" t="s">
        <v>265</v>
      </c>
      <c r="C237" s="372" t="s">
        <v>265</v>
      </c>
    </row>
    <row r="238">
      <c r="A238" s="372" t="s">
        <v>265</v>
      </c>
      <c r="B238" s="372" t="s">
        <v>265</v>
      </c>
      <c r="C238" s="372" t="s">
        <v>265</v>
      </c>
    </row>
    <row r="239">
      <c r="A239" s="372" t="s">
        <v>265</v>
      </c>
      <c r="B239" s="372" t="s">
        <v>265</v>
      </c>
      <c r="C239" s="372" t="s">
        <v>265</v>
      </c>
    </row>
    <row r="240">
      <c r="A240" s="372" t="s">
        <v>265</v>
      </c>
      <c r="B240" s="372" t="s">
        <v>265</v>
      </c>
      <c r="C240" s="372" t="s">
        <v>265</v>
      </c>
    </row>
    <row r="241">
      <c r="A241" s="372" t="s">
        <v>265</v>
      </c>
      <c r="B241" s="372" t="s">
        <v>265</v>
      </c>
      <c r="C241" s="372" t="s">
        <v>265</v>
      </c>
    </row>
    <row r="242">
      <c r="A242" s="372" t="s">
        <v>265</v>
      </c>
      <c r="B242" s="372" t="s">
        <v>265</v>
      </c>
      <c r="C242" s="372" t="s">
        <v>265</v>
      </c>
    </row>
    <row r="243">
      <c r="A243" s="372" t="s">
        <v>265</v>
      </c>
      <c r="B243" s="372" t="s">
        <v>265</v>
      </c>
      <c r="C243" s="372" t="s">
        <v>265</v>
      </c>
    </row>
    <row r="244">
      <c r="A244" s="372" t="s">
        <v>265</v>
      </c>
      <c r="B244" s="372" t="s">
        <v>265</v>
      </c>
      <c r="C244" s="372" t="s">
        <v>265</v>
      </c>
    </row>
    <row r="245">
      <c r="A245" s="372" t="s">
        <v>265</v>
      </c>
      <c r="B245" s="372" t="s">
        <v>265</v>
      </c>
      <c r="C245" s="372" t="s">
        <v>265</v>
      </c>
    </row>
    <row r="246">
      <c r="A246" s="372" t="s">
        <v>265</v>
      </c>
      <c r="B246" s="372" t="s">
        <v>265</v>
      </c>
      <c r="C246" s="372" t="s">
        <v>265</v>
      </c>
    </row>
    <row r="247">
      <c r="A247" s="372" t="s">
        <v>265</v>
      </c>
      <c r="B247" s="372" t="s">
        <v>265</v>
      </c>
      <c r="C247" s="372" t="s">
        <v>265</v>
      </c>
    </row>
    <row r="248">
      <c r="A248" s="372" t="s">
        <v>265</v>
      </c>
      <c r="B248" s="372" t="s">
        <v>265</v>
      </c>
      <c r="C248" s="372" t="s">
        <v>265</v>
      </c>
    </row>
    <row r="249">
      <c r="A249" s="372" t="s">
        <v>265</v>
      </c>
      <c r="B249" s="372" t="s">
        <v>265</v>
      </c>
      <c r="C249" s="372" t="s">
        <v>265</v>
      </c>
    </row>
    <row r="250">
      <c r="A250" s="372" t="s">
        <v>265</v>
      </c>
      <c r="B250" s="372" t="s">
        <v>265</v>
      </c>
      <c r="C250" s="372" t="s">
        <v>265</v>
      </c>
    </row>
    <row r="251">
      <c r="A251" s="372" t="s">
        <v>265</v>
      </c>
      <c r="B251" s="372" t="s">
        <v>265</v>
      </c>
      <c r="C251" s="372" t="s">
        <v>265</v>
      </c>
    </row>
    <row r="252">
      <c r="A252" s="372" t="s">
        <v>265</v>
      </c>
      <c r="B252" s="372" t="s">
        <v>265</v>
      </c>
      <c r="C252" s="372" t="s">
        <v>265</v>
      </c>
    </row>
    <row r="253">
      <c r="A253" s="372" t="s">
        <v>265</v>
      </c>
      <c r="B253" s="372" t="s">
        <v>265</v>
      </c>
      <c r="C253" s="372" t="s">
        <v>265</v>
      </c>
    </row>
    <row r="254">
      <c r="A254" s="372" t="s">
        <v>265</v>
      </c>
      <c r="B254" s="372" t="s">
        <v>265</v>
      </c>
      <c r="C254" s="372" t="s">
        <v>265</v>
      </c>
    </row>
    <row r="255">
      <c r="A255" s="372" t="s">
        <v>265</v>
      </c>
      <c r="B255" s="372" t="s">
        <v>265</v>
      </c>
      <c r="C255" s="372" t="s">
        <v>265</v>
      </c>
    </row>
    <row r="256">
      <c r="A256" s="372" t="s">
        <v>265</v>
      </c>
      <c r="B256" s="372" t="s">
        <v>265</v>
      </c>
      <c r="C256" s="372" t="s">
        <v>265</v>
      </c>
    </row>
    <row r="257">
      <c r="A257" s="372" t="s">
        <v>265</v>
      </c>
      <c r="B257" s="372" t="s">
        <v>265</v>
      </c>
      <c r="C257" s="372" t="s">
        <v>265</v>
      </c>
    </row>
    <row r="258">
      <c r="A258" s="372" t="s">
        <v>265</v>
      </c>
      <c r="B258" s="372" t="s">
        <v>265</v>
      </c>
      <c r="C258" s="372" t="s">
        <v>265</v>
      </c>
    </row>
    <row r="259">
      <c r="A259" s="372" t="s">
        <v>265</v>
      </c>
      <c r="B259" s="372" t="s">
        <v>265</v>
      </c>
      <c r="C259" s="372" t="s">
        <v>265</v>
      </c>
    </row>
    <row r="260">
      <c r="A260" s="372" t="s">
        <v>265</v>
      </c>
      <c r="B260" s="372" t="s">
        <v>265</v>
      </c>
      <c r="C260" s="372" t="s">
        <v>265</v>
      </c>
    </row>
    <row r="261">
      <c r="A261" s="372" t="s">
        <v>265</v>
      </c>
      <c r="B261" s="372" t="s">
        <v>265</v>
      </c>
      <c r="C261" s="372" t="s">
        <v>265</v>
      </c>
    </row>
    <row r="262">
      <c r="A262" s="372" t="s">
        <v>265</v>
      </c>
      <c r="B262" s="372" t="s">
        <v>265</v>
      </c>
      <c r="C262" s="372" t="s">
        <v>265</v>
      </c>
    </row>
    <row r="263">
      <c r="A263" s="372" t="s">
        <v>265</v>
      </c>
      <c r="B263" s="372" t="s">
        <v>265</v>
      </c>
      <c r="C263" s="372" t="s">
        <v>265</v>
      </c>
    </row>
    <row r="264">
      <c r="A264" s="372" t="s">
        <v>265</v>
      </c>
      <c r="B264" s="372" t="s">
        <v>265</v>
      </c>
      <c r="C264" s="372" t="s">
        <v>265</v>
      </c>
    </row>
    <row r="265">
      <c r="A265" s="372" t="s">
        <v>265</v>
      </c>
      <c r="B265" s="372" t="s">
        <v>265</v>
      </c>
      <c r="C265" s="372" t="s">
        <v>265</v>
      </c>
    </row>
    <row r="266">
      <c r="A266" s="372" t="s">
        <v>265</v>
      </c>
      <c r="B266" s="372" t="s">
        <v>265</v>
      </c>
      <c r="C266" s="372" t="s">
        <v>265</v>
      </c>
    </row>
    <row r="267">
      <c r="A267" s="372" t="s">
        <v>265</v>
      </c>
      <c r="B267" s="372" t="s">
        <v>265</v>
      </c>
      <c r="C267" s="372" t="s">
        <v>265</v>
      </c>
    </row>
    <row r="268">
      <c r="A268" s="372" t="s">
        <v>265</v>
      </c>
      <c r="B268" s="372" t="s">
        <v>265</v>
      </c>
      <c r="C268" s="372" t="s">
        <v>265</v>
      </c>
    </row>
    <row r="269">
      <c r="A269" s="372" t="s">
        <v>265</v>
      </c>
      <c r="B269" s="372" t="s">
        <v>265</v>
      </c>
      <c r="C269" s="372" t="s">
        <v>265</v>
      </c>
    </row>
    <row r="270">
      <c r="A270" s="372" t="s">
        <v>265</v>
      </c>
      <c r="B270" s="372" t="s">
        <v>265</v>
      </c>
      <c r="C270" s="372" t="s">
        <v>265</v>
      </c>
    </row>
    <row r="271">
      <c r="A271" s="372" t="s">
        <v>265</v>
      </c>
      <c r="B271" s="372" t="s">
        <v>265</v>
      </c>
      <c r="C271" s="372" t="s">
        <v>265</v>
      </c>
    </row>
    <row r="272">
      <c r="A272" s="372" t="s">
        <v>265</v>
      </c>
      <c r="B272" s="372" t="s">
        <v>265</v>
      </c>
      <c r="C272" s="372" t="s">
        <v>265</v>
      </c>
    </row>
    <row r="273">
      <c r="A273" s="372" t="s">
        <v>265</v>
      </c>
      <c r="B273" s="372" t="s">
        <v>265</v>
      </c>
      <c r="C273" s="372" t="s">
        <v>265</v>
      </c>
    </row>
    <row r="274">
      <c r="A274" s="372" t="s">
        <v>265</v>
      </c>
      <c r="B274" s="372" t="s">
        <v>265</v>
      </c>
      <c r="C274" s="372" t="s">
        <v>265</v>
      </c>
    </row>
    <row r="275">
      <c r="A275" s="372" t="s">
        <v>265</v>
      </c>
      <c r="B275" s="372" t="s">
        <v>265</v>
      </c>
      <c r="C275" s="372" t="s">
        <v>265</v>
      </c>
    </row>
    <row r="276">
      <c r="A276" s="372" t="s">
        <v>265</v>
      </c>
      <c r="B276" s="372" t="s">
        <v>265</v>
      </c>
      <c r="C276" s="372" t="s">
        <v>265</v>
      </c>
    </row>
    <row r="277">
      <c r="A277" s="372" t="s">
        <v>265</v>
      </c>
      <c r="B277" s="372" t="s">
        <v>265</v>
      </c>
      <c r="C277" s="372" t="s">
        <v>265</v>
      </c>
    </row>
    <row r="278">
      <c r="A278" s="372" t="s">
        <v>265</v>
      </c>
      <c r="B278" s="372" t="s">
        <v>265</v>
      </c>
      <c r="C278" s="372" t="s">
        <v>265</v>
      </c>
    </row>
    <row r="279">
      <c r="A279" s="372" t="s">
        <v>265</v>
      </c>
      <c r="B279" s="372" t="s">
        <v>265</v>
      </c>
      <c r="C279" s="372" t="s">
        <v>265</v>
      </c>
    </row>
    <row r="280">
      <c r="A280" s="372" t="s">
        <v>265</v>
      </c>
      <c r="B280" s="372" t="s">
        <v>265</v>
      </c>
      <c r="C280" s="372" t="s">
        <v>265</v>
      </c>
    </row>
    <row r="281">
      <c r="A281" s="372" t="s">
        <v>265</v>
      </c>
      <c r="B281" s="372" t="s">
        <v>265</v>
      </c>
      <c r="C281" s="372" t="s">
        <v>265</v>
      </c>
    </row>
    <row r="282">
      <c r="A282" s="372" t="s">
        <v>265</v>
      </c>
      <c r="B282" s="372" t="s">
        <v>265</v>
      </c>
      <c r="C282" s="372" t="s">
        <v>265</v>
      </c>
    </row>
    <row r="283">
      <c r="A283" s="372" t="s">
        <v>265</v>
      </c>
      <c r="B283" s="372" t="s">
        <v>265</v>
      </c>
      <c r="C283" s="372" t="s">
        <v>265</v>
      </c>
    </row>
    <row r="284">
      <c r="A284" s="372" t="s">
        <v>265</v>
      </c>
      <c r="B284" s="372" t="s">
        <v>265</v>
      </c>
      <c r="C284" s="372" t="s">
        <v>265</v>
      </c>
    </row>
    <row r="285">
      <c r="A285" s="372" t="s">
        <v>265</v>
      </c>
      <c r="B285" s="372" t="s">
        <v>265</v>
      </c>
      <c r="C285" s="372" t="s">
        <v>265</v>
      </c>
    </row>
    <row r="286">
      <c r="A286" s="372" t="s">
        <v>265</v>
      </c>
      <c r="B286" s="372" t="s">
        <v>265</v>
      </c>
      <c r="C286" s="372" t="s">
        <v>265</v>
      </c>
    </row>
    <row r="287">
      <c r="A287" s="372" t="s">
        <v>265</v>
      </c>
      <c r="B287" s="372" t="s">
        <v>265</v>
      </c>
      <c r="C287" s="372" t="s">
        <v>265</v>
      </c>
    </row>
    <row r="288">
      <c r="A288" s="372" t="s">
        <v>265</v>
      </c>
      <c r="B288" s="372" t="s">
        <v>265</v>
      </c>
      <c r="C288" s="372" t="s">
        <v>265</v>
      </c>
    </row>
    <row r="289">
      <c r="A289" s="372" t="s">
        <v>265</v>
      </c>
      <c r="B289" s="372" t="s">
        <v>265</v>
      </c>
      <c r="C289" s="372" t="s">
        <v>265</v>
      </c>
    </row>
    <row r="290">
      <c r="A290" s="372" t="s">
        <v>265</v>
      </c>
      <c r="B290" s="372" t="s">
        <v>265</v>
      </c>
      <c r="C290" s="372" t="s">
        <v>265</v>
      </c>
    </row>
    <row r="291">
      <c r="A291" s="372" t="s">
        <v>265</v>
      </c>
      <c r="B291" s="372" t="s">
        <v>265</v>
      </c>
      <c r="C291" s="372" t="s">
        <v>265</v>
      </c>
    </row>
    <row r="292">
      <c r="A292" s="372" t="s">
        <v>265</v>
      </c>
      <c r="B292" s="372" t="s">
        <v>265</v>
      </c>
      <c r="C292" s="372" t="s">
        <v>265</v>
      </c>
    </row>
    <row r="293">
      <c r="A293" s="372" t="s">
        <v>265</v>
      </c>
      <c r="B293" s="372" t="s">
        <v>265</v>
      </c>
      <c r="C293" s="372" t="s">
        <v>265</v>
      </c>
    </row>
    <row r="294">
      <c r="A294" s="372" t="s">
        <v>265</v>
      </c>
      <c r="B294" s="372" t="s">
        <v>265</v>
      </c>
      <c r="C294" s="372" t="s">
        <v>265</v>
      </c>
    </row>
    <row r="295">
      <c r="A295" s="372" t="s">
        <v>265</v>
      </c>
      <c r="B295" s="372" t="s">
        <v>265</v>
      </c>
      <c r="C295" s="372" t="s">
        <v>265</v>
      </c>
    </row>
    <row r="296">
      <c r="A296" s="372" t="s">
        <v>265</v>
      </c>
      <c r="B296" s="372" t="s">
        <v>265</v>
      </c>
      <c r="C296" s="372" t="s">
        <v>265</v>
      </c>
    </row>
    <row r="297">
      <c r="A297" s="372" t="s">
        <v>265</v>
      </c>
      <c r="B297" s="372" t="s">
        <v>265</v>
      </c>
      <c r="C297" s="372" t="s">
        <v>265</v>
      </c>
    </row>
    <row r="298">
      <c r="A298" s="372" t="s">
        <v>265</v>
      </c>
      <c r="B298" s="372" t="s">
        <v>265</v>
      </c>
      <c r="C298" s="372" t="s">
        <v>265</v>
      </c>
    </row>
    <row r="299">
      <c r="A299" s="372" t="s">
        <v>265</v>
      </c>
      <c r="B299" s="372" t="s">
        <v>265</v>
      </c>
      <c r="C299" s="372" t="s">
        <v>265</v>
      </c>
    </row>
    <row r="300">
      <c r="A300" s="372" t="s">
        <v>265</v>
      </c>
      <c r="B300" s="372" t="s">
        <v>265</v>
      </c>
      <c r="C300" s="372" t="s">
        <v>265</v>
      </c>
    </row>
    <row r="301">
      <c r="A301" s="372" t="s">
        <v>265</v>
      </c>
      <c r="B301" s="372" t="s">
        <v>265</v>
      </c>
      <c r="C301" s="372" t="s">
        <v>265</v>
      </c>
    </row>
    <row r="302">
      <c r="A302" s="372" t="s">
        <v>265</v>
      </c>
      <c r="B302" s="372" t="s">
        <v>265</v>
      </c>
      <c r="C302" s="372" t="s">
        <v>265</v>
      </c>
    </row>
    <row r="303">
      <c r="A303" s="372" t="s">
        <v>265</v>
      </c>
      <c r="B303" s="372" t="s">
        <v>265</v>
      </c>
      <c r="C303" s="372" t="s">
        <v>265</v>
      </c>
    </row>
    <row r="304">
      <c r="A304" s="372" t="s">
        <v>265</v>
      </c>
      <c r="B304" s="372" t="s">
        <v>265</v>
      </c>
      <c r="C304" s="372" t="s">
        <v>265</v>
      </c>
    </row>
    <row r="305">
      <c r="A305" s="372" t="s">
        <v>265</v>
      </c>
      <c r="B305" s="372" t="s">
        <v>265</v>
      </c>
      <c r="C305" s="372" t="s">
        <v>265</v>
      </c>
    </row>
    <row r="306">
      <c r="A306" s="372" t="s">
        <v>265</v>
      </c>
      <c r="B306" s="372" t="s">
        <v>265</v>
      </c>
      <c r="C306" s="372" t="s">
        <v>265</v>
      </c>
    </row>
    <row r="307">
      <c r="A307" s="372" t="s">
        <v>265</v>
      </c>
      <c r="B307" s="372" t="s">
        <v>265</v>
      </c>
      <c r="C307" s="372" t="s">
        <v>265</v>
      </c>
    </row>
    <row r="308">
      <c r="A308" s="372" t="s">
        <v>265</v>
      </c>
      <c r="B308" s="372" t="s">
        <v>265</v>
      </c>
      <c r="C308" s="372" t="s">
        <v>265</v>
      </c>
    </row>
    <row r="309">
      <c r="A309" s="372" t="s">
        <v>265</v>
      </c>
      <c r="B309" s="372" t="s">
        <v>265</v>
      </c>
      <c r="C309" s="372" t="s">
        <v>265</v>
      </c>
    </row>
    <row r="310">
      <c r="A310" s="372" t="s">
        <v>265</v>
      </c>
      <c r="B310" s="372" t="s">
        <v>265</v>
      </c>
      <c r="C310" s="372" t="s">
        <v>265</v>
      </c>
    </row>
    <row r="311">
      <c r="A311" s="372" t="s">
        <v>265</v>
      </c>
      <c r="B311" s="372" t="s">
        <v>265</v>
      </c>
      <c r="C311" s="372" t="s">
        <v>265</v>
      </c>
    </row>
    <row r="312">
      <c r="A312" s="372" t="s">
        <v>265</v>
      </c>
      <c r="B312" s="372" t="s">
        <v>265</v>
      </c>
      <c r="C312" s="372" t="s">
        <v>265</v>
      </c>
    </row>
    <row r="313">
      <c r="A313" s="372" t="s">
        <v>265</v>
      </c>
      <c r="B313" s="372" t="s">
        <v>265</v>
      </c>
      <c r="C313" s="372" t="s">
        <v>265</v>
      </c>
    </row>
    <row r="314">
      <c r="A314" s="372" t="s">
        <v>265</v>
      </c>
      <c r="B314" s="372" t="s">
        <v>265</v>
      </c>
      <c r="C314" s="372" t="s">
        <v>265</v>
      </c>
    </row>
    <row r="315">
      <c r="A315" s="372" t="s">
        <v>265</v>
      </c>
      <c r="B315" s="372" t="s">
        <v>265</v>
      </c>
      <c r="C315" s="372" t="s">
        <v>265</v>
      </c>
    </row>
    <row r="316">
      <c r="A316" s="372" t="s">
        <v>265</v>
      </c>
      <c r="B316" s="372" t="s">
        <v>265</v>
      </c>
      <c r="C316" s="372" t="s">
        <v>265</v>
      </c>
    </row>
    <row r="317">
      <c r="A317" s="372" t="s">
        <v>265</v>
      </c>
      <c r="B317" s="372" t="s">
        <v>265</v>
      </c>
      <c r="C317" s="372" t="s">
        <v>265</v>
      </c>
    </row>
    <row r="318">
      <c r="A318" s="372" t="s">
        <v>265</v>
      </c>
      <c r="B318" s="372" t="s">
        <v>265</v>
      </c>
      <c r="C318" s="372" t="s">
        <v>265</v>
      </c>
    </row>
    <row r="319">
      <c r="A319" s="372" t="s">
        <v>265</v>
      </c>
      <c r="B319" s="372" t="s">
        <v>265</v>
      </c>
      <c r="C319" s="372" t="s">
        <v>265</v>
      </c>
    </row>
    <row r="320">
      <c r="A320" s="372" t="s">
        <v>265</v>
      </c>
      <c r="B320" s="372" t="s">
        <v>265</v>
      </c>
      <c r="C320" s="372" t="s">
        <v>265</v>
      </c>
    </row>
    <row r="321">
      <c r="A321" s="372" t="s">
        <v>265</v>
      </c>
      <c r="B321" s="372" t="s">
        <v>265</v>
      </c>
      <c r="C321" s="372" t="s">
        <v>265</v>
      </c>
    </row>
    <row r="322">
      <c r="A322" s="372" t="s">
        <v>265</v>
      </c>
      <c r="B322" s="372" t="s">
        <v>265</v>
      </c>
      <c r="C322" s="372" t="s">
        <v>265</v>
      </c>
    </row>
    <row r="323">
      <c r="A323" s="372" t="s">
        <v>265</v>
      </c>
      <c r="B323" s="372" t="s">
        <v>265</v>
      </c>
      <c r="C323" s="372" t="s">
        <v>265</v>
      </c>
    </row>
    <row r="324">
      <c r="A324" s="372" t="s">
        <v>265</v>
      </c>
      <c r="B324" s="372" t="s">
        <v>265</v>
      </c>
      <c r="C324" s="372" t="s">
        <v>265</v>
      </c>
    </row>
    <row r="325">
      <c r="A325" s="372" t="s">
        <v>265</v>
      </c>
      <c r="B325" s="372" t="s">
        <v>265</v>
      </c>
      <c r="C325" s="372" t="s">
        <v>265</v>
      </c>
    </row>
    <row r="326">
      <c r="A326" s="372" t="s">
        <v>265</v>
      </c>
      <c r="B326" s="372" t="s">
        <v>265</v>
      </c>
      <c r="C326" s="372" t="s">
        <v>265</v>
      </c>
    </row>
    <row r="327">
      <c r="A327" s="372" t="s">
        <v>265</v>
      </c>
      <c r="B327" s="372" t="s">
        <v>265</v>
      </c>
      <c r="C327" s="372" t="s">
        <v>265</v>
      </c>
    </row>
    <row r="328">
      <c r="A328" s="372" t="s">
        <v>265</v>
      </c>
      <c r="B328" s="372" t="s">
        <v>265</v>
      </c>
      <c r="C328" s="372" t="s">
        <v>265</v>
      </c>
    </row>
    <row r="329">
      <c r="A329" s="372" t="s">
        <v>265</v>
      </c>
      <c r="B329" s="372" t="s">
        <v>265</v>
      </c>
      <c r="C329" s="372" t="s">
        <v>265</v>
      </c>
    </row>
    <row r="330">
      <c r="A330" s="372" t="s">
        <v>265</v>
      </c>
      <c r="B330" s="372" t="s">
        <v>265</v>
      </c>
      <c r="C330" s="372" t="s">
        <v>265</v>
      </c>
    </row>
    <row r="331">
      <c r="A331" s="372" t="s">
        <v>265</v>
      </c>
      <c r="B331" s="372" t="s">
        <v>265</v>
      </c>
      <c r="C331" s="372" t="s">
        <v>265</v>
      </c>
    </row>
    <row r="332">
      <c r="A332" s="372" t="s">
        <v>265</v>
      </c>
      <c r="B332" s="372" t="s">
        <v>265</v>
      </c>
      <c r="C332" s="372" t="s">
        <v>265</v>
      </c>
    </row>
    <row r="333">
      <c r="A333" s="372" t="s">
        <v>265</v>
      </c>
      <c r="B333" s="372" t="s">
        <v>265</v>
      </c>
      <c r="C333" s="372" t="s">
        <v>265</v>
      </c>
    </row>
    <row r="334">
      <c r="A334" s="372" t="s">
        <v>265</v>
      </c>
      <c r="B334" s="372" t="s">
        <v>265</v>
      </c>
      <c r="C334" s="372" t="s">
        <v>265</v>
      </c>
    </row>
    <row r="335">
      <c r="A335" s="372" t="s">
        <v>265</v>
      </c>
      <c r="B335" s="372" t="s">
        <v>265</v>
      </c>
      <c r="C335" s="372" t="s">
        <v>265</v>
      </c>
    </row>
    <row r="336">
      <c r="A336" s="372" t="s">
        <v>265</v>
      </c>
      <c r="B336" s="372" t="s">
        <v>265</v>
      </c>
      <c r="C336" s="372" t="s">
        <v>265</v>
      </c>
    </row>
    <row r="337">
      <c r="A337" s="372" t="s">
        <v>265</v>
      </c>
      <c r="B337" s="372" t="s">
        <v>265</v>
      </c>
      <c r="C337" s="372" t="s">
        <v>265</v>
      </c>
    </row>
    <row r="338">
      <c r="A338" s="372" t="s">
        <v>265</v>
      </c>
      <c r="B338" s="372" t="s">
        <v>265</v>
      </c>
      <c r="C338" s="372" t="s">
        <v>265</v>
      </c>
    </row>
    <row r="339">
      <c r="A339" s="372" t="s">
        <v>265</v>
      </c>
      <c r="B339" s="372" t="s">
        <v>265</v>
      </c>
      <c r="C339" s="372" t="s">
        <v>265</v>
      </c>
    </row>
    <row r="340">
      <c r="A340" s="372" t="s">
        <v>265</v>
      </c>
      <c r="B340" s="372" t="s">
        <v>265</v>
      </c>
      <c r="C340" s="372" t="s">
        <v>265</v>
      </c>
    </row>
    <row r="341">
      <c r="A341" s="372" t="s">
        <v>265</v>
      </c>
      <c r="B341" s="372" t="s">
        <v>265</v>
      </c>
      <c r="C341" s="372" t="s">
        <v>265</v>
      </c>
    </row>
    <row r="342">
      <c r="A342" s="372" t="s">
        <v>265</v>
      </c>
      <c r="B342" s="372" t="s">
        <v>265</v>
      </c>
      <c r="C342" s="372" t="s">
        <v>265</v>
      </c>
    </row>
    <row r="343">
      <c r="A343" s="372" t="s">
        <v>265</v>
      </c>
      <c r="B343" s="372" t="s">
        <v>265</v>
      </c>
      <c r="C343" s="372" t="s">
        <v>265</v>
      </c>
    </row>
    <row r="344">
      <c r="A344" s="372" t="s">
        <v>265</v>
      </c>
      <c r="B344" s="372" t="s">
        <v>265</v>
      </c>
      <c r="C344" s="372" t="s">
        <v>265</v>
      </c>
    </row>
    <row r="345">
      <c r="A345" s="372" t="s">
        <v>265</v>
      </c>
      <c r="B345" s="372" t="s">
        <v>265</v>
      </c>
      <c r="C345" s="372" t="s">
        <v>265</v>
      </c>
    </row>
    <row r="346">
      <c r="A346" s="372" t="s">
        <v>265</v>
      </c>
      <c r="B346" s="372" t="s">
        <v>265</v>
      </c>
      <c r="C346" s="372" t="s">
        <v>265</v>
      </c>
    </row>
    <row r="347">
      <c r="A347" s="372" t="s">
        <v>265</v>
      </c>
      <c r="B347" s="372" t="s">
        <v>265</v>
      </c>
      <c r="C347" s="372" t="s">
        <v>265</v>
      </c>
    </row>
    <row r="348">
      <c r="A348" s="372" t="s">
        <v>265</v>
      </c>
      <c r="B348" s="372" t="s">
        <v>265</v>
      </c>
      <c r="C348" s="372" t="s">
        <v>265</v>
      </c>
    </row>
    <row r="349">
      <c r="A349" s="372" t="s">
        <v>265</v>
      </c>
      <c r="B349" s="372" t="s">
        <v>265</v>
      </c>
      <c r="C349" s="372" t="s">
        <v>265</v>
      </c>
    </row>
    <row r="350">
      <c r="A350" s="372" t="s">
        <v>265</v>
      </c>
      <c r="B350" s="372" t="s">
        <v>265</v>
      </c>
      <c r="C350" s="372" t="s">
        <v>265</v>
      </c>
    </row>
    <row r="351">
      <c r="A351" s="372" t="s">
        <v>265</v>
      </c>
      <c r="B351" s="372" t="s">
        <v>265</v>
      </c>
      <c r="C351" s="372" t="s">
        <v>265</v>
      </c>
    </row>
    <row r="352">
      <c r="A352" s="372" t="s">
        <v>265</v>
      </c>
      <c r="B352" s="372" t="s">
        <v>265</v>
      </c>
      <c r="C352" s="372" t="s">
        <v>265</v>
      </c>
    </row>
    <row r="353">
      <c r="A353" s="372" t="s">
        <v>265</v>
      </c>
      <c r="B353" s="372" t="s">
        <v>265</v>
      </c>
      <c r="C353" s="372" t="s">
        <v>265</v>
      </c>
    </row>
    <row r="354">
      <c r="A354" s="372" t="s">
        <v>265</v>
      </c>
      <c r="B354" s="372" t="s">
        <v>265</v>
      </c>
      <c r="C354" s="372" t="s">
        <v>265</v>
      </c>
    </row>
    <row r="355">
      <c r="A355" s="372" t="s">
        <v>265</v>
      </c>
      <c r="B355" s="372" t="s">
        <v>265</v>
      </c>
      <c r="C355" s="372" t="s">
        <v>265</v>
      </c>
    </row>
    <row r="356">
      <c r="A356" s="372" t="s">
        <v>265</v>
      </c>
      <c r="B356" s="372" t="s">
        <v>265</v>
      </c>
      <c r="C356" s="372" t="s">
        <v>265</v>
      </c>
    </row>
    <row r="357">
      <c r="A357" s="372" t="s">
        <v>265</v>
      </c>
      <c r="B357" s="372" t="s">
        <v>265</v>
      </c>
      <c r="C357" s="372" t="s">
        <v>265</v>
      </c>
    </row>
    <row r="358">
      <c r="A358" s="372" t="s">
        <v>265</v>
      </c>
      <c r="B358" s="372" t="s">
        <v>265</v>
      </c>
      <c r="C358" s="372" t="s">
        <v>265</v>
      </c>
    </row>
    <row r="359">
      <c r="A359" s="372" t="s">
        <v>265</v>
      </c>
      <c r="B359" s="372" t="s">
        <v>265</v>
      </c>
      <c r="C359" s="372" t="s">
        <v>265</v>
      </c>
    </row>
    <row r="360">
      <c r="A360" s="372" t="s">
        <v>265</v>
      </c>
      <c r="B360" s="372" t="s">
        <v>265</v>
      </c>
      <c r="C360" s="372" t="s">
        <v>265</v>
      </c>
    </row>
    <row r="361">
      <c r="A361" s="372" t="s">
        <v>265</v>
      </c>
      <c r="B361" s="372" t="s">
        <v>265</v>
      </c>
      <c r="C361" s="372" t="s">
        <v>265</v>
      </c>
    </row>
    <row r="362">
      <c r="A362" s="372" t="s">
        <v>265</v>
      </c>
      <c r="B362" s="372" t="s">
        <v>265</v>
      </c>
      <c r="C362" s="372" t="s">
        <v>265</v>
      </c>
    </row>
    <row r="363">
      <c r="A363" s="372" t="s">
        <v>265</v>
      </c>
      <c r="B363" s="372" t="s">
        <v>265</v>
      </c>
      <c r="C363" s="372" t="s">
        <v>265</v>
      </c>
    </row>
    <row r="364">
      <c r="A364" s="372" t="s">
        <v>265</v>
      </c>
      <c r="B364" s="372" t="s">
        <v>265</v>
      </c>
      <c r="C364" s="372" t="s">
        <v>265</v>
      </c>
    </row>
    <row r="365">
      <c r="A365" s="372" t="s">
        <v>265</v>
      </c>
      <c r="B365" s="372" t="s">
        <v>265</v>
      </c>
      <c r="C365" s="372" t="s">
        <v>265</v>
      </c>
    </row>
    <row r="366">
      <c r="A366" s="372" t="s">
        <v>265</v>
      </c>
      <c r="B366" s="372" t="s">
        <v>265</v>
      </c>
      <c r="C366" s="372" t="s">
        <v>265</v>
      </c>
    </row>
    <row r="367">
      <c r="A367" s="372" t="s">
        <v>265</v>
      </c>
      <c r="B367" s="372" t="s">
        <v>265</v>
      </c>
      <c r="C367" s="372" t="s">
        <v>265</v>
      </c>
    </row>
    <row r="368">
      <c r="A368" s="372" t="s">
        <v>265</v>
      </c>
      <c r="B368" s="372" t="s">
        <v>265</v>
      </c>
      <c r="C368" s="372" t="s">
        <v>265</v>
      </c>
    </row>
    <row r="369">
      <c r="A369" s="372" t="s">
        <v>265</v>
      </c>
      <c r="B369" s="372" t="s">
        <v>265</v>
      </c>
      <c r="C369" s="372" t="s">
        <v>265</v>
      </c>
    </row>
    <row r="370">
      <c r="A370" s="372" t="s">
        <v>265</v>
      </c>
      <c r="B370" s="372" t="s">
        <v>265</v>
      </c>
      <c r="C370" s="372" t="s">
        <v>265</v>
      </c>
    </row>
    <row r="371">
      <c r="A371" s="372" t="s">
        <v>265</v>
      </c>
      <c r="B371" s="372" t="s">
        <v>265</v>
      </c>
      <c r="C371" s="372" t="s">
        <v>265</v>
      </c>
    </row>
    <row r="372">
      <c r="A372" s="372" t="s">
        <v>265</v>
      </c>
      <c r="B372" s="372" t="s">
        <v>265</v>
      </c>
      <c r="C372" s="372" t="s">
        <v>265</v>
      </c>
    </row>
    <row r="373">
      <c r="A373" s="372" t="s">
        <v>265</v>
      </c>
      <c r="B373" s="372" t="s">
        <v>265</v>
      </c>
      <c r="C373" s="372" t="s">
        <v>265</v>
      </c>
    </row>
    <row r="374">
      <c r="A374" s="372" t="s">
        <v>265</v>
      </c>
      <c r="B374" s="372" t="s">
        <v>265</v>
      </c>
      <c r="C374" s="372" t="s">
        <v>265</v>
      </c>
    </row>
    <row r="375">
      <c r="A375" s="372" t="s">
        <v>265</v>
      </c>
      <c r="B375" s="372" t="s">
        <v>265</v>
      </c>
      <c r="C375" s="372" t="s">
        <v>265</v>
      </c>
    </row>
    <row r="376">
      <c r="A376" s="372" t="s">
        <v>265</v>
      </c>
      <c r="B376" s="372" t="s">
        <v>265</v>
      </c>
      <c r="C376" s="372" t="s">
        <v>265</v>
      </c>
    </row>
    <row r="377">
      <c r="A377" s="372" t="s">
        <v>265</v>
      </c>
      <c r="B377" s="372" t="s">
        <v>265</v>
      </c>
      <c r="C377" s="372" t="s">
        <v>265</v>
      </c>
    </row>
    <row r="378">
      <c r="A378" s="372" t="s">
        <v>265</v>
      </c>
      <c r="B378" s="372" t="s">
        <v>265</v>
      </c>
      <c r="C378" s="372" t="s">
        <v>265</v>
      </c>
    </row>
    <row r="379">
      <c r="A379" s="372" t="s">
        <v>265</v>
      </c>
      <c r="B379" s="372" t="s">
        <v>265</v>
      </c>
      <c r="C379" s="372" t="s">
        <v>265</v>
      </c>
    </row>
    <row r="380">
      <c r="A380" s="372" t="s">
        <v>265</v>
      </c>
      <c r="B380" s="372" t="s">
        <v>265</v>
      </c>
      <c r="C380" s="372" t="s">
        <v>265</v>
      </c>
    </row>
    <row r="381">
      <c r="A381" s="372" t="s">
        <v>265</v>
      </c>
      <c r="B381" s="372" t="s">
        <v>265</v>
      </c>
      <c r="C381" s="372" t="s">
        <v>265</v>
      </c>
    </row>
    <row r="382">
      <c r="A382" s="372" t="s">
        <v>265</v>
      </c>
      <c r="B382" s="372" t="s">
        <v>265</v>
      </c>
      <c r="C382" s="372" t="s">
        <v>265</v>
      </c>
    </row>
    <row r="383">
      <c r="A383" s="372" t="s">
        <v>265</v>
      </c>
      <c r="B383" s="372" t="s">
        <v>265</v>
      </c>
      <c r="C383" s="372" t="s">
        <v>265</v>
      </c>
    </row>
    <row r="384">
      <c r="A384" s="372" t="s">
        <v>265</v>
      </c>
      <c r="B384" s="372" t="s">
        <v>265</v>
      </c>
      <c r="C384" s="372" t="s">
        <v>265</v>
      </c>
    </row>
    <row r="385">
      <c r="A385" s="372" t="s">
        <v>265</v>
      </c>
      <c r="B385" s="372" t="s">
        <v>265</v>
      </c>
      <c r="C385" s="372" t="s">
        <v>265</v>
      </c>
    </row>
    <row r="386">
      <c r="A386" s="372" t="s">
        <v>265</v>
      </c>
      <c r="B386" s="372" t="s">
        <v>265</v>
      </c>
      <c r="C386" s="372" t="s">
        <v>265</v>
      </c>
    </row>
    <row r="387">
      <c r="A387" s="372" t="s">
        <v>265</v>
      </c>
      <c r="B387" s="372" t="s">
        <v>265</v>
      </c>
      <c r="C387" s="372" t="s">
        <v>265</v>
      </c>
    </row>
    <row r="388">
      <c r="A388" s="372" t="s">
        <v>265</v>
      </c>
      <c r="B388" s="372" t="s">
        <v>265</v>
      </c>
      <c r="C388" s="372" t="s">
        <v>265</v>
      </c>
    </row>
    <row r="389">
      <c r="A389" s="372" t="s">
        <v>265</v>
      </c>
      <c r="B389" s="372" t="s">
        <v>265</v>
      </c>
      <c r="C389" s="372" t="s">
        <v>265</v>
      </c>
    </row>
    <row r="390">
      <c r="A390" s="372" t="s">
        <v>265</v>
      </c>
      <c r="B390" s="372" t="s">
        <v>265</v>
      </c>
      <c r="C390" s="372" t="s">
        <v>265</v>
      </c>
    </row>
    <row r="391">
      <c r="A391" s="372" t="s">
        <v>265</v>
      </c>
      <c r="B391" s="372" t="s">
        <v>265</v>
      </c>
      <c r="C391" s="372" t="s">
        <v>265</v>
      </c>
    </row>
    <row r="392">
      <c r="A392" s="372" t="s">
        <v>265</v>
      </c>
      <c r="B392" s="372" t="s">
        <v>265</v>
      </c>
      <c r="C392" s="372" t="s">
        <v>265</v>
      </c>
    </row>
    <row r="393">
      <c r="A393" s="372" t="s">
        <v>265</v>
      </c>
      <c r="B393" s="372" t="s">
        <v>265</v>
      </c>
      <c r="C393" s="372" t="s">
        <v>265</v>
      </c>
    </row>
    <row r="394">
      <c r="A394" s="372" t="s">
        <v>265</v>
      </c>
      <c r="B394" s="372" t="s">
        <v>265</v>
      </c>
      <c r="C394" s="372" t="s">
        <v>265</v>
      </c>
    </row>
    <row r="395">
      <c r="A395" s="372" t="s">
        <v>265</v>
      </c>
      <c r="B395" s="372" t="s">
        <v>265</v>
      </c>
      <c r="C395" s="372" t="s">
        <v>265</v>
      </c>
    </row>
    <row r="396">
      <c r="A396" s="372" t="s">
        <v>265</v>
      </c>
      <c r="B396" s="372" t="s">
        <v>265</v>
      </c>
      <c r="C396" s="372" t="s">
        <v>265</v>
      </c>
    </row>
    <row r="397">
      <c r="A397" s="372" t="s">
        <v>265</v>
      </c>
      <c r="B397" s="372" t="s">
        <v>265</v>
      </c>
      <c r="C397" s="372" t="s">
        <v>265</v>
      </c>
    </row>
    <row r="398">
      <c r="A398" s="372" t="s">
        <v>265</v>
      </c>
      <c r="B398" s="372" t="s">
        <v>265</v>
      </c>
      <c r="C398" s="372" t="s">
        <v>265</v>
      </c>
    </row>
    <row r="399">
      <c r="A399" s="372" t="s">
        <v>265</v>
      </c>
      <c r="B399" s="372" t="s">
        <v>265</v>
      </c>
      <c r="C399" s="372" t="s">
        <v>265</v>
      </c>
    </row>
    <row r="400">
      <c r="A400" s="372" t="s">
        <v>265</v>
      </c>
      <c r="B400" s="372" t="s">
        <v>265</v>
      </c>
      <c r="C400" s="372" t="s">
        <v>265</v>
      </c>
    </row>
    <row r="401">
      <c r="A401" s="372" t="s">
        <v>265</v>
      </c>
      <c r="B401" s="372" t="s">
        <v>265</v>
      </c>
      <c r="C401" s="372" t="s">
        <v>265</v>
      </c>
    </row>
    <row r="402">
      <c r="A402" s="372" t="s">
        <v>265</v>
      </c>
      <c r="B402" s="372" t="s">
        <v>265</v>
      </c>
      <c r="C402" s="372" t="s">
        <v>265</v>
      </c>
    </row>
    <row r="403">
      <c r="A403" s="372" t="s">
        <v>265</v>
      </c>
      <c r="B403" s="372" t="s">
        <v>265</v>
      </c>
      <c r="C403" s="372" t="s">
        <v>265</v>
      </c>
    </row>
    <row r="404">
      <c r="A404" s="372" t="s">
        <v>265</v>
      </c>
      <c r="B404" s="372" t="s">
        <v>265</v>
      </c>
      <c r="C404" s="372" t="s">
        <v>265</v>
      </c>
    </row>
    <row r="405">
      <c r="A405" s="372" t="s">
        <v>265</v>
      </c>
      <c r="B405" s="372" t="s">
        <v>265</v>
      </c>
      <c r="C405" s="372" t="s">
        <v>265</v>
      </c>
    </row>
    <row r="406">
      <c r="A406" s="372" t="s">
        <v>265</v>
      </c>
      <c r="B406" s="372" t="s">
        <v>265</v>
      </c>
      <c r="C406" s="372" t="s">
        <v>265</v>
      </c>
    </row>
    <row r="407">
      <c r="A407" s="372" t="s">
        <v>265</v>
      </c>
      <c r="B407" s="372" t="s">
        <v>265</v>
      </c>
      <c r="C407" s="372" t="s">
        <v>265</v>
      </c>
    </row>
    <row r="408">
      <c r="A408" s="372" t="s">
        <v>265</v>
      </c>
      <c r="B408" s="372" t="s">
        <v>265</v>
      </c>
      <c r="C408" s="372" t="s">
        <v>265</v>
      </c>
    </row>
    <row r="409">
      <c r="A409" s="372" t="s">
        <v>265</v>
      </c>
      <c r="B409" s="372" t="s">
        <v>265</v>
      </c>
      <c r="C409" s="372" t="s">
        <v>265</v>
      </c>
    </row>
    <row r="410">
      <c r="A410" s="372" t="s">
        <v>265</v>
      </c>
      <c r="B410" s="372" t="s">
        <v>265</v>
      </c>
      <c r="C410" s="372" t="s">
        <v>265</v>
      </c>
    </row>
    <row r="411">
      <c r="A411" s="372" t="s">
        <v>265</v>
      </c>
      <c r="B411" s="372" t="s">
        <v>265</v>
      </c>
      <c r="C411" s="372" t="s">
        <v>265</v>
      </c>
    </row>
    <row r="412">
      <c r="A412" s="372" t="s">
        <v>265</v>
      </c>
      <c r="B412" s="372" t="s">
        <v>265</v>
      </c>
      <c r="C412" s="372" t="s">
        <v>265</v>
      </c>
    </row>
    <row r="413">
      <c r="A413" s="372" t="s">
        <v>265</v>
      </c>
      <c r="B413" s="372" t="s">
        <v>265</v>
      </c>
      <c r="C413" s="372" t="s">
        <v>265</v>
      </c>
    </row>
    <row r="414">
      <c r="A414" s="372" t="s">
        <v>265</v>
      </c>
      <c r="B414" s="372" t="s">
        <v>265</v>
      </c>
      <c r="C414" s="372" t="s">
        <v>265</v>
      </c>
    </row>
    <row r="415">
      <c r="A415" s="372" t="s">
        <v>265</v>
      </c>
      <c r="B415" s="372" t="s">
        <v>265</v>
      </c>
      <c r="C415" s="372" t="s">
        <v>265</v>
      </c>
    </row>
    <row r="416">
      <c r="A416" s="372" t="s">
        <v>265</v>
      </c>
      <c r="B416" s="372" t="s">
        <v>265</v>
      </c>
      <c r="C416" s="372" t="s">
        <v>265</v>
      </c>
    </row>
    <row r="417">
      <c r="A417" s="372" t="s">
        <v>265</v>
      </c>
      <c r="B417" s="372" t="s">
        <v>265</v>
      </c>
      <c r="C417" s="372" t="s">
        <v>265</v>
      </c>
    </row>
    <row r="418">
      <c r="A418" s="372" t="s">
        <v>265</v>
      </c>
      <c r="B418" s="372" t="s">
        <v>265</v>
      </c>
      <c r="C418" s="372" t="s">
        <v>265</v>
      </c>
    </row>
    <row r="419">
      <c r="A419" s="372" t="s">
        <v>265</v>
      </c>
      <c r="B419" s="372" t="s">
        <v>265</v>
      </c>
      <c r="C419" s="372" t="s">
        <v>265</v>
      </c>
    </row>
    <row r="420">
      <c r="A420" s="372" t="s">
        <v>265</v>
      </c>
      <c r="B420" s="372" t="s">
        <v>265</v>
      </c>
      <c r="C420" s="372" t="s">
        <v>265</v>
      </c>
    </row>
    <row r="421">
      <c r="A421" s="372" t="s">
        <v>265</v>
      </c>
      <c r="B421" s="372" t="s">
        <v>265</v>
      </c>
      <c r="C421" s="372" t="s">
        <v>265</v>
      </c>
    </row>
    <row r="422">
      <c r="A422" s="372" t="s">
        <v>265</v>
      </c>
      <c r="B422" s="372" t="s">
        <v>265</v>
      </c>
      <c r="C422" s="372" t="s">
        <v>265</v>
      </c>
    </row>
    <row r="423">
      <c r="A423" s="372" t="s">
        <v>265</v>
      </c>
      <c r="B423" s="372" t="s">
        <v>265</v>
      </c>
      <c r="C423" s="372" t="s">
        <v>265</v>
      </c>
    </row>
    <row r="424">
      <c r="A424" s="372" t="s">
        <v>265</v>
      </c>
      <c r="B424" s="372" t="s">
        <v>265</v>
      </c>
      <c r="C424" s="372" t="s">
        <v>265</v>
      </c>
    </row>
    <row r="425">
      <c r="A425" s="372" t="s">
        <v>265</v>
      </c>
      <c r="B425" s="372" t="s">
        <v>265</v>
      </c>
      <c r="C425" s="372" t="s">
        <v>265</v>
      </c>
    </row>
    <row r="426">
      <c r="A426" s="372" t="s">
        <v>265</v>
      </c>
      <c r="B426" s="372" t="s">
        <v>265</v>
      </c>
      <c r="C426" s="372" t="s">
        <v>265</v>
      </c>
    </row>
    <row r="427">
      <c r="A427" s="372" t="s">
        <v>265</v>
      </c>
      <c r="B427" s="372" t="s">
        <v>265</v>
      </c>
      <c r="C427" s="372" t="s">
        <v>265</v>
      </c>
    </row>
    <row r="428">
      <c r="A428" s="372" t="s">
        <v>265</v>
      </c>
      <c r="B428" s="372" t="s">
        <v>265</v>
      </c>
      <c r="C428" s="372" t="s">
        <v>265</v>
      </c>
    </row>
    <row r="429">
      <c r="A429" s="372" t="s">
        <v>265</v>
      </c>
      <c r="B429" s="372" t="s">
        <v>265</v>
      </c>
      <c r="C429" s="372" t="s">
        <v>265</v>
      </c>
    </row>
    <row r="430">
      <c r="A430" s="372" t="s">
        <v>265</v>
      </c>
      <c r="B430" s="372" t="s">
        <v>265</v>
      </c>
      <c r="C430" s="372" t="s">
        <v>265</v>
      </c>
    </row>
    <row r="431">
      <c r="A431" s="372" t="s">
        <v>265</v>
      </c>
      <c r="B431" s="372" t="s">
        <v>265</v>
      </c>
      <c r="C431" s="372" t="s">
        <v>265</v>
      </c>
    </row>
    <row r="432">
      <c r="A432" s="372" t="s">
        <v>265</v>
      </c>
      <c r="B432" s="372" t="s">
        <v>265</v>
      </c>
      <c r="C432" s="372" t="s">
        <v>265</v>
      </c>
    </row>
    <row r="433">
      <c r="A433" s="372" t="s">
        <v>265</v>
      </c>
      <c r="B433" s="372" t="s">
        <v>265</v>
      </c>
      <c r="C433" s="372" t="s">
        <v>265</v>
      </c>
    </row>
    <row r="434">
      <c r="A434" s="372" t="s">
        <v>265</v>
      </c>
      <c r="B434" s="372" t="s">
        <v>265</v>
      </c>
      <c r="C434" s="372" t="s">
        <v>265</v>
      </c>
    </row>
    <row r="435">
      <c r="A435" s="372" t="s">
        <v>265</v>
      </c>
      <c r="B435" s="372" t="s">
        <v>265</v>
      </c>
      <c r="C435" s="372" t="s">
        <v>265</v>
      </c>
    </row>
    <row r="436">
      <c r="A436" s="372" t="s">
        <v>265</v>
      </c>
      <c r="B436" s="372" t="s">
        <v>265</v>
      </c>
      <c r="C436" s="372" t="s">
        <v>265</v>
      </c>
    </row>
    <row r="437">
      <c r="A437" s="372" t="s">
        <v>265</v>
      </c>
      <c r="B437" s="372" t="s">
        <v>265</v>
      </c>
      <c r="C437" s="372" t="s">
        <v>265</v>
      </c>
    </row>
    <row r="438">
      <c r="A438" s="372" t="s">
        <v>265</v>
      </c>
      <c r="B438" s="372" t="s">
        <v>265</v>
      </c>
      <c r="C438" s="372" t="s">
        <v>265</v>
      </c>
    </row>
    <row r="439">
      <c r="A439" s="372" t="s">
        <v>265</v>
      </c>
      <c r="B439" s="372" t="s">
        <v>265</v>
      </c>
      <c r="C439" s="372" t="s">
        <v>265</v>
      </c>
    </row>
    <row r="440">
      <c r="A440" s="372" t="s">
        <v>265</v>
      </c>
      <c r="B440" s="372" t="s">
        <v>265</v>
      </c>
      <c r="C440" s="372" t="s">
        <v>265</v>
      </c>
    </row>
    <row r="441">
      <c r="A441" s="372" t="s">
        <v>265</v>
      </c>
      <c r="B441" s="372" t="s">
        <v>265</v>
      </c>
      <c r="C441" s="372" t="s">
        <v>265</v>
      </c>
    </row>
    <row r="442">
      <c r="A442" s="372" t="s">
        <v>265</v>
      </c>
      <c r="B442" s="372" t="s">
        <v>265</v>
      </c>
      <c r="C442" s="372" t="s">
        <v>265</v>
      </c>
    </row>
    <row r="443">
      <c r="A443" s="372" t="s">
        <v>265</v>
      </c>
      <c r="B443" s="372" t="s">
        <v>265</v>
      </c>
      <c r="C443" s="372" t="s">
        <v>265</v>
      </c>
    </row>
    <row r="444">
      <c r="A444" s="372" t="s">
        <v>265</v>
      </c>
      <c r="B444" s="372" t="s">
        <v>265</v>
      </c>
      <c r="C444" s="372" t="s">
        <v>265</v>
      </c>
    </row>
    <row r="445">
      <c r="A445" s="372" t="s">
        <v>265</v>
      </c>
      <c r="B445" s="372" t="s">
        <v>265</v>
      </c>
      <c r="C445" s="372" t="s">
        <v>265</v>
      </c>
    </row>
    <row r="446">
      <c r="A446" s="372" t="s">
        <v>265</v>
      </c>
      <c r="B446" s="372" t="s">
        <v>265</v>
      </c>
      <c r="C446" s="372" t="s">
        <v>265</v>
      </c>
    </row>
    <row r="447">
      <c r="A447" s="372" t="s">
        <v>265</v>
      </c>
      <c r="B447" s="372" t="s">
        <v>265</v>
      </c>
      <c r="C447" s="372" t="s">
        <v>265</v>
      </c>
    </row>
    <row r="448">
      <c r="A448" s="372" t="s">
        <v>265</v>
      </c>
      <c r="B448" s="372" t="s">
        <v>265</v>
      </c>
      <c r="C448" s="372" t="s">
        <v>265</v>
      </c>
    </row>
    <row r="449">
      <c r="A449" s="372" t="s">
        <v>265</v>
      </c>
      <c r="B449" s="372" t="s">
        <v>265</v>
      </c>
      <c r="C449" s="372" t="s">
        <v>265</v>
      </c>
    </row>
    <row r="450">
      <c r="A450" s="372" t="s">
        <v>265</v>
      </c>
      <c r="B450" s="372" t="s">
        <v>265</v>
      </c>
      <c r="C450" s="372" t="s">
        <v>265</v>
      </c>
    </row>
    <row r="451">
      <c r="A451" s="372" t="s">
        <v>265</v>
      </c>
      <c r="B451" s="372" t="s">
        <v>265</v>
      </c>
      <c r="C451" s="372" t="s">
        <v>265</v>
      </c>
    </row>
    <row r="452">
      <c r="A452" s="372" t="s">
        <v>265</v>
      </c>
      <c r="B452" s="372" t="s">
        <v>265</v>
      </c>
      <c r="C452" s="372" t="s">
        <v>265</v>
      </c>
    </row>
    <row r="453">
      <c r="A453" s="372" t="s">
        <v>265</v>
      </c>
      <c r="B453" s="372" t="s">
        <v>265</v>
      </c>
      <c r="C453" s="372" t="s">
        <v>265</v>
      </c>
    </row>
    <row r="454">
      <c r="A454" s="372" t="s">
        <v>265</v>
      </c>
      <c r="B454" s="372" t="s">
        <v>265</v>
      </c>
      <c r="C454" s="372" t="s">
        <v>265</v>
      </c>
    </row>
    <row r="455">
      <c r="A455" s="372" t="s">
        <v>265</v>
      </c>
      <c r="B455" s="372" t="s">
        <v>265</v>
      </c>
      <c r="C455" s="372" t="s">
        <v>265</v>
      </c>
    </row>
    <row r="456">
      <c r="A456" s="372" t="s">
        <v>265</v>
      </c>
      <c r="B456" s="372" t="s">
        <v>265</v>
      </c>
      <c r="C456" s="372" t="s">
        <v>265</v>
      </c>
    </row>
    <row r="457">
      <c r="A457" s="372" t="s">
        <v>265</v>
      </c>
      <c r="B457" s="372" t="s">
        <v>265</v>
      </c>
      <c r="C457" s="372" t="s">
        <v>265</v>
      </c>
    </row>
    <row r="458">
      <c r="A458" s="372" t="s">
        <v>265</v>
      </c>
      <c r="B458" s="372" t="s">
        <v>265</v>
      </c>
      <c r="C458" s="372" t="s">
        <v>265</v>
      </c>
    </row>
    <row r="459">
      <c r="A459" s="372" t="s">
        <v>265</v>
      </c>
      <c r="B459" s="372" t="s">
        <v>265</v>
      </c>
      <c r="C459" s="372" t="s">
        <v>265</v>
      </c>
    </row>
    <row r="460">
      <c r="A460" s="372" t="s">
        <v>265</v>
      </c>
      <c r="B460" s="372" t="s">
        <v>265</v>
      </c>
      <c r="C460" s="372" t="s">
        <v>265</v>
      </c>
    </row>
    <row r="461">
      <c r="A461" s="372" t="s">
        <v>265</v>
      </c>
      <c r="B461" s="372" t="s">
        <v>265</v>
      </c>
      <c r="C461" s="372" t="s">
        <v>265</v>
      </c>
    </row>
    <row r="462">
      <c r="A462" s="372" t="s">
        <v>265</v>
      </c>
      <c r="B462" s="372" t="s">
        <v>265</v>
      </c>
      <c r="C462" s="372" t="s">
        <v>265</v>
      </c>
    </row>
    <row r="463">
      <c r="A463" s="372" t="s">
        <v>265</v>
      </c>
      <c r="B463" s="372" t="s">
        <v>265</v>
      </c>
      <c r="C463" s="372" t="s">
        <v>265</v>
      </c>
    </row>
    <row r="464">
      <c r="A464" s="372" t="s">
        <v>265</v>
      </c>
      <c r="B464" s="372" t="s">
        <v>265</v>
      </c>
      <c r="C464" s="372" t="s">
        <v>265</v>
      </c>
    </row>
    <row r="465">
      <c r="A465" s="372" t="s">
        <v>265</v>
      </c>
      <c r="B465" s="372" t="s">
        <v>265</v>
      </c>
      <c r="C465" s="372" t="s">
        <v>265</v>
      </c>
    </row>
    <row r="466">
      <c r="A466" s="372" t="s">
        <v>265</v>
      </c>
      <c r="B466" s="372" t="s">
        <v>265</v>
      </c>
      <c r="C466" s="372" t="s">
        <v>265</v>
      </c>
    </row>
    <row r="467">
      <c r="A467" s="372" t="s">
        <v>265</v>
      </c>
      <c r="B467" s="372" t="s">
        <v>265</v>
      </c>
      <c r="C467" s="372" t="s">
        <v>265</v>
      </c>
    </row>
    <row r="468">
      <c r="A468" s="372" t="s">
        <v>265</v>
      </c>
      <c r="B468" s="372" t="s">
        <v>265</v>
      </c>
      <c r="C468" s="372" t="s">
        <v>265</v>
      </c>
    </row>
    <row r="469">
      <c r="A469" s="372" t="s">
        <v>265</v>
      </c>
      <c r="B469" s="372" t="s">
        <v>265</v>
      </c>
      <c r="C469" s="372" t="s">
        <v>265</v>
      </c>
    </row>
    <row r="470">
      <c r="A470" s="372" t="s">
        <v>265</v>
      </c>
      <c r="B470" s="372" t="s">
        <v>265</v>
      </c>
      <c r="C470" s="372" t="s">
        <v>265</v>
      </c>
    </row>
    <row r="471">
      <c r="A471" s="372" t="s">
        <v>265</v>
      </c>
      <c r="B471" s="372" t="s">
        <v>265</v>
      </c>
      <c r="C471" s="372" t="s">
        <v>265</v>
      </c>
    </row>
    <row r="472">
      <c r="A472" s="372" t="s">
        <v>265</v>
      </c>
      <c r="B472" s="372" t="s">
        <v>265</v>
      </c>
      <c r="C472" s="372" t="s">
        <v>265</v>
      </c>
    </row>
    <row r="473">
      <c r="A473" s="372" t="s">
        <v>265</v>
      </c>
      <c r="B473" s="372" t="s">
        <v>265</v>
      </c>
      <c r="C473" s="372" t="s">
        <v>265</v>
      </c>
    </row>
    <row r="474">
      <c r="A474" s="372" t="s">
        <v>265</v>
      </c>
      <c r="B474" s="372" t="s">
        <v>265</v>
      </c>
      <c r="C474" s="372" t="s">
        <v>265</v>
      </c>
    </row>
    <row r="475">
      <c r="A475" s="372" t="s">
        <v>265</v>
      </c>
      <c r="B475" s="372" t="s">
        <v>265</v>
      </c>
      <c r="C475" s="372" t="s">
        <v>265</v>
      </c>
    </row>
    <row r="476">
      <c r="A476" s="372" t="s">
        <v>265</v>
      </c>
      <c r="B476" s="372" t="s">
        <v>265</v>
      </c>
      <c r="C476" s="372" t="s">
        <v>265</v>
      </c>
    </row>
    <row r="477">
      <c r="A477" s="372" t="s">
        <v>265</v>
      </c>
      <c r="B477" s="372" t="s">
        <v>265</v>
      </c>
      <c r="C477" s="372" t="s">
        <v>265</v>
      </c>
    </row>
    <row r="478">
      <c r="A478" s="372" t="s">
        <v>265</v>
      </c>
      <c r="B478" s="372" t="s">
        <v>265</v>
      </c>
      <c r="C478" s="372" t="s">
        <v>265</v>
      </c>
    </row>
    <row r="479">
      <c r="A479" s="372" t="s">
        <v>265</v>
      </c>
      <c r="B479" s="372" t="s">
        <v>265</v>
      </c>
      <c r="C479" s="372" t="s">
        <v>265</v>
      </c>
    </row>
    <row r="480">
      <c r="A480" s="372" t="s">
        <v>265</v>
      </c>
      <c r="B480" s="372" t="s">
        <v>265</v>
      </c>
      <c r="C480" s="372" t="s">
        <v>265</v>
      </c>
    </row>
    <row r="481">
      <c r="A481" s="372" t="s">
        <v>265</v>
      </c>
      <c r="B481" s="372" t="s">
        <v>265</v>
      </c>
      <c r="C481" s="372" t="s">
        <v>265</v>
      </c>
    </row>
    <row r="482">
      <c r="A482" s="372" t="s">
        <v>265</v>
      </c>
      <c r="B482" s="372" t="s">
        <v>265</v>
      </c>
      <c r="C482" s="372" t="s">
        <v>265</v>
      </c>
    </row>
    <row r="483">
      <c r="A483" s="372" t="s">
        <v>265</v>
      </c>
      <c r="B483" s="372" t="s">
        <v>265</v>
      </c>
      <c r="C483" s="372" t="s">
        <v>265</v>
      </c>
    </row>
    <row r="484">
      <c r="A484" s="372" t="s">
        <v>265</v>
      </c>
      <c r="B484" s="372" t="s">
        <v>265</v>
      </c>
      <c r="C484" s="372" t="s">
        <v>265</v>
      </c>
    </row>
    <row r="485">
      <c r="A485" s="372" t="s">
        <v>265</v>
      </c>
      <c r="B485" s="372" t="s">
        <v>265</v>
      </c>
      <c r="C485" s="372" t="s">
        <v>265</v>
      </c>
    </row>
    <row r="486">
      <c r="A486" s="372" t="s">
        <v>265</v>
      </c>
      <c r="B486" s="372" t="s">
        <v>265</v>
      </c>
      <c r="C486" s="372" t="s">
        <v>265</v>
      </c>
    </row>
    <row r="487">
      <c r="A487" s="372" t="s">
        <v>265</v>
      </c>
      <c r="B487" s="372" t="s">
        <v>265</v>
      </c>
      <c r="C487" s="372" t="s">
        <v>265</v>
      </c>
    </row>
    <row r="488">
      <c r="A488" s="372" t="s">
        <v>265</v>
      </c>
      <c r="B488" s="372" t="s">
        <v>265</v>
      </c>
      <c r="C488" s="372" t="s">
        <v>265</v>
      </c>
    </row>
    <row r="489">
      <c r="A489" s="372" t="s">
        <v>265</v>
      </c>
      <c r="B489" s="372" t="s">
        <v>265</v>
      </c>
      <c r="C489" s="372" t="s">
        <v>265</v>
      </c>
    </row>
    <row r="490">
      <c r="A490" s="372" t="s">
        <v>265</v>
      </c>
      <c r="B490" s="372" t="s">
        <v>265</v>
      </c>
      <c r="C490" s="372" t="s">
        <v>265</v>
      </c>
    </row>
    <row r="491">
      <c r="A491" s="372" t="s">
        <v>265</v>
      </c>
      <c r="B491" s="372" t="s">
        <v>265</v>
      </c>
      <c r="C491" s="372" t="s">
        <v>265</v>
      </c>
    </row>
    <row r="492">
      <c r="A492" s="372" t="s">
        <v>265</v>
      </c>
      <c r="B492" s="372" t="s">
        <v>265</v>
      </c>
      <c r="C492" s="372" t="s">
        <v>265</v>
      </c>
    </row>
    <row r="493">
      <c r="A493" s="372" t="s">
        <v>265</v>
      </c>
      <c r="B493" s="372" t="s">
        <v>265</v>
      </c>
      <c r="C493" s="372" t="s">
        <v>265</v>
      </c>
    </row>
    <row r="494">
      <c r="A494" s="372" t="s">
        <v>265</v>
      </c>
      <c r="B494" s="372" t="s">
        <v>265</v>
      </c>
      <c r="C494" s="372" t="s">
        <v>265</v>
      </c>
    </row>
    <row r="495">
      <c r="A495" s="372" t="s">
        <v>265</v>
      </c>
      <c r="B495" s="372" t="s">
        <v>265</v>
      </c>
      <c r="C495" s="372" t="s">
        <v>265</v>
      </c>
    </row>
    <row r="496">
      <c r="A496" s="372" t="s">
        <v>265</v>
      </c>
      <c r="B496" s="372" t="s">
        <v>265</v>
      </c>
      <c r="C496" s="372" t="s">
        <v>265</v>
      </c>
    </row>
    <row r="497">
      <c r="A497" s="372" t="s">
        <v>265</v>
      </c>
      <c r="B497" s="372" t="s">
        <v>265</v>
      </c>
      <c r="C497" s="372" t="s">
        <v>265</v>
      </c>
    </row>
    <row r="498">
      <c r="A498" s="372" t="s">
        <v>265</v>
      </c>
      <c r="B498" s="372" t="s">
        <v>265</v>
      </c>
      <c r="C498" s="372" t="s">
        <v>265</v>
      </c>
    </row>
    <row r="499">
      <c r="A499" s="372" t="s">
        <v>265</v>
      </c>
      <c r="B499" s="372" t="s">
        <v>265</v>
      </c>
      <c r="C499" s="372" t="s">
        <v>265</v>
      </c>
    </row>
    <row r="500">
      <c r="A500" s="372" t="s">
        <v>265</v>
      </c>
      <c r="B500" s="372" t="s">
        <v>265</v>
      </c>
      <c r="C500" s="372" t="s">
        <v>265</v>
      </c>
    </row>
    <row r="501">
      <c r="A501" s="372" t="s">
        <v>265</v>
      </c>
      <c r="B501" s="372" t="s">
        <v>265</v>
      </c>
      <c r="C501" s="372" t="s">
        <v>265</v>
      </c>
    </row>
    <row r="502">
      <c r="A502" s="372" t="s">
        <v>265</v>
      </c>
      <c r="B502" s="372" t="s">
        <v>265</v>
      </c>
      <c r="C502" s="372" t="s">
        <v>265</v>
      </c>
    </row>
    <row r="503">
      <c r="A503" s="372" t="s">
        <v>265</v>
      </c>
      <c r="B503" s="372" t="s">
        <v>265</v>
      </c>
      <c r="C503" s="372" t="s">
        <v>265</v>
      </c>
    </row>
    <row r="504">
      <c r="A504" s="372" t="s">
        <v>265</v>
      </c>
      <c r="B504" s="372" t="s">
        <v>265</v>
      </c>
      <c r="C504" s="372" t="s">
        <v>265</v>
      </c>
    </row>
    <row r="505">
      <c r="A505" s="372" t="s">
        <v>265</v>
      </c>
      <c r="B505" s="372" t="s">
        <v>265</v>
      </c>
      <c r="C505" s="372" t="s">
        <v>265</v>
      </c>
    </row>
    <row r="506">
      <c r="A506" s="372" t="s">
        <v>265</v>
      </c>
      <c r="B506" s="372" t="s">
        <v>265</v>
      </c>
      <c r="C506" s="372" t="s">
        <v>265</v>
      </c>
    </row>
    <row r="507">
      <c r="A507" s="372" t="s">
        <v>265</v>
      </c>
      <c r="B507" s="372" t="s">
        <v>265</v>
      </c>
      <c r="C507" s="372" t="s">
        <v>265</v>
      </c>
    </row>
    <row r="508">
      <c r="A508" s="372" t="s">
        <v>265</v>
      </c>
      <c r="B508" s="372" t="s">
        <v>265</v>
      </c>
      <c r="C508" s="372" t="s">
        <v>265</v>
      </c>
    </row>
    <row r="509">
      <c r="A509" s="372" t="s">
        <v>265</v>
      </c>
      <c r="B509" s="372" t="s">
        <v>265</v>
      </c>
      <c r="C509" s="372" t="s">
        <v>265</v>
      </c>
    </row>
    <row r="510">
      <c r="A510" s="372" t="s">
        <v>265</v>
      </c>
      <c r="B510" s="372" t="s">
        <v>265</v>
      </c>
      <c r="C510" s="372" t="s">
        <v>265</v>
      </c>
    </row>
    <row r="511">
      <c r="A511" s="372" t="s">
        <v>265</v>
      </c>
      <c r="B511" s="372" t="s">
        <v>265</v>
      </c>
      <c r="C511" s="372" t="s">
        <v>265</v>
      </c>
    </row>
    <row r="512">
      <c r="A512" s="372" t="s">
        <v>265</v>
      </c>
      <c r="B512" s="372" t="s">
        <v>265</v>
      </c>
      <c r="C512" s="372" t="s">
        <v>265</v>
      </c>
    </row>
    <row r="513">
      <c r="A513" s="372" t="s">
        <v>265</v>
      </c>
      <c r="B513" s="372" t="s">
        <v>265</v>
      </c>
      <c r="C513" s="372" t="s">
        <v>265</v>
      </c>
    </row>
    <row r="514">
      <c r="A514" s="372" t="s">
        <v>265</v>
      </c>
      <c r="B514" s="372" t="s">
        <v>265</v>
      </c>
      <c r="C514" s="372" t="s">
        <v>265</v>
      </c>
    </row>
    <row r="515">
      <c r="A515" s="372" t="s">
        <v>265</v>
      </c>
      <c r="B515" s="372" t="s">
        <v>265</v>
      </c>
      <c r="C515" s="372" t="s">
        <v>265</v>
      </c>
    </row>
    <row r="516">
      <c r="A516" s="372" t="s">
        <v>265</v>
      </c>
      <c r="B516" s="372" t="s">
        <v>265</v>
      </c>
      <c r="C516" s="372" t="s">
        <v>265</v>
      </c>
    </row>
    <row r="517">
      <c r="A517" s="372" t="s">
        <v>265</v>
      </c>
      <c r="B517" s="372" t="s">
        <v>265</v>
      </c>
      <c r="C517" s="372" t="s">
        <v>265</v>
      </c>
    </row>
    <row r="518">
      <c r="A518" s="372" t="s">
        <v>265</v>
      </c>
      <c r="B518" s="372" t="s">
        <v>265</v>
      </c>
      <c r="C518" s="372" t="s">
        <v>265</v>
      </c>
    </row>
    <row r="519">
      <c r="A519" s="372" t="s">
        <v>265</v>
      </c>
      <c r="B519" s="372" t="s">
        <v>265</v>
      </c>
      <c r="C519" s="372" t="s">
        <v>265</v>
      </c>
    </row>
    <row r="520">
      <c r="A520" s="372" t="s">
        <v>265</v>
      </c>
      <c r="B520" s="372" t="s">
        <v>265</v>
      </c>
      <c r="C520" s="372" t="s">
        <v>265</v>
      </c>
    </row>
    <row r="521">
      <c r="A521" s="372" t="s">
        <v>265</v>
      </c>
      <c r="B521" s="372" t="s">
        <v>265</v>
      </c>
      <c r="C521" s="372" t="s">
        <v>265</v>
      </c>
    </row>
    <row r="522">
      <c r="A522" s="372" t="s">
        <v>265</v>
      </c>
      <c r="B522" s="372" t="s">
        <v>265</v>
      </c>
      <c r="C522" s="372" t="s">
        <v>265</v>
      </c>
    </row>
    <row r="523">
      <c r="A523" s="372" t="s">
        <v>265</v>
      </c>
      <c r="B523" s="372" t="s">
        <v>265</v>
      </c>
      <c r="C523" s="372" t="s">
        <v>265</v>
      </c>
    </row>
    <row r="524">
      <c r="A524" s="372" t="s">
        <v>265</v>
      </c>
      <c r="B524" s="372" t="s">
        <v>265</v>
      </c>
      <c r="C524" s="372" t="s">
        <v>265</v>
      </c>
    </row>
    <row r="525">
      <c r="A525" s="372" t="s">
        <v>265</v>
      </c>
      <c r="B525" s="372" t="s">
        <v>265</v>
      </c>
      <c r="C525" s="372" t="s">
        <v>265</v>
      </c>
    </row>
    <row r="526">
      <c r="A526" s="372" t="s">
        <v>265</v>
      </c>
      <c r="B526" s="372" t="s">
        <v>265</v>
      </c>
      <c r="C526" s="372" t="s">
        <v>265</v>
      </c>
    </row>
    <row r="527">
      <c r="A527" s="372" t="s">
        <v>265</v>
      </c>
      <c r="B527" s="372" t="s">
        <v>265</v>
      </c>
      <c r="C527" s="372" t="s">
        <v>265</v>
      </c>
    </row>
    <row r="528">
      <c r="A528" s="372" t="s">
        <v>265</v>
      </c>
      <c r="B528" s="372" t="s">
        <v>265</v>
      </c>
      <c r="C528" s="372" t="s">
        <v>265</v>
      </c>
    </row>
    <row r="529">
      <c r="A529" s="372" t="s">
        <v>265</v>
      </c>
      <c r="B529" s="372" t="s">
        <v>265</v>
      </c>
      <c r="C529" s="372" t="s">
        <v>265</v>
      </c>
    </row>
    <row r="530">
      <c r="A530" s="372" t="s">
        <v>265</v>
      </c>
      <c r="B530" s="372" t="s">
        <v>265</v>
      </c>
      <c r="C530" s="372" t="s">
        <v>265</v>
      </c>
    </row>
    <row r="531">
      <c r="A531" s="372" t="s">
        <v>265</v>
      </c>
      <c r="B531" s="372" t="s">
        <v>265</v>
      </c>
      <c r="C531" s="372" t="s">
        <v>265</v>
      </c>
    </row>
    <row r="532">
      <c r="A532" s="372" t="s">
        <v>265</v>
      </c>
      <c r="B532" s="372" t="s">
        <v>265</v>
      </c>
      <c r="C532" s="372" t="s">
        <v>265</v>
      </c>
    </row>
    <row r="533">
      <c r="A533" s="372" t="s">
        <v>265</v>
      </c>
      <c r="B533" s="372" t="s">
        <v>265</v>
      </c>
      <c r="C533" s="372" t="s">
        <v>265</v>
      </c>
    </row>
    <row r="534">
      <c r="A534" s="372" t="s">
        <v>265</v>
      </c>
      <c r="B534" s="372" t="s">
        <v>265</v>
      </c>
      <c r="C534" s="372" t="s">
        <v>265</v>
      </c>
    </row>
    <row r="535">
      <c r="A535" s="372" t="s">
        <v>265</v>
      </c>
      <c r="B535" s="372" t="s">
        <v>265</v>
      </c>
      <c r="C535" s="372" t="s">
        <v>265</v>
      </c>
    </row>
    <row r="536">
      <c r="A536" s="372" t="s">
        <v>265</v>
      </c>
      <c r="B536" s="372" t="s">
        <v>265</v>
      </c>
      <c r="C536" s="372" t="s">
        <v>265</v>
      </c>
    </row>
    <row r="537">
      <c r="A537" s="372" t="s">
        <v>265</v>
      </c>
      <c r="B537" s="372" t="s">
        <v>265</v>
      </c>
      <c r="C537" s="372" t="s">
        <v>265</v>
      </c>
    </row>
    <row r="538">
      <c r="A538" s="372" t="s">
        <v>265</v>
      </c>
      <c r="B538" s="372" t="s">
        <v>265</v>
      </c>
      <c r="C538" s="372" t="s">
        <v>265</v>
      </c>
    </row>
    <row r="539">
      <c r="A539" s="372" t="s">
        <v>265</v>
      </c>
      <c r="B539" s="372" t="s">
        <v>265</v>
      </c>
      <c r="C539" s="372" t="s">
        <v>265</v>
      </c>
    </row>
    <row r="540">
      <c r="A540" s="372" t="s">
        <v>265</v>
      </c>
      <c r="B540" s="372" t="s">
        <v>265</v>
      </c>
      <c r="C540" s="372" t="s">
        <v>265</v>
      </c>
    </row>
    <row r="541">
      <c r="A541" s="372" t="s">
        <v>265</v>
      </c>
      <c r="B541" s="372" t="s">
        <v>265</v>
      </c>
      <c r="C541" s="372" t="s">
        <v>265</v>
      </c>
    </row>
    <row r="542">
      <c r="A542" s="372" t="s">
        <v>265</v>
      </c>
      <c r="B542" s="372" t="s">
        <v>265</v>
      </c>
      <c r="C542" s="372" t="s">
        <v>265</v>
      </c>
    </row>
    <row r="543">
      <c r="A543" s="372" t="s">
        <v>265</v>
      </c>
      <c r="B543" s="372" t="s">
        <v>265</v>
      </c>
      <c r="C543" s="372" t="s">
        <v>265</v>
      </c>
    </row>
    <row r="544">
      <c r="A544" s="372" t="s">
        <v>265</v>
      </c>
      <c r="B544" s="372" t="s">
        <v>265</v>
      </c>
      <c r="C544" s="372" t="s">
        <v>265</v>
      </c>
    </row>
    <row r="545">
      <c r="A545" s="372" t="s">
        <v>265</v>
      </c>
      <c r="B545" s="372" t="s">
        <v>265</v>
      </c>
      <c r="C545" s="372" t="s">
        <v>265</v>
      </c>
    </row>
    <row r="546">
      <c r="A546" s="372" t="s">
        <v>265</v>
      </c>
      <c r="B546" s="372" t="s">
        <v>265</v>
      </c>
      <c r="C546" s="372" t="s">
        <v>265</v>
      </c>
    </row>
    <row r="547">
      <c r="A547" s="372" t="s">
        <v>265</v>
      </c>
      <c r="B547" s="372" t="s">
        <v>265</v>
      </c>
      <c r="C547" s="372" t="s">
        <v>265</v>
      </c>
    </row>
    <row r="548">
      <c r="A548" s="372" t="s">
        <v>265</v>
      </c>
      <c r="B548" s="372" t="s">
        <v>265</v>
      </c>
      <c r="C548" s="372" t="s">
        <v>265</v>
      </c>
    </row>
    <row r="549">
      <c r="A549" s="372" t="s">
        <v>265</v>
      </c>
      <c r="B549" s="372" t="s">
        <v>265</v>
      </c>
      <c r="C549" s="372" t="s">
        <v>265</v>
      </c>
    </row>
    <row r="550">
      <c r="A550" s="372" t="s">
        <v>265</v>
      </c>
      <c r="B550" s="372" t="s">
        <v>265</v>
      </c>
      <c r="C550" s="372" t="s">
        <v>265</v>
      </c>
    </row>
    <row r="551">
      <c r="A551" s="372" t="s">
        <v>265</v>
      </c>
      <c r="B551" s="372" t="s">
        <v>265</v>
      </c>
      <c r="C551" s="372" t="s">
        <v>265</v>
      </c>
    </row>
    <row r="552">
      <c r="A552" s="372" t="s">
        <v>265</v>
      </c>
      <c r="B552" s="372" t="s">
        <v>265</v>
      </c>
      <c r="C552" s="372" t="s">
        <v>265</v>
      </c>
    </row>
    <row r="553">
      <c r="A553" s="372" t="s">
        <v>265</v>
      </c>
      <c r="B553" s="372" t="s">
        <v>265</v>
      </c>
      <c r="C553" s="372" t="s">
        <v>265</v>
      </c>
    </row>
    <row r="554">
      <c r="A554" s="372" t="s">
        <v>265</v>
      </c>
      <c r="B554" s="372" t="s">
        <v>265</v>
      </c>
      <c r="C554" s="372" t="s">
        <v>265</v>
      </c>
    </row>
    <row r="555">
      <c r="A555" s="372" t="s">
        <v>265</v>
      </c>
      <c r="B555" s="372" t="s">
        <v>265</v>
      </c>
      <c r="C555" s="372" t="s">
        <v>265</v>
      </c>
    </row>
    <row r="556">
      <c r="A556" s="372" t="s">
        <v>265</v>
      </c>
      <c r="B556" s="372" t="s">
        <v>265</v>
      </c>
      <c r="C556" s="372" t="s">
        <v>265</v>
      </c>
    </row>
    <row r="557">
      <c r="A557" s="372" t="s">
        <v>265</v>
      </c>
      <c r="B557" s="372" t="s">
        <v>265</v>
      </c>
      <c r="C557" s="372" t="s">
        <v>265</v>
      </c>
    </row>
    <row r="558">
      <c r="A558" s="372" t="s">
        <v>265</v>
      </c>
      <c r="B558" s="372" t="s">
        <v>265</v>
      </c>
      <c r="C558" s="372" t="s">
        <v>265</v>
      </c>
    </row>
    <row r="559">
      <c r="A559" s="372" t="s">
        <v>265</v>
      </c>
      <c r="B559" s="372" t="s">
        <v>265</v>
      </c>
      <c r="C559" s="372" t="s">
        <v>265</v>
      </c>
    </row>
    <row r="560">
      <c r="A560" s="372" t="s">
        <v>265</v>
      </c>
      <c r="B560" s="372" t="s">
        <v>265</v>
      </c>
      <c r="C560" s="372" t="s">
        <v>265</v>
      </c>
    </row>
    <row r="561">
      <c r="A561" s="372" t="s">
        <v>265</v>
      </c>
      <c r="B561" s="372" t="s">
        <v>265</v>
      </c>
      <c r="C561" s="372" t="s">
        <v>265</v>
      </c>
    </row>
    <row r="562">
      <c r="A562" s="372" t="s">
        <v>265</v>
      </c>
      <c r="B562" s="372" t="s">
        <v>265</v>
      </c>
      <c r="C562" s="372" t="s">
        <v>265</v>
      </c>
    </row>
    <row r="563">
      <c r="A563" s="372" t="s">
        <v>265</v>
      </c>
      <c r="B563" s="372" t="s">
        <v>265</v>
      </c>
      <c r="C563" s="372" t="s">
        <v>265</v>
      </c>
    </row>
    <row r="564">
      <c r="A564" s="372" t="s">
        <v>265</v>
      </c>
      <c r="B564" s="372" t="s">
        <v>265</v>
      </c>
      <c r="C564" s="372" t="s">
        <v>265</v>
      </c>
    </row>
    <row r="565">
      <c r="A565" s="372" t="s">
        <v>265</v>
      </c>
      <c r="B565" s="372" t="s">
        <v>265</v>
      </c>
      <c r="C565" s="372" t="s">
        <v>265</v>
      </c>
    </row>
    <row r="566">
      <c r="A566" s="372" t="s">
        <v>265</v>
      </c>
      <c r="B566" s="372" t="s">
        <v>265</v>
      </c>
      <c r="C566" s="372" t="s">
        <v>265</v>
      </c>
    </row>
    <row r="567">
      <c r="A567" s="372" t="s">
        <v>265</v>
      </c>
      <c r="B567" s="372" t="s">
        <v>265</v>
      </c>
      <c r="C567" s="372" t="s">
        <v>265</v>
      </c>
    </row>
    <row r="568">
      <c r="A568" s="372" t="s">
        <v>265</v>
      </c>
      <c r="B568" s="372" t="s">
        <v>265</v>
      </c>
      <c r="C568" s="372" t="s">
        <v>265</v>
      </c>
    </row>
    <row r="569">
      <c r="A569" s="372" t="s">
        <v>265</v>
      </c>
      <c r="B569" s="372" t="s">
        <v>265</v>
      </c>
      <c r="C569" s="372" t="s">
        <v>265</v>
      </c>
    </row>
    <row r="570">
      <c r="A570" s="372" t="s">
        <v>265</v>
      </c>
      <c r="B570" s="372" t="s">
        <v>265</v>
      </c>
      <c r="C570" s="372" t="s">
        <v>265</v>
      </c>
    </row>
    <row r="571">
      <c r="A571" s="372" t="s">
        <v>265</v>
      </c>
      <c r="B571" s="372" t="s">
        <v>265</v>
      </c>
      <c r="C571" s="372" t="s">
        <v>265</v>
      </c>
    </row>
    <row r="572">
      <c r="A572" s="372" t="s">
        <v>265</v>
      </c>
      <c r="B572" s="372" t="s">
        <v>265</v>
      </c>
      <c r="C572" s="372" t="s">
        <v>265</v>
      </c>
    </row>
    <row r="573">
      <c r="A573" s="372" t="s">
        <v>265</v>
      </c>
      <c r="B573" s="372" t="s">
        <v>265</v>
      </c>
      <c r="C573" s="372" t="s">
        <v>265</v>
      </c>
    </row>
    <row r="574">
      <c r="A574" s="372" t="s">
        <v>265</v>
      </c>
      <c r="B574" s="372" t="s">
        <v>265</v>
      </c>
      <c r="C574" s="372" t="s">
        <v>265</v>
      </c>
    </row>
    <row r="575">
      <c r="A575" s="372" t="s">
        <v>265</v>
      </c>
      <c r="B575" s="372" t="s">
        <v>265</v>
      </c>
      <c r="C575" s="372" t="s">
        <v>265</v>
      </c>
    </row>
    <row r="576">
      <c r="A576" s="372" t="s">
        <v>265</v>
      </c>
      <c r="B576" s="372" t="s">
        <v>265</v>
      </c>
      <c r="C576" s="372" t="s">
        <v>265</v>
      </c>
    </row>
    <row r="577">
      <c r="A577" s="372" t="s">
        <v>265</v>
      </c>
      <c r="B577" s="372" t="s">
        <v>265</v>
      </c>
      <c r="C577" s="372" t="s">
        <v>265</v>
      </c>
    </row>
    <row r="578">
      <c r="A578" s="372" t="s">
        <v>265</v>
      </c>
      <c r="B578" s="372" t="s">
        <v>265</v>
      </c>
      <c r="C578" s="372" t="s">
        <v>265</v>
      </c>
    </row>
    <row r="579">
      <c r="A579" s="372" t="s">
        <v>265</v>
      </c>
      <c r="B579" s="372" t="s">
        <v>265</v>
      </c>
      <c r="C579" s="372" t="s">
        <v>265</v>
      </c>
    </row>
    <row r="580">
      <c r="A580" s="372" t="s">
        <v>265</v>
      </c>
      <c r="B580" s="372" t="s">
        <v>265</v>
      </c>
      <c r="C580" s="372" t="s">
        <v>265</v>
      </c>
    </row>
    <row r="581">
      <c r="A581" s="372" t="s">
        <v>265</v>
      </c>
      <c r="B581" s="372" t="s">
        <v>265</v>
      </c>
      <c r="C581" s="372" t="s">
        <v>265</v>
      </c>
    </row>
    <row r="582">
      <c r="A582" s="372" t="s">
        <v>265</v>
      </c>
      <c r="B582" s="372" t="s">
        <v>265</v>
      </c>
      <c r="C582" s="372" t="s">
        <v>265</v>
      </c>
    </row>
    <row r="583">
      <c r="A583" s="372" t="s">
        <v>265</v>
      </c>
      <c r="B583" s="372" t="s">
        <v>265</v>
      </c>
      <c r="C583" s="372" t="s">
        <v>265</v>
      </c>
    </row>
    <row r="584">
      <c r="A584" s="372" t="s">
        <v>265</v>
      </c>
      <c r="B584" s="372" t="s">
        <v>265</v>
      </c>
      <c r="C584" s="372" t="s">
        <v>265</v>
      </c>
    </row>
    <row r="585">
      <c r="A585" s="372" t="s">
        <v>265</v>
      </c>
      <c r="B585" s="372" t="s">
        <v>265</v>
      </c>
      <c r="C585" s="372" t="s">
        <v>265</v>
      </c>
    </row>
    <row r="586">
      <c r="A586" s="372" t="s">
        <v>265</v>
      </c>
      <c r="B586" s="372" t="s">
        <v>265</v>
      </c>
      <c r="C586" s="372" t="s">
        <v>265</v>
      </c>
    </row>
    <row r="587">
      <c r="A587" s="372" t="s">
        <v>265</v>
      </c>
      <c r="B587" s="372" t="s">
        <v>265</v>
      </c>
      <c r="C587" s="372" t="s">
        <v>265</v>
      </c>
    </row>
    <row r="588">
      <c r="A588" s="372" t="s">
        <v>265</v>
      </c>
      <c r="B588" s="372" t="s">
        <v>265</v>
      </c>
      <c r="C588" s="372" t="s">
        <v>265</v>
      </c>
    </row>
    <row r="589">
      <c r="A589" s="372" t="s">
        <v>265</v>
      </c>
      <c r="B589" s="372" t="s">
        <v>265</v>
      </c>
      <c r="C589" s="372" t="s">
        <v>265</v>
      </c>
    </row>
    <row r="590">
      <c r="A590" s="372" t="s">
        <v>265</v>
      </c>
      <c r="B590" s="372" t="s">
        <v>265</v>
      </c>
      <c r="C590" s="372" t="s">
        <v>265</v>
      </c>
    </row>
    <row r="591">
      <c r="A591" s="372" t="s">
        <v>265</v>
      </c>
      <c r="B591" s="372" t="s">
        <v>265</v>
      </c>
      <c r="C591" s="372" t="s">
        <v>265</v>
      </c>
    </row>
    <row r="592">
      <c r="A592" s="372" t="s">
        <v>265</v>
      </c>
      <c r="B592" s="372" t="s">
        <v>265</v>
      </c>
      <c r="C592" s="372" t="s">
        <v>265</v>
      </c>
    </row>
    <row r="593">
      <c r="A593" s="372" t="s">
        <v>265</v>
      </c>
      <c r="B593" s="372" t="s">
        <v>265</v>
      </c>
      <c r="C593" s="372" t="s">
        <v>265</v>
      </c>
    </row>
    <row r="594">
      <c r="A594" s="372" t="s">
        <v>265</v>
      </c>
      <c r="B594" s="372" t="s">
        <v>265</v>
      </c>
      <c r="C594" s="372" t="s">
        <v>265</v>
      </c>
    </row>
    <row r="595">
      <c r="A595" s="372" t="s">
        <v>265</v>
      </c>
      <c r="B595" s="372" t="s">
        <v>265</v>
      </c>
      <c r="C595" s="372" t="s">
        <v>265</v>
      </c>
    </row>
    <row r="596">
      <c r="A596" s="372" t="s">
        <v>265</v>
      </c>
      <c r="B596" s="372" t="s">
        <v>265</v>
      </c>
      <c r="C596" s="372" t="s">
        <v>265</v>
      </c>
    </row>
    <row r="597">
      <c r="A597" s="372" t="s">
        <v>265</v>
      </c>
      <c r="B597" s="372" t="s">
        <v>265</v>
      </c>
      <c r="C597" s="372" t="s">
        <v>265</v>
      </c>
    </row>
    <row r="598">
      <c r="A598" s="372" t="s">
        <v>265</v>
      </c>
      <c r="B598" s="372" t="s">
        <v>265</v>
      </c>
      <c r="C598" s="372" t="s">
        <v>265</v>
      </c>
    </row>
    <row r="599">
      <c r="A599" s="372" t="s">
        <v>265</v>
      </c>
      <c r="B599" s="372" t="s">
        <v>265</v>
      </c>
      <c r="C599" s="372" t="s">
        <v>265</v>
      </c>
    </row>
    <row r="600">
      <c r="A600" s="372" t="s">
        <v>265</v>
      </c>
      <c r="B600" s="372" t="s">
        <v>265</v>
      </c>
      <c r="C600" s="372" t="s">
        <v>265</v>
      </c>
    </row>
    <row r="601">
      <c r="A601" s="372" t="s">
        <v>265</v>
      </c>
      <c r="B601" s="372" t="s">
        <v>265</v>
      </c>
      <c r="C601" s="372" t="s">
        <v>265</v>
      </c>
    </row>
    <row r="602">
      <c r="A602" s="372" t="s">
        <v>265</v>
      </c>
      <c r="B602" s="372" t="s">
        <v>265</v>
      </c>
      <c r="C602" s="372" t="s">
        <v>265</v>
      </c>
    </row>
    <row r="603">
      <c r="A603" s="372" t="s">
        <v>265</v>
      </c>
      <c r="B603" s="372" t="s">
        <v>265</v>
      </c>
      <c r="C603" s="372" t="s">
        <v>265</v>
      </c>
    </row>
    <row r="604">
      <c r="A604" s="372" t="s">
        <v>265</v>
      </c>
      <c r="B604" s="372" t="s">
        <v>265</v>
      </c>
      <c r="C604" s="372" t="s">
        <v>265</v>
      </c>
    </row>
    <row r="605">
      <c r="A605" s="372" t="s">
        <v>265</v>
      </c>
      <c r="B605" s="372" t="s">
        <v>265</v>
      </c>
      <c r="C605" s="372" t="s">
        <v>265</v>
      </c>
    </row>
    <row r="606">
      <c r="A606" s="372" t="s">
        <v>265</v>
      </c>
      <c r="B606" s="372" t="s">
        <v>265</v>
      </c>
      <c r="C606" s="372" t="s">
        <v>265</v>
      </c>
    </row>
    <row r="607">
      <c r="A607" s="372" t="s">
        <v>265</v>
      </c>
      <c r="B607" s="372" t="s">
        <v>265</v>
      </c>
      <c r="C607" s="372" t="s">
        <v>265</v>
      </c>
    </row>
    <row r="608">
      <c r="A608" s="372" t="s">
        <v>265</v>
      </c>
      <c r="B608" s="372" t="s">
        <v>265</v>
      </c>
      <c r="C608" s="372" t="s">
        <v>265</v>
      </c>
    </row>
    <row r="609">
      <c r="A609" s="372" t="s">
        <v>265</v>
      </c>
      <c r="B609" s="372" t="s">
        <v>265</v>
      </c>
      <c r="C609" s="372" t="s">
        <v>265</v>
      </c>
    </row>
    <row r="610">
      <c r="A610" s="372" t="s">
        <v>265</v>
      </c>
      <c r="B610" s="372" t="s">
        <v>265</v>
      </c>
      <c r="C610" s="372" t="s">
        <v>265</v>
      </c>
    </row>
    <row r="611">
      <c r="A611" s="372" t="s">
        <v>265</v>
      </c>
      <c r="B611" s="372" t="s">
        <v>265</v>
      </c>
      <c r="C611" s="372" t="s">
        <v>265</v>
      </c>
    </row>
    <row r="612">
      <c r="A612" s="372" t="s">
        <v>265</v>
      </c>
      <c r="B612" s="372" t="s">
        <v>265</v>
      </c>
      <c r="C612" s="372" t="s">
        <v>265</v>
      </c>
    </row>
    <row r="613">
      <c r="A613" s="372" t="s">
        <v>265</v>
      </c>
      <c r="B613" s="372" t="s">
        <v>265</v>
      </c>
      <c r="C613" s="372" t="s">
        <v>265</v>
      </c>
    </row>
    <row r="614">
      <c r="A614" s="372" t="s">
        <v>265</v>
      </c>
      <c r="B614" s="372" t="s">
        <v>265</v>
      </c>
      <c r="C614" s="372" t="s">
        <v>265</v>
      </c>
    </row>
    <row r="615">
      <c r="A615" s="372" t="s">
        <v>265</v>
      </c>
      <c r="B615" s="372" t="s">
        <v>265</v>
      </c>
      <c r="C615" s="372" t="s">
        <v>265</v>
      </c>
    </row>
    <row r="616">
      <c r="A616" s="372" t="s">
        <v>265</v>
      </c>
      <c r="B616" s="372" t="s">
        <v>265</v>
      </c>
      <c r="C616" s="372" t="s">
        <v>265</v>
      </c>
    </row>
    <row r="617">
      <c r="A617" s="372" t="s">
        <v>265</v>
      </c>
      <c r="B617" s="372" t="s">
        <v>265</v>
      </c>
      <c r="C617" s="372" t="s">
        <v>265</v>
      </c>
    </row>
    <row r="618">
      <c r="A618" s="372" t="s">
        <v>265</v>
      </c>
      <c r="B618" s="372" t="s">
        <v>265</v>
      </c>
      <c r="C618" s="372" t="s">
        <v>265</v>
      </c>
    </row>
    <row r="619">
      <c r="A619" s="372" t="s">
        <v>265</v>
      </c>
      <c r="B619" s="372" t="s">
        <v>265</v>
      </c>
      <c r="C619" s="372" t="s">
        <v>265</v>
      </c>
    </row>
    <row r="620">
      <c r="A620" s="372" t="s">
        <v>265</v>
      </c>
      <c r="B620" s="372" t="s">
        <v>265</v>
      </c>
      <c r="C620" s="372" t="s">
        <v>265</v>
      </c>
    </row>
    <row r="621">
      <c r="A621" s="372" t="s">
        <v>265</v>
      </c>
      <c r="B621" s="372" t="s">
        <v>265</v>
      </c>
      <c r="C621" s="372" t="s">
        <v>265</v>
      </c>
    </row>
    <row r="622">
      <c r="A622" s="372" t="s">
        <v>265</v>
      </c>
      <c r="B622" s="372" t="s">
        <v>265</v>
      </c>
      <c r="C622" s="372" t="s">
        <v>265</v>
      </c>
    </row>
    <row r="623">
      <c r="A623" s="372" t="s">
        <v>265</v>
      </c>
      <c r="B623" s="372" t="s">
        <v>265</v>
      </c>
      <c r="C623" s="372" t="s">
        <v>265</v>
      </c>
    </row>
    <row r="624">
      <c r="A624" s="372" t="s">
        <v>265</v>
      </c>
      <c r="B624" s="372" t="s">
        <v>265</v>
      </c>
      <c r="C624" s="372" t="s">
        <v>265</v>
      </c>
    </row>
    <row r="625">
      <c r="A625" s="372" t="s">
        <v>265</v>
      </c>
      <c r="B625" s="372" t="s">
        <v>265</v>
      </c>
      <c r="C625" s="372" t="s">
        <v>265</v>
      </c>
    </row>
    <row r="626">
      <c r="A626" s="372" t="s">
        <v>265</v>
      </c>
      <c r="B626" s="372" t="s">
        <v>265</v>
      </c>
      <c r="C626" s="372" t="s">
        <v>265</v>
      </c>
    </row>
    <row r="627">
      <c r="A627" s="372" t="s">
        <v>265</v>
      </c>
      <c r="B627" s="372" t="s">
        <v>265</v>
      </c>
      <c r="C627" s="372" t="s">
        <v>265</v>
      </c>
    </row>
    <row r="628">
      <c r="A628" s="372" t="s">
        <v>265</v>
      </c>
      <c r="B628" s="372" t="s">
        <v>265</v>
      </c>
      <c r="C628" s="372" t="s">
        <v>265</v>
      </c>
    </row>
    <row r="629">
      <c r="A629" s="372" t="s">
        <v>265</v>
      </c>
      <c r="B629" s="372" t="s">
        <v>265</v>
      </c>
      <c r="C629" s="372" t="s">
        <v>265</v>
      </c>
    </row>
    <row r="630">
      <c r="A630" s="372" t="s">
        <v>265</v>
      </c>
      <c r="B630" s="372" t="s">
        <v>265</v>
      </c>
      <c r="C630" s="372" t="s">
        <v>265</v>
      </c>
    </row>
    <row r="631">
      <c r="A631" s="372" t="s">
        <v>265</v>
      </c>
      <c r="B631" s="372" t="s">
        <v>265</v>
      </c>
      <c r="C631" s="372" t="s">
        <v>265</v>
      </c>
    </row>
    <row r="632">
      <c r="A632" s="372" t="s">
        <v>265</v>
      </c>
      <c r="B632" s="372" t="s">
        <v>265</v>
      </c>
      <c r="C632" s="372" t="s">
        <v>265</v>
      </c>
    </row>
    <row r="633">
      <c r="A633" s="372" t="s">
        <v>265</v>
      </c>
      <c r="B633" s="372" t="s">
        <v>265</v>
      </c>
      <c r="C633" s="372" t="s">
        <v>265</v>
      </c>
    </row>
    <row r="634">
      <c r="A634" s="372" t="s">
        <v>265</v>
      </c>
      <c r="B634" s="372" t="s">
        <v>265</v>
      </c>
      <c r="C634" s="372" t="s">
        <v>265</v>
      </c>
    </row>
    <row r="635">
      <c r="A635" s="372" t="s">
        <v>265</v>
      </c>
      <c r="B635" s="372" t="s">
        <v>265</v>
      </c>
      <c r="C635" s="372" t="s">
        <v>265</v>
      </c>
    </row>
    <row r="636">
      <c r="A636" s="372" t="s">
        <v>265</v>
      </c>
      <c r="B636" s="372" t="s">
        <v>265</v>
      </c>
      <c r="C636" s="372" t="s">
        <v>265</v>
      </c>
    </row>
    <row r="637">
      <c r="A637" s="372" t="s">
        <v>265</v>
      </c>
      <c r="B637" s="372" t="s">
        <v>265</v>
      </c>
      <c r="C637" s="372" t="s">
        <v>265</v>
      </c>
    </row>
    <row r="638">
      <c r="A638" s="372" t="s">
        <v>265</v>
      </c>
      <c r="B638" s="372" t="s">
        <v>265</v>
      </c>
      <c r="C638" s="372" t="s">
        <v>265</v>
      </c>
    </row>
    <row r="639">
      <c r="A639" s="372" t="s">
        <v>265</v>
      </c>
      <c r="B639" s="372" t="s">
        <v>265</v>
      </c>
      <c r="C639" s="372" t="s">
        <v>265</v>
      </c>
    </row>
    <row r="640">
      <c r="A640" s="372" t="s">
        <v>265</v>
      </c>
      <c r="B640" s="372" t="s">
        <v>265</v>
      </c>
      <c r="C640" s="372" t="s">
        <v>265</v>
      </c>
    </row>
    <row r="641">
      <c r="A641" s="372" t="s">
        <v>265</v>
      </c>
      <c r="B641" s="372" t="s">
        <v>265</v>
      </c>
      <c r="C641" s="372" t="s">
        <v>265</v>
      </c>
    </row>
    <row r="642">
      <c r="A642" s="372" t="s">
        <v>265</v>
      </c>
      <c r="B642" s="372" t="s">
        <v>265</v>
      </c>
      <c r="C642" s="372" t="s">
        <v>265</v>
      </c>
    </row>
    <row r="643">
      <c r="A643" s="372" t="s">
        <v>265</v>
      </c>
      <c r="B643" s="372" t="s">
        <v>265</v>
      </c>
      <c r="C643" s="372" t="s">
        <v>265</v>
      </c>
    </row>
    <row r="644">
      <c r="A644" s="372" t="s">
        <v>265</v>
      </c>
      <c r="B644" s="372" t="s">
        <v>265</v>
      </c>
      <c r="C644" s="372" t="s">
        <v>265</v>
      </c>
    </row>
    <row r="645">
      <c r="A645" s="372" t="s">
        <v>265</v>
      </c>
      <c r="B645" s="372" t="s">
        <v>265</v>
      </c>
      <c r="C645" s="372" t="s">
        <v>265</v>
      </c>
    </row>
    <row r="646">
      <c r="A646" s="372" t="s">
        <v>265</v>
      </c>
      <c r="B646" s="372" t="s">
        <v>265</v>
      </c>
      <c r="C646" s="372" t="s">
        <v>265</v>
      </c>
    </row>
    <row r="647">
      <c r="A647" s="372" t="s">
        <v>265</v>
      </c>
      <c r="B647" s="372" t="s">
        <v>265</v>
      </c>
      <c r="C647" s="372" t="s">
        <v>265</v>
      </c>
    </row>
    <row r="648">
      <c r="A648" s="372" t="s">
        <v>265</v>
      </c>
      <c r="B648" s="372" t="s">
        <v>265</v>
      </c>
      <c r="C648" s="372" t="s">
        <v>265</v>
      </c>
    </row>
    <row r="649">
      <c r="A649" s="372" t="s">
        <v>265</v>
      </c>
      <c r="B649" s="372" t="s">
        <v>265</v>
      </c>
      <c r="C649" s="372" t="s">
        <v>265</v>
      </c>
    </row>
    <row r="650">
      <c r="A650" s="372" t="s">
        <v>265</v>
      </c>
      <c r="B650" s="372" t="s">
        <v>265</v>
      </c>
      <c r="C650" s="372" t="s">
        <v>265</v>
      </c>
    </row>
    <row r="651">
      <c r="A651" s="372" t="s">
        <v>265</v>
      </c>
      <c r="B651" s="372" t="s">
        <v>265</v>
      </c>
      <c r="C651" s="372" t="s">
        <v>265</v>
      </c>
    </row>
    <row r="652">
      <c r="A652" s="372" t="s">
        <v>265</v>
      </c>
      <c r="B652" s="372" t="s">
        <v>265</v>
      </c>
      <c r="C652" s="372" t="s">
        <v>265</v>
      </c>
    </row>
    <row r="653">
      <c r="A653" s="372" t="s">
        <v>265</v>
      </c>
      <c r="B653" s="372" t="s">
        <v>265</v>
      </c>
      <c r="C653" s="372" t="s">
        <v>265</v>
      </c>
    </row>
    <row r="654">
      <c r="A654" s="372" t="s">
        <v>265</v>
      </c>
      <c r="B654" s="372" t="s">
        <v>265</v>
      </c>
      <c r="C654" s="372" t="s">
        <v>265</v>
      </c>
    </row>
    <row r="655">
      <c r="A655" s="372" t="s">
        <v>265</v>
      </c>
      <c r="B655" s="372" t="s">
        <v>265</v>
      </c>
      <c r="C655" s="372" t="s">
        <v>265</v>
      </c>
    </row>
    <row r="656">
      <c r="A656" s="372" t="s">
        <v>265</v>
      </c>
      <c r="B656" s="372" t="s">
        <v>265</v>
      </c>
      <c r="C656" s="372" t="s">
        <v>265</v>
      </c>
    </row>
    <row r="657">
      <c r="A657" s="372" t="s">
        <v>265</v>
      </c>
      <c r="B657" s="372" t="s">
        <v>265</v>
      </c>
      <c r="C657" s="372" t="s">
        <v>265</v>
      </c>
    </row>
    <row r="658">
      <c r="A658" s="372" t="s">
        <v>265</v>
      </c>
      <c r="B658" s="372" t="s">
        <v>265</v>
      </c>
      <c r="C658" s="372" t="s">
        <v>265</v>
      </c>
    </row>
    <row r="659">
      <c r="A659" s="372" t="s">
        <v>265</v>
      </c>
      <c r="B659" s="372" t="s">
        <v>265</v>
      </c>
      <c r="C659" s="372" t="s">
        <v>265</v>
      </c>
    </row>
    <row r="660">
      <c r="A660" s="372" t="s">
        <v>265</v>
      </c>
      <c r="B660" s="372" t="s">
        <v>265</v>
      </c>
      <c r="C660" s="372" t="s">
        <v>265</v>
      </c>
    </row>
    <row r="661">
      <c r="A661" s="372" t="s">
        <v>265</v>
      </c>
      <c r="B661" s="372" t="s">
        <v>265</v>
      </c>
      <c r="C661" s="372" t="s">
        <v>265</v>
      </c>
    </row>
    <row r="662">
      <c r="A662" s="372" t="s">
        <v>265</v>
      </c>
      <c r="B662" s="372" t="s">
        <v>265</v>
      </c>
      <c r="C662" s="372" t="s">
        <v>265</v>
      </c>
    </row>
    <row r="663">
      <c r="A663" s="372" t="s">
        <v>265</v>
      </c>
      <c r="B663" s="372" t="s">
        <v>265</v>
      </c>
      <c r="C663" s="372" t="s">
        <v>265</v>
      </c>
    </row>
    <row r="664">
      <c r="A664" s="372" t="s">
        <v>265</v>
      </c>
      <c r="B664" s="372" t="s">
        <v>265</v>
      </c>
      <c r="C664" s="372" t="s">
        <v>265</v>
      </c>
    </row>
    <row r="665">
      <c r="A665" s="372" t="s">
        <v>265</v>
      </c>
      <c r="B665" s="372" t="s">
        <v>265</v>
      </c>
      <c r="C665" s="372" t="s">
        <v>265</v>
      </c>
    </row>
    <row r="666">
      <c r="A666" s="372" t="s">
        <v>265</v>
      </c>
      <c r="B666" s="372" t="s">
        <v>265</v>
      </c>
      <c r="C666" s="372" t="s">
        <v>265</v>
      </c>
    </row>
    <row r="667">
      <c r="A667" s="372" t="s">
        <v>265</v>
      </c>
      <c r="B667" s="372" t="s">
        <v>265</v>
      </c>
      <c r="C667" s="372" t="s">
        <v>265</v>
      </c>
    </row>
    <row r="668">
      <c r="A668" s="372" t="s">
        <v>265</v>
      </c>
      <c r="B668" s="372" t="s">
        <v>265</v>
      </c>
      <c r="C668" s="372" t="s">
        <v>265</v>
      </c>
    </row>
    <row r="669">
      <c r="A669" s="372" t="s">
        <v>265</v>
      </c>
      <c r="B669" s="372" t="s">
        <v>265</v>
      </c>
      <c r="C669" s="372" t="s">
        <v>265</v>
      </c>
    </row>
    <row r="670">
      <c r="A670" s="372" t="s">
        <v>265</v>
      </c>
      <c r="B670" s="372" t="s">
        <v>265</v>
      </c>
      <c r="C670" s="372" t="s">
        <v>265</v>
      </c>
    </row>
    <row r="671">
      <c r="A671" s="372" t="s">
        <v>265</v>
      </c>
      <c r="B671" s="372" t="s">
        <v>265</v>
      </c>
      <c r="C671" s="372" t="s">
        <v>265</v>
      </c>
    </row>
    <row r="672">
      <c r="A672" s="372" t="s">
        <v>265</v>
      </c>
      <c r="B672" s="372" t="s">
        <v>265</v>
      </c>
      <c r="C672" s="372" t="s">
        <v>265</v>
      </c>
    </row>
    <row r="673">
      <c r="A673" s="372" t="s">
        <v>265</v>
      </c>
      <c r="B673" s="372" t="s">
        <v>265</v>
      </c>
      <c r="C673" s="372" t="s">
        <v>265</v>
      </c>
    </row>
    <row r="674">
      <c r="A674" s="372" t="s">
        <v>265</v>
      </c>
      <c r="B674" s="372" t="s">
        <v>265</v>
      </c>
      <c r="C674" s="372" t="s">
        <v>265</v>
      </c>
    </row>
    <row r="675">
      <c r="A675" s="372" t="s">
        <v>265</v>
      </c>
      <c r="B675" s="372" t="s">
        <v>265</v>
      </c>
      <c r="C675" s="372" t="s">
        <v>265</v>
      </c>
    </row>
    <row r="676">
      <c r="A676" s="372" t="s">
        <v>265</v>
      </c>
      <c r="B676" s="372" t="s">
        <v>265</v>
      </c>
      <c r="C676" s="372" t="s">
        <v>265</v>
      </c>
    </row>
    <row r="677">
      <c r="A677" s="372" t="s">
        <v>265</v>
      </c>
      <c r="B677" s="372" t="s">
        <v>265</v>
      </c>
      <c r="C677" s="372" t="s">
        <v>265</v>
      </c>
    </row>
    <row r="678">
      <c r="A678" s="372" t="s">
        <v>265</v>
      </c>
      <c r="B678" s="372" t="s">
        <v>265</v>
      </c>
      <c r="C678" s="372" t="s">
        <v>265</v>
      </c>
    </row>
    <row r="679">
      <c r="A679" s="372" t="s">
        <v>265</v>
      </c>
      <c r="B679" s="372" t="s">
        <v>265</v>
      </c>
      <c r="C679" s="372" t="s">
        <v>265</v>
      </c>
    </row>
    <row r="680">
      <c r="A680" s="372" t="s">
        <v>265</v>
      </c>
      <c r="B680" s="372" t="s">
        <v>265</v>
      </c>
      <c r="C680" s="372" t="s">
        <v>265</v>
      </c>
    </row>
    <row r="681">
      <c r="A681" s="372" t="s">
        <v>265</v>
      </c>
      <c r="B681" s="372" t="s">
        <v>265</v>
      </c>
      <c r="C681" s="372" t="s">
        <v>265</v>
      </c>
    </row>
    <row r="682">
      <c r="A682" s="372" t="s">
        <v>265</v>
      </c>
      <c r="B682" s="372" t="s">
        <v>265</v>
      </c>
      <c r="C682" s="372" t="s">
        <v>265</v>
      </c>
    </row>
    <row r="683">
      <c r="A683" s="372" t="s">
        <v>265</v>
      </c>
      <c r="B683" s="372" t="s">
        <v>265</v>
      </c>
      <c r="C683" s="372" t="s">
        <v>265</v>
      </c>
    </row>
    <row r="684">
      <c r="A684" s="372" t="s">
        <v>265</v>
      </c>
      <c r="B684" s="372" t="s">
        <v>265</v>
      </c>
      <c r="C684" s="372" t="s">
        <v>265</v>
      </c>
    </row>
    <row r="685">
      <c r="A685" s="372" t="s">
        <v>265</v>
      </c>
      <c r="B685" s="372" t="s">
        <v>265</v>
      </c>
      <c r="C685" s="372" t="s">
        <v>265</v>
      </c>
    </row>
    <row r="686">
      <c r="A686" s="372" t="s">
        <v>265</v>
      </c>
      <c r="B686" s="372" t="s">
        <v>265</v>
      </c>
      <c r="C686" s="372" t="s">
        <v>265</v>
      </c>
    </row>
    <row r="687">
      <c r="A687" s="372" t="s">
        <v>265</v>
      </c>
      <c r="B687" s="372" t="s">
        <v>265</v>
      </c>
      <c r="C687" s="372" t="s">
        <v>265</v>
      </c>
    </row>
    <row r="688">
      <c r="A688" s="372" t="s">
        <v>265</v>
      </c>
      <c r="B688" s="372" t="s">
        <v>265</v>
      </c>
      <c r="C688" s="372" t="s">
        <v>265</v>
      </c>
    </row>
    <row r="689">
      <c r="A689" s="372" t="s">
        <v>265</v>
      </c>
      <c r="B689" s="372" t="s">
        <v>265</v>
      </c>
      <c r="C689" s="372" t="s">
        <v>265</v>
      </c>
    </row>
    <row r="690">
      <c r="A690" s="372" t="s">
        <v>265</v>
      </c>
      <c r="B690" s="372" t="s">
        <v>265</v>
      </c>
      <c r="C690" s="372" t="s">
        <v>265</v>
      </c>
    </row>
    <row r="691">
      <c r="A691" s="372" t="s">
        <v>265</v>
      </c>
      <c r="B691" s="372" t="s">
        <v>265</v>
      </c>
      <c r="C691" s="372" t="s">
        <v>265</v>
      </c>
    </row>
    <row r="692">
      <c r="A692" s="372" t="s">
        <v>265</v>
      </c>
      <c r="B692" s="372" t="s">
        <v>265</v>
      </c>
      <c r="C692" s="372" t="s">
        <v>265</v>
      </c>
    </row>
    <row r="693">
      <c r="A693" s="372" t="s">
        <v>265</v>
      </c>
      <c r="B693" s="372" t="s">
        <v>265</v>
      </c>
      <c r="C693" s="372" t="s">
        <v>265</v>
      </c>
    </row>
    <row r="694">
      <c r="A694" s="372" t="s">
        <v>265</v>
      </c>
      <c r="B694" s="372" t="s">
        <v>265</v>
      </c>
      <c r="C694" s="372" t="s">
        <v>265</v>
      </c>
    </row>
    <row r="695">
      <c r="A695" s="372" t="s">
        <v>265</v>
      </c>
      <c r="B695" s="372" t="s">
        <v>265</v>
      </c>
      <c r="C695" s="372" t="s">
        <v>265</v>
      </c>
    </row>
    <row r="696">
      <c r="A696" s="372" t="s">
        <v>265</v>
      </c>
      <c r="B696" s="372" t="s">
        <v>265</v>
      </c>
      <c r="C696" s="372" t="s">
        <v>265</v>
      </c>
    </row>
    <row r="697">
      <c r="A697" s="372" t="s">
        <v>265</v>
      </c>
      <c r="B697" s="372" t="s">
        <v>265</v>
      </c>
      <c r="C697" s="372" t="s">
        <v>265</v>
      </c>
    </row>
    <row r="698">
      <c r="A698" s="372" t="s">
        <v>265</v>
      </c>
      <c r="B698" s="372" t="s">
        <v>265</v>
      </c>
      <c r="C698" s="372" t="s">
        <v>265</v>
      </c>
    </row>
    <row r="699">
      <c r="A699" s="372" t="s">
        <v>265</v>
      </c>
      <c r="B699" s="372" t="s">
        <v>265</v>
      </c>
      <c r="C699" s="372" t="s">
        <v>265</v>
      </c>
    </row>
    <row r="700">
      <c r="A700" s="372" t="s">
        <v>265</v>
      </c>
      <c r="B700" s="372" t="s">
        <v>265</v>
      </c>
      <c r="C700" s="372" t="s">
        <v>265</v>
      </c>
    </row>
    <row r="701">
      <c r="A701" s="372" t="s">
        <v>265</v>
      </c>
      <c r="B701" s="372" t="s">
        <v>265</v>
      </c>
      <c r="C701" s="372" t="s">
        <v>265</v>
      </c>
    </row>
    <row r="702">
      <c r="A702" s="372" t="s">
        <v>265</v>
      </c>
      <c r="B702" s="372" t="s">
        <v>265</v>
      </c>
      <c r="C702" s="372" t="s">
        <v>265</v>
      </c>
    </row>
    <row r="703">
      <c r="A703" s="372" t="s">
        <v>265</v>
      </c>
      <c r="B703" s="372" t="s">
        <v>265</v>
      </c>
      <c r="C703" s="372" t="s">
        <v>265</v>
      </c>
    </row>
    <row r="704">
      <c r="A704" s="372" t="s">
        <v>265</v>
      </c>
      <c r="B704" s="372" t="s">
        <v>265</v>
      </c>
      <c r="C704" s="372" t="s">
        <v>265</v>
      </c>
    </row>
    <row r="705">
      <c r="A705" s="372" t="s">
        <v>265</v>
      </c>
      <c r="B705" s="372" t="s">
        <v>265</v>
      </c>
      <c r="C705" s="372" t="s">
        <v>265</v>
      </c>
    </row>
    <row r="706">
      <c r="A706" s="372" t="s">
        <v>265</v>
      </c>
      <c r="B706" s="372" t="s">
        <v>265</v>
      </c>
      <c r="C706" s="372" t="s">
        <v>265</v>
      </c>
    </row>
    <row r="707">
      <c r="A707" s="372" t="s">
        <v>265</v>
      </c>
      <c r="B707" s="372" t="s">
        <v>265</v>
      </c>
      <c r="C707" s="372" t="s">
        <v>265</v>
      </c>
    </row>
    <row r="708">
      <c r="A708" s="372" t="s">
        <v>265</v>
      </c>
      <c r="B708" s="372" t="s">
        <v>265</v>
      </c>
      <c r="C708" s="372" t="s">
        <v>265</v>
      </c>
    </row>
    <row r="709">
      <c r="A709" s="372" t="s">
        <v>265</v>
      </c>
      <c r="B709" s="372" t="s">
        <v>265</v>
      </c>
      <c r="C709" s="372" t="s">
        <v>265</v>
      </c>
    </row>
    <row r="710">
      <c r="A710" s="372" t="s">
        <v>265</v>
      </c>
      <c r="B710" s="372" t="s">
        <v>265</v>
      </c>
      <c r="C710" s="372" t="s">
        <v>265</v>
      </c>
    </row>
    <row r="711">
      <c r="A711" s="372" t="s">
        <v>265</v>
      </c>
      <c r="B711" s="372" t="s">
        <v>265</v>
      </c>
      <c r="C711" s="372" t="s">
        <v>265</v>
      </c>
    </row>
    <row r="712">
      <c r="A712" s="372" t="s">
        <v>265</v>
      </c>
      <c r="B712" s="372" t="s">
        <v>265</v>
      </c>
      <c r="C712" s="372" t="s">
        <v>265</v>
      </c>
    </row>
    <row r="713">
      <c r="A713" s="372" t="s">
        <v>265</v>
      </c>
      <c r="B713" s="372" t="s">
        <v>265</v>
      </c>
      <c r="C713" s="372" t="s">
        <v>265</v>
      </c>
    </row>
    <row r="714">
      <c r="A714" s="372" t="s">
        <v>265</v>
      </c>
      <c r="B714" s="372" t="s">
        <v>265</v>
      </c>
      <c r="C714" s="372" t="s">
        <v>265</v>
      </c>
    </row>
    <row r="715">
      <c r="A715" s="372" t="s">
        <v>265</v>
      </c>
      <c r="B715" s="372" t="s">
        <v>265</v>
      </c>
      <c r="C715" s="372" t="s">
        <v>265</v>
      </c>
    </row>
    <row r="716">
      <c r="A716" s="372" t="s">
        <v>265</v>
      </c>
      <c r="B716" s="372" t="s">
        <v>265</v>
      </c>
      <c r="C716" s="372" t="s">
        <v>265</v>
      </c>
    </row>
    <row r="717">
      <c r="A717" s="372" t="s">
        <v>265</v>
      </c>
      <c r="B717" s="372" t="s">
        <v>265</v>
      </c>
      <c r="C717" s="372" t="s">
        <v>265</v>
      </c>
    </row>
    <row r="718">
      <c r="A718" s="372" t="s">
        <v>265</v>
      </c>
      <c r="B718" s="372" t="s">
        <v>265</v>
      </c>
      <c r="C718" s="372" t="s">
        <v>265</v>
      </c>
    </row>
    <row r="719">
      <c r="A719" s="372" t="s">
        <v>265</v>
      </c>
      <c r="B719" s="372" t="s">
        <v>265</v>
      </c>
      <c r="C719" s="372" t="s">
        <v>265</v>
      </c>
    </row>
    <row r="720">
      <c r="A720" s="372" t="s">
        <v>265</v>
      </c>
      <c r="B720" s="372" t="s">
        <v>265</v>
      </c>
      <c r="C720" s="372" t="s">
        <v>265</v>
      </c>
    </row>
    <row r="721">
      <c r="A721" s="372" t="s">
        <v>265</v>
      </c>
      <c r="B721" s="372" t="s">
        <v>265</v>
      </c>
      <c r="C721" s="372" t="s">
        <v>265</v>
      </c>
    </row>
    <row r="722">
      <c r="A722" s="372" t="s">
        <v>265</v>
      </c>
      <c r="B722" s="372" t="s">
        <v>265</v>
      </c>
      <c r="C722" s="372" t="s">
        <v>265</v>
      </c>
    </row>
    <row r="723">
      <c r="A723" s="372" t="s">
        <v>265</v>
      </c>
      <c r="B723" s="372" t="s">
        <v>265</v>
      </c>
      <c r="C723" s="372" t="s">
        <v>265</v>
      </c>
    </row>
    <row r="724">
      <c r="A724" s="372" t="s">
        <v>265</v>
      </c>
      <c r="B724" s="372" t="s">
        <v>265</v>
      </c>
      <c r="C724" s="372" t="s">
        <v>265</v>
      </c>
    </row>
    <row r="725">
      <c r="A725" s="372" t="s">
        <v>265</v>
      </c>
      <c r="B725" s="372" t="s">
        <v>265</v>
      </c>
      <c r="C725" s="372" t="s">
        <v>265</v>
      </c>
    </row>
    <row r="726">
      <c r="A726" s="372" t="s">
        <v>265</v>
      </c>
      <c r="B726" s="372" t="s">
        <v>265</v>
      </c>
      <c r="C726" s="372" t="s">
        <v>265</v>
      </c>
    </row>
    <row r="727">
      <c r="A727" s="372" t="s">
        <v>265</v>
      </c>
      <c r="B727" s="372" t="s">
        <v>265</v>
      </c>
      <c r="C727" s="372" t="s">
        <v>265</v>
      </c>
    </row>
    <row r="728">
      <c r="A728" s="372" t="s">
        <v>265</v>
      </c>
      <c r="B728" s="372" t="s">
        <v>265</v>
      </c>
      <c r="C728" s="372" t="s">
        <v>265</v>
      </c>
    </row>
    <row r="729">
      <c r="A729" s="372" t="s">
        <v>265</v>
      </c>
      <c r="B729" s="372" t="s">
        <v>265</v>
      </c>
      <c r="C729" s="372" t="s">
        <v>265</v>
      </c>
    </row>
    <row r="730">
      <c r="A730" s="372" t="s">
        <v>265</v>
      </c>
      <c r="B730" s="372" t="s">
        <v>265</v>
      </c>
      <c r="C730" s="372" t="s">
        <v>265</v>
      </c>
    </row>
    <row r="731">
      <c r="A731" s="372" t="s">
        <v>265</v>
      </c>
      <c r="B731" s="372" t="s">
        <v>265</v>
      </c>
      <c r="C731" s="372" t="s">
        <v>265</v>
      </c>
    </row>
    <row r="732">
      <c r="A732" s="372" t="s">
        <v>265</v>
      </c>
      <c r="B732" s="372" t="s">
        <v>265</v>
      </c>
      <c r="C732" s="372" t="s">
        <v>265</v>
      </c>
    </row>
    <row r="733">
      <c r="A733" s="372" t="s">
        <v>265</v>
      </c>
      <c r="B733" s="372" t="s">
        <v>265</v>
      </c>
      <c r="C733" s="372" t="s">
        <v>265</v>
      </c>
    </row>
    <row r="734">
      <c r="A734" s="372" t="s">
        <v>265</v>
      </c>
      <c r="B734" s="372" t="s">
        <v>265</v>
      </c>
      <c r="C734" s="372" t="s">
        <v>265</v>
      </c>
    </row>
    <row r="735">
      <c r="A735" s="372" t="s">
        <v>265</v>
      </c>
      <c r="B735" s="372" t="s">
        <v>265</v>
      </c>
      <c r="C735" s="372" t="s">
        <v>265</v>
      </c>
    </row>
    <row r="736">
      <c r="A736" s="372" t="s">
        <v>265</v>
      </c>
      <c r="B736" s="372" t="s">
        <v>265</v>
      </c>
      <c r="C736" s="372" t="s">
        <v>265</v>
      </c>
    </row>
    <row r="737">
      <c r="A737" s="372" t="s">
        <v>265</v>
      </c>
      <c r="B737" s="372" t="s">
        <v>265</v>
      </c>
      <c r="C737" s="372" t="s">
        <v>265</v>
      </c>
    </row>
    <row r="738">
      <c r="A738" s="372" t="s">
        <v>265</v>
      </c>
      <c r="B738" s="372" t="s">
        <v>265</v>
      </c>
      <c r="C738" s="372" t="s">
        <v>265</v>
      </c>
    </row>
    <row r="739">
      <c r="A739" s="372" t="s">
        <v>265</v>
      </c>
      <c r="B739" s="372" t="s">
        <v>265</v>
      </c>
      <c r="C739" s="372" t="s">
        <v>265</v>
      </c>
    </row>
    <row r="740">
      <c r="A740" s="372" t="s">
        <v>265</v>
      </c>
      <c r="B740" s="372" t="s">
        <v>265</v>
      </c>
      <c r="C740" s="372" t="s">
        <v>265</v>
      </c>
    </row>
    <row r="741">
      <c r="A741" s="372" t="s">
        <v>265</v>
      </c>
      <c r="B741" s="372" t="s">
        <v>265</v>
      </c>
      <c r="C741" s="372" t="s">
        <v>265</v>
      </c>
    </row>
    <row r="742">
      <c r="A742" s="372" t="s">
        <v>265</v>
      </c>
      <c r="B742" s="372" t="s">
        <v>265</v>
      </c>
      <c r="C742" s="372" t="s">
        <v>265</v>
      </c>
    </row>
    <row r="743">
      <c r="A743" s="372" t="s">
        <v>265</v>
      </c>
      <c r="B743" s="372" t="s">
        <v>265</v>
      </c>
      <c r="C743" s="372" t="s">
        <v>265</v>
      </c>
    </row>
    <row r="744">
      <c r="A744" s="372" t="s">
        <v>265</v>
      </c>
      <c r="B744" s="372" t="s">
        <v>265</v>
      </c>
      <c r="C744" s="372" t="s">
        <v>265</v>
      </c>
    </row>
    <row r="745">
      <c r="A745" s="372" t="s">
        <v>265</v>
      </c>
      <c r="B745" s="372" t="s">
        <v>265</v>
      </c>
      <c r="C745" s="372" t="s">
        <v>265</v>
      </c>
    </row>
    <row r="746">
      <c r="A746" s="372" t="s">
        <v>265</v>
      </c>
      <c r="B746" s="372" t="s">
        <v>265</v>
      </c>
      <c r="C746" s="372" t="s">
        <v>265</v>
      </c>
    </row>
    <row r="747">
      <c r="A747" s="372" t="s">
        <v>265</v>
      </c>
      <c r="B747" s="372" t="s">
        <v>265</v>
      </c>
      <c r="C747" s="372" t="s">
        <v>265</v>
      </c>
    </row>
    <row r="748">
      <c r="A748" s="372" t="s">
        <v>265</v>
      </c>
      <c r="B748" s="372" t="s">
        <v>265</v>
      </c>
      <c r="C748" s="372" t="s">
        <v>265</v>
      </c>
    </row>
    <row r="749">
      <c r="A749" s="372" t="s">
        <v>265</v>
      </c>
      <c r="B749" s="372" t="s">
        <v>265</v>
      </c>
      <c r="C749" s="372" t="s">
        <v>265</v>
      </c>
    </row>
    <row r="750">
      <c r="A750" s="372" t="s">
        <v>265</v>
      </c>
      <c r="B750" s="372" t="s">
        <v>265</v>
      </c>
      <c r="C750" s="372" t="s">
        <v>265</v>
      </c>
    </row>
    <row r="751">
      <c r="A751" s="372" t="s">
        <v>265</v>
      </c>
      <c r="B751" s="372" t="s">
        <v>265</v>
      </c>
      <c r="C751" s="372" t="s">
        <v>265</v>
      </c>
    </row>
    <row r="752">
      <c r="A752" s="372" t="s">
        <v>265</v>
      </c>
      <c r="B752" s="372" t="s">
        <v>265</v>
      </c>
      <c r="C752" s="372" t="s">
        <v>265</v>
      </c>
    </row>
    <row r="753">
      <c r="A753" s="372" t="s">
        <v>265</v>
      </c>
      <c r="B753" s="372" t="s">
        <v>265</v>
      </c>
      <c r="C753" s="372" t="s">
        <v>265</v>
      </c>
    </row>
    <row r="754">
      <c r="A754" s="372" t="s">
        <v>265</v>
      </c>
      <c r="B754" s="372" t="s">
        <v>265</v>
      </c>
      <c r="C754" s="372" t="s">
        <v>265</v>
      </c>
    </row>
    <row r="755">
      <c r="A755" s="372" t="s">
        <v>265</v>
      </c>
      <c r="B755" s="372" t="s">
        <v>265</v>
      </c>
      <c r="C755" s="372" t="s">
        <v>265</v>
      </c>
    </row>
    <row r="756">
      <c r="A756" s="372" t="s">
        <v>265</v>
      </c>
      <c r="B756" s="372" t="s">
        <v>265</v>
      </c>
      <c r="C756" s="372" t="s">
        <v>265</v>
      </c>
    </row>
    <row r="757">
      <c r="A757" s="372" t="s">
        <v>265</v>
      </c>
      <c r="B757" s="372" t="s">
        <v>265</v>
      </c>
      <c r="C757" s="372" t="s">
        <v>265</v>
      </c>
    </row>
    <row r="758">
      <c r="A758" s="372" t="s">
        <v>265</v>
      </c>
      <c r="B758" s="372" t="s">
        <v>265</v>
      </c>
      <c r="C758" s="372" t="s">
        <v>265</v>
      </c>
    </row>
    <row r="759">
      <c r="A759" s="372" t="s">
        <v>265</v>
      </c>
      <c r="B759" s="372" t="s">
        <v>265</v>
      </c>
      <c r="C759" s="372" t="s">
        <v>265</v>
      </c>
    </row>
    <row r="760">
      <c r="A760" s="372" t="s">
        <v>265</v>
      </c>
      <c r="B760" s="372" t="s">
        <v>265</v>
      </c>
      <c r="C760" s="372" t="s">
        <v>265</v>
      </c>
    </row>
    <row r="761">
      <c r="A761" s="372" t="s">
        <v>265</v>
      </c>
      <c r="B761" s="372" t="s">
        <v>265</v>
      </c>
      <c r="C761" s="372" t="s">
        <v>265</v>
      </c>
    </row>
    <row r="762">
      <c r="A762" s="372" t="s">
        <v>265</v>
      </c>
      <c r="B762" s="372" t="s">
        <v>265</v>
      </c>
      <c r="C762" s="372" t="s">
        <v>265</v>
      </c>
    </row>
    <row r="763">
      <c r="A763" s="372" t="s">
        <v>265</v>
      </c>
      <c r="B763" s="372" t="s">
        <v>265</v>
      </c>
      <c r="C763" s="372" t="s">
        <v>265</v>
      </c>
    </row>
    <row r="764">
      <c r="A764" s="372" t="s">
        <v>265</v>
      </c>
      <c r="B764" s="372" t="s">
        <v>265</v>
      </c>
      <c r="C764" s="372" t="s">
        <v>265</v>
      </c>
    </row>
    <row r="765">
      <c r="A765" s="372" t="s">
        <v>265</v>
      </c>
      <c r="B765" s="372" t="s">
        <v>265</v>
      </c>
      <c r="C765" s="372" t="s">
        <v>265</v>
      </c>
    </row>
    <row r="766">
      <c r="A766" s="372" t="s">
        <v>265</v>
      </c>
      <c r="B766" s="372" t="s">
        <v>265</v>
      </c>
      <c r="C766" s="372" t="s">
        <v>265</v>
      </c>
    </row>
    <row r="767">
      <c r="A767" s="372" t="s">
        <v>265</v>
      </c>
      <c r="B767" s="372" t="s">
        <v>265</v>
      </c>
      <c r="C767" s="372" t="s">
        <v>265</v>
      </c>
    </row>
    <row r="768">
      <c r="A768" s="372" t="s">
        <v>265</v>
      </c>
      <c r="B768" s="372" t="s">
        <v>265</v>
      </c>
      <c r="C768" s="372" t="s">
        <v>265</v>
      </c>
    </row>
    <row r="769">
      <c r="A769" s="372" t="s">
        <v>265</v>
      </c>
      <c r="B769" s="372" t="s">
        <v>265</v>
      </c>
      <c r="C769" s="372" t="s">
        <v>265</v>
      </c>
    </row>
    <row r="770">
      <c r="A770" s="372" t="s">
        <v>265</v>
      </c>
      <c r="B770" s="372" t="s">
        <v>265</v>
      </c>
      <c r="C770" s="372" t="s">
        <v>265</v>
      </c>
    </row>
    <row r="771">
      <c r="A771" s="372" t="s">
        <v>265</v>
      </c>
      <c r="B771" s="372" t="s">
        <v>265</v>
      </c>
      <c r="C771" s="372" t="s">
        <v>265</v>
      </c>
    </row>
    <row r="772">
      <c r="A772" s="372" t="s">
        <v>265</v>
      </c>
      <c r="B772" s="372" t="s">
        <v>265</v>
      </c>
      <c r="C772" s="372" t="s">
        <v>265</v>
      </c>
    </row>
    <row r="773">
      <c r="A773" s="372" t="s">
        <v>265</v>
      </c>
      <c r="B773" s="372" t="s">
        <v>265</v>
      </c>
      <c r="C773" s="372" t="s">
        <v>265</v>
      </c>
    </row>
    <row r="774">
      <c r="A774" s="372" t="s">
        <v>265</v>
      </c>
      <c r="B774" s="372" t="s">
        <v>265</v>
      </c>
      <c r="C774" s="372" t="s">
        <v>265</v>
      </c>
    </row>
    <row r="775">
      <c r="A775" s="372" t="s">
        <v>265</v>
      </c>
      <c r="B775" s="372" t="s">
        <v>265</v>
      </c>
      <c r="C775" s="372" t="s">
        <v>265</v>
      </c>
    </row>
    <row r="776">
      <c r="A776" s="372" t="s">
        <v>265</v>
      </c>
      <c r="B776" s="372" t="s">
        <v>265</v>
      </c>
      <c r="C776" s="372" t="s">
        <v>265</v>
      </c>
    </row>
    <row r="777">
      <c r="A777" s="372" t="s">
        <v>265</v>
      </c>
      <c r="B777" s="372" t="s">
        <v>265</v>
      </c>
      <c r="C777" s="372" t="s">
        <v>265</v>
      </c>
    </row>
    <row r="778">
      <c r="A778" s="372" t="s">
        <v>265</v>
      </c>
      <c r="B778" s="372" t="s">
        <v>265</v>
      </c>
      <c r="C778" s="372" t="s">
        <v>265</v>
      </c>
    </row>
    <row r="779">
      <c r="A779" s="372" t="s">
        <v>265</v>
      </c>
      <c r="B779" s="372" t="s">
        <v>265</v>
      </c>
      <c r="C779" s="372" t="s">
        <v>265</v>
      </c>
    </row>
    <row r="780">
      <c r="A780" s="372" t="s">
        <v>265</v>
      </c>
      <c r="B780" s="372" t="s">
        <v>265</v>
      </c>
      <c r="C780" s="372" t="s">
        <v>265</v>
      </c>
    </row>
    <row r="781">
      <c r="A781" s="372" t="s">
        <v>265</v>
      </c>
      <c r="B781" s="372" t="s">
        <v>265</v>
      </c>
      <c r="C781" s="372" t="s">
        <v>265</v>
      </c>
    </row>
    <row r="782">
      <c r="A782" s="372" t="s">
        <v>265</v>
      </c>
      <c r="B782" s="372" t="s">
        <v>265</v>
      </c>
      <c r="C782" s="372" t="s">
        <v>265</v>
      </c>
    </row>
    <row r="783">
      <c r="A783" s="372" t="s">
        <v>265</v>
      </c>
      <c r="B783" s="372" t="s">
        <v>265</v>
      </c>
      <c r="C783" s="372" t="s">
        <v>265</v>
      </c>
    </row>
    <row r="784">
      <c r="A784" s="372" t="s">
        <v>265</v>
      </c>
      <c r="B784" s="372" t="s">
        <v>265</v>
      </c>
      <c r="C784" s="372" t="s">
        <v>265</v>
      </c>
    </row>
    <row r="785">
      <c r="A785" s="372" t="s">
        <v>265</v>
      </c>
      <c r="B785" s="372" t="s">
        <v>265</v>
      </c>
      <c r="C785" s="372" t="s">
        <v>265</v>
      </c>
    </row>
    <row r="786">
      <c r="A786" s="372" t="s">
        <v>265</v>
      </c>
      <c r="B786" s="372" t="s">
        <v>265</v>
      </c>
      <c r="C786" s="372" t="s">
        <v>265</v>
      </c>
    </row>
    <row r="787">
      <c r="A787" s="372" t="s">
        <v>265</v>
      </c>
      <c r="B787" s="372" t="s">
        <v>265</v>
      </c>
      <c r="C787" s="372" t="s">
        <v>265</v>
      </c>
    </row>
    <row r="788">
      <c r="A788" s="372" t="s">
        <v>265</v>
      </c>
      <c r="B788" s="372" t="s">
        <v>265</v>
      </c>
      <c r="C788" s="372" t="s">
        <v>265</v>
      </c>
    </row>
    <row r="789">
      <c r="A789" s="372" t="s">
        <v>265</v>
      </c>
      <c r="B789" s="372" t="s">
        <v>265</v>
      </c>
      <c r="C789" s="372" t="s">
        <v>265</v>
      </c>
    </row>
    <row r="790">
      <c r="A790" s="372" t="s">
        <v>265</v>
      </c>
      <c r="B790" s="372" t="s">
        <v>265</v>
      </c>
      <c r="C790" s="372" t="s">
        <v>265</v>
      </c>
    </row>
    <row r="791">
      <c r="A791" s="372" t="s">
        <v>265</v>
      </c>
      <c r="B791" s="372" t="s">
        <v>265</v>
      </c>
      <c r="C791" s="372" t="s">
        <v>265</v>
      </c>
    </row>
    <row r="792">
      <c r="A792" s="372" t="s">
        <v>265</v>
      </c>
      <c r="B792" s="372" t="s">
        <v>265</v>
      </c>
      <c r="C792" s="372" t="s">
        <v>265</v>
      </c>
    </row>
    <row r="793">
      <c r="A793" s="372" t="s">
        <v>265</v>
      </c>
      <c r="B793" s="372" t="s">
        <v>265</v>
      </c>
      <c r="C793" s="372" t="s">
        <v>265</v>
      </c>
    </row>
    <row r="794">
      <c r="A794" s="372" t="s">
        <v>265</v>
      </c>
      <c r="B794" s="372" t="s">
        <v>265</v>
      </c>
      <c r="C794" s="372" t="s">
        <v>265</v>
      </c>
    </row>
    <row r="795">
      <c r="A795" s="372" t="s">
        <v>265</v>
      </c>
      <c r="B795" s="372" t="s">
        <v>265</v>
      </c>
      <c r="C795" s="372" t="s">
        <v>265</v>
      </c>
    </row>
    <row r="796">
      <c r="A796" s="372" t="s">
        <v>265</v>
      </c>
      <c r="B796" s="372" t="s">
        <v>265</v>
      </c>
      <c r="C796" s="372" t="s">
        <v>265</v>
      </c>
    </row>
    <row r="797">
      <c r="A797" s="372" t="s">
        <v>265</v>
      </c>
      <c r="B797" s="372" t="s">
        <v>265</v>
      </c>
      <c r="C797" s="372" t="s">
        <v>265</v>
      </c>
    </row>
    <row r="798">
      <c r="A798" s="372" t="s">
        <v>265</v>
      </c>
      <c r="B798" s="372" t="s">
        <v>265</v>
      </c>
      <c r="C798" s="372" t="s">
        <v>265</v>
      </c>
    </row>
    <row r="799">
      <c r="A799" s="372" t="s">
        <v>265</v>
      </c>
      <c r="B799" s="372" t="s">
        <v>265</v>
      </c>
      <c r="C799" s="372" t="s">
        <v>265</v>
      </c>
    </row>
    <row r="800">
      <c r="A800" s="372" t="s">
        <v>265</v>
      </c>
      <c r="B800" s="372" t="s">
        <v>265</v>
      </c>
      <c r="C800" s="372" t="s">
        <v>265</v>
      </c>
    </row>
    <row r="801">
      <c r="A801" s="372" t="s">
        <v>265</v>
      </c>
      <c r="B801" s="372" t="s">
        <v>265</v>
      </c>
      <c r="C801" s="372" t="s">
        <v>265</v>
      </c>
    </row>
    <row r="802">
      <c r="A802" s="372" t="s">
        <v>265</v>
      </c>
      <c r="B802" s="372" t="s">
        <v>265</v>
      </c>
      <c r="C802" s="372" t="s">
        <v>265</v>
      </c>
    </row>
    <row r="803">
      <c r="A803" s="372" t="s">
        <v>265</v>
      </c>
      <c r="B803" s="372" t="s">
        <v>265</v>
      </c>
      <c r="C803" s="372" t="s">
        <v>265</v>
      </c>
    </row>
    <row r="804">
      <c r="A804" s="372" t="s">
        <v>265</v>
      </c>
      <c r="B804" s="372" t="s">
        <v>265</v>
      </c>
      <c r="C804" s="372" t="s">
        <v>265</v>
      </c>
    </row>
    <row r="805">
      <c r="A805" s="372" t="s">
        <v>265</v>
      </c>
      <c r="B805" s="372" t="s">
        <v>265</v>
      </c>
      <c r="C805" s="372" t="s">
        <v>265</v>
      </c>
    </row>
    <row r="806">
      <c r="A806" s="372" t="s">
        <v>265</v>
      </c>
      <c r="B806" s="372" t="s">
        <v>265</v>
      </c>
      <c r="C806" s="372" t="s">
        <v>265</v>
      </c>
    </row>
    <row r="807">
      <c r="A807" s="372" t="s">
        <v>265</v>
      </c>
      <c r="B807" s="372" t="s">
        <v>265</v>
      </c>
      <c r="C807" s="372" t="s">
        <v>265</v>
      </c>
    </row>
    <row r="808">
      <c r="A808" s="372" t="s">
        <v>265</v>
      </c>
      <c r="B808" s="372" t="s">
        <v>265</v>
      </c>
      <c r="C808" s="372" t="s">
        <v>265</v>
      </c>
    </row>
    <row r="809">
      <c r="A809" s="372" t="s">
        <v>265</v>
      </c>
      <c r="B809" s="372" t="s">
        <v>265</v>
      </c>
      <c r="C809" s="372" t="s">
        <v>265</v>
      </c>
    </row>
    <row r="810">
      <c r="A810" s="372" t="s">
        <v>265</v>
      </c>
      <c r="B810" s="372" t="s">
        <v>265</v>
      </c>
      <c r="C810" s="372" t="s">
        <v>265</v>
      </c>
    </row>
    <row r="811">
      <c r="A811" s="372" t="s">
        <v>265</v>
      </c>
      <c r="B811" s="372" t="s">
        <v>265</v>
      </c>
      <c r="C811" s="372" t="s">
        <v>265</v>
      </c>
    </row>
    <row r="812">
      <c r="A812" s="372" t="s">
        <v>265</v>
      </c>
      <c r="B812" s="372" t="s">
        <v>265</v>
      </c>
      <c r="C812" s="372" t="s">
        <v>265</v>
      </c>
    </row>
    <row r="813">
      <c r="A813" s="372" t="s">
        <v>265</v>
      </c>
      <c r="B813" s="372" t="s">
        <v>265</v>
      </c>
      <c r="C813" s="372" t="s">
        <v>265</v>
      </c>
    </row>
    <row r="814">
      <c r="A814" s="372" t="s">
        <v>265</v>
      </c>
      <c r="B814" s="372" t="s">
        <v>265</v>
      </c>
      <c r="C814" s="372" t="s">
        <v>265</v>
      </c>
    </row>
    <row r="815">
      <c r="A815" s="372" t="s">
        <v>265</v>
      </c>
      <c r="B815" s="372" t="s">
        <v>265</v>
      </c>
      <c r="C815" s="372" t="s">
        <v>265</v>
      </c>
    </row>
    <row r="816">
      <c r="A816" s="372" t="s">
        <v>265</v>
      </c>
      <c r="B816" s="372" t="s">
        <v>265</v>
      </c>
      <c r="C816" s="372" t="s">
        <v>265</v>
      </c>
    </row>
    <row r="817">
      <c r="A817" s="372" t="s">
        <v>265</v>
      </c>
      <c r="B817" s="372" t="s">
        <v>265</v>
      </c>
      <c r="C817" s="372" t="s">
        <v>265</v>
      </c>
    </row>
    <row r="818">
      <c r="A818" s="372" t="s">
        <v>265</v>
      </c>
      <c r="B818" s="372" t="s">
        <v>265</v>
      </c>
      <c r="C818" s="372" t="s">
        <v>265</v>
      </c>
    </row>
    <row r="819">
      <c r="A819" s="372" t="s">
        <v>265</v>
      </c>
      <c r="B819" s="372" t="s">
        <v>265</v>
      </c>
      <c r="C819" s="372" t="s">
        <v>265</v>
      </c>
    </row>
    <row r="820">
      <c r="A820" s="372" t="s">
        <v>265</v>
      </c>
      <c r="B820" s="372" t="s">
        <v>265</v>
      </c>
      <c r="C820" s="372" t="s">
        <v>265</v>
      </c>
    </row>
    <row r="821">
      <c r="A821" s="372" t="s">
        <v>265</v>
      </c>
      <c r="B821" s="372" t="s">
        <v>265</v>
      </c>
      <c r="C821" s="372" t="s">
        <v>265</v>
      </c>
    </row>
    <row r="822">
      <c r="A822" s="372" t="s">
        <v>265</v>
      </c>
      <c r="B822" s="372" t="s">
        <v>265</v>
      </c>
      <c r="C822" s="372" t="s">
        <v>265</v>
      </c>
    </row>
    <row r="823">
      <c r="A823" s="372" t="s">
        <v>265</v>
      </c>
      <c r="B823" s="372" t="s">
        <v>265</v>
      </c>
      <c r="C823" s="372" t="s">
        <v>265</v>
      </c>
    </row>
    <row r="824">
      <c r="A824" s="372" t="s">
        <v>265</v>
      </c>
      <c r="B824" s="372" t="s">
        <v>265</v>
      </c>
      <c r="C824" s="372" t="s">
        <v>265</v>
      </c>
    </row>
    <row r="825">
      <c r="A825" s="372" t="s">
        <v>265</v>
      </c>
      <c r="B825" s="372" t="s">
        <v>265</v>
      </c>
      <c r="C825" s="372" t="s">
        <v>265</v>
      </c>
    </row>
    <row r="826">
      <c r="A826" s="372" t="s">
        <v>265</v>
      </c>
      <c r="B826" s="372" t="s">
        <v>265</v>
      </c>
      <c r="C826" s="372" t="s">
        <v>265</v>
      </c>
    </row>
    <row r="827">
      <c r="A827" s="372" t="s">
        <v>265</v>
      </c>
      <c r="B827" s="372" t="s">
        <v>265</v>
      </c>
      <c r="C827" s="372" t="s">
        <v>265</v>
      </c>
    </row>
    <row r="828">
      <c r="A828" s="372" t="s">
        <v>265</v>
      </c>
      <c r="B828" s="372" t="s">
        <v>265</v>
      </c>
      <c r="C828" s="372" t="s">
        <v>265</v>
      </c>
    </row>
    <row r="829">
      <c r="A829" s="372" t="s">
        <v>265</v>
      </c>
      <c r="B829" s="372" t="s">
        <v>265</v>
      </c>
      <c r="C829" s="372" t="s">
        <v>265</v>
      </c>
    </row>
    <row r="830">
      <c r="A830" s="372" t="s">
        <v>265</v>
      </c>
      <c r="B830" s="372" t="s">
        <v>265</v>
      </c>
      <c r="C830" s="372" t="s">
        <v>265</v>
      </c>
    </row>
    <row r="831">
      <c r="A831" s="372" t="s">
        <v>265</v>
      </c>
      <c r="B831" s="372" t="s">
        <v>265</v>
      </c>
      <c r="C831" s="372" t="s">
        <v>265</v>
      </c>
    </row>
    <row r="832">
      <c r="A832" s="372" t="s">
        <v>265</v>
      </c>
      <c r="B832" s="372" t="s">
        <v>265</v>
      </c>
      <c r="C832" s="372" t="s">
        <v>265</v>
      </c>
    </row>
    <row r="833">
      <c r="A833" s="372" t="s">
        <v>265</v>
      </c>
      <c r="B833" s="372" t="s">
        <v>265</v>
      </c>
      <c r="C833" s="372" t="s">
        <v>265</v>
      </c>
    </row>
    <row r="834">
      <c r="A834" s="372" t="s">
        <v>265</v>
      </c>
      <c r="B834" s="372" t="s">
        <v>265</v>
      </c>
      <c r="C834" s="372" t="s">
        <v>265</v>
      </c>
    </row>
    <row r="835">
      <c r="A835" s="372" t="s">
        <v>265</v>
      </c>
      <c r="B835" s="372" t="s">
        <v>265</v>
      </c>
      <c r="C835" s="372" t="s">
        <v>265</v>
      </c>
    </row>
    <row r="836">
      <c r="A836" s="372" t="s">
        <v>265</v>
      </c>
      <c r="B836" s="372" t="s">
        <v>265</v>
      </c>
      <c r="C836" s="372" t="s">
        <v>265</v>
      </c>
    </row>
    <row r="837">
      <c r="A837" s="372" t="s">
        <v>265</v>
      </c>
      <c r="B837" s="372" t="s">
        <v>265</v>
      </c>
      <c r="C837" s="372" t="s">
        <v>265</v>
      </c>
    </row>
    <row r="838">
      <c r="A838" s="372" t="s">
        <v>265</v>
      </c>
      <c r="B838" s="372" t="s">
        <v>265</v>
      </c>
      <c r="C838" s="372" t="s">
        <v>265</v>
      </c>
    </row>
    <row r="839">
      <c r="A839" s="372" t="s">
        <v>265</v>
      </c>
      <c r="B839" s="372" t="s">
        <v>265</v>
      </c>
      <c r="C839" s="372" t="s">
        <v>265</v>
      </c>
    </row>
    <row r="840">
      <c r="A840" s="372" t="s">
        <v>265</v>
      </c>
      <c r="B840" s="372" t="s">
        <v>265</v>
      </c>
      <c r="C840" s="372" t="s">
        <v>265</v>
      </c>
    </row>
    <row r="841">
      <c r="A841" s="372" t="s">
        <v>265</v>
      </c>
      <c r="B841" s="372" t="s">
        <v>265</v>
      </c>
      <c r="C841" s="372" t="s">
        <v>265</v>
      </c>
    </row>
    <row r="842">
      <c r="A842" s="372" t="s">
        <v>265</v>
      </c>
      <c r="B842" s="372" t="s">
        <v>265</v>
      </c>
      <c r="C842" s="372" t="s">
        <v>265</v>
      </c>
    </row>
    <row r="843">
      <c r="A843" s="372" t="s">
        <v>265</v>
      </c>
      <c r="B843" s="372" t="s">
        <v>265</v>
      </c>
      <c r="C843" s="372" t="s">
        <v>265</v>
      </c>
    </row>
    <row r="844">
      <c r="A844" s="372" t="s">
        <v>265</v>
      </c>
      <c r="B844" s="372" t="s">
        <v>265</v>
      </c>
      <c r="C844" s="372" t="s">
        <v>265</v>
      </c>
    </row>
    <row r="845">
      <c r="A845" s="372" t="s">
        <v>265</v>
      </c>
      <c r="B845" s="372" t="s">
        <v>265</v>
      </c>
      <c r="C845" s="372" t="s">
        <v>265</v>
      </c>
    </row>
    <row r="846">
      <c r="A846" s="372" t="s">
        <v>265</v>
      </c>
      <c r="B846" s="372" t="s">
        <v>265</v>
      </c>
      <c r="C846" s="372" t="s">
        <v>265</v>
      </c>
    </row>
    <row r="847">
      <c r="A847" s="372" t="s">
        <v>265</v>
      </c>
      <c r="B847" s="372" t="s">
        <v>265</v>
      </c>
      <c r="C847" s="372" t="s">
        <v>265</v>
      </c>
    </row>
    <row r="848">
      <c r="A848" s="372" t="s">
        <v>265</v>
      </c>
      <c r="B848" s="372" t="s">
        <v>265</v>
      </c>
      <c r="C848" s="372" t="s">
        <v>265</v>
      </c>
    </row>
    <row r="849">
      <c r="A849" s="372" t="s">
        <v>265</v>
      </c>
      <c r="B849" s="372" t="s">
        <v>265</v>
      </c>
      <c r="C849" s="372" t="s">
        <v>265</v>
      </c>
    </row>
    <row r="850">
      <c r="A850" s="372" t="s">
        <v>265</v>
      </c>
      <c r="B850" s="372" t="s">
        <v>265</v>
      </c>
      <c r="C850" s="372" t="s">
        <v>265</v>
      </c>
    </row>
    <row r="851">
      <c r="A851" s="372" t="s">
        <v>265</v>
      </c>
      <c r="B851" s="372" t="s">
        <v>265</v>
      </c>
      <c r="C851" s="372" t="s">
        <v>265</v>
      </c>
    </row>
    <row r="852">
      <c r="A852" s="372" t="s">
        <v>265</v>
      </c>
      <c r="B852" s="372" t="s">
        <v>265</v>
      </c>
      <c r="C852" s="372" t="s">
        <v>265</v>
      </c>
    </row>
    <row r="853">
      <c r="A853" s="372" t="s">
        <v>265</v>
      </c>
      <c r="B853" s="372" t="s">
        <v>265</v>
      </c>
      <c r="C853" s="372" t="s">
        <v>265</v>
      </c>
    </row>
    <row r="854">
      <c r="A854" s="372" t="s">
        <v>265</v>
      </c>
      <c r="B854" s="372" t="s">
        <v>265</v>
      </c>
      <c r="C854" s="372" t="s">
        <v>265</v>
      </c>
    </row>
    <row r="855">
      <c r="A855" s="372" t="s">
        <v>265</v>
      </c>
      <c r="B855" s="372" t="s">
        <v>265</v>
      </c>
      <c r="C855" s="372" t="s">
        <v>265</v>
      </c>
    </row>
    <row r="856">
      <c r="A856" s="372" t="s">
        <v>265</v>
      </c>
      <c r="B856" s="372" t="s">
        <v>265</v>
      </c>
      <c r="C856" s="372" t="s">
        <v>265</v>
      </c>
    </row>
    <row r="857">
      <c r="A857" s="372" t="s">
        <v>265</v>
      </c>
      <c r="B857" s="372" t="s">
        <v>265</v>
      </c>
      <c r="C857" s="372" t="s">
        <v>265</v>
      </c>
    </row>
    <row r="858">
      <c r="A858" s="372" t="s">
        <v>265</v>
      </c>
      <c r="B858" s="372" t="s">
        <v>265</v>
      </c>
      <c r="C858" s="372" t="s">
        <v>265</v>
      </c>
    </row>
    <row r="859">
      <c r="A859" s="372" t="s">
        <v>265</v>
      </c>
      <c r="B859" s="372" t="s">
        <v>265</v>
      </c>
      <c r="C859" s="372" t="s">
        <v>265</v>
      </c>
    </row>
    <row r="860">
      <c r="A860" s="372" t="s">
        <v>265</v>
      </c>
      <c r="B860" s="372" t="s">
        <v>265</v>
      </c>
      <c r="C860" s="372" t="s">
        <v>265</v>
      </c>
    </row>
    <row r="861">
      <c r="A861" s="372" t="s">
        <v>265</v>
      </c>
      <c r="B861" s="372" t="s">
        <v>265</v>
      </c>
      <c r="C861" s="372" t="s">
        <v>265</v>
      </c>
    </row>
    <row r="862">
      <c r="A862" s="372" t="s">
        <v>265</v>
      </c>
      <c r="B862" s="372" t="s">
        <v>265</v>
      </c>
      <c r="C862" s="372" t="s">
        <v>265</v>
      </c>
    </row>
    <row r="863">
      <c r="A863" s="372" t="s">
        <v>265</v>
      </c>
      <c r="B863" s="372" t="s">
        <v>265</v>
      </c>
      <c r="C863" s="372" t="s">
        <v>265</v>
      </c>
    </row>
    <row r="864">
      <c r="A864" s="372" t="s">
        <v>265</v>
      </c>
      <c r="B864" s="372" t="s">
        <v>265</v>
      </c>
      <c r="C864" s="372" t="s">
        <v>265</v>
      </c>
    </row>
    <row r="865">
      <c r="A865" s="372" t="s">
        <v>265</v>
      </c>
      <c r="B865" s="372" t="s">
        <v>265</v>
      </c>
      <c r="C865" s="372" t="s">
        <v>265</v>
      </c>
    </row>
    <row r="866">
      <c r="A866" s="372" t="s">
        <v>265</v>
      </c>
      <c r="B866" s="372" t="s">
        <v>265</v>
      </c>
      <c r="C866" s="372" t="s">
        <v>265</v>
      </c>
    </row>
    <row r="867">
      <c r="A867" s="372" t="s">
        <v>265</v>
      </c>
      <c r="B867" s="372" t="s">
        <v>265</v>
      </c>
      <c r="C867" s="372" t="s">
        <v>265</v>
      </c>
    </row>
    <row r="868">
      <c r="A868" s="372" t="s">
        <v>265</v>
      </c>
      <c r="B868" s="372" t="s">
        <v>265</v>
      </c>
      <c r="C868" s="372" t="s">
        <v>265</v>
      </c>
    </row>
    <row r="869">
      <c r="A869" s="372" t="s">
        <v>265</v>
      </c>
      <c r="B869" s="372" t="s">
        <v>265</v>
      </c>
      <c r="C869" s="372" t="s">
        <v>265</v>
      </c>
    </row>
    <row r="870">
      <c r="A870" s="372" t="s">
        <v>265</v>
      </c>
      <c r="B870" s="372" t="s">
        <v>265</v>
      </c>
      <c r="C870" s="372" t="s">
        <v>265</v>
      </c>
    </row>
    <row r="871">
      <c r="A871" s="372" t="s">
        <v>265</v>
      </c>
      <c r="B871" s="372" t="s">
        <v>265</v>
      </c>
      <c r="C871" s="372" t="s">
        <v>265</v>
      </c>
    </row>
    <row r="872">
      <c r="A872" s="372" t="s">
        <v>265</v>
      </c>
      <c r="B872" s="372" t="s">
        <v>265</v>
      </c>
      <c r="C872" s="372" t="s">
        <v>265</v>
      </c>
    </row>
    <row r="873">
      <c r="A873" s="372" t="s">
        <v>265</v>
      </c>
      <c r="B873" s="372" t="s">
        <v>265</v>
      </c>
      <c r="C873" s="372" t="s">
        <v>265</v>
      </c>
    </row>
    <row r="874">
      <c r="A874" s="372" t="s">
        <v>265</v>
      </c>
      <c r="B874" s="372" t="s">
        <v>265</v>
      </c>
      <c r="C874" s="372" t="s">
        <v>265</v>
      </c>
    </row>
    <row r="875">
      <c r="A875" s="372" t="s">
        <v>265</v>
      </c>
      <c r="B875" s="372" t="s">
        <v>265</v>
      </c>
      <c r="C875" s="372" t="s">
        <v>265</v>
      </c>
    </row>
    <row r="876">
      <c r="A876" s="372" t="s">
        <v>265</v>
      </c>
      <c r="B876" s="372" t="s">
        <v>265</v>
      </c>
      <c r="C876" s="372" t="s">
        <v>265</v>
      </c>
    </row>
    <row r="877">
      <c r="A877" s="372" t="s">
        <v>265</v>
      </c>
      <c r="B877" s="372" t="s">
        <v>265</v>
      </c>
      <c r="C877" s="372" t="s">
        <v>265</v>
      </c>
    </row>
    <row r="878">
      <c r="A878" s="372" t="s">
        <v>265</v>
      </c>
      <c r="B878" s="372" t="s">
        <v>265</v>
      </c>
      <c r="C878" s="372" t="s">
        <v>265</v>
      </c>
    </row>
    <row r="879">
      <c r="A879" s="372" t="s">
        <v>265</v>
      </c>
      <c r="B879" s="372" t="s">
        <v>265</v>
      </c>
      <c r="C879" s="372" t="s">
        <v>265</v>
      </c>
    </row>
    <row r="880">
      <c r="A880" s="372" t="s">
        <v>265</v>
      </c>
      <c r="B880" s="372" t="s">
        <v>265</v>
      </c>
      <c r="C880" s="372" t="s">
        <v>265</v>
      </c>
    </row>
    <row r="881">
      <c r="A881" s="372" t="s">
        <v>265</v>
      </c>
      <c r="B881" s="372" t="s">
        <v>265</v>
      </c>
      <c r="C881" s="372" t="s">
        <v>265</v>
      </c>
    </row>
    <row r="882">
      <c r="A882" s="372" t="s">
        <v>265</v>
      </c>
      <c r="B882" s="372" t="s">
        <v>265</v>
      </c>
      <c r="C882" s="372" t="s">
        <v>265</v>
      </c>
    </row>
    <row r="883">
      <c r="A883" s="372" t="s">
        <v>265</v>
      </c>
      <c r="B883" s="372" t="s">
        <v>265</v>
      </c>
      <c r="C883" s="372" t="s">
        <v>265</v>
      </c>
    </row>
    <row r="884">
      <c r="A884" s="372" t="s">
        <v>265</v>
      </c>
      <c r="B884" s="372" t="s">
        <v>265</v>
      </c>
      <c r="C884" s="372" t="s">
        <v>265</v>
      </c>
    </row>
    <row r="885">
      <c r="A885" s="372" t="s">
        <v>265</v>
      </c>
      <c r="B885" s="372" t="s">
        <v>265</v>
      </c>
      <c r="C885" s="372" t="s">
        <v>265</v>
      </c>
    </row>
    <row r="886">
      <c r="A886" s="372" t="s">
        <v>265</v>
      </c>
      <c r="B886" s="372" t="s">
        <v>265</v>
      </c>
      <c r="C886" s="372" t="s">
        <v>265</v>
      </c>
    </row>
    <row r="887">
      <c r="A887" s="372" t="s">
        <v>265</v>
      </c>
      <c r="B887" s="372" t="s">
        <v>265</v>
      </c>
      <c r="C887" s="372" t="s">
        <v>265</v>
      </c>
    </row>
    <row r="888">
      <c r="A888" s="372" t="s">
        <v>265</v>
      </c>
      <c r="B888" s="372" t="s">
        <v>265</v>
      </c>
      <c r="C888" s="372" t="s">
        <v>265</v>
      </c>
    </row>
    <row r="889">
      <c r="A889" s="372" t="s">
        <v>265</v>
      </c>
      <c r="B889" s="372" t="s">
        <v>265</v>
      </c>
      <c r="C889" s="372" t="s">
        <v>265</v>
      </c>
    </row>
    <row r="890">
      <c r="A890" s="372" t="s">
        <v>265</v>
      </c>
      <c r="B890" s="372" t="s">
        <v>265</v>
      </c>
      <c r="C890" s="372" t="s">
        <v>265</v>
      </c>
    </row>
    <row r="891">
      <c r="A891" s="372" t="s">
        <v>265</v>
      </c>
      <c r="B891" s="372" t="s">
        <v>265</v>
      </c>
      <c r="C891" s="372" t="s">
        <v>265</v>
      </c>
    </row>
    <row r="892">
      <c r="A892" s="372" t="s">
        <v>265</v>
      </c>
      <c r="B892" s="372" t="s">
        <v>265</v>
      </c>
      <c r="C892" s="372" t="s">
        <v>265</v>
      </c>
    </row>
    <row r="893">
      <c r="A893" s="372" t="s">
        <v>265</v>
      </c>
      <c r="B893" s="372" t="s">
        <v>265</v>
      </c>
      <c r="C893" s="372" t="s">
        <v>265</v>
      </c>
    </row>
    <row r="894">
      <c r="A894" s="372" t="s">
        <v>265</v>
      </c>
      <c r="B894" s="372" t="s">
        <v>265</v>
      </c>
      <c r="C894" s="372" t="s">
        <v>265</v>
      </c>
    </row>
    <row r="895">
      <c r="A895" s="372" t="s">
        <v>265</v>
      </c>
      <c r="B895" s="372" t="s">
        <v>265</v>
      </c>
      <c r="C895" s="372" t="s">
        <v>265</v>
      </c>
    </row>
    <row r="896">
      <c r="A896" s="372" t="s">
        <v>265</v>
      </c>
      <c r="B896" s="372" t="s">
        <v>265</v>
      </c>
      <c r="C896" s="372" t="s">
        <v>265</v>
      </c>
    </row>
    <row r="897">
      <c r="A897" s="372" t="s">
        <v>265</v>
      </c>
      <c r="B897" s="372" t="s">
        <v>265</v>
      </c>
      <c r="C897" s="372" t="s">
        <v>265</v>
      </c>
    </row>
    <row r="898">
      <c r="A898" s="372" t="s">
        <v>265</v>
      </c>
      <c r="B898" s="372" t="s">
        <v>265</v>
      </c>
      <c r="C898" s="372" t="s">
        <v>265</v>
      </c>
    </row>
    <row r="899">
      <c r="A899" s="372" t="s">
        <v>265</v>
      </c>
      <c r="B899" s="372" t="s">
        <v>265</v>
      </c>
      <c r="C899" s="372" t="s">
        <v>265</v>
      </c>
    </row>
    <row r="900">
      <c r="A900" s="372" t="s">
        <v>265</v>
      </c>
      <c r="B900" s="372" t="s">
        <v>265</v>
      </c>
      <c r="C900" s="372" t="s">
        <v>265</v>
      </c>
    </row>
    <row r="901">
      <c r="A901" s="372" t="s">
        <v>265</v>
      </c>
      <c r="B901" s="372" t="s">
        <v>265</v>
      </c>
      <c r="C901" s="372" t="s">
        <v>265</v>
      </c>
    </row>
    <row r="902">
      <c r="A902" s="372" t="s">
        <v>265</v>
      </c>
      <c r="B902" s="372" t="s">
        <v>265</v>
      </c>
      <c r="C902" s="372" t="s">
        <v>265</v>
      </c>
    </row>
    <row r="903">
      <c r="A903" s="372" t="s">
        <v>265</v>
      </c>
      <c r="B903" s="372" t="s">
        <v>265</v>
      </c>
      <c r="C903" s="372" t="s">
        <v>265</v>
      </c>
    </row>
    <row r="904">
      <c r="A904" s="372" t="s">
        <v>265</v>
      </c>
      <c r="B904" s="372" t="s">
        <v>265</v>
      </c>
      <c r="C904" s="372" t="s">
        <v>265</v>
      </c>
    </row>
    <row r="905">
      <c r="A905" s="372" t="s">
        <v>265</v>
      </c>
      <c r="B905" s="372" t="s">
        <v>265</v>
      </c>
      <c r="C905" s="372" t="s">
        <v>265</v>
      </c>
    </row>
    <row r="906">
      <c r="A906" s="372" t="s">
        <v>265</v>
      </c>
      <c r="B906" s="372" t="s">
        <v>265</v>
      </c>
      <c r="C906" s="372" t="s">
        <v>265</v>
      </c>
    </row>
    <row r="907">
      <c r="A907" s="372" t="s">
        <v>265</v>
      </c>
      <c r="B907" s="372" t="s">
        <v>265</v>
      </c>
      <c r="C907" s="372" t="s">
        <v>265</v>
      </c>
    </row>
    <row r="908">
      <c r="A908" s="372" t="s">
        <v>265</v>
      </c>
      <c r="B908" s="372" t="s">
        <v>265</v>
      </c>
      <c r="C908" s="372" t="s">
        <v>265</v>
      </c>
    </row>
    <row r="909">
      <c r="A909" s="372" t="s">
        <v>265</v>
      </c>
      <c r="B909" s="372" t="s">
        <v>265</v>
      </c>
      <c r="C909" s="372" t="s">
        <v>265</v>
      </c>
    </row>
    <row r="910">
      <c r="A910" s="372" t="s">
        <v>265</v>
      </c>
      <c r="B910" s="372" t="s">
        <v>265</v>
      </c>
      <c r="C910" s="372" t="s">
        <v>265</v>
      </c>
    </row>
    <row r="911">
      <c r="A911" s="372" t="s">
        <v>265</v>
      </c>
      <c r="B911" s="372" t="s">
        <v>265</v>
      </c>
      <c r="C911" s="372" t="s">
        <v>265</v>
      </c>
    </row>
    <row r="912">
      <c r="A912" s="372" t="s">
        <v>265</v>
      </c>
      <c r="B912" s="372" t="s">
        <v>265</v>
      </c>
      <c r="C912" s="372" t="s">
        <v>265</v>
      </c>
    </row>
    <row r="913">
      <c r="A913" s="372" t="s">
        <v>265</v>
      </c>
      <c r="B913" s="372" t="s">
        <v>265</v>
      </c>
      <c r="C913" s="372" t="s">
        <v>265</v>
      </c>
    </row>
    <row r="914">
      <c r="A914" s="372" t="s">
        <v>265</v>
      </c>
      <c r="B914" s="372" t="s">
        <v>265</v>
      </c>
      <c r="C914" s="372" t="s">
        <v>265</v>
      </c>
    </row>
    <row r="915">
      <c r="A915" s="372" t="s">
        <v>265</v>
      </c>
      <c r="B915" s="372" t="s">
        <v>265</v>
      </c>
      <c r="C915" s="372" t="s">
        <v>265</v>
      </c>
    </row>
    <row r="916">
      <c r="A916" s="372" t="s">
        <v>265</v>
      </c>
      <c r="B916" s="372" t="s">
        <v>265</v>
      </c>
      <c r="C916" s="372" t="s">
        <v>265</v>
      </c>
    </row>
    <row r="917">
      <c r="A917" s="372" t="s">
        <v>265</v>
      </c>
      <c r="B917" s="372" t="s">
        <v>265</v>
      </c>
      <c r="C917" s="372" t="s">
        <v>265</v>
      </c>
    </row>
    <row r="918">
      <c r="A918" s="372" t="s">
        <v>265</v>
      </c>
      <c r="B918" s="372" t="s">
        <v>265</v>
      </c>
      <c r="C918" s="372" t="s">
        <v>265</v>
      </c>
    </row>
    <row r="919">
      <c r="A919" s="372" t="s">
        <v>265</v>
      </c>
      <c r="B919" s="372" t="s">
        <v>265</v>
      </c>
      <c r="C919" s="372" t="s">
        <v>265</v>
      </c>
    </row>
    <row r="920">
      <c r="A920" s="372" t="s">
        <v>265</v>
      </c>
      <c r="B920" s="372" t="s">
        <v>265</v>
      </c>
      <c r="C920" s="372" t="s">
        <v>265</v>
      </c>
    </row>
    <row r="921">
      <c r="A921" s="372" t="s">
        <v>265</v>
      </c>
      <c r="B921" s="372" t="s">
        <v>265</v>
      </c>
      <c r="C921" s="372" t="s">
        <v>265</v>
      </c>
    </row>
    <row r="922">
      <c r="A922" s="372" t="s">
        <v>265</v>
      </c>
      <c r="B922" s="372" t="s">
        <v>265</v>
      </c>
      <c r="C922" s="372" t="s">
        <v>265</v>
      </c>
    </row>
    <row r="923">
      <c r="A923" s="372" t="s">
        <v>265</v>
      </c>
      <c r="B923" s="372" t="s">
        <v>265</v>
      </c>
      <c r="C923" s="372" t="s">
        <v>265</v>
      </c>
    </row>
    <row r="924">
      <c r="A924" s="372" t="s">
        <v>265</v>
      </c>
      <c r="B924" s="372" t="s">
        <v>265</v>
      </c>
      <c r="C924" s="372" t="s">
        <v>265</v>
      </c>
    </row>
    <row r="925">
      <c r="A925" s="372" t="s">
        <v>265</v>
      </c>
      <c r="B925" s="372" t="s">
        <v>265</v>
      </c>
      <c r="C925" s="372" t="s">
        <v>265</v>
      </c>
    </row>
    <row r="926">
      <c r="A926" s="372" t="s">
        <v>265</v>
      </c>
      <c r="B926" s="372" t="s">
        <v>265</v>
      </c>
      <c r="C926" s="372" t="s">
        <v>265</v>
      </c>
    </row>
    <row r="927">
      <c r="A927" s="372" t="s">
        <v>265</v>
      </c>
      <c r="B927" s="372" t="s">
        <v>265</v>
      </c>
      <c r="C927" s="372" t="s">
        <v>265</v>
      </c>
    </row>
    <row r="928">
      <c r="A928" s="372" t="s">
        <v>265</v>
      </c>
      <c r="B928" s="372" t="s">
        <v>265</v>
      </c>
      <c r="C928" s="372" t="s">
        <v>265</v>
      </c>
    </row>
    <row r="929">
      <c r="A929" s="372" t="s">
        <v>265</v>
      </c>
      <c r="B929" s="372" t="s">
        <v>265</v>
      </c>
      <c r="C929" s="372" t="s">
        <v>265</v>
      </c>
    </row>
    <row r="930">
      <c r="A930" s="372" t="s">
        <v>265</v>
      </c>
      <c r="B930" s="372" t="s">
        <v>265</v>
      </c>
      <c r="C930" s="372" t="s">
        <v>265</v>
      </c>
    </row>
    <row r="931">
      <c r="A931" s="372" t="s">
        <v>265</v>
      </c>
      <c r="B931" s="372" t="s">
        <v>265</v>
      </c>
      <c r="C931" s="372" t="s">
        <v>265</v>
      </c>
    </row>
    <row r="932">
      <c r="A932" s="372" t="s">
        <v>265</v>
      </c>
      <c r="B932" s="372" t="s">
        <v>265</v>
      </c>
      <c r="C932" s="372" t="s">
        <v>265</v>
      </c>
    </row>
    <row r="933">
      <c r="A933" s="372" t="s">
        <v>265</v>
      </c>
      <c r="B933" s="372" t="s">
        <v>265</v>
      </c>
      <c r="C933" s="372" t="s">
        <v>265</v>
      </c>
    </row>
    <row r="934">
      <c r="A934" s="372" t="s">
        <v>265</v>
      </c>
      <c r="B934" s="372" t="s">
        <v>265</v>
      </c>
      <c r="C934" s="372" t="s">
        <v>265</v>
      </c>
    </row>
    <row r="935">
      <c r="A935" s="372" t="s">
        <v>265</v>
      </c>
      <c r="B935" s="372" t="s">
        <v>265</v>
      </c>
      <c r="C935" s="372" t="s">
        <v>265</v>
      </c>
    </row>
    <row r="936">
      <c r="A936" s="372" t="s">
        <v>265</v>
      </c>
      <c r="B936" s="372" t="s">
        <v>265</v>
      </c>
      <c r="C936" s="372" t="s">
        <v>265</v>
      </c>
    </row>
    <row r="937">
      <c r="A937" s="372" t="s">
        <v>265</v>
      </c>
      <c r="B937" s="372" t="s">
        <v>265</v>
      </c>
      <c r="C937" s="372" t="s">
        <v>265</v>
      </c>
    </row>
    <row r="938">
      <c r="A938" s="372" t="s">
        <v>265</v>
      </c>
      <c r="B938" s="372" t="s">
        <v>265</v>
      </c>
      <c r="C938" s="372" t="s">
        <v>265</v>
      </c>
    </row>
    <row r="939">
      <c r="A939" s="372" t="s">
        <v>265</v>
      </c>
      <c r="B939" s="372" t="s">
        <v>265</v>
      </c>
      <c r="C939" s="372" t="s">
        <v>265</v>
      </c>
    </row>
    <row r="940">
      <c r="A940" s="372" t="s">
        <v>265</v>
      </c>
      <c r="B940" s="372" t="s">
        <v>265</v>
      </c>
      <c r="C940" s="372" t="s">
        <v>265</v>
      </c>
    </row>
    <row r="941">
      <c r="A941" s="372" t="s">
        <v>265</v>
      </c>
      <c r="B941" s="372" t="s">
        <v>265</v>
      </c>
      <c r="C941" s="372" t="s">
        <v>265</v>
      </c>
    </row>
    <row r="942">
      <c r="A942" s="372" t="s">
        <v>265</v>
      </c>
      <c r="B942" s="372" t="s">
        <v>265</v>
      </c>
      <c r="C942" s="372" t="s">
        <v>265</v>
      </c>
    </row>
    <row r="943">
      <c r="A943" s="372" t="s">
        <v>265</v>
      </c>
      <c r="B943" s="372" t="s">
        <v>265</v>
      </c>
      <c r="C943" s="372" t="s">
        <v>265</v>
      </c>
    </row>
    <row r="944">
      <c r="A944" s="372" t="s">
        <v>265</v>
      </c>
      <c r="B944" s="372" t="s">
        <v>265</v>
      </c>
      <c r="C944" s="372" t="s">
        <v>265</v>
      </c>
    </row>
    <row r="945">
      <c r="A945" s="372" t="s">
        <v>265</v>
      </c>
      <c r="B945" s="372" t="s">
        <v>265</v>
      </c>
      <c r="C945" s="372" t="s">
        <v>265</v>
      </c>
    </row>
    <row r="946">
      <c r="A946" s="372" t="s">
        <v>265</v>
      </c>
      <c r="B946" s="372" t="s">
        <v>265</v>
      </c>
      <c r="C946" s="372" t="s">
        <v>265</v>
      </c>
    </row>
    <row r="947">
      <c r="A947" s="372" t="s">
        <v>265</v>
      </c>
      <c r="B947" s="372" t="s">
        <v>265</v>
      </c>
      <c r="C947" s="372" t="s">
        <v>265</v>
      </c>
    </row>
    <row r="948">
      <c r="A948" s="372" t="s">
        <v>265</v>
      </c>
      <c r="B948" s="372" t="s">
        <v>265</v>
      </c>
      <c r="C948" s="372" t="s">
        <v>265</v>
      </c>
    </row>
    <row r="949">
      <c r="A949" s="372" t="s">
        <v>265</v>
      </c>
      <c r="B949" s="372" t="s">
        <v>265</v>
      </c>
      <c r="C949" s="372" t="s">
        <v>265</v>
      </c>
    </row>
    <row r="950">
      <c r="A950" s="372" t="s">
        <v>265</v>
      </c>
      <c r="B950" s="372" t="s">
        <v>265</v>
      </c>
      <c r="C950" s="372" t="s">
        <v>265</v>
      </c>
    </row>
    <row r="951">
      <c r="A951" s="372" t="s">
        <v>265</v>
      </c>
      <c r="B951" s="372" t="s">
        <v>265</v>
      </c>
      <c r="C951" s="372" t="s">
        <v>265</v>
      </c>
    </row>
    <row r="952">
      <c r="A952" s="372" t="s">
        <v>265</v>
      </c>
      <c r="B952" s="372" t="s">
        <v>265</v>
      </c>
      <c r="C952" s="372" t="s">
        <v>265</v>
      </c>
    </row>
    <row r="953">
      <c r="A953" s="372" t="s">
        <v>265</v>
      </c>
      <c r="B953" s="372" t="s">
        <v>265</v>
      </c>
      <c r="C953" s="372" t="s">
        <v>265</v>
      </c>
    </row>
    <row r="954">
      <c r="A954" s="372" t="s">
        <v>265</v>
      </c>
      <c r="B954" s="372" t="s">
        <v>265</v>
      </c>
      <c r="C954" s="372" t="s">
        <v>265</v>
      </c>
    </row>
    <row r="955">
      <c r="A955" s="372" t="s">
        <v>265</v>
      </c>
      <c r="B955" s="372" t="s">
        <v>265</v>
      </c>
      <c r="C955" s="372" t="s">
        <v>265</v>
      </c>
    </row>
    <row r="956">
      <c r="A956" s="372" t="s">
        <v>265</v>
      </c>
      <c r="B956" s="372" t="s">
        <v>265</v>
      </c>
      <c r="C956" s="372" t="s">
        <v>265</v>
      </c>
    </row>
    <row r="957">
      <c r="A957" s="372" t="s">
        <v>265</v>
      </c>
      <c r="B957" s="372" t="s">
        <v>265</v>
      </c>
      <c r="C957" s="372" t="s">
        <v>265</v>
      </c>
    </row>
    <row r="958">
      <c r="A958" s="372" t="s">
        <v>265</v>
      </c>
      <c r="B958" s="372" t="s">
        <v>265</v>
      </c>
      <c r="C958" s="372" t="s">
        <v>265</v>
      </c>
    </row>
    <row r="959">
      <c r="A959" s="372" t="s">
        <v>265</v>
      </c>
      <c r="B959" s="372" t="s">
        <v>265</v>
      </c>
      <c r="C959" s="372" t="s">
        <v>265</v>
      </c>
    </row>
    <row r="960">
      <c r="A960" s="372" t="s">
        <v>265</v>
      </c>
      <c r="B960" s="372" t="s">
        <v>265</v>
      </c>
      <c r="C960" s="372" t="s">
        <v>265</v>
      </c>
    </row>
    <row r="961">
      <c r="A961" s="372" t="s">
        <v>265</v>
      </c>
      <c r="B961" s="372" t="s">
        <v>265</v>
      </c>
      <c r="C961" s="372" t="s">
        <v>265</v>
      </c>
    </row>
    <row r="962">
      <c r="A962" s="372" t="s">
        <v>265</v>
      </c>
      <c r="B962" s="372" t="s">
        <v>265</v>
      </c>
      <c r="C962" s="372" t="s">
        <v>265</v>
      </c>
    </row>
    <row r="963">
      <c r="A963" s="372" t="s">
        <v>265</v>
      </c>
      <c r="B963" s="372" t="s">
        <v>265</v>
      </c>
      <c r="C963" s="372" t="s">
        <v>265</v>
      </c>
    </row>
    <row r="964">
      <c r="A964" s="372" t="s">
        <v>265</v>
      </c>
      <c r="B964" s="372" t="s">
        <v>265</v>
      </c>
      <c r="C964" s="372" t="s">
        <v>265</v>
      </c>
    </row>
    <row r="965">
      <c r="A965" s="372" t="s">
        <v>265</v>
      </c>
      <c r="B965" s="372" t="s">
        <v>265</v>
      </c>
      <c r="C965" s="372" t="s">
        <v>265</v>
      </c>
    </row>
    <row r="966">
      <c r="A966" s="372" t="s">
        <v>265</v>
      </c>
      <c r="B966" s="372" t="s">
        <v>265</v>
      </c>
      <c r="C966" s="372" t="s">
        <v>265</v>
      </c>
    </row>
    <row r="967">
      <c r="A967" s="372" t="s">
        <v>265</v>
      </c>
      <c r="B967" s="372" t="s">
        <v>265</v>
      </c>
      <c r="C967" s="372" t="s">
        <v>265</v>
      </c>
    </row>
    <row r="968">
      <c r="A968" s="372" t="s">
        <v>265</v>
      </c>
      <c r="B968" s="372" t="s">
        <v>265</v>
      </c>
      <c r="C968" s="372" t="s">
        <v>265</v>
      </c>
    </row>
    <row r="969">
      <c r="A969" s="372" t="s">
        <v>265</v>
      </c>
      <c r="B969" s="372" t="s">
        <v>265</v>
      </c>
      <c r="C969" s="372" t="s">
        <v>265</v>
      </c>
    </row>
    <row r="970">
      <c r="A970" s="372" t="s">
        <v>265</v>
      </c>
      <c r="B970" s="372" t="s">
        <v>265</v>
      </c>
      <c r="C970" s="372" t="s">
        <v>265</v>
      </c>
    </row>
    <row r="971">
      <c r="A971" s="372" t="s">
        <v>265</v>
      </c>
      <c r="B971" s="372" t="s">
        <v>265</v>
      </c>
      <c r="C971" s="372" t="s">
        <v>265</v>
      </c>
    </row>
    <row r="972">
      <c r="A972" s="372" t="s">
        <v>265</v>
      </c>
      <c r="B972" s="372" t="s">
        <v>265</v>
      </c>
      <c r="C972" s="372" t="s">
        <v>265</v>
      </c>
    </row>
    <row r="973">
      <c r="A973" s="372" t="s">
        <v>265</v>
      </c>
      <c r="B973" s="372" t="s">
        <v>265</v>
      </c>
      <c r="C973" s="372" t="s">
        <v>265</v>
      </c>
    </row>
    <row r="974">
      <c r="A974" s="372" t="s">
        <v>265</v>
      </c>
      <c r="B974" s="372" t="s">
        <v>265</v>
      </c>
      <c r="C974" s="372" t="s">
        <v>265</v>
      </c>
    </row>
    <row r="975">
      <c r="A975" s="372" t="s">
        <v>265</v>
      </c>
      <c r="B975" s="372" t="s">
        <v>265</v>
      </c>
      <c r="C975" s="372" t="s">
        <v>265</v>
      </c>
    </row>
    <row r="976">
      <c r="A976" s="372" t="s">
        <v>265</v>
      </c>
      <c r="B976" s="372" t="s">
        <v>265</v>
      </c>
      <c r="C976" s="372" t="s">
        <v>265</v>
      </c>
    </row>
    <row r="977">
      <c r="A977" s="372" t="s">
        <v>265</v>
      </c>
      <c r="B977" s="372" t="s">
        <v>265</v>
      </c>
      <c r="C977" s="372" t="s">
        <v>265</v>
      </c>
    </row>
    <row r="978">
      <c r="A978" s="372" t="s">
        <v>265</v>
      </c>
      <c r="B978" s="372" t="s">
        <v>265</v>
      </c>
      <c r="C978" s="372" t="s">
        <v>265</v>
      </c>
    </row>
    <row r="979">
      <c r="A979" s="372" t="s">
        <v>265</v>
      </c>
      <c r="B979" s="372" t="s">
        <v>265</v>
      </c>
      <c r="C979" s="372" t="s">
        <v>265</v>
      </c>
    </row>
    <row r="980">
      <c r="A980" s="372" t="s">
        <v>265</v>
      </c>
      <c r="B980" s="372" t="s">
        <v>265</v>
      </c>
      <c r="C980" s="372" t="s">
        <v>265</v>
      </c>
    </row>
    <row r="981">
      <c r="A981" s="372" t="s">
        <v>265</v>
      </c>
      <c r="B981" s="372" t="s">
        <v>265</v>
      </c>
      <c r="C981" s="372" t="s">
        <v>265</v>
      </c>
    </row>
    <row r="982">
      <c r="A982" s="372" t="s">
        <v>265</v>
      </c>
      <c r="B982" s="372" t="s">
        <v>265</v>
      </c>
      <c r="C982" s="372" t="s">
        <v>265</v>
      </c>
    </row>
    <row r="983">
      <c r="A983" s="372" t="s">
        <v>265</v>
      </c>
      <c r="B983" s="372" t="s">
        <v>265</v>
      </c>
      <c r="C983" s="372" t="s">
        <v>265</v>
      </c>
    </row>
    <row r="984">
      <c r="A984" s="372" t="s">
        <v>265</v>
      </c>
      <c r="B984" s="372" t="s">
        <v>265</v>
      </c>
      <c r="C984" s="372" t="s">
        <v>265</v>
      </c>
    </row>
    <row r="985">
      <c r="A985" s="372" t="s">
        <v>265</v>
      </c>
      <c r="B985" s="372" t="s">
        <v>265</v>
      </c>
      <c r="C985" s="372" t="s">
        <v>265</v>
      </c>
    </row>
    <row r="986">
      <c r="A986" s="372" t="s">
        <v>265</v>
      </c>
      <c r="B986" s="372" t="s">
        <v>265</v>
      </c>
      <c r="C986" s="372" t="s">
        <v>265</v>
      </c>
    </row>
    <row r="987">
      <c r="A987" s="372" t="s">
        <v>265</v>
      </c>
      <c r="B987" s="372" t="s">
        <v>265</v>
      </c>
      <c r="C987" s="372" t="s">
        <v>265</v>
      </c>
    </row>
    <row r="988">
      <c r="A988" s="372" t="s">
        <v>265</v>
      </c>
      <c r="B988" s="372" t="s">
        <v>265</v>
      </c>
      <c r="C988" s="372" t="s">
        <v>265</v>
      </c>
    </row>
    <row r="989">
      <c r="A989" s="372" t="s">
        <v>265</v>
      </c>
      <c r="B989" s="372" t="s">
        <v>265</v>
      </c>
      <c r="C989" s="372" t="s">
        <v>265</v>
      </c>
    </row>
    <row r="990">
      <c r="A990" s="372" t="s">
        <v>265</v>
      </c>
      <c r="B990" s="372" t="s">
        <v>265</v>
      </c>
      <c r="C990" s="372" t="s">
        <v>265</v>
      </c>
    </row>
    <row r="991">
      <c r="A991" s="372" t="s">
        <v>265</v>
      </c>
      <c r="B991" s="372" t="s">
        <v>265</v>
      </c>
      <c r="C991" s="372" t="s">
        <v>265</v>
      </c>
    </row>
    <row r="992">
      <c r="A992" s="372" t="s">
        <v>265</v>
      </c>
      <c r="B992" s="372" t="s">
        <v>265</v>
      </c>
      <c r="C992" s="372" t="s">
        <v>265</v>
      </c>
    </row>
    <row r="993">
      <c r="A993" s="372" t="s">
        <v>265</v>
      </c>
      <c r="B993" s="372" t="s">
        <v>265</v>
      </c>
      <c r="C993" s="372" t="s">
        <v>265</v>
      </c>
    </row>
    <row r="994">
      <c r="A994" s="372" t="s">
        <v>265</v>
      </c>
      <c r="B994" s="372" t="s">
        <v>265</v>
      </c>
      <c r="C994" s="372" t="s">
        <v>265</v>
      </c>
    </row>
    <row r="995">
      <c r="A995" s="372" t="s">
        <v>265</v>
      </c>
      <c r="B995" s="372" t="s">
        <v>265</v>
      </c>
      <c r="C995" s="372" t="s">
        <v>265</v>
      </c>
    </row>
    <row r="996">
      <c r="A996" s="372" t="s">
        <v>265</v>
      </c>
      <c r="B996" s="372" t="s">
        <v>265</v>
      </c>
      <c r="C996" s="372" t="s">
        <v>265</v>
      </c>
    </row>
    <row r="997">
      <c r="A997" s="372" t="s">
        <v>265</v>
      </c>
      <c r="B997" s="372" t="s">
        <v>265</v>
      </c>
      <c r="C997" s="372" t="s">
        <v>265</v>
      </c>
    </row>
    <row r="998">
      <c r="A998" s="372" t="s">
        <v>265</v>
      </c>
      <c r="B998" s="372" t="s">
        <v>265</v>
      </c>
      <c r="C998" s="372" t="s">
        <v>265</v>
      </c>
    </row>
    <row r="999">
      <c r="A999" s="372" t="s">
        <v>265</v>
      </c>
      <c r="B999" s="372" t="s">
        <v>265</v>
      </c>
      <c r="C999" s="372" t="s">
        <v>265</v>
      </c>
    </row>
    <row r="1000">
      <c r="A1000" s="372" t="s">
        <v>265</v>
      </c>
      <c r="B1000" s="372" t="s">
        <v>265</v>
      </c>
      <c r="C1000" s="372" t="s">
        <v>265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sheetData>
    <row r="1">
      <c r="G1" s="377" t="str">
        <f>'Partnership Info'!D2</f>
        <v>Partner</v>
      </c>
    </row>
    <row r="2">
      <c r="A2" s="378" t="str">
        <f>IFERROR(__xludf.DUMMYFUNCTION("QUERY(IMPORTRANGE(""https://docs.google.com/spreadsheets/d/1z-VV5TLCfCE6VfEjberDcbjHxK9o3XSdM17z1R-F_9M/edit"", ""DB-Actual!A1:W""), ""SELECT * WHERE Col7 = '"" &amp; G1 &amp; ""'"", 1)"),"#REF!")</f>
        <v>#REF!</v>
      </c>
      <c r="B2" s="378"/>
      <c r="C2" s="378"/>
      <c r="D2" s="378"/>
      <c r="E2" s="378"/>
      <c r="F2" s="378"/>
      <c r="G2" s="378"/>
      <c r="H2" s="378"/>
      <c r="I2" s="378"/>
      <c r="J2" s="378"/>
      <c r="K2" s="378"/>
      <c r="L2" s="378"/>
      <c r="M2" s="378"/>
      <c r="N2" s="378"/>
      <c r="O2" s="378"/>
      <c r="P2" s="378"/>
      <c r="Q2" s="378"/>
      <c r="R2" s="378"/>
      <c r="S2" s="378"/>
      <c r="T2" s="378"/>
      <c r="U2" s="378"/>
      <c r="V2" s="378"/>
      <c r="W2" s="379"/>
      <c r="X2" s="253"/>
      <c r="Y2" s="380" t="s">
        <v>266</v>
      </c>
      <c r="Z2" s="380" t="s">
        <v>267</v>
      </c>
    </row>
    <row r="3">
      <c r="E3" s="381"/>
      <c r="Y3" s="372">
        <f t="array" ref="Y3:Y51000">MAP(B3:B51000, V3:V51000, LAMBDA(b_cell, v_cell, IF(AND(COUNTA(b_cell) = 1, COUNTA(v_cell) = 0), 1, 0)))</f>
        <v>0</v>
      </c>
      <c r="Z3" s="372">
        <f t="array" ref="Z3:Z51000">MAP(F3:F51000, LAMBDA(cell, IF(cell = "Closed Won", 1, 0)))</f>
        <v>0</v>
      </c>
    </row>
    <row r="4">
      <c r="E4" s="381"/>
      <c r="Y4" s="372">
        <v>0.0</v>
      </c>
      <c r="Z4" s="372">
        <v>0.0</v>
      </c>
    </row>
    <row r="5">
      <c r="Y5" s="372">
        <v>0.0</v>
      </c>
      <c r="Z5" s="372">
        <v>0.0</v>
      </c>
    </row>
    <row r="6">
      <c r="Y6" s="372">
        <v>0.0</v>
      </c>
      <c r="Z6" s="372">
        <v>0.0</v>
      </c>
    </row>
    <row r="7">
      <c r="Y7" s="372">
        <v>0.0</v>
      </c>
      <c r="Z7" s="372">
        <v>0.0</v>
      </c>
    </row>
    <row r="8">
      <c r="Y8" s="372">
        <v>0.0</v>
      </c>
      <c r="Z8" s="372">
        <v>0.0</v>
      </c>
    </row>
    <row r="9">
      <c r="Y9" s="372">
        <v>0.0</v>
      </c>
      <c r="Z9" s="372">
        <v>0.0</v>
      </c>
    </row>
    <row r="10">
      <c r="Y10" s="372">
        <v>0.0</v>
      </c>
      <c r="Z10" s="372">
        <v>0.0</v>
      </c>
    </row>
    <row r="11">
      <c r="Y11" s="372">
        <v>0.0</v>
      </c>
      <c r="Z11" s="372">
        <v>0.0</v>
      </c>
    </row>
    <row r="12">
      <c r="Y12" s="372">
        <v>0.0</v>
      </c>
      <c r="Z12" s="372">
        <v>0.0</v>
      </c>
    </row>
    <row r="13">
      <c r="Y13" s="372">
        <v>0.0</v>
      </c>
      <c r="Z13" s="372">
        <v>0.0</v>
      </c>
    </row>
    <row r="14">
      <c r="Y14" s="372">
        <v>0.0</v>
      </c>
      <c r="Z14" s="372">
        <v>0.0</v>
      </c>
    </row>
    <row r="15">
      <c r="Y15" s="372">
        <v>0.0</v>
      </c>
      <c r="Z15" s="372">
        <v>0.0</v>
      </c>
    </row>
    <row r="16">
      <c r="Y16" s="372">
        <v>0.0</v>
      </c>
      <c r="Z16" s="372">
        <v>0.0</v>
      </c>
    </row>
    <row r="17">
      <c r="Y17" s="372">
        <v>0.0</v>
      </c>
      <c r="Z17" s="372">
        <v>0.0</v>
      </c>
    </row>
    <row r="18">
      <c r="Y18" s="372">
        <v>0.0</v>
      </c>
      <c r="Z18" s="372">
        <v>0.0</v>
      </c>
    </row>
    <row r="19">
      <c r="Y19" s="372">
        <v>0.0</v>
      </c>
      <c r="Z19" s="372">
        <v>0.0</v>
      </c>
    </row>
    <row r="20">
      <c r="Y20" s="372">
        <v>0.0</v>
      </c>
      <c r="Z20" s="372">
        <v>0.0</v>
      </c>
    </row>
    <row r="21">
      <c r="Y21" s="372">
        <v>0.0</v>
      </c>
      <c r="Z21" s="372">
        <v>0.0</v>
      </c>
    </row>
    <row r="22">
      <c r="Y22" s="372">
        <v>0.0</v>
      </c>
      <c r="Z22" s="372">
        <v>0.0</v>
      </c>
    </row>
    <row r="23">
      <c r="Y23" s="372">
        <v>0.0</v>
      </c>
      <c r="Z23" s="372">
        <v>0.0</v>
      </c>
    </row>
    <row r="24">
      <c r="Y24" s="372">
        <v>0.0</v>
      </c>
      <c r="Z24" s="372">
        <v>0.0</v>
      </c>
    </row>
    <row r="25">
      <c r="Y25" s="372">
        <v>0.0</v>
      </c>
      <c r="Z25" s="372">
        <v>0.0</v>
      </c>
    </row>
    <row r="26">
      <c r="Y26" s="372">
        <v>0.0</v>
      </c>
      <c r="Z26" s="372">
        <v>0.0</v>
      </c>
    </row>
    <row r="27">
      <c r="Y27" s="372">
        <v>0.0</v>
      </c>
      <c r="Z27" s="372">
        <v>0.0</v>
      </c>
    </row>
    <row r="28">
      <c r="Y28" s="372">
        <v>0.0</v>
      </c>
      <c r="Z28" s="372">
        <v>0.0</v>
      </c>
    </row>
    <row r="29">
      <c r="Y29" s="372">
        <v>0.0</v>
      </c>
      <c r="Z29" s="372">
        <v>0.0</v>
      </c>
    </row>
    <row r="30">
      <c r="Y30" s="372">
        <v>0.0</v>
      </c>
      <c r="Z30" s="372">
        <v>0.0</v>
      </c>
    </row>
    <row r="31">
      <c r="Y31" s="372">
        <v>0.0</v>
      </c>
      <c r="Z31" s="372">
        <v>0.0</v>
      </c>
    </row>
    <row r="32">
      <c r="Y32" s="372">
        <v>0.0</v>
      </c>
      <c r="Z32" s="372">
        <v>0.0</v>
      </c>
    </row>
    <row r="33">
      <c r="Y33" s="372">
        <v>0.0</v>
      </c>
      <c r="Z33" s="372">
        <v>0.0</v>
      </c>
    </row>
    <row r="34">
      <c r="Y34" s="372">
        <v>0.0</v>
      </c>
      <c r="Z34" s="372">
        <v>0.0</v>
      </c>
    </row>
    <row r="35">
      <c r="Y35" s="372">
        <v>0.0</v>
      </c>
      <c r="Z35" s="372">
        <v>0.0</v>
      </c>
    </row>
    <row r="36">
      <c r="Y36" s="372">
        <v>0.0</v>
      </c>
      <c r="Z36" s="372">
        <v>0.0</v>
      </c>
    </row>
    <row r="37">
      <c r="Y37" s="372">
        <v>0.0</v>
      </c>
      <c r="Z37" s="372">
        <v>0.0</v>
      </c>
    </row>
    <row r="38">
      <c r="Y38" s="372">
        <v>0.0</v>
      </c>
      <c r="Z38" s="372">
        <v>0.0</v>
      </c>
    </row>
    <row r="39">
      <c r="Y39" s="372">
        <v>0.0</v>
      </c>
      <c r="Z39" s="372">
        <v>0.0</v>
      </c>
    </row>
    <row r="40">
      <c r="Y40" s="372">
        <v>0.0</v>
      </c>
      <c r="Z40" s="372">
        <v>0.0</v>
      </c>
    </row>
    <row r="41">
      <c r="Y41" s="372">
        <v>0.0</v>
      </c>
      <c r="Z41" s="372">
        <v>0.0</v>
      </c>
    </row>
    <row r="42">
      <c r="Y42" s="372">
        <v>0.0</v>
      </c>
      <c r="Z42" s="372">
        <v>0.0</v>
      </c>
    </row>
    <row r="43">
      <c r="Y43" s="372">
        <v>0.0</v>
      </c>
      <c r="Z43" s="372">
        <v>0.0</v>
      </c>
    </row>
    <row r="44">
      <c r="Y44" s="372">
        <v>0.0</v>
      </c>
      <c r="Z44" s="372">
        <v>0.0</v>
      </c>
    </row>
    <row r="45">
      <c r="Y45" s="372">
        <v>0.0</v>
      </c>
      <c r="Z45" s="372">
        <v>0.0</v>
      </c>
    </row>
    <row r="46">
      <c r="Y46" s="372">
        <v>0.0</v>
      </c>
      <c r="Z46" s="372">
        <v>0.0</v>
      </c>
    </row>
    <row r="47">
      <c r="Y47" s="372">
        <v>0.0</v>
      </c>
      <c r="Z47" s="372">
        <v>0.0</v>
      </c>
    </row>
    <row r="48">
      <c r="Y48" s="372">
        <v>0.0</v>
      </c>
      <c r="Z48" s="372">
        <v>0.0</v>
      </c>
    </row>
    <row r="49">
      <c r="Y49" s="372">
        <v>0.0</v>
      </c>
      <c r="Z49" s="372">
        <v>0.0</v>
      </c>
    </row>
    <row r="50">
      <c r="Y50" s="372">
        <v>0.0</v>
      </c>
      <c r="Z50" s="372">
        <v>0.0</v>
      </c>
    </row>
    <row r="51">
      <c r="Y51" s="372">
        <v>0.0</v>
      </c>
      <c r="Z51" s="372">
        <v>0.0</v>
      </c>
    </row>
    <row r="52">
      <c r="Y52" s="372">
        <v>0.0</v>
      </c>
      <c r="Z52" s="372">
        <v>0.0</v>
      </c>
    </row>
    <row r="53">
      <c r="Y53" s="372">
        <v>0.0</v>
      </c>
      <c r="Z53" s="372">
        <v>0.0</v>
      </c>
    </row>
    <row r="54">
      <c r="Y54" s="372">
        <v>0.0</v>
      </c>
      <c r="Z54" s="372">
        <v>0.0</v>
      </c>
    </row>
    <row r="55">
      <c r="Y55" s="372">
        <v>0.0</v>
      </c>
      <c r="Z55" s="372">
        <v>0.0</v>
      </c>
    </row>
    <row r="56">
      <c r="Y56" s="372">
        <v>0.0</v>
      </c>
      <c r="Z56" s="372">
        <v>0.0</v>
      </c>
    </row>
    <row r="57">
      <c r="Y57" s="372">
        <v>0.0</v>
      </c>
      <c r="Z57" s="372">
        <v>0.0</v>
      </c>
    </row>
    <row r="58">
      <c r="Y58" s="372">
        <v>0.0</v>
      </c>
      <c r="Z58" s="372">
        <v>0.0</v>
      </c>
    </row>
    <row r="59">
      <c r="Y59" s="372">
        <v>0.0</v>
      </c>
      <c r="Z59" s="372">
        <v>0.0</v>
      </c>
    </row>
    <row r="60">
      <c r="Y60" s="372">
        <v>0.0</v>
      </c>
      <c r="Z60" s="372">
        <v>0.0</v>
      </c>
    </row>
    <row r="61">
      <c r="Y61" s="372">
        <v>0.0</v>
      </c>
      <c r="Z61" s="372">
        <v>0.0</v>
      </c>
    </row>
    <row r="62">
      <c r="Y62" s="372">
        <v>0.0</v>
      </c>
      <c r="Z62" s="372">
        <v>0.0</v>
      </c>
    </row>
    <row r="63">
      <c r="Y63" s="372">
        <v>0.0</v>
      </c>
      <c r="Z63" s="372">
        <v>0.0</v>
      </c>
    </row>
    <row r="64">
      <c r="Y64" s="372">
        <v>0.0</v>
      </c>
      <c r="Z64" s="372">
        <v>0.0</v>
      </c>
    </row>
    <row r="65">
      <c r="Y65" s="372">
        <v>0.0</v>
      </c>
      <c r="Z65" s="372">
        <v>0.0</v>
      </c>
    </row>
    <row r="66">
      <c r="Y66" s="372">
        <v>0.0</v>
      </c>
      <c r="Z66" s="372">
        <v>0.0</v>
      </c>
    </row>
    <row r="67">
      <c r="Y67" s="372">
        <v>0.0</v>
      </c>
      <c r="Z67" s="372">
        <v>0.0</v>
      </c>
    </row>
    <row r="68">
      <c r="Y68" s="372">
        <v>0.0</v>
      </c>
      <c r="Z68" s="372">
        <v>0.0</v>
      </c>
    </row>
    <row r="69">
      <c r="Y69" s="372">
        <v>0.0</v>
      </c>
      <c r="Z69" s="372">
        <v>0.0</v>
      </c>
    </row>
    <row r="70">
      <c r="Y70" s="372">
        <v>0.0</v>
      </c>
      <c r="Z70" s="372">
        <v>0.0</v>
      </c>
    </row>
    <row r="71">
      <c r="Y71" s="372">
        <v>0.0</v>
      </c>
      <c r="Z71" s="372">
        <v>0.0</v>
      </c>
      <c r="AA71" s="241">
        <v>100.0</v>
      </c>
    </row>
    <row r="72">
      <c r="Y72" s="372">
        <v>0.0</v>
      </c>
      <c r="Z72" s="372">
        <v>0.0</v>
      </c>
      <c r="AA72" s="241">
        <v>133.0</v>
      </c>
    </row>
    <row r="73">
      <c r="Y73" s="372">
        <v>0.0</v>
      </c>
      <c r="Z73" s="372">
        <v>0.0</v>
      </c>
    </row>
    <row r="74">
      <c r="Y74" s="372">
        <v>0.0</v>
      </c>
      <c r="Z74" s="372">
        <v>0.0</v>
      </c>
    </row>
    <row r="75">
      <c r="Y75" s="372">
        <v>0.0</v>
      </c>
      <c r="Z75" s="372">
        <v>0.0</v>
      </c>
      <c r="AA75" s="241">
        <v>100.0</v>
      </c>
    </row>
    <row r="76">
      <c r="Y76" s="372">
        <v>0.0</v>
      </c>
      <c r="Z76" s="372">
        <v>0.0</v>
      </c>
      <c r="AA76" s="382"/>
    </row>
    <row r="77">
      <c r="Y77" s="372">
        <v>0.0</v>
      </c>
      <c r="Z77" s="372">
        <v>0.0</v>
      </c>
      <c r="AA77" s="382">
        <v>133.0</v>
      </c>
    </row>
    <row r="78">
      <c r="Y78" s="372">
        <v>0.0</v>
      </c>
      <c r="Z78" s="372">
        <v>0.0</v>
      </c>
      <c r="AA78" s="382">
        <v>133.0</v>
      </c>
    </row>
    <row r="79">
      <c r="Y79" s="372">
        <v>0.0</v>
      </c>
      <c r="Z79" s="372">
        <v>0.0</v>
      </c>
      <c r="AA79" s="241">
        <v>100.0</v>
      </c>
    </row>
    <row r="80">
      <c r="Y80" s="372">
        <v>0.0</v>
      </c>
      <c r="Z80" s="372">
        <v>0.0</v>
      </c>
    </row>
    <row r="81">
      <c r="Y81" s="372">
        <v>0.0</v>
      </c>
      <c r="Z81" s="372">
        <v>0.0</v>
      </c>
    </row>
    <row r="82">
      <c r="Y82" s="372">
        <v>0.0</v>
      </c>
      <c r="Z82" s="372">
        <v>0.0</v>
      </c>
    </row>
    <row r="83">
      <c r="Y83" s="372">
        <v>0.0</v>
      </c>
      <c r="Z83" s="372">
        <v>0.0</v>
      </c>
    </row>
    <row r="84">
      <c r="Y84" s="372">
        <v>0.0</v>
      </c>
      <c r="Z84" s="372">
        <v>0.0</v>
      </c>
    </row>
    <row r="85">
      <c r="Y85" s="372">
        <v>0.0</v>
      </c>
      <c r="Z85" s="372">
        <v>0.0</v>
      </c>
    </row>
    <row r="86">
      <c r="Y86" s="372">
        <v>0.0</v>
      </c>
      <c r="Z86" s="372">
        <v>0.0</v>
      </c>
    </row>
    <row r="87">
      <c r="Y87" s="372">
        <v>0.0</v>
      </c>
      <c r="Z87" s="372">
        <v>0.0</v>
      </c>
    </row>
    <row r="88">
      <c r="Y88" s="372">
        <v>0.0</v>
      </c>
      <c r="Z88" s="372">
        <v>0.0</v>
      </c>
    </row>
    <row r="89">
      <c r="Y89" s="372">
        <v>0.0</v>
      </c>
      <c r="Z89" s="372">
        <v>0.0</v>
      </c>
    </row>
    <row r="90">
      <c r="Y90" s="372">
        <v>0.0</v>
      </c>
      <c r="Z90" s="372">
        <v>0.0</v>
      </c>
    </row>
    <row r="91">
      <c r="Y91" s="372">
        <v>0.0</v>
      </c>
      <c r="Z91" s="372">
        <v>0.0</v>
      </c>
    </row>
    <row r="92">
      <c r="Y92" s="372">
        <v>0.0</v>
      </c>
      <c r="Z92" s="372">
        <v>0.0</v>
      </c>
    </row>
    <row r="93">
      <c r="Y93" s="372">
        <v>0.0</v>
      </c>
      <c r="Z93" s="372">
        <v>0.0</v>
      </c>
    </row>
    <row r="94">
      <c r="Y94" s="372">
        <v>0.0</v>
      </c>
      <c r="Z94" s="372">
        <v>0.0</v>
      </c>
    </row>
    <row r="95">
      <c r="Y95" s="372">
        <v>0.0</v>
      </c>
      <c r="Z95" s="372">
        <v>0.0</v>
      </c>
    </row>
    <row r="96">
      <c r="Y96" s="372">
        <v>0.0</v>
      </c>
      <c r="Z96" s="372">
        <v>0.0</v>
      </c>
    </row>
    <row r="97">
      <c r="Y97" s="372">
        <v>0.0</v>
      </c>
      <c r="Z97" s="372">
        <v>0.0</v>
      </c>
    </row>
    <row r="98">
      <c r="Y98" s="372">
        <v>0.0</v>
      </c>
      <c r="Z98" s="372">
        <v>0.0</v>
      </c>
    </row>
    <row r="99">
      <c r="Y99" s="372">
        <v>0.0</v>
      </c>
      <c r="Z99" s="372">
        <v>0.0</v>
      </c>
    </row>
    <row r="100">
      <c r="Y100" s="372">
        <v>0.0</v>
      </c>
      <c r="Z100" s="372">
        <v>0.0</v>
      </c>
    </row>
    <row r="101">
      <c r="Y101" s="372">
        <v>0.0</v>
      </c>
      <c r="Z101" s="372">
        <v>0.0</v>
      </c>
    </row>
    <row r="102">
      <c r="Y102" s="372">
        <v>0.0</v>
      </c>
      <c r="Z102" s="372">
        <v>0.0</v>
      </c>
    </row>
    <row r="103">
      <c r="Y103" s="372">
        <v>0.0</v>
      </c>
      <c r="Z103" s="372">
        <v>0.0</v>
      </c>
    </row>
    <row r="104">
      <c r="Y104" s="372">
        <v>0.0</v>
      </c>
      <c r="Z104" s="372">
        <v>0.0</v>
      </c>
    </row>
    <row r="105">
      <c r="Y105" s="372">
        <v>0.0</v>
      </c>
      <c r="Z105" s="372">
        <v>0.0</v>
      </c>
    </row>
    <row r="106">
      <c r="Y106" s="372">
        <v>0.0</v>
      </c>
      <c r="Z106" s="372">
        <v>0.0</v>
      </c>
    </row>
    <row r="107">
      <c r="Y107" s="372">
        <v>0.0</v>
      </c>
      <c r="Z107" s="372">
        <v>0.0</v>
      </c>
    </row>
    <row r="108">
      <c r="Y108" s="372">
        <v>0.0</v>
      </c>
      <c r="Z108" s="372">
        <v>0.0</v>
      </c>
    </row>
    <row r="109">
      <c r="Y109" s="372">
        <v>0.0</v>
      </c>
      <c r="Z109" s="372">
        <v>0.0</v>
      </c>
    </row>
    <row r="110">
      <c r="Y110" s="372">
        <v>0.0</v>
      </c>
      <c r="Z110" s="372">
        <v>0.0</v>
      </c>
    </row>
    <row r="111">
      <c r="Y111" s="372">
        <v>0.0</v>
      </c>
      <c r="Z111" s="372">
        <v>0.0</v>
      </c>
    </row>
    <row r="112">
      <c r="Y112" s="372">
        <v>0.0</v>
      </c>
      <c r="Z112" s="372">
        <v>0.0</v>
      </c>
    </row>
    <row r="113">
      <c r="Y113" s="372">
        <v>0.0</v>
      </c>
      <c r="Z113" s="372">
        <v>0.0</v>
      </c>
    </row>
    <row r="114">
      <c r="Y114" s="372">
        <v>0.0</v>
      </c>
      <c r="Z114" s="372">
        <v>0.0</v>
      </c>
    </row>
    <row r="115">
      <c r="Y115" s="372">
        <v>0.0</v>
      </c>
      <c r="Z115" s="372">
        <v>0.0</v>
      </c>
    </row>
    <row r="116">
      <c r="Y116" s="372">
        <v>0.0</v>
      </c>
      <c r="Z116" s="372">
        <v>0.0</v>
      </c>
    </row>
    <row r="117">
      <c r="Y117" s="372">
        <v>0.0</v>
      </c>
      <c r="Z117" s="372">
        <v>0.0</v>
      </c>
    </row>
    <row r="118">
      <c r="Y118" s="372">
        <v>0.0</v>
      </c>
      <c r="Z118" s="372">
        <v>0.0</v>
      </c>
    </row>
    <row r="119">
      <c r="Y119" s="372">
        <v>0.0</v>
      </c>
      <c r="Z119" s="372">
        <v>0.0</v>
      </c>
    </row>
    <row r="120">
      <c r="Y120" s="372">
        <v>0.0</v>
      </c>
      <c r="Z120" s="372">
        <v>0.0</v>
      </c>
    </row>
    <row r="121">
      <c r="Y121" s="372">
        <v>0.0</v>
      </c>
      <c r="Z121" s="372">
        <v>0.0</v>
      </c>
    </row>
    <row r="122">
      <c r="Y122" s="372">
        <v>0.0</v>
      </c>
      <c r="Z122" s="372">
        <v>0.0</v>
      </c>
    </row>
    <row r="123">
      <c r="Y123" s="372">
        <v>0.0</v>
      </c>
      <c r="Z123" s="372">
        <v>0.0</v>
      </c>
    </row>
    <row r="124">
      <c r="Y124" s="372">
        <v>0.0</v>
      </c>
      <c r="Z124" s="372">
        <v>0.0</v>
      </c>
    </row>
    <row r="125">
      <c r="Y125" s="372">
        <v>0.0</v>
      </c>
      <c r="Z125" s="372">
        <v>0.0</v>
      </c>
    </row>
    <row r="126">
      <c r="Y126" s="372">
        <v>0.0</v>
      </c>
      <c r="Z126" s="372">
        <v>0.0</v>
      </c>
    </row>
    <row r="127">
      <c r="Y127" s="372">
        <v>0.0</v>
      </c>
      <c r="Z127" s="372">
        <v>0.0</v>
      </c>
    </row>
    <row r="128">
      <c r="Y128" s="372">
        <v>0.0</v>
      </c>
      <c r="Z128" s="372">
        <v>0.0</v>
      </c>
    </row>
    <row r="129">
      <c r="Y129" s="372">
        <v>0.0</v>
      </c>
      <c r="Z129" s="372">
        <v>0.0</v>
      </c>
    </row>
    <row r="130">
      <c r="Y130" s="372">
        <v>0.0</v>
      </c>
      <c r="Z130" s="372">
        <v>0.0</v>
      </c>
    </row>
    <row r="131">
      <c r="Y131" s="372">
        <v>0.0</v>
      </c>
      <c r="Z131" s="372">
        <v>0.0</v>
      </c>
    </row>
    <row r="132">
      <c r="Y132" s="372">
        <v>0.0</v>
      </c>
      <c r="Z132" s="372">
        <v>0.0</v>
      </c>
    </row>
    <row r="133">
      <c r="Y133" s="372">
        <v>0.0</v>
      </c>
      <c r="Z133" s="372">
        <v>0.0</v>
      </c>
    </row>
    <row r="134">
      <c r="Y134" s="372">
        <v>0.0</v>
      </c>
      <c r="Z134" s="372">
        <v>0.0</v>
      </c>
    </row>
    <row r="135">
      <c r="Y135" s="372">
        <v>0.0</v>
      </c>
      <c r="Z135" s="372">
        <v>0.0</v>
      </c>
    </row>
    <row r="136">
      <c r="Y136" s="372">
        <v>0.0</v>
      </c>
      <c r="Z136" s="372">
        <v>0.0</v>
      </c>
    </row>
    <row r="137">
      <c r="Y137" s="372">
        <v>0.0</v>
      </c>
      <c r="Z137" s="372">
        <v>0.0</v>
      </c>
    </row>
    <row r="138">
      <c r="Y138" s="372">
        <v>0.0</v>
      </c>
      <c r="Z138" s="372">
        <v>0.0</v>
      </c>
    </row>
    <row r="139">
      <c r="Y139" s="372">
        <v>0.0</v>
      </c>
      <c r="Z139" s="372">
        <v>0.0</v>
      </c>
    </row>
    <row r="140">
      <c r="Y140" s="372">
        <v>0.0</v>
      </c>
      <c r="Z140" s="372">
        <v>0.0</v>
      </c>
    </row>
    <row r="141">
      <c r="Y141" s="372">
        <v>0.0</v>
      </c>
      <c r="Z141" s="372">
        <v>0.0</v>
      </c>
    </row>
    <row r="142">
      <c r="Y142" s="372">
        <v>0.0</v>
      </c>
      <c r="Z142" s="372">
        <v>0.0</v>
      </c>
    </row>
    <row r="143">
      <c r="Y143" s="372">
        <v>0.0</v>
      </c>
      <c r="Z143" s="372">
        <v>0.0</v>
      </c>
    </row>
    <row r="144">
      <c r="Y144" s="372">
        <v>0.0</v>
      </c>
      <c r="Z144" s="372">
        <v>0.0</v>
      </c>
    </row>
    <row r="145">
      <c r="Y145" s="372">
        <v>0.0</v>
      </c>
      <c r="Z145" s="372">
        <v>0.0</v>
      </c>
    </row>
    <row r="146">
      <c r="Y146" s="372">
        <v>0.0</v>
      </c>
      <c r="Z146" s="372">
        <v>0.0</v>
      </c>
    </row>
    <row r="147">
      <c r="Y147" s="372">
        <v>0.0</v>
      </c>
      <c r="Z147" s="372">
        <v>0.0</v>
      </c>
    </row>
    <row r="148">
      <c r="Y148" s="372">
        <v>0.0</v>
      </c>
      <c r="Z148" s="372">
        <v>0.0</v>
      </c>
    </row>
    <row r="149">
      <c r="Y149" s="372">
        <v>0.0</v>
      </c>
      <c r="Z149" s="372">
        <v>0.0</v>
      </c>
    </row>
    <row r="150">
      <c r="Y150" s="372">
        <v>0.0</v>
      </c>
      <c r="Z150" s="372">
        <v>0.0</v>
      </c>
    </row>
    <row r="151">
      <c r="Y151" s="372">
        <v>0.0</v>
      </c>
      <c r="Z151" s="372">
        <v>0.0</v>
      </c>
    </row>
    <row r="152">
      <c r="Y152" s="372">
        <v>0.0</v>
      </c>
      <c r="Z152" s="372">
        <v>0.0</v>
      </c>
    </row>
    <row r="153">
      <c r="Y153" s="372">
        <v>0.0</v>
      </c>
      <c r="Z153" s="372">
        <v>0.0</v>
      </c>
    </row>
    <row r="154">
      <c r="Y154" s="372">
        <v>0.0</v>
      </c>
      <c r="Z154" s="372">
        <v>0.0</v>
      </c>
    </row>
    <row r="155">
      <c r="Y155" s="372">
        <v>0.0</v>
      </c>
      <c r="Z155" s="372">
        <v>0.0</v>
      </c>
    </row>
    <row r="156">
      <c r="Y156" s="372">
        <v>0.0</v>
      </c>
      <c r="Z156" s="372">
        <v>0.0</v>
      </c>
    </row>
    <row r="157">
      <c r="Y157" s="372">
        <v>0.0</v>
      </c>
      <c r="Z157" s="372">
        <v>0.0</v>
      </c>
    </row>
    <row r="158">
      <c r="Y158" s="372">
        <v>0.0</v>
      </c>
      <c r="Z158" s="372">
        <v>0.0</v>
      </c>
    </row>
    <row r="159">
      <c r="Y159" s="372">
        <v>0.0</v>
      </c>
      <c r="Z159" s="372">
        <v>0.0</v>
      </c>
    </row>
    <row r="160">
      <c r="Y160" s="372">
        <v>0.0</v>
      </c>
      <c r="Z160" s="372">
        <v>0.0</v>
      </c>
    </row>
    <row r="161">
      <c r="Y161" s="372">
        <v>0.0</v>
      </c>
      <c r="Z161" s="372">
        <v>0.0</v>
      </c>
    </row>
    <row r="162">
      <c r="Y162" s="372">
        <v>0.0</v>
      </c>
      <c r="Z162" s="372">
        <v>0.0</v>
      </c>
    </row>
    <row r="163">
      <c r="Y163" s="372">
        <v>0.0</v>
      </c>
      <c r="Z163" s="372">
        <v>0.0</v>
      </c>
    </row>
    <row r="164">
      <c r="Y164" s="372">
        <v>0.0</v>
      </c>
      <c r="Z164" s="372">
        <v>0.0</v>
      </c>
    </row>
    <row r="165">
      <c r="Y165" s="372">
        <v>0.0</v>
      </c>
      <c r="Z165" s="372">
        <v>0.0</v>
      </c>
    </row>
    <row r="166">
      <c r="Y166" s="372">
        <v>0.0</v>
      </c>
      <c r="Z166" s="372">
        <v>0.0</v>
      </c>
    </row>
    <row r="167">
      <c r="Y167" s="372">
        <v>0.0</v>
      </c>
      <c r="Z167" s="372">
        <v>0.0</v>
      </c>
    </row>
    <row r="168">
      <c r="Y168" s="372">
        <v>0.0</v>
      </c>
      <c r="Z168" s="372">
        <v>0.0</v>
      </c>
    </row>
    <row r="169">
      <c r="Y169" s="372">
        <v>0.0</v>
      </c>
      <c r="Z169" s="372">
        <v>0.0</v>
      </c>
    </row>
    <row r="170">
      <c r="Y170" s="372">
        <v>0.0</v>
      </c>
      <c r="Z170" s="372">
        <v>0.0</v>
      </c>
    </row>
    <row r="171">
      <c r="Y171" s="372">
        <v>0.0</v>
      </c>
      <c r="Z171" s="372">
        <v>0.0</v>
      </c>
    </row>
    <row r="172">
      <c r="Y172" s="372">
        <v>0.0</v>
      </c>
      <c r="Z172" s="372">
        <v>0.0</v>
      </c>
    </row>
    <row r="173">
      <c r="Y173" s="372">
        <v>0.0</v>
      </c>
      <c r="Z173" s="372">
        <v>0.0</v>
      </c>
    </row>
    <row r="174">
      <c r="Y174" s="372">
        <v>0.0</v>
      </c>
      <c r="Z174" s="372">
        <v>0.0</v>
      </c>
    </row>
    <row r="175">
      <c r="Y175" s="372">
        <v>0.0</v>
      </c>
      <c r="Z175" s="372">
        <v>0.0</v>
      </c>
    </row>
    <row r="176">
      <c r="Y176" s="372">
        <v>0.0</v>
      </c>
      <c r="Z176" s="372">
        <v>0.0</v>
      </c>
    </row>
    <row r="177">
      <c r="Y177" s="372">
        <v>0.0</v>
      </c>
      <c r="Z177" s="372">
        <v>0.0</v>
      </c>
    </row>
    <row r="178">
      <c r="Y178" s="372">
        <v>0.0</v>
      </c>
      <c r="Z178" s="372">
        <v>0.0</v>
      </c>
    </row>
    <row r="179">
      <c r="Y179" s="372">
        <v>0.0</v>
      </c>
      <c r="Z179" s="372">
        <v>0.0</v>
      </c>
    </row>
    <row r="180">
      <c r="Y180" s="372">
        <v>0.0</v>
      </c>
      <c r="Z180" s="372">
        <v>0.0</v>
      </c>
    </row>
    <row r="181">
      <c r="Y181" s="372">
        <v>0.0</v>
      </c>
      <c r="Z181" s="372">
        <v>0.0</v>
      </c>
    </row>
    <row r="182">
      <c r="Y182" s="372">
        <v>0.0</v>
      </c>
      <c r="Z182" s="372">
        <v>0.0</v>
      </c>
    </row>
    <row r="183">
      <c r="Y183" s="372">
        <v>0.0</v>
      </c>
      <c r="Z183" s="372">
        <v>0.0</v>
      </c>
    </row>
    <row r="184">
      <c r="Y184" s="372">
        <v>0.0</v>
      </c>
      <c r="Z184" s="372">
        <v>0.0</v>
      </c>
    </row>
    <row r="185">
      <c r="Y185" s="372">
        <v>0.0</v>
      </c>
      <c r="Z185" s="372">
        <v>0.0</v>
      </c>
    </row>
    <row r="186">
      <c r="Y186" s="372">
        <v>0.0</v>
      </c>
      <c r="Z186" s="372">
        <v>0.0</v>
      </c>
    </row>
    <row r="187">
      <c r="Y187" s="372">
        <v>0.0</v>
      </c>
      <c r="Z187" s="372">
        <v>0.0</v>
      </c>
    </row>
    <row r="188">
      <c r="Y188" s="372">
        <v>0.0</v>
      </c>
      <c r="Z188" s="372">
        <v>0.0</v>
      </c>
    </row>
    <row r="189">
      <c r="Y189" s="372">
        <v>0.0</v>
      </c>
      <c r="Z189" s="372">
        <v>0.0</v>
      </c>
    </row>
    <row r="190">
      <c r="Y190" s="372">
        <v>0.0</v>
      </c>
      <c r="Z190" s="372">
        <v>0.0</v>
      </c>
    </row>
    <row r="191">
      <c r="Y191" s="372">
        <v>0.0</v>
      </c>
      <c r="Z191" s="372">
        <v>0.0</v>
      </c>
    </row>
    <row r="192">
      <c r="Y192" s="372">
        <v>0.0</v>
      </c>
      <c r="Z192" s="372">
        <v>0.0</v>
      </c>
    </row>
    <row r="193">
      <c r="Y193" s="372">
        <v>0.0</v>
      </c>
      <c r="Z193" s="372">
        <v>0.0</v>
      </c>
    </row>
    <row r="194">
      <c r="Y194" s="372">
        <v>0.0</v>
      </c>
      <c r="Z194" s="372">
        <v>0.0</v>
      </c>
    </row>
    <row r="195">
      <c r="Y195" s="372">
        <v>0.0</v>
      </c>
      <c r="Z195" s="372">
        <v>0.0</v>
      </c>
    </row>
    <row r="196">
      <c r="Y196" s="372">
        <v>0.0</v>
      </c>
      <c r="Z196" s="372">
        <v>0.0</v>
      </c>
    </row>
    <row r="197">
      <c r="Y197" s="372">
        <v>0.0</v>
      </c>
      <c r="Z197" s="372">
        <v>0.0</v>
      </c>
    </row>
    <row r="198">
      <c r="Y198" s="372">
        <v>0.0</v>
      </c>
      <c r="Z198" s="372">
        <v>0.0</v>
      </c>
    </row>
    <row r="199">
      <c r="Y199" s="372">
        <v>0.0</v>
      </c>
      <c r="Z199" s="372">
        <v>0.0</v>
      </c>
    </row>
    <row r="200">
      <c r="Y200" s="372">
        <v>0.0</v>
      </c>
      <c r="Z200" s="372">
        <v>0.0</v>
      </c>
    </row>
    <row r="201">
      <c r="Y201" s="372">
        <v>0.0</v>
      </c>
      <c r="Z201" s="372">
        <v>0.0</v>
      </c>
    </row>
    <row r="202">
      <c r="Y202" s="372">
        <v>0.0</v>
      </c>
      <c r="Z202" s="372">
        <v>0.0</v>
      </c>
    </row>
    <row r="203">
      <c r="Y203" s="372">
        <v>0.0</v>
      </c>
      <c r="Z203" s="372">
        <v>0.0</v>
      </c>
    </row>
    <row r="204">
      <c r="Y204" s="372">
        <v>0.0</v>
      </c>
      <c r="Z204" s="372">
        <v>0.0</v>
      </c>
    </row>
    <row r="205">
      <c r="Y205" s="372">
        <v>0.0</v>
      </c>
      <c r="Z205" s="372">
        <v>0.0</v>
      </c>
    </row>
    <row r="206">
      <c r="Y206" s="372">
        <v>0.0</v>
      </c>
      <c r="Z206" s="372">
        <v>0.0</v>
      </c>
    </row>
    <row r="207">
      <c r="Y207" s="372">
        <v>0.0</v>
      </c>
      <c r="Z207" s="372">
        <v>0.0</v>
      </c>
    </row>
    <row r="208">
      <c r="Y208" s="372">
        <v>0.0</v>
      </c>
      <c r="Z208" s="372">
        <v>0.0</v>
      </c>
    </row>
    <row r="209">
      <c r="Y209" s="372">
        <v>0.0</v>
      </c>
      <c r="Z209" s="372">
        <v>0.0</v>
      </c>
    </row>
    <row r="210">
      <c r="Y210" s="372">
        <v>0.0</v>
      </c>
      <c r="Z210" s="372">
        <v>0.0</v>
      </c>
    </row>
    <row r="211">
      <c r="Y211" s="372">
        <v>0.0</v>
      </c>
      <c r="Z211" s="372">
        <v>0.0</v>
      </c>
    </row>
    <row r="212">
      <c r="Y212" s="372">
        <v>0.0</v>
      </c>
      <c r="Z212" s="372">
        <v>0.0</v>
      </c>
    </row>
    <row r="213">
      <c r="Y213" s="372">
        <v>0.0</v>
      </c>
      <c r="Z213" s="372">
        <v>0.0</v>
      </c>
    </row>
    <row r="214">
      <c r="Y214" s="372">
        <v>0.0</v>
      </c>
      <c r="Z214" s="372">
        <v>0.0</v>
      </c>
    </row>
    <row r="215">
      <c r="Y215" s="372">
        <v>0.0</v>
      </c>
      <c r="Z215" s="372">
        <v>0.0</v>
      </c>
    </row>
    <row r="216">
      <c r="Y216" s="372">
        <v>0.0</v>
      </c>
      <c r="Z216" s="372">
        <v>0.0</v>
      </c>
    </row>
    <row r="217">
      <c r="Y217" s="372">
        <v>0.0</v>
      </c>
      <c r="Z217" s="372">
        <v>0.0</v>
      </c>
    </row>
    <row r="218">
      <c r="Y218" s="372">
        <v>0.0</v>
      </c>
      <c r="Z218" s="372">
        <v>0.0</v>
      </c>
    </row>
    <row r="219">
      <c r="Y219" s="372">
        <v>0.0</v>
      </c>
      <c r="Z219" s="372">
        <v>0.0</v>
      </c>
    </row>
    <row r="220">
      <c r="Y220" s="372">
        <v>0.0</v>
      </c>
      <c r="Z220" s="372">
        <v>0.0</v>
      </c>
    </row>
    <row r="221">
      <c r="Y221" s="372">
        <v>0.0</v>
      </c>
      <c r="Z221" s="372">
        <v>0.0</v>
      </c>
    </row>
    <row r="222">
      <c r="Y222" s="372">
        <v>0.0</v>
      </c>
      <c r="Z222" s="372">
        <v>0.0</v>
      </c>
    </row>
    <row r="223">
      <c r="Y223" s="372">
        <v>0.0</v>
      </c>
      <c r="Z223" s="372">
        <v>0.0</v>
      </c>
    </row>
    <row r="224">
      <c r="Y224" s="372">
        <v>0.0</v>
      </c>
      <c r="Z224" s="372">
        <v>0.0</v>
      </c>
    </row>
    <row r="225">
      <c r="Y225" s="372">
        <v>0.0</v>
      </c>
      <c r="Z225" s="372">
        <v>0.0</v>
      </c>
    </row>
    <row r="226">
      <c r="Y226" s="372">
        <v>0.0</v>
      </c>
      <c r="Z226" s="372">
        <v>0.0</v>
      </c>
    </row>
    <row r="227">
      <c r="Y227" s="372">
        <v>0.0</v>
      </c>
      <c r="Z227" s="372">
        <v>0.0</v>
      </c>
    </row>
    <row r="228">
      <c r="Y228" s="372">
        <v>0.0</v>
      </c>
      <c r="Z228" s="372">
        <v>0.0</v>
      </c>
    </row>
    <row r="229">
      <c r="Y229" s="372">
        <v>0.0</v>
      </c>
      <c r="Z229" s="372">
        <v>0.0</v>
      </c>
    </row>
    <row r="230">
      <c r="Y230" s="372">
        <v>0.0</v>
      </c>
      <c r="Z230" s="372">
        <v>0.0</v>
      </c>
    </row>
    <row r="231">
      <c r="Y231" s="372">
        <v>0.0</v>
      </c>
      <c r="Z231" s="372">
        <v>0.0</v>
      </c>
    </row>
    <row r="232">
      <c r="Y232" s="372">
        <v>0.0</v>
      </c>
      <c r="Z232" s="372">
        <v>0.0</v>
      </c>
    </row>
    <row r="233">
      <c r="Y233" s="372">
        <v>0.0</v>
      </c>
      <c r="Z233" s="372">
        <v>0.0</v>
      </c>
    </row>
    <row r="234">
      <c r="Y234" s="372">
        <v>0.0</v>
      </c>
      <c r="Z234" s="372">
        <v>0.0</v>
      </c>
    </row>
    <row r="235">
      <c r="Y235" s="372">
        <v>0.0</v>
      </c>
      <c r="Z235" s="372">
        <v>0.0</v>
      </c>
    </row>
    <row r="236">
      <c r="Y236" s="372">
        <v>0.0</v>
      </c>
      <c r="Z236" s="372">
        <v>0.0</v>
      </c>
    </row>
    <row r="237">
      <c r="Y237" s="372">
        <v>0.0</v>
      </c>
      <c r="Z237" s="372">
        <v>0.0</v>
      </c>
    </row>
    <row r="238">
      <c r="Y238" s="372">
        <v>0.0</v>
      </c>
      <c r="Z238" s="372">
        <v>0.0</v>
      </c>
    </row>
    <row r="239">
      <c r="Y239" s="372">
        <v>0.0</v>
      </c>
      <c r="Z239" s="372">
        <v>0.0</v>
      </c>
    </row>
    <row r="240">
      <c r="Y240" s="372">
        <v>0.0</v>
      </c>
      <c r="Z240" s="372">
        <v>0.0</v>
      </c>
    </row>
    <row r="241">
      <c r="Y241" s="372">
        <v>0.0</v>
      </c>
      <c r="Z241" s="372">
        <v>0.0</v>
      </c>
    </row>
    <row r="242">
      <c r="Y242" s="372">
        <v>0.0</v>
      </c>
      <c r="Z242" s="372">
        <v>0.0</v>
      </c>
    </row>
    <row r="243">
      <c r="Y243" s="372">
        <v>0.0</v>
      </c>
      <c r="Z243" s="372">
        <v>0.0</v>
      </c>
    </row>
    <row r="244">
      <c r="Y244" s="372">
        <v>0.0</v>
      </c>
      <c r="Z244" s="372">
        <v>0.0</v>
      </c>
    </row>
    <row r="245">
      <c r="Y245" s="372">
        <v>0.0</v>
      </c>
      <c r="Z245" s="372">
        <v>0.0</v>
      </c>
    </row>
    <row r="246">
      <c r="Y246" s="372">
        <v>0.0</v>
      </c>
      <c r="Z246" s="372">
        <v>0.0</v>
      </c>
    </row>
    <row r="247">
      <c r="Y247" s="372">
        <v>0.0</v>
      </c>
      <c r="Z247" s="372">
        <v>0.0</v>
      </c>
    </row>
    <row r="248">
      <c r="Y248" s="372">
        <v>0.0</v>
      </c>
      <c r="Z248" s="372">
        <v>0.0</v>
      </c>
    </row>
    <row r="249">
      <c r="Y249" s="372">
        <v>0.0</v>
      </c>
      <c r="Z249" s="372">
        <v>0.0</v>
      </c>
    </row>
    <row r="250">
      <c r="Y250" s="372">
        <v>0.0</v>
      </c>
      <c r="Z250" s="372">
        <v>0.0</v>
      </c>
    </row>
    <row r="251">
      <c r="Y251" s="372">
        <v>0.0</v>
      </c>
      <c r="Z251" s="372">
        <v>0.0</v>
      </c>
    </row>
    <row r="252">
      <c r="Y252" s="372">
        <v>0.0</v>
      </c>
      <c r="Z252" s="372">
        <v>0.0</v>
      </c>
    </row>
    <row r="253">
      <c r="Y253" s="372">
        <v>0.0</v>
      </c>
      <c r="Z253" s="372">
        <v>0.0</v>
      </c>
    </row>
    <row r="254">
      <c r="Y254" s="372">
        <v>0.0</v>
      </c>
      <c r="Z254" s="372">
        <v>0.0</v>
      </c>
    </row>
    <row r="255">
      <c r="Y255" s="372">
        <v>0.0</v>
      </c>
      <c r="Z255" s="372">
        <v>0.0</v>
      </c>
    </row>
    <row r="256">
      <c r="Y256" s="372">
        <v>0.0</v>
      </c>
      <c r="Z256" s="372">
        <v>0.0</v>
      </c>
    </row>
    <row r="257">
      <c r="Y257" s="372">
        <v>0.0</v>
      </c>
      <c r="Z257" s="372">
        <v>0.0</v>
      </c>
    </row>
    <row r="258">
      <c r="Y258" s="372">
        <v>0.0</v>
      </c>
      <c r="Z258" s="372">
        <v>0.0</v>
      </c>
    </row>
    <row r="259">
      <c r="Y259" s="372">
        <v>0.0</v>
      </c>
      <c r="Z259" s="372">
        <v>0.0</v>
      </c>
    </row>
    <row r="260">
      <c r="Y260" s="372">
        <v>0.0</v>
      </c>
      <c r="Z260" s="372">
        <v>0.0</v>
      </c>
    </row>
    <row r="261">
      <c r="Y261" s="372">
        <v>0.0</v>
      </c>
      <c r="Z261" s="372">
        <v>0.0</v>
      </c>
    </row>
    <row r="262">
      <c r="Y262" s="372">
        <v>0.0</v>
      </c>
      <c r="Z262" s="372">
        <v>0.0</v>
      </c>
    </row>
    <row r="263">
      <c r="Y263" s="372">
        <v>0.0</v>
      </c>
      <c r="Z263" s="372">
        <v>0.0</v>
      </c>
    </row>
    <row r="264">
      <c r="Y264" s="372">
        <v>0.0</v>
      </c>
      <c r="Z264" s="372">
        <v>0.0</v>
      </c>
    </row>
    <row r="265">
      <c r="Y265" s="372">
        <v>0.0</v>
      </c>
      <c r="Z265" s="372">
        <v>0.0</v>
      </c>
    </row>
    <row r="266">
      <c r="Y266" s="372">
        <v>0.0</v>
      </c>
      <c r="Z266" s="372">
        <v>0.0</v>
      </c>
    </row>
    <row r="267">
      <c r="Y267" s="372">
        <v>0.0</v>
      </c>
      <c r="Z267" s="372">
        <v>0.0</v>
      </c>
    </row>
    <row r="268">
      <c r="Y268" s="372">
        <v>0.0</v>
      </c>
      <c r="Z268" s="372">
        <v>0.0</v>
      </c>
    </row>
    <row r="269">
      <c r="Y269" s="372">
        <v>0.0</v>
      </c>
      <c r="Z269" s="372">
        <v>0.0</v>
      </c>
    </row>
    <row r="270">
      <c r="Y270" s="372">
        <v>0.0</v>
      </c>
      <c r="Z270" s="372">
        <v>0.0</v>
      </c>
    </row>
    <row r="271">
      <c r="Y271" s="372">
        <v>0.0</v>
      </c>
      <c r="Z271" s="372">
        <v>0.0</v>
      </c>
    </row>
    <row r="272">
      <c r="Y272" s="372">
        <v>0.0</v>
      </c>
      <c r="Z272" s="372">
        <v>0.0</v>
      </c>
    </row>
    <row r="273">
      <c r="Y273" s="372">
        <v>0.0</v>
      </c>
      <c r="Z273" s="372">
        <v>0.0</v>
      </c>
    </row>
    <row r="274">
      <c r="Y274" s="372">
        <v>0.0</v>
      </c>
      <c r="Z274" s="372">
        <v>0.0</v>
      </c>
    </row>
    <row r="275">
      <c r="Y275" s="372">
        <v>0.0</v>
      </c>
      <c r="Z275" s="372">
        <v>0.0</v>
      </c>
    </row>
    <row r="276">
      <c r="Y276" s="372">
        <v>0.0</v>
      </c>
      <c r="Z276" s="372">
        <v>0.0</v>
      </c>
    </row>
    <row r="277">
      <c r="Y277" s="372">
        <v>0.0</v>
      </c>
      <c r="Z277" s="372">
        <v>0.0</v>
      </c>
    </row>
    <row r="278">
      <c r="Y278" s="372">
        <v>0.0</v>
      </c>
      <c r="Z278" s="372">
        <v>0.0</v>
      </c>
    </row>
    <row r="279">
      <c r="Y279" s="372">
        <v>0.0</v>
      </c>
      <c r="Z279" s="372">
        <v>0.0</v>
      </c>
    </row>
    <row r="280">
      <c r="Y280" s="372">
        <v>0.0</v>
      </c>
      <c r="Z280" s="372">
        <v>0.0</v>
      </c>
    </row>
    <row r="281">
      <c r="Y281" s="372">
        <v>0.0</v>
      </c>
      <c r="Z281" s="372">
        <v>0.0</v>
      </c>
    </row>
    <row r="282">
      <c r="Y282" s="372">
        <v>0.0</v>
      </c>
      <c r="Z282" s="372">
        <v>0.0</v>
      </c>
    </row>
    <row r="283">
      <c r="Y283" s="372">
        <v>0.0</v>
      </c>
      <c r="Z283" s="372">
        <v>0.0</v>
      </c>
    </row>
    <row r="284">
      <c r="Y284" s="372">
        <v>0.0</v>
      </c>
      <c r="Z284" s="372">
        <v>0.0</v>
      </c>
    </row>
    <row r="285">
      <c r="Y285" s="372">
        <v>0.0</v>
      </c>
      <c r="Z285" s="372">
        <v>0.0</v>
      </c>
    </row>
    <row r="286">
      <c r="Y286" s="372">
        <v>0.0</v>
      </c>
      <c r="Z286" s="372">
        <v>0.0</v>
      </c>
    </row>
    <row r="287">
      <c r="Y287" s="372">
        <v>0.0</v>
      </c>
      <c r="Z287" s="372">
        <v>0.0</v>
      </c>
    </row>
    <row r="288">
      <c r="Y288" s="372">
        <v>0.0</v>
      </c>
      <c r="Z288" s="372">
        <v>0.0</v>
      </c>
    </row>
    <row r="289">
      <c r="Y289" s="372">
        <v>0.0</v>
      </c>
      <c r="Z289" s="372">
        <v>0.0</v>
      </c>
    </row>
    <row r="290">
      <c r="Y290" s="372">
        <v>0.0</v>
      </c>
      <c r="Z290" s="372">
        <v>0.0</v>
      </c>
    </row>
    <row r="291">
      <c r="Y291" s="372">
        <v>0.0</v>
      </c>
      <c r="Z291" s="372">
        <v>0.0</v>
      </c>
    </row>
    <row r="292">
      <c r="Y292" s="372">
        <v>0.0</v>
      </c>
      <c r="Z292" s="372">
        <v>0.0</v>
      </c>
    </row>
    <row r="293">
      <c r="Y293" s="372">
        <v>0.0</v>
      </c>
      <c r="Z293" s="372">
        <v>0.0</v>
      </c>
    </row>
    <row r="294">
      <c r="Y294" s="372">
        <v>0.0</v>
      </c>
      <c r="Z294" s="372">
        <v>0.0</v>
      </c>
    </row>
    <row r="295">
      <c r="Y295" s="372">
        <v>0.0</v>
      </c>
      <c r="Z295" s="372">
        <v>0.0</v>
      </c>
    </row>
    <row r="296">
      <c r="Y296" s="372">
        <v>0.0</v>
      </c>
      <c r="Z296" s="372">
        <v>0.0</v>
      </c>
    </row>
    <row r="297">
      <c r="Y297" s="372">
        <v>0.0</v>
      </c>
      <c r="Z297" s="372">
        <v>0.0</v>
      </c>
    </row>
    <row r="298">
      <c r="Y298" s="372">
        <v>0.0</v>
      </c>
      <c r="Z298" s="372">
        <v>0.0</v>
      </c>
    </row>
    <row r="299">
      <c r="Y299" s="372">
        <v>0.0</v>
      </c>
      <c r="Z299" s="372">
        <v>0.0</v>
      </c>
    </row>
    <row r="300">
      <c r="Y300" s="372">
        <v>0.0</v>
      </c>
      <c r="Z300" s="372">
        <v>0.0</v>
      </c>
    </row>
    <row r="301">
      <c r="Y301" s="372">
        <v>0.0</v>
      </c>
      <c r="Z301" s="372">
        <v>0.0</v>
      </c>
    </row>
    <row r="302">
      <c r="Y302" s="372">
        <v>0.0</v>
      </c>
      <c r="Z302" s="372">
        <v>0.0</v>
      </c>
    </row>
    <row r="303">
      <c r="Y303" s="372">
        <v>0.0</v>
      </c>
      <c r="Z303" s="372">
        <v>0.0</v>
      </c>
    </row>
    <row r="304">
      <c r="Y304" s="372">
        <v>0.0</v>
      </c>
      <c r="Z304" s="372">
        <v>0.0</v>
      </c>
    </row>
    <row r="305">
      <c r="Y305" s="372">
        <v>0.0</v>
      </c>
      <c r="Z305" s="372">
        <v>0.0</v>
      </c>
    </row>
    <row r="306">
      <c r="Y306" s="372">
        <v>0.0</v>
      </c>
      <c r="Z306" s="372">
        <v>0.0</v>
      </c>
    </row>
    <row r="307">
      <c r="Y307" s="372">
        <v>0.0</v>
      </c>
      <c r="Z307" s="372">
        <v>0.0</v>
      </c>
    </row>
    <row r="308">
      <c r="Y308" s="372">
        <v>0.0</v>
      </c>
      <c r="Z308" s="372">
        <v>0.0</v>
      </c>
    </row>
    <row r="309">
      <c r="Y309" s="372">
        <v>0.0</v>
      </c>
      <c r="Z309" s="372">
        <v>0.0</v>
      </c>
    </row>
    <row r="310">
      <c r="Y310" s="372">
        <v>0.0</v>
      </c>
      <c r="Z310" s="372">
        <v>0.0</v>
      </c>
    </row>
    <row r="311">
      <c r="Y311" s="372">
        <v>0.0</v>
      </c>
      <c r="Z311" s="372">
        <v>0.0</v>
      </c>
    </row>
    <row r="312">
      <c r="Y312" s="372">
        <v>0.0</v>
      </c>
      <c r="Z312" s="372">
        <v>0.0</v>
      </c>
    </row>
    <row r="313">
      <c r="Y313" s="372">
        <v>0.0</v>
      </c>
      <c r="Z313" s="372">
        <v>0.0</v>
      </c>
    </row>
    <row r="314">
      <c r="Y314" s="372">
        <v>0.0</v>
      </c>
      <c r="Z314" s="372">
        <v>0.0</v>
      </c>
    </row>
    <row r="315">
      <c r="Y315" s="372">
        <v>0.0</v>
      </c>
      <c r="Z315" s="372">
        <v>0.0</v>
      </c>
    </row>
    <row r="316">
      <c r="Y316" s="372">
        <v>0.0</v>
      </c>
      <c r="Z316" s="372">
        <v>0.0</v>
      </c>
    </row>
    <row r="317">
      <c r="Y317" s="372">
        <v>0.0</v>
      </c>
      <c r="Z317" s="372">
        <v>0.0</v>
      </c>
    </row>
    <row r="318">
      <c r="Y318" s="372">
        <v>0.0</v>
      </c>
      <c r="Z318" s="372">
        <v>0.0</v>
      </c>
    </row>
    <row r="319">
      <c r="Y319" s="372">
        <v>0.0</v>
      </c>
      <c r="Z319" s="372">
        <v>0.0</v>
      </c>
    </row>
    <row r="320">
      <c r="Y320" s="372">
        <v>0.0</v>
      </c>
      <c r="Z320" s="372">
        <v>0.0</v>
      </c>
    </row>
    <row r="321">
      <c r="Y321" s="372">
        <v>0.0</v>
      </c>
      <c r="Z321" s="372">
        <v>0.0</v>
      </c>
    </row>
    <row r="322">
      <c r="Y322" s="372">
        <v>0.0</v>
      </c>
      <c r="Z322" s="372">
        <v>0.0</v>
      </c>
    </row>
    <row r="323">
      <c r="Y323" s="372">
        <v>0.0</v>
      </c>
      <c r="Z323" s="372">
        <v>0.0</v>
      </c>
    </row>
    <row r="324">
      <c r="Y324" s="372">
        <v>0.0</v>
      </c>
      <c r="Z324" s="372">
        <v>0.0</v>
      </c>
    </row>
    <row r="325">
      <c r="Y325" s="372">
        <v>0.0</v>
      </c>
      <c r="Z325" s="372">
        <v>0.0</v>
      </c>
    </row>
    <row r="326">
      <c r="Y326" s="372">
        <v>0.0</v>
      </c>
      <c r="Z326" s="372">
        <v>0.0</v>
      </c>
    </row>
    <row r="327">
      <c r="Y327" s="372">
        <v>0.0</v>
      </c>
      <c r="Z327" s="372">
        <v>0.0</v>
      </c>
    </row>
    <row r="328">
      <c r="Y328" s="372">
        <v>0.0</v>
      </c>
      <c r="Z328" s="372">
        <v>0.0</v>
      </c>
    </row>
    <row r="329">
      <c r="Y329" s="372">
        <v>0.0</v>
      </c>
      <c r="Z329" s="372">
        <v>0.0</v>
      </c>
    </row>
    <row r="330">
      <c r="Y330" s="372">
        <v>0.0</v>
      </c>
      <c r="Z330" s="372">
        <v>0.0</v>
      </c>
    </row>
    <row r="331">
      <c r="Y331" s="372">
        <v>0.0</v>
      </c>
      <c r="Z331" s="372">
        <v>0.0</v>
      </c>
    </row>
    <row r="332">
      <c r="Y332" s="372">
        <v>0.0</v>
      </c>
      <c r="Z332" s="372">
        <v>0.0</v>
      </c>
    </row>
    <row r="333">
      <c r="Y333" s="372">
        <v>0.0</v>
      </c>
      <c r="Z333" s="372">
        <v>0.0</v>
      </c>
    </row>
    <row r="334">
      <c r="Y334" s="372">
        <v>0.0</v>
      </c>
      <c r="Z334" s="372">
        <v>0.0</v>
      </c>
    </row>
    <row r="335">
      <c r="Y335" s="372">
        <v>0.0</v>
      </c>
      <c r="Z335" s="372">
        <v>0.0</v>
      </c>
    </row>
    <row r="336">
      <c r="Y336" s="372">
        <v>0.0</v>
      </c>
      <c r="Z336" s="372">
        <v>0.0</v>
      </c>
    </row>
    <row r="337">
      <c r="Y337" s="372">
        <v>0.0</v>
      </c>
      <c r="Z337" s="372">
        <v>0.0</v>
      </c>
    </row>
    <row r="338">
      <c r="Y338" s="372">
        <v>0.0</v>
      </c>
      <c r="Z338" s="372">
        <v>0.0</v>
      </c>
    </row>
    <row r="339">
      <c r="Y339" s="372">
        <v>0.0</v>
      </c>
      <c r="Z339" s="372">
        <v>0.0</v>
      </c>
    </row>
    <row r="340">
      <c r="Y340" s="372">
        <v>0.0</v>
      </c>
      <c r="Z340" s="372">
        <v>0.0</v>
      </c>
    </row>
    <row r="341">
      <c r="Y341" s="372">
        <v>0.0</v>
      </c>
      <c r="Z341" s="372">
        <v>0.0</v>
      </c>
    </row>
    <row r="342">
      <c r="Y342" s="372">
        <v>0.0</v>
      </c>
      <c r="Z342" s="372">
        <v>0.0</v>
      </c>
    </row>
    <row r="343">
      <c r="Y343" s="372">
        <v>0.0</v>
      </c>
      <c r="Z343" s="372">
        <v>0.0</v>
      </c>
    </row>
    <row r="344">
      <c r="Y344" s="372">
        <v>0.0</v>
      </c>
      <c r="Z344" s="372">
        <v>0.0</v>
      </c>
    </row>
    <row r="345">
      <c r="Y345" s="372">
        <v>0.0</v>
      </c>
      <c r="Z345" s="372">
        <v>0.0</v>
      </c>
    </row>
    <row r="346">
      <c r="Y346" s="372">
        <v>0.0</v>
      </c>
      <c r="Z346" s="372">
        <v>0.0</v>
      </c>
    </row>
    <row r="347">
      <c r="Y347" s="372">
        <v>0.0</v>
      </c>
      <c r="Z347" s="372">
        <v>0.0</v>
      </c>
    </row>
    <row r="348">
      <c r="Y348" s="372">
        <v>0.0</v>
      </c>
      <c r="Z348" s="372">
        <v>0.0</v>
      </c>
    </row>
    <row r="349">
      <c r="Y349" s="372">
        <v>0.0</v>
      </c>
      <c r="Z349" s="372">
        <v>0.0</v>
      </c>
    </row>
    <row r="350">
      <c r="Y350" s="372">
        <v>0.0</v>
      </c>
      <c r="Z350" s="372">
        <v>0.0</v>
      </c>
    </row>
    <row r="351">
      <c r="Y351" s="372">
        <v>0.0</v>
      </c>
      <c r="Z351" s="372">
        <v>0.0</v>
      </c>
    </row>
    <row r="352">
      <c r="Y352" s="372">
        <v>0.0</v>
      </c>
      <c r="Z352" s="372">
        <v>0.0</v>
      </c>
    </row>
    <row r="353">
      <c r="Y353" s="372">
        <v>0.0</v>
      </c>
      <c r="Z353" s="372">
        <v>0.0</v>
      </c>
    </row>
    <row r="354">
      <c r="Y354" s="372">
        <v>0.0</v>
      </c>
      <c r="Z354" s="372">
        <v>0.0</v>
      </c>
    </row>
    <row r="355">
      <c r="Y355" s="372">
        <v>0.0</v>
      </c>
      <c r="Z355" s="372">
        <v>0.0</v>
      </c>
    </row>
    <row r="356">
      <c r="Y356" s="372">
        <v>0.0</v>
      </c>
      <c r="Z356" s="372">
        <v>0.0</v>
      </c>
    </row>
    <row r="357">
      <c r="Y357" s="372">
        <v>0.0</v>
      </c>
      <c r="Z357" s="372">
        <v>0.0</v>
      </c>
    </row>
    <row r="358">
      <c r="Y358" s="372">
        <v>0.0</v>
      </c>
      <c r="Z358" s="372">
        <v>0.0</v>
      </c>
    </row>
    <row r="359">
      <c r="Y359" s="372">
        <v>0.0</v>
      </c>
      <c r="Z359" s="372">
        <v>0.0</v>
      </c>
    </row>
    <row r="360">
      <c r="Y360" s="372">
        <v>0.0</v>
      </c>
      <c r="Z360" s="372">
        <v>0.0</v>
      </c>
    </row>
    <row r="361">
      <c r="Y361" s="372">
        <v>0.0</v>
      </c>
      <c r="Z361" s="372">
        <v>0.0</v>
      </c>
    </row>
    <row r="362">
      <c r="Y362" s="372">
        <v>0.0</v>
      </c>
      <c r="Z362" s="372">
        <v>0.0</v>
      </c>
    </row>
    <row r="363">
      <c r="Y363" s="372">
        <v>0.0</v>
      </c>
      <c r="Z363" s="372">
        <v>0.0</v>
      </c>
    </row>
    <row r="364">
      <c r="Y364" s="372">
        <v>0.0</v>
      </c>
      <c r="Z364" s="372">
        <v>0.0</v>
      </c>
    </row>
    <row r="365">
      <c r="Y365" s="372">
        <v>0.0</v>
      </c>
      <c r="Z365" s="372">
        <v>0.0</v>
      </c>
    </row>
    <row r="366">
      <c r="Y366" s="372">
        <v>0.0</v>
      </c>
      <c r="Z366" s="372">
        <v>0.0</v>
      </c>
    </row>
    <row r="367">
      <c r="Y367" s="372">
        <v>0.0</v>
      </c>
      <c r="Z367" s="372">
        <v>0.0</v>
      </c>
    </row>
    <row r="368">
      <c r="Y368" s="372">
        <v>0.0</v>
      </c>
      <c r="Z368" s="372">
        <v>0.0</v>
      </c>
    </row>
    <row r="369">
      <c r="Y369" s="372">
        <v>0.0</v>
      </c>
      <c r="Z369" s="372">
        <v>0.0</v>
      </c>
    </row>
    <row r="370">
      <c r="Y370" s="372">
        <v>0.0</v>
      </c>
      <c r="Z370" s="372">
        <v>0.0</v>
      </c>
    </row>
    <row r="371">
      <c r="Y371" s="372">
        <v>0.0</v>
      </c>
      <c r="Z371" s="372">
        <v>0.0</v>
      </c>
    </row>
    <row r="372">
      <c r="Y372" s="372">
        <v>0.0</v>
      </c>
      <c r="Z372" s="372">
        <v>0.0</v>
      </c>
    </row>
    <row r="373">
      <c r="Y373" s="372">
        <v>0.0</v>
      </c>
      <c r="Z373" s="372">
        <v>0.0</v>
      </c>
    </row>
    <row r="374">
      <c r="Y374" s="372">
        <v>0.0</v>
      </c>
      <c r="Z374" s="372">
        <v>0.0</v>
      </c>
    </row>
    <row r="375">
      <c r="Y375" s="372">
        <v>0.0</v>
      </c>
      <c r="Z375" s="372">
        <v>0.0</v>
      </c>
    </row>
    <row r="376">
      <c r="Y376" s="372">
        <v>0.0</v>
      </c>
      <c r="Z376" s="372">
        <v>0.0</v>
      </c>
    </row>
    <row r="377">
      <c r="Y377" s="372">
        <v>0.0</v>
      </c>
      <c r="Z377" s="372">
        <v>0.0</v>
      </c>
    </row>
    <row r="378">
      <c r="Y378" s="372">
        <v>0.0</v>
      </c>
      <c r="Z378" s="372">
        <v>0.0</v>
      </c>
    </row>
    <row r="379">
      <c r="Y379" s="372">
        <v>0.0</v>
      </c>
      <c r="Z379" s="372">
        <v>0.0</v>
      </c>
    </row>
    <row r="380">
      <c r="Y380" s="372">
        <v>0.0</v>
      </c>
      <c r="Z380" s="372">
        <v>0.0</v>
      </c>
    </row>
    <row r="381">
      <c r="Y381" s="372">
        <v>0.0</v>
      </c>
      <c r="Z381" s="372">
        <v>0.0</v>
      </c>
    </row>
    <row r="382">
      <c r="Y382" s="372">
        <v>0.0</v>
      </c>
      <c r="Z382" s="372">
        <v>0.0</v>
      </c>
    </row>
    <row r="383">
      <c r="Y383" s="372">
        <v>0.0</v>
      </c>
      <c r="Z383" s="372">
        <v>0.0</v>
      </c>
    </row>
    <row r="384">
      <c r="Y384" s="372">
        <v>0.0</v>
      </c>
      <c r="Z384" s="372">
        <v>0.0</v>
      </c>
    </row>
    <row r="385">
      <c r="Y385" s="372">
        <v>0.0</v>
      </c>
      <c r="Z385" s="372">
        <v>0.0</v>
      </c>
    </row>
    <row r="386">
      <c r="Y386" s="372">
        <v>0.0</v>
      </c>
      <c r="Z386" s="372">
        <v>0.0</v>
      </c>
    </row>
    <row r="387">
      <c r="Y387" s="372">
        <v>0.0</v>
      </c>
      <c r="Z387" s="372">
        <v>0.0</v>
      </c>
    </row>
    <row r="388">
      <c r="Y388" s="372">
        <v>0.0</v>
      </c>
      <c r="Z388" s="372">
        <v>0.0</v>
      </c>
    </row>
    <row r="389">
      <c r="Y389" s="372">
        <v>0.0</v>
      </c>
      <c r="Z389" s="372">
        <v>0.0</v>
      </c>
    </row>
    <row r="390">
      <c r="Y390" s="372">
        <v>0.0</v>
      </c>
      <c r="Z390" s="372">
        <v>0.0</v>
      </c>
    </row>
    <row r="391">
      <c r="Y391" s="372">
        <v>0.0</v>
      </c>
      <c r="Z391" s="372">
        <v>0.0</v>
      </c>
    </row>
    <row r="392">
      <c r="Y392" s="372">
        <v>0.0</v>
      </c>
      <c r="Z392" s="372">
        <v>0.0</v>
      </c>
    </row>
    <row r="393">
      <c r="Y393" s="372">
        <v>0.0</v>
      </c>
      <c r="Z393" s="372">
        <v>0.0</v>
      </c>
    </row>
    <row r="394">
      <c r="Y394" s="372">
        <v>0.0</v>
      </c>
      <c r="Z394" s="372">
        <v>0.0</v>
      </c>
    </row>
    <row r="395">
      <c r="Y395" s="372">
        <v>0.0</v>
      </c>
      <c r="Z395" s="372">
        <v>0.0</v>
      </c>
    </row>
    <row r="396">
      <c r="Y396" s="372">
        <v>0.0</v>
      </c>
      <c r="Z396" s="372">
        <v>0.0</v>
      </c>
    </row>
    <row r="397">
      <c r="Y397" s="372">
        <v>0.0</v>
      </c>
      <c r="Z397" s="372">
        <v>0.0</v>
      </c>
    </row>
    <row r="398">
      <c r="Y398" s="372">
        <v>0.0</v>
      </c>
      <c r="Z398" s="372">
        <v>0.0</v>
      </c>
    </row>
    <row r="399">
      <c r="Y399" s="372">
        <v>0.0</v>
      </c>
      <c r="Z399" s="372">
        <v>0.0</v>
      </c>
    </row>
    <row r="400">
      <c r="Y400" s="372">
        <v>0.0</v>
      </c>
      <c r="Z400" s="372">
        <v>0.0</v>
      </c>
    </row>
    <row r="401">
      <c r="Y401" s="372">
        <v>0.0</v>
      </c>
      <c r="Z401" s="372">
        <v>0.0</v>
      </c>
    </row>
    <row r="402">
      <c r="Y402" s="372">
        <v>0.0</v>
      </c>
      <c r="Z402" s="372">
        <v>0.0</v>
      </c>
    </row>
    <row r="403">
      <c r="Y403" s="372">
        <v>0.0</v>
      </c>
      <c r="Z403" s="372">
        <v>0.0</v>
      </c>
    </row>
    <row r="404">
      <c r="Y404" s="372">
        <v>0.0</v>
      </c>
      <c r="Z404" s="372">
        <v>0.0</v>
      </c>
    </row>
    <row r="405">
      <c r="Y405" s="372">
        <v>0.0</v>
      </c>
      <c r="Z405" s="372">
        <v>0.0</v>
      </c>
    </row>
    <row r="406">
      <c r="Y406" s="372">
        <v>0.0</v>
      </c>
      <c r="Z406" s="372">
        <v>0.0</v>
      </c>
    </row>
    <row r="407">
      <c r="Y407" s="372">
        <v>0.0</v>
      </c>
      <c r="Z407" s="372">
        <v>0.0</v>
      </c>
    </row>
    <row r="408">
      <c r="Y408" s="372">
        <v>0.0</v>
      </c>
      <c r="Z408" s="372">
        <v>0.0</v>
      </c>
    </row>
    <row r="409">
      <c r="Y409" s="372">
        <v>0.0</v>
      </c>
      <c r="Z409" s="372">
        <v>0.0</v>
      </c>
    </row>
    <row r="410">
      <c r="Y410" s="372">
        <v>0.0</v>
      </c>
      <c r="Z410" s="372">
        <v>0.0</v>
      </c>
    </row>
    <row r="411">
      <c r="Y411" s="372">
        <v>0.0</v>
      </c>
      <c r="Z411" s="372">
        <v>0.0</v>
      </c>
    </row>
    <row r="412">
      <c r="Y412" s="372">
        <v>0.0</v>
      </c>
      <c r="Z412" s="372">
        <v>0.0</v>
      </c>
    </row>
    <row r="413">
      <c r="Y413" s="372">
        <v>0.0</v>
      </c>
      <c r="Z413" s="372">
        <v>0.0</v>
      </c>
    </row>
    <row r="414">
      <c r="Y414" s="372">
        <v>0.0</v>
      </c>
      <c r="Z414" s="372">
        <v>0.0</v>
      </c>
    </row>
    <row r="415">
      <c r="Y415" s="372">
        <v>0.0</v>
      </c>
      <c r="Z415" s="372">
        <v>0.0</v>
      </c>
    </row>
    <row r="416">
      <c r="Y416" s="372">
        <v>0.0</v>
      </c>
      <c r="Z416" s="372">
        <v>0.0</v>
      </c>
    </row>
    <row r="417">
      <c r="Y417" s="372">
        <v>0.0</v>
      </c>
      <c r="Z417" s="372">
        <v>0.0</v>
      </c>
    </row>
    <row r="418">
      <c r="Y418" s="372">
        <v>0.0</v>
      </c>
      <c r="Z418" s="372">
        <v>0.0</v>
      </c>
    </row>
    <row r="419">
      <c r="Y419" s="372">
        <v>0.0</v>
      </c>
      <c r="Z419" s="372">
        <v>0.0</v>
      </c>
    </row>
    <row r="420">
      <c r="Y420" s="372">
        <v>0.0</v>
      </c>
      <c r="Z420" s="372">
        <v>0.0</v>
      </c>
    </row>
    <row r="421">
      <c r="Y421" s="372">
        <v>0.0</v>
      </c>
      <c r="Z421" s="372">
        <v>0.0</v>
      </c>
    </row>
    <row r="422">
      <c r="Y422" s="372">
        <v>0.0</v>
      </c>
      <c r="Z422" s="372">
        <v>0.0</v>
      </c>
    </row>
    <row r="423">
      <c r="Y423" s="372">
        <v>0.0</v>
      </c>
      <c r="Z423" s="372">
        <v>0.0</v>
      </c>
    </row>
    <row r="424">
      <c r="Y424" s="372">
        <v>0.0</v>
      </c>
      <c r="Z424" s="372">
        <v>0.0</v>
      </c>
    </row>
    <row r="425">
      <c r="Y425" s="372">
        <v>0.0</v>
      </c>
      <c r="Z425" s="372">
        <v>0.0</v>
      </c>
    </row>
    <row r="426">
      <c r="Y426" s="372">
        <v>0.0</v>
      </c>
      <c r="Z426" s="372">
        <v>0.0</v>
      </c>
    </row>
    <row r="427">
      <c r="Y427" s="372">
        <v>0.0</v>
      </c>
      <c r="Z427" s="372">
        <v>0.0</v>
      </c>
    </row>
    <row r="428">
      <c r="Y428" s="372">
        <v>0.0</v>
      </c>
      <c r="Z428" s="372">
        <v>0.0</v>
      </c>
    </row>
    <row r="429">
      <c r="Y429" s="372">
        <v>0.0</v>
      </c>
      <c r="Z429" s="372">
        <v>0.0</v>
      </c>
    </row>
    <row r="430">
      <c r="Y430" s="372">
        <v>0.0</v>
      </c>
      <c r="Z430" s="372">
        <v>0.0</v>
      </c>
    </row>
    <row r="431">
      <c r="Y431" s="372">
        <v>0.0</v>
      </c>
      <c r="Z431" s="372">
        <v>0.0</v>
      </c>
    </row>
    <row r="432">
      <c r="Y432" s="372">
        <v>0.0</v>
      </c>
      <c r="Z432" s="372">
        <v>0.0</v>
      </c>
    </row>
    <row r="433">
      <c r="Y433" s="372">
        <v>0.0</v>
      </c>
      <c r="Z433" s="372">
        <v>0.0</v>
      </c>
    </row>
    <row r="434">
      <c r="Y434" s="372">
        <v>0.0</v>
      </c>
      <c r="Z434" s="372">
        <v>0.0</v>
      </c>
    </row>
    <row r="435">
      <c r="Y435" s="372">
        <v>0.0</v>
      </c>
      <c r="Z435" s="372">
        <v>0.0</v>
      </c>
    </row>
    <row r="436">
      <c r="Y436" s="372">
        <v>0.0</v>
      </c>
      <c r="Z436" s="372">
        <v>0.0</v>
      </c>
    </row>
    <row r="437">
      <c r="Y437" s="372">
        <v>0.0</v>
      </c>
      <c r="Z437" s="372">
        <v>0.0</v>
      </c>
    </row>
    <row r="438">
      <c r="Y438" s="372">
        <v>0.0</v>
      </c>
      <c r="Z438" s="372">
        <v>0.0</v>
      </c>
    </row>
    <row r="439">
      <c r="Y439" s="372">
        <v>0.0</v>
      </c>
      <c r="Z439" s="372">
        <v>0.0</v>
      </c>
    </row>
    <row r="440">
      <c r="Y440" s="372">
        <v>0.0</v>
      </c>
      <c r="Z440" s="372">
        <v>0.0</v>
      </c>
    </row>
    <row r="441">
      <c r="Y441" s="372">
        <v>0.0</v>
      </c>
      <c r="Z441" s="372">
        <v>0.0</v>
      </c>
    </row>
    <row r="442">
      <c r="Y442" s="372">
        <v>0.0</v>
      </c>
      <c r="Z442" s="372">
        <v>0.0</v>
      </c>
    </row>
    <row r="443">
      <c r="Y443" s="372">
        <v>0.0</v>
      </c>
      <c r="Z443" s="372">
        <v>0.0</v>
      </c>
    </row>
    <row r="444">
      <c r="Y444" s="372">
        <v>0.0</v>
      </c>
      <c r="Z444" s="372">
        <v>0.0</v>
      </c>
    </row>
    <row r="445">
      <c r="Y445" s="372">
        <v>0.0</v>
      </c>
      <c r="Z445" s="372">
        <v>0.0</v>
      </c>
    </row>
    <row r="446">
      <c r="Y446" s="372">
        <v>0.0</v>
      </c>
      <c r="Z446" s="372">
        <v>0.0</v>
      </c>
    </row>
    <row r="447">
      <c r="Y447" s="372">
        <v>0.0</v>
      </c>
      <c r="Z447" s="372">
        <v>0.0</v>
      </c>
    </row>
    <row r="448">
      <c r="Y448" s="372">
        <v>0.0</v>
      </c>
      <c r="Z448" s="372">
        <v>0.0</v>
      </c>
    </row>
    <row r="449">
      <c r="Y449" s="372">
        <v>0.0</v>
      </c>
      <c r="Z449" s="372">
        <v>0.0</v>
      </c>
    </row>
    <row r="450">
      <c r="Y450" s="372">
        <v>0.0</v>
      </c>
      <c r="Z450" s="372">
        <v>0.0</v>
      </c>
    </row>
    <row r="451">
      <c r="Y451" s="372">
        <v>0.0</v>
      </c>
      <c r="Z451" s="372">
        <v>0.0</v>
      </c>
    </row>
    <row r="452">
      <c r="Y452" s="372">
        <v>0.0</v>
      </c>
      <c r="Z452" s="372">
        <v>0.0</v>
      </c>
    </row>
    <row r="453">
      <c r="Y453" s="372">
        <v>0.0</v>
      </c>
      <c r="Z453" s="372">
        <v>0.0</v>
      </c>
    </row>
    <row r="454">
      <c r="Y454" s="372">
        <v>0.0</v>
      </c>
      <c r="Z454" s="372">
        <v>0.0</v>
      </c>
    </row>
    <row r="455">
      <c r="Y455" s="372">
        <v>0.0</v>
      </c>
      <c r="Z455" s="372">
        <v>0.0</v>
      </c>
    </row>
    <row r="456">
      <c r="Y456" s="372">
        <v>0.0</v>
      </c>
      <c r="Z456" s="372">
        <v>0.0</v>
      </c>
    </row>
    <row r="457">
      <c r="Y457" s="372">
        <v>0.0</v>
      </c>
      <c r="Z457" s="372">
        <v>0.0</v>
      </c>
    </row>
    <row r="458">
      <c r="Y458" s="372">
        <v>0.0</v>
      </c>
      <c r="Z458" s="372">
        <v>0.0</v>
      </c>
    </row>
    <row r="459">
      <c r="Y459" s="372">
        <v>0.0</v>
      </c>
      <c r="Z459" s="372">
        <v>0.0</v>
      </c>
    </row>
    <row r="460">
      <c r="Y460" s="372">
        <v>0.0</v>
      </c>
      <c r="Z460" s="372">
        <v>0.0</v>
      </c>
    </row>
    <row r="461">
      <c r="Y461" s="372">
        <v>0.0</v>
      </c>
      <c r="Z461" s="372">
        <v>0.0</v>
      </c>
    </row>
    <row r="462">
      <c r="Y462" s="372">
        <v>0.0</v>
      </c>
      <c r="Z462" s="372">
        <v>0.0</v>
      </c>
    </row>
    <row r="463">
      <c r="Y463" s="372">
        <v>0.0</v>
      </c>
      <c r="Z463" s="372">
        <v>0.0</v>
      </c>
    </row>
    <row r="464">
      <c r="Y464" s="372">
        <v>0.0</v>
      </c>
      <c r="Z464" s="372">
        <v>0.0</v>
      </c>
    </row>
    <row r="465">
      <c r="Y465" s="372">
        <v>0.0</v>
      </c>
      <c r="Z465" s="372">
        <v>0.0</v>
      </c>
    </row>
    <row r="466">
      <c r="Y466" s="372">
        <v>0.0</v>
      </c>
      <c r="Z466" s="372">
        <v>0.0</v>
      </c>
    </row>
    <row r="467">
      <c r="Y467" s="372">
        <v>0.0</v>
      </c>
      <c r="Z467" s="372">
        <v>0.0</v>
      </c>
    </row>
    <row r="468">
      <c r="Y468" s="372">
        <v>0.0</v>
      </c>
      <c r="Z468" s="372">
        <v>0.0</v>
      </c>
    </row>
    <row r="469">
      <c r="Y469" s="372">
        <v>0.0</v>
      </c>
      <c r="Z469" s="372">
        <v>0.0</v>
      </c>
    </row>
    <row r="470">
      <c r="Y470" s="372">
        <v>0.0</v>
      </c>
      <c r="Z470" s="372">
        <v>0.0</v>
      </c>
    </row>
    <row r="471">
      <c r="Y471" s="372">
        <v>0.0</v>
      </c>
      <c r="Z471" s="372">
        <v>0.0</v>
      </c>
    </row>
    <row r="472">
      <c r="Y472" s="372">
        <v>0.0</v>
      </c>
      <c r="Z472" s="372">
        <v>0.0</v>
      </c>
    </row>
    <row r="473">
      <c r="Y473" s="372">
        <v>0.0</v>
      </c>
      <c r="Z473" s="372">
        <v>0.0</v>
      </c>
    </row>
    <row r="474">
      <c r="Y474" s="372">
        <v>0.0</v>
      </c>
      <c r="Z474" s="372">
        <v>0.0</v>
      </c>
    </row>
    <row r="475">
      <c r="Y475" s="372">
        <v>0.0</v>
      </c>
      <c r="Z475" s="372">
        <v>0.0</v>
      </c>
    </row>
    <row r="476">
      <c r="Y476" s="372">
        <v>0.0</v>
      </c>
      <c r="Z476" s="372">
        <v>0.0</v>
      </c>
    </row>
    <row r="477">
      <c r="Y477" s="372">
        <v>0.0</v>
      </c>
      <c r="Z477" s="372">
        <v>0.0</v>
      </c>
    </row>
    <row r="478">
      <c r="Y478" s="372">
        <v>0.0</v>
      </c>
      <c r="Z478" s="372">
        <v>0.0</v>
      </c>
    </row>
    <row r="479">
      <c r="Y479" s="372">
        <v>0.0</v>
      </c>
      <c r="Z479" s="372">
        <v>0.0</v>
      </c>
    </row>
    <row r="480">
      <c r="Y480" s="372">
        <v>0.0</v>
      </c>
      <c r="Z480" s="372">
        <v>0.0</v>
      </c>
    </row>
    <row r="481">
      <c r="Y481" s="372">
        <v>0.0</v>
      </c>
      <c r="Z481" s="372">
        <v>0.0</v>
      </c>
    </row>
    <row r="482">
      <c r="Y482" s="372">
        <v>0.0</v>
      </c>
      <c r="Z482" s="372">
        <v>0.0</v>
      </c>
    </row>
    <row r="483">
      <c r="Y483" s="372">
        <v>0.0</v>
      </c>
      <c r="Z483" s="372">
        <v>0.0</v>
      </c>
    </row>
    <row r="484">
      <c r="Y484" s="372">
        <v>0.0</v>
      </c>
      <c r="Z484" s="372">
        <v>0.0</v>
      </c>
    </row>
    <row r="485">
      <c r="Y485" s="372">
        <v>0.0</v>
      </c>
      <c r="Z485" s="372">
        <v>0.0</v>
      </c>
    </row>
    <row r="486">
      <c r="Y486" s="372">
        <v>0.0</v>
      </c>
      <c r="Z486" s="372">
        <v>0.0</v>
      </c>
    </row>
    <row r="487">
      <c r="Y487" s="372">
        <v>0.0</v>
      </c>
      <c r="Z487" s="372">
        <v>0.0</v>
      </c>
    </row>
    <row r="488">
      <c r="Y488" s="372">
        <v>0.0</v>
      </c>
      <c r="Z488" s="372">
        <v>0.0</v>
      </c>
    </row>
    <row r="489">
      <c r="Y489" s="372">
        <v>0.0</v>
      </c>
      <c r="Z489" s="372">
        <v>0.0</v>
      </c>
    </row>
    <row r="490">
      <c r="Y490" s="372">
        <v>0.0</v>
      </c>
      <c r="Z490" s="372">
        <v>0.0</v>
      </c>
    </row>
    <row r="491">
      <c r="Y491" s="372">
        <v>0.0</v>
      </c>
      <c r="Z491" s="372">
        <v>0.0</v>
      </c>
    </row>
    <row r="492">
      <c r="Y492" s="372">
        <v>0.0</v>
      </c>
      <c r="Z492" s="372">
        <v>0.0</v>
      </c>
    </row>
    <row r="493">
      <c r="Y493" s="372">
        <v>0.0</v>
      </c>
      <c r="Z493" s="372">
        <v>0.0</v>
      </c>
    </row>
    <row r="494">
      <c r="Y494" s="372">
        <v>0.0</v>
      </c>
      <c r="Z494" s="372">
        <v>0.0</v>
      </c>
    </row>
    <row r="495">
      <c r="Y495" s="372">
        <v>0.0</v>
      </c>
      <c r="Z495" s="372">
        <v>0.0</v>
      </c>
    </row>
    <row r="496">
      <c r="Y496" s="372">
        <v>0.0</v>
      </c>
      <c r="Z496" s="372">
        <v>0.0</v>
      </c>
    </row>
    <row r="497">
      <c r="Y497" s="372">
        <v>0.0</v>
      </c>
      <c r="Z497" s="372">
        <v>0.0</v>
      </c>
    </row>
    <row r="498">
      <c r="Y498" s="372">
        <v>0.0</v>
      </c>
      <c r="Z498" s="372">
        <v>0.0</v>
      </c>
    </row>
    <row r="499">
      <c r="Y499" s="372">
        <v>0.0</v>
      </c>
      <c r="Z499" s="372">
        <v>0.0</v>
      </c>
    </row>
    <row r="500">
      <c r="Y500" s="372">
        <v>0.0</v>
      </c>
      <c r="Z500" s="372">
        <v>0.0</v>
      </c>
    </row>
    <row r="501">
      <c r="Y501" s="372">
        <v>0.0</v>
      </c>
      <c r="Z501" s="372">
        <v>0.0</v>
      </c>
    </row>
    <row r="502">
      <c r="Y502" s="372">
        <v>0.0</v>
      </c>
      <c r="Z502" s="372">
        <v>0.0</v>
      </c>
    </row>
    <row r="503">
      <c r="Y503" s="372">
        <v>0.0</v>
      </c>
      <c r="Z503" s="372">
        <v>0.0</v>
      </c>
    </row>
    <row r="504">
      <c r="Y504" s="372">
        <v>0.0</v>
      </c>
      <c r="Z504" s="372">
        <v>0.0</v>
      </c>
    </row>
    <row r="505">
      <c r="Y505" s="372">
        <v>0.0</v>
      </c>
      <c r="Z505" s="372">
        <v>0.0</v>
      </c>
    </row>
    <row r="506">
      <c r="Y506" s="372">
        <v>0.0</v>
      </c>
      <c r="Z506" s="372">
        <v>0.0</v>
      </c>
    </row>
    <row r="507">
      <c r="Y507" s="372">
        <v>0.0</v>
      </c>
      <c r="Z507" s="372">
        <v>0.0</v>
      </c>
    </row>
    <row r="508">
      <c r="Y508" s="372">
        <v>0.0</v>
      </c>
      <c r="Z508" s="372">
        <v>0.0</v>
      </c>
    </row>
    <row r="509">
      <c r="Y509" s="372">
        <v>0.0</v>
      </c>
      <c r="Z509" s="372">
        <v>0.0</v>
      </c>
    </row>
    <row r="510">
      <c r="Y510" s="372">
        <v>0.0</v>
      </c>
      <c r="Z510" s="372">
        <v>0.0</v>
      </c>
    </row>
    <row r="511">
      <c r="Y511" s="372">
        <v>0.0</v>
      </c>
      <c r="Z511" s="372">
        <v>0.0</v>
      </c>
    </row>
    <row r="512">
      <c r="Y512" s="372">
        <v>0.0</v>
      </c>
      <c r="Z512" s="372">
        <v>0.0</v>
      </c>
    </row>
    <row r="513">
      <c r="Y513" s="372">
        <v>0.0</v>
      </c>
      <c r="Z513" s="372">
        <v>0.0</v>
      </c>
    </row>
    <row r="514">
      <c r="Y514" s="372">
        <v>0.0</v>
      </c>
      <c r="Z514" s="372">
        <v>0.0</v>
      </c>
    </row>
    <row r="515">
      <c r="Y515" s="372">
        <v>0.0</v>
      </c>
      <c r="Z515" s="372">
        <v>0.0</v>
      </c>
    </row>
    <row r="516">
      <c r="Y516" s="372">
        <v>0.0</v>
      </c>
      <c r="Z516" s="372">
        <v>0.0</v>
      </c>
    </row>
    <row r="517">
      <c r="Y517" s="372">
        <v>0.0</v>
      </c>
      <c r="Z517" s="372">
        <v>0.0</v>
      </c>
    </row>
    <row r="518">
      <c r="Y518" s="372">
        <v>0.0</v>
      </c>
      <c r="Z518" s="372">
        <v>0.0</v>
      </c>
    </row>
    <row r="519">
      <c r="Y519" s="372">
        <v>0.0</v>
      </c>
      <c r="Z519" s="372">
        <v>0.0</v>
      </c>
    </row>
    <row r="520">
      <c r="Y520" s="372">
        <v>0.0</v>
      </c>
      <c r="Z520" s="372">
        <v>0.0</v>
      </c>
    </row>
    <row r="521">
      <c r="Y521" s="372">
        <v>0.0</v>
      </c>
      <c r="Z521" s="372">
        <v>0.0</v>
      </c>
    </row>
    <row r="522">
      <c r="Y522" s="372">
        <v>0.0</v>
      </c>
      <c r="Z522" s="372">
        <v>0.0</v>
      </c>
    </row>
    <row r="523">
      <c r="Y523" s="372">
        <v>0.0</v>
      </c>
      <c r="Z523" s="372">
        <v>0.0</v>
      </c>
    </row>
    <row r="524">
      <c r="Y524" s="372">
        <v>0.0</v>
      </c>
      <c r="Z524" s="372">
        <v>0.0</v>
      </c>
    </row>
    <row r="525">
      <c r="Y525" s="372">
        <v>0.0</v>
      </c>
      <c r="Z525" s="372">
        <v>0.0</v>
      </c>
    </row>
    <row r="526">
      <c r="Y526" s="372">
        <v>0.0</v>
      </c>
      <c r="Z526" s="372">
        <v>0.0</v>
      </c>
    </row>
    <row r="527">
      <c r="Y527" s="372">
        <v>0.0</v>
      </c>
      <c r="Z527" s="372">
        <v>0.0</v>
      </c>
    </row>
    <row r="528">
      <c r="Y528" s="372">
        <v>0.0</v>
      </c>
      <c r="Z528" s="372">
        <v>0.0</v>
      </c>
    </row>
    <row r="529">
      <c r="Y529" s="372">
        <v>0.0</v>
      </c>
      <c r="Z529" s="372">
        <v>0.0</v>
      </c>
    </row>
    <row r="530">
      <c r="Y530" s="372">
        <v>0.0</v>
      </c>
      <c r="Z530" s="372">
        <v>0.0</v>
      </c>
    </row>
    <row r="531">
      <c r="Y531" s="372">
        <v>0.0</v>
      </c>
      <c r="Z531" s="372">
        <v>0.0</v>
      </c>
    </row>
    <row r="532">
      <c r="Y532" s="372">
        <v>0.0</v>
      </c>
      <c r="Z532" s="372">
        <v>0.0</v>
      </c>
    </row>
    <row r="533">
      <c r="Y533" s="372">
        <v>0.0</v>
      </c>
      <c r="Z533" s="372">
        <v>0.0</v>
      </c>
    </row>
    <row r="534">
      <c r="Y534" s="372">
        <v>0.0</v>
      </c>
      <c r="Z534" s="372">
        <v>0.0</v>
      </c>
    </row>
    <row r="535">
      <c r="Y535" s="372">
        <v>0.0</v>
      </c>
      <c r="Z535" s="372">
        <v>0.0</v>
      </c>
    </row>
    <row r="536">
      <c r="Y536" s="372">
        <v>0.0</v>
      </c>
      <c r="Z536" s="372">
        <v>0.0</v>
      </c>
    </row>
    <row r="537">
      <c r="Y537" s="372">
        <v>0.0</v>
      </c>
      <c r="Z537" s="372">
        <v>0.0</v>
      </c>
    </row>
    <row r="538">
      <c r="Y538" s="372">
        <v>0.0</v>
      </c>
      <c r="Z538" s="372">
        <v>0.0</v>
      </c>
    </row>
    <row r="539">
      <c r="Y539" s="372">
        <v>0.0</v>
      </c>
      <c r="Z539" s="372">
        <v>0.0</v>
      </c>
    </row>
    <row r="540">
      <c r="Y540" s="372">
        <v>0.0</v>
      </c>
      <c r="Z540" s="372">
        <v>0.0</v>
      </c>
    </row>
    <row r="541">
      <c r="Y541" s="372">
        <v>0.0</v>
      </c>
      <c r="Z541" s="372">
        <v>0.0</v>
      </c>
    </row>
    <row r="542">
      <c r="Y542" s="372">
        <v>0.0</v>
      </c>
      <c r="Z542" s="372">
        <v>0.0</v>
      </c>
    </row>
    <row r="543">
      <c r="Y543" s="372">
        <v>0.0</v>
      </c>
      <c r="Z543" s="372">
        <v>0.0</v>
      </c>
    </row>
    <row r="544">
      <c r="Y544" s="372">
        <v>0.0</v>
      </c>
      <c r="Z544" s="372">
        <v>0.0</v>
      </c>
    </row>
    <row r="545">
      <c r="Y545" s="372">
        <v>0.0</v>
      </c>
      <c r="Z545" s="372">
        <v>0.0</v>
      </c>
    </row>
    <row r="546">
      <c r="Y546" s="372">
        <v>0.0</v>
      </c>
      <c r="Z546" s="372">
        <v>0.0</v>
      </c>
    </row>
    <row r="547">
      <c r="Y547" s="372">
        <v>0.0</v>
      </c>
      <c r="Z547" s="372">
        <v>0.0</v>
      </c>
    </row>
    <row r="548">
      <c r="Y548" s="372">
        <v>0.0</v>
      </c>
      <c r="Z548" s="372">
        <v>0.0</v>
      </c>
    </row>
    <row r="549">
      <c r="Y549" s="372">
        <v>0.0</v>
      </c>
      <c r="Z549" s="372">
        <v>0.0</v>
      </c>
    </row>
    <row r="550">
      <c r="Y550" s="372">
        <v>0.0</v>
      </c>
      <c r="Z550" s="372">
        <v>0.0</v>
      </c>
    </row>
    <row r="551">
      <c r="Y551" s="372">
        <v>0.0</v>
      </c>
      <c r="Z551" s="372">
        <v>0.0</v>
      </c>
    </row>
    <row r="552">
      <c r="Y552" s="372">
        <v>0.0</v>
      </c>
      <c r="Z552" s="372">
        <v>0.0</v>
      </c>
    </row>
    <row r="553">
      <c r="Y553" s="372">
        <v>0.0</v>
      </c>
      <c r="Z553" s="372">
        <v>0.0</v>
      </c>
    </row>
    <row r="554">
      <c r="Y554" s="372">
        <v>0.0</v>
      </c>
      <c r="Z554" s="372">
        <v>0.0</v>
      </c>
    </row>
    <row r="555">
      <c r="Y555" s="372">
        <v>0.0</v>
      </c>
      <c r="Z555" s="372">
        <v>0.0</v>
      </c>
    </row>
    <row r="556">
      <c r="Y556" s="372">
        <v>0.0</v>
      </c>
      <c r="Z556" s="372">
        <v>0.0</v>
      </c>
    </row>
    <row r="557">
      <c r="Y557" s="372">
        <v>0.0</v>
      </c>
      <c r="Z557" s="372">
        <v>0.0</v>
      </c>
    </row>
    <row r="558">
      <c r="Y558" s="372">
        <v>0.0</v>
      </c>
      <c r="Z558" s="372">
        <v>0.0</v>
      </c>
    </row>
    <row r="559">
      <c r="Y559" s="372">
        <v>0.0</v>
      </c>
      <c r="Z559" s="372">
        <v>0.0</v>
      </c>
    </row>
    <row r="560">
      <c r="Y560" s="372">
        <v>0.0</v>
      </c>
      <c r="Z560" s="372">
        <v>0.0</v>
      </c>
    </row>
    <row r="561">
      <c r="Y561" s="372">
        <v>0.0</v>
      </c>
      <c r="Z561" s="372">
        <v>0.0</v>
      </c>
    </row>
    <row r="562">
      <c r="Y562" s="372">
        <v>0.0</v>
      </c>
      <c r="Z562" s="372">
        <v>0.0</v>
      </c>
    </row>
    <row r="563">
      <c r="Y563" s="372">
        <v>0.0</v>
      </c>
      <c r="Z563" s="372">
        <v>0.0</v>
      </c>
    </row>
    <row r="564">
      <c r="Y564" s="372">
        <v>0.0</v>
      </c>
      <c r="Z564" s="372">
        <v>0.0</v>
      </c>
    </row>
    <row r="565">
      <c r="Y565" s="372">
        <v>0.0</v>
      </c>
      <c r="Z565" s="372">
        <v>0.0</v>
      </c>
    </row>
    <row r="566">
      <c r="Y566" s="372">
        <v>0.0</v>
      </c>
      <c r="Z566" s="372">
        <v>0.0</v>
      </c>
    </row>
    <row r="567">
      <c r="Y567" s="372">
        <v>0.0</v>
      </c>
      <c r="Z567" s="372">
        <v>0.0</v>
      </c>
    </row>
    <row r="568">
      <c r="Y568" s="372">
        <v>0.0</v>
      </c>
      <c r="Z568" s="372">
        <v>0.0</v>
      </c>
    </row>
    <row r="569">
      <c r="Y569" s="372">
        <v>0.0</v>
      </c>
      <c r="Z569" s="372">
        <v>0.0</v>
      </c>
    </row>
    <row r="570">
      <c r="Y570" s="372">
        <v>0.0</v>
      </c>
      <c r="Z570" s="372">
        <v>0.0</v>
      </c>
    </row>
    <row r="571">
      <c r="Y571" s="372">
        <v>0.0</v>
      </c>
      <c r="Z571" s="372">
        <v>0.0</v>
      </c>
    </row>
    <row r="572">
      <c r="Y572" s="372">
        <v>0.0</v>
      </c>
      <c r="Z572" s="372">
        <v>0.0</v>
      </c>
    </row>
    <row r="573">
      <c r="Y573" s="372">
        <v>0.0</v>
      </c>
      <c r="Z573" s="372">
        <v>0.0</v>
      </c>
    </row>
    <row r="574">
      <c r="Y574" s="372">
        <v>0.0</v>
      </c>
      <c r="Z574" s="372">
        <v>0.0</v>
      </c>
    </row>
    <row r="575">
      <c r="Y575" s="372">
        <v>0.0</v>
      </c>
      <c r="Z575" s="372">
        <v>0.0</v>
      </c>
    </row>
    <row r="576">
      <c r="Y576" s="372">
        <v>0.0</v>
      </c>
      <c r="Z576" s="372">
        <v>0.0</v>
      </c>
    </row>
    <row r="577">
      <c r="Y577" s="372">
        <v>0.0</v>
      </c>
      <c r="Z577" s="372">
        <v>0.0</v>
      </c>
    </row>
    <row r="578">
      <c r="Y578" s="372">
        <v>0.0</v>
      </c>
      <c r="Z578" s="372">
        <v>0.0</v>
      </c>
    </row>
    <row r="579">
      <c r="Y579" s="372">
        <v>0.0</v>
      </c>
      <c r="Z579" s="372">
        <v>0.0</v>
      </c>
    </row>
    <row r="580">
      <c r="Y580" s="372">
        <v>0.0</v>
      </c>
      <c r="Z580" s="372">
        <v>0.0</v>
      </c>
    </row>
    <row r="581">
      <c r="Y581" s="372">
        <v>0.0</v>
      </c>
      <c r="Z581" s="372">
        <v>0.0</v>
      </c>
    </row>
    <row r="582">
      <c r="Y582" s="372">
        <v>0.0</v>
      </c>
      <c r="Z582" s="372">
        <v>0.0</v>
      </c>
    </row>
    <row r="583">
      <c r="Y583" s="372">
        <v>0.0</v>
      </c>
      <c r="Z583" s="372">
        <v>0.0</v>
      </c>
    </row>
    <row r="584">
      <c r="Y584" s="372">
        <v>0.0</v>
      </c>
      <c r="Z584" s="372">
        <v>0.0</v>
      </c>
    </row>
    <row r="585">
      <c r="Y585" s="372">
        <v>0.0</v>
      </c>
      <c r="Z585" s="372">
        <v>0.0</v>
      </c>
    </row>
    <row r="586">
      <c r="Y586" s="372">
        <v>0.0</v>
      </c>
      <c r="Z586" s="372">
        <v>0.0</v>
      </c>
    </row>
    <row r="587">
      <c r="Y587" s="372">
        <v>0.0</v>
      </c>
      <c r="Z587" s="372">
        <v>0.0</v>
      </c>
    </row>
    <row r="588">
      <c r="Y588" s="372">
        <v>0.0</v>
      </c>
      <c r="Z588" s="372">
        <v>0.0</v>
      </c>
    </row>
    <row r="589">
      <c r="Y589" s="372">
        <v>0.0</v>
      </c>
      <c r="Z589" s="372">
        <v>0.0</v>
      </c>
    </row>
    <row r="590">
      <c r="Y590" s="372">
        <v>0.0</v>
      </c>
      <c r="Z590" s="372">
        <v>0.0</v>
      </c>
    </row>
    <row r="591">
      <c r="Y591" s="372">
        <v>0.0</v>
      </c>
      <c r="Z591" s="372">
        <v>0.0</v>
      </c>
    </row>
    <row r="592">
      <c r="Y592" s="372">
        <v>0.0</v>
      </c>
      <c r="Z592" s="372">
        <v>0.0</v>
      </c>
    </row>
    <row r="593">
      <c r="Y593" s="372">
        <v>0.0</v>
      </c>
      <c r="Z593" s="372">
        <v>0.0</v>
      </c>
    </row>
    <row r="594">
      <c r="Y594" s="372">
        <v>0.0</v>
      </c>
      <c r="Z594" s="372">
        <v>0.0</v>
      </c>
    </row>
    <row r="595">
      <c r="Y595" s="372">
        <v>0.0</v>
      </c>
      <c r="Z595" s="372">
        <v>0.0</v>
      </c>
    </row>
    <row r="596">
      <c r="Y596" s="372">
        <v>0.0</v>
      </c>
      <c r="Z596" s="372">
        <v>0.0</v>
      </c>
    </row>
    <row r="597">
      <c r="Y597" s="372">
        <v>0.0</v>
      </c>
      <c r="Z597" s="372">
        <v>0.0</v>
      </c>
    </row>
    <row r="598">
      <c r="Y598" s="372">
        <v>0.0</v>
      </c>
      <c r="Z598" s="372">
        <v>0.0</v>
      </c>
    </row>
    <row r="599">
      <c r="Y599" s="372">
        <v>0.0</v>
      </c>
      <c r="Z599" s="372">
        <v>0.0</v>
      </c>
    </row>
    <row r="600">
      <c r="Y600" s="372">
        <v>0.0</v>
      </c>
      <c r="Z600" s="372">
        <v>0.0</v>
      </c>
    </row>
    <row r="601">
      <c r="Y601" s="372">
        <v>0.0</v>
      </c>
      <c r="Z601" s="372">
        <v>0.0</v>
      </c>
    </row>
    <row r="602">
      <c r="Y602" s="372">
        <v>0.0</v>
      </c>
      <c r="Z602" s="372">
        <v>0.0</v>
      </c>
    </row>
    <row r="603">
      <c r="Y603" s="372">
        <v>0.0</v>
      </c>
      <c r="Z603" s="372">
        <v>0.0</v>
      </c>
    </row>
    <row r="604">
      <c r="Y604" s="372">
        <v>0.0</v>
      </c>
      <c r="Z604" s="372">
        <v>0.0</v>
      </c>
    </row>
    <row r="605">
      <c r="Y605" s="372">
        <v>0.0</v>
      </c>
      <c r="Z605" s="372">
        <v>0.0</v>
      </c>
    </row>
    <row r="606">
      <c r="Y606" s="372">
        <v>0.0</v>
      </c>
      <c r="Z606" s="372">
        <v>0.0</v>
      </c>
    </row>
    <row r="607">
      <c r="Y607" s="372">
        <v>0.0</v>
      </c>
      <c r="Z607" s="372">
        <v>0.0</v>
      </c>
    </row>
    <row r="608">
      <c r="Y608" s="372">
        <v>0.0</v>
      </c>
      <c r="Z608" s="372">
        <v>0.0</v>
      </c>
    </row>
    <row r="609">
      <c r="Y609" s="372">
        <v>0.0</v>
      </c>
      <c r="Z609" s="372">
        <v>0.0</v>
      </c>
    </row>
    <row r="610">
      <c r="Y610" s="372">
        <v>0.0</v>
      </c>
      <c r="Z610" s="372">
        <v>0.0</v>
      </c>
    </row>
    <row r="611">
      <c r="Y611" s="372">
        <v>0.0</v>
      </c>
      <c r="Z611" s="372">
        <v>0.0</v>
      </c>
    </row>
    <row r="612">
      <c r="Y612" s="372">
        <v>0.0</v>
      </c>
      <c r="Z612" s="372">
        <v>0.0</v>
      </c>
    </row>
    <row r="613">
      <c r="Y613" s="372">
        <v>0.0</v>
      </c>
      <c r="Z613" s="372">
        <v>0.0</v>
      </c>
    </row>
    <row r="614">
      <c r="Y614" s="372">
        <v>0.0</v>
      </c>
      <c r="Z614" s="372">
        <v>0.0</v>
      </c>
    </row>
    <row r="615">
      <c r="Y615" s="372">
        <v>0.0</v>
      </c>
      <c r="Z615" s="372">
        <v>0.0</v>
      </c>
    </row>
    <row r="616">
      <c r="Y616" s="372">
        <v>0.0</v>
      </c>
      <c r="Z616" s="372">
        <v>0.0</v>
      </c>
    </row>
    <row r="617">
      <c r="Y617" s="372">
        <v>0.0</v>
      </c>
      <c r="Z617" s="372">
        <v>0.0</v>
      </c>
    </row>
    <row r="618">
      <c r="Y618" s="372">
        <v>0.0</v>
      </c>
      <c r="Z618" s="372">
        <v>0.0</v>
      </c>
    </row>
    <row r="619">
      <c r="Y619" s="372">
        <v>0.0</v>
      </c>
      <c r="Z619" s="372">
        <v>0.0</v>
      </c>
    </row>
    <row r="620">
      <c r="Y620" s="372">
        <v>0.0</v>
      </c>
      <c r="Z620" s="372">
        <v>0.0</v>
      </c>
    </row>
    <row r="621">
      <c r="Y621" s="372">
        <v>0.0</v>
      </c>
      <c r="Z621" s="372">
        <v>0.0</v>
      </c>
    </row>
    <row r="622">
      <c r="Y622" s="372">
        <v>0.0</v>
      </c>
      <c r="Z622" s="372">
        <v>0.0</v>
      </c>
    </row>
    <row r="623">
      <c r="Y623" s="372">
        <v>0.0</v>
      </c>
      <c r="Z623" s="372">
        <v>0.0</v>
      </c>
    </row>
    <row r="624">
      <c r="Y624" s="372">
        <v>0.0</v>
      </c>
      <c r="Z624" s="372">
        <v>0.0</v>
      </c>
    </row>
    <row r="625">
      <c r="Y625" s="372">
        <v>0.0</v>
      </c>
      <c r="Z625" s="372">
        <v>0.0</v>
      </c>
    </row>
    <row r="626">
      <c r="Y626" s="372">
        <v>0.0</v>
      </c>
      <c r="Z626" s="372">
        <v>0.0</v>
      </c>
    </row>
    <row r="627">
      <c r="Y627" s="372">
        <v>0.0</v>
      </c>
      <c r="Z627" s="372">
        <v>0.0</v>
      </c>
    </row>
    <row r="628">
      <c r="Y628" s="372">
        <v>0.0</v>
      </c>
      <c r="Z628" s="372">
        <v>0.0</v>
      </c>
    </row>
    <row r="629">
      <c r="Y629" s="372">
        <v>0.0</v>
      </c>
      <c r="Z629" s="372">
        <v>0.0</v>
      </c>
    </row>
    <row r="630">
      <c r="Y630" s="372">
        <v>0.0</v>
      </c>
      <c r="Z630" s="372">
        <v>0.0</v>
      </c>
    </row>
    <row r="631">
      <c r="Y631" s="372">
        <v>0.0</v>
      </c>
      <c r="Z631" s="372">
        <v>0.0</v>
      </c>
    </row>
    <row r="632">
      <c r="Y632" s="372">
        <v>0.0</v>
      </c>
      <c r="Z632" s="372">
        <v>0.0</v>
      </c>
    </row>
    <row r="633">
      <c r="Y633" s="372">
        <v>0.0</v>
      </c>
      <c r="Z633" s="372">
        <v>0.0</v>
      </c>
    </row>
    <row r="634">
      <c r="Y634" s="372">
        <v>0.0</v>
      </c>
      <c r="Z634" s="372">
        <v>0.0</v>
      </c>
    </row>
    <row r="635">
      <c r="Y635" s="372">
        <v>0.0</v>
      </c>
      <c r="Z635" s="372">
        <v>0.0</v>
      </c>
    </row>
    <row r="636">
      <c r="Y636" s="372">
        <v>0.0</v>
      </c>
      <c r="Z636" s="372">
        <v>0.0</v>
      </c>
    </row>
    <row r="637">
      <c r="Y637" s="372">
        <v>0.0</v>
      </c>
      <c r="Z637" s="372">
        <v>0.0</v>
      </c>
    </row>
    <row r="638">
      <c r="Y638" s="372">
        <v>0.0</v>
      </c>
      <c r="Z638" s="372">
        <v>0.0</v>
      </c>
    </row>
    <row r="639">
      <c r="Y639" s="372">
        <v>0.0</v>
      </c>
      <c r="Z639" s="372">
        <v>0.0</v>
      </c>
    </row>
    <row r="640">
      <c r="Y640" s="372">
        <v>0.0</v>
      </c>
      <c r="Z640" s="372">
        <v>0.0</v>
      </c>
    </row>
    <row r="641">
      <c r="Y641" s="372">
        <v>0.0</v>
      </c>
      <c r="Z641" s="372">
        <v>0.0</v>
      </c>
    </row>
    <row r="642">
      <c r="Y642" s="372">
        <v>0.0</v>
      </c>
      <c r="Z642" s="372">
        <v>0.0</v>
      </c>
    </row>
    <row r="643">
      <c r="Y643" s="372">
        <v>0.0</v>
      </c>
      <c r="Z643" s="372">
        <v>0.0</v>
      </c>
    </row>
    <row r="644">
      <c r="Y644" s="372">
        <v>0.0</v>
      </c>
      <c r="Z644" s="372">
        <v>0.0</v>
      </c>
    </row>
    <row r="645">
      <c r="Y645" s="372">
        <v>0.0</v>
      </c>
      <c r="Z645" s="372">
        <v>0.0</v>
      </c>
    </row>
    <row r="646">
      <c r="Y646" s="372">
        <v>0.0</v>
      </c>
      <c r="Z646" s="372">
        <v>0.0</v>
      </c>
    </row>
    <row r="647">
      <c r="Y647" s="372">
        <v>0.0</v>
      </c>
      <c r="Z647" s="372">
        <v>0.0</v>
      </c>
    </row>
    <row r="648">
      <c r="Y648" s="372">
        <v>0.0</v>
      </c>
      <c r="Z648" s="372">
        <v>0.0</v>
      </c>
    </row>
    <row r="649">
      <c r="Y649" s="372">
        <v>0.0</v>
      </c>
      <c r="Z649" s="372">
        <v>0.0</v>
      </c>
    </row>
    <row r="650">
      <c r="Y650" s="372">
        <v>0.0</v>
      </c>
      <c r="Z650" s="372">
        <v>0.0</v>
      </c>
    </row>
    <row r="651">
      <c r="Y651" s="372">
        <v>0.0</v>
      </c>
      <c r="Z651" s="372">
        <v>0.0</v>
      </c>
    </row>
    <row r="652">
      <c r="Y652" s="372">
        <v>0.0</v>
      </c>
      <c r="Z652" s="372">
        <v>0.0</v>
      </c>
    </row>
    <row r="653">
      <c r="Y653" s="372">
        <v>0.0</v>
      </c>
      <c r="Z653" s="372">
        <v>0.0</v>
      </c>
    </row>
    <row r="654">
      <c r="Y654" s="372">
        <v>0.0</v>
      </c>
      <c r="Z654" s="372">
        <v>0.0</v>
      </c>
    </row>
    <row r="655">
      <c r="Y655" s="372">
        <v>0.0</v>
      </c>
      <c r="Z655" s="372">
        <v>0.0</v>
      </c>
    </row>
    <row r="656">
      <c r="Y656" s="372">
        <v>0.0</v>
      </c>
      <c r="Z656" s="372">
        <v>0.0</v>
      </c>
    </row>
    <row r="657">
      <c r="Y657" s="372">
        <v>0.0</v>
      </c>
      <c r="Z657" s="372">
        <v>0.0</v>
      </c>
    </row>
    <row r="658">
      <c r="Y658" s="372">
        <v>0.0</v>
      </c>
      <c r="Z658" s="372">
        <v>0.0</v>
      </c>
    </row>
    <row r="659">
      <c r="Y659" s="372">
        <v>0.0</v>
      </c>
      <c r="Z659" s="372">
        <v>0.0</v>
      </c>
    </row>
    <row r="660">
      <c r="Y660" s="372">
        <v>0.0</v>
      </c>
      <c r="Z660" s="372">
        <v>0.0</v>
      </c>
    </row>
    <row r="661">
      <c r="Y661" s="372">
        <v>0.0</v>
      </c>
      <c r="Z661" s="372">
        <v>0.0</v>
      </c>
    </row>
    <row r="662">
      <c r="Y662" s="372">
        <v>0.0</v>
      </c>
      <c r="Z662" s="372">
        <v>0.0</v>
      </c>
    </row>
    <row r="663">
      <c r="Y663" s="372">
        <v>0.0</v>
      </c>
      <c r="Z663" s="372">
        <v>0.0</v>
      </c>
    </row>
    <row r="664">
      <c r="Y664" s="372">
        <v>0.0</v>
      </c>
      <c r="Z664" s="372">
        <v>0.0</v>
      </c>
    </row>
    <row r="665">
      <c r="Y665" s="372">
        <v>0.0</v>
      </c>
      <c r="Z665" s="372">
        <v>0.0</v>
      </c>
    </row>
    <row r="666">
      <c r="Y666" s="372">
        <v>0.0</v>
      </c>
      <c r="Z666" s="372">
        <v>0.0</v>
      </c>
    </row>
    <row r="667">
      <c r="Y667" s="372">
        <v>0.0</v>
      </c>
      <c r="Z667" s="372">
        <v>0.0</v>
      </c>
    </row>
    <row r="668">
      <c r="Y668" s="372">
        <v>0.0</v>
      </c>
      <c r="Z668" s="372">
        <v>0.0</v>
      </c>
    </row>
    <row r="669">
      <c r="Y669" s="372">
        <v>0.0</v>
      </c>
      <c r="Z669" s="372">
        <v>0.0</v>
      </c>
    </row>
    <row r="670">
      <c r="Y670" s="372">
        <v>0.0</v>
      </c>
      <c r="Z670" s="372">
        <v>0.0</v>
      </c>
    </row>
    <row r="671">
      <c r="Y671" s="372">
        <v>0.0</v>
      </c>
      <c r="Z671" s="372">
        <v>0.0</v>
      </c>
    </row>
    <row r="672">
      <c r="Y672" s="372">
        <v>0.0</v>
      </c>
      <c r="Z672" s="372">
        <v>0.0</v>
      </c>
    </row>
    <row r="673">
      <c r="Y673" s="372">
        <v>0.0</v>
      </c>
      <c r="Z673" s="372">
        <v>0.0</v>
      </c>
    </row>
    <row r="674">
      <c r="Y674" s="372">
        <v>0.0</v>
      </c>
      <c r="Z674" s="372">
        <v>0.0</v>
      </c>
    </row>
    <row r="675">
      <c r="Y675" s="372">
        <v>0.0</v>
      </c>
      <c r="Z675" s="372">
        <v>0.0</v>
      </c>
    </row>
    <row r="676">
      <c r="Y676" s="372">
        <v>0.0</v>
      </c>
      <c r="Z676" s="372">
        <v>0.0</v>
      </c>
    </row>
    <row r="677">
      <c r="Y677" s="372">
        <v>0.0</v>
      </c>
      <c r="Z677" s="372">
        <v>0.0</v>
      </c>
    </row>
    <row r="678">
      <c r="Y678" s="372">
        <v>0.0</v>
      </c>
      <c r="Z678" s="372">
        <v>0.0</v>
      </c>
    </row>
    <row r="679">
      <c r="Y679" s="372">
        <v>0.0</v>
      </c>
      <c r="Z679" s="372">
        <v>0.0</v>
      </c>
    </row>
    <row r="680">
      <c r="Y680" s="372">
        <v>0.0</v>
      </c>
      <c r="Z680" s="372">
        <v>0.0</v>
      </c>
    </row>
    <row r="681">
      <c r="Y681" s="372">
        <v>0.0</v>
      </c>
      <c r="Z681" s="372">
        <v>0.0</v>
      </c>
    </row>
    <row r="682">
      <c r="Y682" s="372">
        <v>0.0</v>
      </c>
      <c r="Z682" s="372">
        <v>0.0</v>
      </c>
    </row>
    <row r="683">
      <c r="Y683" s="372">
        <v>0.0</v>
      </c>
      <c r="Z683" s="372">
        <v>0.0</v>
      </c>
    </row>
    <row r="684">
      <c r="Y684" s="372">
        <v>0.0</v>
      </c>
      <c r="Z684" s="372">
        <v>0.0</v>
      </c>
    </row>
    <row r="685">
      <c r="Y685" s="372">
        <v>0.0</v>
      </c>
      <c r="Z685" s="372">
        <v>0.0</v>
      </c>
    </row>
    <row r="686">
      <c r="Y686" s="372">
        <v>0.0</v>
      </c>
      <c r="Z686" s="372">
        <v>0.0</v>
      </c>
    </row>
    <row r="687">
      <c r="Y687" s="372">
        <v>0.0</v>
      </c>
      <c r="Z687" s="372">
        <v>0.0</v>
      </c>
    </row>
    <row r="688">
      <c r="Y688" s="372">
        <v>0.0</v>
      </c>
      <c r="Z688" s="372">
        <v>0.0</v>
      </c>
    </row>
    <row r="689">
      <c r="Y689" s="372">
        <v>0.0</v>
      </c>
      <c r="Z689" s="372">
        <v>0.0</v>
      </c>
    </row>
    <row r="690">
      <c r="Y690" s="372">
        <v>0.0</v>
      </c>
      <c r="Z690" s="372">
        <v>0.0</v>
      </c>
    </row>
    <row r="691">
      <c r="Y691" s="372">
        <v>0.0</v>
      </c>
      <c r="Z691" s="372">
        <v>0.0</v>
      </c>
    </row>
    <row r="692">
      <c r="Y692" s="372">
        <v>0.0</v>
      </c>
      <c r="Z692" s="372">
        <v>0.0</v>
      </c>
    </row>
    <row r="693">
      <c r="Y693" s="372">
        <v>0.0</v>
      </c>
      <c r="Z693" s="372">
        <v>0.0</v>
      </c>
    </row>
    <row r="694">
      <c r="Y694" s="372">
        <v>0.0</v>
      </c>
      <c r="Z694" s="372">
        <v>0.0</v>
      </c>
    </row>
    <row r="695">
      <c r="Y695" s="372">
        <v>0.0</v>
      </c>
      <c r="Z695" s="372">
        <v>0.0</v>
      </c>
    </row>
    <row r="696">
      <c r="Y696" s="372">
        <v>0.0</v>
      </c>
      <c r="Z696" s="372">
        <v>0.0</v>
      </c>
    </row>
    <row r="697">
      <c r="Y697" s="372">
        <v>0.0</v>
      </c>
      <c r="Z697" s="372">
        <v>0.0</v>
      </c>
    </row>
    <row r="698">
      <c r="Y698" s="372">
        <v>0.0</v>
      </c>
      <c r="Z698" s="372">
        <v>0.0</v>
      </c>
    </row>
    <row r="699">
      <c r="Y699" s="372">
        <v>0.0</v>
      </c>
      <c r="Z699" s="372">
        <v>0.0</v>
      </c>
    </row>
    <row r="700">
      <c r="Y700" s="372">
        <v>0.0</v>
      </c>
      <c r="Z700" s="372">
        <v>0.0</v>
      </c>
    </row>
    <row r="701">
      <c r="Y701" s="372">
        <v>0.0</v>
      </c>
      <c r="Z701" s="372">
        <v>0.0</v>
      </c>
    </row>
    <row r="702">
      <c r="Y702" s="372">
        <v>0.0</v>
      </c>
      <c r="Z702" s="372">
        <v>0.0</v>
      </c>
    </row>
    <row r="703">
      <c r="Y703" s="372">
        <v>0.0</v>
      </c>
      <c r="Z703" s="372">
        <v>0.0</v>
      </c>
    </row>
    <row r="704">
      <c r="Y704" s="372">
        <v>0.0</v>
      </c>
      <c r="Z704" s="372">
        <v>0.0</v>
      </c>
    </row>
    <row r="705">
      <c r="Y705" s="372">
        <v>0.0</v>
      </c>
      <c r="Z705" s="372">
        <v>0.0</v>
      </c>
    </row>
    <row r="706">
      <c r="Y706" s="372">
        <v>0.0</v>
      </c>
      <c r="Z706" s="372">
        <v>0.0</v>
      </c>
    </row>
    <row r="707">
      <c r="Y707" s="372">
        <v>0.0</v>
      </c>
      <c r="Z707" s="372">
        <v>0.0</v>
      </c>
    </row>
    <row r="708">
      <c r="Y708" s="372">
        <v>0.0</v>
      </c>
      <c r="Z708" s="372">
        <v>0.0</v>
      </c>
    </row>
    <row r="709">
      <c r="Y709" s="372">
        <v>0.0</v>
      </c>
      <c r="Z709" s="372">
        <v>0.0</v>
      </c>
    </row>
    <row r="710">
      <c r="Y710" s="372">
        <v>0.0</v>
      </c>
      <c r="Z710" s="372">
        <v>0.0</v>
      </c>
    </row>
    <row r="711">
      <c r="Y711" s="372">
        <v>0.0</v>
      </c>
      <c r="Z711" s="372">
        <v>0.0</v>
      </c>
    </row>
    <row r="712">
      <c r="Y712" s="372">
        <v>0.0</v>
      </c>
      <c r="Z712" s="372">
        <v>0.0</v>
      </c>
    </row>
    <row r="713">
      <c r="Y713" s="372">
        <v>0.0</v>
      </c>
      <c r="Z713" s="372">
        <v>0.0</v>
      </c>
    </row>
    <row r="714">
      <c r="Y714" s="372">
        <v>0.0</v>
      </c>
      <c r="Z714" s="372">
        <v>0.0</v>
      </c>
    </row>
    <row r="715">
      <c r="Y715" s="372">
        <v>0.0</v>
      </c>
      <c r="Z715" s="372">
        <v>0.0</v>
      </c>
    </row>
    <row r="716">
      <c r="Y716" s="372">
        <v>0.0</v>
      </c>
      <c r="Z716" s="372">
        <v>0.0</v>
      </c>
    </row>
    <row r="717">
      <c r="Y717" s="372">
        <v>0.0</v>
      </c>
      <c r="Z717" s="372">
        <v>0.0</v>
      </c>
    </row>
    <row r="718">
      <c r="Y718" s="372">
        <v>0.0</v>
      </c>
      <c r="Z718" s="372">
        <v>0.0</v>
      </c>
    </row>
    <row r="719">
      <c r="Y719" s="372">
        <v>0.0</v>
      </c>
      <c r="Z719" s="372">
        <v>0.0</v>
      </c>
    </row>
    <row r="720">
      <c r="Y720" s="372">
        <v>0.0</v>
      </c>
      <c r="Z720" s="372">
        <v>0.0</v>
      </c>
    </row>
    <row r="721">
      <c r="Y721" s="372">
        <v>0.0</v>
      </c>
      <c r="Z721" s="372">
        <v>0.0</v>
      </c>
    </row>
    <row r="722">
      <c r="Y722" s="372">
        <v>0.0</v>
      </c>
      <c r="Z722" s="372">
        <v>0.0</v>
      </c>
    </row>
    <row r="723">
      <c r="Y723" s="372">
        <v>0.0</v>
      </c>
      <c r="Z723" s="372">
        <v>0.0</v>
      </c>
    </row>
    <row r="724">
      <c r="Y724" s="372">
        <v>0.0</v>
      </c>
      <c r="Z724" s="372">
        <v>0.0</v>
      </c>
    </row>
    <row r="725">
      <c r="Y725" s="372">
        <v>0.0</v>
      </c>
      <c r="Z725" s="372">
        <v>0.0</v>
      </c>
    </row>
    <row r="726">
      <c r="Y726" s="372">
        <v>0.0</v>
      </c>
      <c r="Z726" s="372">
        <v>0.0</v>
      </c>
    </row>
    <row r="727">
      <c r="Y727" s="372">
        <v>0.0</v>
      </c>
      <c r="Z727" s="372">
        <v>0.0</v>
      </c>
    </row>
    <row r="728">
      <c r="Y728" s="372">
        <v>0.0</v>
      </c>
      <c r="Z728" s="372">
        <v>0.0</v>
      </c>
    </row>
    <row r="729">
      <c r="Y729" s="372">
        <v>0.0</v>
      </c>
      <c r="Z729" s="372">
        <v>0.0</v>
      </c>
    </row>
    <row r="730">
      <c r="Y730" s="372">
        <v>0.0</v>
      </c>
      <c r="Z730" s="372">
        <v>0.0</v>
      </c>
    </row>
    <row r="731">
      <c r="Y731" s="372">
        <v>0.0</v>
      </c>
      <c r="Z731" s="372">
        <v>0.0</v>
      </c>
    </row>
    <row r="732">
      <c r="Y732" s="372">
        <v>0.0</v>
      </c>
      <c r="Z732" s="372">
        <v>0.0</v>
      </c>
    </row>
    <row r="733">
      <c r="Y733" s="372">
        <v>0.0</v>
      </c>
      <c r="Z733" s="372">
        <v>0.0</v>
      </c>
    </row>
    <row r="734">
      <c r="Y734" s="372">
        <v>0.0</v>
      </c>
      <c r="Z734" s="372">
        <v>0.0</v>
      </c>
    </row>
    <row r="735">
      <c r="Y735" s="372">
        <v>0.0</v>
      </c>
      <c r="Z735" s="372">
        <v>0.0</v>
      </c>
    </row>
    <row r="736">
      <c r="Y736" s="372">
        <v>0.0</v>
      </c>
      <c r="Z736" s="372">
        <v>0.0</v>
      </c>
    </row>
    <row r="737">
      <c r="Y737" s="372">
        <v>0.0</v>
      </c>
      <c r="Z737" s="372">
        <v>0.0</v>
      </c>
    </row>
    <row r="738">
      <c r="Y738" s="372">
        <v>0.0</v>
      </c>
      <c r="Z738" s="372">
        <v>0.0</v>
      </c>
    </row>
    <row r="739">
      <c r="Y739" s="372">
        <v>0.0</v>
      </c>
      <c r="Z739" s="372">
        <v>0.0</v>
      </c>
    </row>
    <row r="740">
      <c r="Y740" s="372">
        <v>0.0</v>
      </c>
      <c r="Z740" s="372">
        <v>0.0</v>
      </c>
    </row>
    <row r="741">
      <c r="Y741" s="372">
        <v>0.0</v>
      </c>
      <c r="Z741" s="372">
        <v>0.0</v>
      </c>
    </row>
    <row r="742">
      <c r="Y742" s="372">
        <v>0.0</v>
      </c>
      <c r="Z742" s="372">
        <v>0.0</v>
      </c>
    </row>
    <row r="743">
      <c r="Y743" s="372">
        <v>0.0</v>
      </c>
      <c r="Z743" s="372">
        <v>0.0</v>
      </c>
    </row>
    <row r="744">
      <c r="Y744" s="372">
        <v>0.0</v>
      </c>
      <c r="Z744" s="372">
        <v>0.0</v>
      </c>
    </row>
    <row r="745">
      <c r="Y745" s="372">
        <v>0.0</v>
      </c>
      <c r="Z745" s="372">
        <v>0.0</v>
      </c>
    </row>
    <row r="746">
      <c r="Y746" s="372">
        <v>0.0</v>
      </c>
      <c r="Z746" s="372">
        <v>0.0</v>
      </c>
    </row>
    <row r="747">
      <c r="Y747" s="372">
        <v>0.0</v>
      </c>
      <c r="Z747" s="372">
        <v>0.0</v>
      </c>
    </row>
    <row r="748">
      <c r="Y748" s="372">
        <v>0.0</v>
      </c>
      <c r="Z748" s="372">
        <v>0.0</v>
      </c>
    </row>
    <row r="749">
      <c r="Y749" s="372">
        <v>0.0</v>
      </c>
      <c r="Z749" s="372">
        <v>0.0</v>
      </c>
    </row>
    <row r="750">
      <c r="Y750" s="372">
        <v>0.0</v>
      </c>
      <c r="Z750" s="372">
        <v>0.0</v>
      </c>
    </row>
    <row r="751">
      <c r="Y751" s="372">
        <v>0.0</v>
      </c>
      <c r="Z751" s="372">
        <v>0.0</v>
      </c>
    </row>
    <row r="752">
      <c r="Y752" s="372">
        <v>0.0</v>
      </c>
      <c r="Z752" s="372">
        <v>0.0</v>
      </c>
    </row>
    <row r="753">
      <c r="Y753" s="372">
        <v>0.0</v>
      </c>
      <c r="Z753" s="372">
        <v>0.0</v>
      </c>
    </row>
    <row r="754">
      <c r="Y754" s="372">
        <v>0.0</v>
      </c>
      <c r="Z754" s="372">
        <v>0.0</v>
      </c>
    </row>
    <row r="755">
      <c r="Y755" s="372">
        <v>0.0</v>
      </c>
      <c r="Z755" s="372">
        <v>0.0</v>
      </c>
    </row>
    <row r="756">
      <c r="Y756" s="372">
        <v>0.0</v>
      </c>
      <c r="Z756" s="372">
        <v>0.0</v>
      </c>
    </row>
    <row r="757">
      <c r="Y757" s="372">
        <v>0.0</v>
      </c>
      <c r="Z757" s="372">
        <v>0.0</v>
      </c>
    </row>
    <row r="758">
      <c r="Y758" s="372">
        <v>0.0</v>
      </c>
      <c r="Z758" s="372">
        <v>0.0</v>
      </c>
    </row>
    <row r="759">
      <c r="Y759" s="372">
        <v>0.0</v>
      </c>
      <c r="Z759" s="372">
        <v>0.0</v>
      </c>
    </row>
    <row r="760">
      <c r="Y760" s="372">
        <v>0.0</v>
      </c>
      <c r="Z760" s="372">
        <v>0.0</v>
      </c>
    </row>
    <row r="761">
      <c r="Y761" s="372">
        <v>0.0</v>
      </c>
      <c r="Z761" s="372">
        <v>0.0</v>
      </c>
    </row>
    <row r="762">
      <c r="Y762" s="372">
        <v>0.0</v>
      </c>
      <c r="Z762" s="372">
        <v>0.0</v>
      </c>
    </row>
    <row r="763">
      <c r="Y763" s="372">
        <v>0.0</v>
      </c>
      <c r="Z763" s="372">
        <v>0.0</v>
      </c>
    </row>
    <row r="764">
      <c r="Y764" s="372">
        <v>0.0</v>
      </c>
      <c r="Z764" s="372">
        <v>0.0</v>
      </c>
    </row>
    <row r="765">
      <c r="Y765" s="372">
        <v>0.0</v>
      </c>
      <c r="Z765" s="372">
        <v>0.0</v>
      </c>
    </row>
    <row r="766">
      <c r="Y766" s="372">
        <v>0.0</v>
      </c>
      <c r="Z766" s="372">
        <v>0.0</v>
      </c>
    </row>
    <row r="767">
      <c r="Y767" s="372">
        <v>0.0</v>
      </c>
      <c r="Z767" s="372">
        <v>0.0</v>
      </c>
    </row>
    <row r="768">
      <c r="Y768" s="372">
        <v>0.0</v>
      </c>
      <c r="Z768" s="372">
        <v>0.0</v>
      </c>
    </row>
    <row r="769">
      <c r="Y769" s="372">
        <v>0.0</v>
      </c>
      <c r="Z769" s="372">
        <v>0.0</v>
      </c>
    </row>
    <row r="770">
      <c r="Y770" s="372">
        <v>0.0</v>
      </c>
      <c r="Z770" s="372">
        <v>0.0</v>
      </c>
    </row>
    <row r="771">
      <c r="Y771" s="372">
        <v>0.0</v>
      </c>
      <c r="Z771" s="372">
        <v>0.0</v>
      </c>
    </row>
    <row r="772">
      <c r="Y772" s="372">
        <v>0.0</v>
      </c>
      <c r="Z772" s="372">
        <v>0.0</v>
      </c>
    </row>
    <row r="773">
      <c r="Y773" s="372">
        <v>0.0</v>
      </c>
      <c r="Z773" s="372">
        <v>0.0</v>
      </c>
    </row>
    <row r="774">
      <c r="Y774" s="372">
        <v>0.0</v>
      </c>
      <c r="Z774" s="372">
        <v>0.0</v>
      </c>
    </row>
    <row r="775">
      <c r="Y775" s="372">
        <v>0.0</v>
      </c>
      <c r="Z775" s="372">
        <v>0.0</v>
      </c>
    </row>
    <row r="776">
      <c r="Y776" s="372">
        <v>0.0</v>
      </c>
      <c r="Z776" s="372">
        <v>0.0</v>
      </c>
    </row>
    <row r="777">
      <c r="Y777" s="372">
        <v>0.0</v>
      </c>
      <c r="Z777" s="372">
        <v>0.0</v>
      </c>
    </row>
    <row r="778">
      <c r="Y778" s="372">
        <v>0.0</v>
      </c>
      <c r="Z778" s="372">
        <v>0.0</v>
      </c>
    </row>
    <row r="779">
      <c r="Y779" s="372">
        <v>0.0</v>
      </c>
      <c r="Z779" s="372">
        <v>0.0</v>
      </c>
    </row>
    <row r="780">
      <c r="Y780" s="372">
        <v>0.0</v>
      </c>
      <c r="Z780" s="372">
        <v>0.0</v>
      </c>
    </row>
    <row r="781">
      <c r="Y781" s="372">
        <v>0.0</v>
      </c>
      <c r="Z781" s="372">
        <v>0.0</v>
      </c>
    </row>
    <row r="782">
      <c r="Y782" s="372">
        <v>0.0</v>
      </c>
      <c r="Z782" s="372">
        <v>0.0</v>
      </c>
    </row>
    <row r="783">
      <c r="Y783" s="372">
        <v>0.0</v>
      </c>
      <c r="Z783" s="372">
        <v>0.0</v>
      </c>
    </row>
    <row r="784">
      <c r="Y784" s="372">
        <v>0.0</v>
      </c>
      <c r="Z784" s="372">
        <v>0.0</v>
      </c>
    </row>
    <row r="785">
      <c r="Y785" s="372">
        <v>0.0</v>
      </c>
      <c r="Z785" s="372">
        <v>0.0</v>
      </c>
    </row>
    <row r="786">
      <c r="Y786" s="372">
        <v>0.0</v>
      </c>
      <c r="Z786" s="372">
        <v>0.0</v>
      </c>
    </row>
    <row r="787">
      <c r="Y787" s="372">
        <v>0.0</v>
      </c>
      <c r="Z787" s="372">
        <v>0.0</v>
      </c>
    </row>
    <row r="788">
      <c r="Y788" s="372">
        <v>0.0</v>
      </c>
      <c r="Z788" s="372">
        <v>0.0</v>
      </c>
    </row>
    <row r="789">
      <c r="Y789" s="372">
        <v>0.0</v>
      </c>
      <c r="Z789" s="372">
        <v>0.0</v>
      </c>
    </row>
    <row r="790">
      <c r="Y790" s="372">
        <v>0.0</v>
      </c>
      <c r="Z790" s="372">
        <v>0.0</v>
      </c>
    </row>
    <row r="791">
      <c r="Y791" s="372">
        <v>0.0</v>
      </c>
      <c r="Z791" s="372">
        <v>0.0</v>
      </c>
    </row>
    <row r="792">
      <c r="Y792" s="372">
        <v>0.0</v>
      </c>
      <c r="Z792" s="372">
        <v>0.0</v>
      </c>
    </row>
    <row r="793">
      <c r="Y793" s="372">
        <v>0.0</v>
      </c>
      <c r="Z793" s="372">
        <v>0.0</v>
      </c>
    </row>
    <row r="794">
      <c r="Y794" s="372">
        <v>0.0</v>
      </c>
      <c r="Z794" s="372">
        <v>0.0</v>
      </c>
    </row>
    <row r="795">
      <c r="Y795" s="372">
        <v>0.0</v>
      </c>
      <c r="Z795" s="372">
        <v>0.0</v>
      </c>
    </row>
    <row r="796">
      <c r="Y796" s="372">
        <v>0.0</v>
      </c>
      <c r="Z796" s="372">
        <v>0.0</v>
      </c>
    </row>
    <row r="797">
      <c r="Y797" s="372">
        <v>0.0</v>
      </c>
      <c r="Z797" s="372">
        <v>0.0</v>
      </c>
    </row>
    <row r="798">
      <c r="Y798" s="372">
        <v>0.0</v>
      </c>
      <c r="Z798" s="372">
        <v>0.0</v>
      </c>
    </row>
    <row r="799">
      <c r="Y799" s="372">
        <v>0.0</v>
      </c>
      <c r="Z799" s="372">
        <v>0.0</v>
      </c>
    </row>
    <row r="800">
      <c r="Y800" s="372">
        <v>0.0</v>
      </c>
      <c r="Z800" s="372">
        <v>0.0</v>
      </c>
    </row>
    <row r="801">
      <c r="Y801" s="372">
        <v>0.0</v>
      </c>
      <c r="Z801" s="372">
        <v>0.0</v>
      </c>
    </row>
    <row r="802">
      <c r="Y802" s="372">
        <v>0.0</v>
      </c>
      <c r="Z802" s="372">
        <v>0.0</v>
      </c>
    </row>
    <row r="803">
      <c r="Y803" s="372">
        <v>0.0</v>
      </c>
      <c r="Z803" s="372">
        <v>0.0</v>
      </c>
    </row>
    <row r="804">
      <c r="Y804" s="372">
        <v>0.0</v>
      </c>
      <c r="Z804" s="372">
        <v>0.0</v>
      </c>
    </row>
    <row r="805">
      <c r="Y805" s="372">
        <v>0.0</v>
      </c>
      <c r="Z805" s="372">
        <v>0.0</v>
      </c>
    </row>
    <row r="806">
      <c r="Y806" s="372">
        <v>0.0</v>
      </c>
      <c r="Z806" s="372">
        <v>0.0</v>
      </c>
    </row>
    <row r="807">
      <c r="Y807" s="372">
        <v>0.0</v>
      </c>
      <c r="Z807" s="372">
        <v>0.0</v>
      </c>
    </row>
    <row r="808">
      <c r="Y808" s="372">
        <v>0.0</v>
      </c>
      <c r="Z808" s="372">
        <v>0.0</v>
      </c>
    </row>
    <row r="809">
      <c r="Y809" s="372">
        <v>0.0</v>
      </c>
      <c r="Z809" s="372">
        <v>0.0</v>
      </c>
    </row>
    <row r="810">
      <c r="Y810" s="372">
        <v>0.0</v>
      </c>
      <c r="Z810" s="372">
        <v>0.0</v>
      </c>
    </row>
    <row r="811">
      <c r="Y811" s="372">
        <v>0.0</v>
      </c>
      <c r="Z811" s="372">
        <v>0.0</v>
      </c>
    </row>
    <row r="812">
      <c r="Y812" s="372">
        <v>0.0</v>
      </c>
      <c r="Z812" s="372">
        <v>0.0</v>
      </c>
    </row>
    <row r="813">
      <c r="Y813" s="372">
        <v>0.0</v>
      </c>
      <c r="Z813" s="372">
        <v>0.0</v>
      </c>
    </row>
    <row r="814">
      <c r="Y814" s="372">
        <v>0.0</v>
      </c>
      <c r="Z814" s="372">
        <v>0.0</v>
      </c>
    </row>
    <row r="815">
      <c r="Y815" s="372">
        <v>0.0</v>
      </c>
      <c r="Z815" s="372">
        <v>0.0</v>
      </c>
    </row>
    <row r="816">
      <c r="Y816" s="372">
        <v>0.0</v>
      </c>
      <c r="Z816" s="372">
        <v>0.0</v>
      </c>
    </row>
    <row r="817">
      <c r="Y817" s="372">
        <v>0.0</v>
      </c>
      <c r="Z817" s="372">
        <v>0.0</v>
      </c>
    </row>
    <row r="818">
      <c r="Y818" s="372">
        <v>0.0</v>
      </c>
      <c r="Z818" s="372">
        <v>0.0</v>
      </c>
    </row>
    <row r="819">
      <c r="Y819" s="372">
        <v>0.0</v>
      </c>
      <c r="Z819" s="372">
        <v>0.0</v>
      </c>
    </row>
    <row r="820">
      <c r="Y820" s="372">
        <v>0.0</v>
      </c>
      <c r="Z820" s="372">
        <v>0.0</v>
      </c>
    </row>
    <row r="821">
      <c r="Y821" s="372">
        <v>0.0</v>
      </c>
      <c r="Z821" s="372">
        <v>0.0</v>
      </c>
    </row>
    <row r="822">
      <c r="Y822" s="372">
        <v>0.0</v>
      </c>
      <c r="Z822" s="372">
        <v>0.0</v>
      </c>
    </row>
    <row r="823">
      <c r="Y823" s="372">
        <v>0.0</v>
      </c>
      <c r="Z823" s="372">
        <v>0.0</v>
      </c>
    </row>
    <row r="824">
      <c r="Y824" s="372">
        <v>0.0</v>
      </c>
      <c r="Z824" s="372">
        <v>0.0</v>
      </c>
    </row>
    <row r="825">
      <c r="Y825" s="372">
        <v>0.0</v>
      </c>
      <c r="Z825" s="372">
        <v>0.0</v>
      </c>
    </row>
    <row r="826">
      <c r="Y826" s="372">
        <v>0.0</v>
      </c>
      <c r="Z826" s="372">
        <v>0.0</v>
      </c>
    </row>
    <row r="827">
      <c r="Y827" s="372">
        <v>0.0</v>
      </c>
      <c r="Z827" s="372">
        <v>0.0</v>
      </c>
    </row>
    <row r="828">
      <c r="Y828" s="372">
        <v>0.0</v>
      </c>
      <c r="Z828" s="372">
        <v>0.0</v>
      </c>
    </row>
    <row r="829">
      <c r="Y829" s="372">
        <v>0.0</v>
      </c>
      <c r="Z829" s="372">
        <v>0.0</v>
      </c>
    </row>
    <row r="830">
      <c r="Y830" s="372">
        <v>0.0</v>
      </c>
      <c r="Z830" s="372">
        <v>0.0</v>
      </c>
    </row>
    <row r="831">
      <c r="Y831" s="372">
        <v>0.0</v>
      </c>
      <c r="Z831" s="372">
        <v>0.0</v>
      </c>
    </row>
    <row r="832">
      <c r="Y832" s="372">
        <v>0.0</v>
      </c>
      <c r="Z832" s="372">
        <v>0.0</v>
      </c>
    </row>
    <row r="833">
      <c r="Y833" s="372">
        <v>0.0</v>
      </c>
      <c r="Z833" s="372">
        <v>0.0</v>
      </c>
    </row>
    <row r="834">
      <c r="Y834" s="372">
        <v>0.0</v>
      </c>
      <c r="Z834" s="372">
        <v>0.0</v>
      </c>
    </row>
    <row r="835">
      <c r="Y835" s="372">
        <v>0.0</v>
      </c>
      <c r="Z835" s="372">
        <v>0.0</v>
      </c>
    </row>
    <row r="836">
      <c r="Y836" s="372">
        <v>0.0</v>
      </c>
      <c r="Z836" s="372">
        <v>0.0</v>
      </c>
    </row>
    <row r="837">
      <c r="Y837" s="372">
        <v>0.0</v>
      </c>
      <c r="Z837" s="372">
        <v>0.0</v>
      </c>
    </row>
    <row r="838">
      <c r="Y838" s="372">
        <v>0.0</v>
      </c>
      <c r="Z838" s="372">
        <v>0.0</v>
      </c>
    </row>
    <row r="839">
      <c r="Y839" s="372">
        <v>0.0</v>
      </c>
      <c r="Z839" s="372">
        <v>0.0</v>
      </c>
    </row>
    <row r="840">
      <c r="Y840" s="372">
        <v>0.0</v>
      </c>
      <c r="Z840" s="372">
        <v>0.0</v>
      </c>
    </row>
    <row r="841">
      <c r="Y841" s="372">
        <v>0.0</v>
      </c>
      <c r="Z841" s="372">
        <v>0.0</v>
      </c>
    </row>
    <row r="842">
      <c r="Y842" s="372">
        <v>0.0</v>
      </c>
      <c r="Z842" s="372">
        <v>0.0</v>
      </c>
    </row>
    <row r="843">
      <c r="Y843" s="372">
        <v>0.0</v>
      </c>
      <c r="Z843" s="372">
        <v>0.0</v>
      </c>
    </row>
    <row r="844">
      <c r="Y844" s="372">
        <v>0.0</v>
      </c>
      <c r="Z844" s="372">
        <v>0.0</v>
      </c>
    </row>
    <row r="845">
      <c r="Y845" s="372">
        <v>0.0</v>
      </c>
      <c r="Z845" s="372">
        <v>0.0</v>
      </c>
    </row>
    <row r="846">
      <c r="Y846" s="372">
        <v>0.0</v>
      </c>
      <c r="Z846" s="372">
        <v>0.0</v>
      </c>
    </row>
    <row r="847">
      <c r="Y847" s="372">
        <v>0.0</v>
      </c>
      <c r="Z847" s="372">
        <v>0.0</v>
      </c>
    </row>
    <row r="848">
      <c r="Y848" s="372">
        <v>0.0</v>
      </c>
      <c r="Z848" s="372">
        <v>0.0</v>
      </c>
    </row>
    <row r="849">
      <c r="Y849" s="372">
        <v>0.0</v>
      </c>
      <c r="Z849" s="372">
        <v>0.0</v>
      </c>
    </row>
    <row r="850">
      <c r="Y850" s="372">
        <v>0.0</v>
      </c>
      <c r="Z850" s="372">
        <v>0.0</v>
      </c>
    </row>
    <row r="851">
      <c r="Y851" s="372">
        <v>0.0</v>
      </c>
      <c r="Z851" s="372">
        <v>0.0</v>
      </c>
    </row>
    <row r="852">
      <c r="Y852" s="372">
        <v>0.0</v>
      </c>
      <c r="Z852" s="372">
        <v>0.0</v>
      </c>
    </row>
    <row r="853">
      <c r="Y853" s="372">
        <v>0.0</v>
      </c>
      <c r="Z853" s="372">
        <v>0.0</v>
      </c>
    </row>
    <row r="854">
      <c r="Y854" s="372">
        <v>0.0</v>
      </c>
      <c r="Z854" s="372">
        <v>0.0</v>
      </c>
    </row>
    <row r="855">
      <c r="Y855" s="372">
        <v>0.0</v>
      </c>
      <c r="Z855" s="372">
        <v>0.0</v>
      </c>
    </row>
    <row r="856">
      <c r="Y856" s="372">
        <v>0.0</v>
      </c>
      <c r="Z856" s="372">
        <v>0.0</v>
      </c>
    </row>
    <row r="857">
      <c r="Y857" s="372">
        <v>0.0</v>
      </c>
      <c r="Z857" s="372">
        <v>0.0</v>
      </c>
    </row>
    <row r="858">
      <c r="Y858" s="372">
        <v>0.0</v>
      </c>
      <c r="Z858" s="372">
        <v>0.0</v>
      </c>
    </row>
    <row r="859">
      <c r="Y859" s="372">
        <v>0.0</v>
      </c>
      <c r="Z859" s="372">
        <v>0.0</v>
      </c>
    </row>
    <row r="860">
      <c r="Y860" s="372">
        <v>0.0</v>
      </c>
      <c r="Z860" s="372">
        <v>0.0</v>
      </c>
    </row>
    <row r="861">
      <c r="Y861" s="372">
        <v>0.0</v>
      </c>
      <c r="Z861" s="372">
        <v>0.0</v>
      </c>
    </row>
    <row r="862">
      <c r="Y862" s="372">
        <v>0.0</v>
      </c>
      <c r="Z862" s="372">
        <v>0.0</v>
      </c>
    </row>
    <row r="863">
      <c r="Y863" s="372">
        <v>0.0</v>
      </c>
      <c r="Z863" s="372">
        <v>0.0</v>
      </c>
    </row>
    <row r="864">
      <c r="Y864" s="372">
        <v>0.0</v>
      </c>
      <c r="Z864" s="372">
        <v>0.0</v>
      </c>
    </row>
    <row r="865">
      <c r="Y865" s="372">
        <v>0.0</v>
      </c>
      <c r="Z865" s="372">
        <v>0.0</v>
      </c>
    </row>
    <row r="866">
      <c r="Y866" s="372">
        <v>0.0</v>
      </c>
      <c r="Z866" s="372">
        <v>0.0</v>
      </c>
    </row>
    <row r="867">
      <c r="Y867" s="372">
        <v>0.0</v>
      </c>
      <c r="Z867" s="372">
        <v>0.0</v>
      </c>
    </row>
    <row r="868">
      <c r="Y868" s="372">
        <v>0.0</v>
      </c>
      <c r="Z868" s="372">
        <v>0.0</v>
      </c>
    </row>
    <row r="869">
      <c r="Y869" s="372">
        <v>0.0</v>
      </c>
      <c r="Z869" s="372">
        <v>0.0</v>
      </c>
    </row>
    <row r="870">
      <c r="Y870" s="372">
        <v>0.0</v>
      </c>
      <c r="Z870" s="372">
        <v>0.0</v>
      </c>
    </row>
    <row r="871">
      <c r="Y871" s="372">
        <v>0.0</v>
      </c>
      <c r="Z871" s="372">
        <v>0.0</v>
      </c>
    </row>
    <row r="872">
      <c r="Y872" s="372">
        <v>0.0</v>
      </c>
      <c r="Z872" s="372">
        <v>0.0</v>
      </c>
    </row>
    <row r="873">
      <c r="Y873" s="372">
        <v>0.0</v>
      </c>
      <c r="Z873" s="372">
        <v>0.0</v>
      </c>
    </row>
    <row r="874">
      <c r="Y874" s="372">
        <v>0.0</v>
      </c>
      <c r="Z874" s="372">
        <v>0.0</v>
      </c>
    </row>
    <row r="875">
      <c r="Y875" s="372">
        <v>0.0</v>
      </c>
      <c r="Z875" s="372">
        <v>0.0</v>
      </c>
    </row>
    <row r="876">
      <c r="Y876" s="372">
        <v>0.0</v>
      </c>
      <c r="Z876" s="372">
        <v>0.0</v>
      </c>
    </row>
    <row r="877">
      <c r="Y877" s="372">
        <v>0.0</v>
      </c>
      <c r="Z877" s="372">
        <v>0.0</v>
      </c>
    </row>
    <row r="878">
      <c r="Y878" s="372">
        <v>0.0</v>
      </c>
      <c r="Z878" s="372">
        <v>0.0</v>
      </c>
    </row>
    <row r="879">
      <c r="Y879" s="372">
        <v>0.0</v>
      </c>
      <c r="Z879" s="372">
        <v>0.0</v>
      </c>
    </row>
    <row r="880">
      <c r="Y880" s="372">
        <v>0.0</v>
      </c>
      <c r="Z880" s="372">
        <v>0.0</v>
      </c>
    </row>
    <row r="881">
      <c r="Y881" s="372">
        <v>0.0</v>
      </c>
      <c r="Z881" s="372">
        <v>0.0</v>
      </c>
    </row>
    <row r="882">
      <c r="Y882" s="372">
        <v>0.0</v>
      </c>
      <c r="Z882" s="372">
        <v>0.0</v>
      </c>
    </row>
    <row r="883">
      <c r="Y883" s="372">
        <v>0.0</v>
      </c>
      <c r="Z883" s="372">
        <v>0.0</v>
      </c>
    </row>
    <row r="884">
      <c r="Y884" s="372">
        <v>0.0</v>
      </c>
      <c r="Z884" s="372">
        <v>0.0</v>
      </c>
    </row>
    <row r="885">
      <c r="Y885" s="372">
        <v>0.0</v>
      </c>
      <c r="Z885" s="372">
        <v>0.0</v>
      </c>
    </row>
    <row r="886">
      <c r="Y886" s="372">
        <v>0.0</v>
      </c>
      <c r="Z886" s="372">
        <v>0.0</v>
      </c>
    </row>
    <row r="887">
      <c r="Y887" s="372">
        <v>0.0</v>
      </c>
      <c r="Z887" s="372">
        <v>0.0</v>
      </c>
    </row>
    <row r="888">
      <c r="Y888" s="372">
        <v>0.0</v>
      </c>
      <c r="Z888" s="372">
        <v>0.0</v>
      </c>
    </row>
    <row r="889">
      <c r="Y889" s="372">
        <v>0.0</v>
      </c>
      <c r="Z889" s="372">
        <v>0.0</v>
      </c>
    </row>
    <row r="890">
      <c r="Y890" s="372">
        <v>0.0</v>
      </c>
      <c r="Z890" s="372">
        <v>0.0</v>
      </c>
    </row>
    <row r="891">
      <c r="Y891" s="372">
        <v>0.0</v>
      </c>
      <c r="Z891" s="372">
        <v>0.0</v>
      </c>
    </row>
    <row r="892">
      <c r="Y892" s="372">
        <v>0.0</v>
      </c>
      <c r="Z892" s="372">
        <v>0.0</v>
      </c>
    </row>
    <row r="893">
      <c r="Y893" s="372">
        <v>0.0</v>
      </c>
      <c r="Z893" s="372">
        <v>0.0</v>
      </c>
    </row>
    <row r="894">
      <c r="Y894" s="372">
        <v>0.0</v>
      </c>
      <c r="Z894" s="372">
        <v>0.0</v>
      </c>
    </row>
    <row r="895">
      <c r="Y895" s="372">
        <v>0.0</v>
      </c>
      <c r="Z895" s="372">
        <v>0.0</v>
      </c>
    </row>
    <row r="896">
      <c r="Y896" s="372">
        <v>0.0</v>
      </c>
      <c r="Z896" s="372">
        <v>0.0</v>
      </c>
    </row>
    <row r="897">
      <c r="Y897" s="372">
        <v>0.0</v>
      </c>
      <c r="Z897" s="372">
        <v>0.0</v>
      </c>
    </row>
    <row r="898">
      <c r="Y898" s="372">
        <v>0.0</v>
      </c>
      <c r="Z898" s="372">
        <v>0.0</v>
      </c>
    </row>
    <row r="899">
      <c r="Y899" s="372">
        <v>0.0</v>
      </c>
      <c r="Z899" s="372">
        <v>0.0</v>
      </c>
    </row>
    <row r="900">
      <c r="Y900" s="372">
        <v>0.0</v>
      </c>
      <c r="Z900" s="372">
        <v>0.0</v>
      </c>
    </row>
    <row r="901">
      <c r="Y901" s="372">
        <v>0.0</v>
      </c>
      <c r="Z901" s="372">
        <v>0.0</v>
      </c>
    </row>
    <row r="902">
      <c r="Y902" s="372">
        <v>0.0</v>
      </c>
      <c r="Z902" s="372">
        <v>0.0</v>
      </c>
    </row>
    <row r="903">
      <c r="Y903" s="372">
        <v>0.0</v>
      </c>
      <c r="Z903" s="372">
        <v>0.0</v>
      </c>
    </row>
    <row r="904">
      <c r="Y904" s="372">
        <v>0.0</v>
      </c>
      <c r="Z904" s="372">
        <v>0.0</v>
      </c>
    </row>
    <row r="905">
      <c r="Y905" s="372">
        <v>0.0</v>
      </c>
      <c r="Z905" s="372">
        <v>0.0</v>
      </c>
    </row>
    <row r="906">
      <c r="Y906" s="372">
        <v>0.0</v>
      </c>
      <c r="Z906" s="372">
        <v>0.0</v>
      </c>
    </row>
    <row r="907">
      <c r="Y907" s="372">
        <v>0.0</v>
      </c>
      <c r="Z907" s="372">
        <v>0.0</v>
      </c>
    </row>
    <row r="908">
      <c r="Y908" s="372">
        <v>0.0</v>
      </c>
      <c r="Z908" s="372">
        <v>0.0</v>
      </c>
    </row>
    <row r="909">
      <c r="Y909" s="372">
        <v>0.0</v>
      </c>
      <c r="Z909" s="372">
        <v>0.0</v>
      </c>
    </row>
    <row r="910">
      <c r="Y910" s="372">
        <v>0.0</v>
      </c>
      <c r="Z910" s="372">
        <v>0.0</v>
      </c>
    </row>
    <row r="911">
      <c r="Y911" s="372">
        <v>0.0</v>
      </c>
      <c r="Z911" s="372">
        <v>0.0</v>
      </c>
    </row>
    <row r="912">
      <c r="Y912" s="372">
        <v>0.0</v>
      </c>
      <c r="Z912" s="372">
        <v>0.0</v>
      </c>
    </row>
    <row r="913">
      <c r="Y913" s="372">
        <v>0.0</v>
      </c>
      <c r="Z913" s="372">
        <v>0.0</v>
      </c>
    </row>
    <row r="914">
      <c r="Y914" s="372">
        <v>0.0</v>
      </c>
      <c r="Z914" s="372">
        <v>0.0</v>
      </c>
    </row>
    <row r="915">
      <c r="Y915" s="372">
        <v>0.0</v>
      </c>
      <c r="Z915" s="372">
        <v>0.0</v>
      </c>
    </row>
    <row r="916">
      <c r="Y916" s="372">
        <v>0.0</v>
      </c>
      <c r="Z916" s="372">
        <v>0.0</v>
      </c>
    </row>
    <row r="917">
      <c r="Y917" s="372">
        <v>0.0</v>
      </c>
      <c r="Z917" s="372">
        <v>0.0</v>
      </c>
    </row>
    <row r="918">
      <c r="Y918" s="372">
        <v>0.0</v>
      </c>
      <c r="Z918" s="372">
        <v>0.0</v>
      </c>
    </row>
    <row r="919">
      <c r="Y919" s="372">
        <v>0.0</v>
      </c>
      <c r="Z919" s="372">
        <v>0.0</v>
      </c>
    </row>
    <row r="920">
      <c r="Y920" s="372">
        <v>0.0</v>
      </c>
      <c r="Z920" s="372">
        <v>0.0</v>
      </c>
    </row>
    <row r="921">
      <c r="Y921" s="372">
        <v>0.0</v>
      </c>
      <c r="Z921" s="372">
        <v>0.0</v>
      </c>
    </row>
    <row r="922">
      <c r="Y922" s="372">
        <v>0.0</v>
      </c>
      <c r="Z922" s="372">
        <v>0.0</v>
      </c>
    </row>
    <row r="923">
      <c r="Y923" s="372">
        <v>0.0</v>
      </c>
      <c r="Z923" s="372">
        <v>0.0</v>
      </c>
    </row>
    <row r="924">
      <c r="Y924" s="372">
        <v>0.0</v>
      </c>
      <c r="Z924" s="372">
        <v>0.0</v>
      </c>
    </row>
    <row r="925">
      <c r="Y925" s="372">
        <v>0.0</v>
      </c>
      <c r="Z925" s="372">
        <v>0.0</v>
      </c>
    </row>
    <row r="926">
      <c r="Y926" s="372">
        <v>0.0</v>
      </c>
      <c r="Z926" s="372">
        <v>0.0</v>
      </c>
    </row>
    <row r="927">
      <c r="Y927" s="372">
        <v>0.0</v>
      </c>
      <c r="Z927" s="372">
        <v>0.0</v>
      </c>
    </row>
    <row r="928">
      <c r="Y928" s="372">
        <v>0.0</v>
      </c>
      <c r="Z928" s="372">
        <v>0.0</v>
      </c>
    </row>
    <row r="929">
      <c r="Y929" s="372">
        <v>0.0</v>
      </c>
      <c r="Z929" s="372">
        <v>0.0</v>
      </c>
    </row>
    <row r="930">
      <c r="Y930" s="372">
        <v>0.0</v>
      </c>
      <c r="Z930" s="372">
        <v>0.0</v>
      </c>
    </row>
    <row r="931">
      <c r="Y931" s="372">
        <v>0.0</v>
      </c>
      <c r="Z931" s="372">
        <v>0.0</v>
      </c>
    </row>
    <row r="932">
      <c r="Y932" s="372">
        <v>0.0</v>
      </c>
      <c r="Z932" s="372">
        <v>0.0</v>
      </c>
    </row>
    <row r="933">
      <c r="Y933" s="372">
        <v>0.0</v>
      </c>
      <c r="Z933" s="372">
        <v>0.0</v>
      </c>
    </row>
    <row r="934">
      <c r="Y934" s="372">
        <v>0.0</v>
      </c>
      <c r="Z934" s="372">
        <v>0.0</v>
      </c>
    </row>
    <row r="935">
      <c r="Y935" s="372">
        <v>0.0</v>
      </c>
      <c r="Z935" s="372">
        <v>0.0</v>
      </c>
    </row>
    <row r="936">
      <c r="Y936" s="372">
        <v>0.0</v>
      </c>
      <c r="Z936" s="372">
        <v>0.0</v>
      </c>
    </row>
    <row r="937">
      <c r="Y937" s="372">
        <v>0.0</v>
      </c>
      <c r="Z937" s="372">
        <v>0.0</v>
      </c>
    </row>
    <row r="938">
      <c r="Y938" s="372">
        <v>0.0</v>
      </c>
      <c r="Z938" s="372">
        <v>0.0</v>
      </c>
    </row>
    <row r="939">
      <c r="Y939" s="372">
        <v>0.0</v>
      </c>
      <c r="Z939" s="372">
        <v>0.0</v>
      </c>
    </row>
    <row r="940">
      <c r="Y940" s="372">
        <v>0.0</v>
      </c>
      <c r="Z940" s="372">
        <v>0.0</v>
      </c>
    </row>
    <row r="941">
      <c r="Y941" s="372">
        <v>0.0</v>
      </c>
      <c r="Z941" s="372">
        <v>0.0</v>
      </c>
    </row>
    <row r="942">
      <c r="Y942" s="372">
        <v>0.0</v>
      </c>
      <c r="Z942" s="372">
        <v>0.0</v>
      </c>
    </row>
    <row r="943">
      <c r="Y943" s="372">
        <v>0.0</v>
      </c>
      <c r="Z943" s="372">
        <v>0.0</v>
      </c>
    </row>
    <row r="944">
      <c r="Y944" s="372">
        <v>0.0</v>
      </c>
      <c r="Z944" s="372">
        <v>0.0</v>
      </c>
    </row>
    <row r="945">
      <c r="Y945" s="372">
        <v>0.0</v>
      </c>
      <c r="Z945" s="372">
        <v>0.0</v>
      </c>
    </row>
    <row r="946">
      <c r="Y946" s="372">
        <v>0.0</v>
      </c>
      <c r="Z946" s="372">
        <v>0.0</v>
      </c>
    </row>
    <row r="947">
      <c r="Y947" s="372">
        <v>0.0</v>
      </c>
      <c r="Z947" s="372">
        <v>0.0</v>
      </c>
    </row>
    <row r="948">
      <c r="Y948" s="372">
        <v>0.0</v>
      </c>
      <c r="Z948" s="372">
        <v>0.0</v>
      </c>
    </row>
    <row r="949">
      <c r="Y949" s="372">
        <v>0.0</v>
      </c>
      <c r="Z949" s="372">
        <v>0.0</v>
      </c>
    </row>
    <row r="950">
      <c r="Y950" s="372">
        <v>0.0</v>
      </c>
      <c r="Z950" s="372">
        <v>0.0</v>
      </c>
    </row>
    <row r="951">
      <c r="Y951" s="372">
        <v>0.0</v>
      </c>
      <c r="Z951" s="372">
        <v>0.0</v>
      </c>
    </row>
    <row r="952">
      <c r="Y952" s="372">
        <v>0.0</v>
      </c>
      <c r="Z952" s="372">
        <v>0.0</v>
      </c>
    </row>
    <row r="953">
      <c r="Y953" s="372">
        <v>0.0</v>
      </c>
      <c r="Z953" s="372">
        <v>0.0</v>
      </c>
    </row>
    <row r="954">
      <c r="Y954" s="372">
        <v>0.0</v>
      </c>
      <c r="Z954" s="372">
        <v>0.0</v>
      </c>
    </row>
    <row r="955">
      <c r="Y955" s="372">
        <v>0.0</v>
      </c>
      <c r="Z955" s="372">
        <v>0.0</v>
      </c>
    </row>
    <row r="956">
      <c r="Y956" s="372">
        <v>0.0</v>
      </c>
      <c r="Z956" s="372">
        <v>0.0</v>
      </c>
    </row>
    <row r="957">
      <c r="Y957" s="372">
        <v>0.0</v>
      </c>
      <c r="Z957" s="372">
        <v>0.0</v>
      </c>
    </row>
    <row r="958">
      <c r="Y958" s="372">
        <v>0.0</v>
      </c>
      <c r="Z958" s="372">
        <v>0.0</v>
      </c>
    </row>
    <row r="959">
      <c r="Y959" s="372">
        <v>0.0</v>
      </c>
      <c r="Z959" s="372">
        <v>0.0</v>
      </c>
    </row>
    <row r="960">
      <c r="Y960" s="372">
        <v>0.0</v>
      </c>
      <c r="Z960" s="372">
        <v>0.0</v>
      </c>
    </row>
    <row r="961">
      <c r="Y961" s="372">
        <v>0.0</v>
      </c>
      <c r="Z961" s="372">
        <v>0.0</v>
      </c>
    </row>
    <row r="962">
      <c r="Y962" s="372">
        <v>0.0</v>
      </c>
      <c r="Z962" s="372">
        <v>0.0</v>
      </c>
    </row>
    <row r="963">
      <c r="Y963" s="372">
        <v>0.0</v>
      </c>
      <c r="Z963" s="372">
        <v>0.0</v>
      </c>
    </row>
    <row r="964">
      <c r="Y964" s="372">
        <v>0.0</v>
      </c>
      <c r="Z964" s="372">
        <v>0.0</v>
      </c>
    </row>
    <row r="965">
      <c r="Y965" s="372">
        <v>0.0</v>
      </c>
      <c r="Z965" s="372">
        <v>0.0</v>
      </c>
    </row>
    <row r="966">
      <c r="Y966" s="372">
        <v>0.0</v>
      </c>
      <c r="Z966" s="372">
        <v>0.0</v>
      </c>
    </row>
    <row r="967">
      <c r="Y967" s="372">
        <v>0.0</v>
      </c>
      <c r="Z967" s="372">
        <v>0.0</v>
      </c>
    </row>
    <row r="968">
      <c r="Y968" s="372">
        <v>0.0</v>
      </c>
      <c r="Z968" s="372">
        <v>0.0</v>
      </c>
    </row>
    <row r="969">
      <c r="Y969" s="372">
        <v>0.0</v>
      </c>
      <c r="Z969" s="372">
        <v>0.0</v>
      </c>
    </row>
    <row r="970">
      <c r="Y970" s="372">
        <v>0.0</v>
      </c>
      <c r="Z970" s="372">
        <v>0.0</v>
      </c>
    </row>
    <row r="971">
      <c r="Y971" s="372">
        <v>0.0</v>
      </c>
      <c r="Z971" s="372">
        <v>0.0</v>
      </c>
    </row>
    <row r="972">
      <c r="Y972" s="372">
        <v>0.0</v>
      </c>
      <c r="Z972" s="372">
        <v>0.0</v>
      </c>
    </row>
    <row r="973">
      <c r="Y973" s="372">
        <v>0.0</v>
      </c>
      <c r="Z973" s="372">
        <v>0.0</v>
      </c>
    </row>
    <row r="974">
      <c r="Y974" s="372">
        <v>0.0</v>
      </c>
      <c r="Z974" s="372">
        <v>0.0</v>
      </c>
    </row>
    <row r="975">
      <c r="Y975" s="372">
        <v>0.0</v>
      </c>
      <c r="Z975" s="372">
        <v>0.0</v>
      </c>
    </row>
    <row r="976">
      <c r="Y976" s="372">
        <v>0.0</v>
      </c>
      <c r="Z976" s="372">
        <v>0.0</v>
      </c>
    </row>
    <row r="977">
      <c r="Y977" s="372">
        <v>0.0</v>
      </c>
      <c r="Z977" s="372">
        <v>0.0</v>
      </c>
    </row>
    <row r="978">
      <c r="Y978" s="372">
        <v>0.0</v>
      </c>
      <c r="Z978" s="372">
        <v>0.0</v>
      </c>
    </row>
    <row r="979">
      <c r="Y979" s="372">
        <v>0.0</v>
      </c>
      <c r="Z979" s="372">
        <v>0.0</v>
      </c>
    </row>
    <row r="980">
      <c r="Y980" s="372">
        <v>0.0</v>
      </c>
      <c r="Z980" s="372">
        <v>0.0</v>
      </c>
    </row>
    <row r="981">
      <c r="Y981" s="372">
        <v>0.0</v>
      </c>
      <c r="Z981" s="372">
        <v>0.0</v>
      </c>
    </row>
    <row r="982">
      <c r="Y982" s="372">
        <v>0.0</v>
      </c>
      <c r="Z982" s="372">
        <v>0.0</v>
      </c>
    </row>
    <row r="983">
      <c r="Y983" s="372">
        <v>0.0</v>
      </c>
      <c r="Z983" s="372">
        <v>0.0</v>
      </c>
    </row>
    <row r="984">
      <c r="Y984" s="372">
        <v>0.0</v>
      </c>
      <c r="Z984" s="372">
        <v>0.0</v>
      </c>
    </row>
    <row r="985">
      <c r="Y985" s="372">
        <v>0.0</v>
      </c>
      <c r="Z985" s="372">
        <v>0.0</v>
      </c>
    </row>
    <row r="986">
      <c r="Y986" s="372">
        <v>0.0</v>
      </c>
      <c r="Z986" s="372">
        <v>0.0</v>
      </c>
    </row>
    <row r="987">
      <c r="Y987" s="372">
        <v>0.0</v>
      </c>
      <c r="Z987" s="372">
        <v>0.0</v>
      </c>
    </row>
    <row r="988">
      <c r="Y988" s="372">
        <v>0.0</v>
      </c>
      <c r="Z988" s="372">
        <v>0.0</v>
      </c>
    </row>
    <row r="989">
      <c r="Y989" s="372">
        <v>0.0</v>
      </c>
      <c r="Z989" s="372">
        <v>0.0</v>
      </c>
    </row>
    <row r="990">
      <c r="Y990" s="372">
        <v>0.0</v>
      </c>
      <c r="Z990" s="372">
        <v>0.0</v>
      </c>
    </row>
    <row r="991">
      <c r="Y991" s="372">
        <v>0.0</v>
      </c>
      <c r="Z991" s="372">
        <v>0.0</v>
      </c>
    </row>
    <row r="992">
      <c r="Y992" s="372">
        <v>0.0</v>
      </c>
      <c r="Z992" s="372">
        <v>0.0</v>
      </c>
    </row>
    <row r="993">
      <c r="Y993" s="372">
        <v>0.0</v>
      </c>
      <c r="Z993" s="372">
        <v>0.0</v>
      </c>
    </row>
    <row r="994">
      <c r="Y994" s="372">
        <v>0.0</v>
      </c>
      <c r="Z994" s="372">
        <v>0.0</v>
      </c>
    </row>
    <row r="995">
      <c r="Y995" s="372">
        <v>0.0</v>
      </c>
      <c r="Z995" s="372">
        <v>0.0</v>
      </c>
    </row>
    <row r="996">
      <c r="Y996" s="372">
        <v>0.0</v>
      </c>
      <c r="Z996" s="372">
        <v>0.0</v>
      </c>
    </row>
    <row r="997">
      <c r="Y997" s="372">
        <v>0.0</v>
      </c>
      <c r="Z997" s="372">
        <v>0.0</v>
      </c>
    </row>
    <row r="998">
      <c r="Y998" s="372">
        <v>0.0</v>
      </c>
      <c r="Z998" s="372">
        <v>0.0</v>
      </c>
    </row>
    <row r="999">
      <c r="Y999" s="372">
        <v>0.0</v>
      </c>
      <c r="Z999" s="372">
        <v>0.0</v>
      </c>
    </row>
    <row r="1000">
      <c r="Y1000" s="372">
        <v>0.0</v>
      </c>
      <c r="Z1000" s="372">
        <v>0.0</v>
      </c>
    </row>
    <row r="1001">
      <c r="Y1001" s="372">
        <v>0.0</v>
      </c>
      <c r="Z1001" s="372">
        <v>0.0</v>
      </c>
    </row>
    <row r="1002">
      <c r="Y1002" s="372">
        <v>0.0</v>
      </c>
      <c r="Z1002" s="372">
        <v>0.0</v>
      </c>
    </row>
    <row r="1003">
      <c r="Y1003" s="372">
        <v>0.0</v>
      </c>
      <c r="Z1003" s="372">
        <v>0.0</v>
      </c>
    </row>
    <row r="1004">
      <c r="Y1004" s="372">
        <v>0.0</v>
      </c>
      <c r="Z1004" s="372">
        <v>0.0</v>
      </c>
    </row>
    <row r="1005">
      <c r="Y1005" s="372">
        <v>0.0</v>
      </c>
      <c r="Z1005" s="372">
        <v>0.0</v>
      </c>
    </row>
    <row r="1006">
      <c r="Y1006" s="372">
        <v>0.0</v>
      </c>
      <c r="Z1006" s="372">
        <v>0.0</v>
      </c>
    </row>
    <row r="1007">
      <c r="Y1007" s="372">
        <v>0.0</v>
      </c>
      <c r="Z1007" s="372">
        <v>0.0</v>
      </c>
    </row>
    <row r="1008">
      <c r="Y1008" s="372">
        <v>0.0</v>
      </c>
      <c r="Z1008" s="372">
        <v>0.0</v>
      </c>
    </row>
    <row r="1009">
      <c r="Y1009" s="372">
        <v>0.0</v>
      </c>
      <c r="Z1009" s="372">
        <v>0.0</v>
      </c>
    </row>
    <row r="1010">
      <c r="Y1010" s="372">
        <v>0.0</v>
      </c>
      <c r="Z1010" s="372">
        <v>0.0</v>
      </c>
    </row>
    <row r="1011">
      <c r="Y1011" s="372">
        <v>0.0</v>
      </c>
      <c r="Z1011" s="372">
        <v>0.0</v>
      </c>
    </row>
    <row r="1012">
      <c r="Y1012" s="372">
        <v>0.0</v>
      </c>
      <c r="Z1012" s="372">
        <v>0.0</v>
      </c>
    </row>
    <row r="1013">
      <c r="Y1013" s="372">
        <v>0.0</v>
      </c>
      <c r="Z1013" s="372">
        <v>0.0</v>
      </c>
    </row>
    <row r="1014">
      <c r="Y1014" s="372">
        <v>0.0</v>
      </c>
      <c r="Z1014" s="372">
        <v>0.0</v>
      </c>
    </row>
    <row r="1015">
      <c r="Y1015" s="372">
        <v>0.0</v>
      </c>
      <c r="Z1015" s="372">
        <v>0.0</v>
      </c>
    </row>
    <row r="1016">
      <c r="Y1016" s="372">
        <v>0.0</v>
      </c>
      <c r="Z1016" s="372">
        <v>0.0</v>
      </c>
    </row>
    <row r="1017">
      <c r="Y1017" s="372">
        <v>0.0</v>
      </c>
      <c r="Z1017" s="372">
        <v>0.0</v>
      </c>
    </row>
    <row r="1018">
      <c r="Y1018" s="372">
        <v>0.0</v>
      </c>
      <c r="Z1018" s="372">
        <v>0.0</v>
      </c>
    </row>
    <row r="1019">
      <c r="Y1019" s="372">
        <v>0.0</v>
      </c>
      <c r="Z1019" s="372">
        <v>0.0</v>
      </c>
    </row>
    <row r="1020">
      <c r="Y1020" s="372">
        <v>0.0</v>
      </c>
      <c r="Z1020" s="372">
        <v>0.0</v>
      </c>
    </row>
    <row r="1021">
      <c r="Y1021" s="372">
        <v>0.0</v>
      </c>
      <c r="Z1021" s="372">
        <v>0.0</v>
      </c>
    </row>
    <row r="1022">
      <c r="Y1022" s="372">
        <v>0.0</v>
      </c>
      <c r="Z1022" s="372">
        <v>0.0</v>
      </c>
    </row>
    <row r="1023">
      <c r="Y1023" s="372">
        <v>0.0</v>
      </c>
      <c r="Z1023" s="372">
        <v>0.0</v>
      </c>
    </row>
    <row r="1024">
      <c r="Y1024" s="372">
        <v>0.0</v>
      </c>
      <c r="Z1024" s="372">
        <v>0.0</v>
      </c>
    </row>
    <row r="1025">
      <c r="Y1025" s="372">
        <v>0.0</v>
      </c>
      <c r="Z1025" s="372">
        <v>0.0</v>
      </c>
    </row>
    <row r="1026">
      <c r="Y1026" s="372">
        <v>0.0</v>
      </c>
      <c r="Z1026" s="372">
        <v>0.0</v>
      </c>
    </row>
    <row r="1027">
      <c r="Y1027" s="372">
        <v>0.0</v>
      </c>
      <c r="Z1027" s="372">
        <v>0.0</v>
      </c>
    </row>
    <row r="1028">
      <c r="Y1028" s="372">
        <v>0.0</v>
      </c>
      <c r="Z1028" s="372">
        <v>0.0</v>
      </c>
    </row>
    <row r="1029">
      <c r="Y1029" s="372">
        <v>0.0</v>
      </c>
      <c r="Z1029" s="372">
        <v>0.0</v>
      </c>
    </row>
    <row r="1030">
      <c r="Y1030" s="372">
        <v>0.0</v>
      </c>
      <c r="Z1030" s="372">
        <v>0.0</v>
      </c>
    </row>
    <row r="1031">
      <c r="Y1031" s="372">
        <v>0.0</v>
      </c>
      <c r="Z1031" s="372">
        <v>0.0</v>
      </c>
    </row>
    <row r="1032">
      <c r="Y1032" s="372">
        <v>0.0</v>
      </c>
      <c r="Z1032" s="372">
        <v>0.0</v>
      </c>
    </row>
    <row r="1033">
      <c r="Y1033" s="372">
        <v>0.0</v>
      </c>
      <c r="Z1033" s="372">
        <v>0.0</v>
      </c>
    </row>
    <row r="1034">
      <c r="Y1034" s="372">
        <v>0.0</v>
      </c>
      <c r="Z1034" s="372">
        <v>0.0</v>
      </c>
    </row>
    <row r="1035">
      <c r="Y1035" s="372">
        <v>0.0</v>
      </c>
      <c r="Z1035" s="372">
        <v>0.0</v>
      </c>
    </row>
    <row r="1036">
      <c r="Y1036" s="372">
        <v>0.0</v>
      </c>
      <c r="Z1036" s="372">
        <v>0.0</v>
      </c>
    </row>
    <row r="1037">
      <c r="Y1037" s="372">
        <v>0.0</v>
      </c>
      <c r="Z1037" s="372">
        <v>0.0</v>
      </c>
    </row>
    <row r="1038">
      <c r="Y1038" s="372">
        <v>0.0</v>
      </c>
      <c r="Z1038" s="372">
        <v>0.0</v>
      </c>
    </row>
    <row r="1039">
      <c r="Y1039" s="372">
        <v>0.0</v>
      </c>
      <c r="Z1039" s="372">
        <v>0.0</v>
      </c>
    </row>
    <row r="1040">
      <c r="Y1040" s="372">
        <v>0.0</v>
      </c>
      <c r="Z1040" s="372">
        <v>0.0</v>
      </c>
    </row>
    <row r="1041">
      <c r="Y1041" s="372">
        <v>0.0</v>
      </c>
      <c r="Z1041" s="372">
        <v>0.0</v>
      </c>
    </row>
    <row r="1042">
      <c r="Y1042" s="372">
        <v>0.0</v>
      </c>
      <c r="Z1042" s="372">
        <v>0.0</v>
      </c>
    </row>
    <row r="1043">
      <c r="Y1043" s="372">
        <v>0.0</v>
      </c>
      <c r="Z1043" s="372">
        <v>0.0</v>
      </c>
    </row>
    <row r="1044">
      <c r="Y1044" s="372">
        <v>0.0</v>
      </c>
      <c r="Z1044" s="372">
        <v>0.0</v>
      </c>
    </row>
    <row r="1045">
      <c r="Y1045" s="372">
        <v>0.0</v>
      </c>
      <c r="Z1045" s="372">
        <v>0.0</v>
      </c>
    </row>
    <row r="1046">
      <c r="Y1046" s="372">
        <v>0.0</v>
      </c>
      <c r="Z1046" s="372">
        <v>0.0</v>
      </c>
    </row>
    <row r="1047">
      <c r="Y1047" s="372">
        <v>0.0</v>
      </c>
      <c r="Z1047" s="372">
        <v>0.0</v>
      </c>
    </row>
    <row r="1048">
      <c r="Y1048" s="372">
        <v>0.0</v>
      </c>
      <c r="Z1048" s="372">
        <v>0.0</v>
      </c>
    </row>
    <row r="1049">
      <c r="Y1049" s="372">
        <v>0.0</v>
      </c>
      <c r="Z1049" s="372">
        <v>0.0</v>
      </c>
    </row>
    <row r="1050">
      <c r="Y1050" s="372">
        <v>0.0</v>
      </c>
      <c r="Z1050" s="372">
        <v>0.0</v>
      </c>
    </row>
    <row r="1051">
      <c r="Y1051" s="372">
        <v>0.0</v>
      </c>
      <c r="Z1051" s="372">
        <v>0.0</v>
      </c>
    </row>
    <row r="1052">
      <c r="Y1052" s="372">
        <v>0.0</v>
      </c>
      <c r="Z1052" s="372">
        <v>0.0</v>
      </c>
    </row>
    <row r="1053">
      <c r="Y1053" s="372">
        <v>0.0</v>
      </c>
      <c r="Z1053" s="372">
        <v>0.0</v>
      </c>
    </row>
    <row r="1054">
      <c r="Y1054" s="372">
        <v>0.0</v>
      </c>
      <c r="Z1054" s="372">
        <v>0.0</v>
      </c>
    </row>
    <row r="1055">
      <c r="Y1055" s="372">
        <v>0.0</v>
      </c>
      <c r="Z1055" s="372">
        <v>0.0</v>
      </c>
    </row>
    <row r="1056">
      <c r="Y1056" s="372">
        <v>0.0</v>
      </c>
      <c r="Z1056" s="372">
        <v>0.0</v>
      </c>
    </row>
    <row r="1057">
      <c r="Y1057" s="372">
        <v>0.0</v>
      </c>
      <c r="Z1057" s="372">
        <v>0.0</v>
      </c>
    </row>
    <row r="1058">
      <c r="Y1058" s="372">
        <v>0.0</v>
      </c>
      <c r="Z1058" s="372">
        <v>0.0</v>
      </c>
    </row>
    <row r="1059">
      <c r="Y1059" s="372">
        <v>0.0</v>
      </c>
      <c r="Z1059" s="372">
        <v>0.0</v>
      </c>
    </row>
    <row r="1060">
      <c r="Y1060" s="372">
        <v>0.0</v>
      </c>
      <c r="Z1060" s="372">
        <v>0.0</v>
      </c>
    </row>
    <row r="1061">
      <c r="Y1061" s="372">
        <v>0.0</v>
      </c>
      <c r="Z1061" s="372">
        <v>0.0</v>
      </c>
    </row>
    <row r="1062">
      <c r="Y1062" s="372">
        <v>0.0</v>
      </c>
      <c r="Z1062" s="372">
        <v>0.0</v>
      </c>
    </row>
    <row r="1063">
      <c r="Y1063" s="372">
        <v>0.0</v>
      </c>
      <c r="Z1063" s="372">
        <v>0.0</v>
      </c>
    </row>
    <row r="1064">
      <c r="Y1064" s="372">
        <v>0.0</v>
      </c>
      <c r="Z1064" s="372">
        <v>0.0</v>
      </c>
    </row>
    <row r="1065">
      <c r="Y1065" s="372">
        <v>0.0</v>
      </c>
      <c r="Z1065" s="372">
        <v>0.0</v>
      </c>
    </row>
    <row r="1066">
      <c r="Y1066" s="372">
        <v>0.0</v>
      </c>
      <c r="Z1066" s="372">
        <v>0.0</v>
      </c>
    </row>
    <row r="1067">
      <c r="Y1067" s="372">
        <v>0.0</v>
      </c>
      <c r="Z1067" s="372">
        <v>0.0</v>
      </c>
    </row>
    <row r="1068">
      <c r="Y1068" s="372">
        <v>0.0</v>
      </c>
      <c r="Z1068" s="372">
        <v>0.0</v>
      </c>
    </row>
    <row r="1069">
      <c r="Y1069" s="372">
        <v>0.0</v>
      </c>
      <c r="Z1069" s="372">
        <v>0.0</v>
      </c>
    </row>
    <row r="1070">
      <c r="Y1070" s="372">
        <v>0.0</v>
      </c>
      <c r="Z1070" s="372">
        <v>0.0</v>
      </c>
    </row>
    <row r="1071">
      <c r="Y1071" s="372">
        <v>0.0</v>
      </c>
      <c r="Z1071" s="372">
        <v>0.0</v>
      </c>
    </row>
    <row r="1072">
      <c r="Y1072" s="372">
        <v>0.0</v>
      </c>
      <c r="Z1072" s="372">
        <v>0.0</v>
      </c>
    </row>
    <row r="1073">
      <c r="Y1073" s="372">
        <v>0.0</v>
      </c>
      <c r="Z1073" s="372">
        <v>0.0</v>
      </c>
    </row>
    <row r="1074">
      <c r="Y1074" s="372">
        <v>0.0</v>
      </c>
      <c r="Z1074" s="372">
        <v>0.0</v>
      </c>
    </row>
    <row r="1075">
      <c r="Y1075" s="372">
        <v>0.0</v>
      </c>
      <c r="Z1075" s="372">
        <v>0.0</v>
      </c>
    </row>
    <row r="1076">
      <c r="Y1076" s="372">
        <v>0.0</v>
      </c>
      <c r="Z1076" s="372">
        <v>0.0</v>
      </c>
    </row>
    <row r="1077">
      <c r="Y1077" s="372">
        <v>0.0</v>
      </c>
      <c r="Z1077" s="372">
        <v>0.0</v>
      </c>
    </row>
    <row r="1078">
      <c r="Y1078" s="372">
        <v>0.0</v>
      </c>
      <c r="Z1078" s="372">
        <v>0.0</v>
      </c>
    </row>
    <row r="1079">
      <c r="Y1079" s="372">
        <v>0.0</v>
      </c>
      <c r="Z1079" s="372">
        <v>0.0</v>
      </c>
    </row>
    <row r="1080">
      <c r="Y1080" s="372">
        <v>0.0</v>
      </c>
      <c r="Z1080" s="372">
        <v>0.0</v>
      </c>
    </row>
    <row r="1081">
      <c r="Y1081" s="372">
        <v>0.0</v>
      </c>
      <c r="Z1081" s="372">
        <v>0.0</v>
      </c>
    </row>
    <row r="1082">
      <c r="Y1082" s="372">
        <v>0.0</v>
      </c>
      <c r="Z1082" s="372">
        <v>0.0</v>
      </c>
    </row>
    <row r="1083">
      <c r="Y1083" s="372">
        <v>0.0</v>
      </c>
      <c r="Z1083" s="372">
        <v>0.0</v>
      </c>
    </row>
    <row r="1084">
      <c r="Y1084" s="372">
        <v>0.0</v>
      </c>
      <c r="Z1084" s="372">
        <v>0.0</v>
      </c>
    </row>
    <row r="1085">
      <c r="Y1085" s="372">
        <v>0.0</v>
      </c>
      <c r="Z1085" s="372">
        <v>0.0</v>
      </c>
    </row>
    <row r="1086">
      <c r="Y1086" s="372">
        <v>0.0</v>
      </c>
      <c r="Z1086" s="372">
        <v>0.0</v>
      </c>
    </row>
    <row r="1087">
      <c r="Y1087" s="372">
        <v>0.0</v>
      </c>
      <c r="Z1087" s="372">
        <v>0.0</v>
      </c>
    </row>
    <row r="1088">
      <c r="Y1088" s="372">
        <v>0.0</v>
      </c>
      <c r="Z1088" s="372">
        <v>0.0</v>
      </c>
    </row>
    <row r="1089">
      <c r="Y1089" s="372">
        <v>0.0</v>
      </c>
      <c r="Z1089" s="372">
        <v>0.0</v>
      </c>
    </row>
    <row r="1090">
      <c r="Y1090" s="372">
        <v>0.0</v>
      </c>
      <c r="Z1090" s="372">
        <v>0.0</v>
      </c>
    </row>
    <row r="1091">
      <c r="Y1091" s="372">
        <v>0.0</v>
      </c>
      <c r="Z1091" s="372">
        <v>0.0</v>
      </c>
    </row>
    <row r="1092">
      <c r="Y1092" s="372">
        <v>0.0</v>
      </c>
      <c r="Z1092" s="372">
        <v>0.0</v>
      </c>
    </row>
    <row r="1093">
      <c r="Y1093" s="372">
        <v>0.0</v>
      </c>
      <c r="Z1093" s="372">
        <v>0.0</v>
      </c>
    </row>
    <row r="1094">
      <c r="Y1094" s="372">
        <v>0.0</v>
      </c>
      <c r="Z1094" s="372">
        <v>0.0</v>
      </c>
    </row>
    <row r="1095">
      <c r="Y1095" s="372">
        <v>0.0</v>
      </c>
      <c r="Z1095" s="372">
        <v>0.0</v>
      </c>
    </row>
    <row r="1096">
      <c r="Y1096" s="372">
        <v>0.0</v>
      </c>
      <c r="Z1096" s="372">
        <v>0.0</v>
      </c>
    </row>
    <row r="1097">
      <c r="Y1097" s="372">
        <v>0.0</v>
      </c>
      <c r="Z1097" s="372">
        <v>0.0</v>
      </c>
    </row>
    <row r="1098">
      <c r="Y1098" s="372">
        <v>0.0</v>
      </c>
      <c r="Z1098" s="372">
        <v>0.0</v>
      </c>
    </row>
    <row r="1099">
      <c r="Y1099" s="372">
        <v>0.0</v>
      </c>
      <c r="Z1099" s="372">
        <v>0.0</v>
      </c>
    </row>
    <row r="1100">
      <c r="Y1100" s="372">
        <v>0.0</v>
      </c>
      <c r="Z1100" s="372">
        <v>0.0</v>
      </c>
    </row>
    <row r="1101">
      <c r="Y1101" s="372">
        <v>0.0</v>
      </c>
      <c r="Z1101" s="372">
        <v>0.0</v>
      </c>
    </row>
    <row r="1102">
      <c r="Y1102" s="372">
        <v>0.0</v>
      </c>
      <c r="Z1102" s="372">
        <v>0.0</v>
      </c>
    </row>
    <row r="1103">
      <c r="Y1103" s="372">
        <v>0.0</v>
      </c>
      <c r="Z1103" s="372">
        <v>0.0</v>
      </c>
    </row>
    <row r="1104">
      <c r="Y1104" s="372">
        <v>0.0</v>
      </c>
      <c r="Z1104" s="372">
        <v>0.0</v>
      </c>
    </row>
    <row r="1105">
      <c r="Y1105" s="372">
        <v>0.0</v>
      </c>
      <c r="Z1105" s="372">
        <v>0.0</v>
      </c>
    </row>
    <row r="1106">
      <c r="Y1106" s="372">
        <v>0.0</v>
      </c>
      <c r="Z1106" s="372">
        <v>0.0</v>
      </c>
    </row>
    <row r="1107">
      <c r="Y1107" s="372">
        <v>0.0</v>
      </c>
      <c r="Z1107" s="372">
        <v>0.0</v>
      </c>
    </row>
    <row r="1108">
      <c r="Y1108" s="372">
        <v>0.0</v>
      </c>
      <c r="Z1108" s="372">
        <v>0.0</v>
      </c>
    </row>
    <row r="1109">
      <c r="Y1109" s="372">
        <v>0.0</v>
      </c>
      <c r="Z1109" s="372">
        <v>0.0</v>
      </c>
    </row>
    <row r="1110">
      <c r="Y1110" s="372">
        <v>0.0</v>
      </c>
      <c r="Z1110" s="372">
        <v>0.0</v>
      </c>
    </row>
    <row r="1111">
      <c r="Y1111" s="372">
        <v>0.0</v>
      </c>
      <c r="Z1111" s="372">
        <v>0.0</v>
      </c>
    </row>
    <row r="1112">
      <c r="Y1112" s="372">
        <v>0.0</v>
      </c>
      <c r="Z1112" s="372">
        <v>0.0</v>
      </c>
    </row>
    <row r="1113">
      <c r="Y1113" s="372">
        <v>0.0</v>
      </c>
      <c r="Z1113" s="372">
        <v>0.0</v>
      </c>
    </row>
    <row r="1114">
      <c r="Y1114" s="372">
        <v>0.0</v>
      </c>
      <c r="Z1114" s="372">
        <v>0.0</v>
      </c>
    </row>
    <row r="1115">
      <c r="Y1115" s="372">
        <v>0.0</v>
      </c>
      <c r="Z1115" s="372">
        <v>0.0</v>
      </c>
    </row>
    <row r="1116">
      <c r="Y1116" s="372">
        <v>0.0</v>
      </c>
      <c r="Z1116" s="372">
        <v>0.0</v>
      </c>
    </row>
    <row r="1117">
      <c r="Y1117" s="372">
        <v>0.0</v>
      </c>
      <c r="Z1117" s="372">
        <v>0.0</v>
      </c>
    </row>
    <row r="1118">
      <c r="Y1118" s="372">
        <v>0.0</v>
      </c>
      <c r="Z1118" s="372">
        <v>0.0</v>
      </c>
    </row>
    <row r="1119">
      <c r="Y1119" s="372">
        <v>0.0</v>
      </c>
      <c r="Z1119" s="372">
        <v>0.0</v>
      </c>
    </row>
    <row r="1120">
      <c r="Y1120" s="372">
        <v>0.0</v>
      </c>
      <c r="Z1120" s="372">
        <v>0.0</v>
      </c>
    </row>
    <row r="1121">
      <c r="Y1121" s="372">
        <v>0.0</v>
      </c>
      <c r="Z1121" s="372">
        <v>0.0</v>
      </c>
    </row>
    <row r="1122">
      <c r="Y1122" s="372">
        <v>0.0</v>
      </c>
      <c r="Z1122" s="372">
        <v>0.0</v>
      </c>
    </row>
    <row r="1123">
      <c r="Y1123" s="372">
        <v>0.0</v>
      </c>
      <c r="Z1123" s="372">
        <v>0.0</v>
      </c>
    </row>
    <row r="1124">
      <c r="Y1124" s="372">
        <v>0.0</v>
      </c>
      <c r="Z1124" s="372">
        <v>0.0</v>
      </c>
    </row>
    <row r="1125">
      <c r="Y1125" s="372">
        <v>0.0</v>
      </c>
      <c r="Z1125" s="372">
        <v>0.0</v>
      </c>
    </row>
    <row r="1126">
      <c r="Y1126" s="372">
        <v>0.0</v>
      </c>
      <c r="Z1126" s="372">
        <v>0.0</v>
      </c>
    </row>
    <row r="1127">
      <c r="Y1127" s="372">
        <v>0.0</v>
      </c>
      <c r="Z1127" s="372">
        <v>0.0</v>
      </c>
    </row>
    <row r="1128">
      <c r="Y1128" s="372">
        <v>0.0</v>
      </c>
      <c r="Z1128" s="372">
        <v>0.0</v>
      </c>
    </row>
    <row r="1129">
      <c r="Y1129" s="372">
        <v>0.0</v>
      </c>
      <c r="Z1129" s="372">
        <v>0.0</v>
      </c>
    </row>
    <row r="1130">
      <c r="Y1130" s="372">
        <v>0.0</v>
      </c>
      <c r="Z1130" s="372">
        <v>0.0</v>
      </c>
    </row>
    <row r="1131">
      <c r="Y1131" s="372">
        <v>0.0</v>
      </c>
      <c r="Z1131" s="372">
        <v>0.0</v>
      </c>
    </row>
    <row r="1132">
      <c r="Y1132" s="372">
        <v>0.0</v>
      </c>
      <c r="Z1132" s="372">
        <v>0.0</v>
      </c>
    </row>
    <row r="1133">
      <c r="Y1133" s="372">
        <v>0.0</v>
      </c>
      <c r="Z1133" s="372">
        <v>0.0</v>
      </c>
    </row>
    <row r="1134">
      <c r="Y1134" s="372">
        <v>0.0</v>
      </c>
      <c r="Z1134" s="372">
        <v>0.0</v>
      </c>
    </row>
    <row r="1135">
      <c r="Y1135" s="372">
        <v>0.0</v>
      </c>
      <c r="Z1135" s="372">
        <v>0.0</v>
      </c>
    </row>
    <row r="1136">
      <c r="Y1136" s="372">
        <v>0.0</v>
      </c>
      <c r="Z1136" s="372">
        <v>0.0</v>
      </c>
    </row>
    <row r="1137">
      <c r="Y1137" s="372">
        <v>0.0</v>
      </c>
      <c r="Z1137" s="372">
        <v>0.0</v>
      </c>
    </row>
    <row r="1138">
      <c r="Y1138" s="372">
        <v>0.0</v>
      </c>
      <c r="Z1138" s="372">
        <v>0.0</v>
      </c>
    </row>
    <row r="1139">
      <c r="Y1139" s="372">
        <v>0.0</v>
      </c>
      <c r="Z1139" s="372">
        <v>0.0</v>
      </c>
    </row>
    <row r="1140">
      <c r="Y1140" s="372">
        <v>0.0</v>
      </c>
      <c r="Z1140" s="372">
        <v>0.0</v>
      </c>
    </row>
    <row r="1141">
      <c r="Y1141" s="372">
        <v>0.0</v>
      </c>
      <c r="Z1141" s="372">
        <v>0.0</v>
      </c>
    </row>
    <row r="1142">
      <c r="Y1142" s="372">
        <v>0.0</v>
      </c>
      <c r="Z1142" s="372">
        <v>0.0</v>
      </c>
    </row>
    <row r="1143">
      <c r="Y1143" s="372">
        <v>0.0</v>
      </c>
      <c r="Z1143" s="372">
        <v>0.0</v>
      </c>
    </row>
    <row r="1144">
      <c r="Y1144" s="372">
        <v>0.0</v>
      </c>
      <c r="Z1144" s="372">
        <v>0.0</v>
      </c>
    </row>
    <row r="1145">
      <c r="Y1145" s="372">
        <v>0.0</v>
      </c>
      <c r="Z1145" s="372">
        <v>0.0</v>
      </c>
    </row>
    <row r="1146">
      <c r="Y1146" s="372">
        <v>0.0</v>
      </c>
      <c r="Z1146" s="372">
        <v>0.0</v>
      </c>
    </row>
    <row r="1147">
      <c r="Y1147" s="372">
        <v>0.0</v>
      </c>
      <c r="Z1147" s="372">
        <v>0.0</v>
      </c>
    </row>
    <row r="1148">
      <c r="Y1148" s="372">
        <v>0.0</v>
      </c>
      <c r="Z1148" s="372">
        <v>0.0</v>
      </c>
    </row>
    <row r="1149">
      <c r="Y1149" s="372">
        <v>0.0</v>
      </c>
      <c r="Z1149" s="372">
        <v>0.0</v>
      </c>
    </row>
    <row r="1150">
      <c r="Y1150" s="372">
        <v>0.0</v>
      </c>
      <c r="Z1150" s="372">
        <v>0.0</v>
      </c>
    </row>
    <row r="1151">
      <c r="Y1151" s="372">
        <v>0.0</v>
      </c>
      <c r="Z1151" s="372">
        <v>0.0</v>
      </c>
    </row>
    <row r="1152">
      <c r="Y1152" s="372">
        <v>0.0</v>
      </c>
      <c r="Z1152" s="372">
        <v>0.0</v>
      </c>
    </row>
    <row r="1153">
      <c r="Y1153" s="372">
        <v>0.0</v>
      </c>
      <c r="Z1153" s="372">
        <v>0.0</v>
      </c>
    </row>
    <row r="1154">
      <c r="Y1154" s="372">
        <v>0.0</v>
      </c>
      <c r="Z1154" s="372">
        <v>0.0</v>
      </c>
    </row>
    <row r="1155">
      <c r="Y1155" s="372">
        <v>0.0</v>
      </c>
      <c r="Z1155" s="372">
        <v>0.0</v>
      </c>
    </row>
    <row r="1156">
      <c r="Y1156" s="372">
        <v>0.0</v>
      </c>
      <c r="Z1156" s="372">
        <v>0.0</v>
      </c>
    </row>
    <row r="1157">
      <c r="Y1157" s="372">
        <v>0.0</v>
      </c>
      <c r="Z1157" s="372">
        <v>0.0</v>
      </c>
    </row>
    <row r="1158">
      <c r="Y1158" s="372">
        <v>0.0</v>
      </c>
      <c r="Z1158" s="372">
        <v>0.0</v>
      </c>
    </row>
    <row r="1159">
      <c r="Y1159" s="372">
        <v>0.0</v>
      </c>
      <c r="Z1159" s="372">
        <v>0.0</v>
      </c>
    </row>
    <row r="1160">
      <c r="Y1160" s="372">
        <v>0.0</v>
      </c>
      <c r="Z1160" s="372">
        <v>0.0</v>
      </c>
    </row>
    <row r="1161">
      <c r="Y1161" s="372">
        <v>0.0</v>
      </c>
      <c r="Z1161" s="372">
        <v>0.0</v>
      </c>
    </row>
    <row r="1162">
      <c r="Y1162" s="372">
        <v>0.0</v>
      </c>
      <c r="Z1162" s="372">
        <v>0.0</v>
      </c>
    </row>
    <row r="1163">
      <c r="Y1163" s="372">
        <v>0.0</v>
      </c>
      <c r="Z1163" s="372">
        <v>0.0</v>
      </c>
    </row>
    <row r="1164">
      <c r="Y1164" s="372">
        <v>0.0</v>
      </c>
      <c r="Z1164" s="372">
        <v>0.0</v>
      </c>
    </row>
    <row r="1165">
      <c r="Y1165" s="372">
        <v>0.0</v>
      </c>
      <c r="Z1165" s="372">
        <v>0.0</v>
      </c>
    </row>
    <row r="1166">
      <c r="Y1166" s="372">
        <v>0.0</v>
      </c>
      <c r="Z1166" s="372">
        <v>0.0</v>
      </c>
    </row>
    <row r="1167">
      <c r="Y1167" s="372">
        <v>0.0</v>
      </c>
      <c r="Z1167" s="372">
        <v>0.0</v>
      </c>
    </row>
    <row r="1168">
      <c r="Y1168" s="372">
        <v>0.0</v>
      </c>
      <c r="Z1168" s="372">
        <v>0.0</v>
      </c>
    </row>
    <row r="1169">
      <c r="Y1169" s="372">
        <v>0.0</v>
      </c>
      <c r="Z1169" s="372">
        <v>0.0</v>
      </c>
    </row>
    <row r="1170">
      <c r="Y1170" s="372">
        <v>0.0</v>
      </c>
      <c r="Z1170" s="372">
        <v>0.0</v>
      </c>
    </row>
    <row r="1171">
      <c r="Y1171" s="372">
        <v>0.0</v>
      </c>
      <c r="Z1171" s="372">
        <v>0.0</v>
      </c>
    </row>
    <row r="1172">
      <c r="Y1172" s="372">
        <v>0.0</v>
      </c>
      <c r="Z1172" s="372">
        <v>0.0</v>
      </c>
    </row>
    <row r="1173">
      <c r="Y1173" s="372">
        <v>0.0</v>
      </c>
      <c r="Z1173" s="372">
        <v>0.0</v>
      </c>
    </row>
    <row r="1174">
      <c r="Y1174" s="372">
        <v>0.0</v>
      </c>
      <c r="Z1174" s="372">
        <v>0.0</v>
      </c>
    </row>
    <row r="1175">
      <c r="Y1175" s="372">
        <v>0.0</v>
      </c>
      <c r="Z1175" s="372">
        <v>0.0</v>
      </c>
    </row>
    <row r="1176">
      <c r="Y1176" s="372">
        <v>0.0</v>
      </c>
      <c r="Z1176" s="372">
        <v>0.0</v>
      </c>
    </row>
    <row r="1177">
      <c r="Y1177" s="372">
        <v>0.0</v>
      </c>
      <c r="Z1177" s="372">
        <v>0.0</v>
      </c>
    </row>
    <row r="1178">
      <c r="Y1178" s="372">
        <v>0.0</v>
      </c>
      <c r="Z1178" s="372">
        <v>0.0</v>
      </c>
    </row>
    <row r="1179">
      <c r="Y1179" s="372">
        <v>0.0</v>
      </c>
      <c r="Z1179" s="372">
        <v>0.0</v>
      </c>
    </row>
    <row r="1180">
      <c r="Y1180" s="372">
        <v>0.0</v>
      </c>
      <c r="Z1180" s="372">
        <v>0.0</v>
      </c>
    </row>
    <row r="1181">
      <c r="Y1181" s="372">
        <v>0.0</v>
      </c>
      <c r="Z1181" s="372">
        <v>0.0</v>
      </c>
    </row>
    <row r="1182">
      <c r="Y1182" s="372">
        <v>0.0</v>
      </c>
      <c r="Z1182" s="372">
        <v>0.0</v>
      </c>
    </row>
    <row r="1183">
      <c r="Y1183" s="372">
        <v>0.0</v>
      </c>
      <c r="Z1183" s="372">
        <v>0.0</v>
      </c>
    </row>
    <row r="1184">
      <c r="Y1184" s="372">
        <v>0.0</v>
      </c>
      <c r="Z1184" s="372">
        <v>0.0</v>
      </c>
    </row>
    <row r="1185">
      <c r="Y1185" s="372">
        <v>0.0</v>
      </c>
      <c r="Z1185" s="372">
        <v>0.0</v>
      </c>
    </row>
    <row r="1186">
      <c r="Y1186" s="372">
        <v>0.0</v>
      </c>
      <c r="Z1186" s="372">
        <v>0.0</v>
      </c>
    </row>
    <row r="1187">
      <c r="Y1187" s="372">
        <v>0.0</v>
      </c>
      <c r="Z1187" s="372">
        <v>0.0</v>
      </c>
    </row>
    <row r="1188">
      <c r="Y1188" s="372">
        <v>0.0</v>
      </c>
      <c r="Z1188" s="372">
        <v>0.0</v>
      </c>
    </row>
    <row r="1189">
      <c r="Y1189" s="372">
        <v>0.0</v>
      </c>
      <c r="Z1189" s="372">
        <v>0.0</v>
      </c>
    </row>
    <row r="1190">
      <c r="Y1190" s="372">
        <v>0.0</v>
      </c>
      <c r="Z1190" s="372">
        <v>0.0</v>
      </c>
    </row>
    <row r="1191">
      <c r="Y1191" s="372">
        <v>0.0</v>
      </c>
      <c r="Z1191" s="372">
        <v>0.0</v>
      </c>
    </row>
    <row r="1192">
      <c r="Y1192" s="372">
        <v>0.0</v>
      </c>
      <c r="Z1192" s="372">
        <v>0.0</v>
      </c>
    </row>
    <row r="1193">
      <c r="Y1193" s="372">
        <v>0.0</v>
      </c>
      <c r="Z1193" s="372">
        <v>0.0</v>
      </c>
    </row>
    <row r="1194">
      <c r="Y1194" s="372">
        <v>0.0</v>
      </c>
      <c r="Z1194" s="372">
        <v>0.0</v>
      </c>
    </row>
    <row r="1195">
      <c r="Y1195" s="372">
        <v>0.0</v>
      </c>
      <c r="Z1195" s="372">
        <v>0.0</v>
      </c>
    </row>
    <row r="1196">
      <c r="Y1196" s="372">
        <v>0.0</v>
      </c>
      <c r="Z1196" s="372">
        <v>0.0</v>
      </c>
    </row>
    <row r="1197">
      <c r="Y1197" s="372">
        <v>0.0</v>
      </c>
      <c r="Z1197" s="372">
        <v>0.0</v>
      </c>
    </row>
    <row r="1198">
      <c r="Y1198" s="372">
        <v>0.0</v>
      </c>
      <c r="Z1198" s="372">
        <v>0.0</v>
      </c>
    </row>
    <row r="1199">
      <c r="Y1199" s="372">
        <v>0.0</v>
      </c>
      <c r="Z1199" s="372">
        <v>0.0</v>
      </c>
    </row>
    <row r="1200">
      <c r="Y1200" s="372">
        <v>0.0</v>
      </c>
      <c r="Z1200" s="372">
        <v>0.0</v>
      </c>
    </row>
    <row r="1201">
      <c r="Y1201" s="372">
        <v>0.0</v>
      </c>
      <c r="Z1201" s="372">
        <v>0.0</v>
      </c>
    </row>
    <row r="1202">
      <c r="Y1202" s="372">
        <v>0.0</v>
      </c>
      <c r="Z1202" s="372">
        <v>0.0</v>
      </c>
    </row>
    <row r="1203">
      <c r="Y1203" s="372">
        <v>0.0</v>
      </c>
      <c r="Z1203" s="372">
        <v>0.0</v>
      </c>
    </row>
    <row r="1204">
      <c r="Y1204" s="372">
        <v>0.0</v>
      </c>
      <c r="Z1204" s="372">
        <v>0.0</v>
      </c>
    </row>
    <row r="1205">
      <c r="Y1205" s="372">
        <v>0.0</v>
      </c>
      <c r="Z1205" s="372">
        <v>0.0</v>
      </c>
    </row>
    <row r="1206">
      <c r="Y1206" s="372">
        <v>0.0</v>
      </c>
      <c r="Z1206" s="372">
        <v>0.0</v>
      </c>
    </row>
    <row r="1207">
      <c r="Y1207" s="372">
        <v>0.0</v>
      </c>
      <c r="Z1207" s="372">
        <v>0.0</v>
      </c>
    </row>
    <row r="1208">
      <c r="Y1208" s="372">
        <v>0.0</v>
      </c>
      <c r="Z1208" s="372">
        <v>0.0</v>
      </c>
    </row>
    <row r="1209">
      <c r="Y1209" s="372">
        <v>0.0</v>
      </c>
      <c r="Z1209" s="372">
        <v>0.0</v>
      </c>
    </row>
    <row r="1210">
      <c r="Y1210" s="372">
        <v>0.0</v>
      </c>
      <c r="Z1210" s="372">
        <v>0.0</v>
      </c>
    </row>
    <row r="1211">
      <c r="Y1211" s="372">
        <v>0.0</v>
      </c>
      <c r="Z1211" s="372">
        <v>0.0</v>
      </c>
    </row>
    <row r="1212">
      <c r="Y1212" s="372">
        <v>0.0</v>
      </c>
      <c r="Z1212" s="372">
        <v>0.0</v>
      </c>
    </row>
    <row r="1213">
      <c r="Y1213" s="372">
        <v>0.0</v>
      </c>
      <c r="Z1213" s="372">
        <v>0.0</v>
      </c>
    </row>
    <row r="1214">
      <c r="Y1214" s="372">
        <v>0.0</v>
      </c>
      <c r="Z1214" s="372">
        <v>0.0</v>
      </c>
    </row>
    <row r="1215">
      <c r="Y1215" s="372">
        <v>0.0</v>
      </c>
      <c r="Z1215" s="372">
        <v>0.0</v>
      </c>
    </row>
    <row r="1216">
      <c r="Y1216" s="372">
        <v>0.0</v>
      </c>
      <c r="Z1216" s="372">
        <v>0.0</v>
      </c>
    </row>
    <row r="1217">
      <c r="Y1217" s="372">
        <v>0.0</v>
      </c>
      <c r="Z1217" s="372">
        <v>0.0</v>
      </c>
    </row>
    <row r="1218">
      <c r="Y1218" s="372">
        <v>0.0</v>
      </c>
      <c r="Z1218" s="372">
        <v>0.0</v>
      </c>
    </row>
    <row r="1219">
      <c r="Y1219" s="372">
        <v>0.0</v>
      </c>
      <c r="Z1219" s="372">
        <v>0.0</v>
      </c>
    </row>
    <row r="1220">
      <c r="Y1220" s="372">
        <v>0.0</v>
      </c>
      <c r="Z1220" s="372">
        <v>0.0</v>
      </c>
    </row>
    <row r="1221">
      <c r="Y1221" s="372">
        <v>0.0</v>
      </c>
      <c r="Z1221" s="372">
        <v>0.0</v>
      </c>
    </row>
    <row r="1222">
      <c r="Y1222" s="372">
        <v>0.0</v>
      </c>
      <c r="Z1222" s="372">
        <v>0.0</v>
      </c>
    </row>
    <row r="1223">
      <c r="Y1223" s="372">
        <v>0.0</v>
      </c>
      <c r="Z1223" s="372">
        <v>0.0</v>
      </c>
    </row>
    <row r="1224">
      <c r="Y1224" s="372">
        <v>0.0</v>
      </c>
      <c r="Z1224" s="372">
        <v>0.0</v>
      </c>
    </row>
    <row r="1225">
      <c r="Y1225" s="372">
        <v>0.0</v>
      </c>
      <c r="Z1225" s="372">
        <v>0.0</v>
      </c>
    </row>
    <row r="1226">
      <c r="Y1226" s="372">
        <v>0.0</v>
      </c>
      <c r="Z1226" s="372">
        <v>0.0</v>
      </c>
    </row>
    <row r="1227">
      <c r="Y1227" s="372">
        <v>0.0</v>
      </c>
      <c r="Z1227" s="372">
        <v>0.0</v>
      </c>
    </row>
    <row r="1228">
      <c r="Y1228" s="372">
        <v>0.0</v>
      </c>
      <c r="Z1228" s="372">
        <v>0.0</v>
      </c>
    </row>
    <row r="1229">
      <c r="Y1229" s="372">
        <v>0.0</v>
      </c>
      <c r="Z1229" s="372">
        <v>0.0</v>
      </c>
    </row>
    <row r="1230">
      <c r="Y1230" s="372">
        <v>0.0</v>
      </c>
      <c r="Z1230" s="372">
        <v>0.0</v>
      </c>
    </row>
    <row r="1231">
      <c r="Y1231" s="372">
        <v>0.0</v>
      </c>
      <c r="Z1231" s="372">
        <v>0.0</v>
      </c>
    </row>
    <row r="1232">
      <c r="Y1232" s="372">
        <v>0.0</v>
      </c>
      <c r="Z1232" s="372">
        <v>0.0</v>
      </c>
    </row>
    <row r="1233">
      <c r="Y1233" s="372">
        <v>0.0</v>
      </c>
      <c r="Z1233" s="372">
        <v>0.0</v>
      </c>
    </row>
    <row r="1234">
      <c r="Y1234" s="372">
        <v>0.0</v>
      </c>
      <c r="Z1234" s="372">
        <v>0.0</v>
      </c>
    </row>
    <row r="1235">
      <c r="Y1235" s="372">
        <v>0.0</v>
      </c>
      <c r="Z1235" s="372">
        <v>0.0</v>
      </c>
    </row>
    <row r="1236">
      <c r="Y1236" s="372">
        <v>0.0</v>
      </c>
      <c r="Z1236" s="372">
        <v>0.0</v>
      </c>
    </row>
    <row r="1237">
      <c r="Y1237" s="372">
        <v>0.0</v>
      </c>
      <c r="Z1237" s="372">
        <v>0.0</v>
      </c>
    </row>
    <row r="1238">
      <c r="Y1238" s="372">
        <v>0.0</v>
      </c>
      <c r="Z1238" s="372">
        <v>0.0</v>
      </c>
    </row>
    <row r="1239">
      <c r="Y1239" s="372">
        <v>0.0</v>
      </c>
      <c r="Z1239" s="372">
        <v>0.0</v>
      </c>
    </row>
    <row r="1240">
      <c r="Y1240" s="372">
        <v>0.0</v>
      </c>
      <c r="Z1240" s="372">
        <v>0.0</v>
      </c>
    </row>
    <row r="1241">
      <c r="Y1241" s="372">
        <v>0.0</v>
      </c>
      <c r="Z1241" s="372">
        <v>0.0</v>
      </c>
    </row>
    <row r="1242">
      <c r="Y1242" s="372">
        <v>0.0</v>
      </c>
      <c r="Z1242" s="372">
        <v>0.0</v>
      </c>
    </row>
    <row r="1243">
      <c r="Y1243" s="372">
        <v>0.0</v>
      </c>
      <c r="Z1243" s="372">
        <v>0.0</v>
      </c>
    </row>
    <row r="1244">
      <c r="Y1244" s="372">
        <v>0.0</v>
      </c>
      <c r="Z1244" s="372">
        <v>0.0</v>
      </c>
    </row>
    <row r="1245">
      <c r="Y1245" s="372">
        <v>0.0</v>
      </c>
      <c r="Z1245" s="372">
        <v>0.0</v>
      </c>
    </row>
    <row r="1246">
      <c r="Y1246" s="372">
        <v>0.0</v>
      </c>
      <c r="Z1246" s="372">
        <v>0.0</v>
      </c>
    </row>
    <row r="1247">
      <c r="Y1247" s="372">
        <v>0.0</v>
      </c>
      <c r="Z1247" s="372">
        <v>0.0</v>
      </c>
    </row>
    <row r="1248">
      <c r="Y1248" s="372">
        <v>0.0</v>
      </c>
      <c r="Z1248" s="372">
        <v>0.0</v>
      </c>
    </row>
    <row r="1249">
      <c r="Y1249" s="372">
        <v>0.0</v>
      </c>
      <c r="Z1249" s="372">
        <v>0.0</v>
      </c>
    </row>
    <row r="1250">
      <c r="Y1250" s="372">
        <v>0.0</v>
      </c>
      <c r="Z1250" s="372">
        <v>0.0</v>
      </c>
    </row>
    <row r="1251">
      <c r="Y1251" s="372">
        <v>0.0</v>
      </c>
      <c r="Z1251" s="372">
        <v>0.0</v>
      </c>
    </row>
    <row r="1252">
      <c r="Y1252" s="372">
        <v>0.0</v>
      </c>
      <c r="Z1252" s="372">
        <v>0.0</v>
      </c>
    </row>
    <row r="1253">
      <c r="Y1253" s="372">
        <v>0.0</v>
      </c>
      <c r="Z1253" s="372">
        <v>0.0</v>
      </c>
    </row>
    <row r="1254">
      <c r="Y1254" s="372">
        <v>0.0</v>
      </c>
      <c r="Z1254" s="372">
        <v>0.0</v>
      </c>
    </row>
    <row r="1255">
      <c r="Y1255" s="372">
        <v>0.0</v>
      </c>
      <c r="Z1255" s="372">
        <v>0.0</v>
      </c>
    </row>
    <row r="1256">
      <c r="Y1256" s="372">
        <v>0.0</v>
      </c>
      <c r="Z1256" s="372">
        <v>0.0</v>
      </c>
    </row>
    <row r="1257">
      <c r="Y1257" s="372">
        <v>0.0</v>
      </c>
      <c r="Z1257" s="372">
        <v>0.0</v>
      </c>
    </row>
    <row r="1258">
      <c r="Y1258" s="372">
        <v>0.0</v>
      </c>
      <c r="Z1258" s="372">
        <v>0.0</v>
      </c>
    </row>
    <row r="1259">
      <c r="Y1259" s="372">
        <v>0.0</v>
      </c>
      <c r="Z1259" s="372">
        <v>0.0</v>
      </c>
    </row>
    <row r="1260">
      <c r="Y1260" s="372">
        <v>0.0</v>
      </c>
      <c r="Z1260" s="372">
        <v>0.0</v>
      </c>
    </row>
    <row r="1261">
      <c r="Y1261" s="372">
        <v>0.0</v>
      </c>
      <c r="Z1261" s="372">
        <v>0.0</v>
      </c>
    </row>
    <row r="1262">
      <c r="Y1262" s="372">
        <v>0.0</v>
      </c>
      <c r="Z1262" s="372">
        <v>0.0</v>
      </c>
    </row>
    <row r="1263">
      <c r="Y1263" s="372">
        <v>0.0</v>
      </c>
      <c r="Z1263" s="372">
        <v>0.0</v>
      </c>
    </row>
    <row r="1264">
      <c r="Y1264" s="372">
        <v>0.0</v>
      </c>
      <c r="Z1264" s="372">
        <v>0.0</v>
      </c>
    </row>
    <row r="1265">
      <c r="Y1265" s="372">
        <v>0.0</v>
      </c>
      <c r="Z1265" s="372">
        <v>0.0</v>
      </c>
    </row>
    <row r="1266">
      <c r="Y1266" s="372">
        <v>0.0</v>
      </c>
      <c r="Z1266" s="372">
        <v>0.0</v>
      </c>
    </row>
    <row r="1267">
      <c r="Y1267" s="372">
        <v>0.0</v>
      </c>
      <c r="Z1267" s="372">
        <v>0.0</v>
      </c>
    </row>
    <row r="1268">
      <c r="Y1268" s="372">
        <v>0.0</v>
      </c>
      <c r="Z1268" s="372">
        <v>0.0</v>
      </c>
    </row>
    <row r="1269">
      <c r="Y1269" s="372">
        <v>0.0</v>
      </c>
      <c r="Z1269" s="372">
        <v>0.0</v>
      </c>
    </row>
    <row r="1270">
      <c r="Y1270" s="372">
        <v>0.0</v>
      </c>
      <c r="Z1270" s="372">
        <v>0.0</v>
      </c>
    </row>
    <row r="1271">
      <c r="Y1271" s="372">
        <v>0.0</v>
      </c>
      <c r="Z1271" s="372">
        <v>0.0</v>
      </c>
    </row>
    <row r="1272">
      <c r="Y1272" s="372">
        <v>0.0</v>
      </c>
      <c r="Z1272" s="372">
        <v>0.0</v>
      </c>
    </row>
    <row r="1273">
      <c r="Y1273" s="372">
        <v>0.0</v>
      </c>
      <c r="Z1273" s="372">
        <v>0.0</v>
      </c>
    </row>
    <row r="1274">
      <c r="Y1274" s="372">
        <v>0.0</v>
      </c>
      <c r="Z1274" s="372">
        <v>0.0</v>
      </c>
    </row>
    <row r="1275">
      <c r="Y1275" s="372">
        <v>0.0</v>
      </c>
      <c r="Z1275" s="372">
        <v>0.0</v>
      </c>
    </row>
    <row r="1276">
      <c r="Y1276" s="372">
        <v>0.0</v>
      </c>
      <c r="Z1276" s="372">
        <v>0.0</v>
      </c>
    </row>
    <row r="1277">
      <c r="Y1277" s="372">
        <v>0.0</v>
      </c>
      <c r="Z1277" s="372">
        <v>0.0</v>
      </c>
    </row>
    <row r="1278">
      <c r="Y1278" s="372">
        <v>0.0</v>
      </c>
      <c r="Z1278" s="372">
        <v>0.0</v>
      </c>
    </row>
    <row r="1279">
      <c r="Y1279" s="372">
        <v>0.0</v>
      </c>
      <c r="Z1279" s="372">
        <v>0.0</v>
      </c>
    </row>
    <row r="1280">
      <c r="Y1280" s="372">
        <v>0.0</v>
      </c>
      <c r="Z1280" s="372">
        <v>0.0</v>
      </c>
    </row>
    <row r="1281">
      <c r="Y1281" s="372">
        <v>0.0</v>
      </c>
      <c r="Z1281" s="372">
        <v>0.0</v>
      </c>
    </row>
    <row r="1282">
      <c r="Y1282" s="372">
        <v>0.0</v>
      </c>
      <c r="Z1282" s="372">
        <v>0.0</v>
      </c>
    </row>
    <row r="1283">
      <c r="Y1283" s="372">
        <v>0.0</v>
      </c>
      <c r="Z1283" s="372">
        <v>0.0</v>
      </c>
    </row>
    <row r="1284">
      <c r="Y1284" s="372">
        <v>0.0</v>
      </c>
      <c r="Z1284" s="372">
        <v>0.0</v>
      </c>
    </row>
    <row r="1285">
      <c r="Y1285" s="372">
        <v>0.0</v>
      </c>
      <c r="Z1285" s="372">
        <v>0.0</v>
      </c>
    </row>
    <row r="1286">
      <c r="Y1286" s="372">
        <v>0.0</v>
      </c>
      <c r="Z1286" s="372">
        <v>0.0</v>
      </c>
    </row>
    <row r="1287">
      <c r="Y1287" s="372">
        <v>0.0</v>
      </c>
      <c r="Z1287" s="372">
        <v>0.0</v>
      </c>
    </row>
    <row r="1288">
      <c r="Y1288" s="372">
        <v>0.0</v>
      </c>
      <c r="Z1288" s="372">
        <v>0.0</v>
      </c>
    </row>
    <row r="1289">
      <c r="Y1289" s="372">
        <v>0.0</v>
      </c>
      <c r="Z1289" s="372">
        <v>0.0</v>
      </c>
    </row>
    <row r="1290">
      <c r="Y1290" s="372">
        <v>0.0</v>
      </c>
      <c r="Z1290" s="372">
        <v>0.0</v>
      </c>
    </row>
    <row r="1291">
      <c r="Y1291" s="372">
        <v>0.0</v>
      </c>
      <c r="Z1291" s="372">
        <v>0.0</v>
      </c>
    </row>
    <row r="1292">
      <c r="Y1292" s="372">
        <v>0.0</v>
      </c>
      <c r="Z1292" s="372">
        <v>0.0</v>
      </c>
    </row>
    <row r="1293">
      <c r="Y1293" s="372">
        <v>0.0</v>
      </c>
      <c r="Z1293" s="372">
        <v>0.0</v>
      </c>
    </row>
    <row r="1294">
      <c r="Y1294" s="372">
        <v>0.0</v>
      </c>
      <c r="Z1294" s="372">
        <v>0.0</v>
      </c>
    </row>
    <row r="1295">
      <c r="Y1295" s="372">
        <v>0.0</v>
      </c>
      <c r="Z1295" s="372">
        <v>0.0</v>
      </c>
    </row>
    <row r="1296">
      <c r="Y1296" s="372">
        <v>0.0</v>
      </c>
      <c r="Z1296" s="372">
        <v>0.0</v>
      </c>
    </row>
    <row r="1297">
      <c r="Y1297" s="372">
        <v>0.0</v>
      </c>
      <c r="Z1297" s="372">
        <v>0.0</v>
      </c>
    </row>
    <row r="1298">
      <c r="Y1298" s="372">
        <v>0.0</v>
      </c>
      <c r="Z1298" s="372">
        <v>0.0</v>
      </c>
    </row>
    <row r="1299">
      <c r="Y1299" s="372">
        <v>0.0</v>
      </c>
      <c r="Z1299" s="372">
        <v>0.0</v>
      </c>
    </row>
    <row r="1300">
      <c r="Y1300" s="372">
        <v>0.0</v>
      </c>
      <c r="Z1300" s="372">
        <v>0.0</v>
      </c>
    </row>
    <row r="1301">
      <c r="Y1301" s="372">
        <v>0.0</v>
      </c>
      <c r="Z1301" s="372">
        <v>0.0</v>
      </c>
    </row>
    <row r="1302">
      <c r="Y1302" s="372">
        <v>0.0</v>
      </c>
      <c r="Z1302" s="372">
        <v>0.0</v>
      </c>
    </row>
    <row r="1303">
      <c r="Y1303" s="372">
        <v>0.0</v>
      </c>
      <c r="Z1303" s="372">
        <v>0.0</v>
      </c>
    </row>
    <row r="1304">
      <c r="Y1304" s="372">
        <v>0.0</v>
      </c>
      <c r="Z1304" s="372">
        <v>0.0</v>
      </c>
    </row>
    <row r="1305">
      <c r="Y1305" s="372">
        <v>0.0</v>
      </c>
      <c r="Z1305" s="372">
        <v>0.0</v>
      </c>
    </row>
    <row r="1306">
      <c r="Y1306" s="372">
        <v>0.0</v>
      </c>
      <c r="Z1306" s="372">
        <v>0.0</v>
      </c>
    </row>
    <row r="1307">
      <c r="Y1307" s="372">
        <v>0.0</v>
      </c>
      <c r="Z1307" s="372">
        <v>0.0</v>
      </c>
    </row>
    <row r="1308">
      <c r="Y1308" s="372">
        <v>0.0</v>
      </c>
      <c r="Z1308" s="372">
        <v>0.0</v>
      </c>
    </row>
    <row r="1309">
      <c r="Y1309" s="372">
        <v>0.0</v>
      </c>
      <c r="Z1309" s="372">
        <v>0.0</v>
      </c>
    </row>
    <row r="1310">
      <c r="Y1310" s="372">
        <v>0.0</v>
      </c>
      <c r="Z1310" s="372">
        <v>0.0</v>
      </c>
    </row>
    <row r="1311">
      <c r="Y1311" s="372">
        <v>0.0</v>
      </c>
      <c r="Z1311" s="372">
        <v>0.0</v>
      </c>
    </row>
    <row r="1312">
      <c r="Y1312" s="372">
        <v>0.0</v>
      </c>
      <c r="Z1312" s="372">
        <v>0.0</v>
      </c>
    </row>
    <row r="1313">
      <c r="Y1313" s="372">
        <v>0.0</v>
      </c>
      <c r="Z1313" s="372">
        <v>0.0</v>
      </c>
    </row>
    <row r="1314">
      <c r="Y1314" s="372">
        <v>0.0</v>
      </c>
      <c r="Z1314" s="372">
        <v>0.0</v>
      </c>
    </row>
    <row r="1315">
      <c r="Y1315" s="372">
        <v>0.0</v>
      </c>
      <c r="Z1315" s="372">
        <v>0.0</v>
      </c>
    </row>
    <row r="1316">
      <c r="Y1316" s="372">
        <v>0.0</v>
      </c>
      <c r="Z1316" s="372">
        <v>0.0</v>
      </c>
    </row>
    <row r="1317">
      <c r="Y1317" s="372">
        <v>0.0</v>
      </c>
      <c r="Z1317" s="372">
        <v>0.0</v>
      </c>
    </row>
    <row r="1318">
      <c r="Y1318" s="372">
        <v>0.0</v>
      </c>
      <c r="Z1318" s="372">
        <v>0.0</v>
      </c>
    </row>
    <row r="1319">
      <c r="Y1319" s="372">
        <v>0.0</v>
      </c>
      <c r="Z1319" s="372">
        <v>0.0</v>
      </c>
    </row>
    <row r="1320">
      <c r="Y1320" s="372">
        <v>0.0</v>
      </c>
      <c r="Z1320" s="372">
        <v>0.0</v>
      </c>
    </row>
    <row r="1321">
      <c r="Y1321" s="372">
        <v>0.0</v>
      </c>
      <c r="Z1321" s="372">
        <v>0.0</v>
      </c>
    </row>
    <row r="1322">
      <c r="Y1322" s="372">
        <v>0.0</v>
      </c>
      <c r="Z1322" s="372">
        <v>0.0</v>
      </c>
    </row>
    <row r="1323">
      <c r="Y1323" s="372">
        <v>0.0</v>
      </c>
      <c r="Z1323" s="372">
        <v>0.0</v>
      </c>
    </row>
    <row r="1324">
      <c r="Y1324" s="372">
        <v>0.0</v>
      </c>
      <c r="Z1324" s="372">
        <v>0.0</v>
      </c>
    </row>
    <row r="1325">
      <c r="Y1325" s="372">
        <v>0.0</v>
      </c>
      <c r="Z1325" s="372">
        <v>0.0</v>
      </c>
    </row>
    <row r="1326">
      <c r="Y1326" s="372">
        <v>0.0</v>
      </c>
      <c r="Z1326" s="372">
        <v>0.0</v>
      </c>
    </row>
    <row r="1327">
      <c r="Y1327" s="372">
        <v>0.0</v>
      </c>
      <c r="Z1327" s="372">
        <v>0.0</v>
      </c>
    </row>
    <row r="1328">
      <c r="Y1328" s="372">
        <v>0.0</v>
      </c>
      <c r="Z1328" s="372">
        <v>0.0</v>
      </c>
    </row>
    <row r="1329">
      <c r="Y1329" s="372">
        <v>0.0</v>
      </c>
      <c r="Z1329" s="372">
        <v>0.0</v>
      </c>
    </row>
    <row r="1330">
      <c r="Y1330" s="372">
        <v>0.0</v>
      </c>
      <c r="Z1330" s="372">
        <v>0.0</v>
      </c>
    </row>
    <row r="1331">
      <c r="Y1331" s="372">
        <v>0.0</v>
      </c>
      <c r="Z1331" s="372">
        <v>0.0</v>
      </c>
    </row>
    <row r="1332">
      <c r="Y1332" s="372">
        <v>0.0</v>
      </c>
      <c r="Z1332" s="372">
        <v>0.0</v>
      </c>
    </row>
    <row r="1333">
      <c r="Y1333" s="372">
        <v>0.0</v>
      </c>
      <c r="Z1333" s="372">
        <v>0.0</v>
      </c>
    </row>
    <row r="1334">
      <c r="Y1334" s="372">
        <v>0.0</v>
      </c>
      <c r="Z1334" s="372">
        <v>0.0</v>
      </c>
    </row>
    <row r="1335">
      <c r="Y1335" s="372">
        <v>0.0</v>
      </c>
      <c r="Z1335" s="372">
        <v>0.0</v>
      </c>
    </row>
    <row r="1336">
      <c r="Y1336" s="372">
        <v>0.0</v>
      </c>
      <c r="Z1336" s="372">
        <v>0.0</v>
      </c>
    </row>
    <row r="1337">
      <c r="Y1337" s="372">
        <v>0.0</v>
      </c>
      <c r="Z1337" s="372">
        <v>0.0</v>
      </c>
    </row>
    <row r="1338">
      <c r="Y1338" s="372">
        <v>0.0</v>
      </c>
      <c r="Z1338" s="372">
        <v>0.0</v>
      </c>
    </row>
    <row r="1339">
      <c r="Y1339" s="372">
        <v>0.0</v>
      </c>
      <c r="Z1339" s="372">
        <v>0.0</v>
      </c>
    </row>
    <row r="1340">
      <c r="Y1340" s="372">
        <v>0.0</v>
      </c>
      <c r="Z1340" s="372">
        <v>0.0</v>
      </c>
    </row>
    <row r="1341">
      <c r="Y1341" s="372">
        <v>0.0</v>
      </c>
      <c r="Z1341" s="372">
        <v>0.0</v>
      </c>
    </row>
    <row r="1342">
      <c r="Y1342" s="372">
        <v>0.0</v>
      </c>
      <c r="Z1342" s="372">
        <v>0.0</v>
      </c>
    </row>
    <row r="1343">
      <c r="Y1343" s="372">
        <v>0.0</v>
      </c>
      <c r="Z1343" s="372">
        <v>0.0</v>
      </c>
    </row>
    <row r="1344">
      <c r="Y1344" s="372">
        <v>0.0</v>
      </c>
      <c r="Z1344" s="372">
        <v>0.0</v>
      </c>
    </row>
    <row r="1345">
      <c r="Y1345" s="372">
        <v>0.0</v>
      </c>
      <c r="Z1345" s="372">
        <v>0.0</v>
      </c>
    </row>
    <row r="1346">
      <c r="Y1346" s="372">
        <v>0.0</v>
      </c>
      <c r="Z1346" s="372">
        <v>0.0</v>
      </c>
    </row>
    <row r="1347">
      <c r="Y1347" s="372">
        <v>0.0</v>
      </c>
      <c r="Z1347" s="372">
        <v>0.0</v>
      </c>
    </row>
    <row r="1348">
      <c r="Y1348" s="372">
        <v>0.0</v>
      </c>
      <c r="Z1348" s="372">
        <v>0.0</v>
      </c>
    </row>
    <row r="1349">
      <c r="Y1349" s="372">
        <v>0.0</v>
      </c>
      <c r="Z1349" s="372">
        <v>0.0</v>
      </c>
    </row>
    <row r="1350">
      <c r="Y1350" s="372">
        <v>0.0</v>
      </c>
      <c r="Z1350" s="372">
        <v>0.0</v>
      </c>
    </row>
    <row r="1351">
      <c r="Y1351" s="372">
        <v>0.0</v>
      </c>
      <c r="Z1351" s="372">
        <v>0.0</v>
      </c>
    </row>
    <row r="1352">
      <c r="Y1352" s="372">
        <v>0.0</v>
      </c>
      <c r="Z1352" s="372">
        <v>0.0</v>
      </c>
    </row>
    <row r="1353">
      <c r="Y1353" s="372">
        <v>0.0</v>
      </c>
      <c r="Z1353" s="372">
        <v>0.0</v>
      </c>
    </row>
    <row r="1354">
      <c r="Y1354" s="372">
        <v>0.0</v>
      </c>
      <c r="Z1354" s="372">
        <v>0.0</v>
      </c>
    </row>
    <row r="1355">
      <c r="Y1355" s="372">
        <v>0.0</v>
      </c>
      <c r="Z1355" s="372">
        <v>0.0</v>
      </c>
    </row>
    <row r="1356">
      <c r="Y1356" s="372">
        <v>0.0</v>
      </c>
      <c r="Z1356" s="372">
        <v>0.0</v>
      </c>
    </row>
    <row r="1357">
      <c r="Y1357" s="372">
        <v>0.0</v>
      </c>
      <c r="Z1357" s="372">
        <v>0.0</v>
      </c>
    </row>
    <row r="1358">
      <c r="Y1358" s="372">
        <v>0.0</v>
      </c>
      <c r="Z1358" s="372">
        <v>0.0</v>
      </c>
    </row>
    <row r="1359">
      <c r="Y1359" s="372">
        <v>0.0</v>
      </c>
      <c r="Z1359" s="372">
        <v>0.0</v>
      </c>
    </row>
    <row r="1360">
      <c r="Y1360" s="372">
        <v>0.0</v>
      </c>
      <c r="Z1360" s="372">
        <v>0.0</v>
      </c>
    </row>
    <row r="1361">
      <c r="Y1361" s="372">
        <v>0.0</v>
      </c>
      <c r="Z1361" s="372">
        <v>0.0</v>
      </c>
    </row>
    <row r="1362">
      <c r="Y1362" s="372">
        <v>0.0</v>
      </c>
      <c r="Z1362" s="372">
        <v>0.0</v>
      </c>
    </row>
    <row r="1363">
      <c r="Y1363" s="372">
        <v>0.0</v>
      </c>
      <c r="Z1363" s="372">
        <v>0.0</v>
      </c>
    </row>
    <row r="1364">
      <c r="Y1364" s="372">
        <v>0.0</v>
      </c>
      <c r="Z1364" s="372">
        <v>0.0</v>
      </c>
    </row>
    <row r="1365">
      <c r="Y1365" s="372">
        <v>0.0</v>
      </c>
      <c r="Z1365" s="372">
        <v>0.0</v>
      </c>
    </row>
    <row r="1366">
      <c r="Y1366" s="372">
        <v>0.0</v>
      </c>
      <c r="Z1366" s="372">
        <v>0.0</v>
      </c>
    </row>
    <row r="1367">
      <c r="Y1367" s="372">
        <v>0.0</v>
      </c>
      <c r="Z1367" s="372">
        <v>0.0</v>
      </c>
    </row>
    <row r="1368">
      <c r="Y1368" s="372">
        <v>0.0</v>
      </c>
      <c r="Z1368" s="372">
        <v>0.0</v>
      </c>
    </row>
    <row r="1369">
      <c r="Y1369" s="372">
        <v>0.0</v>
      </c>
      <c r="Z1369" s="372">
        <v>0.0</v>
      </c>
    </row>
    <row r="1370">
      <c r="Y1370" s="372">
        <v>0.0</v>
      </c>
      <c r="Z1370" s="372">
        <v>0.0</v>
      </c>
    </row>
    <row r="1371">
      <c r="Y1371" s="372">
        <v>0.0</v>
      </c>
      <c r="Z1371" s="372">
        <v>0.0</v>
      </c>
    </row>
    <row r="1372">
      <c r="Y1372" s="372">
        <v>0.0</v>
      </c>
      <c r="Z1372" s="372">
        <v>0.0</v>
      </c>
    </row>
    <row r="1373">
      <c r="Y1373" s="372">
        <v>0.0</v>
      </c>
      <c r="Z1373" s="372">
        <v>0.0</v>
      </c>
    </row>
    <row r="1374">
      <c r="Y1374" s="372">
        <v>0.0</v>
      </c>
      <c r="Z1374" s="372">
        <v>0.0</v>
      </c>
    </row>
    <row r="1375">
      <c r="Y1375" s="372">
        <v>0.0</v>
      </c>
      <c r="Z1375" s="372">
        <v>0.0</v>
      </c>
    </row>
    <row r="1376">
      <c r="Y1376" s="372">
        <v>0.0</v>
      </c>
      <c r="Z1376" s="372">
        <v>0.0</v>
      </c>
    </row>
    <row r="1377">
      <c r="Y1377" s="372">
        <v>0.0</v>
      </c>
      <c r="Z1377" s="372">
        <v>0.0</v>
      </c>
    </row>
    <row r="1378">
      <c r="Y1378" s="372">
        <v>0.0</v>
      </c>
      <c r="Z1378" s="372">
        <v>0.0</v>
      </c>
    </row>
    <row r="1379">
      <c r="Y1379" s="372">
        <v>0.0</v>
      </c>
      <c r="Z1379" s="372">
        <v>0.0</v>
      </c>
    </row>
    <row r="1380">
      <c r="Y1380" s="372">
        <v>0.0</v>
      </c>
      <c r="Z1380" s="372">
        <v>0.0</v>
      </c>
    </row>
    <row r="1381">
      <c r="Y1381" s="372">
        <v>0.0</v>
      </c>
      <c r="Z1381" s="372">
        <v>0.0</v>
      </c>
    </row>
    <row r="1382">
      <c r="Y1382" s="372">
        <v>0.0</v>
      </c>
      <c r="Z1382" s="372">
        <v>0.0</v>
      </c>
    </row>
    <row r="1383">
      <c r="Y1383" s="372">
        <v>0.0</v>
      </c>
      <c r="Z1383" s="372">
        <v>0.0</v>
      </c>
    </row>
    <row r="1384">
      <c r="Y1384" s="372">
        <v>0.0</v>
      </c>
      <c r="Z1384" s="372">
        <v>0.0</v>
      </c>
    </row>
    <row r="1385">
      <c r="Y1385" s="372">
        <v>0.0</v>
      </c>
      <c r="Z1385" s="372">
        <v>0.0</v>
      </c>
    </row>
    <row r="1386">
      <c r="Y1386" s="372">
        <v>0.0</v>
      </c>
      <c r="Z1386" s="372">
        <v>0.0</v>
      </c>
    </row>
    <row r="1387">
      <c r="Y1387" s="372">
        <v>0.0</v>
      </c>
      <c r="Z1387" s="372">
        <v>0.0</v>
      </c>
    </row>
    <row r="1388">
      <c r="Y1388" s="372">
        <v>0.0</v>
      </c>
      <c r="Z1388" s="372">
        <v>0.0</v>
      </c>
    </row>
    <row r="1389">
      <c r="Y1389" s="372">
        <v>0.0</v>
      </c>
      <c r="Z1389" s="372">
        <v>0.0</v>
      </c>
    </row>
    <row r="1390">
      <c r="Y1390" s="372">
        <v>0.0</v>
      </c>
      <c r="Z1390" s="372">
        <v>0.0</v>
      </c>
    </row>
    <row r="1391">
      <c r="Y1391" s="372">
        <v>0.0</v>
      </c>
      <c r="Z1391" s="372">
        <v>0.0</v>
      </c>
    </row>
    <row r="1392">
      <c r="Y1392" s="372">
        <v>0.0</v>
      </c>
      <c r="Z1392" s="372">
        <v>0.0</v>
      </c>
    </row>
    <row r="1393">
      <c r="Y1393" s="372">
        <v>0.0</v>
      </c>
      <c r="Z1393" s="372">
        <v>0.0</v>
      </c>
    </row>
    <row r="1394">
      <c r="Y1394" s="372">
        <v>0.0</v>
      </c>
      <c r="Z1394" s="372">
        <v>0.0</v>
      </c>
    </row>
    <row r="1395">
      <c r="Y1395" s="372">
        <v>0.0</v>
      </c>
      <c r="Z1395" s="372">
        <v>0.0</v>
      </c>
    </row>
    <row r="1396">
      <c r="Y1396" s="372">
        <v>0.0</v>
      </c>
      <c r="Z1396" s="372">
        <v>0.0</v>
      </c>
    </row>
    <row r="1397">
      <c r="Y1397" s="372">
        <v>0.0</v>
      </c>
      <c r="Z1397" s="372">
        <v>0.0</v>
      </c>
    </row>
    <row r="1398">
      <c r="Y1398" s="372">
        <v>0.0</v>
      </c>
      <c r="Z1398" s="372">
        <v>0.0</v>
      </c>
    </row>
    <row r="1399">
      <c r="Y1399" s="372">
        <v>0.0</v>
      </c>
      <c r="Z1399" s="372">
        <v>0.0</v>
      </c>
    </row>
    <row r="1400">
      <c r="Y1400" s="372">
        <v>0.0</v>
      </c>
      <c r="Z1400" s="372">
        <v>0.0</v>
      </c>
    </row>
    <row r="1401">
      <c r="Y1401" s="372">
        <v>0.0</v>
      </c>
      <c r="Z1401" s="372">
        <v>0.0</v>
      </c>
    </row>
    <row r="1402">
      <c r="Y1402" s="372">
        <v>0.0</v>
      </c>
      <c r="Z1402" s="372">
        <v>0.0</v>
      </c>
    </row>
    <row r="1403">
      <c r="Y1403" s="372">
        <v>0.0</v>
      </c>
      <c r="Z1403" s="372">
        <v>0.0</v>
      </c>
    </row>
    <row r="1404">
      <c r="Y1404" s="372">
        <v>0.0</v>
      </c>
      <c r="Z1404" s="372">
        <v>0.0</v>
      </c>
    </row>
    <row r="1405">
      <c r="Y1405" s="372">
        <v>0.0</v>
      </c>
      <c r="Z1405" s="372">
        <v>0.0</v>
      </c>
    </row>
    <row r="1406">
      <c r="Y1406" s="372">
        <v>0.0</v>
      </c>
      <c r="Z1406" s="372">
        <v>0.0</v>
      </c>
    </row>
    <row r="1407">
      <c r="Y1407" s="372">
        <v>0.0</v>
      </c>
      <c r="Z1407" s="372">
        <v>0.0</v>
      </c>
    </row>
    <row r="1408">
      <c r="Y1408" s="372">
        <v>0.0</v>
      </c>
      <c r="Z1408" s="372">
        <v>0.0</v>
      </c>
    </row>
    <row r="1409">
      <c r="Y1409" s="372">
        <v>0.0</v>
      </c>
      <c r="Z1409" s="372">
        <v>0.0</v>
      </c>
    </row>
    <row r="1410">
      <c r="Y1410" s="372">
        <v>0.0</v>
      </c>
      <c r="Z1410" s="372">
        <v>0.0</v>
      </c>
    </row>
    <row r="1411">
      <c r="Y1411" s="372">
        <v>0.0</v>
      </c>
      <c r="Z1411" s="372">
        <v>0.0</v>
      </c>
    </row>
    <row r="1412">
      <c r="Y1412" s="372">
        <v>0.0</v>
      </c>
      <c r="Z1412" s="372">
        <v>0.0</v>
      </c>
    </row>
    <row r="1413">
      <c r="Y1413" s="372">
        <v>0.0</v>
      </c>
      <c r="Z1413" s="372">
        <v>0.0</v>
      </c>
    </row>
    <row r="1414">
      <c r="Y1414" s="372">
        <v>0.0</v>
      </c>
      <c r="Z1414" s="372">
        <v>0.0</v>
      </c>
    </row>
    <row r="1415">
      <c r="Y1415" s="372">
        <v>0.0</v>
      </c>
      <c r="Z1415" s="372">
        <v>0.0</v>
      </c>
    </row>
    <row r="1416">
      <c r="Y1416" s="372">
        <v>0.0</v>
      </c>
      <c r="Z1416" s="372">
        <v>0.0</v>
      </c>
    </row>
    <row r="1417">
      <c r="Y1417" s="372">
        <v>0.0</v>
      </c>
      <c r="Z1417" s="372">
        <v>0.0</v>
      </c>
    </row>
    <row r="1418">
      <c r="Y1418" s="372">
        <v>0.0</v>
      </c>
      <c r="Z1418" s="372">
        <v>0.0</v>
      </c>
    </row>
    <row r="1419">
      <c r="Y1419" s="372">
        <v>0.0</v>
      </c>
      <c r="Z1419" s="372">
        <v>0.0</v>
      </c>
    </row>
    <row r="1420">
      <c r="Y1420" s="372">
        <v>0.0</v>
      </c>
      <c r="Z1420" s="372">
        <v>0.0</v>
      </c>
    </row>
    <row r="1421">
      <c r="Y1421" s="372">
        <v>0.0</v>
      </c>
      <c r="Z1421" s="372">
        <v>0.0</v>
      </c>
    </row>
    <row r="1422">
      <c r="Y1422" s="372">
        <v>0.0</v>
      </c>
      <c r="Z1422" s="372">
        <v>0.0</v>
      </c>
    </row>
    <row r="1423">
      <c r="Y1423" s="372">
        <v>0.0</v>
      </c>
      <c r="Z1423" s="372">
        <v>0.0</v>
      </c>
    </row>
    <row r="1424">
      <c r="Y1424" s="372">
        <v>0.0</v>
      </c>
      <c r="Z1424" s="372">
        <v>0.0</v>
      </c>
    </row>
    <row r="1425">
      <c r="Y1425" s="372">
        <v>0.0</v>
      </c>
      <c r="Z1425" s="372">
        <v>0.0</v>
      </c>
    </row>
    <row r="1426">
      <c r="Y1426" s="372">
        <v>0.0</v>
      </c>
      <c r="Z1426" s="372">
        <v>0.0</v>
      </c>
    </row>
    <row r="1427">
      <c r="Y1427" s="372">
        <v>0.0</v>
      </c>
      <c r="Z1427" s="372">
        <v>0.0</v>
      </c>
    </row>
    <row r="1428">
      <c r="Y1428" s="372">
        <v>0.0</v>
      </c>
      <c r="Z1428" s="372">
        <v>0.0</v>
      </c>
    </row>
    <row r="1429">
      <c r="Y1429" s="372">
        <v>0.0</v>
      </c>
      <c r="Z1429" s="372">
        <v>0.0</v>
      </c>
    </row>
    <row r="1430">
      <c r="Y1430" s="372">
        <v>0.0</v>
      </c>
      <c r="Z1430" s="372">
        <v>0.0</v>
      </c>
    </row>
    <row r="1431">
      <c r="Y1431" s="372">
        <v>0.0</v>
      </c>
      <c r="Z1431" s="372">
        <v>0.0</v>
      </c>
    </row>
    <row r="1432">
      <c r="Y1432" s="372">
        <v>0.0</v>
      </c>
      <c r="Z1432" s="372">
        <v>0.0</v>
      </c>
    </row>
    <row r="1433">
      <c r="Y1433" s="372">
        <v>0.0</v>
      </c>
      <c r="Z1433" s="372">
        <v>0.0</v>
      </c>
    </row>
    <row r="1434">
      <c r="Y1434" s="372">
        <v>0.0</v>
      </c>
      <c r="Z1434" s="372">
        <v>0.0</v>
      </c>
    </row>
    <row r="1435">
      <c r="Y1435" s="372">
        <v>0.0</v>
      </c>
      <c r="Z1435" s="372">
        <v>0.0</v>
      </c>
    </row>
    <row r="1436">
      <c r="Y1436" s="372">
        <v>0.0</v>
      </c>
      <c r="Z1436" s="372">
        <v>0.0</v>
      </c>
    </row>
    <row r="1437">
      <c r="Y1437" s="372">
        <v>0.0</v>
      </c>
      <c r="Z1437" s="372">
        <v>0.0</v>
      </c>
    </row>
    <row r="1438">
      <c r="Y1438" s="372">
        <v>0.0</v>
      </c>
      <c r="Z1438" s="372">
        <v>0.0</v>
      </c>
    </row>
    <row r="1439">
      <c r="Y1439" s="372">
        <v>0.0</v>
      </c>
      <c r="Z1439" s="372">
        <v>0.0</v>
      </c>
    </row>
    <row r="1440">
      <c r="Y1440" s="372">
        <v>0.0</v>
      </c>
      <c r="Z1440" s="372">
        <v>0.0</v>
      </c>
    </row>
    <row r="1441">
      <c r="Y1441" s="372">
        <v>0.0</v>
      </c>
      <c r="Z1441" s="372">
        <v>0.0</v>
      </c>
    </row>
    <row r="1442">
      <c r="Y1442" s="372">
        <v>0.0</v>
      </c>
      <c r="Z1442" s="372">
        <v>0.0</v>
      </c>
    </row>
    <row r="1443">
      <c r="Y1443" s="372">
        <v>0.0</v>
      </c>
      <c r="Z1443" s="372">
        <v>0.0</v>
      </c>
    </row>
    <row r="1444">
      <c r="Y1444" s="372">
        <v>0.0</v>
      </c>
      <c r="Z1444" s="372">
        <v>0.0</v>
      </c>
    </row>
    <row r="1445">
      <c r="Y1445" s="372">
        <v>0.0</v>
      </c>
      <c r="Z1445" s="372">
        <v>0.0</v>
      </c>
    </row>
    <row r="1446">
      <c r="Y1446" s="372">
        <v>0.0</v>
      </c>
      <c r="Z1446" s="372">
        <v>0.0</v>
      </c>
    </row>
    <row r="1447">
      <c r="Y1447" s="372">
        <v>0.0</v>
      </c>
      <c r="Z1447" s="372">
        <v>0.0</v>
      </c>
    </row>
    <row r="1448">
      <c r="Y1448" s="372">
        <v>0.0</v>
      </c>
      <c r="Z1448" s="372">
        <v>0.0</v>
      </c>
    </row>
    <row r="1449">
      <c r="Y1449" s="372">
        <v>0.0</v>
      </c>
      <c r="Z1449" s="372">
        <v>0.0</v>
      </c>
    </row>
    <row r="1450">
      <c r="Y1450" s="372">
        <v>0.0</v>
      </c>
      <c r="Z1450" s="372">
        <v>0.0</v>
      </c>
    </row>
    <row r="1451">
      <c r="Y1451" s="372">
        <v>0.0</v>
      </c>
      <c r="Z1451" s="372">
        <v>0.0</v>
      </c>
    </row>
    <row r="1452">
      <c r="Y1452" s="372">
        <v>0.0</v>
      </c>
      <c r="Z1452" s="372">
        <v>0.0</v>
      </c>
    </row>
    <row r="1453">
      <c r="Y1453" s="372">
        <v>0.0</v>
      </c>
      <c r="Z1453" s="372">
        <v>0.0</v>
      </c>
    </row>
    <row r="1454">
      <c r="Y1454" s="372">
        <v>0.0</v>
      </c>
      <c r="Z1454" s="372">
        <v>0.0</v>
      </c>
    </row>
    <row r="1455">
      <c r="Y1455" s="372">
        <v>0.0</v>
      </c>
      <c r="Z1455" s="372">
        <v>0.0</v>
      </c>
    </row>
    <row r="1456">
      <c r="Y1456" s="372">
        <v>0.0</v>
      </c>
      <c r="Z1456" s="372">
        <v>0.0</v>
      </c>
    </row>
    <row r="1457">
      <c r="Y1457" s="372">
        <v>0.0</v>
      </c>
      <c r="Z1457" s="372">
        <v>0.0</v>
      </c>
    </row>
    <row r="1458">
      <c r="Y1458" s="372">
        <v>0.0</v>
      </c>
      <c r="Z1458" s="372">
        <v>0.0</v>
      </c>
    </row>
    <row r="1459">
      <c r="Y1459" s="372">
        <v>0.0</v>
      </c>
      <c r="Z1459" s="372">
        <v>0.0</v>
      </c>
    </row>
    <row r="1460">
      <c r="Y1460" s="372">
        <v>0.0</v>
      </c>
      <c r="Z1460" s="372">
        <v>0.0</v>
      </c>
    </row>
    <row r="1461">
      <c r="Y1461" s="372">
        <v>0.0</v>
      </c>
      <c r="Z1461" s="372">
        <v>0.0</v>
      </c>
    </row>
    <row r="1462">
      <c r="Y1462" s="372">
        <v>0.0</v>
      </c>
      <c r="Z1462" s="372">
        <v>0.0</v>
      </c>
    </row>
    <row r="1463">
      <c r="Y1463" s="372">
        <v>0.0</v>
      </c>
      <c r="Z1463" s="372">
        <v>0.0</v>
      </c>
    </row>
    <row r="1464">
      <c r="Y1464" s="372">
        <v>0.0</v>
      </c>
      <c r="Z1464" s="372">
        <v>0.0</v>
      </c>
    </row>
    <row r="1465">
      <c r="Y1465" s="372">
        <v>0.0</v>
      </c>
      <c r="Z1465" s="372">
        <v>0.0</v>
      </c>
    </row>
    <row r="1466">
      <c r="Y1466" s="372">
        <v>0.0</v>
      </c>
      <c r="Z1466" s="372">
        <v>0.0</v>
      </c>
    </row>
    <row r="1467">
      <c r="Y1467" s="372">
        <v>0.0</v>
      </c>
      <c r="Z1467" s="372">
        <v>0.0</v>
      </c>
    </row>
    <row r="1468">
      <c r="Y1468" s="372">
        <v>0.0</v>
      </c>
      <c r="Z1468" s="372">
        <v>0.0</v>
      </c>
    </row>
    <row r="1469">
      <c r="Y1469" s="372">
        <v>0.0</v>
      </c>
      <c r="Z1469" s="372">
        <v>0.0</v>
      </c>
    </row>
    <row r="1470">
      <c r="Y1470" s="372">
        <v>0.0</v>
      </c>
      <c r="Z1470" s="372">
        <v>0.0</v>
      </c>
    </row>
    <row r="1471">
      <c r="Y1471" s="372">
        <v>0.0</v>
      </c>
      <c r="Z1471" s="372">
        <v>0.0</v>
      </c>
    </row>
    <row r="1472">
      <c r="Y1472" s="372">
        <v>0.0</v>
      </c>
      <c r="Z1472" s="372">
        <v>0.0</v>
      </c>
    </row>
    <row r="1473">
      <c r="Y1473" s="372">
        <v>0.0</v>
      </c>
      <c r="Z1473" s="372">
        <v>0.0</v>
      </c>
    </row>
    <row r="1474">
      <c r="Y1474" s="372">
        <v>0.0</v>
      </c>
      <c r="Z1474" s="372">
        <v>0.0</v>
      </c>
    </row>
    <row r="1475">
      <c r="Y1475" s="372">
        <v>0.0</v>
      </c>
      <c r="Z1475" s="372">
        <v>0.0</v>
      </c>
    </row>
    <row r="1476">
      <c r="Y1476" s="372">
        <v>0.0</v>
      </c>
      <c r="Z1476" s="372">
        <v>0.0</v>
      </c>
    </row>
    <row r="1477">
      <c r="Y1477" s="372">
        <v>0.0</v>
      </c>
      <c r="Z1477" s="372">
        <v>0.0</v>
      </c>
    </row>
    <row r="1478">
      <c r="Y1478" s="372">
        <v>0.0</v>
      </c>
      <c r="Z1478" s="372">
        <v>0.0</v>
      </c>
    </row>
    <row r="1479">
      <c r="Y1479" s="372">
        <v>0.0</v>
      </c>
      <c r="Z1479" s="372">
        <v>0.0</v>
      </c>
    </row>
    <row r="1480">
      <c r="Y1480" s="372">
        <v>0.0</v>
      </c>
      <c r="Z1480" s="372">
        <v>0.0</v>
      </c>
    </row>
    <row r="1481">
      <c r="Y1481" s="372">
        <v>0.0</v>
      </c>
      <c r="Z1481" s="372">
        <v>0.0</v>
      </c>
    </row>
    <row r="1482">
      <c r="Y1482" s="372">
        <v>0.0</v>
      </c>
      <c r="Z1482" s="372">
        <v>0.0</v>
      </c>
    </row>
    <row r="1483">
      <c r="Y1483" s="372">
        <v>0.0</v>
      </c>
      <c r="Z1483" s="372">
        <v>0.0</v>
      </c>
    </row>
    <row r="1484">
      <c r="Y1484" s="372">
        <v>0.0</v>
      </c>
      <c r="Z1484" s="372">
        <v>0.0</v>
      </c>
    </row>
    <row r="1485">
      <c r="Y1485" s="372">
        <v>0.0</v>
      </c>
      <c r="Z1485" s="372">
        <v>0.0</v>
      </c>
    </row>
    <row r="1486">
      <c r="Y1486" s="372">
        <v>0.0</v>
      </c>
      <c r="Z1486" s="372">
        <v>0.0</v>
      </c>
    </row>
    <row r="1487">
      <c r="Y1487" s="372">
        <v>0.0</v>
      </c>
      <c r="Z1487" s="372">
        <v>0.0</v>
      </c>
    </row>
    <row r="1488">
      <c r="Y1488" s="372">
        <v>0.0</v>
      </c>
      <c r="Z1488" s="372">
        <v>0.0</v>
      </c>
    </row>
    <row r="1489">
      <c r="Y1489" s="372">
        <v>0.0</v>
      </c>
      <c r="Z1489" s="372">
        <v>0.0</v>
      </c>
    </row>
    <row r="1490">
      <c r="Y1490" s="372">
        <v>0.0</v>
      </c>
      <c r="Z1490" s="372">
        <v>0.0</v>
      </c>
    </row>
    <row r="1491">
      <c r="Y1491" s="372">
        <v>0.0</v>
      </c>
      <c r="Z1491" s="372">
        <v>0.0</v>
      </c>
    </row>
    <row r="1492">
      <c r="Y1492" s="372">
        <v>0.0</v>
      </c>
      <c r="Z1492" s="372">
        <v>0.0</v>
      </c>
    </row>
    <row r="1493">
      <c r="Y1493" s="372">
        <v>0.0</v>
      </c>
      <c r="Z1493" s="372">
        <v>0.0</v>
      </c>
    </row>
    <row r="1494">
      <c r="Y1494" s="372">
        <v>0.0</v>
      </c>
      <c r="Z1494" s="372">
        <v>0.0</v>
      </c>
    </row>
    <row r="1495">
      <c r="Y1495" s="372">
        <v>0.0</v>
      </c>
      <c r="Z1495" s="372">
        <v>0.0</v>
      </c>
    </row>
    <row r="1496">
      <c r="Y1496" s="372">
        <v>0.0</v>
      </c>
      <c r="Z1496" s="372">
        <v>0.0</v>
      </c>
    </row>
    <row r="1497">
      <c r="Y1497" s="372">
        <v>0.0</v>
      </c>
      <c r="Z1497" s="372">
        <v>0.0</v>
      </c>
    </row>
    <row r="1498">
      <c r="Y1498" s="372">
        <v>0.0</v>
      </c>
      <c r="Z1498" s="372">
        <v>0.0</v>
      </c>
    </row>
    <row r="1499">
      <c r="Y1499" s="372">
        <v>0.0</v>
      </c>
      <c r="Z1499" s="372">
        <v>0.0</v>
      </c>
    </row>
    <row r="1500">
      <c r="Y1500" s="372">
        <v>0.0</v>
      </c>
      <c r="Z1500" s="372">
        <v>0.0</v>
      </c>
    </row>
    <row r="1501">
      <c r="Y1501" s="372">
        <v>0.0</v>
      </c>
      <c r="Z1501" s="372">
        <v>0.0</v>
      </c>
    </row>
    <row r="1502">
      <c r="Y1502" s="372">
        <v>0.0</v>
      </c>
      <c r="Z1502" s="372">
        <v>0.0</v>
      </c>
    </row>
    <row r="1503">
      <c r="Y1503" s="372">
        <v>0.0</v>
      </c>
      <c r="Z1503" s="372">
        <v>0.0</v>
      </c>
    </row>
    <row r="1504">
      <c r="Y1504" s="372">
        <v>0.0</v>
      </c>
      <c r="Z1504" s="372">
        <v>0.0</v>
      </c>
    </row>
    <row r="1505">
      <c r="Y1505" s="372">
        <v>0.0</v>
      </c>
      <c r="Z1505" s="372">
        <v>0.0</v>
      </c>
    </row>
    <row r="1506">
      <c r="Y1506" s="372">
        <v>0.0</v>
      </c>
      <c r="Z1506" s="372">
        <v>0.0</v>
      </c>
    </row>
    <row r="1507">
      <c r="Y1507" s="372">
        <v>0.0</v>
      </c>
      <c r="Z1507" s="372">
        <v>0.0</v>
      </c>
    </row>
    <row r="1508">
      <c r="Y1508" s="372">
        <v>0.0</v>
      </c>
      <c r="Z1508" s="372">
        <v>0.0</v>
      </c>
    </row>
    <row r="1509">
      <c r="Y1509" s="372">
        <v>0.0</v>
      </c>
      <c r="Z1509" s="372">
        <v>0.0</v>
      </c>
    </row>
    <row r="1510">
      <c r="Y1510" s="372">
        <v>0.0</v>
      </c>
      <c r="Z1510" s="372">
        <v>0.0</v>
      </c>
    </row>
    <row r="1511">
      <c r="Y1511" s="372">
        <v>0.0</v>
      </c>
      <c r="Z1511" s="372">
        <v>0.0</v>
      </c>
    </row>
    <row r="1512">
      <c r="Y1512" s="372">
        <v>0.0</v>
      </c>
      <c r="Z1512" s="372">
        <v>0.0</v>
      </c>
    </row>
    <row r="1513">
      <c r="Y1513" s="372">
        <v>0.0</v>
      </c>
      <c r="Z1513" s="372">
        <v>0.0</v>
      </c>
    </row>
    <row r="1514">
      <c r="Y1514" s="372">
        <v>0.0</v>
      </c>
      <c r="Z1514" s="372">
        <v>0.0</v>
      </c>
    </row>
    <row r="1515">
      <c r="Y1515" s="372">
        <v>0.0</v>
      </c>
      <c r="Z1515" s="372">
        <v>0.0</v>
      </c>
    </row>
    <row r="1516">
      <c r="Y1516" s="372">
        <v>0.0</v>
      </c>
      <c r="Z1516" s="372">
        <v>0.0</v>
      </c>
    </row>
    <row r="1517">
      <c r="Y1517" s="372">
        <v>0.0</v>
      </c>
      <c r="Z1517" s="372">
        <v>0.0</v>
      </c>
    </row>
    <row r="1518">
      <c r="Y1518" s="372">
        <v>0.0</v>
      </c>
      <c r="Z1518" s="372">
        <v>0.0</v>
      </c>
    </row>
    <row r="1519">
      <c r="Y1519" s="372">
        <v>0.0</v>
      </c>
      <c r="Z1519" s="372">
        <v>0.0</v>
      </c>
    </row>
    <row r="1520">
      <c r="Y1520" s="372">
        <v>0.0</v>
      </c>
      <c r="Z1520" s="372">
        <v>0.0</v>
      </c>
    </row>
    <row r="1521">
      <c r="Y1521" s="372">
        <v>0.0</v>
      </c>
      <c r="Z1521" s="372">
        <v>0.0</v>
      </c>
    </row>
    <row r="1522">
      <c r="Y1522" s="372">
        <v>0.0</v>
      </c>
      <c r="Z1522" s="372">
        <v>0.0</v>
      </c>
    </row>
    <row r="1523">
      <c r="Y1523" s="372">
        <v>0.0</v>
      </c>
      <c r="Z1523" s="372">
        <v>0.0</v>
      </c>
    </row>
    <row r="1524">
      <c r="Y1524" s="372">
        <v>0.0</v>
      </c>
      <c r="Z1524" s="372">
        <v>0.0</v>
      </c>
    </row>
    <row r="1525">
      <c r="Y1525" s="372">
        <v>0.0</v>
      </c>
      <c r="Z1525" s="372">
        <v>0.0</v>
      </c>
    </row>
    <row r="1526">
      <c r="Y1526" s="372">
        <v>0.0</v>
      </c>
      <c r="Z1526" s="372">
        <v>0.0</v>
      </c>
    </row>
    <row r="1527">
      <c r="Y1527" s="372">
        <v>0.0</v>
      </c>
      <c r="Z1527" s="372">
        <v>0.0</v>
      </c>
    </row>
    <row r="1528">
      <c r="Y1528" s="372">
        <v>0.0</v>
      </c>
      <c r="Z1528" s="372">
        <v>0.0</v>
      </c>
    </row>
    <row r="1529">
      <c r="Y1529" s="372">
        <v>0.0</v>
      </c>
      <c r="Z1529" s="372">
        <v>0.0</v>
      </c>
    </row>
    <row r="1530">
      <c r="Y1530" s="372">
        <v>0.0</v>
      </c>
      <c r="Z1530" s="372">
        <v>0.0</v>
      </c>
    </row>
    <row r="1531">
      <c r="Y1531" s="372">
        <v>0.0</v>
      </c>
      <c r="Z1531" s="372">
        <v>0.0</v>
      </c>
    </row>
    <row r="1532">
      <c r="Y1532" s="372">
        <v>0.0</v>
      </c>
      <c r="Z1532" s="372">
        <v>0.0</v>
      </c>
    </row>
    <row r="1533">
      <c r="Y1533" s="372">
        <v>0.0</v>
      </c>
      <c r="Z1533" s="372">
        <v>0.0</v>
      </c>
    </row>
    <row r="1534">
      <c r="Y1534" s="372">
        <v>0.0</v>
      </c>
      <c r="Z1534" s="372">
        <v>0.0</v>
      </c>
    </row>
    <row r="1535">
      <c r="Y1535" s="372">
        <v>0.0</v>
      </c>
      <c r="Z1535" s="372">
        <v>0.0</v>
      </c>
    </row>
    <row r="1536">
      <c r="Y1536" s="372">
        <v>0.0</v>
      </c>
      <c r="Z1536" s="372">
        <v>0.0</v>
      </c>
    </row>
    <row r="1537">
      <c r="Y1537" s="372">
        <v>0.0</v>
      </c>
      <c r="Z1537" s="372">
        <v>0.0</v>
      </c>
    </row>
    <row r="1538">
      <c r="Y1538" s="372">
        <v>0.0</v>
      </c>
      <c r="Z1538" s="372">
        <v>0.0</v>
      </c>
    </row>
    <row r="1539">
      <c r="Y1539" s="372">
        <v>0.0</v>
      </c>
      <c r="Z1539" s="372">
        <v>0.0</v>
      </c>
    </row>
    <row r="1540">
      <c r="Y1540" s="372">
        <v>0.0</v>
      </c>
      <c r="Z1540" s="372">
        <v>0.0</v>
      </c>
    </row>
    <row r="1541">
      <c r="Y1541" s="372">
        <v>0.0</v>
      </c>
      <c r="Z1541" s="372">
        <v>0.0</v>
      </c>
    </row>
    <row r="1542">
      <c r="Y1542" s="372">
        <v>0.0</v>
      </c>
      <c r="Z1542" s="372">
        <v>0.0</v>
      </c>
    </row>
    <row r="1543">
      <c r="Y1543" s="372">
        <v>0.0</v>
      </c>
      <c r="Z1543" s="372">
        <v>0.0</v>
      </c>
    </row>
    <row r="1544">
      <c r="Y1544" s="372">
        <v>0.0</v>
      </c>
      <c r="Z1544" s="372">
        <v>0.0</v>
      </c>
    </row>
    <row r="1545">
      <c r="Y1545" s="372">
        <v>0.0</v>
      </c>
      <c r="Z1545" s="372">
        <v>0.0</v>
      </c>
    </row>
    <row r="1546">
      <c r="Y1546" s="372">
        <v>0.0</v>
      </c>
      <c r="Z1546" s="372">
        <v>0.0</v>
      </c>
    </row>
    <row r="1547">
      <c r="Y1547" s="372">
        <v>0.0</v>
      </c>
      <c r="Z1547" s="372">
        <v>0.0</v>
      </c>
    </row>
    <row r="1548">
      <c r="Y1548" s="372">
        <v>0.0</v>
      </c>
      <c r="Z1548" s="372">
        <v>0.0</v>
      </c>
    </row>
    <row r="1549">
      <c r="Y1549" s="372">
        <v>0.0</v>
      </c>
      <c r="Z1549" s="372">
        <v>0.0</v>
      </c>
    </row>
    <row r="1550">
      <c r="Y1550" s="372">
        <v>0.0</v>
      </c>
      <c r="Z1550" s="372">
        <v>0.0</v>
      </c>
    </row>
    <row r="1551">
      <c r="Y1551" s="372">
        <v>0.0</v>
      </c>
      <c r="Z1551" s="372">
        <v>0.0</v>
      </c>
    </row>
    <row r="1552">
      <c r="Y1552" s="372">
        <v>0.0</v>
      </c>
      <c r="Z1552" s="372">
        <v>0.0</v>
      </c>
    </row>
    <row r="1553">
      <c r="Y1553" s="372">
        <v>0.0</v>
      </c>
      <c r="Z1553" s="372">
        <v>0.0</v>
      </c>
    </row>
    <row r="1554">
      <c r="Y1554" s="372">
        <v>0.0</v>
      </c>
      <c r="Z1554" s="372">
        <v>0.0</v>
      </c>
    </row>
    <row r="1555">
      <c r="Y1555" s="372">
        <v>0.0</v>
      </c>
      <c r="Z1555" s="372">
        <v>0.0</v>
      </c>
    </row>
    <row r="1556">
      <c r="Y1556" s="372">
        <v>0.0</v>
      </c>
      <c r="Z1556" s="372">
        <v>0.0</v>
      </c>
    </row>
    <row r="1557">
      <c r="Y1557" s="372">
        <v>0.0</v>
      </c>
      <c r="Z1557" s="372">
        <v>0.0</v>
      </c>
    </row>
    <row r="1558">
      <c r="Y1558" s="372">
        <v>0.0</v>
      </c>
      <c r="Z1558" s="372">
        <v>0.0</v>
      </c>
    </row>
    <row r="1559">
      <c r="Y1559" s="372">
        <v>0.0</v>
      </c>
      <c r="Z1559" s="372">
        <v>0.0</v>
      </c>
    </row>
    <row r="1560">
      <c r="Y1560" s="372">
        <v>0.0</v>
      </c>
      <c r="Z1560" s="372">
        <v>0.0</v>
      </c>
    </row>
    <row r="1561">
      <c r="Y1561" s="372">
        <v>0.0</v>
      </c>
      <c r="Z1561" s="372">
        <v>0.0</v>
      </c>
    </row>
    <row r="1562">
      <c r="Y1562" s="372">
        <v>0.0</v>
      </c>
      <c r="Z1562" s="372">
        <v>0.0</v>
      </c>
    </row>
    <row r="1563">
      <c r="Y1563" s="372">
        <v>0.0</v>
      </c>
      <c r="Z1563" s="372">
        <v>0.0</v>
      </c>
    </row>
    <row r="1564">
      <c r="Y1564" s="372">
        <v>0.0</v>
      </c>
      <c r="Z1564" s="372">
        <v>0.0</v>
      </c>
    </row>
    <row r="1565">
      <c r="Y1565" s="372">
        <v>0.0</v>
      </c>
      <c r="Z1565" s="372">
        <v>0.0</v>
      </c>
    </row>
    <row r="1566">
      <c r="Y1566" s="372">
        <v>0.0</v>
      </c>
      <c r="Z1566" s="372">
        <v>0.0</v>
      </c>
    </row>
    <row r="1567">
      <c r="Y1567" s="372">
        <v>0.0</v>
      </c>
      <c r="Z1567" s="372">
        <v>0.0</v>
      </c>
    </row>
    <row r="1568">
      <c r="Y1568" s="372">
        <v>0.0</v>
      </c>
      <c r="Z1568" s="372">
        <v>0.0</v>
      </c>
    </row>
    <row r="1569">
      <c r="Y1569" s="372">
        <v>0.0</v>
      </c>
      <c r="Z1569" s="372">
        <v>0.0</v>
      </c>
    </row>
    <row r="1570">
      <c r="Y1570" s="372">
        <v>0.0</v>
      </c>
      <c r="Z1570" s="372">
        <v>0.0</v>
      </c>
    </row>
    <row r="1571">
      <c r="Y1571" s="372">
        <v>0.0</v>
      </c>
      <c r="Z1571" s="372">
        <v>0.0</v>
      </c>
    </row>
    <row r="1572">
      <c r="Y1572" s="372">
        <v>0.0</v>
      </c>
      <c r="Z1572" s="372">
        <v>0.0</v>
      </c>
    </row>
    <row r="1573">
      <c r="Y1573" s="372">
        <v>0.0</v>
      </c>
      <c r="Z1573" s="372">
        <v>0.0</v>
      </c>
    </row>
    <row r="1574">
      <c r="Y1574" s="372">
        <v>0.0</v>
      </c>
      <c r="Z1574" s="372">
        <v>0.0</v>
      </c>
    </row>
    <row r="1575">
      <c r="Y1575" s="372">
        <v>0.0</v>
      </c>
      <c r="Z1575" s="372">
        <v>0.0</v>
      </c>
    </row>
    <row r="1576">
      <c r="Y1576" s="372">
        <v>0.0</v>
      </c>
      <c r="Z1576" s="372">
        <v>0.0</v>
      </c>
    </row>
    <row r="1577">
      <c r="Y1577" s="372">
        <v>0.0</v>
      </c>
      <c r="Z1577" s="372">
        <v>0.0</v>
      </c>
    </row>
    <row r="1578">
      <c r="Y1578" s="372">
        <v>0.0</v>
      </c>
      <c r="Z1578" s="372">
        <v>0.0</v>
      </c>
    </row>
    <row r="1579">
      <c r="Y1579" s="372">
        <v>0.0</v>
      </c>
      <c r="Z1579" s="372">
        <v>0.0</v>
      </c>
    </row>
    <row r="1580">
      <c r="Y1580" s="372">
        <v>0.0</v>
      </c>
      <c r="Z1580" s="372">
        <v>0.0</v>
      </c>
    </row>
    <row r="1581">
      <c r="Y1581" s="372">
        <v>0.0</v>
      </c>
      <c r="Z1581" s="372">
        <v>0.0</v>
      </c>
    </row>
    <row r="1582">
      <c r="Y1582" s="372">
        <v>0.0</v>
      </c>
      <c r="Z1582" s="372">
        <v>0.0</v>
      </c>
    </row>
    <row r="1583">
      <c r="Y1583" s="372">
        <v>0.0</v>
      </c>
      <c r="Z1583" s="372">
        <v>0.0</v>
      </c>
    </row>
    <row r="1584">
      <c r="Y1584" s="372">
        <v>0.0</v>
      </c>
      <c r="Z1584" s="372">
        <v>0.0</v>
      </c>
    </row>
    <row r="1585">
      <c r="Y1585" s="372">
        <v>0.0</v>
      </c>
      <c r="Z1585" s="372">
        <v>0.0</v>
      </c>
    </row>
    <row r="1586">
      <c r="Y1586" s="372">
        <v>0.0</v>
      </c>
      <c r="Z1586" s="372">
        <v>0.0</v>
      </c>
    </row>
    <row r="1587">
      <c r="Y1587" s="372">
        <v>0.0</v>
      </c>
      <c r="Z1587" s="372">
        <v>0.0</v>
      </c>
    </row>
    <row r="1588">
      <c r="Y1588" s="372">
        <v>0.0</v>
      </c>
      <c r="Z1588" s="372">
        <v>0.0</v>
      </c>
    </row>
    <row r="1589">
      <c r="Y1589" s="372">
        <v>0.0</v>
      </c>
      <c r="Z1589" s="372">
        <v>0.0</v>
      </c>
    </row>
    <row r="1590">
      <c r="Y1590" s="372">
        <v>0.0</v>
      </c>
      <c r="Z1590" s="372">
        <v>0.0</v>
      </c>
    </row>
    <row r="1591">
      <c r="Y1591" s="372">
        <v>0.0</v>
      </c>
      <c r="Z1591" s="372">
        <v>0.0</v>
      </c>
    </row>
    <row r="1592">
      <c r="Y1592" s="372">
        <v>0.0</v>
      </c>
      <c r="Z1592" s="372">
        <v>0.0</v>
      </c>
    </row>
    <row r="1593">
      <c r="Y1593" s="372">
        <v>0.0</v>
      </c>
      <c r="Z1593" s="372">
        <v>0.0</v>
      </c>
    </row>
    <row r="1594">
      <c r="Y1594" s="372">
        <v>0.0</v>
      </c>
      <c r="Z1594" s="372">
        <v>0.0</v>
      </c>
    </row>
    <row r="1595">
      <c r="Y1595" s="372">
        <v>0.0</v>
      </c>
      <c r="Z1595" s="372">
        <v>0.0</v>
      </c>
    </row>
    <row r="1596">
      <c r="Y1596" s="372">
        <v>0.0</v>
      </c>
      <c r="Z1596" s="372">
        <v>0.0</v>
      </c>
    </row>
    <row r="1597">
      <c r="Y1597" s="372">
        <v>0.0</v>
      </c>
      <c r="Z1597" s="372">
        <v>0.0</v>
      </c>
    </row>
    <row r="1598">
      <c r="Y1598" s="372">
        <v>0.0</v>
      </c>
      <c r="Z1598" s="372">
        <v>0.0</v>
      </c>
    </row>
    <row r="1599">
      <c r="Y1599" s="372">
        <v>0.0</v>
      </c>
      <c r="Z1599" s="372">
        <v>0.0</v>
      </c>
    </row>
    <row r="1600">
      <c r="Y1600" s="372">
        <v>0.0</v>
      </c>
      <c r="Z1600" s="372">
        <v>0.0</v>
      </c>
    </row>
    <row r="1601">
      <c r="Y1601" s="372">
        <v>0.0</v>
      </c>
      <c r="Z1601" s="372">
        <v>0.0</v>
      </c>
    </row>
    <row r="1602">
      <c r="Y1602" s="372">
        <v>0.0</v>
      </c>
      <c r="Z1602" s="372">
        <v>0.0</v>
      </c>
    </row>
    <row r="1603">
      <c r="Y1603" s="372">
        <v>0.0</v>
      </c>
      <c r="Z1603" s="372">
        <v>0.0</v>
      </c>
    </row>
    <row r="1604">
      <c r="Y1604" s="372">
        <v>0.0</v>
      </c>
      <c r="Z1604" s="372">
        <v>0.0</v>
      </c>
    </row>
    <row r="1605">
      <c r="Y1605" s="372">
        <v>0.0</v>
      </c>
      <c r="Z1605" s="372">
        <v>0.0</v>
      </c>
    </row>
    <row r="1606">
      <c r="Y1606" s="372">
        <v>0.0</v>
      </c>
      <c r="Z1606" s="372">
        <v>0.0</v>
      </c>
    </row>
    <row r="1607">
      <c r="Y1607" s="372">
        <v>0.0</v>
      </c>
      <c r="Z1607" s="372">
        <v>0.0</v>
      </c>
    </row>
    <row r="1608">
      <c r="Y1608" s="372">
        <v>0.0</v>
      </c>
      <c r="Z1608" s="372">
        <v>0.0</v>
      </c>
    </row>
    <row r="1609">
      <c r="Y1609" s="372">
        <v>0.0</v>
      </c>
      <c r="Z1609" s="372">
        <v>0.0</v>
      </c>
    </row>
    <row r="1610">
      <c r="Y1610" s="372">
        <v>0.0</v>
      </c>
      <c r="Z1610" s="372">
        <v>0.0</v>
      </c>
    </row>
    <row r="1611">
      <c r="Y1611" s="372">
        <v>0.0</v>
      </c>
      <c r="Z1611" s="372">
        <v>0.0</v>
      </c>
    </row>
    <row r="1612">
      <c r="Y1612" s="372">
        <v>0.0</v>
      </c>
      <c r="Z1612" s="372">
        <v>0.0</v>
      </c>
    </row>
    <row r="1613">
      <c r="Y1613" s="372">
        <v>0.0</v>
      </c>
      <c r="Z1613" s="372">
        <v>0.0</v>
      </c>
    </row>
    <row r="1614">
      <c r="Y1614" s="372">
        <v>0.0</v>
      </c>
      <c r="Z1614" s="372">
        <v>0.0</v>
      </c>
    </row>
    <row r="1615">
      <c r="Y1615" s="372">
        <v>0.0</v>
      </c>
      <c r="Z1615" s="372">
        <v>0.0</v>
      </c>
    </row>
    <row r="1616">
      <c r="Y1616" s="372">
        <v>0.0</v>
      </c>
      <c r="Z1616" s="372">
        <v>0.0</v>
      </c>
    </row>
    <row r="1617">
      <c r="Y1617" s="372">
        <v>0.0</v>
      </c>
      <c r="Z1617" s="372">
        <v>0.0</v>
      </c>
    </row>
    <row r="1618">
      <c r="Y1618" s="372">
        <v>0.0</v>
      </c>
      <c r="Z1618" s="372">
        <v>0.0</v>
      </c>
    </row>
    <row r="1619">
      <c r="Y1619" s="372">
        <v>0.0</v>
      </c>
      <c r="Z1619" s="372">
        <v>0.0</v>
      </c>
    </row>
    <row r="1620">
      <c r="Y1620" s="372">
        <v>0.0</v>
      </c>
      <c r="Z1620" s="372">
        <v>0.0</v>
      </c>
    </row>
    <row r="1621">
      <c r="Y1621" s="372">
        <v>0.0</v>
      </c>
      <c r="Z1621" s="372">
        <v>0.0</v>
      </c>
    </row>
    <row r="1622">
      <c r="Y1622" s="372">
        <v>0.0</v>
      </c>
      <c r="Z1622" s="372">
        <v>0.0</v>
      </c>
    </row>
    <row r="1623">
      <c r="Y1623" s="372">
        <v>0.0</v>
      </c>
      <c r="Z1623" s="372">
        <v>0.0</v>
      </c>
    </row>
    <row r="1624">
      <c r="Y1624" s="372">
        <v>0.0</v>
      </c>
      <c r="Z1624" s="372">
        <v>0.0</v>
      </c>
    </row>
    <row r="1625">
      <c r="Y1625" s="372">
        <v>0.0</v>
      </c>
      <c r="Z1625" s="372">
        <v>0.0</v>
      </c>
    </row>
    <row r="1626">
      <c r="Y1626" s="372">
        <v>0.0</v>
      </c>
      <c r="Z1626" s="372">
        <v>0.0</v>
      </c>
    </row>
    <row r="1627">
      <c r="Y1627" s="372">
        <v>0.0</v>
      </c>
      <c r="Z1627" s="372">
        <v>0.0</v>
      </c>
    </row>
    <row r="1628">
      <c r="Y1628" s="372">
        <v>0.0</v>
      </c>
      <c r="Z1628" s="372">
        <v>0.0</v>
      </c>
    </row>
    <row r="1629">
      <c r="Y1629" s="372">
        <v>0.0</v>
      </c>
      <c r="Z1629" s="372">
        <v>0.0</v>
      </c>
    </row>
    <row r="1630">
      <c r="Y1630" s="372">
        <v>0.0</v>
      </c>
      <c r="Z1630" s="372">
        <v>0.0</v>
      </c>
    </row>
    <row r="1631">
      <c r="Y1631" s="372">
        <v>0.0</v>
      </c>
      <c r="Z1631" s="372">
        <v>0.0</v>
      </c>
    </row>
    <row r="1632">
      <c r="Y1632" s="372">
        <v>0.0</v>
      </c>
      <c r="Z1632" s="372">
        <v>0.0</v>
      </c>
    </row>
    <row r="1633">
      <c r="Y1633" s="372">
        <v>0.0</v>
      </c>
      <c r="Z1633" s="372">
        <v>0.0</v>
      </c>
    </row>
    <row r="1634">
      <c r="Y1634" s="372">
        <v>0.0</v>
      </c>
      <c r="Z1634" s="372">
        <v>0.0</v>
      </c>
    </row>
    <row r="1635">
      <c r="Y1635" s="372">
        <v>0.0</v>
      </c>
      <c r="Z1635" s="372">
        <v>0.0</v>
      </c>
    </row>
    <row r="1636">
      <c r="Y1636" s="372">
        <v>0.0</v>
      </c>
      <c r="Z1636" s="372">
        <v>0.0</v>
      </c>
    </row>
    <row r="1637">
      <c r="Y1637" s="372">
        <v>0.0</v>
      </c>
      <c r="Z1637" s="372">
        <v>0.0</v>
      </c>
    </row>
    <row r="1638">
      <c r="Y1638" s="372">
        <v>0.0</v>
      </c>
      <c r="Z1638" s="372">
        <v>0.0</v>
      </c>
    </row>
    <row r="1639">
      <c r="Y1639" s="372">
        <v>0.0</v>
      </c>
      <c r="Z1639" s="372">
        <v>0.0</v>
      </c>
    </row>
    <row r="1640">
      <c r="Y1640" s="372">
        <v>0.0</v>
      </c>
      <c r="Z1640" s="372">
        <v>0.0</v>
      </c>
    </row>
    <row r="1641">
      <c r="Y1641" s="372">
        <v>0.0</v>
      </c>
      <c r="Z1641" s="372">
        <v>0.0</v>
      </c>
    </row>
    <row r="1642">
      <c r="Y1642" s="372">
        <v>0.0</v>
      </c>
      <c r="Z1642" s="372">
        <v>0.0</v>
      </c>
    </row>
    <row r="1643">
      <c r="Y1643" s="372">
        <v>0.0</v>
      </c>
      <c r="Z1643" s="372">
        <v>0.0</v>
      </c>
    </row>
    <row r="1644">
      <c r="Y1644" s="372">
        <v>0.0</v>
      </c>
      <c r="Z1644" s="372">
        <v>0.0</v>
      </c>
    </row>
    <row r="1645">
      <c r="Y1645" s="372">
        <v>0.0</v>
      </c>
      <c r="Z1645" s="372">
        <v>0.0</v>
      </c>
    </row>
    <row r="1646">
      <c r="Y1646" s="372">
        <v>0.0</v>
      </c>
      <c r="Z1646" s="372">
        <v>0.0</v>
      </c>
    </row>
    <row r="1647">
      <c r="Y1647" s="372">
        <v>0.0</v>
      </c>
      <c r="Z1647" s="372">
        <v>0.0</v>
      </c>
    </row>
    <row r="1648">
      <c r="Y1648" s="372">
        <v>0.0</v>
      </c>
      <c r="Z1648" s="372">
        <v>0.0</v>
      </c>
    </row>
    <row r="1649">
      <c r="Y1649" s="372">
        <v>0.0</v>
      </c>
      <c r="Z1649" s="372">
        <v>0.0</v>
      </c>
    </row>
    <row r="1650">
      <c r="Y1650" s="372">
        <v>0.0</v>
      </c>
      <c r="Z1650" s="372">
        <v>0.0</v>
      </c>
    </row>
    <row r="1651">
      <c r="Y1651" s="372">
        <v>0.0</v>
      </c>
      <c r="Z1651" s="372">
        <v>0.0</v>
      </c>
    </row>
    <row r="1652">
      <c r="Y1652" s="372">
        <v>0.0</v>
      </c>
      <c r="Z1652" s="372">
        <v>0.0</v>
      </c>
    </row>
    <row r="1653">
      <c r="Y1653" s="372">
        <v>0.0</v>
      </c>
      <c r="Z1653" s="372">
        <v>0.0</v>
      </c>
    </row>
    <row r="1654">
      <c r="Y1654" s="372">
        <v>0.0</v>
      </c>
      <c r="Z1654" s="372">
        <v>0.0</v>
      </c>
    </row>
    <row r="1655">
      <c r="Y1655" s="372">
        <v>0.0</v>
      </c>
      <c r="Z1655" s="372">
        <v>0.0</v>
      </c>
    </row>
    <row r="1656">
      <c r="Y1656" s="372">
        <v>0.0</v>
      </c>
      <c r="Z1656" s="372">
        <v>0.0</v>
      </c>
    </row>
    <row r="1657">
      <c r="Y1657" s="372">
        <v>0.0</v>
      </c>
      <c r="Z1657" s="372">
        <v>0.0</v>
      </c>
    </row>
    <row r="1658">
      <c r="Y1658" s="372">
        <v>0.0</v>
      </c>
      <c r="Z1658" s="372">
        <v>0.0</v>
      </c>
    </row>
    <row r="1659">
      <c r="Y1659" s="372">
        <v>0.0</v>
      </c>
      <c r="Z1659" s="372">
        <v>0.0</v>
      </c>
    </row>
    <row r="1660">
      <c r="Y1660" s="372">
        <v>0.0</v>
      </c>
      <c r="Z1660" s="372">
        <v>0.0</v>
      </c>
    </row>
    <row r="1661">
      <c r="Y1661" s="372">
        <v>0.0</v>
      </c>
      <c r="Z1661" s="372">
        <v>0.0</v>
      </c>
    </row>
    <row r="1662">
      <c r="Y1662" s="372">
        <v>0.0</v>
      </c>
      <c r="Z1662" s="372">
        <v>0.0</v>
      </c>
    </row>
    <row r="1663">
      <c r="Y1663" s="372">
        <v>0.0</v>
      </c>
      <c r="Z1663" s="372">
        <v>0.0</v>
      </c>
    </row>
    <row r="1664">
      <c r="Y1664" s="372">
        <v>0.0</v>
      </c>
      <c r="Z1664" s="372">
        <v>0.0</v>
      </c>
    </row>
    <row r="1665">
      <c r="Y1665" s="372">
        <v>0.0</v>
      </c>
      <c r="Z1665" s="372">
        <v>0.0</v>
      </c>
    </row>
    <row r="1666">
      <c r="Y1666" s="372">
        <v>0.0</v>
      </c>
      <c r="Z1666" s="372">
        <v>0.0</v>
      </c>
    </row>
    <row r="1667">
      <c r="Y1667" s="372">
        <v>0.0</v>
      </c>
      <c r="Z1667" s="372">
        <v>0.0</v>
      </c>
    </row>
    <row r="1668">
      <c r="Y1668" s="372">
        <v>0.0</v>
      </c>
      <c r="Z1668" s="372">
        <v>0.0</v>
      </c>
    </row>
    <row r="1669">
      <c r="Y1669" s="372">
        <v>0.0</v>
      </c>
      <c r="Z1669" s="372">
        <v>0.0</v>
      </c>
    </row>
    <row r="1670">
      <c r="Y1670" s="372">
        <v>0.0</v>
      </c>
      <c r="Z1670" s="372">
        <v>0.0</v>
      </c>
    </row>
    <row r="1671">
      <c r="Y1671" s="372">
        <v>0.0</v>
      </c>
      <c r="Z1671" s="372">
        <v>0.0</v>
      </c>
    </row>
    <row r="1672">
      <c r="Y1672" s="372">
        <v>0.0</v>
      </c>
      <c r="Z1672" s="372">
        <v>0.0</v>
      </c>
    </row>
    <row r="1673">
      <c r="Y1673" s="372">
        <v>0.0</v>
      </c>
      <c r="Z1673" s="372">
        <v>0.0</v>
      </c>
    </row>
    <row r="1674">
      <c r="Y1674" s="372">
        <v>0.0</v>
      </c>
      <c r="Z1674" s="372">
        <v>0.0</v>
      </c>
    </row>
    <row r="1675">
      <c r="Y1675" s="372">
        <v>0.0</v>
      </c>
      <c r="Z1675" s="372">
        <v>0.0</v>
      </c>
    </row>
    <row r="1676">
      <c r="Y1676" s="372">
        <v>0.0</v>
      </c>
      <c r="Z1676" s="372">
        <v>0.0</v>
      </c>
    </row>
    <row r="1677">
      <c r="Y1677" s="372">
        <v>0.0</v>
      </c>
      <c r="Z1677" s="372">
        <v>0.0</v>
      </c>
    </row>
    <row r="1678">
      <c r="Y1678" s="372">
        <v>0.0</v>
      </c>
      <c r="Z1678" s="372">
        <v>0.0</v>
      </c>
    </row>
    <row r="1679">
      <c r="Y1679" s="372">
        <v>0.0</v>
      </c>
      <c r="Z1679" s="372">
        <v>0.0</v>
      </c>
    </row>
    <row r="1680">
      <c r="Y1680" s="372">
        <v>0.0</v>
      </c>
      <c r="Z1680" s="372">
        <v>0.0</v>
      </c>
    </row>
    <row r="1681">
      <c r="Y1681" s="372">
        <v>0.0</v>
      </c>
      <c r="Z1681" s="372">
        <v>0.0</v>
      </c>
    </row>
    <row r="1682">
      <c r="Y1682" s="372">
        <v>0.0</v>
      </c>
      <c r="Z1682" s="372">
        <v>0.0</v>
      </c>
    </row>
    <row r="1683">
      <c r="Y1683" s="372">
        <v>0.0</v>
      </c>
      <c r="Z1683" s="372">
        <v>0.0</v>
      </c>
    </row>
    <row r="1684">
      <c r="Y1684" s="372">
        <v>0.0</v>
      </c>
      <c r="Z1684" s="372">
        <v>0.0</v>
      </c>
    </row>
    <row r="1685">
      <c r="Y1685" s="372">
        <v>0.0</v>
      </c>
      <c r="Z1685" s="372">
        <v>0.0</v>
      </c>
    </row>
    <row r="1686">
      <c r="Y1686" s="372">
        <v>0.0</v>
      </c>
      <c r="Z1686" s="372">
        <v>0.0</v>
      </c>
    </row>
    <row r="1687">
      <c r="Y1687" s="372">
        <v>0.0</v>
      </c>
      <c r="Z1687" s="372">
        <v>0.0</v>
      </c>
    </row>
    <row r="1688">
      <c r="Y1688" s="372">
        <v>0.0</v>
      </c>
      <c r="Z1688" s="372">
        <v>0.0</v>
      </c>
    </row>
    <row r="1689">
      <c r="Y1689" s="372">
        <v>0.0</v>
      </c>
      <c r="Z1689" s="372">
        <v>0.0</v>
      </c>
    </row>
    <row r="1690">
      <c r="Y1690" s="372">
        <v>0.0</v>
      </c>
      <c r="Z1690" s="372">
        <v>0.0</v>
      </c>
    </row>
    <row r="1691">
      <c r="Y1691" s="372">
        <v>0.0</v>
      </c>
      <c r="Z1691" s="372">
        <v>0.0</v>
      </c>
    </row>
    <row r="1692">
      <c r="Y1692" s="372">
        <v>0.0</v>
      </c>
      <c r="Z1692" s="372">
        <v>0.0</v>
      </c>
    </row>
    <row r="1693">
      <c r="Y1693" s="372">
        <v>0.0</v>
      </c>
      <c r="Z1693" s="372">
        <v>0.0</v>
      </c>
    </row>
    <row r="1694">
      <c r="Y1694" s="372">
        <v>0.0</v>
      </c>
      <c r="Z1694" s="372">
        <v>0.0</v>
      </c>
    </row>
    <row r="1695">
      <c r="Y1695" s="372">
        <v>0.0</v>
      </c>
      <c r="Z1695" s="372">
        <v>0.0</v>
      </c>
    </row>
    <row r="1696">
      <c r="Y1696" s="372">
        <v>0.0</v>
      </c>
      <c r="Z1696" s="372">
        <v>0.0</v>
      </c>
    </row>
    <row r="1697">
      <c r="Y1697" s="372">
        <v>0.0</v>
      </c>
      <c r="Z1697" s="372">
        <v>0.0</v>
      </c>
    </row>
    <row r="1698">
      <c r="Y1698" s="372">
        <v>0.0</v>
      </c>
      <c r="Z1698" s="372">
        <v>0.0</v>
      </c>
    </row>
    <row r="1699">
      <c r="Y1699" s="372">
        <v>0.0</v>
      </c>
      <c r="Z1699" s="372">
        <v>0.0</v>
      </c>
    </row>
    <row r="1700">
      <c r="Y1700" s="372">
        <v>0.0</v>
      </c>
      <c r="Z1700" s="372">
        <v>0.0</v>
      </c>
    </row>
    <row r="1701">
      <c r="Y1701" s="372">
        <v>0.0</v>
      </c>
      <c r="Z1701" s="372">
        <v>0.0</v>
      </c>
    </row>
    <row r="1702">
      <c r="Y1702" s="372">
        <v>0.0</v>
      </c>
      <c r="Z1702" s="372">
        <v>0.0</v>
      </c>
    </row>
    <row r="1703">
      <c r="Y1703" s="372">
        <v>0.0</v>
      </c>
      <c r="Z1703" s="372">
        <v>0.0</v>
      </c>
    </row>
    <row r="1704">
      <c r="Y1704" s="372">
        <v>0.0</v>
      </c>
      <c r="Z1704" s="372">
        <v>0.0</v>
      </c>
    </row>
    <row r="1705">
      <c r="Y1705" s="372">
        <v>0.0</v>
      </c>
      <c r="Z1705" s="372">
        <v>0.0</v>
      </c>
    </row>
    <row r="1706">
      <c r="Y1706" s="372">
        <v>0.0</v>
      </c>
      <c r="Z1706" s="372">
        <v>0.0</v>
      </c>
    </row>
    <row r="1707">
      <c r="Y1707" s="372">
        <v>0.0</v>
      </c>
      <c r="Z1707" s="372">
        <v>0.0</v>
      </c>
    </row>
    <row r="1708">
      <c r="Y1708" s="372">
        <v>0.0</v>
      </c>
      <c r="Z1708" s="372">
        <v>0.0</v>
      </c>
    </row>
    <row r="1709">
      <c r="Y1709" s="372">
        <v>0.0</v>
      </c>
      <c r="Z1709" s="372">
        <v>0.0</v>
      </c>
    </row>
    <row r="1710">
      <c r="Y1710" s="372">
        <v>0.0</v>
      </c>
      <c r="Z1710" s="372">
        <v>0.0</v>
      </c>
    </row>
    <row r="1711">
      <c r="Y1711" s="372">
        <v>0.0</v>
      </c>
      <c r="Z1711" s="372">
        <v>0.0</v>
      </c>
    </row>
    <row r="1712">
      <c r="Y1712" s="372">
        <v>0.0</v>
      </c>
      <c r="Z1712" s="372">
        <v>0.0</v>
      </c>
    </row>
    <row r="1713">
      <c r="Y1713" s="372">
        <v>0.0</v>
      </c>
      <c r="Z1713" s="372">
        <v>0.0</v>
      </c>
    </row>
    <row r="1714">
      <c r="Y1714" s="372">
        <v>0.0</v>
      </c>
      <c r="Z1714" s="372">
        <v>0.0</v>
      </c>
    </row>
    <row r="1715">
      <c r="Y1715" s="372">
        <v>0.0</v>
      </c>
      <c r="Z1715" s="372">
        <v>0.0</v>
      </c>
    </row>
    <row r="1716">
      <c r="Y1716" s="372">
        <v>0.0</v>
      </c>
      <c r="Z1716" s="372">
        <v>0.0</v>
      </c>
    </row>
    <row r="1717">
      <c r="Y1717" s="372">
        <v>0.0</v>
      </c>
      <c r="Z1717" s="372">
        <v>0.0</v>
      </c>
    </row>
    <row r="1718">
      <c r="Y1718" s="372">
        <v>0.0</v>
      </c>
      <c r="Z1718" s="372">
        <v>0.0</v>
      </c>
    </row>
    <row r="1719">
      <c r="Y1719" s="372">
        <v>0.0</v>
      </c>
      <c r="Z1719" s="372">
        <v>0.0</v>
      </c>
    </row>
    <row r="1720">
      <c r="Y1720" s="372">
        <v>0.0</v>
      </c>
      <c r="Z1720" s="372">
        <v>0.0</v>
      </c>
    </row>
    <row r="1721">
      <c r="Y1721" s="372">
        <v>0.0</v>
      </c>
      <c r="Z1721" s="372">
        <v>0.0</v>
      </c>
    </row>
    <row r="1722">
      <c r="Y1722" s="372">
        <v>0.0</v>
      </c>
      <c r="Z1722" s="372">
        <v>0.0</v>
      </c>
    </row>
    <row r="1723">
      <c r="Y1723" s="372">
        <v>0.0</v>
      </c>
      <c r="Z1723" s="372">
        <v>0.0</v>
      </c>
    </row>
    <row r="1724">
      <c r="Y1724" s="372">
        <v>0.0</v>
      </c>
      <c r="Z1724" s="372">
        <v>0.0</v>
      </c>
    </row>
    <row r="1725">
      <c r="Y1725" s="372">
        <v>0.0</v>
      </c>
      <c r="Z1725" s="372">
        <v>0.0</v>
      </c>
    </row>
    <row r="1726">
      <c r="Y1726" s="372">
        <v>0.0</v>
      </c>
      <c r="Z1726" s="372">
        <v>0.0</v>
      </c>
    </row>
    <row r="1727">
      <c r="Y1727" s="372">
        <v>0.0</v>
      </c>
      <c r="Z1727" s="372">
        <v>0.0</v>
      </c>
    </row>
    <row r="1728">
      <c r="Y1728" s="372">
        <v>0.0</v>
      </c>
      <c r="Z1728" s="372">
        <v>0.0</v>
      </c>
    </row>
    <row r="1729">
      <c r="Y1729" s="372">
        <v>0.0</v>
      </c>
      <c r="Z1729" s="372">
        <v>0.0</v>
      </c>
    </row>
    <row r="1730">
      <c r="Y1730" s="372">
        <v>0.0</v>
      </c>
      <c r="Z1730" s="372">
        <v>0.0</v>
      </c>
    </row>
    <row r="1731">
      <c r="Y1731" s="372">
        <v>0.0</v>
      </c>
      <c r="Z1731" s="372">
        <v>0.0</v>
      </c>
    </row>
    <row r="1732">
      <c r="Y1732" s="372">
        <v>0.0</v>
      </c>
      <c r="Z1732" s="372">
        <v>0.0</v>
      </c>
    </row>
    <row r="1733">
      <c r="Y1733" s="372">
        <v>0.0</v>
      </c>
      <c r="Z1733" s="372">
        <v>0.0</v>
      </c>
    </row>
    <row r="1734">
      <c r="Y1734" s="372">
        <v>0.0</v>
      </c>
      <c r="Z1734" s="372">
        <v>0.0</v>
      </c>
    </row>
    <row r="1735">
      <c r="Y1735" s="372">
        <v>0.0</v>
      </c>
      <c r="Z1735" s="372">
        <v>0.0</v>
      </c>
    </row>
    <row r="1736">
      <c r="Y1736" s="372">
        <v>0.0</v>
      </c>
      <c r="Z1736" s="372">
        <v>0.0</v>
      </c>
    </row>
    <row r="1737">
      <c r="Y1737" s="372">
        <v>0.0</v>
      </c>
      <c r="Z1737" s="372">
        <v>0.0</v>
      </c>
    </row>
    <row r="1738">
      <c r="Y1738" s="372">
        <v>0.0</v>
      </c>
      <c r="Z1738" s="372">
        <v>0.0</v>
      </c>
    </row>
    <row r="1739">
      <c r="Y1739" s="372">
        <v>0.0</v>
      </c>
      <c r="Z1739" s="372">
        <v>0.0</v>
      </c>
    </row>
    <row r="1740">
      <c r="Y1740" s="372">
        <v>0.0</v>
      </c>
      <c r="Z1740" s="372">
        <v>0.0</v>
      </c>
    </row>
    <row r="1741">
      <c r="Y1741" s="372">
        <v>0.0</v>
      </c>
      <c r="Z1741" s="372">
        <v>0.0</v>
      </c>
    </row>
    <row r="1742">
      <c r="Y1742" s="372">
        <v>0.0</v>
      </c>
      <c r="Z1742" s="372">
        <v>0.0</v>
      </c>
    </row>
    <row r="1743">
      <c r="Y1743" s="372">
        <v>0.0</v>
      </c>
      <c r="Z1743" s="372">
        <v>0.0</v>
      </c>
    </row>
    <row r="1744">
      <c r="Y1744" s="372">
        <v>0.0</v>
      </c>
      <c r="Z1744" s="372">
        <v>0.0</v>
      </c>
    </row>
    <row r="1745">
      <c r="Y1745" s="372">
        <v>0.0</v>
      </c>
      <c r="Z1745" s="372">
        <v>0.0</v>
      </c>
    </row>
    <row r="1746">
      <c r="Y1746" s="372">
        <v>0.0</v>
      </c>
      <c r="Z1746" s="372">
        <v>0.0</v>
      </c>
    </row>
    <row r="1747">
      <c r="Y1747" s="372">
        <v>0.0</v>
      </c>
      <c r="Z1747" s="372">
        <v>0.0</v>
      </c>
    </row>
    <row r="1748">
      <c r="Y1748" s="372">
        <v>0.0</v>
      </c>
      <c r="Z1748" s="372">
        <v>0.0</v>
      </c>
    </row>
    <row r="1749">
      <c r="Y1749" s="372">
        <v>0.0</v>
      </c>
      <c r="Z1749" s="372">
        <v>0.0</v>
      </c>
    </row>
    <row r="1750">
      <c r="Y1750" s="372">
        <v>0.0</v>
      </c>
      <c r="Z1750" s="372">
        <v>0.0</v>
      </c>
    </row>
    <row r="1751">
      <c r="Y1751" s="372">
        <v>0.0</v>
      </c>
      <c r="Z1751" s="372">
        <v>0.0</v>
      </c>
    </row>
    <row r="1752">
      <c r="Y1752" s="372">
        <v>0.0</v>
      </c>
      <c r="Z1752" s="372">
        <v>0.0</v>
      </c>
    </row>
    <row r="1753">
      <c r="Y1753" s="372">
        <v>0.0</v>
      </c>
      <c r="Z1753" s="372">
        <v>0.0</v>
      </c>
    </row>
    <row r="1754">
      <c r="Y1754" s="372">
        <v>0.0</v>
      </c>
      <c r="Z1754" s="372">
        <v>0.0</v>
      </c>
    </row>
    <row r="1755">
      <c r="Y1755" s="372">
        <v>0.0</v>
      </c>
      <c r="Z1755" s="372">
        <v>0.0</v>
      </c>
    </row>
    <row r="1756">
      <c r="Y1756" s="372">
        <v>0.0</v>
      </c>
      <c r="Z1756" s="372">
        <v>0.0</v>
      </c>
    </row>
    <row r="1757">
      <c r="Y1757" s="372">
        <v>0.0</v>
      </c>
      <c r="Z1757" s="372">
        <v>0.0</v>
      </c>
    </row>
    <row r="1758">
      <c r="Y1758" s="372">
        <v>0.0</v>
      </c>
      <c r="Z1758" s="372">
        <v>0.0</v>
      </c>
    </row>
    <row r="1759">
      <c r="Y1759" s="372">
        <v>0.0</v>
      </c>
      <c r="Z1759" s="372">
        <v>0.0</v>
      </c>
    </row>
    <row r="1760">
      <c r="Y1760" s="372">
        <v>0.0</v>
      </c>
      <c r="Z1760" s="372">
        <v>0.0</v>
      </c>
    </row>
    <row r="1761">
      <c r="Y1761" s="372">
        <v>0.0</v>
      </c>
      <c r="Z1761" s="372">
        <v>0.0</v>
      </c>
    </row>
    <row r="1762">
      <c r="Y1762" s="372">
        <v>0.0</v>
      </c>
      <c r="Z1762" s="372">
        <v>0.0</v>
      </c>
    </row>
    <row r="1763">
      <c r="Y1763" s="372">
        <v>0.0</v>
      </c>
      <c r="Z1763" s="372">
        <v>0.0</v>
      </c>
    </row>
    <row r="1764">
      <c r="Y1764" s="372">
        <v>0.0</v>
      </c>
      <c r="Z1764" s="372">
        <v>0.0</v>
      </c>
    </row>
    <row r="1765">
      <c r="Y1765" s="372">
        <v>0.0</v>
      </c>
      <c r="Z1765" s="372">
        <v>0.0</v>
      </c>
    </row>
    <row r="1766">
      <c r="Y1766" s="372">
        <v>0.0</v>
      </c>
      <c r="Z1766" s="372">
        <v>0.0</v>
      </c>
    </row>
    <row r="1767">
      <c r="Y1767" s="372">
        <v>0.0</v>
      </c>
      <c r="Z1767" s="372">
        <v>0.0</v>
      </c>
    </row>
    <row r="1768">
      <c r="Y1768" s="372">
        <v>0.0</v>
      </c>
      <c r="Z1768" s="372">
        <v>0.0</v>
      </c>
    </row>
    <row r="1769">
      <c r="Y1769" s="372">
        <v>0.0</v>
      </c>
      <c r="Z1769" s="372">
        <v>0.0</v>
      </c>
    </row>
    <row r="1770">
      <c r="Y1770" s="372">
        <v>0.0</v>
      </c>
      <c r="Z1770" s="372">
        <v>0.0</v>
      </c>
    </row>
    <row r="1771">
      <c r="Y1771" s="372">
        <v>0.0</v>
      </c>
      <c r="Z1771" s="372">
        <v>0.0</v>
      </c>
    </row>
    <row r="1772">
      <c r="Y1772" s="372">
        <v>0.0</v>
      </c>
      <c r="Z1772" s="372">
        <v>0.0</v>
      </c>
    </row>
    <row r="1773">
      <c r="Y1773" s="372">
        <v>0.0</v>
      </c>
      <c r="Z1773" s="372">
        <v>0.0</v>
      </c>
    </row>
    <row r="1774">
      <c r="Y1774" s="372">
        <v>0.0</v>
      </c>
      <c r="Z1774" s="372">
        <v>0.0</v>
      </c>
    </row>
    <row r="1775">
      <c r="Y1775" s="372">
        <v>0.0</v>
      </c>
      <c r="Z1775" s="372">
        <v>0.0</v>
      </c>
    </row>
    <row r="1776">
      <c r="Y1776" s="372">
        <v>0.0</v>
      </c>
      <c r="Z1776" s="372">
        <v>0.0</v>
      </c>
    </row>
    <row r="1777">
      <c r="Y1777" s="372">
        <v>0.0</v>
      </c>
      <c r="Z1777" s="372">
        <v>0.0</v>
      </c>
    </row>
    <row r="1778">
      <c r="Y1778" s="372">
        <v>0.0</v>
      </c>
      <c r="Z1778" s="372">
        <v>0.0</v>
      </c>
    </row>
    <row r="1779">
      <c r="Y1779" s="372">
        <v>0.0</v>
      </c>
      <c r="Z1779" s="372">
        <v>0.0</v>
      </c>
    </row>
    <row r="1780">
      <c r="Y1780" s="372">
        <v>0.0</v>
      </c>
      <c r="Z1780" s="372">
        <v>0.0</v>
      </c>
    </row>
    <row r="1781">
      <c r="Y1781" s="372">
        <v>0.0</v>
      </c>
      <c r="Z1781" s="372">
        <v>0.0</v>
      </c>
    </row>
    <row r="1782">
      <c r="Y1782" s="372">
        <v>0.0</v>
      </c>
      <c r="Z1782" s="372">
        <v>0.0</v>
      </c>
    </row>
    <row r="1783">
      <c r="Y1783" s="372">
        <v>0.0</v>
      </c>
      <c r="Z1783" s="372">
        <v>0.0</v>
      </c>
    </row>
    <row r="1784">
      <c r="Y1784" s="372">
        <v>0.0</v>
      </c>
      <c r="Z1784" s="372">
        <v>0.0</v>
      </c>
    </row>
    <row r="1785">
      <c r="Y1785" s="372">
        <v>0.0</v>
      </c>
      <c r="Z1785" s="372">
        <v>0.0</v>
      </c>
    </row>
    <row r="1786">
      <c r="Y1786" s="372">
        <v>0.0</v>
      </c>
      <c r="Z1786" s="372">
        <v>0.0</v>
      </c>
    </row>
    <row r="1787">
      <c r="Y1787" s="372">
        <v>0.0</v>
      </c>
      <c r="Z1787" s="372">
        <v>0.0</v>
      </c>
    </row>
    <row r="1788">
      <c r="Y1788" s="372">
        <v>0.0</v>
      </c>
      <c r="Z1788" s="372">
        <v>0.0</v>
      </c>
    </row>
    <row r="1789">
      <c r="Y1789" s="372">
        <v>0.0</v>
      </c>
      <c r="Z1789" s="372">
        <v>0.0</v>
      </c>
    </row>
    <row r="1790">
      <c r="Y1790" s="372">
        <v>0.0</v>
      </c>
      <c r="Z1790" s="372">
        <v>0.0</v>
      </c>
    </row>
    <row r="1791">
      <c r="Y1791" s="372">
        <v>0.0</v>
      </c>
      <c r="Z1791" s="372">
        <v>0.0</v>
      </c>
    </row>
    <row r="1792">
      <c r="Y1792" s="372">
        <v>0.0</v>
      </c>
      <c r="Z1792" s="372">
        <v>0.0</v>
      </c>
    </row>
    <row r="1793">
      <c r="Y1793" s="372">
        <v>0.0</v>
      </c>
      <c r="Z1793" s="372">
        <v>0.0</v>
      </c>
    </row>
    <row r="1794">
      <c r="Y1794" s="372">
        <v>0.0</v>
      </c>
      <c r="Z1794" s="372">
        <v>0.0</v>
      </c>
    </row>
    <row r="1795">
      <c r="Y1795" s="372">
        <v>0.0</v>
      </c>
      <c r="Z1795" s="372">
        <v>0.0</v>
      </c>
    </row>
    <row r="1796">
      <c r="Y1796" s="372">
        <v>0.0</v>
      </c>
      <c r="Z1796" s="372">
        <v>0.0</v>
      </c>
    </row>
    <row r="1797">
      <c r="Y1797" s="372">
        <v>0.0</v>
      </c>
      <c r="Z1797" s="372">
        <v>0.0</v>
      </c>
    </row>
    <row r="1798">
      <c r="Y1798" s="372">
        <v>0.0</v>
      </c>
      <c r="Z1798" s="372">
        <v>0.0</v>
      </c>
    </row>
    <row r="1799">
      <c r="Y1799" s="372">
        <v>0.0</v>
      </c>
      <c r="Z1799" s="372">
        <v>0.0</v>
      </c>
    </row>
    <row r="1800">
      <c r="Y1800" s="372">
        <v>0.0</v>
      </c>
      <c r="Z1800" s="372">
        <v>0.0</v>
      </c>
    </row>
    <row r="1801">
      <c r="Y1801" s="372">
        <v>0.0</v>
      </c>
      <c r="Z1801" s="372">
        <v>0.0</v>
      </c>
    </row>
    <row r="1802">
      <c r="Y1802" s="372">
        <v>0.0</v>
      </c>
      <c r="Z1802" s="372">
        <v>0.0</v>
      </c>
    </row>
    <row r="1803">
      <c r="Y1803" s="372">
        <v>0.0</v>
      </c>
      <c r="Z1803" s="372">
        <v>0.0</v>
      </c>
    </row>
    <row r="1804">
      <c r="Y1804" s="372">
        <v>0.0</v>
      </c>
      <c r="Z1804" s="372">
        <v>0.0</v>
      </c>
    </row>
    <row r="1805">
      <c r="Y1805" s="372">
        <v>0.0</v>
      </c>
      <c r="Z1805" s="372">
        <v>0.0</v>
      </c>
    </row>
    <row r="1806">
      <c r="Y1806" s="372">
        <v>0.0</v>
      </c>
      <c r="Z1806" s="372">
        <v>0.0</v>
      </c>
    </row>
    <row r="1807">
      <c r="Y1807" s="372">
        <v>0.0</v>
      </c>
      <c r="Z1807" s="372">
        <v>0.0</v>
      </c>
    </row>
    <row r="1808">
      <c r="Y1808" s="372">
        <v>0.0</v>
      </c>
      <c r="Z1808" s="372">
        <v>0.0</v>
      </c>
    </row>
    <row r="1809">
      <c r="Y1809" s="372">
        <v>0.0</v>
      </c>
      <c r="Z1809" s="372">
        <v>0.0</v>
      </c>
    </row>
    <row r="1810">
      <c r="Y1810" s="372">
        <v>0.0</v>
      </c>
      <c r="Z1810" s="372">
        <v>0.0</v>
      </c>
    </row>
    <row r="1811">
      <c r="Y1811" s="372">
        <v>0.0</v>
      </c>
      <c r="Z1811" s="372">
        <v>0.0</v>
      </c>
    </row>
    <row r="1812">
      <c r="Y1812" s="372">
        <v>0.0</v>
      </c>
      <c r="Z1812" s="372">
        <v>0.0</v>
      </c>
    </row>
    <row r="1813">
      <c r="Y1813" s="372">
        <v>0.0</v>
      </c>
      <c r="Z1813" s="372">
        <v>0.0</v>
      </c>
    </row>
    <row r="1814">
      <c r="Y1814" s="372">
        <v>0.0</v>
      </c>
      <c r="Z1814" s="372">
        <v>0.0</v>
      </c>
    </row>
    <row r="1815">
      <c r="Y1815" s="372">
        <v>0.0</v>
      </c>
      <c r="Z1815" s="372">
        <v>0.0</v>
      </c>
    </row>
    <row r="1816">
      <c r="Y1816" s="372">
        <v>0.0</v>
      </c>
      <c r="Z1816" s="372">
        <v>0.0</v>
      </c>
    </row>
    <row r="1817">
      <c r="Y1817" s="372">
        <v>0.0</v>
      </c>
      <c r="Z1817" s="372">
        <v>0.0</v>
      </c>
    </row>
    <row r="1818">
      <c r="Y1818" s="372">
        <v>0.0</v>
      </c>
      <c r="Z1818" s="372">
        <v>0.0</v>
      </c>
    </row>
    <row r="1819">
      <c r="Y1819" s="372">
        <v>0.0</v>
      </c>
      <c r="Z1819" s="372">
        <v>0.0</v>
      </c>
    </row>
    <row r="1820">
      <c r="Y1820" s="372">
        <v>0.0</v>
      </c>
      <c r="Z1820" s="372">
        <v>0.0</v>
      </c>
    </row>
    <row r="1821">
      <c r="Y1821" s="372">
        <v>0.0</v>
      </c>
      <c r="Z1821" s="372">
        <v>0.0</v>
      </c>
    </row>
    <row r="1822">
      <c r="Y1822" s="372">
        <v>0.0</v>
      </c>
      <c r="Z1822" s="372">
        <v>0.0</v>
      </c>
    </row>
    <row r="1823">
      <c r="Y1823" s="372">
        <v>0.0</v>
      </c>
      <c r="Z1823" s="372">
        <v>0.0</v>
      </c>
    </row>
    <row r="1824">
      <c r="Y1824" s="372">
        <v>0.0</v>
      </c>
      <c r="Z1824" s="372">
        <v>0.0</v>
      </c>
    </row>
    <row r="1825">
      <c r="Y1825" s="372">
        <v>0.0</v>
      </c>
      <c r="Z1825" s="372">
        <v>0.0</v>
      </c>
    </row>
    <row r="1826">
      <c r="Y1826" s="372">
        <v>0.0</v>
      </c>
      <c r="Z1826" s="372">
        <v>0.0</v>
      </c>
    </row>
    <row r="1827">
      <c r="Y1827" s="372">
        <v>0.0</v>
      </c>
      <c r="Z1827" s="372">
        <v>0.0</v>
      </c>
    </row>
    <row r="1828">
      <c r="Y1828" s="372">
        <v>0.0</v>
      </c>
      <c r="Z1828" s="372">
        <v>0.0</v>
      </c>
    </row>
    <row r="1829">
      <c r="Y1829" s="372">
        <v>0.0</v>
      </c>
      <c r="Z1829" s="372">
        <v>0.0</v>
      </c>
    </row>
    <row r="1830">
      <c r="Y1830" s="372">
        <v>0.0</v>
      </c>
      <c r="Z1830" s="372">
        <v>0.0</v>
      </c>
    </row>
    <row r="1831">
      <c r="Y1831" s="372">
        <v>0.0</v>
      </c>
      <c r="Z1831" s="372">
        <v>0.0</v>
      </c>
    </row>
    <row r="1832">
      <c r="Y1832" s="372">
        <v>0.0</v>
      </c>
      <c r="Z1832" s="372">
        <v>0.0</v>
      </c>
    </row>
    <row r="1833">
      <c r="Y1833" s="372">
        <v>0.0</v>
      </c>
      <c r="Z1833" s="372">
        <v>0.0</v>
      </c>
    </row>
    <row r="1834">
      <c r="Y1834" s="372">
        <v>0.0</v>
      </c>
      <c r="Z1834" s="372">
        <v>0.0</v>
      </c>
    </row>
    <row r="1835">
      <c r="Y1835" s="372">
        <v>0.0</v>
      </c>
      <c r="Z1835" s="372">
        <v>0.0</v>
      </c>
    </row>
    <row r="1836">
      <c r="Y1836" s="372">
        <v>0.0</v>
      </c>
      <c r="Z1836" s="372">
        <v>0.0</v>
      </c>
    </row>
    <row r="1837">
      <c r="Y1837" s="372">
        <v>0.0</v>
      </c>
      <c r="Z1837" s="372">
        <v>0.0</v>
      </c>
    </row>
    <row r="1838">
      <c r="Y1838" s="372">
        <v>0.0</v>
      </c>
      <c r="Z1838" s="372">
        <v>0.0</v>
      </c>
    </row>
    <row r="1839">
      <c r="Y1839" s="372">
        <v>0.0</v>
      </c>
      <c r="Z1839" s="372">
        <v>0.0</v>
      </c>
    </row>
    <row r="1840">
      <c r="Y1840" s="372">
        <v>0.0</v>
      </c>
      <c r="Z1840" s="372">
        <v>0.0</v>
      </c>
    </row>
    <row r="1841">
      <c r="Y1841" s="372">
        <v>0.0</v>
      </c>
      <c r="Z1841" s="372">
        <v>0.0</v>
      </c>
    </row>
    <row r="1842">
      <c r="Y1842" s="372">
        <v>0.0</v>
      </c>
      <c r="Z1842" s="372">
        <v>0.0</v>
      </c>
    </row>
    <row r="1843">
      <c r="Y1843" s="372">
        <v>0.0</v>
      </c>
      <c r="Z1843" s="372">
        <v>0.0</v>
      </c>
    </row>
    <row r="1844">
      <c r="Y1844" s="372">
        <v>0.0</v>
      </c>
      <c r="Z1844" s="372">
        <v>0.0</v>
      </c>
    </row>
    <row r="1845">
      <c r="Y1845" s="372">
        <v>0.0</v>
      </c>
      <c r="Z1845" s="372">
        <v>0.0</v>
      </c>
    </row>
    <row r="1846">
      <c r="Y1846" s="372">
        <v>0.0</v>
      </c>
      <c r="Z1846" s="372">
        <v>0.0</v>
      </c>
    </row>
    <row r="1847">
      <c r="Y1847" s="372">
        <v>0.0</v>
      </c>
      <c r="Z1847" s="372">
        <v>0.0</v>
      </c>
    </row>
    <row r="1848">
      <c r="Y1848" s="372">
        <v>0.0</v>
      </c>
      <c r="Z1848" s="372">
        <v>0.0</v>
      </c>
    </row>
    <row r="1849">
      <c r="Y1849" s="372">
        <v>0.0</v>
      </c>
      <c r="Z1849" s="372">
        <v>0.0</v>
      </c>
    </row>
    <row r="1850">
      <c r="Y1850" s="372">
        <v>0.0</v>
      </c>
      <c r="Z1850" s="372">
        <v>0.0</v>
      </c>
    </row>
    <row r="1851">
      <c r="Y1851" s="372">
        <v>0.0</v>
      </c>
      <c r="Z1851" s="372">
        <v>0.0</v>
      </c>
    </row>
    <row r="1852">
      <c r="Y1852" s="372">
        <v>0.0</v>
      </c>
      <c r="Z1852" s="372">
        <v>0.0</v>
      </c>
    </row>
    <row r="1853">
      <c r="Y1853" s="372">
        <v>0.0</v>
      </c>
      <c r="Z1853" s="372">
        <v>0.0</v>
      </c>
    </row>
    <row r="1854">
      <c r="Y1854" s="372">
        <v>0.0</v>
      </c>
      <c r="Z1854" s="372">
        <v>0.0</v>
      </c>
    </row>
    <row r="1855">
      <c r="Y1855" s="372">
        <v>0.0</v>
      </c>
      <c r="Z1855" s="372">
        <v>0.0</v>
      </c>
    </row>
    <row r="1856">
      <c r="Y1856" s="372">
        <v>0.0</v>
      </c>
      <c r="Z1856" s="372">
        <v>0.0</v>
      </c>
    </row>
    <row r="1857">
      <c r="Y1857" s="372">
        <v>0.0</v>
      </c>
      <c r="Z1857" s="372">
        <v>0.0</v>
      </c>
    </row>
    <row r="1858">
      <c r="Y1858" s="372">
        <v>0.0</v>
      </c>
      <c r="Z1858" s="372">
        <v>0.0</v>
      </c>
    </row>
    <row r="1859">
      <c r="Y1859" s="372">
        <v>0.0</v>
      </c>
      <c r="Z1859" s="372">
        <v>0.0</v>
      </c>
    </row>
    <row r="1860">
      <c r="Y1860" s="372">
        <v>0.0</v>
      </c>
      <c r="Z1860" s="372">
        <v>0.0</v>
      </c>
    </row>
    <row r="1861">
      <c r="Y1861" s="372">
        <v>0.0</v>
      </c>
      <c r="Z1861" s="372">
        <v>0.0</v>
      </c>
    </row>
    <row r="1862">
      <c r="Y1862" s="372">
        <v>0.0</v>
      </c>
      <c r="Z1862" s="372">
        <v>0.0</v>
      </c>
    </row>
    <row r="1863">
      <c r="Y1863" s="372">
        <v>0.0</v>
      </c>
      <c r="Z1863" s="372">
        <v>0.0</v>
      </c>
    </row>
    <row r="1864">
      <c r="Y1864" s="372">
        <v>0.0</v>
      </c>
      <c r="Z1864" s="372">
        <v>0.0</v>
      </c>
    </row>
    <row r="1865">
      <c r="Y1865" s="372">
        <v>0.0</v>
      </c>
      <c r="Z1865" s="372">
        <v>0.0</v>
      </c>
    </row>
    <row r="1866">
      <c r="Y1866" s="372">
        <v>0.0</v>
      </c>
      <c r="Z1866" s="372">
        <v>0.0</v>
      </c>
    </row>
    <row r="1867">
      <c r="Y1867" s="372">
        <v>0.0</v>
      </c>
      <c r="Z1867" s="372">
        <v>0.0</v>
      </c>
    </row>
    <row r="1868">
      <c r="Y1868" s="372">
        <v>0.0</v>
      </c>
      <c r="Z1868" s="372">
        <v>0.0</v>
      </c>
    </row>
    <row r="1869">
      <c r="Y1869" s="372">
        <v>0.0</v>
      </c>
      <c r="Z1869" s="372">
        <v>0.0</v>
      </c>
    </row>
    <row r="1870">
      <c r="Y1870" s="372">
        <v>0.0</v>
      </c>
      <c r="Z1870" s="372">
        <v>0.0</v>
      </c>
    </row>
    <row r="1871">
      <c r="Y1871" s="372">
        <v>0.0</v>
      </c>
      <c r="Z1871" s="372">
        <v>0.0</v>
      </c>
    </row>
    <row r="1872">
      <c r="Y1872" s="372">
        <v>0.0</v>
      </c>
      <c r="Z1872" s="372">
        <v>0.0</v>
      </c>
    </row>
    <row r="1873">
      <c r="Y1873" s="372">
        <v>0.0</v>
      </c>
      <c r="Z1873" s="372">
        <v>0.0</v>
      </c>
    </row>
    <row r="1874">
      <c r="Y1874" s="372">
        <v>0.0</v>
      </c>
      <c r="Z1874" s="372">
        <v>0.0</v>
      </c>
    </row>
    <row r="1875">
      <c r="Y1875" s="372">
        <v>0.0</v>
      </c>
      <c r="Z1875" s="372">
        <v>0.0</v>
      </c>
    </row>
    <row r="1876">
      <c r="Y1876" s="372">
        <v>0.0</v>
      </c>
      <c r="Z1876" s="372">
        <v>0.0</v>
      </c>
    </row>
    <row r="1877">
      <c r="Y1877" s="372">
        <v>0.0</v>
      </c>
      <c r="Z1877" s="372">
        <v>0.0</v>
      </c>
    </row>
    <row r="1878">
      <c r="Y1878" s="372">
        <v>0.0</v>
      </c>
      <c r="Z1878" s="372">
        <v>0.0</v>
      </c>
    </row>
    <row r="1879">
      <c r="Y1879" s="372">
        <v>0.0</v>
      </c>
      <c r="Z1879" s="372">
        <v>0.0</v>
      </c>
    </row>
    <row r="1880">
      <c r="Y1880" s="372">
        <v>0.0</v>
      </c>
      <c r="Z1880" s="372">
        <v>0.0</v>
      </c>
    </row>
    <row r="1881">
      <c r="Y1881" s="372">
        <v>0.0</v>
      </c>
      <c r="Z1881" s="372">
        <v>0.0</v>
      </c>
    </row>
    <row r="1882">
      <c r="Y1882" s="372">
        <v>0.0</v>
      </c>
      <c r="Z1882" s="372">
        <v>0.0</v>
      </c>
    </row>
    <row r="1883">
      <c r="Y1883" s="372">
        <v>0.0</v>
      </c>
      <c r="Z1883" s="372">
        <v>0.0</v>
      </c>
    </row>
    <row r="1884">
      <c r="Y1884" s="372">
        <v>0.0</v>
      </c>
      <c r="Z1884" s="372">
        <v>0.0</v>
      </c>
    </row>
    <row r="1885">
      <c r="Y1885" s="372">
        <v>0.0</v>
      </c>
      <c r="Z1885" s="372">
        <v>0.0</v>
      </c>
    </row>
    <row r="1886">
      <c r="Y1886" s="372">
        <v>0.0</v>
      </c>
      <c r="Z1886" s="372">
        <v>0.0</v>
      </c>
    </row>
    <row r="1887">
      <c r="Y1887" s="372">
        <v>0.0</v>
      </c>
      <c r="Z1887" s="372">
        <v>0.0</v>
      </c>
    </row>
    <row r="1888">
      <c r="Y1888" s="372">
        <v>0.0</v>
      </c>
      <c r="Z1888" s="372">
        <v>0.0</v>
      </c>
    </row>
    <row r="1889">
      <c r="Y1889" s="372">
        <v>0.0</v>
      </c>
      <c r="Z1889" s="372">
        <v>0.0</v>
      </c>
    </row>
    <row r="1890">
      <c r="Y1890" s="372">
        <v>0.0</v>
      </c>
      <c r="Z1890" s="372">
        <v>0.0</v>
      </c>
    </row>
    <row r="1891">
      <c r="Y1891" s="372">
        <v>0.0</v>
      </c>
      <c r="Z1891" s="372">
        <v>0.0</v>
      </c>
    </row>
    <row r="1892">
      <c r="Y1892" s="372">
        <v>0.0</v>
      </c>
      <c r="Z1892" s="372">
        <v>0.0</v>
      </c>
    </row>
    <row r="1893">
      <c r="Y1893" s="372">
        <v>0.0</v>
      </c>
      <c r="Z1893" s="372">
        <v>0.0</v>
      </c>
    </row>
    <row r="1894">
      <c r="Y1894" s="372">
        <v>0.0</v>
      </c>
      <c r="Z1894" s="372">
        <v>0.0</v>
      </c>
    </row>
    <row r="1895">
      <c r="Y1895" s="372">
        <v>0.0</v>
      </c>
      <c r="Z1895" s="372">
        <v>0.0</v>
      </c>
    </row>
    <row r="1896">
      <c r="Y1896" s="372">
        <v>0.0</v>
      </c>
      <c r="Z1896" s="372">
        <v>0.0</v>
      </c>
    </row>
    <row r="1897">
      <c r="Y1897" s="372">
        <v>0.0</v>
      </c>
      <c r="Z1897" s="372">
        <v>0.0</v>
      </c>
    </row>
    <row r="1898">
      <c r="Y1898" s="372">
        <v>0.0</v>
      </c>
      <c r="Z1898" s="372">
        <v>0.0</v>
      </c>
    </row>
    <row r="1899">
      <c r="Y1899" s="372">
        <v>0.0</v>
      </c>
      <c r="Z1899" s="372">
        <v>0.0</v>
      </c>
    </row>
    <row r="1900">
      <c r="Y1900" s="372">
        <v>0.0</v>
      </c>
      <c r="Z1900" s="372">
        <v>0.0</v>
      </c>
    </row>
    <row r="1901">
      <c r="Y1901" s="372">
        <v>0.0</v>
      </c>
      <c r="Z1901" s="372">
        <v>0.0</v>
      </c>
    </row>
    <row r="1902">
      <c r="Y1902" s="372">
        <v>0.0</v>
      </c>
      <c r="Z1902" s="372">
        <v>0.0</v>
      </c>
    </row>
    <row r="1903">
      <c r="Y1903" s="372">
        <v>0.0</v>
      </c>
      <c r="Z1903" s="372">
        <v>0.0</v>
      </c>
    </row>
    <row r="1904">
      <c r="Y1904" s="372">
        <v>0.0</v>
      </c>
      <c r="Z1904" s="372">
        <v>0.0</v>
      </c>
    </row>
    <row r="1905">
      <c r="Y1905" s="372">
        <v>0.0</v>
      </c>
      <c r="Z1905" s="372">
        <v>0.0</v>
      </c>
    </row>
    <row r="1906">
      <c r="Y1906" s="372">
        <v>0.0</v>
      </c>
      <c r="Z1906" s="372">
        <v>0.0</v>
      </c>
    </row>
    <row r="1907">
      <c r="Y1907" s="372">
        <v>0.0</v>
      </c>
      <c r="Z1907" s="372">
        <v>0.0</v>
      </c>
    </row>
    <row r="1908">
      <c r="Y1908" s="372">
        <v>0.0</v>
      </c>
      <c r="Z1908" s="372">
        <v>0.0</v>
      </c>
    </row>
    <row r="1909">
      <c r="Y1909" s="372">
        <v>0.0</v>
      </c>
      <c r="Z1909" s="372">
        <v>0.0</v>
      </c>
    </row>
    <row r="1910">
      <c r="Y1910" s="372">
        <v>0.0</v>
      </c>
      <c r="Z1910" s="372">
        <v>0.0</v>
      </c>
    </row>
    <row r="1911">
      <c r="Y1911" s="372">
        <v>0.0</v>
      </c>
      <c r="Z1911" s="372">
        <v>0.0</v>
      </c>
    </row>
    <row r="1912">
      <c r="Y1912" s="372">
        <v>0.0</v>
      </c>
      <c r="Z1912" s="372">
        <v>0.0</v>
      </c>
    </row>
    <row r="1913">
      <c r="Y1913" s="372">
        <v>0.0</v>
      </c>
      <c r="Z1913" s="372">
        <v>0.0</v>
      </c>
    </row>
    <row r="1914">
      <c r="Y1914" s="372">
        <v>0.0</v>
      </c>
      <c r="Z1914" s="372">
        <v>0.0</v>
      </c>
    </row>
    <row r="1915">
      <c r="Y1915" s="372">
        <v>0.0</v>
      </c>
      <c r="Z1915" s="372">
        <v>0.0</v>
      </c>
    </row>
    <row r="1916">
      <c r="Y1916" s="372">
        <v>0.0</v>
      </c>
      <c r="Z1916" s="372">
        <v>0.0</v>
      </c>
    </row>
    <row r="1917">
      <c r="Y1917" s="372">
        <v>0.0</v>
      </c>
      <c r="Z1917" s="372">
        <v>0.0</v>
      </c>
    </row>
    <row r="1918">
      <c r="Y1918" s="372">
        <v>0.0</v>
      </c>
      <c r="Z1918" s="372">
        <v>0.0</v>
      </c>
    </row>
    <row r="1919">
      <c r="Y1919" s="372">
        <v>0.0</v>
      </c>
      <c r="Z1919" s="372">
        <v>0.0</v>
      </c>
    </row>
    <row r="1920">
      <c r="Y1920" s="372">
        <v>0.0</v>
      </c>
      <c r="Z1920" s="372">
        <v>0.0</v>
      </c>
    </row>
    <row r="1921">
      <c r="Y1921" s="372">
        <v>0.0</v>
      </c>
      <c r="Z1921" s="372">
        <v>0.0</v>
      </c>
    </row>
    <row r="1922">
      <c r="Y1922" s="372">
        <v>0.0</v>
      </c>
      <c r="Z1922" s="372">
        <v>0.0</v>
      </c>
    </row>
    <row r="1923">
      <c r="Y1923" s="372">
        <v>0.0</v>
      </c>
      <c r="Z1923" s="372">
        <v>0.0</v>
      </c>
    </row>
    <row r="1924">
      <c r="Y1924" s="372">
        <v>0.0</v>
      </c>
      <c r="Z1924" s="372">
        <v>0.0</v>
      </c>
    </row>
    <row r="1925">
      <c r="Y1925" s="372">
        <v>0.0</v>
      </c>
      <c r="Z1925" s="372">
        <v>0.0</v>
      </c>
    </row>
    <row r="1926">
      <c r="Y1926" s="372">
        <v>0.0</v>
      </c>
      <c r="Z1926" s="372">
        <v>0.0</v>
      </c>
    </row>
    <row r="1927">
      <c r="Y1927" s="372">
        <v>0.0</v>
      </c>
      <c r="Z1927" s="372">
        <v>0.0</v>
      </c>
    </row>
    <row r="1928">
      <c r="Y1928" s="372">
        <v>0.0</v>
      </c>
      <c r="Z1928" s="372">
        <v>0.0</v>
      </c>
    </row>
    <row r="1929">
      <c r="Y1929" s="372">
        <v>0.0</v>
      </c>
      <c r="Z1929" s="372">
        <v>0.0</v>
      </c>
    </row>
    <row r="1930">
      <c r="Y1930" s="372">
        <v>0.0</v>
      </c>
      <c r="Z1930" s="372">
        <v>0.0</v>
      </c>
    </row>
    <row r="1931">
      <c r="Y1931" s="372">
        <v>0.0</v>
      </c>
      <c r="Z1931" s="372">
        <v>0.0</v>
      </c>
    </row>
    <row r="1932">
      <c r="Y1932" s="372">
        <v>0.0</v>
      </c>
      <c r="Z1932" s="372">
        <v>0.0</v>
      </c>
    </row>
    <row r="1933">
      <c r="Y1933" s="372">
        <v>0.0</v>
      </c>
      <c r="Z1933" s="372">
        <v>0.0</v>
      </c>
    </row>
    <row r="1934">
      <c r="Y1934" s="372">
        <v>0.0</v>
      </c>
      <c r="Z1934" s="372">
        <v>0.0</v>
      </c>
    </row>
    <row r="1935">
      <c r="Y1935" s="372">
        <v>0.0</v>
      </c>
      <c r="Z1935" s="372">
        <v>0.0</v>
      </c>
    </row>
    <row r="1936">
      <c r="Y1936" s="372">
        <v>0.0</v>
      </c>
      <c r="Z1936" s="372">
        <v>0.0</v>
      </c>
    </row>
    <row r="1937">
      <c r="Y1937" s="372">
        <v>0.0</v>
      </c>
      <c r="Z1937" s="372">
        <v>0.0</v>
      </c>
    </row>
    <row r="1938">
      <c r="Y1938" s="372">
        <v>0.0</v>
      </c>
      <c r="Z1938" s="372">
        <v>0.0</v>
      </c>
    </row>
    <row r="1939">
      <c r="Y1939" s="372">
        <v>0.0</v>
      </c>
      <c r="Z1939" s="372">
        <v>0.0</v>
      </c>
    </row>
    <row r="1940">
      <c r="Y1940" s="372">
        <v>0.0</v>
      </c>
      <c r="Z1940" s="372">
        <v>0.0</v>
      </c>
    </row>
    <row r="1941">
      <c r="Y1941" s="372">
        <v>0.0</v>
      </c>
      <c r="Z1941" s="372">
        <v>0.0</v>
      </c>
    </row>
    <row r="1942">
      <c r="Y1942" s="372">
        <v>0.0</v>
      </c>
      <c r="Z1942" s="372">
        <v>0.0</v>
      </c>
    </row>
    <row r="1943">
      <c r="Y1943" s="372">
        <v>0.0</v>
      </c>
      <c r="Z1943" s="372">
        <v>0.0</v>
      </c>
    </row>
    <row r="1944">
      <c r="Y1944" s="372">
        <v>0.0</v>
      </c>
      <c r="Z1944" s="372">
        <v>0.0</v>
      </c>
    </row>
    <row r="1945">
      <c r="Y1945" s="372">
        <v>0.0</v>
      </c>
      <c r="Z1945" s="372">
        <v>0.0</v>
      </c>
    </row>
    <row r="1946">
      <c r="Y1946" s="372">
        <v>0.0</v>
      </c>
      <c r="Z1946" s="372">
        <v>0.0</v>
      </c>
    </row>
    <row r="1947">
      <c r="Y1947" s="372">
        <v>0.0</v>
      </c>
      <c r="Z1947" s="372">
        <v>0.0</v>
      </c>
    </row>
    <row r="1948">
      <c r="Y1948" s="372">
        <v>0.0</v>
      </c>
      <c r="Z1948" s="372">
        <v>0.0</v>
      </c>
    </row>
    <row r="1949">
      <c r="Y1949" s="372">
        <v>0.0</v>
      </c>
      <c r="Z1949" s="372">
        <v>0.0</v>
      </c>
    </row>
    <row r="1950">
      <c r="Y1950" s="372">
        <v>0.0</v>
      </c>
      <c r="Z1950" s="372">
        <v>0.0</v>
      </c>
    </row>
    <row r="1951">
      <c r="Y1951" s="372">
        <v>0.0</v>
      </c>
      <c r="Z1951" s="372">
        <v>0.0</v>
      </c>
    </row>
    <row r="1952">
      <c r="Y1952" s="372">
        <v>0.0</v>
      </c>
      <c r="Z1952" s="372">
        <v>0.0</v>
      </c>
    </row>
    <row r="1953">
      <c r="Y1953" s="372">
        <v>0.0</v>
      </c>
      <c r="Z1953" s="372">
        <v>0.0</v>
      </c>
    </row>
    <row r="1954">
      <c r="Y1954" s="372">
        <v>0.0</v>
      </c>
      <c r="Z1954" s="372">
        <v>0.0</v>
      </c>
    </row>
    <row r="1955">
      <c r="Y1955" s="372">
        <v>0.0</v>
      </c>
      <c r="Z1955" s="372">
        <v>0.0</v>
      </c>
    </row>
    <row r="1956">
      <c r="Y1956" s="372">
        <v>0.0</v>
      </c>
      <c r="Z1956" s="372">
        <v>0.0</v>
      </c>
    </row>
    <row r="1957">
      <c r="Y1957" s="372">
        <v>0.0</v>
      </c>
      <c r="Z1957" s="372">
        <v>0.0</v>
      </c>
    </row>
    <row r="1958">
      <c r="Y1958" s="372">
        <v>0.0</v>
      </c>
      <c r="Z1958" s="372">
        <v>0.0</v>
      </c>
    </row>
    <row r="1959">
      <c r="Y1959" s="372">
        <v>0.0</v>
      </c>
      <c r="Z1959" s="372">
        <v>0.0</v>
      </c>
    </row>
    <row r="1960">
      <c r="Y1960" s="372">
        <v>0.0</v>
      </c>
      <c r="Z1960" s="372">
        <v>0.0</v>
      </c>
    </row>
    <row r="1961">
      <c r="Y1961" s="372">
        <v>0.0</v>
      </c>
      <c r="Z1961" s="372">
        <v>0.0</v>
      </c>
    </row>
    <row r="1962">
      <c r="Y1962" s="372">
        <v>0.0</v>
      </c>
      <c r="Z1962" s="372">
        <v>0.0</v>
      </c>
    </row>
    <row r="1963">
      <c r="Y1963" s="372">
        <v>0.0</v>
      </c>
      <c r="Z1963" s="372">
        <v>0.0</v>
      </c>
    </row>
    <row r="1964">
      <c r="Y1964" s="372">
        <v>0.0</v>
      </c>
      <c r="Z1964" s="372">
        <v>0.0</v>
      </c>
    </row>
    <row r="1965">
      <c r="Y1965" s="372">
        <v>0.0</v>
      </c>
      <c r="Z1965" s="372">
        <v>0.0</v>
      </c>
    </row>
    <row r="1966">
      <c r="Y1966" s="372">
        <v>0.0</v>
      </c>
      <c r="Z1966" s="372">
        <v>0.0</v>
      </c>
    </row>
    <row r="1967">
      <c r="Y1967" s="372">
        <v>0.0</v>
      </c>
      <c r="Z1967" s="372">
        <v>0.0</v>
      </c>
    </row>
    <row r="1968">
      <c r="Y1968" s="372">
        <v>0.0</v>
      </c>
      <c r="Z1968" s="372">
        <v>0.0</v>
      </c>
    </row>
    <row r="1969">
      <c r="Y1969" s="372">
        <v>0.0</v>
      </c>
      <c r="Z1969" s="372">
        <v>0.0</v>
      </c>
    </row>
    <row r="1970">
      <c r="Y1970" s="372">
        <v>0.0</v>
      </c>
      <c r="Z1970" s="372">
        <v>0.0</v>
      </c>
    </row>
    <row r="1971">
      <c r="Y1971" s="372">
        <v>0.0</v>
      </c>
      <c r="Z1971" s="372">
        <v>0.0</v>
      </c>
    </row>
    <row r="1972">
      <c r="Y1972" s="372">
        <v>0.0</v>
      </c>
      <c r="Z1972" s="372">
        <v>0.0</v>
      </c>
    </row>
    <row r="1973">
      <c r="Y1973" s="372">
        <v>0.0</v>
      </c>
      <c r="Z1973" s="372">
        <v>0.0</v>
      </c>
    </row>
    <row r="1974">
      <c r="Y1974" s="372">
        <v>0.0</v>
      </c>
      <c r="Z1974" s="372">
        <v>0.0</v>
      </c>
    </row>
    <row r="1975">
      <c r="Y1975" s="372">
        <v>0.0</v>
      </c>
      <c r="Z1975" s="372">
        <v>0.0</v>
      </c>
    </row>
    <row r="1976">
      <c r="Y1976" s="372">
        <v>0.0</v>
      </c>
      <c r="Z1976" s="372">
        <v>0.0</v>
      </c>
    </row>
    <row r="1977">
      <c r="Y1977" s="372">
        <v>0.0</v>
      </c>
      <c r="Z1977" s="372">
        <v>0.0</v>
      </c>
    </row>
    <row r="1978">
      <c r="Y1978" s="372">
        <v>0.0</v>
      </c>
      <c r="Z1978" s="372">
        <v>0.0</v>
      </c>
    </row>
    <row r="1979">
      <c r="Y1979" s="372">
        <v>0.0</v>
      </c>
      <c r="Z1979" s="372">
        <v>0.0</v>
      </c>
    </row>
    <row r="1980">
      <c r="Y1980" s="372">
        <v>0.0</v>
      </c>
      <c r="Z1980" s="372">
        <v>0.0</v>
      </c>
    </row>
    <row r="1981">
      <c r="Y1981" s="372">
        <v>0.0</v>
      </c>
      <c r="Z1981" s="372">
        <v>0.0</v>
      </c>
    </row>
    <row r="1982">
      <c r="Y1982" s="372">
        <v>0.0</v>
      </c>
      <c r="Z1982" s="372">
        <v>0.0</v>
      </c>
    </row>
    <row r="1983">
      <c r="Y1983" s="372">
        <v>0.0</v>
      </c>
      <c r="Z1983" s="372">
        <v>0.0</v>
      </c>
    </row>
    <row r="1984">
      <c r="Y1984" s="372">
        <v>0.0</v>
      </c>
      <c r="Z1984" s="372">
        <v>0.0</v>
      </c>
    </row>
    <row r="1985">
      <c r="Y1985" s="372">
        <v>0.0</v>
      </c>
      <c r="Z1985" s="372">
        <v>0.0</v>
      </c>
    </row>
    <row r="1986">
      <c r="Y1986" s="372">
        <v>0.0</v>
      </c>
      <c r="Z1986" s="372">
        <v>0.0</v>
      </c>
    </row>
    <row r="1987">
      <c r="Y1987" s="372">
        <v>0.0</v>
      </c>
      <c r="Z1987" s="372">
        <v>0.0</v>
      </c>
    </row>
    <row r="1988">
      <c r="Y1988" s="372">
        <v>0.0</v>
      </c>
      <c r="Z1988" s="372">
        <v>0.0</v>
      </c>
    </row>
    <row r="1989">
      <c r="Y1989" s="372">
        <v>0.0</v>
      </c>
      <c r="Z1989" s="372">
        <v>0.0</v>
      </c>
    </row>
    <row r="1990">
      <c r="Y1990" s="372">
        <v>0.0</v>
      </c>
      <c r="Z1990" s="372">
        <v>0.0</v>
      </c>
    </row>
    <row r="1991">
      <c r="Y1991" s="372">
        <v>0.0</v>
      </c>
      <c r="Z1991" s="372">
        <v>0.0</v>
      </c>
    </row>
    <row r="1992">
      <c r="Y1992" s="372">
        <v>0.0</v>
      </c>
      <c r="Z1992" s="372">
        <v>0.0</v>
      </c>
    </row>
    <row r="1993">
      <c r="Y1993" s="372">
        <v>0.0</v>
      </c>
      <c r="Z1993" s="372">
        <v>0.0</v>
      </c>
    </row>
    <row r="1994">
      <c r="Y1994" s="372">
        <v>0.0</v>
      </c>
      <c r="Z1994" s="372">
        <v>0.0</v>
      </c>
    </row>
    <row r="1995">
      <c r="Y1995" s="372">
        <v>0.0</v>
      </c>
      <c r="Z1995" s="372">
        <v>0.0</v>
      </c>
    </row>
    <row r="1996">
      <c r="Y1996" s="372">
        <v>0.0</v>
      </c>
      <c r="Z1996" s="372">
        <v>0.0</v>
      </c>
    </row>
    <row r="1997">
      <c r="Y1997" s="372">
        <v>0.0</v>
      </c>
      <c r="Z1997" s="372">
        <v>0.0</v>
      </c>
    </row>
    <row r="1998">
      <c r="Y1998" s="372">
        <v>0.0</v>
      </c>
      <c r="Z1998" s="372">
        <v>0.0</v>
      </c>
    </row>
    <row r="1999">
      <c r="Y1999" s="372">
        <v>0.0</v>
      </c>
      <c r="Z1999" s="372">
        <v>0.0</v>
      </c>
    </row>
    <row r="2000">
      <c r="Y2000" s="372">
        <v>0.0</v>
      </c>
      <c r="Z2000" s="372">
        <v>0.0</v>
      </c>
    </row>
    <row r="2001">
      <c r="Y2001" s="372">
        <v>0.0</v>
      </c>
      <c r="Z2001" s="372">
        <v>0.0</v>
      </c>
    </row>
    <row r="2002">
      <c r="Y2002" s="372">
        <v>0.0</v>
      </c>
      <c r="Z2002" s="372">
        <v>0.0</v>
      </c>
    </row>
    <row r="2003">
      <c r="Y2003" s="372">
        <v>0.0</v>
      </c>
      <c r="Z2003" s="372">
        <v>0.0</v>
      </c>
    </row>
    <row r="2004">
      <c r="Y2004" s="372">
        <v>0.0</v>
      </c>
      <c r="Z2004" s="372">
        <v>0.0</v>
      </c>
    </row>
    <row r="2005">
      <c r="Y2005" s="372">
        <v>0.0</v>
      </c>
      <c r="Z2005" s="372">
        <v>0.0</v>
      </c>
    </row>
    <row r="2006">
      <c r="Y2006" s="372">
        <v>0.0</v>
      </c>
      <c r="Z2006" s="372">
        <v>0.0</v>
      </c>
    </row>
    <row r="2007">
      <c r="Y2007" s="372">
        <v>0.0</v>
      </c>
      <c r="Z2007" s="372">
        <v>0.0</v>
      </c>
    </row>
    <row r="2008">
      <c r="Y2008" s="372">
        <v>0.0</v>
      </c>
      <c r="Z2008" s="372">
        <v>0.0</v>
      </c>
    </row>
    <row r="2009">
      <c r="Y2009" s="372">
        <v>0.0</v>
      </c>
      <c r="Z2009" s="372">
        <v>0.0</v>
      </c>
    </row>
    <row r="2010">
      <c r="Y2010" s="372">
        <v>0.0</v>
      </c>
      <c r="Z2010" s="372">
        <v>0.0</v>
      </c>
    </row>
    <row r="2011">
      <c r="Y2011" s="372">
        <v>0.0</v>
      </c>
      <c r="Z2011" s="372">
        <v>0.0</v>
      </c>
    </row>
    <row r="2012">
      <c r="Y2012" s="372">
        <v>0.0</v>
      </c>
      <c r="Z2012" s="372">
        <v>0.0</v>
      </c>
    </row>
    <row r="2013">
      <c r="Y2013" s="372">
        <v>0.0</v>
      </c>
      <c r="Z2013" s="372">
        <v>0.0</v>
      </c>
    </row>
    <row r="2014">
      <c r="Y2014" s="372">
        <v>0.0</v>
      </c>
      <c r="Z2014" s="372">
        <v>0.0</v>
      </c>
    </row>
    <row r="2015">
      <c r="Y2015" s="372">
        <v>0.0</v>
      </c>
      <c r="Z2015" s="372">
        <v>0.0</v>
      </c>
    </row>
    <row r="2016">
      <c r="Y2016" s="372">
        <v>0.0</v>
      </c>
      <c r="Z2016" s="372">
        <v>0.0</v>
      </c>
    </row>
    <row r="2017">
      <c r="Y2017" s="372">
        <v>0.0</v>
      </c>
      <c r="Z2017" s="372">
        <v>0.0</v>
      </c>
    </row>
    <row r="2018">
      <c r="Y2018" s="372">
        <v>0.0</v>
      </c>
      <c r="Z2018" s="372">
        <v>0.0</v>
      </c>
    </row>
    <row r="2019">
      <c r="Y2019" s="372">
        <v>0.0</v>
      </c>
      <c r="Z2019" s="372">
        <v>0.0</v>
      </c>
    </row>
    <row r="2020">
      <c r="Y2020" s="372">
        <v>0.0</v>
      </c>
      <c r="Z2020" s="372">
        <v>0.0</v>
      </c>
    </row>
    <row r="2021">
      <c r="Y2021" s="372">
        <v>0.0</v>
      </c>
      <c r="Z2021" s="372">
        <v>0.0</v>
      </c>
    </row>
    <row r="2022">
      <c r="Y2022" s="372">
        <v>0.0</v>
      </c>
      <c r="Z2022" s="372">
        <v>0.0</v>
      </c>
    </row>
    <row r="2023">
      <c r="Y2023" s="372">
        <v>0.0</v>
      </c>
      <c r="Z2023" s="372">
        <v>0.0</v>
      </c>
    </row>
    <row r="2024">
      <c r="Y2024" s="372">
        <v>0.0</v>
      </c>
      <c r="Z2024" s="372">
        <v>0.0</v>
      </c>
    </row>
    <row r="2025">
      <c r="Y2025" s="372">
        <v>0.0</v>
      </c>
      <c r="Z2025" s="372">
        <v>0.0</v>
      </c>
    </row>
    <row r="2026">
      <c r="Y2026" s="372">
        <v>0.0</v>
      </c>
      <c r="Z2026" s="372">
        <v>0.0</v>
      </c>
    </row>
    <row r="2027">
      <c r="Y2027" s="372">
        <v>0.0</v>
      </c>
      <c r="Z2027" s="372">
        <v>0.0</v>
      </c>
    </row>
    <row r="2028">
      <c r="Y2028" s="372">
        <v>0.0</v>
      </c>
      <c r="Z2028" s="372">
        <v>0.0</v>
      </c>
    </row>
    <row r="2029">
      <c r="Y2029" s="372">
        <v>0.0</v>
      </c>
      <c r="Z2029" s="372">
        <v>0.0</v>
      </c>
    </row>
    <row r="2030">
      <c r="Y2030" s="372">
        <v>0.0</v>
      </c>
      <c r="Z2030" s="372">
        <v>0.0</v>
      </c>
    </row>
    <row r="2031">
      <c r="Y2031" s="372">
        <v>0.0</v>
      </c>
      <c r="Z2031" s="372">
        <v>0.0</v>
      </c>
    </row>
    <row r="2032">
      <c r="Y2032" s="372">
        <v>0.0</v>
      </c>
      <c r="Z2032" s="372">
        <v>0.0</v>
      </c>
    </row>
    <row r="2033">
      <c r="Y2033" s="372">
        <v>0.0</v>
      </c>
      <c r="Z2033" s="372">
        <v>0.0</v>
      </c>
    </row>
    <row r="2034">
      <c r="Y2034" s="372">
        <v>0.0</v>
      </c>
      <c r="Z2034" s="372">
        <v>0.0</v>
      </c>
    </row>
    <row r="2035">
      <c r="Y2035" s="372">
        <v>0.0</v>
      </c>
      <c r="Z2035" s="372">
        <v>0.0</v>
      </c>
    </row>
    <row r="2036">
      <c r="Y2036" s="372">
        <v>0.0</v>
      </c>
      <c r="Z2036" s="372">
        <v>0.0</v>
      </c>
    </row>
    <row r="2037">
      <c r="Y2037" s="372">
        <v>0.0</v>
      </c>
      <c r="Z2037" s="372">
        <v>0.0</v>
      </c>
    </row>
    <row r="2038">
      <c r="Y2038" s="372">
        <v>0.0</v>
      </c>
      <c r="Z2038" s="372">
        <v>0.0</v>
      </c>
    </row>
    <row r="2039">
      <c r="Y2039" s="372">
        <v>0.0</v>
      </c>
      <c r="Z2039" s="372">
        <v>0.0</v>
      </c>
    </row>
    <row r="2040">
      <c r="Y2040" s="372">
        <v>0.0</v>
      </c>
      <c r="Z2040" s="372">
        <v>0.0</v>
      </c>
    </row>
    <row r="2041">
      <c r="Y2041" s="372">
        <v>0.0</v>
      </c>
      <c r="Z2041" s="372">
        <v>0.0</v>
      </c>
    </row>
    <row r="2042">
      <c r="Y2042" s="372">
        <v>0.0</v>
      </c>
      <c r="Z2042" s="372">
        <v>0.0</v>
      </c>
    </row>
    <row r="2043">
      <c r="Y2043" s="372">
        <v>0.0</v>
      </c>
      <c r="Z2043" s="372">
        <v>0.0</v>
      </c>
    </row>
    <row r="2044">
      <c r="Y2044" s="372">
        <v>0.0</v>
      </c>
      <c r="Z2044" s="372">
        <v>0.0</v>
      </c>
    </row>
    <row r="2045">
      <c r="Y2045" s="372">
        <v>0.0</v>
      </c>
      <c r="Z2045" s="372">
        <v>0.0</v>
      </c>
    </row>
    <row r="2046">
      <c r="Y2046" s="372">
        <v>0.0</v>
      </c>
      <c r="Z2046" s="372">
        <v>0.0</v>
      </c>
    </row>
    <row r="2047">
      <c r="Y2047" s="372">
        <v>0.0</v>
      </c>
      <c r="Z2047" s="372">
        <v>0.0</v>
      </c>
    </row>
    <row r="2048">
      <c r="Y2048" s="372">
        <v>0.0</v>
      </c>
      <c r="Z2048" s="372">
        <v>0.0</v>
      </c>
    </row>
    <row r="2049">
      <c r="Y2049" s="372">
        <v>0.0</v>
      </c>
      <c r="Z2049" s="372">
        <v>0.0</v>
      </c>
    </row>
    <row r="2050">
      <c r="Y2050" s="372">
        <v>0.0</v>
      </c>
      <c r="Z2050" s="372">
        <v>0.0</v>
      </c>
    </row>
    <row r="2051">
      <c r="Y2051" s="372">
        <v>0.0</v>
      </c>
      <c r="Z2051" s="372">
        <v>0.0</v>
      </c>
    </row>
    <row r="2052">
      <c r="Y2052" s="372">
        <v>0.0</v>
      </c>
      <c r="Z2052" s="372">
        <v>0.0</v>
      </c>
    </row>
    <row r="2053">
      <c r="Y2053" s="372">
        <v>0.0</v>
      </c>
      <c r="Z2053" s="372">
        <v>0.0</v>
      </c>
    </row>
    <row r="2054">
      <c r="Y2054" s="372">
        <v>0.0</v>
      </c>
      <c r="Z2054" s="372">
        <v>0.0</v>
      </c>
    </row>
    <row r="2055">
      <c r="Y2055" s="372">
        <v>0.0</v>
      </c>
      <c r="Z2055" s="372">
        <v>0.0</v>
      </c>
    </row>
    <row r="2056">
      <c r="Y2056" s="372">
        <v>0.0</v>
      </c>
      <c r="Z2056" s="372">
        <v>0.0</v>
      </c>
    </row>
    <row r="2057">
      <c r="Y2057" s="372">
        <v>0.0</v>
      </c>
      <c r="Z2057" s="372">
        <v>0.0</v>
      </c>
    </row>
    <row r="2058">
      <c r="Y2058" s="372">
        <v>0.0</v>
      </c>
      <c r="Z2058" s="372">
        <v>0.0</v>
      </c>
    </row>
    <row r="2059">
      <c r="Y2059" s="372">
        <v>0.0</v>
      </c>
      <c r="Z2059" s="372">
        <v>0.0</v>
      </c>
    </row>
    <row r="2060">
      <c r="Y2060" s="372">
        <v>0.0</v>
      </c>
      <c r="Z2060" s="372">
        <v>0.0</v>
      </c>
    </row>
    <row r="2061">
      <c r="Y2061" s="372">
        <v>0.0</v>
      </c>
      <c r="Z2061" s="372">
        <v>0.0</v>
      </c>
    </row>
    <row r="2062">
      <c r="Y2062" s="372">
        <v>0.0</v>
      </c>
      <c r="Z2062" s="372">
        <v>0.0</v>
      </c>
    </row>
    <row r="2063">
      <c r="Y2063" s="372">
        <v>0.0</v>
      </c>
      <c r="Z2063" s="372">
        <v>0.0</v>
      </c>
    </row>
    <row r="2064">
      <c r="Y2064" s="372">
        <v>0.0</v>
      </c>
      <c r="Z2064" s="372">
        <v>0.0</v>
      </c>
    </row>
    <row r="2065">
      <c r="Y2065" s="372">
        <v>0.0</v>
      </c>
      <c r="Z2065" s="372">
        <v>0.0</v>
      </c>
    </row>
    <row r="2066">
      <c r="Y2066" s="372">
        <v>0.0</v>
      </c>
      <c r="Z2066" s="372">
        <v>0.0</v>
      </c>
    </row>
    <row r="2067">
      <c r="Y2067" s="372">
        <v>0.0</v>
      </c>
      <c r="Z2067" s="372">
        <v>0.0</v>
      </c>
    </row>
    <row r="2068">
      <c r="Y2068" s="372">
        <v>0.0</v>
      </c>
      <c r="Z2068" s="372">
        <v>0.0</v>
      </c>
    </row>
    <row r="2069">
      <c r="Y2069" s="372">
        <v>0.0</v>
      </c>
      <c r="Z2069" s="372">
        <v>0.0</v>
      </c>
    </row>
    <row r="2070">
      <c r="Y2070" s="372">
        <v>0.0</v>
      </c>
      <c r="Z2070" s="372">
        <v>0.0</v>
      </c>
    </row>
    <row r="2071">
      <c r="Y2071" s="372">
        <v>0.0</v>
      </c>
      <c r="Z2071" s="372">
        <v>0.0</v>
      </c>
    </row>
    <row r="2072">
      <c r="Y2072" s="372">
        <v>0.0</v>
      </c>
      <c r="Z2072" s="372">
        <v>0.0</v>
      </c>
    </row>
    <row r="2073">
      <c r="Y2073" s="372">
        <v>0.0</v>
      </c>
      <c r="Z2073" s="372">
        <v>0.0</v>
      </c>
    </row>
    <row r="2074">
      <c r="Y2074" s="372">
        <v>0.0</v>
      </c>
      <c r="Z2074" s="372">
        <v>0.0</v>
      </c>
    </row>
    <row r="2075">
      <c r="Y2075" s="372">
        <v>0.0</v>
      </c>
      <c r="Z2075" s="372">
        <v>0.0</v>
      </c>
    </row>
    <row r="2076">
      <c r="Y2076" s="372">
        <v>0.0</v>
      </c>
      <c r="Z2076" s="372">
        <v>0.0</v>
      </c>
    </row>
    <row r="2077">
      <c r="Y2077" s="372">
        <v>0.0</v>
      </c>
      <c r="Z2077" s="372">
        <v>0.0</v>
      </c>
    </row>
    <row r="2078">
      <c r="Y2078" s="372">
        <v>0.0</v>
      </c>
      <c r="Z2078" s="372">
        <v>0.0</v>
      </c>
    </row>
    <row r="2079">
      <c r="Y2079" s="372">
        <v>0.0</v>
      </c>
      <c r="Z2079" s="372">
        <v>0.0</v>
      </c>
    </row>
    <row r="2080">
      <c r="Y2080" s="372">
        <v>0.0</v>
      </c>
      <c r="Z2080" s="372">
        <v>0.0</v>
      </c>
    </row>
    <row r="2081">
      <c r="Y2081" s="372">
        <v>0.0</v>
      </c>
      <c r="Z2081" s="372">
        <v>0.0</v>
      </c>
    </row>
    <row r="2082">
      <c r="Y2082" s="372">
        <v>0.0</v>
      </c>
      <c r="Z2082" s="372">
        <v>0.0</v>
      </c>
    </row>
    <row r="2083">
      <c r="Y2083" s="372">
        <v>0.0</v>
      </c>
      <c r="Z2083" s="372">
        <v>0.0</v>
      </c>
    </row>
    <row r="2084">
      <c r="Y2084" s="372">
        <v>0.0</v>
      </c>
      <c r="Z2084" s="372">
        <v>0.0</v>
      </c>
    </row>
    <row r="2085">
      <c r="Y2085" s="372">
        <v>0.0</v>
      </c>
      <c r="Z2085" s="372">
        <v>0.0</v>
      </c>
    </row>
    <row r="2086">
      <c r="Y2086" s="372">
        <v>0.0</v>
      </c>
      <c r="Z2086" s="372">
        <v>0.0</v>
      </c>
    </row>
    <row r="2087">
      <c r="Y2087" s="372">
        <v>0.0</v>
      </c>
      <c r="Z2087" s="372">
        <v>0.0</v>
      </c>
    </row>
    <row r="2088">
      <c r="Y2088" s="372">
        <v>0.0</v>
      </c>
      <c r="Z2088" s="372">
        <v>0.0</v>
      </c>
    </row>
    <row r="2089">
      <c r="Y2089" s="372">
        <v>0.0</v>
      </c>
      <c r="Z2089" s="372">
        <v>0.0</v>
      </c>
    </row>
    <row r="2090">
      <c r="Y2090" s="372">
        <v>0.0</v>
      </c>
      <c r="Z2090" s="372">
        <v>0.0</v>
      </c>
    </row>
    <row r="2091">
      <c r="Y2091" s="372">
        <v>0.0</v>
      </c>
      <c r="Z2091" s="372">
        <v>0.0</v>
      </c>
    </row>
    <row r="2092">
      <c r="Y2092" s="372">
        <v>0.0</v>
      </c>
      <c r="Z2092" s="372">
        <v>0.0</v>
      </c>
    </row>
    <row r="2093">
      <c r="Y2093" s="372">
        <v>0.0</v>
      </c>
      <c r="Z2093" s="372">
        <v>0.0</v>
      </c>
    </row>
    <row r="2094">
      <c r="Y2094" s="372">
        <v>0.0</v>
      </c>
      <c r="Z2094" s="372">
        <v>0.0</v>
      </c>
    </row>
    <row r="2095">
      <c r="Y2095" s="372">
        <v>0.0</v>
      </c>
      <c r="Z2095" s="372">
        <v>0.0</v>
      </c>
    </row>
    <row r="2096">
      <c r="Y2096" s="372">
        <v>0.0</v>
      </c>
      <c r="Z2096" s="372">
        <v>0.0</v>
      </c>
    </row>
    <row r="2097">
      <c r="Y2097" s="372">
        <v>0.0</v>
      </c>
      <c r="Z2097" s="372">
        <v>0.0</v>
      </c>
    </row>
    <row r="2098">
      <c r="Y2098" s="372">
        <v>0.0</v>
      </c>
      <c r="Z2098" s="372">
        <v>0.0</v>
      </c>
    </row>
    <row r="2099">
      <c r="Y2099" s="372">
        <v>0.0</v>
      </c>
      <c r="Z2099" s="372">
        <v>0.0</v>
      </c>
    </row>
    <row r="2100">
      <c r="Y2100" s="372">
        <v>0.0</v>
      </c>
      <c r="Z2100" s="372">
        <v>0.0</v>
      </c>
    </row>
    <row r="2101">
      <c r="Y2101" s="372">
        <v>0.0</v>
      </c>
      <c r="Z2101" s="372">
        <v>0.0</v>
      </c>
    </row>
    <row r="2102">
      <c r="Y2102" s="372">
        <v>0.0</v>
      </c>
      <c r="Z2102" s="372">
        <v>0.0</v>
      </c>
    </row>
    <row r="2103">
      <c r="Y2103" s="372">
        <v>0.0</v>
      </c>
      <c r="Z2103" s="372">
        <v>0.0</v>
      </c>
    </row>
    <row r="2104">
      <c r="Y2104" s="372">
        <v>0.0</v>
      </c>
      <c r="Z2104" s="372">
        <v>0.0</v>
      </c>
    </row>
    <row r="2105">
      <c r="Y2105" s="372">
        <v>0.0</v>
      </c>
      <c r="Z2105" s="372">
        <v>0.0</v>
      </c>
    </row>
    <row r="2106">
      <c r="Y2106" s="372">
        <v>0.0</v>
      </c>
      <c r="Z2106" s="372">
        <v>0.0</v>
      </c>
    </row>
    <row r="2107">
      <c r="Y2107" s="372">
        <v>0.0</v>
      </c>
      <c r="Z2107" s="372">
        <v>0.0</v>
      </c>
    </row>
    <row r="2108">
      <c r="Y2108" s="372">
        <v>0.0</v>
      </c>
      <c r="Z2108" s="372">
        <v>0.0</v>
      </c>
    </row>
    <row r="2109">
      <c r="Y2109" s="372">
        <v>0.0</v>
      </c>
      <c r="Z2109" s="372">
        <v>0.0</v>
      </c>
    </row>
    <row r="2110">
      <c r="Y2110" s="372">
        <v>0.0</v>
      </c>
      <c r="Z2110" s="372">
        <v>0.0</v>
      </c>
    </row>
    <row r="2111">
      <c r="Y2111" s="372">
        <v>0.0</v>
      </c>
      <c r="Z2111" s="372">
        <v>0.0</v>
      </c>
    </row>
    <row r="2112">
      <c r="Y2112" s="372">
        <v>0.0</v>
      </c>
      <c r="Z2112" s="372">
        <v>0.0</v>
      </c>
    </row>
    <row r="2113">
      <c r="Y2113" s="372">
        <v>0.0</v>
      </c>
      <c r="Z2113" s="372">
        <v>0.0</v>
      </c>
    </row>
    <row r="2114">
      <c r="Y2114" s="372">
        <v>0.0</v>
      </c>
      <c r="Z2114" s="372">
        <v>0.0</v>
      </c>
    </row>
    <row r="2115">
      <c r="Y2115" s="372">
        <v>0.0</v>
      </c>
      <c r="Z2115" s="372">
        <v>0.0</v>
      </c>
    </row>
    <row r="2116">
      <c r="Y2116" s="372">
        <v>0.0</v>
      </c>
      <c r="Z2116" s="372">
        <v>0.0</v>
      </c>
    </row>
    <row r="2117">
      <c r="Y2117" s="372">
        <v>0.0</v>
      </c>
      <c r="Z2117" s="372">
        <v>0.0</v>
      </c>
    </row>
    <row r="2118">
      <c r="Y2118" s="372">
        <v>0.0</v>
      </c>
      <c r="Z2118" s="372">
        <v>0.0</v>
      </c>
    </row>
    <row r="2119">
      <c r="Y2119" s="372">
        <v>0.0</v>
      </c>
      <c r="Z2119" s="372">
        <v>0.0</v>
      </c>
    </row>
    <row r="2120">
      <c r="Y2120" s="372">
        <v>0.0</v>
      </c>
      <c r="Z2120" s="372">
        <v>0.0</v>
      </c>
    </row>
    <row r="2121">
      <c r="Y2121" s="372">
        <v>0.0</v>
      </c>
      <c r="Z2121" s="372">
        <v>0.0</v>
      </c>
    </row>
    <row r="2122">
      <c r="Y2122" s="372">
        <v>0.0</v>
      </c>
      <c r="Z2122" s="372">
        <v>0.0</v>
      </c>
    </row>
    <row r="2123">
      <c r="Y2123" s="372">
        <v>0.0</v>
      </c>
      <c r="Z2123" s="372">
        <v>0.0</v>
      </c>
    </row>
    <row r="2124">
      <c r="Y2124" s="372">
        <v>0.0</v>
      </c>
      <c r="Z2124" s="372">
        <v>0.0</v>
      </c>
    </row>
    <row r="2125">
      <c r="Y2125" s="372">
        <v>0.0</v>
      </c>
      <c r="Z2125" s="372">
        <v>0.0</v>
      </c>
    </row>
    <row r="2126">
      <c r="Y2126" s="372">
        <v>0.0</v>
      </c>
      <c r="Z2126" s="372">
        <v>0.0</v>
      </c>
    </row>
    <row r="2127">
      <c r="Y2127" s="372">
        <v>0.0</v>
      </c>
      <c r="Z2127" s="372">
        <v>0.0</v>
      </c>
    </row>
    <row r="2128">
      <c r="Y2128" s="372">
        <v>0.0</v>
      </c>
      <c r="Z2128" s="372">
        <v>0.0</v>
      </c>
    </row>
    <row r="2129">
      <c r="Y2129" s="372">
        <v>0.0</v>
      </c>
      <c r="Z2129" s="372">
        <v>0.0</v>
      </c>
    </row>
    <row r="2130">
      <c r="Y2130" s="372">
        <v>0.0</v>
      </c>
      <c r="Z2130" s="372">
        <v>0.0</v>
      </c>
    </row>
    <row r="2131">
      <c r="Y2131" s="372">
        <v>0.0</v>
      </c>
      <c r="Z2131" s="372">
        <v>0.0</v>
      </c>
    </row>
    <row r="2132">
      <c r="Y2132" s="372">
        <v>0.0</v>
      </c>
      <c r="Z2132" s="372">
        <v>0.0</v>
      </c>
    </row>
    <row r="2133">
      <c r="Y2133" s="372">
        <v>0.0</v>
      </c>
      <c r="Z2133" s="372">
        <v>0.0</v>
      </c>
    </row>
    <row r="2134">
      <c r="Y2134" s="372">
        <v>0.0</v>
      </c>
      <c r="Z2134" s="372">
        <v>0.0</v>
      </c>
    </row>
    <row r="2135">
      <c r="Y2135" s="372">
        <v>0.0</v>
      </c>
      <c r="Z2135" s="372">
        <v>0.0</v>
      </c>
    </row>
    <row r="2136">
      <c r="Y2136" s="372">
        <v>0.0</v>
      </c>
      <c r="Z2136" s="372">
        <v>0.0</v>
      </c>
    </row>
    <row r="2137">
      <c r="Y2137" s="372">
        <v>0.0</v>
      </c>
      <c r="Z2137" s="372">
        <v>0.0</v>
      </c>
    </row>
    <row r="2138">
      <c r="Y2138" s="372">
        <v>0.0</v>
      </c>
      <c r="Z2138" s="372">
        <v>0.0</v>
      </c>
    </row>
    <row r="2139">
      <c r="Y2139" s="372">
        <v>0.0</v>
      </c>
      <c r="Z2139" s="372">
        <v>0.0</v>
      </c>
    </row>
    <row r="2140">
      <c r="Y2140" s="372">
        <v>0.0</v>
      </c>
      <c r="Z2140" s="372">
        <v>0.0</v>
      </c>
    </row>
    <row r="2141">
      <c r="Y2141" s="372">
        <v>0.0</v>
      </c>
      <c r="Z2141" s="372">
        <v>0.0</v>
      </c>
    </row>
    <row r="2142">
      <c r="Y2142" s="372">
        <v>0.0</v>
      </c>
      <c r="Z2142" s="372">
        <v>0.0</v>
      </c>
    </row>
    <row r="2143">
      <c r="Y2143" s="372">
        <v>0.0</v>
      </c>
      <c r="Z2143" s="372">
        <v>0.0</v>
      </c>
    </row>
    <row r="2144">
      <c r="Y2144" s="372">
        <v>0.0</v>
      </c>
      <c r="Z2144" s="372">
        <v>0.0</v>
      </c>
    </row>
    <row r="2145">
      <c r="Y2145" s="372">
        <v>0.0</v>
      </c>
      <c r="Z2145" s="372">
        <v>0.0</v>
      </c>
    </row>
    <row r="2146">
      <c r="Y2146" s="372">
        <v>0.0</v>
      </c>
      <c r="Z2146" s="372">
        <v>0.0</v>
      </c>
    </row>
    <row r="2147">
      <c r="Y2147" s="372">
        <v>0.0</v>
      </c>
      <c r="Z2147" s="372">
        <v>0.0</v>
      </c>
    </row>
    <row r="2148">
      <c r="Y2148" s="372">
        <v>0.0</v>
      </c>
      <c r="Z2148" s="372">
        <v>0.0</v>
      </c>
    </row>
    <row r="2149">
      <c r="Y2149" s="372">
        <v>0.0</v>
      </c>
      <c r="Z2149" s="372">
        <v>0.0</v>
      </c>
    </row>
    <row r="2150">
      <c r="Y2150" s="372">
        <v>0.0</v>
      </c>
      <c r="Z2150" s="372">
        <v>0.0</v>
      </c>
    </row>
    <row r="2151">
      <c r="Y2151" s="372">
        <v>0.0</v>
      </c>
      <c r="Z2151" s="372">
        <v>0.0</v>
      </c>
    </row>
    <row r="2152">
      <c r="Y2152" s="372">
        <v>0.0</v>
      </c>
      <c r="Z2152" s="372">
        <v>0.0</v>
      </c>
    </row>
    <row r="2153">
      <c r="Y2153" s="372">
        <v>0.0</v>
      </c>
      <c r="Z2153" s="372">
        <v>0.0</v>
      </c>
    </row>
    <row r="2154">
      <c r="Y2154" s="372">
        <v>0.0</v>
      </c>
      <c r="Z2154" s="372">
        <v>0.0</v>
      </c>
    </row>
    <row r="2155">
      <c r="Y2155" s="372">
        <v>0.0</v>
      </c>
      <c r="Z2155" s="372">
        <v>0.0</v>
      </c>
    </row>
    <row r="2156">
      <c r="Y2156" s="372">
        <v>0.0</v>
      </c>
      <c r="Z2156" s="372">
        <v>0.0</v>
      </c>
    </row>
    <row r="2157">
      <c r="Y2157" s="372">
        <v>0.0</v>
      </c>
      <c r="Z2157" s="372">
        <v>0.0</v>
      </c>
    </row>
    <row r="2158">
      <c r="Y2158" s="372">
        <v>0.0</v>
      </c>
      <c r="Z2158" s="372">
        <v>0.0</v>
      </c>
    </row>
    <row r="2159">
      <c r="Y2159" s="372">
        <v>0.0</v>
      </c>
      <c r="Z2159" s="372">
        <v>0.0</v>
      </c>
    </row>
    <row r="2160">
      <c r="Y2160" s="372">
        <v>0.0</v>
      </c>
      <c r="Z2160" s="372">
        <v>0.0</v>
      </c>
    </row>
    <row r="2161">
      <c r="Y2161" s="372">
        <v>0.0</v>
      </c>
      <c r="Z2161" s="372">
        <v>0.0</v>
      </c>
    </row>
    <row r="2162">
      <c r="Y2162" s="372">
        <v>0.0</v>
      </c>
      <c r="Z2162" s="372">
        <v>0.0</v>
      </c>
    </row>
    <row r="2163">
      <c r="Y2163" s="372">
        <v>0.0</v>
      </c>
      <c r="Z2163" s="372">
        <v>0.0</v>
      </c>
    </row>
    <row r="2164">
      <c r="Y2164" s="372">
        <v>0.0</v>
      </c>
      <c r="Z2164" s="372">
        <v>0.0</v>
      </c>
    </row>
    <row r="2165">
      <c r="Y2165" s="372">
        <v>0.0</v>
      </c>
      <c r="Z2165" s="372">
        <v>0.0</v>
      </c>
    </row>
    <row r="2166">
      <c r="Y2166" s="372">
        <v>0.0</v>
      </c>
      <c r="Z2166" s="372">
        <v>0.0</v>
      </c>
    </row>
    <row r="2167">
      <c r="Y2167" s="372">
        <v>0.0</v>
      </c>
      <c r="Z2167" s="372">
        <v>0.0</v>
      </c>
    </row>
    <row r="2168">
      <c r="Y2168" s="372">
        <v>0.0</v>
      </c>
      <c r="Z2168" s="372">
        <v>0.0</v>
      </c>
    </row>
    <row r="2169">
      <c r="Y2169" s="372">
        <v>0.0</v>
      </c>
      <c r="Z2169" s="372">
        <v>0.0</v>
      </c>
    </row>
    <row r="2170">
      <c r="Y2170" s="372">
        <v>0.0</v>
      </c>
      <c r="Z2170" s="372">
        <v>0.0</v>
      </c>
    </row>
    <row r="2171">
      <c r="Y2171" s="372">
        <v>0.0</v>
      </c>
      <c r="Z2171" s="372">
        <v>0.0</v>
      </c>
    </row>
    <row r="2172">
      <c r="Y2172" s="372">
        <v>0.0</v>
      </c>
      <c r="Z2172" s="372">
        <v>0.0</v>
      </c>
    </row>
    <row r="2173">
      <c r="Y2173" s="372">
        <v>0.0</v>
      </c>
      <c r="Z2173" s="372">
        <v>0.0</v>
      </c>
    </row>
    <row r="2174">
      <c r="Y2174" s="372">
        <v>0.0</v>
      </c>
      <c r="Z2174" s="372">
        <v>0.0</v>
      </c>
    </row>
    <row r="2175">
      <c r="Y2175" s="372">
        <v>0.0</v>
      </c>
      <c r="Z2175" s="372">
        <v>0.0</v>
      </c>
    </row>
    <row r="2176">
      <c r="Y2176" s="372">
        <v>0.0</v>
      </c>
      <c r="Z2176" s="372">
        <v>0.0</v>
      </c>
    </row>
    <row r="2177">
      <c r="Y2177" s="372">
        <v>0.0</v>
      </c>
      <c r="Z2177" s="372">
        <v>0.0</v>
      </c>
    </row>
    <row r="2178">
      <c r="Y2178" s="372">
        <v>0.0</v>
      </c>
      <c r="Z2178" s="372">
        <v>0.0</v>
      </c>
    </row>
    <row r="2179">
      <c r="Y2179" s="372">
        <v>0.0</v>
      </c>
      <c r="Z2179" s="372">
        <v>0.0</v>
      </c>
    </row>
    <row r="2180">
      <c r="Y2180" s="372">
        <v>0.0</v>
      </c>
      <c r="Z2180" s="372">
        <v>0.0</v>
      </c>
    </row>
    <row r="2181">
      <c r="Y2181" s="372">
        <v>0.0</v>
      </c>
      <c r="Z2181" s="372">
        <v>0.0</v>
      </c>
    </row>
    <row r="2182">
      <c r="Y2182" s="372">
        <v>0.0</v>
      </c>
      <c r="Z2182" s="372">
        <v>0.0</v>
      </c>
    </row>
    <row r="2183">
      <c r="Y2183" s="372">
        <v>0.0</v>
      </c>
      <c r="Z2183" s="372">
        <v>0.0</v>
      </c>
    </row>
    <row r="2184">
      <c r="Y2184" s="372">
        <v>0.0</v>
      </c>
      <c r="Z2184" s="372">
        <v>0.0</v>
      </c>
    </row>
    <row r="2185">
      <c r="Y2185" s="372">
        <v>0.0</v>
      </c>
      <c r="Z2185" s="372">
        <v>0.0</v>
      </c>
    </row>
    <row r="2186">
      <c r="Y2186" s="372">
        <v>0.0</v>
      </c>
      <c r="Z2186" s="372">
        <v>0.0</v>
      </c>
    </row>
    <row r="2187">
      <c r="Y2187" s="372">
        <v>0.0</v>
      </c>
      <c r="Z2187" s="372">
        <v>0.0</v>
      </c>
    </row>
    <row r="2188">
      <c r="Y2188" s="372">
        <v>0.0</v>
      </c>
      <c r="Z2188" s="372">
        <v>0.0</v>
      </c>
    </row>
    <row r="2189">
      <c r="Y2189" s="372">
        <v>0.0</v>
      </c>
      <c r="Z2189" s="372">
        <v>0.0</v>
      </c>
    </row>
    <row r="2190">
      <c r="Y2190" s="372">
        <v>0.0</v>
      </c>
      <c r="Z2190" s="372">
        <v>0.0</v>
      </c>
    </row>
    <row r="2191">
      <c r="Y2191" s="372">
        <v>0.0</v>
      </c>
      <c r="Z2191" s="372">
        <v>0.0</v>
      </c>
    </row>
    <row r="2192">
      <c r="Y2192" s="372">
        <v>0.0</v>
      </c>
      <c r="Z2192" s="372">
        <v>0.0</v>
      </c>
    </row>
    <row r="2193">
      <c r="Y2193" s="372">
        <v>0.0</v>
      </c>
      <c r="Z2193" s="372">
        <v>0.0</v>
      </c>
    </row>
    <row r="2194">
      <c r="Y2194" s="372">
        <v>0.0</v>
      </c>
      <c r="Z2194" s="372">
        <v>0.0</v>
      </c>
    </row>
    <row r="2195">
      <c r="Y2195" s="372">
        <v>0.0</v>
      </c>
      <c r="Z2195" s="372">
        <v>0.0</v>
      </c>
    </row>
    <row r="2196">
      <c r="Y2196" s="372">
        <v>0.0</v>
      </c>
      <c r="Z2196" s="372">
        <v>0.0</v>
      </c>
    </row>
    <row r="2197">
      <c r="Y2197" s="372">
        <v>0.0</v>
      </c>
      <c r="Z2197" s="372">
        <v>0.0</v>
      </c>
    </row>
    <row r="2198">
      <c r="Y2198" s="372">
        <v>0.0</v>
      </c>
      <c r="Z2198" s="372">
        <v>0.0</v>
      </c>
    </row>
    <row r="2199">
      <c r="Y2199" s="372">
        <v>0.0</v>
      </c>
      <c r="Z2199" s="372">
        <v>0.0</v>
      </c>
    </row>
    <row r="2200">
      <c r="Y2200" s="372">
        <v>0.0</v>
      </c>
      <c r="Z2200" s="372">
        <v>0.0</v>
      </c>
    </row>
    <row r="2201">
      <c r="Y2201" s="372">
        <v>0.0</v>
      </c>
      <c r="Z2201" s="372">
        <v>0.0</v>
      </c>
    </row>
    <row r="2202">
      <c r="Y2202" s="372">
        <v>0.0</v>
      </c>
      <c r="Z2202" s="372">
        <v>0.0</v>
      </c>
    </row>
    <row r="2203">
      <c r="Y2203" s="372">
        <v>0.0</v>
      </c>
      <c r="Z2203" s="372">
        <v>0.0</v>
      </c>
    </row>
    <row r="2204">
      <c r="Y2204" s="372">
        <v>0.0</v>
      </c>
      <c r="Z2204" s="372">
        <v>0.0</v>
      </c>
    </row>
    <row r="2205">
      <c r="Y2205" s="372">
        <v>0.0</v>
      </c>
      <c r="Z2205" s="372">
        <v>0.0</v>
      </c>
    </row>
    <row r="2206">
      <c r="Y2206" s="372">
        <v>0.0</v>
      </c>
      <c r="Z2206" s="372">
        <v>0.0</v>
      </c>
    </row>
    <row r="2207">
      <c r="Y2207" s="372">
        <v>0.0</v>
      </c>
      <c r="Z2207" s="372">
        <v>0.0</v>
      </c>
    </row>
    <row r="2208">
      <c r="Y2208" s="372">
        <v>0.0</v>
      </c>
      <c r="Z2208" s="372">
        <v>0.0</v>
      </c>
    </row>
    <row r="2209">
      <c r="Y2209" s="372">
        <v>0.0</v>
      </c>
      <c r="Z2209" s="372">
        <v>0.0</v>
      </c>
    </row>
    <row r="2210">
      <c r="Y2210" s="372">
        <v>0.0</v>
      </c>
      <c r="Z2210" s="372">
        <v>0.0</v>
      </c>
    </row>
    <row r="2211">
      <c r="Y2211" s="372">
        <v>0.0</v>
      </c>
      <c r="Z2211" s="372">
        <v>0.0</v>
      </c>
    </row>
    <row r="2212">
      <c r="Y2212" s="372">
        <v>0.0</v>
      </c>
      <c r="Z2212" s="372">
        <v>0.0</v>
      </c>
    </row>
    <row r="2213">
      <c r="Y2213" s="372">
        <v>0.0</v>
      </c>
      <c r="Z2213" s="372">
        <v>0.0</v>
      </c>
    </row>
    <row r="2214">
      <c r="Y2214" s="372">
        <v>0.0</v>
      </c>
      <c r="Z2214" s="372">
        <v>0.0</v>
      </c>
    </row>
    <row r="2215">
      <c r="Y2215" s="372">
        <v>0.0</v>
      </c>
      <c r="Z2215" s="372">
        <v>0.0</v>
      </c>
    </row>
    <row r="2216">
      <c r="Y2216" s="372">
        <v>0.0</v>
      </c>
      <c r="Z2216" s="372">
        <v>0.0</v>
      </c>
    </row>
    <row r="2217">
      <c r="Y2217" s="372">
        <v>0.0</v>
      </c>
      <c r="Z2217" s="372">
        <v>0.0</v>
      </c>
    </row>
    <row r="2218">
      <c r="Y2218" s="372">
        <v>0.0</v>
      </c>
      <c r="Z2218" s="372">
        <v>0.0</v>
      </c>
    </row>
    <row r="2219">
      <c r="Y2219" s="372">
        <v>0.0</v>
      </c>
      <c r="Z2219" s="372">
        <v>0.0</v>
      </c>
    </row>
    <row r="2220">
      <c r="Y2220" s="372">
        <v>0.0</v>
      </c>
      <c r="Z2220" s="372">
        <v>0.0</v>
      </c>
    </row>
    <row r="2221">
      <c r="Y2221" s="372">
        <v>0.0</v>
      </c>
      <c r="Z2221" s="372">
        <v>0.0</v>
      </c>
    </row>
    <row r="2222">
      <c r="Y2222" s="372">
        <v>0.0</v>
      </c>
      <c r="Z2222" s="372">
        <v>0.0</v>
      </c>
    </row>
    <row r="2223">
      <c r="Y2223" s="372">
        <v>0.0</v>
      </c>
      <c r="Z2223" s="372">
        <v>0.0</v>
      </c>
    </row>
    <row r="2224">
      <c r="Y2224" s="372">
        <v>0.0</v>
      </c>
      <c r="Z2224" s="372">
        <v>0.0</v>
      </c>
    </row>
    <row r="2225">
      <c r="Y2225" s="372">
        <v>0.0</v>
      </c>
      <c r="Z2225" s="372">
        <v>0.0</v>
      </c>
    </row>
    <row r="2226">
      <c r="Y2226" s="372">
        <v>0.0</v>
      </c>
      <c r="Z2226" s="372">
        <v>0.0</v>
      </c>
    </row>
    <row r="2227">
      <c r="Y2227" s="372">
        <v>0.0</v>
      </c>
      <c r="Z2227" s="372">
        <v>0.0</v>
      </c>
    </row>
    <row r="2228">
      <c r="Y2228" s="372">
        <v>0.0</v>
      </c>
      <c r="Z2228" s="372">
        <v>0.0</v>
      </c>
    </row>
    <row r="2229">
      <c r="Y2229" s="372">
        <v>0.0</v>
      </c>
      <c r="Z2229" s="372">
        <v>0.0</v>
      </c>
    </row>
    <row r="2230">
      <c r="Y2230" s="372">
        <v>0.0</v>
      </c>
      <c r="Z2230" s="372">
        <v>0.0</v>
      </c>
    </row>
    <row r="2231">
      <c r="Y2231" s="372">
        <v>0.0</v>
      </c>
      <c r="Z2231" s="372">
        <v>0.0</v>
      </c>
    </row>
    <row r="2232">
      <c r="Y2232" s="372">
        <v>0.0</v>
      </c>
      <c r="Z2232" s="372">
        <v>0.0</v>
      </c>
    </row>
    <row r="2233">
      <c r="Y2233" s="372">
        <v>0.0</v>
      </c>
      <c r="Z2233" s="372">
        <v>0.0</v>
      </c>
    </row>
    <row r="2234">
      <c r="Y2234" s="372">
        <v>0.0</v>
      </c>
      <c r="Z2234" s="372">
        <v>0.0</v>
      </c>
    </row>
    <row r="2235">
      <c r="Y2235" s="372">
        <v>0.0</v>
      </c>
      <c r="Z2235" s="372">
        <v>0.0</v>
      </c>
    </row>
    <row r="2236">
      <c r="Y2236" s="372">
        <v>0.0</v>
      </c>
      <c r="Z2236" s="372">
        <v>0.0</v>
      </c>
    </row>
    <row r="2237">
      <c r="Y2237" s="372">
        <v>0.0</v>
      </c>
      <c r="Z2237" s="372">
        <v>0.0</v>
      </c>
    </row>
    <row r="2238">
      <c r="Y2238" s="372">
        <v>0.0</v>
      </c>
      <c r="Z2238" s="372">
        <v>0.0</v>
      </c>
    </row>
    <row r="2239">
      <c r="Y2239" s="372">
        <v>0.0</v>
      </c>
      <c r="Z2239" s="372">
        <v>0.0</v>
      </c>
    </row>
    <row r="2240">
      <c r="Y2240" s="372">
        <v>0.0</v>
      </c>
      <c r="Z2240" s="372">
        <v>0.0</v>
      </c>
    </row>
    <row r="2241">
      <c r="Y2241" s="372">
        <v>0.0</v>
      </c>
      <c r="Z2241" s="372">
        <v>0.0</v>
      </c>
    </row>
    <row r="2242">
      <c r="Y2242" s="372">
        <v>0.0</v>
      </c>
      <c r="Z2242" s="372">
        <v>0.0</v>
      </c>
    </row>
    <row r="2243">
      <c r="Y2243" s="372">
        <v>0.0</v>
      </c>
      <c r="Z2243" s="372">
        <v>0.0</v>
      </c>
    </row>
    <row r="2244">
      <c r="Y2244" s="372">
        <v>0.0</v>
      </c>
      <c r="Z2244" s="372">
        <v>0.0</v>
      </c>
    </row>
    <row r="2245">
      <c r="Y2245" s="372">
        <v>0.0</v>
      </c>
      <c r="Z2245" s="372">
        <v>0.0</v>
      </c>
    </row>
    <row r="2246">
      <c r="Y2246" s="372">
        <v>0.0</v>
      </c>
      <c r="Z2246" s="372">
        <v>0.0</v>
      </c>
    </row>
    <row r="2247">
      <c r="Y2247" s="372">
        <v>0.0</v>
      </c>
      <c r="Z2247" s="372">
        <v>0.0</v>
      </c>
    </row>
    <row r="2248">
      <c r="Y2248" s="372">
        <v>0.0</v>
      </c>
      <c r="Z2248" s="372">
        <v>0.0</v>
      </c>
    </row>
    <row r="2249">
      <c r="Y2249" s="372">
        <v>0.0</v>
      </c>
      <c r="Z2249" s="372">
        <v>0.0</v>
      </c>
    </row>
    <row r="2250">
      <c r="Y2250" s="372">
        <v>0.0</v>
      </c>
      <c r="Z2250" s="372">
        <v>0.0</v>
      </c>
    </row>
    <row r="2251">
      <c r="Y2251" s="372">
        <v>0.0</v>
      </c>
      <c r="Z2251" s="372">
        <v>0.0</v>
      </c>
    </row>
    <row r="2252">
      <c r="Y2252" s="372">
        <v>0.0</v>
      </c>
      <c r="Z2252" s="372">
        <v>0.0</v>
      </c>
    </row>
    <row r="2253">
      <c r="Y2253" s="372">
        <v>0.0</v>
      </c>
      <c r="Z2253" s="372">
        <v>0.0</v>
      </c>
    </row>
    <row r="2254">
      <c r="Y2254" s="372">
        <v>0.0</v>
      </c>
      <c r="Z2254" s="372">
        <v>0.0</v>
      </c>
    </row>
    <row r="2255">
      <c r="Y2255" s="372">
        <v>0.0</v>
      </c>
      <c r="Z2255" s="372">
        <v>0.0</v>
      </c>
    </row>
    <row r="2256">
      <c r="Y2256" s="372">
        <v>0.0</v>
      </c>
      <c r="Z2256" s="372">
        <v>0.0</v>
      </c>
    </row>
    <row r="2257">
      <c r="Y2257" s="372">
        <v>0.0</v>
      </c>
      <c r="Z2257" s="372">
        <v>0.0</v>
      </c>
    </row>
    <row r="2258">
      <c r="Y2258" s="372">
        <v>0.0</v>
      </c>
      <c r="Z2258" s="372">
        <v>0.0</v>
      </c>
    </row>
    <row r="2259">
      <c r="Y2259" s="372">
        <v>0.0</v>
      </c>
      <c r="Z2259" s="372">
        <v>0.0</v>
      </c>
    </row>
    <row r="2260">
      <c r="Y2260" s="372">
        <v>0.0</v>
      </c>
      <c r="Z2260" s="372">
        <v>0.0</v>
      </c>
    </row>
    <row r="2261">
      <c r="Y2261" s="372">
        <v>0.0</v>
      </c>
      <c r="Z2261" s="372">
        <v>0.0</v>
      </c>
    </row>
    <row r="2262">
      <c r="Y2262" s="372">
        <v>0.0</v>
      </c>
      <c r="Z2262" s="372">
        <v>0.0</v>
      </c>
    </row>
    <row r="2263">
      <c r="Y2263" s="372">
        <v>0.0</v>
      </c>
      <c r="Z2263" s="372">
        <v>0.0</v>
      </c>
    </row>
    <row r="2264">
      <c r="Y2264" s="372">
        <v>0.0</v>
      </c>
      <c r="Z2264" s="372">
        <v>0.0</v>
      </c>
    </row>
    <row r="2265">
      <c r="Y2265" s="372">
        <v>0.0</v>
      </c>
      <c r="Z2265" s="372">
        <v>0.0</v>
      </c>
    </row>
    <row r="2266">
      <c r="Y2266" s="372">
        <v>0.0</v>
      </c>
      <c r="Z2266" s="372">
        <v>0.0</v>
      </c>
    </row>
    <row r="2267">
      <c r="Y2267" s="372">
        <v>0.0</v>
      </c>
      <c r="Z2267" s="372">
        <v>0.0</v>
      </c>
    </row>
    <row r="2268">
      <c r="Y2268" s="372">
        <v>0.0</v>
      </c>
      <c r="Z2268" s="372">
        <v>0.0</v>
      </c>
    </row>
    <row r="2269">
      <c r="Y2269" s="372">
        <v>0.0</v>
      </c>
      <c r="Z2269" s="372">
        <v>0.0</v>
      </c>
    </row>
    <row r="2270">
      <c r="Y2270" s="372">
        <v>0.0</v>
      </c>
      <c r="Z2270" s="372">
        <v>0.0</v>
      </c>
    </row>
    <row r="2271">
      <c r="Y2271" s="372">
        <v>0.0</v>
      </c>
      <c r="Z2271" s="372">
        <v>0.0</v>
      </c>
    </row>
    <row r="2272">
      <c r="Y2272" s="372">
        <v>0.0</v>
      </c>
      <c r="Z2272" s="372">
        <v>0.0</v>
      </c>
    </row>
    <row r="2273">
      <c r="Y2273" s="372">
        <v>0.0</v>
      </c>
      <c r="Z2273" s="372">
        <v>0.0</v>
      </c>
    </row>
    <row r="2274">
      <c r="Y2274" s="372">
        <v>0.0</v>
      </c>
      <c r="Z2274" s="372">
        <v>0.0</v>
      </c>
    </row>
    <row r="2275">
      <c r="Y2275" s="372">
        <v>0.0</v>
      </c>
      <c r="Z2275" s="372">
        <v>0.0</v>
      </c>
    </row>
    <row r="2276">
      <c r="Y2276" s="372">
        <v>0.0</v>
      </c>
      <c r="Z2276" s="372">
        <v>0.0</v>
      </c>
    </row>
    <row r="2277">
      <c r="Y2277" s="372">
        <v>0.0</v>
      </c>
      <c r="Z2277" s="372">
        <v>0.0</v>
      </c>
    </row>
    <row r="2278">
      <c r="Y2278" s="372">
        <v>0.0</v>
      </c>
      <c r="Z2278" s="372">
        <v>0.0</v>
      </c>
    </row>
    <row r="2279">
      <c r="Y2279" s="372">
        <v>0.0</v>
      </c>
      <c r="Z2279" s="372">
        <v>0.0</v>
      </c>
    </row>
    <row r="2280">
      <c r="Y2280" s="372">
        <v>0.0</v>
      </c>
      <c r="Z2280" s="372">
        <v>0.0</v>
      </c>
    </row>
    <row r="2281">
      <c r="Y2281" s="372">
        <v>0.0</v>
      </c>
      <c r="Z2281" s="372">
        <v>0.0</v>
      </c>
    </row>
    <row r="2282">
      <c r="Y2282" s="372">
        <v>0.0</v>
      </c>
      <c r="Z2282" s="372">
        <v>0.0</v>
      </c>
    </row>
    <row r="2283">
      <c r="Y2283" s="372">
        <v>0.0</v>
      </c>
      <c r="Z2283" s="372">
        <v>0.0</v>
      </c>
    </row>
    <row r="2284">
      <c r="Y2284" s="372">
        <v>0.0</v>
      </c>
      <c r="Z2284" s="372">
        <v>0.0</v>
      </c>
    </row>
    <row r="2285">
      <c r="Y2285" s="372">
        <v>0.0</v>
      </c>
      <c r="Z2285" s="372">
        <v>0.0</v>
      </c>
    </row>
    <row r="2286">
      <c r="Y2286" s="372">
        <v>0.0</v>
      </c>
      <c r="Z2286" s="372">
        <v>0.0</v>
      </c>
    </row>
    <row r="2287">
      <c r="Y2287" s="372">
        <v>0.0</v>
      </c>
      <c r="Z2287" s="372">
        <v>0.0</v>
      </c>
    </row>
    <row r="2288">
      <c r="Y2288" s="372">
        <v>0.0</v>
      </c>
      <c r="Z2288" s="372">
        <v>0.0</v>
      </c>
    </row>
    <row r="2289">
      <c r="Y2289" s="372">
        <v>0.0</v>
      </c>
      <c r="Z2289" s="372">
        <v>0.0</v>
      </c>
    </row>
    <row r="2290">
      <c r="Y2290" s="372">
        <v>0.0</v>
      </c>
      <c r="Z2290" s="372">
        <v>0.0</v>
      </c>
    </row>
    <row r="2291">
      <c r="Y2291" s="372">
        <v>0.0</v>
      </c>
      <c r="Z2291" s="372">
        <v>0.0</v>
      </c>
    </row>
    <row r="2292">
      <c r="Y2292" s="372">
        <v>0.0</v>
      </c>
      <c r="Z2292" s="372">
        <v>0.0</v>
      </c>
    </row>
    <row r="2293">
      <c r="Y2293" s="372">
        <v>0.0</v>
      </c>
      <c r="Z2293" s="372">
        <v>0.0</v>
      </c>
    </row>
    <row r="2294">
      <c r="Y2294" s="372">
        <v>0.0</v>
      </c>
      <c r="Z2294" s="372">
        <v>0.0</v>
      </c>
    </row>
    <row r="2295">
      <c r="Y2295" s="372">
        <v>0.0</v>
      </c>
      <c r="Z2295" s="372">
        <v>0.0</v>
      </c>
    </row>
    <row r="2296">
      <c r="Y2296" s="372">
        <v>0.0</v>
      </c>
      <c r="Z2296" s="372">
        <v>0.0</v>
      </c>
    </row>
    <row r="2297">
      <c r="Y2297" s="372">
        <v>0.0</v>
      </c>
      <c r="Z2297" s="372">
        <v>0.0</v>
      </c>
    </row>
    <row r="2298">
      <c r="Y2298" s="372">
        <v>0.0</v>
      </c>
      <c r="Z2298" s="372">
        <v>0.0</v>
      </c>
    </row>
    <row r="2299">
      <c r="Y2299" s="372">
        <v>0.0</v>
      </c>
      <c r="Z2299" s="372">
        <v>0.0</v>
      </c>
    </row>
    <row r="2300">
      <c r="Y2300" s="372">
        <v>0.0</v>
      </c>
      <c r="Z2300" s="372">
        <v>0.0</v>
      </c>
    </row>
    <row r="2301">
      <c r="Y2301" s="372">
        <v>0.0</v>
      </c>
      <c r="Z2301" s="372">
        <v>0.0</v>
      </c>
    </row>
    <row r="2302">
      <c r="Y2302" s="372">
        <v>0.0</v>
      </c>
      <c r="Z2302" s="372">
        <v>0.0</v>
      </c>
    </row>
    <row r="2303">
      <c r="Y2303" s="372">
        <v>0.0</v>
      </c>
      <c r="Z2303" s="372">
        <v>0.0</v>
      </c>
    </row>
    <row r="2304">
      <c r="Y2304" s="372">
        <v>0.0</v>
      </c>
      <c r="Z2304" s="372">
        <v>0.0</v>
      </c>
    </row>
    <row r="2305">
      <c r="Y2305" s="372">
        <v>0.0</v>
      </c>
      <c r="Z2305" s="372">
        <v>0.0</v>
      </c>
    </row>
    <row r="2306">
      <c r="Y2306" s="372">
        <v>0.0</v>
      </c>
      <c r="Z2306" s="372">
        <v>0.0</v>
      </c>
    </row>
    <row r="2307">
      <c r="Y2307" s="372">
        <v>0.0</v>
      </c>
      <c r="Z2307" s="372">
        <v>0.0</v>
      </c>
    </row>
    <row r="2308">
      <c r="Y2308" s="372">
        <v>0.0</v>
      </c>
      <c r="Z2308" s="372">
        <v>0.0</v>
      </c>
    </row>
    <row r="2309">
      <c r="Y2309" s="372">
        <v>0.0</v>
      </c>
      <c r="Z2309" s="372">
        <v>0.0</v>
      </c>
    </row>
    <row r="2310">
      <c r="Y2310" s="372">
        <v>0.0</v>
      </c>
      <c r="Z2310" s="372">
        <v>0.0</v>
      </c>
    </row>
    <row r="2311">
      <c r="Y2311" s="372">
        <v>0.0</v>
      </c>
      <c r="Z2311" s="372">
        <v>0.0</v>
      </c>
    </row>
    <row r="2312">
      <c r="Y2312" s="372">
        <v>0.0</v>
      </c>
      <c r="Z2312" s="372">
        <v>0.0</v>
      </c>
    </row>
    <row r="2313">
      <c r="Y2313" s="372">
        <v>0.0</v>
      </c>
      <c r="Z2313" s="372">
        <v>0.0</v>
      </c>
    </row>
    <row r="2314">
      <c r="Y2314" s="372">
        <v>0.0</v>
      </c>
      <c r="Z2314" s="372">
        <v>0.0</v>
      </c>
    </row>
    <row r="2315">
      <c r="Y2315" s="372">
        <v>0.0</v>
      </c>
      <c r="Z2315" s="372">
        <v>0.0</v>
      </c>
    </row>
    <row r="2316">
      <c r="Y2316" s="372">
        <v>0.0</v>
      </c>
      <c r="Z2316" s="372">
        <v>0.0</v>
      </c>
    </row>
    <row r="2317">
      <c r="Y2317" s="372">
        <v>0.0</v>
      </c>
      <c r="Z2317" s="372">
        <v>0.0</v>
      </c>
    </row>
    <row r="2318">
      <c r="Y2318" s="372">
        <v>0.0</v>
      </c>
      <c r="Z2318" s="372">
        <v>0.0</v>
      </c>
    </row>
    <row r="2319">
      <c r="Y2319" s="372">
        <v>0.0</v>
      </c>
      <c r="Z2319" s="372">
        <v>0.0</v>
      </c>
    </row>
    <row r="2320">
      <c r="Y2320" s="372">
        <v>0.0</v>
      </c>
      <c r="Z2320" s="372">
        <v>0.0</v>
      </c>
    </row>
    <row r="2321">
      <c r="Y2321" s="372">
        <v>0.0</v>
      </c>
      <c r="Z2321" s="372">
        <v>0.0</v>
      </c>
    </row>
    <row r="2322">
      <c r="Y2322" s="372">
        <v>0.0</v>
      </c>
      <c r="Z2322" s="372">
        <v>0.0</v>
      </c>
    </row>
    <row r="2323">
      <c r="Y2323" s="372">
        <v>0.0</v>
      </c>
      <c r="Z2323" s="372">
        <v>0.0</v>
      </c>
    </row>
    <row r="2324">
      <c r="Y2324" s="372">
        <v>0.0</v>
      </c>
      <c r="Z2324" s="372">
        <v>0.0</v>
      </c>
    </row>
    <row r="2325">
      <c r="Y2325" s="372">
        <v>0.0</v>
      </c>
      <c r="Z2325" s="372">
        <v>0.0</v>
      </c>
    </row>
    <row r="2326">
      <c r="Y2326" s="372">
        <v>0.0</v>
      </c>
      <c r="Z2326" s="372">
        <v>0.0</v>
      </c>
    </row>
    <row r="2327">
      <c r="Y2327" s="372">
        <v>0.0</v>
      </c>
      <c r="Z2327" s="372">
        <v>0.0</v>
      </c>
    </row>
    <row r="2328">
      <c r="Y2328" s="372">
        <v>0.0</v>
      </c>
      <c r="Z2328" s="372">
        <v>0.0</v>
      </c>
    </row>
    <row r="2329">
      <c r="Y2329" s="372">
        <v>0.0</v>
      </c>
      <c r="Z2329" s="372">
        <v>0.0</v>
      </c>
    </row>
    <row r="2330">
      <c r="Y2330" s="372">
        <v>0.0</v>
      </c>
      <c r="Z2330" s="372">
        <v>0.0</v>
      </c>
    </row>
    <row r="2331">
      <c r="Y2331" s="372">
        <v>0.0</v>
      </c>
      <c r="Z2331" s="372">
        <v>0.0</v>
      </c>
    </row>
    <row r="2332">
      <c r="Y2332" s="372">
        <v>0.0</v>
      </c>
      <c r="Z2332" s="372">
        <v>0.0</v>
      </c>
    </row>
    <row r="2333">
      <c r="Y2333" s="372">
        <v>0.0</v>
      </c>
      <c r="Z2333" s="372">
        <v>0.0</v>
      </c>
    </row>
    <row r="2334">
      <c r="Y2334" s="372">
        <v>0.0</v>
      </c>
      <c r="Z2334" s="372">
        <v>0.0</v>
      </c>
    </row>
    <row r="2335">
      <c r="Y2335" s="372">
        <v>0.0</v>
      </c>
      <c r="Z2335" s="372">
        <v>0.0</v>
      </c>
    </row>
    <row r="2336">
      <c r="Y2336" s="372">
        <v>0.0</v>
      </c>
      <c r="Z2336" s="372">
        <v>0.0</v>
      </c>
    </row>
    <row r="2337">
      <c r="Y2337" s="372">
        <v>0.0</v>
      </c>
      <c r="Z2337" s="372">
        <v>0.0</v>
      </c>
    </row>
    <row r="2338">
      <c r="Y2338" s="372">
        <v>0.0</v>
      </c>
      <c r="Z2338" s="372">
        <v>0.0</v>
      </c>
    </row>
    <row r="2339">
      <c r="Y2339" s="372">
        <v>0.0</v>
      </c>
      <c r="Z2339" s="372">
        <v>0.0</v>
      </c>
    </row>
    <row r="2340">
      <c r="Y2340" s="372">
        <v>0.0</v>
      </c>
      <c r="Z2340" s="372">
        <v>0.0</v>
      </c>
    </row>
    <row r="2341">
      <c r="Y2341" s="372">
        <v>0.0</v>
      </c>
      <c r="Z2341" s="372">
        <v>0.0</v>
      </c>
    </row>
    <row r="2342">
      <c r="Y2342" s="372">
        <v>0.0</v>
      </c>
      <c r="Z2342" s="372">
        <v>0.0</v>
      </c>
    </row>
    <row r="2343">
      <c r="Y2343" s="372">
        <v>0.0</v>
      </c>
      <c r="Z2343" s="372">
        <v>0.0</v>
      </c>
    </row>
    <row r="2344">
      <c r="Y2344" s="372">
        <v>0.0</v>
      </c>
      <c r="Z2344" s="372">
        <v>0.0</v>
      </c>
    </row>
    <row r="2345">
      <c r="Y2345" s="372">
        <v>0.0</v>
      </c>
      <c r="Z2345" s="372">
        <v>0.0</v>
      </c>
    </row>
    <row r="2346">
      <c r="Y2346" s="372">
        <v>0.0</v>
      </c>
      <c r="Z2346" s="372">
        <v>0.0</v>
      </c>
    </row>
    <row r="2347">
      <c r="Y2347" s="372">
        <v>0.0</v>
      </c>
      <c r="Z2347" s="372">
        <v>0.0</v>
      </c>
    </row>
    <row r="2348">
      <c r="Y2348" s="372">
        <v>0.0</v>
      </c>
      <c r="Z2348" s="372">
        <v>0.0</v>
      </c>
    </row>
    <row r="2349">
      <c r="Y2349" s="372">
        <v>0.0</v>
      </c>
      <c r="Z2349" s="372">
        <v>0.0</v>
      </c>
    </row>
    <row r="2350">
      <c r="Y2350" s="372">
        <v>0.0</v>
      </c>
      <c r="Z2350" s="372">
        <v>0.0</v>
      </c>
    </row>
    <row r="2351">
      <c r="Y2351" s="372">
        <v>0.0</v>
      </c>
      <c r="Z2351" s="372">
        <v>0.0</v>
      </c>
    </row>
    <row r="2352">
      <c r="Y2352" s="372">
        <v>0.0</v>
      </c>
      <c r="Z2352" s="372">
        <v>0.0</v>
      </c>
    </row>
    <row r="2353">
      <c r="Y2353" s="372">
        <v>0.0</v>
      </c>
      <c r="Z2353" s="372">
        <v>0.0</v>
      </c>
    </row>
    <row r="2354">
      <c r="Y2354" s="372">
        <v>0.0</v>
      </c>
      <c r="Z2354" s="372">
        <v>0.0</v>
      </c>
    </row>
    <row r="2355">
      <c r="Y2355" s="372">
        <v>0.0</v>
      </c>
      <c r="Z2355" s="372">
        <v>0.0</v>
      </c>
    </row>
    <row r="2356">
      <c r="Y2356" s="372">
        <v>0.0</v>
      </c>
      <c r="Z2356" s="372">
        <v>0.0</v>
      </c>
    </row>
    <row r="2357">
      <c r="Y2357" s="372">
        <v>0.0</v>
      </c>
      <c r="Z2357" s="372">
        <v>0.0</v>
      </c>
    </row>
    <row r="2358">
      <c r="Y2358" s="372">
        <v>0.0</v>
      </c>
      <c r="Z2358" s="372">
        <v>0.0</v>
      </c>
    </row>
    <row r="2359">
      <c r="Y2359" s="372">
        <v>0.0</v>
      </c>
      <c r="Z2359" s="372">
        <v>0.0</v>
      </c>
    </row>
    <row r="2360">
      <c r="Y2360" s="372">
        <v>0.0</v>
      </c>
      <c r="Z2360" s="372">
        <v>0.0</v>
      </c>
    </row>
    <row r="2361">
      <c r="Y2361" s="372">
        <v>0.0</v>
      </c>
      <c r="Z2361" s="372">
        <v>0.0</v>
      </c>
    </row>
    <row r="2362">
      <c r="Y2362" s="372">
        <v>0.0</v>
      </c>
      <c r="Z2362" s="372">
        <v>0.0</v>
      </c>
    </row>
    <row r="2363">
      <c r="Y2363" s="372">
        <v>0.0</v>
      </c>
      <c r="Z2363" s="372">
        <v>0.0</v>
      </c>
    </row>
    <row r="2364">
      <c r="Y2364" s="372">
        <v>0.0</v>
      </c>
      <c r="Z2364" s="372">
        <v>0.0</v>
      </c>
    </row>
    <row r="2365">
      <c r="Y2365" s="372">
        <v>0.0</v>
      </c>
      <c r="Z2365" s="372">
        <v>0.0</v>
      </c>
    </row>
    <row r="2366">
      <c r="Y2366" s="372">
        <v>0.0</v>
      </c>
      <c r="Z2366" s="372">
        <v>0.0</v>
      </c>
    </row>
    <row r="2367">
      <c r="Y2367" s="372">
        <v>0.0</v>
      </c>
      <c r="Z2367" s="372">
        <v>0.0</v>
      </c>
    </row>
    <row r="2368">
      <c r="Y2368" s="372">
        <v>0.0</v>
      </c>
      <c r="Z2368" s="372">
        <v>0.0</v>
      </c>
    </row>
    <row r="2369">
      <c r="Y2369" s="372">
        <v>0.0</v>
      </c>
      <c r="Z2369" s="372">
        <v>0.0</v>
      </c>
    </row>
    <row r="2370">
      <c r="Y2370" s="372">
        <v>0.0</v>
      </c>
      <c r="Z2370" s="372">
        <v>0.0</v>
      </c>
    </row>
    <row r="2371">
      <c r="Y2371" s="372">
        <v>0.0</v>
      </c>
      <c r="Z2371" s="372">
        <v>0.0</v>
      </c>
    </row>
    <row r="2372">
      <c r="Y2372" s="372">
        <v>0.0</v>
      </c>
      <c r="Z2372" s="372">
        <v>0.0</v>
      </c>
    </row>
    <row r="2373">
      <c r="Y2373" s="372">
        <v>0.0</v>
      </c>
      <c r="Z2373" s="372">
        <v>0.0</v>
      </c>
    </row>
    <row r="2374">
      <c r="Y2374" s="372">
        <v>0.0</v>
      </c>
      <c r="Z2374" s="372">
        <v>0.0</v>
      </c>
    </row>
    <row r="2375">
      <c r="Y2375" s="372">
        <v>0.0</v>
      </c>
      <c r="Z2375" s="372">
        <v>0.0</v>
      </c>
    </row>
    <row r="2376">
      <c r="Y2376" s="372">
        <v>0.0</v>
      </c>
      <c r="Z2376" s="372">
        <v>0.0</v>
      </c>
    </row>
    <row r="2377">
      <c r="Y2377" s="372">
        <v>0.0</v>
      </c>
      <c r="Z2377" s="372">
        <v>0.0</v>
      </c>
    </row>
    <row r="2378">
      <c r="Y2378" s="372">
        <v>0.0</v>
      </c>
      <c r="Z2378" s="372">
        <v>0.0</v>
      </c>
    </row>
    <row r="2379">
      <c r="Y2379" s="372">
        <v>0.0</v>
      </c>
      <c r="Z2379" s="372">
        <v>0.0</v>
      </c>
    </row>
    <row r="2380">
      <c r="Y2380" s="372">
        <v>0.0</v>
      </c>
      <c r="Z2380" s="372">
        <v>0.0</v>
      </c>
    </row>
    <row r="2381">
      <c r="Y2381" s="372">
        <v>0.0</v>
      </c>
      <c r="Z2381" s="372">
        <v>0.0</v>
      </c>
    </row>
    <row r="2382">
      <c r="Y2382" s="372">
        <v>0.0</v>
      </c>
      <c r="Z2382" s="372">
        <v>0.0</v>
      </c>
    </row>
    <row r="2383">
      <c r="Y2383" s="372">
        <v>0.0</v>
      </c>
      <c r="Z2383" s="372">
        <v>0.0</v>
      </c>
    </row>
    <row r="2384">
      <c r="Y2384" s="372">
        <v>0.0</v>
      </c>
      <c r="Z2384" s="372">
        <v>0.0</v>
      </c>
    </row>
    <row r="2385">
      <c r="Y2385" s="372">
        <v>0.0</v>
      </c>
      <c r="Z2385" s="372">
        <v>0.0</v>
      </c>
    </row>
    <row r="2386">
      <c r="Y2386" s="372">
        <v>0.0</v>
      </c>
      <c r="Z2386" s="372">
        <v>0.0</v>
      </c>
    </row>
    <row r="2387">
      <c r="Y2387" s="372">
        <v>0.0</v>
      </c>
      <c r="Z2387" s="372">
        <v>0.0</v>
      </c>
    </row>
    <row r="2388">
      <c r="Y2388" s="372">
        <v>0.0</v>
      </c>
      <c r="Z2388" s="372">
        <v>0.0</v>
      </c>
    </row>
    <row r="2389">
      <c r="Y2389" s="372">
        <v>0.0</v>
      </c>
      <c r="Z2389" s="372">
        <v>0.0</v>
      </c>
    </row>
    <row r="2390">
      <c r="Y2390" s="372">
        <v>0.0</v>
      </c>
      <c r="Z2390" s="372">
        <v>0.0</v>
      </c>
    </row>
    <row r="2391">
      <c r="Y2391" s="372">
        <v>0.0</v>
      </c>
      <c r="Z2391" s="372">
        <v>0.0</v>
      </c>
    </row>
    <row r="2392">
      <c r="Y2392" s="372">
        <v>0.0</v>
      </c>
      <c r="Z2392" s="372">
        <v>0.0</v>
      </c>
    </row>
    <row r="2393">
      <c r="Y2393" s="372">
        <v>0.0</v>
      </c>
      <c r="Z2393" s="372">
        <v>0.0</v>
      </c>
    </row>
    <row r="2394">
      <c r="Y2394" s="372">
        <v>0.0</v>
      </c>
      <c r="Z2394" s="372">
        <v>0.0</v>
      </c>
    </row>
    <row r="2395">
      <c r="Y2395" s="372">
        <v>0.0</v>
      </c>
      <c r="Z2395" s="372">
        <v>0.0</v>
      </c>
    </row>
    <row r="2396">
      <c r="Y2396" s="372">
        <v>0.0</v>
      </c>
      <c r="Z2396" s="372">
        <v>0.0</v>
      </c>
    </row>
    <row r="2397">
      <c r="Y2397" s="372">
        <v>0.0</v>
      </c>
      <c r="Z2397" s="372">
        <v>0.0</v>
      </c>
    </row>
    <row r="2398">
      <c r="Y2398" s="372">
        <v>0.0</v>
      </c>
      <c r="Z2398" s="372">
        <v>0.0</v>
      </c>
    </row>
    <row r="2399">
      <c r="Y2399" s="372">
        <v>0.0</v>
      </c>
      <c r="Z2399" s="372">
        <v>0.0</v>
      </c>
    </row>
    <row r="2400">
      <c r="Y2400" s="372">
        <v>0.0</v>
      </c>
      <c r="Z2400" s="372">
        <v>0.0</v>
      </c>
    </row>
    <row r="2401">
      <c r="Y2401" s="372">
        <v>0.0</v>
      </c>
      <c r="Z2401" s="372">
        <v>0.0</v>
      </c>
    </row>
    <row r="2402">
      <c r="Y2402" s="372">
        <v>0.0</v>
      </c>
      <c r="Z2402" s="372">
        <v>0.0</v>
      </c>
    </row>
    <row r="2403">
      <c r="Y2403" s="372">
        <v>0.0</v>
      </c>
      <c r="Z2403" s="372">
        <v>0.0</v>
      </c>
    </row>
    <row r="2404">
      <c r="Y2404" s="372">
        <v>0.0</v>
      </c>
      <c r="Z2404" s="372">
        <v>0.0</v>
      </c>
    </row>
    <row r="2405">
      <c r="Y2405" s="372">
        <v>0.0</v>
      </c>
      <c r="Z2405" s="372">
        <v>0.0</v>
      </c>
    </row>
    <row r="2406">
      <c r="Y2406" s="372">
        <v>0.0</v>
      </c>
      <c r="Z2406" s="372">
        <v>0.0</v>
      </c>
    </row>
    <row r="2407">
      <c r="Y2407" s="372">
        <v>0.0</v>
      </c>
      <c r="Z2407" s="372">
        <v>0.0</v>
      </c>
    </row>
    <row r="2408">
      <c r="Y2408" s="372">
        <v>0.0</v>
      </c>
      <c r="Z2408" s="372">
        <v>0.0</v>
      </c>
    </row>
    <row r="2409">
      <c r="Y2409" s="372">
        <v>0.0</v>
      </c>
      <c r="Z2409" s="372">
        <v>0.0</v>
      </c>
    </row>
    <row r="2410">
      <c r="Y2410" s="372">
        <v>0.0</v>
      </c>
      <c r="Z2410" s="372">
        <v>0.0</v>
      </c>
    </row>
    <row r="2411">
      <c r="Y2411" s="372">
        <v>0.0</v>
      </c>
      <c r="Z2411" s="372">
        <v>0.0</v>
      </c>
    </row>
    <row r="2412">
      <c r="Y2412" s="372">
        <v>0.0</v>
      </c>
      <c r="Z2412" s="372">
        <v>0.0</v>
      </c>
    </row>
    <row r="2413">
      <c r="Y2413" s="372">
        <v>0.0</v>
      </c>
      <c r="Z2413" s="372">
        <v>0.0</v>
      </c>
    </row>
    <row r="2414">
      <c r="Y2414" s="372">
        <v>0.0</v>
      </c>
      <c r="Z2414" s="372">
        <v>0.0</v>
      </c>
    </row>
    <row r="2415">
      <c r="Y2415" s="372">
        <v>0.0</v>
      </c>
      <c r="Z2415" s="372">
        <v>0.0</v>
      </c>
    </row>
    <row r="2416">
      <c r="Y2416" s="372">
        <v>0.0</v>
      </c>
      <c r="Z2416" s="372">
        <v>0.0</v>
      </c>
    </row>
    <row r="2417">
      <c r="Y2417" s="372">
        <v>0.0</v>
      </c>
      <c r="Z2417" s="372">
        <v>0.0</v>
      </c>
    </row>
    <row r="2418">
      <c r="Y2418" s="372">
        <v>0.0</v>
      </c>
      <c r="Z2418" s="372">
        <v>0.0</v>
      </c>
    </row>
    <row r="2419">
      <c r="Y2419" s="372">
        <v>0.0</v>
      </c>
      <c r="Z2419" s="372">
        <v>0.0</v>
      </c>
    </row>
    <row r="2420">
      <c r="Y2420" s="372">
        <v>0.0</v>
      </c>
      <c r="Z2420" s="372">
        <v>0.0</v>
      </c>
    </row>
    <row r="2421">
      <c r="Y2421" s="372">
        <v>0.0</v>
      </c>
      <c r="Z2421" s="372">
        <v>0.0</v>
      </c>
    </row>
    <row r="2422">
      <c r="Y2422" s="372">
        <v>0.0</v>
      </c>
      <c r="Z2422" s="372">
        <v>0.0</v>
      </c>
    </row>
    <row r="2423">
      <c r="Y2423" s="372">
        <v>0.0</v>
      </c>
      <c r="Z2423" s="372">
        <v>0.0</v>
      </c>
    </row>
    <row r="2424">
      <c r="Y2424" s="372">
        <v>0.0</v>
      </c>
      <c r="Z2424" s="372">
        <v>0.0</v>
      </c>
    </row>
    <row r="2425">
      <c r="Y2425" s="372">
        <v>0.0</v>
      </c>
      <c r="Z2425" s="372">
        <v>0.0</v>
      </c>
    </row>
    <row r="2426">
      <c r="Y2426" s="372">
        <v>0.0</v>
      </c>
      <c r="Z2426" s="372">
        <v>0.0</v>
      </c>
    </row>
    <row r="2427">
      <c r="Y2427" s="372">
        <v>0.0</v>
      </c>
      <c r="Z2427" s="372">
        <v>0.0</v>
      </c>
    </row>
    <row r="2428">
      <c r="Y2428" s="372">
        <v>0.0</v>
      </c>
      <c r="Z2428" s="372">
        <v>0.0</v>
      </c>
    </row>
    <row r="2429">
      <c r="Y2429" s="372">
        <v>0.0</v>
      </c>
      <c r="Z2429" s="372">
        <v>0.0</v>
      </c>
    </row>
    <row r="2430">
      <c r="Y2430" s="372">
        <v>0.0</v>
      </c>
      <c r="Z2430" s="372">
        <v>0.0</v>
      </c>
    </row>
    <row r="2431">
      <c r="Y2431" s="372">
        <v>0.0</v>
      </c>
      <c r="Z2431" s="372">
        <v>0.0</v>
      </c>
    </row>
    <row r="2432">
      <c r="Y2432" s="372">
        <v>0.0</v>
      </c>
      <c r="Z2432" s="372">
        <v>0.0</v>
      </c>
    </row>
    <row r="2433">
      <c r="Y2433" s="372">
        <v>0.0</v>
      </c>
      <c r="Z2433" s="372">
        <v>0.0</v>
      </c>
    </row>
    <row r="2434">
      <c r="Y2434" s="372">
        <v>0.0</v>
      </c>
      <c r="Z2434" s="372">
        <v>0.0</v>
      </c>
    </row>
    <row r="2435">
      <c r="Y2435" s="372">
        <v>0.0</v>
      </c>
      <c r="Z2435" s="372">
        <v>0.0</v>
      </c>
    </row>
    <row r="2436">
      <c r="Y2436" s="372">
        <v>0.0</v>
      </c>
      <c r="Z2436" s="372">
        <v>0.0</v>
      </c>
    </row>
    <row r="2437">
      <c r="Y2437" s="372">
        <v>0.0</v>
      </c>
      <c r="Z2437" s="372">
        <v>0.0</v>
      </c>
    </row>
    <row r="2438">
      <c r="Y2438" s="372">
        <v>0.0</v>
      </c>
      <c r="Z2438" s="372">
        <v>0.0</v>
      </c>
    </row>
    <row r="2439">
      <c r="Y2439" s="372">
        <v>0.0</v>
      </c>
      <c r="Z2439" s="372">
        <v>0.0</v>
      </c>
    </row>
    <row r="2440">
      <c r="Y2440" s="372">
        <v>0.0</v>
      </c>
      <c r="Z2440" s="372">
        <v>0.0</v>
      </c>
    </row>
    <row r="2441">
      <c r="Y2441" s="372">
        <v>0.0</v>
      </c>
      <c r="Z2441" s="372">
        <v>0.0</v>
      </c>
    </row>
    <row r="2442">
      <c r="Y2442" s="372">
        <v>0.0</v>
      </c>
      <c r="Z2442" s="372">
        <v>0.0</v>
      </c>
    </row>
    <row r="2443">
      <c r="Y2443" s="372">
        <v>0.0</v>
      </c>
      <c r="Z2443" s="372">
        <v>0.0</v>
      </c>
    </row>
    <row r="2444">
      <c r="Y2444" s="372">
        <v>0.0</v>
      </c>
      <c r="Z2444" s="372">
        <v>0.0</v>
      </c>
    </row>
    <row r="2445">
      <c r="Y2445" s="372">
        <v>0.0</v>
      </c>
      <c r="Z2445" s="372">
        <v>0.0</v>
      </c>
    </row>
    <row r="2446">
      <c r="Y2446" s="372">
        <v>0.0</v>
      </c>
      <c r="Z2446" s="372">
        <v>0.0</v>
      </c>
    </row>
    <row r="2447">
      <c r="Y2447" s="372">
        <v>0.0</v>
      </c>
      <c r="Z2447" s="372">
        <v>0.0</v>
      </c>
    </row>
    <row r="2448">
      <c r="Y2448" s="372">
        <v>0.0</v>
      </c>
      <c r="Z2448" s="372">
        <v>0.0</v>
      </c>
    </row>
    <row r="2449">
      <c r="Y2449" s="372">
        <v>0.0</v>
      </c>
      <c r="Z2449" s="372">
        <v>0.0</v>
      </c>
    </row>
    <row r="2450">
      <c r="Y2450" s="372">
        <v>0.0</v>
      </c>
      <c r="Z2450" s="372">
        <v>0.0</v>
      </c>
    </row>
    <row r="2451">
      <c r="Y2451" s="372">
        <v>0.0</v>
      </c>
      <c r="Z2451" s="372">
        <v>0.0</v>
      </c>
    </row>
    <row r="2452">
      <c r="Y2452" s="372">
        <v>0.0</v>
      </c>
      <c r="Z2452" s="372">
        <v>0.0</v>
      </c>
    </row>
    <row r="2453">
      <c r="Y2453" s="372">
        <v>0.0</v>
      </c>
      <c r="Z2453" s="372">
        <v>0.0</v>
      </c>
    </row>
    <row r="2454">
      <c r="Y2454" s="372">
        <v>0.0</v>
      </c>
      <c r="Z2454" s="372">
        <v>0.0</v>
      </c>
    </row>
    <row r="2455">
      <c r="Y2455" s="372">
        <v>0.0</v>
      </c>
      <c r="Z2455" s="372">
        <v>0.0</v>
      </c>
    </row>
    <row r="2456">
      <c r="Y2456" s="372">
        <v>0.0</v>
      </c>
      <c r="Z2456" s="372">
        <v>0.0</v>
      </c>
    </row>
    <row r="2457">
      <c r="Y2457" s="372">
        <v>0.0</v>
      </c>
      <c r="Z2457" s="372">
        <v>0.0</v>
      </c>
    </row>
    <row r="2458">
      <c r="Y2458" s="372">
        <v>0.0</v>
      </c>
      <c r="Z2458" s="372">
        <v>0.0</v>
      </c>
    </row>
    <row r="2459">
      <c r="Y2459" s="372">
        <v>0.0</v>
      </c>
      <c r="Z2459" s="372">
        <v>0.0</v>
      </c>
    </row>
    <row r="2460">
      <c r="Y2460" s="372">
        <v>0.0</v>
      </c>
      <c r="Z2460" s="372">
        <v>0.0</v>
      </c>
    </row>
    <row r="2461">
      <c r="Y2461" s="372">
        <v>0.0</v>
      </c>
      <c r="Z2461" s="372">
        <v>0.0</v>
      </c>
    </row>
    <row r="2462">
      <c r="Y2462" s="372">
        <v>0.0</v>
      </c>
      <c r="Z2462" s="372">
        <v>0.0</v>
      </c>
    </row>
    <row r="2463">
      <c r="Y2463" s="372">
        <v>0.0</v>
      </c>
      <c r="Z2463" s="372">
        <v>0.0</v>
      </c>
    </row>
    <row r="2464">
      <c r="Y2464" s="372">
        <v>0.0</v>
      </c>
      <c r="Z2464" s="372">
        <v>0.0</v>
      </c>
    </row>
    <row r="2465">
      <c r="Y2465" s="372">
        <v>0.0</v>
      </c>
      <c r="Z2465" s="372">
        <v>0.0</v>
      </c>
    </row>
    <row r="2466">
      <c r="Y2466" s="372">
        <v>0.0</v>
      </c>
      <c r="Z2466" s="372">
        <v>0.0</v>
      </c>
    </row>
    <row r="2467">
      <c r="Y2467" s="372">
        <v>0.0</v>
      </c>
      <c r="Z2467" s="372">
        <v>0.0</v>
      </c>
    </row>
    <row r="2468">
      <c r="Y2468" s="372">
        <v>0.0</v>
      </c>
      <c r="Z2468" s="372">
        <v>0.0</v>
      </c>
    </row>
    <row r="2469">
      <c r="Y2469" s="372">
        <v>0.0</v>
      </c>
      <c r="Z2469" s="372">
        <v>0.0</v>
      </c>
    </row>
    <row r="2470">
      <c r="Y2470" s="372">
        <v>0.0</v>
      </c>
      <c r="Z2470" s="372">
        <v>0.0</v>
      </c>
    </row>
    <row r="2471">
      <c r="Y2471" s="372">
        <v>0.0</v>
      </c>
      <c r="Z2471" s="372">
        <v>0.0</v>
      </c>
    </row>
    <row r="2472">
      <c r="Y2472" s="372">
        <v>0.0</v>
      </c>
      <c r="Z2472" s="372">
        <v>0.0</v>
      </c>
    </row>
    <row r="2473">
      <c r="Y2473" s="372">
        <v>0.0</v>
      </c>
      <c r="Z2473" s="372">
        <v>0.0</v>
      </c>
    </row>
    <row r="2474">
      <c r="Y2474" s="372">
        <v>0.0</v>
      </c>
      <c r="Z2474" s="372">
        <v>0.0</v>
      </c>
    </row>
    <row r="2475">
      <c r="Y2475" s="372">
        <v>0.0</v>
      </c>
      <c r="Z2475" s="372">
        <v>0.0</v>
      </c>
    </row>
    <row r="2476">
      <c r="Y2476" s="372">
        <v>0.0</v>
      </c>
      <c r="Z2476" s="372">
        <v>0.0</v>
      </c>
    </row>
    <row r="2477">
      <c r="Y2477" s="372">
        <v>0.0</v>
      </c>
      <c r="Z2477" s="372">
        <v>0.0</v>
      </c>
    </row>
    <row r="2478">
      <c r="Y2478" s="372">
        <v>0.0</v>
      </c>
      <c r="Z2478" s="372">
        <v>0.0</v>
      </c>
    </row>
    <row r="2479">
      <c r="Y2479" s="372">
        <v>0.0</v>
      </c>
      <c r="Z2479" s="372">
        <v>0.0</v>
      </c>
    </row>
    <row r="2480">
      <c r="Y2480" s="372">
        <v>0.0</v>
      </c>
      <c r="Z2480" s="372">
        <v>0.0</v>
      </c>
    </row>
    <row r="2481">
      <c r="Y2481" s="372">
        <v>0.0</v>
      </c>
      <c r="Z2481" s="372">
        <v>0.0</v>
      </c>
    </row>
    <row r="2482">
      <c r="Y2482" s="372">
        <v>0.0</v>
      </c>
      <c r="Z2482" s="372">
        <v>0.0</v>
      </c>
    </row>
    <row r="2483">
      <c r="Y2483" s="372">
        <v>0.0</v>
      </c>
      <c r="Z2483" s="372">
        <v>0.0</v>
      </c>
    </row>
    <row r="2484">
      <c r="Y2484" s="372">
        <v>0.0</v>
      </c>
      <c r="Z2484" s="372">
        <v>0.0</v>
      </c>
    </row>
    <row r="2485">
      <c r="Y2485" s="372">
        <v>0.0</v>
      </c>
      <c r="Z2485" s="372">
        <v>0.0</v>
      </c>
    </row>
    <row r="2486">
      <c r="Y2486" s="372">
        <v>0.0</v>
      </c>
      <c r="Z2486" s="372">
        <v>0.0</v>
      </c>
    </row>
    <row r="2487">
      <c r="Y2487" s="372">
        <v>0.0</v>
      </c>
      <c r="Z2487" s="372">
        <v>0.0</v>
      </c>
    </row>
    <row r="2488">
      <c r="Y2488" s="372">
        <v>0.0</v>
      </c>
      <c r="Z2488" s="372">
        <v>0.0</v>
      </c>
    </row>
    <row r="2489">
      <c r="Y2489" s="372">
        <v>0.0</v>
      </c>
      <c r="Z2489" s="372">
        <v>0.0</v>
      </c>
    </row>
    <row r="2490">
      <c r="Y2490" s="372">
        <v>0.0</v>
      </c>
      <c r="Z2490" s="372">
        <v>0.0</v>
      </c>
    </row>
    <row r="2491">
      <c r="Y2491" s="372">
        <v>0.0</v>
      </c>
      <c r="Z2491" s="372">
        <v>0.0</v>
      </c>
    </row>
    <row r="2492">
      <c r="Y2492" s="372">
        <v>0.0</v>
      </c>
      <c r="Z2492" s="372">
        <v>0.0</v>
      </c>
    </row>
    <row r="2493">
      <c r="Y2493" s="372">
        <v>0.0</v>
      </c>
      <c r="Z2493" s="372">
        <v>0.0</v>
      </c>
    </row>
    <row r="2494">
      <c r="Y2494" s="372">
        <v>0.0</v>
      </c>
      <c r="Z2494" s="372">
        <v>0.0</v>
      </c>
    </row>
    <row r="2495">
      <c r="Y2495" s="372">
        <v>0.0</v>
      </c>
      <c r="Z2495" s="372">
        <v>0.0</v>
      </c>
    </row>
    <row r="2496">
      <c r="Y2496" s="372">
        <v>0.0</v>
      </c>
      <c r="Z2496" s="372">
        <v>0.0</v>
      </c>
    </row>
    <row r="2497">
      <c r="Y2497" s="372">
        <v>0.0</v>
      </c>
      <c r="Z2497" s="372">
        <v>0.0</v>
      </c>
    </row>
    <row r="2498">
      <c r="Y2498" s="372">
        <v>0.0</v>
      </c>
      <c r="Z2498" s="372">
        <v>0.0</v>
      </c>
    </row>
    <row r="2499">
      <c r="Y2499" s="372">
        <v>0.0</v>
      </c>
      <c r="Z2499" s="372">
        <v>0.0</v>
      </c>
    </row>
    <row r="2500">
      <c r="Y2500" s="372">
        <v>0.0</v>
      </c>
      <c r="Z2500" s="372">
        <v>0.0</v>
      </c>
    </row>
    <row r="2501">
      <c r="Y2501" s="372">
        <v>0.0</v>
      </c>
      <c r="Z2501" s="372">
        <v>0.0</v>
      </c>
    </row>
    <row r="2502">
      <c r="Y2502" s="372">
        <v>0.0</v>
      </c>
      <c r="Z2502" s="372">
        <v>0.0</v>
      </c>
    </row>
    <row r="2503">
      <c r="Y2503" s="372">
        <v>0.0</v>
      </c>
      <c r="Z2503" s="372">
        <v>0.0</v>
      </c>
    </row>
    <row r="2504">
      <c r="Y2504" s="372">
        <v>0.0</v>
      </c>
      <c r="Z2504" s="372">
        <v>0.0</v>
      </c>
    </row>
    <row r="2505">
      <c r="Y2505" s="372">
        <v>0.0</v>
      </c>
      <c r="Z2505" s="372">
        <v>0.0</v>
      </c>
    </row>
    <row r="2506">
      <c r="Y2506" s="372">
        <v>0.0</v>
      </c>
      <c r="Z2506" s="372">
        <v>0.0</v>
      </c>
    </row>
    <row r="2507">
      <c r="Y2507" s="372">
        <v>0.0</v>
      </c>
      <c r="Z2507" s="372">
        <v>0.0</v>
      </c>
    </row>
    <row r="2508">
      <c r="Y2508" s="372">
        <v>0.0</v>
      </c>
      <c r="Z2508" s="372">
        <v>0.0</v>
      </c>
    </row>
    <row r="2509">
      <c r="Y2509" s="372">
        <v>0.0</v>
      </c>
      <c r="Z2509" s="372">
        <v>0.0</v>
      </c>
    </row>
    <row r="2510">
      <c r="Y2510" s="372">
        <v>0.0</v>
      </c>
      <c r="Z2510" s="372">
        <v>0.0</v>
      </c>
    </row>
    <row r="2511">
      <c r="Y2511" s="372">
        <v>0.0</v>
      </c>
      <c r="Z2511" s="372">
        <v>0.0</v>
      </c>
    </row>
    <row r="2512">
      <c r="Y2512" s="372">
        <v>0.0</v>
      </c>
      <c r="Z2512" s="372">
        <v>0.0</v>
      </c>
    </row>
    <row r="2513">
      <c r="Y2513" s="372">
        <v>0.0</v>
      </c>
      <c r="Z2513" s="372">
        <v>0.0</v>
      </c>
    </row>
    <row r="2514">
      <c r="Y2514" s="372">
        <v>0.0</v>
      </c>
      <c r="Z2514" s="372">
        <v>0.0</v>
      </c>
    </row>
    <row r="2515">
      <c r="Y2515" s="372">
        <v>0.0</v>
      </c>
      <c r="Z2515" s="372">
        <v>0.0</v>
      </c>
    </row>
    <row r="2516">
      <c r="Y2516" s="372">
        <v>0.0</v>
      </c>
      <c r="Z2516" s="372">
        <v>0.0</v>
      </c>
    </row>
    <row r="2517">
      <c r="Y2517" s="372">
        <v>0.0</v>
      </c>
      <c r="Z2517" s="372">
        <v>0.0</v>
      </c>
    </row>
    <row r="2518">
      <c r="Y2518" s="372">
        <v>0.0</v>
      </c>
      <c r="Z2518" s="372">
        <v>0.0</v>
      </c>
    </row>
    <row r="2519">
      <c r="Y2519" s="372">
        <v>0.0</v>
      </c>
      <c r="Z2519" s="372">
        <v>0.0</v>
      </c>
    </row>
    <row r="2520">
      <c r="Y2520" s="372">
        <v>0.0</v>
      </c>
      <c r="Z2520" s="372">
        <v>0.0</v>
      </c>
    </row>
    <row r="2521">
      <c r="Y2521" s="372">
        <v>0.0</v>
      </c>
      <c r="Z2521" s="372">
        <v>0.0</v>
      </c>
    </row>
    <row r="2522">
      <c r="Y2522" s="372">
        <v>0.0</v>
      </c>
      <c r="Z2522" s="372">
        <v>0.0</v>
      </c>
    </row>
    <row r="2523">
      <c r="Y2523" s="372">
        <v>0.0</v>
      </c>
      <c r="Z2523" s="372">
        <v>0.0</v>
      </c>
    </row>
    <row r="2524">
      <c r="Y2524" s="372">
        <v>0.0</v>
      </c>
      <c r="Z2524" s="372">
        <v>0.0</v>
      </c>
    </row>
    <row r="2525">
      <c r="Y2525" s="372">
        <v>0.0</v>
      </c>
      <c r="Z2525" s="372">
        <v>0.0</v>
      </c>
    </row>
    <row r="2526">
      <c r="Y2526" s="372">
        <v>0.0</v>
      </c>
      <c r="Z2526" s="372">
        <v>0.0</v>
      </c>
    </row>
    <row r="2527">
      <c r="Y2527" s="372">
        <v>0.0</v>
      </c>
      <c r="Z2527" s="372">
        <v>0.0</v>
      </c>
    </row>
    <row r="2528">
      <c r="Y2528" s="372">
        <v>0.0</v>
      </c>
      <c r="Z2528" s="372">
        <v>0.0</v>
      </c>
    </row>
    <row r="2529">
      <c r="Y2529" s="372">
        <v>0.0</v>
      </c>
      <c r="Z2529" s="372">
        <v>0.0</v>
      </c>
    </row>
    <row r="2530">
      <c r="Y2530" s="372">
        <v>0.0</v>
      </c>
      <c r="Z2530" s="372">
        <v>0.0</v>
      </c>
    </row>
    <row r="2531">
      <c r="Y2531" s="372">
        <v>0.0</v>
      </c>
      <c r="Z2531" s="372">
        <v>0.0</v>
      </c>
    </row>
    <row r="2532">
      <c r="Y2532" s="372">
        <v>0.0</v>
      </c>
      <c r="Z2532" s="372">
        <v>0.0</v>
      </c>
    </row>
    <row r="2533">
      <c r="Y2533" s="372">
        <v>0.0</v>
      </c>
      <c r="Z2533" s="372">
        <v>0.0</v>
      </c>
    </row>
    <row r="2534">
      <c r="Y2534" s="372">
        <v>0.0</v>
      </c>
      <c r="Z2534" s="372">
        <v>0.0</v>
      </c>
    </row>
    <row r="2535">
      <c r="Y2535" s="372">
        <v>0.0</v>
      </c>
      <c r="Z2535" s="372">
        <v>0.0</v>
      </c>
    </row>
    <row r="2536">
      <c r="Y2536" s="372">
        <v>0.0</v>
      </c>
      <c r="Z2536" s="372">
        <v>0.0</v>
      </c>
    </row>
    <row r="2537">
      <c r="Y2537" s="372">
        <v>0.0</v>
      </c>
      <c r="Z2537" s="372">
        <v>0.0</v>
      </c>
    </row>
    <row r="2538">
      <c r="Y2538" s="372">
        <v>0.0</v>
      </c>
      <c r="Z2538" s="372">
        <v>0.0</v>
      </c>
    </row>
    <row r="2539">
      <c r="Y2539" s="372">
        <v>0.0</v>
      </c>
      <c r="Z2539" s="372">
        <v>0.0</v>
      </c>
    </row>
    <row r="2540">
      <c r="Y2540" s="372">
        <v>0.0</v>
      </c>
      <c r="Z2540" s="372">
        <v>0.0</v>
      </c>
    </row>
    <row r="2541">
      <c r="Y2541" s="372">
        <v>0.0</v>
      </c>
      <c r="Z2541" s="372">
        <v>0.0</v>
      </c>
    </row>
    <row r="2542">
      <c r="Y2542" s="372">
        <v>0.0</v>
      </c>
      <c r="Z2542" s="372">
        <v>0.0</v>
      </c>
    </row>
    <row r="2543">
      <c r="Y2543" s="372">
        <v>0.0</v>
      </c>
      <c r="Z2543" s="372">
        <v>0.0</v>
      </c>
    </row>
    <row r="2544">
      <c r="Y2544" s="372">
        <v>0.0</v>
      </c>
      <c r="Z2544" s="372">
        <v>0.0</v>
      </c>
    </row>
    <row r="2545">
      <c r="Y2545" s="372">
        <v>0.0</v>
      </c>
      <c r="Z2545" s="372">
        <v>0.0</v>
      </c>
    </row>
    <row r="2546">
      <c r="Y2546" s="372">
        <v>0.0</v>
      </c>
      <c r="Z2546" s="372">
        <v>0.0</v>
      </c>
    </row>
    <row r="2547">
      <c r="Y2547" s="372">
        <v>0.0</v>
      </c>
      <c r="Z2547" s="372">
        <v>0.0</v>
      </c>
    </row>
    <row r="2548">
      <c r="Y2548" s="372">
        <v>0.0</v>
      </c>
      <c r="Z2548" s="372">
        <v>0.0</v>
      </c>
    </row>
    <row r="2549">
      <c r="Y2549" s="372">
        <v>0.0</v>
      </c>
      <c r="Z2549" s="372">
        <v>0.0</v>
      </c>
    </row>
    <row r="2550">
      <c r="Y2550" s="372">
        <v>0.0</v>
      </c>
      <c r="Z2550" s="372">
        <v>0.0</v>
      </c>
    </row>
    <row r="2551">
      <c r="Y2551" s="372">
        <v>0.0</v>
      </c>
      <c r="Z2551" s="372">
        <v>0.0</v>
      </c>
    </row>
    <row r="2552">
      <c r="Y2552" s="372">
        <v>0.0</v>
      </c>
      <c r="Z2552" s="372">
        <v>0.0</v>
      </c>
    </row>
    <row r="2553">
      <c r="Y2553" s="372">
        <v>0.0</v>
      </c>
      <c r="Z2553" s="372">
        <v>0.0</v>
      </c>
    </row>
    <row r="2554">
      <c r="Y2554" s="372">
        <v>0.0</v>
      </c>
      <c r="Z2554" s="372">
        <v>0.0</v>
      </c>
    </row>
    <row r="2555">
      <c r="Y2555" s="372">
        <v>0.0</v>
      </c>
      <c r="Z2555" s="372">
        <v>0.0</v>
      </c>
    </row>
    <row r="2556">
      <c r="Y2556" s="372">
        <v>0.0</v>
      </c>
      <c r="Z2556" s="372">
        <v>0.0</v>
      </c>
    </row>
    <row r="2557">
      <c r="Y2557" s="372">
        <v>0.0</v>
      </c>
      <c r="Z2557" s="372">
        <v>0.0</v>
      </c>
    </row>
    <row r="2558">
      <c r="Y2558" s="372">
        <v>0.0</v>
      </c>
      <c r="Z2558" s="372">
        <v>0.0</v>
      </c>
    </row>
    <row r="2559">
      <c r="Y2559" s="372">
        <v>0.0</v>
      </c>
      <c r="Z2559" s="372">
        <v>0.0</v>
      </c>
    </row>
    <row r="2560">
      <c r="Y2560" s="372">
        <v>0.0</v>
      </c>
      <c r="Z2560" s="372">
        <v>0.0</v>
      </c>
    </row>
    <row r="2561">
      <c r="Y2561" s="372">
        <v>0.0</v>
      </c>
      <c r="Z2561" s="372">
        <v>0.0</v>
      </c>
    </row>
    <row r="2562">
      <c r="Y2562" s="372">
        <v>0.0</v>
      </c>
      <c r="Z2562" s="372">
        <v>0.0</v>
      </c>
    </row>
    <row r="2563">
      <c r="Y2563" s="372">
        <v>0.0</v>
      </c>
      <c r="Z2563" s="372">
        <v>0.0</v>
      </c>
    </row>
    <row r="2564">
      <c r="Y2564" s="372">
        <v>0.0</v>
      </c>
      <c r="Z2564" s="372">
        <v>0.0</v>
      </c>
    </row>
    <row r="2565">
      <c r="Y2565" s="372">
        <v>0.0</v>
      </c>
      <c r="Z2565" s="372">
        <v>0.0</v>
      </c>
    </row>
    <row r="2566">
      <c r="Y2566" s="372">
        <v>0.0</v>
      </c>
      <c r="Z2566" s="372">
        <v>0.0</v>
      </c>
    </row>
    <row r="2567">
      <c r="Y2567" s="372">
        <v>0.0</v>
      </c>
      <c r="Z2567" s="372">
        <v>0.0</v>
      </c>
    </row>
    <row r="2568">
      <c r="Y2568" s="372">
        <v>0.0</v>
      </c>
      <c r="Z2568" s="372">
        <v>0.0</v>
      </c>
    </row>
    <row r="2569">
      <c r="Y2569" s="372">
        <v>0.0</v>
      </c>
      <c r="Z2569" s="372">
        <v>0.0</v>
      </c>
    </row>
    <row r="2570">
      <c r="Y2570" s="372">
        <v>0.0</v>
      </c>
      <c r="Z2570" s="372">
        <v>0.0</v>
      </c>
    </row>
    <row r="2571">
      <c r="Y2571" s="372">
        <v>0.0</v>
      </c>
      <c r="Z2571" s="372">
        <v>0.0</v>
      </c>
    </row>
    <row r="2572">
      <c r="Y2572" s="372">
        <v>0.0</v>
      </c>
      <c r="Z2572" s="372">
        <v>0.0</v>
      </c>
    </row>
    <row r="2573">
      <c r="Y2573" s="372">
        <v>0.0</v>
      </c>
      <c r="Z2573" s="372">
        <v>0.0</v>
      </c>
    </row>
    <row r="2574">
      <c r="Y2574" s="372">
        <v>0.0</v>
      </c>
      <c r="Z2574" s="372">
        <v>0.0</v>
      </c>
    </row>
    <row r="2575">
      <c r="Y2575" s="372">
        <v>0.0</v>
      </c>
      <c r="Z2575" s="372">
        <v>0.0</v>
      </c>
    </row>
    <row r="2576">
      <c r="Y2576" s="372">
        <v>0.0</v>
      </c>
      <c r="Z2576" s="372">
        <v>0.0</v>
      </c>
    </row>
    <row r="2577">
      <c r="Y2577" s="372">
        <v>0.0</v>
      </c>
      <c r="Z2577" s="372">
        <v>0.0</v>
      </c>
    </row>
    <row r="2578">
      <c r="Y2578" s="372">
        <v>0.0</v>
      </c>
      <c r="Z2578" s="372">
        <v>0.0</v>
      </c>
    </row>
    <row r="2579">
      <c r="Y2579" s="372">
        <v>0.0</v>
      </c>
      <c r="Z2579" s="372">
        <v>0.0</v>
      </c>
    </row>
    <row r="2580">
      <c r="Y2580" s="372">
        <v>0.0</v>
      </c>
      <c r="Z2580" s="372">
        <v>0.0</v>
      </c>
    </row>
    <row r="2581">
      <c r="Y2581" s="372">
        <v>0.0</v>
      </c>
      <c r="Z2581" s="372">
        <v>0.0</v>
      </c>
    </row>
    <row r="2582">
      <c r="Y2582" s="372">
        <v>0.0</v>
      </c>
      <c r="Z2582" s="372">
        <v>0.0</v>
      </c>
    </row>
    <row r="2583">
      <c r="Y2583" s="372">
        <v>0.0</v>
      </c>
      <c r="Z2583" s="372">
        <v>0.0</v>
      </c>
    </row>
    <row r="2584">
      <c r="Y2584" s="372">
        <v>0.0</v>
      </c>
      <c r="Z2584" s="372">
        <v>0.0</v>
      </c>
    </row>
    <row r="2585">
      <c r="Y2585" s="372">
        <v>0.0</v>
      </c>
      <c r="Z2585" s="372">
        <v>0.0</v>
      </c>
    </row>
    <row r="2586">
      <c r="Y2586" s="372">
        <v>0.0</v>
      </c>
      <c r="Z2586" s="372">
        <v>0.0</v>
      </c>
    </row>
    <row r="2587">
      <c r="Y2587" s="372">
        <v>0.0</v>
      </c>
      <c r="Z2587" s="372">
        <v>0.0</v>
      </c>
    </row>
    <row r="2588">
      <c r="Y2588" s="372">
        <v>0.0</v>
      </c>
      <c r="Z2588" s="372">
        <v>0.0</v>
      </c>
    </row>
    <row r="2589">
      <c r="Y2589" s="372">
        <v>0.0</v>
      </c>
      <c r="Z2589" s="372">
        <v>0.0</v>
      </c>
    </row>
    <row r="2590">
      <c r="Y2590" s="372">
        <v>0.0</v>
      </c>
      <c r="Z2590" s="372">
        <v>0.0</v>
      </c>
    </row>
    <row r="2591">
      <c r="Y2591" s="372">
        <v>0.0</v>
      </c>
      <c r="Z2591" s="372">
        <v>0.0</v>
      </c>
    </row>
    <row r="2592">
      <c r="Y2592" s="372">
        <v>0.0</v>
      </c>
      <c r="Z2592" s="372">
        <v>0.0</v>
      </c>
    </row>
    <row r="2593">
      <c r="Y2593" s="372">
        <v>0.0</v>
      </c>
      <c r="Z2593" s="372">
        <v>0.0</v>
      </c>
    </row>
    <row r="2594">
      <c r="Y2594" s="372">
        <v>0.0</v>
      </c>
      <c r="Z2594" s="372">
        <v>0.0</v>
      </c>
    </row>
    <row r="2595">
      <c r="Y2595" s="372">
        <v>0.0</v>
      </c>
      <c r="Z2595" s="372">
        <v>0.0</v>
      </c>
    </row>
    <row r="2596">
      <c r="Y2596" s="372">
        <v>0.0</v>
      </c>
      <c r="Z2596" s="372">
        <v>0.0</v>
      </c>
    </row>
    <row r="2597">
      <c r="Y2597" s="372">
        <v>0.0</v>
      </c>
      <c r="Z2597" s="372">
        <v>0.0</v>
      </c>
    </row>
    <row r="2598">
      <c r="Y2598" s="372">
        <v>0.0</v>
      </c>
      <c r="Z2598" s="372">
        <v>0.0</v>
      </c>
    </row>
    <row r="2599">
      <c r="Y2599" s="372">
        <v>0.0</v>
      </c>
      <c r="Z2599" s="372">
        <v>0.0</v>
      </c>
    </row>
    <row r="2600">
      <c r="Y2600" s="372">
        <v>0.0</v>
      </c>
      <c r="Z2600" s="372">
        <v>0.0</v>
      </c>
    </row>
    <row r="2601">
      <c r="Y2601" s="372">
        <v>0.0</v>
      </c>
      <c r="Z2601" s="372">
        <v>0.0</v>
      </c>
    </row>
    <row r="2602">
      <c r="Y2602" s="372">
        <v>0.0</v>
      </c>
      <c r="Z2602" s="372">
        <v>0.0</v>
      </c>
    </row>
    <row r="2603">
      <c r="Y2603" s="372">
        <v>0.0</v>
      </c>
      <c r="Z2603" s="372">
        <v>0.0</v>
      </c>
    </row>
    <row r="2604">
      <c r="Y2604" s="372">
        <v>0.0</v>
      </c>
      <c r="Z2604" s="372">
        <v>0.0</v>
      </c>
    </row>
    <row r="2605">
      <c r="Y2605" s="372">
        <v>0.0</v>
      </c>
      <c r="Z2605" s="372">
        <v>0.0</v>
      </c>
    </row>
    <row r="2606">
      <c r="Y2606" s="372">
        <v>0.0</v>
      </c>
      <c r="Z2606" s="372">
        <v>0.0</v>
      </c>
    </row>
    <row r="2607">
      <c r="Y2607" s="372">
        <v>0.0</v>
      </c>
      <c r="Z2607" s="372">
        <v>0.0</v>
      </c>
    </row>
    <row r="2608">
      <c r="Y2608" s="372">
        <v>0.0</v>
      </c>
      <c r="Z2608" s="372">
        <v>0.0</v>
      </c>
    </row>
    <row r="2609">
      <c r="Y2609" s="372">
        <v>0.0</v>
      </c>
      <c r="Z2609" s="372">
        <v>0.0</v>
      </c>
    </row>
    <row r="2610">
      <c r="Y2610" s="372">
        <v>0.0</v>
      </c>
      <c r="Z2610" s="372">
        <v>0.0</v>
      </c>
    </row>
    <row r="2611">
      <c r="Y2611" s="372">
        <v>0.0</v>
      </c>
      <c r="Z2611" s="372">
        <v>0.0</v>
      </c>
    </row>
    <row r="2612">
      <c r="Y2612" s="372">
        <v>0.0</v>
      </c>
      <c r="Z2612" s="372">
        <v>0.0</v>
      </c>
    </row>
    <row r="2613">
      <c r="Y2613" s="372">
        <v>0.0</v>
      </c>
      <c r="Z2613" s="372">
        <v>0.0</v>
      </c>
    </row>
    <row r="2614">
      <c r="Y2614" s="372">
        <v>0.0</v>
      </c>
      <c r="Z2614" s="372">
        <v>0.0</v>
      </c>
    </row>
    <row r="2615">
      <c r="Y2615" s="372">
        <v>0.0</v>
      </c>
      <c r="Z2615" s="372">
        <v>0.0</v>
      </c>
    </row>
    <row r="2616">
      <c r="Y2616" s="372">
        <v>0.0</v>
      </c>
      <c r="Z2616" s="372">
        <v>0.0</v>
      </c>
    </row>
    <row r="2617">
      <c r="Y2617" s="372">
        <v>0.0</v>
      </c>
      <c r="Z2617" s="372">
        <v>0.0</v>
      </c>
    </row>
    <row r="2618">
      <c r="Y2618" s="372">
        <v>0.0</v>
      </c>
      <c r="Z2618" s="372">
        <v>0.0</v>
      </c>
    </row>
    <row r="2619">
      <c r="Y2619" s="372">
        <v>0.0</v>
      </c>
      <c r="Z2619" s="372">
        <v>0.0</v>
      </c>
    </row>
    <row r="2620">
      <c r="Y2620" s="372">
        <v>0.0</v>
      </c>
      <c r="Z2620" s="372">
        <v>0.0</v>
      </c>
    </row>
    <row r="2621">
      <c r="Y2621" s="372">
        <v>0.0</v>
      </c>
      <c r="Z2621" s="372">
        <v>0.0</v>
      </c>
    </row>
    <row r="2622">
      <c r="Y2622" s="372">
        <v>0.0</v>
      </c>
      <c r="Z2622" s="372">
        <v>0.0</v>
      </c>
    </row>
    <row r="2623">
      <c r="Y2623" s="372">
        <v>0.0</v>
      </c>
      <c r="Z2623" s="372">
        <v>0.0</v>
      </c>
    </row>
    <row r="2624">
      <c r="Y2624" s="372">
        <v>0.0</v>
      </c>
      <c r="Z2624" s="372">
        <v>0.0</v>
      </c>
    </row>
    <row r="2625">
      <c r="Y2625" s="372">
        <v>0.0</v>
      </c>
      <c r="Z2625" s="372">
        <v>0.0</v>
      </c>
    </row>
    <row r="2626">
      <c r="Y2626" s="372">
        <v>0.0</v>
      </c>
      <c r="Z2626" s="372">
        <v>0.0</v>
      </c>
    </row>
    <row r="2627">
      <c r="Y2627" s="372">
        <v>0.0</v>
      </c>
      <c r="Z2627" s="372">
        <v>0.0</v>
      </c>
    </row>
    <row r="2628">
      <c r="Y2628" s="372">
        <v>0.0</v>
      </c>
      <c r="Z2628" s="372">
        <v>0.0</v>
      </c>
    </row>
    <row r="2629">
      <c r="Y2629" s="372">
        <v>0.0</v>
      </c>
      <c r="Z2629" s="372">
        <v>0.0</v>
      </c>
    </row>
    <row r="2630">
      <c r="Y2630" s="372">
        <v>0.0</v>
      </c>
      <c r="Z2630" s="372">
        <v>0.0</v>
      </c>
    </row>
    <row r="2631">
      <c r="Y2631" s="372">
        <v>0.0</v>
      </c>
      <c r="Z2631" s="372">
        <v>0.0</v>
      </c>
    </row>
    <row r="2632">
      <c r="Y2632" s="372">
        <v>0.0</v>
      </c>
      <c r="Z2632" s="372">
        <v>0.0</v>
      </c>
    </row>
    <row r="2633">
      <c r="Y2633" s="372">
        <v>0.0</v>
      </c>
      <c r="Z2633" s="372">
        <v>0.0</v>
      </c>
    </row>
    <row r="2634">
      <c r="Y2634" s="372">
        <v>0.0</v>
      </c>
      <c r="Z2634" s="372">
        <v>0.0</v>
      </c>
    </row>
    <row r="2635">
      <c r="Y2635" s="372">
        <v>0.0</v>
      </c>
      <c r="Z2635" s="372">
        <v>0.0</v>
      </c>
    </row>
    <row r="2636">
      <c r="Y2636" s="372">
        <v>0.0</v>
      </c>
      <c r="Z2636" s="372">
        <v>0.0</v>
      </c>
    </row>
    <row r="2637">
      <c r="Y2637" s="372">
        <v>0.0</v>
      </c>
      <c r="Z2637" s="372">
        <v>0.0</v>
      </c>
    </row>
    <row r="2638">
      <c r="Y2638" s="372">
        <v>0.0</v>
      </c>
      <c r="Z2638" s="372">
        <v>0.0</v>
      </c>
    </row>
    <row r="2639">
      <c r="Y2639" s="372">
        <v>0.0</v>
      </c>
      <c r="Z2639" s="372">
        <v>0.0</v>
      </c>
    </row>
    <row r="2640">
      <c r="Y2640" s="372">
        <v>0.0</v>
      </c>
      <c r="Z2640" s="372">
        <v>0.0</v>
      </c>
    </row>
    <row r="2641">
      <c r="Y2641" s="372">
        <v>0.0</v>
      </c>
      <c r="Z2641" s="372">
        <v>0.0</v>
      </c>
    </row>
    <row r="2642">
      <c r="Y2642" s="372">
        <v>0.0</v>
      </c>
      <c r="Z2642" s="372">
        <v>0.0</v>
      </c>
    </row>
    <row r="2643">
      <c r="Y2643" s="372">
        <v>0.0</v>
      </c>
      <c r="Z2643" s="372">
        <v>0.0</v>
      </c>
    </row>
    <row r="2644">
      <c r="Y2644" s="372">
        <v>0.0</v>
      </c>
      <c r="Z2644" s="372">
        <v>0.0</v>
      </c>
    </row>
    <row r="2645">
      <c r="Y2645" s="372">
        <v>0.0</v>
      </c>
      <c r="Z2645" s="372">
        <v>0.0</v>
      </c>
    </row>
    <row r="2646">
      <c r="Y2646" s="372">
        <v>0.0</v>
      </c>
      <c r="Z2646" s="372">
        <v>0.0</v>
      </c>
    </row>
    <row r="2647">
      <c r="Y2647" s="372">
        <v>0.0</v>
      </c>
      <c r="Z2647" s="372">
        <v>0.0</v>
      </c>
    </row>
    <row r="2648">
      <c r="Y2648" s="372">
        <v>0.0</v>
      </c>
      <c r="Z2648" s="372">
        <v>0.0</v>
      </c>
    </row>
    <row r="2649">
      <c r="Y2649" s="372">
        <v>0.0</v>
      </c>
      <c r="Z2649" s="372">
        <v>0.0</v>
      </c>
    </row>
    <row r="2650">
      <c r="Y2650" s="372">
        <v>0.0</v>
      </c>
      <c r="Z2650" s="372">
        <v>0.0</v>
      </c>
    </row>
    <row r="2651">
      <c r="Y2651" s="372">
        <v>0.0</v>
      </c>
      <c r="Z2651" s="372">
        <v>0.0</v>
      </c>
    </row>
    <row r="2652">
      <c r="Y2652" s="372">
        <v>0.0</v>
      </c>
      <c r="Z2652" s="372">
        <v>0.0</v>
      </c>
    </row>
    <row r="2653">
      <c r="Y2653" s="372">
        <v>0.0</v>
      </c>
      <c r="Z2653" s="372">
        <v>0.0</v>
      </c>
    </row>
    <row r="2654">
      <c r="Y2654" s="372">
        <v>0.0</v>
      </c>
      <c r="Z2654" s="372">
        <v>0.0</v>
      </c>
    </row>
    <row r="2655">
      <c r="Y2655" s="372">
        <v>0.0</v>
      </c>
      <c r="Z2655" s="372">
        <v>0.0</v>
      </c>
    </row>
    <row r="2656">
      <c r="Y2656" s="372">
        <v>0.0</v>
      </c>
      <c r="Z2656" s="372">
        <v>0.0</v>
      </c>
    </row>
    <row r="2657">
      <c r="Y2657" s="372">
        <v>0.0</v>
      </c>
      <c r="Z2657" s="372">
        <v>0.0</v>
      </c>
    </row>
    <row r="2658">
      <c r="Y2658" s="372">
        <v>0.0</v>
      </c>
      <c r="Z2658" s="372">
        <v>0.0</v>
      </c>
    </row>
    <row r="2659">
      <c r="Y2659" s="372">
        <v>0.0</v>
      </c>
      <c r="Z2659" s="372">
        <v>0.0</v>
      </c>
    </row>
    <row r="2660">
      <c r="Y2660" s="372">
        <v>0.0</v>
      </c>
      <c r="Z2660" s="372">
        <v>0.0</v>
      </c>
    </row>
    <row r="2661">
      <c r="Y2661" s="372">
        <v>0.0</v>
      </c>
      <c r="Z2661" s="372">
        <v>0.0</v>
      </c>
    </row>
    <row r="2662">
      <c r="Y2662" s="372">
        <v>0.0</v>
      </c>
      <c r="Z2662" s="372">
        <v>0.0</v>
      </c>
    </row>
    <row r="2663">
      <c r="Y2663" s="372">
        <v>0.0</v>
      </c>
      <c r="Z2663" s="372">
        <v>0.0</v>
      </c>
    </row>
    <row r="2664">
      <c r="Y2664" s="372">
        <v>0.0</v>
      </c>
      <c r="Z2664" s="372">
        <v>0.0</v>
      </c>
    </row>
    <row r="2665">
      <c r="Y2665" s="372">
        <v>0.0</v>
      </c>
      <c r="Z2665" s="372">
        <v>0.0</v>
      </c>
    </row>
    <row r="2666">
      <c r="Y2666" s="372">
        <v>0.0</v>
      </c>
      <c r="Z2666" s="372">
        <v>0.0</v>
      </c>
    </row>
    <row r="2667">
      <c r="Y2667" s="372">
        <v>0.0</v>
      </c>
      <c r="Z2667" s="372">
        <v>0.0</v>
      </c>
    </row>
    <row r="2668">
      <c r="Y2668" s="372">
        <v>0.0</v>
      </c>
      <c r="Z2668" s="372">
        <v>0.0</v>
      </c>
    </row>
    <row r="2669">
      <c r="Y2669" s="372">
        <v>0.0</v>
      </c>
      <c r="Z2669" s="372">
        <v>0.0</v>
      </c>
    </row>
    <row r="2670">
      <c r="Y2670" s="372">
        <v>0.0</v>
      </c>
      <c r="Z2670" s="372">
        <v>0.0</v>
      </c>
    </row>
    <row r="2671">
      <c r="Y2671" s="372">
        <v>0.0</v>
      </c>
      <c r="Z2671" s="372">
        <v>0.0</v>
      </c>
    </row>
    <row r="2672">
      <c r="Y2672" s="372">
        <v>0.0</v>
      </c>
      <c r="Z2672" s="372">
        <v>0.0</v>
      </c>
    </row>
    <row r="2673">
      <c r="Y2673" s="372">
        <v>0.0</v>
      </c>
      <c r="Z2673" s="372">
        <v>0.0</v>
      </c>
    </row>
    <row r="2674">
      <c r="Y2674" s="372">
        <v>0.0</v>
      </c>
      <c r="Z2674" s="372">
        <v>0.0</v>
      </c>
    </row>
    <row r="2675">
      <c r="Y2675" s="372">
        <v>0.0</v>
      </c>
      <c r="Z2675" s="372">
        <v>0.0</v>
      </c>
    </row>
    <row r="2676">
      <c r="Y2676" s="372">
        <v>0.0</v>
      </c>
      <c r="Z2676" s="372">
        <v>0.0</v>
      </c>
    </row>
    <row r="2677">
      <c r="Y2677" s="372">
        <v>0.0</v>
      </c>
      <c r="Z2677" s="372">
        <v>0.0</v>
      </c>
    </row>
    <row r="2678">
      <c r="Y2678" s="372">
        <v>0.0</v>
      </c>
      <c r="Z2678" s="372">
        <v>0.0</v>
      </c>
    </row>
    <row r="2679">
      <c r="Y2679" s="372">
        <v>0.0</v>
      </c>
      <c r="Z2679" s="372">
        <v>0.0</v>
      </c>
    </row>
    <row r="2680">
      <c r="Y2680" s="372">
        <v>0.0</v>
      </c>
      <c r="Z2680" s="372">
        <v>0.0</v>
      </c>
    </row>
    <row r="2681">
      <c r="Y2681" s="372">
        <v>0.0</v>
      </c>
      <c r="Z2681" s="372">
        <v>0.0</v>
      </c>
    </row>
    <row r="2682">
      <c r="Y2682" s="372">
        <v>0.0</v>
      </c>
      <c r="Z2682" s="372">
        <v>0.0</v>
      </c>
    </row>
    <row r="2683">
      <c r="Y2683" s="372">
        <v>0.0</v>
      </c>
      <c r="Z2683" s="372">
        <v>0.0</v>
      </c>
    </row>
    <row r="2684">
      <c r="Y2684" s="372">
        <v>0.0</v>
      </c>
      <c r="Z2684" s="372">
        <v>0.0</v>
      </c>
    </row>
    <row r="2685">
      <c r="Y2685" s="372">
        <v>0.0</v>
      </c>
      <c r="Z2685" s="372">
        <v>0.0</v>
      </c>
    </row>
    <row r="2686">
      <c r="Y2686" s="372">
        <v>0.0</v>
      </c>
      <c r="Z2686" s="372">
        <v>0.0</v>
      </c>
    </row>
    <row r="2687">
      <c r="Y2687" s="372">
        <v>0.0</v>
      </c>
      <c r="Z2687" s="372">
        <v>0.0</v>
      </c>
    </row>
    <row r="2688">
      <c r="Y2688" s="372">
        <v>0.0</v>
      </c>
      <c r="Z2688" s="372">
        <v>0.0</v>
      </c>
    </row>
    <row r="2689">
      <c r="Y2689" s="372">
        <v>0.0</v>
      </c>
      <c r="Z2689" s="372">
        <v>0.0</v>
      </c>
    </row>
    <row r="2690">
      <c r="Y2690" s="372">
        <v>0.0</v>
      </c>
      <c r="Z2690" s="372">
        <v>0.0</v>
      </c>
    </row>
    <row r="2691">
      <c r="Y2691" s="372">
        <v>0.0</v>
      </c>
      <c r="Z2691" s="372">
        <v>0.0</v>
      </c>
    </row>
    <row r="2692">
      <c r="Y2692" s="372">
        <v>0.0</v>
      </c>
      <c r="Z2692" s="372">
        <v>0.0</v>
      </c>
    </row>
    <row r="2693">
      <c r="Y2693" s="372">
        <v>0.0</v>
      </c>
      <c r="Z2693" s="372">
        <v>0.0</v>
      </c>
    </row>
    <row r="2694">
      <c r="Y2694" s="372">
        <v>0.0</v>
      </c>
      <c r="Z2694" s="372">
        <v>0.0</v>
      </c>
    </row>
    <row r="2695">
      <c r="Y2695" s="372">
        <v>0.0</v>
      </c>
      <c r="Z2695" s="372">
        <v>0.0</v>
      </c>
    </row>
    <row r="2696">
      <c r="Y2696" s="372">
        <v>0.0</v>
      </c>
      <c r="Z2696" s="372">
        <v>0.0</v>
      </c>
    </row>
    <row r="2697">
      <c r="Y2697" s="372">
        <v>0.0</v>
      </c>
      <c r="Z2697" s="372">
        <v>0.0</v>
      </c>
    </row>
    <row r="2698">
      <c r="Y2698" s="372">
        <v>0.0</v>
      </c>
      <c r="Z2698" s="372">
        <v>0.0</v>
      </c>
    </row>
    <row r="2699">
      <c r="Y2699" s="372">
        <v>0.0</v>
      </c>
      <c r="Z2699" s="372">
        <v>0.0</v>
      </c>
    </row>
    <row r="2700">
      <c r="Y2700" s="372">
        <v>0.0</v>
      </c>
      <c r="Z2700" s="372">
        <v>0.0</v>
      </c>
    </row>
    <row r="2701">
      <c r="Y2701" s="372">
        <v>0.0</v>
      </c>
      <c r="Z2701" s="372">
        <v>0.0</v>
      </c>
    </row>
    <row r="2702">
      <c r="Y2702" s="372">
        <v>0.0</v>
      </c>
      <c r="Z2702" s="372">
        <v>0.0</v>
      </c>
    </row>
    <row r="2703">
      <c r="Y2703" s="372">
        <v>0.0</v>
      </c>
      <c r="Z2703" s="372">
        <v>0.0</v>
      </c>
    </row>
    <row r="2704">
      <c r="Y2704" s="372">
        <v>0.0</v>
      </c>
      <c r="Z2704" s="372">
        <v>0.0</v>
      </c>
    </row>
    <row r="2705">
      <c r="Y2705" s="372">
        <v>0.0</v>
      </c>
      <c r="Z2705" s="372">
        <v>0.0</v>
      </c>
    </row>
    <row r="2706">
      <c r="Y2706" s="372">
        <v>0.0</v>
      </c>
      <c r="Z2706" s="372">
        <v>0.0</v>
      </c>
    </row>
    <row r="2707">
      <c r="Y2707" s="372">
        <v>0.0</v>
      </c>
      <c r="Z2707" s="372">
        <v>0.0</v>
      </c>
    </row>
    <row r="2708">
      <c r="Y2708" s="372">
        <v>0.0</v>
      </c>
      <c r="Z2708" s="372">
        <v>0.0</v>
      </c>
    </row>
    <row r="2709">
      <c r="Y2709" s="372">
        <v>0.0</v>
      </c>
      <c r="Z2709" s="372">
        <v>0.0</v>
      </c>
    </row>
    <row r="2710">
      <c r="Y2710" s="372">
        <v>0.0</v>
      </c>
      <c r="Z2710" s="372">
        <v>0.0</v>
      </c>
    </row>
    <row r="2711">
      <c r="Y2711" s="372">
        <v>0.0</v>
      </c>
      <c r="Z2711" s="372">
        <v>0.0</v>
      </c>
    </row>
    <row r="2712">
      <c r="Y2712" s="372">
        <v>0.0</v>
      </c>
      <c r="Z2712" s="372">
        <v>0.0</v>
      </c>
    </row>
    <row r="2713">
      <c r="Y2713" s="372">
        <v>0.0</v>
      </c>
      <c r="Z2713" s="372">
        <v>0.0</v>
      </c>
    </row>
    <row r="2714">
      <c r="Y2714" s="372">
        <v>0.0</v>
      </c>
      <c r="Z2714" s="372">
        <v>0.0</v>
      </c>
    </row>
    <row r="2715">
      <c r="Y2715" s="372">
        <v>0.0</v>
      </c>
      <c r="Z2715" s="372">
        <v>0.0</v>
      </c>
    </row>
    <row r="2716">
      <c r="Y2716" s="372">
        <v>0.0</v>
      </c>
      <c r="Z2716" s="372">
        <v>0.0</v>
      </c>
    </row>
    <row r="2717">
      <c r="Y2717" s="372">
        <v>0.0</v>
      </c>
      <c r="Z2717" s="372">
        <v>0.0</v>
      </c>
    </row>
    <row r="2718">
      <c r="Y2718" s="372">
        <v>0.0</v>
      </c>
      <c r="Z2718" s="372">
        <v>0.0</v>
      </c>
    </row>
    <row r="2719">
      <c r="Y2719" s="372">
        <v>0.0</v>
      </c>
      <c r="Z2719" s="372">
        <v>0.0</v>
      </c>
    </row>
    <row r="2720">
      <c r="Y2720" s="372">
        <v>0.0</v>
      </c>
      <c r="Z2720" s="372">
        <v>0.0</v>
      </c>
    </row>
    <row r="2721">
      <c r="Y2721" s="372">
        <v>0.0</v>
      </c>
      <c r="Z2721" s="372">
        <v>0.0</v>
      </c>
    </row>
    <row r="2722">
      <c r="Y2722" s="372">
        <v>0.0</v>
      </c>
      <c r="Z2722" s="372">
        <v>0.0</v>
      </c>
    </row>
    <row r="2723">
      <c r="Y2723" s="372">
        <v>0.0</v>
      </c>
      <c r="Z2723" s="372">
        <v>0.0</v>
      </c>
    </row>
    <row r="2724">
      <c r="Y2724" s="372">
        <v>0.0</v>
      </c>
      <c r="Z2724" s="372">
        <v>0.0</v>
      </c>
    </row>
    <row r="2725">
      <c r="Y2725" s="372">
        <v>0.0</v>
      </c>
      <c r="Z2725" s="372">
        <v>0.0</v>
      </c>
    </row>
    <row r="2726">
      <c r="Y2726" s="372">
        <v>0.0</v>
      </c>
      <c r="Z2726" s="372">
        <v>0.0</v>
      </c>
    </row>
    <row r="2727">
      <c r="Y2727" s="372">
        <v>0.0</v>
      </c>
      <c r="Z2727" s="372">
        <v>0.0</v>
      </c>
    </row>
    <row r="2728">
      <c r="Y2728" s="372">
        <v>0.0</v>
      </c>
      <c r="Z2728" s="372">
        <v>0.0</v>
      </c>
    </row>
    <row r="2729">
      <c r="Y2729" s="372">
        <v>0.0</v>
      </c>
      <c r="Z2729" s="372">
        <v>0.0</v>
      </c>
    </row>
    <row r="2730">
      <c r="Y2730" s="372">
        <v>0.0</v>
      </c>
      <c r="Z2730" s="372">
        <v>0.0</v>
      </c>
    </row>
    <row r="2731">
      <c r="Y2731" s="372">
        <v>0.0</v>
      </c>
      <c r="Z2731" s="372">
        <v>0.0</v>
      </c>
    </row>
    <row r="2732">
      <c r="Y2732" s="372">
        <v>0.0</v>
      </c>
      <c r="Z2732" s="372">
        <v>0.0</v>
      </c>
    </row>
    <row r="2733">
      <c r="Y2733" s="372">
        <v>0.0</v>
      </c>
      <c r="Z2733" s="372">
        <v>0.0</v>
      </c>
    </row>
    <row r="2734">
      <c r="Y2734" s="372">
        <v>0.0</v>
      </c>
      <c r="Z2734" s="372">
        <v>0.0</v>
      </c>
    </row>
    <row r="2735">
      <c r="Y2735" s="372">
        <v>0.0</v>
      </c>
      <c r="Z2735" s="372">
        <v>0.0</v>
      </c>
    </row>
    <row r="2736">
      <c r="Y2736" s="372">
        <v>0.0</v>
      </c>
      <c r="Z2736" s="372">
        <v>0.0</v>
      </c>
    </row>
    <row r="2737">
      <c r="Y2737" s="372">
        <v>0.0</v>
      </c>
      <c r="Z2737" s="372">
        <v>0.0</v>
      </c>
    </row>
    <row r="2738">
      <c r="Y2738" s="372">
        <v>0.0</v>
      </c>
      <c r="Z2738" s="372">
        <v>0.0</v>
      </c>
    </row>
    <row r="2739">
      <c r="Y2739" s="372">
        <v>0.0</v>
      </c>
      <c r="Z2739" s="372">
        <v>0.0</v>
      </c>
    </row>
    <row r="2740">
      <c r="Y2740" s="372">
        <v>0.0</v>
      </c>
      <c r="Z2740" s="372">
        <v>0.0</v>
      </c>
    </row>
    <row r="2741">
      <c r="Y2741" s="372">
        <v>0.0</v>
      </c>
      <c r="Z2741" s="372">
        <v>0.0</v>
      </c>
    </row>
    <row r="2742">
      <c r="Y2742" s="372">
        <v>0.0</v>
      </c>
      <c r="Z2742" s="372">
        <v>0.0</v>
      </c>
    </row>
    <row r="2743">
      <c r="Y2743" s="372">
        <v>0.0</v>
      </c>
      <c r="Z2743" s="372">
        <v>0.0</v>
      </c>
    </row>
    <row r="2744">
      <c r="Y2744" s="372">
        <v>0.0</v>
      </c>
      <c r="Z2744" s="372">
        <v>0.0</v>
      </c>
    </row>
    <row r="2745">
      <c r="Y2745" s="372">
        <v>0.0</v>
      </c>
      <c r="Z2745" s="372">
        <v>0.0</v>
      </c>
    </row>
    <row r="2746">
      <c r="Y2746" s="372">
        <v>0.0</v>
      </c>
      <c r="Z2746" s="372">
        <v>0.0</v>
      </c>
    </row>
    <row r="2747">
      <c r="Y2747" s="372">
        <v>0.0</v>
      </c>
      <c r="Z2747" s="372">
        <v>0.0</v>
      </c>
    </row>
    <row r="2748">
      <c r="Y2748" s="372">
        <v>0.0</v>
      </c>
      <c r="Z2748" s="372">
        <v>0.0</v>
      </c>
    </row>
    <row r="2749">
      <c r="Y2749" s="372">
        <v>0.0</v>
      </c>
      <c r="Z2749" s="372">
        <v>0.0</v>
      </c>
    </row>
    <row r="2750">
      <c r="Y2750" s="372">
        <v>0.0</v>
      </c>
      <c r="Z2750" s="372">
        <v>0.0</v>
      </c>
    </row>
    <row r="2751">
      <c r="Y2751" s="372">
        <v>0.0</v>
      </c>
      <c r="Z2751" s="372">
        <v>0.0</v>
      </c>
    </row>
    <row r="2752">
      <c r="Y2752" s="372">
        <v>0.0</v>
      </c>
      <c r="Z2752" s="372">
        <v>0.0</v>
      </c>
    </row>
    <row r="2753">
      <c r="Y2753" s="372">
        <v>0.0</v>
      </c>
      <c r="Z2753" s="372">
        <v>0.0</v>
      </c>
    </row>
    <row r="2754">
      <c r="Y2754" s="372">
        <v>0.0</v>
      </c>
      <c r="Z2754" s="372">
        <v>0.0</v>
      </c>
    </row>
    <row r="2755">
      <c r="Y2755" s="372">
        <v>0.0</v>
      </c>
      <c r="Z2755" s="372">
        <v>0.0</v>
      </c>
    </row>
    <row r="2756">
      <c r="Y2756" s="372">
        <v>0.0</v>
      </c>
      <c r="Z2756" s="372">
        <v>0.0</v>
      </c>
    </row>
    <row r="2757">
      <c r="Y2757" s="372">
        <v>0.0</v>
      </c>
      <c r="Z2757" s="372">
        <v>0.0</v>
      </c>
    </row>
    <row r="2758">
      <c r="Y2758" s="372">
        <v>0.0</v>
      </c>
      <c r="Z2758" s="372">
        <v>0.0</v>
      </c>
    </row>
    <row r="2759">
      <c r="Y2759" s="372">
        <v>0.0</v>
      </c>
      <c r="Z2759" s="372">
        <v>0.0</v>
      </c>
    </row>
    <row r="2760">
      <c r="Y2760" s="372">
        <v>0.0</v>
      </c>
      <c r="Z2760" s="372">
        <v>0.0</v>
      </c>
    </row>
    <row r="2761">
      <c r="Y2761" s="372">
        <v>0.0</v>
      </c>
      <c r="Z2761" s="372">
        <v>0.0</v>
      </c>
    </row>
    <row r="2762">
      <c r="Y2762" s="372">
        <v>0.0</v>
      </c>
      <c r="Z2762" s="372">
        <v>0.0</v>
      </c>
    </row>
    <row r="2763">
      <c r="Y2763" s="372">
        <v>0.0</v>
      </c>
      <c r="Z2763" s="372">
        <v>0.0</v>
      </c>
    </row>
    <row r="2764">
      <c r="Y2764" s="372">
        <v>0.0</v>
      </c>
      <c r="Z2764" s="372">
        <v>0.0</v>
      </c>
    </row>
    <row r="2765">
      <c r="Y2765" s="372">
        <v>0.0</v>
      </c>
      <c r="Z2765" s="372">
        <v>0.0</v>
      </c>
    </row>
    <row r="2766">
      <c r="Y2766" s="372">
        <v>0.0</v>
      </c>
      <c r="Z2766" s="372">
        <v>0.0</v>
      </c>
    </row>
    <row r="2767">
      <c r="Y2767" s="372">
        <v>0.0</v>
      </c>
      <c r="Z2767" s="372">
        <v>0.0</v>
      </c>
    </row>
    <row r="2768">
      <c r="Y2768" s="372">
        <v>0.0</v>
      </c>
      <c r="Z2768" s="372">
        <v>0.0</v>
      </c>
    </row>
    <row r="2769">
      <c r="Y2769" s="372">
        <v>0.0</v>
      </c>
      <c r="Z2769" s="372">
        <v>0.0</v>
      </c>
    </row>
    <row r="2770">
      <c r="Y2770" s="372">
        <v>0.0</v>
      </c>
      <c r="Z2770" s="372">
        <v>0.0</v>
      </c>
    </row>
    <row r="2771">
      <c r="Y2771" s="372">
        <v>0.0</v>
      </c>
      <c r="Z2771" s="372">
        <v>0.0</v>
      </c>
    </row>
    <row r="2772">
      <c r="Y2772" s="372">
        <v>0.0</v>
      </c>
      <c r="Z2772" s="372">
        <v>0.0</v>
      </c>
    </row>
    <row r="2773">
      <c r="Y2773" s="372">
        <v>0.0</v>
      </c>
      <c r="Z2773" s="372">
        <v>0.0</v>
      </c>
    </row>
    <row r="2774">
      <c r="Y2774" s="372">
        <v>0.0</v>
      </c>
      <c r="Z2774" s="372">
        <v>0.0</v>
      </c>
    </row>
    <row r="2775">
      <c r="Y2775" s="372">
        <v>0.0</v>
      </c>
      <c r="Z2775" s="372">
        <v>0.0</v>
      </c>
    </row>
    <row r="2776">
      <c r="Y2776" s="372">
        <v>0.0</v>
      </c>
      <c r="Z2776" s="372">
        <v>0.0</v>
      </c>
    </row>
    <row r="2777">
      <c r="Y2777" s="372">
        <v>0.0</v>
      </c>
      <c r="Z2777" s="372">
        <v>0.0</v>
      </c>
    </row>
    <row r="2778">
      <c r="Y2778" s="372">
        <v>0.0</v>
      </c>
      <c r="Z2778" s="372">
        <v>0.0</v>
      </c>
    </row>
    <row r="2779">
      <c r="Y2779" s="372">
        <v>0.0</v>
      </c>
      <c r="Z2779" s="372">
        <v>0.0</v>
      </c>
    </row>
    <row r="2780">
      <c r="Y2780" s="372">
        <v>0.0</v>
      </c>
      <c r="Z2780" s="372">
        <v>0.0</v>
      </c>
    </row>
    <row r="2781">
      <c r="Y2781" s="372">
        <v>0.0</v>
      </c>
      <c r="Z2781" s="372">
        <v>0.0</v>
      </c>
    </row>
    <row r="2782">
      <c r="Y2782" s="372">
        <v>0.0</v>
      </c>
      <c r="Z2782" s="372">
        <v>0.0</v>
      </c>
    </row>
    <row r="2783">
      <c r="Y2783" s="372">
        <v>0.0</v>
      </c>
      <c r="Z2783" s="372">
        <v>0.0</v>
      </c>
    </row>
    <row r="2784">
      <c r="Y2784" s="372">
        <v>0.0</v>
      </c>
      <c r="Z2784" s="372">
        <v>0.0</v>
      </c>
    </row>
    <row r="2785">
      <c r="Y2785" s="372">
        <v>0.0</v>
      </c>
      <c r="Z2785" s="372">
        <v>0.0</v>
      </c>
    </row>
    <row r="2786">
      <c r="Y2786" s="372">
        <v>0.0</v>
      </c>
      <c r="Z2786" s="372">
        <v>0.0</v>
      </c>
    </row>
    <row r="2787">
      <c r="Y2787" s="372">
        <v>0.0</v>
      </c>
      <c r="Z2787" s="372">
        <v>0.0</v>
      </c>
    </row>
    <row r="2788">
      <c r="Y2788" s="372">
        <v>0.0</v>
      </c>
      <c r="Z2788" s="372">
        <v>0.0</v>
      </c>
    </row>
    <row r="2789">
      <c r="Y2789" s="372">
        <v>0.0</v>
      </c>
      <c r="Z2789" s="372">
        <v>0.0</v>
      </c>
    </row>
    <row r="2790">
      <c r="Y2790" s="372">
        <v>0.0</v>
      </c>
      <c r="Z2790" s="372">
        <v>0.0</v>
      </c>
    </row>
    <row r="2791">
      <c r="Y2791" s="372">
        <v>0.0</v>
      </c>
      <c r="Z2791" s="372">
        <v>0.0</v>
      </c>
    </row>
    <row r="2792">
      <c r="Y2792" s="372">
        <v>0.0</v>
      </c>
      <c r="Z2792" s="372">
        <v>0.0</v>
      </c>
    </row>
    <row r="2793">
      <c r="Y2793" s="372">
        <v>0.0</v>
      </c>
      <c r="Z2793" s="372">
        <v>0.0</v>
      </c>
    </row>
    <row r="2794">
      <c r="Y2794" s="372">
        <v>0.0</v>
      </c>
      <c r="Z2794" s="372">
        <v>0.0</v>
      </c>
    </row>
    <row r="2795">
      <c r="Y2795" s="372">
        <v>0.0</v>
      </c>
      <c r="Z2795" s="372">
        <v>0.0</v>
      </c>
    </row>
    <row r="2796">
      <c r="Y2796" s="372">
        <v>0.0</v>
      </c>
      <c r="Z2796" s="372">
        <v>0.0</v>
      </c>
    </row>
    <row r="2797">
      <c r="Y2797" s="372">
        <v>0.0</v>
      </c>
      <c r="Z2797" s="372">
        <v>0.0</v>
      </c>
    </row>
    <row r="2798">
      <c r="Y2798" s="372">
        <v>0.0</v>
      </c>
      <c r="Z2798" s="372">
        <v>0.0</v>
      </c>
    </row>
    <row r="2799">
      <c r="Y2799" s="372">
        <v>0.0</v>
      </c>
      <c r="Z2799" s="372">
        <v>0.0</v>
      </c>
    </row>
    <row r="2800">
      <c r="Y2800" s="372">
        <v>0.0</v>
      </c>
      <c r="Z2800" s="372">
        <v>0.0</v>
      </c>
    </row>
    <row r="2801">
      <c r="Y2801" s="372">
        <v>0.0</v>
      </c>
      <c r="Z2801" s="372">
        <v>0.0</v>
      </c>
    </row>
    <row r="2802">
      <c r="Y2802" s="372">
        <v>0.0</v>
      </c>
      <c r="Z2802" s="372">
        <v>0.0</v>
      </c>
    </row>
    <row r="2803">
      <c r="Y2803" s="372">
        <v>0.0</v>
      </c>
      <c r="Z2803" s="372">
        <v>0.0</v>
      </c>
    </row>
    <row r="2804">
      <c r="Y2804" s="372">
        <v>0.0</v>
      </c>
      <c r="Z2804" s="372">
        <v>0.0</v>
      </c>
    </row>
    <row r="2805">
      <c r="Y2805" s="372">
        <v>0.0</v>
      </c>
      <c r="Z2805" s="372">
        <v>0.0</v>
      </c>
    </row>
    <row r="2806">
      <c r="Y2806" s="372">
        <v>0.0</v>
      </c>
      <c r="Z2806" s="372">
        <v>0.0</v>
      </c>
    </row>
    <row r="2807">
      <c r="Y2807" s="372">
        <v>0.0</v>
      </c>
      <c r="Z2807" s="372">
        <v>0.0</v>
      </c>
    </row>
    <row r="2808">
      <c r="Y2808" s="372">
        <v>0.0</v>
      </c>
      <c r="Z2808" s="372">
        <v>0.0</v>
      </c>
    </row>
    <row r="2809">
      <c r="Y2809" s="372">
        <v>0.0</v>
      </c>
      <c r="Z2809" s="372">
        <v>0.0</v>
      </c>
    </row>
    <row r="2810">
      <c r="Y2810" s="372">
        <v>0.0</v>
      </c>
      <c r="Z2810" s="372">
        <v>0.0</v>
      </c>
    </row>
    <row r="2811">
      <c r="Y2811" s="372">
        <v>0.0</v>
      </c>
      <c r="Z2811" s="372">
        <v>0.0</v>
      </c>
    </row>
    <row r="2812">
      <c r="Y2812" s="372">
        <v>0.0</v>
      </c>
      <c r="Z2812" s="372">
        <v>0.0</v>
      </c>
    </row>
    <row r="2813">
      <c r="Y2813" s="372">
        <v>0.0</v>
      </c>
      <c r="Z2813" s="372">
        <v>0.0</v>
      </c>
    </row>
    <row r="2814">
      <c r="Y2814" s="372">
        <v>0.0</v>
      </c>
      <c r="Z2814" s="372">
        <v>0.0</v>
      </c>
    </row>
    <row r="2815">
      <c r="Y2815" s="372">
        <v>0.0</v>
      </c>
      <c r="Z2815" s="372">
        <v>0.0</v>
      </c>
    </row>
    <row r="2816">
      <c r="Y2816" s="372">
        <v>0.0</v>
      </c>
      <c r="Z2816" s="372">
        <v>0.0</v>
      </c>
    </row>
    <row r="2817">
      <c r="Y2817" s="372">
        <v>0.0</v>
      </c>
      <c r="Z2817" s="372">
        <v>0.0</v>
      </c>
    </row>
    <row r="2818">
      <c r="Y2818" s="372">
        <v>0.0</v>
      </c>
      <c r="Z2818" s="372">
        <v>0.0</v>
      </c>
    </row>
    <row r="2819">
      <c r="Y2819" s="372">
        <v>0.0</v>
      </c>
      <c r="Z2819" s="372">
        <v>0.0</v>
      </c>
    </row>
    <row r="2820">
      <c r="Y2820" s="372">
        <v>0.0</v>
      </c>
      <c r="Z2820" s="372">
        <v>0.0</v>
      </c>
    </row>
    <row r="2821">
      <c r="Y2821" s="372">
        <v>0.0</v>
      </c>
      <c r="Z2821" s="372">
        <v>0.0</v>
      </c>
    </row>
    <row r="2822">
      <c r="Y2822" s="372">
        <v>0.0</v>
      </c>
      <c r="Z2822" s="372">
        <v>0.0</v>
      </c>
    </row>
    <row r="2823">
      <c r="Y2823" s="372">
        <v>0.0</v>
      </c>
      <c r="Z2823" s="372">
        <v>0.0</v>
      </c>
    </row>
    <row r="2824">
      <c r="Y2824" s="372">
        <v>0.0</v>
      </c>
      <c r="Z2824" s="372">
        <v>0.0</v>
      </c>
    </row>
    <row r="2825">
      <c r="Y2825" s="372">
        <v>0.0</v>
      </c>
      <c r="Z2825" s="372">
        <v>0.0</v>
      </c>
    </row>
    <row r="2826">
      <c r="Y2826" s="372">
        <v>0.0</v>
      </c>
      <c r="Z2826" s="372">
        <v>0.0</v>
      </c>
    </row>
    <row r="2827">
      <c r="Y2827" s="372">
        <v>0.0</v>
      </c>
      <c r="Z2827" s="372">
        <v>0.0</v>
      </c>
    </row>
    <row r="2828">
      <c r="Y2828" s="372">
        <v>0.0</v>
      </c>
      <c r="Z2828" s="372">
        <v>0.0</v>
      </c>
    </row>
    <row r="2829">
      <c r="Y2829" s="372">
        <v>0.0</v>
      </c>
      <c r="Z2829" s="372">
        <v>0.0</v>
      </c>
    </row>
    <row r="2830">
      <c r="Y2830" s="372">
        <v>0.0</v>
      </c>
      <c r="Z2830" s="372">
        <v>0.0</v>
      </c>
    </row>
    <row r="2831">
      <c r="Y2831" s="372">
        <v>0.0</v>
      </c>
      <c r="Z2831" s="372">
        <v>0.0</v>
      </c>
    </row>
    <row r="2832">
      <c r="Y2832" s="372">
        <v>0.0</v>
      </c>
      <c r="Z2832" s="372">
        <v>0.0</v>
      </c>
    </row>
    <row r="2833">
      <c r="Y2833" s="372">
        <v>0.0</v>
      </c>
      <c r="Z2833" s="372">
        <v>0.0</v>
      </c>
    </row>
    <row r="2834">
      <c r="Y2834" s="372">
        <v>0.0</v>
      </c>
      <c r="Z2834" s="372">
        <v>0.0</v>
      </c>
    </row>
    <row r="2835">
      <c r="Y2835" s="372">
        <v>0.0</v>
      </c>
      <c r="Z2835" s="372">
        <v>0.0</v>
      </c>
    </row>
    <row r="2836">
      <c r="Y2836" s="372">
        <v>0.0</v>
      </c>
      <c r="Z2836" s="372">
        <v>0.0</v>
      </c>
    </row>
    <row r="2837">
      <c r="Y2837" s="372">
        <v>0.0</v>
      </c>
      <c r="Z2837" s="372">
        <v>0.0</v>
      </c>
    </row>
    <row r="2838">
      <c r="Y2838" s="372">
        <v>0.0</v>
      </c>
      <c r="Z2838" s="372">
        <v>0.0</v>
      </c>
    </row>
    <row r="2839">
      <c r="Y2839" s="372">
        <v>0.0</v>
      </c>
      <c r="Z2839" s="372">
        <v>0.0</v>
      </c>
    </row>
    <row r="2840">
      <c r="Y2840" s="372">
        <v>0.0</v>
      </c>
      <c r="Z2840" s="372">
        <v>0.0</v>
      </c>
    </row>
    <row r="2841">
      <c r="Y2841" s="372">
        <v>0.0</v>
      </c>
      <c r="Z2841" s="372">
        <v>0.0</v>
      </c>
    </row>
    <row r="2842">
      <c r="Y2842" s="372">
        <v>0.0</v>
      </c>
      <c r="Z2842" s="372">
        <v>0.0</v>
      </c>
    </row>
    <row r="2843">
      <c r="Y2843" s="372">
        <v>0.0</v>
      </c>
      <c r="Z2843" s="372">
        <v>0.0</v>
      </c>
    </row>
    <row r="2844">
      <c r="Y2844" s="372">
        <v>0.0</v>
      </c>
      <c r="Z2844" s="372">
        <v>0.0</v>
      </c>
    </row>
    <row r="2845">
      <c r="Y2845" s="372">
        <v>0.0</v>
      </c>
      <c r="Z2845" s="372">
        <v>0.0</v>
      </c>
    </row>
    <row r="2846">
      <c r="Y2846" s="372">
        <v>0.0</v>
      </c>
      <c r="Z2846" s="372">
        <v>0.0</v>
      </c>
    </row>
    <row r="2847">
      <c r="Y2847" s="372">
        <v>0.0</v>
      </c>
      <c r="Z2847" s="372">
        <v>0.0</v>
      </c>
    </row>
    <row r="2848">
      <c r="Y2848" s="372">
        <v>0.0</v>
      </c>
      <c r="Z2848" s="372">
        <v>0.0</v>
      </c>
    </row>
    <row r="2849">
      <c r="Y2849" s="372">
        <v>0.0</v>
      </c>
      <c r="Z2849" s="372">
        <v>0.0</v>
      </c>
    </row>
    <row r="2850">
      <c r="Y2850" s="372">
        <v>0.0</v>
      </c>
      <c r="Z2850" s="372">
        <v>0.0</v>
      </c>
    </row>
    <row r="2851">
      <c r="Y2851" s="372">
        <v>0.0</v>
      </c>
      <c r="Z2851" s="372">
        <v>0.0</v>
      </c>
    </row>
    <row r="2852">
      <c r="Y2852" s="372">
        <v>0.0</v>
      </c>
      <c r="Z2852" s="372">
        <v>0.0</v>
      </c>
    </row>
    <row r="2853">
      <c r="Y2853" s="372">
        <v>0.0</v>
      </c>
      <c r="Z2853" s="372">
        <v>0.0</v>
      </c>
    </row>
    <row r="2854">
      <c r="Y2854" s="372">
        <v>0.0</v>
      </c>
      <c r="Z2854" s="372">
        <v>0.0</v>
      </c>
    </row>
    <row r="2855">
      <c r="Y2855" s="372">
        <v>0.0</v>
      </c>
      <c r="Z2855" s="372">
        <v>0.0</v>
      </c>
    </row>
    <row r="2856">
      <c r="Y2856" s="372">
        <v>0.0</v>
      </c>
      <c r="Z2856" s="372">
        <v>0.0</v>
      </c>
    </row>
    <row r="2857">
      <c r="Y2857" s="372">
        <v>0.0</v>
      </c>
      <c r="Z2857" s="372">
        <v>0.0</v>
      </c>
    </row>
    <row r="2858">
      <c r="Y2858" s="372">
        <v>0.0</v>
      </c>
      <c r="Z2858" s="372">
        <v>0.0</v>
      </c>
    </row>
    <row r="2859">
      <c r="Y2859" s="372">
        <v>0.0</v>
      </c>
      <c r="Z2859" s="372">
        <v>0.0</v>
      </c>
    </row>
    <row r="2860">
      <c r="Y2860" s="372">
        <v>0.0</v>
      </c>
      <c r="Z2860" s="372">
        <v>0.0</v>
      </c>
    </row>
    <row r="2861">
      <c r="Y2861" s="372">
        <v>0.0</v>
      </c>
      <c r="Z2861" s="372">
        <v>0.0</v>
      </c>
    </row>
    <row r="2862">
      <c r="Y2862" s="372">
        <v>0.0</v>
      </c>
      <c r="Z2862" s="372">
        <v>0.0</v>
      </c>
    </row>
    <row r="2863">
      <c r="Y2863" s="372">
        <v>0.0</v>
      </c>
      <c r="Z2863" s="372">
        <v>0.0</v>
      </c>
    </row>
    <row r="2864">
      <c r="Y2864" s="372">
        <v>0.0</v>
      </c>
      <c r="Z2864" s="372">
        <v>0.0</v>
      </c>
    </row>
    <row r="2865">
      <c r="Y2865" s="372">
        <v>0.0</v>
      </c>
      <c r="Z2865" s="372">
        <v>0.0</v>
      </c>
    </row>
    <row r="2866">
      <c r="Y2866" s="372">
        <v>0.0</v>
      </c>
      <c r="Z2866" s="372">
        <v>0.0</v>
      </c>
    </row>
    <row r="2867">
      <c r="Y2867" s="372">
        <v>0.0</v>
      </c>
      <c r="Z2867" s="372">
        <v>0.0</v>
      </c>
    </row>
    <row r="2868">
      <c r="Y2868" s="372">
        <v>0.0</v>
      </c>
      <c r="Z2868" s="372">
        <v>0.0</v>
      </c>
    </row>
    <row r="2869">
      <c r="Y2869" s="372">
        <v>0.0</v>
      </c>
      <c r="Z2869" s="372">
        <v>0.0</v>
      </c>
    </row>
    <row r="2870">
      <c r="Y2870" s="372">
        <v>0.0</v>
      </c>
      <c r="Z2870" s="372">
        <v>0.0</v>
      </c>
    </row>
    <row r="2871">
      <c r="Y2871" s="372">
        <v>0.0</v>
      </c>
      <c r="Z2871" s="372">
        <v>0.0</v>
      </c>
    </row>
    <row r="2872">
      <c r="Y2872" s="372">
        <v>0.0</v>
      </c>
      <c r="Z2872" s="372">
        <v>0.0</v>
      </c>
    </row>
    <row r="2873">
      <c r="Y2873" s="372">
        <v>0.0</v>
      </c>
      <c r="Z2873" s="372">
        <v>0.0</v>
      </c>
    </row>
    <row r="2874">
      <c r="Y2874" s="372">
        <v>0.0</v>
      </c>
      <c r="Z2874" s="372">
        <v>0.0</v>
      </c>
    </row>
    <row r="2875">
      <c r="Y2875" s="372">
        <v>0.0</v>
      </c>
      <c r="Z2875" s="372">
        <v>0.0</v>
      </c>
    </row>
    <row r="2876">
      <c r="Y2876" s="372">
        <v>0.0</v>
      </c>
      <c r="Z2876" s="372">
        <v>0.0</v>
      </c>
    </row>
    <row r="2877">
      <c r="Y2877" s="372">
        <v>0.0</v>
      </c>
      <c r="Z2877" s="372">
        <v>0.0</v>
      </c>
    </row>
    <row r="2878">
      <c r="Y2878" s="372">
        <v>0.0</v>
      </c>
      <c r="Z2878" s="372">
        <v>0.0</v>
      </c>
    </row>
    <row r="2879">
      <c r="Y2879" s="372">
        <v>0.0</v>
      </c>
      <c r="Z2879" s="372">
        <v>0.0</v>
      </c>
    </row>
    <row r="2880">
      <c r="Y2880" s="372">
        <v>0.0</v>
      </c>
      <c r="Z2880" s="372">
        <v>0.0</v>
      </c>
    </row>
    <row r="2881">
      <c r="Y2881" s="372">
        <v>0.0</v>
      </c>
      <c r="Z2881" s="372">
        <v>0.0</v>
      </c>
    </row>
    <row r="2882">
      <c r="Y2882" s="372">
        <v>0.0</v>
      </c>
      <c r="Z2882" s="372">
        <v>0.0</v>
      </c>
    </row>
    <row r="2883">
      <c r="Y2883" s="372">
        <v>0.0</v>
      </c>
      <c r="Z2883" s="372">
        <v>0.0</v>
      </c>
    </row>
    <row r="2884">
      <c r="Y2884" s="372">
        <v>0.0</v>
      </c>
      <c r="Z2884" s="372">
        <v>0.0</v>
      </c>
    </row>
    <row r="2885">
      <c r="Y2885" s="372">
        <v>0.0</v>
      </c>
      <c r="Z2885" s="372">
        <v>0.0</v>
      </c>
    </row>
    <row r="2886">
      <c r="Y2886" s="372">
        <v>0.0</v>
      </c>
      <c r="Z2886" s="372">
        <v>0.0</v>
      </c>
    </row>
    <row r="2887">
      <c r="Y2887" s="372">
        <v>0.0</v>
      </c>
      <c r="Z2887" s="372">
        <v>0.0</v>
      </c>
    </row>
    <row r="2888">
      <c r="Y2888" s="372">
        <v>0.0</v>
      </c>
      <c r="Z2888" s="372">
        <v>0.0</v>
      </c>
    </row>
    <row r="2889">
      <c r="Y2889" s="372">
        <v>0.0</v>
      </c>
      <c r="Z2889" s="372">
        <v>0.0</v>
      </c>
    </row>
    <row r="2890">
      <c r="Y2890" s="372">
        <v>0.0</v>
      </c>
      <c r="Z2890" s="372">
        <v>0.0</v>
      </c>
    </row>
    <row r="2891">
      <c r="Y2891" s="372">
        <v>0.0</v>
      </c>
      <c r="Z2891" s="372">
        <v>0.0</v>
      </c>
    </row>
    <row r="2892">
      <c r="Y2892" s="372">
        <v>0.0</v>
      </c>
      <c r="Z2892" s="372">
        <v>0.0</v>
      </c>
    </row>
    <row r="2893">
      <c r="Y2893" s="372">
        <v>0.0</v>
      </c>
      <c r="Z2893" s="372">
        <v>0.0</v>
      </c>
    </row>
    <row r="2894">
      <c r="Y2894" s="372">
        <v>0.0</v>
      </c>
      <c r="Z2894" s="372">
        <v>0.0</v>
      </c>
    </row>
    <row r="2895">
      <c r="Y2895" s="372">
        <v>0.0</v>
      </c>
      <c r="Z2895" s="372">
        <v>0.0</v>
      </c>
    </row>
    <row r="2896">
      <c r="Y2896" s="372">
        <v>0.0</v>
      </c>
      <c r="Z2896" s="372">
        <v>0.0</v>
      </c>
    </row>
    <row r="2897">
      <c r="Y2897" s="372">
        <v>0.0</v>
      </c>
      <c r="Z2897" s="372">
        <v>0.0</v>
      </c>
    </row>
    <row r="2898">
      <c r="Y2898" s="372">
        <v>0.0</v>
      </c>
      <c r="Z2898" s="372">
        <v>0.0</v>
      </c>
    </row>
    <row r="2899">
      <c r="Y2899" s="372">
        <v>0.0</v>
      </c>
      <c r="Z2899" s="372">
        <v>0.0</v>
      </c>
    </row>
    <row r="2900">
      <c r="Y2900" s="372">
        <v>0.0</v>
      </c>
      <c r="Z2900" s="372">
        <v>0.0</v>
      </c>
    </row>
    <row r="2901">
      <c r="Y2901" s="372">
        <v>0.0</v>
      </c>
      <c r="Z2901" s="372">
        <v>0.0</v>
      </c>
    </row>
    <row r="2902">
      <c r="Y2902" s="372">
        <v>0.0</v>
      </c>
      <c r="Z2902" s="372">
        <v>0.0</v>
      </c>
    </row>
    <row r="2903">
      <c r="Y2903" s="372">
        <v>0.0</v>
      </c>
      <c r="Z2903" s="372">
        <v>0.0</v>
      </c>
    </row>
    <row r="2904">
      <c r="Y2904" s="372">
        <v>0.0</v>
      </c>
      <c r="Z2904" s="372">
        <v>0.0</v>
      </c>
    </row>
    <row r="2905">
      <c r="Y2905" s="372">
        <v>0.0</v>
      </c>
      <c r="Z2905" s="372">
        <v>0.0</v>
      </c>
    </row>
    <row r="2906">
      <c r="Y2906" s="372">
        <v>0.0</v>
      </c>
      <c r="Z2906" s="372">
        <v>0.0</v>
      </c>
    </row>
    <row r="2907">
      <c r="Y2907" s="372">
        <v>0.0</v>
      </c>
      <c r="Z2907" s="372">
        <v>0.0</v>
      </c>
    </row>
    <row r="2908">
      <c r="Y2908" s="372">
        <v>0.0</v>
      </c>
      <c r="Z2908" s="372">
        <v>0.0</v>
      </c>
    </row>
    <row r="2909">
      <c r="Y2909" s="372">
        <v>0.0</v>
      </c>
      <c r="Z2909" s="372">
        <v>0.0</v>
      </c>
    </row>
    <row r="2910">
      <c r="Y2910" s="372">
        <v>0.0</v>
      </c>
      <c r="Z2910" s="372">
        <v>0.0</v>
      </c>
    </row>
    <row r="2911">
      <c r="Y2911" s="372">
        <v>0.0</v>
      </c>
      <c r="Z2911" s="372">
        <v>0.0</v>
      </c>
    </row>
    <row r="2912">
      <c r="Y2912" s="372">
        <v>0.0</v>
      </c>
      <c r="Z2912" s="372">
        <v>0.0</v>
      </c>
    </row>
    <row r="2913">
      <c r="Y2913" s="372">
        <v>0.0</v>
      </c>
      <c r="Z2913" s="372">
        <v>0.0</v>
      </c>
    </row>
    <row r="2914">
      <c r="Y2914" s="372">
        <v>0.0</v>
      </c>
      <c r="Z2914" s="372">
        <v>0.0</v>
      </c>
    </row>
    <row r="2915">
      <c r="Y2915" s="372">
        <v>0.0</v>
      </c>
      <c r="Z2915" s="372">
        <v>0.0</v>
      </c>
    </row>
    <row r="2916">
      <c r="Y2916" s="372">
        <v>0.0</v>
      </c>
      <c r="Z2916" s="372">
        <v>0.0</v>
      </c>
    </row>
    <row r="2917">
      <c r="Y2917" s="372">
        <v>0.0</v>
      </c>
      <c r="Z2917" s="372">
        <v>0.0</v>
      </c>
    </row>
    <row r="2918">
      <c r="Y2918" s="372">
        <v>0.0</v>
      </c>
      <c r="Z2918" s="372">
        <v>0.0</v>
      </c>
    </row>
    <row r="2919">
      <c r="Y2919" s="372">
        <v>0.0</v>
      </c>
      <c r="Z2919" s="372">
        <v>0.0</v>
      </c>
    </row>
    <row r="2920">
      <c r="Y2920" s="372">
        <v>0.0</v>
      </c>
      <c r="Z2920" s="372">
        <v>0.0</v>
      </c>
    </row>
    <row r="2921">
      <c r="Y2921" s="372">
        <v>0.0</v>
      </c>
      <c r="Z2921" s="372">
        <v>0.0</v>
      </c>
    </row>
    <row r="2922">
      <c r="Y2922" s="372">
        <v>0.0</v>
      </c>
      <c r="Z2922" s="372">
        <v>0.0</v>
      </c>
    </row>
    <row r="2923">
      <c r="Y2923" s="372">
        <v>0.0</v>
      </c>
      <c r="Z2923" s="372">
        <v>0.0</v>
      </c>
    </row>
    <row r="2924">
      <c r="Y2924" s="372">
        <v>0.0</v>
      </c>
      <c r="Z2924" s="372">
        <v>0.0</v>
      </c>
    </row>
    <row r="2925">
      <c r="Y2925" s="372">
        <v>0.0</v>
      </c>
      <c r="Z2925" s="372">
        <v>0.0</v>
      </c>
    </row>
    <row r="2926">
      <c r="Y2926" s="372">
        <v>0.0</v>
      </c>
      <c r="Z2926" s="372">
        <v>0.0</v>
      </c>
    </row>
    <row r="2927">
      <c r="Y2927" s="372">
        <v>0.0</v>
      </c>
      <c r="Z2927" s="372">
        <v>0.0</v>
      </c>
    </row>
    <row r="2928">
      <c r="Y2928" s="372">
        <v>0.0</v>
      </c>
      <c r="Z2928" s="372">
        <v>0.0</v>
      </c>
    </row>
    <row r="2929">
      <c r="Y2929" s="372">
        <v>0.0</v>
      </c>
      <c r="Z2929" s="372">
        <v>0.0</v>
      </c>
    </row>
    <row r="2930">
      <c r="Y2930" s="372">
        <v>0.0</v>
      </c>
      <c r="Z2930" s="372">
        <v>0.0</v>
      </c>
    </row>
    <row r="2931">
      <c r="Y2931" s="372">
        <v>0.0</v>
      </c>
      <c r="Z2931" s="372">
        <v>0.0</v>
      </c>
    </row>
    <row r="2932">
      <c r="Y2932" s="372">
        <v>0.0</v>
      </c>
      <c r="Z2932" s="372">
        <v>0.0</v>
      </c>
    </row>
    <row r="2933">
      <c r="Y2933" s="372">
        <v>0.0</v>
      </c>
      <c r="Z2933" s="372">
        <v>0.0</v>
      </c>
    </row>
    <row r="2934">
      <c r="Y2934" s="372">
        <v>0.0</v>
      </c>
      <c r="Z2934" s="372">
        <v>0.0</v>
      </c>
    </row>
    <row r="2935">
      <c r="Y2935" s="372">
        <v>0.0</v>
      </c>
      <c r="Z2935" s="372">
        <v>0.0</v>
      </c>
    </row>
    <row r="2936">
      <c r="Y2936" s="372">
        <v>0.0</v>
      </c>
      <c r="Z2936" s="372">
        <v>0.0</v>
      </c>
    </row>
    <row r="2937">
      <c r="Y2937" s="372">
        <v>0.0</v>
      </c>
      <c r="Z2937" s="372">
        <v>0.0</v>
      </c>
    </row>
    <row r="2938">
      <c r="Y2938" s="372">
        <v>0.0</v>
      </c>
      <c r="Z2938" s="372">
        <v>0.0</v>
      </c>
    </row>
    <row r="2939">
      <c r="Y2939" s="372">
        <v>0.0</v>
      </c>
      <c r="Z2939" s="372">
        <v>0.0</v>
      </c>
    </row>
    <row r="2940">
      <c r="Y2940" s="372">
        <v>0.0</v>
      </c>
      <c r="Z2940" s="372">
        <v>0.0</v>
      </c>
    </row>
    <row r="2941">
      <c r="Y2941" s="372">
        <v>0.0</v>
      </c>
      <c r="Z2941" s="372">
        <v>0.0</v>
      </c>
    </row>
    <row r="2942">
      <c r="Y2942" s="372">
        <v>0.0</v>
      </c>
      <c r="Z2942" s="372">
        <v>0.0</v>
      </c>
    </row>
    <row r="2943">
      <c r="Y2943" s="372">
        <v>0.0</v>
      </c>
      <c r="Z2943" s="372">
        <v>0.0</v>
      </c>
    </row>
    <row r="2944">
      <c r="Y2944" s="372">
        <v>0.0</v>
      </c>
      <c r="Z2944" s="372">
        <v>0.0</v>
      </c>
    </row>
    <row r="2945">
      <c r="Y2945" s="372">
        <v>0.0</v>
      </c>
      <c r="Z2945" s="372">
        <v>0.0</v>
      </c>
    </row>
    <row r="2946">
      <c r="Y2946" s="372">
        <v>0.0</v>
      </c>
      <c r="Z2946" s="372">
        <v>0.0</v>
      </c>
    </row>
    <row r="2947">
      <c r="Y2947" s="372">
        <v>0.0</v>
      </c>
      <c r="Z2947" s="372">
        <v>0.0</v>
      </c>
    </row>
    <row r="2948">
      <c r="Y2948" s="372">
        <v>0.0</v>
      </c>
      <c r="Z2948" s="372">
        <v>0.0</v>
      </c>
    </row>
    <row r="2949">
      <c r="Y2949" s="372">
        <v>0.0</v>
      </c>
      <c r="Z2949" s="372">
        <v>0.0</v>
      </c>
    </row>
    <row r="2950">
      <c r="Y2950" s="372">
        <v>0.0</v>
      </c>
      <c r="Z2950" s="372">
        <v>0.0</v>
      </c>
    </row>
    <row r="2951">
      <c r="Y2951" s="372">
        <v>0.0</v>
      </c>
      <c r="Z2951" s="372">
        <v>0.0</v>
      </c>
    </row>
    <row r="2952">
      <c r="Y2952" s="372">
        <v>0.0</v>
      </c>
      <c r="Z2952" s="372">
        <v>0.0</v>
      </c>
    </row>
    <row r="2953">
      <c r="Y2953" s="372">
        <v>0.0</v>
      </c>
      <c r="Z2953" s="372">
        <v>0.0</v>
      </c>
    </row>
    <row r="2954">
      <c r="Y2954" s="372">
        <v>0.0</v>
      </c>
      <c r="Z2954" s="372">
        <v>0.0</v>
      </c>
    </row>
    <row r="2955">
      <c r="Y2955" s="372">
        <v>0.0</v>
      </c>
      <c r="Z2955" s="372">
        <v>0.0</v>
      </c>
    </row>
    <row r="2956">
      <c r="Y2956" s="372">
        <v>0.0</v>
      </c>
      <c r="Z2956" s="372">
        <v>0.0</v>
      </c>
    </row>
    <row r="2957">
      <c r="Y2957" s="372">
        <v>0.0</v>
      </c>
      <c r="Z2957" s="372">
        <v>0.0</v>
      </c>
    </row>
    <row r="2958">
      <c r="Y2958" s="372">
        <v>0.0</v>
      </c>
      <c r="Z2958" s="372">
        <v>0.0</v>
      </c>
    </row>
    <row r="2959">
      <c r="Y2959" s="372">
        <v>0.0</v>
      </c>
      <c r="Z2959" s="372">
        <v>0.0</v>
      </c>
    </row>
    <row r="2960">
      <c r="Y2960" s="372">
        <v>0.0</v>
      </c>
      <c r="Z2960" s="372">
        <v>0.0</v>
      </c>
    </row>
    <row r="2961">
      <c r="Y2961" s="372">
        <v>0.0</v>
      </c>
      <c r="Z2961" s="372">
        <v>0.0</v>
      </c>
    </row>
    <row r="2962">
      <c r="Y2962" s="372">
        <v>0.0</v>
      </c>
      <c r="Z2962" s="372">
        <v>0.0</v>
      </c>
    </row>
    <row r="2963">
      <c r="Y2963" s="372">
        <v>0.0</v>
      </c>
      <c r="Z2963" s="372">
        <v>0.0</v>
      </c>
    </row>
    <row r="2964">
      <c r="Y2964" s="372">
        <v>0.0</v>
      </c>
      <c r="Z2964" s="372">
        <v>0.0</v>
      </c>
    </row>
    <row r="2965">
      <c r="Y2965" s="372">
        <v>0.0</v>
      </c>
      <c r="Z2965" s="372">
        <v>0.0</v>
      </c>
    </row>
    <row r="2966">
      <c r="Y2966" s="372">
        <v>0.0</v>
      </c>
      <c r="Z2966" s="372">
        <v>0.0</v>
      </c>
    </row>
    <row r="2967">
      <c r="Y2967" s="372">
        <v>0.0</v>
      </c>
      <c r="Z2967" s="372">
        <v>0.0</v>
      </c>
    </row>
    <row r="2968">
      <c r="Y2968" s="372">
        <v>0.0</v>
      </c>
      <c r="Z2968" s="372">
        <v>0.0</v>
      </c>
    </row>
    <row r="2969">
      <c r="Y2969" s="372">
        <v>0.0</v>
      </c>
      <c r="Z2969" s="372">
        <v>0.0</v>
      </c>
    </row>
    <row r="2970">
      <c r="Y2970" s="372">
        <v>0.0</v>
      </c>
      <c r="Z2970" s="372">
        <v>0.0</v>
      </c>
    </row>
    <row r="2971">
      <c r="Y2971" s="372">
        <v>0.0</v>
      </c>
      <c r="Z2971" s="372">
        <v>0.0</v>
      </c>
    </row>
    <row r="2972">
      <c r="Y2972" s="372">
        <v>0.0</v>
      </c>
      <c r="Z2972" s="372">
        <v>0.0</v>
      </c>
    </row>
    <row r="2973">
      <c r="Y2973" s="372">
        <v>0.0</v>
      </c>
      <c r="Z2973" s="372">
        <v>0.0</v>
      </c>
    </row>
    <row r="2974">
      <c r="Y2974" s="372">
        <v>0.0</v>
      </c>
      <c r="Z2974" s="372">
        <v>0.0</v>
      </c>
    </row>
    <row r="2975">
      <c r="Y2975" s="372">
        <v>0.0</v>
      </c>
      <c r="Z2975" s="372">
        <v>0.0</v>
      </c>
    </row>
    <row r="2976">
      <c r="Y2976" s="372">
        <v>0.0</v>
      </c>
      <c r="Z2976" s="372">
        <v>0.0</v>
      </c>
    </row>
    <row r="2977">
      <c r="Y2977" s="372">
        <v>0.0</v>
      </c>
      <c r="Z2977" s="372">
        <v>0.0</v>
      </c>
    </row>
    <row r="2978">
      <c r="Y2978" s="372">
        <v>0.0</v>
      </c>
      <c r="Z2978" s="372">
        <v>0.0</v>
      </c>
    </row>
    <row r="2979">
      <c r="Y2979" s="372">
        <v>0.0</v>
      </c>
      <c r="Z2979" s="372">
        <v>0.0</v>
      </c>
    </row>
    <row r="2980">
      <c r="Y2980" s="372">
        <v>0.0</v>
      </c>
      <c r="Z2980" s="372">
        <v>0.0</v>
      </c>
    </row>
    <row r="2981">
      <c r="Y2981" s="372">
        <v>0.0</v>
      </c>
      <c r="Z2981" s="372">
        <v>0.0</v>
      </c>
    </row>
    <row r="2982">
      <c r="Y2982" s="372">
        <v>0.0</v>
      </c>
      <c r="Z2982" s="372">
        <v>0.0</v>
      </c>
    </row>
    <row r="2983">
      <c r="Y2983" s="372">
        <v>0.0</v>
      </c>
      <c r="Z2983" s="372">
        <v>0.0</v>
      </c>
    </row>
    <row r="2984">
      <c r="Y2984" s="372">
        <v>0.0</v>
      </c>
      <c r="Z2984" s="372">
        <v>0.0</v>
      </c>
    </row>
    <row r="2985">
      <c r="Y2985" s="372">
        <v>0.0</v>
      </c>
      <c r="Z2985" s="372">
        <v>0.0</v>
      </c>
    </row>
    <row r="2986">
      <c r="Y2986" s="372">
        <v>0.0</v>
      </c>
      <c r="Z2986" s="372">
        <v>0.0</v>
      </c>
    </row>
    <row r="2987">
      <c r="Y2987" s="372">
        <v>0.0</v>
      </c>
      <c r="Z2987" s="372">
        <v>0.0</v>
      </c>
    </row>
    <row r="2988">
      <c r="Y2988" s="372">
        <v>0.0</v>
      </c>
      <c r="Z2988" s="372">
        <v>0.0</v>
      </c>
    </row>
    <row r="2989">
      <c r="Y2989" s="372">
        <v>0.0</v>
      </c>
      <c r="Z2989" s="372">
        <v>0.0</v>
      </c>
    </row>
    <row r="2990">
      <c r="Y2990" s="372">
        <v>0.0</v>
      </c>
      <c r="Z2990" s="372">
        <v>0.0</v>
      </c>
    </row>
    <row r="2991">
      <c r="Y2991" s="372">
        <v>0.0</v>
      </c>
      <c r="Z2991" s="372">
        <v>0.0</v>
      </c>
    </row>
    <row r="2992">
      <c r="Y2992" s="372">
        <v>0.0</v>
      </c>
      <c r="Z2992" s="372">
        <v>0.0</v>
      </c>
    </row>
    <row r="2993">
      <c r="Y2993" s="372">
        <v>0.0</v>
      </c>
      <c r="Z2993" s="372">
        <v>0.0</v>
      </c>
    </row>
    <row r="2994">
      <c r="Y2994" s="372">
        <v>0.0</v>
      </c>
      <c r="Z2994" s="372">
        <v>0.0</v>
      </c>
    </row>
    <row r="2995">
      <c r="Y2995" s="372">
        <v>0.0</v>
      </c>
      <c r="Z2995" s="372">
        <v>0.0</v>
      </c>
    </row>
    <row r="2996">
      <c r="Y2996" s="372">
        <v>0.0</v>
      </c>
      <c r="Z2996" s="372">
        <v>0.0</v>
      </c>
    </row>
    <row r="2997">
      <c r="Y2997" s="372">
        <v>0.0</v>
      </c>
      <c r="Z2997" s="372">
        <v>0.0</v>
      </c>
    </row>
    <row r="2998">
      <c r="Y2998" s="372">
        <v>0.0</v>
      </c>
      <c r="Z2998" s="372">
        <v>0.0</v>
      </c>
    </row>
    <row r="2999">
      <c r="Y2999" s="372">
        <v>0.0</v>
      </c>
      <c r="Z2999" s="372">
        <v>0.0</v>
      </c>
    </row>
    <row r="3000">
      <c r="Y3000" s="372">
        <v>0.0</v>
      </c>
      <c r="Z3000" s="372">
        <v>0.0</v>
      </c>
    </row>
    <row r="3001">
      <c r="Y3001" s="372">
        <v>0.0</v>
      </c>
      <c r="Z3001" s="372">
        <v>0.0</v>
      </c>
    </row>
    <row r="3002">
      <c r="Y3002" s="372">
        <v>0.0</v>
      </c>
      <c r="Z3002" s="372">
        <v>0.0</v>
      </c>
    </row>
    <row r="3003">
      <c r="Y3003" s="372">
        <v>0.0</v>
      </c>
      <c r="Z3003" s="372">
        <v>0.0</v>
      </c>
    </row>
    <row r="3004">
      <c r="Y3004" s="372">
        <v>0.0</v>
      </c>
      <c r="Z3004" s="372">
        <v>0.0</v>
      </c>
    </row>
    <row r="3005">
      <c r="Y3005" s="372">
        <v>0.0</v>
      </c>
      <c r="Z3005" s="372">
        <v>0.0</v>
      </c>
    </row>
    <row r="3006">
      <c r="Y3006" s="372">
        <v>0.0</v>
      </c>
      <c r="Z3006" s="372">
        <v>0.0</v>
      </c>
    </row>
    <row r="3007">
      <c r="Y3007" s="372">
        <v>0.0</v>
      </c>
      <c r="Z3007" s="372">
        <v>0.0</v>
      </c>
    </row>
    <row r="3008">
      <c r="Y3008" s="372">
        <v>0.0</v>
      </c>
      <c r="Z3008" s="372">
        <v>0.0</v>
      </c>
    </row>
    <row r="3009">
      <c r="Y3009" s="372">
        <v>0.0</v>
      </c>
      <c r="Z3009" s="372">
        <v>0.0</v>
      </c>
    </row>
    <row r="3010">
      <c r="Y3010" s="372">
        <v>0.0</v>
      </c>
      <c r="Z3010" s="372">
        <v>0.0</v>
      </c>
    </row>
    <row r="3011">
      <c r="Y3011" s="372">
        <v>0.0</v>
      </c>
      <c r="Z3011" s="372">
        <v>0.0</v>
      </c>
    </row>
    <row r="3012">
      <c r="Y3012" s="372">
        <v>0.0</v>
      </c>
      <c r="Z3012" s="372">
        <v>0.0</v>
      </c>
    </row>
    <row r="3013">
      <c r="Y3013" s="372">
        <v>0.0</v>
      </c>
      <c r="Z3013" s="372">
        <v>0.0</v>
      </c>
    </row>
    <row r="3014">
      <c r="Y3014" s="372">
        <v>0.0</v>
      </c>
      <c r="Z3014" s="372">
        <v>0.0</v>
      </c>
    </row>
    <row r="3015">
      <c r="Y3015" s="372">
        <v>0.0</v>
      </c>
      <c r="Z3015" s="372">
        <v>0.0</v>
      </c>
    </row>
    <row r="3016">
      <c r="Y3016" s="372">
        <v>0.0</v>
      </c>
      <c r="Z3016" s="372">
        <v>0.0</v>
      </c>
    </row>
    <row r="3017">
      <c r="Y3017" s="372">
        <v>0.0</v>
      </c>
      <c r="Z3017" s="372">
        <v>0.0</v>
      </c>
    </row>
    <row r="3018">
      <c r="Y3018" s="372">
        <v>0.0</v>
      </c>
      <c r="Z3018" s="372">
        <v>0.0</v>
      </c>
    </row>
    <row r="3019">
      <c r="Y3019" s="372">
        <v>0.0</v>
      </c>
      <c r="Z3019" s="372">
        <v>0.0</v>
      </c>
    </row>
    <row r="3020">
      <c r="Y3020" s="372">
        <v>0.0</v>
      </c>
      <c r="Z3020" s="372">
        <v>0.0</v>
      </c>
    </row>
    <row r="3021">
      <c r="Y3021" s="372">
        <v>0.0</v>
      </c>
      <c r="Z3021" s="372">
        <v>0.0</v>
      </c>
    </row>
    <row r="3022">
      <c r="Y3022" s="372">
        <v>0.0</v>
      </c>
      <c r="Z3022" s="372">
        <v>0.0</v>
      </c>
    </row>
    <row r="3023">
      <c r="Y3023" s="372">
        <v>0.0</v>
      </c>
      <c r="Z3023" s="372">
        <v>0.0</v>
      </c>
    </row>
    <row r="3024">
      <c r="Y3024" s="372">
        <v>0.0</v>
      </c>
      <c r="Z3024" s="372">
        <v>0.0</v>
      </c>
    </row>
    <row r="3025">
      <c r="Y3025" s="372">
        <v>0.0</v>
      </c>
      <c r="Z3025" s="372">
        <v>0.0</v>
      </c>
    </row>
    <row r="3026">
      <c r="Y3026" s="372">
        <v>0.0</v>
      </c>
      <c r="Z3026" s="372">
        <v>0.0</v>
      </c>
    </row>
    <row r="3027">
      <c r="Y3027" s="372">
        <v>0.0</v>
      </c>
      <c r="Z3027" s="372">
        <v>0.0</v>
      </c>
    </row>
    <row r="3028">
      <c r="Y3028" s="372">
        <v>0.0</v>
      </c>
      <c r="Z3028" s="372">
        <v>0.0</v>
      </c>
    </row>
    <row r="3029">
      <c r="Y3029" s="372">
        <v>0.0</v>
      </c>
      <c r="Z3029" s="372">
        <v>0.0</v>
      </c>
    </row>
    <row r="3030">
      <c r="Y3030" s="372">
        <v>0.0</v>
      </c>
      <c r="Z3030" s="372">
        <v>0.0</v>
      </c>
    </row>
    <row r="3031">
      <c r="Y3031" s="372">
        <v>0.0</v>
      </c>
      <c r="Z3031" s="372">
        <v>0.0</v>
      </c>
    </row>
    <row r="3032">
      <c r="Y3032" s="372">
        <v>0.0</v>
      </c>
      <c r="Z3032" s="372">
        <v>0.0</v>
      </c>
    </row>
    <row r="3033">
      <c r="Y3033" s="372">
        <v>0.0</v>
      </c>
      <c r="Z3033" s="372">
        <v>0.0</v>
      </c>
    </row>
    <row r="3034">
      <c r="Y3034" s="372">
        <v>0.0</v>
      </c>
      <c r="Z3034" s="372">
        <v>0.0</v>
      </c>
    </row>
    <row r="3035">
      <c r="Y3035" s="372">
        <v>0.0</v>
      </c>
      <c r="Z3035" s="372">
        <v>0.0</v>
      </c>
    </row>
    <row r="3036">
      <c r="Y3036" s="372">
        <v>0.0</v>
      </c>
      <c r="Z3036" s="372">
        <v>0.0</v>
      </c>
    </row>
    <row r="3037">
      <c r="Y3037" s="372">
        <v>0.0</v>
      </c>
      <c r="Z3037" s="372">
        <v>0.0</v>
      </c>
    </row>
    <row r="3038">
      <c r="Y3038" s="372">
        <v>0.0</v>
      </c>
      <c r="Z3038" s="372">
        <v>0.0</v>
      </c>
    </row>
    <row r="3039">
      <c r="Y3039" s="372">
        <v>0.0</v>
      </c>
      <c r="Z3039" s="372">
        <v>0.0</v>
      </c>
    </row>
    <row r="3040">
      <c r="Y3040" s="372">
        <v>0.0</v>
      </c>
      <c r="Z3040" s="372">
        <v>0.0</v>
      </c>
    </row>
    <row r="3041">
      <c r="Y3041" s="372">
        <v>0.0</v>
      </c>
      <c r="Z3041" s="372">
        <v>0.0</v>
      </c>
    </row>
    <row r="3042">
      <c r="Y3042" s="372">
        <v>0.0</v>
      </c>
      <c r="Z3042" s="372">
        <v>0.0</v>
      </c>
    </row>
    <row r="3043">
      <c r="Y3043" s="372">
        <v>0.0</v>
      </c>
      <c r="Z3043" s="372">
        <v>0.0</v>
      </c>
    </row>
    <row r="3044">
      <c r="Y3044" s="372">
        <v>0.0</v>
      </c>
      <c r="Z3044" s="372">
        <v>0.0</v>
      </c>
    </row>
    <row r="3045">
      <c r="Y3045" s="372">
        <v>0.0</v>
      </c>
      <c r="Z3045" s="372">
        <v>0.0</v>
      </c>
    </row>
    <row r="3046">
      <c r="Y3046" s="372">
        <v>0.0</v>
      </c>
      <c r="Z3046" s="372">
        <v>0.0</v>
      </c>
    </row>
    <row r="3047">
      <c r="Y3047" s="372">
        <v>0.0</v>
      </c>
      <c r="Z3047" s="372">
        <v>0.0</v>
      </c>
    </row>
    <row r="3048">
      <c r="Y3048" s="372">
        <v>0.0</v>
      </c>
      <c r="Z3048" s="372">
        <v>0.0</v>
      </c>
    </row>
    <row r="3049">
      <c r="Y3049" s="372">
        <v>0.0</v>
      </c>
      <c r="Z3049" s="372">
        <v>0.0</v>
      </c>
    </row>
    <row r="3050">
      <c r="Y3050" s="372">
        <v>0.0</v>
      </c>
      <c r="Z3050" s="372">
        <v>0.0</v>
      </c>
    </row>
    <row r="3051">
      <c r="Y3051" s="372">
        <v>0.0</v>
      </c>
      <c r="Z3051" s="372">
        <v>0.0</v>
      </c>
    </row>
    <row r="3052">
      <c r="Y3052" s="372">
        <v>0.0</v>
      </c>
      <c r="Z3052" s="372">
        <v>0.0</v>
      </c>
    </row>
    <row r="3053">
      <c r="Y3053" s="372">
        <v>0.0</v>
      </c>
      <c r="Z3053" s="372">
        <v>0.0</v>
      </c>
    </row>
    <row r="3054">
      <c r="Y3054" s="372">
        <v>0.0</v>
      </c>
      <c r="Z3054" s="372">
        <v>0.0</v>
      </c>
    </row>
    <row r="3055">
      <c r="Y3055" s="372">
        <v>0.0</v>
      </c>
      <c r="Z3055" s="372">
        <v>0.0</v>
      </c>
    </row>
    <row r="3056">
      <c r="Y3056" s="372">
        <v>0.0</v>
      </c>
      <c r="Z3056" s="372">
        <v>0.0</v>
      </c>
    </row>
    <row r="3057">
      <c r="Y3057" s="372">
        <v>0.0</v>
      </c>
      <c r="Z3057" s="372">
        <v>0.0</v>
      </c>
    </row>
    <row r="3058">
      <c r="Y3058" s="372">
        <v>0.0</v>
      </c>
      <c r="Z3058" s="372">
        <v>0.0</v>
      </c>
    </row>
    <row r="3059">
      <c r="Y3059" s="372">
        <v>0.0</v>
      </c>
      <c r="Z3059" s="372">
        <v>0.0</v>
      </c>
    </row>
    <row r="3060">
      <c r="Y3060" s="372">
        <v>0.0</v>
      </c>
      <c r="Z3060" s="372">
        <v>0.0</v>
      </c>
    </row>
    <row r="3061">
      <c r="Y3061" s="372">
        <v>0.0</v>
      </c>
      <c r="Z3061" s="372">
        <v>0.0</v>
      </c>
    </row>
    <row r="3062">
      <c r="Y3062" s="372">
        <v>0.0</v>
      </c>
      <c r="Z3062" s="372">
        <v>0.0</v>
      </c>
    </row>
    <row r="3063">
      <c r="Y3063" s="372">
        <v>0.0</v>
      </c>
      <c r="Z3063" s="372">
        <v>0.0</v>
      </c>
    </row>
    <row r="3064">
      <c r="Y3064" s="372">
        <v>0.0</v>
      </c>
      <c r="Z3064" s="372">
        <v>0.0</v>
      </c>
    </row>
    <row r="3065">
      <c r="Y3065" s="372">
        <v>0.0</v>
      </c>
      <c r="Z3065" s="372">
        <v>0.0</v>
      </c>
    </row>
    <row r="3066">
      <c r="Y3066" s="372">
        <v>0.0</v>
      </c>
      <c r="Z3066" s="372">
        <v>0.0</v>
      </c>
    </row>
    <row r="3067">
      <c r="Y3067" s="372">
        <v>0.0</v>
      </c>
      <c r="Z3067" s="372">
        <v>0.0</v>
      </c>
    </row>
    <row r="3068">
      <c r="Y3068" s="372">
        <v>0.0</v>
      </c>
      <c r="Z3068" s="372">
        <v>0.0</v>
      </c>
    </row>
    <row r="3069">
      <c r="Y3069" s="372">
        <v>0.0</v>
      </c>
      <c r="Z3069" s="372">
        <v>0.0</v>
      </c>
    </row>
    <row r="3070">
      <c r="Y3070" s="372">
        <v>0.0</v>
      </c>
      <c r="Z3070" s="372">
        <v>0.0</v>
      </c>
    </row>
    <row r="3071">
      <c r="Y3071" s="372">
        <v>0.0</v>
      </c>
      <c r="Z3071" s="372">
        <v>0.0</v>
      </c>
    </row>
    <row r="3072">
      <c r="Y3072" s="372">
        <v>0.0</v>
      </c>
      <c r="Z3072" s="372">
        <v>0.0</v>
      </c>
    </row>
    <row r="3073">
      <c r="Y3073" s="372">
        <v>0.0</v>
      </c>
      <c r="Z3073" s="372">
        <v>0.0</v>
      </c>
    </row>
    <row r="3074">
      <c r="Y3074" s="372">
        <v>0.0</v>
      </c>
      <c r="Z3074" s="372">
        <v>0.0</v>
      </c>
    </row>
    <row r="3075">
      <c r="Y3075" s="372">
        <v>0.0</v>
      </c>
      <c r="Z3075" s="372">
        <v>0.0</v>
      </c>
    </row>
    <row r="3076">
      <c r="Y3076" s="372">
        <v>0.0</v>
      </c>
      <c r="Z3076" s="372">
        <v>0.0</v>
      </c>
    </row>
    <row r="3077">
      <c r="Y3077" s="372">
        <v>0.0</v>
      </c>
      <c r="Z3077" s="372">
        <v>0.0</v>
      </c>
    </row>
    <row r="3078">
      <c r="Y3078" s="372">
        <v>0.0</v>
      </c>
      <c r="Z3078" s="372">
        <v>0.0</v>
      </c>
    </row>
    <row r="3079">
      <c r="Y3079" s="372">
        <v>0.0</v>
      </c>
      <c r="Z3079" s="372">
        <v>0.0</v>
      </c>
    </row>
    <row r="3080">
      <c r="Y3080" s="372">
        <v>0.0</v>
      </c>
      <c r="Z3080" s="372">
        <v>0.0</v>
      </c>
    </row>
    <row r="3081">
      <c r="Y3081" s="372">
        <v>0.0</v>
      </c>
      <c r="Z3081" s="372">
        <v>0.0</v>
      </c>
    </row>
    <row r="3082">
      <c r="Y3082" s="372">
        <v>0.0</v>
      </c>
      <c r="Z3082" s="372">
        <v>0.0</v>
      </c>
    </row>
    <row r="3083">
      <c r="Y3083" s="372">
        <v>0.0</v>
      </c>
      <c r="Z3083" s="372">
        <v>0.0</v>
      </c>
    </row>
    <row r="3084">
      <c r="Y3084" s="372">
        <v>0.0</v>
      </c>
      <c r="Z3084" s="372">
        <v>0.0</v>
      </c>
    </row>
    <row r="3085">
      <c r="Y3085" s="372">
        <v>0.0</v>
      </c>
      <c r="Z3085" s="372">
        <v>0.0</v>
      </c>
    </row>
    <row r="3086">
      <c r="Y3086" s="372">
        <v>0.0</v>
      </c>
      <c r="Z3086" s="372">
        <v>0.0</v>
      </c>
    </row>
    <row r="3087">
      <c r="Y3087" s="372">
        <v>0.0</v>
      </c>
      <c r="Z3087" s="372">
        <v>0.0</v>
      </c>
    </row>
    <row r="3088">
      <c r="Y3088" s="372">
        <v>0.0</v>
      </c>
      <c r="Z3088" s="372">
        <v>0.0</v>
      </c>
    </row>
    <row r="3089">
      <c r="Y3089" s="372">
        <v>0.0</v>
      </c>
      <c r="Z3089" s="372">
        <v>0.0</v>
      </c>
    </row>
    <row r="3090">
      <c r="Y3090" s="372">
        <v>0.0</v>
      </c>
      <c r="Z3090" s="372">
        <v>0.0</v>
      </c>
    </row>
    <row r="3091">
      <c r="Y3091" s="372">
        <v>0.0</v>
      </c>
      <c r="Z3091" s="372">
        <v>0.0</v>
      </c>
    </row>
    <row r="3092">
      <c r="Y3092" s="372">
        <v>0.0</v>
      </c>
      <c r="Z3092" s="372">
        <v>0.0</v>
      </c>
    </row>
    <row r="3093">
      <c r="Y3093" s="372">
        <v>0.0</v>
      </c>
      <c r="Z3093" s="372">
        <v>0.0</v>
      </c>
    </row>
    <row r="3094">
      <c r="Y3094" s="372">
        <v>0.0</v>
      </c>
      <c r="Z3094" s="372">
        <v>0.0</v>
      </c>
    </row>
    <row r="3095">
      <c r="Y3095" s="372">
        <v>0.0</v>
      </c>
      <c r="Z3095" s="372">
        <v>0.0</v>
      </c>
    </row>
    <row r="3096">
      <c r="Y3096" s="372">
        <v>0.0</v>
      </c>
      <c r="Z3096" s="372">
        <v>0.0</v>
      </c>
    </row>
    <row r="3097">
      <c r="Y3097" s="372">
        <v>0.0</v>
      </c>
      <c r="Z3097" s="372">
        <v>0.0</v>
      </c>
    </row>
    <row r="3098">
      <c r="Y3098" s="372">
        <v>0.0</v>
      </c>
      <c r="Z3098" s="372">
        <v>0.0</v>
      </c>
    </row>
    <row r="3099">
      <c r="Y3099" s="372">
        <v>0.0</v>
      </c>
      <c r="Z3099" s="372">
        <v>0.0</v>
      </c>
    </row>
    <row r="3100">
      <c r="Y3100" s="372">
        <v>0.0</v>
      </c>
      <c r="Z3100" s="372">
        <v>0.0</v>
      </c>
    </row>
    <row r="3101">
      <c r="Y3101" s="372">
        <v>0.0</v>
      </c>
      <c r="Z3101" s="372">
        <v>0.0</v>
      </c>
    </row>
    <row r="3102">
      <c r="Y3102" s="372">
        <v>0.0</v>
      </c>
      <c r="Z3102" s="372">
        <v>0.0</v>
      </c>
    </row>
    <row r="3103">
      <c r="Y3103" s="372">
        <v>0.0</v>
      </c>
      <c r="Z3103" s="372">
        <v>0.0</v>
      </c>
    </row>
    <row r="3104">
      <c r="Y3104" s="372">
        <v>0.0</v>
      </c>
      <c r="Z3104" s="372">
        <v>0.0</v>
      </c>
    </row>
    <row r="3105">
      <c r="Y3105" s="372">
        <v>0.0</v>
      </c>
      <c r="Z3105" s="372">
        <v>0.0</v>
      </c>
    </row>
    <row r="3106">
      <c r="Y3106" s="372">
        <v>0.0</v>
      </c>
      <c r="Z3106" s="372">
        <v>0.0</v>
      </c>
    </row>
    <row r="3107">
      <c r="Y3107" s="372">
        <v>0.0</v>
      </c>
      <c r="Z3107" s="372">
        <v>0.0</v>
      </c>
    </row>
    <row r="3108">
      <c r="Y3108" s="372">
        <v>0.0</v>
      </c>
      <c r="Z3108" s="372">
        <v>0.0</v>
      </c>
    </row>
    <row r="3109">
      <c r="Y3109" s="372">
        <v>0.0</v>
      </c>
      <c r="Z3109" s="372">
        <v>0.0</v>
      </c>
    </row>
    <row r="3110">
      <c r="Y3110" s="372">
        <v>0.0</v>
      </c>
      <c r="Z3110" s="372">
        <v>0.0</v>
      </c>
    </row>
    <row r="3111">
      <c r="Y3111" s="372">
        <v>0.0</v>
      </c>
      <c r="Z3111" s="372">
        <v>0.0</v>
      </c>
    </row>
    <row r="3112">
      <c r="Y3112" s="372">
        <v>0.0</v>
      </c>
      <c r="Z3112" s="372">
        <v>0.0</v>
      </c>
    </row>
    <row r="3113">
      <c r="Y3113" s="372">
        <v>0.0</v>
      </c>
      <c r="Z3113" s="372">
        <v>0.0</v>
      </c>
    </row>
    <row r="3114">
      <c r="Y3114" s="372">
        <v>0.0</v>
      </c>
      <c r="Z3114" s="372">
        <v>0.0</v>
      </c>
    </row>
    <row r="3115">
      <c r="Y3115" s="372">
        <v>0.0</v>
      </c>
      <c r="Z3115" s="372">
        <v>0.0</v>
      </c>
    </row>
    <row r="3116">
      <c r="Y3116" s="372">
        <v>0.0</v>
      </c>
      <c r="Z3116" s="372">
        <v>0.0</v>
      </c>
    </row>
    <row r="3117">
      <c r="Y3117" s="372">
        <v>0.0</v>
      </c>
      <c r="Z3117" s="372">
        <v>0.0</v>
      </c>
    </row>
    <row r="3118">
      <c r="Y3118" s="372">
        <v>0.0</v>
      </c>
      <c r="Z3118" s="372">
        <v>0.0</v>
      </c>
    </row>
    <row r="3119">
      <c r="Y3119" s="372">
        <v>0.0</v>
      </c>
      <c r="Z3119" s="372">
        <v>0.0</v>
      </c>
    </row>
    <row r="3120">
      <c r="Y3120" s="372">
        <v>0.0</v>
      </c>
      <c r="Z3120" s="372">
        <v>0.0</v>
      </c>
    </row>
    <row r="3121">
      <c r="Y3121" s="372">
        <v>0.0</v>
      </c>
      <c r="Z3121" s="372">
        <v>0.0</v>
      </c>
    </row>
    <row r="3122">
      <c r="Y3122" s="372">
        <v>0.0</v>
      </c>
      <c r="Z3122" s="372">
        <v>0.0</v>
      </c>
    </row>
    <row r="3123">
      <c r="Y3123" s="372">
        <v>0.0</v>
      </c>
      <c r="Z3123" s="372">
        <v>0.0</v>
      </c>
    </row>
    <row r="3124">
      <c r="Y3124" s="372">
        <v>0.0</v>
      </c>
      <c r="Z3124" s="372">
        <v>0.0</v>
      </c>
    </row>
    <row r="3125">
      <c r="Y3125" s="372">
        <v>0.0</v>
      </c>
      <c r="Z3125" s="372">
        <v>0.0</v>
      </c>
    </row>
    <row r="3126">
      <c r="Y3126" s="372">
        <v>0.0</v>
      </c>
      <c r="Z3126" s="372">
        <v>0.0</v>
      </c>
    </row>
    <row r="3127">
      <c r="Y3127" s="372">
        <v>0.0</v>
      </c>
      <c r="Z3127" s="372">
        <v>0.0</v>
      </c>
    </row>
    <row r="3128">
      <c r="Y3128" s="372">
        <v>0.0</v>
      </c>
      <c r="Z3128" s="372">
        <v>0.0</v>
      </c>
    </row>
    <row r="3129">
      <c r="Y3129" s="372">
        <v>0.0</v>
      </c>
      <c r="Z3129" s="372">
        <v>0.0</v>
      </c>
    </row>
    <row r="3130">
      <c r="Y3130" s="372">
        <v>0.0</v>
      </c>
      <c r="Z3130" s="372">
        <v>0.0</v>
      </c>
    </row>
    <row r="3131">
      <c r="Y3131" s="372">
        <v>0.0</v>
      </c>
      <c r="Z3131" s="372">
        <v>0.0</v>
      </c>
    </row>
    <row r="3132">
      <c r="Y3132" s="372">
        <v>0.0</v>
      </c>
      <c r="Z3132" s="372">
        <v>0.0</v>
      </c>
    </row>
    <row r="3133">
      <c r="Y3133" s="372">
        <v>0.0</v>
      </c>
      <c r="Z3133" s="372">
        <v>0.0</v>
      </c>
    </row>
    <row r="3134">
      <c r="Y3134" s="372">
        <v>0.0</v>
      </c>
      <c r="Z3134" s="372">
        <v>0.0</v>
      </c>
    </row>
    <row r="3135">
      <c r="Y3135" s="372">
        <v>0.0</v>
      </c>
      <c r="Z3135" s="372">
        <v>0.0</v>
      </c>
    </row>
    <row r="3136">
      <c r="Y3136" s="372">
        <v>0.0</v>
      </c>
      <c r="Z3136" s="372">
        <v>0.0</v>
      </c>
    </row>
    <row r="3137">
      <c r="Y3137" s="372">
        <v>0.0</v>
      </c>
      <c r="Z3137" s="372">
        <v>0.0</v>
      </c>
    </row>
    <row r="3138">
      <c r="Y3138" s="372">
        <v>0.0</v>
      </c>
      <c r="Z3138" s="372">
        <v>0.0</v>
      </c>
    </row>
    <row r="3139">
      <c r="Y3139" s="372">
        <v>0.0</v>
      </c>
      <c r="Z3139" s="372">
        <v>0.0</v>
      </c>
    </row>
    <row r="3140">
      <c r="Y3140" s="372">
        <v>0.0</v>
      </c>
      <c r="Z3140" s="372">
        <v>0.0</v>
      </c>
    </row>
    <row r="3141">
      <c r="Y3141" s="372">
        <v>0.0</v>
      </c>
      <c r="Z3141" s="372">
        <v>0.0</v>
      </c>
    </row>
    <row r="3142">
      <c r="Y3142" s="372">
        <v>0.0</v>
      </c>
      <c r="Z3142" s="372">
        <v>0.0</v>
      </c>
    </row>
    <row r="3143">
      <c r="Y3143" s="372">
        <v>0.0</v>
      </c>
      <c r="Z3143" s="372">
        <v>0.0</v>
      </c>
    </row>
    <row r="3144">
      <c r="Y3144" s="372">
        <v>0.0</v>
      </c>
      <c r="Z3144" s="372">
        <v>0.0</v>
      </c>
    </row>
    <row r="3145">
      <c r="Y3145" s="372">
        <v>0.0</v>
      </c>
      <c r="Z3145" s="372">
        <v>0.0</v>
      </c>
    </row>
    <row r="3146">
      <c r="Y3146" s="372">
        <v>0.0</v>
      </c>
      <c r="Z3146" s="372">
        <v>0.0</v>
      </c>
    </row>
    <row r="3147">
      <c r="Y3147" s="372">
        <v>0.0</v>
      </c>
      <c r="Z3147" s="372">
        <v>0.0</v>
      </c>
    </row>
    <row r="3148">
      <c r="Y3148" s="372">
        <v>0.0</v>
      </c>
      <c r="Z3148" s="372">
        <v>0.0</v>
      </c>
    </row>
    <row r="3149">
      <c r="Y3149" s="372">
        <v>0.0</v>
      </c>
      <c r="Z3149" s="372">
        <v>0.0</v>
      </c>
    </row>
    <row r="3150">
      <c r="Y3150" s="372">
        <v>0.0</v>
      </c>
      <c r="Z3150" s="372">
        <v>0.0</v>
      </c>
    </row>
    <row r="3151">
      <c r="Y3151" s="372">
        <v>0.0</v>
      </c>
      <c r="Z3151" s="372">
        <v>0.0</v>
      </c>
    </row>
    <row r="3152">
      <c r="Y3152" s="372">
        <v>0.0</v>
      </c>
      <c r="Z3152" s="372">
        <v>0.0</v>
      </c>
    </row>
    <row r="3153">
      <c r="Y3153" s="372">
        <v>0.0</v>
      </c>
      <c r="Z3153" s="372">
        <v>0.0</v>
      </c>
    </row>
    <row r="3154">
      <c r="Y3154" s="372">
        <v>0.0</v>
      </c>
      <c r="Z3154" s="372">
        <v>0.0</v>
      </c>
    </row>
    <row r="3155">
      <c r="Y3155" s="372">
        <v>0.0</v>
      </c>
      <c r="Z3155" s="372">
        <v>0.0</v>
      </c>
    </row>
    <row r="3156">
      <c r="Y3156" s="372">
        <v>0.0</v>
      </c>
      <c r="Z3156" s="372">
        <v>0.0</v>
      </c>
    </row>
    <row r="3157">
      <c r="Y3157" s="372">
        <v>0.0</v>
      </c>
      <c r="Z3157" s="372">
        <v>0.0</v>
      </c>
    </row>
    <row r="3158">
      <c r="Y3158" s="372">
        <v>0.0</v>
      </c>
      <c r="Z3158" s="372">
        <v>0.0</v>
      </c>
    </row>
    <row r="3159">
      <c r="Y3159" s="372">
        <v>0.0</v>
      </c>
      <c r="Z3159" s="372">
        <v>0.0</v>
      </c>
    </row>
    <row r="3160">
      <c r="Y3160" s="372">
        <v>0.0</v>
      </c>
      <c r="Z3160" s="372">
        <v>0.0</v>
      </c>
    </row>
    <row r="3161">
      <c r="Y3161" s="372">
        <v>0.0</v>
      </c>
      <c r="Z3161" s="372">
        <v>0.0</v>
      </c>
    </row>
    <row r="3162">
      <c r="Y3162" s="372">
        <v>0.0</v>
      </c>
      <c r="Z3162" s="372">
        <v>0.0</v>
      </c>
    </row>
    <row r="3163">
      <c r="Y3163" s="372">
        <v>0.0</v>
      </c>
      <c r="Z3163" s="372">
        <v>0.0</v>
      </c>
    </row>
    <row r="3164">
      <c r="Y3164" s="372">
        <v>0.0</v>
      </c>
      <c r="Z3164" s="372">
        <v>0.0</v>
      </c>
    </row>
    <row r="3165">
      <c r="Y3165" s="372">
        <v>0.0</v>
      </c>
      <c r="Z3165" s="372">
        <v>0.0</v>
      </c>
    </row>
    <row r="3166">
      <c r="Y3166" s="372">
        <v>0.0</v>
      </c>
      <c r="Z3166" s="372">
        <v>0.0</v>
      </c>
    </row>
    <row r="3167">
      <c r="Y3167" s="372">
        <v>0.0</v>
      </c>
      <c r="Z3167" s="372">
        <v>0.0</v>
      </c>
    </row>
    <row r="3168">
      <c r="Y3168" s="372">
        <v>0.0</v>
      </c>
      <c r="Z3168" s="372">
        <v>0.0</v>
      </c>
    </row>
    <row r="3169">
      <c r="Y3169" s="372">
        <v>0.0</v>
      </c>
      <c r="Z3169" s="372">
        <v>0.0</v>
      </c>
    </row>
    <row r="3170">
      <c r="Y3170" s="372">
        <v>0.0</v>
      </c>
      <c r="Z3170" s="372">
        <v>0.0</v>
      </c>
    </row>
    <row r="3171">
      <c r="Y3171" s="372">
        <v>0.0</v>
      </c>
      <c r="Z3171" s="372">
        <v>0.0</v>
      </c>
    </row>
    <row r="3172">
      <c r="Y3172" s="372">
        <v>0.0</v>
      </c>
      <c r="Z3172" s="372">
        <v>0.0</v>
      </c>
    </row>
    <row r="3173">
      <c r="Y3173" s="372">
        <v>0.0</v>
      </c>
      <c r="Z3173" s="372">
        <v>0.0</v>
      </c>
    </row>
    <row r="3174">
      <c r="Y3174" s="372">
        <v>0.0</v>
      </c>
      <c r="Z3174" s="372">
        <v>0.0</v>
      </c>
    </row>
    <row r="3175">
      <c r="Y3175" s="372">
        <v>0.0</v>
      </c>
      <c r="Z3175" s="372">
        <v>0.0</v>
      </c>
    </row>
    <row r="3176">
      <c r="Y3176" s="372">
        <v>0.0</v>
      </c>
      <c r="Z3176" s="372">
        <v>0.0</v>
      </c>
    </row>
    <row r="3177">
      <c r="Y3177" s="372">
        <v>0.0</v>
      </c>
      <c r="Z3177" s="372">
        <v>0.0</v>
      </c>
    </row>
    <row r="3178">
      <c r="Y3178" s="372">
        <v>0.0</v>
      </c>
      <c r="Z3178" s="372">
        <v>0.0</v>
      </c>
    </row>
    <row r="3179">
      <c r="Y3179" s="372">
        <v>0.0</v>
      </c>
      <c r="Z3179" s="372">
        <v>0.0</v>
      </c>
    </row>
    <row r="3180">
      <c r="Y3180" s="372">
        <v>0.0</v>
      </c>
      <c r="Z3180" s="372">
        <v>0.0</v>
      </c>
    </row>
    <row r="3181">
      <c r="Y3181" s="372">
        <v>0.0</v>
      </c>
      <c r="Z3181" s="372">
        <v>0.0</v>
      </c>
    </row>
    <row r="3182">
      <c r="Y3182" s="372">
        <v>0.0</v>
      </c>
      <c r="Z3182" s="372">
        <v>0.0</v>
      </c>
    </row>
    <row r="3183">
      <c r="Y3183" s="372">
        <v>0.0</v>
      </c>
      <c r="Z3183" s="372">
        <v>0.0</v>
      </c>
    </row>
    <row r="3184">
      <c r="Y3184" s="372">
        <v>0.0</v>
      </c>
      <c r="Z3184" s="372">
        <v>0.0</v>
      </c>
    </row>
    <row r="3185">
      <c r="Y3185" s="372">
        <v>0.0</v>
      </c>
      <c r="Z3185" s="372">
        <v>0.0</v>
      </c>
    </row>
    <row r="3186">
      <c r="Y3186" s="372">
        <v>0.0</v>
      </c>
      <c r="Z3186" s="372">
        <v>0.0</v>
      </c>
    </row>
    <row r="3187">
      <c r="Y3187" s="372">
        <v>0.0</v>
      </c>
      <c r="Z3187" s="372">
        <v>0.0</v>
      </c>
    </row>
    <row r="3188">
      <c r="Y3188" s="372">
        <v>0.0</v>
      </c>
      <c r="Z3188" s="372">
        <v>0.0</v>
      </c>
    </row>
    <row r="3189">
      <c r="Y3189" s="372">
        <v>0.0</v>
      </c>
      <c r="Z3189" s="372">
        <v>0.0</v>
      </c>
    </row>
    <row r="3190">
      <c r="Y3190" s="372">
        <v>0.0</v>
      </c>
      <c r="Z3190" s="372">
        <v>0.0</v>
      </c>
    </row>
    <row r="3191">
      <c r="Y3191" s="372">
        <v>0.0</v>
      </c>
      <c r="Z3191" s="372">
        <v>0.0</v>
      </c>
    </row>
    <row r="3192">
      <c r="Y3192" s="372">
        <v>0.0</v>
      </c>
      <c r="Z3192" s="372">
        <v>0.0</v>
      </c>
    </row>
    <row r="3193">
      <c r="Y3193" s="372">
        <v>0.0</v>
      </c>
      <c r="Z3193" s="372">
        <v>0.0</v>
      </c>
    </row>
    <row r="3194">
      <c r="Y3194" s="372">
        <v>0.0</v>
      </c>
      <c r="Z3194" s="372">
        <v>0.0</v>
      </c>
    </row>
    <row r="3195">
      <c r="Y3195" s="372">
        <v>0.0</v>
      </c>
      <c r="Z3195" s="372">
        <v>0.0</v>
      </c>
    </row>
    <row r="3196">
      <c r="Y3196" s="372">
        <v>0.0</v>
      </c>
      <c r="Z3196" s="372">
        <v>0.0</v>
      </c>
    </row>
    <row r="3197">
      <c r="Y3197" s="372">
        <v>0.0</v>
      </c>
      <c r="Z3197" s="372">
        <v>0.0</v>
      </c>
    </row>
    <row r="3198">
      <c r="Y3198" s="372">
        <v>0.0</v>
      </c>
      <c r="Z3198" s="372">
        <v>0.0</v>
      </c>
    </row>
    <row r="3199">
      <c r="Y3199" s="372">
        <v>0.0</v>
      </c>
      <c r="Z3199" s="372">
        <v>0.0</v>
      </c>
    </row>
    <row r="3200">
      <c r="Y3200" s="372">
        <v>0.0</v>
      </c>
      <c r="Z3200" s="372">
        <v>0.0</v>
      </c>
    </row>
    <row r="3201">
      <c r="Y3201" s="372">
        <v>0.0</v>
      </c>
      <c r="Z3201" s="372">
        <v>0.0</v>
      </c>
    </row>
    <row r="3202">
      <c r="Y3202" s="372">
        <v>0.0</v>
      </c>
      <c r="Z3202" s="372">
        <v>0.0</v>
      </c>
    </row>
    <row r="3203">
      <c r="Y3203" s="372">
        <v>0.0</v>
      </c>
      <c r="Z3203" s="372">
        <v>0.0</v>
      </c>
    </row>
    <row r="3204">
      <c r="Y3204" s="372">
        <v>0.0</v>
      </c>
      <c r="Z3204" s="372">
        <v>0.0</v>
      </c>
    </row>
    <row r="3205">
      <c r="Y3205" s="372">
        <v>0.0</v>
      </c>
      <c r="Z3205" s="372">
        <v>0.0</v>
      </c>
    </row>
    <row r="3206">
      <c r="Y3206" s="372">
        <v>0.0</v>
      </c>
      <c r="Z3206" s="372">
        <v>0.0</v>
      </c>
    </row>
    <row r="3207">
      <c r="Y3207" s="372">
        <v>0.0</v>
      </c>
      <c r="Z3207" s="372">
        <v>0.0</v>
      </c>
    </row>
    <row r="3208">
      <c r="Y3208" s="372">
        <v>0.0</v>
      </c>
      <c r="Z3208" s="372">
        <v>0.0</v>
      </c>
    </row>
    <row r="3209">
      <c r="Y3209" s="372">
        <v>0.0</v>
      </c>
      <c r="Z3209" s="372">
        <v>0.0</v>
      </c>
    </row>
    <row r="3210">
      <c r="Y3210" s="372">
        <v>0.0</v>
      </c>
      <c r="Z3210" s="372">
        <v>0.0</v>
      </c>
    </row>
    <row r="3211">
      <c r="Y3211" s="372">
        <v>0.0</v>
      </c>
      <c r="Z3211" s="372">
        <v>0.0</v>
      </c>
    </row>
    <row r="3212">
      <c r="Y3212" s="372">
        <v>0.0</v>
      </c>
      <c r="Z3212" s="372">
        <v>0.0</v>
      </c>
    </row>
    <row r="3213">
      <c r="Y3213" s="372">
        <v>0.0</v>
      </c>
      <c r="Z3213" s="372">
        <v>0.0</v>
      </c>
    </row>
    <row r="3214">
      <c r="Y3214" s="372">
        <v>0.0</v>
      </c>
      <c r="Z3214" s="372">
        <v>0.0</v>
      </c>
    </row>
    <row r="3215">
      <c r="Y3215" s="372">
        <v>0.0</v>
      </c>
      <c r="Z3215" s="372">
        <v>0.0</v>
      </c>
    </row>
    <row r="3216">
      <c r="Y3216" s="372">
        <v>0.0</v>
      </c>
      <c r="Z3216" s="372">
        <v>0.0</v>
      </c>
    </row>
    <row r="3217">
      <c r="Y3217" s="372">
        <v>0.0</v>
      </c>
      <c r="Z3217" s="372">
        <v>0.0</v>
      </c>
    </row>
    <row r="3218">
      <c r="Y3218" s="372">
        <v>0.0</v>
      </c>
      <c r="Z3218" s="372">
        <v>0.0</v>
      </c>
    </row>
    <row r="3219">
      <c r="Y3219" s="372">
        <v>0.0</v>
      </c>
      <c r="Z3219" s="372">
        <v>0.0</v>
      </c>
    </row>
    <row r="3220">
      <c r="Y3220" s="372">
        <v>0.0</v>
      </c>
      <c r="Z3220" s="372">
        <v>0.0</v>
      </c>
    </row>
    <row r="3221">
      <c r="Y3221" s="372">
        <v>0.0</v>
      </c>
      <c r="Z3221" s="372">
        <v>0.0</v>
      </c>
    </row>
    <row r="3222">
      <c r="Y3222" s="372">
        <v>0.0</v>
      </c>
      <c r="Z3222" s="372">
        <v>0.0</v>
      </c>
    </row>
    <row r="3223">
      <c r="Y3223" s="372">
        <v>0.0</v>
      </c>
      <c r="Z3223" s="372">
        <v>0.0</v>
      </c>
    </row>
    <row r="3224">
      <c r="Y3224" s="372">
        <v>0.0</v>
      </c>
      <c r="Z3224" s="372">
        <v>0.0</v>
      </c>
    </row>
    <row r="3225">
      <c r="Y3225" s="372">
        <v>0.0</v>
      </c>
      <c r="Z3225" s="372">
        <v>0.0</v>
      </c>
    </row>
    <row r="3226">
      <c r="Y3226" s="372">
        <v>0.0</v>
      </c>
      <c r="Z3226" s="372">
        <v>0.0</v>
      </c>
    </row>
    <row r="3227">
      <c r="Y3227" s="372">
        <v>0.0</v>
      </c>
      <c r="Z3227" s="372">
        <v>0.0</v>
      </c>
    </row>
    <row r="3228">
      <c r="Y3228" s="372">
        <v>0.0</v>
      </c>
      <c r="Z3228" s="372">
        <v>0.0</v>
      </c>
    </row>
    <row r="3229">
      <c r="Y3229" s="372">
        <v>0.0</v>
      </c>
      <c r="Z3229" s="372">
        <v>0.0</v>
      </c>
    </row>
    <row r="3230">
      <c r="Y3230" s="372">
        <v>0.0</v>
      </c>
      <c r="Z3230" s="372">
        <v>0.0</v>
      </c>
    </row>
    <row r="3231">
      <c r="Y3231" s="372">
        <v>0.0</v>
      </c>
      <c r="Z3231" s="372">
        <v>0.0</v>
      </c>
    </row>
    <row r="3232">
      <c r="Y3232" s="372">
        <v>0.0</v>
      </c>
      <c r="Z3232" s="372">
        <v>0.0</v>
      </c>
    </row>
    <row r="3233">
      <c r="Y3233" s="372">
        <v>0.0</v>
      </c>
      <c r="Z3233" s="372">
        <v>0.0</v>
      </c>
    </row>
    <row r="3234">
      <c r="Y3234" s="372">
        <v>0.0</v>
      </c>
      <c r="Z3234" s="372">
        <v>0.0</v>
      </c>
    </row>
    <row r="3235">
      <c r="Y3235" s="372">
        <v>0.0</v>
      </c>
      <c r="Z3235" s="372">
        <v>0.0</v>
      </c>
    </row>
    <row r="3236">
      <c r="Y3236" s="372">
        <v>0.0</v>
      </c>
      <c r="Z3236" s="372">
        <v>0.0</v>
      </c>
    </row>
    <row r="3237">
      <c r="Y3237" s="372">
        <v>0.0</v>
      </c>
      <c r="Z3237" s="372">
        <v>0.0</v>
      </c>
    </row>
    <row r="3238">
      <c r="Y3238" s="372">
        <v>0.0</v>
      </c>
      <c r="Z3238" s="372">
        <v>0.0</v>
      </c>
    </row>
    <row r="3239">
      <c r="Y3239" s="372">
        <v>0.0</v>
      </c>
      <c r="Z3239" s="372">
        <v>0.0</v>
      </c>
    </row>
    <row r="3240">
      <c r="Y3240" s="372">
        <v>0.0</v>
      </c>
      <c r="Z3240" s="372">
        <v>0.0</v>
      </c>
    </row>
    <row r="3241">
      <c r="Y3241" s="372">
        <v>0.0</v>
      </c>
      <c r="Z3241" s="372">
        <v>0.0</v>
      </c>
    </row>
    <row r="3242">
      <c r="Y3242" s="372">
        <v>0.0</v>
      </c>
      <c r="Z3242" s="372">
        <v>0.0</v>
      </c>
    </row>
    <row r="3243">
      <c r="Y3243" s="372">
        <v>0.0</v>
      </c>
      <c r="Z3243" s="372">
        <v>0.0</v>
      </c>
    </row>
    <row r="3244">
      <c r="Y3244" s="372">
        <v>0.0</v>
      </c>
      <c r="Z3244" s="372">
        <v>0.0</v>
      </c>
    </row>
    <row r="3245">
      <c r="Y3245" s="372">
        <v>0.0</v>
      </c>
      <c r="Z3245" s="372">
        <v>0.0</v>
      </c>
    </row>
    <row r="3246">
      <c r="Y3246" s="372">
        <v>0.0</v>
      </c>
      <c r="Z3246" s="372">
        <v>0.0</v>
      </c>
    </row>
    <row r="3247">
      <c r="Y3247" s="372">
        <v>0.0</v>
      </c>
      <c r="Z3247" s="372">
        <v>0.0</v>
      </c>
    </row>
    <row r="3248">
      <c r="Y3248" s="372">
        <v>0.0</v>
      </c>
      <c r="Z3248" s="372">
        <v>0.0</v>
      </c>
    </row>
    <row r="3249">
      <c r="Y3249" s="372">
        <v>0.0</v>
      </c>
      <c r="Z3249" s="372">
        <v>0.0</v>
      </c>
    </row>
    <row r="3250">
      <c r="Y3250" s="372">
        <v>0.0</v>
      </c>
      <c r="Z3250" s="372">
        <v>0.0</v>
      </c>
    </row>
    <row r="3251">
      <c r="Y3251" s="372">
        <v>0.0</v>
      </c>
      <c r="Z3251" s="372">
        <v>0.0</v>
      </c>
    </row>
    <row r="3252">
      <c r="Y3252" s="372">
        <v>0.0</v>
      </c>
      <c r="Z3252" s="372">
        <v>0.0</v>
      </c>
    </row>
    <row r="3253">
      <c r="Y3253" s="372">
        <v>0.0</v>
      </c>
      <c r="Z3253" s="372">
        <v>0.0</v>
      </c>
    </row>
    <row r="3254">
      <c r="Y3254" s="372">
        <v>0.0</v>
      </c>
      <c r="Z3254" s="372">
        <v>0.0</v>
      </c>
    </row>
    <row r="3255">
      <c r="Y3255" s="372">
        <v>0.0</v>
      </c>
      <c r="Z3255" s="372">
        <v>0.0</v>
      </c>
    </row>
    <row r="3256">
      <c r="Y3256" s="372">
        <v>0.0</v>
      </c>
      <c r="Z3256" s="372">
        <v>0.0</v>
      </c>
    </row>
    <row r="3257">
      <c r="Y3257" s="372">
        <v>0.0</v>
      </c>
      <c r="Z3257" s="372">
        <v>0.0</v>
      </c>
    </row>
    <row r="3258">
      <c r="Y3258" s="372">
        <v>0.0</v>
      </c>
      <c r="Z3258" s="372">
        <v>0.0</v>
      </c>
    </row>
    <row r="3259">
      <c r="Y3259" s="372">
        <v>0.0</v>
      </c>
      <c r="Z3259" s="372">
        <v>0.0</v>
      </c>
    </row>
    <row r="3260">
      <c r="Y3260" s="372">
        <v>0.0</v>
      </c>
      <c r="Z3260" s="372">
        <v>0.0</v>
      </c>
    </row>
    <row r="3261">
      <c r="Y3261" s="372">
        <v>0.0</v>
      </c>
      <c r="Z3261" s="372">
        <v>0.0</v>
      </c>
    </row>
    <row r="3262">
      <c r="Y3262" s="372">
        <v>0.0</v>
      </c>
      <c r="Z3262" s="372">
        <v>0.0</v>
      </c>
    </row>
    <row r="3263">
      <c r="Y3263" s="372">
        <v>0.0</v>
      </c>
      <c r="Z3263" s="372">
        <v>0.0</v>
      </c>
    </row>
    <row r="3264">
      <c r="Y3264" s="372">
        <v>0.0</v>
      </c>
      <c r="Z3264" s="372">
        <v>0.0</v>
      </c>
    </row>
    <row r="3265">
      <c r="Y3265" s="372">
        <v>0.0</v>
      </c>
      <c r="Z3265" s="372">
        <v>0.0</v>
      </c>
    </row>
    <row r="3266">
      <c r="Y3266" s="372">
        <v>0.0</v>
      </c>
      <c r="Z3266" s="372">
        <v>0.0</v>
      </c>
    </row>
    <row r="3267">
      <c r="Y3267" s="372">
        <v>0.0</v>
      </c>
      <c r="Z3267" s="372">
        <v>0.0</v>
      </c>
    </row>
    <row r="3268">
      <c r="Y3268" s="372">
        <v>0.0</v>
      </c>
      <c r="Z3268" s="372">
        <v>0.0</v>
      </c>
    </row>
    <row r="3269">
      <c r="Y3269" s="372">
        <v>0.0</v>
      </c>
      <c r="Z3269" s="372">
        <v>0.0</v>
      </c>
    </row>
    <row r="3270">
      <c r="Y3270" s="372">
        <v>0.0</v>
      </c>
      <c r="Z3270" s="372">
        <v>0.0</v>
      </c>
    </row>
    <row r="3271">
      <c r="Y3271" s="372">
        <v>0.0</v>
      </c>
      <c r="Z3271" s="372">
        <v>0.0</v>
      </c>
    </row>
    <row r="3272">
      <c r="Y3272" s="372">
        <v>0.0</v>
      </c>
      <c r="Z3272" s="372">
        <v>0.0</v>
      </c>
    </row>
    <row r="3273">
      <c r="Y3273" s="372">
        <v>0.0</v>
      </c>
      <c r="Z3273" s="372">
        <v>0.0</v>
      </c>
    </row>
    <row r="3274">
      <c r="Y3274" s="372">
        <v>0.0</v>
      </c>
      <c r="Z3274" s="372">
        <v>0.0</v>
      </c>
    </row>
    <row r="3275">
      <c r="Y3275" s="372">
        <v>0.0</v>
      </c>
      <c r="Z3275" s="372">
        <v>0.0</v>
      </c>
    </row>
    <row r="3276">
      <c r="Y3276" s="372">
        <v>0.0</v>
      </c>
      <c r="Z3276" s="372">
        <v>0.0</v>
      </c>
    </row>
    <row r="3277">
      <c r="Y3277" s="372">
        <v>0.0</v>
      </c>
      <c r="Z3277" s="372">
        <v>0.0</v>
      </c>
    </row>
    <row r="3278">
      <c r="Y3278" s="372">
        <v>0.0</v>
      </c>
      <c r="Z3278" s="372">
        <v>0.0</v>
      </c>
    </row>
    <row r="3279">
      <c r="Y3279" s="372">
        <v>0.0</v>
      </c>
      <c r="Z3279" s="372">
        <v>0.0</v>
      </c>
    </row>
    <row r="3280">
      <c r="Y3280" s="372">
        <v>0.0</v>
      </c>
      <c r="Z3280" s="372">
        <v>0.0</v>
      </c>
    </row>
    <row r="3281">
      <c r="Y3281" s="372">
        <v>0.0</v>
      </c>
      <c r="Z3281" s="372">
        <v>0.0</v>
      </c>
    </row>
    <row r="3282">
      <c r="Y3282" s="372">
        <v>0.0</v>
      </c>
      <c r="Z3282" s="372">
        <v>0.0</v>
      </c>
    </row>
    <row r="3283">
      <c r="Y3283" s="372">
        <v>0.0</v>
      </c>
      <c r="Z3283" s="372">
        <v>0.0</v>
      </c>
    </row>
    <row r="3284">
      <c r="Y3284" s="372">
        <v>0.0</v>
      </c>
      <c r="Z3284" s="372">
        <v>0.0</v>
      </c>
    </row>
    <row r="3285">
      <c r="Y3285" s="372">
        <v>0.0</v>
      </c>
      <c r="Z3285" s="372">
        <v>0.0</v>
      </c>
    </row>
    <row r="3286">
      <c r="Y3286" s="372">
        <v>0.0</v>
      </c>
      <c r="Z3286" s="372">
        <v>0.0</v>
      </c>
    </row>
    <row r="3287">
      <c r="Y3287" s="372">
        <v>0.0</v>
      </c>
      <c r="Z3287" s="372">
        <v>0.0</v>
      </c>
    </row>
    <row r="3288">
      <c r="Y3288" s="372">
        <v>0.0</v>
      </c>
      <c r="Z3288" s="372">
        <v>0.0</v>
      </c>
    </row>
    <row r="3289">
      <c r="Y3289" s="372">
        <v>0.0</v>
      </c>
      <c r="Z3289" s="372">
        <v>0.0</v>
      </c>
    </row>
    <row r="3290">
      <c r="Y3290" s="372">
        <v>0.0</v>
      </c>
      <c r="Z3290" s="372">
        <v>0.0</v>
      </c>
    </row>
    <row r="3291">
      <c r="Y3291" s="372">
        <v>0.0</v>
      </c>
      <c r="Z3291" s="372">
        <v>0.0</v>
      </c>
    </row>
    <row r="3292">
      <c r="Y3292" s="372">
        <v>0.0</v>
      </c>
      <c r="Z3292" s="372">
        <v>0.0</v>
      </c>
    </row>
    <row r="3293">
      <c r="Y3293" s="372">
        <v>0.0</v>
      </c>
      <c r="Z3293" s="372">
        <v>0.0</v>
      </c>
    </row>
    <row r="3294">
      <c r="Y3294" s="372">
        <v>0.0</v>
      </c>
      <c r="Z3294" s="372">
        <v>0.0</v>
      </c>
    </row>
    <row r="3295">
      <c r="Y3295" s="372">
        <v>0.0</v>
      </c>
      <c r="Z3295" s="372">
        <v>0.0</v>
      </c>
    </row>
    <row r="3296">
      <c r="Y3296" s="372">
        <v>0.0</v>
      </c>
      <c r="Z3296" s="372">
        <v>0.0</v>
      </c>
    </row>
    <row r="3297">
      <c r="Y3297" s="372">
        <v>0.0</v>
      </c>
      <c r="Z3297" s="372">
        <v>0.0</v>
      </c>
    </row>
    <row r="3298">
      <c r="Y3298" s="372">
        <v>0.0</v>
      </c>
      <c r="Z3298" s="372">
        <v>0.0</v>
      </c>
    </row>
    <row r="3299">
      <c r="Y3299" s="372">
        <v>0.0</v>
      </c>
      <c r="Z3299" s="372">
        <v>0.0</v>
      </c>
    </row>
    <row r="3300">
      <c r="Y3300" s="372">
        <v>0.0</v>
      </c>
      <c r="Z3300" s="372">
        <v>0.0</v>
      </c>
    </row>
    <row r="3301">
      <c r="Y3301" s="372">
        <v>0.0</v>
      </c>
      <c r="Z3301" s="372">
        <v>0.0</v>
      </c>
    </row>
    <row r="3302">
      <c r="Y3302" s="372">
        <v>0.0</v>
      </c>
      <c r="Z3302" s="372">
        <v>0.0</v>
      </c>
    </row>
    <row r="3303">
      <c r="Y3303" s="372">
        <v>0.0</v>
      </c>
      <c r="Z3303" s="372">
        <v>0.0</v>
      </c>
    </row>
    <row r="3304">
      <c r="Y3304" s="372">
        <v>0.0</v>
      </c>
      <c r="Z3304" s="372">
        <v>0.0</v>
      </c>
    </row>
    <row r="3305">
      <c r="Y3305" s="372">
        <v>0.0</v>
      </c>
      <c r="Z3305" s="372">
        <v>0.0</v>
      </c>
    </row>
    <row r="3306">
      <c r="Y3306" s="372">
        <v>0.0</v>
      </c>
      <c r="Z3306" s="372">
        <v>0.0</v>
      </c>
    </row>
    <row r="3307">
      <c r="Y3307" s="372">
        <v>0.0</v>
      </c>
      <c r="Z3307" s="372">
        <v>0.0</v>
      </c>
    </row>
    <row r="3308">
      <c r="Y3308" s="372">
        <v>0.0</v>
      </c>
      <c r="Z3308" s="372">
        <v>0.0</v>
      </c>
    </row>
    <row r="3309">
      <c r="Y3309" s="372">
        <v>0.0</v>
      </c>
      <c r="Z3309" s="372">
        <v>0.0</v>
      </c>
    </row>
    <row r="3310">
      <c r="Y3310" s="372">
        <v>0.0</v>
      </c>
      <c r="Z3310" s="372">
        <v>0.0</v>
      </c>
    </row>
    <row r="3311">
      <c r="Y3311" s="372">
        <v>0.0</v>
      </c>
      <c r="Z3311" s="372">
        <v>0.0</v>
      </c>
    </row>
    <row r="3312">
      <c r="Y3312" s="372">
        <v>0.0</v>
      </c>
      <c r="Z3312" s="372">
        <v>0.0</v>
      </c>
    </row>
    <row r="3313">
      <c r="Y3313" s="372">
        <v>0.0</v>
      </c>
      <c r="Z3313" s="372">
        <v>0.0</v>
      </c>
    </row>
    <row r="3314">
      <c r="Y3314" s="372">
        <v>0.0</v>
      </c>
      <c r="Z3314" s="372">
        <v>0.0</v>
      </c>
    </row>
    <row r="3315">
      <c r="Y3315" s="372">
        <v>0.0</v>
      </c>
      <c r="Z3315" s="372">
        <v>0.0</v>
      </c>
    </row>
    <row r="3316">
      <c r="Y3316" s="372">
        <v>0.0</v>
      </c>
      <c r="Z3316" s="372">
        <v>0.0</v>
      </c>
    </row>
    <row r="3317">
      <c r="Y3317" s="372">
        <v>0.0</v>
      </c>
      <c r="Z3317" s="372">
        <v>0.0</v>
      </c>
    </row>
    <row r="3318">
      <c r="Y3318" s="372">
        <v>0.0</v>
      </c>
      <c r="Z3318" s="372">
        <v>0.0</v>
      </c>
    </row>
    <row r="3319">
      <c r="Y3319" s="372">
        <v>0.0</v>
      </c>
      <c r="Z3319" s="372">
        <v>0.0</v>
      </c>
    </row>
    <row r="3320">
      <c r="Y3320" s="372">
        <v>0.0</v>
      </c>
      <c r="Z3320" s="372">
        <v>0.0</v>
      </c>
    </row>
    <row r="3321">
      <c r="Y3321" s="372">
        <v>0.0</v>
      </c>
      <c r="Z3321" s="372">
        <v>0.0</v>
      </c>
    </row>
    <row r="3322">
      <c r="Y3322" s="372">
        <v>0.0</v>
      </c>
      <c r="Z3322" s="372">
        <v>0.0</v>
      </c>
    </row>
    <row r="3323">
      <c r="Y3323" s="372">
        <v>0.0</v>
      </c>
      <c r="Z3323" s="372">
        <v>0.0</v>
      </c>
    </row>
    <row r="3324">
      <c r="Y3324" s="372">
        <v>0.0</v>
      </c>
      <c r="Z3324" s="372">
        <v>0.0</v>
      </c>
    </row>
    <row r="3325">
      <c r="Y3325" s="372">
        <v>0.0</v>
      </c>
      <c r="Z3325" s="372">
        <v>0.0</v>
      </c>
    </row>
    <row r="3326">
      <c r="Y3326" s="372">
        <v>0.0</v>
      </c>
      <c r="Z3326" s="372">
        <v>0.0</v>
      </c>
    </row>
    <row r="3327">
      <c r="Y3327" s="372">
        <v>0.0</v>
      </c>
      <c r="Z3327" s="372">
        <v>0.0</v>
      </c>
    </row>
    <row r="3328">
      <c r="Y3328" s="372">
        <v>0.0</v>
      </c>
      <c r="Z3328" s="372">
        <v>0.0</v>
      </c>
    </row>
    <row r="3329">
      <c r="Y3329" s="372">
        <v>0.0</v>
      </c>
      <c r="Z3329" s="372">
        <v>0.0</v>
      </c>
    </row>
    <row r="3330">
      <c r="Y3330" s="372">
        <v>0.0</v>
      </c>
      <c r="Z3330" s="372">
        <v>0.0</v>
      </c>
    </row>
    <row r="3331">
      <c r="Y3331" s="372">
        <v>0.0</v>
      </c>
      <c r="Z3331" s="372">
        <v>0.0</v>
      </c>
    </row>
    <row r="3332">
      <c r="Y3332" s="372">
        <v>0.0</v>
      </c>
      <c r="Z3332" s="372">
        <v>0.0</v>
      </c>
    </row>
    <row r="3333">
      <c r="Y3333" s="372">
        <v>0.0</v>
      </c>
      <c r="Z3333" s="372">
        <v>0.0</v>
      </c>
    </row>
    <row r="3334">
      <c r="Y3334" s="372">
        <v>0.0</v>
      </c>
      <c r="Z3334" s="372">
        <v>0.0</v>
      </c>
    </row>
    <row r="3335">
      <c r="Y3335" s="372">
        <v>0.0</v>
      </c>
      <c r="Z3335" s="372">
        <v>0.0</v>
      </c>
    </row>
    <row r="3336">
      <c r="Y3336" s="372">
        <v>0.0</v>
      </c>
      <c r="Z3336" s="372">
        <v>0.0</v>
      </c>
    </row>
    <row r="3337">
      <c r="Y3337" s="372">
        <v>0.0</v>
      </c>
      <c r="Z3337" s="372">
        <v>0.0</v>
      </c>
    </row>
    <row r="3338">
      <c r="Y3338" s="372">
        <v>0.0</v>
      </c>
      <c r="Z3338" s="372">
        <v>0.0</v>
      </c>
    </row>
    <row r="3339">
      <c r="Y3339" s="372">
        <v>0.0</v>
      </c>
      <c r="Z3339" s="372">
        <v>0.0</v>
      </c>
    </row>
    <row r="3340">
      <c r="Y3340" s="372">
        <v>0.0</v>
      </c>
      <c r="Z3340" s="372">
        <v>0.0</v>
      </c>
    </row>
    <row r="3341">
      <c r="Y3341" s="372">
        <v>0.0</v>
      </c>
      <c r="Z3341" s="372">
        <v>0.0</v>
      </c>
    </row>
    <row r="3342">
      <c r="Y3342" s="372">
        <v>0.0</v>
      </c>
      <c r="Z3342" s="372">
        <v>0.0</v>
      </c>
    </row>
    <row r="3343">
      <c r="Y3343" s="372">
        <v>0.0</v>
      </c>
      <c r="Z3343" s="372">
        <v>0.0</v>
      </c>
    </row>
    <row r="3344">
      <c r="Y3344" s="372">
        <v>0.0</v>
      </c>
      <c r="Z3344" s="372">
        <v>0.0</v>
      </c>
    </row>
    <row r="3345">
      <c r="Y3345" s="372">
        <v>0.0</v>
      </c>
      <c r="Z3345" s="372">
        <v>0.0</v>
      </c>
    </row>
    <row r="3346">
      <c r="Y3346" s="372">
        <v>0.0</v>
      </c>
      <c r="Z3346" s="372">
        <v>0.0</v>
      </c>
    </row>
    <row r="3347">
      <c r="Y3347" s="372">
        <v>0.0</v>
      </c>
      <c r="Z3347" s="372">
        <v>0.0</v>
      </c>
    </row>
    <row r="3348">
      <c r="Y3348" s="372">
        <v>0.0</v>
      </c>
      <c r="Z3348" s="372">
        <v>0.0</v>
      </c>
    </row>
    <row r="3349">
      <c r="Y3349" s="372">
        <v>0.0</v>
      </c>
      <c r="Z3349" s="372">
        <v>0.0</v>
      </c>
    </row>
    <row r="3350">
      <c r="Y3350" s="372">
        <v>0.0</v>
      </c>
      <c r="Z3350" s="372">
        <v>0.0</v>
      </c>
    </row>
    <row r="3351">
      <c r="Y3351" s="372">
        <v>0.0</v>
      </c>
      <c r="Z3351" s="372">
        <v>0.0</v>
      </c>
    </row>
    <row r="3352">
      <c r="Y3352" s="372">
        <v>0.0</v>
      </c>
      <c r="Z3352" s="372">
        <v>0.0</v>
      </c>
    </row>
    <row r="3353">
      <c r="Y3353" s="372">
        <v>0.0</v>
      </c>
      <c r="Z3353" s="372">
        <v>0.0</v>
      </c>
    </row>
    <row r="3354">
      <c r="Y3354" s="372">
        <v>0.0</v>
      </c>
      <c r="Z3354" s="372">
        <v>0.0</v>
      </c>
    </row>
    <row r="3355">
      <c r="Y3355" s="372">
        <v>0.0</v>
      </c>
      <c r="Z3355" s="372">
        <v>0.0</v>
      </c>
    </row>
    <row r="3356">
      <c r="Y3356" s="372">
        <v>0.0</v>
      </c>
      <c r="Z3356" s="372">
        <v>0.0</v>
      </c>
    </row>
    <row r="3357">
      <c r="Y3357" s="372">
        <v>0.0</v>
      </c>
      <c r="Z3357" s="372">
        <v>0.0</v>
      </c>
    </row>
    <row r="3358">
      <c r="Y3358" s="372">
        <v>0.0</v>
      </c>
      <c r="Z3358" s="372">
        <v>0.0</v>
      </c>
    </row>
    <row r="3359">
      <c r="Y3359" s="372">
        <v>0.0</v>
      </c>
      <c r="Z3359" s="372">
        <v>0.0</v>
      </c>
    </row>
    <row r="3360">
      <c r="Y3360" s="372">
        <v>0.0</v>
      </c>
      <c r="Z3360" s="372">
        <v>0.0</v>
      </c>
    </row>
    <row r="3361">
      <c r="Y3361" s="372">
        <v>0.0</v>
      </c>
      <c r="Z3361" s="372">
        <v>0.0</v>
      </c>
    </row>
    <row r="3362">
      <c r="Y3362" s="372">
        <v>0.0</v>
      </c>
      <c r="Z3362" s="372">
        <v>0.0</v>
      </c>
    </row>
    <row r="3363">
      <c r="Y3363" s="372">
        <v>0.0</v>
      </c>
      <c r="Z3363" s="372">
        <v>0.0</v>
      </c>
    </row>
    <row r="3364">
      <c r="Y3364" s="372">
        <v>0.0</v>
      </c>
      <c r="Z3364" s="372">
        <v>0.0</v>
      </c>
    </row>
    <row r="3365">
      <c r="Y3365" s="372">
        <v>0.0</v>
      </c>
      <c r="Z3365" s="372">
        <v>0.0</v>
      </c>
    </row>
    <row r="3366">
      <c r="Y3366" s="372">
        <v>0.0</v>
      </c>
      <c r="Z3366" s="372">
        <v>0.0</v>
      </c>
    </row>
    <row r="3367">
      <c r="Y3367" s="372">
        <v>0.0</v>
      </c>
      <c r="Z3367" s="372">
        <v>0.0</v>
      </c>
    </row>
    <row r="3368">
      <c r="Y3368" s="372">
        <v>0.0</v>
      </c>
      <c r="Z3368" s="372">
        <v>0.0</v>
      </c>
    </row>
    <row r="3369">
      <c r="Y3369" s="372">
        <v>0.0</v>
      </c>
      <c r="Z3369" s="372">
        <v>0.0</v>
      </c>
    </row>
    <row r="3370">
      <c r="Y3370" s="372">
        <v>0.0</v>
      </c>
      <c r="Z3370" s="372">
        <v>0.0</v>
      </c>
    </row>
    <row r="3371">
      <c r="Y3371" s="372">
        <v>0.0</v>
      </c>
      <c r="Z3371" s="372">
        <v>0.0</v>
      </c>
    </row>
    <row r="3372">
      <c r="Y3372" s="372">
        <v>0.0</v>
      </c>
      <c r="Z3372" s="372">
        <v>0.0</v>
      </c>
    </row>
    <row r="3373">
      <c r="Y3373" s="372">
        <v>0.0</v>
      </c>
      <c r="Z3373" s="372">
        <v>0.0</v>
      </c>
    </row>
    <row r="3374">
      <c r="Y3374" s="372">
        <v>0.0</v>
      </c>
      <c r="Z3374" s="372">
        <v>0.0</v>
      </c>
    </row>
    <row r="3375">
      <c r="Y3375" s="372">
        <v>0.0</v>
      </c>
      <c r="Z3375" s="372">
        <v>0.0</v>
      </c>
    </row>
    <row r="3376">
      <c r="Y3376" s="372">
        <v>0.0</v>
      </c>
      <c r="Z3376" s="372">
        <v>0.0</v>
      </c>
    </row>
    <row r="3377">
      <c r="Y3377" s="372">
        <v>0.0</v>
      </c>
      <c r="Z3377" s="372">
        <v>0.0</v>
      </c>
    </row>
    <row r="3378">
      <c r="Y3378" s="372">
        <v>0.0</v>
      </c>
      <c r="Z3378" s="372">
        <v>0.0</v>
      </c>
    </row>
    <row r="3379">
      <c r="Y3379" s="372">
        <v>0.0</v>
      </c>
      <c r="Z3379" s="372">
        <v>0.0</v>
      </c>
    </row>
    <row r="3380">
      <c r="Y3380" s="372">
        <v>0.0</v>
      </c>
      <c r="Z3380" s="372">
        <v>0.0</v>
      </c>
    </row>
    <row r="3381">
      <c r="Y3381" s="372">
        <v>0.0</v>
      </c>
      <c r="Z3381" s="372">
        <v>0.0</v>
      </c>
    </row>
    <row r="3382">
      <c r="Y3382" s="372">
        <v>0.0</v>
      </c>
      <c r="Z3382" s="372">
        <v>0.0</v>
      </c>
    </row>
    <row r="3383">
      <c r="Y3383" s="372">
        <v>0.0</v>
      </c>
      <c r="Z3383" s="372">
        <v>0.0</v>
      </c>
    </row>
    <row r="3384">
      <c r="Y3384" s="372">
        <v>0.0</v>
      </c>
      <c r="Z3384" s="372">
        <v>0.0</v>
      </c>
    </row>
    <row r="3385">
      <c r="Y3385" s="372">
        <v>0.0</v>
      </c>
      <c r="Z3385" s="372">
        <v>0.0</v>
      </c>
    </row>
    <row r="3386">
      <c r="Y3386" s="372">
        <v>0.0</v>
      </c>
      <c r="Z3386" s="372">
        <v>0.0</v>
      </c>
    </row>
    <row r="3387">
      <c r="Y3387" s="372">
        <v>0.0</v>
      </c>
      <c r="Z3387" s="372">
        <v>0.0</v>
      </c>
    </row>
    <row r="3388">
      <c r="Y3388" s="372">
        <v>0.0</v>
      </c>
      <c r="Z3388" s="372">
        <v>0.0</v>
      </c>
    </row>
    <row r="3389">
      <c r="Y3389" s="372">
        <v>0.0</v>
      </c>
      <c r="Z3389" s="372">
        <v>0.0</v>
      </c>
    </row>
    <row r="3390">
      <c r="Y3390" s="372">
        <v>0.0</v>
      </c>
      <c r="Z3390" s="372">
        <v>0.0</v>
      </c>
    </row>
    <row r="3391">
      <c r="Y3391" s="372">
        <v>0.0</v>
      </c>
      <c r="Z3391" s="372">
        <v>0.0</v>
      </c>
    </row>
    <row r="3392">
      <c r="Y3392" s="372">
        <v>0.0</v>
      </c>
      <c r="Z3392" s="372">
        <v>0.0</v>
      </c>
    </row>
    <row r="3393">
      <c r="Y3393" s="372">
        <v>0.0</v>
      </c>
      <c r="Z3393" s="372">
        <v>0.0</v>
      </c>
    </row>
    <row r="3394">
      <c r="Y3394" s="372">
        <v>0.0</v>
      </c>
      <c r="Z3394" s="372">
        <v>0.0</v>
      </c>
    </row>
    <row r="3395">
      <c r="Y3395" s="372">
        <v>0.0</v>
      </c>
      <c r="Z3395" s="372">
        <v>0.0</v>
      </c>
    </row>
    <row r="3396">
      <c r="Y3396" s="372">
        <v>0.0</v>
      </c>
      <c r="Z3396" s="372">
        <v>0.0</v>
      </c>
    </row>
    <row r="3397">
      <c r="Y3397" s="372">
        <v>0.0</v>
      </c>
      <c r="Z3397" s="372">
        <v>0.0</v>
      </c>
    </row>
    <row r="3398">
      <c r="Y3398" s="372">
        <v>0.0</v>
      </c>
      <c r="Z3398" s="372">
        <v>0.0</v>
      </c>
    </row>
    <row r="3399">
      <c r="Y3399" s="372">
        <v>0.0</v>
      </c>
      <c r="Z3399" s="372">
        <v>0.0</v>
      </c>
    </row>
    <row r="3400">
      <c r="Y3400" s="372">
        <v>0.0</v>
      </c>
      <c r="Z3400" s="372">
        <v>0.0</v>
      </c>
    </row>
    <row r="3401">
      <c r="Y3401" s="372">
        <v>0.0</v>
      </c>
      <c r="Z3401" s="372">
        <v>0.0</v>
      </c>
    </row>
    <row r="3402">
      <c r="Y3402" s="372">
        <v>0.0</v>
      </c>
      <c r="Z3402" s="372">
        <v>0.0</v>
      </c>
    </row>
    <row r="3403">
      <c r="Y3403" s="372">
        <v>0.0</v>
      </c>
      <c r="Z3403" s="372">
        <v>0.0</v>
      </c>
    </row>
    <row r="3404">
      <c r="Y3404" s="372">
        <v>0.0</v>
      </c>
      <c r="Z3404" s="372">
        <v>0.0</v>
      </c>
    </row>
    <row r="3405">
      <c r="Y3405" s="372">
        <v>0.0</v>
      </c>
      <c r="Z3405" s="372">
        <v>0.0</v>
      </c>
    </row>
    <row r="3406">
      <c r="Y3406" s="372">
        <v>0.0</v>
      </c>
      <c r="Z3406" s="372">
        <v>0.0</v>
      </c>
    </row>
    <row r="3407">
      <c r="Y3407" s="372">
        <v>0.0</v>
      </c>
      <c r="Z3407" s="372">
        <v>0.0</v>
      </c>
    </row>
    <row r="3408">
      <c r="Y3408" s="372">
        <v>0.0</v>
      </c>
      <c r="Z3408" s="372">
        <v>0.0</v>
      </c>
    </row>
    <row r="3409">
      <c r="Y3409" s="372">
        <v>0.0</v>
      </c>
      <c r="Z3409" s="372">
        <v>0.0</v>
      </c>
    </row>
    <row r="3410">
      <c r="Y3410" s="372">
        <v>0.0</v>
      </c>
      <c r="Z3410" s="372">
        <v>0.0</v>
      </c>
    </row>
    <row r="3411">
      <c r="Y3411" s="372">
        <v>0.0</v>
      </c>
      <c r="Z3411" s="372">
        <v>0.0</v>
      </c>
    </row>
    <row r="3412">
      <c r="Y3412" s="372">
        <v>0.0</v>
      </c>
      <c r="Z3412" s="372">
        <v>0.0</v>
      </c>
    </row>
    <row r="3413">
      <c r="Y3413" s="372">
        <v>0.0</v>
      </c>
      <c r="Z3413" s="372">
        <v>0.0</v>
      </c>
    </row>
    <row r="3414">
      <c r="Y3414" s="372">
        <v>0.0</v>
      </c>
      <c r="Z3414" s="372">
        <v>0.0</v>
      </c>
    </row>
    <row r="3415">
      <c r="Y3415" s="372">
        <v>0.0</v>
      </c>
      <c r="Z3415" s="372">
        <v>0.0</v>
      </c>
    </row>
    <row r="3416">
      <c r="Y3416" s="372">
        <v>0.0</v>
      </c>
      <c r="Z3416" s="372">
        <v>0.0</v>
      </c>
    </row>
    <row r="3417">
      <c r="Y3417" s="372">
        <v>0.0</v>
      </c>
      <c r="Z3417" s="372">
        <v>0.0</v>
      </c>
    </row>
    <row r="3418">
      <c r="Y3418" s="372">
        <v>0.0</v>
      </c>
      <c r="Z3418" s="372">
        <v>0.0</v>
      </c>
    </row>
    <row r="3419">
      <c r="Y3419" s="372">
        <v>0.0</v>
      </c>
      <c r="Z3419" s="372">
        <v>0.0</v>
      </c>
    </row>
    <row r="3420">
      <c r="Y3420" s="372">
        <v>0.0</v>
      </c>
      <c r="Z3420" s="372">
        <v>0.0</v>
      </c>
    </row>
    <row r="3421">
      <c r="Y3421" s="372">
        <v>0.0</v>
      </c>
      <c r="Z3421" s="372">
        <v>0.0</v>
      </c>
    </row>
    <row r="3422">
      <c r="Y3422" s="372">
        <v>0.0</v>
      </c>
      <c r="Z3422" s="372">
        <v>0.0</v>
      </c>
    </row>
    <row r="3423">
      <c r="Y3423" s="372">
        <v>0.0</v>
      </c>
      <c r="Z3423" s="372">
        <v>0.0</v>
      </c>
    </row>
    <row r="3424">
      <c r="Y3424" s="372">
        <v>0.0</v>
      </c>
      <c r="Z3424" s="372">
        <v>0.0</v>
      </c>
    </row>
    <row r="3425">
      <c r="Y3425" s="372">
        <v>0.0</v>
      </c>
      <c r="Z3425" s="372">
        <v>0.0</v>
      </c>
    </row>
    <row r="3426">
      <c r="Y3426" s="372">
        <v>0.0</v>
      </c>
      <c r="Z3426" s="372">
        <v>0.0</v>
      </c>
    </row>
    <row r="3427">
      <c r="Y3427" s="372">
        <v>0.0</v>
      </c>
      <c r="Z3427" s="372">
        <v>0.0</v>
      </c>
    </row>
    <row r="3428">
      <c r="Y3428" s="372">
        <v>0.0</v>
      </c>
      <c r="Z3428" s="372">
        <v>0.0</v>
      </c>
    </row>
    <row r="3429">
      <c r="Y3429" s="372">
        <v>0.0</v>
      </c>
      <c r="Z3429" s="372">
        <v>0.0</v>
      </c>
    </row>
    <row r="3430">
      <c r="Y3430" s="372">
        <v>0.0</v>
      </c>
      <c r="Z3430" s="372">
        <v>0.0</v>
      </c>
    </row>
    <row r="3431">
      <c r="Y3431" s="372">
        <v>0.0</v>
      </c>
      <c r="Z3431" s="372">
        <v>0.0</v>
      </c>
    </row>
    <row r="3432">
      <c r="Y3432" s="372">
        <v>0.0</v>
      </c>
      <c r="Z3432" s="372">
        <v>0.0</v>
      </c>
    </row>
    <row r="3433">
      <c r="Y3433" s="372">
        <v>0.0</v>
      </c>
      <c r="Z3433" s="372">
        <v>0.0</v>
      </c>
    </row>
    <row r="3434">
      <c r="Y3434" s="372">
        <v>0.0</v>
      </c>
      <c r="Z3434" s="372">
        <v>0.0</v>
      </c>
    </row>
    <row r="3435">
      <c r="Y3435" s="372">
        <v>0.0</v>
      </c>
      <c r="Z3435" s="372">
        <v>0.0</v>
      </c>
    </row>
    <row r="3436">
      <c r="Y3436" s="372">
        <v>0.0</v>
      </c>
      <c r="Z3436" s="372">
        <v>0.0</v>
      </c>
    </row>
    <row r="3437">
      <c r="Y3437" s="372">
        <v>0.0</v>
      </c>
      <c r="Z3437" s="372">
        <v>0.0</v>
      </c>
    </row>
    <row r="3438">
      <c r="Y3438" s="372">
        <v>0.0</v>
      </c>
      <c r="Z3438" s="372">
        <v>0.0</v>
      </c>
    </row>
    <row r="3439">
      <c r="Y3439" s="372">
        <v>0.0</v>
      </c>
      <c r="Z3439" s="372">
        <v>0.0</v>
      </c>
    </row>
    <row r="3440">
      <c r="Y3440" s="372">
        <v>0.0</v>
      </c>
      <c r="Z3440" s="372">
        <v>0.0</v>
      </c>
    </row>
    <row r="3441">
      <c r="Y3441" s="372">
        <v>0.0</v>
      </c>
      <c r="Z3441" s="372">
        <v>0.0</v>
      </c>
    </row>
    <row r="3442">
      <c r="Y3442" s="372">
        <v>0.0</v>
      </c>
      <c r="Z3442" s="372">
        <v>0.0</v>
      </c>
    </row>
    <row r="3443">
      <c r="Y3443" s="372">
        <v>0.0</v>
      </c>
      <c r="Z3443" s="372">
        <v>0.0</v>
      </c>
    </row>
    <row r="3444">
      <c r="Y3444" s="372">
        <v>0.0</v>
      </c>
      <c r="Z3444" s="372">
        <v>0.0</v>
      </c>
    </row>
    <row r="3445">
      <c r="Y3445" s="372">
        <v>0.0</v>
      </c>
      <c r="Z3445" s="372">
        <v>0.0</v>
      </c>
    </row>
    <row r="3446">
      <c r="Y3446" s="372">
        <v>0.0</v>
      </c>
      <c r="Z3446" s="372">
        <v>0.0</v>
      </c>
    </row>
    <row r="3447">
      <c r="Y3447" s="372">
        <v>0.0</v>
      </c>
      <c r="Z3447" s="372">
        <v>0.0</v>
      </c>
    </row>
    <row r="3448">
      <c r="Y3448" s="372">
        <v>0.0</v>
      </c>
      <c r="Z3448" s="372">
        <v>0.0</v>
      </c>
    </row>
    <row r="3449">
      <c r="Y3449" s="372">
        <v>0.0</v>
      </c>
      <c r="Z3449" s="372">
        <v>0.0</v>
      </c>
    </row>
    <row r="3450">
      <c r="Y3450" s="372">
        <v>0.0</v>
      </c>
      <c r="Z3450" s="372">
        <v>0.0</v>
      </c>
    </row>
    <row r="3451">
      <c r="Y3451" s="372">
        <v>0.0</v>
      </c>
      <c r="Z3451" s="372">
        <v>0.0</v>
      </c>
    </row>
    <row r="3452">
      <c r="Y3452" s="372">
        <v>0.0</v>
      </c>
      <c r="Z3452" s="372">
        <v>0.0</v>
      </c>
    </row>
    <row r="3453">
      <c r="Y3453" s="372">
        <v>0.0</v>
      </c>
      <c r="Z3453" s="372">
        <v>0.0</v>
      </c>
    </row>
    <row r="3454">
      <c r="Y3454" s="372">
        <v>0.0</v>
      </c>
      <c r="Z3454" s="372">
        <v>0.0</v>
      </c>
    </row>
    <row r="3455">
      <c r="Y3455" s="372">
        <v>0.0</v>
      </c>
      <c r="Z3455" s="372">
        <v>0.0</v>
      </c>
    </row>
    <row r="3456">
      <c r="Y3456" s="372">
        <v>0.0</v>
      </c>
      <c r="Z3456" s="372">
        <v>0.0</v>
      </c>
    </row>
    <row r="3457">
      <c r="Y3457" s="372">
        <v>0.0</v>
      </c>
      <c r="Z3457" s="372">
        <v>0.0</v>
      </c>
    </row>
    <row r="3458">
      <c r="Y3458" s="372">
        <v>0.0</v>
      </c>
      <c r="Z3458" s="372">
        <v>0.0</v>
      </c>
    </row>
    <row r="3459">
      <c r="Y3459" s="372">
        <v>0.0</v>
      </c>
      <c r="Z3459" s="372">
        <v>0.0</v>
      </c>
    </row>
    <row r="3460">
      <c r="Y3460" s="372">
        <v>0.0</v>
      </c>
      <c r="Z3460" s="372">
        <v>0.0</v>
      </c>
    </row>
    <row r="3461">
      <c r="Y3461" s="372">
        <v>0.0</v>
      </c>
      <c r="Z3461" s="372">
        <v>0.0</v>
      </c>
    </row>
    <row r="3462">
      <c r="Y3462" s="372">
        <v>0.0</v>
      </c>
      <c r="Z3462" s="372">
        <v>0.0</v>
      </c>
    </row>
    <row r="3463">
      <c r="Y3463" s="372">
        <v>0.0</v>
      </c>
      <c r="Z3463" s="372">
        <v>0.0</v>
      </c>
    </row>
    <row r="3464">
      <c r="Y3464" s="372">
        <v>0.0</v>
      </c>
      <c r="Z3464" s="372">
        <v>0.0</v>
      </c>
    </row>
    <row r="3465">
      <c r="Y3465" s="372">
        <v>0.0</v>
      </c>
      <c r="Z3465" s="372">
        <v>0.0</v>
      </c>
    </row>
    <row r="3466">
      <c r="Y3466" s="372">
        <v>0.0</v>
      </c>
      <c r="Z3466" s="372">
        <v>0.0</v>
      </c>
    </row>
    <row r="3467">
      <c r="Y3467" s="372">
        <v>0.0</v>
      </c>
      <c r="Z3467" s="372">
        <v>0.0</v>
      </c>
    </row>
    <row r="3468">
      <c r="Y3468" s="372">
        <v>0.0</v>
      </c>
      <c r="Z3468" s="372">
        <v>0.0</v>
      </c>
    </row>
    <row r="3469">
      <c r="Y3469" s="372">
        <v>0.0</v>
      </c>
      <c r="Z3469" s="372">
        <v>0.0</v>
      </c>
    </row>
    <row r="3470">
      <c r="Y3470" s="372">
        <v>0.0</v>
      </c>
      <c r="Z3470" s="372">
        <v>0.0</v>
      </c>
    </row>
    <row r="3471">
      <c r="Y3471" s="372">
        <v>0.0</v>
      </c>
      <c r="Z3471" s="372">
        <v>0.0</v>
      </c>
    </row>
    <row r="3472">
      <c r="Y3472" s="372">
        <v>0.0</v>
      </c>
      <c r="Z3472" s="372">
        <v>0.0</v>
      </c>
    </row>
    <row r="3473">
      <c r="Y3473" s="372">
        <v>0.0</v>
      </c>
      <c r="Z3473" s="372">
        <v>0.0</v>
      </c>
    </row>
    <row r="3474">
      <c r="Y3474" s="372">
        <v>0.0</v>
      </c>
      <c r="Z3474" s="372">
        <v>0.0</v>
      </c>
    </row>
    <row r="3475">
      <c r="Y3475" s="372">
        <v>0.0</v>
      </c>
      <c r="Z3475" s="372">
        <v>0.0</v>
      </c>
    </row>
    <row r="3476">
      <c r="Y3476" s="372">
        <v>0.0</v>
      </c>
      <c r="Z3476" s="372">
        <v>0.0</v>
      </c>
    </row>
    <row r="3477">
      <c r="Y3477" s="372">
        <v>0.0</v>
      </c>
      <c r="Z3477" s="372">
        <v>0.0</v>
      </c>
    </row>
    <row r="3478">
      <c r="Y3478" s="372">
        <v>0.0</v>
      </c>
      <c r="Z3478" s="372">
        <v>0.0</v>
      </c>
    </row>
    <row r="3479">
      <c r="Y3479" s="372">
        <v>0.0</v>
      </c>
      <c r="Z3479" s="372">
        <v>0.0</v>
      </c>
    </row>
    <row r="3480">
      <c r="Y3480" s="372">
        <v>0.0</v>
      </c>
      <c r="Z3480" s="372">
        <v>0.0</v>
      </c>
    </row>
    <row r="3481">
      <c r="Y3481" s="372">
        <v>0.0</v>
      </c>
      <c r="Z3481" s="372">
        <v>0.0</v>
      </c>
    </row>
    <row r="3482">
      <c r="Y3482" s="372">
        <v>0.0</v>
      </c>
      <c r="Z3482" s="372">
        <v>0.0</v>
      </c>
    </row>
    <row r="3483">
      <c r="Y3483" s="372">
        <v>0.0</v>
      </c>
      <c r="Z3483" s="372">
        <v>0.0</v>
      </c>
    </row>
    <row r="3484">
      <c r="Y3484" s="372">
        <v>0.0</v>
      </c>
      <c r="Z3484" s="372">
        <v>0.0</v>
      </c>
    </row>
    <row r="3485">
      <c r="Y3485" s="372">
        <v>0.0</v>
      </c>
      <c r="Z3485" s="372">
        <v>0.0</v>
      </c>
    </row>
    <row r="3486">
      <c r="Y3486" s="372">
        <v>0.0</v>
      </c>
      <c r="Z3486" s="372">
        <v>0.0</v>
      </c>
    </row>
    <row r="3487">
      <c r="Y3487" s="372">
        <v>0.0</v>
      </c>
      <c r="Z3487" s="372">
        <v>0.0</v>
      </c>
    </row>
    <row r="3488">
      <c r="Y3488" s="372">
        <v>0.0</v>
      </c>
      <c r="Z3488" s="372">
        <v>0.0</v>
      </c>
    </row>
    <row r="3489">
      <c r="Y3489" s="372">
        <v>0.0</v>
      </c>
      <c r="Z3489" s="372">
        <v>0.0</v>
      </c>
    </row>
    <row r="3490">
      <c r="Y3490" s="372">
        <v>0.0</v>
      </c>
      <c r="Z3490" s="372">
        <v>0.0</v>
      </c>
    </row>
    <row r="3491">
      <c r="Y3491" s="372">
        <v>0.0</v>
      </c>
      <c r="Z3491" s="372">
        <v>0.0</v>
      </c>
    </row>
    <row r="3492">
      <c r="Y3492" s="372">
        <v>0.0</v>
      </c>
      <c r="Z3492" s="372">
        <v>0.0</v>
      </c>
    </row>
    <row r="3493">
      <c r="Y3493" s="372">
        <v>0.0</v>
      </c>
      <c r="Z3493" s="372">
        <v>0.0</v>
      </c>
    </row>
    <row r="3494">
      <c r="Y3494" s="372">
        <v>0.0</v>
      </c>
      <c r="Z3494" s="372">
        <v>0.0</v>
      </c>
    </row>
    <row r="3495">
      <c r="Y3495" s="372">
        <v>0.0</v>
      </c>
      <c r="Z3495" s="372">
        <v>0.0</v>
      </c>
    </row>
    <row r="3496">
      <c r="Y3496" s="372">
        <v>0.0</v>
      </c>
      <c r="Z3496" s="372">
        <v>0.0</v>
      </c>
    </row>
    <row r="3497">
      <c r="Y3497" s="372">
        <v>0.0</v>
      </c>
      <c r="Z3497" s="372">
        <v>0.0</v>
      </c>
    </row>
    <row r="3498">
      <c r="Y3498" s="372">
        <v>0.0</v>
      </c>
      <c r="Z3498" s="372">
        <v>0.0</v>
      </c>
    </row>
    <row r="3499">
      <c r="Y3499" s="372">
        <v>0.0</v>
      </c>
      <c r="Z3499" s="372">
        <v>0.0</v>
      </c>
    </row>
    <row r="3500">
      <c r="Y3500" s="372">
        <v>0.0</v>
      </c>
      <c r="Z3500" s="372">
        <v>0.0</v>
      </c>
    </row>
    <row r="3501">
      <c r="Y3501" s="372">
        <v>0.0</v>
      </c>
      <c r="Z3501" s="372">
        <v>0.0</v>
      </c>
    </row>
    <row r="3502">
      <c r="Y3502" s="372">
        <v>0.0</v>
      </c>
      <c r="Z3502" s="372">
        <v>0.0</v>
      </c>
    </row>
    <row r="3503">
      <c r="Y3503" s="372">
        <v>0.0</v>
      </c>
      <c r="Z3503" s="372">
        <v>0.0</v>
      </c>
    </row>
    <row r="3504">
      <c r="Y3504" s="372">
        <v>0.0</v>
      </c>
      <c r="Z3504" s="372">
        <v>0.0</v>
      </c>
    </row>
    <row r="3505">
      <c r="Y3505" s="372">
        <v>0.0</v>
      </c>
      <c r="Z3505" s="372">
        <v>0.0</v>
      </c>
    </row>
    <row r="3506">
      <c r="Y3506" s="372">
        <v>0.0</v>
      </c>
      <c r="Z3506" s="372">
        <v>0.0</v>
      </c>
    </row>
    <row r="3507">
      <c r="Y3507" s="372">
        <v>0.0</v>
      </c>
      <c r="Z3507" s="372">
        <v>0.0</v>
      </c>
    </row>
    <row r="3508">
      <c r="Y3508" s="372">
        <v>0.0</v>
      </c>
      <c r="Z3508" s="372">
        <v>0.0</v>
      </c>
    </row>
    <row r="3509">
      <c r="Y3509" s="372">
        <v>0.0</v>
      </c>
      <c r="Z3509" s="372">
        <v>0.0</v>
      </c>
    </row>
    <row r="3510">
      <c r="Y3510" s="372">
        <v>0.0</v>
      </c>
      <c r="Z3510" s="372">
        <v>0.0</v>
      </c>
    </row>
    <row r="3511">
      <c r="Y3511" s="372">
        <v>0.0</v>
      </c>
      <c r="Z3511" s="372">
        <v>0.0</v>
      </c>
    </row>
    <row r="3512">
      <c r="Y3512" s="372">
        <v>0.0</v>
      </c>
      <c r="Z3512" s="372">
        <v>0.0</v>
      </c>
    </row>
    <row r="3513">
      <c r="Y3513" s="372">
        <v>0.0</v>
      </c>
      <c r="Z3513" s="372">
        <v>0.0</v>
      </c>
    </row>
    <row r="3514">
      <c r="Y3514" s="372">
        <v>0.0</v>
      </c>
      <c r="Z3514" s="372">
        <v>0.0</v>
      </c>
    </row>
    <row r="3515">
      <c r="Y3515" s="372">
        <v>0.0</v>
      </c>
      <c r="Z3515" s="372">
        <v>0.0</v>
      </c>
    </row>
    <row r="3516">
      <c r="Y3516" s="372">
        <v>0.0</v>
      </c>
      <c r="Z3516" s="372">
        <v>0.0</v>
      </c>
    </row>
    <row r="3517">
      <c r="Y3517" s="372">
        <v>0.0</v>
      </c>
      <c r="Z3517" s="372">
        <v>0.0</v>
      </c>
    </row>
    <row r="3518">
      <c r="Y3518" s="372">
        <v>0.0</v>
      </c>
      <c r="Z3518" s="372">
        <v>0.0</v>
      </c>
    </row>
    <row r="3519">
      <c r="Y3519" s="372">
        <v>0.0</v>
      </c>
      <c r="Z3519" s="372">
        <v>0.0</v>
      </c>
    </row>
    <row r="3520">
      <c r="Y3520" s="372">
        <v>0.0</v>
      </c>
      <c r="Z3520" s="372">
        <v>0.0</v>
      </c>
    </row>
    <row r="3521">
      <c r="Y3521" s="372">
        <v>0.0</v>
      </c>
      <c r="Z3521" s="372">
        <v>0.0</v>
      </c>
    </row>
    <row r="3522">
      <c r="Y3522" s="372">
        <v>0.0</v>
      </c>
      <c r="Z3522" s="372">
        <v>0.0</v>
      </c>
    </row>
    <row r="3523">
      <c r="Y3523" s="372">
        <v>0.0</v>
      </c>
      <c r="Z3523" s="372">
        <v>0.0</v>
      </c>
    </row>
    <row r="3524">
      <c r="Y3524" s="372">
        <v>0.0</v>
      </c>
      <c r="Z3524" s="372">
        <v>0.0</v>
      </c>
    </row>
    <row r="3525">
      <c r="Y3525" s="372">
        <v>0.0</v>
      </c>
      <c r="Z3525" s="372">
        <v>0.0</v>
      </c>
    </row>
    <row r="3526">
      <c r="Y3526" s="372">
        <v>0.0</v>
      </c>
      <c r="Z3526" s="372">
        <v>0.0</v>
      </c>
    </row>
    <row r="3527">
      <c r="Y3527" s="372">
        <v>0.0</v>
      </c>
      <c r="Z3527" s="372">
        <v>0.0</v>
      </c>
    </row>
    <row r="3528">
      <c r="Y3528" s="372">
        <v>0.0</v>
      </c>
      <c r="Z3528" s="372">
        <v>0.0</v>
      </c>
    </row>
    <row r="3529">
      <c r="Y3529" s="372">
        <v>0.0</v>
      </c>
      <c r="Z3529" s="372">
        <v>0.0</v>
      </c>
    </row>
    <row r="3530">
      <c r="Y3530" s="372">
        <v>0.0</v>
      </c>
      <c r="Z3530" s="372">
        <v>0.0</v>
      </c>
    </row>
    <row r="3531">
      <c r="Y3531" s="372">
        <v>0.0</v>
      </c>
      <c r="Z3531" s="372">
        <v>0.0</v>
      </c>
    </row>
    <row r="3532">
      <c r="Y3532" s="372">
        <v>0.0</v>
      </c>
      <c r="Z3532" s="372">
        <v>0.0</v>
      </c>
    </row>
    <row r="3533">
      <c r="Y3533" s="372">
        <v>0.0</v>
      </c>
      <c r="Z3533" s="372">
        <v>0.0</v>
      </c>
    </row>
    <row r="3534">
      <c r="Y3534" s="372">
        <v>0.0</v>
      </c>
      <c r="Z3534" s="372">
        <v>0.0</v>
      </c>
    </row>
    <row r="3535">
      <c r="Y3535" s="372">
        <v>0.0</v>
      </c>
      <c r="Z3535" s="372">
        <v>0.0</v>
      </c>
    </row>
    <row r="3536">
      <c r="Y3536" s="372">
        <v>0.0</v>
      </c>
      <c r="Z3536" s="372">
        <v>0.0</v>
      </c>
    </row>
    <row r="3537">
      <c r="Y3537" s="372">
        <v>0.0</v>
      </c>
      <c r="Z3537" s="372">
        <v>0.0</v>
      </c>
    </row>
    <row r="3538">
      <c r="Y3538" s="372">
        <v>0.0</v>
      </c>
      <c r="Z3538" s="372">
        <v>0.0</v>
      </c>
    </row>
    <row r="3539">
      <c r="Y3539" s="372">
        <v>0.0</v>
      </c>
      <c r="Z3539" s="372">
        <v>0.0</v>
      </c>
    </row>
    <row r="3540">
      <c r="Y3540" s="372">
        <v>0.0</v>
      </c>
      <c r="Z3540" s="372">
        <v>0.0</v>
      </c>
    </row>
    <row r="3541">
      <c r="Y3541" s="372">
        <v>0.0</v>
      </c>
      <c r="Z3541" s="372">
        <v>0.0</v>
      </c>
    </row>
    <row r="3542">
      <c r="Y3542" s="372">
        <v>0.0</v>
      </c>
      <c r="Z3542" s="372">
        <v>0.0</v>
      </c>
    </row>
    <row r="3543">
      <c r="Y3543" s="372">
        <v>0.0</v>
      </c>
      <c r="Z3543" s="372">
        <v>0.0</v>
      </c>
    </row>
    <row r="3544">
      <c r="Y3544" s="372">
        <v>0.0</v>
      </c>
      <c r="Z3544" s="372">
        <v>0.0</v>
      </c>
    </row>
    <row r="3545">
      <c r="Y3545" s="372">
        <v>0.0</v>
      </c>
      <c r="Z3545" s="372">
        <v>0.0</v>
      </c>
    </row>
    <row r="3546">
      <c r="Y3546" s="372">
        <v>0.0</v>
      </c>
      <c r="Z3546" s="372">
        <v>0.0</v>
      </c>
    </row>
    <row r="3547">
      <c r="Y3547" s="372">
        <v>0.0</v>
      </c>
      <c r="Z3547" s="372">
        <v>0.0</v>
      </c>
    </row>
    <row r="3548">
      <c r="Y3548" s="372">
        <v>0.0</v>
      </c>
      <c r="Z3548" s="372">
        <v>0.0</v>
      </c>
    </row>
    <row r="3549">
      <c r="Y3549" s="372">
        <v>0.0</v>
      </c>
      <c r="Z3549" s="372">
        <v>0.0</v>
      </c>
    </row>
    <row r="3550">
      <c r="Y3550" s="372">
        <v>0.0</v>
      </c>
      <c r="Z3550" s="372">
        <v>0.0</v>
      </c>
    </row>
    <row r="3551">
      <c r="Y3551" s="372">
        <v>0.0</v>
      </c>
      <c r="Z3551" s="372">
        <v>0.0</v>
      </c>
    </row>
    <row r="3552">
      <c r="Y3552" s="372">
        <v>0.0</v>
      </c>
      <c r="Z3552" s="372">
        <v>0.0</v>
      </c>
    </row>
    <row r="3553">
      <c r="Y3553" s="372">
        <v>0.0</v>
      </c>
      <c r="Z3553" s="372">
        <v>0.0</v>
      </c>
    </row>
    <row r="3554">
      <c r="Y3554" s="372">
        <v>0.0</v>
      </c>
      <c r="Z3554" s="372">
        <v>0.0</v>
      </c>
    </row>
    <row r="3555">
      <c r="Y3555" s="372">
        <v>0.0</v>
      </c>
      <c r="Z3555" s="372">
        <v>0.0</v>
      </c>
    </row>
    <row r="3556">
      <c r="Y3556" s="372">
        <v>0.0</v>
      </c>
      <c r="Z3556" s="372">
        <v>0.0</v>
      </c>
    </row>
    <row r="3557">
      <c r="Y3557" s="372">
        <v>0.0</v>
      </c>
      <c r="Z3557" s="372">
        <v>0.0</v>
      </c>
    </row>
    <row r="3558">
      <c r="Y3558" s="372">
        <v>0.0</v>
      </c>
      <c r="Z3558" s="372">
        <v>0.0</v>
      </c>
    </row>
    <row r="3559">
      <c r="Y3559" s="372">
        <v>0.0</v>
      </c>
      <c r="Z3559" s="372">
        <v>0.0</v>
      </c>
    </row>
    <row r="3560">
      <c r="Y3560" s="372">
        <v>0.0</v>
      </c>
      <c r="Z3560" s="372">
        <v>0.0</v>
      </c>
    </row>
    <row r="3561">
      <c r="Y3561" s="372">
        <v>0.0</v>
      </c>
      <c r="Z3561" s="372">
        <v>0.0</v>
      </c>
    </row>
    <row r="3562">
      <c r="Y3562" s="372">
        <v>0.0</v>
      </c>
      <c r="Z3562" s="372">
        <v>0.0</v>
      </c>
    </row>
    <row r="3563">
      <c r="Y3563" s="372">
        <v>0.0</v>
      </c>
      <c r="Z3563" s="372">
        <v>0.0</v>
      </c>
    </row>
    <row r="3564">
      <c r="Y3564" s="372">
        <v>0.0</v>
      </c>
      <c r="Z3564" s="372">
        <v>0.0</v>
      </c>
    </row>
    <row r="3565">
      <c r="Y3565" s="372">
        <v>0.0</v>
      </c>
      <c r="Z3565" s="372">
        <v>0.0</v>
      </c>
    </row>
    <row r="3566">
      <c r="Y3566" s="372">
        <v>0.0</v>
      </c>
      <c r="Z3566" s="372">
        <v>0.0</v>
      </c>
    </row>
    <row r="3567">
      <c r="Y3567" s="372">
        <v>0.0</v>
      </c>
      <c r="Z3567" s="372">
        <v>0.0</v>
      </c>
    </row>
    <row r="3568">
      <c r="Y3568" s="372">
        <v>0.0</v>
      </c>
      <c r="Z3568" s="372">
        <v>0.0</v>
      </c>
    </row>
    <row r="3569">
      <c r="Y3569" s="372">
        <v>0.0</v>
      </c>
      <c r="Z3569" s="372">
        <v>0.0</v>
      </c>
    </row>
    <row r="3570">
      <c r="Y3570" s="372">
        <v>0.0</v>
      </c>
      <c r="Z3570" s="372">
        <v>0.0</v>
      </c>
    </row>
    <row r="3571">
      <c r="Y3571" s="372">
        <v>0.0</v>
      </c>
      <c r="Z3571" s="372">
        <v>0.0</v>
      </c>
    </row>
    <row r="3572">
      <c r="Y3572" s="372">
        <v>0.0</v>
      </c>
      <c r="Z3572" s="372">
        <v>0.0</v>
      </c>
    </row>
    <row r="3573">
      <c r="Y3573" s="372">
        <v>0.0</v>
      </c>
      <c r="Z3573" s="372">
        <v>0.0</v>
      </c>
    </row>
    <row r="3574">
      <c r="Y3574" s="372">
        <v>0.0</v>
      </c>
      <c r="Z3574" s="372">
        <v>0.0</v>
      </c>
    </row>
    <row r="3575">
      <c r="Y3575" s="372">
        <v>0.0</v>
      </c>
      <c r="Z3575" s="372">
        <v>0.0</v>
      </c>
    </row>
    <row r="3576">
      <c r="Y3576" s="372">
        <v>0.0</v>
      </c>
      <c r="Z3576" s="372">
        <v>0.0</v>
      </c>
    </row>
    <row r="3577">
      <c r="Y3577" s="372">
        <v>0.0</v>
      </c>
      <c r="Z3577" s="372">
        <v>0.0</v>
      </c>
    </row>
    <row r="3578">
      <c r="Y3578" s="372">
        <v>0.0</v>
      </c>
      <c r="Z3578" s="372">
        <v>0.0</v>
      </c>
    </row>
    <row r="3579">
      <c r="Y3579" s="372">
        <v>0.0</v>
      </c>
      <c r="Z3579" s="372">
        <v>0.0</v>
      </c>
    </row>
    <row r="3580">
      <c r="Y3580" s="372">
        <v>0.0</v>
      </c>
      <c r="Z3580" s="372">
        <v>0.0</v>
      </c>
    </row>
    <row r="3581">
      <c r="Y3581" s="372">
        <v>0.0</v>
      </c>
      <c r="Z3581" s="372">
        <v>0.0</v>
      </c>
    </row>
    <row r="3582">
      <c r="Y3582" s="372">
        <v>0.0</v>
      </c>
      <c r="Z3582" s="372">
        <v>0.0</v>
      </c>
    </row>
    <row r="3583">
      <c r="Y3583" s="372">
        <v>0.0</v>
      </c>
      <c r="Z3583" s="372">
        <v>0.0</v>
      </c>
    </row>
    <row r="3584">
      <c r="Y3584" s="372">
        <v>0.0</v>
      </c>
      <c r="Z3584" s="372">
        <v>0.0</v>
      </c>
    </row>
    <row r="3585">
      <c r="Y3585" s="372">
        <v>0.0</v>
      </c>
      <c r="Z3585" s="372">
        <v>0.0</v>
      </c>
    </row>
    <row r="3586">
      <c r="Y3586" s="372">
        <v>0.0</v>
      </c>
      <c r="Z3586" s="372">
        <v>0.0</v>
      </c>
    </row>
    <row r="3587">
      <c r="Y3587" s="372">
        <v>0.0</v>
      </c>
      <c r="Z3587" s="372">
        <v>0.0</v>
      </c>
    </row>
    <row r="3588">
      <c r="Y3588" s="372">
        <v>0.0</v>
      </c>
      <c r="Z3588" s="372">
        <v>0.0</v>
      </c>
    </row>
    <row r="3589">
      <c r="Y3589" s="372">
        <v>0.0</v>
      </c>
      <c r="Z3589" s="372">
        <v>0.0</v>
      </c>
    </row>
    <row r="3590">
      <c r="Y3590" s="372">
        <v>0.0</v>
      </c>
      <c r="Z3590" s="372">
        <v>0.0</v>
      </c>
    </row>
    <row r="3591">
      <c r="Y3591" s="372">
        <v>0.0</v>
      </c>
      <c r="Z3591" s="372">
        <v>0.0</v>
      </c>
    </row>
    <row r="3592">
      <c r="Y3592" s="372">
        <v>0.0</v>
      </c>
      <c r="Z3592" s="372">
        <v>0.0</v>
      </c>
    </row>
    <row r="3593">
      <c r="Y3593" s="372">
        <v>0.0</v>
      </c>
      <c r="Z3593" s="372">
        <v>0.0</v>
      </c>
    </row>
    <row r="3594">
      <c r="Y3594" s="372">
        <v>0.0</v>
      </c>
      <c r="Z3594" s="372">
        <v>0.0</v>
      </c>
    </row>
    <row r="3595">
      <c r="Y3595" s="372">
        <v>0.0</v>
      </c>
      <c r="Z3595" s="372">
        <v>0.0</v>
      </c>
    </row>
    <row r="3596">
      <c r="Y3596" s="372">
        <v>0.0</v>
      </c>
      <c r="Z3596" s="372">
        <v>0.0</v>
      </c>
    </row>
    <row r="3597">
      <c r="Y3597" s="372">
        <v>0.0</v>
      </c>
      <c r="Z3597" s="372">
        <v>0.0</v>
      </c>
    </row>
    <row r="3598">
      <c r="Y3598" s="372">
        <v>0.0</v>
      </c>
      <c r="Z3598" s="372">
        <v>0.0</v>
      </c>
    </row>
    <row r="3599">
      <c r="Y3599" s="372">
        <v>0.0</v>
      </c>
      <c r="Z3599" s="372">
        <v>0.0</v>
      </c>
    </row>
    <row r="3600">
      <c r="Y3600" s="372">
        <v>0.0</v>
      </c>
      <c r="Z3600" s="372">
        <v>0.0</v>
      </c>
    </row>
    <row r="3601">
      <c r="Y3601" s="372">
        <v>0.0</v>
      </c>
      <c r="Z3601" s="372">
        <v>0.0</v>
      </c>
    </row>
    <row r="3602">
      <c r="Y3602" s="372">
        <v>0.0</v>
      </c>
      <c r="Z3602" s="372">
        <v>0.0</v>
      </c>
    </row>
    <row r="3603">
      <c r="Y3603" s="372">
        <v>0.0</v>
      </c>
      <c r="Z3603" s="372">
        <v>0.0</v>
      </c>
    </row>
    <row r="3604">
      <c r="Y3604" s="372">
        <v>0.0</v>
      </c>
      <c r="Z3604" s="372">
        <v>0.0</v>
      </c>
    </row>
    <row r="3605">
      <c r="Y3605" s="372">
        <v>0.0</v>
      </c>
      <c r="Z3605" s="372">
        <v>0.0</v>
      </c>
    </row>
    <row r="3606">
      <c r="Y3606" s="372">
        <v>0.0</v>
      </c>
      <c r="Z3606" s="372">
        <v>0.0</v>
      </c>
    </row>
    <row r="3607">
      <c r="Y3607" s="372">
        <v>0.0</v>
      </c>
      <c r="Z3607" s="372">
        <v>0.0</v>
      </c>
    </row>
    <row r="3608">
      <c r="Y3608" s="372">
        <v>0.0</v>
      </c>
      <c r="Z3608" s="372">
        <v>0.0</v>
      </c>
    </row>
    <row r="3609">
      <c r="Y3609" s="372">
        <v>0.0</v>
      </c>
      <c r="Z3609" s="372">
        <v>0.0</v>
      </c>
    </row>
    <row r="3610">
      <c r="Y3610" s="372">
        <v>0.0</v>
      </c>
      <c r="Z3610" s="372">
        <v>0.0</v>
      </c>
    </row>
    <row r="3611">
      <c r="Y3611" s="372">
        <v>0.0</v>
      </c>
      <c r="Z3611" s="372">
        <v>0.0</v>
      </c>
    </row>
    <row r="3612">
      <c r="Y3612" s="372">
        <v>0.0</v>
      </c>
      <c r="Z3612" s="372">
        <v>0.0</v>
      </c>
    </row>
    <row r="3613">
      <c r="Y3613" s="372">
        <v>0.0</v>
      </c>
      <c r="Z3613" s="372">
        <v>0.0</v>
      </c>
    </row>
    <row r="3614">
      <c r="Y3614" s="372">
        <v>0.0</v>
      </c>
      <c r="Z3614" s="372">
        <v>0.0</v>
      </c>
    </row>
    <row r="3615">
      <c r="Y3615" s="372">
        <v>0.0</v>
      </c>
      <c r="Z3615" s="372">
        <v>0.0</v>
      </c>
    </row>
    <row r="3616">
      <c r="Y3616" s="372">
        <v>0.0</v>
      </c>
      <c r="Z3616" s="372">
        <v>0.0</v>
      </c>
    </row>
    <row r="3617">
      <c r="Y3617" s="372">
        <v>0.0</v>
      </c>
      <c r="Z3617" s="372">
        <v>0.0</v>
      </c>
    </row>
    <row r="3618">
      <c r="Y3618" s="372">
        <v>0.0</v>
      </c>
      <c r="Z3618" s="372">
        <v>0.0</v>
      </c>
    </row>
    <row r="3619">
      <c r="Y3619" s="372">
        <v>0.0</v>
      </c>
      <c r="Z3619" s="372">
        <v>0.0</v>
      </c>
    </row>
    <row r="3620">
      <c r="Y3620" s="372">
        <v>0.0</v>
      </c>
      <c r="Z3620" s="372">
        <v>0.0</v>
      </c>
    </row>
    <row r="3621">
      <c r="Y3621" s="372">
        <v>0.0</v>
      </c>
      <c r="Z3621" s="372">
        <v>0.0</v>
      </c>
    </row>
    <row r="3622">
      <c r="Y3622" s="372">
        <v>0.0</v>
      </c>
      <c r="Z3622" s="372">
        <v>0.0</v>
      </c>
    </row>
    <row r="3623">
      <c r="Y3623" s="372">
        <v>0.0</v>
      </c>
      <c r="Z3623" s="372">
        <v>0.0</v>
      </c>
    </row>
    <row r="3624">
      <c r="Y3624" s="372">
        <v>0.0</v>
      </c>
      <c r="Z3624" s="372">
        <v>0.0</v>
      </c>
    </row>
    <row r="3625">
      <c r="Y3625" s="372">
        <v>0.0</v>
      </c>
      <c r="Z3625" s="372">
        <v>0.0</v>
      </c>
    </row>
    <row r="3626">
      <c r="Y3626" s="372">
        <v>0.0</v>
      </c>
      <c r="Z3626" s="372">
        <v>0.0</v>
      </c>
    </row>
    <row r="3627">
      <c r="Y3627" s="372">
        <v>0.0</v>
      </c>
      <c r="Z3627" s="372">
        <v>0.0</v>
      </c>
    </row>
    <row r="3628">
      <c r="Y3628" s="372">
        <v>0.0</v>
      </c>
      <c r="Z3628" s="372">
        <v>0.0</v>
      </c>
    </row>
    <row r="3629">
      <c r="Y3629" s="372">
        <v>0.0</v>
      </c>
      <c r="Z3629" s="372">
        <v>0.0</v>
      </c>
    </row>
    <row r="3630">
      <c r="Y3630" s="372">
        <v>0.0</v>
      </c>
      <c r="Z3630" s="372">
        <v>0.0</v>
      </c>
    </row>
    <row r="3631">
      <c r="Y3631" s="372">
        <v>0.0</v>
      </c>
      <c r="Z3631" s="372">
        <v>0.0</v>
      </c>
    </row>
    <row r="3632">
      <c r="Y3632" s="372">
        <v>0.0</v>
      </c>
      <c r="Z3632" s="372">
        <v>0.0</v>
      </c>
    </row>
    <row r="3633">
      <c r="Y3633" s="372">
        <v>0.0</v>
      </c>
      <c r="Z3633" s="372">
        <v>0.0</v>
      </c>
    </row>
    <row r="3634">
      <c r="Y3634" s="372">
        <v>0.0</v>
      </c>
      <c r="Z3634" s="372">
        <v>0.0</v>
      </c>
    </row>
    <row r="3635">
      <c r="Y3635" s="372">
        <v>0.0</v>
      </c>
      <c r="Z3635" s="372">
        <v>0.0</v>
      </c>
    </row>
    <row r="3636">
      <c r="Y3636" s="372">
        <v>0.0</v>
      </c>
      <c r="Z3636" s="372">
        <v>0.0</v>
      </c>
    </row>
    <row r="3637">
      <c r="Y3637" s="372">
        <v>0.0</v>
      </c>
      <c r="Z3637" s="372">
        <v>0.0</v>
      </c>
    </row>
    <row r="3638">
      <c r="Y3638" s="372">
        <v>0.0</v>
      </c>
      <c r="Z3638" s="372">
        <v>0.0</v>
      </c>
    </row>
    <row r="3639">
      <c r="Y3639" s="372">
        <v>0.0</v>
      </c>
      <c r="Z3639" s="372">
        <v>0.0</v>
      </c>
    </row>
    <row r="3640">
      <c r="Y3640" s="372">
        <v>0.0</v>
      </c>
      <c r="Z3640" s="372">
        <v>0.0</v>
      </c>
    </row>
    <row r="3641">
      <c r="Y3641" s="372">
        <v>0.0</v>
      </c>
      <c r="Z3641" s="372">
        <v>0.0</v>
      </c>
    </row>
    <row r="3642">
      <c r="Y3642" s="372">
        <v>0.0</v>
      </c>
      <c r="Z3642" s="372">
        <v>0.0</v>
      </c>
    </row>
    <row r="3643">
      <c r="Y3643" s="372">
        <v>0.0</v>
      </c>
      <c r="Z3643" s="372">
        <v>0.0</v>
      </c>
    </row>
    <row r="3644">
      <c r="Y3644" s="372">
        <v>0.0</v>
      </c>
      <c r="Z3644" s="372">
        <v>0.0</v>
      </c>
    </row>
    <row r="3645">
      <c r="Y3645" s="372">
        <v>0.0</v>
      </c>
      <c r="Z3645" s="372">
        <v>0.0</v>
      </c>
    </row>
    <row r="3646">
      <c r="Y3646" s="372">
        <v>0.0</v>
      </c>
      <c r="Z3646" s="372">
        <v>0.0</v>
      </c>
    </row>
    <row r="3647">
      <c r="Y3647" s="372">
        <v>0.0</v>
      </c>
      <c r="Z3647" s="372">
        <v>0.0</v>
      </c>
    </row>
    <row r="3648">
      <c r="Y3648" s="372">
        <v>0.0</v>
      </c>
      <c r="Z3648" s="372">
        <v>0.0</v>
      </c>
    </row>
    <row r="3649">
      <c r="Y3649" s="372">
        <v>0.0</v>
      </c>
      <c r="Z3649" s="372">
        <v>0.0</v>
      </c>
    </row>
    <row r="3650">
      <c r="Y3650" s="372">
        <v>0.0</v>
      </c>
      <c r="Z3650" s="372">
        <v>0.0</v>
      </c>
    </row>
    <row r="3651">
      <c r="Y3651" s="372">
        <v>0.0</v>
      </c>
      <c r="Z3651" s="372">
        <v>0.0</v>
      </c>
    </row>
    <row r="3652">
      <c r="Y3652" s="372">
        <v>0.0</v>
      </c>
      <c r="Z3652" s="372">
        <v>0.0</v>
      </c>
    </row>
    <row r="3653">
      <c r="Y3653" s="372">
        <v>0.0</v>
      </c>
      <c r="Z3653" s="372">
        <v>0.0</v>
      </c>
    </row>
    <row r="3654">
      <c r="Y3654" s="372">
        <v>0.0</v>
      </c>
      <c r="Z3654" s="372">
        <v>0.0</v>
      </c>
    </row>
    <row r="3655">
      <c r="Y3655" s="372">
        <v>0.0</v>
      </c>
      <c r="Z3655" s="372">
        <v>0.0</v>
      </c>
    </row>
    <row r="3656">
      <c r="Y3656" s="372">
        <v>0.0</v>
      </c>
      <c r="Z3656" s="372">
        <v>0.0</v>
      </c>
    </row>
    <row r="3657">
      <c r="Y3657" s="372">
        <v>0.0</v>
      </c>
      <c r="Z3657" s="372">
        <v>0.0</v>
      </c>
    </row>
    <row r="3658">
      <c r="Y3658" s="372">
        <v>0.0</v>
      </c>
      <c r="Z3658" s="372">
        <v>0.0</v>
      </c>
    </row>
    <row r="3659">
      <c r="Y3659" s="372">
        <v>0.0</v>
      </c>
      <c r="Z3659" s="372">
        <v>0.0</v>
      </c>
    </row>
    <row r="3660">
      <c r="Y3660" s="372">
        <v>0.0</v>
      </c>
      <c r="Z3660" s="372">
        <v>0.0</v>
      </c>
    </row>
    <row r="3661">
      <c r="Y3661" s="372">
        <v>0.0</v>
      </c>
      <c r="Z3661" s="372">
        <v>0.0</v>
      </c>
    </row>
    <row r="3662">
      <c r="Y3662" s="372">
        <v>0.0</v>
      </c>
      <c r="Z3662" s="372">
        <v>0.0</v>
      </c>
    </row>
    <row r="3663">
      <c r="Y3663" s="372">
        <v>0.0</v>
      </c>
      <c r="Z3663" s="372">
        <v>0.0</v>
      </c>
    </row>
    <row r="3664">
      <c r="Y3664" s="372">
        <v>0.0</v>
      </c>
      <c r="Z3664" s="372">
        <v>0.0</v>
      </c>
    </row>
    <row r="3665">
      <c r="Y3665" s="372">
        <v>0.0</v>
      </c>
      <c r="Z3665" s="372">
        <v>0.0</v>
      </c>
    </row>
    <row r="3666">
      <c r="Y3666" s="372">
        <v>0.0</v>
      </c>
      <c r="Z3666" s="372">
        <v>0.0</v>
      </c>
    </row>
    <row r="3667">
      <c r="Y3667" s="372">
        <v>0.0</v>
      </c>
      <c r="Z3667" s="372">
        <v>0.0</v>
      </c>
    </row>
    <row r="3668">
      <c r="Y3668" s="372">
        <v>0.0</v>
      </c>
      <c r="Z3668" s="372">
        <v>0.0</v>
      </c>
    </row>
    <row r="3669">
      <c r="Y3669" s="372">
        <v>0.0</v>
      </c>
      <c r="Z3669" s="372">
        <v>0.0</v>
      </c>
    </row>
    <row r="3670">
      <c r="Y3670" s="372">
        <v>0.0</v>
      </c>
      <c r="Z3670" s="372">
        <v>0.0</v>
      </c>
    </row>
    <row r="3671">
      <c r="Y3671" s="372">
        <v>0.0</v>
      </c>
      <c r="Z3671" s="372">
        <v>0.0</v>
      </c>
    </row>
    <row r="3672">
      <c r="Y3672" s="372">
        <v>0.0</v>
      </c>
      <c r="Z3672" s="372">
        <v>0.0</v>
      </c>
    </row>
    <row r="3673">
      <c r="Y3673" s="372">
        <v>0.0</v>
      </c>
      <c r="Z3673" s="372">
        <v>0.0</v>
      </c>
    </row>
    <row r="3674">
      <c r="Y3674" s="372">
        <v>0.0</v>
      </c>
      <c r="Z3674" s="372">
        <v>0.0</v>
      </c>
    </row>
    <row r="3675">
      <c r="Y3675" s="372">
        <v>0.0</v>
      </c>
      <c r="Z3675" s="372">
        <v>0.0</v>
      </c>
    </row>
    <row r="3676">
      <c r="Y3676" s="372">
        <v>0.0</v>
      </c>
      <c r="Z3676" s="372">
        <v>0.0</v>
      </c>
    </row>
    <row r="3677">
      <c r="Y3677" s="372">
        <v>0.0</v>
      </c>
      <c r="Z3677" s="372">
        <v>0.0</v>
      </c>
    </row>
    <row r="3678">
      <c r="Y3678" s="372">
        <v>0.0</v>
      </c>
      <c r="Z3678" s="372">
        <v>0.0</v>
      </c>
    </row>
    <row r="3679">
      <c r="Y3679" s="372">
        <v>0.0</v>
      </c>
      <c r="Z3679" s="372">
        <v>0.0</v>
      </c>
    </row>
    <row r="3680">
      <c r="Y3680" s="372">
        <v>0.0</v>
      </c>
      <c r="Z3680" s="372">
        <v>0.0</v>
      </c>
    </row>
    <row r="3681">
      <c r="Y3681" s="372">
        <v>0.0</v>
      </c>
      <c r="Z3681" s="372">
        <v>0.0</v>
      </c>
    </row>
    <row r="3682">
      <c r="Y3682" s="372">
        <v>0.0</v>
      </c>
      <c r="Z3682" s="372">
        <v>0.0</v>
      </c>
    </row>
    <row r="3683">
      <c r="Y3683" s="372">
        <v>0.0</v>
      </c>
      <c r="Z3683" s="372">
        <v>0.0</v>
      </c>
    </row>
    <row r="3684">
      <c r="Y3684" s="372">
        <v>0.0</v>
      </c>
      <c r="Z3684" s="372">
        <v>0.0</v>
      </c>
    </row>
    <row r="3685">
      <c r="Y3685" s="372">
        <v>0.0</v>
      </c>
      <c r="Z3685" s="372">
        <v>0.0</v>
      </c>
    </row>
    <row r="3686">
      <c r="Y3686" s="372">
        <v>0.0</v>
      </c>
      <c r="Z3686" s="372">
        <v>0.0</v>
      </c>
    </row>
    <row r="3687">
      <c r="Y3687" s="372">
        <v>0.0</v>
      </c>
      <c r="Z3687" s="372">
        <v>0.0</v>
      </c>
    </row>
    <row r="3688">
      <c r="Y3688" s="372">
        <v>0.0</v>
      </c>
      <c r="Z3688" s="372">
        <v>0.0</v>
      </c>
    </row>
    <row r="3689">
      <c r="Y3689" s="372">
        <v>0.0</v>
      </c>
      <c r="Z3689" s="372">
        <v>0.0</v>
      </c>
    </row>
    <row r="3690">
      <c r="Y3690" s="372">
        <v>0.0</v>
      </c>
      <c r="Z3690" s="372">
        <v>0.0</v>
      </c>
    </row>
    <row r="3691">
      <c r="Y3691" s="372">
        <v>0.0</v>
      </c>
      <c r="Z3691" s="372">
        <v>0.0</v>
      </c>
    </row>
    <row r="3692">
      <c r="Y3692" s="372">
        <v>0.0</v>
      </c>
      <c r="Z3692" s="372">
        <v>0.0</v>
      </c>
    </row>
    <row r="3693">
      <c r="Y3693" s="372">
        <v>0.0</v>
      </c>
      <c r="Z3693" s="372">
        <v>0.0</v>
      </c>
    </row>
    <row r="3694">
      <c r="Y3694" s="372">
        <v>0.0</v>
      </c>
      <c r="Z3694" s="372">
        <v>0.0</v>
      </c>
    </row>
    <row r="3695">
      <c r="Y3695" s="372">
        <v>0.0</v>
      </c>
      <c r="Z3695" s="372">
        <v>0.0</v>
      </c>
    </row>
    <row r="3696">
      <c r="Y3696" s="372">
        <v>0.0</v>
      </c>
      <c r="Z3696" s="372">
        <v>0.0</v>
      </c>
    </row>
    <row r="3697">
      <c r="Y3697" s="372">
        <v>0.0</v>
      </c>
      <c r="Z3697" s="372">
        <v>0.0</v>
      </c>
    </row>
    <row r="3698">
      <c r="Y3698" s="372">
        <v>0.0</v>
      </c>
      <c r="Z3698" s="372">
        <v>0.0</v>
      </c>
    </row>
    <row r="3699">
      <c r="Y3699" s="372">
        <v>0.0</v>
      </c>
      <c r="Z3699" s="372">
        <v>0.0</v>
      </c>
    </row>
    <row r="3700">
      <c r="Y3700" s="372">
        <v>0.0</v>
      </c>
      <c r="Z3700" s="372">
        <v>0.0</v>
      </c>
    </row>
    <row r="3701">
      <c r="Y3701" s="372">
        <v>0.0</v>
      </c>
      <c r="Z3701" s="372">
        <v>0.0</v>
      </c>
    </row>
    <row r="3702">
      <c r="Y3702" s="372">
        <v>0.0</v>
      </c>
      <c r="Z3702" s="372">
        <v>0.0</v>
      </c>
    </row>
    <row r="3703">
      <c r="Y3703" s="372">
        <v>0.0</v>
      </c>
      <c r="Z3703" s="372">
        <v>0.0</v>
      </c>
    </row>
    <row r="3704">
      <c r="Y3704" s="372">
        <v>0.0</v>
      </c>
      <c r="Z3704" s="372">
        <v>0.0</v>
      </c>
    </row>
    <row r="3705">
      <c r="Y3705" s="372">
        <v>0.0</v>
      </c>
      <c r="Z3705" s="372">
        <v>0.0</v>
      </c>
    </row>
    <row r="3706">
      <c r="Y3706" s="372">
        <v>0.0</v>
      </c>
      <c r="Z3706" s="372">
        <v>0.0</v>
      </c>
    </row>
    <row r="3707">
      <c r="Y3707" s="372">
        <v>0.0</v>
      </c>
      <c r="Z3707" s="372">
        <v>0.0</v>
      </c>
    </row>
    <row r="3708">
      <c r="Y3708" s="372">
        <v>0.0</v>
      </c>
      <c r="Z3708" s="372">
        <v>0.0</v>
      </c>
    </row>
    <row r="3709">
      <c r="Y3709" s="372">
        <v>0.0</v>
      </c>
      <c r="Z3709" s="372">
        <v>0.0</v>
      </c>
    </row>
    <row r="3710">
      <c r="Y3710" s="372">
        <v>0.0</v>
      </c>
      <c r="Z3710" s="372">
        <v>0.0</v>
      </c>
    </row>
    <row r="3711">
      <c r="Y3711" s="372">
        <v>0.0</v>
      </c>
      <c r="Z3711" s="372">
        <v>0.0</v>
      </c>
    </row>
    <row r="3712">
      <c r="Y3712" s="372">
        <v>0.0</v>
      </c>
      <c r="Z3712" s="372">
        <v>0.0</v>
      </c>
    </row>
    <row r="3713">
      <c r="Y3713" s="372">
        <v>0.0</v>
      </c>
      <c r="Z3713" s="372">
        <v>0.0</v>
      </c>
    </row>
    <row r="3714">
      <c r="Y3714" s="372">
        <v>0.0</v>
      </c>
      <c r="Z3714" s="372">
        <v>0.0</v>
      </c>
    </row>
    <row r="3715">
      <c r="Y3715" s="372">
        <v>0.0</v>
      </c>
      <c r="Z3715" s="372">
        <v>0.0</v>
      </c>
    </row>
    <row r="3716">
      <c r="Y3716" s="372">
        <v>0.0</v>
      </c>
      <c r="Z3716" s="372">
        <v>0.0</v>
      </c>
    </row>
    <row r="3717">
      <c r="Y3717" s="372">
        <v>0.0</v>
      </c>
      <c r="Z3717" s="372">
        <v>0.0</v>
      </c>
    </row>
    <row r="3718">
      <c r="Y3718" s="372">
        <v>0.0</v>
      </c>
      <c r="Z3718" s="372">
        <v>0.0</v>
      </c>
    </row>
    <row r="3719">
      <c r="Y3719" s="372">
        <v>0.0</v>
      </c>
      <c r="Z3719" s="372">
        <v>0.0</v>
      </c>
    </row>
    <row r="3720">
      <c r="Y3720" s="372">
        <v>0.0</v>
      </c>
      <c r="Z3720" s="372">
        <v>0.0</v>
      </c>
    </row>
    <row r="3721">
      <c r="Y3721" s="372">
        <v>0.0</v>
      </c>
      <c r="Z3721" s="372">
        <v>0.0</v>
      </c>
    </row>
    <row r="3722">
      <c r="Y3722" s="372">
        <v>0.0</v>
      </c>
      <c r="Z3722" s="372">
        <v>0.0</v>
      </c>
    </row>
    <row r="3723">
      <c r="Y3723" s="372">
        <v>0.0</v>
      </c>
      <c r="Z3723" s="372">
        <v>0.0</v>
      </c>
    </row>
    <row r="3724">
      <c r="Y3724" s="372">
        <v>0.0</v>
      </c>
      <c r="Z3724" s="372">
        <v>0.0</v>
      </c>
    </row>
    <row r="3725">
      <c r="Y3725" s="372">
        <v>0.0</v>
      </c>
      <c r="Z3725" s="372">
        <v>0.0</v>
      </c>
    </row>
    <row r="3726">
      <c r="Y3726" s="372">
        <v>0.0</v>
      </c>
      <c r="Z3726" s="372">
        <v>0.0</v>
      </c>
    </row>
    <row r="3727">
      <c r="Y3727" s="372">
        <v>0.0</v>
      </c>
      <c r="Z3727" s="372">
        <v>0.0</v>
      </c>
    </row>
    <row r="3728">
      <c r="Y3728" s="372">
        <v>0.0</v>
      </c>
      <c r="Z3728" s="372">
        <v>0.0</v>
      </c>
    </row>
    <row r="3729">
      <c r="Y3729" s="372">
        <v>0.0</v>
      </c>
      <c r="Z3729" s="372">
        <v>0.0</v>
      </c>
    </row>
    <row r="3730">
      <c r="Y3730" s="372">
        <v>0.0</v>
      </c>
      <c r="Z3730" s="372">
        <v>0.0</v>
      </c>
    </row>
    <row r="3731">
      <c r="Y3731" s="372">
        <v>0.0</v>
      </c>
      <c r="Z3731" s="372">
        <v>0.0</v>
      </c>
    </row>
    <row r="3732">
      <c r="Y3732" s="372">
        <v>0.0</v>
      </c>
      <c r="Z3732" s="372">
        <v>0.0</v>
      </c>
    </row>
    <row r="3733">
      <c r="Y3733" s="372">
        <v>0.0</v>
      </c>
      <c r="Z3733" s="372">
        <v>0.0</v>
      </c>
    </row>
    <row r="3734">
      <c r="Y3734" s="372">
        <v>0.0</v>
      </c>
      <c r="Z3734" s="372">
        <v>0.0</v>
      </c>
    </row>
    <row r="3735">
      <c r="Y3735" s="372">
        <v>0.0</v>
      </c>
      <c r="Z3735" s="372">
        <v>0.0</v>
      </c>
    </row>
    <row r="3736">
      <c r="Y3736" s="372">
        <v>0.0</v>
      </c>
      <c r="Z3736" s="372">
        <v>0.0</v>
      </c>
    </row>
    <row r="3737">
      <c r="Y3737" s="372">
        <v>0.0</v>
      </c>
      <c r="Z3737" s="372">
        <v>0.0</v>
      </c>
    </row>
    <row r="3738">
      <c r="Y3738" s="372">
        <v>0.0</v>
      </c>
      <c r="Z3738" s="372">
        <v>0.0</v>
      </c>
    </row>
    <row r="3739">
      <c r="Y3739" s="372">
        <v>0.0</v>
      </c>
      <c r="Z3739" s="372">
        <v>0.0</v>
      </c>
    </row>
    <row r="3740">
      <c r="Y3740" s="372">
        <v>0.0</v>
      </c>
      <c r="Z3740" s="372">
        <v>0.0</v>
      </c>
    </row>
    <row r="3741">
      <c r="Y3741" s="372">
        <v>0.0</v>
      </c>
      <c r="Z3741" s="372">
        <v>0.0</v>
      </c>
    </row>
    <row r="3742">
      <c r="Y3742" s="372">
        <v>0.0</v>
      </c>
      <c r="Z3742" s="372">
        <v>0.0</v>
      </c>
    </row>
    <row r="3743">
      <c r="Y3743" s="372">
        <v>0.0</v>
      </c>
      <c r="Z3743" s="372">
        <v>0.0</v>
      </c>
    </row>
    <row r="3744">
      <c r="Y3744" s="372">
        <v>0.0</v>
      </c>
      <c r="Z3744" s="372">
        <v>0.0</v>
      </c>
    </row>
    <row r="3745">
      <c r="Y3745" s="372">
        <v>0.0</v>
      </c>
      <c r="Z3745" s="372">
        <v>0.0</v>
      </c>
    </row>
    <row r="3746">
      <c r="Y3746" s="372">
        <v>0.0</v>
      </c>
      <c r="Z3746" s="372">
        <v>0.0</v>
      </c>
    </row>
    <row r="3747">
      <c r="Y3747" s="372">
        <v>0.0</v>
      </c>
      <c r="Z3747" s="372">
        <v>0.0</v>
      </c>
    </row>
    <row r="3748">
      <c r="Y3748" s="372">
        <v>0.0</v>
      </c>
      <c r="Z3748" s="372">
        <v>0.0</v>
      </c>
    </row>
    <row r="3749">
      <c r="Y3749" s="372">
        <v>0.0</v>
      </c>
      <c r="Z3749" s="372">
        <v>0.0</v>
      </c>
    </row>
    <row r="3750">
      <c r="Y3750" s="372">
        <v>0.0</v>
      </c>
      <c r="Z3750" s="372">
        <v>0.0</v>
      </c>
    </row>
    <row r="3751">
      <c r="Y3751" s="372">
        <v>0.0</v>
      </c>
      <c r="Z3751" s="372">
        <v>0.0</v>
      </c>
    </row>
    <row r="3752">
      <c r="Y3752" s="372">
        <v>0.0</v>
      </c>
      <c r="Z3752" s="372">
        <v>0.0</v>
      </c>
    </row>
    <row r="3753">
      <c r="Y3753" s="372">
        <v>0.0</v>
      </c>
      <c r="Z3753" s="372">
        <v>0.0</v>
      </c>
    </row>
    <row r="3754">
      <c r="Y3754" s="372">
        <v>0.0</v>
      </c>
      <c r="Z3754" s="372">
        <v>0.0</v>
      </c>
    </row>
    <row r="3755">
      <c r="Y3755" s="372">
        <v>0.0</v>
      </c>
      <c r="Z3755" s="372">
        <v>0.0</v>
      </c>
    </row>
    <row r="3756">
      <c r="Y3756" s="372">
        <v>0.0</v>
      </c>
      <c r="Z3756" s="372">
        <v>0.0</v>
      </c>
    </row>
    <row r="3757">
      <c r="Y3757" s="372">
        <v>0.0</v>
      </c>
      <c r="Z3757" s="372">
        <v>0.0</v>
      </c>
    </row>
    <row r="3758">
      <c r="Y3758" s="372">
        <v>0.0</v>
      </c>
      <c r="Z3758" s="372">
        <v>0.0</v>
      </c>
    </row>
    <row r="3759">
      <c r="Y3759" s="372">
        <v>0.0</v>
      </c>
      <c r="Z3759" s="372">
        <v>0.0</v>
      </c>
    </row>
    <row r="3760">
      <c r="Y3760" s="372">
        <v>0.0</v>
      </c>
      <c r="Z3760" s="372">
        <v>0.0</v>
      </c>
    </row>
    <row r="3761">
      <c r="Y3761" s="372">
        <v>0.0</v>
      </c>
      <c r="Z3761" s="372">
        <v>0.0</v>
      </c>
    </row>
    <row r="3762">
      <c r="Y3762" s="372">
        <v>0.0</v>
      </c>
      <c r="Z3762" s="372">
        <v>0.0</v>
      </c>
    </row>
    <row r="3763">
      <c r="Y3763" s="372">
        <v>0.0</v>
      </c>
      <c r="Z3763" s="372">
        <v>0.0</v>
      </c>
    </row>
    <row r="3764">
      <c r="Y3764" s="372">
        <v>0.0</v>
      </c>
      <c r="Z3764" s="372">
        <v>0.0</v>
      </c>
    </row>
    <row r="3765">
      <c r="Y3765" s="372">
        <v>0.0</v>
      </c>
      <c r="Z3765" s="372">
        <v>0.0</v>
      </c>
    </row>
    <row r="3766">
      <c r="Y3766" s="372">
        <v>0.0</v>
      </c>
      <c r="Z3766" s="372">
        <v>0.0</v>
      </c>
    </row>
    <row r="3767">
      <c r="Y3767" s="372">
        <v>0.0</v>
      </c>
      <c r="Z3767" s="372">
        <v>0.0</v>
      </c>
    </row>
    <row r="3768">
      <c r="Y3768" s="372">
        <v>0.0</v>
      </c>
      <c r="Z3768" s="372">
        <v>0.0</v>
      </c>
    </row>
    <row r="3769">
      <c r="Y3769" s="372">
        <v>0.0</v>
      </c>
      <c r="Z3769" s="372">
        <v>0.0</v>
      </c>
    </row>
    <row r="3770">
      <c r="Y3770" s="372">
        <v>0.0</v>
      </c>
      <c r="Z3770" s="372">
        <v>0.0</v>
      </c>
    </row>
    <row r="3771">
      <c r="Y3771" s="372">
        <v>0.0</v>
      </c>
      <c r="Z3771" s="372">
        <v>0.0</v>
      </c>
    </row>
    <row r="3772">
      <c r="Y3772" s="372">
        <v>0.0</v>
      </c>
      <c r="Z3772" s="372">
        <v>0.0</v>
      </c>
    </row>
    <row r="3773">
      <c r="Y3773" s="372">
        <v>0.0</v>
      </c>
      <c r="Z3773" s="372">
        <v>0.0</v>
      </c>
    </row>
    <row r="3774">
      <c r="Y3774" s="372">
        <v>0.0</v>
      </c>
      <c r="Z3774" s="372">
        <v>0.0</v>
      </c>
    </row>
    <row r="3775">
      <c r="Y3775" s="372">
        <v>0.0</v>
      </c>
      <c r="Z3775" s="372">
        <v>0.0</v>
      </c>
    </row>
    <row r="3776">
      <c r="Y3776" s="372">
        <v>0.0</v>
      </c>
      <c r="Z3776" s="372">
        <v>0.0</v>
      </c>
    </row>
    <row r="3777">
      <c r="Y3777" s="372">
        <v>0.0</v>
      </c>
      <c r="Z3777" s="372">
        <v>0.0</v>
      </c>
    </row>
    <row r="3778">
      <c r="Y3778" s="372">
        <v>0.0</v>
      </c>
      <c r="Z3778" s="372">
        <v>0.0</v>
      </c>
    </row>
    <row r="3779">
      <c r="Y3779" s="372">
        <v>0.0</v>
      </c>
      <c r="Z3779" s="372">
        <v>0.0</v>
      </c>
    </row>
    <row r="3780">
      <c r="Y3780" s="372">
        <v>0.0</v>
      </c>
      <c r="Z3780" s="372">
        <v>0.0</v>
      </c>
    </row>
    <row r="3781">
      <c r="Y3781" s="372">
        <v>0.0</v>
      </c>
      <c r="Z3781" s="372">
        <v>0.0</v>
      </c>
    </row>
    <row r="3782">
      <c r="Y3782" s="372">
        <v>0.0</v>
      </c>
      <c r="Z3782" s="372">
        <v>0.0</v>
      </c>
    </row>
    <row r="3783">
      <c r="Y3783" s="372">
        <v>0.0</v>
      </c>
      <c r="Z3783" s="372">
        <v>0.0</v>
      </c>
    </row>
    <row r="3784">
      <c r="Y3784" s="372">
        <v>0.0</v>
      </c>
      <c r="Z3784" s="372">
        <v>0.0</v>
      </c>
    </row>
    <row r="3785">
      <c r="Y3785" s="372">
        <v>0.0</v>
      </c>
      <c r="Z3785" s="372">
        <v>0.0</v>
      </c>
    </row>
    <row r="3786">
      <c r="Y3786" s="372">
        <v>0.0</v>
      </c>
      <c r="Z3786" s="372">
        <v>0.0</v>
      </c>
    </row>
    <row r="3787">
      <c r="Y3787" s="372">
        <v>0.0</v>
      </c>
      <c r="Z3787" s="372">
        <v>0.0</v>
      </c>
    </row>
    <row r="3788">
      <c r="Y3788" s="372">
        <v>0.0</v>
      </c>
      <c r="Z3788" s="372">
        <v>0.0</v>
      </c>
    </row>
    <row r="3789">
      <c r="Y3789" s="372">
        <v>0.0</v>
      </c>
      <c r="Z3789" s="372">
        <v>0.0</v>
      </c>
    </row>
    <row r="3790">
      <c r="Y3790" s="372">
        <v>0.0</v>
      </c>
      <c r="Z3790" s="372">
        <v>0.0</v>
      </c>
    </row>
    <row r="3791">
      <c r="Y3791" s="372">
        <v>0.0</v>
      </c>
      <c r="Z3791" s="372">
        <v>0.0</v>
      </c>
    </row>
    <row r="3792">
      <c r="Y3792" s="372">
        <v>0.0</v>
      </c>
      <c r="Z3792" s="372">
        <v>0.0</v>
      </c>
    </row>
    <row r="3793">
      <c r="Y3793" s="372">
        <v>0.0</v>
      </c>
      <c r="Z3793" s="372">
        <v>0.0</v>
      </c>
    </row>
    <row r="3794">
      <c r="Y3794" s="372">
        <v>0.0</v>
      </c>
      <c r="Z3794" s="372">
        <v>0.0</v>
      </c>
    </row>
    <row r="3795">
      <c r="Y3795" s="372">
        <v>0.0</v>
      </c>
      <c r="Z3795" s="372">
        <v>0.0</v>
      </c>
    </row>
    <row r="3796">
      <c r="Y3796" s="372">
        <v>0.0</v>
      </c>
      <c r="Z3796" s="372">
        <v>0.0</v>
      </c>
    </row>
    <row r="3797">
      <c r="Y3797" s="372">
        <v>0.0</v>
      </c>
      <c r="Z3797" s="372">
        <v>0.0</v>
      </c>
    </row>
    <row r="3798">
      <c r="Y3798" s="372">
        <v>0.0</v>
      </c>
      <c r="Z3798" s="372">
        <v>0.0</v>
      </c>
    </row>
    <row r="3799">
      <c r="Y3799" s="372">
        <v>0.0</v>
      </c>
      <c r="Z3799" s="372">
        <v>0.0</v>
      </c>
    </row>
    <row r="3800">
      <c r="Y3800" s="372">
        <v>0.0</v>
      </c>
      <c r="Z3800" s="372">
        <v>0.0</v>
      </c>
    </row>
    <row r="3801">
      <c r="Y3801" s="372">
        <v>0.0</v>
      </c>
      <c r="Z3801" s="372">
        <v>0.0</v>
      </c>
    </row>
    <row r="3802">
      <c r="Y3802" s="372">
        <v>0.0</v>
      </c>
      <c r="Z3802" s="372">
        <v>0.0</v>
      </c>
    </row>
    <row r="3803">
      <c r="Y3803" s="372">
        <v>0.0</v>
      </c>
      <c r="Z3803" s="372">
        <v>0.0</v>
      </c>
    </row>
    <row r="3804">
      <c r="Y3804" s="372">
        <v>0.0</v>
      </c>
      <c r="Z3804" s="372">
        <v>0.0</v>
      </c>
    </row>
    <row r="3805">
      <c r="Y3805" s="372">
        <v>0.0</v>
      </c>
      <c r="Z3805" s="372">
        <v>0.0</v>
      </c>
    </row>
    <row r="3806">
      <c r="Y3806" s="372">
        <v>0.0</v>
      </c>
      <c r="Z3806" s="372">
        <v>0.0</v>
      </c>
    </row>
    <row r="3807">
      <c r="Y3807" s="372">
        <v>0.0</v>
      </c>
      <c r="Z3807" s="372">
        <v>0.0</v>
      </c>
    </row>
    <row r="3808">
      <c r="Y3808" s="372">
        <v>0.0</v>
      </c>
      <c r="Z3808" s="372">
        <v>0.0</v>
      </c>
    </row>
    <row r="3809">
      <c r="Y3809" s="372">
        <v>0.0</v>
      </c>
      <c r="Z3809" s="372">
        <v>0.0</v>
      </c>
    </row>
    <row r="3810">
      <c r="Y3810" s="372">
        <v>0.0</v>
      </c>
      <c r="Z3810" s="372">
        <v>0.0</v>
      </c>
    </row>
    <row r="3811">
      <c r="Y3811" s="372">
        <v>0.0</v>
      </c>
      <c r="Z3811" s="372">
        <v>0.0</v>
      </c>
    </row>
    <row r="3812">
      <c r="Y3812" s="372">
        <v>0.0</v>
      </c>
      <c r="Z3812" s="372">
        <v>0.0</v>
      </c>
    </row>
    <row r="3813">
      <c r="Y3813" s="372">
        <v>0.0</v>
      </c>
      <c r="Z3813" s="372">
        <v>0.0</v>
      </c>
    </row>
    <row r="3814">
      <c r="Y3814" s="372">
        <v>0.0</v>
      </c>
      <c r="Z3814" s="372">
        <v>0.0</v>
      </c>
    </row>
    <row r="3815">
      <c r="Y3815" s="372">
        <v>0.0</v>
      </c>
      <c r="Z3815" s="372">
        <v>0.0</v>
      </c>
    </row>
    <row r="3816">
      <c r="Y3816" s="372">
        <v>0.0</v>
      </c>
      <c r="Z3816" s="372">
        <v>0.0</v>
      </c>
    </row>
    <row r="3817">
      <c r="Y3817" s="372">
        <v>0.0</v>
      </c>
      <c r="Z3817" s="372">
        <v>0.0</v>
      </c>
    </row>
    <row r="3818">
      <c r="Y3818" s="372">
        <v>0.0</v>
      </c>
      <c r="Z3818" s="372">
        <v>0.0</v>
      </c>
    </row>
    <row r="3819">
      <c r="Y3819" s="372">
        <v>0.0</v>
      </c>
      <c r="Z3819" s="372">
        <v>0.0</v>
      </c>
    </row>
    <row r="3820">
      <c r="Y3820" s="372">
        <v>0.0</v>
      </c>
      <c r="Z3820" s="372">
        <v>0.0</v>
      </c>
    </row>
    <row r="3821">
      <c r="Y3821" s="372">
        <v>0.0</v>
      </c>
      <c r="Z3821" s="372">
        <v>0.0</v>
      </c>
    </row>
    <row r="3822">
      <c r="Y3822" s="372">
        <v>0.0</v>
      </c>
      <c r="Z3822" s="372">
        <v>0.0</v>
      </c>
    </row>
    <row r="3823">
      <c r="Y3823" s="372">
        <v>0.0</v>
      </c>
      <c r="Z3823" s="372">
        <v>0.0</v>
      </c>
    </row>
    <row r="3824">
      <c r="Y3824" s="372">
        <v>0.0</v>
      </c>
      <c r="Z3824" s="372">
        <v>0.0</v>
      </c>
    </row>
    <row r="3825">
      <c r="Y3825" s="372">
        <v>0.0</v>
      </c>
      <c r="Z3825" s="372">
        <v>0.0</v>
      </c>
    </row>
    <row r="3826">
      <c r="Y3826" s="372">
        <v>0.0</v>
      </c>
      <c r="Z3826" s="372">
        <v>0.0</v>
      </c>
    </row>
    <row r="3827">
      <c r="Y3827" s="372">
        <v>0.0</v>
      </c>
      <c r="Z3827" s="372">
        <v>0.0</v>
      </c>
    </row>
    <row r="3828">
      <c r="Y3828" s="372">
        <v>0.0</v>
      </c>
      <c r="Z3828" s="372">
        <v>0.0</v>
      </c>
    </row>
    <row r="3829">
      <c r="Y3829" s="372">
        <v>0.0</v>
      </c>
      <c r="Z3829" s="372">
        <v>0.0</v>
      </c>
    </row>
    <row r="3830">
      <c r="Y3830" s="372">
        <v>0.0</v>
      </c>
      <c r="Z3830" s="372">
        <v>0.0</v>
      </c>
    </row>
    <row r="3831">
      <c r="Y3831" s="372">
        <v>0.0</v>
      </c>
      <c r="Z3831" s="372">
        <v>0.0</v>
      </c>
    </row>
    <row r="3832">
      <c r="Y3832" s="372">
        <v>0.0</v>
      </c>
      <c r="Z3832" s="372">
        <v>0.0</v>
      </c>
    </row>
    <row r="3833">
      <c r="Y3833" s="372">
        <v>0.0</v>
      </c>
      <c r="Z3833" s="372">
        <v>0.0</v>
      </c>
    </row>
    <row r="3834">
      <c r="Y3834" s="372">
        <v>0.0</v>
      </c>
      <c r="Z3834" s="372">
        <v>0.0</v>
      </c>
    </row>
    <row r="3835">
      <c r="Y3835" s="372">
        <v>0.0</v>
      </c>
      <c r="Z3835" s="372">
        <v>0.0</v>
      </c>
    </row>
    <row r="3836">
      <c r="Y3836" s="372">
        <v>0.0</v>
      </c>
      <c r="Z3836" s="372">
        <v>0.0</v>
      </c>
    </row>
    <row r="3837">
      <c r="Y3837" s="372">
        <v>0.0</v>
      </c>
      <c r="Z3837" s="372">
        <v>0.0</v>
      </c>
    </row>
    <row r="3838">
      <c r="Y3838" s="372">
        <v>0.0</v>
      </c>
      <c r="Z3838" s="372">
        <v>0.0</v>
      </c>
    </row>
    <row r="3839">
      <c r="Y3839" s="372">
        <v>0.0</v>
      </c>
      <c r="Z3839" s="372">
        <v>0.0</v>
      </c>
    </row>
    <row r="3840">
      <c r="Y3840" s="372">
        <v>0.0</v>
      </c>
      <c r="Z3840" s="372">
        <v>0.0</v>
      </c>
    </row>
    <row r="3841">
      <c r="Y3841" s="372">
        <v>0.0</v>
      </c>
      <c r="Z3841" s="372">
        <v>0.0</v>
      </c>
    </row>
    <row r="3842">
      <c r="Y3842" s="372">
        <v>0.0</v>
      </c>
      <c r="Z3842" s="372">
        <v>0.0</v>
      </c>
    </row>
    <row r="3843">
      <c r="Y3843" s="372">
        <v>0.0</v>
      </c>
      <c r="Z3843" s="372">
        <v>0.0</v>
      </c>
    </row>
    <row r="3844">
      <c r="Y3844" s="372">
        <v>0.0</v>
      </c>
      <c r="Z3844" s="372">
        <v>0.0</v>
      </c>
    </row>
    <row r="3845">
      <c r="Y3845" s="372">
        <v>0.0</v>
      </c>
      <c r="Z3845" s="372">
        <v>0.0</v>
      </c>
    </row>
    <row r="3846">
      <c r="Y3846" s="372">
        <v>0.0</v>
      </c>
      <c r="Z3846" s="372">
        <v>0.0</v>
      </c>
    </row>
    <row r="3847">
      <c r="Y3847" s="372">
        <v>0.0</v>
      </c>
      <c r="Z3847" s="372">
        <v>0.0</v>
      </c>
    </row>
    <row r="3848">
      <c r="Y3848" s="372">
        <v>0.0</v>
      </c>
      <c r="Z3848" s="372">
        <v>0.0</v>
      </c>
    </row>
    <row r="3849">
      <c r="Y3849" s="372">
        <v>0.0</v>
      </c>
      <c r="Z3849" s="372">
        <v>0.0</v>
      </c>
    </row>
    <row r="3850">
      <c r="Y3850" s="372">
        <v>0.0</v>
      </c>
      <c r="Z3850" s="372">
        <v>0.0</v>
      </c>
    </row>
    <row r="3851">
      <c r="Y3851" s="372">
        <v>0.0</v>
      </c>
      <c r="Z3851" s="372">
        <v>0.0</v>
      </c>
    </row>
    <row r="3852">
      <c r="Y3852" s="372">
        <v>0.0</v>
      </c>
      <c r="Z3852" s="372">
        <v>0.0</v>
      </c>
    </row>
    <row r="3853">
      <c r="Y3853" s="372">
        <v>0.0</v>
      </c>
      <c r="Z3853" s="372">
        <v>0.0</v>
      </c>
    </row>
    <row r="3854">
      <c r="Y3854" s="372">
        <v>0.0</v>
      </c>
      <c r="Z3854" s="372">
        <v>0.0</v>
      </c>
    </row>
    <row r="3855">
      <c r="Y3855" s="372">
        <v>0.0</v>
      </c>
      <c r="Z3855" s="372">
        <v>0.0</v>
      </c>
    </row>
    <row r="3856">
      <c r="Y3856" s="372">
        <v>0.0</v>
      </c>
      <c r="Z3856" s="372">
        <v>0.0</v>
      </c>
    </row>
    <row r="3857">
      <c r="Y3857" s="372">
        <v>0.0</v>
      </c>
      <c r="Z3857" s="372">
        <v>0.0</v>
      </c>
    </row>
    <row r="3858">
      <c r="Y3858" s="372">
        <v>0.0</v>
      </c>
      <c r="Z3858" s="372">
        <v>0.0</v>
      </c>
    </row>
    <row r="3859">
      <c r="Y3859" s="372">
        <v>0.0</v>
      </c>
      <c r="Z3859" s="372">
        <v>0.0</v>
      </c>
    </row>
    <row r="3860">
      <c r="Y3860" s="372">
        <v>0.0</v>
      </c>
      <c r="Z3860" s="372">
        <v>0.0</v>
      </c>
    </row>
    <row r="3861">
      <c r="Y3861" s="372">
        <v>0.0</v>
      </c>
      <c r="Z3861" s="372">
        <v>0.0</v>
      </c>
    </row>
    <row r="3862">
      <c r="Y3862" s="372">
        <v>0.0</v>
      </c>
      <c r="Z3862" s="372">
        <v>0.0</v>
      </c>
    </row>
    <row r="3863">
      <c r="Y3863" s="372">
        <v>0.0</v>
      </c>
      <c r="Z3863" s="372">
        <v>0.0</v>
      </c>
    </row>
    <row r="3864">
      <c r="Y3864" s="372">
        <v>0.0</v>
      </c>
      <c r="Z3864" s="372">
        <v>0.0</v>
      </c>
    </row>
    <row r="3865">
      <c r="Y3865" s="372">
        <v>0.0</v>
      </c>
      <c r="Z3865" s="372">
        <v>0.0</v>
      </c>
    </row>
    <row r="3866">
      <c r="Y3866" s="372">
        <v>0.0</v>
      </c>
      <c r="Z3866" s="372">
        <v>0.0</v>
      </c>
    </row>
    <row r="3867">
      <c r="Y3867" s="372">
        <v>0.0</v>
      </c>
      <c r="Z3867" s="372">
        <v>0.0</v>
      </c>
    </row>
    <row r="3868">
      <c r="Y3868" s="372">
        <v>0.0</v>
      </c>
      <c r="Z3868" s="372">
        <v>0.0</v>
      </c>
    </row>
    <row r="3869">
      <c r="Y3869" s="372">
        <v>0.0</v>
      </c>
      <c r="Z3869" s="372">
        <v>0.0</v>
      </c>
    </row>
    <row r="3870">
      <c r="Y3870" s="372">
        <v>0.0</v>
      </c>
      <c r="Z3870" s="372">
        <v>0.0</v>
      </c>
    </row>
    <row r="3871">
      <c r="Y3871" s="372">
        <v>0.0</v>
      </c>
      <c r="Z3871" s="372">
        <v>0.0</v>
      </c>
    </row>
    <row r="3872">
      <c r="Y3872" s="372">
        <v>0.0</v>
      </c>
      <c r="Z3872" s="372">
        <v>0.0</v>
      </c>
    </row>
    <row r="3873">
      <c r="Y3873" s="372">
        <v>0.0</v>
      </c>
      <c r="Z3873" s="372">
        <v>0.0</v>
      </c>
    </row>
    <row r="3874">
      <c r="Y3874" s="372">
        <v>0.0</v>
      </c>
      <c r="Z3874" s="372">
        <v>0.0</v>
      </c>
    </row>
    <row r="3875">
      <c r="Y3875" s="372">
        <v>0.0</v>
      </c>
      <c r="Z3875" s="372">
        <v>0.0</v>
      </c>
    </row>
    <row r="3876">
      <c r="Y3876" s="372">
        <v>0.0</v>
      </c>
      <c r="Z3876" s="372">
        <v>0.0</v>
      </c>
    </row>
    <row r="3877">
      <c r="Y3877" s="372">
        <v>0.0</v>
      </c>
      <c r="Z3877" s="372">
        <v>0.0</v>
      </c>
    </row>
    <row r="3878">
      <c r="Y3878" s="372">
        <v>0.0</v>
      </c>
      <c r="Z3878" s="372">
        <v>0.0</v>
      </c>
    </row>
    <row r="3879">
      <c r="Y3879" s="372">
        <v>0.0</v>
      </c>
      <c r="Z3879" s="372">
        <v>0.0</v>
      </c>
    </row>
    <row r="3880">
      <c r="Y3880" s="372">
        <v>0.0</v>
      </c>
      <c r="Z3880" s="372">
        <v>0.0</v>
      </c>
    </row>
    <row r="3881">
      <c r="Y3881" s="372">
        <v>0.0</v>
      </c>
      <c r="Z3881" s="372">
        <v>0.0</v>
      </c>
    </row>
    <row r="3882">
      <c r="Y3882" s="372">
        <v>0.0</v>
      </c>
      <c r="Z3882" s="372">
        <v>0.0</v>
      </c>
    </row>
    <row r="3883">
      <c r="Y3883" s="372">
        <v>0.0</v>
      </c>
      <c r="Z3883" s="372">
        <v>0.0</v>
      </c>
    </row>
    <row r="3884">
      <c r="Y3884" s="372">
        <v>0.0</v>
      </c>
      <c r="Z3884" s="372">
        <v>0.0</v>
      </c>
    </row>
    <row r="3885">
      <c r="Y3885" s="372">
        <v>0.0</v>
      </c>
      <c r="Z3885" s="372">
        <v>0.0</v>
      </c>
    </row>
    <row r="3886">
      <c r="Y3886" s="372">
        <v>0.0</v>
      </c>
      <c r="Z3886" s="372">
        <v>0.0</v>
      </c>
    </row>
    <row r="3887">
      <c r="Y3887" s="372">
        <v>0.0</v>
      </c>
      <c r="Z3887" s="372">
        <v>0.0</v>
      </c>
    </row>
    <row r="3888">
      <c r="Y3888" s="372">
        <v>0.0</v>
      </c>
      <c r="Z3888" s="372">
        <v>0.0</v>
      </c>
    </row>
    <row r="3889">
      <c r="Y3889" s="372">
        <v>0.0</v>
      </c>
      <c r="Z3889" s="372">
        <v>0.0</v>
      </c>
    </row>
    <row r="3890">
      <c r="Y3890" s="372">
        <v>0.0</v>
      </c>
      <c r="Z3890" s="372">
        <v>0.0</v>
      </c>
    </row>
    <row r="3891">
      <c r="Y3891" s="372">
        <v>0.0</v>
      </c>
      <c r="Z3891" s="372">
        <v>0.0</v>
      </c>
    </row>
    <row r="3892">
      <c r="Y3892" s="372">
        <v>0.0</v>
      </c>
      <c r="Z3892" s="372">
        <v>0.0</v>
      </c>
    </row>
    <row r="3893">
      <c r="Y3893" s="372">
        <v>0.0</v>
      </c>
      <c r="Z3893" s="372">
        <v>0.0</v>
      </c>
    </row>
    <row r="3894">
      <c r="Y3894" s="372">
        <v>0.0</v>
      </c>
      <c r="Z3894" s="372">
        <v>0.0</v>
      </c>
    </row>
    <row r="3895">
      <c r="Y3895" s="372">
        <v>0.0</v>
      </c>
      <c r="Z3895" s="372">
        <v>0.0</v>
      </c>
    </row>
    <row r="3896">
      <c r="Y3896" s="372">
        <v>0.0</v>
      </c>
      <c r="Z3896" s="372">
        <v>0.0</v>
      </c>
    </row>
    <row r="3897">
      <c r="Y3897" s="372">
        <v>0.0</v>
      </c>
      <c r="Z3897" s="372">
        <v>0.0</v>
      </c>
    </row>
    <row r="3898">
      <c r="Y3898" s="372">
        <v>0.0</v>
      </c>
      <c r="Z3898" s="372">
        <v>0.0</v>
      </c>
    </row>
    <row r="3899">
      <c r="Y3899" s="372">
        <v>0.0</v>
      </c>
      <c r="Z3899" s="372">
        <v>0.0</v>
      </c>
    </row>
    <row r="3900">
      <c r="Y3900" s="372">
        <v>0.0</v>
      </c>
      <c r="Z3900" s="372">
        <v>0.0</v>
      </c>
    </row>
    <row r="3901">
      <c r="Y3901" s="372">
        <v>0.0</v>
      </c>
      <c r="Z3901" s="372">
        <v>0.0</v>
      </c>
    </row>
    <row r="3902">
      <c r="Y3902" s="372">
        <v>0.0</v>
      </c>
      <c r="Z3902" s="372">
        <v>0.0</v>
      </c>
    </row>
    <row r="3903">
      <c r="Y3903" s="372">
        <v>0.0</v>
      </c>
      <c r="Z3903" s="372">
        <v>0.0</v>
      </c>
    </row>
    <row r="3904">
      <c r="Y3904" s="372">
        <v>0.0</v>
      </c>
      <c r="Z3904" s="372">
        <v>0.0</v>
      </c>
    </row>
    <row r="3905">
      <c r="Y3905" s="372">
        <v>0.0</v>
      </c>
      <c r="Z3905" s="372">
        <v>0.0</v>
      </c>
    </row>
    <row r="3906">
      <c r="Y3906" s="372">
        <v>0.0</v>
      </c>
      <c r="Z3906" s="372">
        <v>0.0</v>
      </c>
    </row>
    <row r="3907">
      <c r="Y3907" s="372">
        <v>0.0</v>
      </c>
      <c r="Z3907" s="372">
        <v>0.0</v>
      </c>
    </row>
    <row r="3908">
      <c r="Y3908" s="372">
        <v>0.0</v>
      </c>
      <c r="Z3908" s="372">
        <v>0.0</v>
      </c>
    </row>
    <row r="3909">
      <c r="Y3909" s="372">
        <v>0.0</v>
      </c>
      <c r="Z3909" s="372">
        <v>0.0</v>
      </c>
    </row>
    <row r="3910">
      <c r="Y3910" s="372">
        <v>0.0</v>
      </c>
      <c r="Z3910" s="372">
        <v>0.0</v>
      </c>
    </row>
    <row r="3911">
      <c r="Y3911" s="372">
        <v>0.0</v>
      </c>
      <c r="Z3911" s="372">
        <v>0.0</v>
      </c>
    </row>
    <row r="3912">
      <c r="Y3912" s="372">
        <v>0.0</v>
      </c>
      <c r="Z3912" s="372">
        <v>0.0</v>
      </c>
    </row>
    <row r="3913">
      <c r="Y3913" s="372">
        <v>0.0</v>
      </c>
      <c r="Z3913" s="372">
        <v>0.0</v>
      </c>
    </row>
    <row r="3914">
      <c r="Y3914" s="372">
        <v>0.0</v>
      </c>
      <c r="Z3914" s="372">
        <v>0.0</v>
      </c>
    </row>
    <row r="3915">
      <c r="Y3915" s="372">
        <v>0.0</v>
      </c>
      <c r="Z3915" s="372">
        <v>0.0</v>
      </c>
    </row>
    <row r="3916">
      <c r="Y3916" s="372">
        <v>0.0</v>
      </c>
      <c r="Z3916" s="372">
        <v>0.0</v>
      </c>
    </row>
    <row r="3917">
      <c r="Y3917" s="372">
        <v>0.0</v>
      </c>
      <c r="Z3917" s="372">
        <v>0.0</v>
      </c>
    </row>
    <row r="3918">
      <c r="Y3918" s="372">
        <v>0.0</v>
      </c>
      <c r="Z3918" s="372">
        <v>0.0</v>
      </c>
    </row>
    <row r="3919">
      <c r="Y3919" s="372">
        <v>0.0</v>
      </c>
      <c r="Z3919" s="372">
        <v>0.0</v>
      </c>
    </row>
    <row r="3920">
      <c r="Y3920" s="372">
        <v>0.0</v>
      </c>
      <c r="Z3920" s="372">
        <v>0.0</v>
      </c>
    </row>
    <row r="3921">
      <c r="Y3921" s="372">
        <v>0.0</v>
      </c>
      <c r="Z3921" s="372">
        <v>0.0</v>
      </c>
    </row>
    <row r="3922">
      <c r="Y3922" s="372">
        <v>0.0</v>
      </c>
      <c r="Z3922" s="372">
        <v>0.0</v>
      </c>
    </row>
    <row r="3923">
      <c r="Y3923" s="372">
        <v>0.0</v>
      </c>
      <c r="Z3923" s="372">
        <v>0.0</v>
      </c>
    </row>
    <row r="3924">
      <c r="Y3924" s="372">
        <v>0.0</v>
      </c>
      <c r="Z3924" s="372">
        <v>0.0</v>
      </c>
    </row>
    <row r="3925">
      <c r="Y3925" s="372">
        <v>0.0</v>
      </c>
      <c r="Z3925" s="372">
        <v>0.0</v>
      </c>
    </row>
    <row r="3926">
      <c r="Y3926" s="372">
        <v>0.0</v>
      </c>
      <c r="Z3926" s="372">
        <v>0.0</v>
      </c>
    </row>
    <row r="3927">
      <c r="Y3927" s="372">
        <v>0.0</v>
      </c>
      <c r="Z3927" s="372">
        <v>0.0</v>
      </c>
    </row>
    <row r="3928">
      <c r="Y3928" s="372">
        <v>0.0</v>
      </c>
      <c r="Z3928" s="372">
        <v>0.0</v>
      </c>
    </row>
    <row r="3929">
      <c r="Y3929" s="372">
        <v>0.0</v>
      </c>
      <c r="Z3929" s="372">
        <v>0.0</v>
      </c>
    </row>
    <row r="3930">
      <c r="Y3930" s="372">
        <v>0.0</v>
      </c>
      <c r="Z3930" s="372">
        <v>0.0</v>
      </c>
    </row>
    <row r="3931">
      <c r="Y3931" s="372">
        <v>0.0</v>
      </c>
      <c r="Z3931" s="372">
        <v>0.0</v>
      </c>
    </row>
    <row r="3932">
      <c r="Y3932" s="372">
        <v>0.0</v>
      </c>
      <c r="Z3932" s="372">
        <v>0.0</v>
      </c>
    </row>
    <row r="3933">
      <c r="Y3933" s="372">
        <v>0.0</v>
      </c>
      <c r="Z3933" s="372">
        <v>0.0</v>
      </c>
    </row>
    <row r="3934">
      <c r="Y3934" s="372">
        <v>0.0</v>
      </c>
      <c r="Z3934" s="372">
        <v>0.0</v>
      </c>
    </row>
    <row r="3935">
      <c r="Y3935" s="372">
        <v>0.0</v>
      </c>
      <c r="Z3935" s="372">
        <v>0.0</v>
      </c>
    </row>
    <row r="3936">
      <c r="Y3936" s="372">
        <v>0.0</v>
      </c>
      <c r="Z3936" s="372">
        <v>0.0</v>
      </c>
    </row>
    <row r="3937">
      <c r="Y3937" s="372">
        <v>0.0</v>
      </c>
      <c r="Z3937" s="372">
        <v>0.0</v>
      </c>
    </row>
    <row r="3938">
      <c r="Y3938" s="372">
        <v>0.0</v>
      </c>
      <c r="Z3938" s="372">
        <v>0.0</v>
      </c>
    </row>
    <row r="3939">
      <c r="Y3939" s="372">
        <v>0.0</v>
      </c>
      <c r="Z3939" s="372">
        <v>0.0</v>
      </c>
    </row>
    <row r="3940">
      <c r="Y3940" s="372">
        <v>0.0</v>
      </c>
      <c r="Z3940" s="372">
        <v>0.0</v>
      </c>
    </row>
    <row r="3941">
      <c r="Y3941" s="372">
        <v>0.0</v>
      </c>
      <c r="Z3941" s="372">
        <v>0.0</v>
      </c>
    </row>
    <row r="3942">
      <c r="Y3942" s="372">
        <v>0.0</v>
      </c>
      <c r="Z3942" s="372">
        <v>0.0</v>
      </c>
    </row>
    <row r="3943">
      <c r="Y3943" s="372">
        <v>0.0</v>
      </c>
      <c r="Z3943" s="372">
        <v>0.0</v>
      </c>
    </row>
    <row r="3944">
      <c r="Y3944" s="372">
        <v>0.0</v>
      </c>
      <c r="Z3944" s="372">
        <v>0.0</v>
      </c>
    </row>
    <row r="3945">
      <c r="Y3945" s="372">
        <v>0.0</v>
      </c>
      <c r="Z3945" s="372">
        <v>0.0</v>
      </c>
    </row>
    <row r="3946">
      <c r="Y3946" s="372">
        <v>0.0</v>
      </c>
      <c r="Z3946" s="372">
        <v>0.0</v>
      </c>
    </row>
    <row r="3947">
      <c r="Y3947" s="372">
        <v>0.0</v>
      </c>
      <c r="Z3947" s="372">
        <v>0.0</v>
      </c>
    </row>
    <row r="3948">
      <c r="Y3948" s="372">
        <v>0.0</v>
      </c>
      <c r="Z3948" s="372">
        <v>0.0</v>
      </c>
    </row>
    <row r="3949">
      <c r="Y3949" s="372">
        <v>0.0</v>
      </c>
      <c r="Z3949" s="372">
        <v>0.0</v>
      </c>
    </row>
    <row r="3950">
      <c r="Y3950" s="372">
        <v>0.0</v>
      </c>
      <c r="Z3950" s="372">
        <v>0.0</v>
      </c>
    </row>
    <row r="3951">
      <c r="Y3951" s="372">
        <v>0.0</v>
      </c>
      <c r="Z3951" s="372">
        <v>0.0</v>
      </c>
    </row>
    <row r="3952">
      <c r="Y3952" s="372">
        <v>0.0</v>
      </c>
      <c r="Z3952" s="372">
        <v>0.0</v>
      </c>
    </row>
    <row r="3953">
      <c r="Y3953" s="372">
        <v>0.0</v>
      </c>
      <c r="Z3953" s="372">
        <v>0.0</v>
      </c>
    </row>
    <row r="3954">
      <c r="Y3954" s="372">
        <v>0.0</v>
      </c>
      <c r="Z3954" s="372">
        <v>0.0</v>
      </c>
    </row>
    <row r="3955">
      <c r="Y3955" s="372">
        <v>0.0</v>
      </c>
      <c r="Z3955" s="372">
        <v>0.0</v>
      </c>
    </row>
    <row r="3956">
      <c r="Y3956" s="372">
        <v>0.0</v>
      </c>
      <c r="Z3956" s="372">
        <v>0.0</v>
      </c>
    </row>
    <row r="3957">
      <c r="Y3957" s="372">
        <v>0.0</v>
      </c>
      <c r="Z3957" s="372">
        <v>0.0</v>
      </c>
    </row>
    <row r="3958">
      <c r="Y3958" s="372">
        <v>0.0</v>
      </c>
      <c r="Z3958" s="372">
        <v>0.0</v>
      </c>
    </row>
    <row r="3959">
      <c r="Y3959" s="372">
        <v>0.0</v>
      </c>
      <c r="Z3959" s="372">
        <v>0.0</v>
      </c>
    </row>
    <row r="3960">
      <c r="Y3960" s="372">
        <v>0.0</v>
      </c>
      <c r="Z3960" s="372">
        <v>0.0</v>
      </c>
    </row>
    <row r="3961">
      <c r="Y3961" s="372">
        <v>0.0</v>
      </c>
      <c r="Z3961" s="372">
        <v>0.0</v>
      </c>
    </row>
    <row r="3962">
      <c r="Y3962" s="372">
        <v>0.0</v>
      </c>
      <c r="Z3962" s="372">
        <v>0.0</v>
      </c>
    </row>
    <row r="3963">
      <c r="Y3963" s="372">
        <v>0.0</v>
      </c>
      <c r="Z3963" s="372">
        <v>0.0</v>
      </c>
    </row>
    <row r="3964">
      <c r="Y3964" s="372">
        <v>0.0</v>
      </c>
      <c r="Z3964" s="372">
        <v>0.0</v>
      </c>
    </row>
    <row r="3965">
      <c r="Y3965" s="372">
        <v>0.0</v>
      </c>
      <c r="Z3965" s="372">
        <v>0.0</v>
      </c>
    </row>
    <row r="3966">
      <c r="Y3966" s="372">
        <v>0.0</v>
      </c>
      <c r="Z3966" s="372">
        <v>0.0</v>
      </c>
    </row>
    <row r="3967">
      <c r="Y3967" s="372">
        <v>0.0</v>
      </c>
      <c r="Z3967" s="372">
        <v>0.0</v>
      </c>
    </row>
    <row r="3968">
      <c r="Y3968" s="372">
        <v>0.0</v>
      </c>
      <c r="Z3968" s="372">
        <v>0.0</v>
      </c>
    </row>
    <row r="3969">
      <c r="Y3969" s="372">
        <v>0.0</v>
      </c>
      <c r="Z3969" s="372">
        <v>0.0</v>
      </c>
    </row>
    <row r="3970">
      <c r="Y3970" s="372">
        <v>0.0</v>
      </c>
      <c r="Z3970" s="372">
        <v>0.0</v>
      </c>
    </row>
    <row r="3971">
      <c r="Y3971" s="372">
        <v>0.0</v>
      </c>
      <c r="Z3971" s="372">
        <v>0.0</v>
      </c>
    </row>
    <row r="3972">
      <c r="Y3972" s="372">
        <v>0.0</v>
      </c>
      <c r="Z3972" s="372">
        <v>0.0</v>
      </c>
    </row>
    <row r="3973">
      <c r="Y3973" s="372">
        <v>0.0</v>
      </c>
      <c r="Z3973" s="372">
        <v>0.0</v>
      </c>
    </row>
    <row r="3974">
      <c r="Y3974" s="372">
        <v>0.0</v>
      </c>
      <c r="Z3974" s="372">
        <v>0.0</v>
      </c>
    </row>
    <row r="3975">
      <c r="Y3975" s="372">
        <v>0.0</v>
      </c>
      <c r="Z3975" s="372">
        <v>0.0</v>
      </c>
    </row>
    <row r="3976">
      <c r="Y3976" s="372">
        <v>0.0</v>
      </c>
      <c r="Z3976" s="372">
        <v>0.0</v>
      </c>
    </row>
    <row r="3977">
      <c r="Y3977" s="372">
        <v>0.0</v>
      </c>
      <c r="Z3977" s="372">
        <v>0.0</v>
      </c>
    </row>
    <row r="3978">
      <c r="Y3978" s="372">
        <v>0.0</v>
      </c>
      <c r="Z3978" s="372">
        <v>0.0</v>
      </c>
    </row>
    <row r="3979">
      <c r="Y3979" s="372">
        <v>0.0</v>
      </c>
      <c r="Z3979" s="372">
        <v>0.0</v>
      </c>
    </row>
    <row r="3980">
      <c r="Y3980" s="372">
        <v>0.0</v>
      </c>
      <c r="Z3980" s="372">
        <v>0.0</v>
      </c>
    </row>
    <row r="3981">
      <c r="Y3981" s="372">
        <v>0.0</v>
      </c>
      <c r="Z3981" s="372">
        <v>0.0</v>
      </c>
    </row>
    <row r="3982">
      <c r="Y3982" s="372">
        <v>0.0</v>
      </c>
      <c r="Z3982" s="372">
        <v>0.0</v>
      </c>
    </row>
    <row r="3983">
      <c r="Y3983" s="372">
        <v>0.0</v>
      </c>
      <c r="Z3983" s="372">
        <v>0.0</v>
      </c>
    </row>
    <row r="3984">
      <c r="Y3984" s="372">
        <v>0.0</v>
      </c>
      <c r="Z3984" s="372">
        <v>0.0</v>
      </c>
    </row>
    <row r="3985">
      <c r="Y3985" s="372">
        <v>0.0</v>
      </c>
      <c r="Z3985" s="372">
        <v>0.0</v>
      </c>
    </row>
    <row r="3986">
      <c r="Y3986" s="372">
        <v>0.0</v>
      </c>
      <c r="Z3986" s="372">
        <v>0.0</v>
      </c>
    </row>
    <row r="3987">
      <c r="Y3987" s="372">
        <v>0.0</v>
      </c>
      <c r="Z3987" s="372">
        <v>0.0</v>
      </c>
    </row>
    <row r="3988">
      <c r="Y3988" s="372">
        <v>0.0</v>
      </c>
      <c r="Z3988" s="372">
        <v>0.0</v>
      </c>
    </row>
    <row r="3989">
      <c r="Y3989" s="372">
        <v>0.0</v>
      </c>
      <c r="Z3989" s="372">
        <v>0.0</v>
      </c>
    </row>
    <row r="3990">
      <c r="Y3990" s="372">
        <v>0.0</v>
      </c>
      <c r="Z3990" s="372">
        <v>0.0</v>
      </c>
    </row>
    <row r="3991">
      <c r="Y3991" s="372">
        <v>0.0</v>
      </c>
      <c r="Z3991" s="372">
        <v>0.0</v>
      </c>
    </row>
    <row r="3992">
      <c r="Y3992" s="372">
        <v>0.0</v>
      </c>
      <c r="Z3992" s="372">
        <v>0.0</v>
      </c>
    </row>
    <row r="3993">
      <c r="Y3993" s="372">
        <v>0.0</v>
      </c>
      <c r="Z3993" s="372">
        <v>0.0</v>
      </c>
    </row>
    <row r="3994">
      <c r="Y3994" s="372">
        <v>0.0</v>
      </c>
      <c r="Z3994" s="372">
        <v>0.0</v>
      </c>
    </row>
    <row r="3995">
      <c r="Y3995" s="372">
        <v>0.0</v>
      </c>
      <c r="Z3995" s="372">
        <v>0.0</v>
      </c>
    </row>
    <row r="3996">
      <c r="Y3996" s="372">
        <v>0.0</v>
      </c>
      <c r="Z3996" s="372">
        <v>0.0</v>
      </c>
    </row>
    <row r="3997">
      <c r="Y3997" s="372">
        <v>0.0</v>
      </c>
      <c r="Z3997" s="372">
        <v>0.0</v>
      </c>
    </row>
    <row r="3998">
      <c r="Y3998" s="372">
        <v>0.0</v>
      </c>
      <c r="Z3998" s="372">
        <v>0.0</v>
      </c>
    </row>
    <row r="3999">
      <c r="Y3999" s="372">
        <v>0.0</v>
      </c>
      <c r="Z3999" s="372">
        <v>0.0</v>
      </c>
    </row>
    <row r="4000">
      <c r="Y4000" s="372">
        <v>0.0</v>
      </c>
      <c r="Z4000" s="372">
        <v>0.0</v>
      </c>
    </row>
    <row r="4001">
      <c r="Y4001" s="372">
        <v>0.0</v>
      </c>
      <c r="Z4001" s="372">
        <v>0.0</v>
      </c>
    </row>
    <row r="4002">
      <c r="Y4002" s="372">
        <v>0.0</v>
      </c>
      <c r="Z4002" s="372">
        <v>0.0</v>
      </c>
    </row>
    <row r="4003">
      <c r="Y4003" s="372">
        <v>0.0</v>
      </c>
      <c r="Z4003" s="372">
        <v>0.0</v>
      </c>
    </row>
    <row r="4004">
      <c r="Y4004" s="372">
        <v>0.0</v>
      </c>
      <c r="Z4004" s="372">
        <v>0.0</v>
      </c>
    </row>
    <row r="4005">
      <c r="Y4005" s="372">
        <v>0.0</v>
      </c>
      <c r="Z4005" s="372">
        <v>0.0</v>
      </c>
    </row>
    <row r="4006">
      <c r="Y4006" s="372">
        <v>0.0</v>
      </c>
      <c r="Z4006" s="372">
        <v>0.0</v>
      </c>
    </row>
    <row r="4007">
      <c r="Y4007" s="372">
        <v>0.0</v>
      </c>
      <c r="Z4007" s="372">
        <v>0.0</v>
      </c>
    </row>
    <row r="4008">
      <c r="Y4008" s="372">
        <v>0.0</v>
      </c>
      <c r="Z4008" s="372">
        <v>0.0</v>
      </c>
    </row>
    <row r="4009">
      <c r="Y4009" s="372">
        <v>0.0</v>
      </c>
      <c r="Z4009" s="372">
        <v>0.0</v>
      </c>
    </row>
    <row r="4010">
      <c r="Y4010" s="372">
        <v>0.0</v>
      </c>
      <c r="Z4010" s="372">
        <v>0.0</v>
      </c>
    </row>
    <row r="4011">
      <c r="Y4011" s="372">
        <v>0.0</v>
      </c>
      <c r="Z4011" s="372">
        <v>0.0</v>
      </c>
    </row>
    <row r="4012">
      <c r="Y4012" s="372">
        <v>0.0</v>
      </c>
      <c r="Z4012" s="372">
        <v>0.0</v>
      </c>
    </row>
    <row r="4013">
      <c r="Y4013" s="372">
        <v>0.0</v>
      </c>
      <c r="Z4013" s="372">
        <v>0.0</v>
      </c>
    </row>
    <row r="4014">
      <c r="Y4014" s="372">
        <v>0.0</v>
      </c>
      <c r="Z4014" s="372">
        <v>0.0</v>
      </c>
    </row>
    <row r="4015">
      <c r="Y4015" s="372">
        <v>0.0</v>
      </c>
      <c r="Z4015" s="372">
        <v>0.0</v>
      </c>
    </row>
    <row r="4016">
      <c r="Y4016" s="372">
        <v>0.0</v>
      </c>
      <c r="Z4016" s="372">
        <v>0.0</v>
      </c>
    </row>
    <row r="4017">
      <c r="Y4017" s="372">
        <v>0.0</v>
      </c>
      <c r="Z4017" s="372">
        <v>0.0</v>
      </c>
    </row>
    <row r="4018">
      <c r="Y4018" s="372">
        <v>0.0</v>
      </c>
      <c r="Z4018" s="372">
        <v>0.0</v>
      </c>
    </row>
    <row r="4019">
      <c r="Y4019" s="372">
        <v>0.0</v>
      </c>
      <c r="Z4019" s="372">
        <v>0.0</v>
      </c>
    </row>
    <row r="4020">
      <c r="Y4020" s="372">
        <v>0.0</v>
      </c>
      <c r="Z4020" s="372">
        <v>0.0</v>
      </c>
    </row>
    <row r="4021">
      <c r="Y4021" s="372">
        <v>0.0</v>
      </c>
      <c r="Z4021" s="372">
        <v>0.0</v>
      </c>
    </row>
    <row r="4022">
      <c r="Y4022" s="372">
        <v>0.0</v>
      </c>
      <c r="Z4022" s="372">
        <v>0.0</v>
      </c>
    </row>
    <row r="4023">
      <c r="Y4023" s="372">
        <v>0.0</v>
      </c>
      <c r="Z4023" s="372">
        <v>0.0</v>
      </c>
    </row>
    <row r="4024">
      <c r="Y4024" s="372">
        <v>0.0</v>
      </c>
      <c r="Z4024" s="372">
        <v>0.0</v>
      </c>
    </row>
    <row r="4025">
      <c r="Y4025" s="372">
        <v>0.0</v>
      </c>
      <c r="Z4025" s="372">
        <v>0.0</v>
      </c>
    </row>
    <row r="4026">
      <c r="Y4026" s="372">
        <v>0.0</v>
      </c>
      <c r="Z4026" s="372">
        <v>0.0</v>
      </c>
    </row>
    <row r="4027">
      <c r="Y4027" s="372">
        <v>0.0</v>
      </c>
      <c r="Z4027" s="372">
        <v>0.0</v>
      </c>
    </row>
    <row r="4028">
      <c r="Y4028" s="372">
        <v>0.0</v>
      </c>
      <c r="Z4028" s="372">
        <v>0.0</v>
      </c>
    </row>
    <row r="4029">
      <c r="Y4029" s="372">
        <v>0.0</v>
      </c>
      <c r="Z4029" s="372">
        <v>0.0</v>
      </c>
    </row>
    <row r="4030">
      <c r="Y4030" s="372">
        <v>0.0</v>
      </c>
      <c r="Z4030" s="372">
        <v>0.0</v>
      </c>
    </row>
    <row r="4031">
      <c r="Y4031" s="372">
        <v>0.0</v>
      </c>
      <c r="Z4031" s="372">
        <v>0.0</v>
      </c>
    </row>
    <row r="4032">
      <c r="Y4032" s="372">
        <v>0.0</v>
      </c>
      <c r="Z4032" s="372">
        <v>0.0</v>
      </c>
    </row>
    <row r="4033">
      <c r="Y4033" s="372">
        <v>0.0</v>
      </c>
      <c r="Z4033" s="372">
        <v>0.0</v>
      </c>
    </row>
    <row r="4034">
      <c r="Y4034" s="372">
        <v>0.0</v>
      </c>
      <c r="Z4034" s="372">
        <v>0.0</v>
      </c>
    </row>
    <row r="4035">
      <c r="Y4035" s="372">
        <v>0.0</v>
      </c>
      <c r="Z4035" s="372">
        <v>0.0</v>
      </c>
    </row>
    <row r="4036">
      <c r="Y4036" s="372">
        <v>0.0</v>
      </c>
      <c r="Z4036" s="372">
        <v>0.0</v>
      </c>
    </row>
    <row r="4037">
      <c r="Y4037" s="372">
        <v>0.0</v>
      </c>
      <c r="Z4037" s="372">
        <v>0.0</v>
      </c>
    </row>
    <row r="4038">
      <c r="Y4038" s="372">
        <v>0.0</v>
      </c>
      <c r="Z4038" s="372">
        <v>0.0</v>
      </c>
    </row>
    <row r="4039">
      <c r="Y4039" s="372">
        <v>0.0</v>
      </c>
      <c r="Z4039" s="372">
        <v>0.0</v>
      </c>
    </row>
    <row r="4040">
      <c r="Y4040" s="372">
        <v>0.0</v>
      </c>
      <c r="Z4040" s="372">
        <v>0.0</v>
      </c>
    </row>
    <row r="4041">
      <c r="Y4041" s="372">
        <v>0.0</v>
      </c>
      <c r="Z4041" s="372">
        <v>0.0</v>
      </c>
    </row>
    <row r="4042">
      <c r="Y4042" s="372">
        <v>0.0</v>
      </c>
      <c r="Z4042" s="372">
        <v>0.0</v>
      </c>
    </row>
    <row r="4043">
      <c r="Y4043" s="372">
        <v>0.0</v>
      </c>
      <c r="Z4043" s="372">
        <v>0.0</v>
      </c>
    </row>
    <row r="4044">
      <c r="Y4044" s="372">
        <v>0.0</v>
      </c>
      <c r="Z4044" s="372">
        <v>0.0</v>
      </c>
    </row>
    <row r="4045">
      <c r="Y4045" s="372">
        <v>0.0</v>
      </c>
      <c r="Z4045" s="372">
        <v>0.0</v>
      </c>
    </row>
    <row r="4046">
      <c r="Y4046" s="372">
        <v>0.0</v>
      </c>
      <c r="Z4046" s="372">
        <v>0.0</v>
      </c>
    </row>
    <row r="4047">
      <c r="Y4047" s="372">
        <v>0.0</v>
      </c>
      <c r="Z4047" s="372">
        <v>0.0</v>
      </c>
    </row>
    <row r="4048">
      <c r="Y4048" s="372">
        <v>0.0</v>
      </c>
      <c r="Z4048" s="372">
        <v>0.0</v>
      </c>
    </row>
    <row r="4049">
      <c r="Y4049" s="372">
        <v>0.0</v>
      </c>
      <c r="Z4049" s="372">
        <v>0.0</v>
      </c>
    </row>
    <row r="4050">
      <c r="Y4050" s="372">
        <v>0.0</v>
      </c>
      <c r="Z4050" s="372">
        <v>0.0</v>
      </c>
    </row>
    <row r="4051">
      <c r="Y4051" s="372">
        <v>0.0</v>
      </c>
      <c r="Z4051" s="372">
        <v>0.0</v>
      </c>
    </row>
    <row r="4052">
      <c r="Y4052" s="372">
        <v>0.0</v>
      </c>
      <c r="Z4052" s="372">
        <v>0.0</v>
      </c>
    </row>
    <row r="4053">
      <c r="Y4053" s="372">
        <v>0.0</v>
      </c>
      <c r="Z4053" s="372">
        <v>0.0</v>
      </c>
    </row>
    <row r="4054">
      <c r="Y4054" s="372">
        <v>0.0</v>
      </c>
      <c r="Z4054" s="372">
        <v>0.0</v>
      </c>
    </row>
    <row r="4055">
      <c r="Y4055" s="372">
        <v>0.0</v>
      </c>
      <c r="Z4055" s="372">
        <v>0.0</v>
      </c>
    </row>
    <row r="4056">
      <c r="Y4056" s="372">
        <v>0.0</v>
      </c>
      <c r="Z4056" s="372">
        <v>0.0</v>
      </c>
    </row>
    <row r="4057">
      <c r="Y4057" s="372">
        <v>0.0</v>
      </c>
      <c r="Z4057" s="372">
        <v>0.0</v>
      </c>
    </row>
    <row r="4058">
      <c r="Y4058" s="372">
        <v>0.0</v>
      </c>
      <c r="Z4058" s="372">
        <v>0.0</v>
      </c>
    </row>
    <row r="4059">
      <c r="Y4059" s="372">
        <v>0.0</v>
      </c>
      <c r="Z4059" s="372">
        <v>0.0</v>
      </c>
    </row>
    <row r="4060">
      <c r="Y4060" s="372">
        <v>0.0</v>
      </c>
      <c r="Z4060" s="372">
        <v>0.0</v>
      </c>
    </row>
    <row r="4061">
      <c r="Y4061" s="372">
        <v>0.0</v>
      </c>
      <c r="Z4061" s="372">
        <v>0.0</v>
      </c>
    </row>
    <row r="4062">
      <c r="Y4062" s="372">
        <v>0.0</v>
      </c>
      <c r="Z4062" s="372">
        <v>0.0</v>
      </c>
    </row>
    <row r="4063">
      <c r="Y4063" s="372">
        <v>0.0</v>
      </c>
      <c r="Z4063" s="372">
        <v>0.0</v>
      </c>
    </row>
    <row r="4064">
      <c r="Y4064" s="372">
        <v>0.0</v>
      </c>
      <c r="Z4064" s="372">
        <v>0.0</v>
      </c>
    </row>
    <row r="4065">
      <c r="Y4065" s="372">
        <v>0.0</v>
      </c>
      <c r="Z4065" s="372">
        <v>0.0</v>
      </c>
    </row>
    <row r="4066">
      <c r="Y4066" s="372">
        <v>0.0</v>
      </c>
      <c r="Z4066" s="372">
        <v>0.0</v>
      </c>
    </row>
    <row r="4067">
      <c r="Y4067" s="372">
        <v>0.0</v>
      </c>
      <c r="Z4067" s="372">
        <v>0.0</v>
      </c>
    </row>
    <row r="4068">
      <c r="Y4068" s="372">
        <v>0.0</v>
      </c>
      <c r="Z4068" s="372">
        <v>0.0</v>
      </c>
    </row>
    <row r="4069">
      <c r="Y4069" s="372">
        <v>0.0</v>
      </c>
      <c r="Z4069" s="372">
        <v>0.0</v>
      </c>
    </row>
    <row r="4070">
      <c r="Y4070" s="372">
        <v>0.0</v>
      </c>
      <c r="Z4070" s="372">
        <v>0.0</v>
      </c>
    </row>
    <row r="4071">
      <c r="Y4071" s="372">
        <v>0.0</v>
      </c>
      <c r="Z4071" s="372">
        <v>0.0</v>
      </c>
    </row>
    <row r="4072">
      <c r="Y4072" s="372">
        <v>0.0</v>
      </c>
      <c r="Z4072" s="372">
        <v>0.0</v>
      </c>
    </row>
    <row r="4073">
      <c r="Y4073" s="372">
        <v>0.0</v>
      </c>
      <c r="Z4073" s="372">
        <v>0.0</v>
      </c>
    </row>
    <row r="4074">
      <c r="Y4074" s="372">
        <v>0.0</v>
      </c>
      <c r="Z4074" s="372">
        <v>0.0</v>
      </c>
    </row>
    <row r="4075">
      <c r="Y4075" s="372">
        <v>0.0</v>
      </c>
      <c r="Z4075" s="372">
        <v>0.0</v>
      </c>
    </row>
    <row r="4076">
      <c r="Y4076" s="372">
        <v>0.0</v>
      </c>
      <c r="Z4076" s="372">
        <v>0.0</v>
      </c>
    </row>
    <row r="4077">
      <c r="Y4077" s="372">
        <v>0.0</v>
      </c>
      <c r="Z4077" s="372">
        <v>0.0</v>
      </c>
    </row>
    <row r="4078">
      <c r="Y4078" s="372">
        <v>0.0</v>
      </c>
      <c r="Z4078" s="372">
        <v>0.0</v>
      </c>
    </row>
    <row r="4079">
      <c r="Y4079" s="372">
        <v>0.0</v>
      </c>
      <c r="Z4079" s="372">
        <v>0.0</v>
      </c>
    </row>
    <row r="4080">
      <c r="Y4080" s="372">
        <v>0.0</v>
      </c>
      <c r="Z4080" s="372">
        <v>0.0</v>
      </c>
    </row>
    <row r="4081">
      <c r="Y4081" s="372">
        <v>0.0</v>
      </c>
      <c r="Z4081" s="372">
        <v>0.0</v>
      </c>
    </row>
    <row r="4082">
      <c r="Y4082" s="372">
        <v>0.0</v>
      </c>
      <c r="Z4082" s="372">
        <v>0.0</v>
      </c>
    </row>
    <row r="4083">
      <c r="Y4083" s="372">
        <v>0.0</v>
      </c>
      <c r="Z4083" s="372">
        <v>0.0</v>
      </c>
    </row>
    <row r="4084">
      <c r="Y4084" s="372">
        <v>0.0</v>
      </c>
      <c r="Z4084" s="372">
        <v>0.0</v>
      </c>
    </row>
    <row r="4085">
      <c r="Y4085" s="372">
        <v>0.0</v>
      </c>
      <c r="Z4085" s="372">
        <v>0.0</v>
      </c>
    </row>
    <row r="4086">
      <c r="Y4086" s="372">
        <v>0.0</v>
      </c>
      <c r="Z4086" s="372">
        <v>0.0</v>
      </c>
    </row>
    <row r="4087">
      <c r="Y4087" s="372">
        <v>0.0</v>
      </c>
      <c r="Z4087" s="372">
        <v>0.0</v>
      </c>
    </row>
    <row r="4088">
      <c r="Y4088" s="372">
        <v>0.0</v>
      </c>
      <c r="Z4088" s="372">
        <v>0.0</v>
      </c>
    </row>
    <row r="4089">
      <c r="Y4089" s="372">
        <v>0.0</v>
      </c>
      <c r="Z4089" s="372">
        <v>0.0</v>
      </c>
    </row>
    <row r="4090">
      <c r="Y4090" s="372">
        <v>0.0</v>
      </c>
      <c r="Z4090" s="372">
        <v>0.0</v>
      </c>
    </row>
    <row r="4091">
      <c r="Y4091" s="372">
        <v>0.0</v>
      </c>
      <c r="Z4091" s="372">
        <v>0.0</v>
      </c>
    </row>
    <row r="4092">
      <c r="Y4092" s="372">
        <v>0.0</v>
      </c>
      <c r="Z4092" s="372">
        <v>0.0</v>
      </c>
    </row>
    <row r="4093">
      <c r="Y4093" s="372">
        <v>0.0</v>
      </c>
      <c r="Z4093" s="372">
        <v>0.0</v>
      </c>
    </row>
    <row r="4094">
      <c r="Y4094" s="372">
        <v>0.0</v>
      </c>
      <c r="Z4094" s="372">
        <v>0.0</v>
      </c>
    </row>
    <row r="4095">
      <c r="Y4095" s="372">
        <v>0.0</v>
      </c>
      <c r="Z4095" s="372">
        <v>0.0</v>
      </c>
    </row>
    <row r="4096">
      <c r="Y4096" s="372">
        <v>0.0</v>
      </c>
      <c r="Z4096" s="372">
        <v>0.0</v>
      </c>
    </row>
    <row r="4097">
      <c r="Y4097" s="372">
        <v>0.0</v>
      </c>
      <c r="Z4097" s="372">
        <v>0.0</v>
      </c>
    </row>
    <row r="4098">
      <c r="Y4098" s="372">
        <v>0.0</v>
      </c>
      <c r="Z4098" s="372">
        <v>0.0</v>
      </c>
    </row>
    <row r="4099">
      <c r="Y4099" s="372">
        <v>0.0</v>
      </c>
      <c r="Z4099" s="372">
        <v>0.0</v>
      </c>
    </row>
    <row r="4100">
      <c r="Y4100" s="372">
        <v>0.0</v>
      </c>
      <c r="Z4100" s="372">
        <v>0.0</v>
      </c>
    </row>
    <row r="4101">
      <c r="Y4101" s="372">
        <v>0.0</v>
      </c>
      <c r="Z4101" s="372">
        <v>0.0</v>
      </c>
    </row>
    <row r="4102">
      <c r="Y4102" s="372">
        <v>0.0</v>
      </c>
      <c r="Z4102" s="372">
        <v>0.0</v>
      </c>
    </row>
    <row r="4103">
      <c r="Y4103" s="372">
        <v>0.0</v>
      </c>
      <c r="Z4103" s="372">
        <v>0.0</v>
      </c>
    </row>
    <row r="4104">
      <c r="Y4104" s="372">
        <v>0.0</v>
      </c>
      <c r="Z4104" s="372">
        <v>0.0</v>
      </c>
    </row>
    <row r="4105">
      <c r="Y4105" s="372">
        <v>0.0</v>
      </c>
      <c r="Z4105" s="372">
        <v>0.0</v>
      </c>
    </row>
    <row r="4106">
      <c r="Y4106" s="372">
        <v>0.0</v>
      </c>
      <c r="Z4106" s="372">
        <v>0.0</v>
      </c>
    </row>
    <row r="4107">
      <c r="Y4107" s="372">
        <v>0.0</v>
      </c>
      <c r="Z4107" s="372">
        <v>0.0</v>
      </c>
    </row>
    <row r="4108">
      <c r="Y4108" s="372">
        <v>0.0</v>
      </c>
      <c r="Z4108" s="372">
        <v>0.0</v>
      </c>
    </row>
    <row r="4109">
      <c r="Y4109" s="372">
        <v>0.0</v>
      </c>
      <c r="Z4109" s="372">
        <v>0.0</v>
      </c>
    </row>
    <row r="4110">
      <c r="Y4110" s="372">
        <v>0.0</v>
      </c>
      <c r="Z4110" s="372">
        <v>0.0</v>
      </c>
    </row>
    <row r="4111">
      <c r="Y4111" s="372">
        <v>0.0</v>
      </c>
      <c r="Z4111" s="372">
        <v>0.0</v>
      </c>
    </row>
    <row r="4112">
      <c r="Y4112" s="372">
        <v>0.0</v>
      </c>
      <c r="Z4112" s="372">
        <v>0.0</v>
      </c>
    </row>
    <row r="4113">
      <c r="Y4113" s="372">
        <v>0.0</v>
      </c>
      <c r="Z4113" s="372">
        <v>0.0</v>
      </c>
    </row>
    <row r="4114">
      <c r="Y4114" s="372">
        <v>0.0</v>
      </c>
      <c r="Z4114" s="372">
        <v>0.0</v>
      </c>
    </row>
    <row r="4115">
      <c r="Y4115" s="372">
        <v>0.0</v>
      </c>
      <c r="Z4115" s="372">
        <v>0.0</v>
      </c>
    </row>
    <row r="4116">
      <c r="Y4116" s="372">
        <v>0.0</v>
      </c>
      <c r="Z4116" s="372">
        <v>0.0</v>
      </c>
    </row>
    <row r="4117">
      <c r="Y4117" s="372">
        <v>0.0</v>
      </c>
      <c r="Z4117" s="372">
        <v>0.0</v>
      </c>
    </row>
    <row r="4118">
      <c r="Y4118" s="372">
        <v>0.0</v>
      </c>
      <c r="Z4118" s="372">
        <v>0.0</v>
      </c>
    </row>
    <row r="4119">
      <c r="Y4119" s="372">
        <v>0.0</v>
      </c>
      <c r="Z4119" s="372">
        <v>0.0</v>
      </c>
    </row>
    <row r="4120">
      <c r="Y4120" s="372">
        <v>0.0</v>
      </c>
      <c r="Z4120" s="372">
        <v>0.0</v>
      </c>
    </row>
    <row r="4121">
      <c r="Y4121" s="372">
        <v>0.0</v>
      </c>
      <c r="Z4121" s="372">
        <v>0.0</v>
      </c>
    </row>
    <row r="4122">
      <c r="Y4122" s="372">
        <v>0.0</v>
      </c>
      <c r="Z4122" s="372">
        <v>0.0</v>
      </c>
    </row>
    <row r="4123">
      <c r="Y4123" s="372">
        <v>0.0</v>
      </c>
      <c r="Z4123" s="372">
        <v>0.0</v>
      </c>
    </row>
    <row r="4124">
      <c r="Y4124" s="372">
        <v>0.0</v>
      </c>
      <c r="Z4124" s="372">
        <v>0.0</v>
      </c>
    </row>
    <row r="4125">
      <c r="Y4125" s="372">
        <v>0.0</v>
      </c>
      <c r="Z4125" s="372">
        <v>0.0</v>
      </c>
    </row>
    <row r="4126">
      <c r="Y4126" s="372">
        <v>0.0</v>
      </c>
      <c r="Z4126" s="372">
        <v>0.0</v>
      </c>
    </row>
    <row r="4127">
      <c r="Y4127" s="372">
        <v>0.0</v>
      </c>
      <c r="Z4127" s="372">
        <v>0.0</v>
      </c>
    </row>
    <row r="4128">
      <c r="Y4128" s="372">
        <v>0.0</v>
      </c>
      <c r="Z4128" s="372">
        <v>0.0</v>
      </c>
    </row>
    <row r="4129">
      <c r="Y4129" s="372">
        <v>0.0</v>
      </c>
      <c r="Z4129" s="372">
        <v>0.0</v>
      </c>
    </row>
    <row r="4130">
      <c r="Y4130" s="372">
        <v>0.0</v>
      </c>
      <c r="Z4130" s="372">
        <v>0.0</v>
      </c>
    </row>
    <row r="4131">
      <c r="Y4131" s="372">
        <v>0.0</v>
      </c>
      <c r="Z4131" s="372">
        <v>0.0</v>
      </c>
    </row>
    <row r="4132">
      <c r="Y4132" s="372">
        <v>0.0</v>
      </c>
      <c r="Z4132" s="372">
        <v>0.0</v>
      </c>
    </row>
    <row r="4133">
      <c r="Y4133" s="372">
        <v>0.0</v>
      </c>
      <c r="Z4133" s="372">
        <v>0.0</v>
      </c>
    </row>
    <row r="4134">
      <c r="Y4134" s="372">
        <v>0.0</v>
      </c>
      <c r="Z4134" s="372">
        <v>0.0</v>
      </c>
    </row>
    <row r="4135">
      <c r="Y4135" s="372">
        <v>0.0</v>
      </c>
      <c r="Z4135" s="372">
        <v>0.0</v>
      </c>
    </row>
    <row r="4136">
      <c r="Y4136" s="372">
        <v>0.0</v>
      </c>
      <c r="Z4136" s="372">
        <v>0.0</v>
      </c>
    </row>
    <row r="4137">
      <c r="Y4137" s="372">
        <v>0.0</v>
      </c>
      <c r="Z4137" s="372">
        <v>0.0</v>
      </c>
    </row>
    <row r="4138">
      <c r="Y4138" s="372">
        <v>0.0</v>
      </c>
      <c r="Z4138" s="372">
        <v>0.0</v>
      </c>
    </row>
    <row r="4139">
      <c r="Y4139" s="372">
        <v>0.0</v>
      </c>
      <c r="Z4139" s="372">
        <v>0.0</v>
      </c>
    </row>
    <row r="4140">
      <c r="Y4140" s="372">
        <v>0.0</v>
      </c>
      <c r="Z4140" s="372">
        <v>0.0</v>
      </c>
    </row>
    <row r="4141">
      <c r="Y4141" s="372">
        <v>0.0</v>
      </c>
      <c r="Z4141" s="372">
        <v>0.0</v>
      </c>
    </row>
    <row r="4142">
      <c r="Y4142" s="372">
        <v>0.0</v>
      </c>
      <c r="Z4142" s="372">
        <v>0.0</v>
      </c>
    </row>
    <row r="4143">
      <c r="Y4143" s="372">
        <v>0.0</v>
      </c>
      <c r="Z4143" s="372">
        <v>0.0</v>
      </c>
    </row>
    <row r="4144">
      <c r="Y4144" s="372">
        <v>0.0</v>
      </c>
      <c r="Z4144" s="372">
        <v>0.0</v>
      </c>
    </row>
    <row r="4145">
      <c r="Y4145" s="372">
        <v>0.0</v>
      </c>
      <c r="Z4145" s="372">
        <v>0.0</v>
      </c>
    </row>
    <row r="4146">
      <c r="Y4146" s="372">
        <v>0.0</v>
      </c>
      <c r="Z4146" s="372">
        <v>0.0</v>
      </c>
    </row>
    <row r="4147">
      <c r="Y4147" s="372">
        <v>0.0</v>
      </c>
      <c r="Z4147" s="372">
        <v>0.0</v>
      </c>
    </row>
    <row r="4148">
      <c r="Y4148" s="372">
        <v>0.0</v>
      </c>
      <c r="Z4148" s="372">
        <v>0.0</v>
      </c>
    </row>
    <row r="4149">
      <c r="Y4149" s="372">
        <v>0.0</v>
      </c>
      <c r="Z4149" s="372">
        <v>0.0</v>
      </c>
    </row>
    <row r="4150">
      <c r="Y4150" s="372">
        <v>0.0</v>
      </c>
      <c r="Z4150" s="372">
        <v>0.0</v>
      </c>
    </row>
    <row r="4151">
      <c r="Y4151" s="372">
        <v>0.0</v>
      </c>
      <c r="Z4151" s="372">
        <v>0.0</v>
      </c>
    </row>
    <row r="4152">
      <c r="Y4152" s="372">
        <v>0.0</v>
      </c>
      <c r="Z4152" s="372">
        <v>0.0</v>
      </c>
    </row>
    <row r="4153">
      <c r="Y4153" s="372">
        <v>0.0</v>
      </c>
      <c r="Z4153" s="372">
        <v>0.0</v>
      </c>
    </row>
    <row r="4154">
      <c r="Y4154" s="372">
        <v>0.0</v>
      </c>
      <c r="Z4154" s="372">
        <v>0.0</v>
      </c>
    </row>
    <row r="4155">
      <c r="Y4155" s="372">
        <v>0.0</v>
      </c>
      <c r="Z4155" s="372">
        <v>0.0</v>
      </c>
    </row>
    <row r="4156">
      <c r="Y4156" s="372">
        <v>0.0</v>
      </c>
      <c r="Z4156" s="372">
        <v>0.0</v>
      </c>
    </row>
    <row r="4157">
      <c r="Y4157" s="372">
        <v>0.0</v>
      </c>
      <c r="Z4157" s="372">
        <v>0.0</v>
      </c>
    </row>
    <row r="4158">
      <c r="Y4158" s="372">
        <v>0.0</v>
      </c>
      <c r="Z4158" s="372">
        <v>0.0</v>
      </c>
    </row>
    <row r="4159">
      <c r="Y4159" s="372">
        <v>0.0</v>
      </c>
      <c r="Z4159" s="372">
        <v>0.0</v>
      </c>
    </row>
    <row r="4160">
      <c r="Y4160" s="372">
        <v>0.0</v>
      </c>
      <c r="Z4160" s="372">
        <v>0.0</v>
      </c>
    </row>
    <row r="4161">
      <c r="Y4161" s="372">
        <v>0.0</v>
      </c>
      <c r="Z4161" s="372">
        <v>0.0</v>
      </c>
    </row>
    <row r="4162">
      <c r="Y4162" s="372">
        <v>0.0</v>
      </c>
      <c r="Z4162" s="372">
        <v>0.0</v>
      </c>
    </row>
    <row r="4163">
      <c r="Y4163" s="372">
        <v>0.0</v>
      </c>
      <c r="Z4163" s="372">
        <v>0.0</v>
      </c>
    </row>
    <row r="4164">
      <c r="Y4164" s="372">
        <v>0.0</v>
      </c>
      <c r="Z4164" s="372">
        <v>0.0</v>
      </c>
    </row>
    <row r="4165">
      <c r="Y4165" s="372">
        <v>0.0</v>
      </c>
      <c r="Z4165" s="372">
        <v>0.0</v>
      </c>
    </row>
    <row r="4166">
      <c r="Y4166" s="372">
        <v>0.0</v>
      </c>
      <c r="Z4166" s="372">
        <v>0.0</v>
      </c>
    </row>
    <row r="4167">
      <c r="Y4167" s="372">
        <v>0.0</v>
      </c>
      <c r="Z4167" s="372">
        <v>0.0</v>
      </c>
    </row>
    <row r="4168">
      <c r="Y4168" s="372">
        <v>0.0</v>
      </c>
      <c r="Z4168" s="372">
        <v>0.0</v>
      </c>
    </row>
    <row r="4169">
      <c r="Y4169" s="372">
        <v>0.0</v>
      </c>
      <c r="Z4169" s="372">
        <v>0.0</v>
      </c>
    </row>
    <row r="4170">
      <c r="Y4170" s="372">
        <v>0.0</v>
      </c>
      <c r="Z4170" s="372">
        <v>0.0</v>
      </c>
    </row>
    <row r="4171">
      <c r="Y4171" s="372">
        <v>0.0</v>
      </c>
      <c r="Z4171" s="372">
        <v>0.0</v>
      </c>
    </row>
    <row r="4172">
      <c r="Y4172" s="372">
        <v>0.0</v>
      </c>
      <c r="Z4172" s="372">
        <v>0.0</v>
      </c>
    </row>
    <row r="4173">
      <c r="Y4173" s="372">
        <v>0.0</v>
      </c>
      <c r="Z4173" s="372">
        <v>0.0</v>
      </c>
    </row>
    <row r="4174">
      <c r="Y4174" s="372">
        <v>0.0</v>
      </c>
      <c r="Z4174" s="372">
        <v>0.0</v>
      </c>
    </row>
    <row r="4175">
      <c r="Y4175" s="372">
        <v>0.0</v>
      </c>
      <c r="Z4175" s="372">
        <v>0.0</v>
      </c>
    </row>
    <row r="4176">
      <c r="Y4176" s="372">
        <v>0.0</v>
      </c>
      <c r="Z4176" s="372">
        <v>0.0</v>
      </c>
    </row>
    <row r="4177">
      <c r="Y4177" s="372">
        <v>0.0</v>
      </c>
      <c r="Z4177" s="372">
        <v>0.0</v>
      </c>
    </row>
    <row r="4178">
      <c r="Y4178" s="372">
        <v>0.0</v>
      </c>
      <c r="Z4178" s="372">
        <v>0.0</v>
      </c>
    </row>
    <row r="4179">
      <c r="Y4179" s="372">
        <v>0.0</v>
      </c>
      <c r="Z4179" s="372">
        <v>0.0</v>
      </c>
    </row>
    <row r="4180">
      <c r="Y4180" s="372">
        <v>0.0</v>
      </c>
      <c r="Z4180" s="372">
        <v>0.0</v>
      </c>
    </row>
    <row r="4181">
      <c r="Y4181" s="372">
        <v>0.0</v>
      </c>
      <c r="Z4181" s="372">
        <v>0.0</v>
      </c>
    </row>
    <row r="4182">
      <c r="Y4182" s="372">
        <v>0.0</v>
      </c>
      <c r="Z4182" s="372">
        <v>0.0</v>
      </c>
    </row>
    <row r="4183">
      <c r="Y4183" s="372">
        <v>0.0</v>
      </c>
      <c r="Z4183" s="372">
        <v>0.0</v>
      </c>
    </row>
    <row r="4184">
      <c r="Y4184" s="372">
        <v>0.0</v>
      </c>
      <c r="Z4184" s="372">
        <v>0.0</v>
      </c>
    </row>
    <row r="4185">
      <c r="Y4185" s="372">
        <v>0.0</v>
      </c>
      <c r="Z4185" s="372">
        <v>0.0</v>
      </c>
    </row>
    <row r="4186">
      <c r="Y4186" s="372">
        <v>0.0</v>
      </c>
      <c r="Z4186" s="372">
        <v>0.0</v>
      </c>
    </row>
    <row r="4187">
      <c r="Y4187" s="372">
        <v>0.0</v>
      </c>
      <c r="Z4187" s="372">
        <v>0.0</v>
      </c>
    </row>
    <row r="4188">
      <c r="Y4188" s="372">
        <v>0.0</v>
      </c>
      <c r="Z4188" s="372">
        <v>0.0</v>
      </c>
    </row>
    <row r="4189">
      <c r="Y4189" s="372">
        <v>0.0</v>
      </c>
      <c r="Z4189" s="372">
        <v>0.0</v>
      </c>
    </row>
    <row r="4190">
      <c r="Y4190" s="372">
        <v>0.0</v>
      </c>
      <c r="Z4190" s="372">
        <v>0.0</v>
      </c>
    </row>
    <row r="4191">
      <c r="Y4191" s="372">
        <v>0.0</v>
      </c>
      <c r="Z4191" s="372">
        <v>0.0</v>
      </c>
    </row>
    <row r="4192">
      <c r="Y4192" s="372">
        <v>0.0</v>
      </c>
      <c r="Z4192" s="372">
        <v>0.0</v>
      </c>
    </row>
    <row r="4193">
      <c r="Y4193" s="372">
        <v>0.0</v>
      </c>
      <c r="Z4193" s="372">
        <v>0.0</v>
      </c>
    </row>
    <row r="4194">
      <c r="Y4194" s="372">
        <v>0.0</v>
      </c>
      <c r="Z4194" s="372">
        <v>0.0</v>
      </c>
    </row>
    <row r="4195">
      <c r="Y4195" s="372">
        <v>0.0</v>
      </c>
      <c r="Z4195" s="372">
        <v>0.0</v>
      </c>
    </row>
    <row r="4196">
      <c r="Y4196" s="372">
        <v>0.0</v>
      </c>
      <c r="Z4196" s="372">
        <v>0.0</v>
      </c>
    </row>
    <row r="4197">
      <c r="Y4197" s="372">
        <v>0.0</v>
      </c>
      <c r="Z4197" s="372">
        <v>0.0</v>
      </c>
    </row>
    <row r="4198">
      <c r="Y4198" s="372">
        <v>0.0</v>
      </c>
      <c r="Z4198" s="372">
        <v>0.0</v>
      </c>
    </row>
    <row r="4199">
      <c r="Y4199" s="372">
        <v>0.0</v>
      </c>
      <c r="Z4199" s="372">
        <v>0.0</v>
      </c>
    </row>
    <row r="4200">
      <c r="Y4200" s="372">
        <v>0.0</v>
      </c>
      <c r="Z4200" s="372">
        <v>0.0</v>
      </c>
    </row>
    <row r="4201">
      <c r="Y4201" s="372">
        <v>0.0</v>
      </c>
      <c r="Z4201" s="372">
        <v>0.0</v>
      </c>
    </row>
    <row r="4202">
      <c r="Y4202" s="372">
        <v>0.0</v>
      </c>
      <c r="Z4202" s="372">
        <v>0.0</v>
      </c>
    </row>
    <row r="4203">
      <c r="Y4203" s="372">
        <v>0.0</v>
      </c>
      <c r="Z4203" s="372">
        <v>0.0</v>
      </c>
    </row>
    <row r="4204">
      <c r="Y4204" s="372">
        <v>0.0</v>
      </c>
      <c r="Z4204" s="372">
        <v>0.0</v>
      </c>
    </row>
    <row r="4205">
      <c r="Y4205" s="372">
        <v>0.0</v>
      </c>
      <c r="Z4205" s="372">
        <v>0.0</v>
      </c>
    </row>
    <row r="4206">
      <c r="Y4206" s="372">
        <v>0.0</v>
      </c>
      <c r="Z4206" s="372">
        <v>0.0</v>
      </c>
    </row>
    <row r="4207">
      <c r="Y4207" s="372">
        <v>0.0</v>
      </c>
      <c r="Z4207" s="372">
        <v>0.0</v>
      </c>
    </row>
    <row r="4208">
      <c r="Y4208" s="372">
        <v>0.0</v>
      </c>
      <c r="Z4208" s="372">
        <v>0.0</v>
      </c>
    </row>
    <row r="4209">
      <c r="Y4209" s="372">
        <v>0.0</v>
      </c>
      <c r="Z4209" s="372">
        <v>0.0</v>
      </c>
    </row>
    <row r="4210">
      <c r="Y4210" s="372">
        <v>0.0</v>
      </c>
      <c r="Z4210" s="372">
        <v>0.0</v>
      </c>
    </row>
    <row r="4211">
      <c r="Y4211" s="372">
        <v>0.0</v>
      </c>
      <c r="Z4211" s="372">
        <v>0.0</v>
      </c>
    </row>
    <row r="4212">
      <c r="Y4212" s="372">
        <v>0.0</v>
      </c>
      <c r="Z4212" s="372">
        <v>0.0</v>
      </c>
    </row>
    <row r="4213">
      <c r="Y4213" s="372">
        <v>0.0</v>
      </c>
      <c r="Z4213" s="372">
        <v>0.0</v>
      </c>
    </row>
    <row r="4214">
      <c r="Y4214" s="372">
        <v>0.0</v>
      </c>
      <c r="Z4214" s="372">
        <v>0.0</v>
      </c>
    </row>
    <row r="4215">
      <c r="Y4215" s="372">
        <v>0.0</v>
      </c>
      <c r="Z4215" s="372">
        <v>0.0</v>
      </c>
    </row>
    <row r="4216">
      <c r="Y4216" s="372">
        <v>0.0</v>
      </c>
      <c r="Z4216" s="372">
        <v>0.0</v>
      </c>
    </row>
    <row r="4217">
      <c r="Y4217" s="372">
        <v>0.0</v>
      </c>
      <c r="Z4217" s="372">
        <v>0.0</v>
      </c>
    </row>
    <row r="4218">
      <c r="Y4218" s="372">
        <v>0.0</v>
      </c>
      <c r="Z4218" s="372">
        <v>0.0</v>
      </c>
    </row>
    <row r="4219">
      <c r="Y4219" s="372">
        <v>0.0</v>
      </c>
      <c r="Z4219" s="372">
        <v>0.0</v>
      </c>
    </row>
    <row r="4220">
      <c r="Y4220" s="372">
        <v>0.0</v>
      </c>
      <c r="Z4220" s="372">
        <v>0.0</v>
      </c>
    </row>
    <row r="4221">
      <c r="Y4221" s="372">
        <v>0.0</v>
      </c>
      <c r="Z4221" s="372">
        <v>0.0</v>
      </c>
    </row>
    <row r="4222">
      <c r="Y4222" s="372">
        <v>0.0</v>
      </c>
      <c r="Z4222" s="372">
        <v>0.0</v>
      </c>
    </row>
    <row r="4223">
      <c r="Y4223" s="372">
        <v>0.0</v>
      </c>
      <c r="Z4223" s="372">
        <v>0.0</v>
      </c>
    </row>
    <row r="4224">
      <c r="Y4224" s="372">
        <v>0.0</v>
      </c>
      <c r="Z4224" s="372">
        <v>0.0</v>
      </c>
    </row>
    <row r="4225">
      <c r="Y4225" s="372">
        <v>0.0</v>
      </c>
      <c r="Z4225" s="372">
        <v>0.0</v>
      </c>
    </row>
    <row r="4226">
      <c r="Y4226" s="372">
        <v>0.0</v>
      </c>
      <c r="Z4226" s="372">
        <v>0.0</v>
      </c>
    </row>
    <row r="4227">
      <c r="Y4227" s="372">
        <v>0.0</v>
      </c>
      <c r="Z4227" s="372">
        <v>0.0</v>
      </c>
    </row>
    <row r="4228">
      <c r="Y4228" s="372">
        <v>0.0</v>
      </c>
      <c r="Z4228" s="372">
        <v>0.0</v>
      </c>
    </row>
    <row r="4229">
      <c r="Y4229" s="372">
        <v>0.0</v>
      </c>
      <c r="Z4229" s="372">
        <v>0.0</v>
      </c>
    </row>
    <row r="4230">
      <c r="Y4230" s="372">
        <v>0.0</v>
      </c>
      <c r="Z4230" s="372">
        <v>0.0</v>
      </c>
    </row>
    <row r="4231">
      <c r="Y4231" s="372">
        <v>0.0</v>
      </c>
      <c r="Z4231" s="372">
        <v>0.0</v>
      </c>
    </row>
    <row r="4232">
      <c r="Y4232" s="372">
        <v>0.0</v>
      </c>
      <c r="Z4232" s="372">
        <v>0.0</v>
      </c>
    </row>
    <row r="4233">
      <c r="Y4233" s="372">
        <v>0.0</v>
      </c>
      <c r="Z4233" s="372">
        <v>0.0</v>
      </c>
    </row>
    <row r="4234">
      <c r="Y4234" s="372">
        <v>0.0</v>
      </c>
      <c r="Z4234" s="372">
        <v>0.0</v>
      </c>
    </row>
    <row r="4235">
      <c r="Y4235" s="372">
        <v>0.0</v>
      </c>
      <c r="Z4235" s="372">
        <v>0.0</v>
      </c>
    </row>
    <row r="4236">
      <c r="Y4236" s="372">
        <v>0.0</v>
      </c>
      <c r="Z4236" s="372">
        <v>0.0</v>
      </c>
    </row>
    <row r="4237">
      <c r="Y4237" s="372">
        <v>0.0</v>
      </c>
      <c r="Z4237" s="372">
        <v>0.0</v>
      </c>
    </row>
    <row r="4238">
      <c r="Y4238" s="372">
        <v>0.0</v>
      </c>
      <c r="Z4238" s="372">
        <v>0.0</v>
      </c>
    </row>
    <row r="4239">
      <c r="Y4239" s="372">
        <v>0.0</v>
      </c>
      <c r="Z4239" s="372">
        <v>0.0</v>
      </c>
    </row>
    <row r="4240">
      <c r="Y4240" s="372">
        <v>0.0</v>
      </c>
      <c r="Z4240" s="372">
        <v>0.0</v>
      </c>
    </row>
    <row r="4241">
      <c r="Y4241" s="372">
        <v>0.0</v>
      </c>
      <c r="Z4241" s="372">
        <v>0.0</v>
      </c>
    </row>
    <row r="4242">
      <c r="Y4242" s="372">
        <v>0.0</v>
      </c>
      <c r="Z4242" s="372">
        <v>0.0</v>
      </c>
    </row>
    <row r="4243">
      <c r="Y4243" s="372">
        <v>0.0</v>
      </c>
      <c r="Z4243" s="372">
        <v>0.0</v>
      </c>
    </row>
    <row r="4244">
      <c r="Y4244" s="372">
        <v>0.0</v>
      </c>
      <c r="Z4244" s="372">
        <v>0.0</v>
      </c>
    </row>
    <row r="4245">
      <c r="Y4245" s="372">
        <v>0.0</v>
      </c>
      <c r="Z4245" s="372">
        <v>0.0</v>
      </c>
    </row>
    <row r="4246">
      <c r="Y4246" s="372">
        <v>0.0</v>
      </c>
      <c r="Z4246" s="372">
        <v>0.0</v>
      </c>
    </row>
    <row r="4247">
      <c r="Y4247" s="372">
        <v>0.0</v>
      </c>
      <c r="Z4247" s="372">
        <v>0.0</v>
      </c>
    </row>
    <row r="4248">
      <c r="Y4248" s="372">
        <v>0.0</v>
      </c>
      <c r="Z4248" s="372">
        <v>0.0</v>
      </c>
    </row>
    <row r="4249">
      <c r="Y4249" s="372">
        <v>0.0</v>
      </c>
      <c r="Z4249" s="372">
        <v>0.0</v>
      </c>
    </row>
    <row r="4250">
      <c r="Y4250" s="372">
        <v>0.0</v>
      </c>
      <c r="Z4250" s="372">
        <v>0.0</v>
      </c>
    </row>
    <row r="4251">
      <c r="Y4251" s="372">
        <v>0.0</v>
      </c>
      <c r="Z4251" s="372">
        <v>0.0</v>
      </c>
    </row>
    <row r="4252">
      <c r="Y4252" s="372">
        <v>0.0</v>
      </c>
      <c r="Z4252" s="372">
        <v>0.0</v>
      </c>
    </row>
    <row r="4253">
      <c r="Y4253" s="372">
        <v>0.0</v>
      </c>
      <c r="Z4253" s="372">
        <v>0.0</v>
      </c>
    </row>
    <row r="4254">
      <c r="Y4254" s="372">
        <v>0.0</v>
      </c>
      <c r="Z4254" s="372">
        <v>0.0</v>
      </c>
    </row>
    <row r="4255">
      <c r="Y4255" s="372">
        <v>0.0</v>
      </c>
      <c r="Z4255" s="372">
        <v>0.0</v>
      </c>
    </row>
    <row r="4256">
      <c r="Y4256" s="372">
        <v>0.0</v>
      </c>
      <c r="Z4256" s="372">
        <v>0.0</v>
      </c>
    </row>
    <row r="4257">
      <c r="Y4257" s="372">
        <v>0.0</v>
      </c>
      <c r="Z4257" s="372">
        <v>0.0</v>
      </c>
    </row>
    <row r="4258">
      <c r="Y4258" s="372">
        <v>0.0</v>
      </c>
      <c r="Z4258" s="372">
        <v>0.0</v>
      </c>
    </row>
    <row r="4259">
      <c r="Y4259" s="372">
        <v>0.0</v>
      </c>
      <c r="Z4259" s="372">
        <v>0.0</v>
      </c>
    </row>
    <row r="4260">
      <c r="Y4260" s="372">
        <v>0.0</v>
      </c>
      <c r="Z4260" s="372">
        <v>0.0</v>
      </c>
    </row>
    <row r="4261">
      <c r="Y4261" s="372">
        <v>0.0</v>
      </c>
      <c r="Z4261" s="372">
        <v>0.0</v>
      </c>
    </row>
    <row r="4262">
      <c r="Y4262" s="372">
        <v>0.0</v>
      </c>
      <c r="Z4262" s="372">
        <v>0.0</v>
      </c>
    </row>
    <row r="4263">
      <c r="Y4263" s="372">
        <v>0.0</v>
      </c>
      <c r="Z4263" s="372">
        <v>0.0</v>
      </c>
    </row>
    <row r="4264">
      <c r="Y4264" s="372">
        <v>0.0</v>
      </c>
      <c r="Z4264" s="372">
        <v>0.0</v>
      </c>
    </row>
    <row r="4265">
      <c r="Y4265" s="372">
        <v>0.0</v>
      </c>
      <c r="Z4265" s="372">
        <v>0.0</v>
      </c>
    </row>
    <row r="4266">
      <c r="Y4266" s="372">
        <v>0.0</v>
      </c>
      <c r="Z4266" s="372">
        <v>0.0</v>
      </c>
    </row>
    <row r="4267">
      <c r="Y4267" s="372">
        <v>0.0</v>
      </c>
      <c r="Z4267" s="372">
        <v>0.0</v>
      </c>
    </row>
    <row r="4268">
      <c r="Y4268" s="372">
        <v>0.0</v>
      </c>
      <c r="Z4268" s="372">
        <v>0.0</v>
      </c>
    </row>
    <row r="4269">
      <c r="Y4269" s="372">
        <v>0.0</v>
      </c>
      <c r="Z4269" s="372">
        <v>0.0</v>
      </c>
    </row>
    <row r="4270">
      <c r="Y4270" s="372">
        <v>0.0</v>
      </c>
      <c r="Z4270" s="372">
        <v>0.0</v>
      </c>
    </row>
    <row r="4271">
      <c r="Y4271" s="372">
        <v>0.0</v>
      </c>
      <c r="Z4271" s="372">
        <v>0.0</v>
      </c>
    </row>
    <row r="4272">
      <c r="Y4272" s="372">
        <v>0.0</v>
      </c>
      <c r="Z4272" s="372">
        <v>0.0</v>
      </c>
    </row>
    <row r="4273">
      <c r="Y4273" s="372">
        <v>0.0</v>
      </c>
      <c r="Z4273" s="372">
        <v>0.0</v>
      </c>
    </row>
    <row r="4274">
      <c r="Y4274" s="372">
        <v>0.0</v>
      </c>
      <c r="Z4274" s="372">
        <v>0.0</v>
      </c>
    </row>
    <row r="4275">
      <c r="Y4275" s="372">
        <v>0.0</v>
      </c>
      <c r="Z4275" s="372">
        <v>0.0</v>
      </c>
    </row>
    <row r="4276">
      <c r="Y4276" s="372">
        <v>0.0</v>
      </c>
      <c r="Z4276" s="372">
        <v>0.0</v>
      </c>
    </row>
    <row r="4277">
      <c r="Y4277" s="372">
        <v>0.0</v>
      </c>
      <c r="Z4277" s="372">
        <v>0.0</v>
      </c>
    </row>
    <row r="4278">
      <c r="Y4278" s="372">
        <v>0.0</v>
      </c>
      <c r="Z4278" s="372">
        <v>0.0</v>
      </c>
    </row>
    <row r="4279">
      <c r="Y4279" s="372">
        <v>0.0</v>
      </c>
      <c r="Z4279" s="372">
        <v>0.0</v>
      </c>
    </row>
    <row r="4280">
      <c r="Y4280" s="372">
        <v>0.0</v>
      </c>
      <c r="Z4280" s="372">
        <v>0.0</v>
      </c>
    </row>
    <row r="4281">
      <c r="Y4281" s="372">
        <v>0.0</v>
      </c>
      <c r="Z4281" s="372">
        <v>0.0</v>
      </c>
    </row>
    <row r="4282">
      <c r="Y4282" s="372">
        <v>0.0</v>
      </c>
      <c r="Z4282" s="372">
        <v>0.0</v>
      </c>
    </row>
    <row r="4283">
      <c r="Y4283" s="372">
        <v>0.0</v>
      </c>
      <c r="Z4283" s="372">
        <v>0.0</v>
      </c>
    </row>
    <row r="4284">
      <c r="Y4284" s="372">
        <v>0.0</v>
      </c>
      <c r="Z4284" s="372">
        <v>0.0</v>
      </c>
    </row>
    <row r="4285">
      <c r="Y4285" s="372">
        <v>0.0</v>
      </c>
      <c r="Z4285" s="372">
        <v>0.0</v>
      </c>
    </row>
    <row r="4286">
      <c r="Y4286" s="372">
        <v>0.0</v>
      </c>
      <c r="Z4286" s="372">
        <v>0.0</v>
      </c>
    </row>
    <row r="4287">
      <c r="Y4287" s="372">
        <v>0.0</v>
      </c>
      <c r="Z4287" s="372">
        <v>0.0</v>
      </c>
    </row>
    <row r="4288">
      <c r="Y4288" s="372">
        <v>0.0</v>
      </c>
      <c r="Z4288" s="372">
        <v>0.0</v>
      </c>
    </row>
    <row r="4289">
      <c r="Y4289" s="372">
        <v>0.0</v>
      </c>
      <c r="Z4289" s="372">
        <v>0.0</v>
      </c>
    </row>
    <row r="4290">
      <c r="Y4290" s="372">
        <v>0.0</v>
      </c>
      <c r="Z4290" s="372">
        <v>0.0</v>
      </c>
    </row>
    <row r="4291">
      <c r="Y4291" s="372">
        <v>0.0</v>
      </c>
      <c r="Z4291" s="372">
        <v>0.0</v>
      </c>
    </row>
    <row r="4292">
      <c r="Y4292" s="372">
        <v>0.0</v>
      </c>
      <c r="Z4292" s="372">
        <v>0.0</v>
      </c>
    </row>
    <row r="4293">
      <c r="Y4293" s="372">
        <v>0.0</v>
      </c>
      <c r="Z4293" s="372">
        <v>0.0</v>
      </c>
    </row>
    <row r="4294">
      <c r="Y4294" s="372">
        <v>0.0</v>
      </c>
      <c r="Z4294" s="372">
        <v>0.0</v>
      </c>
    </row>
    <row r="4295">
      <c r="Y4295" s="372">
        <v>0.0</v>
      </c>
      <c r="Z4295" s="372">
        <v>0.0</v>
      </c>
    </row>
    <row r="4296">
      <c r="Y4296" s="372">
        <v>0.0</v>
      </c>
      <c r="Z4296" s="372">
        <v>0.0</v>
      </c>
    </row>
    <row r="4297">
      <c r="Y4297" s="372">
        <v>0.0</v>
      </c>
      <c r="Z4297" s="372">
        <v>0.0</v>
      </c>
    </row>
    <row r="4298">
      <c r="Y4298" s="372">
        <v>0.0</v>
      </c>
      <c r="Z4298" s="372">
        <v>0.0</v>
      </c>
    </row>
    <row r="4299">
      <c r="Y4299" s="372">
        <v>0.0</v>
      </c>
      <c r="Z4299" s="372">
        <v>0.0</v>
      </c>
    </row>
    <row r="4300">
      <c r="Y4300" s="372">
        <v>0.0</v>
      </c>
      <c r="Z4300" s="372">
        <v>0.0</v>
      </c>
    </row>
    <row r="4301">
      <c r="Y4301" s="372">
        <v>0.0</v>
      </c>
      <c r="Z4301" s="372">
        <v>0.0</v>
      </c>
    </row>
    <row r="4302">
      <c r="Y4302" s="372">
        <v>0.0</v>
      </c>
      <c r="Z4302" s="372">
        <v>0.0</v>
      </c>
    </row>
    <row r="4303">
      <c r="Y4303" s="372">
        <v>0.0</v>
      </c>
      <c r="Z4303" s="372">
        <v>0.0</v>
      </c>
    </row>
    <row r="4304">
      <c r="Y4304" s="372">
        <v>0.0</v>
      </c>
      <c r="Z4304" s="372">
        <v>0.0</v>
      </c>
    </row>
    <row r="4305">
      <c r="Y4305" s="372">
        <v>0.0</v>
      </c>
      <c r="Z4305" s="372">
        <v>0.0</v>
      </c>
    </row>
    <row r="4306">
      <c r="Y4306" s="372">
        <v>0.0</v>
      </c>
      <c r="Z4306" s="372">
        <v>0.0</v>
      </c>
    </row>
    <row r="4307">
      <c r="Y4307" s="372">
        <v>0.0</v>
      </c>
      <c r="Z4307" s="372">
        <v>0.0</v>
      </c>
    </row>
    <row r="4308">
      <c r="Y4308" s="372">
        <v>0.0</v>
      </c>
      <c r="Z4308" s="372">
        <v>0.0</v>
      </c>
    </row>
    <row r="4309">
      <c r="Y4309" s="372">
        <v>0.0</v>
      </c>
      <c r="Z4309" s="372">
        <v>0.0</v>
      </c>
    </row>
    <row r="4310">
      <c r="Y4310" s="372">
        <v>0.0</v>
      </c>
      <c r="Z4310" s="372">
        <v>0.0</v>
      </c>
    </row>
    <row r="4311">
      <c r="Y4311" s="372">
        <v>0.0</v>
      </c>
      <c r="Z4311" s="372">
        <v>0.0</v>
      </c>
    </row>
    <row r="4312">
      <c r="Y4312" s="372">
        <v>0.0</v>
      </c>
      <c r="Z4312" s="372">
        <v>0.0</v>
      </c>
    </row>
    <row r="4313">
      <c r="Y4313" s="372">
        <v>0.0</v>
      </c>
      <c r="Z4313" s="372">
        <v>0.0</v>
      </c>
    </row>
    <row r="4314">
      <c r="Y4314" s="372">
        <v>0.0</v>
      </c>
      <c r="Z4314" s="372">
        <v>0.0</v>
      </c>
    </row>
    <row r="4315">
      <c r="Y4315" s="372">
        <v>0.0</v>
      </c>
      <c r="Z4315" s="372">
        <v>0.0</v>
      </c>
    </row>
    <row r="4316">
      <c r="Y4316" s="372">
        <v>0.0</v>
      </c>
      <c r="Z4316" s="372">
        <v>0.0</v>
      </c>
    </row>
    <row r="4317">
      <c r="Y4317" s="372">
        <v>0.0</v>
      </c>
      <c r="Z4317" s="372">
        <v>0.0</v>
      </c>
    </row>
    <row r="4318">
      <c r="Y4318" s="372">
        <v>0.0</v>
      </c>
      <c r="Z4318" s="372">
        <v>0.0</v>
      </c>
    </row>
    <row r="4319">
      <c r="Y4319" s="372">
        <v>0.0</v>
      </c>
      <c r="Z4319" s="372">
        <v>0.0</v>
      </c>
    </row>
    <row r="4320">
      <c r="Y4320" s="372">
        <v>0.0</v>
      </c>
      <c r="Z4320" s="372">
        <v>0.0</v>
      </c>
    </row>
    <row r="4321">
      <c r="Y4321" s="372">
        <v>0.0</v>
      </c>
      <c r="Z4321" s="372">
        <v>0.0</v>
      </c>
    </row>
    <row r="4322">
      <c r="Y4322" s="372">
        <v>0.0</v>
      </c>
      <c r="Z4322" s="372">
        <v>0.0</v>
      </c>
    </row>
    <row r="4323">
      <c r="Y4323" s="372">
        <v>0.0</v>
      </c>
      <c r="Z4323" s="372">
        <v>0.0</v>
      </c>
    </row>
    <row r="4324">
      <c r="Y4324" s="372">
        <v>0.0</v>
      </c>
      <c r="Z4324" s="372">
        <v>0.0</v>
      </c>
    </row>
    <row r="4325">
      <c r="Y4325" s="372">
        <v>0.0</v>
      </c>
      <c r="Z4325" s="372">
        <v>0.0</v>
      </c>
    </row>
    <row r="4326">
      <c r="Y4326" s="372">
        <v>0.0</v>
      </c>
      <c r="Z4326" s="372">
        <v>0.0</v>
      </c>
    </row>
    <row r="4327">
      <c r="Y4327" s="372">
        <v>0.0</v>
      </c>
      <c r="Z4327" s="372">
        <v>0.0</v>
      </c>
    </row>
    <row r="4328">
      <c r="Y4328" s="372">
        <v>0.0</v>
      </c>
      <c r="Z4328" s="372">
        <v>0.0</v>
      </c>
    </row>
    <row r="4329">
      <c r="Y4329" s="372">
        <v>0.0</v>
      </c>
      <c r="Z4329" s="372">
        <v>0.0</v>
      </c>
    </row>
    <row r="4330">
      <c r="Y4330" s="372">
        <v>0.0</v>
      </c>
      <c r="Z4330" s="372">
        <v>0.0</v>
      </c>
    </row>
    <row r="4331">
      <c r="Y4331" s="372">
        <v>0.0</v>
      </c>
      <c r="Z4331" s="372">
        <v>0.0</v>
      </c>
    </row>
    <row r="4332">
      <c r="Y4332" s="372">
        <v>0.0</v>
      </c>
      <c r="Z4332" s="372">
        <v>0.0</v>
      </c>
    </row>
    <row r="4333">
      <c r="Y4333" s="372">
        <v>0.0</v>
      </c>
      <c r="Z4333" s="372">
        <v>0.0</v>
      </c>
    </row>
    <row r="4334">
      <c r="Y4334" s="372">
        <v>0.0</v>
      </c>
      <c r="Z4334" s="372">
        <v>0.0</v>
      </c>
    </row>
    <row r="4335">
      <c r="Y4335" s="372">
        <v>0.0</v>
      </c>
      <c r="Z4335" s="372">
        <v>0.0</v>
      </c>
    </row>
    <row r="4336">
      <c r="Y4336" s="372">
        <v>0.0</v>
      </c>
      <c r="Z4336" s="372">
        <v>0.0</v>
      </c>
    </row>
    <row r="4337">
      <c r="Y4337" s="372">
        <v>0.0</v>
      </c>
      <c r="Z4337" s="372">
        <v>0.0</v>
      </c>
    </row>
    <row r="4338">
      <c r="Y4338" s="372">
        <v>0.0</v>
      </c>
      <c r="Z4338" s="372">
        <v>0.0</v>
      </c>
    </row>
    <row r="4339">
      <c r="Y4339" s="372">
        <v>0.0</v>
      </c>
      <c r="Z4339" s="372">
        <v>0.0</v>
      </c>
    </row>
    <row r="4340">
      <c r="Y4340" s="372">
        <v>0.0</v>
      </c>
      <c r="Z4340" s="372">
        <v>0.0</v>
      </c>
    </row>
    <row r="4341">
      <c r="Y4341" s="372">
        <v>0.0</v>
      </c>
      <c r="Z4341" s="372">
        <v>0.0</v>
      </c>
    </row>
    <row r="4342">
      <c r="Y4342" s="372">
        <v>0.0</v>
      </c>
      <c r="Z4342" s="372">
        <v>0.0</v>
      </c>
    </row>
    <row r="4343">
      <c r="Y4343" s="372">
        <v>0.0</v>
      </c>
      <c r="Z4343" s="372">
        <v>0.0</v>
      </c>
    </row>
    <row r="4344">
      <c r="Y4344" s="372">
        <v>0.0</v>
      </c>
      <c r="Z4344" s="372">
        <v>0.0</v>
      </c>
    </row>
    <row r="4345">
      <c r="Y4345" s="372">
        <v>0.0</v>
      </c>
      <c r="Z4345" s="372">
        <v>0.0</v>
      </c>
    </row>
    <row r="4346">
      <c r="Y4346" s="372">
        <v>0.0</v>
      </c>
      <c r="Z4346" s="372">
        <v>0.0</v>
      </c>
    </row>
    <row r="4347">
      <c r="Y4347" s="372">
        <v>0.0</v>
      </c>
      <c r="Z4347" s="372">
        <v>0.0</v>
      </c>
    </row>
    <row r="4348">
      <c r="Y4348" s="372">
        <v>0.0</v>
      </c>
      <c r="Z4348" s="372">
        <v>0.0</v>
      </c>
    </row>
    <row r="4349">
      <c r="Y4349" s="372">
        <v>0.0</v>
      </c>
      <c r="Z4349" s="372">
        <v>0.0</v>
      </c>
    </row>
    <row r="4350">
      <c r="Y4350" s="372">
        <v>0.0</v>
      </c>
      <c r="Z4350" s="372">
        <v>0.0</v>
      </c>
    </row>
    <row r="4351">
      <c r="Y4351" s="372">
        <v>0.0</v>
      </c>
      <c r="Z4351" s="372">
        <v>0.0</v>
      </c>
    </row>
    <row r="4352">
      <c r="Y4352" s="372">
        <v>0.0</v>
      </c>
      <c r="Z4352" s="372">
        <v>0.0</v>
      </c>
    </row>
    <row r="4353">
      <c r="Y4353" s="372">
        <v>0.0</v>
      </c>
      <c r="Z4353" s="372">
        <v>0.0</v>
      </c>
    </row>
    <row r="4354">
      <c r="Y4354" s="372">
        <v>0.0</v>
      </c>
      <c r="Z4354" s="372">
        <v>0.0</v>
      </c>
    </row>
    <row r="4355">
      <c r="Y4355" s="372">
        <v>0.0</v>
      </c>
      <c r="Z4355" s="372">
        <v>0.0</v>
      </c>
    </row>
    <row r="4356">
      <c r="Y4356" s="372">
        <v>0.0</v>
      </c>
      <c r="Z4356" s="372">
        <v>0.0</v>
      </c>
    </row>
    <row r="4357">
      <c r="Y4357" s="372">
        <v>0.0</v>
      </c>
      <c r="Z4357" s="372">
        <v>0.0</v>
      </c>
    </row>
    <row r="4358">
      <c r="Y4358" s="372">
        <v>0.0</v>
      </c>
      <c r="Z4358" s="372">
        <v>0.0</v>
      </c>
    </row>
    <row r="4359">
      <c r="Y4359" s="372">
        <v>0.0</v>
      </c>
      <c r="Z4359" s="372">
        <v>0.0</v>
      </c>
    </row>
    <row r="4360">
      <c r="Y4360" s="372">
        <v>0.0</v>
      </c>
      <c r="Z4360" s="372">
        <v>0.0</v>
      </c>
    </row>
    <row r="4361">
      <c r="Y4361" s="372">
        <v>0.0</v>
      </c>
      <c r="Z4361" s="372">
        <v>0.0</v>
      </c>
    </row>
    <row r="4362">
      <c r="Y4362" s="372">
        <v>0.0</v>
      </c>
      <c r="Z4362" s="372">
        <v>0.0</v>
      </c>
    </row>
    <row r="4363">
      <c r="Y4363" s="372">
        <v>0.0</v>
      </c>
      <c r="Z4363" s="372">
        <v>0.0</v>
      </c>
    </row>
    <row r="4364">
      <c r="Y4364" s="372">
        <v>0.0</v>
      </c>
      <c r="Z4364" s="372">
        <v>0.0</v>
      </c>
    </row>
    <row r="4365">
      <c r="Y4365" s="372">
        <v>0.0</v>
      </c>
      <c r="Z4365" s="372">
        <v>0.0</v>
      </c>
    </row>
    <row r="4366">
      <c r="Y4366" s="372">
        <v>0.0</v>
      </c>
      <c r="Z4366" s="372">
        <v>0.0</v>
      </c>
    </row>
    <row r="4367">
      <c r="Y4367" s="372">
        <v>0.0</v>
      </c>
      <c r="Z4367" s="372">
        <v>0.0</v>
      </c>
    </row>
    <row r="4368">
      <c r="Y4368" s="372">
        <v>0.0</v>
      </c>
      <c r="Z4368" s="372">
        <v>0.0</v>
      </c>
    </row>
    <row r="4369">
      <c r="Y4369" s="372">
        <v>0.0</v>
      </c>
      <c r="Z4369" s="372">
        <v>0.0</v>
      </c>
    </row>
    <row r="4370">
      <c r="Y4370" s="372">
        <v>0.0</v>
      </c>
      <c r="Z4370" s="372">
        <v>0.0</v>
      </c>
    </row>
    <row r="4371">
      <c r="Y4371" s="372">
        <v>0.0</v>
      </c>
      <c r="Z4371" s="372">
        <v>0.0</v>
      </c>
    </row>
    <row r="4372">
      <c r="Y4372" s="372">
        <v>0.0</v>
      </c>
      <c r="Z4372" s="372">
        <v>0.0</v>
      </c>
    </row>
    <row r="4373">
      <c r="Y4373" s="372">
        <v>0.0</v>
      </c>
      <c r="Z4373" s="372">
        <v>0.0</v>
      </c>
    </row>
    <row r="4374">
      <c r="Y4374" s="372">
        <v>0.0</v>
      </c>
      <c r="Z4374" s="372">
        <v>0.0</v>
      </c>
    </row>
    <row r="4375">
      <c r="Y4375" s="372">
        <v>0.0</v>
      </c>
      <c r="Z4375" s="372">
        <v>0.0</v>
      </c>
    </row>
    <row r="4376">
      <c r="Y4376" s="372">
        <v>0.0</v>
      </c>
      <c r="Z4376" s="372">
        <v>0.0</v>
      </c>
    </row>
    <row r="4377">
      <c r="Y4377" s="372">
        <v>0.0</v>
      </c>
      <c r="Z4377" s="372">
        <v>0.0</v>
      </c>
    </row>
    <row r="4378">
      <c r="Y4378" s="372">
        <v>0.0</v>
      </c>
      <c r="Z4378" s="372">
        <v>0.0</v>
      </c>
    </row>
    <row r="4379">
      <c r="Y4379" s="372">
        <v>0.0</v>
      </c>
      <c r="Z4379" s="372">
        <v>0.0</v>
      </c>
    </row>
    <row r="4380">
      <c r="Y4380" s="372">
        <v>0.0</v>
      </c>
      <c r="Z4380" s="372">
        <v>0.0</v>
      </c>
    </row>
    <row r="4381">
      <c r="Y4381" s="372">
        <v>0.0</v>
      </c>
      <c r="Z4381" s="372">
        <v>0.0</v>
      </c>
    </row>
    <row r="4382">
      <c r="Y4382" s="372">
        <v>0.0</v>
      </c>
      <c r="Z4382" s="372">
        <v>0.0</v>
      </c>
    </row>
    <row r="4383">
      <c r="Y4383" s="372">
        <v>0.0</v>
      </c>
      <c r="Z4383" s="372">
        <v>0.0</v>
      </c>
    </row>
    <row r="4384">
      <c r="Y4384" s="372">
        <v>0.0</v>
      </c>
      <c r="Z4384" s="372">
        <v>0.0</v>
      </c>
    </row>
    <row r="4385">
      <c r="Y4385" s="372">
        <v>0.0</v>
      </c>
      <c r="Z4385" s="372">
        <v>0.0</v>
      </c>
    </row>
    <row r="4386">
      <c r="Y4386" s="372">
        <v>0.0</v>
      </c>
      <c r="Z4386" s="372">
        <v>0.0</v>
      </c>
    </row>
    <row r="4387">
      <c r="Y4387" s="372">
        <v>0.0</v>
      </c>
      <c r="Z4387" s="372">
        <v>0.0</v>
      </c>
    </row>
    <row r="4388">
      <c r="Y4388" s="372">
        <v>0.0</v>
      </c>
      <c r="Z4388" s="372">
        <v>0.0</v>
      </c>
    </row>
    <row r="4389">
      <c r="Y4389" s="372">
        <v>0.0</v>
      </c>
      <c r="Z4389" s="372">
        <v>0.0</v>
      </c>
    </row>
    <row r="4390">
      <c r="Y4390" s="372">
        <v>0.0</v>
      </c>
      <c r="Z4390" s="372">
        <v>0.0</v>
      </c>
    </row>
    <row r="4391">
      <c r="Y4391" s="372">
        <v>0.0</v>
      </c>
      <c r="Z4391" s="372">
        <v>0.0</v>
      </c>
    </row>
    <row r="4392">
      <c r="Y4392" s="372">
        <v>0.0</v>
      </c>
      <c r="Z4392" s="372">
        <v>0.0</v>
      </c>
    </row>
    <row r="4393">
      <c r="Y4393" s="372">
        <v>0.0</v>
      </c>
      <c r="Z4393" s="372">
        <v>0.0</v>
      </c>
    </row>
    <row r="4394">
      <c r="Y4394" s="372">
        <v>0.0</v>
      </c>
      <c r="Z4394" s="372">
        <v>0.0</v>
      </c>
    </row>
    <row r="4395">
      <c r="Y4395" s="372">
        <v>0.0</v>
      </c>
      <c r="Z4395" s="372">
        <v>0.0</v>
      </c>
    </row>
    <row r="4396">
      <c r="Y4396" s="372">
        <v>0.0</v>
      </c>
      <c r="Z4396" s="372">
        <v>0.0</v>
      </c>
    </row>
    <row r="4397">
      <c r="Y4397" s="372">
        <v>0.0</v>
      </c>
      <c r="Z4397" s="372">
        <v>0.0</v>
      </c>
    </row>
    <row r="4398">
      <c r="Y4398" s="372">
        <v>0.0</v>
      </c>
      <c r="Z4398" s="372">
        <v>0.0</v>
      </c>
    </row>
    <row r="4399">
      <c r="Y4399" s="372">
        <v>0.0</v>
      </c>
      <c r="Z4399" s="372">
        <v>0.0</v>
      </c>
    </row>
    <row r="4400">
      <c r="Y4400" s="372">
        <v>0.0</v>
      </c>
      <c r="Z4400" s="372">
        <v>0.0</v>
      </c>
    </row>
    <row r="4401">
      <c r="Y4401" s="372">
        <v>0.0</v>
      </c>
      <c r="Z4401" s="372">
        <v>0.0</v>
      </c>
    </row>
    <row r="4402">
      <c r="Y4402" s="372">
        <v>0.0</v>
      </c>
      <c r="Z4402" s="372">
        <v>0.0</v>
      </c>
    </row>
    <row r="4403">
      <c r="Y4403" s="372">
        <v>0.0</v>
      </c>
      <c r="Z4403" s="372">
        <v>0.0</v>
      </c>
    </row>
    <row r="4404">
      <c r="Y4404" s="372">
        <v>0.0</v>
      </c>
      <c r="Z4404" s="372">
        <v>0.0</v>
      </c>
    </row>
    <row r="4405">
      <c r="Y4405" s="372">
        <v>0.0</v>
      </c>
      <c r="Z4405" s="372">
        <v>0.0</v>
      </c>
    </row>
    <row r="4406">
      <c r="Y4406" s="372">
        <v>0.0</v>
      </c>
      <c r="Z4406" s="372">
        <v>0.0</v>
      </c>
    </row>
    <row r="4407">
      <c r="Y4407" s="372">
        <v>0.0</v>
      </c>
      <c r="Z4407" s="372">
        <v>0.0</v>
      </c>
    </row>
    <row r="4408">
      <c r="Y4408" s="372">
        <v>0.0</v>
      </c>
      <c r="Z4408" s="372">
        <v>0.0</v>
      </c>
    </row>
    <row r="4409">
      <c r="Y4409" s="372">
        <v>0.0</v>
      </c>
      <c r="Z4409" s="372">
        <v>0.0</v>
      </c>
    </row>
    <row r="4410">
      <c r="Y4410" s="372">
        <v>0.0</v>
      </c>
      <c r="Z4410" s="372">
        <v>0.0</v>
      </c>
    </row>
    <row r="4411">
      <c r="Y4411" s="372">
        <v>0.0</v>
      </c>
      <c r="Z4411" s="372">
        <v>0.0</v>
      </c>
    </row>
    <row r="4412">
      <c r="Y4412" s="372">
        <v>0.0</v>
      </c>
      <c r="Z4412" s="372">
        <v>0.0</v>
      </c>
    </row>
    <row r="4413">
      <c r="Y4413" s="372">
        <v>0.0</v>
      </c>
      <c r="Z4413" s="372">
        <v>0.0</v>
      </c>
    </row>
    <row r="4414">
      <c r="Y4414" s="372">
        <v>0.0</v>
      </c>
      <c r="Z4414" s="372">
        <v>0.0</v>
      </c>
    </row>
    <row r="4415">
      <c r="Y4415" s="372">
        <v>0.0</v>
      </c>
      <c r="Z4415" s="372">
        <v>0.0</v>
      </c>
    </row>
    <row r="4416">
      <c r="Y4416" s="372">
        <v>0.0</v>
      </c>
      <c r="Z4416" s="372">
        <v>0.0</v>
      </c>
    </row>
    <row r="4417">
      <c r="Y4417" s="372">
        <v>0.0</v>
      </c>
      <c r="Z4417" s="372">
        <v>0.0</v>
      </c>
    </row>
    <row r="4418">
      <c r="Y4418" s="372">
        <v>0.0</v>
      </c>
      <c r="Z4418" s="372">
        <v>0.0</v>
      </c>
    </row>
    <row r="4419">
      <c r="Y4419" s="372">
        <v>0.0</v>
      </c>
      <c r="Z4419" s="372">
        <v>0.0</v>
      </c>
    </row>
    <row r="4420">
      <c r="Y4420" s="372">
        <v>0.0</v>
      </c>
      <c r="Z4420" s="372">
        <v>0.0</v>
      </c>
    </row>
    <row r="4421">
      <c r="Y4421" s="372">
        <v>0.0</v>
      </c>
      <c r="Z4421" s="372">
        <v>0.0</v>
      </c>
    </row>
    <row r="4422">
      <c r="Y4422" s="372">
        <v>0.0</v>
      </c>
      <c r="Z4422" s="372">
        <v>0.0</v>
      </c>
    </row>
    <row r="4423">
      <c r="Y4423" s="372">
        <v>0.0</v>
      </c>
      <c r="Z4423" s="372">
        <v>0.0</v>
      </c>
    </row>
    <row r="4424">
      <c r="Y4424" s="372">
        <v>0.0</v>
      </c>
      <c r="Z4424" s="372">
        <v>0.0</v>
      </c>
    </row>
    <row r="4425">
      <c r="Y4425" s="372">
        <v>0.0</v>
      </c>
      <c r="Z4425" s="372">
        <v>0.0</v>
      </c>
    </row>
    <row r="4426">
      <c r="Y4426" s="372">
        <v>0.0</v>
      </c>
      <c r="Z4426" s="372">
        <v>0.0</v>
      </c>
    </row>
    <row r="4427">
      <c r="Y4427" s="372">
        <v>0.0</v>
      </c>
      <c r="Z4427" s="372">
        <v>0.0</v>
      </c>
    </row>
    <row r="4428">
      <c r="Y4428" s="372">
        <v>0.0</v>
      </c>
      <c r="Z4428" s="372">
        <v>0.0</v>
      </c>
    </row>
    <row r="4429">
      <c r="Y4429" s="372">
        <v>0.0</v>
      </c>
      <c r="Z4429" s="372">
        <v>0.0</v>
      </c>
    </row>
    <row r="4430">
      <c r="Y4430" s="372">
        <v>0.0</v>
      </c>
      <c r="Z4430" s="372">
        <v>0.0</v>
      </c>
    </row>
    <row r="4431">
      <c r="Y4431" s="372">
        <v>0.0</v>
      </c>
      <c r="Z4431" s="372">
        <v>0.0</v>
      </c>
    </row>
    <row r="4432">
      <c r="Y4432" s="372">
        <v>0.0</v>
      </c>
      <c r="Z4432" s="372">
        <v>0.0</v>
      </c>
    </row>
    <row r="4433">
      <c r="Y4433" s="372">
        <v>0.0</v>
      </c>
      <c r="Z4433" s="372">
        <v>0.0</v>
      </c>
    </row>
    <row r="4434">
      <c r="Y4434" s="372">
        <v>0.0</v>
      </c>
      <c r="Z4434" s="372">
        <v>0.0</v>
      </c>
    </row>
    <row r="4435">
      <c r="Y4435" s="372">
        <v>0.0</v>
      </c>
      <c r="Z4435" s="372">
        <v>0.0</v>
      </c>
    </row>
    <row r="4436">
      <c r="Y4436" s="372">
        <v>0.0</v>
      </c>
      <c r="Z4436" s="372">
        <v>0.0</v>
      </c>
    </row>
    <row r="4437">
      <c r="Y4437" s="372">
        <v>0.0</v>
      </c>
      <c r="Z4437" s="372">
        <v>0.0</v>
      </c>
    </row>
    <row r="4438">
      <c r="Y4438" s="372">
        <v>0.0</v>
      </c>
      <c r="Z4438" s="372">
        <v>0.0</v>
      </c>
    </row>
    <row r="4439">
      <c r="Y4439" s="372">
        <v>0.0</v>
      </c>
      <c r="Z4439" s="372">
        <v>0.0</v>
      </c>
    </row>
    <row r="4440">
      <c r="Y4440" s="372">
        <v>0.0</v>
      </c>
      <c r="Z4440" s="372">
        <v>0.0</v>
      </c>
    </row>
    <row r="4441">
      <c r="Y4441" s="372">
        <v>0.0</v>
      </c>
      <c r="Z4441" s="372">
        <v>0.0</v>
      </c>
    </row>
    <row r="4442">
      <c r="Y4442" s="372">
        <v>0.0</v>
      </c>
      <c r="Z4442" s="372">
        <v>0.0</v>
      </c>
    </row>
    <row r="4443">
      <c r="Y4443" s="372">
        <v>0.0</v>
      </c>
      <c r="Z4443" s="372">
        <v>0.0</v>
      </c>
    </row>
    <row r="4444">
      <c r="Y4444" s="372">
        <v>0.0</v>
      </c>
      <c r="Z4444" s="372">
        <v>0.0</v>
      </c>
    </row>
    <row r="4445">
      <c r="Y4445" s="372">
        <v>0.0</v>
      </c>
      <c r="Z4445" s="372">
        <v>0.0</v>
      </c>
    </row>
    <row r="4446">
      <c r="Y4446" s="372">
        <v>0.0</v>
      </c>
      <c r="Z4446" s="372">
        <v>0.0</v>
      </c>
    </row>
    <row r="4447">
      <c r="Y4447" s="372">
        <v>0.0</v>
      </c>
      <c r="Z4447" s="372">
        <v>0.0</v>
      </c>
    </row>
    <row r="4448">
      <c r="Y4448" s="372">
        <v>0.0</v>
      </c>
      <c r="Z4448" s="372">
        <v>0.0</v>
      </c>
    </row>
    <row r="4449">
      <c r="Y4449" s="372">
        <v>0.0</v>
      </c>
      <c r="Z4449" s="372">
        <v>0.0</v>
      </c>
    </row>
    <row r="4450">
      <c r="Y4450" s="372">
        <v>0.0</v>
      </c>
      <c r="Z4450" s="372">
        <v>0.0</v>
      </c>
    </row>
    <row r="4451">
      <c r="Y4451" s="372">
        <v>0.0</v>
      </c>
      <c r="Z4451" s="372">
        <v>0.0</v>
      </c>
    </row>
    <row r="4452">
      <c r="Y4452" s="372">
        <v>0.0</v>
      </c>
      <c r="Z4452" s="372">
        <v>0.0</v>
      </c>
    </row>
    <row r="4453">
      <c r="Y4453" s="372">
        <v>0.0</v>
      </c>
      <c r="Z4453" s="372">
        <v>0.0</v>
      </c>
    </row>
    <row r="4454">
      <c r="Y4454" s="372">
        <v>0.0</v>
      </c>
      <c r="Z4454" s="372">
        <v>0.0</v>
      </c>
    </row>
    <row r="4455">
      <c r="Y4455" s="372">
        <v>0.0</v>
      </c>
      <c r="Z4455" s="372">
        <v>0.0</v>
      </c>
    </row>
    <row r="4456">
      <c r="Y4456" s="372">
        <v>0.0</v>
      </c>
      <c r="Z4456" s="372">
        <v>0.0</v>
      </c>
    </row>
    <row r="4457">
      <c r="Y4457" s="372">
        <v>0.0</v>
      </c>
      <c r="Z4457" s="372">
        <v>0.0</v>
      </c>
    </row>
    <row r="4458">
      <c r="Y4458" s="372">
        <v>0.0</v>
      </c>
      <c r="Z4458" s="372">
        <v>0.0</v>
      </c>
    </row>
    <row r="4459">
      <c r="Y4459" s="372">
        <v>0.0</v>
      </c>
      <c r="Z4459" s="372">
        <v>0.0</v>
      </c>
    </row>
    <row r="4460">
      <c r="Y4460" s="372">
        <v>0.0</v>
      </c>
      <c r="Z4460" s="372">
        <v>0.0</v>
      </c>
    </row>
    <row r="4461">
      <c r="Y4461" s="372">
        <v>0.0</v>
      </c>
      <c r="Z4461" s="372">
        <v>0.0</v>
      </c>
    </row>
    <row r="4462">
      <c r="Y4462" s="372">
        <v>0.0</v>
      </c>
      <c r="Z4462" s="372">
        <v>0.0</v>
      </c>
    </row>
    <row r="4463">
      <c r="Y4463" s="372">
        <v>0.0</v>
      </c>
      <c r="Z4463" s="372">
        <v>0.0</v>
      </c>
    </row>
    <row r="4464">
      <c r="Y4464" s="372">
        <v>0.0</v>
      </c>
      <c r="Z4464" s="372">
        <v>0.0</v>
      </c>
    </row>
    <row r="4465">
      <c r="Y4465" s="372">
        <v>0.0</v>
      </c>
      <c r="Z4465" s="372">
        <v>0.0</v>
      </c>
    </row>
    <row r="4466">
      <c r="Y4466" s="372">
        <v>0.0</v>
      </c>
      <c r="Z4466" s="372">
        <v>0.0</v>
      </c>
    </row>
    <row r="4467">
      <c r="Y4467" s="372">
        <v>0.0</v>
      </c>
      <c r="Z4467" s="372">
        <v>0.0</v>
      </c>
    </row>
    <row r="4468">
      <c r="Y4468" s="372">
        <v>0.0</v>
      </c>
      <c r="Z4468" s="372">
        <v>0.0</v>
      </c>
    </row>
    <row r="4469">
      <c r="Y4469" s="372">
        <v>0.0</v>
      </c>
      <c r="Z4469" s="372">
        <v>0.0</v>
      </c>
    </row>
    <row r="4470">
      <c r="Y4470" s="372">
        <v>0.0</v>
      </c>
      <c r="Z4470" s="372">
        <v>0.0</v>
      </c>
    </row>
    <row r="4471">
      <c r="Y4471" s="372">
        <v>0.0</v>
      </c>
      <c r="Z4471" s="372">
        <v>0.0</v>
      </c>
    </row>
    <row r="4472">
      <c r="Y4472" s="372">
        <v>0.0</v>
      </c>
      <c r="Z4472" s="372">
        <v>0.0</v>
      </c>
    </row>
    <row r="4473">
      <c r="Y4473" s="372">
        <v>0.0</v>
      </c>
      <c r="Z4473" s="372">
        <v>0.0</v>
      </c>
    </row>
    <row r="4474">
      <c r="Y4474" s="372">
        <v>0.0</v>
      </c>
      <c r="Z4474" s="372">
        <v>0.0</v>
      </c>
    </row>
    <row r="4475">
      <c r="Y4475" s="372">
        <v>0.0</v>
      </c>
      <c r="Z4475" s="372">
        <v>0.0</v>
      </c>
    </row>
    <row r="4476">
      <c r="Y4476" s="372">
        <v>0.0</v>
      </c>
      <c r="Z4476" s="372">
        <v>0.0</v>
      </c>
    </row>
    <row r="4477">
      <c r="Y4477" s="372">
        <v>0.0</v>
      </c>
      <c r="Z4477" s="372">
        <v>0.0</v>
      </c>
    </row>
    <row r="4478">
      <c r="Y4478" s="372">
        <v>0.0</v>
      </c>
      <c r="Z4478" s="372">
        <v>0.0</v>
      </c>
    </row>
    <row r="4479">
      <c r="Y4479" s="372">
        <v>0.0</v>
      </c>
      <c r="Z4479" s="372">
        <v>0.0</v>
      </c>
    </row>
    <row r="4480">
      <c r="Y4480" s="372">
        <v>0.0</v>
      </c>
      <c r="Z4480" s="372">
        <v>0.0</v>
      </c>
    </row>
    <row r="4481">
      <c r="Y4481" s="372">
        <v>0.0</v>
      </c>
      <c r="Z4481" s="372">
        <v>0.0</v>
      </c>
    </row>
    <row r="4482">
      <c r="Y4482" s="372">
        <v>0.0</v>
      </c>
      <c r="Z4482" s="372">
        <v>0.0</v>
      </c>
    </row>
    <row r="4483">
      <c r="Y4483" s="372">
        <v>0.0</v>
      </c>
      <c r="Z4483" s="372">
        <v>0.0</v>
      </c>
    </row>
    <row r="4484">
      <c r="Y4484" s="372">
        <v>0.0</v>
      </c>
      <c r="Z4484" s="372">
        <v>0.0</v>
      </c>
    </row>
    <row r="4485">
      <c r="Y4485" s="372">
        <v>0.0</v>
      </c>
      <c r="Z4485" s="372">
        <v>0.0</v>
      </c>
    </row>
    <row r="4486">
      <c r="Y4486" s="372">
        <v>0.0</v>
      </c>
      <c r="Z4486" s="372">
        <v>0.0</v>
      </c>
    </row>
    <row r="4487">
      <c r="Y4487" s="372">
        <v>0.0</v>
      </c>
      <c r="Z4487" s="372">
        <v>0.0</v>
      </c>
    </row>
    <row r="4488">
      <c r="Y4488" s="372">
        <v>0.0</v>
      </c>
      <c r="Z4488" s="372">
        <v>0.0</v>
      </c>
    </row>
    <row r="4489">
      <c r="Y4489" s="372">
        <v>0.0</v>
      </c>
      <c r="Z4489" s="372">
        <v>0.0</v>
      </c>
    </row>
    <row r="4490">
      <c r="Y4490" s="372">
        <v>0.0</v>
      </c>
      <c r="Z4490" s="372">
        <v>0.0</v>
      </c>
    </row>
    <row r="4491">
      <c r="Y4491" s="372">
        <v>0.0</v>
      </c>
      <c r="Z4491" s="372">
        <v>0.0</v>
      </c>
    </row>
    <row r="4492">
      <c r="Y4492" s="372">
        <v>0.0</v>
      </c>
      <c r="Z4492" s="372">
        <v>0.0</v>
      </c>
    </row>
    <row r="4493">
      <c r="Y4493" s="372">
        <v>0.0</v>
      </c>
      <c r="Z4493" s="372">
        <v>0.0</v>
      </c>
    </row>
    <row r="4494">
      <c r="Y4494" s="372">
        <v>0.0</v>
      </c>
      <c r="Z4494" s="372">
        <v>0.0</v>
      </c>
    </row>
    <row r="4495">
      <c r="Y4495" s="372">
        <v>0.0</v>
      </c>
      <c r="Z4495" s="372">
        <v>0.0</v>
      </c>
    </row>
    <row r="4496">
      <c r="Y4496" s="372">
        <v>0.0</v>
      </c>
      <c r="Z4496" s="372">
        <v>0.0</v>
      </c>
    </row>
    <row r="4497">
      <c r="Y4497" s="372">
        <v>0.0</v>
      </c>
      <c r="Z4497" s="372">
        <v>0.0</v>
      </c>
    </row>
    <row r="4498">
      <c r="Y4498" s="372">
        <v>0.0</v>
      </c>
      <c r="Z4498" s="372">
        <v>0.0</v>
      </c>
    </row>
    <row r="4499">
      <c r="Y4499" s="372">
        <v>0.0</v>
      </c>
      <c r="Z4499" s="372">
        <v>0.0</v>
      </c>
    </row>
    <row r="4500">
      <c r="Y4500" s="372">
        <v>0.0</v>
      </c>
      <c r="Z4500" s="372">
        <v>0.0</v>
      </c>
    </row>
    <row r="4501">
      <c r="Y4501" s="372">
        <v>0.0</v>
      </c>
      <c r="Z4501" s="372">
        <v>0.0</v>
      </c>
    </row>
    <row r="4502">
      <c r="Y4502" s="372">
        <v>0.0</v>
      </c>
      <c r="Z4502" s="372">
        <v>0.0</v>
      </c>
    </row>
    <row r="4503">
      <c r="Y4503" s="372">
        <v>0.0</v>
      </c>
      <c r="Z4503" s="372">
        <v>0.0</v>
      </c>
    </row>
    <row r="4504">
      <c r="Y4504" s="372">
        <v>0.0</v>
      </c>
      <c r="Z4504" s="372">
        <v>0.0</v>
      </c>
    </row>
    <row r="4505">
      <c r="Y4505" s="372">
        <v>0.0</v>
      </c>
      <c r="Z4505" s="372">
        <v>0.0</v>
      </c>
    </row>
    <row r="4506">
      <c r="Y4506" s="372">
        <v>0.0</v>
      </c>
      <c r="Z4506" s="372">
        <v>0.0</v>
      </c>
    </row>
    <row r="4507">
      <c r="Y4507" s="372">
        <v>0.0</v>
      </c>
      <c r="Z4507" s="372">
        <v>0.0</v>
      </c>
    </row>
    <row r="4508">
      <c r="Y4508" s="372">
        <v>0.0</v>
      </c>
      <c r="Z4508" s="372">
        <v>0.0</v>
      </c>
    </row>
    <row r="4509">
      <c r="Y4509" s="372">
        <v>0.0</v>
      </c>
      <c r="Z4509" s="372">
        <v>0.0</v>
      </c>
    </row>
    <row r="4510">
      <c r="Y4510" s="372">
        <v>0.0</v>
      </c>
      <c r="Z4510" s="372">
        <v>0.0</v>
      </c>
    </row>
    <row r="4511">
      <c r="Y4511" s="372">
        <v>0.0</v>
      </c>
      <c r="Z4511" s="372">
        <v>0.0</v>
      </c>
    </row>
    <row r="4512">
      <c r="Y4512" s="372">
        <v>0.0</v>
      </c>
      <c r="Z4512" s="372">
        <v>0.0</v>
      </c>
    </row>
    <row r="4513">
      <c r="Y4513" s="372">
        <v>0.0</v>
      </c>
      <c r="Z4513" s="372">
        <v>0.0</v>
      </c>
    </row>
    <row r="4514">
      <c r="Y4514" s="372">
        <v>0.0</v>
      </c>
      <c r="Z4514" s="372">
        <v>0.0</v>
      </c>
    </row>
    <row r="4515">
      <c r="Y4515" s="372">
        <v>0.0</v>
      </c>
      <c r="Z4515" s="372">
        <v>0.0</v>
      </c>
    </row>
    <row r="4516">
      <c r="Y4516" s="372">
        <v>0.0</v>
      </c>
      <c r="Z4516" s="372">
        <v>0.0</v>
      </c>
    </row>
    <row r="4517">
      <c r="Y4517" s="372">
        <v>0.0</v>
      </c>
      <c r="Z4517" s="372">
        <v>0.0</v>
      </c>
    </row>
    <row r="4518">
      <c r="Y4518" s="372">
        <v>0.0</v>
      </c>
      <c r="Z4518" s="372">
        <v>0.0</v>
      </c>
    </row>
    <row r="4519">
      <c r="Y4519" s="372">
        <v>0.0</v>
      </c>
      <c r="Z4519" s="372">
        <v>0.0</v>
      </c>
    </row>
    <row r="4520">
      <c r="Y4520" s="372">
        <v>0.0</v>
      </c>
      <c r="Z4520" s="372">
        <v>0.0</v>
      </c>
    </row>
    <row r="4521">
      <c r="Y4521" s="372">
        <v>0.0</v>
      </c>
      <c r="Z4521" s="372">
        <v>0.0</v>
      </c>
    </row>
    <row r="4522">
      <c r="Y4522" s="372">
        <v>0.0</v>
      </c>
      <c r="Z4522" s="372">
        <v>0.0</v>
      </c>
    </row>
    <row r="4523">
      <c r="Y4523" s="372">
        <v>0.0</v>
      </c>
      <c r="Z4523" s="372">
        <v>0.0</v>
      </c>
    </row>
    <row r="4524">
      <c r="Y4524" s="372">
        <v>0.0</v>
      </c>
      <c r="Z4524" s="372">
        <v>0.0</v>
      </c>
    </row>
    <row r="4525">
      <c r="Y4525" s="372">
        <v>0.0</v>
      </c>
      <c r="Z4525" s="372">
        <v>0.0</v>
      </c>
    </row>
    <row r="4526">
      <c r="Y4526" s="372">
        <v>0.0</v>
      </c>
      <c r="Z4526" s="372">
        <v>0.0</v>
      </c>
    </row>
    <row r="4527">
      <c r="Y4527" s="372">
        <v>0.0</v>
      </c>
      <c r="Z4527" s="372">
        <v>0.0</v>
      </c>
    </row>
    <row r="4528">
      <c r="Y4528" s="372">
        <v>0.0</v>
      </c>
      <c r="Z4528" s="372">
        <v>0.0</v>
      </c>
    </row>
    <row r="4529">
      <c r="Y4529" s="372">
        <v>0.0</v>
      </c>
      <c r="Z4529" s="372">
        <v>0.0</v>
      </c>
    </row>
    <row r="4530">
      <c r="Y4530" s="372">
        <v>0.0</v>
      </c>
      <c r="Z4530" s="372">
        <v>0.0</v>
      </c>
    </row>
    <row r="4531">
      <c r="Y4531" s="372">
        <v>0.0</v>
      </c>
      <c r="Z4531" s="372">
        <v>0.0</v>
      </c>
    </row>
    <row r="4532">
      <c r="Y4532" s="372">
        <v>0.0</v>
      </c>
      <c r="Z4532" s="372">
        <v>0.0</v>
      </c>
    </row>
    <row r="4533">
      <c r="Y4533" s="372">
        <v>0.0</v>
      </c>
      <c r="Z4533" s="372">
        <v>0.0</v>
      </c>
    </row>
    <row r="4534">
      <c r="Y4534" s="372">
        <v>0.0</v>
      </c>
      <c r="Z4534" s="372">
        <v>0.0</v>
      </c>
    </row>
    <row r="4535">
      <c r="Y4535" s="372">
        <v>0.0</v>
      </c>
      <c r="Z4535" s="372">
        <v>0.0</v>
      </c>
    </row>
    <row r="4536">
      <c r="Y4536" s="372">
        <v>0.0</v>
      </c>
      <c r="Z4536" s="372">
        <v>0.0</v>
      </c>
    </row>
    <row r="4537">
      <c r="Y4537" s="372">
        <v>0.0</v>
      </c>
      <c r="Z4537" s="372">
        <v>0.0</v>
      </c>
    </row>
    <row r="4538">
      <c r="Y4538" s="372">
        <v>0.0</v>
      </c>
      <c r="Z4538" s="372">
        <v>0.0</v>
      </c>
    </row>
    <row r="4539">
      <c r="Y4539" s="372">
        <v>0.0</v>
      </c>
      <c r="Z4539" s="372">
        <v>0.0</v>
      </c>
    </row>
    <row r="4540">
      <c r="Y4540" s="372">
        <v>0.0</v>
      </c>
      <c r="Z4540" s="372">
        <v>0.0</v>
      </c>
    </row>
    <row r="4541">
      <c r="Y4541" s="372">
        <v>0.0</v>
      </c>
      <c r="Z4541" s="372">
        <v>0.0</v>
      </c>
    </row>
    <row r="4542">
      <c r="Y4542" s="372">
        <v>0.0</v>
      </c>
      <c r="Z4542" s="372">
        <v>0.0</v>
      </c>
    </row>
    <row r="4543">
      <c r="Y4543" s="372">
        <v>0.0</v>
      </c>
      <c r="Z4543" s="372">
        <v>0.0</v>
      </c>
    </row>
    <row r="4544">
      <c r="Y4544" s="372">
        <v>0.0</v>
      </c>
      <c r="Z4544" s="372">
        <v>0.0</v>
      </c>
    </row>
    <row r="4545">
      <c r="Y4545" s="372">
        <v>0.0</v>
      </c>
      <c r="Z4545" s="372">
        <v>0.0</v>
      </c>
    </row>
    <row r="4546">
      <c r="Y4546" s="372">
        <v>0.0</v>
      </c>
      <c r="Z4546" s="372">
        <v>0.0</v>
      </c>
    </row>
    <row r="4547">
      <c r="Y4547" s="372">
        <v>0.0</v>
      </c>
      <c r="Z4547" s="372">
        <v>0.0</v>
      </c>
    </row>
    <row r="4548">
      <c r="Y4548" s="372">
        <v>0.0</v>
      </c>
      <c r="Z4548" s="372">
        <v>0.0</v>
      </c>
    </row>
    <row r="4549">
      <c r="Y4549" s="372">
        <v>0.0</v>
      </c>
      <c r="Z4549" s="372">
        <v>0.0</v>
      </c>
    </row>
    <row r="4550">
      <c r="Y4550" s="372">
        <v>0.0</v>
      </c>
      <c r="Z4550" s="372">
        <v>0.0</v>
      </c>
    </row>
    <row r="4551">
      <c r="Y4551" s="372">
        <v>0.0</v>
      </c>
      <c r="Z4551" s="372">
        <v>0.0</v>
      </c>
    </row>
    <row r="4552">
      <c r="Y4552" s="372">
        <v>0.0</v>
      </c>
      <c r="Z4552" s="372">
        <v>0.0</v>
      </c>
    </row>
    <row r="4553">
      <c r="Y4553" s="372">
        <v>0.0</v>
      </c>
      <c r="Z4553" s="372">
        <v>0.0</v>
      </c>
    </row>
    <row r="4554">
      <c r="Y4554" s="372">
        <v>0.0</v>
      </c>
      <c r="Z4554" s="372">
        <v>0.0</v>
      </c>
    </row>
    <row r="4555">
      <c r="Y4555" s="372">
        <v>0.0</v>
      </c>
      <c r="Z4555" s="372">
        <v>0.0</v>
      </c>
    </row>
    <row r="4556">
      <c r="Y4556" s="372">
        <v>0.0</v>
      </c>
      <c r="Z4556" s="372">
        <v>0.0</v>
      </c>
    </row>
    <row r="4557">
      <c r="Y4557" s="372">
        <v>0.0</v>
      </c>
      <c r="Z4557" s="372">
        <v>0.0</v>
      </c>
    </row>
    <row r="4558">
      <c r="Y4558" s="372">
        <v>0.0</v>
      </c>
      <c r="Z4558" s="372">
        <v>0.0</v>
      </c>
    </row>
    <row r="4559">
      <c r="Y4559" s="372">
        <v>0.0</v>
      </c>
      <c r="Z4559" s="372">
        <v>0.0</v>
      </c>
    </row>
    <row r="4560">
      <c r="Y4560" s="372">
        <v>0.0</v>
      </c>
      <c r="Z4560" s="372">
        <v>0.0</v>
      </c>
    </row>
    <row r="4561">
      <c r="Y4561" s="372">
        <v>0.0</v>
      </c>
      <c r="Z4561" s="372">
        <v>0.0</v>
      </c>
    </row>
    <row r="4562">
      <c r="Y4562" s="372">
        <v>0.0</v>
      </c>
      <c r="Z4562" s="372">
        <v>0.0</v>
      </c>
    </row>
    <row r="4563">
      <c r="Y4563" s="372">
        <v>0.0</v>
      </c>
      <c r="Z4563" s="372">
        <v>0.0</v>
      </c>
    </row>
    <row r="4564">
      <c r="Y4564" s="372">
        <v>0.0</v>
      </c>
      <c r="Z4564" s="372">
        <v>0.0</v>
      </c>
    </row>
    <row r="4565">
      <c r="Y4565" s="372">
        <v>0.0</v>
      </c>
      <c r="Z4565" s="372">
        <v>0.0</v>
      </c>
    </row>
    <row r="4566">
      <c r="Y4566" s="372">
        <v>0.0</v>
      </c>
      <c r="Z4566" s="372">
        <v>0.0</v>
      </c>
    </row>
    <row r="4567">
      <c r="Y4567" s="372">
        <v>0.0</v>
      </c>
      <c r="Z4567" s="372">
        <v>0.0</v>
      </c>
    </row>
    <row r="4568">
      <c r="Y4568" s="372">
        <v>0.0</v>
      </c>
      <c r="Z4568" s="372">
        <v>0.0</v>
      </c>
    </row>
    <row r="4569">
      <c r="Y4569" s="372">
        <v>0.0</v>
      </c>
      <c r="Z4569" s="372">
        <v>0.0</v>
      </c>
    </row>
    <row r="4570">
      <c r="Y4570" s="372">
        <v>0.0</v>
      </c>
      <c r="Z4570" s="372">
        <v>0.0</v>
      </c>
    </row>
    <row r="4571">
      <c r="Y4571" s="372">
        <v>0.0</v>
      </c>
      <c r="Z4571" s="372">
        <v>0.0</v>
      </c>
    </row>
    <row r="4572">
      <c r="Y4572" s="372">
        <v>0.0</v>
      </c>
      <c r="Z4572" s="372">
        <v>0.0</v>
      </c>
    </row>
    <row r="4573">
      <c r="Y4573" s="372">
        <v>0.0</v>
      </c>
      <c r="Z4573" s="372">
        <v>0.0</v>
      </c>
    </row>
    <row r="4574">
      <c r="Y4574" s="372">
        <v>0.0</v>
      </c>
      <c r="Z4574" s="372">
        <v>0.0</v>
      </c>
    </row>
    <row r="4575">
      <c r="Y4575" s="372">
        <v>0.0</v>
      </c>
      <c r="Z4575" s="372">
        <v>0.0</v>
      </c>
    </row>
    <row r="4576">
      <c r="Y4576" s="372">
        <v>0.0</v>
      </c>
      <c r="Z4576" s="372">
        <v>0.0</v>
      </c>
    </row>
    <row r="4577">
      <c r="Y4577" s="372">
        <v>0.0</v>
      </c>
      <c r="Z4577" s="372">
        <v>0.0</v>
      </c>
    </row>
    <row r="4578">
      <c r="Y4578" s="372">
        <v>0.0</v>
      </c>
      <c r="Z4578" s="372">
        <v>0.0</v>
      </c>
    </row>
    <row r="4579">
      <c r="Y4579" s="372">
        <v>0.0</v>
      </c>
      <c r="Z4579" s="372">
        <v>0.0</v>
      </c>
    </row>
    <row r="4580">
      <c r="Y4580" s="372">
        <v>0.0</v>
      </c>
      <c r="Z4580" s="372">
        <v>0.0</v>
      </c>
    </row>
    <row r="4581">
      <c r="Y4581" s="372">
        <v>0.0</v>
      </c>
      <c r="Z4581" s="372">
        <v>0.0</v>
      </c>
    </row>
    <row r="4582">
      <c r="Y4582" s="372">
        <v>0.0</v>
      </c>
      <c r="Z4582" s="372">
        <v>0.0</v>
      </c>
    </row>
    <row r="4583">
      <c r="Y4583" s="372">
        <v>0.0</v>
      </c>
      <c r="Z4583" s="372">
        <v>0.0</v>
      </c>
    </row>
    <row r="4584">
      <c r="Y4584" s="372">
        <v>0.0</v>
      </c>
      <c r="Z4584" s="372">
        <v>0.0</v>
      </c>
    </row>
    <row r="4585">
      <c r="Y4585" s="372">
        <v>0.0</v>
      </c>
      <c r="Z4585" s="372">
        <v>0.0</v>
      </c>
    </row>
    <row r="4586">
      <c r="Y4586" s="372">
        <v>0.0</v>
      </c>
      <c r="Z4586" s="372">
        <v>0.0</v>
      </c>
    </row>
    <row r="4587">
      <c r="Y4587" s="372">
        <v>0.0</v>
      </c>
      <c r="Z4587" s="372">
        <v>0.0</v>
      </c>
    </row>
    <row r="4588">
      <c r="Y4588" s="372">
        <v>0.0</v>
      </c>
      <c r="Z4588" s="372">
        <v>0.0</v>
      </c>
    </row>
    <row r="4589">
      <c r="Y4589" s="372">
        <v>0.0</v>
      </c>
      <c r="Z4589" s="372">
        <v>0.0</v>
      </c>
    </row>
    <row r="4590">
      <c r="Y4590" s="372">
        <v>0.0</v>
      </c>
      <c r="Z4590" s="372">
        <v>0.0</v>
      </c>
    </row>
    <row r="4591">
      <c r="Y4591" s="372">
        <v>0.0</v>
      </c>
      <c r="Z4591" s="372">
        <v>0.0</v>
      </c>
    </row>
    <row r="4592">
      <c r="Y4592" s="372">
        <v>0.0</v>
      </c>
      <c r="Z4592" s="372">
        <v>0.0</v>
      </c>
    </row>
    <row r="4593">
      <c r="Y4593" s="372">
        <v>0.0</v>
      </c>
      <c r="Z4593" s="372">
        <v>0.0</v>
      </c>
    </row>
    <row r="4594">
      <c r="Y4594" s="372">
        <v>0.0</v>
      </c>
      <c r="Z4594" s="372">
        <v>0.0</v>
      </c>
    </row>
    <row r="4595">
      <c r="Y4595" s="372">
        <v>0.0</v>
      </c>
      <c r="Z4595" s="372">
        <v>0.0</v>
      </c>
    </row>
    <row r="4596">
      <c r="Y4596" s="372">
        <v>0.0</v>
      </c>
      <c r="Z4596" s="372">
        <v>0.0</v>
      </c>
    </row>
    <row r="4597">
      <c r="Y4597" s="372">
        <v>0.0</v>
      </c>
      <c r="Z4597" s="372">
        <v>0.0</v>
      </c>
    </row>
    <row r="4598">
      <c r="Y4598" s="372">
        <v>0.0</v>
      </c>
      <c r="Z4598" s="372">
        <v>0.0</v>
      </c>
    </row>
    <row r="4599">
      <c r="Y4599" s="372">
        <v>0.0</v>
      </c>
      <c r="Z4599" s="372">
        <v>0.0</v>
      </c>
    </row>
    <row r="4600">
      <c r="Y4600" s="372">
        <v>0.0</v>
      </c>
      <c r="Z4600" s="372">
        <v>0.0</v>
      </c>
    </row>
    <row r="4601">
      <c r="Y4601" s="372">
        <v>0.0</v>
      </c>
      <c r="Z4601" s="372">
        <v>0.0</v>
      </c>
    </row>
    <row r="4602">
      <c r="Y4602" s="372">
        <v>0.0</v>
      </c>
      <c r="Z4602" s="372">
        <v>0.0</v>
      </c>
    </row>
    <row r="4603">
      <c r="Y4603" s="372">
        <v>0.0</v>
      </c>
      <c r="Z4603" s="372">
        <v>0.0</v>
      </c>
    </row>
    <row r="4604">
      <c r="Y4604" s="372">
        <v>0.0</v>
      </c>
      <c r="Z4604" s="372">
        <v>0.0</v>
      </c>
    </row>
    <row r="4605">
      <c r="Y4605" s="372">
        <v>0.0</v>
      </c>
      <c r="Z4605" s="372">
        <v>0.0</v>
      </c>
    </row>
    <row r="4606">
      <c r="Y4606" s="372">
        <v>0.0</v>
      </c>
      <c r="Z4606" s="372">
        <v>0.0</v>
      </c>
    </row>
    <row r="4607">
      <c r="Y4607" s="372">
        <v>0.0</v>
      </c>
      <c r="Z4607" s="372">
        <v>0.0</v>
      </c>
    </row>
    <row r="4608">
      <c r="Y4608" s="372">
        <v>0.0</v>
      </c>
      <c r="Z4608" s="372">
        <v>0.0</v>
      </c>
    </row>
    <row r="4609">
      <c r="Y4609" s="372">
        <v>0.0</v>
      </c>
      <c r="Z4609" s="372">
        <v>0.0</v>
      </c>
    </row>
    <row r="4610">
      <c r="Y4610" s="372">
        <v>0.0</v>
      </c>
      <c r="Z4610" s="372">
        <v>0.0</v>
      </c>
    </row>
    <row r="4611">
      <c r="Y4611" s="372">
        <v>0.0</v>
      </c>
      <c r="Z4611" s="372">
        <v>0.0</v>
      </c>
    </row>
    <row r="4612">
      <c r="Y4612" s="372">
        <v>0.0</v>
      </c>
      <c r="Z4612" s="372">
        <v>0.0</v>
      </c>
    </row>
    <row r="4613">
      <c r="Y4613" s="372">
        <v>0.0</v>
      </c>
      <c r="Z4613" s="372">
        <v>0.0</v>
      </c>
    </row>
    <row r="4614">
      <c r="Y4614" s="372">
        <v>0.0</v>
      </c>
      <c r="Z4614" s="372">
        <v>0.0</v>
      </c>
    </row>
    <row r="4615">
      <c r="Y4615" s="372">
        <v>0.0</v>
      </c>
      <c r="Z4615" s="372">
        <v>0.0</v>
      </c>
    </row>
    <row r="4616">
      <c r="Y4616" s="372">
        <v>0.0</v>
      </c>
      <c r="Z4616" s="372">
        <v>0.0</v>
      </c>
    </row>
    <row r="4617">
      <c r="Y4617" s="372">
        <v>0.0</v>
      </c>
      <c r="Z4617" s="372">
        <v>0.0</v>
      </c>
    </row>
    <row r="4618">
      <c r="Y4618" s="372">
        <v>0.0</v>
      </c>
      <c r="Z4618" s="372">
        <v>0.0</v>
      </c>
    </row>
    <row r="4619">
      <c r="Y4619" s="372">
        <v>0.0</v>
      </c>
      <c r="Z4619" s="372">
        <v>0.0</v>
      </c>
    </row>
    <row r="4620">
      <c r="Y4620" s="372">
        <v>0.0</v>
      </c>
      <c r="Z4620" s="372">
        <v>0.0</v>
      </c>
    </row>
    <row r="4621">
      <c r="Y4621" s="372">
        <v>0.0</v>
      </c>
      <c r="Z4621" s="372">
        <v>0.0</v>
      </c>
    </row>
    <row r="4622">
      <c r="Y4622" s="372">
        <v>0.0</v>
      </c>
      <c r="Z4622" s="372">
        <v>0.0</v>
      </c>
    </row>
    <row r="4623">
      <c r="Y4623" s="372">
        <v>0.0</v>
      </c>
      <c r="Z4623" s="372">
        <v>0.0</v>
      </c>
    </row>
    <row r="4624">
      <c r="Y4624" s="372">
        <v>0.0</v>
      </c>
      <c r="Z4624" s="372">
        <v>0.0</v>
      </c>
    </row>
    <row r="4625">
      <c r="Y4625" s="372">
        <v>0.0</v>
      </c>
      <c r="Z4625" s="372">
        <v>0.0</v>
      </c>
    </row>
    <row r="4626">
      <c r="Y4626" s="372">
        <v>0.0</v>
      </c>
      <c r="Z4626" s="372">
        <v>0.0</v>
      </c>
    </row>
    <row r="4627">
      <c r="Y4627" s="372">
        <v>0.0</v>
      </c>
      <c r="Z4627" s="372">
        <v>0.0</v>
      </c>
    </row>
    <row r="4628">
      <c r="Y4628" s="372">
        <v>0.0</v>
      </c>
      <c r="Z4628" s="372">
        <v>0.0</v>
      </c>
    </row>
    <row r="4629">
      <c r="Y4629" s="372">
        <v>0.0</v>
      </c>
      <c r="Z4629" s="372">
        <v>0.0</v>
      </c>
    </row>
    <row r="4630">
      <c r="Y4630" s="372">
        <v>0.0</v>
      </c>
      <c r="Z4630" s="372">
        <v>0.0</v>
      </c>
    </row>
    <row r="4631">
      <c r="Y4631" s="372">
        <v>0.0</v>
      </c>
      <c r="Z4631" s="372">
        <v>0.0</v>
      </c>
    </row>
    <row r="4632">
      <c r="Y4632" s="372">
        <v>0.0</v>
      </c>
      <c r="Z4632" s="372">
        <v>0.0</v>
      </c>
    </row>
    <row r="4633">
      <c r="Y4633" s="372">
        <v>0.0</v>
      </c>
      <c r="Z4633" s="372">
        <v>0.0</v>
      </c>
    </row>
    <row r="4634">
      <c r="Y4634" s="372">
        <v>0.0</v>
      </c>
      <c r="Z4634" s="372">
        <v>0.0</v>
      </c>
    </row>
    <row r="4635">
      <c r="Y4635" s="372">
        <v>0.0</v>
      </c>
      <c r="Z4635" s="372">
        <v>0.0</v>
      </c>
    </row>
    <row r="4636">
      <c r="Y4636" s="372">
        <v>0.0</v>
      </c>
      <c r="Z4636" s="372">
        <v>0.0</v>
      </c>
    </row>
    <row r="4637">
      <c r="Y4637" s="372">
        <v>0.0</v>
      </c>
      <c r="Z4637" s="372">
        <v>0.0</v>
      </c>
    </row>
    <row r="4638">
      <c r="Y4638" s="372">
        <v>0.0</v>
      </c>
      <c r="Z4638" s="372">
        <v>0.0</v>
      </c>
    </row>
    <row r="4639">
      <c r="Y4639" s="372">
        <v>0.0</v>
      </c>
      <c r="Z4639" s="372">
        <v>0.0</v>
      </c>
    </row>
    <row r="4640">
      <c r="Y4640" s="372">
        <v>0.0</v>
      </c>
      <c r="Z4640" s="372">
        <v>0.0</v>
      </c>
    </row>
    <row r="4641">
      <c r="Y4641" s="372">
        <v>0.0</v>
      </c>
      <c r="Z4641" s="372">
        <v>0.0</v>
      </c>
    </row>
    <row r="4642">
      <c r="Y4642" s="372">
        <v>0.0</v>
      </c>
      <c r="Z4642" s="372">
        <v>0.0</v>
      </c>
    </row>
    <row r="4643">
      <c r="Y4643" s="372">
        <v>0.0</v>
      </c>
      <c r="Z4643" s="372">
        <v>0.0</v>
      </c>
    </row>
    <row r="4644">
      <c r="Y4644" s="372">
        <v>0.0</v>
      </c>
      <c r="Z4644" s="372">
        <v>0.0</v>
      </c>
    </row>
    <row r="4645">
      <c r="Y4645" s="372">
        <v>0.0</v>
      </c>
      <c r="Z4645" s="372">
        <v>0.0</v>
      </c>
    </row>
    <row r="4646">
      <c r="Y4646" s="372">
        <v>0.0</v>
      </c>
      <c r="Z4646" s="372">
        <v>0.0</v>
      </c>
    </row>
    <row r="4647">
      <c r="Y4647" s="372">
        <v>0.0</v>
      </c>
      <c r="Z4647" s="372">
        <v>0.0</v>
      </c>
    </row>
    <row r="4648">
      <c r="Y4648" s="372">
        <v>0.0</v>
      </c>
      <c r="Z4648" s="372">
        <v>0.0</v>
      </c>
    </row>
    <row r="4649">
      <c r="Y4649" s="372">
        <v>0.0</v>
      </c>
      <c r="Z4649" s="372">
        <v>0.0</v>
      </c>
    </row>
    <row r="4650">
      <c r="Y4650" s="372">
        <v>0.0</v>
      </c>
      <c r="Z4650" s="372">
        <v>0.0</v>
      </c>
    </row>
    <row r="4651">
      <c r="Y4651" s="372">
        <v>0.0</v>
      </c>
      <c r="Z4651" s="372">
        <v>0.0</v>
      </c>
    </row>
    <row r="4652">
      <c r="Y4652" s="372">
        <v>0.0</v>
      </c>
      <c r="Z4652" s="372">
        <v>0.0</v>
      </c>
    </row>
    <row r="4653">
      <c r="Y4653" s="372">
        <v>0.0</v>
      </c>
      <c r="Z4653" s="372">
        <v>0.0</v>
      </c>
    </row>
    <row r="4654">
      <c r="Y4654" s="372">
        <v>0.0</v>
      </c>
      <c r="Z4654" s="372">
        <v>0.0</v>
      </c>
    </row>
    <row r="4655">
      <c r="Y4655" s="372">
        <v>0.0</v>
      </c>
      <c r="Z4655" s="372">
        <v>0.0</v>
      </c>
    </row>
    <row r="4656">
      <c r="Y4656" s="372">
        <v>0.0</v>
      </c>
      <c r="Z4656" s="372">
        <v>0.0</v>
      </c>
    </row>
    <row r="4657">
      <c r="Y4657" s="372">
        <v>0.0</v>
      </c>
      <c r="Z4657" s="372">
        <v>0.0</v>
      </c>
    </row>
    <row r="4658">
      <c r="Y4658" s="372">
        <v>0.0</v>
      </c>
      <c r="Z4658" s="372">
        <v>0.0</v>
      </c>
    </row>
    <row r="4659">
      <c r="Y4659" s="372">
        <v>0.0</v>
      </c>
      <c r="Z4659" s="372">
        <v>0.0</v>
      </c>
    </row>
    <row r="4660">
      <c r="Y4660" s="372">
        <v>0.0</v>
      </c>
      <c r="Z4660" s="372">
        <v>0.0</v>
      </c>
    </row>
    <row r="4661">
      <c r="Y4661" s="372">
        <v>0.0</v>
      </c>
      <c r="Z4661" s="372">
        <v>0.0</v>
      </c>
    </row>
    <row r="4662">
      <c r="Y4662" s="372">
        <v>0.0</v>
      </c>
      <c r="Z4662" s="372">
        <v>0.0</v>
      </c>
    </row>
    <row r="4663">
      <c r="Y4663" s="372">
        <v>0.0</v>
      </c>
      <c r="Z4663" s="372">
        <v>0.0</v>
      </c>
    </row>
    <row r="4664">
      <c r="Y4664" s="372">
        <v>0.0</v>
      </c>
      <c r="Z4664" s="372">
        <v>0.0</v>
      </c>
    </row>
    <row r="4665">
      <c r="Y4665" s="372">
        <v>0.0</v>
      </c>
      <c r="Z4665" s="372">
        <v>0.0</v>
      </c>
    </row>
    <row r="4666">
      <c r="Y4666" s="372">
        <v>0.0</v>
      </c>
      <c r="Z4666" s="372">
        <v>0.0</v>
      </c>
    </row>
    <row r="4667">
      <c r="Y4667" s="372">
        <v>0.0</v>
      </c>
      <c r="Z4667" s="372">
        <v>0.0</v>
      </c>
    </row>
    <row r="4668">
      <c r="Y4668" s="372">
        <v>0.0</v>
      </c>
      <c r="Z4668" s="372">
        <v>0.0</v>
      </c>
    </row>
    <row r="4669">
      <c r="Y4669" s="372">
        <v>0.0</v>
      </c>
      <c r="Z4669" s="372">
        <v>0.0</v>
      </c>
    </row>
    <row r="4670">
      <c r="Y4670" s="372">
        <v>0.0</v>
      </c>
      <c r="Z4670" s="372">
        <v>0.0</v>
      </c>
    </row>
    <row r="4671">
      <c r="Y4671" s="372">
        <v>0.0</v>
      </c>
      <c r="Z4671" s="372">
        <v>0.0</v>
      </c>
    </row>
    <row r="4672">
      <c r="Y4672" s="372">
        <v>0.0</v>
      </c>
      <c r="Z4672" s="372">
        <v>0.0</v>
      </c>
    </row>
    <row r="4673">
      <c r="Y4673" s="372">
        <v>0.0</v>
      </c>
      <c r="Z4673" s="372">
        <v>0.0</v>
      </c>
    </row>
    <row r="4674">
      <c r="Y4674" s="372">
        <v>0.0</v>
      </c>
      <c r="Z4674" s="372">
        <v>0.0</v>
      </c>
    </row>
    <row r="4675">
      <c r="Y4675" s="372">
        <v>0.0</v>
      </c>
      <c r="Z4675" s="372">
        <v>0.0</v>
      </c>
    </row>
    <row r="4676">
      <c r="Y4676" s="372">
        <v>0.0</v>
      </c>
      <c r="Z4676" s="372">
        <v>0.0</v>
      </c>
    </row>
    <row r="4677">
      <c r="Y4677" s="372">
        <v>0.0</v>
      </c>
      <c r="Z4677" s="372">
        <v>0.0</v>
      </c>
    </row>
    <row r="4678">
      <c r="Y4678" s="372">
        <v>0.0</v>
      </c>
      <c r="Z4678" s="372">
        <v>0.0</v>
      </c>
    </row>
    <row r="4679">
      <c r="Y4679" s="372">
        <v>0.0</v>
      </c>
      <c r="Z4679" s="372">
        <v>0.0</v>
      </c>
    </row>
    <row r="4680">
      <c r="Y4680" s="372">
        <v>0.0</v>
      </c>
      <c r="Z4680" s="372">
        <v>0.0</v>
      </c>
    </row>
    <row r="4681">
      <c r="Y4681" s="372">
        <v>0.0</v>
      </c>
      <c r="Z4681" s="372">
        <v>0.0</v>
      </c>
    </row>
    <row r="4682">
      <c r="Y4682" s="372">
        <v>0.0</v>
      </c>
      <c r="Z4682" s="372">
        <v>0.0</v>
      </c>
    </row>
    <row r="4683">
      <c r="Y4683" s="372">
        <v>0.0</v>
      </c>
      <c r="Z4683" s="372">
        <v>0.0</v>
      </c>
    </row>
    <row r="4684">
      <c r="Y4684" s="372">
        <v>0.0</v>
      </c>
      <c r="Z4684" s="372">
        <v>0.0</v>
      </c>
    </row>
    <row r="4685">
      <c r="Y4685" s="372">
        <v>0.0</v>
      </c>
      <c r="Z4685" s="372">
        <v>0.0</v>
      </c>
    </row>
    <row r="4686">
      <c r="Y4686" s="372">
        <v>0.0</v>
      </c>
      <c r="Z4686" s="372">
        <v>0.0</v>
      </c>
    </row>
    <row r="4687">
      <c r="Y4687" s="372">
        <v>0.0</v>
      </c>
      <c r="Z4687" s="372">
        <v>0.0</v>
      </c>
    </row>
    <row r="4688">
      <c r="Y4688" s="372">
        <v>0.0</v>
      </c>
      <c r="Z4688" s="372">
        <v>0.0</v>
      </c>
    </row>
    <row r="4689">
      <c r="Y4689" s="372">
        <v>0.0</v>
      </c>
      <c r="Z4689" s="372">
        <v>0.0</v>
      </c>
    </row>
    <row r="4690">
      <c r="Y4690" s="372">
        <v>0.0</v>
      </c>
      <c r="Z4690" s="372">
        <v>0.0</v>
      </c>
    </row>
    <row r="4691">
      <c r="Y4691" s="372">
        <v>0.0</v>
      </c>
      <c r="Z4691" s="372">
        <v>0.0</v>
      </c>
    </row>
    <row r="4692">
      <c r="Y4692" s="372">
        <v>0.0</v>
      </c>
      <c r="Z4692" s="372">
        <v>0.0</v>
      </c>
    </row>
    <row r="4693">
      <c r="Y4693" s="372">
        <v>0.0</v>
      </c>
      <c r="Z4693" s="372">
        <v>0.0</v>
      </c>
    </row>
    <row r="4694">
      <c r="Y4694" s="372">
        <v>0.0</v>
      </c>
      <c r="Z4694" s="372">
        <v>0.0</v>
      </c>
    </row>
    <row r="4695">
      <c r="Y4695" s="372">
        <v>0.0</v>
      </c>
      <c r="Z4695" s="372">
        <v>0.0</v>
      </c>
    </row>
    <row r="4696">
      <c r="Y4696" s="372">
        <v>0.0</v>
      </c>
      <c r="Z4696" s="372">
        <v>0.0</v>
      </c>
    </row>
    <row r="4697">
      <c r="Y4697" s="372">
        <v>0.0</v>
      </c>
      <c r="Z4697" s="372">
        <v>0.0</v>
      </c>
    </row>
    <row r="4698">
      <c r="Y4698" s="372">
        <v>0.0</v>
      </c>
      <c r="Z4698" s="372">
        <v>0.0</v>
      </c>
    </row>
    <row r="4699">
      <c r="Y4699" s="372">
        <v>0.0</v>
      </c>
      <c r="Z4699" s="372">
        <v>0.0</v>
      </c>
    </row>
    <row r="4700">
      <c r="Y4700" s="372">
        <v>0.0</v>
      </c>
      <c r="Z4700" s="372">
        <v>0.0</v>
      </c>
    </row>
    <row r="4701">
      <c r="Y4701" s="372">
        <v>0.0</v>
      </c>
      <c r="Z4701" s="372">
        <v>0.0</v>
      </c>
    </row>
    <row r="4702">
      <c r="Y4702" s="372">
        <v>0.0</v>
      </c>
      <c r="Z4702" s="372">
        <v>0.0</v>
      </c>
    </row>
    <row r="4703">
      <c r="Y4703" s="372">
        <v>0.0</v>
      </c>
      <c r="Z4703" s="372">
        <v>0.0</v>
      </c>
    </row>
    <row r="4704">
      <c r="Y4704" s="372">
        <v>0.0</v>
      </c>
      <c r="Z4704" s="372">
        <v>0.0</v>
      </c>
    </row>
    <row r="4705">
      <c r="Y4705" s="372">
        <v>0.0</v>
      </c>
      <c r="Z4705" s="372">
        <v>0.0</v>
      </c>
    </row>
    <row r="4706">
      <c r="Y4706" s="372">
        <v>0.0</v>
      </c>
      <c r="Z4706" s="372">
        <v>0.0</v>
      </c>
    </row>
    <row r="4707">
      <c r="Y4707" s="372">
        <v>0.0</v>
      </c>
      <c r="Z4707" s="372">
        <v>0.0</v>
      </c>
    </row>
    <row r="4708">
      <c r="Y4708" s="372">
        <v>0.0</v>
      </c>
      <c r="Z4708" s="372">
        <v>0.0</v>
      </c>
    </row>
    <row r="4709">
      <c r="Y4709" s="372">
        <v>0.0</v>
      </c>
      <c r="Z4709" s="372">
        <v>0.0</v>
      </c>
    </row>
    <row r="4710">
      <c r="Y4710" s="372">
        <v>0.0</v>
      </c>
      <c r="Z4710" s="372">
        <v>0.0</v>
      </c>
    </row>
    <row r="4711">
      <c r="Y4711" s="372">
        <v>0.0</v>
      </c>
      <c r="Z4711" s="372">
        <v>0.0</v>
      </c>
    </row>
    <row r="4712">
      <c r="Y4712" s="372">
        <v>0.0</v>
      </c>
      <c r="Z4712" s="372">
        <v>0.0</v>
      </c>
    </row>
    <row r="4713">
      <c r="Y4713" s="372">
        <v>0.0</v>
      </c>
      <c r="Z4713" s="372">
        <v>0.0</v>
      </c>
    </row>
    <row r="4714">
      <c r="Y4714" s="372">
        <v>0.0</v>
      </c>
      <c r="Z4714" s="372">
        <v>0.0</v>
      </c>
    </row>
    <row r="4715">
      <c r="Y4715" s="372">
        <v>0.0</v>
      </c>
      <c r="Z4715" s="372">
        <v>0.0</v>
      </c>
    </row>
    <row r="4716">
      <c r="Y4716" s="372">
        <v>0.0</v>
      </c>
      <c r="Z4716" s="372">
        <v>0.0</v>
      </c>
    </row>
    <row r="4717">
      <c r="Y4717" s="372">
        <v>0.0</v>
      </c>
      <c r="Z4717" s="372">
        <v>0.0</v>
      </c>
    </row>
    <row r="4718">
      <c r="Y4718" s="372">
        <v>0.0</v>
      </c>
      <c r="Z4718" s="372">
        <v>0.0</v>
      </c>
    </row>
    <row r="4719">
      <c r="Y4719" s="372">
        <v>0.0</v>
      </c>
      <c r="Z4719" s="372">
        <v>0.0</v>
      </c>
    </row>
    <row r="4720">
      <c r="Y4720" s="372">
        <v>0.0</v>
      </c>
      <c r="Z4720" s="372">
        <v>0.0</v>
      </c>
    </row>
    <row r="4721">
      <c r="Y4721" s="372">
        <v>0.0</v>
      </c>
      <c r="Z4721" s="372">
        <v>0.0</v>
      </c>
    </row>
    <row r="4722">
      <c r="Y4722" s="372">
        <v>0.0</v>
      </c>
      <c r="Z4722" s="372">
        <v>0.0</v>
      </c>
    </row>
    <row r="4723">
      <c r="Y4723" s="372">
        <v>0.0</v>
      </c>
      <c r="Z4723" s="372">
        <v>0.0</v>
      </c>
    </row>
    <row r="4724">
      <c r="Y4724" s="372">
        <v>0.0</v>
      </c>
      <c r="Z4724" s="372">
        <v>0.0</v>
      </c>
    </row>
    <row r="4725">
      <c r="Y4725" s="372">
        <v>0.0</v>
      </c>
      <c r="Z4725" s="372">
        <v>0.0</v>
      </c>
    </row>
    <row r="4726">
      <c r="Y4726" s="372">
        <v>0.0</v>
      </c>
      <c r="Z4726" s="372">
        <v>0.0</v>
      </c>
    </row>
    <row r="4727">
      <c r="Y4727" s="372">
        <v>0.0</v>
      </c>
      <c r="Z4727" s="372">
        <v>0.0</v>
      </c>
    </row>
    <row r="4728">
      <c r="Y4728" s="372">
        <v>0.0</v>
      </c>
      <c r="Z4728" s="372">
        <v>0.0</v>
      </c>
    </row>
    <row r="4729">
      <c r="Y4729" s="372">
        <v>0.0</v>
      </c>
      <c r="Z4729" s="372">
        <v>0.0</v>
      </c>
    </row>
    <row r="4730">
      <c r="Y4730" s="372">
        <v>0.0</v>
      </c>
      <c r="Z4730" s="372">
        <v>0.0</v>
      </c>
    </row>
    <row r="4731">
      <c r="Y4731" s="372">
        <v>0.0</v>
      </c>
      <c r="Z4731" s="372">
        <v>0.0</v>
      </c>
    </row>
    <row r="4732">
      <c r="Y4732" s="372">
        <v>0.0</v>
      </c>
      <c r="Z4732" s="372">
        <v>0.0</v>
      </c>
    </row>
    <row r="4733">
      <c r="Y4733" s="372">
        <v>0.0</v>
      </c>
      <c r="Z4733" s="372">
        <v>0.0</v>
      </c>
    </row>
    <row r="4734">
      <c r="Y4734" s="372">
        <v>0.0</v>
      </c>
      <c r="Z4734" s="372">
        <v>0.0</v>
      </c>
    </row>
    <row r="4735">
      <c r="Y4735" s="372">
        <v>0.0</v>
      </c>
      <c r="Z4735" s="372">
        <v>0.0</v>
      </c>
    </row>
    <row r="4736">
      <c r="Y4736" s="372">
        <v>0.0</v>
      </c>
      <c r="Z4736" s="372">
        <v>0.0</v>
      </c>
    </row>
    <row r="4737">
      <c r="Y4737" s="372">
        <v>0.0</v>
      </c>
      <c r="Z4737" s="372">
        <v>0.0</v>
      </c>
    </row>
    <row r="4738">
      <c r="Y4738" s="372">
        <v>0.0</v>
      </c>
      <c r="Z4738" s="372">
        <v>0.0</v>
      </c>
    </row>
    <row r="4739">
      <c r="Y4739" s="372">
        <v>0.0</v>
      </c>
      <c r="Z4739" s="372">
        <v>0.0</v>
      </c>
    </row>
    <row r="4740">
      <c r="Y4740" s="372">
        <v>0.0</v>
      </c>
      <c r="Z4740" s="372">
        <v>0.0</v>
      </c>
    </row>
    <row r="4741">
      <c r="Y4741" s="372">
        <v>0.0</v>
      </c>
      <c r="Z4741" s="372">
        <v>0.0</v>
      </c>
    </row>
    <row r="4742">
      <c r="Y4742" s="372">
        <v>0.0</v>
      </c>
      <c r="Z4742" s="372">
        <v>0.0</v>
      </c>
    </row>
    <row r="4743">
      <c r="Y4743" s="372">
        <v>0.0</v>
      </c>
      <c r="Z4743" s="372">
        <v>0.0</v>
      </c>
    </row>
    <row r="4744">
      <c r="Y4744" s="372">
        <v>0.0</v>
      </c>
      <c r="Z4744" s="372">
        <v>0.0</v>
      </c>
    </row>
    <row r="4745">
      <c r="Y4745" s="372">
        <v>0.0</v>
      </c>
      <c r="Z4745" s="372">
        <v>0.0</v>
      </c>
    </row>
    <row r="4746">
      <c r="Y4746" s="372">
        <v>0.0</v>
      </c>
      <c r="Z4746" s="372">
        <v>0.0</v>
      </c>
    </row>
    <row r="4747">
      <c r="Y4747" s="372">
        <v>0.0</v>
      </c>
      <c r="Z4747" s="372">
        <v>0.0</v>
      </c>
    </row>
    <row r="4748">
      <c r="Y4748" s="372">
        <v>0.0</v>
      </c>
      <c r="Z4748" s="372">
        <v>0.0</v>
      </c>
    </row>
    <row r="4749">
      <c r="Y4749" s="372">
        <v>0.0</v>
      </c>
      <c r="Z4749" s="372">
        <v>0.0</v>
      </c>
    </row>
    <row r="4750">
      <c r="Y4750" s="372">
        <v>0.0</v>
      </c>
      <c r="Z4750" s="372">
        <v>0.0</v>
      </c>
    </row>
    <row r="4751">
      <c r="Y4751" s="372">
        <v>0.0</v>
      </c>
      <c r="Z4751" s="372">
        <v>0.0</v>
      </c>
    </row>
    <row r="4752">
      <c r="Y4752" s="372">
        <v>0.0</v>
      </c>
      <c r="Z4752" s="372">
        <v>0.0</v>
      </c>
    </row>
    <row r="4753">
      <c r="Y4753" s="372">
        <v>0.0</v>
      </c>
      <c r="Z4753" s="372">
        <v>0.0</v>
      </c>
    </row>
    <row r="4754">
      <c r="Y4754" s="372">
        <v>0.0</v>
      </c>
      <c r="Z4754" s="372">
        <v>0.0</v>
      </c>
    </row>
    <row r="4755">
      <c r="Y4755" s="372">
        <v>0.0</v>
      </c>
      <c r="Z4755" s="372">
        <v>0.0</v>
      </c>
    </row>
    <row r="4756">
      <c r="Y4756" s="372">
        <v>0.0</v>
      </c>
      <c r="Z4756" s="372">
        <v>0.0</v>
      </c>
    </row>
    <row r="4757">
      <c r="Y4757" s="372">
        <v>0.0</v>
      </c>
      <c r="Z4757" s="372">
        <v>0.0</v>
      </c>
    </row>
    <row r="4758">
      <c r="Y4758" s="372">
        <v>0.0</v>
      </c>
      <c r="Z4758" s="372">
        <v>0.0</v>
      </c>
    </row>
    <row r="4759">
      <c r="Y4759" s="372">
        <v>0.0</v>
      </c>
      <c r="Z4759" s="372">
        <v>0.0</v>
      </c>
    </row>
    <row r="4760">
      <c r="Y4760" s="372">
        <v>0.0</v>
      </c>
      <c r="Z4760" s="372">
        <v>0.0</v>
      </c>
    </row>
    <row r="4761">
      <c r="Y4761" s="372">
        <v>0.0</v>
      </c>
      <c r="Z4761" s="372">
        <v>0.0</v>
      </c>
    </row>
    <row r="4762">
      <c r="Y4762" s="372">
        <v>0.0</v>
      </c>
      <c r="Z4762" s="372">
        <v>0.0</v>
      </c>
    </row>
    <row r="4763">
      <c r="Y4763" s="372">
        <v>0.0</v>
      </c>
      <c r="Z4763" s="372">
        <v>0.0</v>
      </c>
    </row>
    <row r="4764">
      <c r="Y4764" s="372">
        <v>0.0</v>
      </c>
      <c r="Z4764" s="372">
        <v>0.0</v>
      </c>
    </row>
    <row r="4765">
      <c r="Y4765" s="372">
        <v>0.0</v>
      </c>
      <c r="Z4765" s="372">
        <v>0.0</v>
      </c>
    </row>
    <row r="4766">
      <c r="Y4766" s="372">
        <v>0.0</v>
      </c>
      <c r="Z4766" s="372">
        <v>0.0</v>
      </c>
    </row>
    <row r="4767">
      <c r="Y4767" s="372">
        <v>0.0</v>
      </c>
      <c r="Z4767" s="372">
        <v>0.0</v>
      </c>
    </row>
    <row r="4768">
      <c r="Y4768" s="372">
        <v>0.0</v>
      </c>
      <c r="Z4768" s="372">
        <v>0.0</v>
      </c>
    </row>
    <row r="4769">
      <c r="Y4769" s="372">
        <v>0.0</v>
      </c>
      <c r="Z4769" s="372">
        <v>0.0</v>
      </c>
    </row>
    <row r="4770">
      <c r="Y4770" s="372">
        <v>0.0</v>
      </c>
      <c r="Z4770" s="372">
        <v>0.0</v>
      </c>
    </row>
    <row r="4771">
      <c r="Y4771" s="372">
        <v>0.0</v>
      </c>
      <c r="Z4771" s="372">
        <v>0.0</v>
      </c>
    </row>
    <row r="4772">
      <c r="Y4772" s="372">
        <v>0.0</v>
      </c>
      <c r="Z4772" s="372">
        <v>0.0</v>
      </c>
    </row>
    <row r="4773">
      <c r="Y4773" s="372">
        <v>0.0</v>
      </c>
      <c r="Z4773" s="372">
        <v>0.0</v>
      </c>
    </row>
    <row r="4774">
      <c r="Y4774" s="372">
        <v>0.0</v>
      </c>
      <c r="Z4774" s="372">
        <v>0.0</v>
      </c>
    </row>
    <row r="4775">
      <c r="Y4775" s="372">
        <v>0.0</v>
      </c>
      <c r="Z4775" s="372">
        <v>0.0</v>
      </c>
    </row>
    <row r="4776">
      <c r="Y4776" s="372">
        <v>0.0</v>
      </c>
      <c r="Z4776" s="372">
        <v>0.0</v>
      </c>
    </row>
    <row r="4777">
      <c r="Y4777" s="372">
        <v>0.0</v>
      </c>
      <c r="Z4777" s="372">
        <v>0.0</v>
      </c>
    </row>
    <row r="4778">
      <c r="Y4778" s="372">
        <v>0.0</v>
      </c>
      <c r="Z4778" s="372">
        <v>0.0</v>
      </c>
    </row>
    <row r="4779">
      <c r="Y4779" s="372">
        <v>0.0</v>
      </c>
      <c r="Z4779" s="372">
        <v>0.0</v>
      </c>
    </row>
    <row r="4780">
      <c r="Y4780" s="372">
        <v>0.0</v>
      </c>
      <c r="Z4780" s="372">
        <v>0.0</v>
      </c>
    </row>
    <row r="4781">
      <c r="Y4781" s="372">
        <v>0.0</v>
      </c>
      <c r="Z4781" s="372">
        <v>0.0</v>
      </c>
    </row>
    <row r="4782">
      <c r="Y4782" s="372">
        <v>0.0</v>
      </c>
      <c r="Z4782" s="372">
        <v>0.0</v>
      </c>
    </row>
    <row r="4783">
      <c r="Y4783" s="372">
        <v>0.0</v>
      </c>
      <c r="Z4783" s="372">
        <v>0.0</v>
      </c>
    </row>
    <row r="4784">
      <c r="Y4784" s="372">
        <v>0.0</v>
      </c>
      <c r="Z4784" s="372">
        <v>0.0</v>
      </c>
    </row>
    <row r="4785">
      <c r="Y4785" s="372">
        <v>0.0</v>
      </c>
      <c r="Z4785" s="372">
        <v>0.0</v>
      </c>
    </row>
    <row r="4786">
      <c r="Y4786" s="372">
        <v>0.0</v>
      </c>
      <c r="Z4786" s="372">
        <v>0.0</v>
      </c>
    </row>
    <row r="4787">
      <c r="Y4787" s="372">
        <v>0.0</v>
      </c>
      <c r="Z4787" s="372">
        <v>0.0</v>
      </c>
    </row>
    <row r="4788">
      <c r="Y4788" s="372">
        <v>0.0</v>
      </c>
      <c r="Z4788" s="372">
        <v>0.0</v>
      </c>
    </row>
    <row r="4789">
      <c r="Y4789" s="372">
        <v>0.0</v>
      </c>
      <c r="Z4789" s="372">
        <v>0.0</v>
      </c>
    </row>
    <row r="4790">
      <c r="Y4790" s="372">
        <v>0.0</v>
      </c>
      <c r="Z4790" s="372">
        <v>0.0</v>
      </c>
    </row>
    <row r="4791">
      <c r="Y4791" s="372">
        <v>0.0</v>
      </c>
      <c r="Z4791" s="372">
        <v>0.0</v>
      </c>
    </row>
    <row r="4792">
      <c r="Y4792" s="372">
        <v>0.0</v>
      </c>
      <c r="Z4792" s="372">
        <v>0.0</v>
      </c>
    </row>
    <row r="4793">
      <c r="Y4793" s="372">
        <v>0.0</v>
      </c>
      <c r="Z4793" s="372">
        <v>0.0</v>
      </c>
    </row>
    <row r="4794">
      <c r="Y4794" s="372">
        <v>0.0</v>
      </c>
      <c r="Z4794" s="372">
        <v>0.0</v>
      </c>
    </row>
    <row r="4795">
      <c r="Y4795" s="372">
        <v>0.0</v>
      </c>
      <c r="Z4795" s="372">
        <v>0.0</v>
      </c>
    </row>
    <row r="4796">
      <c r="Y4796" s="372">
        <v>0.0</v>
      </c>
      <c r="Z4796" s="372">
        <v>0.0</v>
      </c>
    </row>
    <row r="4797">
      <c r="Y4797" s="372">
        <v>0.0</v>
      </c>
      <c r="Z4797" s="372">
        <v>0.0</v>
      </c>
    </row>
    <row r="4798">
      <c r="Y4798" s="372">
        <v>0.0</v>
      </c>
      <c r="Z4798" s="372">
        <v>0.0</v>
      </c>
    </row>
    <row r="4799">
      <c r="Y4799" s="372">
        <v>0.0</v>
      </c>
      <c r="Z4799" s="372">
        <v>0.0</v>
      </c>
    </row>
    <row r="4800">
      <c r="Y4800" s="372">
        <v>0.0</v>
      </c>
      <c r="Z4800" s="372">
        <v>0.0</v>
      </c>
    </row>
    <row r="4801">
      <c r="Y4801" s="372">
        <v>0.0</v>
      </c>
      <c r="Z4801" s="372">
        <v>0.0</v>
      </c>
    </row>
    <row r="4802">
      <c r="Y4802" s="372">
        <v>0.0</v>
      </c>
      <c r="Z4802" s="372">
        <v>0.0</v>
      </c>
    </row>
    <row r="4803">
      <c r="Y4803" s="372">
        <v>0.0</v>
      </c>
      <c r="Z4803" s="372">
        <v>0.0</v>
      </c>
    </row>
    <row r="4804">
      <c r="Y4804" s="372">
        <v>0.0</v>
      </c>
      <c r="Z4804" s="372">
        <v>0.0</v>
      </c>
    </row>
    <row r="4805">
      <c r="Y4805" s="372">
        <v>0.0</v>
      </c>
      <c r="Z4805" s="372">
        <v>0.0</v>
      </c>
    </row>
    <row r="4806">
      <c r="Y4806" s="372">
        <v>0.0</v>
      </c>
      <c r="Z4806" s="372">
        <v>0.0</v>
      </c>
    </row>
    <row r="4807">
      <c r="Y4807" s="372">
        <v>0.0</v>
      </c>
      <c r="Z4807" s="372">
        <v>0.0</v>
      </c>
    </row>
    <row r="4808">
      <c r="Y4808" s="372">
        <v>0.0</v>
      </c>
      <c r="Z4808" s="372">
        <v>0.0</v>
      </c>
    </row>
    <row r="4809">
      <c r="Y4809" s="372">
        <v>0.0</v>
      </c>
      <c r="Z4809" s="372">
        <v>0.0</v>
      </c>
    </row>
    <row r="4810">
      <c r="Y4810" s="372">
        <v>0.0</v>
      </c>
      <c r="Z4810" s="372">
        <v>0.0</v>
      </c>
    </row>
    <row r="4811">
      <c r="Y4811" s="372">
        <v>0.0</v>
      </c>
      <c r="Z4811" s="372">
        <v>0.0</v>
      </c>
    </row>
    <row r="4812">
      <c r="Y4812" s="372">
        <v>0.0</v>
      </c>
      <c r="Z4812" s="372">
        <v>0.0</v>
      </c>
    </row>
    <row r="4813">
      <c r="Y4813" s="372">
        <v>0.0</v>
      </c>
      <c r="Z4813" s="372">
        <v>0.0</v>
      </c>
    </row>
    <row r="4814">
      <c r="Y4814" s="372">
        <v>0.0</v>
      </c>
      <c r="Z4814" s="372">
        <v>0.0</v>
      </c>
    </row>
    <row r="4815">
      <c r="Y4815" s="372">
        <v>0.0</v>
      </c>
      <c r="Z4815" s="372">
        <v>0.0</v>
      </c>
    </row>
    <row r="4816">
      <c r="Y4816" s="372">
        <v>0.0</v>
      </c>
      <c r="Z4816" s="372">
        <v>0.0</v>
      </c>
    </row>
    <row r="4817">
      <c r="Y4817" s="372">
        <v>0.0</v>
      </c>
      <c r="Z4817" s="372">
        <v>0.0</v>
      </c>
    </row>
    <row r="4818">
      <c r="Y4818" s="372">
        <v>0.0</v>
      </c>
      <c r="Z4818" s="372">
        <v>0.0</v>
      </c>
    </row>
    <row r="4819">
      <c r="Y4819" s="372">
        <v>0.0</v>
      </c>
      <c r="Z4819" s="372">
        <v>0.0</v>
      </c>
    </row>
    <row r="4820">
      <c r="Y4820" s="372">
        <v>0.0</v>
      </c>
      <c r="Z4820" s="372">
        <v>0.0</v>
      </c>
    </row>
    <row r="4821">
      <c r="Y4821" s="372">
        <v>0.0</v>
      </c>
      <c r="Z4821" s="372">
        <v>0.0</v>
      </c>
    </row>
    <row r="4822">
      <c r="Y4822" s="372">
        <v>0.0</v>
      </c>
      <c r="Z4822" s="372">
        <v>0.0</v>
      </c>
    </row>
    <row r="4823">
      <c r="Y4823" s="372">
        <v>0.0</v>
      </c>
      <c r="Z4823" s="372">
        <v>0.0</v>
      </c>
    </row>
    <row r="4824">
      <c r="Y4824" s="372">
        <v>0.0</v>
      </c>
      <c r="Z4824" s="372">
        <v>0.0</v>
      </c>
    </row>
    <row r="4825">
      <c r="Y4825" s="372">
        <v>0.0</v>
      </c>
      <c r="Z4825" s="372">
        <v>0.0</v>
      </c>
    </row>
    <row r="4826">
      <c r="Y4826" s="372">
        <v>0.0</v>
      </c>
      <c r="Z4826" s="372">
        <v>0.0</v>
      </c>
    </row>
    <row r="4827">
      <c r="Y4827" s="372">
        <v>0.0</v>
      </c>
      <c r="Z4827" s="372">
        <v>0.0</v>
      </c>
    </row>
    <row r="4828">
      <c r="Y4828" s="372">
        <v>0.0</v>
      </c>
      <c r="Z4828" s="372">
        <v>0.0</v>
      </c>
    </row>
    <row r="4829">
      <c r="Y4829" s="372">
        <v>0.0</v>
      </c>
      <c r="Z4829" s="372">
        <v>0.0</v>
      </c>
    </row>
    <row r="4830">
      <c r="Y4830" s="372">
        <v>0.0</v>
      </c>
      <c r="Z4830" s="372">
        <v>0.0</v>
      </c>
    </row>
    <row r="4831">
      <c r="Y4831" s="372">
        <v>0.0</v>
      </c>
      <c r="Z4831" s="372">
        <v>0.0</v>
      </c>
    </row>
    <row r="4832">
      <c r="Y4832" s="372">
        <v>0.0</v>
      </c>
      <c r="Z4832" s="372">
        <v>0.0</v>
      </c>
    </row>
    <row r="4833">
      <c r="Y4833" s="372">
        <v>0.0</v>
      </c>
      <c r="Z4833" s="372">
        <v>0.0</v>
      </c>
    </row>
    <row r="4834">
      <c r="Y4834" s="372">
        <v>0.0</v>
      </c>
      <c r="Z4834" s="372">
        <v>0.0</v>
      </c>
    </row>
    <row r="4835">
      <c r="Y4835" s="372">
        <v>0.0</v>
      </c>
      <c r="Z4835" s="372">
        <v>0.0</v>
      </c>
    </row>
    <row r="4836">
      <c r="Y4836" s="372">
        <v>0.0</v>
      </c>
      <c r="Z4836" s="372">
        <v>0.0</v>
      </c>
    </row>
    <row r="4837">
      <c r="Y4837" s="372">
        <v>0.0</v>
      </c>
      <c r="Z4837" s="372">
        <v>0.0</v>
      </c>
    </row>
    <row r="4838">
      <c r="Y4838" s="372">
        <v>0.0</v>
      </c>
      <c r="Z4838" s="372">
        <v>0.0</v>
      </c>
    </row>
    <row r="4839">
      <c r="Y4839" s="372">
        <v>0.0</v>
      </c>
      <c r="Z4839" s="372">
        <v>0.0</v>
      </c>
    </row>
    <row r="4840">
      <c r="Y4840" s="372">
        <v>0.0</v>
      </c>
      <c r="Z4840" s="372">
        <v>0.0</v>
      </c>
    </row>
    <row r="4841">
      <c r="Y4841" s="372">
        <v>0.0</v>
      </c>
      <c r="Z4841" s="372">
        <v>0.0</v>
      </c>
    </row>
    <row r="4842">
      <c r="Y4842" s="372">
        <v>0.0</v>
      </c>
      <c r="Z4842" s="372">
        <v>0.0</v>
      </c>
    </row>
    <row r="4843">
      <c r="Y4843" s="372">
        <v>0.0</v>
      </c>
      <c r="Z4843" s="372">
        <v>0.0</v>
      </c>
    </row>
    <row r="4844">
      <c r="Y4844" s="372">
        <v>0.0</v>
      </c>
      <c r="Z4844" s="372">
        <v>0.0</v>
      </c>
    </row>
    <row r="4845">
      <c r="Y4845" s="372">
        <v>0.0</v>
      </c>
      <c r="Z4845" s="372">
        <v>0.0</v>
      </c>
    </row>
    <row r="4846">
      <c r="Y4846" s="372">
        <v>0.0</v>
      </c>
      <c r="Z4846" s="372">
        <v>0.0</v>
      </c>
    </row>
    <row r="4847">
      <c r="Y4847" s="372">
        <v>0.0</v>
      </c>
      <c r="Z4847" s="372">
        <v>0.0</v>
      </c>
    </row>
    <row r="4848">
      <c r="Y4848" s="372">
        <v>0.0</v>
      </c>
      <c r="Z4848" s="372">
        <v>0.0</v>
      </c>
    </row>
    <row r="4849">
      <c r="Y4849" s="372">
        <v>0.0</v>
      </c>
      <c r="Z4849" s="372">
        <v>0.0</v>
      </c>
    </row>
    <row r="4850">
      <c r="Y4850" s="372">
        <v>0.0</v>
      </c>
      <c r="Z4850" s="372">
        <v>0.0</v>
      </c>
    </row>
    <row r="4851">
      <c r="Y4851" s="372">
        <v>0.0</v>
      </c>
      <c r="Z4851" s="372">
        <v>0.0</v>
      </c>
    </row>
    <row r="4852">
      <c r="Y4852" s="372">
        <v>0.0</v>
      </c>
      <c r="Z4852" s="372">
        <v>0.0</v>
      </c>
    </row>
    <row r="4853">
      <c r="Y4853" s="372">
        <v>0.0</v>
      </c>
      <c r="Z4853" s="372">
        <v>0.0</v>
      </c>
    </row>
    <row r="4854">
      <c r="Y4854" s="372">
        <v>0.0</v>
      </c>
      <c r="Z4854" s="372">
        <v>0.0</v>
      </c>
    </row>
    <row r="4855">
      <c r="Y4855" s="372">
        <v>0.0</v>
      </c>
      <c r="Z4855" s="372">
        <v>0.0</v>
      </c>
    </row>
    <row r="4856">
      <c r="Y4856" s="372">
        <v>0.0</v>
      </c>
      <c r="Z4856" s="372">
        <v>0.0</v>
      </c>
    </row>
    <row r="4857">
      <c r="Y4857" s="372">
        <v>0.0</v>
      </c>
      <c r="Z4857" s="372">
        <v>0.0</v>
      </c>
    </row>
    <row r="4858">
      <c r="Y4858" s="372">
        <v>0.0</v>
      </c>
      <c r="Z4858" s="372">
        <v>0.0</v>
      </c>
    </row>
    <row r="4859">
      <c r="Y4859" s="372">
        <v>0.0</v>
      </c>
      <c r="Z4859" s="372">
        <v>0.0</v>
      </c>
    </row>
    <row r="4860">
      <c r="Y4860" s="372">
        <v>0.0</v>
      </c>
      <c r="Z4860" s="372">
        <v>0.0</v>
      </c>
    </row>
    <row r="4861">
      <c r="Y4861" s="372">
        <v>0.0</v>
      </c>
      <c r="Z4861" s="372">
        <v>0.0</v>
      </c>
    </row>
    <row r="4862">
      <c r="Y4862" s="372">
        <v>0.0</v>
      </c>
      <c r="Z4862" s="372">
        <v>0.0</v>
      </c>
    </row>
    <row r="4863">
      <c r="Y4863" s="372">
        <v>0.0</v>
      </c>
      <c r="Z4863" s="372">
        <v>0.0</v>
      </c>
    </row>
    <row r="4864">
      <c r="Y4864" s="372">
        <v>0.0</v>
      </c>
      <c r="Z4864" s="372">
        <v>0.0</v>
      </c>
    </row>
    <row r="4865">
      <c r="Y4865" s="372">
        <v>0.0</v>
      </c>
      <c r="Z4865" s="372">
        <v>0.0</v>
      </c>
    </row>
    <row r="4866">
      <c r="Y4866" s="372">
        <v>0.0</v>
      </c>
      <c r="Z4866" s="372">
        <v>0.0</v>
      </c>
    </row>
    <row r="4867">
      <c r="Y4867" s="372">
        <v>0.0</v>
      </c>
      <c r="Z4867" s="372">
        <v>0.0</v>
      </c>
    </row>
    <row r="4868">
      <c r="Y4868" s="372">
        <v>0.0</v>
      </c>
      <c r="Z4868" s="372">
        <v>0.0</v>
      </c>
    </row>
    <row r="4869">
      <c r="Y4869" s="372">
        <v>0.0</v>
      </c>
      <c r="Z4869" s="372">
        <v>0.0</v>
      </c>
    </row>
    <row r="4870">
      <c r="Y4870" s="372">
        <v>0.0</v>
      </c>
      <c r="Z4870" s="372">
        <v>0.0</v>
      </c>
    </row>
    <row r="4871">
      <c r="Y4871" s="372">
        <v>0.0</v>
      </c>
      <c r="Z4871" s="372">
        <v>0.0</v>
      </c>
    </row>
    <row r="4872">
      <c r="Y4872" s="372">
        <v>0.0</v>
      </c>
      <c r="Z4872" s="372">
        <v>0.0</v>
      </c>
    </row>
    <row r="4873">
      <c r="Y4873" s="372">
        <v>0.0</v>
      </c>
      <c r="Z4873" s="372">
        <v>0.0</v>
      </c>
    </row>
    <row r="4874">
      <c r="Y4874" s="372">
        <v>0.0</v>
      </c>
      <c r="Z4874" s="372">
        <v>0.0</v>
      </c>
    </row>
    <row r="4875">
      <c r="Y4875" s="372">
        <v>0.0</v>
      </c>
      <c r="Z4875" s="372">
        <v>0.0</v>
      </c>
    </row>
    <row r="4876">
      <c r="Y4876" s="372">
        <v>0.0</v>
      </c>
      <c r="Z4876" s="372">
        <v>0.0</v>
      </c>
    </row>
    <row r="4877">
      <c r="Y4877" s="372">
        <v>0.0</v>
      </c>
      <c r="Z4877" s="372">
        <v>0.0</v>
      </c>
    </row>
    <row r="4878">
      <c r="Y4878" s="372">
        <v>0.0</v>
      </c>
      <c r="Z4878" s="372">
        <v>0.0</v>
      </c>
    </row>
    <row r="4879">
      <c r="Y4879" s="372">
        <v>0.0</v>
      </c>
      <c r="Z4879" s="372">
        <v>0.0</v>
      </c>
    </row>
    <row r="4880">
      <c r="Y4880" s="372">
        <v>0.0</v>
      </c>
      <c r="Z4880" s="372">
        <v>0.0</v>
      </c>
    </row>
    <row r="4881">
      <c r="Y4881" s="372">
        <v>0.0</v>
      </c>
      <c r="Z4881" s="372">
        <v>0.0</v>
      </c>
    </row>
    <row r="4882">
      <c r="Y4882" s="372">
        <v>0.0</v>
      </c>
      <c r="Z4882" s="372">
        <v>0.0</v>
      </c>
    </row>
    <row r="4883">
      <c r="Y4883" s="372">
        <v>0.0</v>
      </c>
      <c r="Z4883" s="372">
        <v>0.0</v>
      </c>
    </row>
    <row r="4884">
      <c r="Y4884" s="372">
        <v>0.0</v>
      </c>
      <c r="Z4884" s="372">
        <v>0.0</v>
      </c>
    </row>
    <row r="4885">
      <c r="Y4885" s="372">
        <v>0.0</v>
      </c>
      <c r="Z4885" s="372">
        <v>0.0</v>
      </c>
    </row>
    <row r="4886">
      <c r="Y4886" s="372">
        <v>0.0</v>
      </c>
      <c r="Z4886" s="372">
        <v>0.0</v>
      </c>
    </row>
    <row r="4887">
      <c r="Y4887" s="372">
        <v>0.0</v>
      </c>
      <c r="Z4887" s="372">
        <v>0.0</v>
      </c>
    </row>
    <row r="4888">
      <c r="Y4888" s="372">
        <v>0.0</v>
      </c>
      <c r="Z4888" s="372">
        <v>0.0</v>
      </c>
    </row>
    <row r="4889">
      <c r="Y4889" s="372">
        <v>0.0</v>
      </c>
      <c r="Z4889" s="372">
        <v>0.0</v>
      </c>
    </row>
    <row r="4890">
      <c r="Y4890" s="372">
        <v>0.0</v>
      </c>
      <c r="Z4890" s="372">
        <v>0.0</v>
      </c>
    </row>
    <row r="4891">
      <c r="Y4891" s="372">
        <v>0.0</v>
      </c>
      <c r="Z4891" s="372">
        <v>0.0</v>
      </c>
    </row>
    <row r="4892">
      <c r="Y4892" s="372">
        <v>0.0</v>
      </c>
      <c r="Z4892" s="372">
        <v>0.0</v>
      </c>
    </row>
    <row r="4893">
      <c r="Y4893" s="372">
        <v>0.0</v>
      </c>
      <c r="Z4893" s="372">
        <v>0.0</v>
      </c>
    </row>
    <row r="4894">
      <c r="Y4894" s="372">
        <v>0.0</v>
      </c>
      <c r="Z4894" s="372">
        <v>0.0</v>
      </c>
    </row>
    <row r="4895">
      <c r="Y4895" s="372">
        <v>0.0</v>
      </c>
      <c r="Z4895" s="372">
        <v>0.0</v>
      </c>
    </row>
    <row r="4896">
      <c r="Y4896" s="372">
        <v>0.0</v>
      </c>
      <c r="Z4896" s="372">
        <v>0.0</v>
      </c>
    </row>
    <row r="4897">
      <c r="Y4897" s="372">
        <v>0.0</v>
      </c>
      <c r="Z4897" s="372">
        <v>0.0</v>
      </c>
    </row>
    <row r="4898">
      <c r="Y4898" s="372">
        <v>0.0</v>
      </c>
      <c r="Z4898" s="372">
        <v>0.0</v>
      </c>
    </row>
    <row r="4899">
      <c r="Y4899" s="372">
        <v>0.0</v>
      </c>
      <c r="Z4899" s="372">
        <v>0.0</v>
      </c>
    </row>
    <row r="4900">
      <c r="Y4900" s="372">
        <v>0.0</v>
      </c>
      <c r="Z4900" s="372">
        <v>0.0</v>
      </c>
    </row>
    <row r="4901">
      <c r="Y4901" s="372">
        <v>0.0</v>
      </c>
      <c r="Z4901" s="372">
        <v>0.0</v>
      </c>
    </row>
    <row r="4902">
      <c r="Y4902" s="372">
        <v>0.0</v>
      </c>
      <c r="Z4902" s="372">
        <v>0.0</v>
      </c>
    </row>
    <row r="4903">
      <c r="Y4903" s="372">
        <v>0.0</v>
      </c>
      <c r="Z4903" s="372">
        <v>0.0</v>
      </c>
    </row>
    <row r="4904">
      <c r="Y4904" s="372">
        <v>0.0</v>
      </c>
      <c r="Z4904" s="372">
        <v>0.0</v>
      </c>
    </row>
    <row r="4905">
      <c r="Y4905" s="372">
        <v>0.0</v>
      </c>
      <c r="Z4905" s="372">
        <v>0.0</v>
      </c>
    </row>
    <row r="4906">
      <c r="Y4906" s="372">
        <v>0.0</v>
      </c>
      <c r="Z4906" s="372">
        <v>0.0</v>
      </c>
    </row>
    <row r="4907">
      <c r="Y4907" s="372">
        <v>0.0</v>
      </c>
      <c r="Z4907" s="372">
        <v>0.0</v>
      </c>
    </row>
    <row r="4908">
      <c r="Y4908" s="372">
        <v>0.0</v>
      </c>
      <c r="Z4908" s="372">
        <v>0.0</v>
      </c>
    </row>
    <row r="4909">
      <c r="Y4909" s="372">
        <v>0.0</v>
      </c>
      <c r="Z4909" s="372">
        <v>0.0</v>
      </c>
    </row>
    <row r="4910">
      <c r="Y4910" s="372">
        <v>0.0</v>
      </c>
      <c r="Z4910" s="372">
        <v>0.0</v>
      </c>
    </row>
    <row r="4911">
      <c r="Y4911" s="372">
        <v>0.0</v>
      </c>
      <c r="Z4911" s="372">
        <v>0.0</v>
      </c>
    </row>
    <row r="4912">
      <c r="Y4912" s="372">
        <v>0.0</v>
      </c>
      <c r="Z4912" s="372">
        <v>0.0</v>
      </c>
    </row>
    <row r="4913">
      <c r="Y4913" s="372">
        <v>0.0</v>
      </c>
      <c r="Z4913" s="372">
        <v>0.0</v>
      </c>
    </row>
    <row r="4914">
      <c r="Y4914" s="372">
        <v>0.0</v>
      </c>
      <c r="Z4914" s="372">
        <v>0.0</v>
      </c>
    </row>
    <row r="4915">
      <c r="Y4915" s="372">
        <v>0.0</v>
      </c>
      <c r="Z4915" s="372">
        <v>0.0</v>
      </c>
    </row>
    <row r="4916">
      <c r="Y4916" s="372">
        <v>0.0</v>
      </c>
      <c r="Z4916" s="372">
        <v>0.0</v>
      </c>
    </row>
    <row r="4917">
      <c r="Y4917" s="372">
        <v>0.0</v>
      </c>
      <c r="Z4917" s="372">
        <v>0.0</v>
      </c>
    </row>
    <row r="4918">
      <c r="Y4918" s="372">
        <v>0.0</v>
      </c>
      <c r="Z4918" s="372">
        <v>0.0</v>
      </c>
    </row>
    <row r="4919">
      <c r="Y4919" s="372">
        <v>0.0</v>
      </c>
      <c r="Z4919" s="372">
        <v>0.0</v>
      </c>
    </row>
    <row r="4920">
      <c r="Y4920" s="372">
        <v>0.0</v>
      </c>
      <c r="Z4920" s="372">
        <v>0.0</v>
      </c>
    </row>
    <row r="4921">
      <c r="Y4921" s="372">
        <v>0.0</v>
      </c>
      <c r="Z4921" s="372">
        <v>0.0</v>
      </c>
    </row>
    <row r="4922">
      <c r="Y4922" s="372">
        <v>0.0</v>
      </c>
      <c r="Z4922" s="372">
        <v>0.0</v>
      </c>
    </row>
    <row r="4923">
      <c r="Y4923" s="372">
        <v>0.0</v>
      </c>
      <c r="Z4923" s="372">
        <v>0.0</v>
      </c>
    </row>
    <row r="4924">
      <c r="Y4924" s="372">
        <v>0.0</v>
      </c>
      <c r="Z4924" s="372">
        <v>0.0</v>
      </c>
    </row>
    <row r="4925">
      <c r="Y4925" s="372">
        <v>0.0</v>
      </c>
      <c r="Z4925" s="372">
        <v>0.0</v>
      </c>
    </row>
    <row r="4926">
      <c r="Y4926" s="372">
        <v>0.0</v>
      </c>
      <c r="Z4926" s="372">
        <v>0.0</v>
      </c>
    </row>
    <row r="4927">
      <c r="Y4927" s="372">
        <v>0.0</v>
      </c>
      <c r="Z4927" s="372">
        <v>0.0</v>
      </c>
    </row>
    <row r="4928">
      <c r="Y4928" s="372">
        <v>0.0</v>
      </c>
      <c r="Z4928" s="372">
        <v>0.0</v>
      </c>
    </row>
    <row r="4929">
      <c r="Y4929" s="372">
        <v>0.0</v>
      </c>
      <c r="Z4929" s="372">
        <v>0.0</v>
      </c>
    </row>
    <row r="4930">
      <c r="Y4930" s="372">
        <v>0.0</v>
      </c>
      <c r="Z4930" s="372">
        <v>0.0</v>
      </c>
    </row>
    <row r="4931">
      <c r="Y4931" s="372">
        <v>0.0</v>
      </c>
      <c r="Z4931" s="372">
        <v>0.0</v>
      </c>
    </row>
    <row r="4932">
      <c r="Y4932" s="372">
        <v>0.0</v>
      </c>
      <c r="Z4932" s="372">
        <v>0.0</v>
      </c>
    </row>
    <row r="4933">
      <c r="Y4933" s="372">
        <v>0.0</v>
      </c>
      <c r="Z4933" s="372">
        <v>0.0</v>
      </c>
    </row>
    <row r="4934">
      <c r="Y4934" s="372">
        <v>0.0</v>
      </c>
      <c r="Z4934" s="372">
        <v>0.0</v>
      </c>
    </row>
    <row r="4935">
      <c r="Y4935" s="372">
        <v>0.0</v>
      </c>
      <c r="Z4935" s="372">
        <v>0.0</v>
      </c>
    </row>
    <row r="4936">
      <c r="Y4936" s="372">
        <v>0.0</v>
      </c>
      <c r="Z4936" s="372">
        <v>0.0</v>
      </c>
    </row>
    <row r="4937">
      <c r="Y4937" s="372">
        <v>0.0</v>
      </c>
      <c r="Z4937" s="372">
        <v>0.0</v>
      </c>
    </row>
    <row r="4938">
      <c r="Y4938" s="372">
        <v>0.0</v>
      </c>
      <c r="Z4938" s="372">
        <v>0.0</v>
      </c>
    </row>
    <row r="4939">
      <c r="Y4939" s="372">
        <v>0.0</v>
      </c>
      <c r="Z4939" s="372">
        <v>0.0</v>
      </c>
    </row>
    <row r="4940">
      <c r="Y4940" s="372">
        <v>0.0</v>
      </c>
      <c r="Z4940" s="372">
        <v>0.0</v>
      </c>
    </row>
    <row r="4941">
      <c r="Y4941" s="372">
        <v>0.0</v>
      </c>
      <c r="Z4941" s="372">
        <v>0.0</v>
      </c>
    </row>
    <row r="4942">
      <c r="Y4942" s="372">
        <v>0.0</v>
      </c>
      <c r="Z4942" s="372">
        <v>0.0</v>
      </c>
    </row>
    <row r="4943">
      <c r="Y4943" s="372">
        <v>0.0</v>
      </c>
      <c r="Z4943" s="372">
        <v>0.0</v>
      </c>
    </row>
    <row r="4944">
      <c r="Y4944" s="372">
        <v>0.0</v>
      </c>
      <c r="Z4944" s="372">
        <v>0.0</v>
      </c>
    </row>
    <row r="4945">
      <c r="Y4945" s="372">
        <v>0.0</v>
      </c>
      <c r="Z4945" s="372">
        <v>0.0</v>
      </c>
    </row>
    <row r="4946">
      <c r="Y4946" s="372">
        <v>0.0</v>
      </c>
      <c r="Z4946" s="372">
        <v>0.0</v>
      </c>
    </row>
    <row r="4947">
      <c r="Y4947" s="372">
        <v>0.0</v>
      </c>
      <c r="Z4947" s="372">
        <v>0.0</v>
      </c>
    </row>
    <row r="4948">
      <c r="Y4948" s="372">
        <v>0.0</v>
      </c>
      <c r="Z4948" s="372">
        <v>0.0</v>
      </c>
    </row>
    <row r="4949">
      <c r="Y4949" s="372">
        <v>0.0</v>
      </c>
      <c r="Z4949" s="372">
        <v>0.0</v>
      </c>
    </row>
    <row r="4950">
      <c r="Y4950" s="372">
        <v>0.0</v>
      </c>
      <c r="Z4950" s="372">
        <v>0.0</v>
      </c>
    </row>
    <row r="4951">
      <c r="Y4951" s="372">
        <v>0.0</v>
      </c>
      <c r="Z4951" s="372">
        <v>0.0</v>
      </c>
    </row>
    <row r="4952">
      <c r="Y4952" s="372">
        <v>0.0</v>
      </c>
      <c r="Z4952" s="372">
        <v>0.0</v>
      </c>
    </row>
    <row r="4953">
      <c r="Y4953" s="372">
        <v>0.0</v>
      </c>
      <c r="Z4953" s="372">
        <v>0.0</v>
      </c>
    </row>
    <row r="4954">
      <c r="Y4954" s="372">
        <v>0.0</v>
      </c>
      <c r="Z4954" s="372">
        <v>0.0</v>
      </c>
    </row>
    <row r="4955">
      <c r="Y4955" s="372">
        <v>0.0</v>
      </c>
      <c r="Z4955" s="372">
        <v>0.0</v>
      </c>
    </row>
    <row r="4956">
      <c r="Y4956" s="372">
        <v>0.0</v>
      </c>
      <c r="Z4956" s="372">
        <v>0.0</v>
      </c>
    </row>
    <row r="4957">
      <c r="Y4957" s="372">
        <v>0.0</v>
      </c>
      <c r="Z4957" s="372">
        <v>0.0</v>
      </c>
    </row>
    <row r="4958">
      <c r="Y4958" s="372">
        <v>0.0</v>
      </c>
      <c r="Z4958" s="372">
        <v>0.0</v>
      </c>
    </row>
    <row r="4959">
      <c r="Y4959" s="372">
        <v>0.0</v>
      </c>
      <c r="Z4959" s="372">
        <v>0.0</v>
      </c>
    </row>
    <row r="4960">
      <c r="Y4960" s="372">
        <v>0.0</v>
      </c>
      <c r="Z4960" s="372">
        <v>0.0</v>
      </c>
    </row>
    <row r="4961">
      <c r="Y4961" s="372">
        <v>0.0</v>
      </c>
      <c r="Z4961" s="372">
        <v>0.0</v>
      </c>
    </row>
    <row r="4962">
      <c r="Y4962" s="372">
        <v>0.0</v>
      </c>
      <c r="Z4962" s="372">
        <v>0.0</v>
      </c>
    </row>
    <row r="4963">
      <c r="Y4963" s="372">
        <v>0.0</v>
      </c>
      <c r="Z4963" s="372">
        <v>0.0</v>
      </c>
    </row>
    <row r="4964">
      <c r="Y4964" s="372">
        <v>0.0</v>
      </c>
      <c r="Z4964" s="372">
        <v>0.0</v>
      </c>
    </row>
    <row r="4965">
      <c r="Y4965" s="372">
        <v>0.0</v>
      </c>
      <c r="Z4965" s="372">
        <v>0.0</v>
      </c>
    </row>
    <row r="4966">
      <c r="Y4966" s="372">
        <v>0.0</v>
      </c>
      <c r="Z4966" s="372">
        <v>0.0</v>
      </c>
    </row>
    <row r="4967">
      <c r="Y4967" s="372">
        <v>0.0</v>
      </c>
      <c r="Z4967" s="372">
        <v>0.0</v>
      </c>
    </row>
    <row r="4968">
      <c r="Y4968" s="372">
        <v>0.0</v>
      </c>
      <c r="Z4968" s="372">
        <v>0.0</v>
      </c>
    </row>
    <row r="4969">
      <c r="Y4969" s="372">
        <v>0.0</v>
      </c>
      <c r="Z4969" s="372">
        <v>0.0</v>
      </c>
    </row>
    <row r="4970">
      <c r="Y4970" s="372">
        <v>0.0</v>
      </c>
      <c r="Z4970" s="372">
        <v>0.0</v>
      </c>
    </row>
    <row r="4971">
      <c r="Y4971" s="372">
        <v>0.0</v>
      </c>
      <c r="Z4971" s="372">
        <v>0.0</v>
      </c>
    </row>
    <row r="4972">
      <c r="Y4972" s="372">
        <v>0.0</v>
      </c>
      <c r="Z4972" s="372">
        <v>0.0</v>
      </c>
    </row>
    <row r="4973">
      <c r="Y4973" s="372">
        <v>0.0</v>
      </c>
      <c r="Z4973" s="372">
        <v>0.0</v>
      </c>
    </row>
    <row r="4974">
      <c r="Y4974" s="372">
        <v>0.0</v>
      </c>
      <c r="Z4974" s="372">
        <v>0.0</v>
      </c>
    </row>
    <row r="4975">
      <c r="Y4975" s="372">
        <v>0.0</v>
      </c>
      <c r="Z4975" s="372">
        <v>0.0</v>
      </c>
    </row>
    <row r="4976">
      <c r="Y4976" s="372">
        <v>0.0</v>
      </c>
      <c r="Z4976" s="372">
        <v>0.0</v>
      </c>
    </row>
    <row r="4977">
      <c r="Y4977" s="372">
        <v>0.0</v>
      </c>
      <c r="Z4977" s="372">
        <v>0.0</v>
      </c>
    </row>
    <row r="4978">
      <c r="Y4978" s="372">
        <v>0.0</v>
      </c>
      <c r="Z4978" s="372">
        <v>0.0</v>
      </c>
    </row>
    <row r="4979">
      <c r="Y4979" s="372">
        <v>0.0</v>
      </c>
      <c r="Z4979" s="372">
        <v>0.0</v>
      </c>
    </row>
    <row r="4980">
      <c r="Y4980" s="372">
        <v>0.0</v>
      </c>
      <c r="Z4980" s="372">
        <v>0.0</v>
      </c>
    </row>
    <row r="4981">
      <c r="Y4981" s="372">
        <v>0.0</v>
      </c>
      <c r="Z4981" s="372">
        <v>0.0</v>
      </c>
    </row>
    <row r="4982">
      <c r="Y4982" s="372">
        <v>0.0</v>
      </c>
      <c r="Z4982" s="372">
        <v>0.0</v>
      </c>
    </row>
    <row r="4983">
      <c r="Y4983" s="372">
        <v>0.0</v>
      </c>
      <c r="Z4983" s="372">
        <v>0.0</v>
      </c>
    </row>
    <row r="4984">
      <c r="Y4984" s="372">
        <v>0.0</v>
      </c>
      <c r="Z4984" s="372">
        <v>0.0</v>
      </c>
    </row>
    <row r="4985">
      <c r="Y4985" s="372">
        <v>0.0</v>
      </c>
      <c r="Z4985" s="372">
        <v>0.0</v>
      </c>
    </row>
    <row r="4986">
      <c r="Y4986" s="372">
        <v>0.0</v>
      </c>
      <c r="Z4986" s="372">
        <v>0.0</v>
      </c>
    </row>
    <row r="4987">
      <c r="Y4987" s="372">
        <v>0.0</v>
      </c>
      <c r="Z4987" s="372">
        <v>0.0</v>
      </c>
    </row>
    <row r="4988">
      <c r="Y4988" s="372">
        <v>0.0</v>
      </c>
      <c r="Z4988" s="372">
        <v>0.0</v>
      </c>
    </row>
    <row r="4989">
      <c r="Y4989" s="372">
        <v>0.0</v>
      </c>
      <c r="Z4989" s="372">
        <v>0.0</v>
      </c>
    </row>
    <row r="4990">
      <c r="Y4990" s="372">
        <v>0.0</v>
      </c>
      <c r="Z4990" s="372">
        <v>0.0</v>
      </c>
    </row>
    <row r="4991">
      <c r="Y4991" s="372">
        <v>0.0</v>
      </c>
      <c r="Z4991" s="372">
        <v>0.0</v>
      </c>
    </row>
    <row r="4992">
      <c r="Y4992" s="372">
        <v>0.0</v>
      </c>
      <c r="Z4992" s="372">
        <v>0.0</v>
      </c>
    </row>
    <row r="4993">
      <c r="Y4993" s="372">
        <v>0.0</v>
      </c>
      <c r="Z4993" s="372">
        <v>0.0</v>
      </c>
    </row>
    <row r="4994">
      <c r="Y4994" s="372">
        <v>0.0</v>
      </c>
      <c r="Z4994" s="372">
        <v>0.0</v>
      </c>
    </row>
    <row r="4995">
      <c r="Y4995" s="372">
        <v>0.0</v>
      </c>
      <c r="Z4995" s="372">
        <v>0.0</v>
      </c>
    </row>
    <row r="4996">
      <c r="Y4996" s="372">
        <v>0.0</v>
      </c>
      <c r="Z4996" s="372">
        <v>0.0</v>
      </c>
    </row>
    <row r="4997">
      <c r="Y4997" s="372">
        <v>0.0</v>
      </c>
      <c r="Z4997" s="372">
        <v>0.0</v>
      </c>
    </row>
    <row r="4998">
      <c r="Y4998" s="372">
        <v>0.0</v>
      </c>
      <c r="Z4998" s="372">
        <v>0.0</v>
      </c>
    </row>
    <row r="4999">
      <c r="Y4999" s="372">
        <v>0.0</v>
      </c>
      <c r="Z4999" s="372">
        <v>0.0</v>
      </c>
    </row>
    <row r="5000">
      <c r="Y5000" s="372">
        <v>0.0</v>
      </c>
      <c r="Z5000" s="372">
        <v>0.0</v>
      </c>
    </row>
    <row r="5001">
      <c r="Y5001" s="372">
        <v>0.0</v>
      </c>
      <c r="Z5001" s="372">
        <v>0.0</v>
      </c>
    </row>
    <row r="5002">
      <c r="Y5002" s="372">
        <v>0.0</v>
      </c>
      <c r="Z5002" s="372">
        <v>0.0</v>
      </c>
    </row>
    <row r="5003">
      <c r="Y5003" s="372">
        <v>0.0</v>
      </c>
      <c r="Z5003" s="372">
        <v>0.0</v>
      </c>
    </row>
    <row r="5004">
      <c r="Y5004" s="372">
        <v>0.0</v>
      </c>
      <c r="Z5004" s="372">
        <v>0.0</v>
      </c>
    </row>
    <row r="5005">
      <c r="Y5005" s="372">
        <v>0.0</v>
      </c>
      <c r="Z5005" s="372">
        <v>0.0</v>
      </c>
    </row>
    <row r="5006">
      <c r="Y5006" s="372">
        <v>0.0</v>
      </c>
      <c r="Z5006" s="372">
        <v>0.0</v>
      </c>
    </row>
    <row r="5007">
      <c r="Y5007" s="372">
        <v>0.0</v>
      </c>
      <c r="Z5007" s="372">
        <v>0.0</v>
      </c>
    </row>
    <row r="5008">
      <c r="Y5008" s="372">
        <v>0.0</v>
      </c>
      <c r="Z5008" s="372">
        <v>0.0</v>
      </c>
    </row>
    <row r="5009">
      <c r="Y5009" s="372">
        <v>0.0</v>
      </c>
      <c r="Z5009" s="372">
        <v>0.0</v>
      </c>
    </row>
    <row r="5010">
      <c r="Y5010" s="372">
        <v>0.0</v>
      </c>
      <c r="Z5010" s="372">
        <v>0.0</v>
      </c>
    </row>
    <row r="5011">
      <c r="Y5011" s="372">
        <v>0.0</v>
      </c>
      <c r="Z5011" s="372">
        <v>0.0</v>
      </c>
    </row>
    <row r="5012">
      <c r="Y5012" s="372">
        <v>0.0</v>
      </c>
      <c r="Z5012" s="372">
        <v>0.0</v>
      </c>
    </row>
    <row r="5013">
      <c r="Y5013" s="372">
        <v>0.0</v>
      </c>
      <c r="Z5013" s="372">
        <v>0.0</v>
      </c>
    </row>
    <row r="5014">
      <c r="Y5014" s="372">
        <v>0.0</v>
      </c>
      <c r="Z5014" s="372">
        <v>0.0</v>
      </c>
    </row>
    <row r="5015">
      <c r="Y5015" s="372">
        <v>0.0</v>
      </c>
      <c r="Z5015" s="372">
        <v>0.0</v>
      </c>
    </row>
    <row r="5016">
      <c r="Y5016" s="372">
        <v>0.0</v>
      </c>
      <c r="Z5016" s="372">
        <v>0.0</v>
      </c>
    </row>
    <row r="5017">
      <c r="Y5017" s="372">
        <v>0.0</v>
      </c>
      <c r="Z5017" s="372">
        <v>0.0</v>
      </c>
    </row>
    <row r="5018">
      <c r="Y5018" s="372">
        <v>0.0</v>
      </c>
      <c r="Z5018" s="372">
        <v>0.0</v>
      </c>
    </row>
    <row r="5019">
      <c r="Y5019" s="372">
        <v>0.0</v>
      </c>
      <c r="Z5019" s="372">
        <v>0.0</v>
      </c>
    </row>
    <row r="5020">
      <c r="Y5020" s="372">
        <v>0.0</v>
      </c>
      <c r="Z5020" s="372">
        <v>0.0</v>
      </c>
    </row>
    <row r="5021">
      <c r="Y5021" s="372">
        <v>0.0</v>
      </c>
      <c r="Z5021" s="372">
        <v>0.0</v>
      </c>
    </row>
    <row r="5022">
      <c r="Y5022" s="372">
        <v>0.0</v>
      </c>
      <c r="Z5022" s="372">
        <v>0.0</v>
      </c>
    </row>
    <row r="5023">
      <c r="Y5023" s="372">
        <v>0.0</v>
      </c>
      <c r="Z5023" s="372">
        <v>0.0</v>
      </c>
    </row>
    <row r="5024">
      <c r="Y5024" s="372">
        <v>0.0</v>
      </c>
      <c r="Z5024" s="372">
        <v>0.0</v>
      </c>
    </row>
    <row r="5025">
      <c r="Y5025" s="372">
        <v>0.0</v>
      </c>
      <c r="Z5025" s="372">
        <v>0.0</v>
      </c>
    </row>
    <row r="5026">
      <c r="Y5026" s="372">
        <v>0.0</v>
      </c>
      <c r="Z5026" s="372">
        <v>0.0</v>
      </c>
    </row>
    <row r="5027">
      <c r="Y5027" s="372">
        <v>0.0</v>
      </c>
      <c r="Z5027" s="372">
        <v>0.0</v>
      </c>
    </row>
    <row r="5028">
      <c r="Y5028" s="372">
        <v>0.0</v>
      </c>
      <c r="Z5028" s="372">
        <v>0.0</v>
      </c>
    </row>
    <row r="5029">
      <c r="Y5029" s="372">
        <v>0.0</v>
      </c>
      <c r="Z5029" s="372">
        <v>0.0</v>
      </c>
    </row>
    <row r="5030">
      <c r="Y5030" s="372">
        <v>0.0</v>
      </c>
      <c r="Z5030" s="372">
        <v>0.0</v>
      </c>
    </row>
    <row r="5031">
      <c r="Y5031" s="372">
        <v>0.0</v>
      </c>
      <c r="Z5031" s="372">
        <v>0.0</v>
      </c>
    </row>
    <row r="5032">
      <c r="Y5032" s="372">
        <v>0.0</v>
      </c>
      <c r="Z5032" s="372">
        <v>0.0</v>
      </c>
    </row>
    <row r="5033">
      <c r="Y5033" s="372">
        <v>0.0</v>
      </c>
      <c r="Z5033" s="372">
        <v>0.0</v>
      </c>
    </row>
    <row r="5034">
      <c r="Y5034" s="372">
        <v>0.0</v>
      </c>
      <c r="Z5034" s="372">
        <v>0.0</v>
      </c>
    </row>
    <row r="5035">
      <c r="Y5035" s="372">
        <v>0.0</v>
      </c>
      <c r="Z5035" s="372">
        <v>0.0</v>
      </c>
    </row>
    <row r="5036">
      <c r="Y5036" s="372">
        <v>0.0</v>
      </c>
      <c r="Z5036" s="372">
        <v>0.0</v>
      </c>
    </row>
    <row r="5037">
      <c r="Y5037" s="372">
        <v>0.0</v>
      </c>
      <c r="Z5037" s="372">
        <v>0.0</v>
      </c>
    </row>
    <row r="5038">
      <c r="Y5038" s="372">
        <v>0.0</v>
      </c>
      <c r="Z5038" s="372">
        <v>0.0</v>
      </c>
    </row>
    <row r="5039">
      <c r="Y5039" s="372">
        <v>0.0</v>
      </c>
      <c r="Z5039" s="372">
        <v>0.0</v>
      </c>
    </row>
    <row r="5040">
      <c r="Y5040" s="372">
        <v>0.0</v>
      </c>
      <c r="Z5040" s="372">
        <v>0.0</v>
      </c>
    </row>
    <row r="5041">
      <c r="Y5041" s="372">
        <v>0.0</v>
      </c>
      <c r="Z5041" s="372">
        <v>0.0</v>
      </c>
    </row>
    <row r="5042">
      <c r="Y5042" s="372">
        <v>0.0</v>
      </c>
      <c r="Z5042" s="372">
        <v>0.0</v>
      </c>
    </row>
    <row r="5043">
      <c r="Y5043" s="372">
        <v>0.0</v>
      </c>
      <c r="Z5043" s="372">
        <v>0.0</v>
      </c>
    </row>
    <row r="5044">
      <c r="Y5044" s="372">
        <v>0.0</v>
      </c>
      <c r="Z5044" s="372">
        <v>0.0</v>
      </c>
    </row>
    <row r="5045">
      <c r="Y5045" s="372">
        <v>0.0</v>
      </c>
      <c r="Z5045" s="372">
        <v>0.0</v>
      </c>
    </row>
    <row r="5046">
      <c r="Y5046" s="372">
        <v>0.0</v>
      </c>
      <c r="Z5046" s="372">
        <v>0.0</v>
      </c>
    </row>
    <row r="5047">
      <c r="Y5047" s="372">
        <v>0.0</v>
      </c>
      <c r="Z5047" s="372">
        <v>0.0</v>
      </c>
    </row>
    <row r="5048">
      <c r="Y5048" s="372">
        <v>0.0</v>
      </c>
      <c r="Z5048" s="372">
        <v>0.0</v>
      </c>
    </row>
    <row r="5049">
      <c r="Y5049" s="372">
        <v>0.0</v>
      </c>
      <c r="Z5049" s="372">
        <v>0.0</v>
      </c>
    </row>
    <row r="5050">
      <c r="Y5050" s="372">
        <v>0.0</v>
      </c>
      <c r="Z5050" s="372">
        <v>0.0</v>
      </c>
    </row>
    <row r="5051">
      <c r="Y5051" s="372">
        <v>0.0</v>
      </c>
      <c r="Z5051" s="372">
        <v>0.0</v>
      </c>
    </row>
    <row r="5052">
      <c r="Y5052" s="372">
        <v>0.0</v>
      </c>
      <c r="Z5052" s="372">
        <v>0.0</v>
      </c>
    </row>
    <row r="5053">
      <c r="Y5053" s="372">
        <v>0.0</v>
      </c>
      <c r="Z5053" s="372">
        <v>0.0</v>
      </c>
    </row>
    <row r="5054">
      <c r="Y5054" s="372">
        <v>0.0</v>
      </c>
      <c r="Z5054" s="372">
        <v>0.0</v>
      </c>
    </row>
    <row r="5055">
      <c r="Y5055" s="372">
        <v>0.0</v>
      </c>
      <c r="Z5055" s="372">
        <v>0.0</v>
      </c>
    </row>
    <row r="5056">
      <c r="Y5056" s="372">
        <v>0.0</v>
      </c>
      <c r="Z5056" s="372">
        <v>0.0</v>
      </c>
    </row>
    <row r="5057">
      <c r="Y5057" s="372">
        <v>0.0</v>
      </c>
      <c r="Z5057" s="372">
        <v>0.0</v>
      </c>
    </row>
    <row r="5058">
      <c r="Y5058" s="372">
        <v>0.0</v>
      </c>
      <c r="Z5058" s="372">
        <v>0.0</v>
      </c>
    </row>
    <row r="5059">
      <c r="Y5059" s="372">
        <v>0.0</v>
      </c>
      <c r="Z5059" s="372">
        <v>0.0</v>
      </c>
    </row>
    <row r="5060">
      <c r="Y5060" s="372">
        <v>0.0</v>
      </c>
      <c r="Z5060" s="372">
        <v>0.0</v>
      </c>
    </row>
    <row r="5061">
      <c r="Y5061" s="372">
        <v>0.0</v>
      </c>
      <c r="Z5061" s="372">
        <v>0.0</v>
      </c>
    </row>
    <row r="5062">
      <c r="Y5062" s="372">
        <v>0.0</v>
      </c>
      <c r="Z5062" s="372">
        <v>0.0</v>
      </c>
    </row>
    <row r="5063">
      <c r="Y5063" s="372">
        <v>0.0</v>
      </c>
      <c r="Z5063" s="372">
        <v>0.0</v>
      </c>
    </row>
    <row r="5064">
      <c r="Y5064" s="372">
        <v>0.0</v>
      </c>
      <c r="Z5064" s="372">
        <v>0.0</v>
      </c>
    </row>
    <row r="5065">
      <c r="Y5065" s="372">
        <v>0.0</v>
      </c>
      <c r="Z5065" s="372">
        <v>0.0</v>
      </c>
    </row>
    <row r="5066">
      <c r="Y5066" s="372">
        <v>0.0</v>
      </c>
      <c r="Z5066" s="372">
        <v>0.0</v>
      </c>
    </row>
    <row r="5067">
      <c r="Y5067" s="372">
        <v>0.0</v>
      </c>
      <c r="Z5067" s="372">
        <v>0.0</v>
      </c>
    </row>
    <row r="5068">
      <c r="Y5068" s="372">
        <v>0.0</v>
      </c>
      <c r="Z5068" s="372">
        <v>0.0</v>
      </c>
    </row>
    <row r="5069">
      <c r="Y5069" s="372">
        <v>0.0</v>
      </c>
      <c r="Z5069" s="372">
        <v>0.0</v>
      </c>
    </row>
    <row r="5070">
      <c r="Y5070" s="372">
        <v>0.0</v>
      </c>
      <c r="Z5070" s="372">
        <v>0.0</v>
      </c>
    </row>
    <row r="5071">
      <c r="Y5071" s="372">
        <v>0.0</v>
      </c>
      <c r="Z5071" s="372">
        <v>0.0</v>
      </c>
    </row>
    <row r="5072">
      <c r="Y5072" s="372">
        <v>0.0</v>
      </c>
      <c r="Z5072" s="372">
        <v>0.0</v>
      </c>
    </row>
    <row r="5073">
      <c r="Y5073" s="372">
        <v>0.0</v>
      </c>
      <c r="Z5073" s="372">
        <v>0.0</v>
      </c>
    </row>
    <row r="5074">
      <c r="Y5074" s="372">
        <v>0.0</v>
      </c>
      <c r="Z5074" s="372">
        <v>0.0</v>
      </c>
    </row>
    <row r="5075">
      <c r="Y5075" s="372">
        <v>0.0</v>
      </c>
      <c r="Z5075" s="372">
        <v>0.0</v>
      </c>
    </row>
    <row r="5076">
      <c r="Y5076" s="372">
        <v>0.0</v>
      </c>
      <c r="Z5076" s="372">
        <v>0.0</v>
      </c>
    </row>
    <row r="5077">
      <c r="Y5077" s="372">
        <v>0.0</v>
      </c>
      <c r="Z5077" s="372">
        <v>0.0</v>
      </c>
    </row>
    <row r="5078">
      <c r="Y5078" s="372">
        <v>0.0</v>
      </c>
      <c r="Z5078" s="372">
        <v>0.0</v>
      </c>
    </row>
    <row r="5079">
      <c r="Y5079" s="372">
        <v>0.0</v>
      </c>
      <c r="Z5079" s="372">
        <v>0.0</v>
      </c>
    </row>
    <row r="5080">
      <c r="Y5080" s="372">
        <v>0.0</v>
      </c>
      <c r="Z5080" s="372">
        <v>0.0</v>
      </c>
    </row>
    <row r="5081">
      <c r="Y5081" s="372">
        <v>0.0</v>
      </c>
      <c r="Z5081" s="372">
        <v>0.0</v>
      </c>
    </row>
    <row r="5082">
      <c r="Y5082" s="372">
        <v>0.0</v>
      </c>
      <c r="Z5082" s="372">
        <v>0.0</v>
      </c>
    </row>
    <row r="5083">
      <c r="Y5083" s="372">
        <v>0.0</v>
      </c>
      <c r="Z5083" s="372">
        <v>0.0</v>
      </c>
    </row>
    <row r="5084">
      <c r="Y5084" s="372">
        <v>0.0</v>
      </c>
      <c r="Z5084" s="372">
        <v>0.0</v>
      </c>
    </row>
    <row r="5085">
      <c r="Y5085" s="372">
        <v>0.0</v>
      </c>
      <c r="Z5085" s="372">
        <v>0.0</v>
      </c>
    </row>
    <row r="5086">
      <c r="Y5086" s="372">
        <v>0.0</v>
      </c>
      <c r="Z5086" s="372">
        <v>0.0</v>
      </c>
    </row>
    <row r="5087">
      <c r="Y5087" s="372">
        <v>0.0</v>
      </c>
      <c r="Z5087" s="372">
        <v>0.0</v>
      </c>
    </row>
    <row r="5088">
      <c r="Y5088" s="372">
        <v>0.0</v>
      </c>
      <c r="Z5088" s="372">
        <v>0.0</v>
      </c>
    </row>
    <row r="5089">
      <c r="Y5089" s="372">
        <v>0.0</v>
      </c>
      <c r="Z5089" s="372">
        <v>0.0</v>
      </c>
    </row>
    <row r="5090">
      <c r="Y5090" s="372">
        <v>0.0</v>
      </c>
      <c r="Z5090" s="372">
        <v>0.0</v>
      </c>
    </row>
    <row r="5091">
      <c r="Y5091" s="372">
        <v>0.0</v>
      </c>
      <c r="Z5091" s="372">
        <v>0.0</v>
      </c>
    </row>
    <row r="5092">
      <c r="Y5092" s="372">
        <v>0.0</v>
      </c>
      <c r="Z5092" s="372">
        <v>0.0</v>
      </c>
    </row>
    <row r="5093">
      <c r="Y5093" s="372">
        <v>0.0</v>
      </c>
      <c r="Z5093" s="372">
        <v>0.0</v>
      </c>
    </row>
    <row r="5094">
      <c r="Y5094" s="372">
        <v>0.0</v>
      </c>
      <c r="Z5094" s="372">
        <v>0.0</v>
      </c>
    </row>
    <row r="5095">
      <c r="Y5095" s="372">
        <v>0.0</v>
      </c>
      <c r="Z5095" s="372">
        <v>0.0</v>
      </c>
    </row>
    <row r="5096">
      <c r="Y5096" s="372">
        <v>0.0</v>
      </c>
      <c r="Z5096" s="372">
        <v>0.0</v>
      </c>
    </row>
    <row r="5097">
      <c r="Y5097" s="372">
        <v>0.0</v>
      </c>
      <c r="Z5097" s="372">
        <v>0.0</v>
      </c>
    </row>
    <row r="5098">
      <c r="Y5098" s="372">
        <v>0.0</v>
      </c>
      <c r="Z5098" s="372">
        <v>0.0</v>
      </c>
    </row>
    <row r="5099">
      <c r="Y5099" s="372">
        <v>0.0</v>
      </c>
      <c r="Z5099" s="372">
        <v>0.0</v>
      </c>
    </row>
    <row r="5100">
      <c r="Y5100" s="372">
        <v>0.0</v>
      </c>
      <c r="Z5100" s="372">
        <v>0.0</v>
      </c>
    </row>
    <row r="5101">
      <c r="Y5101" s="372">
        <v>0.0</v>
      </c>
      <c r="Z5101" s="372">
        <v>0.0</v>
      </c>
    </row>
    <row r="5102">
      <c r="Y5102" s="372">
        <v>0.0</v>
      </c>
      <c r="Z5102" s="372">
        <v>0.0</v>
      </c>
    </row>
    <row r="5103">
      <c r="Y5103" s="372">
        <v>0.0</v>
      </c>
      <c r="Z5103" s="372">
        <v>0.0</v>
      </c>
    </row>
    <row r="5104">
      <c r="Y5104" s="372">
        <v>0.0</v>
      </c>
      <c r="Z5104" s="372">
        <v>0.0</v>
      </c>
    </row>
    <row r="5105">
      <c r="Y5105" s="372">
        <v>0.0</v>
      </c>
      <c r="Z5105" s="372">
        <v>0.0</v>
      </c>
    </row>
    <row r="5106">
      <c r="Y5106" s="372">
        <v>0.0</v>
      </c>
      <c r="Z5106" s="372">
        <v>0.0</v>
      </c>
    </row>
    <row r="5107">
      <c r="Y5107" s="372">
        <v>0.0</v>
      </c>
      <c r="Z5107" s="372">
        <v>0.0</v>
      </c>
    </row>
    <row r="5108">
      <c r="Y5108" s="372">
        <v>0.0</v>
      </c>
      <c r="Z5108" s="372">
        <v>0.0</v>
      </c>
    </row>
    <row r="5109">
      <c r="Y5109" s="372">
        <v>0.0</v>
      </c>
      <c r="Z5109" s="372">
        <v>0.0</v>
      </c>
    </row>
    <row r="5110">
      <c r="Y5110" s="372">
        <v>0.0</v>
      </c>
      <c r="Z5110" s="372">
        <v>0.0</v>
      </c>
    </row>
    <row r="5111">
      <c r="Y5111" s="372">
        <v>0.0</v>
      </c>
      <c r="Z5111" s="372">
        <v>0.0</v>
      </c>
    </row>
    <row r="5112">
      <c r="Y5112" s="372">
        <v>0.0</v>
      </c>
      <c r="Z5112" s="372">
        <v>0.0</v>
      </c>
    </row>
    <row r="5113">
      <c r="Y5113" s="372">
        <v>0.0</v>
      </c>
      <c r="Z5113" s="372">
        <v>0.0</v>
      </c>
    </row>
    <row r="5114">
      <c r="Y5114" s="372">
        <v>0.0</v>
      </c>
      <c r="Z5114" s="372">
        <v>0.0</v>
      </c>
    </row>
    <row r="5115">
      <c r="Y5115" s="372">
        <v>0.0</v>
      </c>
      <c r="Z5115" s="372">
        <v>0.0</v>
      </c>
    </row>
    <row r="5116">
      <c r="Y5116" s="372">
        <v>0.0</v>
      </c>
      <c r="Z5116" s="372">
        <v>0.0</v>
      </c>
    </row>
    <row r="5117">
      <c r="Y5117" s="372">
        <v>0.0</v>
      </c>
      <c r="Z5117" s="372">
        <v>0.0</v>
      </c>
    </row>
    <row r="5118">
      <c r="Y5118" s="372">
        <v>0.0</v>
      </c>
      <c r="Z5118" s="372">
        <v>0.0</v>
      </c>
    </row>
    <row r="5119">
      <c r="Y5119" s="372">
        <v>0.0</v>
      </c>
      <c r="Z5119" s="372">
        <v>0.0</v>
      </c>
    </row>
    <row r="5120">
      <c r="Y5120" s="372">
        <v>0.0</v>
      </c>
      <c r="Z5120" s="372">
        <v>0.0</v>
      </c>
    </row>
    <row r="5121">
      <c r="Y5121" s="372">
        <v>0.0</v>
      </c>
      <c r="Z5121" s="372">
        <v>0.0</v>
      </c>
    </row>
    <row r="5122">
      <c r="Y5122" s="372">
        <v>0.0</v>
      </c>
      <c r="Z5122" s="372">
        <v>0.0</v>
      </c>
    </row>
    <row r="5123">
      <c r="Y5123" s="372">
        <v>0.0</v>
      </c>
      <c r="Z5123" s="372">
        <v>0.0</v>
      </c>
    </row>
    <row r="5124">
      <c r="Y5124" s="372">
        <v>0.0</v>
      </c>
      <c r="Z5124" s="372">
        <v>0.0</v>
      </c>
    </row>
    <row r="5125">
      <c r="Y5125" s="372">
        <v>0.0</v>
      </c>
      <c r="Z5125" s="372">
        <v>0.0</v>
      </c>
    </row>
    <row r="5126">
      <c r="Y5126" s="372">
        <v>0.0</v>
      </c>
      <c r="Z5126" s="372">
        <v>0.0</v>
      </c>
    </row>
    <row r="5127">
      <c r="Y5127" s="372">
        <v>0.0</v>
      </c>
      <c r="Z5127" s="372">
        <v>0.0</v>
      </c>
    </row>
    <row r="5128">
      <c r="Y5128" s="372">
        <v>0.0</v>
      </c>
      <c r="Z5128" s="372">
        <v>0.0</v>
      </c>
    </row>
    <row r="5129">
      <c r="Y5129" s="372">
        <v>0.0</v>
      </c>
      <c r="Z5129" s="372">
        <v>0.0</v>
      </c>
    </row>
    <row r="5130">
      <c r="Y5130" s="372">
        <v>0.0</v>
      </c>
      <c r="Z5130" s="372">
        <v>0.0</v>
      </c>
    </row>
    <row r="5131">
      <c r="Y5131" s="372">
        <v>0.0</v>
      </c>
      <c r="Z5131" s="372">
        <v>0.0</v>
      </c>
    </row>
    <row r="5132">
      <c r="Y5132" s="372">
        <v>0.0</v>
      </c>
      <c r="Z5132" s="372">
        <v>0.0</v>
      </c>
    </row>
    <row r="5133">
      <c r="Y5133" s="372">
        <v>0.0</v>
      </c>
      <c r="Z5133" s="372">
        <v>0.0</v>
      </c>
    </row>
    <row r="5134">
      <c r="Y5134" s="372">
        <v>0.0</v>
      </c>
      <c r="Z5134" s="372">
        <v>0.0</v>
      </c>
    </row>
    <row r="5135">
      <c r="Y5135" s="372">
        <v>0.0</v>
      </c>
      <c r="Z5135" s="372">
        <v>0.0</v>
      </c>
    </row>
    <row r="5136">
      <c r="Y5136" s="372">
        <v>0.0</v>
      </c>
      <c r="Z5136" s="372">
        <v>0.0</v>
      </c>
    </row>
    <row r="5137">
      <c r="Y5137" s="372">
        <v>0.0</v>
      </c>
      <c r="Z5137" s="372">
        <v>0.0</v>
      </c>
    </row>
    <row r="5138">
      <c r="Y5138" s="372">
        <v>0.0</v>
      </c>
      <c r="Z5138" s="372">
        <v>0.0</v>
      </c>
    </row>
    <row r="5139">
      <c r="Y5139" s="372">
        <v>0.0</v>
      </c>
      <c r="Z5139" s="372">
        <v>0.0</v>
      </c>
    </row>
    <row r="5140">
      <c r="Y5140" s="372">
        <v>0.0</v>
      </c>
      <c r="Z5140" s="372">
        <v>0.0</v>
      </c>
    </row>
    <row r="5141">
      <c r="Y5141" s="372">
        <v>0.0</v>
      </c>
      <c r="Z5141" s="372">
        <v>0.0</v>
      </c>
    </row>
    <row r="5142">
      <c r="Y5142" s="372">
        <v>0.0</v>
      </c>
      <c r="Z5142" s="372">
        <v>0.0</v>
      </c>
    </row>
    <row r="5143">
      <c r="Y5143" s="372">
        <v>0.0</v>
      </c>
      <c r="Z5143" s="372">
        <v>0.0</v>
      </c>
    </row>
    <row r="5144">
      <c r="Y5144" s="372">
        <v>0.0</v>
      </c>
      <c r="Z5144" s="372">
        <v>0.0</v>
      </c>
    </row>
    <row r="5145">
      <c r="Y5145" s="372">
        <v>0.0</v>
      </c>
      <c r="Z5145" s="372">
        <v>0.0</v>
      </c>
    </row>
    <row r="5146">
      <c r="Y5146" s="372">
        <v>0.0</v>
      </c>
      <c r="Z5146" s="372">
        <v>0.0</v>
      </c>
    </row>
    <row r="5147">
      <c r="Y5147" s="372">
        <v>0.0</v>
      </c>
      <c r="Z5147" s="372">
        <v>0.0</v>
      </c>
    </row>
    <row r="5148">
      <c r="Y5148" s="372">
        <v>0.0</v>
      </c>
      <c r="Z5148" s="372">
        <v>0.0</v>
      </c>
    </row>
    <row r="5149">
      <c r="Y5149" s="372">
        <v>0.0</v>
      </c>
      <c r="Z5149" s="372">
        <v>0.0</v>
      </c>
    </row>
    <row r="5150">
      <c r="Y5150" s="372">
        <v>0.0</v>
      </c>
      <c r="Z5150" s="372">
        <v>0.0</v>
      </c>
    </row>
    <row r="5151">
      <c r="Y5151" s="372">
        <v>0.0</v>
      </c>
      <c r="Z5151" s="372">
        <v>0.0</v>
      </c>
    </row>
    <row r="5152">
      <c r="Y5152" s="372">
        <v>0.0</v>
      </c>
      <c r="Z5152" s="372">
        <v>0.0</v>
      </c>
    </row>
    <row r="5153">
      <c r="Y5153" s="372">
        <v>0.0</v>
      </c>
      <c r="Z5153" s="372">
        <v>0.0</v>
      </c>
    </row>
    <row r="5154">
      <c r="Y5154" s="372">
        <v>0.0</v>
      </c>
      <c r="Z5154" s="372">
        <v>0.0</v>
      </c>
    </row>
    <row r="5155">
      <c r="Y5155" s="372">
        <v>0.0</v>
      </c>
      <c r="Z5155" s="372">
        <v>0.0</v>
      </c>
    </row>
    <row r="5156">
      <c r="Y5156" s="372">
        <v>0.0</v>
      </c>
      <c r="Z5156" s="372">
        <v>0.0</v>
      </c>
    </row>
    <row r="5157">
      <c r="Y5157" s="372">
        <v>0.0</v>
      </c>
      <c r="Z5157" s="372">
        <v>0.0</v>
      </c>
    </row>
    <row r="5158">
      <c r="Y5158" s="372">
        <v>0.0</v>
      </c>
      <c r="Z5158" s="372">
        <v>0.0</v>
      </c>
    </row>
    <row r="5159">
      <c r="Y5159" s="372">
        <v>0.0</v>
      </c>
      <c r="Z5159" s="372">
        <v>0.0</v>
      </c>
    </row>
    <row r="5160">
      <c r="Y5160" s="372">
        <v>0.0</v>
      </c>
      <c r="Z5160" s="372">
        <v>0.0</v>
      </c>
    </row>
    <row r="5161">
      <c r="Y5161" s="372">
        <v>0.0</v>
      </c>
      <c r="Z5161" s="372">
        <v>0.0</v>
      </c>
    </row>
    <row r="5162">
      <c r="Y5162" s="372">
        <v>0.0</v>
      </c>
      <c r="Z5162" s="372">
        <v>0.0</v>
      </c>
    </row>
    <row r="5163">
      <c r="Y5163" s="372">
        <v>0.0</v>
      </c>
      <c r="Z5163" s="372">
        <v>0.0</v>
      </c>
    </row>
    <row r="5164">
      <c r="Y5164" s="372">
        <v>0.0</v>
      </c>
      <c r="Z5164" s="372">
        <v>0.0</v>
      </c>
    </row>
    <row r="5165">
      <c r="Y5165" s="372">
        <v>0.0</v>
      </c>
      <c r="Z5165" s="372">
        <v>0.0</v>
      </c>
    </row>
    <row r="5166">
      <c r="Y5166" s="372">
        <v>0.0</v>
      </c>
      <c r="Z5166" s="372">
        <v>0.0</v>
      </c>
    </row>
    <row r="5167">
      <c r="Y5167" s="372">
        <v>0.0</v>
      </c>
      <c r="Z5167" s="372">
        <v>0.0</v>
      </c>
    </row>
    <row r="5168">
      <c r="Y5168" s="372">
        <v>0.0</v>
      </c>
      <c r="Z5168" s="372">
        <v>0.0</v>
      </c>
    </row>
    <row r="5169">
      <c r="Y5169" s="372">
        <v>0.0</v>
      </c>
      <c r="Z5169" s="372">
        <v>0.0</v>
      </c>
    </row>
    <row r="5170">
      <c r="Y5170" s="372">
        <v>0.0</v>
      </c>
      <c r="Z5170" s="372">
        <v>0.0</v>
      </c>
    </row>
    <row r="5171">
      <c r="Y5171" s="372">
        <v>0.0</v>
      </c>
      <c r="Z5171" s="372">
        <v>0.0</v>
      </c>
    </row>
    <row r="5172">
      <c r="Y5172" s="372">
        <v>0.0</v>
      </c>
      <c r="Z5172" s="372">
        <v>0.0</v>
      </c>
    </row>
    <row r="5173">
      <c r="Y5173" s="372">
        <v>0.0</v>
      </c>
      <c r="Z5173" s="372">
        <v>0.0</v>
      </c>
    </row>
    <row r="5174">
      <c r="Y5174" s="372">
        <v>0.0</v>
      </c>
      <c r="Z5174" s="372">
        <v>0.0</v>
      </c>
    </row>
    <row r="5175">
      <c r="Y5175" s="372">
        <v>0.0</v>
      </c>
      <c r="Z5175" s="372">
        <v>0.0</v>
      </c>
    </row>
    <row r="5176">
      <c r="Y5176" s="372">
        <v>0.0</v>
      </c>
      <c r="Z5176" s="372">
        <v>0.0</v>
      </c>
    </row>
    <row r="5177">
      <c r="Y5177" s="372">
        <v>0.0</v>
      </c>
      <c r="Z5177" s="372">
        <v>0.0</v>
      </c>
    </row>
    <row r="5178">
      <c r="Y5178" s="372">
        <v>0.0</v>
      </c>
      <c r="Z5178" s="372">
        <v>0.0</v>
      </c>
    </row>
    <row r="5179">
      <c r="Y5179" s="372">
        <v>0.0</v>
      </c>
      <c r="Z5179" s="372">
        <v>0.0</v>
      </c>
    </row>
    <row r="5180">
      <c r="Y5180" s="372">
        <v>0.0</v>
      </c>
      <c r="Z5180" s="372">
        <v>0.0</v>
      </c>
    </row>
    <row r="5181">
      <c r="Y5181" s="372">
        <v>0.0</v>
      </c>
      <c r="Z5181" s="372">
        <v>0.0</v>
      </c>
    </row>
    <row r="5182">
      <c r="Y5182" s="372">
        <v>0.0</v>
      </c>
      <c r="Z5182" s="372">
        <v>0.0</v>
      </c>
    </row>
    <row r="5183">
      <c r="Y5183" s="372">
        <v>0.0</v>
      </c>
      <c r="Z5183" s="372">
        <v>0.0</v>
      </c>
    </row>
    <row r="5184">
      <c r="Y5184" s="372">
        <v>0.0</v>
      </c>
      <c r="Z5184" s="372">
        <v>0.0</v>
      </c>
    </row>
    <row r="5185">
      <c r="Y5185" s="372">
        <v>0.0</v>
      </c>
      <c r="Z5185" s="372">
        <v>0.0</v>
      </c>
    </row>
    <row r="5186">
      <c r="Y5186" s="372">
        <v>0.0</v>
      </c>
      <c r="Z5186" s="372">
        <v>0.0</v>
      </c>
    </row>
    <row r="5187">
      <c r="Y5187" s="372">
        <v>0.0</v>
      </c>
      <c r="Z5187" s="372">
        <v>0.0</v>
      </c>
    </row>
    <row r="5188">
      <c r="Y5188" s="372">
        <v>0.0</v>
      </c>
      <c r="Z5188" s="372">
        <v>0.0</v>
      </c>
    </row>
    <row r="5189">
      <c r="Y5189" s="372">
        <v>0.0</v>
      </c>
      <c r="Z5189" s="372">
        <v>0.0</v>
      </c>
    </row>
    <row r="5190">
      <c r="Y5190" s="372">
        <v>0.0</v>
      </c>
      <c r="Z5190" s="372">
        <v>0.0</v>
      </c>
    </row>
    <row r="5191">
      <c r="Y5191" s="372">
        <v>0.0</v>
      </c>
      <c r="Z5191" s="372">
        <v>0.0</v>
      </c>
    </row>
    <row r="5192">
      <c r="Y5192" s="372">
        <v>0.0</v>
      </c>
      <c r="Z5192" s="372">
        <v>0.0</v>
      </c>
    </row>
    <row r="5193">
      <c r="Y5193" s="372">
        <v>0.0</v>
      </c>
      <c r="Z5193" s="372">
        <v>0.0</v>
      </c>
    </row>
    <row r="5194">
      <c r="Y5194" s="372">
        <v>0.0</v>
      </c>
      <c r="Z5194" s="372">
        <v>0.0</v>
      </c>
    </row>
    <row r="5195">
      <c r="Y5195" s="372">
        <v>0.0</v>
      </c>
      <c r="Z5195" s="372">
        <v>0.0</v>
      </c>
    </row>
    <row r="5196">
      <c r="Y5196" s="372">
        <v>0.0</v>
      </c>
      <c r="Z5196" s="372">
        <v>0.0</v>
      </c>
    </row>
    <row r="5197">
      <c r="Y5197" s="372">
        <v>0.0</v>
      </c>
      <c r="Z5197" s="372">
        <v>0.0</v>
      </c>
    </row>
    <row r="5198">
      <c r="Y5198" s="372">
        <v>0.0</v>
      </c>
      <c r="Z5198" s="372">
        <v>0.0</v>
      </c>
    </row>
    <row r="5199">
      <c r="Y5199" s="372">
        <v>0.0</v>
      </c>
      <c r="Z5199" s="372">
        <v>0.0</v>
      </c>
    </row>
    <row r="5200">
      <c r="Y5200" s="372">
        <v>0.0</v>
      </c>
      <c r="Z5200" s="372">
        <v>0.0</v>
      </c>
    </row>
    <row r="5201">
      <c r="Y5201" s="372">
        <v>0.0</v>
      </c>
      <c r="Z5201" s="372">
        <v>0.0</v>
      </c>
    </row>
    <row r="5202">
      <c r="Y5202" s="372">
        <v>0.0</v>
      </c>
      <c r="Z5202" s="372">
        <v>0.0</v>
      </c>
    </row>
    <row r="5203">
      <c r="Y5203" s="372">
        <v>0.0</v>
      </c>
      <c r="Z5203" s="372">
        <v>0.0</v>
      </c>
    </row>
    <row r="5204">
      <c r="Y5204" s="372">
        <v>0.0</v>
      </c>
      <c r="Z5204" s="372">
        <v>0.0</v>
      </c>
    </row>
    <row r="5205">
      <c r="Y5205" s="372">
        <v>0.0</v>
      </c>
      <c r="Z5205" s="372">
        <v>0.0</v>
      </c>
    </row>
    <row r="5206">
      <c r="Y5206" s="372">
        <v>0.0</v>
      </c>
      <c r="Z5206" s="372">
        <v>0.0</v>
      </c>
    </row>
    <row r="5207">
      <c r="Y5207" s="372">
        <v>0.0</v>
      </c>
      <c r="Z5207" s="372">
        <v>0.0</v>
      </c>
    </row>
    <row r="5208">
      <c r="Y5208" s="372">
        <v>0.0</v>
      </c>
      <c r="Z5208" s="372">
        <v>0.0</v>
      </c>
    </row>
    <row r="5209">
      <c r="Y5209" s="372">
        <v>0.0</v>
      </c>
      <c r="Z5209" s="372">
        <v>0.0</v>
      </c>
    </row>
    <row r="5210">
      <c r="Y5210" s="372">
        <v>0.0</v>
      </c>
      <c r="Z5210" s="372">
        <v>0.0</v>
      </c>
    </row>
    <row r="5211">
      <c r="Y5211" s="372">
        <v>0.0</v>
      </c>
      <c r="Z5211" s="372">
        <v>0.0</v>
      </c>
    </row>
    <row r="5212">
      <c r="Y5212" s="372">
        <v>0.0</v>
      </c>
      <c r="Z5212" s="372">
        <v>0.0</v>
      </c>
    </row>
    <row r="5213">
      <c r="Y5213" s="372">
        <v>0.0</v>
      </c>
      <c r="Z5213" s="372">
        <v>0.0</v>
      </c>
    </row>
    <row r="5214">
      <c r="Y5214" s="372">
        <v>0.0</v>
      </c>
      <c r="Z5214" s="372">
        <v>0.0</v>
      </c>
    </row>
    <row r="5215">
      <c r="Y5215" s="372">
        <v>0.0</v>
      </c>
      <c r="Z5215" s="372">
        <v>0.0</v>
      </c>
    </row>
    <row r="5216">
      <c r="Y5216" s="372">
        <v>0.0</v>
      </c>
      <c r="Z5216" s="372">
        <v>0.0</v>
      </c>
    </row>
    <row r="5217">
      <c r="Y5217" s="372">
        <v>0.0</v>
      </c>
      <c r="Z5217" s="372">
        <v>0.0</v>
      </c>
    </row>
    <row r="5218">
      <c r="Y5218" s="372">
        <v>0.0</v>
      </c>
      <c r="Z5218" s="372">
        <v>0.0</v>
      </c>
    </row>
    <row r="5219">
      <c r="Y5219" s="372">
        <v>0.0</v>
      </c>
      <c r="Z5219" s="372">
        <v>0.0</v>
      </c>
    </row>
    <row r="5220">
      <c r="Y5220" s="372">
        <v>0.0</v>
      </c>
      <c r="Z5220" s="372">
        <v>0.0</v>
      </c>
    </row>
    <row r="5221">
      <c r="Y5221" s="372">
        <v>0.0</v>
      </c>
      <c r="Z5221" s="372">
        <v>0.0</v>
      </c>
    </row>
    <row r="5222">
      <c r="Y5222" s="372">
        <v>0.0</v>
      </c>
      <c r="Z5222" s="372">
        <v>0.0</v>
      </c>
    </row>
    <row r="5223">
      <c r="Y5223" s="372">
        <v>0.0</v>
      </c>
      <c r="Z5223" s="372">
        <v>0.0</v>
      </c>
    </row>
    <row r="5224">
      <c r="Y5224" s="372">
        <v>0.0</v>
      </c>
      <c r="Z5224" s="372">
        <v>0.0</v>
      </c>
    </row>
    <row r="5225">
      <c r="Y5225" s="372">
        <v>0.0</v>
      </c>
      <c r="Z5225" s="372">
        <v>0.0</v>
      </c>
    </row>
    <row r="5226">
      <c r="Y5226" s="372">
        <v>0.0</v>
      </c>
      <c r="Z5226" s="372">
        <v>0.0</v>
      </c>
    </row>
    <row r="5227">
      <c r="Y5227" s="372">
        <v>0.0</v>
      </c>
      <c r="Z5227" s="372">
        <v>0.0</v>
      </c>
    </row>
    <row r="5228">
      <c r="Y5228" s="372">
        <v>0.0</v>
      </c>
      <c r="Z5228" s="372">
        <v>0.0</v>
      </c>
    </row>
    <row r="5229">
      <c r="Y5229" s="372">
        <v>0.0</v>
      </c>
      <c r="Z5229" s="372">
        <v>0.0</v>
      </c>
    </row>
    <row r="5230">
      <c r="Y5230" s="372">
        <v>0.0</v>
      </c>
      <c r="Z5230" s="372">
        <v>0.0</v>
      </c>
    </row>
    <row r="5231">
      <c r="Y5231" s="372">
        <v>0.0</v>
      </c>
      <c r="Z5231" s="372">
        <v>0.0</v>
      </c>
    </row>
    <row r="5232">
      <c r="Y5232" s="372">
        <v>0.0</v>
      </c>
      <c r="Z5232" s="372">
        <v>0.0</v>
      </c>
    </row>
    <row r="5233">
      <c r="Y5233" s="372">
        <v>0.0</v>
      </c>
      <c r="Z5233" s="372">
        <v>0.0</v>
      </c>
    </row>
    <row r="5234">
      <c r="Y5234" s="372">
        <v>0.0</v>
      </c>
      <c r="Z5234" s="372">
        <v>0.0</v>
      </c>
    </row>
    <row r="5235">
      <c r="Y5235" s="372">
        <v>0.0</v>
      </c>
      <c r="Z5235" s="372">
        <v>0.0</v>
      </c>
    </row>
    <row r="5236">
      <c r="Y5236" s="372">
        <v>0.0</v>
      </c>
      <c r="Z5236" s="372">
        <v>0.0</v>
      </c>
    </row>
    <row r="5237">
      <c r="Y5237" s="372">
        <v>0.0</v>
      </c>
      <c r="Z5237" s="372">
        <v>0.0</v>
      </c>
    </row>
    <row r="5238">
      <c r="Y5238" s="372">
        <v>0.0</v>
      </c>
      <c r="Z5238" s="372">
        <v>0.0</v>
      </c>
    </row>
    <row r="5239">
      <c r="Y5239" s="372">
        <v>0.0</v>
      </c>
      <c r="Z5239" s="372">
        <v>0.0</v>
      </c>
    </row>
    <row r="5240">
      <c r="Y5240" s="372">
        <v>0.0</v>
      </c>
      <c r="Z5240" s="372">
        <v>0.0</v>
      </c>
    </row>
    <row r="5241">
      <c r="Y5241" s="372">
        <v>0.0</v>
      </c>
      <c r="Z5241" s="372">
        <v>0.0</v>
      </c>
    </row>
    <row r="5242">
      <c r="Y5242" s="372">
        <v>0.0</v>
      </c>
      <c r="Z5242" s="372">
        <v>0.0</v>
      </c>
    </row>
    <row r="5243">
      <c r="Y5243" s="372">
        <v>0.0</v>
      </c>
      <c r="Z5243" s="372">
        <v>0.0</v>
      </c>
    </row>
    <row r="5244">
      <c r="Y5244" s="372">
        <v>0.0</v>
      </c>
      <c r="Z5244" s="372">
        <v>0.0</v>
      </c>
    </row>
    <row r="5245">
      <c r="Y5245" s="372">
        <v>0.0</v>
      </c>
      <c r="Z5245" s="372">
        <v>0.0</v>
      </c>
    </row>
    <row r="5246">
      <c r="Y5246" s="372">
        <v>0.0</v>
      </c>
      <c r="Z5246" s="372">
        <v>0.0</v>
      </c>
    </row>
    <row r="5247">
      <c r="Y5247" s="372">
        <v>0.0</v>
      </c>
      <c r="Z5247" s="372">
        <v>0.0</v>
      </c>
    </row>
    <row r="5248">
      <c r="Y5248" s="372">
        <v>0.0</v>
      </c>
      <c r="Z5248" s="372">
        <v>0.0</v>
      </c>
    </row>
    <row r="5249">
      <c r="Y5249" s="372">
        <v>0.0</v>
      </c>
      <c r="Z5249" s="372">
        <v>0.0</v>
      </c>
    </row>
    <row r="5250">
      <c r="Y5250" s="372">
        <v>0.0</v>
      </c>
      <c r="Z5250" s="372">
        <v>0.0</v>
      </c>
    </row>
    <row r="5251">
      <c r="Y5251" s="372">
        <v>0.0</v>
      </c>
      <c r="Z5251" s="372">
        <v>0.0</v>
      </c>
    </row>
    <row r="5252">
      <c r="Y5252" s="372">
        <v>0.0</v>
      </c>
      <c r="Z5252" s="372">
        <v>0.0</v>
      </c>
    </row>
    <row r="5253">
      <c r="Y5253" s="372">
        <v>0.0</v>
      </c>
      <c r="Z5253" s="372">
        <v>0.0</v>
      </c>
    </row>
    <row r="5254">
      <c r="Y5254" s="372">
        <v>0.0</v>
      </c>
      <c r="Z5254" s="372">
        <v>0.0</v>
      </c>
    </row>
    <row r="5255">
      <c r="Y5255" s="372">
        <v>0.0</v>
      </c>
      <c r="Z5255" s="372">
        <v>0.0</v>
      </c>
    </row>
    <row r="5256">
      <c r="Y5256" s="372">
        <v>0.0</v>
      </c>
      <c r="Z5256" s="372">
        <v>0.0</v>
      </c>
    </row>
    <row r="5257">
      <c r="Y5257" s="372">
        <v>0.0</v>
      </c>
      <c r="Z5257" s="372">
        <v>0.0</v>
      </c>
    </row>
    <row r="5258">
      <c r="Y5258" s="372">
        <v>0.0</v>
      </c>
      <c r="Z5258" s="372">
        <v>0.0</v>
      </c>
    </row>
    <row r="5259">
      <c r="Y5259" s="372">
        <v>0.0</v>
      </c>
      <c r="Z5259" s="372">
        <v>0.0</v>
      </c>
    </row>
    <row r="5260">
      <c r="Y5260" s="372">
        <v>0.0</v>
      </c>
      <c r="Z5260" s="372">
        <v>0.0</v>
      </c>
    </row>
    <row r="5261">
      <c r="Y5261" s="372">
        <v>0.0</v>
      </c>
      <c r="Z5261" s="372">
        <v>0.0</v>
      </c>
    </row>
    <row r="5262">
      <c r="Y5262" s="372">
        <v>0.0</v>
      </c>
      <c r="Z5262" s="372">
        <v>0.0</v>
      </c>
    </row>
    <row r="5263">
      <c r="Y5263" s="372">
        <v>0.0</v>
      </c>
      <c r="Z5263" s="372">
        <v>0.0</v>
      </c>
    </row>
    <row r="5264">
      <c r="Y5264" s="372">
        <v>0.0</v>
      </c>
      <c r="Z5264" s="372">
        <v>0.0</v>
      </c>
    </row>
    <row r="5265">
      <c r="Y5265" s="372">
        <v>0.0</v>
      </c>
      <c r="Z5265" s="372">
        <v>0.0</v>
      </c>
    </row>
    <row r="5266">
      <c r="Y5266" s="372">
        <v>0.0</v>
      </c>
      <c r="Z5266" s="372">
        <v>0.0</v>
      </c>
    </row>
    <row r="5267">
      <c r="Y5267" s="372">
        <v>0.0</v>
      </c>
      <c r="Z5267" s="372">
        <v>0.0</v>
      </c>
    </row>
    <row r="5268">
      <c r="Y5268" s="372">
        <v>0.0</v>
      </c>
      <c r="Z5268" s="372">
        <v>0.0</v>
      </c>
    </row>
    <row r="5269">
      <c r="Y5269" s="372">
        <v>0.0</v>
      </c>
      <c r="Z5269" s="372">
        <v>0.0</v>
      </c>
    </row>
    <row r="5270">
      <c r="Y5270" s="372">
        <v>0.0</v>
      </c>
      <c r="Z5270" s="372">
        <v>0.0</v>
      </c>
    </row>
    <row r="5271">
      <c r="Y5271" s="372">
        <v>0.0</v>
      </c>
      <c r="Z5271" s="372">
        <v>0.0</v>
      </c>
    </row>
    <row r="5272">
      <c r="Y5272" s="372">
        <v>0.0</v>
      </c>
      <c r="Z5272" s="372">
        <v>0.0</v>
      </c>
    </row>
    <row r="5273">
      <c r="Y5273" s="372">
        <v>0.0</v>
      </c>
      <c r="Z5273" s="372">
        <v>0.0</v>
      </c>
    </row>
    <row r="5274">
      <c r="Y5274" s="372">
        <v>0.0</v>
      </c>
      <c r="Z5274" s="372">
        <v>0.0</v>
      </c>
    </row>
    <row r="5275">
      <c r="Y5275" s="372">
        <v>0.0</v>
      </c>
      <c r="Z5275" s="372">
        <v>0.0</v>
      </c>
    </row>
    <row r="5276">
      <c r="Y5276" s="372">
        <v>0.0</v>
      </c>
      <c r="Z5276" s="372">
        <v>0.0</v>
      </c>
    </row>
    <row r="5277">
      <c r="Y5277" s="372">
        <v>0.0</v>
      </c>
      <c r="Z5277" s="372">
        <v>0.0</v>
      </c>
    </row>
    <row r="5278">
      <c r="Y5278" s="372">
        <v>0.0</v>
      </c>
      <c r="Z5278" s="372">
        <v>0.0</v>
      </c>
    </row>
    <row r="5279">
      <c r="Y5279" s="372">
        <v>0.0</v>
      </c>
      <c r="Z5279" s="372">
        <v>0.0</v>
      </c>
    </row>
    <row r="5280">
      <c r="Y5280" s="372">
        <v>0.0</v>
      </c>
      <c r="Z5280" s="372">
        <v>0.0</v>
      </c>
    </row>
    <row r="5281">
      <c r="Y5281" s="372">
        <v>0.0</v>
      </c>
      <c r="Z5281" s="372">
        <v>0.0</v>
      </c>
    </row>
    <row r="5282">
      <c r="Y5282" s="372">
        <v>0.0</v>
      </c>
      <c r="Z5282" s="372">
        <v>0.0</v>
      </c>
    </row>
    <row r="5283">
      <c r="Y5283" s="372">
        <v>0.0</v>
      </c>
      <c r="Z5283" s="372">
        <v>0.0</v>
      </c>
    </row>
    <row r="5284">
      <c r="Y5284" s="372">
        <v>0.0</v>
      </c>
      <c r="Z5284" s="372">
        <v>0.0</v>
      </c>
    </row>
    <row r="5285">
      <c r="Y5285" s="372">
        <v>0.0</v>
      </c>
      <c r="Z5285" s="372">
        <v>0.0</v>
      </c>
    </row>
    <row r="5286">
      <c r="Y5286" s="372">
        <v>0.0</v>
      </c>
      <c r="Z5286" s="372">
        <v>0.0</v>
      </c>
    </row>
    <row r="5287">
      <c r="Y5287" s="372">
        <v>0.0</v>
      </c>
      <c r="Z5287" s="372">
        <v>0.0</v>
      </c>
    </row>
    <row r="5288">
      <c r="Y5288" s="372">
        <v>0.0</v>
      </c>
      <c r="Z5288" s="372">
        <v>0.0</v>
      </c>
    </row>
    <row r="5289">
      <c r="Y5289" s="372">
        <v>0.0</v>
      </c>
      <c r="Z5289" s="372">
        <v>0.0</v>
      </c>
    </row>
    <row r="5290">
      <c r="Y5290" s="372">
        <v>0.0</v>
      </c>
      <c r="Z5290" s="372">
        <v>0.0</v>
      </c>
    </row>
    <row r="5291">
      <c r="Y5291" s="372">
        <v>0.0</v>
      </c>
      <c r="Z5291" s="372">
        <v>0.0</v>
      </c>
    </row>
    <row r="5292">
      <c r="Y5292" s="372">
        <v>0.0</v>
      </c>
      <c r="Z5292" s="372">
        <v>0.0</v>
      </c>
    </row>
    <row r="5293">
      <c r="Y5293" s="372">
        <v>0.0</v>
      </c>
      <c r="Z5293" s="372">
        <v>0.0</v>
      </c>
    </row>
    <row r="5294">
      <c r="Y5294" s="372">
        <v>0.0</v>
      </c>
      <c r="Z5294" s="372">
        <v>0.0</v>
      </c>
    </row>
    <row r="5295">
      <c r="Y5295" s="372">
        <v>0.0</v>
      </c>
      <c r="Z5295" s="372">
        <v>0.0</v>
      </c>
    </row>
    <row r="5296">
      <c r="Y5296" s="372">
        <v>0.0</v>
      </c>
      <c r="Z5296" s="372">
        <v>0.0</v>
      </c>
    </row>
    <row r="5297">
      <c r="Y5297" s="372">
        <v>0.0</v>
      </c>
      <c r="Z5297" s="372">
        <v>0.0</v>
      </c>
    </row>
    <row r="5298">
      <c r="Y5298" s="372">
        <v>0.0</v>
      </c>
      <c r="Z5298" s="372">
        <v>0.0</v>
      </c>
    </row>
    <row r="5299">
      <c r="Y5299" s="372">
        <v>0.0</v>
      </c>
      <c r="Z5299" s="372">
        <v>0.0</v>
      </c>
    </row>
    <row r="5300">
      <c r="Y5300" s="372">
        <v>0.0</v>
      </c>
      <c r="Z5300" s="372">
        <v>0.0</v>
      </c>
    </row>
    <row r="5301">
      <c r="Y5301" s="372">
        <v>0.0</v>
      </c>
      <c r="Z5301" s="372">
        <v>0.0</v>
      </c>
    </row>
    <row r="5302">
      <c r="Y5302" s="372">
        <v>0.0</v>
      </c>
      <c r="Z5302" s="372">
        <v>0.0</v>
      </c>
    </row>
    <row r="5303">
      <c r="Y5303" s="372">
        <v>0.0</v>
      </c>
      <c r="Z5303" s="372">
        <v>0.0</v>
      </c>
    </row>
    <row r="5304">
      <c r="Y5304" s="372">
        <v>0.0</v>
      </c>
      <c r="Z5304" s="372">
        <v>0.0</v>
      </c>
    </row>
    <row r="5305">
      <c r="Y5305" s="372">
        <v>0.0</v>
      </c>
      <c r="Z5305" s="372">
        <v>0.0</v>
      </c>
    </row>
    <row r="5306">
      <c r="Y5306" s="372">
        <v>0.0</v>
      </c>
      <c r="Z5306" s="372">
        <v>0.0</v>
      </c>
    </row>
    <row r="5307">
      <c r="Y5307" s="372">
        <v>0.0</v>
      </c>
      <c r="Z5307" s="372">
        <v>0.0</v>
      </c>
    </row>
    <row r="5308">
      <c r="Y5308" s="372">
        <v>0.0</v>
      </c>
      <c r="Z5308" s="372">
        <v>0.0</v>
      </c>
    </row>
    <row r="5309">
      <c r="Y5309" s="372">
        <v>0.0</v>
      </c>
      <c r="Z5309" s="372">
        <v>0.0</v>
      </c>
    </row>
    <row r="5310">
      <c r="Y5310" s="372">
        <v>0.0</v>
      </c>
      <c r="Z5310" s="372">
        <v>0.0</v>
      </c>
    </row>
    <row r="5311">
      <c r="Y5311" s="372">
        <v>0.0</v>
      </c>
      <c r="Z5311" s="372">
        <v>0.0</v>
      </c>
    </row>
    <row r="5312">
      <c r="Y5312" s="372">
        <v>0.0</v>
      </c>
      <c r="Z5312" s="372">
        <v>0.0</v>
      </c>
    </row>
    <row r="5313">
      <c r="Y5313" s="372">
        <v>0.0</v>
      </c>
      <c r="Z5313" s="372">
        <v>0.0</v>
      </c>
    </row>
    <row r="5314">
      <c r="Y5314" s="372">
        <v>0.0</v>
      </c>
      <c r="Z5314" s="372">
        <v>0.0</v>
      </c>
    </row>
    <row r="5315">
      <c r="Y5315" s="372">
        <v>0.0</v>
      </c>
      <c r="Z5315" s="372">
        <v>0.0</v>
      </c>
    </row>
    <row r="5316">
      <c r="Y5316" s="372">
        <v>0.0</v>
      </c>
      <c r="Z5316" s="372">
        <v>0.0</v>
      </c>
    </row>
    <row r="5317">
      <c r="Y5317" s="372">
        <v>0.0</v>
      </c>
      <c r="Z5317" s="372">
        <v>0.0</v>
      </c>
    </row>
    <row r="5318">
      <c r="Y5318" s="372">
        <v>0.0</v>
      </c>
      <c r="Z5318" s="372">
        <v>0.0</v>
      </c>
    </row>
    <row r="5319">
      <c r="Y5319" s="372">
        <v>0.0</v>
      </c>
      <c r="Z5319" s="372">
        <v>0.0</v>
      </c>
    </row>
    <row r="5320">
      <c r="Y5320" s="372">
        <v>0.0</v>
      </c>
      <c r="Z5320" s="372">
        <v>0.0</v>
      </c>
    </row>
    <row r="5321">
      <c r="Y5321" s="372">
        <v>0.0</v>
      </c>
      <c r="Z5321" s="372">
        <v>0.0</v>
      </c>
    </row>
    <row r="5322">
      <c r="Y5322" s="372">
        <v>0.0</v>
      </c>
      <c r="Z5322" s="372">
        <v>0.0</v>
      </c>
    </row>
    <row r="5323">
      <c r="Y5323" s="372">
        <v>0.0</v>
      </c>
      <c r="Z5323" s="372">
        <v>0.0</v>
      </c>
    </row>
    <row r="5324">
      <c r="Y5324" s="372">
        <v>0.0</v>
      </c>
      <c r="Z5324" s="372">
        <v>0.0</v>
      </c>
    </row>
    <row r="5325">
      <c r="Y5325" s="372">
        <v>0.0</v>
      </c>
      <c r="Z5325" s="372">
        <v>0.0</v>
      </c>
    </row>
    <row r="5326">
      <c r="Y5326" s="372">
        <v>0.0</v>
      </c>
      <c r="Z5326" s="372">
        <v>0.0</v>
      </c>
    </row>
    <row r="5327">
      <c r="Y5327" s="372">
        <v>0.0</v>
      </c>
      <c r="Z5327" s="372">
        <v>0.0</v>
      </c>
    </row>
    <row r="5328">
      <c r="Y5328" s="372">
        <v>0.0</v>
      </c>
      <c r="Z5328" s="372">
        <v>0.0</v>
      </c>
    </row>
    <row r="5329">
      <c r="Y5329" s="372">
        <v>0.0</v>
      </c>
      <c r="Z5329" s="372">
        <v>0.0</v>
      </c>
    </row>
    <row r="5330">
      <c r="Y5330" s="372">
        <v>0.0</v>
      </c>
      <c r="Z5330" s="372">
        <v>0.0</v>
      </c>
    </row>
    <row r="5331">
      <c r="Y5331" s="372">
        <v>0.0</v>
      </c>
      <c r="Z5331" s="372">
        <v>0.0</v>
      </c>
    </row>
    <row r="5332">
      <c r="Y5332" s="372">
        <v>0.0</v>
      </c>
      <c r="Z5332" s="372">
        <v>0.0</v>
      </c>
    </row>
    <row r="5333">
      <c r="Y5333" s="372">
        <v>0.0</v>
      </c>
      <c r="Z5333" s="372">
        <v>0.0</v>
      </c>
    </row>
    <row r="5334">
      <c r="Y5334" s="372">
        <v>0.0</v>
      </c>
      <c r="Z5334" s="372">
        <v>0.0</v>
      </c>
    </row>
    <row r="5335">
      <c r="Y5335" s="372">
        <v>0.0</v>
      </c>
      <c r="Z5335" s="372">
        <v>0.0</v>
      </c>
    </row>
    <row r="5336">
      <c r="Y5336" s="372">
        <v>0.0</v>
      </c>
      <c r="Z5336" s="372">
        <v>0.0</v>
      </c>
    </row>
    <row r="5337">
      <c r="Y5337" s="372">
        <v>0.0</v>
      </c>
      <c r="Z5337" s="372">
        <v>0.0</v>
      </c>
    </row>
    <row r="5338">
      <c r="Y5338" s="372">
        <v>0.0</v>
      </c>
      <c r="Z5338" s="372">
        <v>0.0</v>
      </c>
    </row>
    <row r="5339">
      <c r="Y5339" s="372">
        <v>0.0</v>
      </c>
      <c r="Z5339" s="372">
        <v>0.0</v>
      </c>
    </row>
    <row r="5340">
      <c r="Y5340" s="372">
        <v>0.0</v>
      </c>
      <c r="Z5340" s="372">
        <v>0.0</v>
      </c>
    </row>
    <row r="5341">
      <c r="Y5341" s="372">
        <v>0.0</v>
      </c>
      <c r="Z5341" s="372">
        <v>0.0</v>
      </c>
    </row>
    <row r="5342">
      <c r="Y5342" s="372">
        <v>0.0</v>
      </c>
      <c r="Z5342" s="372">
        <v>0.0</v>
      </c>
    </row>
    <row r="5343">
      <c r="Y5343" s="372">
        <v>0.0</v>
      </c>
      <c r="Z5343" s="372">
        <v>0.0</v>
      </c>
    </row>
    <row r="5344">
      <c r="Y5344" s="372">
        <v>0.0</v>
      </c>
      <c r="Z5344" s="372">
        <v>0.0</v>
      </c>
    </row>
    <row r="5345">
      <c r="Y5345" s="372">
        <v>0.0</v>
      </c>
      <c r="Z5345" s="372">
        <v>0.0</v>
      </c>
    </row>
    <row r="5346">
      <c r="Y5346" s="372">
        <v>0.0</v>
      </c>
      <c r="Z5346" s="372">
        <v>0.0</v>
      </c>
    </row>
    <row r="5347">
      <c r="Y5347" s="372">
        <v>0.0</v>
      </c>
      <c r="Z5347" s="372">
        <v>0.0</v>
      </c>
    </row>
    <row r="5348">
      <c r="Y5348" s="372">
        <v>0.0</v>
      </c>
      <c r="Z5348" s="372">
        <v>0.0</v>
      </c>
    </row>
    <row r="5349">
      <c r="Y5349" s="372">
        <v>0.0</v>
      </c>
      <c r="Z5349" s="372">
        <v>0.0</v>
      </c>
    </row>
    <row r="5350">
      <c r="Y5350" s="372">
        <v>0.0</v>
      </c>
      <c r="Z5350" s="372">
        <v>0.0</v>
      </c>
    </row>
    <row r="5351">
      <c r="Y5351" s="372">
        <v>0.0</v>
      </c>
      <c r="Z5351" s="372">
        <v>0.0</v>
      </c>
    </row>
    <row r="5352">
      <c r="Y5352" s="372">
        <v>0.0</v>
      </c>
      <c r="Z5352" s="372">
        <v>0.0</v>
      </c>
    </row>
    <row r="5353">
      <c r="Y5353" s="372">
        <v>0.0</v>
      </c>
      <c r="Z5353" s="372">
        <v>0.0</v>
      </c>
    </row>
    <row r="5354">
      <c r="Y5354" s="372">
        <v>0.0</v>
      </c>
      <c r="Z5354" s="372">
        <v>0.0</v>
      </c>
    </row>
    <row r="5355">
      <c r="Y5355" s="372">
        <v>0.0</v>
      </c>
      <c r="Z5355" s="372">
        <v>0.0</v>
      </c>
    </row>
    <row r="5356">
      <c r="Y5356" s="372">
        <v>0.0</v>
      </c>
      <c r="Z5356" s="372">
        <v>0.0</v>
      </c>
    </row>
    <row r="5357">
      <c r="Y5357" s="372">
        <v>0.0</v>
      </c>
      <c r="Z5357" s="372">
        <v>0.0</v>
      </c>
    </row>
    <row r="5358">
      <c r="Y5358" s="372">
        <v>0.0</v>
      </c>
      <c r="Z5358" s="372">
        <v>0.0</v>
      </c>
    </row>
    <row r="5359">
      <c r="Y5359" s="372">
        <v>0.0</v>
      </c>
      <c r="Z5359" s="372">
        <v>0.0</v>
      </c>
    </row>
    <row r="5360">
      <c r="Y5360" s="372">
        <v>0.0</v>
      </c>
      <c r="Z5360" s="372">
        <v>0.0</v>
      </c>
    </row>
    <row r="5361">
      <c r="Y5361" s="372">
        <v>0.0</v>
      </c>
      <c r="Z5361" s="372">
        <v>0.0</v>
      </c>
    </row>
    <row r="5362">
      <c r="Y5362" s="372">
        <v>0.0</v>
      </c>
      <c r="Z5362" s="372">
        <v>0.0</v>
      </c>
    </row>
    <row r="5363">
      <c r="Y5363" s="372">
        <v>0.0</v>
      </c>
      <c r="Z5363" s="372">
        <v>0.0</v>
      </c>
    </row>
    <row r="5364">
      <c r="Y5364" s="372">
        <v>0.0</v>
      </c>
      <c r="Z5364" s="372">
        <v>0.0</v>
      </c>
    </row>
    <row r="5365">
      <c r="Y5365" s="372">
        <v>0.0</v>
      </c>
      <c r="Z5365" s="372">
        <v>0.0</v>
      </c>
    </row>
    <row r="5366">
      <c r="Y5366" s="372">
        <v>0.0</v>
      </c>
      <c r="Z5366" s="372">
        <v>0.0</v>
      </c>
    </row>
    <row r="5367">
      <c r="Y5367" s="372">
        <v>0.0</v>
      </c>
      <c r="Z5367" s="372">
        <v>0.0</v>
      </c>
    </row>
    <row r="5368">
      <c r="Y5368" s="372">
        <v>0.0</v>
      </c>
      <c r="Z5368" s="372">
        <v>0.0</v>
      </c>
    </row>
    <row r="5369">
      <c r="Y5369" s="372">
        <v>0.0</v>
      </c>
      <c r="Z5369" s="372">
        <v>0.0</v>
      </c>
    </row>
    <row r="5370">
      <c r="Y5370" s="372">
        <v>0.0</v>
      </c>
      <c r="Z5370" s="372">
        <v>0.0</v>
      </c>
    </row>
    <row r="5371">
      <c r="Y5371" s="372">
        <v>0.0</v>
      </c>
      <c r="Z5371" s="372">
        <v>0.0</v>
      </c>
    </row>
    <row r="5372">
      <c r="Y5372" s="372">
        <v>0.0</v>
      </c>
      <c r="Z5372" s="372">
        <v>0.0</v>
      </c>
    </row>
    <row r="5373">
      <c r="Y5373" s="372">
        <v>0.0</v>
      </c>
      <c r="Z5373" s="372">
        <v>0.0</v>
      </c>
    </row>
    <row r="5374">
      <c r="Y5374" s="372">
        <v>0.0</v>
      </c>
      <c r="Z5374" s="372">
        <v>0.0</v>
      </c>
    </row>
    <row r="5375">
      <c r="Y5375" s="372">
        <v>0.0</v>
      </c>
      <c r="Z5375" s="372">
        <v>0.0</v>
      </c>
    </row>
    <row r="5376">
      <c r="Y5376" s="372">
        <v>0.0</v>
      </c>
      <c r="Z5376" s="372">
        <v>0.0</v>
      </c>
    </row>
    <row r="5377">
      <c r="Y5377" s="372">
        <v>0.0</v>
      </c>
      <c r="Z5377" s="372">
        <v>0.0</v>
      </c>
    </row>
    <row r="5378">
      <c r="Y5378" s="372">
        <v>0.0</v>
      </c>
      <c r="Z5378" s="372">
        <v>0.0</v>
      </c>
    </row>
    <row r="5379">
      <c r="Y5379" s="372">
        <v>0.0</v>
      </c>
      <c r="Z5379" s="372">
        <v>0.0</v>
      </c>
    </row>
    <row r="5380">
      <c r="Y5380" s="372">
        <v>0.0</v>
      </c>
      <c r="Z5380" s="372">
        <v>0.0</v>
      </c>
    </row>
    <row r="5381">
      <c r="Y5381" s="372">
        <v>0.0</v>
      </c>
      <c r="Z5381" s="372">
        <v>0.0</v>
      </c>
    </row>
    <row r="5382">
      <c r="Y5382" s="372">
        <v>0.0</v>
      </c>
      <c r="Z5382" s="372">
        <v>0.0</v>
      </c>
    </row>
    <row r="5383">
      <c r="Y5383" s="372">
        <v>0.0</v>
      </c>
      <c r="Z5383" s="372">
        <v>0.0</v>
      </c>
    </row>
    <row r="5384">
      <c r="Y5384" s="372">
        <v>0.0</v>
      </c>
      <c r="Z5384" s="372">
        <v>0.0</v>
      </c>
    </row>
    <row r="5385">
      <c r="Y5385" s="372">
        <v>0.0</v>
      </c>
      <c r="Z5385" s="372">
        <v>0.0</v>
      </c>
    </row>
    <row r="5386">
      <c r="Y5386" s="372">
        <v>0.0</v>
      </c>
      <c r="Z5386" s="372">
        <v>0.0</v>
      </c>
    </row>
    <row r="5387">
      <c r="Y5387" s="372">
        <v>0.0</v>
      </c>
      <c r="Z5387" s="372">
        <v>0.0</v>
      </c>
    </row>
    <row r="5388">
      <c r="Y5388" s="372">
        <v>0.0</v>
      </c>
      <c r="Z5388" s="372">
        <v>0.0</v>
      </c>
    </row>
    <row r="5389">
      <c r="Y5389" s="372">
        <v>0.0</v>
      </c>
      <c r="Z5389" s="372">
        <v>0.0</v>
      </c>
    </row>
    <row r="5390">
      <c r="Y5390" s="372">
        <v>0.0</v>
      </c>
      <c r="Z5390" s="372">
        <v>0.0</v>
      </c>
    </row>
    <row r="5391">
      <c r="Y5391" s="372">
        <v>0.0</v>
      </c>
      <c r="Z5391" s="372">
        <v>0.0</v>
      </c>
    </row>
    <row r="5392">
      <c r="Y5392" s="372">
        <v>0.0</v>
      </c>
      <c r="Z5392" s="372">
        <v>0.0</v>
      </c>
    </row>
    <row r="5393">
      <c r="Y5393" s="372">
        <v>0.0</v>
      </c>
      <c r="Z5393" s="372">
        <v>0.0</v>
      </c>
    </row>
    <row r="5394">
      <c r="Y5394" s="372">
        <v>0.0</v>
      </c>
      <c r="Z5394" s="372">
        <v>0.0</v>
      </c>
    </row>
    <row r="5395">
      <c r="Y5395" s="372">
        <v>0.0</v>
      </c>
      <c r="Z5395" s="372">
        <v>0.0</v>
      </c>
    </row>
    <row r="5396">
      <c r="Y5396" s="372">
        <v>0.0</v>
      </c>
      <c r="Z5396" s="372">
        <v>0.0</v>
      </c>
    </row>
    <row r="5397">
      <c r="Y5397" s="372">
        <v>0.0</v>
      </c>
      <c r="Z5397" s="372">
        <v>0.0</v>
      </c>
    </row>
    <row r="5398">
      <c r="Y5398" s="372">
        <v>0.0</v>
      </c>
      <c r="Z5398" s="372">
        <v>0.0</v>
      </c>
    </row>
    <row r="5399">
      <c r="Y5399" s="372">
        <v>0.0</v>
      </c>
      <c r="Z5399" s="372">
        <v>0.0</v>
      </c>
    </row>
    <row r="5400">
      <c r="Y5400" s="372">
        <v>0.0</v>
      </c>
      <c r="Z5400" s="372">
        <v>0.0</v>
      </c>
    </row>
    <row r="5401">
      <c r="Y5401" s="372">
        <v>0.0</v>
      </c>
      <c r="Z5401" s="372">
        <v>0.0</v>
      </c>
    </row>
    <row r="5402">
      <c r="Y5402" s="372">
        <v>0.0</v>
      </c>
      <c r="Z5402" s="372">
        <v>0.0</v>
      </c>
    </row>
    <row r="5403">
      <c r="Y5403" s="372">
        <v>0.0</v>
      </c>
      <c r="Z5403" s="372">
        <v>0.0</v>
      </c>
    </row>
    <row r="5404">
      <c r="Y5404" s="372">
        <v>0.0</v>
      </c>
      <c r="Z5404" s="372">
        <v>0.0</v>
      </c>
    </row>
    <row r="5405">
      <c r="Y5405" s="372">
        <v>0.0</v>
      </c>
      <c r="Z5405" s="372">
        <v>0.0</v>
      </c>
    </row>
    <row r="5406">
      <c r="Y5406" s="372">
        <v>0.0</v>
      </c>
      <c r="Z5406" s="372">
        <v>0.0</v>
      </c>
    </row>
    <row r="5407">
      <c r="Y5407" s="372">
        <v>0.0</v>
      </c>
      <c r="Z5407" s="372">
        <v>0.0</v>
      </c>
    </row>
    <row r="5408">
      <c r="Y5408" s="372">
        <v>0.0</v>
      </c>
      <c r="Z5408" s="372">
        <v>0.0</v>
      </c>
    </row>
    <row r="5409">
      <c r="Y5409" s="372">
        <v>0.0</v>
      </c>
      <c r="Z5409" s="372">
        <v>0.0</v>
      </c>
    </row>
    <row r="5410">
      <c r="Y5410" s="372">
        <v>0.0</v>
      </c>
      <c r="Z5410" s="372">
        <v>0.0</v>
      </c>
    </row>
    <row r="5411">
      <c r="Y5411" s="372">
        <v>0.0</v>
      </c>
      <c r="Z5411" s="372">
        <v>0.0</v>
      </c>
    </row>
    <row r="5412">
      <c r="Y5412" s="372">
        <v>0.0</v>
      </c>
      <c r="Z5412" s="372">
        <v>0.0</v>
      </c>
    </row>
    <row r="5413">
      <c r="Y5413" s="372">
        <v>0.0</v>
      </c>
      <c r="Z5413" s="372">
        <v>0.0</v>
      </c>
    </row>
    <row r="5414">
      <c r="Y5414" s="372">
        <v>0.0</v>
      </c>
      <c r="Z5414" s="372">
        <v>0.0</v>
      </c>
    </row>
    <row r="5415">
      <c r="Y5415" s="372">
        <v>0.0</v>
      </c>
      <c r="Z5415" s="372">
        <v>0.0</v>
      </c>
    </row>
    <row r="5416">
      <c r="Y5416" s="372">
        <v>0.0</v>
      </c>
      <c r="Z5416" s="372">
        <v>0.0</v>
      </c>
    </row>
    <row r="5417">
      <c r="Y5417" s="372">
        <v>0.0</v>
      </c>
      <c r="Z5417" s="372">
        <v>0.0</v>
      </c>
    </row>
    <row r="5418">
      <c r="Y5418" s="372">
        <v>0.0</v>
      </c>
      <c r="Z5418" s="372">
        <v>0.0</v>
      </c>
    </row>
    <row r="5419">
      <c r="Y5419" s="372">
        <v>0.0</v>
      </c>
      <c r="Z5419" s="372">
        <v>0.0</v>
      </c>
    </row>
    <row r="5420">
      <c r="Y5420" s="372">
        <v>0.0</v>
      </c>
      <c r="Z5420" s="372">
        <v>0.0</v>
      </c>
    </row>
    <row r="5421">
      <c r="Y5421" s="372">
        <v>0.0</v>
      </c>
      <c r="Z5421" s="372">
        <v>0.0</v>
      </c>
    </row>
    <row r="5422">
      <c r="Y5422" s="372">
        <v>0.0</v>
      </c>
      <c r="Z5422" s="372">
        <v>0.0</v>
      </c>
    </row>
    <row r="5423">
      <c r="Y5423" s="372">
        <v>0.0</v>
      </c>
      <c r="Z5423" s="372">
        <v>0.0</v>
      </c>
    </row>
    <row r="5424">
      <c r="Y5424" s="372">
        <v>0.0</v>
      </c>
      <c r="Z5424" s="372">
        <v>0.0</v>
      </c>
    </row>
    <row r="5425">
      <c r="Y5425" s="372">
        <v>0.0</v>
      </c>
      <c r="Z5425" s="372">
        <v>0.0</v>
      </c>
    </row>
    <row r="5426">
      <c r="Y5426" s="372">
        <v>0.0</v>
      </c>
      <c r="Z5426" s="372">
        <v>0.0</v>
      </c>
    </row>
    <row r="5427">
      <c r="Y5427" s="372">
        <v>0.0</v>
      </c>
      <c r="Z5427" s="372">
        <v>0.0</v>
      </c>
    </row>
    <row r="5428">
      <c r="Y5428" s="372">
        <v>0.0</v>
      </c>
      <c r="Z5428" s="372">
        <v>0.0</v>
      </c>
    </row>
    <row r="5429">
      <c r="Y5429" s="372">
        <v>0.0</v>
      </c>
      <c r="Z5429" s="372">
        <v>0.0</v>
      </c>
    </row>
    <row r="5430">
      <c r="Y5430" s="372">
        <v>0.0</v>
      </c>
      <c r="Z5430" s="372">
        <v>0.0</v>
      </c>
    </row>
    <row r="5431">
      <c r="Y5431" s="372">
        <v>0.0</v>
      </c>
      <c r="Z5431" s="372">
        <v>0.0</v>
      </c>
    </row>
    <row r="5432">
      <c r="Y5432" s="372">
        <v>0.0</v>
      </c>
      <c r="Z5432" s="372">
        <v>0.0</v>
      </c>
    </row>
    <row r="5433">
      <c r="Y5433" s="372">
        <v>0.0</v>
      </c>
      <c r="Z5433" s="372">
        <v>0.0</v>
      </c>
    </row>
    <row r="5434">
      <c r="Y5434" s="372">
        <v>0.0</v>
      </c>
      <c r="Z5434" s="372">
        <v>0.0</v>
      </c>
    </row>
    <row r="5435">
      <c r="Y5435" s="372">
        <v>0.0</v>
      </c>
      <c r="Z5435" s="372">
        <v>0.0</v>
      </c>
    </row>
    <row r="5436">
      <c r="Y5436" s="372">
        <v>0.0</v>
      </c>
      <c r="Z5436" s="372">
        <v>0.0</v>
      </c>
    </row>
    <row r="5437">
      <c r="Y5437" s="372">
        <v>0.0</v>
      </c>
      <c r="Z5437" s="372">
        <v>0.0</v>
      </c>
    </row>
    <row r="5438">
      <c r="Y5438" s="372">
        <v>0.0</v>
      </c>
      <c r="Z5438" s="372">
        <v>0.0</v>
      </c>
    </row>
    <row r="5439">
      <c r="Y5439" s="372">
        <v>0.0</v>
      </c>
      <c r="Z5439" s="372">
        <v>0.0</v>
      </c>
    </row>
    <row r="5440">
      <c r="Y5440" s="372">
        <v>0.0</v>
      </c>
      <c r="Z5440" s="372">
        <v>0.0</v>
      </c>
    </row>
    <row r="5441">
      <c r="Y5441" s="372">
        <v>0.0</v>
      </c>
      <c r="Z5441" s="372">
        <v>0.0</v>
      </c>
    </row>
    <row r="5442">
      <c r="Y5442" s="372">
        <v>0.0</v>
      </c>
      <c r="Z5442" s="372">
        <v>0.0</v>
      </c>
    </row>
    <row r="5443">
      <c r="Y5443" s="372">
        <v>0.0</v>
      </c>
      <c r="Z5443" s="372">
        <v>0.0</v>
      </c>
    </row>
    <row r="5444">
      <c r="Y5444" s="372">
        <v>0.0</v>
      </c>
      <c r="Z5444" s="372">
        <v>0.0</v>
      </c>
    </row>
    <row r="5445">
      <c r="Y5445" s="372">
        <v>0.0</v>
      </c>
      <c r="Z5445" s="372">
        <v>0.0</v>
      </c>
    </row>
    <row r="5446">
      <c r="Y5446" s="372">
        <v>0.0</v>
      </c>
      <c r="Z5446" s="372">
        <v>0.0</v>
      </c>
    </row>
    <row r="5447">
      <c r="Y5447" s="372">
        <v>0.0</v>
      </c>
      <c r="Z5447" s="372">
        <v>0.0</v>
      </c>
    </row>
    <row r="5448">
      <c r="Y5448" s="372">
        <v>0.0</v>
      </c>
      <c r="Z5448" s="372">
        <v>0.0</v>
      </c>
    </row>
    <row r="5449">
      <c r="Y5449" s="372">
        <v>0.0</v>
      </c>
      <c r="Z5449" s="372">
        <v>0.0</v>
      </c>
    </row>
    <row r="5450">
      <c r="Y5450" s="372">
        <v>0.0</v>
      </c>
      <c r="Z5450" s="372">
        <v>0.0</v>
      </c>
    </row>
    <row r="5451">
      <c r="Y5451" s="372">
        <v>0.0</v>
      </c>
      <c r="Z5451" s="372">
        <v>0.0</v>
      </c>
    </row>
    <row r="5452">
      <c r="Y5452" s="372">
        <v>0.0</v>
      </c>
      <c r="Z5452" s="372">
        <v>0.0</v>
      </c>
    </row>
    <row r="5453">
      <c r="Y5453" s="372">
        <v>0.0</v>
      </c>
      <c r="Z5453" s="372">
        <v>0.0</v>
      </c>
    </row>
    <row r="5454">
      <c r="Y5454" s="372">
        <v>0.0</v>
      </c>
      <c r="Z5454" s="372">
        <v>0.0</v>
      </c>
    </row>
    <row r="5455">
      <c r="Y5455" s="372">
        <v>0.0</v>
      </c>
      <c r="Z5455" s="372">
        <v>0.0</v>
      </c>
    </row>
    <row r="5456">
      <c r="Y5456" s="372">
        <v>0.0</v>
      </c>
      <c r="Z5456" s="372">
        <v>0.0</v>
      </c>
    </row>
    <row r="5457">
      <c r="Y5457" s="372">
        <v>0.0</v>
      </c>
      <c r="Z5457" s="372">
        <v>0.0</v>
      </c>
    </row>
    <row r="5458">
      <c r="Y5458" s="372">
        <v>0.0</v>
      </c>
      <c r="Z5458" s="372">
        <v>0.0</v>
      </c>
    </row>
    <row r="5459">
      <c r="Y5459" s="372">
        <v>0.0</v>
      </c>
      <c r="Z5459" s="372">
        <v>0.0</v>
      </c>
    </row>
    <row r="5460">
      <c r="Y5460" s="372">
        <v>0.0</v>
      </c>
      <c r="Z5460" s="372">
        <v>0.0</v>
      </c>
    </row>
    <row r="5461">
      <c r="Y5461" s="372">
        <v>0.0</v>
      </c>
      <c r="Z5461" s="372">
        <v>0.0</v>
      </c>
    </row>
    <row r="5462">
      <c r="Y5462" s="372">
        <v>0.0</v>
      </c>
      <c r="Z5462" s="372">
        <v>0.0</v>
      </c>
    </row>
    <row r="5463">
      <c r="Y5463" s="372">
        <v>0.0</v>
      </c>
      <c r="Z5463" s="372">
        <v>0.0</v>
      </c>
    </row>
    <row r="5464">
      <c r="Y5464" s="372">
        <v>0.0</v>
      </c>
      <c r="Z5464" s="372">
        <v>0.0</v>
      </c>
    </row>
    <row r="5465">
      <c r="Y5465" s="372">
        <v>0.0</v>
      </c>
      <c r="Z5465" s="372">
        <v>0.0</v>
      </c>
    </row>
    <row r="5466">
      <c r="Y5466" s="372">
        <v>0.0</v>
      </c>
      <c r="Z5466" s="372">
        <v>0.0</v>
      </c>
    </row>
    <row r="5467">
      <c r="Y5467" s="372">
        <v>0.0</v>
      </c>
      <c r="Z5467" s="372">
        <v>0.0</v>
      </c>
    </row>
    <row r="5468">
      <c r="Y5468" s="372">
        <v>0.0</v>
      </c>
      <c r="Z5468" s="372">
        <v>0.0</v>
      </c>
    </row>
    <row r="5469">
      <c r="Y5469" s="372">
        <v>0.0</v>
      </c>
      <c r="Z5469" s="372">
        <v>0.0</v>
      </c>
    </row>
    <row r="5470">
      <c r="Y5470" s="372">
        <v>0.0</v>
      </c>
      <c r="Z5470" s="372">
        <v>0.0</v>
      </c>
    </row>
    <row r="5471">
      <c r="Y5471" s="372">
        <v>0.0</v>
      </c>
      <c r="Z5471" s="372">
        <v>0.0</v>
      </c>
    </row>
    <row r="5472">
      <c r="Y5472" s="372">
        <v>0.0</v>
      </c>
      <c r="Z5472" s="372">
        <v>0.0</v>
      </c>
    </row>
    <row r="5473">
      <c r="Y5473" s="372">
        <v>0.0</v>
      </c>
      <c r="Z5473" s="372">
        <v>0.0</v>
      </c>
    </row>
    <row r="5474">
      <c r="Y5474" s="372">
        <v>0.0</v>
      </c>
      <c r="Z5474" s="372">
        <v>0.0</v>
      </c>
    </row>
    <row r="5475">
      <c r="Y5475" s="372">
        <v>0.0</v>
      </c>
      <c r="Z5475" s="372">
        <v>0.0</v>
      </c>
    </row>
    <row r="5476">
      <c r="Y5476" s="372">
        <v>0.0</v>
      </c>
      <c r="Z5476" s="372">
        <v>0.0</v>
      </c>
    </row>
    <row r="5477">
      <c r="Y5477" s="372">
        <v>0.0</v>
      </c>
      <c r="Z5477" s="372">
        <v>0.0</v>
      </c>
    </row>
    <row r="5478">
      <c r="Y5478" s="372">
        <v>0.0</v>
      </c>
      <c r="Z5478" s="372">
        <v>0.0</v>
      </c>
    </row>
    <row r="5479">
      <c r="Y5479" s="372">
        <v>0.0</v>
      </c>
      <c r="Z5479" s="372">
        <v>0.0</v>
      </c>
    </row>
    <row r="5480">
      <c r="Y5480" s="372">
        <v>0.0</v>
      </c>
      <c r="Z5480" s="372">
        <v>0.0</v>
      </c>
    </row>
    <row r="5481">
      <c r="Y5481" s="372">
        <v>0.0</v>
      </c>
      <c r="Z5481" s="372">
        <v>0.0</v>
      </c>
    </row>
    <row r="5482">
      <c r="Y5482" s="372">
        <v>0.0</v>
      </c>
      <c r="Z5482" s="372">
        <v>0.0</v>
      </c>
    </row>
    <row r="5483">
      <c r="Y5483" s="372">
        <v>0.0</v>
      </c>
      <c r="Z5483" s="372">
        <v>0.0</v>
      </c>
    </row>
    <row r="5484">
      <c r="Y5484" s="372">
        <v>0.0</v>
      </c>
      <c r="Z5484" s="372">
        <v>0.0</v>
      </c>
    </row>
    <row r="5485">
      <c r="Y5485" s="372">
        <v>0.0</v>
      </c>
      <c r="Z5485" s="372">
        <v>0.0</v>
      </c>
    </row>
    <row r="5486">
      <c r="Y5486" s="372">
        <v>0.0</v>
      </c>
      <c r="Z5486" s="372">
        <v>0.0</v>
      </c>
    </row>
    <row r="5487">
      <c r="Y5487" s="372">
        <v>0.0</v>
      </c>
      <c r="Z5487" s="372">
        <v>0.0</v>
      </c>
    </row>
    <row r="5488">
      <c r="Y5488" s="372">
        <v>0.0</v>
      </c>
      <c r="Z5488" s="372">
        <v>0.0</v>
      </c>
    </row>
    <row r="5489">
      <c r="Y5489" s="372">
        <v>0.0</v>
      </c>
      <c r="Z5489" s="372">
        <v>0.0</v>
      </c>
    </row>
    <row r="5490">
      <c r="Y5490" s="372">
        <v>0.0</v>
      </c>
      <c r="Z5490" s="372">
        <v>0.0</v>
      </c>
    </row>
    <row r="5491">
      <c r="Y5491" s="372">
        <v>0.0</v>
      </c>
      <c r="Z5491" s="372">
        <v>0.0</v>
      </c>
    </row>
    <row r="5492">
      <c r="Y5492" s="372">
        <v>0.0</v>
      </c>
      <c r="Z5492" s="372">
        <v>0.0</v>
      </c>
    </row>
    <row r="5493">
      <c r="Y5493" s="372">
        <v>0.0</v>
      </c>
      <c r="Z5493" s="372">
        <v>0.0</v>
      </c>
    </row>
    <row r="5494">
      <c r="Y5494" s="372">
        <v>0.0</v>
      </c>
      <c r="Z5494" s="372">
        <v>0.0</v>
      </c>
    </row>
    <row r="5495">
      <c r="Y5495" s="372">
        <v>0.0</v>
      </c>
      <c r="Z5495" s="372">
        <v>0.0</v>
      </c>
    </row>
    <row r="5496">
      <c r="Y5496" s="372">
        <v>0.0</v>
      </c>
      <c r="Z5496" s="372">
        <v>0.0</v>
      </c>
    </row>
    <row r="5497">
      <c r="Y5497" s="372">
        <v>0.0</v>
      </c>
      <c r="Z5497" s="372">
        <v>0.0</v>
      </c>
    </row>
    <row r="5498">
      <c r="Y5498" s="372">
        <v>0.0</v>
      </c>
      <c r="Z5498" s="372">
        <v>0.0</v>
      </c>
    </row>
    <row r="5499">
      <c r="Y5499" s="372">
        <v>0.0</v>
      </c>
      <c r="Z5499" s="372">
        <v>0.0</v>
      </c>
    </row>
    <row r="5500">
      <c r="Y5500" s="372">
        <v>0.0</v>
      </c>
      <c r="Z5500" s="372">
        <v>0.0</v>
      </c>
    </row>
    <row r="5501">
      <c r="Y5501" s="372">
        <v>0.0</v>
      </c>
      <c r="Z5501" s="372">
        <v>0.0</v>
      </c>
    </row>
    <row r="5502">
      <c r="Y5502" s="372">
        <v>0.0</v>
      </c>
      <c r="Z5502" s="372">
        <v>0.0</v>
      </c>
    </row>
    <row r="5503">
      <c r="Y5503" s="372">
        <v>0.0</v>
      </c>
      <c r="Z5503" s="372">
        <v>0.0</v>
      </c>
    </row>
    <row r="5504">
      <c r="Y5504" s="372">
        <v>0.0</v>
      </c>
      <c r="Z5504" s="372">
        <v>0.0</v>
      </c>
    </row>
    <row r="5505">
      <c r="Y5505" s="372">
        <v>0.0</v>
      </c>
      <c r="Z5505" s="372">
        <v>0.0</v>
      </c>
    </row>
    <row r="5506">
      <c r="Y5506" s="372">
        <v>0.0</v>
      </c>
      <c r="Z5506" s="372">
        <v>0.0</v>
      </c>
    </row>
    <row r="5507">
      <c r="Y5507" s="372">
        <v>0.0</v>
      </c>
      <c r="Z5507" s="372">
        <v>0.0</v>
      </c>
    </row>
    <row r="5508">
      <c r="Y5508" s="372">
        <v>0.0</v>
      </c>
      <c r="Z5508" s="372">
        <v>0.0</v>
      </c>
    </row>
    <row r="5509">
      <c r="Y5509" s="372">
        <v>0.0</v>
      </c>
      <c r="Z5509" s="372">
        <v>0.0</v>
      </c>
    </row>
    <row r="5510">
      <c r="Y5510" s="372">
        <v>0.0</v>
      </c>
      <c r="Z5510" s="372">
        <v>0.0</v>
      </c>
    </row>
    <row r="5511">
      <c r="Y5511" s="372">
        <v>0.0</v>
      </c>
      <c r="Z5511" s="372">
        <v>0.0</v>
      </c>
    </row>
    <row r="5512">
      <c r="Y5512" s="372">
        <v>0.0</v>
      </c>
      <c r="Z5512" s="372">
        <v>0.0</v>
      </c>
    </row>
    <row r="5513">
      <c r="Y5513" s="372">
        <v>0.0</v>
      </c>
      <c r="Z5513" s="372">
        <v>0.0</v>
      </c>
    </row>
    <row r="5514">
      <c r="Y5514" s="372">
        <v>0.0</v>
      </c>
      <c r="Z5514" s="372">
        <v>0.0</v>
      </c>
    </row>
    <row r="5515">
      <c r="Y5515" s="372">
        <v>0.0</v>
      </c>
      <c r="Z5515" s="372">
        <v>0.0</v>
      </c>
    </row>
    <row r="5516">
      <c r="Y5516" s="372">
        <v>0.0</v>
      </c>
      <c r="Z5516" s="372">
        <v>0.0</v>
      </c>
    </row>
    <row r="5517">
      <c r="Y5517" s="372">
        <v>0.0</v>
      </c>
      <c r="Z5517" s="372">
        <v>0.0</v>
      </c>
    </row>
    <row r="5518">
      <c r="Y5518" s="372">
        <v>0.0</v>
      </c>
      <c r="Z5518" s="372">
        <v>0.0</v>
      </c>
    </row>
    <row r="5519">
      <c r="Y5519" s="372">
        <v>0.0</v>
      </c>
      <c r="Z5519" s="372">
        <v>0.0</v>
      </c>
    </row>
    <row r="5520">
      <c r="Y5520" s="372">
        <v>0.0</v>
      </c>
      <c r="Z5520" s="372">
        <v>0.0</v>
      </c>
    </row>
    <row r="5521">
      <c r="Y5521" s="372">
        <v>0.0</v>
      </c>
      <c r="Z5521" s="372">
        <v>0.0</v>
      </c>
    </row>
    <row r="5522">
      <c r="Y5522" s="372">
        <v>0.0</v>
      </c>
      <c r="Z5522" s="372">
        <v>0.0</v>
      </c>
    </row>
    <row r="5523">
      <c r="Y5523" s="372">
        <v>0.0</v>
      </c>
      <c r="Z5523" s="372">
        <v>0.0</v>
      </c>
    </row>
    <row r="5524">
      <c r="Y5524" s="372">
        <v>0.0</v>
      </c>
      <c r="Z5524" s="372">
        <v>0.0</v>
      </c>
    </row>
    <row r="5525">
      <c r="Y5525" s="372">
        <v>0.0</v>
      </c>
      <c r="Z5525" s="372">
        <v>0.0</v>
      </c>
    </row>
    <row r="5526">
      <c r="Y5526" s="372">
        <v>0.0</v>
      </c>
      <c r="Z5526" s="372">
        <v>0.0</v>
      </c>
    </row>
    <row r="5527">
      <c r="Y5527" s="372">
        <v>0.0</v>
      </c>
      <c r="Z5527" s="372">
        <v>0.0</v>
      </c>
    </row>
    <row r="5528">
      <c r="Y5528" s="372">
        <v>0.0</v>
      </c>
      <c r="Z5528" s="372">
        <v>0.0</v>
      </c>
    </row>
    <row r="5529">
      <c r="Y5529" s="372">
        <v>0.0</v>
      </c>
      <c r="Z5529" s="372">
        <v>0.0</v>
      </c>
    </row>
    <row r="5530">
      <c r="Y5530" s="372">
        <v>0.0</v>
      </c>
      <c r="Z5530" s="372">
        <v>0.0</v>
      </c>
    </row>
    <row r="5531">
      <c r="Y5531" s="372">
        <v>0.0</v>
      </c>
      <c r="Z5531" s="372">
        <v>0.0</v>
      </c>
    </row>
    <row r="5532">
      <c r="Y5532" s="372">
        <v>0.0</v>
      </c>
      <c r="Z5532" s="372">
        <v>0.0</v>
      </c>
    </row>
    <row r="5533">
      <c r="Y5533" s="372">
        <v>0.0</v>
      </c>
      <c r="Z5533" s="372">
        <v>0.0</v>
      </c>
    </row>
    <row r="5534">
      <c r="Y5534" s="372">
        <v>0.0</v>
      </c>
      <c r="Z5534" s="372">
        <v>0.0</v>
      </c>
    </row>
    <row r="5535">
      <c r="Y5535" s="372">
        <v>0.0</v>
      </c>
      <c r="Z5535" s="372">
        <v>0.0</v>
      </c>
    </row>
    <row r="5536">
      <c r="Y5536" s="372">
        <v>0.0</v>
      </c>
      <c r="Z5536" s="372">
        <v>0.0</v>
      </c>
    </row>
    <row r="5537">
      <c r="Y5537" s="372">
        <v>0.0</v>
      </c>
      <c r="Z5537" s="372">
        <v>0.0</v>
      </c>
    </row>
    <row r="5538">
      <c r="Y5538" s="372">
        <v>0.0</v>
      </c>
      <c r="Z5538" s="372">
        <v>0.0</v>
      </c>
    </row>
    <row r="5539">
      <c r="Y5539" s="372">
        <v>0.0</v>
      </c>
      <c r="Z5539" s="372">
        <v>0.0</v>
      </c>
    </row>
    <row r="5540">
      <c r="Y5540" s="372">
        <v>0.0</v>
      </c>
      <c r="Z5540" s="372">
        <v>0.0</v>
      </c>
    </row>
    <row r="5541">
      <c r="Y5541" s="372">
        <v>0.0</v>
      </c>
      <c r="Z5541" s="372">
        <v>0.0</v>
      </c>
    </row>
    <row r="5542">
      <c r="Y5542" s="372">
        <v>0.0</v>
      </c>
      <c r="Z5542" s="372">
        <v>0.0</v>
      </c>
    </row>
    <row r="5543">
      <c r="Y5543" s="372">
        <v>0.0</v>
      </c>
      <c r="Z5543" s="372">
        <v>0.0</v>
      </c>
    </row>
    <row r="5544">
      <c r="Y5544" s="372">
        <v>0.0</v>
      </c>
      <c r="Z5544" s="372">
        <v>0.0</v>
      </c>
    </row>
    <row r="5545">
      <c r="Y5545" s="372">
        <v>0.0</v>
      </c>
      <c r="Z5545" s="372">
        <v>0.0</v>
      </c>
    </row>
    <row r="5546">
      <c r="Y5546" s="372">
        <v>0.0</v>
      </c>
      <c r="Z5546" s="372">
        <v>0.0</v>
      </c>
    </row>
    <row r="5547">
      <c r="Y5547" s="372">
        <v>0.0</v>
      </c>
      <c r="Z5547" s="372">
        <v>0.0</v>
      </c>
    </row>
    <row r="5548">
      <c r="Y5548" s="372">
        <v>0.0</v>
      </c>
      <c r="Z5548" s="372">
        <v>0.0</v>
      </c>
    </row>
    <row r="5549">
      <c r="Y5549" s="372">
        <v>0.0</v>
      </c>
      <c r="Z5549" s="372">
        <v>0.0</v>
      </c>
    </row>
    <row r="5550">
      <c r="Y5550" s="372">
        <v>0.0</v>
      </c>
      <c r="Z5550" s="372">
        <v>0.0</v>
      </c>
    </row>
    <row r="5551">
      <c r="Y5551" s="372">
        <v>0.0</v>
      </c>
      <c r="Z5551" s="372">
        <v>0.0</v>
      </c>
    </row>
    <row r="5552">
      <c r="Y5552" s="372">
        <v>0.0</v>
      </c>
      <c r="Z5552" s="372">
        <v>0.0</v>
      </c>
    </row>
    <row r="5553">
      <c r="Y5553" s="372">
        <v>0.0</v>
      </c>
      <c r="Z5553" s="372">
        <v>0.0</v>
      </c>
    </row>
    <row r="5554">
      <c r="Y5554" s="372">
        <v>0.0</v>
      </c>
      <c r="Z5554" s="372">
        <v>0.0</v>
      </c>
    </row>
    <row r="5555">
      <c r="Y5555" s="372">
        <v>0.0</v>
      </c>
      <c r="Z5555" s="372">
        <v>0.0</v>
      </c>
    </row>
    <row r="5556">
      <c r="Y5556" s="372">
        <v>0.0</v>
      </c>
      <c r="Z5556" s="372">
        <v>0.0</v>
      </c>
    </row>
    <row r="5557">
      <c r="Y5557" s="372">
        <v>0.0</v>
      </c>
      <c r="Z5557" s="372">
        <v>0.0</v>
      </c>
    </row>
    <row r="5558">
      <c r="Y5558" s="372">
        <v>0.0</v>
      </c>
      <c r="Z5558" s="372">
        <v>0.0</v>
      </c>
    </row>
    <row r="5559">
      <c r="Y5559" s="372">
        <v>0.0</v>
      </c>
      <c r="Z5559" s="372">
        <v>0.0</v>
      </c>
    </row>
    <row r="5560">
      <c r="Y5560" s="372">
        <v>0.0</v>
      </c>
      <c r="Z5560" s="372">
        <v>0.0</v>
      </c>
    </row>
    <row r="5561">
      <c r="Y5561" s="372">
        <v>0.0</v>
      </c>
      <c r="Z5561" s="372">
        <v>0.0</v>
      </c>
    </row>
    <row r="5562">
      <c r="Y5562" s="372">
        <v>0.0</v>
      </c>
      <c r="Z5562" s="372">
        <v>0.0</v>
      </c>
    </row>
    <row r="5563">
      <c r="Y5563" s="372">
        <v>0.0</v>
      </c>
      <c r="Z5563" s="372">
        <v>0.0</v>
      </c>
    </row>
    <row r="5564">
      <c r="Y5564" s="372">
        <v>0.0</v>
      </c>
      <c r="Z5564" s="372">
        <v>0.0</v>
      </c>
    </row>
    <row r="5565">
      <c r="Y5565" s="372">
        <v>0.0</v>
      </c>
      <c r="Z5565" s="372">
        <v>0.0</v>
      </c>
    </row>
    <row r="5566">
      <c r="Y5566" s="372">
        <v>0.0</v>
      </c>
      <c r="Z5566" s="372">
        <v>0.0</v>
      </c>
    </row>
    <row r="5567">
      <c r="Y5567" s="372">
        <v>0.0</v>
      </c>
      <c r="Z5567" s="372">
        <v>0.0</v>
      </c>
    </row>
    <row r="5568">
      <c r="Y5568" s="372">
        <v>0.0</v>
      </c>
      <c r="Z5568" s="372">
        <v>0.0</v>
      </c>
    </row>
    <row r="5569">
      <c r="Y5569" s="372">
        <v>0.0</v>
      </c>
      <c r="Z5569" s="372">
        <v>0.0</v>
      </c>
    </row>
    <row r="5570">
      <c r="Y5570" s="372">
        <v>0.0</v>
      </c>
      <c r="Z5570" s="372">
        <v>0.0</v>
      </c>
    </row>
    <row r="5571">
      <c r="Y5571" s="372">
        <v>0.0</v>
      </c>
      <c r="Z5571" s="372">
        <v>0.0</v>
      </c>
    </row>
    <row r="5572">
      <c r="Y5572" s="372">
        <v>0.0</v>
      </c>
      <c r="Z5572" s="372">
        <v>0.0</v>
      </c>
    </row>
    <row r="5573">
      <c r="Y5573" s="372">
        <v>0.0</v>
      </c>
      <c r="Z5573" s="372">
        <v>0.0</v>
      </c>
    </row>
    <row r="5574">
      <c r="Y5574" s="372">
        <v>0.0</v>
      </c>
      <c r="Z5574" s="372">
        <v>0.0</v>
      </c>
    </row>
    <row r="5575">
      <c r="Y5575" s="372">
        <v>0.0</v>
      </c>
      <c r="Z5575" s="372">
        <v>0.0</v>
      </c>
    </row>
    <row r="5576">
      <c r="Y5576" s="372">
        <v>0.0</v>
      </c>
      <c r="Z5576" s="372">
        <v>0.0</v>
      </c>
    </row>
    <row r="5577">
      <c r="Y5577" s="372">
        <v>0.0</v>
      </c>
      <c r="Z5577" s="372">
        <v>0.0</v>
      </c>
    </row>
    <row r="5578">
      <c r="Y5578" s="372">
        <v>0.0</v>
      </c>
      <c r="Z5578" s="372">
        <v>0.0</v>
      </c>
    </row>
    <row r="5579">
      <c r="Y5579" s="372">
        <v>0.0</v>
      </c>
      <c r="Z5579" s="372">
        <v>0.0</v>
      </c>
    </row>
    <row r="5580">
      <c r="Y5580" s="372">
        <v>0.0</v>
      </c>
      <c r="Z5580" s="372">
        <v>0.0</v>
      </c>
    </row>
    <row r="5581">
      <c r="Y5581" s="372">
        <v>0.0</v>
      </c>
      <c r="Z5581" s="372">
        <v>0.0</v>
      </c>
    </row>
    <row r="5582">
      <c r="Y5582" s="372">
        <v>0.0</v>
      </c>
      <c r="Z5582" s="372">
        <v>0.0</v>
      </c>
    </row>
    <row r="5583">
      <c r="Y5583" s="372">
        <v>0.0</v>
      </c>
      <c r="Z5583" s="372">
        <v>0.0</v>
      </c>
    </row>
    <row r="5584">
      <c r="Y5584" s="372">
        <v>0.0</v>
      </c>
      <c r="Z5584" s="372">
        <v>0.0</v>
      </c>
    </row>
    <row r="5585">
      <c r="Y5585" s="372">
        <v>0.0</v>
      </c>
      <c r="Z5585" s="372">
        <v>0.0</v>
      </c>
    </row>
    <row r="5586">
      <c r="Y5586" s="372">
        <v>0.0</v>
      </c>
      <c r="Z5586" s="372">
        <v>0.0</v>
      </c>
    </row>
    <row r="5587">
      <c r="Y5587" s="372">
        <v>0.0</v>
      </c>
      <c r="Z5587" s="372">
        <v>0.0</v>
      </c>
    </row>
    <row r="5588">
      <c r="Y5588" s="372">
        <v>0.0</v>
      </c>
      <c r="Z5588" s="372">
        <v>0.0</v>
      </c>
    </row>
    <row r="5589">
      <c r="Y5589" s="372">
        <v>0.0</v>
      </c>
      <c r="Z5589" s="372">
        <v>0.0</v>
      </c>
    </row>
    <row r="5590">
      <c r="Y5590" s="372">
        <v>0.0</v>
      </c>
      <c r="Z5590" s="372">
        <v>0.0</v>
      </c>
    </row>
    <row r="5591">
      <c r="Y5591" s="372">
        <v>0.0</v>
      </c>
      <c r="Z5591" s="372">
        <v>0.0</v>
      </c>
    </row>
    <row r="5592">
      <c r="Y5592" s="372">
        <v>0.0</v>
      </c>
      <c r="Z5592" s="372">
        <v>0.0</v>
      </c>
    </row>
    <row r="5593">
      <c r="Y5593" s="372">
        <v>0.0</v>
      </c>
      <c r="Z5593" s="372">
        <v>0.0</v>
      </c>
    </row>
    <row r="5594">
      <c r="Y5594" s="372">
        <v>0.0</v>
      </c>
      <c r="Z5594" s="372">
        <v>0.0</v>
      </c>
    </row>
    <row r="5595">
      <c r="Y5595" s="372">
        <v>0.0</v>
      </c>
      <c r="Z5595" s="372">
        <v>0.0</v>
      </c>
    </row>
    <row r="5596">
      <c r="Y5596" s="372">
        <v>0.0</v>
      </c>
      <c r="Z5596" s="372">
        <v>0.0</v>
      </c>
    </row>
    <row r="5597">
      <c r="Y5597" s="372">
        <v>0.0</v>
      </c>
      <c r="Z5597" s="372">
        <v>0.0</v>
      </c>
    </row>
    <row r="5598">
      <c r="Y5598" s="372">
        <v>0.0</v>
      </c>
      <c r="Z5598" s="372">
        <v>0.0</v>
      </c>
    </row>
    <row r="5599">
      <c r="Y5599" s="372">
        <v>0.0</v>
      </c>
      <c r="Z5599" s="372">
        <v>0.0</v>
      </c>
    </row>
    <row r="5600">
      <c r="Y5600" s="372">
        <v>0.0</v>
      </c>
      <c r="Z5600" s="372">
        <v>0.0</v>
      </c>
    </row>
    <row r="5601">
      <c r="Y5601" s="372">
        <v>0.0</v>
      </c>
      <c r="Z5601" s="372">
        <v>0.0</v>
      </c>
    </row>
    <row r="5602">
      <c r="Y5602" s="372">
        <v>0.0</v>
      </c>
      <c r="Z5602" s="372">
        <v>0.0</v>
      </c>
    </row>
    <row r="5603">
      <c r="Y5603" s="372">
        <v>0.0</v>
      </c>
      <c r="Z5603" s="372">
        <v>0.0</v>
      </c>
    </row>
    <row r="5604">
      <c r="Y5604" s="372">
        <v>0.0</v>
      </c>
      <c r="Z5604" s="372">
        <v>0.0</v>
      </c>
    </row>
    <row r="5605">
      <c r="Y5605" s="372">
        <v>0.0</v>
      </c>
      <c r="Z5605" s="372">
        <v>0.0</v>
      </c>
    </row>
    <row r="5606">
      <c r="Y5606" s="372">
        <v>0.0</v>
      </c>
      <c r="Z5606" s="372">
        <v>0.0</v>
      </c>
    </row>
    <row r="5607">
      <c r="Y5607" s="372">
        <v>0.0</v>
      </c>
      <c r="Z5607" s="372">
        <v>0.0</v>
      </c>
    </row>
    <row r="5608">
      <c r="Y5608" s="372">
        <v>0.0</v>
      </c>
      <c r="Z5608" s="372">
        <v>0.0</v>
      </c>
    </row>
    <row r="5609">
      <c r="Y5609" s="372">
        <v>0.0</v>
      </c>
      <c r="Z5609" s="372">
        <v>0.0</v>
      </c>
    </row>
    <row r="5610">
      <c r="Y5610" s="372">
        <v>0.0</v>
      </c>
      <c r="Z5610" s="372">
        <v>0.0</v>
      </c>
    </row>
    <row r="5611">
      <c r="Y5611" s="372">
        <v>0.0</v>
      </c>
      <c r="Z5611" s="372">
        <v>0.0</v>
      </c>
    </row>
    <row r="5612">
      <c r="Y5612" s="372">
        <v>0.0</v>
      </c>
      <c r="Z5612" s="372">
        <v>0.0</v>
      </c>
    </row>
    <row r="5613">
      <c r="Y5613" s="372">
        <v>0.0</v>
      </c>
      <c r="Z5613" s="372">
        <v>0.0</v>
      </c>
    </row>
    <row r="5614">
      <c r="Y5614" s="372">
        <v>0.0</v>
      </c>
      <c r="Z5614" s="372">
        <v>0.0</v>
      </c>
    </row>
    <row r="5615">
      <c r="Y5615" s="372">
        <v>0.0</v>
      </c>
      <c r="Z5615" s="372">
        <v>0.0</v>
      </c>
    </row>
    <row r="5616">
      <c r="Y5616" s="372">
        <v>0.0</v>
      </c>
      <c r="Z5616" s="372">
        <v>0.0</v>
      </c>
    </row>
    <row r="5617">
      <c r="Y5617" s="372">
        <v>0.0</v>
      </c>
      <c r="Z5617" s="372">
        <v>0.0</v>
      </c>
    </row>
    <row r="5618">
      <c r="Y5618" s="372">
        <v>0.0</v>
      </c>
      <c r="Z5618" s="372">
        <v>0.0</v>
      </c>
    </row>
    <row r="5619">
      <c r="Y5619" s="372">
        <v>0.0</v>
      </c>
      <c r="Z5619" s="372">
        <v>0.0</v>
      </c>
    </row>
    <row r="5620">
      <c r="Y5620" s="372">
        <v>0.0</v>
      </c>
      <c r="Z5620" s="372">
        <v>0.0</v>
      </c>
    </row>
    <row r="5621">
      <c r="Y5621" s="372">
        <v>0.0</v>
      </c>
      <c r="Z5621" s="372">
        <v>0.0</v>
      </c>
    </row>
    <row r="5622">
      <c r="Y5622" s="372">
        <v>0.0</v>
      </c>
      <c r="Z5622" s="372">
        <v>0.0</v>
      </c>
    </row>
    <row r="5623">
      <c r="Y5623" s="372">
        <v>0.0</v>
      </c>
      <c r="Z5623" s="372">
        <v>0.0</v>
      </c>
    </row>
    <row r="5624">
      <c r="Y5624" s="372">
        <v>0.0</v>
      </c>
      <c r="Z5624" s="372">
        <v>0.0</v>
      </c>
    </row>
    <row r="5625">
      <c r="Y5625" s="372">
        <v>0.0</v>
      </c>
      <c r="Z5625" s="372">
        <v>0.0</v>
      </c>
    </row>
    <row r="5626">
      <c r="Y5626" s="372">
        <v>0.0</v>
      </c>
      <c r="Z5626" s="372">
        <v>0.0</v>
      </c>
    </row>
    <row r="5627">
      <c r="Y5627" s="372">
        <v>0.0</v>
      </c>
      <c r="Z5627" s="372">
        <v>0.0</v>
      </c>
    </row>
    <row r="5628">
      <c r="Y5628" s="372">
        <v>0.0</v>
      </c>
      <c r="Z5628" s="372">
        <v>0.0</v>
      </c>
    </row>
    <row r="5629">
      <c r="Y5629" s="372">
        <v>0.0</v>
      </c>
      <c r="Z5629" s="372">
        <v>0.0</v>
      </c>
    </row>
    <row r="5630">
      <c r="Y5630" s="372">
        <v>0.0</v>
      </c>
      <c r="Z5630" s="372">
        <v>0.0</v>
      </c>
    </row>
    <row r="5631">
      <c r="Y5631" s="372">
        <v>0.0</v>
      </c>
      <c r="Z5631" s="372">
        <v>0.0</v>
      </c>
    </row>
    <row r="5632">
      <c r="Y5632" s="372">
        <v>0.0</v>
      </c>
      <c r="Z5632" s="372">
        <v>0.0</v>
      </c>
    </row>
    <row r="5633">
      <c r="Y5633" s="372">
        <v>0.0</v>
      </c>
      <c r="Z5633" s="372">
        <v>0.0</v>
      </c>
    </row>
    <row r="5634">
      <c r="Y5634" s="372">
        <v>0.0</v>
      </c>
      <c r="Z5634" s="372">
        <v>0.0</v>
      </c>
    </row>
    <row r="5635">
      <c r="Y5635" s="372">
        <v>0.0</v>
      </c>
      <c r="Z5635" s="372">
        <v>0.0</v>
      </c>
    </row>
    <row r="5636">
      <c r="Y5636" s="372">
        <v>0.0</v>
      </c>
      <c r="Z5636" s="372">
        <v>0.0</v>
      </c>
    </row>
    <row r="5637">
      <c r="Y5637" s="372">
        <v>0.0</v>
      </c>
      <c r="Z5637" s="372">
        <v>0.0</v>
      </c>
    </row>
    <row r="5638">
      <c r="Y5638" s="372">
        <v>0.0</v>
      </c>
      <c r="Z5638" s="372">
        <v>0.0</v>
      </c>
    </row>
    <row r="5639">
      <c r="Y5639" s="372">
        <v>0.0</v>
      </c>
      <c r="Z5639" s="372">
        <v>0.0</v>
      </c>
    </row>
    <row r="5640">
      <c r="Y5640" s="372">
        <v>0.0</v>
      </c>
      <c r="Z5640" s="372">
        <v>0.0</v>
      </c>
    </row>
    <row r="5641">
      <c r="Y5641" s="372">
        <v>0.0</v>
      </c>
      <c r="Z5641" s="372">
        <v>0.0</v>
      </c>
    </row>
    <row r="5642">
      <c r="Y5642" s="372">
        <v>0.0</v>
      </c>
      <c r="Z5642" s="372">
        <v>0.0</v>
      </c>
    </row>
    <row r="5643">
      <c r="Y5643" s="372">
        <v>0.0</v>
      </c>
      <c r="Z5643" s="372">
        <v>0.0</v>
      </c>
    </row>
    <row r="5644">
      <c r="Y5644" s="372">
        <v>0.0</v>
      </c>
      <c r="Z5644" s="372">
        <v>0.0</v>
      </c>
    </row>
    <row r="5645">
      <c r="Y5645" s="372">
        <v>0.0</v>
      </c>
      <c r="Z5645" s="372">
        <v>0.0</v>
      </c>
    </row>
    <row r="5646">
      <c r="Y5646" s="372">
        <v>0.0</v>
      </c>
      <c r="Z5646" s="372">
        <v>0.0</v>
      </c>
    </row>
    <row r="5647">
      <c r="Y5647" s="372">
        <v>0.0</v>
      </c>
      <c r="Z5647" s="372">
        <v>0.0</v>
      </c>
    </row>
    <row r="5648">
      <c r="Y5648" s="372">
        <v>0.0</v>
      </c>
      <c r="Z5648" s="372">
        <v>0.0</v>
      </c>
    </row>
    <row r="5649">
      <c r="Y5649" s="372">
        <v>0.0</v>
      </c>
      <c r="Z5649" s="372">
        <v>0.0</v>
      </c>
    </row>
    <row r="5650">
      <c r="Y5650" s="372">
        <v>0.0</v>
      </c>
      <c r="Z5650" s="372">
        <v>0.0</v>
      </c>
    </row>
    <row r="5651">
      <c r="Y5651" s="372">
        <v>0.0</v>
      </c>
      <c r="Z5651" s="372">
        <v>0.0</v>
      </c>
    </row>
    <row r="5652">
      <c r="Y5652" s="372">
        <v>0.0</v>
      </c>
      <c r="Z5652" s="372">
        <v>0.0</v>
      </c>
    </row>
    <row r="5653">
      <c r="Y5653" s="372">
        <v>0.0</v>
      </c>
      <c r="Z5653" s="372">
        <v>0.0</v>
      </c>
    </row>
    <row r="5654">
      <c r="Y5654" s="372">
        <v>0.0</v>
      </c>
      <c r="Z5654" s="372">
        <v>0.0</v>
      </c>
    </row>
    <row r="5655">
      <c r="Y5655" s="372">
        <v>0.0</v>
      </c>
      <c r="Z5655" s="372">
        <v>0.0</v>
      </c>
    </row>
    <row r="5656">
      <c r="Y5656" s="372">
        <v>0.0</v>
      </c>
      <c r="Z5656" s="372">
        <v>0.0</v>
      </c>
    </row>
    <row r="5657">
      <c r="Y5657" s="372">
        <v>0.0</v>
      </c>
      <c r="Z5657" s="372">
        <v>0.0</v>
      </c>
    </row>
    <row r="5658">
      <c r="Y5658" s="372">
        <v>0.0</v>
      </c>
      <c r="Z5658" s="372">
        <v>0.0</v>
      </c>
    </row>
    <row r="5659">
      <c r="Y5659" s="372">
        <v>0.0</v>
      </c>
      <c r="Z5659" s="372">
        <v>0.0</v>
      </c>
    </row>
    <row r="5660">
      <c r="Y5660" s="372">
        <v>0.0</v>
      </c>
      <c r="Z5660" s="372">
        <v>0.0</v>
      </c>
    </row>
    <row r="5661">
      <c r="Y5661" s="372">
        <v>0.0</v>
      </c>
      <c r="Z5661" s="372">
        <v>0.0</v>
      </c>
    </row>
    <row r="5662">
      <c r="Y5662" s="372">
        <v>0.0</v>
      </c>
      <c r="Z5662" s="372">
        <v>0.0</v>
      </c>
    </row>
    <row r="5663">
      <c r="Y5663" s="372">
        <v>0.0</v>
      </c>
      <c r="Z5663" s="372">
        <v>0.0</v>
      </c>
    </row>
    <row r="5664">
      <c r="Y5664" s="372">
        <v>0.0</v>
      </c>
      <c r="Z5664" s="372">
        <v>0.0</v>
      </c>
    </row>
    <row r="5665">
      <c r="Y5665" s="372">
        <v>0.0</v>
      </c>
      <c r="Z5665" s="372">
        <v>0.0</v>
      </c>
    </row>
    <row r="5666">
      <c r="Y5666" s="372">
        <v>0.0</v>
      </c>
      <c r="Z5666" s="372">
        <v>0.0</v>
      </c>
    </row>
    <row r="5667">
      <c r="Y5667" s="372">
        <v>0.0</v>
      </c>
      <c r="Z5667" s="372">
        <v>0.0</v>
      </c>
    </row>
    <row r="5668">
      <c r="Y5668" s="372">
        <v>0.0</v>
      </c>
      <c r="Z5668" s="372">
        <v>0.0</v>
      </c>
    </row>
    <row r="5669">
      <c r="Y5669" s="372">
        <v>0.0</v>
      </c>
      <c r="Z5669" s="372">
        <v>0.0</v>
      </c>
    </row>
    <row r="5670">
      <c r="Y5670" s="372">
        <v>0.0</v>
      </c>
      <c r="Z5670" s="372">
        <v>0.0</v>
      </c>
    </row>
    <row r="5671">
      <c r="Y5671" s="372">
        <v>0.0</v>
      </c>
      <c r="Z5671" s="372">
        <v>0.0</v>
      </c>
    </row>
    <row r="5672">
      <c r="Y5672" s="372">
        <v>0.0</v>
      </c>
      <c r="Z5672" s="372">
        <v>0.0</v>
      </c>
    </row>
    <row r="5673">
      <c r="Y5673" s="372">
        <v>0.0</v>
      </c>
      <c r="Z5673" s="372">
        <v>0.0</v>
      </c>
    </row>
    <row r="5674">
      <c r="Y5674" s="372">
        <v>0.0</v>
      </c>
      <c r="Z5674" s="372">
        <v>0.0</v>
      </c>
    </row>
    <row r="5675">
      <c r="Y5675" s="372">
        <v>0.0</v>
      </c>
      <c r="Z5675" s="372">
        <v>0.0</v>
      </c>
    </row>
    <row r="5676">
      <c r="Y5676" s="372">
        <v>0.0</v>
      </c>
      <c r="Z5676" s="372">
        <v>0.0</v>
      </c>
    </row>
    <row r="5677">
      <c r="Y5677" s="372">
        <v>0.0</v>
      </c>
      <c r="Z5677" s="372">
        <v>0.0</v>
      </c>
    </row>
    <row r="5678">
      <c r="Y5678" s="372">
        <v>0.0</v>
      </c>
      <c r="Z5678" s="372">
        <v>0.0</v>
      </c>
    </row>
    <row r="5679">
      <c r="Y5679" s="372">
        <v>0.0</v>
      </c>
      <c r="Z5679" s="372">
        <v>0.0</v>
      </c>
    </row>
    <row r="5680">
      <c r="Y5680" s="372">
        <v>0.0</v>
      </c>
      <c r="Z5680" s="372">
        <v>0.0</v>
      </c>
    </row>
    <row r="5681">
      <c r="Y5681" s="372">
        <v>0.0</v>
      </c>
      <c r="Z5681" s="372">
        <v>0.0</v>
      </c>
    </row>
    <row r="5682">
      <c r="Y5682" s="372">
        <v>0.0</v>
      </c>
      <c r="Z5682" s="372">
        <v>0.0</v>
      </c>
    </row>
    <row r="5683">
      <c r="Y5683" s="372">
        <v>0.0</v>
      </c>
      <c r="Z5683" s="372">
        <v>0.0</v>
      </c>
    </row>
    <row r="5684">
      <c r="Y5684" s="372">
        <v>0.0</v>
      </c>
      <c r="Z5684" s="372">
        <v>0.0</v>
      </c>
    </row>
    <row r="5685">
      <c r="Y5685" s="372">
        <v>0.0</v>
      </c>
      <c r="Z5685" s="372">
        <v>0.0</v>
      </c>
    </row>
    <row r="5686">
      <c r="Y5686" s="372">
        <v>0.0</v>
      </c>
      <c r="Z5686" s="372">
        <v>0.0</v>
      </c>
    </row>
    <row r="5687">
      <c r="Y5687" s="372">
        <v>0.0</v>
      </c>
      <c r="Z5687" s="372">
        <v>0.0</v>
      </c>
    </row>
    <row r="5688">
      <c r="Y5688" s="372">
        <v>0.0</v>
      </c>
      <c r="Z5688" s="372">
        <v>0.0</v>
      </c>
    </row>
    <row r="5689">
      <c r="Y5689" s="372">
        <v>0.0</v>
      </c>
      <c r="Z5689" s="372">
        <v>0.0</v>
      </c>
    </row>
    <row r="5690">
      <c r="Y5690" s="372">
        <v>0.0</v>
      </c>
      <c r="Z5690" s="372">
        <v>0.0</v>
      </c>
    </row>
    <row r="5691">
      <c r="Y5691" s="372">
        <v>0.0</v>
      </c>
      <c r="Z5691" s="372">
        <v>0.0</v>
      </c>
    </row>
    <row r="5692">
      <c r="Y5692" s="372">
        <v>0.0</v>
      </c>
      <c r="Z5692" s="372">
        <v>0.0</v>
      </c>
    </row>
    <row r="5693">
      <c r="Y5693" s="372">
        <v>0.0</v>
      </c>
      <c r="Z5693" s="372">
        <v>0.0</v>
      </c>
    </row>
    <row r="5694">
      <c r="Y5694" s="372">
        <v>0.0</v>
      </c>
      <c r="Z5694" s="372">
        <v>0.0</v>
      </c>
    </row>
    <row r="5695">
      <c r="Y5695" s="372">
        <v>0.0</v>
      </c>
      <c r="Z5695" s="372">
        <v>0.0</v>
      </c>
    </row>
    <row r="5696">
      <c r="Y5696" s="372">
        <v>0.0</v>
      </c>
      <c r="Z5696" s="372">
        <v>0.0</v>
      </c>
    </row>
    <row r="5697">
      <c r="Y5697" s="372">
        <v>0.0</v>
      </c>
      <c r="Z5697" s="372">
        <v>0.0</v>
      </c>
    </row>
    <row r="5698">
      <c r="Y5698" s="372">
        <v>0.0</v>
      </c>
      <c r="Z5698" s="372">
        <v>0.0</v>
      </c>
    </row>
    <row r="5699">
      <c r="Y5699" s="372">
        <v>0.0</v>
      </c>
      <c r="Z5699" s="372">
        <v>0.0</v>
      </c>
    </row>
    <row r="5700">
      <c r="Y5700" s="372">
        <v>0.0</v>
      </c>
      <c r="Z5700" s="372">
        <v>0.0</v>
      </c>
    </row>
    <row r="5701">
      <c r="Y5701" s="372">
        <v>0.0</v>
      </c>
      <c r="Z5701" s="372">
        <v>0.0</v>
      </c>
    </row>
    <row r="5702">
      <c r="Y5702" s="372">
        <v>0.0</v>
      </c>
      <c r="Z5702" s="372">
        <v>0.0</v>
      </c>
    </row>
    <row r="5703">
      <c r="Y5703" s="372">
        <v>0.0</v>
      </c>
      <c r="Z5703" s="372">
        <v>0.0</v>
      </c>
    </row>
    <row r="5704">
      <c r="Y5704" s="372">
        <v>0.0</v>
      </c>
      <c r="Z5704" s="372">
        <v>0.0</v>
      </c>
    </row>
    <row r="5705">
      <c r="Y5705" s="372">
        <v>0.0</v>
      </c>
      <c r="Z5705" s="372">
        <v>0.0</v>
      </c>
    </row>
    <row r="5706">
      <c r="Y5706" s="372">
        <v>0.0</v>
      </c>
      <c r="Z5706" s="372">
        <v>0.0</v>
      </c>
    </row>
    <row r="5707">
      <c r="Y5707" s="372">
        <v>0.0</v>
      </c>
      <c r="Z5707" s="372">
        <v>0.0</v>
      </c>
    </row>
    <row r="5708">
      <c r="Y5708" s="372">
        <v>0.0</v>
      </c>
      <c r="Z5708" s="372">
        <v>0.0</v>
      </c>
    </row>
    <row r="5709">
      <c r="Y5709" s="372">
        <v>0.0</v>
      </c>
      <c r="Z5709" s="372">
        <v>0.0</v>
      </c>
    </row>
    <row r="5710">
      <c r="Y5710" s="372">
        <v>0.0</v>
      </c>
      <c r="Z5710" s="372">
        <v>0.0</v>
      </c>
    </row>
    <row r="5711">
      <c r="Y5711" s="372">
        <v>0.0</v>
      </c>
      <c r="Z5711" s="372">
        <v>0.0</v>
      </c>
    </row>
    <row r="5712">
      <c r="Y5712" s="372">
        <v>0.0</v>
      </c>
      <c r="Z5712" s="372">
        <v>0.0</v>
      </c>
    </row>
    <row r="5713">
      <c r="Y5713" s="372">
        <v>0.0</v>
      </c>
      <c r="Z5713" s="372">
        <v>0.0</v>
      </c>
    </row>
    <row r="5714">
      <c r="Y5714" s="372">
        <v>0.0</v>
      </c>
      <c r="Z5714" s="372">
        <v>0.0</v>
      </c>
    </row>
    <row r="5715">
      <c r="Y5715" s="372">
        <v>0.0</v>
      </c>
      <c r="Z5715" s="372">
        <v>0.0</v>
      </c>
    </row>
    <row r="5716">
      <c r="Y5716" s="372">
        <v>0.0</v>
      </c>
      <c r="Z5716" s="372">
        <v>0.0</v>
      </c>
    </row>
    <row r="5717">
      <c r="Y5717" s="372">
        <v>0.0</v>
      </c>
      <c r="Z5717" s="372">
        <v>0.0</v>
      </c>
    </row>
    <row r="5718">
      <c r="Y5718" s="372">
        <v>0.0</v>
      </c>
      <c r="Z5718" s="372">
        <v>0.0</v>
      </c>
    </row>
    <row r="5719">
      <c r="Y5719" s="372">
        <v>0.0</v>
      </c>
      <c r="Z5719" s="372">
        <v>0.0</v>
      </c>
    </row>
    <row r="5720">
      <c r="Y5720" s="372">
        <v>0.0</v>
      </c>
      <c r="Z5720" s="372">
        <v>0.0</v>
      </c>
    </row>
    <row r="5721">
      <c r="Y5721" s="372">
        <v>0.0</v>
      </c>
      <c r="Z5721" s="372">
        <v>0.0</v>
      </c>
    </row>
    <row r="5722">
      <c r="Y5722" s="372">
        <v>0.0</v>
      </c>
      <c r="Z5722" s="372">
        <v>0.0</v>
      </c>
    </row>
    <row r="5723">
      <c r="Y5723" s="372">
        <v>0.0</v>
      </c>
      <c r="Z5723" s="372">
        <v>0.0</v>
      </c>
    </row>
    <row r="5724">
      <c r="Y5724" s="372">
        <v>0.0</v>
      </c>
      <c r="Z5724" s="372">
        <v>0.0</v>
      </c>
    </row>
    <row r="5725">
      <c r="Y5725" s="372">
        <v>0.0</v>
      </c>
      <c r="Z5725" s="372">
        <v>0.0</v>
      </c>
    </row>
    <row r="5726">
      <c r="Y5726" s="372">
        <v>0.0</v>
      </c>
      <c r="Z5726" s="372">
        <v>0.0</v>
      </c>
    </row>
    <row r="5727">
      <c r="Y5727" s="372">
        <v>0.0</v>
      </c>
      <c r="Z5727" s="372">
        <v>0.0</v>
      </c>
    </row>
    <row r="5728">
      <c r="Y5728" s="372">
        <v>0.0</v>
      </c>
      <c r="Z5728" s="372">
        <v>0.0</v>
      </c>
    </row>
    <row r="5729">
      <c r="Y5729" s="372">
        <v>0.0</v>
      </c>
      <c r="Z5729" s="372">
        <v>0.0</v>
      </c>
    </row>
    <row r="5730">
      <c r="Y5730" s="372">
        <v>0.0</v>
      </c>
      <c r="Z5730" s="372">
        <v>0.0</v>
      </c>
    </row>
    <row r="5731">
      <c r="Y5731" s="372">
        <v>0.0</v>
      </c>
      <c r="Z5731" s="372">
        <v>0.0</v>
      </c>
    </row>
    <row r="5732">
      <c r="Y5732" s="372">
        <v>0.0</v>
      </c>
      <c r="Z5732" s="372">
        <v>0.0</v>
      </c>
    </row>
    <row r="5733">
      <c r="Y5733" s="372">
        <v>0.0</v>
      </c>
      <c r="Z5733" s="372">
        <v>0.0</v>
      </c>
    </row>
    <row r="5734">
      <c r="Y5734" s="372">
        <v>0.0</v>
      </c>
      <c r="Z5734" s="372">
        <v>0.0</v>
      </c>
    </row>
    <row r="5735">
      <c r="Y5735" s="372">
        <v>0.0</v>
      </c>
      <c r="Z5735" s="372">
        <v>0.0</v>
      </c>
    </row>
    <row r="5736">
      <c r="Y5736" s="372">
        <v>0.0</v>
      </c>
      <c r="Z5736" s="372">
        <v>0.0</v>
      </c>
    </row>
    <row r="5737">
      <c r="Y5737" s="372">
        <v>0.0</v>
      </c>
      <c r="Z5737" s="372">
        <v>0.0</v>
      </c>
    </row>
    <row r="5738">
      <c r="Y5738" s="372">
        <v>0.0</v>
      </c>
      <c r="Z5738" s="372">
        <v>0.0</v>
      </c>
    </row>
    <row r="5739">
      <c r="Y5739" s="372">
        <v>0.0</v>
      </c>
      <c r="Z5739" s="372">
        <v>0.0</v>
      </c>
    </row>
    <row r="5740">
      <c r="Y5740" s="372">
        <v>0.0</v>
      </c>
      <c r="Z5740" s="372">
        <v>0.0</v>
      </c>
    </row>
    <row r="5741">
      <c r="Y5741" s="372">
        <v>0.0</v>
      </c>
      <c r="Z5741" s="372">
        <v>0.0</v>
      </c>
    </row>
    <row r="5742">
      <c r="Y5742" s="372">
        <v>0.0</v>
      </c>
      <c r="Z5742" s="372">
        <v>0.0</v>
      </c>
    </row>
    <row r="5743">
      <c r="Y5743" s="372">
        <v>0.0</v>
      </c>
      <c r="Z5743" s="372">
        <v>0.0</v>
      </c>
    </row>
    <row r="5744">
      <c r="Y5744" s="372">
        <v>0.0</v>
      </c>
      <c r="Z5744" s="372">
        <v>0.0</v>
      </c>
    </row>
    <row r="5745">
      <c r="Y5745" s="372">
        <v>0.0</v>
      </c>
      <c r="Z5745" s="372">
        <v>0.0</v>
      </c>
    </row>
    <row r="5746">
      <c r="Y5746" s="372">
        <v>0.0</v>
      </c>
      <c r="Z5746" s="372">
        <v>0.0</v>
      </c>
    </row>
    <row r="5747">
      <c r="Y5747" s="372">
        <v>0.0</v>
      </c>
      <c r="Z5747" s="372">
        <v>0.0</v>
      </c>
    </row>
    <row r="5748">
      <c r="Y5748" s="372">
        <v>0.0</v>
      </c>
      <c r="Z5748" s="372">
        <v>0.0</v>
      </c>
    </row>
    <row r="5749">
      <c r="Y5749" s="372">
        <v>0.0</v>
      </c>
      <c r="Z5749" s="372">
        <v>0.0</v>
      </c>
    </row>
    <row r="5750">
      <c r="Y5750" s="372">
        <v>0.0</v>
      </c>
      <c r="Z5750" s="372">
        <v>0.0</v>
      </c>
    </row>
    <row r="5751">
      <c r="Y5751" s="372">
        <v>0.0</v>
      </c>
      <c r="Z5751" s="372">
        <v>0.0</v>
      </c>
    </row>
    <row r="5752">
      <c r="Y5752" s="372">
        <v>0.0</v>
      </c>
      <c r="Z5752" s="372">
        <v>0.0</v>
      </c>
    </row>
    <row r="5753">
      <c r="Y5753" s="372">
        <v>0.0</v>
      </c>
      <c r="Z5753" s="372">
        <v>0.0</v>
      </c>
    </row>
    <row r="5754">
      <c r="Y5754" s="372">
        <v>0.0</v>
      </c>
      <c r="Z5754" s="372">
        <v>0.0</v>
      </c>
    </row>
    <row r="5755">
      <c r="Y5755" s="372">
        <v>0.0</v>
      </c>
      <c r="Z5755" s="372">
        <v>0.0</v>
      </c>
    </row>
    <row r="5756">
      <c r="Y5756" s="372">
        <v>0.0</v>
      </c>
      <c r="Z5756" s="372">
        <v>0.0</v>
      </c>
    </row>
    <row r="5757">
      <c r="Y5757" s="372">
        <v>0.0</v>
      </c>
      <c r="Z5757" s="372">
        <v>0.0</v>
      </c>
    </row>
    <row r="5758">
      <c r="Y5758" s="372">
        <v>0.0</v>
      </c>
      <c r="Z5758" s="372">
        <v>0.0</v>
      </c>
    </row>
    <row r="5759">
      <c r="Y5759" s="372">
        <v>0.0</v>
      </c>
      <c r="Z5759" s="372">
        <v>0.0</v>
      </c>
    </row>
    <row r="5760">
      <c r="Y5760" s="372">
        <v>0.0</v>
      </c>
      <c r="Z5760" s="372">
        <v>0.0</v>
      </c>
    </row>
    <row r="5761">
      <c r="Y5761" s="372">
        <v>0.0</v>
      </c>
      <c r="Z5761" s="372">
        <v>0.0</v>
      </c>
    </row>
    <row r="5762">
      <c r="Y5762" s="372">
        <v>0.0</v>
      </c>
      <c r="Z5762" s="372">
        <v>0.0</v>
      </c>
    </row>
    <row r="5763">
      <c r="Y5763" s="372">
        <v>0.0</v>
      </c>
      <c r="Z5763" s="372">
        <v>0.0</v>
      </c>
    </row>
    <row r="5764">
      <c r="Y5764" s="372">
        <v>0.0</v>
      </c>
      <c r="Z5764" s="372">
        <v>0.0</v>
      </c>
    </row>
    <row r="5765">
      <c r="Y5765" s="372">
        <v>0.0</v>
      </c>
      <c r="Z5765" s="372">
        <v>0.0</v>
      </c>
    </row>
    <row r="5766">
      <c r="Y5766" s="372">
        <v>0.0</v>
      </c>
      <c r="Z5766" s="372">
        <v>0.0</v>
      </c>
    </row>
    <row r="5767">
      <c r="Y5767" s="372">
        <v>0.0</v>
      </c>
      <c r="Z5767" s="372">
        <v>0.0</v>
      </c>
    </row>
    <row r="5768">
      <c r="Y5768" s="372">
        <v>0.0</v>
      </c>
      <c r="Z5768" s="372">
        <v>0.0</v>
      </c>
    </row>
    <row r="5769">
      <c r="Y5769" s="372">
        <v>0.0</v>
      </c>
      <c r="Z5769" s="372">
        <v>0.0</v>
      </c>
    </row>
    <row r="5770">
      <c r="Y5770" s="372">
        <v>0.0</v>
      </c>
      <c r="Z5770" s="372">
        <v>0.0</v>
      </c>
    </row>
    <row r="5771">
      <c r="Y5771" s="372">
        <v>0.0</v>
      </c>
      <c r="Z5771" s="372">
        <v>0.0</v>
      </c>
    </row>
    <row r="5772">
      <c r="Y5772" s="372">
        <v>0.0</v>
      </c>
      <c r="Z5772" s="372">
        <v>0.0</v>
      </c>
    </row>
    <row r="5773">
      <c r="Y5773" s="372">
        <v>0.0</v>
      </c>
      <c r="Z5773" s="372">
        <v>0.0</v>
      </c>
    </row>
    <row r="5774">
      <c r="Y5774" s="372">
        <v>0.0</v>
      </c>
      <c r="Z5774" s="372">
        <v>0.0</v>
      </c>
    </row>
    <row r="5775">
      <c r="Y5775" s="372">
        <v>0.0</v>
      </c>
      <c r="Z5775" s="372">
        <v>0.0</v>
      </c>
    </row>
    <row r="5776">
      <c r="Y5776" s="372">
        <v>0.0</v>
      </c>
      <c r="Z5776" s="372">
        <v>0.0</v>
      </c>
    </row>
    <row r="5777">
      <c r="Y5777" s="372">
        <v>0.0</v>
      </c>
      <c r="Z5777" s="372">
        <v>0.0</v>
      </c>
    </row>
    <row r="5778">
      <c r="Y5778" s="372">
        <v>0.0</v>
      </c>
      <c r="Z5778" s="372">
        <v>0.0</v>
      </c>
    </row>
    <row r="5779">
      <c r="Y5779" s="372">
        <v>0.0</v>
      </c>
      <c r="Z5779" s="372">
        <v>0.0</v>
      </c>
    </row>
    <row r="5780">
      <c r="Y5780" s="372">
        <v>0.0</v>
      </c>
      <c r="Z5780" s="372">
        <v>0.0</v>
      </c>
    </row>
    <row r="5781">
      <c r="Y5781" s="372">
        <v>0.0</v>
      </c>
      <c r="Z5781" s="372">
        <v>0.0</v>
      </c>
    </row>
    <row r="5782">
      <c r="Y5782" s="372">
        <v>0.0</v>
      </c>
      <c r="Z5782" s="372">
        <v>0.0</v>
      </c>
    </row>
    <row r="5783">
      <c r="Y5783" s="372">
        <v>0.0</v>
      </c>
      <c r="Z5783" s="372">
        <v>0.0</v>
      </c>
    </row>
    <row r="5784">
      <c r="Y5784" s="372">
        <v>0.0</v>
      </c>
      <c r="Z5784" s="372">
        <v>0.0</v>
      </c>
    </row>
    <row r="5785">
      <c r="Y5785" s="372">
        <v>0.0</v>
      </c>
      <c r="Z5785" s="372">
        <v>0.0</v>
      </c>
    </row>
    <row r="5786">
      <c r="Y5786" s="372">
        <v>0.0</v>
      </c>
      <c r="Z5786" s="372">
        <v>0.0</v>
      </c>
    </row>
    <row r="5787">
      <c r="Y5787" s="372">
        <v>0.0</v>
      </c>
      <c r="Z5787" s="372">
        <v>0.0</v>
      </c>
    </row>
    <row r="5788">
      <c r="Y5788" s="372">
        <v>0.0</v>
      </c>
      <c r="Z5788" s="372">
        <v>0.0</v>
      </c>
    </row>
    <row r="5789">
      <c r="Y5789" s="372">
        <v>0.0</v>
      </c>
      <c r="Z5789" s="372">
        <v>0.0</v>
      </c>
    </row>
    <row r="5790">
      <c r="Y5790" s="372">
        <v>0.0</v>
      </c>
      <c r="Z5790" s="372">
        <v>0.0</v>
      </c>
    </row>
    <row r="5791">
      <c r="Y5791" s="372">
        <v>0.0</v>
      </c>
      <c r="Z5791" s="372">
        <v>0.0</v>
      </c>
    </row>
    <row r="5792">
      <c r="Y5792" s="372">
        <v>0.0</v>
      </c>
      <c r="Z5792" s="372">
        <v>0.0</v>
      </c>
    </row>
    <row r="5793">
      <c r="Y5793" s="372">
        <v>0.0</v>
      </c>
      <c r="Z5793" s="372">
        <v>0.0</v>
      </c>
    </row>
    <row r="5794">
      <c r="Y5794" s="372">
        <v>0.0</v>
      </c>
      <c r="Z5794" s="372">
        <v>0.0</v>
      </c>
    </row>
    <row r="5795">
      <c r="Y5795" s="372">
        <v>0.0</v>
      </c>
      <c r="Z5795" s="372">
        <v>0.0</v>
      </c>
    </row>
    <row r="5796">
      <c r="Y5796" s="372">
        <v>0.0</v>
      </c>
      <c r="Z5796" s="372">
        <v>0.0</v>
      </c>
    </row>
    <row r="5797">
      <c r="Y5797" s="372">
        <v>0.0</v>
      </c>
      <c r="Z5797" s="372">
        <v>0.0</v>
      </c>
    </row>
    <row r="5798">
      <c r="Y5798" s="372">
        <v>0.0</v>
      </c>
      <c r="Z5798" s="372">
        <v>0.0</v>
      </c>
    </row>
    <row r="5799">
      <c r="Y5799" s="372">
        <v>0.0</v>
      </c>
      <c r="Z5799" s="372">
        <v>0.0</v>
      </c>
    </row>
    <row r="5800">
      <c r="Y5800" s="372">
        <v>0.0</v>
      </c>
      <c r="Z5800" s="372">
        <v>0.0</v>
      </c>
    </row>
    <row r="5801">
      <c r="Y5801" s="372">
        <v>0.0</v>
      </c>
      <c r="Z5801" s="372">
        <v>0.0</v>
      </c>
    </row>
    <row r="5802">
      <c r="Y5802" s="372">
        <v>0.0</v>
      </c>
      <c r="Z5802" s="372">
        <v>0.0</v>
      </c>
    </row>
    <row r="5803">
      <c r="Y5803" s="372">
        <v>0.0</v>
      </c>
      <c r="Z5803" s="372">
        <v>0.0</v>
      </c>
    </row>
    <row r="5804">
      <c r="Y5804" s="372">
        <v>0.0</v>
      </c>
      <c r="Z5804" s="372">
        <v>0.0</v>
      </c>
    </row>
    <row r="5805">
      <c r="Y5805" s="372">
        <v>0.0</v>
      </c>
      <c r="Z5805" s="372">
        <v>0.0</v>
      </c>
    </row>
    <row r="5806">
      <c r="Y5806" s="372">
        <v>0.0</v>
      </c>
      <c r="Z5806" s="372">
        <v>0.0</v>
      </c>
    </row>
    <row r="5807">
      <c r="Y5807" s="372">
        <v>0.0</v>
      </c>
      <c r="Z5807" s="372">
        <v>0.0</v>
      </c>
    </row>
    <row r="5808">
      <c r="Y5808" s="372">
        <v>0.0</v>
      </c>
      <c r="Z5808" s="372">
        <v>0.0</v>
      </c>
    </row>
    <row r="5809">
      <c r="Y5809" s="372">
        <v>0.0</v>
      </c>
      <c r="Z5809" s="372">
        <v>0.0</v>
      </c>
    </row>
    <row r="5810">
      <c r="Y5810" s="372">
        <v>0.0</v>
      </c>
      <c r="Z5810" s="372">
        <v>0.0</v>
      </c>
    </row>
    <row r="5811">
      <c r="Y5811" s="372">
        <v>0.0</v>
      </c>
      <c r="Z5811" s="372">
        <v>0.0</v>
      </c>
    </row>
    <row r="5812">
      <c r="Y5812" s="372">
        <v>0.0</v>
      </c>
      <c r="Z5812" s="372">
        <v>0.0</v>
      </c>
    </row>
    <row r="5813">
      <c r="Y5813" s="372">
        <v>0.0</v>
      </c>
      <c r="Z5813" s="372">
        <v>0.0</v>
      </c>
    </row>
    <row r="5814">
      <c r="Y5814" s="372">
        <v>0.0</v>
      </c>
      <c r="Z5814" s="372">
        <v>0.0</v>
      </c>
    </row>
    <row r="5815">
      <c r="Y5815" s="372">
        <v>0.0</v>
      </c>
      <c r="Z5815" s="372">
        <v>0.0</v>
      </c>
    </row>
    <row r="5816">
      <c r="Y5816" s="372">
        <v>0.0</v>
      </c>
      <c r="Z5816" s="372">
        <v>0.0</v>
      </c>
    </row>
    <row r="5817">
      <c r="Y5817" s="372">
        <v>0.0</v>
      </c>
      <c r="Z5817" s="372">
        <v>0.0</v>
      </c>
    </row>
    <row r="5818">
      <c r="Y5818" s="372">
        <v>0.0</v>
      </c>
      <c r="Z5818" s="372">
        <v>0.0</v>
      </c>
    </row>
    <row r="5819">
      <c r="Y5819" s="372">
        <v>0.0</v>
      </c>
      <c r="Z5819" s="372">
        <v>0.0</v>
      </c>
    </row>
    <row r="5820">
      <c r="Y5820" s="372">
        <v>0.0</v>
      </c>
      <c r="Z5820" s="372">
        <v>0.0</v>
      </c>
    </row>
    <row r="5821">
      <c r="Y5821" s="372">
        <v>0.0</v>
      </c>
      <c r="Z5821" s="372">
        <v>0.0</v>
      </c>
    </row>
    <row r="5822">
      <c r="Y5822" s="372">
        <v>0.0</v>
      </c>
      <c r="Z5822" s="372">
        <v>0.0</v>
      </c>
    </row>
    <row r="5823">
      <c r="Y5823" s="372">
        <v>0.0</v>
      </c>
      <c r="Z5823" s="372">
        <v>0.0</v>
      </c>
    </row>
    <row r="5824">
      <c r="Y5824" s="372">
        <v>0.0</v>
      </c>
      <c r="Z5824" s="372">
        <v>0.0</v>
      </c>
    </row>
    <row r="5825">
      <c r="Y5825" s="372">
        <v>0.0</v>
      </c>
      <c r="Z5825" s="372">
        <v>0.0</v>
      </c>
    </row>
    <row r="5826">
      <c r="Y5826" s="372">
        <v>0.0</v>
      </c>
      <c r="Z5826" s="372">
        <v>0.0</v>
      </c>
    </row>
    <row r="5827">
      <c r="Y5827" s="372">
        <v>0.0</v>
      </c>
      <c r="Z5827" s="372">
        <v>0.0</v>
      </c>
    </row>
    <row r="5828">
      <c r="Y5828" s="372">
        <v>0.0</v>
      </c>
      <c r="Z5828" s="372">
        <v>0.0</v>
      </c>
    </row>
    <row r="5829">
      <c r="Y5829" s="372">
        <v>0.0</v>
      </c>
      <c r="Z5829" s="372">
        <v>0.0</v>
      </c>
    </row>
    <row r="5830">
      <c r="Y5830" s="372">
        <v>0.0</v>
      </c>
      <c r="Z5830" s="372">
        <v>0.0</v>
      </c>
    </row>
    <row r="5831">
      <c r="Y5831" s="372">
        <v>0.0</v>
      </c>
      <c r="Z5831" s="372">
        <v>0.0</v>
      </c>
    </row>
    <row r="5832">
      <c r="Y5832" s="372">
        <v>0.0</v>
      </c>
      <c r="Z5832" s="372">
        <v>0.0</v>
      </c>
    </row>
    <row r="5833">
      <c r="Y5833" s="372">
        <v>0.0</v>
      </c>
      <c r="Z5833" s="372">
        <v>0.0</v>
      </c>
    </row>
    <row r="5834">
      <c r="Y5834" s="372">
        <v>0.0</v>
      </c>
      <c r="Z5834" s="372">
        <v>0.0</v>
      </c>
    </row>
    <row r="5835">
      <c r="Y5835" s="372">
        <v>0.0</v>
      </c>
      <c r="Z5835" s="372">
        <v>0.0</v>
      </c>
    </row>
    <row r="5836">
      <c r="Y5836" s="372">
        <v>0.0</v>
      </c>
      <c r="Z5836" s="372">
        <v>0.0</v>
      </c>
    </row>
    <row r="5837">
      <c r="Y5837" s="372">
        <v>0.0</v>
      </c>
      <c r="Z5837" s="372">
        <v>0.0</v>
      </c>
    </row>
    <row r="5838">
      <c r="Y5838" s="372">
        <v>0.0</v>
      </c>
      <c r="Z5838" s="372">
        <v>0.0</v>
      </c>
    </row>
    <row r="5839">
      <c r="Y5839" s="372">
        <v>0.0</v>
      </c>
      <c r="Z5839" s="372">
        <v>0.0</v>
      </c>
    </row>
    <row r="5840">
      <c r="Y5840" s="372">
        <v>0.0</v>
      </c>
      <c r="Z5840" s="372">
        <v>0.0</v>
      </c>
    </row>
    <row r="5841">
      <c r="Y5841" s="372">
        <v>0.0</v>
      </c>
      <c r="Z5841" s="372">
        <v>0.0</v>
      </c>
    </row>
    <row r="5842">
      <c r="Y5842" s="372">
        <v>0.0</v>
      </c>
      <c r="Z5842" s="372">
        <v>0.0</v>
      </c>
    </row>
    <row r="5843">
      <c r="Y5843" s="372">
        <v>0.0</v>
      </c>
      <c r="Z5843" s="372">
        <v>0.0</v>
      </c>
    </row>
    <row r="5844">
      <c r="Y5844" s="372">
        <v>0.0</v>
      </c>
      <c r="Z5844" s="372">
        <v>0.0</v>
      </c>
    </row>
    <row r="5845">
      <c r="Y5845" s="372">
        <v>0.0</v>
      </c>
      <c r="Z5845" s="372">
        <v>0.0</v>
      </c>
    </row>
    <row r="5846">
      <c r="Y5846" s="372">
        <v>0.0</v>
      </c>
      <c r="Z5846" s="372">
        <v>0.0</v>
      </c>
    </row>
    <row r="5847">
      <c r="Y5847" s="372">
        <v>0.0</v>
      </c>
      <c r="Z5847" s="372">
        <v>0.0</v>
      </c>
    </row>
    <row r="5848">
      <c r="Y5848" s="372">
        <v>0.0</v>
      </c>
      <c r="Z5848" s="372">
        <v>0.0</v>
      </c>
    </row>
    <row r="5849">
      <c r="Y5849" s="372">
        <v>0.0</v>
      </c>
      <c r="Z5849" s="372">
        <v>0.0</v>
      </c>
    </row>
    <row r="5850">
      <c r="Y5850" s="372">
        <v>0.0</v>
      </c>
      <c r="Z5850" s="372">
        <v>0.0</v>
      </c>
    </row>
    <row r="5851">
      <c r="Y5851" s="372">
        <v>0.0</v>
      </c>
      <c r="Z5851" s="372">
        <v>0.0</v>
      </c>
    </row>
    <row r="5852">
      <c r="Y5852" s="372">
        <v>0.0</v>
      </c>
      <c r="Z5852" s="372">
        <v>0.0</v>
      </c>
    </row>
    <row r="5853">
      <c r="Y5853" s="372">
        <v>0.0</v>
      </c>
      <c r="Z5853" s="372">
        <v>0.0</v>
      </c>
    </row>
    <row r="5854">
      <c r="Y5854" s="372">
        <v>0.0</v>
      </c>
      <c r="Z5854" s="372">
        <v>0.0</v>
      </c>
    </row>
    <row r="5855">
      <c r="Y5855" s="372">
        <v>0.0</v>
      </c>
      <c r="Z5855" s="372">
        <v>0.0</v>
      </c>
    </row>
    <row r="5856">
      <c r="Y5856" s="372">
        <v>0.0</v>
      </c>
      <c r="Z5856" s="372">
        <v>0.0</v>
      </c>
    </row>
    <row r="5857">
      <c r="Y5857" s="372">
        <v>0.0</v>
      </c>
      <c r="Z5857" s="372">
        <v>0.0</v>
      </c>
    </row>
    <row r="5858">
      <c r="Y5858" s="372">
        <v>0.0</v>
      </c>
      <c r="Z5858" s="372">
        <v>0.0</v>
      </c>
    </row>
    <row r="5859">
      <c r="Y5859" s="372">
        <v>0.0</v>
      </c>
      <c r="Z5859" s="372">
        <v>0.0</v>
      </c>
    </row>
    <row r="5860">
      <c r="Y5860" s="372">
        <v>0.0</v>
      </c>
      <c r="Z5860" s="372">
        <v>0.0</v>
      </c>
    </row>
    <row r="5861">
      <c r="Y5861" s="372">
        <v>0.0</v>
      </c>
      <c r="Z5861" s="372">
        <v>0.0</v>
      </c>
    </row>
    <row r="5862">
      <c r="Y5862" s="372">
        <v>0.0</v>
      </c>
      <c r="Z5862" s="372">
        <v>0.0</v>
      </c>
    </row>
    <row r="5863">
      <c r="Y5863" s="372">
        <v>0.0</v>
      </c>
      <c r="Z5863" s="372">
        <v>0.0</v>
      </c>
    </row>
    <row r="5864">
      <c r="Y5864" s="372">
        <v>0.0</v>
      </c>
      <c r="Z5864" s="372">
        <v>0.0</v>
      </c>
    </row>
    <row r="5865">
      <c r="Y5865" s="372">
        <v>0.0</v>
      </c>
      <c r="Z5865" s="372">
        <v>0.0</v>
      </c>
    </row>
    <row r="5866">
      <c r="Y5866" s="372">
        <v>0.0</v>
      </c>
      <c r="Z5866" s="372">
        <v>0.0</v>
      </c>
    </row>
    <row r="5867">
      <c r="Y5867" s="372">
        <v>0.0</v>
      </c>
      <c r="Z5867" s="372">
        <v>0.0</v>
      </c>
    </row>
    <row r="5868">
      <c r="Y5868" s="372">
        <v>0.0</v>
      </c>
      <c r="Z5868" s="372">
        <v>0.0</v>
      </c>
    </row>
    <row r="5869">
      <c r="Y5869" s="372">
        <v>0.0</v>
      </c>
      <c r="Z5869" s="372">
        <v>0.0</v>
      </c>
    </row>
    <row r="5870">
      <c r="Y5870" s="372">
        <v>0.0</v>
      </c>
      <c r="Z5870" s="372">
        <v>0.0</v>
      </c>
    </row>
    <row r="5871">
      <c r="Y5871" s="372">
        <v>0.0</v>
      </c>
      <c r="Z5871" s="372">
        <v>0.0</v>
      </c>
    </row>
    <row r="5872">
      <c r="Y5872" s="372">
        <v>0.0</v>
      </c>
      <c r="Z5872" s="372">
        <v>0.0</v>
      </c>
    </row>
    <row r="5873">
      <c r="Y5873" s="372">
        <v>0.0</v>
      </c>
      <c r="Z5873" s="372">
        <v>0.0</v>
      </c>
    </row>
    <row r="5874">
      <c r="Y5874" s="372">
        <v>0.0</v>
      </c>
      <c r="Z5874" s="372">
        <v>0.0</v>
      </c>
    </row>
    <row r="5875">
      <c r="Y5875" s="372">
        <v>0.0</v>
      </c>
      <c r="Z5875" s="372">
        <v>0.0</v>
      </c>
    </row>
    <row r="5876">
      <c r="Y5876" s="372">
        <v>0.0</v>
      </c>
      <c r="Z5876" s="372">
        <v>0.0</v>
      </c>
    </row>
    <row r="5877">
      <c r="Y5877" s="372">
        <v>0.0</v>
      </c>
      <c r="Z5877" s="372">
        <v>0.0</v>
      </c>
    </row>
    <row r="5878">
      <c r="Y5878" s="372">
        <v>0.0</v>
      </c>
      <c r="Z5878" s="372">
        <v>0.0</v>
      </c>
    </row>
    <row r="5879">
      <c r="Y5879" s="372">
        <v>0.0</v>
      </c>
      <c r="Z5879" s="372">
        <v>0.0</v>
      </c>
    </row>
    <row r="5880">
      <c r="Y5880" s="372">
        <v>0.0</v>
      </c>
      <c r="Z5880" s="372">
        <v>0.0</v>
      </c>
    </row>
    <row r="5881">
      <c r="Y5881" s="372">
        <v>0.0</v>
      </c>
      <c r="Z5881" s="372">
        <v>0.0</v>
      </c>
    </row>
    <row r="5882">
      <c r="Y5882" s="372">
        <v>0.0</v>
      </c>
      <c r="Z5882" s="372">
        <v>0.0</v>
      </c>
    </row>
    <row r="5883">
      <c r="Y5883" s="372">
        <v>0.0</v>
      </c>
      <c r="Z5883" s="372">
        <v>0.0</v>
      </c>
    </row>
    <row r="5884">
      <c r="Y5884" s="372">
        <v>0.0</v>
      </c>
      <c r="Z5884" s="372">
        <v>0.0</v>
      </c>
    </row>
    <row r="5885">
      <c r="Y5885" s="372">
        <v>0.0</v>
      </c>
      <c r="Z5885" s="372">
        <v>0.0</v>
      </c>
    </row>
    <row r="5886">
      <c r="Y5886" s="372">
        <v>0.0</v>
      </c>
      <c r="Z5886" s="372">
        <v>0.0</v>
      </c>
    </row>
    <row r="5887">
      <c r="Y5887" s="372">
        <v>0.0</v>
      </c>
      <c r="Z5887" s="372">
        <v>0.0</v>
      </c>
    </row>
    <row r="5888">
      <c r="Y5888" s="372">
        <v>0.0</v>
      </c>
      <c r="Z5888" s="372">
        <v>0.0</v>
      </c>
    </row>
    <row r="5889">
      <c r="Y5889" s="372">
        <v>0.0</v>
      </c>
      <c r="Z5889" s="372">
        <v>0.0</v>
      </c>
    </row>
    <row r="5890">
      <c r="Y5890" s="372">
        <v>0.0</v>
      </c>
      <c r="Z5890" s="372">
        <v>0.0</v>
      </c>
    </row>
    <row r="5891">
      <c r="Y5891" s="372">
        <v>0.0</v>
      </c>
      <c r="Z5891" s="372">
        <v>0.0</v>
      </c>
    </row>
    <row r="5892">
      <c r="Y5892" s="372">
        <v>0.0</v>
      </c>
      <c r="Z5892" s="372">
        <v>0.0</v>
      </c>
    </row>
    <row r="5893">
      <c r="Y5893" s="372">
        <v>0.0</v>
      </c>
      <c r="Z5893" s="372">
        <v>0.0</v>
      </c>
    </row>
    <row r="5894">
      <c r="Y5894" s="372">
        <v>0.0</v>
      </c>
      <c r="Z5894" s="372">
        <v>0.0</v>
      </c>
    </row>
    <row r="5895">
      <c r="Y5895" s="372">
        <v>0.0</v>
      </c>
      <c r="Z5895" s="372">
        <v>0.0</v>
      </c>
    </row>
    <row r="5896">
      <c r="Y5896" s="372">
        <v>0.0</v>
      </c>
      <c r="Z5896" s="372">
        <v>0.0</v>
      </c>
    </row>
    <row r="5897">
      <c r="Y5897" s="372">
        <v>0.0</v>
      </c>
      <c r="Z5897" s="372">
        <v>0.0</v>
      </c>
    </row>
    <row r="5898">
      <c r="Y5898" s="372">
        <v>0.0</v>
      </c>
      <c r="Z5898" s="372">
        <v>0.0</v>
      </c>
    </row>
    <row r="5899">
      <c r="Y5899" s="372">
        <v>0.0</v>
      </c>
      <c r="Z5899" s="372">
        <v>0.0</v>
      </c>
    </row>
    <row r="5900">
      <c r="Y5900" s="372">
        <v>0.0</v>
      </c>
      <c r="Z5900" s="372">
        <v>0.0</v>
      </c>
    </row>
    <row r="5901">
      <c r="Y5901" s="372">
        <v>0.0</v>
      </c>
      <c r="Z5901" s="372">
        <v>0.0</v>
      </c>
    </row>
    <row r="5902">
      <c r="Y5902" s="372">
        <v>0.0</v>
      </c>
      <c r="Z5902" s="372">
        <v>0.0</v>
      </c>
    </row>
    <row r="5903">
      <c r="Y5903" s="372">
        <v>0.0</v>
      </c>
      <c r="Z5903" s="372">
        <v>0.0</v>
      </c>
    </row>
    <row r="5904">
      <c r="Y5904" s="372">
        <v>0.0</v>
      </c>
      <c r="Z5904" s="372">
        <v>0.0</v>
      </c>
    </row>
    <row r="5905">
      <c r="Y5905" s="372">
        <v>0.0</v>
      </c>
      <c r="Z5905" s="372">
        <v>0.0</v>
      </c>
    </row>
    <row r="5906">
      <c r="Y5906" s="372">
        <v>0.0</v>
      </c>
      <c r="Z5906" s="372">
        <v>0.0</v>
      </c>
    </row>
    <row r="5907">
      <c r="Y5907" s="372">
        <v>0.0</v>
      </c>
      <c r="Z5907" s="372">
        <v>0.0</v>
      </c>
    </row>
    <row r="5908">
      <c r="Y5908" s="372">
        <v>0.0</v>
      </c>
      <c r="Z5908" s="372">
        <v>0.0</v>
      </c>
    </row>
    <row r="5909">
      <c r="Y5909" s="372">
        <v>0.0</v>
      </c>
      <c r="Z5909" s="372">
        <v>0.0</v>
      </c>
    </row>
    <row r="5910">
      <c r="Y5910" s="372">
        <v>0.0</v>
      </c>
      <c r="Z5910" s="372">
        <v>0.0</v>
      </c>
    </row>
    <row r="5911">
      <c r="Y5911" s="372">
        <v>0.0</v>
      </c>
      <c r="Z5911" s="372">
        <v>0.0</v>
      </c>
    </row>
    <row r="5912">
      <c r="Y5912" s="372">
        <v>0.0</v>
      </c>
      <c r="Z5912" s="372">
        <v>0.0</v>
      </c>
    </row>
    <row r="5913">
      <c r="Y5913" s="372">
        <v>0.0</v>
      </c>
      <c r="Z5913" s="372">
        <v>0.0</v>
      </c>
    </row>
    <row r="5914">
      <c r="Y5914" s="372">
        <v>0.0</v>
      </c>
      <c r="Z5914" s="372">
        <v>0.0</v>
      </c>
    </row>
    <row r="5915">
      <c r="Y5915" s="372">
        <v>0.0</v>
      </c>
      <c r="Z5915" s="372">
        <v>0.0</v>
      </c>
    </row>
    <row r="5916">
      <c r="Y5916" s="372">
        <v>0.0</v>
      </c>
      <c r="Z5916" s="372">
        <v>0.0</v>
      </c>
    </row>
    <row r="5917">
      <c r="Y5917" s="372">
        <v>0.0</v>
      </c>
      <c r="Z5917" s="372">
        <v>0.0</v>
      </c>
    </row>
    <row r="5918">
      <c r="Y5918" s="372">
        <v>0.0</v>
      </c>
      <c r="Z5918" s="372">
        <v>0.0</v>
      </c>
    </row>
    <row r="5919">
      <c r="Y5919" s="372">
        <v>0.0</v>
      </c>
      <c r="Z5919" s="372">
        <v>0.0</v>
      </c>
    </row>
    <row r="5920">
      <c r="Y5920" s="372">
        <v>0.0</v>
      </c>
      <c r="Z5920" s="372">
        <v>0.0</v>
      </c>
    </row>
    <row r="5921">
      <c r="Y5921" s="372">
        <v>0.0</v>
      </c>
      <c r="Z5921" s="372">
        <v>0.0</v>
      </c>
    </row>
    <row r="5922">
      <c r="Y5922" s="372">
        <v>0.0</v>
      </c>
      <c r="Z5922" s="372">
        <v>0.0</v>
      </c>
    </row>
    <row r="5923">
      <c r="Y5923" s="372">
        <v>0.0</v>
      </c>
      <c r="Z5923" s="372">
        <v>0.0</v>
      </c>
    </row>
    <row r="5924">
      <c r="Y5924" s="372">
        <v>0.0</v>
      </c>
      <c r="Z5924" s="372">
        <v>0.0</v>
      </c>
    </row>
    <row r="5925">
      <c r="Y5925" s="372">
        <v>0.0</v>
      </c>
      <c r="Z5925" s="372">
        <v>0.0</v>
      </c>
    </row>
    <row r="5926">
      <c r="Y5926" s="372">
        <v>0.0</v>
      </c>
      <c r="Z5926" s="372">
        <v>0.0</v>
      </c>
    </row>
    <row r="5927">
      <c r="Y5927" s="372">
        <v>0.0</v>
      </c>
      <c r="Z5927" s="372">
        <v>0.0</v>
      </c>
    </row>
    <row r="5928">
      <c r="Y5928" s="372">
        <v>0.0</v>
      </c>
      <c r="Z5928" s="372">
        <v>0.0</v>
      </c>
    </row>
    <row r="5929">
      <c r="Y5929" s="372">
        <v>0.0</v>
      </c>
      <c r="Z5929" s="372">
        <v>0.0</v>
      </c>
    </row>
    <row r="5930">
      <c r="Y5930" s="372">
        <v>0.0</v>
      </c>
      <c r="Z5930" s="372">
        <v>0.0</v>
      </c>
    </row>
    <row r="5931">
      <c r="Y5931" s="372">
        <v>0.0</v>
      </c>
      <c r="Z5931" s="372">
        <v>0.0</v>
      </c>
    </row>
    <row r="5932">
      <c r="Y5932" s="372">
        <v>0.0</v>
      </c>
      <c r="Z5932" s="372">
        <v>0.0</v>
      </c>
    </row>
    <row r="5933">
      <c r="Y5933" s="372">
        <v>0.0</v>
      </c>
      <c r="Z5933" s="372">
        <v>0.0</v>
      </c>
    </row>
    <row r="5934">
      <c r="Y5934" s="372">
        <v>0.0</v>
      </c>
      <c r="Z5934" s="372">
        <v>0.0</v>
      </c>
    </row>
    <row r="5935">
      <c r="Y5935" s="372">
        <v>0.0</v>
      </c>
      <c r="Z5935" s="372">
        <v>0.0</v>
      </c>
    </row>
    <row r="5936">
      <c r="Y5936" s="372">
        <v>0.0</v>
      </c>
      <c r="Z5936" s="372">
        <v>0.0</v>
      </c>
    </row>
    <row r="5937">
      <c r="Y5937" s="372">
        <v>0.0</v>
      </c>
      <c r="Z5937" s="372">
        <v>0.0</v>
      </c>
    </row>
    <row r="5938">
      <c r="Y5938" s="372">
        <v>0.0</v>
      </c>
      <c r="Z5938" s="372">
        <v>0.0</v>
      </c>
    </row>
    <row r="5939">
      <c r="Y5939" s="372">
        <v>0.0</v>
      </c>
      <c r="Z5939" s="372">
        <v>0.0</v>
      </c>
    </row>
    <row r="5940">
      <c r="Y5940" s="372">
        <v>0.0</v>
      </c>
      <c r="Z5940" s="372">
        <v>0.0</v>
      </c>
    </row>
    <row r="5941">
      <c r="Y5941" s="372">
        <v>0.0</v>
      </c>
      <c r="Z5941" s="372">
        <v>0.0</v>
      </c>
    </row>
    <row r="5942">
      <c r="Y5942" s="372">
        <v>0.0</v>
      </c>
      <c r="Z5942" s="372">
        <v>0.0</v>
      </c>
    </row>
    <row r="5943">
      <c r="Y5943" s="372">
        <v>0.0</v>
      </c>
      <c r="Z5943" s="372">
        <v>0.0</v>
      </c>
    </row>
    <row r="5944">
      <c r="Y5944" s="372">
        <v>0.0</v>
      </c>
      <c r="Z5944" s="372">
        <v>0.0</v>
      </c>
    </row>
    <row r="5945">
      <c r="Y5945" s="372">
        <v>0.0</v>
      </c>
      <c r="Z5945" s="372">
        <v>0.0</v>
      </c>
    </row>
    <row r="5946">
      <c r="Y5946" s="372">
        <v>0.0</v>
      </c>
      <c r="Z5946" s="372">
        <v>0.0</v>
      </c>
    </row>
    <row r="5947">
      <c r="Y5947" s="372">
        <v>0.0</v>
      </c>
      <c r="Z5947" s="372">
        <v>0.0</v>
      </c>
    </row>
    <row r="5948">
      <c r="Y5948" s="372">
        <v>0.0</v>
      </c>
      <c r="Z5948" s="372">
        <v>0.0</v>
      </c>
    </row>
    <row r="5949">
      <c r="Y5949" s="372">
        <v>0.0</v>
      </c>
      <c r="Z5949" s="372">
        <v>0.0</v>
      </c>
    </row>
    <row r="5950">
      <c r="Y5950" s="372">
        <v>0.0</v>
      </c>
      <c r="Z5950" s="372">
        <v>0.0</v>
      </c>
    </row>
    <row r="5951">
      <c r="Y5951" s="372">
        <v>0.0</v>
      </c>
      <c r="Z5951" s="372">
        <v>0.0</v>
      </c>
    </row>
    <row r="5952">
      <c r="Y5952" s="372">
        <v>0.0</v>
      </c>
      <c r="Z5952" s="372">
        <v>0.0</v>
      </c>
    </row>
    <row r="5953">
      <c r="Y5953" s="372">
        <v>0.0</v>
      </c>
      <c r="Z5953" s="372">
        <v>0.0</v>
      </c>
    </row>
    <row r="5954">
      <c r="Y5954" s="372">
        <v>0.0</v>
      </c>
      <c r="Z5954" s="372">
        <v>0.0</v>
      </c>
    </row>
    <row r="5955">
      <c r="Y5955" s="372">
        <v>0.0</v>
      </c>
      <c r="Z5955" s="372">
        <v>0.0</v>
      </c>
    </row>
    <row r="5956">
      <c r="Y5956" s="372">
        <v>0.0</v>
      </c>
      <c r="Z5956" s="372">
        <v>0.0</v>
      </c>
    </row>
    <row r="5957">
      <c r="Y5957" s="372">
        <v>0.0</v>
      </c>
      <c r="Z5957" s="372">
        <v>0.0</v>
      </c>
    </row>
    <row r="5958">
      <c r="Y5958" s="372">
        <v>0.0</v>
      </c>
      <c r="Z5958" s="372">
        <v>0.0</v>
      </c>
    </row>
    <row r="5959">
      <c r="Y5959" s="372">
        <v>0.0</v>
      </c>
      <c r="Z5959" s="372">
        <v>0.0</v>
      </c>
    </row>
    <row r="5960">
      <c r="Y5960" s="372">
        <v>0.0</v>
      </c>
      <c r="Z5960" s="372">
        <v>0.0</v>
      </c>
    </row>
    <row r="5961">
      <c r="Y5961" s="372">
        <v>0.0</v>
      </c>
      <c r="Z5961" s="372">
        <v>0.0</v>
      </c>
    </row>
    <row r="5962">
      <c r="Y5962" s="372">
        <v>0.0</v>
      </c>
      <c r="Z5962" s="372">
        <v>0.0</v>
      </c>
    </row>
    <row r="5963">
      <c r="Y5963" s="372">
        <v>0.0</v>
      </c>
      <c r="Z5963" s="372">
        <v>0.0</v>
      </c>
    </row>
    <row r="5964">
      <c r="Y5964" s="372">
        <v>0.0</v>
      </c>
      <c r="Z5964" s="372">
        <v>0.0</v>
      </c>
    </row>
    <row r="5965">
      <c r="Y5965" s="372">
        <v>0.0</v>
      </c>
      <c r="Z5965" s="372">
        <v>0.0</v>
      </c>
    </row>
    <row r="5966">
      <c r="Y5966" s="372">
        <v>0.0</v>
      </c>
      <c r="Z5966" s="372">
        <v>0.0</v>
      </c>
    </row>
    <row r="5967">
      <c r="Y5967" s="372">
        <v>0.0</v>
      </c>
      <c r="Z5967" s="372">
        <v>0.0</v>
      </c>
    </row>
    <row r="5968">
      <c r="Y5968" s="372">
        <v>0.0</v>
      </c>
      <c r="Z5968" s="372">
        <v>0.0</v>
      </c>
    </row>
    <row r="5969">
      <c r="Y5969" s="372">
        <v>0.0</v>
      </c>
      <c r="Z5969" s="372">
        <v>0.0</v>
      </c>
    </row>
    <row r="5970">
      <c r="Y5970" s="372">
        <v>0.0</v>
      </c>
      <c r="Z5970" s="372">
        <v>0.0</v>
      </c>
    </row>
    <row r="5971">
      <c r="Y5971" s="372">
        <v>0.0</v>
      </c>
      <c r="Z5971" s="372">
        <v>0.0</v>
      </c>
    </row>
    <row r="5972">
      <c r="Y5972" s="372">
        <v>0.0</v>
      </c>
      <c r="Z5972" s="372">
        <v>0.0</v>
      </c>
    </row>
    <row r="5973">
      <c r="Y5973" s="372">
        <v>0.0</v>
      </c>
      <c r="Z5973" s="372">
        <v>0.0</v>
      </c>
    </row>
    <row r="5974">
      <c r="Y5974" s="372">
        <v>0.0</v>
      </c>
      <c r="Z5974" s="372">
        <v>0.0</v>
      </c>
    </row>
    <row r="5975">
      <c r="Y5975" s="372">
        <v>0.0</v>
      </c>
      <c r="Z5975" s="372">
        <v>0.0</v>
      </c>
    </row>
    <row r="5976">
      <c r="Y5976" s="372">
        <v>0.0</v>
      </c>
      <c r="Z5976" s="372">
        <v>0.0</v>
      </c>
    </row>
    <row r="5977">
      <c r="Y5977" s="372">
        <v>0.0</v>
      </c>
      <c r="Z5977" s="372">
        <v>0.0</v>
      </c>
    </row>
    <row r="5978">
      <c r="Y5978" s="372">
        <v>0.0</v>
      </c>
      <c r="Z5978" s="372">
        <v>0.0</v>
      </c>
    </row>
    <row r="5979">
      <c r="Y5979" s="372">
        <v>0.0</v>
      </c>
      <c r="Z5979" s="372">
        <v>0.0</v>
      </c>
    </row>
    <row r="5980">
      <c r="Y5980" s="372">
        <v>0.0</v>
      </c>
      <c r="Z5980" s="372">
        <v>0.0</v>
      </c>
    </row>
    <row r="5981">
      <c r="Y5981" s="372">
        <v>0.0</v>
      </c>
      <c r="Z5981" s="372">
        <v>0.0</v>
      </c>
    </row>
    <row r="5982">
      <c r="Y5982" s="372">
        <v>0.0</v>
      </c>
      <c r="Z5982" s="372">
        <v>0.0</v>
      </c>
    </row>
    <row r="5983">
      <c r="Y5983" s="372">
        <v>0.0</v>
      </c>
      <c r="Z5983" s="372">
        <v>0.0</v>
      </c>
    </row>
    <row r="5984">
      <c r="Y5984" s="372">
        <v>0.0</v>
      </c>
      <c r="Z5984" s="372">
        <v>0.0</v>
      </c>
    </row>
    <row r="5985">
      <c r="Y5985" s="372">
        <v>0.0</v>
      </c>
      <c r="Z5985" s="372">
        <v>0.0</v>
      </c>
    </row>
    <row r="5986">
      <c r="Y5986" s="372">
        <v>0.0</v>
      </c>
      <c r="Z5986" s="372">
        <v>0.0</v>
      </c>
    </row>
    <row r="5987">
      <c r="Y5987" s="372">
        <v>0.0</v>
      </c>
      <c r="Z5987" s="372">
        <v>0.0</v>
      </c>
    </row>
    <row r="5988">
      <c r="Y5988" s="372">
        <v>0.0</v>
      </c>
      <c r="Z5988" s="372">
        <v>0.0</v>
      </c>
    </row>
    <row r="5989">
      <c r="Y5989" s="372">
        <v>0.0</v>
      </c>
      <c r="Z5989" s="372">
        <v>0.0</v>
      </c>
    </row>
    <row r="5990">
      <c r="Y5990" s="372">
        <v>0.0</v>
      </c>
      <c r="Z5990" s="372">
        <v>0.0</v>
      </c>
    </row>
    <row r="5991">
      <c r="Y5991" s="372">
        <v>0.0</v>
      </c>
      <c r="Z5991" s="372">
        <v>0.0</v>
      </c>
    </row>
    <row r="5992">
      <c r="Y5992" s="372">
        <v>0.0</v>
      </c>
      <c r="Z5992" s="372">
        <v>0.0</v>
      </c>
    </row>
    <row r="5993">
      <c r="Y5993" s="372">
        <v>0.0</v>
      </c>
      <c r="Z5993" s="372">
        <v>0.0</v>
      </c>
    </row>
    <row r="5994">
      <c r="Y5994" s="372">
        <v>0.0</v>
      </c>
      <c r="Z5994" s="372">
        <v>0.0</v>
      </c>
    </row>
    <row r="5995">
      <c r="Y5995" s="372">
        <v>0.0</v>
      </c>
      <c r="Z5995" s="372">
        <v>0.0</v>
      </c>
    </row>
    <row r="5996">
      <c r="Y5996" s="372">
        <v>0.0</v>
      </c>
      <c r="Z5996" s="372">
        <v>0.0</v>
      </c>
    </row>
    <row r="5997">
      <c r="Y5997" s="372">
        <v>0.0</v>
      </c>
      <c r="Z5997" s="372">
        <v>0.0</v>
      </c>
    </row>
    <row r="5998">
      <c r="Y5998" s="372">
        <v>0.0</v>
      </c>
      <c r="Z5998" s="372">
        <v>0.0</v>
      </c>
    </row>
    <row r="5999">
      <c r="Y5999" s="372">
        <v>0.0</v>
      </c>
      <c r="Z5999" s="372">
        <v>0.0</v>
      </c>
    </row>
    <row r="6000">
      <c r="Y6000" s="372">
        <v>0.0</v>
      </c>
      <c r="Z6000" s="372">
        <v>0.0</v>
      </c>
    </row>
    <row r="6001">
      <c r="Y6001" s="372">
        <v>0.0</v>
      </c>
      <c r="Z6001" s="372">
        <v>0.0</v>
      </c>
    </row>
    <row r="6002">
      <c r="Y6002" s="372">
        <v>0.0</v>
      </c>
      <c r="Z6002" s="372">
        <v>0.0</v>
      </c>
    </row>
    <row r="6003">
      <c r="Y6003" s="372">
        <v>0.0</v>
      </c>
      <c r="Z6003" s="372">
        <v>0.0</v>
      </c>
    </row>
    <row r="6004">
      <c r="Y6004" s="372">
        <v>0.0</v>
      </c>
      <c r="Z6004" s="372">
        <v>0.0</v>
      </c>
    </row>
    <row r="6005">
      <c r="Y6005" s="372">
        <v>0.0</v>
      </c>
      <c r="Z6005" s="372">
        <v>0.0</v>
      </c>
    </row>
    <row r="6006">
      <c r="Y6006" s="372">
        <v>0.0</v>
      </c>
      <c r="Z6006" s="372">
        <v>0.0</v>
      </c>
    </row>
    <row r="6007">
      <c r="Y6007" s="372">
        <v>0.0</v>
      </c>
      <c r="Z6007" s="372">
        <v>0.0</v>
      </c>
    </row>
    <row r="6008">
      <c r="Y6008" s="372">
        <v>0.0</v>
      </c>
      <c r="Z6008" s="372">
        <v>0.0</v>
      </c>
    </row>
    <row r="6009">
      <c r="Y6009" s="372">
        <v>0.0</v>
      </c>
      <c r="Z6009" s="372">
        <v>0.0</v>
      </c>
    </row>
    <row r="6010">
      <c r="Y6010" s="372">
        <v>0.0</v>
      </c>
      <c r="Z6010" s="372">
        <v>0.0</v>
      </c>
    </row>
    <row r="6011">
      <c r="Y6011" s="372">
        <v>0.0</v>
      </c>
      <c r="Z6011" s="372">
        <v>0.0</v>
      </c>
    </row>
    <row r="6012">
      <c r="Y6012" s="372">
        <v>0.0</v>
      </c>
      <c r="Z6012" s="372">
        <v>0.0</v>
      </c>
    </row>
    <row r="6013">
      <c r="Y6013" s="372">
        <v>0.0</v>
      </c>
      <c r="Z6013" s="372">
        <v>0.0</v>
      </c>
    </row>
    <row r="6014">
      <c r="Y6014" s="372">
        <v>0.0</v>
      </c>
      <c r="Z6014" s="372">
        <v>0.0</v>
      </c>
    </row>
    <row r="6015">
      <c r="Y6015" s="372">
        <v>0.0</v>
      </c>
      <c r="Z6015" s="372">
        <v>0.0</v>
      </c>
    </row>
    <row r="6016">
      <c r="Y6016" s="372">
        <v>0.0</v>
      </c>
      <c r="Z6016" s="372">
        <v>0.0</v>
      </c>
    </row>
    <row r="6017">
      <c r="Y6017" s="372">
        <v>0.0</v>
      </c>
      <c r="Z6017" s="372">
        <v>0.0</v>
      </c>
    </row>
    <row r="6018">
      <c r="Y6018" s="372">
        <v>0.0</v>
      </c>
      <c r="Z6018" s="372">
        <v>0.0</v>
      </c>
    </row>
    <row r="6019">
      <c r="Y6019" s="372">
        <v>0.0</v>
      </c>
      <c r="Z6019" s="372">
        <v>0.0</v>
      </c>
    </row>
    <row r="6020">
      <c r="Y6020" s="372">
        <v>0.0</v>
      </c>
      <c r="Z6020" s="372">
        <v>0.0</v>
      </c>
    </row>
    <row r="6021">
      <c r="Y6021" s="372">
        <v>0.0</v>
      </c>
      <c r="Z6021" s="372">
        <v>0.0</v>
      </c>
    </row>
    <row r="6022">
      <c r="Y6022" s="372">
        <v>0.0</v>
      </c>
      <c r="Z6022" s="372">
        <v>0.0</v>
      </c>
    </row>
    <row r="6023">
      <c r="Y6023" s="372">
        <v>0.0</v>
      </c>
      <c r="Z6023" s="372">
        <v>0.0</v>
      </c>
    </row>
    <row r="6024">
      <c r="Y6024" s="372">
        <v>0.0</v>
      </c>
      <c r="Z6024" s="372">
        <v>0.0</v>
      </c>
    </row>
    <row r="6025">
      <c r="Y6025" s="372">
        <v>0.0</v>
      </c>
      <c r="Z6025" s="372">
        <v>0.0</v>
      </c>
    </row>
    <row r="6026">
      <c r="Y6026" s="372">
        <v>0.0</v>
      </c>
      <c r="Z6026" s="372">
        <v>0.0</v>
      </c>
    </row>
    <row r="6027">
      <c r="Y6027" s="372">
        <v>0.0</v>
      </c>
      <c r="Z6027" s="372">
        <v>0.0</v>
      </c>
    </row>
    <row r="6028">
      <c r="Y6028" s="372">
        <v>0.0</v>
      </c>
      <c r="Z6028" s="372">
        <v>0.0</v>
      </c>
    </row>
    <row r="6029">
      <c r="Y6029" s="372">
        <v>0.0</v>
      </c>
      <c r="Z6029" s="372">
        <v>0.0</v>
      </c>
    </row>
    <row r="6030">
      <c r="Y6030" s="372">
        <v>0.0</v>
      </c>
      <c r="Z6030" s="372">
        <v>0.0</v>
      </c>
    </row>
    <row r="6031">
      <c r="Y6031" s="372">
        <v>0.0</v>
      </c>
      <c r="Z6031" s="372">
        <v>0.0</v>
      </c>
    </row>
    <row r="6032">
      <c r="Y6032" s="372">
        <v>0.0</v>
      </c>
      <c r="Z6032" s="372">
        <v>0.0</v>
      </c>
    </row>
    <row r="6033">
      <c r="Y6033" s="372">
        <v>0.0</v>
      </c>
      <c r="Z6033" s="372">
        <v>0.0</v>
      </c>
    </row>
    <row r="6034">
      <c r="Y6034" s="372">
        <v>0.0</v>
      </c>
      <c r="Z6034" s="372">
        <v>0.0</v>
      </c>
    </row>
    <row r="6035">
      <c r="Y6035" s="372">
        <v>0.0</v>
      </c>
      <c r="Z6035" s="372">
        <v>0.0</v>
      </c>
    </row>
    <row r="6036">
      <c r="Y6036" s="372">
        <v>0.0</v>
      </c>
      <c r="Z6036" s="372">
        <v>0.0</v>
      </c>
    </row>
    <row r="6037">
      <c r="Y6037" s="372">
        <v>0.0</v>
      </c>
      <c r="Z6037" s="372">
        <v>0.0</v>
      </c>
    </row>
    <row r="6038">
      <c r="Y6038" s="372">
        <v>0.0</v>
      </c>
      <c r="Z6038" s="372">
        <v>0.0</v>
      </c>
    </row>
    <row r="6039">
      <c r="Y6039" s="372">
        <v>0.0</v>
      </c>
      <c r="Z6039" s="372">
        <v>0.0</v>
      </c>
    </row>
    <row r="6040">
      <c r="Y6040" s="372">
        <v>0.0</v>
      </c>
      <c r="Z6040" s="372">
        <v>0.0</v>
      </c>
    </row>
    <row r="6041">
      <c r="Y6041" s="372">
        <v>0.0</v>
      </c>
      <c r="Z6041" s="372">
        <v>0.0</v>
      </c>
    </row>
    <row r="6042">
      <c r="Y6042" s="372">
        <v>0.0</v>
      </c>
      <c r="Z6042" s="372">
        <v>0.0</v>
      </c>
    </row>
    <row r="6043">
      <c r="Y6043" s="372">
        <v>0.0</v>
      </c>
      <c r="Z6043" s="372">
        <v>0.0</v>
      </c>
    </row>
    <row r="6044">
      <c r="Y6044" s="372">
        <v>0.0</v>
      </c>
      <c r="Z6044" s="372">
        <v>0.0</v>
      </c>
    </row>
    <row r="6045">
      <c r="Y6045" s="372">
        <v>0.0</v>
      </c>
      <c r="Z6045" s="372">
        <v>0.0</v>
      </c>
    </row>
    <row r="6046">
      <c r="Y6046" s="372">
        <v>0.0</v>
      </c>
      <c r="Z6046" s="372">
        <v>0.0</v>
      </c>
    </row>
    <row r="6047">
      <c r="Y6047" s="372">
        <v>0.0</v>
      </c>
      <c r="Z6047" s="372">
        <v>0.0</v>
      </c>
    </row>
    <row r="6048">
      <c r="Y6048" s="372">
        <v>0.0</v>
      </c>
      <c r="Z6048" s="372">
        <v>0.0</v>
      </c>
    </row>
    <row r="6049">
      <c r="Y6049" s="372">
        <v>0.0</v>
      </c>
      <c r="Z6049" s="372">
        <v>0.0</v>
      </c>
    </row>
    <row r="6050">
      <c r="Y6050" s="372">
        <v>0.0</v>
      </c>
      <c r="Z6050" s="372">
        <v>0.0</v>
      </c>
    </row>
    <row r="6051">
      <c r="Y6051" s="372">
        <v>0.0</v>
      </c>
      <c r="Z6051" s="372">
        <v>0.0</v>
      </c>
    </row>
    <row r="6052">
      <c r="Y6052" s="372">
        <v>0.0</v>
      </c>
      <c r="Z6052" s="372">
        <v>0.0</v>
      </c>
    </row>
    <row r="6053">
      <c r="Y6053" s="372">
        <v>0.0</v>
      </c>
      <c r="Z6053" s="372">
        <v>0.0</v>
      </c>
    </row>
    <row r="6054">
      <c r="Y6054" s="372">
        <v>0.0</v>
      </c>
      <c r="Z6054" s="372">
        <v>0.0</v>
      </c>
    </row>
    <row r="6055">
      <c r="Y6055" s="372">
        <v>0.0</v>
      </c>
      <c r="Z6055" s="372">
        <v>0.0</v>
      </c>
    </row>
    <row r="6056">
      <c r="Y6056" s="372">
        <v>0.0</v>
      </c>
      <c r="Z6056" s="372">
        <v>0.0</v>
      </c>
    </row>
    <row r="6057">
      <c r="Y6057" s="372">
        <v>0.0</v>
      </c>
      <c r="Z6057" s="372">
        <v>0.0</v>
      </c>
    </row>
    <row r="6058">
      <c r="Y6058" s="372">
        <v>0.0</v>
      </c>
      <c r="Z6058" s="372">
        <v>0.0</v>
      </c>
    </row>
    <row r="6059">
      <c r="Y6059" s="372">
        <v>0.0</v>
      </c>
      <c r="Z6059" s="372">
        <v>0.0</v>
      </c>
    </row>
    <row r="6060">
      <c r="Y6060" s="372">
        <v>0.0</v>
      </c>
      <c r="Z6060" s="372">
        <v>0.0</v>
      </c>
    </row>
    <row r="6061">
      <c r="Y6061" s="372">
        <v>0.0</v>
      </c>
      <c r="Z6061" s="372">
        <v>0.0</v>
      </c>
    </row>
    <row r="6062">
      <c r="Y6062" s="372">
        <v>0.0</v>
      </c>
      <c r="Z6062" s="372">
        <v>0.0</v>
      </c>
    </row>
    <row r="6063">
      <c r="Y6063" s="372">
        <v>0.0</v>
      </c>
      <c r="Z6063" s="372">
        <v>0.0</v>
      </c>
    </row>
    <row r="6064">
      <c r="Y6064" s="372">
        <v>0.0</v>
      </c>
      <c r="Z6064" s="372">
        <v>0.0</v>
      </c>
    </row>
    <row r="6065">
      <c r="Y6065" s="372">
        <v>0.0</v>
      </c>
      <c r="Z6065" s="372">
        <v>0.0</v>
      </c>
    </row>
    <row r="6066">
      <c r="Y6066" s="372">
        <v>0.0</v>
      </c>
      <c r="Z6066" s="372">
        <v>0.0</v>
      </c>
    </row>
    <row r="6067">
      <c r="Y6067" s="372">
        <v>0.0</v>
      </c>
      <c r="Z6067" s="372">
        <v>0.0</v>
      </c>
    </row>
    <row r="6068">
      <c r="Y6068" s="372">
        <v>0.0</v>
      </c>
      <c r="Z6068" s="372">
        <v>0.0</v>
      </c>
    </row>
    <row r="6069">
      <c r="Y6069" s="372">
        <v>0.0</v>
      </c>
      <c r="Z6069" s="372">
        <v>0.0</v>
      </c>
    </row>
    <row r="6070">
      <c r="Y6070" s="372">
        <v>0.0</v>
      </c>
      <c r="Z6070" s="372">
        <v>0.0</v>
      </c>
    </row>
    <row r="6071">
      <c r="Y6071" s="372">
        <v>0.0</v>
      </c>
      <c r="Z6071" s="372">
        <v>0.0</v>
      </c>
    </row>
    <row r="6072">
      <c r="Y6072" s="372">
        <v>0.0</v>
      </c>
      <c r="Z6072" s="372">
        <v>0.0</v>
      </c>
    </row>
    <row r="6073">
      <c r="Y6073" s="372">
        <v>0.0</v>
      </c>
      <c r="Z6073" s="372">
        <v>0.0</v>
      </c>
    </row>
    <row r="6074">
      <c r="Y6074" s="372">
        <v>0.0</v>
      </c>
      <c r="Z6074" s="372">
        <v>0.0</v>
      </c>
    </row>
    <row r="6075">
      <c r="Y6075" s="372">
        <v>0.0</v>
      </c>
      <c r="Z6075" s="372">
        <v>0.0</v>
      </c>
    </row>
    <row r="6076">
      <c r="Y6076" s="372">
        <v>0.0</v>
      </c>
      <c r="Z6076" s="372">
        <v>0.0</v>
      </c>
    </row>
    <row r="6077">
      <c r="Y6077" s="372">
        <v>0.0</v>
      </c>
      <c r="Z6077" s="372">
        <v>0.0</v>
      </c>
    </row>
    <row r="6078">
      <c r="Y6078" s="372">
        <v>0.0</v>
      </c>
      <c r="Z6078" s="372">
        <v>0.0</v>
      </c>
    </row>
    <row r="6079">
      <c r="Y6079" s="372">
        <v>0.0</v>
      </c>
      <c r="Z6079" s="372">
        <v>0.0</v>
      </c>
    </row>
    <row r="6080">
      <c r="Y6080" s="372">
        <v>0.0</v>
      </c>
      <c r="Z6080" s="372">
        <v>0.0</v>
      </c>
    </row>
    <row r="6081">
      <c r="Y6081" s="372">
        <v>0.0</v>
      </c>
      <c r="Z6081" s="372">
        <v>0.0</v>
      </c>
    </row>
    <row r="6082">
      <c r="Y6082" s="372">
        <v>0.0</v>
      </c>
      <c r="Z6082" s="372">
        <v>0.0</v>
      </c>
    </row>
    <row r="6083">
      <c r="Y6083" s="372">
        <v>0.0</v>
      </c>
      <c r="Z6083" s="372">
        <v>0.0</v>
      </c>
    </row>
    <row r="6084">
      <c r="Y6084" s="372">
        <v>0.0</v>
      </c>
      <c r="Z6084" s="372">
        <v>0.0</v>
      </c>
    </row>
    <row r="6085">
      <c r="Y6085" s="372">
        <v>0.0</v>
      </c>
      <c r="Z6085" s="372">
        <v>0.0</v>
      </c>
    </row>
    <row r="6086">
      <c r="Y6086" s="372">
        <v>0.0</v>
      </c>
      <c r="Z6086" s="372">
        <v>0.0</v>
      </c>
    </row>
    <row r="6087">
      <c r="Y6087" s="372">
        <v>0.0</v>
      </c>
      <c r="Z6087" s="372">
        <v>0.0</v>
      </c>
    </row>
    <row r="6088">
      <c r="Y6088" s="372">
        <v>0.0</v>
      </c>
      <c r="Z6088" s="372">
        <v>0.0</v>
      </c>
    </row>
    <row r="6089">
      <c r="Y6089" s="372">
        <v>0.0</v>
      </c>
      <c r="Z6089" s="372">
        <v>0.0</v>
      </c>
    </row>
    <row r="6090">
      <c r="Y6090" s="372">
        <v>0.0</v>
      </c>
      <c r="Z6090" s="372">
        <v>0.0</v>
      </c>
    </row>
    <row r="6091">
      <c r="Y6091" s="372">
        <v>0.0</v>
      </c>
      <c r="Z6091" s="372">
        <v>0.0</v>
      </c>
    </row>
    <row r="6092">
      <c r="Y6092" s="372">
        <v>0.0</v>
      </c>
      <c r="Z6092" s="372">
        <v>0.0</v>
      </c>
    </row>
    <row r="6093">
      <c r="Y6093" s="372">
        <v>0.0</v>
      </c>
      <c r="Z6093" s="372">
        <v>0.0</v>
      </c>
    </row>
    <row r="6094">
      <c r="Y6094" s="372">
        <v>0.0</v>
      </c>
      <c r="Z6094" s="372">
        <v>0.0</v>
      </c>
    </row>
    <row r="6095">
      <c r="Y6095" s="372">
        <v>0.0</v>
      </c>
      <c r="Z6095" s="372">
        <v>0.0</v>
      </c>
    </row>
    <row r="6096">
      <c r="Y6096" s="372">
        <v>0.0</v>
      </c>
      <c r="Z6096" s="372">
        <v>0.0</v>
      </c>
    </row>
    <row r="6097">
      <c r="Y6097" s="372">
        <v>0.0</v>
      </c>
      <c r="Z6097" s="372">
        <v>0.0</v>
      </c>
    </row>
    <row r="6098">
      <c r="Y6098" s="372">
        <v>0.0</v>
      </c>
      <c r="Z6098" s="372">
        <v>0.0</v>
      </c>
    </row>
    <row r="6099">
      <c r="Y6099" s="372">
        <v>0.0</v>
      </c>
      <c r="Z6099" s="372">
        <v>0.0</v>
      </c>
    </row>
    <row r="6100">
      <c r="Y6100" s="372">
        <v>0.0</v>
      </c>
      <c r="Z6100" s="372">
        <v>0.0</v>
      </c>
    </row>
    <row r="6101">
      <c r="Y6101" s="372">
        <v>0.0</v>
      </c>
      <c r="Z6101" s="372">
        <v>0.0</v>
      </c>
    </row>
    <row r="6102">
      <c r="Y6102" s="372">
        <v>0.0</v>
      </c>
      <c r="Z6102" s="372">
        <v>0.0</v>
      </c>
    </row>
    <row r="6103">
      <c r="Y6103" s="372">
        <v>0.0</v>
      </c>
      <c r="Z6103" s="372">
        <v>0.0</v>
      </c>
    </row>
    <row r="6104">
      <c r="Y6104" s="372">
        <v>0.0</v>
      </c>
      <c r="Z6104" s="372">
        <v>0.0</v>
      </c>
    </row>
    <row r="6105">
      <c r="Y6105" s="372">
        <v>0.0</v>
      </c>
      <c r="Z6105" s="372">
        <v>0.0</v>
      </c>
    </row>
    <row r="6106">
      <c r="Y6106" s="372">
        <v>0.0</v>
      </c>
      <c r="Z6106" s="372">
        <v>0.0</v>
      </c>
    </row>
    <row r="6107">
      <c r="Y6107" s="372">
        <v>0.0</v>
      </c>
      <c r="Z6107" s="372">
        <v>0.0</v>
      </c>
    </row>
    <row r="6108">
      <c r="Y6108" s="372">
        <v>0.0</v>
      </c>
      <c r="Z6108" s="372">
        <v>0.0</v>
      </c>
    </row>
    <row r="6109">
      <c r="Y6109" s="372">
        <v>0.0</v>
      </c>
      <c r="Z6109" s="372">
        <v>0.0</v>
      </c>
    </row>
    <row r="6110">
      <c r="Y6110" s="372">
        <v>0.0</v>
      </c>
      <c r="Z6110" s="372">
        <v>0.0</v>
      </c>
    </row>
    <row r="6111">
      <c r="Y6111" s="372">
        <v>0.0</v>
      </c>
      <c r="Z6111" s="372">
        <v>0.0</v>
      </c>
    </row>
    <row r="6112">
      <c r="Y6112" s="372">
        <v>0.0</v>
      </c>
      <c r="Z6112" s="372">
        <v>0.0</v>
      </c>
    </row>
    <row r="6113">
      <c r="Y6113" s="372">
        <v>0.0</v>
      </c>
      <c r="Z6113" s="372">
        <v>0.0</v>
      </c>
    </row>
    <row r="6114">
      <c r="Y6114" s="372">
        <v>0.0</v>
      </c>
      <c r="Z6114" s="372">
        <v>0.0</v>
      </c>
    </row>
    <row r="6115">
      <c r="Y6115" s="372">
        <v>0.0</v>
      </c>
      <c r="Z6115" s="372">
        <v>0.0</v>
      </c>
    </row>
    <row r="6116">
      <c r="Y6116" s="372">
        <v>0.0</v>
      </c>
      <c r="Z6116" s="372">
        <v>0.0</v>
      </c>
    </row>
    <row r="6117">
      <c r="Y6117" s="372">
        <v>0.0</v>
      </c>
      <c r="Z6117" s="372">
        <v>0.0</v>
      </c>
    </row>
    <row r="6118">
      <c r="Y6118" s="372">
        <v>0.0</v>
      </c>
      <c r="Z6118" s="372">
        <v>0.0</v>
      </c>
    </row>
    <row r="6119">
      <c r="Y6119" s="372">
        <v>0.0</v>
      </c>
      <c r="Z6119" s="372">
        <v>0.0</v>
      </c>
    </row>
    <row r="6120">
      <c r="Y6120" s="372">
        <v>0.0</v>
      </c>
      <c r="Z6120" s="372">
        <v>0.0</v>
      </c>
    </row>
    <row r="6121">
      <c r="Y6121" s="372">
        <v>0.0</v>
      </c>
      <c r="Z6121" s="372">
        <v>0.0</v>
      </c>
    </row>
    <row r="6122">
      <c r="Y6122" s="372">
        <v>0.0</v>
      </c>
      <c r="Z6122" s="372">
        <v>0.0</v>
      </c>
    </row>
    <row r="6123">
      <c r="Y6123" s="372">
        <v>0.0</v>
      </c>
      <c r="Z6123" s="372">
        <v>0.0</v>
      </c>
    </row>
    <row r="6124">
      <c r="Y6124" s="372">
        <v>0.0</v>
      </c>
      <c r="Z6124" s="372">
        <v>0.0</v>
      </c>
    </row>
    <row r="6125">
      <c r="Y6125" s="372">
        <v>0.0</v>
      </c>
      <c r="Z6125" s="372">
        <v>0.0</v>
      </c>
    </row>
    <row r="6126">
      <c r="Y6126" s="372">
        <v>0.0</v>
      </c>
      <c r="Z6126" s="372">
        <v>0.0</v>
      </c>
    </row>
    <row r="6127">
      <c r="Y6127" s="372">
        <v>0.0</v>
      </c>
      <c r="Z6127" s="372">
        <v>0.0</v>
      </c>
    </row>
    <row r="6128">
      <c r="Y6128" s="372">
        <v>0.0</v>
      </c>
      <c r="Z6128" s="372">
        <v>0.0</v>
      </c>
    </row>
    <row r="6129">
      <c r="Y6129" s="372">
        <v>0.0</v>
      </c>
      <c r="Z6129" s="372">
        <v>0.0</v>
      </c>
    </row>
    <row r="6130">
      <c r="Y6130" s="372">
        <v>0.0</v>
      </c>
      <c r="Z6130" s="372">
        <v>0.0</v>
      </c>
    </row>
    <row r="6131">
      <c r="Y6131" s="372">
        <v>0.0</v>
      </c>
      <c r="Z6131" s="372">
        <v>0.0</v>
      </c>
    </row>
    <row r="6132">
      <c r="Y6132" s="372">
        <v>0.0</v>
      </c>
      <c r="Z6132" s="372">
        <v>0.0</v>
      </c>
    </row>
    <row r="6133">
      <c r="Y6133" s="372">
        <v>0.0</v>
      </c>
      <c r="Z6133" s="372">
        <v>0.0</v>
      </c>
    </row>
    <row r="6134">
      <c r="Y6134" s="372">
        <v>0.0</v>
      </c>
      <c r="Z6134" s="372">
        <v>0.0</v>
      </c>
    </row>
    <row r="6135">
      <c r="Y6135" s="372">
        <v>0.0</v>
      </c>
      <c r="Z6135" s="372">
        <v>0.0</v>
      </c>
    </row>
    <row r="6136">
      <c r="Y6136" s="372">
        <v>0.0</v>
      </c>
      <c r="Z6136" s="372">
        <v>0.0</v>
      </c>
    </row>
    <row r="6137">
      <c r="Y6137" s="372">
        <v>0.0</v>
      </c>
      <c r="Z6137" s="372">
        <v>0.0</v>
      </c>
    </row>
    <row r="6138">
      <c r="Y6138" s="372">
        <v>0.0</v>
      </c>
      <c r="Z6138" s="372">
        <v>0.0</v>
      </c>
    </row>
    <row r="6139">
      <c r="Y6139" s="372">
        <v>0.0</v>
      </c>
      <c r="Z6139" s="372">
        <v>0.0</v>
      </c>
    </row>
    <row r="6140">
      <c r="Y6140" s="372">
        <v>0.0</v>
      </c>
      <c r="Z6140" s="372">
        <v>0.0</v>
      </c>
    </row>
    <row r="6141">
      <c r="Y6141" s="372">
        <v>0.0</v>
      </c>
      <c r="Z6141" s="372">
        <v>0.0</v>
      </c>
    </row>
    <row r="6142">
      <c r="Y6142" s="372">
        <v>0.0</v>
      </c>
      <c r="Z6142" s="372">
        <v>0.0</v>
      </c>
    </row>
    <row r="6143">
      <c r="Y6143" s="372">
        <v>0.0</v>
      </c>
      <c r="Z6143" s="372">
        <v>0.0</v>
      </c>
    </row>
    <row r="6144">
      <c r="Y6144" s="372">
        <v>0.0</v>
      </c>
      <c r="Z6144" s="372">
        <v>0.0</v>
      </c>
    </row>
    <row r="6145">
      <c r="Y6145" s="372">
        <v>0.0</v>
      </c>
      <c r="Z6145" s="372">
        <v>0.0</v>
      </c>
    </row>
    <row r="6146">
      <c r="Y6146" s="372">
        <v>0.0</v>
      </c>
      <c r="Z6146" s="372">
        <v>0.0</v>
      </c>
    </row>
    <row r="6147">
      <c r="Y6147" s="372">
        <v>0.0</v>
      </c>
      <c r="Z6147" s="372">
        <v>0.0</v>
      </c>
    </row>
    <row r="6148">
      <c r="Y6148" s="372">
        <v>0.0</v>
      </c>
      <c r="Z6148" s="372">
        <v>0.0</v>
      </c>
    </row>
    <row r="6149">
      <c r="Y6149" s="372">
        <v>0.0</v>
      </c>
      <c r="Z6149" s="372">
        <v>0.0</v>
      </c>
    </row>
    <row r="6150">
      <c r="Y6150" s="372">
        <v>0.0</v>
      </c>
      <c r="Z6150" s="372">
        <v>0.0</v>
      </c>
    </row>
    <row r="6151">
      <c r="Y6151" s="372">
        <v>0.0</v>
      </c>
      <c r="Z6151" s="372">
        <v>0.0</v>
      </c>
    </row>
    <row r="6152">
      <c r="Y6152" s="372">
        <v>0.0</v>
      </c>
      <c r="Z6152" s="372">
        <v>0.0</v>
      </c>
    </row>
    <row r="6153">
      <c r="Y6153" s="372">
        <v>0.0</v>
      </c>
      <c r="Z6153" s="372">
        <v>0.0</v>
      </c>
    </row>
    <row r="6154">
      <c r="Y6154" s="372">
        <v>0.0</v>
      </c>
      <c r="Z6154" s="372">
        <v>0.0</v>
      </c>
    </row>
    <row r="6155">
      <c r="Y6155" s="372">
        <v>0.0</v>
      </c>
      <c r="Z6155" s="372">
        <v>0.0</v>
      </c>
    </row>
    <row r="6156">
      <c r="Y6156" s="372">
        <v>0.0</v>
      </c>
      <c r="Z6156" s="372">
        <v>0.0</v>
      </c>
    </row>
    <row r="6157">
      <c r="Y6157" s="372">
        <v>0.0</v>
      </c>
      <c r="Z6157" s="372">
        <v>0.0</v>
      </c>
    </row>
    <row r="6158">
      <c r="Y6158" s="372">
        <v>0.0</v>
      </c>
      <c r="Z6158" s="372">
        <v>0.0</v>
      </c>
    </row>
    <row r="6159">
      <c r="Y6159" s="372">
        <v>0.0</v>
      </c>
      <c r="Z6159" s="372">
        <v>0.0</v>
      </c>
    </row>
    <row r="6160">
      <c r="Y6160" s="372">
        <v>0.0</v>
      </c>
      <c r="Z6160" s="372">
        <v>0.0</v>
      </c>
    </row>
    <row r="6161">
      <c r="Y6161" s="372">
        <v>0.0</v>
      </c>
      <c r="Z6161" s="372">
        <v>0.0</v>
      </c>
    </row>
    <row r="6162">
      <c r="Y6162" s="372">
        <v>0.0</v>
      </c>
      <c r="Z6162" s="372">
        <v>0.0</v>
      </c>
    </row>
    <row r="6163">
      <c r="Y6163" s="372">
        <v>0.0</v>
      </c>
      <c r="Z6163" s="372">
        <v>0.0</v>
      </c>
    </row>
    <row r="6164">
      <c r="Y6164" s="372">
        <v>0.0</v>
      </c>
      <c r="Z6164" s="372">
        <v>0.0</v>
      </c>
    </row>
    <row r="6165">
      <c r="Y6165" s="372">
        <v>0.0</v>
      </c>
      <c r="Z6165" s="372">
        <v>0.0</v>
      </c>
    </row>
    <row r="6166">
      <c r="Y6166" s="372">
        <v>0.0</v>
      </c>
      <c r="Z6166" s="372">
        <v>0.0</v>
      </c>
    </row>
    <row r="6167">
      <c r="Y6167" s="372">
        <v>0.0</v>
      </c>
      <c r="Z6167" s="372">
        <v>0.0</v>
      </c>
    </row>
    <row r="6168">
      <c r="Y6168" s="372">
        <v>0.0</v>
      </c>
      <c r="Z6168" s="372">
        <v>0.0</v>
      </c>
    </row>
    <row r="6169">
      <c r="Y6169" s="372">
        <v>0.0</v>
      </c>
      <c r="Z6169" s="372">
        <v>0.0</v>
      </c>
    </row>
    <row r="6170">
      <c r="Y6170" s="372">
        <v>0.0</v>
      </c>
      <c r="Z6170" s="372">
        <v>0.0</v>
      </c>
    </row>
    <row r="6171">
      <c r="Y6171" s="372">
        <v>0.0</v>
      </c>
      <c r="Z6171" s="372">
        <v>0.0</v>
      </c>
    </row>
    <row r="6172">
      <c r="Y6172" s="372">
        <v>0.0</v>
      </c>
      <c r="Z6172" s="372">
        <v>0.0</v>
      </c>
    </row>
    <row r="6173">
      <c r="Y6173" s="372">
        <v>0.0</v>
      </c>
      <c r="Z6173" s="372">
        <v>0.0</v>
      </c>
    </row>
    <row r="6174">
      <c r="Y6174" s="372">
        <v>0.0</v>
      </c>
      <c r="Z6174" s="372">
        <v>0.0</v>
      </c>
    </row>
    <row r="6175">
      <c r="Y6175" s="372">
        <v>0.0</v>
      </c>
      <c r="Z6175" s="372">
        <v>0.0</v>
      </c>
    </row>
    <row r="6176">
      <c r="Y6176" s="372">
        <v>0.0</v>
      </c>
      <c r="Z6176" s="372">
        <v>0.0</v>
      </c>
    </row>
    <row r="6177">
      <c r="Y6177" s="372">
        <v>0.0</v>
      </c>
      <c r="Z6177" s="372">
        <v>0.0</v>
      </c>
    </row>
    <row r="6178">
      <c r="Y6178" s="372">
        <v>0.0</v>
      </c>
      <c r="Z6178" s="372">
        <v>0.0</v>
      </c>
    </row>
    <row r="6179">
      <c r="Y6179" s="372">
        <v>0.0</v>
      </c>
      <c r="Z6179" s="372">
        <v>0.0</v>
      </c>
    </row>
    <row r="6180">
      <c r="Y6180" s="372">
        <v>0.0</v>
      </c>
      <c r="Z6180" s="372">
        <v>0.0</v>
      </c>
    </row>
    <row r="6181">
      <c r="Y6181" s="372">
        <v>0.0</v>
      </c>
      <c r="Z6181" s="372">
        <v>0.0</v>
      </c>
    </row>
    <row r="6182">
      <c r="Y6182" s="372">
        <v>0.0</v>
      </c>
      <c r="Z6182" s="372">
        <v>0.0</v>
      </c>
    </row>
    <row r="6183">
      <c r="Y6183" s="372">
        <v>0.0</v>
      </c>
      <c r="Z6183" s="372">
        <v>0.0</v>
      </c>
    </row>
    <row r="6184">
      <c r="Y6184" s="372">
        <v>0.0</v>
      </c>
      <c r="Z6184" s="372">
        <v>0.0</v>
      </c>
    </row>
    <row r="6185">
      <c r="Y6185" s="372">
        <v>0.0</v>
      </c>
      <c r="Z6185" s="372">
        <v>0.0</v>
      </c>
    </row>
    <row r="6186">
      <c r="Y6186" s="372">
        <v>0.0</v>
      </c>
      <c r="Z6186" s="372">
        <v>0.0</v>
      </c>
    </row>
    <row r="6187">
      <c r="Y6187" s="372">
        <v>0.0</v>
      </c>
      <c r="Z6187" s="372">
        <v>0.0</v>
      </c>
    </row>
    <row r="6188">
      <c r="Y6188" s="372">
        <v>0.0</v>
      </c>
      <c r="Z6188" s="372">
        <v>0.0</v>
      </c>
    </row>
    <row r="6189">
      <c r="Y6189" s="372">
        <v>0.0</v>
      </c>
      <c r="Z6189" s="372">
        <v>0.0</v>
      </c>
    </row>
    <row r="6190">
      <c r="Y6190" s="372">
        <v>0.0</v>
      </c>
      <c r="Z6190" s="372">
        <v>0.0</v>
      </c>
    </row>
    <row r="6191">
      <c r="Y6191" s="372">
        <v>0.0</v>
      </c>
      <c r="Z6191" s="372">
        <v>0.0</v>
      </c>
    </row>
    <row r="6192">
      <c r="Y6192" s="372">
        <v>0.0</v>
      </c>
      <c r="Z6192" s="372">
        <v>0.0</v>
      </c>
    </row>
    <row r="6193">
      <c r="Y6193" s="372">
        <v>0.0</v>
      </c>
      <c r="Z6193" s="372">
        <v>0.0</v>
      </c>
    </row>
    <row r="6194">
      <c r="Y6194" s="372">
        <v>0.0</v>
      </c>
      <c r="Z6194" s="372">
        <v>0.0</v>
      </c>
    </row>
    <row r="6195">
      <c r="Y6195" s="372">
        <v>0.0</v>
      </c>
      <c r="Z6195" s="372">
        <v>0.0</v>
      </c>
    </row>
    <row r="6196">
      <c r="Y6196" s="372">
        <v>0.0</v>
      </c>
      <c r="Z6196" s="372">
        <v>0.0</v>
      </c>
    </row>
    <row r="6197">
      <c r="Y6197" s="372">
        <v>0.0</v>
      </c>
      <c r="Z6197" s="372">
        <v>0.0</v>
      </c>
    </row>
    <row r="6198">
      <c r="Y6198" s="372">
        <v>0.0</v>
      </c>
      <c r="Z6198" s="372">
        <v>0.0</v>
      </c>
    </row>
    <row r="6199">
      <c r="Y6199" s="372">
        <v>0.0</v>
      </c>
      <c r="Z6199" s="372">
        <v>0.0</v>
      </c>
    </row>
    <row r="6200">
      <c r="Y6200" s="372">
        <v>0.0</v>
      </c>
      <c r="Z6200" s="372">
        <v>0.0</v>
      </c>
    </row>
    <row r="6201">
      <c r="Y6201" s="372">
        <v>0.0</v>
      </c>
      <c r="Z6201" s="372">
        <v>0.0</v>
      </c>
    </row>
    <row r="6202">
      <c r="Y6202" s="372">
        <v>0.0</v>
      </c>
      <c r="Z6202" s="372">
        <v>0.0</v>
      </c>
    </row>
    <row r="6203">
      <c r="Y6203" s="372">
        <v>0.0</v>
      </c>
      <c r="Z6203" s="372">
        <v>0.0</v>
      </c>
    </row>
    <row r="6204">
      <c r="Y6204" s="372">
        <v>0.0</v>
      </c>
      <c r="Z6204" s="372">
        <v>0.0</v>
      </c>
    </row>
    <row r="6205">
      <c r="Y6205" s="372">
        <v>0.0</v>
      </c>
      <c r="Z6205" s="372">
        <v>0.0</v>
      </c>
    </row>
    <row r="6206">
      <c r="Y6206" s="372">
        <v>0.0</v>
      </c>
      <c r="Z6206" s="372">
        <v>0.0</v>
      </c>
    </row>
    <row r="6207">
      <c r="Y6207" s="372">
        <v>0.0</v>
      </c>
      <c r="Z6207" s="372">
        <v>0.0</v>
      </c>
    </row>
    <row r="6208">
      <c r="Y6208" s="372">
        <v>0.0</v>
      </c>
      <c r="Z6208" s="372">
        <v>0.0</v>
      </c>
    </row>
    <row r="6209">
      <c r="Y6209" s="372">
        <v>0.0</v>
      </c>
      <c r="Z6209" s="372">
        <v>0.0</v>
      </c>
    </row>
    <row r="6210">
      <c r="Y6210" s="372">
        <v>0.0</v>
      </c>
      <c r="Z6210" s="372">
        <v>0.0</v>
      </c>
    </row>
    <row r="6211">
      <c r="Y6211" s="372">
        <v>0.0</v>
      </c>
      <c r="Z6211" s="372">
        <v>0.0</v>
      </c>
    </row>
    <row r="6212">
      <c r="Y6212" s="372">
        <v>0.0</v>
      </c>
      <c r="Z6212" s="372">
        <v>0.0</v>
      </c>
    </row>
    <row r="6213">
      <c r="Y6213" s="372">
        <v>0.0</v>
      </c>
      <c r="Z6213" s="372">
        <v>0.0</v>
      </c>
    </row>
    <row r="6214">
      <c r="Y6214" s="372">
        <v>0.0</v>
      </c>
      <c r="Z6214" s="372">
        <v>0.0</v>
      </c>
    </row>
    <row r="6215">
      <c r="Y6215" s="372">
        <v>0.0</v>
      </c>
      <c r="Z6215" s="372">
        <v>0.0</v>
      </c>
    </row>
    <row r="6216">
      <c r="Y6216" s="372">
        <v>0.0</v>
      </c>
      <c r="Z6216" s="372">
        <v>0.0</v>
      </c>
    </row>
    <row r="6217">
      <c r="Y6217" s="372">
        <v>0.0</v>
      </c>
      <c r="Z6217" s="372">
        <v>0.0</v>
      </c>
    </row>
    <row r="6218">
      <c r="Y6218" s="372">
        <v>0.0</v>
      </c>
      <c r="Z6218" s="372">
        <v>0.0</v>
      </c>
    </row>
    <row r="6219">
      <c r="Y6219" s="372">
        <v>0.0</v>
      </c>
      <c r="Z6219" s="372">
        <v>0.0</v>
      </c>
    </row>
    <row r="6220">
      <c r="Y6220" s="372">
        <v>0.0</v>
      </c>
      <c r="Z6220" s="372">
        <v>0.0</v>
      </c>
    </row>
    <row r="6221">
      <c r="Y6221" s="372">
        <v>0.0</v>
      </c>
      <c r="Z6221" s="372">
        <v>0.0</v>
      </c>
    </row>
    <row r="6222">
      <c r="Y6222" s="372">
        <v>0.0</v>
      </c>
      <c r="Z6222" s="372">
        <v>0.0</v>
      </c>
    </row>
    <row r="6223">
      <c r="Y6223" s="372">
        <v>0.0</v>
      </c>
      <c r="Z6223" s="372">
        <v>0.0</v>
      </c>
    </row>
    <row r="6224">
      <c r="Y6224" s="372">
        <v>0.0</v>
      </c>
      <c r="Z6224" s="372">
        <v>0.0</v>
      </c>
    </row>
    <row r="6225">
      <c r="Y6225" s="372">
        <v>0.0</v>
      </c>
      <c r="Z6225" s="372">
        <v>0.0</v>
      </c>
    </row>
    <row r="6226">
      <c r="Y6226" s="372">
        <v>0.0</v>
      </c>
      <c r="Z6226" s="372">
        <v>0.0</v>
      </c>
    </row>
    <row r="6227">
      <c r="Y6227" s="372">
        <v>0.0</v>
      </c>
      <c r="Z6227" s="372">
        <v>0.0</v>
      </c>
    </row>
    <row r="6228">
      <c r="Y6228" s="372">
        <v>0.0</v>
      </c>
      <c r="Z6228" s="372">
        <v>0.0</v>
      </c>
    </row>
    <row r="6229">
      <c r="Y6229" s="372">
        <v>0.0</v>
      </c>
      <c r="Z6229" s="372">
        <v>0.0</v>
      </c>
    </row>
    <row r="6230">
      <c r="Y6230" s="372">
        <v>0.0</v>
      </c>
      <c r="Z6230" s="372">
        <v>0.0</v>
      </c>
    </row>
    <row r="6231">
      <c r="Y6231" s="372">
        <v>0.0</v>
      </c>
      <c r="Z6231" s="372">
        <v>0.0</v>
      </c>
    </row>
    <row r="6232">
      <c r="Y6232" s="372">
        <v>0.0</v>
      </c>
      <c r="Z6232" s="372">
        <v>0.0</v>
      </c>
    </row>
    <row r="6233">
      <c r="Y6233" s="372">
        <v>0.0</v>
      </c>
      <c r="Z6233" s="372">
        <v>0.0</v>
      </c>
    </row>
    <row r="6234">
      <c r="Y6234" s="372">
        <v>0.0</v>
      </c>
      <c r="Z6234" s="372">
        <v>0.0</v>
      </c>
    </row>
    <row r="6235">
      <c r="Y6235" s="372">
        <v>0.0</v>
      </c>
      <c r="Z6235" s="372">
        <v>0.0</v>
      </c>
    </row>
    <row r="6236">
      <c r="Y6236" s="372">
        <v>0.0</v>
      </c>
      <c r="Z6236" s="372">
        <v>0.0</v>
      </c>
    </row>
    <row r="6237">
      <c r="Y6237" s="372">
        <v>0.0</v>
      </c>
      <c r="Z6237" s="372">
        <v>0.0</v>
      </c>
    </row>
    <row r="6238">
      <c r="Y6238" s="372">
        <v>0.0</v>
      </c>
      <c r="Z6238" s="372">
        <v>0.0</v>
      </c>
    </row>
    <row r="6239">
      <c r="Y6239" s="372">
        <v>0.0</v>
      </c>
      <c r="Z6239" s="372">
        <v>0.0</v>
      </c>
    </row>
    <row r="6240">
      <c r="Y6240" s="372">
        <v>0.0</v>
      </c>
      <c r="Z6240" s="372">
        <v>0.0</v>
      </c>
    </row>
    <row r="6241">
      <c r="Y6241" s="372">
        <v>0.0</v>
      </c>
      <c r="Z6241" s="372">
        <v>0.0</v>
      </c>
    </row>
    <row r="6242">
      <c r="Y6242" s="372">
        <v>0.0</v>
      </c>
      <c r="Z6242" s="372">
        <v>0.0</v>
      </c>
    </row>
    <row r="6243">
      <c r="Y6243" s="372">
        <v>0.0</v>
      </c>
      <c r="Z6243" s="372">
        <v>0.0</v>
      </c>
    </row>
    <row r="6244">
      <c r="Y6244" s="372">
        <v>0.0</v>
      </c>
      <c r="Z6244" s="372">
        <v>0.0</v>
      </c>
    </row>
    <row r="6245">
      <c r="Y6245" s="372">
        <v>0.0</v>
      </c>
      <c r="Z6245" s="372">
        <v>0.0</v>
      </c>
    </row>
    <row r="6246">
      <c r="Y6246" s="372">
        <v>0.0</v>
      </c>
      <c r="Z6246" s="372">
        <v>0.0</v>
      </c>
    </row>
    <row r="6247">
      <c r="Y6247" s="372">
        <v>0.0</v>
      </c>
      <c r="Z6247" s="372">
        <v>0.0</v>
      </c>
    </row>
    <row r="6248">
      <c r="Y6248" s="372">
        <v>0.0</v>
      </c>
      <c r="Z6248" s="372">
        <v>0.0</v>
      </c>
    </row>
    <row r="6249">
      <c r="Y6249" s="372">
        <v>0.0</v>
      </c>
      <c r="Z6249" s="372">
        <v>0.0</v>
      </c>
    </row>
    <row r="6250">
      <c r="Y6250" s="372">
        <v>0.0</v>
      </c>
      <c r="Z6250" s="372">
        <v>0.0</v>
      </c>
    </row>
    <row r="6251">
      <c r="Y6251" s="372">
        <v>0.0</v>
      </c>
      <c r="Z6251" s="372">
        <v>0.0</v>
      </c>
    </row>
    <row r="6252">
      <c r="Y6252" s="372">
        <v>0.0</v>
      </c>
      <c r="Z6252" s="372">
        <v>0.0</v>
      </c>
    </row>
    <row r="6253">
      <c r="Y6253" s="372">
        <v>0.0</v>
      </c>
      <c r="Z6253" s="372">
        <v>0.0</v>
      </c>
    </row>
    <row r="6254">
      <c r="Y6254" s="372">
        <v>0.0</v>
      </c>
      <c r="Z6254" s="372">
        <v>0.0</v>
      </c>
    </row>
    <row r="6255">
      <c r="Y6255" s="372">
        <v>0.0</v>
      </c>
      <c r="Z6255" s="372">
        <v>0.0</v>
      </c>
    </row>
    <row r="6256">
      <c r="Y6256" s="372">
        <v>0.0</v>
      </c>
      <c r="Z6256" s="372">
        <v>0.0</v>
      </c>
    </row>
    <row r="6257">
      <c r="Y6257" s="372">
        <v>0.0</v>
      </c>
      <c r="Z6257" s="372">
        <v>0.0</v>
      </c>
    </row>
    <row r="6258">
      <c r="Y6258" s="372">
        <v>0.0</v>
      </c>
      <c r="Z6258" s="372">
        <v>0.0</v>
      </c>
    </row>
    <row r="6259">
      <c r="Y6259" s="372">
        <v>0.0</v>
      </c>
      <c r="Z6259" s="372">
        <v>0.0</v>
      </c>
    </row>
    <row r="6260">
      <c r="Y6260" s="372">
        <v>0.0</v>
      </c>
      <c r="Z6260" s="372">
        <v>0.0</v>
      </c>
    </row>
    <row r="6261">
      <c r="Y6261" s="372">
        <v>0.0</v>
      </c>
      <c r="Z6261" s="372">
        <v>0.0</v>
      </c>
    </row>
    <row r="6262">
      <c r="Y6262" s="372">
        <v>0.0</v>
      </c>
      <c r="Z6262" s="372">
        <v>0.0</v>
      </c>
    </row>
    <row r="6263">
      <c r="Y6263" s="372">
        <v>0.0</v>
      </c>
      <c r="Z6263" s="372">
        <v>0.0</v>
      </c>
    </row>
    <row r="6264">
      <c r="Y6264" s="372">
        <v>0.0</v>
      </c>
      <c r="Z6264" s="372">
        <v>0.0</v>
      </c>
    </row>
    <row r="6265">
      <c r="Y6265" s="372">
        <v>0.0</v>
      </c>
      <c r="Z6265" s="372">
        <v>0.0</v>
      </c>
    </row>
    <row r="6266">
      <c r="Y6266" s="372">
        <v>0.0</v>
      </c>
      <c r="Z6266" s="372">
        <v>0.0</v>
      </c>
    </row>
    <row r="6267">
      <c r="Y6267" s="372">
        <v>0.0</v>
      </c>
      <c r="Z6267" s="372">
        <v>0.0</v>
      </c>
    </row>
    <row r="6268">
      <c r="Y6268" s="372">
        <v>0.0</v>
      </c>
      <c r="Z6268" s="372">
        <v>0.0</v>
      </c>
    </row>
    <row r="6269">
      <c r="Y6269" s="372">
        <v>0.0</v>
      </c>
      <c r="Z6269" s="372">
        <v>0.0</v>
      </c>
    </row>
    <row r="6270">
      <c r="Y6270" s="372">
        <v>0.0</v>
      </c>
      <c r="Z6270" s="372">
        <v>0.0</v>
      </c>
    </row>
    <row r="6271">
      <c r="Y6271" s="372">
        <v>0.0</v>
      </c>
      <c r="Z6271" s="372">
        <v>0.0</v>
      </c>
    </row>
    <row r="6272">
      <c r="Y6272" s="372">
        <v>0.0</v>
      </c>
      <c r="Z6272" s="372">
        <v>0.0</v>
      </c>
    </row>
    <row r="6273">
      <c r="Y6273" s="372">
        <v>0.0</v>
      </c>
      <c r="Z6273" s="372">
        <v>0.0</v>
      </c>
    </row>
    <row r="6274">
      <c r="Y6274" s="372">
        <v>0.0</v>
      </c>
      <c r="Z6274" s="372">
        <v>0.0</v>
      </c>
    </row>
    <row r="6275">
      <c r="Y6275" s="372">
        <v>0.0</v>
      </c>
      <c r="Z6275" s="372">
        <v>0.0</v>
      </c>
    </row>
    <row r="6276">
      <c r="Y6276" s="372">
        <v>0.0</v>
      </c>
      <c r="Z6276" s="372">
        <v>0.0</v>
      </c>
    </row>
    <row r="6277">
      <c r="Y6277" s="372">
        <v>0.0</v>
      </c>
      <c r="Z6277" s="372">
        <v>0.0</v>
      </c>
    </row>
    <row r="6278">
      <c r="Y6278" s="372">
        <v>0.0</v>
      </c>
      <c r="Z6278" s="372">
        <v>0.0</v>
      </c>
    </row>
    <row r="6279">
      <c r="Y6279" s="372">
        <v>0.0</v>
      </c>
      <c r="Z6279" s="372">
        <v>0.0</v>
      </c>
    </row>
    <row r="6280">
      <c r="Y6280" s="372">
        <v>0.0</v>
      </c>
      <c r="Z6280" s="372">
        <v>0.0</v>
      </c>
    </row>
    <row r="6281">
      <c r="Y6281" s="372">
        <v>0.0</v>
      </c>
      <c r="Z6281" s="372">
        <v>0.0</v>
      </c>
    </row>
    <row r="6282">
      <c r="Y6282" s="372">
        <v>0.0</v>
      </c>
      <c r="Z6282" s="372">
        <v>0.0</v>
      </c>
    </row>
    <row r="6283">
      <c r="Y6283" s="372">
        <v>0.0</v>
      </c>
      <c r="Z6283" s="372">
        <v>0.0</v>
      </c>
    </row>
    <row r="6284">
      <c r="Y6284" s="372">
        <v>0.0</v>
      </c>
      <c r="Z6284" s="372">
        <v>0.0</v>
      </c>
    </row>
    <row r="6285">
      <c r="Y6285" s="372">
        <v>0.0</v>
      </c>
      <c r="Z6285" s="372">
        <v>0.0</v>
      </c>
    </row>
    <row r="6286">
      <c r="Y6286" s="372">
        <v>0.0</v>
      </c>
      <c r="Z6286" s="372">
        <v>0.0</v>
      </c>
    </row>
    <row r="6287">
      <c r="Y6287" s="372">
        <v>0.0</v>
      </c>
      <c r="Z6287" s="372">
        <v>0.0</v>
      </c>
    </row>
    <row r="6288">
      <c r="Y6288" s="372">
        <v>0.0</v>
      </c>
      <c r="Z6288" s="372">
        <v>0.0</v>
      </c>
    </row>
    <row r="6289">
      <c r="Y6289" s="372">
        <v>0.0</v>
      </c>
      <c r="Z6289" s="372">
        <v>0.0</v>
      </c>
    </row>
    <row r="6290">
      <c r="Y6290" s="372">
        <v>0.0</v>
      </c>
      <c r="Z6290" s="372">
        <v>0.0</v>
      </c>
    </row>
    <row r="6291">
      <c r="Y6291" s="372">
        <v>0.0</v>
      </c>
      <c r="Z6291" s="372">
        <v>0.0</v>
      </c>
    </row>
    <row r="6292">
      <c r="Y6292" s="372">
        <v>0.0</v>
      </c>
      <c r="Z6292" s="372">
        <v>0.0</v>
      </c>
    </row>
    <row r="6293">
      <c r="Y6293" s="372">
        <v>0.0</v>
      </c>
      <c r="Z6293" s="372">
        <v>0.0</v>
      </c>
    </row>
    <row r="6294">
      <c r="Y6294" s="372">
        <v>0.0</v>
      </c>
      <c r="Z6294" s="372">
        <v>0.0</v>
      </c>
    </row>
    <row r="6295">
      <c r="Y6295" s="372">
        <v>0.0</v>
      </c>
      <c r="Z6295" s="372">
        <v>0.0</v>
      </c>
    </row>
    <row r="6296">
      <c r="Y6296" s="372">
        <v>0.0</v>
      </c>
      <c r="Z6296" s="372">
        <v>0.0</v>
      </c>
    </row>
    <row r="6297">
      <c r="Y6297" s="372">
        <v>0.0</v>
      </c>
      <c r="Z6297" s="372">
        <v>0.0</v>
      </c>
    </row>
    <row r="6298">
      <c r="Y6298" s="372">
        <v>0.0</v>
      </c>
      <c r="Z6298" s="372">
        <v>0.0</v>
      </c>
    </row>
    <row r="6299">
      <c r="Y6299" s="372">
        <v>0.0</v>
      </c>
      <c r="Z6299" s="372">
        <v>0.0</v>
      </c>
    </row>
    <row r="6300">
      <c r="Y6300" s="372">
        <v>0.0</v>
      </c>
      <c r="Z6300" s="372">
        <v>0.0</v>
      </c>
    </row>
    <row r="6301">
      <c r="Y6301" s="372">
        <v>0.0</v>
      </c>
      <c r="Z6301" s="372">
        <v>0.0</v>
      </c>
    </row>
    <row r="6302">
      <c r="Y6302" s="372">
        <v>0.0</v>
      </c>
      <c r="Z6302" s="372">
        <v>0.0</v>
      </c>
    </row>
    <row r="6303">
      <c r="Y6303" s="372">
        <v>0.0</v>
      </c>
      <c r="Z6303" s="372">
        <v>0.0</v>
      </c>
    </row>
    <row r="6304">
      <c r="Y6304" s="372">
        <v>0.0</v>
      </c>
      <c r="Z6304" s="372">
        <v>0.0</v>
      </c>
    </row>
    <row r="6305">
      <c r="Y6305" s="372">
        <v>0.0</v>
      </c>
      <c r="Z6305" s="372">
        <v>0.0</v>
      </c>
    </row>
    <row r="6306">
      <c r="Y6306" s="372">
        <v>0.0</v>
      </c>
      <c r="Z6306" s="372">
        <v>0.0</v>
      </c>
    </row>
    <row r="6307">
      <c r="Y6307" s="372">
        <v>0.0</v>
      </c>
      <c r="Z6307" s="372">
        <v>0.0</v>
      </c>
    </row>
    <row r="6308">
      <c r="Y6308" s="372">
        <v>0.0</v>
      </c>
      <c r="Z6308" s="372">
        <v>0.0</v>
      </c>
    </row>
    <row r="6309">
      <c r="Y6309" s="372">
        <v>0.0</v>
      </c>
      <c r="Z6309" s="372">
        <v>0.0</v>
      </c>
    </row>
    <row r="6310">
      <c r="Y6310" s="372">
        <v>0.0</v>
      </c>
      <c r="Z6310" s="372">
        <v>0.0</v>
      </c>
    </row>
    <row r="6311">
      <c r="Y6311" s="372">
        <v>0.0</v>
      </c>
      <c r="Z6311" s="372">
        <v>0.0</v>
      </c>
    </row>
    <row r="6312">
      <c r="Y6312" s="372">
        <v>0.0</v>
      </c>
      <c r="Z6312" s="372">
        <v>0.0</v>
      </c>
    </row>
    <row r="6313">
      <c r="Y6313" s="372">
        <v>0.0</v>
      </c>
      <c r="Z6313" s="372">
        <v>0.0</v>
      </c>
    </row>
    <row r="6314">
      <c r="Y6314" s="372">
        <v>0.0</v>
      </c>
      <c r="Z6314" s="372">
        <v>0.0</v>
      </c>
    </row>
    <row r="6315">
      <c r="Y6315" s="372">
        <v>0.0</v>
      </c>
      <c r="Z6315" s="372">
        <v>0.0</v>
      </c>
    </row>
    <row r="6316">
      <c r="Y6316" s="372">
        <v>0.0</v>
      </c>
      <c r="Z6316" s="372">
        <v>0.0</v>
      </c>
    </row>
    <row r="6317">
      <c r="Y6317" s="372">
        <v>0.0</v>
      </c>
      <c r="Z6317" s="372">
        <v>0.0</v>
      </c>
    </row>
    <row r="6318">
      <c r="Y6318" s="372">
        <v>0.0</v>
      </c>
      <c r="Z6318" s="372">
        <v>0.0</v>
      </c>
    </row>
    <row r="6319">
      <c r="Y6319" s="372">
        <v>0.0</v>
      </c>
      <c r="Z6319" s="372">
        <v>0.0</v>
      </c>
    </row>
    <row r="6320">
      <c r="Y6320" s="372">
        <v>0.0</v>
      </c>
      <c r="Z6320" s="372">
        <v>0.0</v>
      </c>
    </row>
    <row r="6321">
      <c r="Y6321" s="372">
        <v>0.0</v>
      </c>
      <c r="Z6321" s="372">
        <v>0.0</v>
      </c>
    </row>
    <row r="6322">
      <c r="Y6322" s="372">
        <v>0.0</v>
      </c>
      <c r="Z6322" s="372">
        <v>0.0</v>
      </c>
    </row>
    <row r="6323">
      <c r="Y6323" s="372">
        <v>0.0</v>
      </c>
      <c r="Z6323" s="372">
        <v>0.0</v>
      </c>
    </row>
    <row r="6324">
      <c r="Y6324" s="372">
        <v>0.0</v>
      </c>
      <c r="Z6324" s="372">
        <v>0.0</v>
      </c>
    </row>
    <row r="6325">
      <c r="Y6325" s="372">
        <v>0.0</v>
      </c>
      <c r="Z6325" s="372">
        <v>0.0</v>
      </c>
    </row>
    <row r="6326">
      <c r="Y6326" s="372">
        <v>0.0</v>
      </c>
      <c r="Z6326" s="372">
        <v>0.0</v>
      </c>
    </row>
    <row r="6327">
      <c r="Y6327" s="372">
        <v>0.0</v>
      </c>
      <c r="Z6327" s="372">
        <v>0.0</v>
      </c>
    </row>
    <row r="6328">
      <c r="Y6328" s="372">
        <v>0.0</v>
      </c>
      <c r="Z6328" s="372">
        <v>0.0</v>
      </c>
    </row>
    <row r="6329">
      <c r="Y6329" s="372">
        <v>0.0</v>
      </c>
      <c r="Z6329" s="372">
        <v>0.0</v>
      </c>
    </row>
    <row r="6330">
      <c r="Y6330" s="372">
        <v>0.0</v>
      </c>
      <c r="Z6330" s="372">
        <v>0.0</v>
      </c>
    </row>
    <row r="6331">
      <c r="Y6331" s="372">
        <v>0.0</v>
      </c>
      <c r="Z6331" s="372">
        <v>0.0</v>
      </c>
    </row>
    <row r="6332">
      <c r="Y6332" s="372">
        <v>0.0</v>
      </c>
      <c r="Z6332" s="372">
        <v>0.0</v>
      </c>
    </row>
    <row r="6333">
      <c r="Y6333" s="372">
        <v>0.0</v>
      </c>
      <c r="Z6333" s="372">
        <v>0.0</v>
      </c>
    </row>
    <row r="6334">
      <c r="Y6334" s="372">
        <v>0.0</v>
      </c>
      <c r="Z6334" s="372">
        <v>0.0</v>
      </c>
    </row>
    <row r="6335">
      <c r="Y6335" s="372">
        <v>0.0</v>
      </c>
      <c r="Z6335" s="372">
        <v>0.0</v>
      </c>
    </row>
    <row r="6336">
      <c r="Y6336" s="372">
        <v>0.0</v>
      </c>
      <c r="Z6336" s="372">
        <v>0.0</v>
      </c>
    </row>
    <row r="6337">
      <c r="Y6337" s="372">
        <v>0.0</v>
      </c>
      <c r="Z6337" s="372">
        <v>0.0</v>
      </c>
    </row>
    <row r="6338">
      <c r="Y6338" s="372">
        <v>0.0</v>
      </c>
      <c r="Z6338" s="372">
        <v>0.0</v>
      </c>
    </row>
    <row r="6339">
      <c r="Y6339" s="372">
        <v>0.0</v>
      </c>
      <c r="Z6339" s="372">
        <v>0.0</v>
      </c>
    </row>
    <row r="6340">
      <c r="Y6340" s="372">
        <v>0.0</v>
      </c>
      <c r="Z6340" s="372">
        <v>0.0</v>
      </c>
    </row>
    <row r="6341">
      <c r="Y6341" s="372">
        <v>0.0</v>
      </c>
      <c r="Z6341" s="372">
        <v>0.0</v>
      </c>
    </row>
    <row r="6342">
      <c r="Y6342" s="372">
        <v>0.0</v>
      </c>
      <c r="Z6342" s="372">
        <v>0.0</v>
      </c>
    </row>
    <row r="6343">
      <c r="Y6343" s="372">
        <v>0.0</v>
      </c>
      <c r="Z6343" s="372">
        <v>0.0</v>
      </c>
    </row>
    <row r="6344">
      <c r="Y6344" s="372">
        <v>0.0</v>
      </c>
      <c r="Z6344" s="372">
        <v>0.0</v>
      </c>
    </row>
    <row r="6345">
      <c r="Y6345" s="372">
        <v>0.0</v>
      </c>
      <c r="Z6345" s="372">
        <v>0.0</v>
      </c>
    </row>
    <row r="6346">
      <c r="Y6346" s="372">
        <v>0.0</v>
      </c>
      <c r="Z6346" s="372">
        <v>0.0</v>
      </c>
    </row>
    <row r="6347">
      <c r="Y6347" s="372">
        <v>0.0</v>
      </c>
      <c r="Z6347" s="372">
        <v>0.0</v>
      </c>
    </row>
    <row r="6348">
      <c r="Y6348" s="372">
        <v>0.0</v>
      </c>
      <c r="Z6348" s="372">
        <v>0.0</v>
      </c>
    </row>
    <row r="6349">
      <c r="Y6349" s="372">
        <v>0.0</v>
      </c>
      <c r="Z6349" s="372">
        <v>0.0</v>
      </c>
    </row>
    <row r="6350">
      <c r="Y6350" s="372">
        <v>0.0</v>
      </c>
      <c r="Z6350" s="372">
        <v>0.0</v>
      </c>
    </row>
    <row r="6351">
      <c r="Y6351" s="372">
        <v>0.0</v>
      </c>
      <c r="Z6351" s="372">
        <v>0.0</v>
      </c>
    </row>
    <row r="6352">
      <c r="Y6352" s="372">
        <v>0.0</v>
      </c>
      <c r="Z6352" s="372">
        <v>0.0</v>
      </c>
    </row>
    <row r="6353">
      <c r="Y6353" s="372">
        <v>0.0</v>
      </c>
      <c r="Z6353" s="372">
        <v>0.0</v>
      </c>
    </row>
    <row r="6354">
      <c r="Y6354" s="372">
        <v>0.0</v>
      </c>
      <c r="Z6354" s="372">
        <v>0.0</v>
      </c>
    </row>
    <row r="6355">
      <c r="Y6355" s="372">
        <v>0.0</v>
      </c>
      <c r="Z6355" s="372">
        <v>0.0</v>
      </c>
    </row>
    <row r="6356">
      <c r="Y6356" s="372">
        <v>0.0</v>
      </c>
      <c r="Z6356" s="372">
        <v>0.0</v>
      </c>
    </row>
    <row r="6357">
      <c r="Y6357" s="372">
        <v>0.0</v>
      </c>
      <c r="Z6357" s="372">
        <v>0.0</v>
      </c>
    </row>
    <row r="6358">
      <c r="Y6358" s="372">
        <v>0.0</v>
      </c>
      <c r="Z6358" s="372">
        <v>0.0</v>
      </c>
    </row>
    <row r="6359">
      <c r="Y6359" s="372">
        <v>0.0</v>
      </c>
      <c r="Z6359" s="372">
        <v>0.0</v>
      </c>
    </row>
    <row r="6360">
      <c r="Y6360" s="372">
        <v>0.0</v>
      </c>
      <c r="Z6360" s="372">
        <v>0.0</v>
      </c>
    </row>
    <row r="6361">
      <c r="Y6361" s="372">
        <v>0.0</v>
      </c>
      <c r="Z6361" s="372">
        <v>0.0</v>
      </c>
    </row>
    <row r="6362">
      <c r="Y6362" s="372">
        <v>0.0</v>
      </c>
      <c r="Z6362" s="372">
        <v>0.0</v>
      </c>
    </row>
    <row r="6363">
      <c r="Y6363" s="372">
        <v>0.0</v>
      </c>
      <c r="Z6363" s="372">
        <v>0.0</v>
      </c>
    </row>
    <row r="6364">
      <c r="Y6364" s="372">
        <v>0.0</v>
      </c>
      <c r="Z6364" s="372">
        <v>0.0</v>
      </c>
    </row>
    <row r="6365">
      <c r="Y6365" s="372">
        <v>0.0</v>
      </c>
      <c r="Z6365" s="372">
        <v>0.0</v>
      </c>
    </row>
    <row r="6366">
      <c r="Y6366" s="372">
        <v>0.0</v>
      </c>
      <c r="Z6366" s="372">
        <v>0.0</v>
      </c>
    </row>
    <row r="6367">
      <c r="Y6367" s="372">
        <v>0.0</v>
      </c>
      <c r="Z6367" s="372">
        <v>0.0</v>
      </c>
    </row>
    <row r="6368">
      <c r="Y6368" s="372">
        <v>0.0</v>
      </c>
      <c r="Z6368" s="372">
        <v>0.0</v>
      </c>
    </row>
    <row r="6369">
      <c r="Y6369" s="372">
        <v>0.0</v>
      </c>
      <c r="Z6369" s="372">
        <v>0.0</v>
      </c>
    </row>
    <row r="6370">
      <c r="Y6370" s="372">
        <v>0.0</v>
      </c>
      <c r="Z6370" s="372">
        <v>0.0</v>
      </c>
    </row>
    <row r="6371">
      <c r="Y6371" s="372">
        <v>0.0</v>
      </c>
      <c r="Z6371" s="372">
        <v>0.0</v>
      </c>
    </row>
    <row r="6372">
      <c r="Y6372" s="372">
        <v>0.0</v>
      </c>
      <c r="Z6372" s="372">
        <v>0.0</v>
      </c>
    </row>
    <row r="6373">
      <c r="Y6373" s="372">
        <v>0.0</v>
      </c>
      <c r="Z6373" s="372">
        <v>0.0</v>
      </c>
    </row>
    <row r="6374">
      <c r="Y6374" s="372">
        <v>0.0</v>
      </c>
      <c r="Z6374" s="372">
        <v>0.0</v>
      </c>
    </row>
    <row r="6375">
      <c r="Y6375" s="372">
        <v>0.0</v>
      </c>
      <c r="Z6375" s="372">
        <v>0.0</v>
      </c>
    </row>
    <row r="6376">
      <c r="Y6376" s="372">
        <v>0.0</v>
      </c>
      <c r="Z6376" s="372">
        <v>0.0</v>
      </c>
    </row>
    <row r="6377">
      <c r="Y6377" s="372">
        <v>0.0</v>
      </c>
      <c r="Z6377" s="372">
        <v>0.0</v>
      </c>
    </row>
    <row r="6378">
      <c r="Y6378" s="372">
        <v>0.0</v>
      </c>
      <c r="Z6378" s="372">
        <v>0.0</v>
      </c>
    </row>
    <row r="6379">
      <c r="Y6379" s="372">
        <v>0.0</v>
      </c>
      <c r="Z6379" s="372">
        <v>0.0</v>
      </c>
    </row>
    <row r="6380">
      <c r="Y6380" s="372">
        <v>0.0</v>
      </c>
      <c r="Z6380" s="372">
        <v>0.0</v>
      </c>
    </row>
    <row r="6381">
      <c r="Y6381" s="372">
        <v>0.0</v>
      </c>
      <c r="Z6381" s="372">
        <v>0.0</v>
      </c>
    </row>
    <row r="6382">
      <c r="Y6382" s="372">
        <v>0.0</v>
      </c>
      <c r="Z6382" s="372">
        <v>0.0</v>
      </c>
    </row>
    <row r="6383">
      <c r="Y6383" s="372">
        <v>0.0</v>
      </c>
      <c r="Z6383" s="372">
        <v>0.0</v>
      </c>
    </row>
    <row r="6384">
      <c r="Y6384" s="372">
        <v>0.0</v>
      </c>
      <c r="Z6384" s="372">
        <v>0.0</v>
      </c>
    </row>
    <row r="6385">
      <c r="Y6385" s="372">
        <v>0.0</v>
      </c>
      <c r="Z6385" s="372">
        <v>0.0</v>
      </c>
    </row>
    <row r="6386">
      <c r="Y6386" s="372">
        <v>0.0</v>
      </c>
      <c r="Z6386" s="372">
        <v>0.0</v>
      </c>
    </row>
    <row r="6387">
      <c r="Y6387" s="372">
        <v>0.0</v>
      </c>
      <c r="Z6387" s="372">
        <v>0.0</v>
      </c>
    </row>
    <row r="6388">
      <c r="Y6388" s="372">
        <v>0.0</v>
      </c>
      <c r="Z6388" s="372">
        <v>0.0</v>
      </c>
    </row>
    <row r="6389">
      <c r="Y6389" s="372">
        <v>0.0</v>
      </c>
      <c r="Z6389" s="372">
        <v>0.0</v>
      </c>
    </row>
    <row r="6390">
      <c r="Y6390" s="372">
        <v>0.0</v>
      </c>
      <c r="Z6390" s="372">
        <v>0.0</v>
      </c>
    </row>
    <row r="6391">
      <c r="Y6391" s="372">
        <v>0.0</v>
      </c>
      <c r="Z6391" s="372">
        <v>0.0</v>
      </c>
    </row>
    <row r="6392">
      <c r="Y6392" s="372">
        <v>0.0</v>
      </c>
      <c r="Z6392" s="372">
        <v>0.0</v>
      </c>
    </row>
    <row r="6393">
      <c r="Y6393" s="372">
        <v>0.0</v>
      </c>
      <c r="Z6393" s="372">
        <v>0.0</v>
      </c>
    </row>
    <row r="6394">
      <c r="Y6394" s="372">
        <v>0.0</v>
      </c>
      <c r="Z6394" s="372">
        <v>0.0</v>
      </c>
    </row>
    <row r="6395">
      <c r="Y6395" s="372">
        <v>0.0</v>
      </c>
      <c r="Z6395" s="372">
        <v>0.0</v>
      </c>
    </row>
    <row r="6396">
      <c r="Y6396" s="372">
        <v>0.0</v>
      </c>
      <c r="Z6396" s="372">
        <v>0.0</v>
      </c>
    </row>
    <row r="6397">
      <c r="Y6397" s="372">
        <v>0.0</v>
      </c>
      <c r="Z6397" s="372">
        <v>0.0</v>
      </c>
    </row>
    <row r="6398">
      <c r="Y6398" s="372">
        <v>0.0</v>
      </c>
      <c r="Z6398" s="372">
        <v>0.0</v>
      </c>
    </row>
    <row r="6399">
      <c r="Y6399" s="372">
        <v>0.0</v>
      </c>
      <c r="Z6399" s="372">
        <v>0.0</v>
      </c>
    </row>
    <row r="6400">
      <c r="Y6400" s="372">
        <v>0.0</v>
      </c>
      <c r="Z6400" s="372">
        <v>0.0</v>
      </c>
    </row>
    <row r="6401">
      <c r="Y6401" s="372">
        <v>0.0</v>
      </c>
      <c r="Z6401" s="372">
        <v>0.0</v>
      </c>
    </row>
    <row r="6402">
      <c r="Y6402" s="372">
        <v>0.0</v>
      </c>
      <c r="Z6402" s="372">
        <v>0.0</v>
      </c>
    </row>
    <row r="6403">
      <c r="Y6403" s="372">
        <v>0.0</v>
      </c>
      <c r="Z6403" s="372">
        <v>0.0</v>
      </c>
    </row>
    <row r="6404">
      <c r="Y6404" s="372">
        <v>0.0</v>
      </c>
      <c r="Z6404" s="372">
        <v>0.0</v>
      </c>
    </row>
    <row r="6405">
      <c r="Y6405" s="372">
        <v>0.0</v>
      </c>
      <c r="Z6405" s="372">
        <v>0.0</v>
      </c>
    </row>
    <row r="6406">
      <c r="Y6406" s="372">
        <v>0.0</v>
      </c>
      <c r="Z6406" s="372">
        <v>0.0</v>
      </c>
    </row>
    <row r="6407">
      <c r="Y6407" s="372">
        <v>0.0</v>
      </c>
      <c r="Z6407" s="372">
        <v>0.0</v>
      </c>
    </row>
    <row r="6408">
      <c r="Y6408" s="372">
        <v>0.0</v>
      </c>
      <c r="Z6408" s="372">
        <v>0.0</v>
      </c>
    </row>
    <row r="6409">
      <c r="Y6409" s="372">
        <v>0.0</v>
      </c>
      <c r="Z6409" s="372">
        <v>0.0</v>
      </c>
    </row>
    <row r="6410">
      <c r="Y6410" s="372">
        <v>0.0</v>
      </c>
      <c r="Z6410" s="372">
        <v>0.0</v>
      </c>
    </row>
    <row r="6411">
      <c r="Y6411" s="372">
        <v>0.0</v>
      </c>
      <c r="Z6411" s="372">
        <v>0.0</v>
      </c>
    </row>
    <row r="6412">
      <c r="Y6412" s="372">
        <v>0.0</v>
      </c>
      <c r="Z6412" s="372">
        <v>0.0</v>
      </c>
    </row>
    <row r="6413">
      <c r="Y6413" s="372">
        <v>0.0</v>
      </c>
      <c r="Z6413" s="372">
        <v>0.0</v>
      </c>
    </row>
    <row r="6414">
      <c r="Y6414" s="372">
        <v>0.0</v>
      </c>
      <c r="Z6414" s="372">
        <v>0.0</v>
      </c>
    </row>
    <row r="6415">
      <c r="Y6415" s="372">
        <v>0.0</v>
      </c>
      <c r="Z6415" s="372">
        <v>0.0</v>
      </c>
    </row>
    <row r="6416">
      <c r="Y6416" s="372">
        <v>0.0</v>
      </c>
      <c r="Z6416" s="372">
        <v>0.0</v>
      </c>
    </row>
    <row r="6417">
      <c r="Y6417" s="372">
        <v>0.0</v>
      </c>
      <c r="Z6417" s="372">
        <v>0.0</v>
      </c>
    </row>
    <row r="6418">
      <c r="Y6418" s="372">
        <v>0.0</v>
      </c>
      <c r="Z6418" s="372">
        <v>0.0</v>
      </c>
    </row>
    <row r="6419">
      <c r="Y6419" s="372">
        <v>0.0</v>
      </c>
      <c r="Z6419" s="372">
        <v>0.0</v>
      </c>
    </row>
    <row r="6420">
      <c r="Y6420" s="372">
        <v>0.0</v>
      </c>
      <c r="Z6420" s="372">
        <v>0.0</v>
      </c>
    </row>
    <row r="6421">
      <c r="Y6421" s="372">
        <v>0.0</v>
      </c>
      <c r="Z6421" s="372">
        <v>0.0</v>
      </c>
    </row>
    <row r="6422">
      <c r="Y6422" s="372">
        <v>0.0</v>
      </c>
      <c r="Z6422" s="372">
        <v>0.0</v>
      </c>
    </row>
    <row r="6423">
      <c r="Y6423" s="372">
        <v>0.0</v>
      </c>
      <c r="Z6423" s="372">
        <v>0.0</v>
      </c>
    </row>
    <row r="6424">
      <c r="Y6424" s="372">
        <v>0.0</v>
      </c>
      <c r="Z6424" s="372">
        <v>0.0</v>
      </c>
    </row>
    <row r="6425">
      <c r="Y6425" s="372">
        <v>0.0</v>
      </c>
      <c r="Z6425" s="372">
        <v>0.0</v>
      </c>
    </row>
    <row r="6426">
      <c r="Y6426" s="372">
        <v>0.0</v>
      </c>
      <c r="Z6426" s="372">
        <v>0.0</v>
      </c>
    </row>
    <row r="6427">
      <c r="Y6427" s="372">
        <v>0.0</v>
      </c>
      <c r="Z6427" s="372">
        <v>0.0</v>
      </c>
    </row>
    <row r="6428">
      <c r="Y6428" s="372">
        <v>0.0</v>
      </c>
      <c r="Z6428" s="372">
        <v>0.0</v>
      </c>
    </row>
    <row r="6429">
      <c r="Y6429" s="372">
        <v>0.0</v>
      </c>
      <c r="Z6429" s="372">
        <v>0.0</v>
      </c>
    </row>
    <row r="6430">
      <c r="Y6430" s="372">
        <v>0.0</v>
      </c>
      <c r="Z6430" s="372">
        <v>0.0</v>
      </c>
    </row>
    <row r="6431">
      <c r="Y6431" s="372">
        <v>0.0</v>
      </c>
      <c r="Z6431" s="372">
        <v>0.0</v>
      </c>
    </row>
    <row r="6432">
      <c r="Y6432" s="372">
        <v>0.0</v>
      </c>
      <c r="Z6432" s="372">
        <v>0.0</v>
      </c>
    </row>
    <row r="6433">
      <c r="Y6433" s="372">
        <v>0.0</v>
      </c>
      <c r="Z6433" s="372">
        <v>0.0</v>
      </c>
    </row>
    <row r="6434">
      <c r="Y6434" s="372">
        <v>0.0</v>
      </c>
      <c r="Z6434" s="372">
        <v>0.0</v>
      </c>
    </row>
    <row r="6435">
      <c r="Y6435" s="372">
        <v>0.0</v>
      </c>
      <c r="Z6435" s="372">
        <v>0.0</v>
      </c>
    </row>
    <row r="6436">
      <c r="Y6436" s="372">
        <v>0.0</v>
      </c>
      <c r="Z6436" s="372">
        <v>0.0</v>
      </c>
    </row>
    <row r="6437">
      <c r="Y6437" s="372">
        <v>0.0</v>
      </c>
      <c r="Z6437" s="372">
        <v>0.0</v>
      </c>
    </row>
    <row r="6438">
      <c r="Y6438" s="372">
        <v>0.0</v>
      </c>
      <c r="Z6438" s="372">
        <v>0.0</v>
      </c>
    </row>
    <row r="6439">
      <c r="Y6439" s="372">
        <v>0.0</v>
      </c>
      <c r="Z6439" s="372">
        <v>0.0</v>
      </c>
    </row>
    <row r="6440">
      <c r="Y6440" s="372">
        <v>0.0</v>
      </c>
      <c r="Z6440" s="372">
        <v>0.0</v>
      </c>
    </row>
    <row r="6441">
      <c r="Y6441" s="372">
        <v>0.0</v>
      </c>
      <c r="Z6441" s="372">
        <v>0.0</v>
      </c>
    </row>
    <row r="6442">
      <c r="Y6442" s="372">
        <v>0.0</v>
      </c>
      <c r="Z6442" s="372">
        <v>0.0</v>
      </c>
    </row>
    <row r="6443">
      <c r="Y6443" s="372">
        <v>0.0</v>
      </c>
      <c r="Z6443" s="372">
        <v>0.0</v>
      </c>
    </row>
    <row r="6444">
      <c r="Y6444" s="372">
        <v>0.0</v>
      </c>
      <c r="Z6444" s="372">
        <v>0.0</v>
      </c>
    </row>
    <row r="6445">
      <c r="Y6445" s="372">
        <v>0.0</v>
      </c>
      <c r="Z6445" s="372">
        <v>0.0</v>
      </c>
    </row>
    <row r="6446">
      <c r="Y6446" s="372">
        <v>0.0</v>
      </c>
      <c r="Z6446" s="372">
        <v>0.0</v>
      </c>
    </row>
    <row r="6447">
      <c r="Y6447" s="372">
        <v>0.0</v>
      </c>
      <c r="Z6447" s="372">
        <v>0.0</v>
      </c>
    </row>
    <row r="6448">
      <c r="Y6448" s="372">
        <v>0.0</v>
      </c>
      <c r="Z6448" s="372">
        <v>0.0</v>
      </c>
    </row>
    <row r="6449">
      <c r="Y6449" s="372">
        <v>0.0</v>
      </c>
      <c r="Z6449" s="372">
        <v>0.0</v>
      </c>
    </row>
    <row r="6450">
      <c r="Y6450" s="372">
        <v>0.0</v>
      </c>
      <c r="Z6450" s="372">
        <v>0.0</v>
      </c>
    </row>
    <row r="6451">
      <c r="Y6451" s="372">
        <v>0.0</v>
      </c>
      <c r="Z6451" s="372">
        <v>0.0</v>
      </c>
    </row>
    <row r="6452">
      <c r="Y6452" s="372">
        <v>0.0</v>
      </c>
      <c r="Z6452" s="372">
        <v>0.0</v>
      </c>
    </row>
    <row r="6453">
      <c r="Y6453" s="372">
        <v>0.0</v>
      </c>
      <c r="Z6453" s="372">
        <v>0.0</v>
      </c>
    </row>
    <row r="6454">
      <c r="Y6454" s="372">
        <v>0.0</v>
      </c>
      <c r="Z6454" s="372">
        <v>0.0</v>
      </c>
    </row>
    <row r="6455">
      <c r="Y6455" s="372">
        <v>0.0</v>
      </c>
      <c r="Z6455" s="372">
        <v>0.0</v>
      </c>
    </row>
    <row r="6456">
      <c r="Y6456" s="372">
        <v>0.0</v>
      </c>
      <c r="Z6456" s="372">
        <v>0.0</v>
      </c>
    </row>
    <row r="6457">
      <c r="Y6457" s="372">
        <v>0.0</v>
      </c>
      <c r="Z6457" s="372">
        <v>0.0</v>
      </c>
    </row>
    <row r="6458">
      <c r="Y6458" s="372">
        <v>0.0</v>
      </c>
      <c r="Z6458" s="372">
        <v>0.0</v>
      </c>
    </row>
    <row r="6459">
      <c r="Y6459" s="372">
        <v>0.0</v>
      </c>
      <c r="Z6459" s="372">
        <v>0.0</v>
      </c>
    </row>
    <row r="6460">
      <c r="Y6460" s="372">
        <v>0.0</v>
      </c>
      <c r="Z6460" s="372">
        <v>0.0</v>
      </c>
    </row>
    <row r="6461">
      <c r="Y6461" s="372">
        <v>0.0</v>
      </c>
      <c r="Z6461" s="372">
        <v>0.0</v>
      </c>
    </row>
    <row r="6462">
      <c r="Y6462" s="372">
        <v>0.0</v>
      </c>
      <c r="Z6462" s="372">
        <v>0.0</v>
      </c>
    </row>
    <row r="6463">
      <c r="Y6463" s="372">
        <v>0.0</v>
      </c>
      <c r="Z6463" s="372">
        <v>0.0</v>
      </c>
    </row>
    <row r="6464">
      <c r="Y6464" s="372">
        <v>0.0</v>
      </c>
      <c r="Z6464" s="372">
        <v>0.0</v>
      </c>
    </row>
    <row r="6465">
      <c r="Y6465" s="372">
        <v>0.0</v>
      </c>
      <c r="Z6465" s="372">
        <v>0.0</v>
      </c>
    </row>
    <row r="6466">
      <c r="Y6466" s="372">
        <v>0.0</v>
      </c>
      <c r="Z6466" s="372">
        <v>0.0</v>
      </c>
    </row>
    <row r="6467">
      <c r="Y6467" s="372">
        <v>0.0</v>
      </c>
      <c r="Z6467" s="372">
        <v>0.0</v>
      </c>
    </row>
    <row r="6468">
      <c r="Y6468" s="372">
        <v>0.0</v>
      </c>
      <c r="Z6468" s="372">
        <v>0.0</v>
      </c>
    </row>
    <row r="6469">
      <c r="Y6469" s="372">
        <v>0.0</v>
      </c>
      <c r="Z6469" s="372">
        <v>0.0</v>
      </c>
    </row>
    <row r="6470">
      <c r="Y6470" s="372">
        <v>0.0</v>
      </c>
      <c r="Z6470" s="372">
        <v>0.0</v>
      </c>
    </row>
    <row r="6471">
      <c r="Y6471" s="372">
        <v>0.0</v>
      </c>
      <c r="Z6471" s="372">
        <v>0.0</v>
      </c>
    </row>
    <row r="6472">
      <c r="Y6472" s="372">
        <v>0.0</v>
      </c>
      <c r="Z6472" s="372">
        <v>0.0</v>
      </c>
    </row>
    <row r="6473">
      <c r="Y6473" s="372">
        <v>0.0</v>
      </c>
      <c r="Z6473" s="372">
        <v>0.0</v>
      </c>
    </row>
    <row r="6474">
      <c r="Y6474" s="372">
        <v>0.0</v>
      </c>
      <c r="Z6474" s="372">
        <v>0.0</v>
      </c>
    </row>
    <row r="6475">
      <c r="Y6475" s="372">
        <v>0.0</v>
      </c>
      <c r="Z6475" s="372">
        <v>0.0</v>
      </c>
    </row>
    <row r="6476">
      <c r="Y6476" s="372">
        <v>0.0</v>
      </c>
      <c r="Z6476" s="372">
        <v>0.0</v>
      </c>
    </row>
    <row r="6477">
      <c r="Y6477" s="372">
        <v>0.0</v>
      </c>
      <c r="Z6477" s="372">
        <v>0.0</v>
      </c>
    </row>
    <row r="6478">
      <c r="Y6478" s="372">
        <v>0.0</v>
      </c>
      <c r="Z6478" s="372">
        <v>0.0</v>
      </c>
    </row>
    <row r="6479">
      <c r="Y6479" s="372">
        <v>0.0</v>
      </c>
      <c r="Z6479" s="372">
        <v>0.0</v>
      </c>
    </row>
    <row r="6480">
      <c r="Y6480" s="372">
        <v>0.0</v>
      </c>
      <c r="Z6480" s="372">
        <v>0.0</v>
      </c>
    </row>
    <row r="6481">
      <c r="Y6481" s="372">
        <v>0.0</v>
      </c>
      <c r="Z6481" s="372">
        <v>0.0</v>
      </c>
    </row>
    <row r="6482">
      <c r="Y6482" s="372">
        <v>0.0</v>
      </c>
      <c r="Z6482" s="372">
        <v>0.0</v>
      </c>
    </row>
    <row r="6483">
      <c r="Y6483" s="372">
        <v>0.0</v>
      </c>
      <c r="Z6483" s="372">
        <v>0.0</v>
      </c>
    </row>
    <row r="6484">
      <c r="Y6484" s="372">
        <v>0.0</v>
      </c>
      <c r="Z6484" s="372">
        <v>0.0</v>
      </c>
    </row>
    <row r="6485">
      <c r="Y6485" s="372">
        <v>0.0</v>
      </c>
      <c r="Z6485" s="372">
        <v>0.0</v>
      </c>
    </row>
    <row r="6486">
      <c r="Y6486" s="372">
        <v>0.0</v>
      </c>
      <c r="Z6486" s="372">
        <v>0.0</v>
      </c>
    </row>
    <row r="6487">
      <c r="Y6487" s="372">
        <v>0.0</v>
      </c>
      <c r="Z6487" s="372">
        <v>0.0</v>
      </c>
    </row>
    <row r="6488">
      <c r="Y6488" s="372">
        <v>0.0</v>
      </c>
      <c r="Z6488" s="372">
        <v>0.0</v>
      </c>
    </row>
    <row r="6489">
      <c r="Y6489" s="372">
        <v>0.0</v>
      </c>
      <c r="Z6489" s="372">
        <v>0.0</v>
      </c>
    </row>
    <row r="6490">
      <c r="Y6490" s="372">
        <v>0.0</v>
      </c>
      <c r="Z6490" s="372">
        <v>0.0</v>
      </c>
    </row>
    <row r="6491">
      <c r="Y6491" s="372">
        <v>0.0</v>
      </c>
      <c r="Z6491" s="372">
        <v>0.0</v>
      </c>
    </row>
    <row r="6492">
      <c r="Y6492" s="372">
        <v>0.0</v>
      </c>
      <c r="Z6492" s="372">
        <v>0.0</v>
      </c>
    </row>
    <row r="6493">
      <c r="Y6493" s="372">
        <v>0.0</v>
      </c>
      <c r="Z6493" s="372">
        <v>0.0</v>
      </c>
    </row>
    <row r="6494">
      <c r="Y6494" s="372">
        <v>0.0</v>
      </c>
      <c r="Z6494" s="372">
        <v>0.0</v>
      </c>
    </row>
    <row r="6495">
      <c r="Y6495" s="372">
        <v>0.0</v>
      </c>
      <c r="Z6495" s="372">
        <v>0.0</v>
      </c>
    </row>
    <row r="6496">
      <c r="Y6496" s="372">
        <v>0.0</v>
      </c>
      <c r="Z6496" s="372">
        <v>0.0</v>
      </c>
    </row>
    <row r="6497">
      <c r="Y6497" s="372">
        <v>0.0</v>
      </c>
      <c r="Z6497" s="372">
        <v>0.0</v>
      </c>
    </row>
    <row r="6498">
      <c r="Y6498" s="372">
        <v>0.0</v>
      </c>
      <c r="Z6498" s="372">
        <v>0.0</v>
      </c>
    </row>
    <row r="6499">
      <c r="Y6499" s="372">
        <v>0.0</v>
      </c>
      <c r="Z6499" s="372">
        <v>0.0</v>
      </c>
    </row>
    <row r="6500">
      <c r="Y6500" s="372">
        <v>0.0</v>
      </c>
      <c r="Z6500" s="372">
        <v>0.0</v>
      </c>
    </row>
    <row r="6501">
      <c r="Y6501" s="372">
        <v>0.0</v>
      </c>
      <c r="Z6501" s="372">
        <v>0.0</v>
      </c>
    </row>
    <row r="6502">
      <c r="Y6502" s="372">
        <v>0.0</v>
      </c>
      <c r="Z6502" s="372">
        <v>0.0</v>
      </c>
    </row>
    <row r="6503">
      <c r="Y6503" s="372">
        <v>0.0</v>
      </c>
      <c r="Z6503" s="372">
        <v>0.0</v>
      </c>
    </row>
    <row r="6504">
      <c r="Y6504" s="372">
        <v>0.0</v>
      </c>
      <c r="Z6504" s="372">
        <v>0.0</v>
      </c>
    </row>
    <row r="6505">
      <c r="Y6505" s="372">
        <v>0.0</v>
      </c>
      <c r="Z6505" s="372">
        <v>0.0</v>
      </c>
    </row>
    <row r="6506">
      <c r="Y6506" s="372">
        <v>0.0</v>
      </c>
      <c r="Z6506" s="372">
        <v>0.0</v>
      </c>
    </row>
    <row r="6507">
      <c r="Y6507" s="372">
        <v>0.0</v>
      </c>
      <c r="Z6507" s="372">
        <v>0.0</v>
      </c>
    </row>
    <row r="6508">
      <c r="Y6508" s="372">
        <v>0.0</v>
      </c>
      <c r="Z6508" s="372">
        <v>0.0</v>
      </c>
    </row>
    <row r="6509">
      <c r="Y6509" s="372">
        <v>0.0</v>
      </c>
      <c r="Z6509" s="372">
        <v>0.0</v>
      </c>
    </row>
    <row r="6510">
      <c r="Y6510" s="372">
        <v>0.0</v>
      </c>
      <c r="Z6510" s="372">
        <v>0.0</v>
      </c>
    </row>
    <row r="6511">
      <c r="Y6511" s="372">
        <v>0.0</v>
      </c>
      <c r="Z6511" s="372">
        <v>0.0</v>
      </c>
    </row>
    <row r="6512">
      <c r="Y6512" s="372">
        <v>0.0</v>
      </c>
      <c r="Z6512" s="372">
        <v>0.0</v>
      </c>
    </row>
    <row r="6513">
      <c r="Y6513" s="372">
        <v>0.0</v>
      </c>
      <c r="Z6513" s="372">
        <v>0.0</v>
      </c>
    </row>
    <row r="6514">
      <c r="Y6514" s="372">
        <v>0.0</v>
      </c>
      <c r="Z6514" s="372">
        <v>0.0</v>
      </c>
    </row>
    <row r="6515">
      <c r="Y6515" s="372">
        <v>0.0</v>
      </c>
      <c r="Z6515" s="372">
        <v>0.0</v>
      </c>
    </row>
    <row r="6516">
      <c r="Y6516" s="372">
        <v>0.0</v>
      </c>
      <c r="Z6516" s="372">
        <v>0.0</v>
      </c>
    </row>
    <row r="6517">
      <c r="Y6517" s="372">
        <v>0.0</v>
      </c>
      <c r="Z6517" s="372">
        <v>0.0</v>
      </c>
    </row>
    <row r="6518">
      <c r="Y6518" s="372">
        <v>0.0</v>
      </c>
      <c r="Z6518" s="372">
        <v>0.0</v>
      </c>
    </row>
    <row r="6519">
      <c r="Y6519" s="372">
        <v>0.0</v>
      </c>
      <c r="Z6519" s="372">
        <v>0.0</v>
      </c>
    </row>
    <row r="6520">
      <c r="Y6520" s="372">
        <v>0.0</v>
      </c>
      <c r="Z6520" s="372">
        <v>0.0</v>
      </c>
    </row>
    <row r="6521">
      <c r="Y6521" s="372">
        <v>0.0</v>
      </c>
      <c r="Z6521" s="372">
        <v>0.0</v>
      </c>
    </row>
    <row r="6522">
      <c r="Y6522" s="372">
        <v>0.0</v>
      </c>
      <c r="Z6522" s="372">
        <v>0.0</v>
      </c>
    </row>
    <row r="6523">
      <c r="Y6523" s="372">
        <v>0.0</v>
      </c>
      <c r="Z6523" s="372">
        <v>0.0</v>
      </c>
    </row>
    <row r="6524">
      <c r="Y6524" s="372">
        <v>0.0</v>
      </c>
      <c r="Z6524" s="372">
        <v>0.0</v>
      </c>
    </row>
    <row r="6525">
      <c r="Y6525" s="372">
        <v>0.0</v>
      </c>
      <c r="Z6525" s="372">
        <v>0.0</v>
      </c>
    </row>
    <row r="6526">
      <c r="Y6526" s="372">
        <v>0.0</v>
      </c>
      <c r="Z6526" s="372">
        <v>0.0</v>
      </c>
    </row>
    <row r="6527">
      <c r="Y6527" s="372">
        <v>0.0</v>
      </c>
      <c r="Z6527" s="372">
        <v>0.0</v>
      </c>
    </row>
    <row r="6528">
      <c r="Y6528" s="372">
        <v>0.0</v>
      </c>
      <c r="Z6528" s="372">
        <v>0.0</v>
      </c>
    </row>
    <row r="6529">
      <c r="Y6529" s="372">
        <v>0.0</v>
      </c>
      <c r="Z6529" s="372">
        <v>0.0</v>
      </c>
    </row>
    <row r="6530">
      <c r="Y6530" s="372">
        <v>0.0</v>
      </c>
      <c r="Z6530" s="372">
        <v>0.0</v>
      </c>
    </row>
    <row r="6531">
      <c r="Y6531" s="372">
        <v>0.0</v>
      </c>
      <c r="Z6531" s="372">
        <v>0.0</v>
      </c>
    </row>
    <row r="6532">
      <c r="Y6532" s="372">
        <v>0.0</v>
      </c>
      <c r="Z6532" s="372">
        <v>0.0</v>
      </c>
    </row>
    <row r="6533">
      <c r="Y6533" s="372">
        <v>0.0</v>
      </c>
      <c r="Z6533" s="372">
        <v>0.0</v>
      </c>
    </row>
    <row r="6534">
      <c r="Y6534" s="372">
        <v>0.0</v>
      </c>
      <c r="Z6534" s="372">
        <v>0.0</v>
      </c>
    </row>
    <row r="6535">
      <c r="Y6535" s="372">
        <v>0.0</v>
      </c>
      <c r="Z6535" s="372">
        <v>0.0</v>
      </c>
    </row>
    <row r="6536">
      <c r="Y6536" s="372">
        <v>0.0</v>
      </c>
      <c r="Z6536" s="372">
        <v>0.0</v>
      </c>
    </row>
    <row r="6537">
      <c r="Y6537" s="372">
        <v>0.0</v>
      </c>
      <c r="Z6537" s="372">
        <v>0.0</v>
      </c>
    </row>
    <row r="6538">
      <c r="Y6538" s="372">
        <v>0.0</v>
      </c>
      <c r="Z6538" s="372">
        <v>0.0</v>
      </c>
    </row>
    <row r="6539">
      <c r="Y6539" s="372">
        <v>0.0</v>
      </c>
      <c r="Z6539" s="372">
        <v>0.0</v>
      </c>
    </row>
    <row r="6540">
      <c r="Y6540" s="372">
        <v>0.0</v>
      </c>
      <c r="Z6540" s="372">
        <v>0.0</v>
      </c>
    </row>
    <row r="6541">
      <c r="Y6541" s="372">
        <v>0.0</v>
      </c>
      <c r="Z6541" s="372">
        <v>0.0</v>
      </c>
    </row>
    <row r="6542">
      <c r="Y6542" s="372">
        <v>0.0</v>
      </c>
      <c r="Z6542" s="372">
        <v>0.0</v>
      </c>
    </row>
    <row r="6543">
      <c r="Y6543" s="372">
        <v>0.0</v>
      </c>
      <c r="Z6543" s="372">
        <v>0.0</v>
      </c>
    </row>
    <row r="6544">
      <c r="Y6544" s="372">
        <v>0.0</v>
      </c>
      <c r="Z6544" s="372">
        <v>0.0</v>
      </c>
    </row>
    <row r="6545">
      <c r="Y6545" s="372">
        <v>0.0</v>
      </c>
      <c r="Z6545" s="372">
        <v>0.0</v>
      </c>
    </row>
    <row r="6546">
      <c r="Y6546" s="372">
        <v>0.0</v>
      </c>
      <c r="Z6546" s="372">
        <v>0.0</v>
      </c>
    </row>
    <row r="6547">
      <c r="Y6547" s="372">
        <v>0.0</v>
      </c>
      <c r="Z6547" s="372">
        <v>0.0</v>
      </c>
    </row>
    <row r="6548">
      <c r="Y6548" s="372">
        <v>0.0</v>
      </c>
      <c r="Z6548" s="372">
        <v>0.0</v>
      </c>
    </row>
    <row r="6549">
      <c r="Y6549" s="372">
        <v>0.0</v>
      </c>
      <c r="Z6549" s="372">
        <v>0.0</v>
      </c>
    </row>
    <row r="6550">
      <c r="Y6550" s="372">
        <v>0.0</v>
      </c>
      <c r="Z6550" s="372">
        <v>0.0</v>
      </c>
    </row>
    <row r="6551">
      <c r="Y6551" s="372">
        <v>0.0</v>
      </c>
      <c r="Z6551" s="372">
        <v>0.0</v>
      </c>
    </row>
    <row r="6552">
      <c r="Y6552" s="372">
        <v>0.0</v>
      </c>
      <c r="Z6552" s="372">
        <v>0.0</v>
      </c>
    </row>
    <row r="6553">
      <c r="Y6553" s="372">
        <v>0.0</v>
      </c>
      <c r="Z6553" s="372">
        <v>0.0</v>
      </c>
    </row>
    <row r="6554">
      <c r="Y6554" s="372">
        <v>0.0</v>
      </c>
      <c r="Z6554" s="372">
        <v>0.0</v>
      </c>
    </row>
    <row r="6555">
      <c r="Y6555" s="372">
        <v>0.0</v>
      </c>
      <c r="Z6555" s="372">
        <v>0.0</v>
      </c>
    </row>
    <row r="6556">
      <c r="Y6556" s="372">
        <v>0.0</v>
      </c>
      <c r="Z6556" s="372">
        <v>0.0</v>
      </c>
    </row>
    <row r="6557">
      <c r="Y6557" s="372">
        <v>0.0</v>
      </c>
      <c r="Z6557" s="372">
        <v>0.0</v>
      </c>
    </row>
    <row r="6558">
      <c r="Y6558" s="372">
        <v>0.0</v>
      </c>
      <c r="Z6558" s="372">
        <v>0.0</v>
      </c>
    </row>
    <row r="6559">
      <c r="Y6559" s="372">
        <v>0.0</v>
      </c>
      <c r="Z6559" s="372">
        <v>0.0</v>
      </c>
    </row>
    <row r="6560">
      <c r="Y6560" s="372">
        <v>0.0</v>
      </c>
      <c r="Z6560" s="372">
        <v>0.0</v>
      </c>
    </row>
    <row r="6561">
      <c r="Y6561" s="372">
        <v>0.0</v>
      </c>
      <c r="Z6561" s="372">
        <v>0.0</v>
      </c>
    </row>
    <row r="6562">
      <c r="Y6562" s="372">
        <v>0.0</v>
      </c>
      <c r="Z6562" s="372">
        <v>0.0</v>
      </c>
    </row>
    <row r="6563">
      <c r="Y6563" s="372">
        <v>0.0</v>
      </c>
      <c r="Z6563" s="372">
        <v>0.0</v>
      </c>
    </row>
    <row r="6564">
      <c r="Y6564" s="372">
        <v>0.0</v>
      </c>
      <c r="Z6564" s="372">
        <v>0.0</v>
      </c>
    </row>
    <row r="6565">
      <c r="Y6565" s="372">
        <v>0.0</v>
      </c>
      <c r="Z6565" s="372">
        <v>0.0</v>
      </c>
    </row>
    <row r="6566">
      <c r="Y6566" s="372">
        <v>0.0</v>
      </c>
      <c r="Z6566" s="372">
        <v>0.0</v>
      </c>
    </row>
    <row r="6567">
      <c r="Y6567" s="372">
        <v>0.0</v>
      </c>
      <c r="Z6567" s="372">
        <v>0.0</v>
      </c>
    </row>
    <row r="6568">
      <c r="Y6568" s="372">
        <v>0.0</v>
      </c>
      <c r="Z6568" s="372">
        <v>0.0</v>
      </c>
    </row>
    <row r="6569">
      <c r="Y6569" s="372">
        <v>0.0</v>
      </c>
      <c r="Z6569" s="372">
        <v>0.0</v>
      </c>
    </row>
    <row r="6570">
      <c r="Y6570" s="372">
        <v>0.0</v>
      </c>
      <c r="Z6570" s="372">
        <v>0.0</v>
      </c>
    </row>
    <row r="6571">
      <c r="Y6571" s="372">
        <v>0.0</v>
      </c>
      <c r="Z6571" s="372">
        <v>0.0</v>
      </c>
    </row>
    <row r="6572">
      <c r="Y6572" s="372">
        <v>0.0</v>
      </c>
      <c r="Z6572" s="372">
        <v>0.0</v>
      </c>
    </row>
    <row r="6573">
      <c r="Y6573" s="372">
        <v>0.0</v>
      </c>
      <c r="Z6573" s="372">
        <v>0.0</v>
      </c>
    </row>
    <row r="6574">
      <c r="Y6574" s="372">
        <v>0.0</v>
      </c>
      <c r="Z6574" s="372">
        <v>0.0</v>
      </c>
    </row>
    <row r="6575">
      <c r="Y6575" s="372">
        <v>0.0</v>
      </c>
      <c r="Z6575" s="372">
        <v>0.0</v>
      </c>
    </row>
    <row r="6576">
      <c r="Y6576" s="372">
        <v>0.0</v>
      </c>
      <c r="Z6576" s="372">
        <v>0.0</v>
      </c>
    </row>
    <row r="6577">
      <c r="Y6577" s="372">
        <v>0.0</v>
      </c>
      <c r="Z6577" s="372">
        <v>0.0</v>
      </c>
    </row>
    <row r="6578">
      <c r="Y6578" s="372">
        <v>0.0</v>
      </c>
      <c r="Z6578" s="372">
        <v>0.0</v>
      </c>
    </row>
    <row r="6579">
      <c r="Y6579" s="372">
        <v>0.0</v>
      </c>
      <c r="Z6579" s="372">
        <v>0.0</v>
      </c>
    </row>
    <row r="6580">
      <c r="Y6580" s="372">
        <v>0.0</v>
      </c>
      <c r="Z6580" s="372">
        <v>0.0</v>
      </c>
    </row>
    <row r="6581">
      <c r="Y6581" s="372">
        <v>0.0</v>
      </c>
      <c r="Z6581" s="372">
        <v>0.0</v>
      </c>
    </row>
    <row r="6582">
      <c r="Y6582" s="372">
        <v>0.0</v>
      </c>
      <c r="Z6582" s="372">
        <v>0.0</v>
      </c>
    </row>
    <row r="6583">
      <c r="Y6583" s="372">
        <v>0.0</v>
      </c>
      <c r="Z6583" s="372">
        <v>0.0</v>
      </c>
    </row>
    <row r="6584">
      <c r="Y6584" s="372">
        <v>0.0</v>
      </c>
      <c r="Z6584" s="372">
        <v>0.0</v>
      </c>
    </row>
    <row r="6585">
      <c r="Y6585" s="372">
        <v>0.0</v>
      </c>
      <c r="Z6585" s="372">
        <v>0.0</v>
      </c>
    </row>
    <row r="6586">
      <c r="Y6586" s="372">
        <v>0.0</v>
      </c>
      <c r="Z6586" s="372">
        <v>0.0</v>
      </c>
    </row>
    <row r="6587">
      <c r="Y6587" s="372">
        <v>0.0</v>
      </c>
      <c r="Z6587" s="372">
        <v>0.0</v>
      </c>
    </row>
    <row r="6588">
      <c r="Y6588" s="372">
        <v>0.0</v>
      </c>
      <c r="Z6588" s="372">
        <v>0.0</v>
      </c>
    </row>
    <row r="6589">
      <c r="Y6589" s="372">
        <v>0.0</v>
      </c>
      <c r="Z6589" s="372">
        <v>0.0</v>
      </c>
    </row>
    <row r="6590">
      <c r="Y6590" s="372">
        <v>0.0</v>
      </c>
      <c r="Z6590" s="372">
        <v>0.0</v>
      </c>
    </row>
    <row r="6591">
      <c r="Y6591" s="372">
        <v>0.0</v>
      </c>
      <c r="Z6591" s="372">
        <v>0.0</v>
      </c>
    </row>
    <row r="6592">
      <c r="Y6592" s="372">
        <v>0.0</v>
      </c>
      <c r="Z6592" s="372">
        <v>0.0</v>
      </c>
    </row>
    <row r="6593">
      <c r="Y6593" s="372">
        <v>0.0</v>
      </c>
      <c r="Z6593" s="372">
        <v>0.0</v>
      </c>
    </row>
    <row r="6594">
      <c r="Y6594" s="372">
        <v>0.0</v>
      </c>
      <c r="Z6594" s="372">
        <v>0.0</v>
      </c>
    </row>
    <row r="6595">
      <c r="Y6595" s="372">
        <v>0.0</v>
      </c>
      <c r="Z6595" s="372">
        <v>0.0</v>
      </c>
    </row>
    <row r="6596">
      <c r="Y6596" s="372">
        <v>0.0</v>
      </c>
      <c r="Z6596" s="372">
        <v>0.0</v>
      </c>
    </row>
    <row r="6597">
      <c r="Y6597" s="372">
        <v>0.0</v>
      </c>
      <c r="Z6597" s="372">
        <v>0.0</v>
      </c>
    </row>
    <row r="6598">
      <c r="Y6598" s="372">
        <v>0.0</v>
      </c>
      <c r="Z6598" s="372">
        <v>0.0</v>
      </c>
    </row>
    <row r="6599">
      <c r="Y6599" s="372">
        <v>0.0</v>
      </c>
      <c r="Z6599" s="372">
        <v>0.0</v>
      </c>
    </row>
    <row r="6600">
      <c r="Y6600" s="372">
        <v>0.0</v>
      </c>
      <c r="Z6600" s="372">
        <v>0.0</v>
      </c>
    </row>
    <row r="6601">
      <c r="Y6601" s="372">
        <v>0.0</v>
      </c>
      <c r="Z6601" s="372">
        <v>0.0</v>
      </c>
    </row>
    <row r="6602">
      <c r="Y6602" s="372">
        <v>0.0</v>
      </c>
      <c r="Z6602" s="372">
        <v>0.0</v>
      </c>
    </row>
    <row r="6603">
      <c r="Y6603" s="372">
        <v>0.0</v>
      </c>
      <c r="Z6603" s="372">
        <v>0.0</v>
      </c>
    </row>
    <row r="6604">
      <c r="Y6604" s="372">
        <v>0.0</v>
      </c>
      <c r="Z6604" s="372">
        <v>0.0</v>
      </c>
    </row>
    <row r="6605">
      <c r="Y6605" s="372">
        <v>0.0</v>
      </c>
      <c r="Z6605" s="372">
        <v>0.0</v>
      </c>
    </row>
    <row r="6606">
      <c r="Y6606" s="372">
        <v>0.0</v>
      </c>
      <c r="Z6606" s="372">
        <v>0.0</v>
      </c>
    </row>
    <row r="6607">
      <c r="Y6607" s="372">
        <v>0.0</v>
      </c>
      <c r="Z6607" s="372">
        <v>0.0</v>
      </c>
    </row>
    <row r="6608">
      <c r="Y6608" s="372">
        <v>0.0</v>
      </c>
      <c r="Z6608" s="372">
        <v>0.0</v>
      </c>
    </row>
    <row r="6609">
      <c r="Y6609" s="372">
        <v>0.0</v>
      </c>
      <c r="Z6609" s="372">
        <v>0.0</v>
      </c>
    </row>
    <row r="6610">
      <c r="Y6610" s="372">
        <v>0.0</v>
      </c>
      <c r="Z6610" s="372">
        <v>0.0</v>
      </c>
    </row>
    <row r="6611">
      <c r="Y6611" s="372">
        <v>0.0</v>
      </c>
      <c r="Z6611" s="372">
        <v>0.0</v>
      </c>
    </row>
    <row r="6612">
      <c r="Y6612" s="372">
        <v>0.0</v>
      </c>
      <c r="Z6612" s="372">
        <v>0.0</v>
      </c>
    </row>
    <row r="6613">
      <c r="Y6613" s="372">
        <v>0.0</v>
      </c>
      <c r="Z6613" s="372">
        <v>0.0</v>
      </c>
    </row>
    <row r="6614">
      <c r="Y6614" s="372">
        <v>0.0</v>
      </c>
      <c r="Z6614" s="372">
        <v>0.0</v>
      </c>
    </row>
    <row r="6615">
      <c r="Y6615" s="372">
        <v>0.0</v>
      </c>
      <c r="Z6615" s="372">
        <v>0.0</v>
      </c>
    </row>
    <row r="6616">
      <c r="Y6616" s="372">
        <v>0.0</v>
      </c>
      <c r="Z6616" s="372">
        <v>0.0</v>
      </c>
    </row>
    <row r="6617">
      <c r="Y6617" s="372">
        <v>0.0</v>
      </c>
      <c r="Z6617" s="372">
        <v>0.0</v>
      </c>
    </row>
    <row r="6618">
      <c r="Y6618" s="372">
        <v>0.0</v>
      </c>
      <c r="Z6618" s="372">
        <v>0.0</v>
      </c>
    </row>
    <row r="6619">
      <c r="Y6619" s="372">
        <v>0.0</v>
      </c>
      <c r="Z6619" s="372">
        <v>0.0</v>
      </c>
    </row>
    <row r="6620">
      <c r="Y6620" s="372">
        <v>0.0</v>
      </c>
      <c r="Z6620" s="372">
        <v>0.0</v>
      </c>
    </row>
    <row r="6621">
      <c r="Y6621" s="372">
        <v>0.0</v>
      </c>
      <c r="Z6621" s="372">
        <v>0.0</v>
      </c>
    </row>
    <row r="6622">
      <c r="Y6622" s="372">
        <v>0.0</v>
      </c>
      <c r="Z6622" s="372">
        <v>0.0</v>
      </c>
    </row>
    <row r="6623">
      <c r="Y6623" s="372">
        <v>0.0</v>
      </c>
      <c r="Z6623" s="372">
        <v>0.0</v>
      </c>
    </row>
    <row r="6624">
      <c r="Y6624" s="372">
        <v>0.0</v>
      </c>
      <c r="Z6624" s="372">
        <v>0.0</v>
      </c>
    </row>
    <row r="6625">
      <c r="Y6625" s="372">
        <v>0.0</v>
      </c>
      <c r="Z6625" s="372">
        <v>0.0</v>
      </c>
    </row>
    <row r="6626">
      <c r="Y6626" s="372">
        <v>0.0</v>
      </c>
      <c r="Z6626" s="372">
        <v>0.0</v>
      </c>
    </row>
    <row r="6627">
      <c r="Y6627" s="372">
        <v>0.0</v>
      </c>
      <c r="Z6627" s="372">
        <v>0.0</v>
      </c>
    </row>
    <row r="6628">
      <c r="Y6628" s="372">
        <v>0.0</v>
      </c>
      <c r="Z6628" s="372">
        <v>0.0</v>
      </c>
    </row>
    <row r="6629">
      <c r="Y6629" s="372">
        <v>0.0</v>
      </c>
      <c r="Z6629" s="372">
        <v>0.0</v>
      </c>
    </row>
    <row r="6630">
      <c r="Y6630" s="372">
        <v>0.0</v>
      </c>
      <c r="Z6630" s="372">
        <v>0.0</v>
      </c>
    </row>
    <row r="6631">
      <c r="Y6631" s="372">
        <v>0.0</v>
      </c>
      <c r="Z6631" s="372">
        <v>0.0</v>
      </c>
    </row>
    <row r="6632">
      <c r="Y6632" s="372">
        <v>0.0</v>
      </c>
      <c r="Z6632" s="372">
        <v>0.0</v>
      </c>
    </row>
    <row r="6633">
      <c r="Y6633" s="372">
        <v>0.0</v>
      </c>
      <c r="Z6633" s="372">
        <v>0.0</v>
      </c>
    </row>
    <row r="6634">
      <c r="Y6634" s="372">
        <v>0.0</v>
      </c>
      <c r="Z6634" s="372">
        <v>0.0</v>
      </c>
    </row>
    <row r="6635">
      <c r="Y6635" s="372">
        <v>0.0</v>
      </c>
      <c r="Z6635" s="372">
        <v>0.0</v>
      </c>
    </row>
    <row r="6636">
      <c r="Y6636" s="372">
        <v>0.0</v>
      </c>
      <c r="Z6636" s="372">
        <v>0.0</v>
      </c>
    </row>
    <row r="6637">
      <c r="Y6637" s="372">
        <v>0.0</v>
      </c>
      <c r="Z6637" s="372">
        <v>0.0</v>
      </c>
    </row>
    <row r="6638">
      <c r="Y6638" s="372">
        <v>0.0</v>
      </c>
      <c r="Z6638" s="372">
        <v>0.0</v>
      </c>
    </row>
    <row r="6639">
      <c r="Y6639" s="372">
        <v>0.0</v>
      </c>
      <c r="Z6639" s="372">
        <v>0.0</v>
      </c>
    </row>
    <row r="6640">
      <c r="Y6640" s="372">
        <v>0.0</v>
      </c>
      <c r="Z6640" s="372">
        <v>0.0</v>
      </c>
    </row>
    <row r="6641">
      <c r="Y6641" s="372">
        <v>0.0</v>
      </c>
      <c r="Z6641" s="372">
        <v>0.0</v>
      </c>
    </row>
    <row r="6642">
      <c r="Y6642" s="372">
        <v>0.0</v>
      </c>
      <c r="Z6642" s="372">
        <v>0.0</v>
      </c>
    </row>
    <row r="6643">
      <c r="Y6643" s="372">
        <v>0.0</v>
      </c>
      <c r="Z6643" s="372">
        <v>0.0</v>
      </c>
    </row>
    <row r="6644">
      <c r="Y6644" s="372">
        <v>0.0</v>
      </c>
      <c r="Z6644" s="372">
        <v>0.0</v>
      </c>
    </row>
    <row r="6645">
      <c r="Y6645" s="372">
        <v>0.0</v>
      </c>
      <c r="Z6645" s="372">
        <v>0.0</v>
      </c>
    </row>
    <row r="6646">
      <c r="Y6646" s="372">
        <v>0.0</v>
      </c>
      <c r="Z6646" s="372">
        <v>0.0</v>
      </c>
    </row>
    <row r="6647">
      <c r="Y6647" s="372">
        <v>0.0</v>
      </c>
      <c r="Z6647" s="372">
        <v>0.0</v>
      </c>
    </row>
    <row r="6648">
      <c r="Y6648" s="372">
        <v>0.0</v>
      </c>
      <c r="Z6648" s="372">
        <v>0.0</v>
      </c>
    </row>
    <row r="6649">
      <c r="Y6649" s="372">
        <v>0.0</v>
      </c>
      <c r="Z6649" s="372">
        <v>0.0</v>
      </c>
    </row>
    <row r="6650">
      <c r="Y6650" s="372">
        <v>0.0</v>
      </c>
      <c r="Z6650" s="372">
        <v>0.0</v>
      </c>
    </row>
    <row r="6651">
      <c r="Y6651" s="372">
        <v>0.0</v>
      </c>
      <c r="Z6651" s="372">
        <v>0.0</v>
      </c>
    </row>
    <row r="6652">
      <c r="Y6652" s="372">
        <v>0.0</v>
      </c>
      <c r="Z6652" s="372">
        <v>0.0</v>
      </c>
    </row>
    <row r="6653">
      <c r="Y6653" s="372">
        <v>0.0</v>
      </c>
      <c r="Z6653" s="372">
        <v>0.0</v>
      </c>
    </row>
    <row r="6654">
      <c r="Y6654" s="372">
        <v>0.0</v>
      </c>
      <c r="Z6654" s="372">
        <v>0.0</v>
      </c>
    </row>
    <row r="6655">
      <c r="Y6655" s="372">
        <v>0.0</v>
      </c>
      <c r="Z6655" s="372">
        <v>0.0</v>
      </c>
    </row>
    <row r="6656">
      <c r="Y6656" s="372">
        <v>0.0</v>
      </c>
      <c r="Z6656" s="372">
        <v>0.0</v>
      </c>
    </row>
    <row r="6657">
      <c r="Y6657" s="372">
        <v>0.0</v>
      </c>
      <c r="Z6657" s="372">
        <v>0.0</v>
      </c>
    </row>
    <row r="6658">
      <c r="Y6658" s="372">
        <v>0.0</v>
      </c>
      <c r="Z6658" s="372">
        <v>0.0</v>
      </c>
    </row>
    <row r="6659">
      <c r="Y6659" s="372">
        <v>0.0</v>
      </c>
      <c r="Z6659" s="372">
        <v>0.0</v>
      </c>
    </row>
    <row r="6660">
      <c r="Y6660" s="372">
        <v>0.0</v>
      </c>
      <c r="Z6660" s="372">
        <v>0.0</v>
      </c>
    </row>
    <row r="6661">
      <c r="Y6661" s="372">
        <v>0.0</v>
      </c>
      <c r="Z6661" s="372">
        <v>0.0</v>
      </c>
    </row>
    <row r="6662">
      <c r="Y6662" s="372">
        <v>0.0</v>
      </c>
      <c r="Z6662" s="372">
        <v>0.0</v>
      </c>
    </row>
    <row r="6663">
      <c r="Y6663" s="372">
        <v>0.0</v>
      </c>
      <c r="Z6663" s="372">
        <v>0.0</v>
      </c>
    </row>
    <row r="6664">
      <c r="Y6664" s="372">
        <v>0.0</v>
      </c>
      <c r="Z6664" s="372">
        <v>0.0</v>
      </c>
    </row>
    <row r="6665">
      <c r="Y6665" s="372">
        <v>0.0</v>
      </c>
      <c r="Z6665" s="372">
        <v>0.0</v>
      </c>
    </row>
    <row r="6666">
      <c r="Y6666" s="372">
        <v>0.0</v>
      </c>
      <c r="Z6666" s="372">
        <v>0.0</v>
      </c>
    </row>
    <row r="6667">
      <c r="Y6667" s="372">
        <v>0.0</v>
      </c>
      <c r="Z6667" s="372">
        <v>0.0</v>
      </c>
    </row>
    <row r="6668">
      <c r="Y6668" s="372">
        <v>0.0</v>
      </c>
      <c r="Z6668" s="372">
        <v>0.0</v>
      </c>
    </row>
    <row r="6669">
      <c r="Y6669" s="372">
        <v>0.0</v>
      </c>
      <c r="Z6669" s="372">
        <v>0.0</v>
      </c>
    </row>
    <row r="6670">
      <c r="Y6670" s="372">
        <v>0.0</v>
      </c>
      <c r="Z6670" s="372">
        <v>0.0</v>
      </c>
    </row>
    <row r="6671">
      <c r="Y6671" s="372">
        <v>0.0</v>
      </c>
      <c r="Z6671" s="372">
        <v>0.0</v>
      </c>
    </row>
    <row r="6672">
      <c r="Y6672" s="372">
        <v>0.0</v>
      </c>
      <c r="Z6672" s="372">
        <v>0.0</v>
      </c>
    </row>
    <row r="6673">
      <c r="Y6673" s="372">
        <v>0.0</v>
      </c>
      <c r="Z6673" s="372">
        <v>0.0</v>
      </c>
    </row>
    <row r="6674">
      <c r="Y6674" s="372">
        <v>0.0</v>
      </c>
      <c r="Z6674" s="372">
        <v>0.0</v>
      </c>
    </row>
    <row r="6675">
      <c r="Y6675" s="372">
        <v>0.0</v>
      </c>
      <c r="Z6675" s="372">
        <v>0.0</v>
      </c>
    </row>
    <row r="6676">
      <c r="Y6676" s="372">
        <v>0.0</v>
      </c>
      <c r="Z6676" s="372">
        <v>0.0</v>
      </c>
    </row>
    <row r="6677">
      <c r="Y6677" s="372">
        <v>0.0</v>
      </c>
      <c r="Z6677" s="372">
        <v>0.0</v>
      </c>
    </row>
    <row r="6678">
      <c r="Y6678" s="372">
        <v>0.0</v>
      </c>
      <c r="Z6678" s="372">
        <v>0.0</v>
      </c>
    </row>
    <row r="6679">
      <c r="Y6679" s="372">
        <v>0.0</v>
      </c>
      <c r="Z6679" s="372">
        <v>0.0</v>
      </c>
    </row>
    <row r="6680">
      <c r="Y6680" s="372">
        <v>0.0</v>
      </c>
      <c r="Z6680" s="372">
        <v>0.0</v>
      </c>
    </row>
    <row r="6681">
      <c r="Y6681" s="372">
        <v>0.0</v>
      </c>
      <c r="Z6681" s="372">
        <v>0.0</v>
      </c>
    </row>
    <row r="6682">
      <c r="Y6682" s="372">
        <v>0.0</v>
      </c>
      <c r="Z6682" s="372">
        <v>0.0</v>
      </c>
    </row>
    <row r="6683">
      <c r="Y6683" s="372">
        <v>0.0</v>
      </c>
      <c r="Z6683" s="372">
        <v>0.0</v>
      </c>
    </row>
    <row r="6684">
      <c r="Y6684" s="372">
        <v>0.0</v>
      </c>
      <c r="Z6684" s="372">
        <v>0.0</v>
      </c>
    </row>
    <row r="6685">
      <c r="Y6685" s="372">
        <v>0.0</v>
      </c>
      <c r="Z6685" s="372">
        <v>0.0</v>
      </c>
    </row>
    <row r="6686">
      <c r="Y6686" s="372">
        <v>0.0</v>
      </c>
      <c r="Z6686" s="372">
        <v>0.0</v>
      </c>
    </row>
    <row r="6687">
      <c r="Y6687" s="372">
        <v>0.0</v>
      </c>
      <c r="Z6687" s="372">
        <v>0.0</v>
      </c>
    </row>
    <row r="6688">
      <c r="Y6688" s="372">
        <v>0.0</v>
      </c>
      <c r="Z6688" s="372">
        <v>0.0</v>
      </c>
    </row>
    <row r="6689">
      <c r="Y6689" s="372">
        <v>0.0</v>
      </c>
      <c r="Z6689" s="372">
        <v>0.0</v>
      </c>
    </row>
    <row r="6690">
      <c r="Y6690" s="372">
        <v>0.0</v>
      </c>
      <c r="Z6690" s="372">
        <v>0.0</v>
      </c>
    </row>
    <row r="6691">
      <c r="Y6691" s="372">
        <v>0.0</v>
      </c>
      <c r="Z6691" s="372">
        <v>0.0</v>
      </c>
    </row>
    <row r="6692">
      <c r="Y6692" s="372">
        <v>0.0</v>
      </c>
      <c r="Z6692" s="372">
        <v>0.0</v>
      </c>
    </row>
    <row r="6693">
      <c r="Y6693" s="372">
        <v>0.0</v>
      </c>
      <c r="Z6693" s="372">
        <v>0.0</v>
      </c>
    </row>
    <row r="6694">
      <c r="Y6694" s="372">
        <v>0.0</v>
      </c>
      <c r="Z6694" s="372">
        <v>0.0</v>
      </c>
    </row>
    <row r="6695">
      <c r="Y6695" s="372">
        <v>0.0</v>
      </c>
      <c r="Z6695" s="372">
        <v>0.0</v>
      </c>
    </row>
    <row r="6696">
      <c r="Y6696" s="372">
        <v>0.0</v>
      </c>
      <c r="Z6696" s="372">
        <v>0.0</v>
      </c>
    </row>
    <row r="6697">
      <c r="Y6697" s="372">
        <v>0.0</v>
      </c>
      <c r="Z6697" s="372">
        <v>0.0</v>
      </c>
    </row>
    <row r="6698">
      <c r="Y6698" s="372">
        <v>0.0</v>
      </c>
      <c r="Z6698" s="372">
        <v>0.0</v>
      </c>
    </row>
    <row r="6699">
      <c r="Y6699" s="372">
        <v>0.0</v>
      </c>
      <c r="Z6699" s="372">
        <v>0.0</v>
      </c>
    </row>
    <row r="6700">
      <c r="Y6700" s="372">
        <v>0.0</v>
      </c>
      <c r="Z6700" s="372">
        <v>0.0</v>
      </c>
    </row>
    <row r="6701">
      <c r="Y6701" s="372">
        <v>0.0</v>
      </c>
      <c r="Z6701" s="372">
        <v>0.0</v>
      </c>
    </row>
    <row r="6702">
      <c r="Y6702" s="372">
        <v>0.0</v>
      </c>
      <c r="Z6702" s="372">
        <v>0.0</v>
      </c>
    </row>
    <row r="6703">
      <c r="Y6703" s="372">
        <v>0.0</v>
      </c>
      <c r="Z6703" s="372">
        <v>0.0</v>
      </c>
    </row>
    <row r="6704">
      <c r="Y6704" s="372">
        <v>0.0</v>
      </c>
      <c r="Z6704" s="372">
        <v>0.0</v>
      </c>
    </row>
    <row r="6705">
      <c r="Y6705" s="372">
        <v>0.0</v>
      </c>
      <c r="Z6705" s="372">
        <v>0.0</v>
      </c>
    </row>
    <row r="6706">
      <c r="Y6706" s="372">
        <v>0.0</v>
      </c>
      <c r="Z6706" s="372">
        <v>0.0</v>
      </c>
    </row>
    <row r="6707">
      <c r="Y6707" s="372">
        <v>0.0</v>
      </c>
      <c r="Z6707" s="372">
        <v>0.0</v>
      </c>
    </row>
    <row r="6708">
      <c r="Y6708" s="372">
        <v>0.0</v>
      </c>
      <c r="Z6708" s="372">
        <v>0.0</v>
      </c>
    </row>
    <row r="6709">
      <c r="Y6709" s="372">
        <v>0.0</v>
      </c>
      <c r="Z6709" s="372">
        <v>0.0</v>
      </c>
    </row>
    <row r="6710">
      <c r="Y6710" s="372">
        <v>0.0</v>
      </c>
      <c r="Z6710" s="372">
        <v>0.0</v>
      </c>
    </row>
    <row r="6711">
      <c r="Y6711" s="372">
        <v>0.0</v>
      </c>
      <c r="Z6711" s="372">
        <v>0.0</v>
      </c>
    </row>
    <row r="6712">
      <c r="Y6712" s="372">
        <v>0.0</v>
      </c>
      <c r="Z6712" s="372">
        <v>0.0</v>
      </c>
    </row>
    <row r="6713">
      <c r="Y6713" s="372">
        <v>0.0</v>
      </c>
      <c r="Z6713" s="372">
        <v>0.0</v>
      </c>
    </row>
    <row r="6714">
      <c r="Y6714" s="372">
        <v>0.0</v>
      </c>
      <c r="Z6714" s="372">
        <v>0.0</v>
      </c>
    </row>
    <row r="6715">
      <c r="Y6715" s="372">
        <v>0.0</v>
      </c>
      <c r="Z6715" s="372">
        <v>0.0</v>
      </c>
    </row>
    <row r="6716">
      <c r="Y6716" s="372">
        <v>0.0</v>
      </c>
      <c r="Z6716" s="372">
        <v>0.0</v>
      </c>
    </row>
    <row r="6717">
      <c r="Y6717" s="372">
        <v>0.0</v>
      </c>
      <c r="Z6717" s="372">
        <v>0.0</v>
      </c>
    </row>
    <row r="6718">
      <c r="Y6718" s="372">
        <v>0.0</v>
      </c>
      <c r="Z6718" s="372">
        <v>0.0</v>
      </c>
    </row>
    <row r="6719">
      <c r="Y6719" s="372">
        <v>0.0</v>
      </c>
      <c r="Z6719" s="372">
        <v>0.0</v>
      </c>
    </row>
    <row r="6720">
      <c r="Y6720" s="372">
        <v>0.0</v>
      </c>
      <c r="Z6720" s="372">
        <v>0.0</v>
      </c>
    </row>
    <row r="6721">
      <c r="Y6721" s="372">
        <v>0.0</v>
      </c>
      <c r="Z6721" s="372">
        <v>0.0</v>
      </c>
    </row>
    <row r="6722">
      <c r="Y6722" s="372">
        <v>0.0</v>
      </c>
      <c r="Z6722" s="372">
        <v>0.0</v>
      </c>
    </row>
    <row r="6723">
      <c r="Y6723" s="372">
        <v>0.0</v>
      </c>
      <c r="Z6723" s="372">
        <v>0.0</v>
      </c>
    </row>
    <row r="6724">
      <c r="Y6724" s="372">
        <v>0.0</v>
      </c>
      <c r="Z6724" s="372">
        <v>0.0</v>
      </c>
    </row>
    <row r="6725">
      <c r="Y6725" s="372">
        <v>0.0</v>
      </c>
      <c r="Z6725" s="372">
        <v>0.0</v>
      </c>
    </row>
    <row r="6726">
      <c r="Y6726" s="372">
        <v>0.0</v>
      </c>
      <c r="Z6726" s="372">
        <v>0.0</v>
      </c>
    </row>
    <row r="6727">
      <c r="Y6727" s="372">
        <v>0.0</v>
      </c>
      <c r="Z6727" s="372">
        <v>0.0</v>
      </c>
    </row>
    <row r="6728">
      <c r="Y6728" s="372">
        <v>0.0</v>
      </c>
      <c r="Z6728" s="372">
        <v>0.0</v>
      </c>
    </row>
    <row r="6729">
      <c r="Y6729" s="372">
        <v>0.0</v>
      </c>
      <c r="Z6729" s="372">
        <v>0.0</v>
      </c>
    </row>
    <row r="6730">
      <c r="Y6730" s="372">
        <v>0.0</v>
      </c>
      <c r="Z6730" s="372">
        <v>0.0</v>
      </c>
    </row>
    <row r="6731">
      <c r="Y6731" s="372">
        <v>0.0</v>
      </c>
      <c r="Z6731" s="372">
        <v>0.0</v>
      </c>
    </row>
    <row r="6732">
      <c r="Y6732" s="372">
        <v>0.0</v>
      </c>
      <c r="Z6732" s="372">
        <v>0.0</v>
      </c>
    </row>
    <row r="6733">
      <c r="Y6733" s="372">
        <v>0.0</v>
      </c>
      <c r="Z6733" s="372">
        <v>0.0</v>
      </c>
    </row>
    <row r="6734">
      <c r="Y6734" s="372">
        <v>0.0</v>
      </c>
      <c r="Z6734" s="372">
        <v>0.0</v>
      </c>
    </row>
    <row r="6735">
      <c r="Y6735" s="372">
        <v>0.0</v>
      </c>
      <c r="Z6735" s="372">
        <v>0.0</v>
      </c>
    </row>
    <row r="6736">
      <c r="Y6736" s="372">
        <v>0.0</v>
      </c>
      <c r="Z6736" s="372">
        <v>0.0</v>
      </c>
    </row>
    <row r="6737">
      <c r="Y6737" s="372">
        <v>0.0</v>
      </c>
      <c r="Z6737" s="372">
        <v>0.0</v>
      </c>
    </row>
    <row r="6738">
      <c r="Y6738" s="372">
        <v>0.0</v>
      </c>
      <c r="Z6738" s="372">
        <v>0.0</v>
      </c>
    </row>
    <row r="6739">
      <c r="Y6739" s="372">
        <v>0.0</v>
      </c>
      <c r="Z6739" s="372">
        <v>0.0</v>
      </c>
    </row>
    <row r="6740">
      <c r="Y6740" s="372">
        <v>0.0</v>
      </c>
      <c r="Z6740" s="372">
        <v>0.0</v>
      </c>
    </row>
    <row r="6741">
      <c r="Y6741" s="372">
        <v>0.0</v>
      </c>
      <c r="Z6741" s="372">
        <v>0.0</v>
      </c>
    </row>
    <row r="6742">
      <c r="Y6742" s="372">
        <v>0.0</v>
      </c>
      <c r="Z6742" s="372">
        <v>0.0</v>
      </c>
    </row>
    <row r="6743">
      <c r="Y6743" s="372">
        <v>0.0</v>
      </c>
      <c r="Z6743" s="372">
        <v>0.0</v>
      </c>
    </row>
    <row r="6744">
      <c r="Y6744" s="372">
        <v>0.0</v>
      </c>
      <c r="Z6744" s="372">
        <v>0.0</v>
      </c>
    </row>
    <row r="6745">
      <c r="Y6745" s="372">
        <v>0.0</v>
      </c>
      <c r="Z6745" s="372">
        <v>0.0</v>
      </c>
    </row>
    <row r="6746">
      <c r="Y6746" s="372">
        <v>0.0</v>
      </c>
      <c r="Z6746" s="372">
        <v>0.0</v>
      </c>
    </row>
    <row r="6747">
      <c r="Y6747" s="372">
        <v>0.0</v>
      </c>
      <c r="Z6747" s="372">
        <v>0.0</v>
      </c>
    </row>
    <row r="6748">
      <c r="Y6748" s="372">
        <v>0.0</v>
      </c>
      <c r="Z6748" s="372">
        <v>0.0</v>
      </c>
    </row>
    <row r="6749">
      <c r="Y6749" s="372">
        <v>0.0</v>
      </c>
      <c r="Z6749" s="372">
        <v>0.0</v>
      </c>
    </row>
    <row r="6750">
      <c r="Y6750" s="372">
        <v>0.0</v>
      </c>
      <c r="Z6750" s="372">
        <v>0.0</v>
      </c>
    </row>
    <row r="6751">
      <c r="Y6751" s="372">
        <v>0.0</v>
      </c>
      <c r="Z6751" s="372">
        <v>0.0</v>
      </c>
    </row>
    <row r="6752">
      <c r="Y6752" s="372">
        <v>0.0</v>
      </c>
      <c r="Z6752" s="372">
        <v>0.0</v>
      </c>
    </row>
    <row r="6753">
      <c r="Y6753" s="372">
        <v>0.0</v>
      </c>
      <c r="Z6753" s="372">
        <v>0.0</v>
      </c>
    </row>
    <row r="6754">
      <c r="Y6754" s="372">
        <v>0.0</v>
      </c>
      <c r="Z6754" s="372">
        <v>0.0</v>
      </c>
    </row>
    <row r="6755">
      <c r="Y6755" s="372">
        <v>0.0</v>
      </c>
      <c r="Z6755" s="372">
        <v>0.0</v>
      </c>
    </row>
    <row r="6756">
      <c r="Y6756" s="372">
        <v>0.0</v>
      </c>
      <c r="Z6756" s="372">
        <v>0.0</v>
      </c>
    </row>
    <row r="6757">
      <c r="Y6757" s="372">
        <v>0.0</v>
      </c>
      <c r="Z6757" s="372">
        <v>0.0</v>
      </c>
    </row>
    <row r="6758">
      <c r="Y6758" s="372">
        <v>0.0</v>
      </c>
      <c r="Z6758" s="372">
        <v>0.0</v>
      </c>
    </row>
    <row r="6759">
      <c r="Y6759" s="372">
        <v>0.0</v>
      </c>
      <c r="Z6759" s="372">
        <v>0.0</v>
      </c>
    </row>
    <row r="6760">
      <c r="Y6760" s="372">
        <v>0.0</v>
      </c>
      <c r="Z6760" s="372">
        <v>0.0</v>
      </c>
    </row>
    <row r="6761">
      <c r="Y6761" s="372">
        <v>0.0</v>
      </c>
      <c r="Z6761" s="372">
        <v>0.0</v>
      </c>
    </row>
    <row r="6762">
      <c r="Y6762" s="372">
        <v>0.0</v>
      </c>
      <c r="Z6762" s="372">
        <v>0.0</v>
      </c>
    </row>
    <row r="6763">
      <c r="Y6763" s="372">
        <v>0.0</v>
      </c>
      <c r="Z6763" s="372">
        <v>0.0</v>
      </c>
    </row>
    <row r="6764">
      <c r="Y6764" s="372">
        <v>0.0</v>
      </c>
      <c r="Z6764" s="372">
        <v>0.0</v>
      </c>
    </row>
    <row r="6765">
      <c r="Y6765" s="372">
        <v>0.0</v>
      </c>
      <c r="Z6765" s="372">
        <v>0.0</v>
      </c>
    </row>
    <row r="6766">
      <c r="Y6766" s="372">
        <v>0.0</v>
      </c>
      <c r="Z6766" s="372">
        <v>0.0</v>
      </c>
    </row>
    <row r="6767">
      <c r="Y6767" s="372">
        <v>0.0</v>
      </c>
      <c r="Z6767" s="372">
        <v>0.0</v>
      </c>
    </row>
    <row r="6768">
      <c r="Y6768" s="372">
        <v>0.0</v>
      </c>
      <c r="Z6768" s="372">
        <v>0.0</v>
      </c>
    </row>
    <row r="6769">
      <c r="Y6769" s="372">
        <v>0.0</v>
      </c>
      <c r="Z6769" s="372">
        <v>0.0</v>
      </c>
    </row>
    <row r="6770">
      <c r="Y6770" s="372">
        <v>0.0</v>
      </c>
      <c r="Z6770" s="372">
        <v>0.0</v>
      </c>
    </row>
    <row r="6771">
      <c r="Y6771" s="372">
        <v>0.0</v>
      </c>
      <c r="Z6771" s="372">
        <v>0.0</v>
      </c>
    </row>
    <row r="6772">
      <c r="Y6772" s="372">
        <v>0.0</v>
      </c>
      <c r="Z6772" s="372">
        <v>0.0</v>
      </c>
    </row>
    <row r="6773">
      <c r="Y6773" s="372">
        <v>0.0</v>
      </c>
      <c r="Z6773" s="372">
        <v>0.0</v>
      </c>
    </row>
    <row r="6774">
      <c r="Y6774" s="372">
        <v>0.0</v>
      </c>
      <c r="Z6774" s="372">
        <v>0.0</v>
      </c>
    </row>
    <row r="6775">
      <c r="Y6775" s="372">
        <v>0.0</v>
      </c>
      <c r="Z6775" s="372">
        <v>0.0</v>
      </c>
    </row>
    <row r="6776">
      <c r="Y6776" s="372">
        <v>0.0</v>
      </c>
      <c r="Z6776" s="372">
        <v>0.0</v>
      </c>
    </row>
    <row r="6777">
      <c r="Y6777" s="372">
        <v>0.0</v>
      </c>
      <c r="Z6777" s="372">
        <v>0.0</v>
      </c>
    </row>
    <row r="6778">
      <c r="Y6778" s="372">
        <v>0.0</v>
      </c>
      <c r="Z6778" s="372">
        <v>0.0</v>
      </c>
    </row>
    <row r="6779">
      <c r="Y6779" s="372">
        <v>0.0</v>
      </c>
      <c r="Z6779" s="372">
        <v>0.0</v>
      </c>
    </row>
    <row r="6780">
      <c r="Y6780" s="372">
        <v>0.0</v>
      </c>
      <c r="Z6780" s="372">
        <v>0.0</v>
      </c>
    </row>
    <row r="6781">
      <c r="Y6781" s="372">
        <v>0.0</v>
      </c>
      <c r="Z6781" s="372">
        <v>0.0</v>
      </c>
    </row>
    <row r="6782">
      <c r="Y6782" s="372">
        <v>0.0</v>
      </c>
      <c r="Z6782" s="372">
        <v>0.0</v>
      </c>
    </row>
    <row r="6783">
      <c r="Y6783" s="372">
        <v>0.0</v>
      </c>
      <c r="Z6783" s="372">
        <v>0.0</v>
      </c>
    </row>
    <row r="6784">
      <c r="Y6784" s="372">
        <v>0.0</v>
      </c>
      <c r="Z6784" s="372">
        <v>0.0</v>
      </c>
    </row>
    <row r="6785">
      <c r="Y6785" s="372">
        <v>0.0</v>
      </c>
      <c r="Z6785" s="372">
        <v>0.0</v>
      </c>
    </row>
    <row r="6786">
      <c r="Y6786" s="372">
        <v>0.0</v>
      </c>
      <c r="Z6786" s="372">
        <v>0.0</v>
      </c>
    </row>
    <row r="6787">
      <c r="Y6787" s="372">
        <v>0.0</v>
      </c>
      <c r="Z6787" s="372">
        <v>0.0</v>
      </c>
    </row>
    <row r="6788">
      <c r="Y6788" s="372">
        <v>0.0</v>
      </c>
      <c r="Z6788" s="372">
        <v>0.0</v>
      </c>
    </row>
    <row r="6789">
      <c r="Y6789" s="372">
        <v>0.0</v>
      </c>
      <c r="Z6789" s="372">
        <v>0.0</v>
      </c>
    </row>
    <row r="6790">
      <c r="Y6790" s="372">
        <v>0.0</v>
      </c>
      <c r="Z6790" s="372">
        <v>0.0</v>
      </c>
    </row>
    <row r="6791">
      <c r="Y6791" s="372">
        <v>0.0</v>
      </c>
      <c r="Z6791" s="372">
        <v>0.0</v>
      </c>
    </row>
    <row r="6792">
      <c r="Y6792" s="372">
        <v>0.0</v>
      </c>
      <c r="Z6792" s="372">
        <v>0.0</v>
      </c>
    </row>
    <row r="6793">
      <c r="Y6793" s="372">
        <v>0.0</v>
      </c>
      <c r="Z6793" s="372">
        <v>0.0</v>
      </c>
    </row>
    <row r="6794">
      <c r="Y6794" s="372">
        <v>0.0</v>
      </c>
      <c r="Z6794" s="372">
        <v>0.0</v>
      </c>
    </row>
    <row r="6795">
      <c r="Y6795" s="372">
        <v>0.0</v>
      </c>
      <c r="Z6795" s="372">
        <v>0.0</v>
      </c>
    </row>
    <row r="6796">
      <c r="Y6796" s="372">
        <v>0.0</v>
      </c>
      <c r="Z6796" s="372">
        <v>0.0</v>
      </c>
    </row>
    <row r="6797">
      <c r="Y6797" s="372">
        <v>0.0</v>
      </c>
      <c r="Z6797" s="372">
        <v>0.0</v>
      </c>
    </row>
    <row r="6798">
      <c r="Y6798" s="372">
        <v>0.0</v>
      </c>
      <c r="Z6798" s="372">
        <v>0.0</v>
      </c>
    </row>
    <row r="6799">
      <c r="Y6799" s="372">
        <v>0.0</v>
      </c>
      <c r="Z6799" s="372">
        <v>0.0</v>
      </c>
    </row>
    <row r="6800">
      <c r="Y6800" s="372">
        <v>0.0</v>
      </c>
      <c r="Z6800" s="372">
        <v>0.0</v>
      </c>
    </row>
    <row r="6801">
      <c r="Y6801" s="372">
        <v>0.0</v>
      </c>
      <c r="Z6801" s="372">
        <v>0.0</v>
      </c>
    </row>
    <row r="6802">
      <c r="Y6802" s="372">
        <v>0.0</v>
      </c>
      <c r="Z6802" s="372">
        <v>0.0</v>
      </c>
    </row>
    <row r="6803">
      <c r="Y6803" s="372">
        <v>0.0</v>
      </c>
      <c r="Z6803" s="372">
        <v>0.0</v>
      </c>
    </row>
    <row r="6804">
      <c r="Y6804" s="372">
        <v>0.0</v>
      </c>
      <c r="Z6804" s="372">
        <v>0.0</v>
      </c>
    </row>
    <row r="6805">
      <c r="Y6805" s="372">
        <v>0.0</v>
      </c>
      <c r="Z6805" s="372">
        <v>0.0</v>
      </c>
    </row>
    <row r="6806">
      <c r="Y6806" s="372">
        <v>0.0</v>
      </c>
      <c r="Z6806" s="372">
        <v>0.0</v>
      </c>
    </row>
    <row r="6807">
      <c r="Y6807" s="372">
        <v>0.0</v>
      </c>
      <c r="Z6807" s="372">
        <v>0.0</v>
      </c>
    </row>
    <row r="6808">
      <c r="Y6808" s="372">
        <v>0.0</v>
      </c>
      <c r="Z6808" s="372">
        <v>0.0</v>
      </c>
    </row>
    <row r="6809">
      <c r="Y6809" s="372">
        <v>0.0</v>
      </c>
      <c r="Z6809" s="372">
        <v>0.0</v>
      </c>
    </row>
    <row r="6810">
      <c r="Y6810" s="372">
        <v>0.0</v>
      </c>
      <c r="Z6810" s="372">
        <v>0.0</v>
      </c>
    </row>
    <row r="6811">
      <c r="Y6811" s="372">
        <v>0.0</v>
      </c>
      <c r="Z6811" s="372">
        <v>0.0</v>
      </c>
    </row>
    <row r="6812">
      <c r="Y6812" s="372">
        <v>0.0</v>
      </c>
      <c r="Z6812" s="372">
        <v>0.0</v>
      </c>
    </row>
    <row r="6813">
      <c r="Y6813" s="372">
        <v>0.0</v>
      </c>
      <c r="Z6813" s="372">
        <v>0.0</v>
      </c>
    </row>
    <row r="6814">
      <c r="Y6814" s="372">
        <v>0.0</v>
      </c>
      <c r="Z6814" s="372">
        <v>0.0</v>
      </c>
    </row>
    <row r="6815">
      <c r="Y6815" s="372">
        <v>0.0</v>
      </c>
      <c r="Z6815" s="372">
        <v>0.0</v>
      </c>
    </row>
    <row r="6816">
      <c r="Y6816" s="372">
        <v>0.0</v>
      </c>
      <c r="Z6816" s="372">
        <v>0.0</v>
      </c>
    </row>
    <row r="6817">
      <c r="Y6817" s="372">
        <v>0.0</v>
      </c>
      <c r="Z6817" s="372">
        <v>0.0</v>
      </c>
    </row>
    <row r="6818">
      <c r="Y6818" s="372">
        <v>0.0</v>
      </c>
      <c r="Z6818" s="372">
        <v>0.0</v>
      </c>
    </row>
    <row r="6819">
      <c r="Y6819" s="372">
        <v>0.0</v>
      </c>
      <c r="Z6819" s="372">
        <v>0.0</v>
      </c>
    </row>
    <row r="6820">
      <c r="Y6820" s="372">
        <v>0.0</v>
      </c>
      <c r="Z6820" s="372">
        <v>0.0</v>
      </c>
    </row>
    <row r="6821">
      <c r="Y6821" s="372">
        <v>0.0</v>
      </c>
      <c r="Z6821" s="372">
        <v>0.0</v>
      </c>
    </row>
    <row r="6822">
      <c r="Y6822" s="372">
        <v>0.0</v>
      </c>
      <c r="Z6822" s="372">
        <v>0.0</v>
      </c>
    </row>
    <row r="6823">
      <c r="Y6823" s="372">
        <v>0.0</v>
      </c>
      <c r="Z6823" s="372">
        <v>0.0</v>
      </c>
    </row>
    <row r="6824">
      <c r="Y6824" s="372">
        <v>0.0</v>
      </c>
      <c r="Z6824" s="372">
        <v>0.0</v>
      </c>
    </row>
    <row r="6825">
      <c r="Y6825" s="372">
        <v>0.0</v>
      </c>
      <c r="Z6825" s="372">
        <v>0.0</v>
      </c>
    </row>
    <row r="6826">
      <c r="Y6826" s="372">
        <v>0.0</v>
      </c>
      <c r="Z6826" s="372">
        <v>0.0</v>
      </c>
    </row>
    <row r="6827">
      <c r="Y6827" s="372">
        <v>0.0</v>
      </c>
      <c r="Z6827" s="372">
        <v>0.0</v>
      </c>
    </row>
    <row r="6828">
      <c r="Y6828" s="372">
        <v>0.0</v>
      </c>
      <c r="Z6828" s="372">
        <v>0.0</v>
      </c>
    </row>
    <row r="6829">
      <c r="Y6829" s="372">
        <v>0.0</v>
      </c>
      <c r="Z6829" s="372">
        <v>0.0</v>
      </c>
    </row>
    <row r="6830">
      <c r="Y6830" s="372">
        <v>0.0</v>
      </c>
      <c r="Z6830" s="372">
        <v>0.0</v>
      </c>
    </row>
    <row r="6831">
      <c r="Y6831" s="372">
        <v>0.0</v>
      </c>
      <c r="Z6831" s="372">
        <v>0.0</v>
      </c>
    </row>
    <row r="6832">
      <c r="Y6832" s="372">
        <v>0.0</v>
      </c>
      <c r="Z6832" s="372">
        <v>0.0</v>
      </c>
    </row>
    <row r="6833">
      <c r="Y6833" s="372">
        <v>0.0</v>
      </c>
      <c r="Z6833" s="372">
        <v>0.0</v>
      </c>
    </row>
    <row r="6834">
      <c r="Y6834" s="372">
        <v>0.0</v>
      </c>
      <c r="Z6834" s="372">
        <v>0.0</v>
      </c>
    </row>
    <row r="6835">
      <c r="Y6835" s="372">
        <v>0.0</v>
      </c>
      <c r="Z6835" s="372">
        <v>0.0</v>
      </c>
    </row>
    <row r="6836">
      <c r="Y6836" s="372">
        <v>0.0</v>
      </c>
      <c r="Z6836" s="372">
        <v>0.0</v>
      </c>
    </row>
    <row r="6837">
      <c r="Y6837" s="372">
        <v>0.0</v>
      </c>
      <c r="Z6837" s="372">
        <v>0.0</v>
      </c>
    </row>
    <row r="6838">
      <c r="Y6838" s="372">
        <v>0.0</v>
      </c>
      <c r="Z6838" s="372">
        <v>0.0</v>
      </c>
    </row>
    <row r="6839">
      <c r="Y6839" s="372">
        <v>0.0</v>
      </c>
      <c r="Z6839" s="372">
        <v>0.0</v>
      </c>
    </row>
    <row r="6840">
      <c r="Y6840" s="372">
        <v>0.0</v>
      </c>
      <c r="Z6840" s="372">
        <v>0.0</v>
      </c>
    </row>
    <row r="6841">
      <c r="Y6841" s="372">
        <v>0.0</v>
      </c>
      <c r="Z6841" s="372">
        <v>0.0</v>
      </c>
    </row>
    <row r="6842">
      <c r="Y6842" s="372">
        <v>0.0</v>
      </c>
      <c r="Z6842" s="372">
        <v>0.0</v>
      </c>
    </row>
    <row r="6843">
      <c r="Y6843" s="372">
        <v>0.0</v>
      </c>
      <c r="Z6843" s="372">
        <v>0.0</v>
      </c>
    </row>
    <row r="6844">
      <c r="Y6844" s="372">
        <v>0.0</v>
      </c>
      <c r="Z6844" s="372">
        <v>0.0</v>
      </c>
    </row>
    <row r="6845">
      <c r="Y6845" s="372">
        <v>0.0</v>
      </c>
      <c r="Z6845" s="372">
        <v>0.0</v>
      </c>
    </row>
    <row r="6846">
      <c r="Y6846" s="372">
        <v>0.0</v>
      </c>
      <c r="Z6846" s="372">
        <v>0.0</v>
      </c>
    </row>
    <row r="6847">
      <c r="Y6847" s="372">
        <v>0.0</v>
      </c>
      <c r="Z6847" s="372">
        <v>0.0</v>
      </c>
    </row>
    <row r="6848">
      <c r="Y6848" s="372">
        <v>0.0</v>
      </c>
      <c r="Z6848" s="372">
        <v>0.0</v>
      </c>
    </row>
    <row r="6849">
      <c r="Y6849" s="372">
        <v>0.0</v>
      </c>
      <c r="Z6849" s="372">
        <v>0.0</v>
      </c>
    </row>
    <row r="6850">
      <c r="Y6850" s="372">
        <v>0.0</v>
      </c>
      <c r="Z6850" s="372">
        <v>0.0</v>
      </c>
    </row>
    <row r="6851">
      <c r="Y6851" s="372">
        <v>0.0</v>
      </c>
      <c r="Z6851" s="372">
        <v>0.0</v>
      </c>
    </row>
    <row r="6852">
      <c r="Y6852" s="372">
        <v>0.0</v>
      </c>
      <c r="Z6852" s="372">
        <v>0.0</v>
      </c>
    </row>
    <row r="6853">
      <c r="Y6853" s="372">
        <v>0.0</v>
      </c>
      <c r="Z6853" s="372">
        <v>0.0</v>
      </c>
    </row>
    <row r="6854">
      <c r="Y6854" s="372">
        <v>0.0</v>
      </c>
      <c r="Z6854" s="372">
        <v>0.0</v>
      </c>
    </row>
    <row r="6855">
      <c r="Y6855" s="372">
        <v>0.0</v>
      </c>
      <c r="Z6855" s="372">
        <v>0.0</v>
      </c>
    </row>
    <row r="6856">
      <c r="Y6856" s="372">
        <v>0.0</v>
      </c>
      <c r="Z6856" s="372">
        <v>0.0</v>
      </c>
    </row>
    <row r="6857">
      <c r="Y6857" s="372">
        <v>0.0</v>
      </c>
      <c r="Z6857" s="372">
        <v>0.0</v>
      </c>
    </row>
    <row r="6858">
      <c r="Y6858" s="372">
        <v>0.0</v>
      </c>
      <c r="Z6858" s="372">
        <v>0.0</v>
      </c>
    </row>
    <row r="6859">
      <c r="Y6859" s="372">
        <v>0.0</v>
      </c>
      <c r="Z6859" s="372">
        <v>0.0</v>
      </c>
    </row>
    <row r="6860">
      <c r="Y6860" s="372">
        <v>0.0</v>
      </c>
      <c r="Z6860" s="372">
        <v>0.0</v>
      </c>
    </row>
    <row r="6861">
      <c r="Y6861" s="372">
        <v>0.0</v>
      </c>
      <c r="Z6861" s="372">
        <v>0.0</v>
      </c>
    </row>
    <row r="6862">
      <c r="Y6862" s="372">
        <v>0.0</v>
      </c>
      <c r="Z6862" s="372">
        <v>0.0</v>
      </c>
    </row>
    <row r="6863">
      <c r="Y6863" s="372">
        <v>0.0</v>
      </c>
      <c r="Z6863" s="372">
        <v>0.0</v>
      </c>
    </row>
    <row r="6864">
      <c r="Y6864" s="372">
        <v>0.0</v>
      </c>
      <c r="Z6864" s="372">
        <v>0.0</v>
      </c>
    </row>
    <row r="6865">
      <c r="Y6865" s="372">
        <v>0.0</v>
      </c>
      <c r="Z6865" s="372">
        <v>0.0</v>
      </c>
    </row>
    <row r="6866">
      <c r="Y6866" s="372">
        <v>0.0</v>
      </c>
      <c r="Z6866" s="372">
        <v>0.0</v>
      </c>
    </row>
    <row r="6867">
      <c r="Y6867" s="372">
        <v>0.0</v>
      </c>
      <c r="Z6867" s="372">
        <v>0.0</v>
      </c>
    </row>
    <row r="6868">
      <c r="Y6868" s="372">
        <v>0.0</v>
      </c>
      <c r="Z6868" s="372">
        <v>0.0</v>
      </c>
    </row>
    <row r="6869">
      <c r="Y6869" s="372">
        <v>0.0</v>
      </c>
      <c r="Z6869" s="372">
        <v>0.0</v>
      </c>
    </row>
    <row r="6870">
      <c r="Y6870" s="372">
        <v>0.0</v>
      </c>
      <c r="Z6870" s="372">
        <v>0.0</v>
      </c>
    </row>
    <row r="6871">
      <c r="Y6871" s="372">
        <v>0.0</v>
      </c>
      <c r="Z6871" s="372">
        <v>0.0</v>
      </c>
    </row>
    <row r="6872">
      <c r="Y6872" s="372">
        <v>0.0</v>
      </c>
      <c r="Z6872" s="372">
        <v>0.0</v>
      </c>
    </row>
    <row r="6873">
      <c r="Y6873" s="372">
        <v>0.0</v>
      </c>
      <c r="Z6873" s="372">
        <v>0.0</v>
      </c>
    </row>
    <row r="6874">
      <c r="Y6874" s="372">
        <v>0.0</v>
      </c>
      <c r="Z6874" s="372">
        <v>0.0</v>
      </c>
    </row>
    <row r="6875">
      <c r="Y6875" s="372">
        <v>0.0</v>
      </c>
      <c r="Z6875" s="372">
        <v>0.0</v>
      </c>
    </row>
    <row r="6876">
      <c r="Y6876" s="372">
        <v>0.0</v>
      </c>
      <c r="Z6876" s="372">
        <v>0.0</v>
      </c>
    </row>
    <row r="6877">
      <c r="Y6877" s="372">
        <v>0.0</v>
      </c>
      <c r="Z6877" s="372">
        <v>0.0</v>
      </c>
    </row>
    <row r="6878">
      <c r="Y6878" s="372">
        <v>0.0</v>
      </c>
      <c r="Z6878" s="372">
        <v>0.0</v>
      </c>
    </row>
    <row r="6879">
      <c r="Y6879" s="372">
        <v>0.0</v>
      </c>
      <c r="Z6879" s="372">
        <v>0.0</v>
      </c>
    </row>
    <row r="6880">
      <c r="Y6880" s="372">
        <v>0.0</v>
      </c>
      <c r="Z6880" s="372">
        <v>0.0</v>
      </c>
    </row>
    <row r="6881">
      <c r="Y6881" s="372">
        <v>0.0</v>
      </c>
      <c r="Z6881" s="372">
        <v>0.0</v>
      </c>
    </row>
    <row r="6882">
      <c r="Y6882" s="372">
        <v>0.0</v>
      </c>
      <c r="Z6882" s="372">
        <v>0.0</v>
      </c>
    </row>
    <row r="6883">
      <c r="Y6883" s="372">
        <v>0.0</v>
      </c>
      <c r="Z6883" s="372">
        <v>0.0</v>
      </c>
    </row>
    <row r="6884">
      <c r="Y6884" s="372">
        <v>0.0</v>
      </c>
      <c r="Z6884" s="372">
        <v>0.0</v>
      </c>
    </row>
    <row r="6885">
      <c r="Y6885" s="372">
        <v>0.0</v>
      </c>
      <c r="Z6885" s="372">
        <v>0.0</v>
      </c>
    </row>
    <row r="6886">
      <c r="Y6886" s="372">
        <v>0.0</v>
      </c>
      <c r="Z6886" s="372">
        <v>0.0</v>
      </c>
    </row>
    <row r="6887">
      <c r="Y6887" s="372">
        <v>0.0</v>
      </c>
      <c r="Z6887" s="372">
        <v>0.0</v>
      </c>
    </row>
    <row r="6888">
      <c r="Y6888" s="372">
        <v>0.0</v>
      </c>
      <c r="Z6888" s="372">
        <v>0.0</v>
      </c>
    </row>
    <row r="6889">
      <c r="Y6889" s="372">
        <v>0.0</v>
      </c>
      <c r="Z6889" s="372">
        <v>0.0</v>
      </c>
    </row>
    <row r="6890">
      <c r="Y6890" s="372">
        <v>0.0</v>
      </c>
      <c r="Z6890" s="372">
        <v>0.0</v>
      </c>
    </row>
    <row r="6891">
      <c r="Y6891" s="372">
        <v>0.0</v>
      </c>
      <c r="Z6891" s="372">
        <v>0.0</v>
      </c>
    </row>
    <row r="6892">
      <c r="Y6892" s="372">
        <v>0.0</v>
      </c>
      <c r="Z6892" s="372">
        <v>0.0</v>
      </c>
    </row>
    <row r="6893">
      <c r="Y6893" s="372">
        <v>0.0</v>
      </c>
      <c r="Z6893" s="372">
        <v>0.0</v>
      </c>
    </row>
    <row r="6894">
      <c r="Y6894" s="372">
        <v>0.0</v>
      </c>
      <c r="Z6894" s="372">
        <v>0.0</v>
      </c>
    </row>
    <row r="6895">
      <c r="Y6895" s="372">
        <v>0.0</v>
      </c>
      <c r="Z6895" s="372">
        <v>0.0</v>
      </c>
    </row>
    <row r="6896">
      <c r="Y6896" s="372">
        <v>0.0</v>
      </c>
      <c r="Z6896" s="372">
        <v>0.0</v>
      </c>
    </row>
    <row r="6897">
      <c r="Y6897" s="372">
        <v>0.0</v>
      </c>
      <c r="Z6897" s="372">
        <v>0.0</v>
      </c>
    </row>
    <row r="6898">
      <c r="Y6898" s="372">
        <v>0.0</v>
      </c>
      <c r="Z6898" s="372">
        <v>0.0</v>
      </c>
    </row>
    <row r="6899">
      <c r="Y6899" s="372">
        <v>0.0</v>
      </c>
      <c r="Z6899" s="372">
        <v>0.0</v>
      </c>
    </row>
    <row r="6900">
      <c r="Y6900" s="372">
        <v>0.0</v>
      </c>
      <c r="Z6900" s="372">
        <v>0.0</v>
      </c>
    </row>
    <row r="6901">
      <c r="Y6901" s="372">
        <v>0.0</v>
      </c>
      <c r="Z6901" s="372">
        <v>0.0</v>
      </c>
    </row>
    <row r="6902">
      <c r="Y6902" s="372">
        <v>0.0</v>
      </c>
      <c r="Z6902" s="372">
        <v>0.0</v>
      </c>
    </row>
    <row r="6903">
      <c r="Y6903" s="372">
        <v>0.0</v>
      </c>
      <c r="Z6903" s="372">
        <v>0.0</v>
      </c>
    </row>
    <row r="6904">
      <c r="Y6904" s="372">
        <v>0.0</v>
      </c>
      <c r="Z6904" s="372">
        <v>0.0</v>
      </c>
    </row>
    <row r="6905">
      <c r="Y6905" s="372">
        <v>0.0</v>
      </c>
      <c r="Z6905" s="372">
        <v>0.0</v>
      </c>
    </row>
    <row r="6906">
      <c r="Y6906" s="372">
        <v>0.0</v>
      </c>
      <c r="Z6906" s="372">
        <v>0.0</v>
      </c>
    </row>
    <row r="6907">
      <c r="Y6907" s="372">
        <v>0.0</v>
      </c>
      <c r="Z6907" s="372">
        <v>0.0</v>
      </c>
    </row>
    <row r="6908">
      <c r="Y6908" s="372">
        <v>0.0</v>
      </c>
      <c r="Z6908" s="372">
        <v>0.0</v>
      </c>
    </row>
    <row r="6909">
      <c r="Y6909" s="372">
        <v>0.0</v>
      </c>
      <c r="Z6909" s="372">
        <v>0.0</v>
      </c>
    </row>
    <row r="6910">
      <c r="Y6910" s="372">
        <v>0.0</v>
      </c>
      <c r="Z6910" s="372">
        <v>0.0</v>
      </c>
    </row>
    <row r="6911">
      <c r="Y6911" s="372">
        <v>0.0</v>
      </c>
      <c r="Z6911" s="372">
        <v>0.0</v>
      </c>
    </row>
    <row r="6912">
      <c r="Y6912" s="372">
        <v>0.0</v>
      </c>
      <c r="Z6912" s="372">
        <v>0.0</v>
      </c>
    </row>
    <row r="6913">
      <c r="Y6913" s="372">
        <v>0.0</v>
      </c>
      <c r="Z6913" s="372">
        <v>0.0</v>
      </c>
    </row>
    <row r="6914">
      <c r="Y6914" s="372">
        <v>0.0</v>
      </c>
      <c r="Z6914" s="372">
        <v>0.0</v>
      </c>
    </row>
    <row r="6915">
      <c r="Y6915" s="372">
        <v>0.0</v>
      </c>
      <c r="Z6915" s="372">
        <v>0.0</v>
      </c>
    </row>
    <row r="6916">
      <c r="Y6916" s="372">
        <v>0.0</v>
      </c>
      <c r="Z6916" s="372">
        <v>0.0</v>
      </c>
    </row>
    <row r="6917">
      <c r="Y6917" s="372">
        <v>0.0</v>
      </c>
      <c r="Z6917" s="372">
        <v>0.0</v>
      </c>
    </row>
    <row r="6918">
      <c r="Y6918" s="372">
        <v>0.0</v>
      </c>
      <c r="Z6918" s="372">
        <v>0.0</v>
      </c>
    </row>
    <row r="6919">
      <c r="Y6919" s="372">
        <v>0.0</v>
      </c>
      <c r="Z6919" s="372">
        <v>0.0</v>
      </c>
    </row>
    <row r="6920">
      <c r="Y6920" s="372">
        <v>0.0</v>
      </c>
      <c r="Z6920" s="372">
        <v>0.0</v>
      </c>
    </row>
    <row r="6921">
      <c r="Y6921" s="372">
        <v>0.0</v>
      </c>
      <c r="Z6921" s="372">
        <v>0.0</v>
      </c>
    </row>
    <row r="6922">
      <c r="Y6922" s="372">
        <v>0.0</v>
      </c>
      <c r="Z6922" s="372">
        <v>0.0</v>
      </c>
    </row>
    <row r="6923">
      <c r="Y6923" s="372">
        <v>0.0</v>
      </c>
      <c r="Z6923" s="372">
        <v>0.0</v>
      </c>
    </row>
    <row r="6924">
      <c r="Y6924" s="372">
        <v>0.0</v>
      </c>
      <c r="Z6924" s="372">
        <v>0.0</v>
      </c>
    </row>
    <row r="6925">
      <c r="Y6925" s="372">
        <v>0.0</v>
      </c>
      <c r="Z6925" s="372">
        <v>0.0</v>
      </c>
    </row>
    <row r="6926">
      <c r="Y6926" s="372">
        <v>0.0</v>
      </c>
      <c r="Z6926" s="372">
        <v>0.0</v>
      </c>
    </row>
    <row r="6927">
      <c r="Y6927" s="372">
        <v>0.0</v>
      </c>
      <c r="Z6927" s="372">
        <v>0.0</v>
      </c>
    </row>
    <row r="6928">
      <c r="Y6928" s="372">
        <v>0.0</v>
      </c>
      <c r="Z6928" s="372">
        <v>0.0</v>
      </c>
    </row>
    <row r="6929">
      <c r="Y6929" s="372">
        <v>0.0</v>
      </c>
      <c r="Z6929" s="372">
        <v>0.0</v>
      </c>
    </row>
    <row r="6930">
      <c r="Y6930" s="372">
        <v>0.0</v>
      </c>
      <c r="Z6930" s="372">
        <v>0.0</v>
      </c>
    </row>
    <row r="6931">
      <c r="Y6931" s="372">
        <v>0.0</v>
      </c>
      <c r="Z6931" s="372">
        <v>0.0</v>
      </c>
    </row>
    <row r="6932">
      <c r="Y6932" s="372">
        <v>0.0</v>
      </c>
      <c r="Z6932" s="372">
        <v>0.0</v>
      </c>
    </row>
    <row r="6933">
      <c r="Y6933" s="372">
        <v>0.0</v>
      </c>
      <c r="Z6933" s="372">
        <v>0.0</v>
      </c>
    </row>
    <row r="6934">
      <c r="Y6934" s="372">
        <v>0.0</v>
      </c>
      <c r="Z6934" s="372">
        <v>0.0</v>
      </c>
    </row>
    <row r="6935">
      <c r="Y6935" s="372">
        <v>0.0</v>
      </c>
      <c r="Z6935" s="372">
        <v>0.0</v>
      </c>
    </row>
    <row r="6936">
      <c r="Y6936" s="372">
        <v>0.0</v>
      </c>
      <c r="Z6936" s="372">
        <v>0.0</v>
      </c>
    </row>
    <row r="6937">
      <c r="Y6937" s="372">
        <v>0.0</v>
      </c>
      <c r="Z6937" s="372">
        <v>0.0</v>
      </c>
    </row>
    <row r="6938">
      <c r="Y6938" s="372">
        <v>0.0</v>
      </c>
      <c r="Z6938" s="372">
        <v>0.0</v>
      </c>
    </row>
    <row r="6939">
      <c r="Y6939" s="372">
        <v>0.0</v>
      </c>
      <c r="Z6939" s="372">
        <v>0.0</v>
      </c>
    </row>
    <row r="6940">
      <c r="Y6940" s="372">
        <v>0.0</v>
      </c>
      <c r="Z6940" s="372">
        <v>0.0</v>
      </c>
    </row>
    <row r="6941">
      <c r="Y6941" s="372">
        <v>0.0</v>
      </c>
      <c r="Z6941" s="372">
        <v>0.0</v>
      </c>
    </row>
    <row r="6942">
      <c r="Y6942" s="372">
        <v>0.0</v>
      </c>
      <c r="Z6942" s="372">
        <v>0.0</v>
      </c>
    </row>
    <row r="6943">
      <c r="Y6943" s="372">
        <v>0.0</v>
      </c>
      <c r="Z6943" s="372">
        <v>0.0</v>
      </c>
    </row>
    <row r="6944">
      <c r="Y6944" s="372">
        <v>0.0</v>
      </c>
      <c r="Z6944" s="372">
        <v>0.0</v>
      </c>
    </row>
    <row r="6945">
      <c r="Y6945" s="372">
        <v>0.0</v>
      </c>
      <c r="Z6945" s="372">
        <v>0.0</v>
      </c>
    </row>
    <row r="6946">
      <c r="Y6946" s="372">
        <v>0.0</v>
      </c>
      <c r="Z6946" s="372">
        <v>0.0</v>
      </c>
    </row>
    <row r="6947">
      <c r="Y6947" s="372">
        <v>0.0</v>
      </c>
      <c r="Z6947" s="372">
        <v>0.0</v>
      </c>
    </row>
    <row r="6948">
      <c r="Y6948" s="372">
        <v>0.0</v>
      </c>
      <c r="Z6948" s="372">
        <v>0.0</v>
      </c>
    </row>
    <row r="6949">
      <c r="Y6949" s="372">
        <v>0.0</v>
      </c>
      <c r="Z6949" s="372">
        <v>0.0</v>
      </c>
    </row>
    <row r="6950">
      <c r="Y6950" s="372">
        <v>0.0</v>
      </c>
      <c r="Z6950" s="372">
        <v>0.0</v>
      </c>
    </row>
    <row r="6951">
      <c r="Y6951" s="372">
        <v>0.0</v>
      </c>
      <c r="Z6951" s="372">
        <v>0.0</v>
      </c>
    </row>
    <row r="6952">
      <c r="Y6952" s="372">
        <v>0.0</v>
      </c>
      <c r="Z6952" s="372">
        <v>0.0</v>
      </c>
    </row>
    <row r="6953">
      <c r="Y6953" s="372">
        <v>0.0</v>
      </c>
      <c r="Z6953" s="372">
        <v>0.0</v>
      </c>
    </row>
    <row r="6954">
      <c r="Y6954" s="372">
        <v>0.0</v>
      </c>
      <c r="Z6954" s="372">
        <v>0.0</v>
      </c>
    </row>
    <row r="6955">
      <c r="Y6955" s="372">
        <v>0.0</v>
      </c>
      <c r="Z6955" s="372">
        <v>0.0</v>
      </c>
    </row>
    <row r="6956">
      <c r="Y6956" s="372">
        <v>0.0</v>
      </c>
      <c r="Z6956" s="372">
        <v>0.0</v>
      </c>
    </row>
    <row r="6957">
      <c r="Y6957" s="372">
        <v>0.0</v>
      </c>
      <c r="Z6957" s="372">
        <v>0.0</v>
      </c>
    </row>
    <row r="6958">
      <c r="Y6958" s="372">
        <v>0.0</v>
      </c>
      <c r="Z6958" s="372">
        <v>0.0</v>
      </c>
    </row>
    <row r="6959">
      <c r="Y6959" s="372">
        <v>0.0</v>
      </c>
      <c r="Z6959" s="372">
        <v>0.0</v>
      </c>
    </row>
    <row r="6960">
      <c r="Y6960" s="372">
        <v>0.0</v>
      </c>
      <c r="Z6960" s="372">
        <v>0.0</v>
      </c>
    </row>
    <row r="6961">
      <c r="Y6961" s="372">
        <v>0.0</v>
      </c>
      <c r="Z6961" s="372">
        <v>0.0</v>
      </c>
    </row>
    <row r="6962">
      <c r="Y6962" s="372">
        <v>0.0</v>
      </c>
      <c r="Z6962" s="372">
        <v>0.0</v>
      </c>
    </row>
    <row r="6963">
      <c r="Y6963" s="372">
        <v>0.0</v>
      </c>
      <c r="Z6963" s="372">
        <v>0.0</v>
      </c>
    </row>
    <row r="6964">
      <c r="Y6964" s="372">
        <v>0.0</v>
      </c>
      <c r="Z6964" s="372">
        <v>0.0</v>
      </c>
    </row>
    <row r="6965">
      <c r="Y6965" s="372">
        <v>0.0</v>
      </c>
      <c r="Z6965" s="372">
        <v>0.0</v>
      </c>
    </row>
    <row r="6966">
      <c r="Y6966" s="372">
        <v>0.0</v>
      </c>
      <c r="Z6966" s="372">
        <v>0.0</v>
      </c>
    </row>
    <row r="6967">
      <c r="Y6967" s="372">
        <v>0.0</v>
      </c>
      <c r="Z6967" s="372">
        <v>0.0</v>
      </c>
    </row>
    <row r="6968">
      <c r="Y6968" s="372">
        <v>0.0</v>
      </c>
      <c r="Z6968" s="372">
        <v>0.0</v>
      </c>
    </row>
    <row r="6969">
      <c r="Y6969" s="372">
        <v>0.0</v>
      </c>
      <c r="Z6969" s="372">
        <v>0.0</v>
      </c>
    </row>
    <row r="6970">
      <c r="Y6970" s="372">
        <v>0.0</v>
      </c>
      <c r="Z6970" s="372">
        <v>0.0</v>
      </c>
    </row>
    <row r="6971">
      <c r="Y6971" s="372">
        <v>0.0</v>
      </c>
      <c r="Z6971" s="372">
        <v>0.0</v>
      </c>
    </row>
    <row r="6972">
      <c r="Y6972" s="372">
        <v>0.0</v>
      </c>
      <c r="Z6972" s="372">
        <v>0.0</v>
      </c>
    </row>
    <row r="6973">
      <c r="Y6973" s="372">
        <v>0.0</v>
      </c>
      <c r="Z6973" s="372">
        <v>0.0</v>
      </c>
    </row>
    <row r="6974">
      <c r="Y6974" s="372">
        <v>0.0</v>
      </c>
      <c r="Z6974" s="372">
        <v>0.0</v>
      </c>
    </row>
    <row r="6975">
      <c r="Y6975" s="372">
        <v>0.0</v>
      </c>
      <c r="Z6975" s="372">
        <v>0.0</v>
      </c>
    </row>
    <row r="6976">
      <c r="Y6976" s="372">
        <v>0.0</v>
      </c>
      <c r="Z6976" s="372">
        <v>0.0</v>
      </c>
    </row>
    <row r="6977">
      <c r="Y6977" s="372">
        <v>0.0</v>
      </c>
      <c r="Z6977" s="372">
        <v>0.0</v>
      </c>
    </row>
    <row r="6978">
      <c r="Y6978" s="372">
        <v>0.0</v>
      </c>
      <c r="Z6978" s="372">
        <v>0.0</v>
      </c>
    </row>
    <row r="6979">
      <c r="Y6979" s="372">
        <v>0.0</v>
      </c>
      <c r="Z6979" s="372">
        <v>0.0</v>
      </c>
    </row>
    <row r="6980">
      <c r="Y6980" s="372">
        <v>0.0</v>
      </c>
      <c r="Z6980" s="372">
        <v>0.0</v>
      </c>
    </row>
    <row r="6981">
      <c r="Y6981" s="372">
        <v>0.0</v>
      </c>
      <c r="Z6981" s="372">
        <v>0.0</v>
      </c>
    </row>
    <row r="6982">
      <c r="Y6982" s="372">
        <v>0.0</v>
      </c>
      <c r="Z6982" s="372">
        <v>0.0</v>
      </c>
    </row>
    <row r="6983">
      <c r="Y6983" s="372">
        <v>0.0</v>
      </c>
      <c r="Z6983" s="372">
        <v>0.0</v>
      </c>
    </row>
    <row r="6984">
      <c r="Y6984" s="372">
        <v>0.0</v>
      </c>
      <c r="Z6984" s="372">
        <v>0.0</v>
      </c>
    </row>
    <row r="6985">
      <c r="Y6985" s="372">
        <v>0.0</v>
      </c>
      <c r="Z6985" s="372">
        <v>0.0</v>
      </c>
    </row>
    <row r="6986">
      <c r="Y6986" s="372">
        <v>0.0</v>
      </c>
      <c r="Z6986" s="372">
        <v>0.0</v>
      </c>
    </row>
    <row r="6987">
      <c r="Y6987" s="372">
        <v>0.0</v>
      </c>
      <c r="Z6987" s="372">
        <v>0.0</v>
      </c>
    </row>
    <row r="6988">
      <c r="Y6988" s="372">
        <v>0.0</v>
      </c>
      <c r="Z6988" s="372">
        <v>0.0</v>
      </c>
    </row>
    <row r="6989">
      <c r="Y6989" s="372">
        <v>0.0</v>
      </c>
      <c r="Z6989" s="372">
        <v>0.0</v>
      </c>
    </row>
    <row r="6990">
      <c r="Y6990" s="372">
        <v>0.0</v>
      </c>
      <c r="Z6990" s="372">
        <v>0.0</v>
      </c>
    </row>
    <row r="6991">
      <c r="Y6991" s="372">
        <v>0.0</v>
      </c>
      <c r="Z6991" s="372">
        <v>0.0</v>
      </c>
    </row>
    <row r="6992">
      <c r="Y6992" s="372">
        <v>0.0</v>
      </c>
      <c r="Z6992" s="372">
        <v>0.0</v>
      </c>
    </row>
    <row r="6993">
      <c r="Y6993" s="372">
        <v>0.0</v>
      </c>
      <c r="Z6993" s="372">
        <v>0.0</v>
      </c>
    </row>
    <row r="6994">
      <c r="Y6994" s="372">
        <v>0.0</v>
      </c>
      <c r="Z6994" s="372">
        <v>0.0</v>
      </c>
    </row>
    <row r="6995">
      <c r="Y6995" s="372">
        <v>0.0</v>
      </c>
      <c r="Z6995" s="372">
        <v>0.0</v>
      </c>
    </row>
    <row r="6996">
      <c r="Y6996" s="372">
        <v>0.0</v>
      </c>
      <c r="Z6996" s="372">
        <v>0.0</v>
      </c>
    </row>
    <row r="6997">
      <c r="Y6997" s="372">
        <v>0.0</v>
      </c>
      <c r="Z6997" s="372">
        <v>0.0</v>
      </c>
    </row>
    <row r="6998">
      <c r="Y6998" s="372">
        <v>0.0</v>
      </c>
      <c r="Z6998" s="372">
        <v>0.0</v>
      </c>
    </row>
    <row r="6999">
      <c r="Y6999" s="372">
        <v>0.0</v>
      </c>
      <c r="Z6999" s="372">
        <v>0.0</v>
      </c>
    </row>
    <row r="7000">
      <c r="Y7000" s="372">
        <v>0.0</v>
      </c>
      <c r="Z7000" s="372">
        <v>0.0</v>
      </c>
    </row>
    <row r="7001">
      <c r="Y7001" s="372">
        <v>0.0</v>
      </c>
      <c r="Z7001" s="372">
        <v>0.0</v>
      </c>
    </row>
    <row r="7002">
      <c r="Y7002" s="372">
        <v>0.0</v>
      </c>
      <c r="Z7002" s="372">
        <v>0.0</v>
      </c>
    </row>
    <row r="7003">
      <c r="Y7003" s="372">
        <v>0.0</v>
      </c>
      <c r="Z7003" s="372">
        <v>0.0</v>
      </c>
    </row>
    <row r="7004">
      <c r="Y7004" s="372">
        <v>0.0</v>
      </c>
      <c r="Z7004" s="372">
        <v>0.0</v>
      </c>
    </row>
    <row r="7005">
      <c r="Y7005" s="372">
        <v>0.0</v>
      </c>
      <c r="Z7005" s="372">
        <v>0.0</v>
      </c>
    </row>
    <row r="7006">
      <c r="Y7006" s="372">
        <v>0.0</v>
      </c>
      <c r="Z7006" s="372">
        <v>0.0</v>
      </c>
    </row>
    <row r="7007">
      <c r="Y7007" s="372">
        <v>0.0</v>
      </c>
      <c r="Z7007" s="372">
        <v>0.0</v>
      </c>
    </row>
    <row r="7008">
      <c r="Y7008" s="372">
        <v>0.0</v>
      </c>
      <c r="Z7008" s="372">
        <v>0.0</v>
      </c>
    </row>
    <row r="7009">
      <c r="Y7009" s="372">
        <v>0.0</v>
      </c>
      <c r="Z7009" s="372">
        <v>0.0</v>
      </c>
    </row>
    <row r="7010">
      <c r="Y7010" s="372">
        <v>0.0</v>
      </c>
      <c r="Z7010" s="372">
        <v>0.0</v>
      </c>
    </row>
    <row r="7011">
      <c r="Y7011" s="372">
        <v>0.0</v>
      </c>
      <c r="Z7011" s="372">
        <v>0.0</v>
      </c>
    </row>
    <row r="7012">
      <c r="Y7012" s="372">
        <v>0.0</v>
      </c>
      <c r="Z7012" s="372">
        <v>0.0</v>
      </c>
    </row>
    <row r="7013">
      <c r="Y7013" s="372">
        <v>0.0</v>
      </c>
      <c r="Z7013" s="372">
        <v>0.0</v>
      </c>
    </row>
    <row r="7014">
      <c r="Y7014" s="372">
        <v>0.0</v>
      </c>
      <c r="Z7014" s="372">
        <v>0.0</v>
      </c>
    </row>
    <row r="7015">
      <c r="Y7015" s="372">
        <v>0.0</v>
      </c>
      <c r="Z7015" s="372">
        <v>0.0</v>
      </c>
    </row>
    <row r="7016">
      <c r="Y7016" s="372">
        <v>0.0</v>
      </c>
      <c r="Z7016" s="372">
        <v>0.0</v>
      </c>
    </row>
    <row r="7017">
      <c r="Y7017" s="372">
        <v>0.0</v>
      </c>
      <c r="Z7017" s="372">
        <v>0.0</v>
      </c>
    </row>
    <row r="7018">
      <c r="Y7018" s="372">
        <v>0.0</v>
      </c>
      <c r="Z7018" s="372">
        <v>0.0</v>
      </c>
    </row>
    <row r="7019">
      <c r="Y7019" s="372">
        <v>0.0</v>
      </c>
      <c r="Z7019" s="372">
        <v>0.0</v>
      </c>
    </row>
    <row r="7020">
      <c r="Y7020" s="372">
        <v>0.0</v>
      </c>
      <c r="Z7020" s="372">
        <v>0.0</v>
      </c>
    </row>
    <row r="7021">
      <c r="Y7021" s="372">
        <v>0.0</v>
      </c>
      <c r="Z7021" s="372">
        <v>0.0</v>
      </c>
    </row>
    <row r="7022">
      <c r="Y7022" s="372">
        <v>0.0</v>
      </c>
      <c r="Z7022" s="372">
        <v>0.0</v>
      </c>
    </row>
    <row r="7023">
      <c r="Y7023" s="372">
        <v>0.0</v>
      </c>
      <c r="Z7023" s="372">
        <v>0.0</v>
      </c>
    </row>
    <row r="7024">
      <c r="Y7024" s="372">
        <v>0.0</v>
      </c>
      <c r="Z7024" s="372">
        <v>0.0</v>
      </c>
    </row>
    <row r="7025">
      <c r="Y7025" s="372">
        <v>0.0</v>
      </c>
      <c r="Z7025" s="372">
        <v>0.0</v>
      </c>
    </row>
    <row r="7026">
      <c r="Y7026" s="372">
        <v>0.0</v>
      </c>
      <c r="Z7026" s="372">
        <v>0.0</v>
      </c>
    </row>
    <row r="7027">
      <c r="Y7027" s="372">
        <v>0.0</v>
      </c>
      <c r="Z7027" s="372">
        <v>0.0</v>
      </c>
    </row>
    <row r="7028">
      <c r="Y7028" s="372">
        <v>0.0</v>
      </c>
      <c r="Z7028" s="372">
        <v>0.0</v>
      </c>
    </row>
    <row r="7029">
      <c r="Y7029" s="372">
        <v>0.0</v>
      </c>
      <c r="Z7029" s="372">
        <v>0.0</v>
      </c>
    </row>
    <row r="7030">
      <c r="Y7030" s="372">
        <v>0.0</v>
      </c>
      <c r="Z7030" s="372">
        <v>0.0</v>
      </c>
    </row>
    <row r="7031">
      <c r="Y7031" s="372">
        <v>0.0</v>
      </c>
      <c r="Z7031" s="372">
        <v>0.0</v>
      </c>
    </row>
    <row r="7032">
      <c r="Y7032" s="372">
        <v>0.0</v>
      </c>
      <c r="Z7032" s="372">
        <v>0.0</v>
      </c>
    </row>
    <row r="7033">
      <c r="Y7033" s="372">
        <v>0.0</v>
      </c>
      <c r="Z7033" s="372">
        <v>0.0</v>
      </c>
    </row>
    <row r="7034">
      <c r="Y7034" s="372">
        <v>0.0</v>
      </c>
      <c r="Z7034" s="372">
        <v>0.0</v>
      </c>
    </row>
    <row r="7035">
      <c r="Y7035" s="372">
        <v>0.0</v>
      </c>
      <c r="Z7035" s="372">
        <v>0.0</v>
      </c>
    </row>
    <row r="7036">
      <c r="Y7036" s="372">
        <v>0.0</v>
      </c>
      <c r="Z7036" s="372">
        <v>0.0</v>
      </c>
    </row>
    <row r="7037">
      <c r="Y7037" s="372">
        <v>0.0</v>
      </c>
      <c r="Z7037" s="372">
        <v>0.0</v>
      </c>
    </row>
    <row r="7038">
      <c r="Y7038" s="372">
        <v>0.0</v>
      </c>
      <c r="Z7038" s="372">
        <v>0.0</v>
      </c>
    </row>
    <row r="7039">
      <c r="Y7039" s="372">
        <v>0.0</v>
      </c>
      <c r="Z7039" s="372">
        <v>0.0</v>
      </c>
    </row>
    <row r="7040">
      <c r="Y7040" s="372">
        <v>0.0</v>
      </c>
      <c r="Z7040" s="372">
        <v>0.0</v>
      </c>
    </row>
    <row r="7041">
      <c r="Y7041" s="372">
        <v>0.0</v>
      </c>
      <c r="Z7041" s="372">
        <v>0.0</v>
      </c>
    </row>
    <row r="7042">
      <c r="Y7042" s="372">
        <v>0.0</v>
      </c>
      <c r="Z7042" s="372">
        <v>0.0</v>
      </c>
    </row>
    <row r="7043">
      <c r="Y7043" s="372">
        <v>0.0</v>
      </c>
      <c r="Z7043" s="372">
        <v>0.0</v>
      </c>
    </row>
    <row r="7044">
      <c r="Y7044" s="372">
        <v>0.0</v>
      </c>
      <c r="Z7044" s="372">
        <v>0.0</v>
      </c>
    </row>
    <row r="7045">
      <c r="Y7045" s="372">
        <v>0.0</v>
      </c>
      <c r="Z7045" s="372">
        <v>0.0</v>
      </c>
    </row>
    <row r="7046">
      <c r="Y7046" s="372">
        <v>0.0</v>
      </c>
      <c r="Z7046" s="372">
        <v>0.0</v>
      </c>
    </row>
    <row r="7047">
      <c r="Y7047" s="372">
        <v>0.0</v>
      </c>
      <c r="Z7047" s="372">
        <v>0.0</v>
      </c>
    </row>
    <row r="7048">
      <c r="Y7048" s="372">
        <v>0.0</v>
      </c>
      <c r="Z7048" s="372">
        <v>0.0</v>
      </c>
    </row>
    <row r="7049">
      <c r="Y7049" s="372">
        <v>0.0</v>
      </c>
      <c r="Z7049" s="372">
        <v>0.0</v>
      </c>
    </row>
    <row r="7050">
      <c r="Y7050" s="372">
        <v>0.0</v>
      </c>
      <c r="Z7050" s="372">
        <v>0.0</v>
      </c>
    </row>
    <row r="7051">
      <c r="Y7051" s="372">
        <v>0.0</v>
      </c>
      <c r="Z7051" s="372">
        <v>0.0</v>
      </c>
    </row>
    <row r="7052">
      <c r="Y7052" s="372">
        <v>0.0</v>
      </c>
      <c r="Z7052" s="372">
        <v>0.0</v>
      </c>
    </row>
    <row r="7053">
      <c r="Y7053" s="372">
        <v>0.0</v>
      </c>
      <c r="Z7053" s="372">
        <v>0.0</v>
      </c>
    </row>
    <row r="7054">
      <c r="Y7054" s="372">
        <v>0.0</v>
      </c>
      <c r="Z7054" s="372">
        <v>0.0</v>
      </c>
    </row>
    <row r="7055">
      <c r="Y7055" s="372">
        <v>0.0</v>
      </c>
      <c r="Z7055" s="372">
        <v>0.0</v>
      </c>
    </row>
    <row r="7056">
      <c r="Y7056" s="372">
        <v>0.0</v>
      </c>
      <c r="Z7056" s="372">
        <v>0.0</v>
      </c>
    </row>
    <row r="7057">
      <c r="Y7057" s="372">
        <v>0.0</v>
      </c>
      <c r="Z7057" s="372">
        <v>0.0</v>
      </c>
    </row>
    <row r="7058">
      <c r="Y7058" s="372">
        <v>0.0</v>
      </c>
      <c r="Z7058" s="372">
        <v>0.0</v>
      </c>
    </row>
    <row r="7059">
      <c r="Y7059" s="372">
        <v>0.0</v>
      </c>
      <c r="Z7059" s="372">
        <v>0.0</v>
      </c>
    </row>
    <row r="7060">
      <c r="Y7060" s="372">
        <v>0.0</v>
      </c>
      <c r="Z7060" s="372">
        <v>0.0</v>
      </c>
    </row>
    <row r="7061">
      <c r="Y7061" s="372">
        <v>0.0</v>
      </c>
      <c r="Z7061" s="372">
        <v>0.0</v>
      </c>
    </row>
    <row r="7062">
      <c r="Y7062" s="372">
        <v>0.0</v>
      </c>
      <c r="Z7062" s="372">
        <v>0.0</v>
      </c>
    </row>
    <row r="7063">
      <c r="Y7063" s="372">
        <v>0.0</v>
      </c>
      <c r="Z7063" s="372">
        <v>0.0</v>
      </c>
    </row>
    <row r="7064">
      <c r="Y7064" s="372">
        <v>0.0</v>
      </c>
      <c r="Z7064" s="372">
        <v>0.0</v>
      </c>
    </row>
    <row r="7065">
      <c r="Y7065" s="372">
        <v>0.0</v>
      </c>
      <c r="Z7065" s="372">
        <v>0.0</v>
      </c>
    </row>
    <row r="7066">
      <c r="Y7066" s="372">
        <v>0.0</v>
      </c>
      <c r="Z7066" s="372">
        <v>0.0</v>
      </c>
    </row>
    <row r="7067">
      <c r="Y7067" s="372">
        <v>0.0</v>
      </c>
      <c r="Z7067" s="372">
        <v>0.0</v>
      </c>
    </row>
    <row r="7068">
      <c r="Y7068" s="372">
        <v>0.0</v>
      </c>
      <c r="Z7068" s="372">
        <v>0.0</v>
      </c>
    </row>
    <row r="7069">
      <c r="Y7069" s="372">
        <v>0.0</v>
      </c>
      <c r="Z7069" s="372">
        <v>0.0</v>
      </c>
    </row>
    <row r="7070">
      <c r="Y7070" s="372">
        <v>0.0</v>
      </c>
      <c r="Z7070" s="372">
        <v>0.0</v>
      </c>
    </row>
    <row r="7071">
      <c r="Y7071" s="372">
        <v>0.0</v>
      </c>
      <c r="Z7071" s="372">
        <v>0.0</v>
      </c>
    </row>
    <row r="7072">
      <c r="Y7072" s="372">
        <v>0.0</v>
      </c>
      <c r="Z7072" s="372">
        <v>0.0</v>
      </c>
    </row>
    <row r="7073">
      <c r="Y7073" s="372">
        <v>0.0</v>
      </c>
      <c r="Z7073" s="372">
        <v>0.0</v>
      </c>
    </row>
    <row r="7074">
      <c r="Y7074" s="372">
        <v>0.0</v>
      </c>
      <c r="Z7074" s="372">
        <v>0.0</v>
      </c>
    </row>
    <row r="7075">
      <c r="Y7075" s="372">
        <v>0.0</v>
      </c>
      <c r="Z7075" s="372">
        <v>0.0</v>
      </c>
    </row>
    <row r="7076">
      <c r="Y7076" s="372">
        <v>0.0</v>
      </c>
      <c r="Z7076" s="372">
        <v>0.0</v>
      </c>
    </row>
    <row r="7077">
      <c r="Y7077" s="372">
        <v>0.0</v>
      </c>
      <c r="Z7077" s="372">
        <v>0.0</v>
      </c>
    </row>
    <row r="7078">
      <c r="Y7078" s="372">
        <v>0.0</v>
      </c>
      <c r="Z7078" s="372">
        <v>0.0</v>
      </c>
    </row>
    <row r="7079">
      <c r="Y7079" s="372">
        <v>0.0</v>
      </c>
      <c r="Z7079" s="372">
        <v>0.0</v>
      </c>
    </row>
    <row r="7080">
      <c r="Y7080" s="372">
        <v>0.0</v>
      </c>
      <c r="Z7080" s="372">
        <v>0.0</v>
      </c>
    </row>
    <row r="7081">
      <c r="Y7081" s="372">
        <v>0.0</v>
      </c>
      <c r="Z7081" s="372">
        <v>0.0</v>
      </c>
    </row>
    <row r="7082">
      <c r="Y7082" s="372">
        <v>0.0</v>
      </c>
      <c r="Z7082" s="372">
        <v>0.0</v>
      </c>
    </row>
    <row r="7083">
      <c r="Y7083" s="372">
        <v>0.0</v>
      </c>
      <c r="Z7083" s="372">
        <v>0.0</v>
      </c>
    </row>
    <row r="7084">
      <c r="Y7084" s="372">
        <v>0.0</v>
      </c>
      <c r="Z7084" s="372">
        <v>0.0</v>
      </c>
    </row>
    <row r="7085">
      <c r="Y7085" s="372">
        <v>0.0</v>
      </c>
      <c r="Z7085" s="372">
        <v>0.0</v>
      </c>
    </row>
    <row r="7086">
      <c r="Y7086" s="372">
        <v>0.0</v>
      </c>
      <c r="Z7086" s="372">
        <v>0.0</v>
      </c>
    </row>
    <row r="7087">
      <c r="Y7087" s="372">
        <v>0.0</v>
      </c>
      <c r="Z7087" s="372">
        <v>0.0</v>
      </c>
    </row>
    <row r="7088">
      <c r="Y7088" s="372">
        <v>0.0</v>
      </c>
      <c r="Z7088" s="372">
        <v>0.0</v>
      </c>
    </row>
    <row r="7089">
      <c r="Y7089" s="372">
        <v>0.0</v>
      </c>
      <c r="Z7089" s="372">
        <v>0.0</v>
      </c>
    </row>
    <row r="7090">
      <c r="Y7090" s="372">
        <v>0.0</v>
      </c>
      <c r="Z7090" s="372">
        <v>0.0</v>
      </c>
    </row>
    <row r="7091">
      <c r="Y7091" s="372">
        <v>0.0</v>
      </c>
      <c r="Z7091" s="372">
        <v>0.0</v>
      </c>
    </row>
    <row r="7092">
      <c r="Y7092" s="372">
        <v>0.0</v>
      </c>
      <c r="Z7092" s="372">
        <v>0.0</v>
      </c>
    </row>
    <row r="7093">
      <c r="Y7093" s="372">
        <v>0.0</v>
      </c>
      <c r="Z7093" s="372">
        <v>0.0</v>
      </c>
    </row>
    <row r="7094">
      <c r="Y7094" s="372">
        <v>0.0</v>
      </c>
      <c r="Z7094" s="372">
        <v>0.0</v>
      </c>
    </row>
    <row r="7095">
      <c r="Y7095" s="372">
        <v>0.0</v>
      </c>
      <c r="Z7095" s="372">
        <v>0.0</v>
      </c>
    </row>
    <row r="7096">
      <c r="Y7096" s="372">
        <v>0.0</v>
      </c>
      <c r="Z7096" s="372">
        <v>0.0</v>
      </c>
    </row>
    <row r="7097">
      <c r="Y7097" s="372">
        <v>0.0</v>
      </c>
      <c r="Z7097" s="372">
        <v>0.0</v>
      </c>
    </row>
    <row r="7098">
      <c r="Y7098" s="372">
        <v>0.0</v>
      </c>
      <c r="Z7098" s="372">
        <v>0.0</v>
      </c>
    </row>
    <row r="7099">
      <c r="Y7099" s="372">
        <v>0.0</v>
      </c>
      <c r="Z7099" s="372">
        <v>0.0</v>
      </c>
    </row>
    <row r="7100">
      <c r="Y7100" s="372">
        <v>0.0</v>
      </c>
      <c r="Z7100" s="372">
        <v>0.0</v>
      </c>
    </row>
    <row r="7101">
      <c r="Y7101" s="372">
        <v>0.0</v>
      </c>
      <c r="Z7101" s="372">
        <v>0.0</v>
      </c>
    </row>
    <row r="7102">
      <c r="Y7102" s="372">
        <v>0.0</v>
      </c>
      <c r="Z7102" s="372">
        <v>0.0</v>
      </c>
    </row>
    <row r="7103">
      <c r="Y7103" s="372">
        <v>0.0</v>
      </c>
      <c r="Z7103" s="372">
        <v>0.0</v>
      </c>
    </row>
    <row r="7104">
      <c r="Y7104" s="372">
        <v>0.0</v>
      </c>
      <c r="Z7104" s="372">
        <v>0.0</v>
      </c>
    </row>
    <row r="7105">
      <c r="Y7105" s="372">
        <v>0.0</v>
      </c>
      <c r="Z7105" s="372">
        <v>0.0</v>
      </c>
    </row>
    <row r="7106">
      <c r="Y7106" s="372">
        <v>0.0</v>
      </c>
      <c r="Z7106" s="372">
        <v>0.0</v>
      </c>
    </row>
    <row r="7107">
      <c r="Y7107" s="372">
        <v>0.0</v>
      </c>
      <c r="Z7107" s="372">
        <v>0.0</v>
      </c>
    </row>
    <row r="7108">
      <c r="Y7108" s="372">
        <v>0.0</v>
      </c>
      <c r="Z7108" s="372">
        <v>0.0</v>
      </c>
    </row>
    <row r="7109">
      <c r="Y7109" s="372">
        <v>0.0</v>
      </c>
      <c r="Z7109" s="372">
        <v>0.0</v>
      </c>
    </row>
    <row r="7110">
      <c r="Y7110" s="372">
        <v>0.0</v>
      </c>
      <c r="Z7110" s="372">
        <v>0.0</v>
      </c>
    </row>
    <row r="7111">
      <c r="Y7111" s="372">
        <v>0.0</v>
      </c>
      <c r="Z7111" s="372">
        <v>0.0</v>
      </c>
    </row>
    <row r="7112">
      <c r="Y7112" s="372">
        <v>0.0</v>
      </c>
      <c r="Z7112" s="372">
        <v>0.0</v>
      </c>
    </row>
    <row r="7113">
      <c r="Y7113" s="372">
        <v>0.0</v>
      </c>
      <c r="Z7113" s="372">
        <v>0.0</v>
      </c>
    </row>
    <row r="7114">
      <c r="Y7114" s="372">
        <v>0.0</v>
      </c>
      <c r="Z7114" s="372">
        <v>0.0</v>
      </c>
    </row>
    <row r="7115">
      <c r="Y7115" s="372">
        <v>0.0</v>
      </c>
      <c r="Z7115" s="372">
        <v>0.0</v>
      </c>
    </row>
    <row r="7116">
      <c r="Y7116" s="372">
        <v>0.0</v>
      </c>
      <c r="Z7116" s="372">
        <v>0.0</v>
      </c>
    </row>
    <row r="7117">
      <c r="Y7117" s="372">
        <v>0.0</v>
      </c>
      <c r="Z7117" s="372">
        <v>0.0</v>
      </c>
    </row>
    <row r="7118">
      <c r="Y7118" s="372">
        <v>0.0</v>
      </c>
      <c r="Z7118" s="372">
        <v>0.0</v>
      </c>
    </row>
    <row r="7119">
      <c r="Y7119" s="372">
        <v>0.0</v>
      </c>
      <c r="Z7119" s="372">
        <v>0.0</v>
      </c>
    </row>
    <row r="7120">
      <c r="Y7120" s="372">
        <v>0.0</v>
      </c>
      <c r="Z7120" s="372">
        <v>0.0</v>
      </c>
    </row>
    <row r="7121">
      <c r="Y7121" s="372">
        <v>0.0</v>
      </c>
      <c r="Z7121" s="372">
        <v>0.0</v>
      </c>
    </row>
    <row r="7122">
      <c r="Y7122" s="372">
        <v>0.0</v>
      </c>
      <c r="Z7122" s="372">
        <v>0.0</v>
      </c>
    </row>
    <row r="7123">
      <c r="Y7123" s="372">
        <v>0.0</v>
      </c>
      <c r="Z7123" s="372">
        <v>0.0</v>
      </c>
    </row>
    <row r="7124">
      <c r="Y7124" s="372">
        <v>0.0</v>
      </c>
      <c r="Z7124" s="372">
        <v>0.0</v>
      </c>
    </row>
    <row r="7125">
      <c r="Y7125" s="372">
        <v>0.0</v>
      </c>
      <c r="Z7125" s="372">
        <v>0.0</v>
      </c>
    </row>
    <row r="7126">
      <c r="Y7126" s="372">
        <v>0.0</v>
      </c>
      <c r="Z7126" s="372">
        <v>0.0</v>
      </c>
    </row>
    <row r="7127">
      <c r="Y7127" s="372">
        <v>0.0</v>
      </c>
      <c r="Z7127" s="372">
        <v>0.0</v>
      </c>
    </row>
    <row r="7128">
      <c r="Y7128" s="372">
        <v>0.0</v>
      </c>
      <c r="Z7128" s="372">
        <v>0.0</v>
      </c>
    </row>
    <row r="7129">
      <c r="Y7129" s="372">
        <v>0.0</v>
      </c>
      <c r="Z7129" s="372">
        <v>0.0</v>
      </c>
    </row>
    <row r="7130">
      <c r="Y7130" s="372">
        <v>0.0</v>
      </c>
      <c r="Z7130" s="372">
        <v>0.0</v>
      </c>
    </row>
    <row r="7131">
      <c r="Y7131" s="372">
        <v>0.0</v>
      </c>
      <c r="Z7131" s="372">
        <v>0.0</v>
      </c>
    </row>
    <row r="7132">
      <c r="Y7132" s="372">
        <v>0.0</v>
      </c>
      <c r="Z7132" s="372">
        <v>0.0</v>
      </c>
    </row>
    <row r="7133">
      <c r="Y7133" s="372">
        <v>0.0</v>
      </c>
      <c r="Z7133" s="372">
        <v>0.0</v>
      </c>
    </row>
    <row r="7134">
      <c r="Y7134" s="372">
        <v>0.0</v>
      </c>
      <c r="Z7134" s="372">
        <v>0.0</v>
      </c>
    </row>
    <row r="7135">
      <c r="Y7135" s="372">
        <v>0.0</v>
      </c>
      <c r="Z7135" s="372">
        <v>0.0</v>
      </c>
    </row>
    <row r="7136">
      <c r="Y7136" s="372">
        <v>0.0</v>
      </c>
      <c r="Z7136" s="372">
        <v>0.0</v>
      </c>
    </row>
    <row r="7137">
      <c r="Y7137" s="372">
        <v>0.0</v>
      </c>
      <c r="Z7137" s="372">
        <v>0.0</v>
      </c>
    </row>
    <row r="7138">
      <c r="Y7138" s="372">
        <v>0.0</v>
      </c>
      <c r="Z7138" s="372">
        <v>0.0</v>
      </c>
    </row>
    <row r="7139">
      <c r="Y7139" s="372">
        <v>0.0</v>
      </c>
      <c r="Z7139" s="372">
        <v>0.0</v>
      </c>
    </row>
    <row r="7140">
      <c r="Y7140" s="372">
        <v>0.0</v>
      </c>
      <c r="Z7140" s="372">
        <v>0.0</v>
      </c>
    </row>
    <row r="7141">
      <c r="Y7141" s="372">
        <v>0.0</v>
      </c>
      <c r="Z7141" s="372">
        <v>0.0</v>
      </c>
    </row>
    <row r="7142">
      <c r="Y7142" s="372">
        <v>0.0</v>
      </c>
      <c r="Z7142" s="372">
        <v>0.0</v>
      </c>
    </row>
    <row r="7143">
      <c r="Y7143" s="372">
        <v>0.0</v>
      </c>
      <c r="Z7143" s="372">
        <v>0.0</v>
      </c>
    </row>
    <row r="7144">
      <c r="Y7144" s="372">
        <v>0.0</v>
      </c>
      <c r="Z7144" s="372">
        <v>0.0</v>
      </c>
    </row>
    <row r="7145">
      <c r="Y7145" s="372">
        <v>0.0</v>
      </c>
      <c r="Z7145" s="372">
        <v>0.0</v>
      </c>
    </row>
    <row r="7146">
      <c r="Y7146" s="372">
        <v>0.0</v>
      </c>
      <c r="Z7146" s="372">
        <v>0.0</v>
      </c>
    </row>
    <row r="7147">
      <c r="Y7147" s="372">
        <v>0.0</v>
      </c>
      <c r="Z7147" s="372">
        <v>0.0</v>
      </c>
    </row>
    <row r="7148">
      <c r="Y7148" s="372">
        <v>0.0</v>
      </c>
      <c r="Z7148" s="372">
        <v>0.0</v>
      </c>
    </row>
    <row r="7149">
      <c r="Y7149" s="372">
        <v>0.0</v>
      </c>
      <c r="Z7149" s="372">
        <v>0.0</v>
      </c>
    </row>
    <row r="7150">
      <c r="Y7150" s="372">
        <v>0.0</v>
      </c>
      <c r="Z7150" s="372">
        <v>0.0</v>
      </c>
    </row>
    <row r="7151">
      <c r="Y7151" s="372">
        <v>0.0</v>
      </c>
      <c r="Z7151" s="372">
        <v>0.0</v>
      </c>
    </row>
    <row r="7152">
      <c r="Y7152" s="372">
        <v>0.0</v>
      </c>
      <c r="Z7152" s="372">
        <v>0.0</v>
      </c>
    </row>
    <row r="7153">
      <c r="Y7153" s="372">
        <v>0.0</v>
      </c>
      <c r="Z7153" s="372">
        <v>0.0</v>
      </c>
    </row>
    <row r="7154">
      <c r="Y7154" s="372">
        <v>0.0</v>
      </c>
      <c r="Z7154" s="372">
        <v>0.0</v>
      </c>
    </row>
    <row r="7155">
      <c r="Y7155" s="372">
        <v>0.0</v>
      </c>
      <c r="Z7155" s="372">
        <v>0.0</v>
      </c>
    </row>
    <row r="7156">
      <c r="Y7156" s="372">
        <v>0.0</v>
      </c>
      <c r="Z7156" s="372">
        <v>0.0</v>
      </c>
    </row>
    <row r="7157">
      <c r="Y7157" s="372">
        <v>0.0</v>
      </c>
      <c r="Z7157" s="372">
        <v>0.0</v>
      </c>
    </row>
    <row r="7158">
      <c r="Y7158" s="372">
        <v>0.0</v>
      </c>
      <c r="Z7158" s="372">
        <v>0.0</v>
      </c>
    </row>
    <row r="7159">
      <c r="Y7159" s="372">
        <v>0.0</v>
      </c>
      <c r="Z7159" s="372">
        <v>0.0</v>
      </c>
    </row>
    <row r="7160">
      <c r="Y7160" s="372">
        <v>0.0</v>
      </c>
      <c r="Z7160" s="372">
        <v>0.0</v>
      </c>
    </row>
    <row r="7161">
      <c r="Y7161" s="372">
        <v>0.0</v>
      </c>
      <c r="Z7161" s="372">
        <v>0.0</v>
      </c>
    </row>
    <row r="7162">
      <c r="Y7162" s="372">
        <v>0.0</v>
      </c>
      <c r="Z7162" s="372">
        <v>0.0</v>
      </c>
    </row>
    <row r="7163">
      <c r="Y7163" s="372">
        <v>0.0</v>
      </c>
      <c r="Z7163" s="372">
        <v>0.0</v>
      </c>
    </row>
    <row r="7164">
      <c r="Y7164" s="372">
        <v>0.0</v>
      </c>
      <c r="Z7164" s="372">
        <v>0.0</v>
      </c>
    </row>
    <row r="7165">
      <c r="Y7165" s="372">
        <v>0.0</v>
      </c>
      <c r="Z7165" s="372">
        <v>0.0</v>
      </c>
    </row>
    <row r="7166">
      <c r="Y7166" s="372">
        <v>0.0</v>
      </c>
      <c r="Z7166" s="372">
        <v>0.0</v>
      </c>
    </row>
    <row r="7167">
      <c r="Y7167" s="372">
        <v>0.0</v>
      </c>
      <c r="Z7167" s="372">
        <v>0.0</v>
      </c>
    </row>
    <row r="7168">
      <c r="Y7168" s="372">
        <v>0.0</v>
      </c>
      <c r="Z7168" s="372">
        <v>0.0</v>
      </c>
    </row>
    <row r="7169">
      <c r="Y7169" s="372">
        <v>0.0</v>
      </c>
      <c r="Z7169" s="372">
        <v>0.0</v>
      </c>
    </row>
    <row r="7170">
      <c r="Y7170" s="372">
        <v>0.0</v>
      </c>
      <c r="Z7170" s="372">
        <v>0.0</v>
      </c>
    </row>
    <row r="7171">
      <c r="Y7171" s="372">
        <v>0.0</v>
      </c>
      <c r="Z7171" s="372">
        <v>0.0</v>
      </c>
    </row>
    <row r="7172">
      <c r="Y7172" s="372">
        <v>0.0</v>
      </c>
      <c r="Z7172" s="372">
        <v>0.0</v>
      </c>
    </row>
    <row r="7173">
      <c r="Y7173" s="372">
        <v>0.0</v>
      </c>
      <c r="Z7173" s="372">
        <v>0.0</v>
      </c>
    </row>
    <row r="7174">
      <c r="Y7174" s="372">
        <v>0.0</v>
      </c>
      <c r="Z7174" s="372">
        <v>0.0</v>
      </c>
    </row>
    <row r="7175">
      <c r="Y7175" s="372">
        <v>0.0</v>
      </c>
      <c r="Z7175" s="372">
        <v>0.0</v>
      </c>
    </row>
    <row r="7176">
      <c r="Y7176" s="372">
        <v>0.0</v>
      </c>
      <c r="Z7176" s="372">
        <v>0.0</v>
      </c>
    </row>
    <row r="7177">
      <c r="Y7177" s="372">
        <v>0.0</v>
      </c>
      <c r="Z7177" s="372">
        <v>0.0</v>
      </c>
    </row>
    <row r="7178">
      <c r="Y7178" s="372">
        <v>0.0</v>
      </c>
      <c r="Z7178" s="372">
        <v>0.0</v>
      </c>
    </row>
    <row r="7179">
      <c r="Y7179" s="372">
        <v>0.0</v>
      </c>
      <c r="Z7179" s="372">
        <v>0.0</v>
      </c>
    </row>
    <row r="7180">
      <c r="Y7180" s="372">
        <v>0.0</v>
      </c>
      <c r="Z7180" s="372">
        <v>0.0</v>
      </c>
    </row>
    <row r="7181">
      <c r="Y7181" s="372">
        <v>0.0</v>
      </c>
      <c r="Z7181" s="372">
        <v>0.0</v>
      </c>
    </row>
    <row r="7182">
      <c r="Y7182" s="372">
        <v>0.0</v>
      </c>
      <c r="Z7182" s="372">
        <v>0.0</v>
      </c>
    </row>
    <row r="7183">
      <c r="Y7183" s="372">
        <v>0.0</v>
      </c>
      <c r="Z7183" s="372">
        <v>0.0</v>
      </c>
    </row>
    <row r="7184">
      <c r="Y7184" s="372">
        <v>0.0</v>
      </c>
      <c r="Z7184" s="372">
        <v>0.0</v>
      </c>
    </row>
    <row r="7185">
      <c r="Y7185" s="372">
        <v>0.0</v>
      </c>
      <c r="Z7185" s="372">
        <v>0.0</v>
      </c>
    </row>
    <row r="7186">
      <c r="Y7186" s="372">
        <v>0.0</v>
      </c>
      <c r="Z7186" s="372">
        <v>0.0</v>
      </c>
    </row>
    <row r="7187">
      <c r="Y7187" s="372">
        <v>0.0</v>
      </c>
      <c r="Z7187" s="372">
        <v>0.0</v>
      </c>
    </row>
    <row r="7188">
      <c r="Y7188" s="372">
        <v>0.0</v>
      </c>
      <c r="Z7188" s="372">
        <v>0.0</v>
      </c>
    </row>
    <row r="7189">
      <c r="Y7189" s="372">
        <v>0.0</v>
      </c>
      <c r="Z7189" s="372">
        <v>0.0</v>
      </c>
    </row>
    <row r="7190">
      <c r="Y7190" s="372">
        <v>0.0</v>
      </c>
      <c r="Z7190" s="372">
        <v>0.0</v>
      </c>
    </row>
    <row r="7191">
      <c r="Y7191" s="372">
        <v>0.0</v>
      </c>
      <c r="Z7191" s="372">
        <v>0.0</v>
      </c>
    </row>
    <row r="7192">
      <c r="Y7192" s="372">
        <v>0.0</v>
      </c>
      <c r="Z7192" s="372">
        <v>0.0</v>
      </c>
    </row>
    <row r="7193">
      <c r="Y7193" s="372">
        <v>0.0</v>
      </c>
      <c r="Z7193" s="372">
        <v>0.0</v>
      </c>
    </row>
    <row r="7194">
      <c r="Y7194" s="372">
        <v>0.0</v>
      </c>
      <c r="Z7194" s="372">
        <v>0.0</v>
      </c>
    </row>
    <row r="7195">
      <c r="Y7195" s="372">
        <v>0.0</v>
      </c>
      <c r="Z7195" s="372">
        <v>0.0</v>
      </c>
    </row>
    <row r="7196">
      <c r="Y7196" s="372">
        <v>0.0</v>
      </c>
      <c r="Z7196" s="372">
        <v>0.0</v>
      </c>
    </row>
    <row r="7197">
      <c r="Y7197" s="372">
        <v>0.0</v>
      </c>
      <c r="Z7197" s="372">
        <v>0.0</v>
      </c>
    </row>
    <row r="7198">
      <c r="Y7198" s="372">
        <v>0.0</v>
      </c>
      <c r="Z7198" s="372">
        <v>0.0</v>
      </c>
    </row>
    <row r="7199">
      <c r="Y7199" s="372">
        <v>0.0</v>
      </c>
      <c r="Z7199" s="372">
        <v>0.0</v>
      </c>
    </row>
    <row r="7200">
      <c r="Y7200" s="372">
        <v>0.0</v>
      </c>
      <c r="Z7200" s="372">
        <v>0.0</v>
      </c>
    </row>
    <row r="7201">
      <c r="Y7201" s="372">
        <v>0.0</v>
      </c>
      <c r="Z7201" s="372">
        <v>0.0</v>
      </c>
    </row>
    <row r="7202">
      <c r="Y7202" s="372">
        <v>0.0</v>
      </c>
      <c r="Z7202" s="372">
        <v>0.0</v>
      </c>
    </row>
    <row r="7203">
      <c r="Y7203" s="372">
        <v>0.0</v>
      </c>
      <c r="Z7203" s="372">
        <v>0.0</v>
      </c>
    </row>
    <row r="7204">
      <c r="Y7204" s="372">
        <v>0.0</v>
      </c>
      <c r="Z7204" s="372">
        <v>0.0</v>
      </c>
    </row>
    <row r="7205">
      <c r="Y7205" s="372">
        <v>0.0</v>
      </c>
      <c r="Z7205" s="372">
        <v>0.0</v>
      </c>
    </row>
    <row r="7206">
      <c r="Y7206" s="372">
        <v>0.0</v>
      </c>
      <c r="Z7206" s="372">
        <v>0.0</v>
      </c>
    </row>
    <row r="7207">
      <c r="Y7207" s="372">
        <v>0.0</v>
      </c>
      <c r="Z7207" s="372">
        <v>0.0</v>
      </c>
    </row>
    <row r="7208">
      <c r="Y7208" s="372">
        <v>0.0</v>
      </c>
      <c r="Z7208" s="372">
        <v>0.0</v>
      </c>
    </row>
    <row r="7209">
      <c r="Y7209" s="372">
        <v>0.0</v>
      </c>
      <c r="Z7209" s="372">
        <v>0.0</v>
      </c>
    </row>
    <row r="7210">
      <c r="Y7210" s="372">
        <v>0.0</v>
      </c>
      <c r="Z7210" s="372">
        <v>0.0</v>
      </c>
    </row>
    <row r="7211">
      <c r="Y7211" s="372">
        <v>0.0</v>
      </c>
      <c r="Z7211" s="372">
        <v>0.0</v>
      </c>
    </row>
    <row r="7212">
      <c r="Y7212" s="372">
        <v>0.0</v>
      </c>
      <c r="Z7212" s="372">
        <v>0.0</v>
      </c>
    </row>
    <row r="7213">
      <c r="Y7213" s="372">
        <v>0.0</v>
      </c>
      <c r="Z7213" s="372">
        <v>0.0</v>
      </c>
    </row>
    <row r="7214">
      <c r="Y7214" s="372">
        <v>0.0</v>
      </c>
      <c r="Z7214" s="372">
        <v>0.0</v>
      </c>
    </row>
    <row r="7215">
      <c r="Y7215" s="372">
        <v>0.0</v>
      </c>
      <c r="Z7215" s="372">
        <v>0.0</v>
      </c>
    </row>
    <row r="7216">
      <c r="Y7216" s="372">
        <v>0.0</v>
      </c>
      <c r="Z7216" s="372">
        <v>0.0</v>
      </c>
    </row>
    <row r="7217">
      <c r="Y7217" s="372">
        <v>0.0</v>
      </c>
      <c r="Z7217" s="372">
        <v>0.0</v>
      </c>
    </row>
    <row r="7218">
      <c r="Y7218" s="372">
        <v>0.0</v>
      </c>
      <c r="Z7218" s="372">
        <v>0.0</v>
      </c>
    </row>
    <row r="7219">
      <c r="Y7219" s="372">
        <v>0.0</v>
      </c>
      <c r="Z7219" s="372">
        <v>0.0</v>
      </c>
    </row>
    <row r="7220">
      <c r="Y7220" s="372">
        <v>0.0</v>
      </c>
      <c r="Z7220" s="372">
        <v>0.0</v>
      </c>
    </row>
    <row r="7221">
      <c r="Y7221" s="372">
        <v>0.0</v>
      </c>
      <c r="Z7221" s="372">
        <v>0.0</v>
      </c>
    </row>
    <row r="7222">
      <c r="Y7222" s="372">
        <v>0.0</v>
      </c>
      <c r="Z7222" s="372">
        <v>0.0</v>
      </c>
    </row>
    <row r="7223">
      <c r="Y7223" s="372">
        <v>0.0</v>
      </c>
      <c r="Z7223" s="372">
        <v>0.0</v>
      </c>
    </row>
    <row r="7224">
      <c r="Y7224" s="372">
        <v>0.0</v>
      </c>
      <c r="Z7224" s="372">
        <v>0.0</v>
      </c>
    </row>
    <row r="7225">
      <c r="Y7225" s="372">
        <v>0.0</v>
      </c>
      <c r="Z7225" s="372">
        <v>0.0</v>
      </c>
    </row>
    <row r="7226">
      <c r="Y7226" s="372">
        <v>0.0</v>
      </c>
      <c r="Z7226" s="372">
        <v>0.0</v>
      </c>
    </row>
    <row r="7227">
      <c r="Y7227" s="372">
        <v>0.0</v>
      </c>
      <c r="Z7227" s="372">
        <v>0.0</v>
      </c>
    </row>
    <row r="7228">
      <c r="Y7228" s="372">
        <v>0.0</v>
      </c>
      <c r="Z7228" s="372">
        <v>0.0</v>
      </c>
    </row>
    <row r="7229">
      <c r="Y7229" s="372">
        <v>0.0</v>
      </c>
      <c r="Z7229" s="372">
        <v>0.0</v>
      </c>
    </row>
    <row r="7230">
      <c r="Y7230" s="372">
        <v>0.0</v>
      </c>
      <c r="Z7230" s="372">
        <v>0.0</v>
      </c>
    </row>
    <row r="7231">
      <c r="Y7231" s="372">
        <v>0.0</v>
      </c>
      <c r="Z7231" s="372">
        <v>0.0</v>
      </c>
    </row>
    <row r="7232">
      <c r="Y7232" s="372">
        <v>0.0</v>
      </c>
      <c r="Z7232" s="372">
        <v>0.0</v>
      </c>
    </row>
    <row r="7233">
      <c r="Y7233" s="372">
        <v>0.0</v>
      </c>
      <c r="Z7233" s="372">
        <v>0.0</v>
      </c>
    </row>
    <row r="7234">
      <c r="Y7234" s="372">
        <v>0.0</v>
      </c>
      <c r="Z7234" s="372">
        <v>0.0</v>
      </c>
    </row>
    <row r="7235">
      <c r="Y7235" s="372">
        <v>0.0</v>
      </c>
      <c r="Z7235" s="372">
        <v>0.0</v>
      </c>
    </row>
    <row r="7236">
      <c r="Y7236" s="372">
        <v>0.0</v>
      </c>
      <c r="Z7236" s="372">
        <v>0.0</v>
      </c>
    </row>
    <row r="7237">
      <c r="Y7237" s="372">
        <v>0.0</v>
      </c>
      <c r="Z7237" s="372">
        <v>0.0</v>
      </c>
    </row>
    <row r="7238">
      <c r="Y7238" s="372">
        <v>0.0</v>
      </c>
      <c r="Z7238" s="372">
        <v>0.0</v>
      </c>
    </row>
    <row r="7239">
      <c r="Y7239" s="372">
        <v>0.0</v>
      </c>
      <c r="Z7239" s="372">
        <v>0.0</v>
      </c>
    </row>
    <row r="7240">
      <c r="Y7240" s="372">
        <v>0.0</v>
      </c>
      <c r="Z7240" s="372">
        <v>0.0</v>
      </c>
    </row>
    <row r="7241">
      <c r="Y7241" s="372">
        <v>0.0</v>
      </c>
      <c r="Z7241" s="372">
        <v>0.0</v>
      </c>
    </row>
    <row r="7242">
      <c r="Y7242" s="372">
        <v>0.0</v>
      </c>
      <c r="Z7242" s="372">
        <v>0.0</v>
      </c>
    </row>
    <row r="7243">
      <c r="Y7243" s="372">
        <v>0.0</v>
      </c>
      <c r="Z7243" s="372">
        <v>0.0</v>
      </c>
    </row>
    <row r="7244">
      <c r="Y7244" s="372">
        <v>0.0</v>
      </c>
      <c r="Z7244" s="372">
        <v>0.0</v>
      </c>
    </row>
    <row r="7245">
      <c r="Y7245" s="372">
        <v>0.0</v>
      </c>
      <c r="Z7245" s="372">
        <v>0.0</v>
      </c>
    </row>
    <row r="7246">
      <c r="Y7246" s="372">
        <v>0.0</v>
      </c>
      <c r="Z7246" s="372">
        <v>0.0</v>
      </c>
    </row>
    <row r="7247">
      <c r="Y7247" s="372">
        <v>0.0</v>
      </c>
      <c r="Z7247" s="372">
        <v>0.0</v>
      </c>
    </row>
    <row r="7248">
      <c r="Y7248" s="372">
        <v>0.0</v>
      </c>
      <c r="Z7248" s="372">
        <v>0.0</v>
      </c>
    </row>
    <row r="7249">
      <c r="Y7249" s="372">
        <v>0.0</v>
      </c>
      <c r="Z7249" s="372">
        <v>0.0</v>
      </c>
    </row>
    <row r="7250">
      <c r="Y7250" s="372">
        <v>0.0</v>
      </c>
      <c r="Z7250" s="372">
        <v>0.0</v>
      </c>
    </row>
    <row r="7251">
      <c r="Y7251" s="372">
        <v>0.0</v>
      </c>
      <c r="Z7251" s="372">
        <v>0.0</v>
      </c>
    </row>
    <row r="7252">
      <c r="Y7252" s="372">
        <v>0.0</v>
      </c>
      <c r="Z7252" s="372">
        <v>0.0</v>
      </c>
    </row>
    <row r="7253">
      <c r="Y7253" s="372">
        <v>0.0</v>
      </c>
      <c r="Z7253" s="372">
        <v>0.0</v>
      </c>
    </row>
    <row r="7254">
      <c r="Y7254" s="372">
        <v>0.0</v>
      </c>
      <c r="Z7254" s="372">
        <v>0.0</v>
      </c>
    </row>
    <row r="7255">
      <c r="Y7255" s="372">
        <v>0.0</v>
      </c>
      <c r="Z7255" s="372">
        <v>0.0</v>
      </c>
    </row>
    <row r="7256">
      <c r="Y7256" s="372">
        <v>0.0</v>
      </c>
      <c r="Z7256" s="372">
        <v>0.0</v>
      </c>
    </row>
    <row r="7257">
      <c r="Y7257" s="372">
        <v>0.0</v>
      </c>
      <c r="Z7257" s="372">
        <v>0.0</v>
      </c>
    </row>
    <row r="7258">
      <c r="Y7258" s="372">
        <v>0.0</v>
      </c>
      <c r="Z7258" s="372">
        <v>0.0</v>
      </c>
    </row>
    <row r="7259">
      <c r="Y7259" s="372">
        <v>0.0</v>
      </c>
      <c r="Z7259" s="372">
        <v>0.0</v>
      </c>
    </row>
    <row r="7260">
      <c r="Y7260" s="372">
        <v>0.0</v>
      </c>
      <c r="Z7260" s="372">
        <v>0.0</v>
      </c>
    </row>
    <row r="7261">
      <c r="Y7261" s="372">
        <v>0.0</v>
      </c>
      <c r="Z7261" s="372">
        <v>0.0</v>
      </c>
    </row>
    <row r="7262">
      <c r="Y7262" s="372">
        <v>0.0</v>
      </c>
      <c r="Z7262" s="372">
        <v>0.0</v>
      </c>
    </row>
    <row r="7263">
      <c r="Y7263" s="372">
        <v>0.0</v>
      </c>
      <c r="Z7263" s="372">
        <v>0.0</v>
      </c>
    </row>
    <row r="7264">
      <c r="Y7264" s="372">
        <v>0.0</v>
      </c>
      <c r="Z7264" s="372">
        <v>0.0</v>
      </c>
    </row>
    <row r="7265">
      <c r="Y7265" s="372">
        <v>0.0</v>
      </c>
      <c r="Z7265" s="372">
        <v>0.0</v>
      </c>
    </row>
    <row r="7266">
      <c r="Y7266" s="372">
        <v>0.0</v>
      </c>
      <c r="Z7266" s="372">
        <v>0.0</v>
      </c>
    </row>
    <row r="7267">
      <c r="Y7267" s="372">
        <v>0.0</v>
      </c>
      <c r="Z7267" s="372">
        <v>0.0</v>
      </c>
    </row>
    <row r="7268">
      <c r="Y7268" s="372">
        <v>0.0</v>
      </c>
      <c r="Z7268" s="372">
        <v>0.0</v>
      </c>
    </row>
    <row r="7269">
      <c r="Y7269" s="372">
        <v>0.0</v>
      </c>
      <c r="Z7269" s="372">
        <v>0.0</v>
      </c>
    </row>
    <row r="7270">
      <c r="Y7270" s="372">
        <v>0.0</v>
      </c>
      <c r="Z7270" s="372">
        <v>0.0</v>
      </c>
    </row>
    <row r="7271">
      <c r="Y7271" s="372">
        <v>0.0</v>
      </c>
      <c r="Z7271" s="372">
        <v>0.0</v>
      </c>
    </row>
    <row r="7272">
      <c r="Y7272" s="372">
        <v>0.0</v>
      </c>
      <c r="Z7272" s="372">
        <v>0.0</v>
      </c>
    </row>
    <row r="7273">
      <c r="Y7273" s="372">
        <v>0.0</v>
      </c>
      <c r="Z7273" s="372">
        <v>0.0</v>
      </c>
    </row>
    <row r="7274">
      <c r="Y7274" s="372">
        <v>0.0</v>
      </c>
      <c r="Z7274" s="372">
        <v>0.0</v>
      </c>
    </row>
    <row r="7275">
      <c r="Y7275" s="372">
        <v>0.0</v>
      </c>
      <c r="Z7275" s="372">
        <v>0.0</v>
      </c>
    </row>
    <row r="7276">
      <c r="Y7276" s="372">
        <v>0.0</v>
      </c>
      <c r="Z7276" s="372">
        <v>0.0</v>
      </c>
    </row>
    <row r="7277">
      <c r="Y7277" s="372">
        <v>0.0</v>
      </c>
      <c r="Z7277" s="372">
        <v>0.0</v>
      </c>
    </row>
    <row r="7278">
      <c r="Y7278" s="372">
        <v>0.0</v>
      </c>
      <c r="Z7278" s="372">
        <v>0.0</v>
      </c>
    </row>
    <row r="7279">
      <c r="Y7279" s="372">
        <v>0.0</v>
      </c>
      <c r="Z7279" s="372">
        <v>0.0</v>
      </c>
    </row>
    <row r="7280">
      <c r="Y7280" s="372">
        <v>0.0</v>
      </c>
      <c r="Z7280" s="372">
        <v>0.0</v>
      </c>
    </row>
    <row r="7281">
      <c r="Y7281" s="372">
        <v>0.0</v>
      </c>
      <c r="Z7281" s="372">
        <v>0.0</v>
      </c>
    </row>
    <row r="7282">
      <c r="Y7282" s="372">
        <v>0.0</v>
      </c>
      <c r="Z7282" s="372">
        <v>0.0</v>
      </c>
    </row>
    <row r="7283">
      <c r="Y7283" s="372">
        <v>0.0</v>
      </c>
      <c r="Z7283" s="372">
        <v>0.0</v>
      </c>
    </row>
    <row r="7284">
      <c r="Y7284" s="372">
        <v>0.0</v>
      </c>
      <c r="Z7284" s="372">
        <v>0.0</v>
      </c>
    </row>
    <row r="7285">
      <c r="Y7285" s="372">
        <v>0.0</v>
      </c>
      <c r="Z7285" s="372">
        <v>0.0</v>
      </c>
    </row>
    <row r="7286">
      <c r="Y7286" s="372">
        <v>0.0</v>
      </c>
      <c r="Z7286" s="372">
        <v>0.0</v>
      </c>
    </row>
    <row r="7287">
      <c r="Y7287" s="372">
        <v>0.0</v>
      </c>
      <c r="Z7287" s="372">
        <v>0.0</v>
      </c>
    </row>
    <row r="7288">
      <c r="Y7288" s="372">
        <v>0.0</v>
      </c>
      <c r="Z7288" s="372">
        <v>0.0</v>
      </c>
    </row>
    <row r="7289">
      <c r="Y7289" s="372">
        <v>0.0</v>
      </c>
      <c r="Z7289" s="372">
        <v>0.0</v>
      </c>
    </row>
    <row r="7290">
      <c r="Y7290" s="372">
        <v>0.0</v>
      </c>
      <c r="Z7290" s="372">
        <v>0.0</v>
      </c>
    </row>
    <row r="7291">
      <c r="Y7291" s="372">
        <v>0.0</v>
      </c>
      <c r="Z7291" s="372">
        <v>0.0</v>
      </c>
    </row>
    <row r="7292">
      <c r="Y7292" s="372">
        <v>0.0</v>
      </c>
      <c r="Z7292" s="372">
        <v>0.0</v>
      </c>
    </row>
    <row r="7293">
      <c r="Y7293" s="372">
        <v>0.0</v>
      </c>
      <c r="Z7293" s="372">
        <v>0.0</v>
      </c>
    </row>
    <row r="7294">
      <c r="Y7294" s="372">
        <v>0.0</v>
      </c>
      <c r="Z7294" s="372">
        <v>0.0</v>
      </c>
    </row>
    <row r="7295">
      <c r="Y7295" s="372">
        <v>0.0</v>
      </c>
      <c r="Z7295" s="372">
        <v>0.0</v>
      </c>
    </row>
    <row r="7296">
      <c r="Y7296" s="372">
        <v>0.0</v>
      </c>
      <c r="Z7296" s="372">
        <v>0.0</v>
      </c>
    </row>
    <row r="7297">
      <c r="Y7297" s="372">
        <v>0.0</v>
      </c>
      <c r="Z7297" s="372">
        <v>0.0</v>
      </c>
    </row>
    <row r="7298">
      <c r="Y7298" s="372">
        <v>0.0</v>
      </c>
      <c r="Z7298" s="372">
        <v>0.0</v>
      </c>
    </row>
    <row r="7299">
      <c r="Y7299" s="372">
        <v>0.0</v>
      </c>
      <c r="Z7299" s="372">
        <v>0.0</v>
      </c>
    </row>
    <row r="7300">
      <c r="Y7300" s="372">
        <v>0.0</v>
      </c>
      <c r="Z7300" s="372">
        <v>0.0</v>
      </c>
    </row>
    <row r="7301">
      <c r="Y7301" s="372">
        <v>0.0</v>
      </c>
      <c r="Z7301" s="372">
        <v>0.0</v>
      </c>
    </row>
    <row r="7302">
      <c r="Y7302" s="372">
        <v>0.0</v>
      </c>
      <c r="Z7302" s="372">
        <v>0.0</v>
      </c>
    </row>
    <row r="7303">
      <c r="Y7303" s="372">
        <v>0.0</v>
      </c>
      <c r="Z7303" s="372">
        <v>0.0</v>
      </c>
    </row>
    <row r="7304">
      <c r="Y7304" s="372">
        <v>0.0</v>
      </c>
      <c r="Z7304" s="372">
        <v>0.0</v>
      </c>
    </row>
    <row r="7305">
      <c r="Y7305" s="372">
        <v>0.0</v>
      </c>
      <c r="Z7305" s="372">
        <v>0.0</v>
      </c>
    </row>
    <row r="7306">
      <c r="Y7306" s="372">
        <v>0.0</v>
      </c>
      <c r="Z7306" s="372">
        <v>0.0</v>
      </c>
    </row>
    <row r="7307">
      <c r="Y7307" s="372">
        <v>0.0</v>
      </c>
      <c r="Z7307" s="372">
        <v>0.0</v>
      </c>
    </row>
    <row r="7308">
      <c r="Y7308" s="372">
        <v>0.0</v>
      </c>
      <c r="Z7308" s="372">
        <v>0.0</v>
      </c>
    </row>
    <row r="7309">
      <c r="Y7309" s="372">
        <v>0.0</v>
      </c>
      <c r="Z7309" s="372">
        <v>0.0</v>
      </c>
    </row>
    <row r="7310">
      <c r="Y7310" s="372">
        <v>0.0</v>
      </c>
      <c r="Z7310" s="372">
        <v>0.0</v>
      </c>
    </row>
    <row r="7311">
      <c r="Y7311" s="372">
        <v>0.0</v>
      </c>
      <c r="Z7311" s="372">
        <v>0.0</v>
      </c>
    </row>
    <row r="7312">
      <c r="Y7312" s="372">
        <v>0.0</v>
      </c>
      <c r="Z7312" s="372">
        <v>0.0</v>
      </c>
    </row>
    <row r="7313">
      <c r="Y7313" s="372">
        <v>0.0</v>
      </c>
      <c r="Z7313" s="372">
        <v>0.0</v>
      </c>
    </row>
    <row r="7314">
      <c r="Y7314" s="372">
        <v>0.0</v>
      </c>
      <c r="Z7314" s="372">
        <v>0.0</v>
      </c>
    </row>
    <row r="7315">
      <c r="Y7315" s="372">
        <v>0.0</v>
      </c>
      <c r="Z7315" s="372">
        <v>0.0</v>
      </c>
    </row>
    <row r="7316">
      <c r="Y7316" s="372">
        <v>0.0</v>
      </c>
      <c r="Z7316" s="372">
        <v>0.0</v>
      </c>
    </row>
    <row r="7317">
      <c r="Y7317" s="372">
        <v>0.0</v>
      </c>
      <c r="Z7317" s="372">
        <v>0.0</v>
      </c>
    </row>
    <row r="7318">
      <c r="Y7318" s="372">
        <v>0.0</v>
      </c>
      <c r="Z7318" s="372">
        <v>0.0</v>
      </c>
    </row>
    <row r="7319">
      <c r="Y7319" s="372">
        <v>0.0</v>
      </c>
      <c r="Z7319" s="372">
        <v>0.0</v>
      </c>
    </row>
    <row r="7320">
      <c r="Y7320" s="372">
        <v>0.0</v>
      </c>
      <c r="Z7320" s="372">
        <v>0.0</v>
      </c>
    </row>
    <row r="7321">
      <c r="Y7321" s="372">
        <v>0.0</v>
      </c>
      <c r="Z7321" s="372">
        <v>0.0</v>
      </c>
    </row>
    <row r="7322">
      <c r="Y7322" s="372">
        <v>0.0</v>
      </c>
      <c r="Z7322" s="372">
        <v>0.0</v>
      </c>
    </row>
    <row r="7323">
      <c r="Y7323" s="372">
        <v>0.0</v>
      </c>
      <c r="Z7323" s="372">
        <v>0.0</v>
      </c>
    </row>
    <row r="7324">
      <c r="Y7324" s="372">
        <v>0.0</v>
      </c>
      <c r="Z7324" s="372">
        <v>0.0</v>
      </c>
    </row>
    <row r="7325">
      <c r="Y7325" s="372">
        <v>0.0</v>
      </c>
      <c r="Z7325" s="372">
        <v>0.0</v>
      </c>
    </row>
    <row r="7326">
      <c r="Y7326" s="372">
        <v>0.0</v>
      </c>
      <c r="Z7326" s="372">
        <v>0.0</v>
      </c>
    </row>
    <row r="7327">
      <c r="Y7327" s="372">
        <v>0.0</v>
      </c>
      <c r="Z7327" s="372">
        <v>0.0</v>
      </c>
    </row>
    <row r="7328">
      <c r="Y7328" s="372">
        <v>0.0</v>
      </c>
      <c r="Z7328" s="372">
        <v>0.0</v>
      </c>
    </row>
    <row r="7329">
      <c r="Y7329" s="372">
        <v>0.0</v>
      </c>
      <c r="Z7329" s="372">
        <v>0.0</v>
      </c>
    </row>
    <row r="7330">
      <c r="Y7330" s="372">
        <v>0.0</v>
      </c>
      <c r="Z7330" s="372">
        <v>0.0</v>
      </c>
    </row>
    <row r="7331">
      <c r="Y7331" s="372">
        <v>0.0</v>
      </c>
      <c r="Z7331" s="372">
        <v>0.0</v>
      </c>
    </row>
    <row r="7332">
      <c r="Y7332" s="372">
        <v>0.0</v>
      </c>
      <c r="Z7332" s="372">
        <v>0.0</v>
      </c>
    </row>
    <row r="7333">
      <c r="Y7333" s="372">
        <v>0.0</v>
      </c>
      <c r="Z7333" s="372">
        <v>0.0</v>
      </c>
    </row>
    <row r="7334">
      <c r="Y7334" s="372">
        <v>0.0</v>
      </c>
      <c r="Z7334" s="372">
        <v>0.0</v>
      </c>
    </row>
    <row r="7335">
      <c r="Y7335" s="372">
        <v>0.0</v>
      </c>
      <c r="Z7335" s="372">
        <v>0.0</v>
      </c>
    </row>
    <row r="7336">
      <c r="Y7336" s="372">
        <v>0.0</v>
      </c>
      <c r="Z7336" s="372">
        <v>0.0</v>
      </c>
    </row>
    <row r="7337">
      <c r="Y7337" s="372">
        <v>0.0</v>
      </c>
      <c r="Z7337" s="372">
        <v>0.0</v>
      </c>
    </row>
    <row r="7338">
      <c r="Y7338" s="372">
        <v>0.0</v>
      </c>
      <c r="Z7338" s="372">
        <v>0.0</v>
      </c>
    </row>
    <row r="7339">
      <c r="Y7339" s="372">
        <v>0.0</v>
      </c>
      <c r="Z7339" s="372">
        <v>0.0</v>
      </c>
    </row>
    <row r="7340">
      <c r="Y7340" s="372">
        <v>0.0</v>
      </c>
      <c r="Z7340" s="372">
        <v>0.0</v>
      </c>
    </row>
    <row r="7341">
      <c r="Y7341" s="372">
        <v>0.0</v>
      </c>
      <c r="Z7341" s="372">
        <v>0.0</v>
      </c>
    </row>
    <row r="7342">
      <c r="Y7342" s="372">
        <v>0.0</v>
      </c>
      <c r="Z7342" s="372">
        <v>0.0</v>
      </c>
    </row>
    <row r="7343">
      <c r="Y7343" s="372">
        <v>0.0</v>
      </c>
      <c r="Z7343" s="372">
        <v>0.0</v>
      </c>
    </row>
    <row r="7344">
      <c r="Y7344" s="372">
        <v>0.0</v>
      </c>
      <c r="Z7344" s="372">
        <v>0.0</v>
      </c>
    </row>
    <row r="7345">
      <c r="Y7345" s="372">
        <v>0.0</v>
      </c>
      <c r="Z7345" s="372">
        <v>0.0</v>
      </c>
    </row>
    <row r="7346">
      <c r="Y7346" s="372">
        <v>0.0</v>
      </c>
      <c r="Z7346" s="372">
        <v>0.0</v>
      </c>
    </row>
    <row r="7347">
      <c r="Y7347" s="372">
        <v>0.0</v>
      </c>
      <c r="Z7347" s="372">
        <v>0.0</v>
      </c>
    </row>
    <row r="7348">
      <c r="Y7348" s="372">
        <v>0.0</v>
      </c>
      <c r="Z7348" s="372">
        <v>0.0</v>
      </c>
    </row>
    <row r="7349">
      <c r="Y7349" s="372">
        <v>0.0</v>
      </c>
      <c r="Z7349" s="372">
        <v>0.0</v>
      </c>
    </row>
    <row r="7350">
      <c r="Y7350" s="372">
        <v>0.0</v>
      </c>
      <c r="Z7350" s="372">
        <v>0.0</v>
      </c>
    </row>
    <row r="7351">
      <c r="Y7351" s="372">
        <v>0.0</v>
      </c>
      <c r="Z7351" s="372">
        <v>0.0</v>
      </c>
    </row>
    <row r="7352">
      <c r="Y7352" s="372">
        <v>0.0</v>
      </c>
      <c r="Z7352" s="372">
        <v>0.0</v>
      </c>
    </row>
    <row r="7353">
      <c r="Y7353" s="372">
        <v>0.0</v>
      </c>
      <c r="Z7353" s="372">
        <v>0.0</v>
      </c>
    </row>
    <row r="7354">
      <c r="Y7354" s="372">
        <v>0.0</v>
      </c>
      <c r="Z7354" s="372">
        <v>0.0</v>
      </c>
    </row>
    <row r="7355">
      <c r="Y7355" s="372">
        <v>0.0</v>
      </c>
      <c r="Z7355" s="372">
        <v>0.0</v>
      </c>
    </row>
    <row r="7356">
      <c r="Y7356" s="372">
        <v>0.0</v>
      </c>
      <c r="Z7356" s="372">
        <v>0.0</v>
      </c>
    </row>
    <row r="7357">
      <c r="Y7357" s="372">
        <v>0.0</v>
      </c>
      <c r="Z7357" s="372">
        <v>0.0</v>
      </c>
    </row>
    <row r="7358">
      <c r="Y7358" s="372">
        <v>0.0</v>
      </c>
      <c r="Z7358" s="372">
        <v>0.0</v>
      </c>
    </row>
    <row r="7359">
      <c r="Y7359" s="372">
        <v>0.0</v>
      </c>
      <c r="Z7359" s="372">
        <v>0.0</v>
      </c>
    </row>
    <row r="7360">
      <c r="Y7360" s="372">
        <v>0.0</v>
      </c>
      <c r="Z7360" s="372">
        <v>0.0</v>
      </c>
    </row>
    <row r="7361">
      <c r="Y7361" s="372">
        <v>0.0</v>
      </c>
      <c r="Z7361" s="372">
        <v>0.0</v>
      </c>
    </row>
    <row r="7362">
      <c r="Y7362" s="372">
        <v>0.0</v>
      </c>
      <c r="Z7362" s="372">
        <v>0.0</v>
      </c>
    </row>
    <row r="7363">
      <c r="Y7363" s="372">
        <v>0.0</v>
      </c>
      <c r="Z7363" s="372">
        <v>0.0</v>
      </c>
    </row>
    <row r="7364">
      <c r="Y7364" s="372">
        <v>0.0</v>
      </c>
      <c r="Z7364" s="372">
        <v>0.0</v>
      </c>
    </row>
    <row r="7365">
      <c r="Y7365" s="372">
        <v>0.0</v>
      </c>
      <c r="Z7365" s="372">
        <v>0.0</v>
      </c>
    </row>
    <row r="7366">
      <c r="Y7366" s="372">
        <v>0.0</v>
      </c>
      <c r="Z7366" s="372">
        <v>0.0</v>
      </c>
    </row>
    <row r="7367">
      <c r="Y7367" s="372">
        <v>0.0</v>
      </c>
      <c r="Z7367" s="372">
        <v>0.0</v>
      </c>
    </row>
    <row r="7368">
      <c r="Y7368" s="372">
        <v>0.0</v>
      </c>
      <c r="Z7368" s="372">
        <v>0.0</v>
      </c>
    </row>
    <row r="7369">
      <c r="Y7369" s="372">
        <v>0.0</v>
      </c>
      <c r="Z7369" s="372">
        <v>0.0</v>
      </c>
    </row>
    <row r="7370">
      <c r="Y7370" s="372">
        <v>0.0</v>
      </c>
      <c r="Z7370" s="372">
        <v>0.0</v>
      </c>
    </row>
    <row r="7371">
      <c r="Y7371" s="372">
        <v>0.0</v>
      </c>
      <c r="Z7371" s="372">
        <v>0.0</v>
      </c>
    </row>
    <row r="7372">
      <c r="Y7372" s="372">
        <v>0.0</v>
      </c>
      <c r="Z7372" s="372">
        <v>0.0</v>
      </c>
    </row>
    <row r="7373">
      <c r="Y7373" s="372">
        <v>0.0</v>
      </c>
      <c r="Z7373" s="372">
        <v>0.0</v>
      </c>
    </row>
    <row r="7374">
      <c r="Y7374" s="372">
        <v>0.0</v>
      </c>
      <c r="Z7374" s="372">
        <v>0.0</v>
      </c>
    </row>
    <row r="7375">
      <c r="Y7375" s="372">
        <v>0.0</v>
      </c>
      <c r="Z7375" s="372">
        <v>0.0</v>
      </c>
    </row>
    <row r="7376">
      <c r="Y7376" s="372">
        <v>0.0</v>
      </c>
      <c r="Z7376" s="372">
        <v>0.0</v>
      </c>
    </row>
    <row r="7377">
      <c r="Y7377" s="372">
        <v>0.0</v>
      </c>
      <c r="Z7377" s="372">
        <v>0.0</v>
      </c>
    </row>
    <row r="7378">
      <c r="Y7378" s="372">
        <v>0.0</v>
      </c>
      <c r="Z7378" s="372">
        <v>0.0</v>
      </c>
    </row>
    <row r="7379">
      <c r="Y7379" s="372">
        <v>0.0</v>
      </c>
      <c r="Z7379" s="372">
        <v>0.0</v>
      </c>
    </row>
    <row r="7380">
      <c r="Y7380" s="372">
        <v>0.0</v>
      </c>
      <c r="Z7380" s="372">
        <v>0.0</v>
      </c>
    </row>
    <row r="7381">
      <c r="Y7381" s="372">
        <v>0.0</v>
      </c>
      <c r="Z7381" s="372">
        <v>0.0</v>
      </c>
    </row>
    <row r="7382">
      <c r="Y7382" s="372">
        <v>0.0</v>
      </c>
      <c r="Z7382" s="372">
        <v>0.0</v>
      </c>
    </row>
    <row r="7383">
      <c r="Y7383" s="372">
        <v>0.0</v>
      </c>
      <c r="Z7383" s="372">
        <v>0.0</v>
      </c>
    </row>
    <row r="7384">
      <c r="Y7384" s="372">
        <v>0.0</v>
      </c>
      <c r="Z7384" s="372">
        <v>0.0</v>
      </c>
    </row>
    <row r="7385">
      <c r="Y7385" s="372">
        <v>0.0</v>
      </c>
      <c r="Z7385" s="372">
        <v>0.0</v>
      </c>
    </row>
    <row r="7386">
      <c r="Y7386" s="372">
        <v>0.0</v>
      </c>
      <c r="Z7386" s="372">
        <v>0.0</v>
      </c>
    </row>
    <row r="7387">
      <c r="Y7387" s="372">
        <v>0.0</v>
      </c>
      <c r="Z7387" s="372">
        <v>0.0</v>
      </c>
    </row>
    <row r="7388">
      <c r="Y7388" s="372">
        <v>0.0</v>
      </c>
      <c r="Z7388" s="372">
        <v>0.0</v>
      </c>
    </row>
    <row r="7389">
      <c r="Y7389" s="372">
        <v>0.0</v>
      </c>
      <c r="Z7389" s="372">
        <v>0.0</v>
      </c>
    </row>
    <row r="7390">
      <c r="Y7390" s="372">
        <v>0.0</v>
      </c>
      <c r="Z7390" s="372">
        <v>0.0</v>
      </c>
    </row>
    <row r="7391">
      <c r="Y7391" s="372">
        <v>0.0</v>
      </c>
      <c r="Z7391" s="372">
        <v>0.0</v>
      </c>
    </row>
    <row r="7392">
      <c r="Y7392" s="372">
        <v>0.0</v>
      </c>
      <c r="Z7392" s="372">
        <v>0.0</v>
      </c>
    </row>
    <row r="7393">
      <c r="Y7393" s="372">
        <v>0.0</v>
      </c>
      <c r="Z7393" s="372">
        <v>0.0</v>
      </c>
    </row>
    <row r="7394">
      <c r="Y7394" s="372">
        <v>0.0</v>
      </c>
      <c r="Z7394" s="372">
        <v>0.0</v>
      </c>
    </row>
    <row r="7395">
      <c r="Y7395" s="372">
        <v>0.0</v>
      </c>
      <c r="Z7395" s="372">
        <v>0.0</v>
      </c>
    </row>
    <row r="7396">
      <c r="Y7396" s="372">
        <v>0.0</v>
      </c>
      <c r="Z7396" s="372">
        <v>0.0</v>
      </c>
    </row>
    <row r="7397">
      <c r="Y7397" s="372">
        <v>0.0</v>
      </c>
      <c r="Z7397" s="372">
        <v>0.0</v>
      </c>
    </row>
    <row r="7398">
      <c r="Y7398" s="372">
        <v>0.0</v>
      </c>
      <c r="Z7398" s="372">
        <v>0.0</v>
      </c>
    </row>
    <row r="7399">
      <c r="Y7399" s="372">
        <v>0.0</v>
      </c>
      <c r="Z7399" s="372">
        <v>0.0</v>
      </c>
    </row>
    <row r="7400">
      <c r="Y7400" s="372">
        <v>0.0</v>
      </c>
      <c r="Z7400" s="372">
        <v>0.0</v>
      </c>
    </row>
    <row r="7401">
      <c r="Y7401" s="372">
        <v>0.0</v>
      </c>
      <c r="Z7401" s="372">
        <v>0.0</v>
      </c>
    </row>
    <row r="7402">
      <c r="Y7402" s="372">
        <v>0.0</v>
      </c>
      <c r="Z7402" s="372">
        <v>0.0</v>
      </c>
    </row>
    <row r="7403">
      <c r="Y7403" s="372">
        <v>0.0</v>
      </c>
      <c r="Z7403" s="372">
        <v>0.0</v>
      </c>
    </row>
    <row r="7404">
      <c r="Y7404" s="372">
        <v>0.0</v>
      </c>
      <c r="Z7404" s="372">
        <v>0.0</v>
      </c>
    </row>
    <row r="7405">
      <c r="Y7405" s="372">
        <v>0.0</v>
      </c>
      <c r="Z7405" s="372">
        <v>0.0</v>
      </c>
    </row>
    <row r="7406">
      <c r="Y7406" s="372">
        <v>0.0</v>
      </c>
      <c r="Z7406" s="372">
        <v>0.0</v>
      </c>
    </row>
    <row r="7407">
      <c r="Y7407" s="372">
        <v>0.0</v>
      </c>
      <c r="Z7407" s="372">
        <v>0.0</v>
      </c>
    </row>
    <row r="7408">
      <c r="Y7408" s="372">
        <v>0.0</v>
      </c>
      <c r="Z7408" s="372">
        <v>0.0</v>
      </c>
    </row>
    <row r="7409">
      <c r="Y7409" s="372">
        <v>0.0</v>
      </c>
      <c r="Z7409" s="372">
        <v>0.0</v>
      </c>
    </row>
    <row r="7410">
      <c r="Y7410" s="372">
        <v>0.0</v>
      </c>
      <c r="Z7410" s="372">
        <v>0.0</v>
      </c>
    </row>
    <row r="7411">
      <c r="Y7411" s="372">
        <v>0.0</v>
      </c>
      <c r="Z7411" s="372">
        <v>0.0</v>
      </c>
    </row>
    <row r="7412">
      <c r="Y7412" s="372">
        <v>0.0</v>
      </c>
      <c r="Z7412" s="372">
        <v>0.0</v>
      </c>
    </row>
    <row r="7413">
      <c r="Y7413" s="372">
        <v>0.0</v>
      </c>
      <c r="Z7413" s="372">
        <v>0.0</v>
      </c>
    </row>
    <row r="7414">
      <c r="Y7414" s="372">
        <v>0.0</v>
      </c>
      <c r="Z7414" s="372">
        <v>0.0</v>
      </c>
    </row>
    <row r="7415">
      <c r="Y7415" s="372">
        <v>0.0</v>
      </c>
      <c r="Z7415" s="372">
        <v>0.0</v>
      </c>
    </row>
    <row r="7416">
      <c r="Y7416" s="372">
        <v>0.0</v>
      </c>
      <c r="Z7416" s="372">
        <v>0.0</v>
      </c>
    </row>
    <row r="7417">
      <c r="Y7417" s="372">
        <v>0.0</v>
      </c>
      <c r="Z7417" s="372">
        <v>0.0</v>
      </c>
    </row>
    <row r="7418">
      <c r="Y7418" s="372">
        <v>0.0</v>
      </c>
      <c r="Z7418" s="372">
        <v>0.0</v>
      </c>
    </row>
    <row r="7419">
      <c r="Y7419" s="372">
        <v>0.0</v>
      </c>
      <c r="Z7419" s="372">
        <v>0.0</v>
      </c>
    </row>
    <row r="7420">
      <c r="Y7420" s="372">
        <v>0.0</v>
      </c>
      <c r="Z7420" s="372">
        <v>0.0</v>
      </c>
    </row>
    <row r="7421">
      <c r="Y7421" s="372">
        <v>0.0</v>
      </c>
      <c r="Z7421" s="372">
        <v>0.0</v>
      </c>
    </row>
    <row r="7422">
      <c r="Y7422" s="372">
        <v>0.0</v>
      </c>
      <c r="Z7422" s="372">
        <v>0.0</v>
      </c>
    </row>
    <row r="7423">
      <c r="Y7423" s="372">
        <v>0.0</v>
      </c>
      <c r="Z7423" s="372">
        <v>0.0</v>
      </c>
    </row>
    <row r="7424">
      <c r="Y7424" s="372">
        <v>0.0</v>
      </c>
      <c r="Z7424" s="372">
        <v>0.0</v>
      </c>
    </row>
    <row r="7425">
      <c r="Y7425" s="372">
        <v>0.0</v>
      </c>
      <c r="Z7425" s="372">
        <v>0.0</v>
      </c>
    </row>
    <row r="7426">
      <c r="Y7426" s="372">
        <v>0.0</v>
      </c>
      <c r="Z7426" s="372">
        <v>0.0</v>
      </c>
    </row>
    <row r="7427">
      <c r="Y7427" s="372">
        <v>0.0</v>
      </c>
      <c r="Z7427" s="372">
        <v>0.0</v>
      </c>
    </row>
    <row r="7428">
      <c r="Y7428" s="372">
        <v>0.0</v>
      </c>
      <c r="Z7428" s="372">
        <v>0.0</v>
      </c>
    </row>
    <row r="7429">
      <c r="Y7429" s="372">
        <v>0.0</v>
      </c>
      <c r="Z7429" s="372">
        <v>0.0</v>
      </c>
    </row>
    <row r="7430">
      <c r="Y7430" s="372">
        <v>0.0</v>
      </c>
      <c r="Z7430" s="372">
        <v>0.0</v>
      </c>
    </row>
    <row r="7431">
      <c r="Y7431" s="372">
        <v>0.0</v>
      </c>
      <c r="Z7431" s="372">
        <v>0.0</v>
      </c>
    </row>
    <row r="7432">
      <c r="Y7432" s="372">
        <v>0.0</v>
      </c>
      <c r="Z7432" s="372">
        <v>0.0</v>
      </c>
    </row>
    <row r="7433">
      <c r="Y7433" s="372">
        <v>0.0</v>
      </c>
      <c r="Z7433" s="372">
        <v>0.0</v>
      </c>
    </row>
    <row r="7434">
      <c r="Y7434" s="372">
        <v>0.0</v>
      </c>
      <c r="Z7434" s="372">
        <v>0.0</v>
      </c>
    </row>
    <row r="7435">
      <c r="Y7435" s="372">
        <v>0.0</v>
      </c>
      <c r="Z7435" s="372">
        <v>0.0</v>
      </c>
    </row>
    <row r="7436">
      <c r="Y7436" s="372">
        <v>0.0</v>
      </c>
      <c r="Z7436" s="372">
        <v>0.0</v>
      </c>
    </row>
    <row r="7437">
      <c r="Y7437" s="372">
        <v>0.0</v>
      </c>
      <c r="Z7437" s="372">
        <v>0.0</v>
      </c>
    </row>
    <row r="7438">
      <c r="Y7438" s="372">
        <v>0.0</v>
      </c>
      <c r="Z7438" s="372">
        <v>0.0</v>
      </c>
    </row>
    <row r="7439">
      <c r="Y7439" s="372">
        <v>0.0</v>
      </c>
      <c r="Z7439" s="372">
        <v>0.0</v>
      </c>
    </row>
    <row r="7440">
      <c r="Y7440" s="372">
        <v>0.0</v>
      </c>
      <c r="Z7440" s="372">
        <v>0.0</v>
      </c>
    </row>
    <row r="7441">
      <c r="Y7441" s="372">
        <v>0.0</v>
      </c>
      <c r="Z7441" s="372">
        <v>0.0</v>
      </c>
    </row>
    <row r="7442">
      <c r="Y7442" s="372">
        <v>0.0</v>
      </c>
      <c r="Z7442" s="372">
        <v>0.0</v>
      </c>
    </row>
    <row r="7443">
      <c r="Y7443" s="372">
        <v>0.0</v>
      </c>
      <c r="Z7443" s="372">
        <v>0.0</v>
      </c>
    </row>
    <row r="7444">
      <c r="Y7444" s="372">
        <v>0.0</v>
      </c>
      <c r="Z7444" s="372">
        <v>0.0</v>
      </c>
    </row>
    <row r="7445">
      <c r="Y7445" s="372">
        <v>0.0</v>
      </c>
      <c r="Z7445" s="372">
        <v>0.0</v>
      </c>
    </row>
    <row r="7446">
      <c r="Y7446" s="372">
        <v>0.0</v>
      </c>
      <c r="Z7446" s="372">
        <v>0.0</v>
      </c>
    </row>
    <row r="7447">
      <c r="Y7447" s="372">
        <v>0.0</v>
      </c>
      <c r="Z7447" s="372">
        <v>0.0</v>
      </c>
    </row>
    <row r="7448">
      <c r="Y7448" s="372">
        <v>0.0</v>
      </c>
      <c r="Z7448" s="372">
        <v>0.0</v>
      </c>
    </row>
    <row r="7449">
      <c r="Y7449" s="372">
        <v>0.0</v>
      </c>
      <c r="Z7449" s="372">
        <v>0.0</v>
      </c>
    </row>
    <row r="7450">
      <c r="Y7450" s="372">
        <v>0.0</v>
      </c>
      <c r="Z7450" s="372">
        <v>0.0</v>
      </c>
    </row>
    <row r="7451">
      <c r="Y7451" s="372">
        <v>0.0</v>
      </c>
      <c r="Z7451" s="372">
        <v>0.0</v>
      </c>
    </row>
    <row r="7452">
      <c r="Y7452" s="372">
        <v>0.0</v>
      </c>
      <c r="Z7452" s="372">
        <v>0.0</v>
      </c>
    </row>
    <row r="7453">
      <c r="Y7453" s="372">
        <v>0.0</v>
      </c>
      <c r="Z7453" s="372">
        <v>0.0</v>
      </c>
    </row>
    <row r="7454">
      <c r="Y7454" s="372">
        <v>0.0</v>
      </c>
      <c r="Z7454" s="372">
        <v>0.0</v>
      </c>
    </row>
    <row r="7455">
      <c r="Y7455" s="372">
        <v>0.0</v>
      </c>
      <c r="Z7455" s="372">
        <v>0.0</v>
      </c>
    </row>
    <row r="7456">
      <c r="Y7456" s="372">
        <v>0.0</v>
      </c>
      <c r="Z7456" s="372">
        <v>0.0</v>
      </c>
    </row>
    <row r="7457">
      <c r="Y7457" s="372">
        <v>0.0</v>
      </c>
      <c r="Z7457" s="372">
        <v>0.0</v>
      </c>
    </row>
    <row r="7458">
      <c r="Y7458" s="372">
        <v>0.0</v>
      </c>
      <c r="Z7458" s="372">
        <v>0.0</v>
      </c>
    </row>
    <row r="7459">
      <c r="Y7459" s="372">
        <v>0.0</v>
      </c>
      <c r="Z7459" s="372">
        <v>0.0</v>
      </c>
    </row>
    <row r="7460">
      <c r="Y7460" s="372">
        <v>0.0</v>
      </c>
      <c r="Z7460" s="372">
        <v>0.0</v>
      </c>
    </row>
    <row r="7461">
      <c r="Y7461" s="372">
        <v>0.0</v>
      </c>
      <c r="Z7461" s="372">
        <v>0.0</v>
      </c>
    </row>
    <row r="7462">
      <c r="Y7462" s="372">
        <v>0.0</v>
      </c>
      <c r="Z7462" s="372">
        <v>0.0</v>
      </c>
    </row>
    <row r="7463">
      <c r="Y7463" s="372">
        <v>0.0</v>
      </c>
      <c r="Z7463" s="372">
        <v>0.0</v>
      </c>
    </row>
    <row r="7464">
      <c r="Y7464" s="372">
        <v>0.0</v>
      </c>
      <c r="Z7464" s="372">
        <v>0.0</v>
      </c>
    </row>
    <row r="7465">
      <c r="Y7465" s="372">
        <v>0.0</v>
      </c>
      <c r="Z7465" s="372">
        <v>0.0</v>
      </c>
    </row>
    <row r="7466">
      <c r="Y7466" s="372">
        <v>0.0</v>
      </c>
      <c r="Z7466" s="372">
        <v>0.0</v>
      </c>
    </row>
    <row r="7467">
      <c r="Y7467" s="372">
        <v>0.0</v>
      </c>
      <c r="Z7467" s="372">
        <v>0.0</v>
      </c>
    </row>
    <row r="7468">
      <c r="Y7468" s="372">
        <v>0.0</v>
      </c>
      <c r="Z7468" s="372">
        <v>0.0</v>
      </c>
    </row>
    <row r="7469">
      <c r="Y7469" s="372">
        <v>0.0</v>
      </c>
      <c r="Z7469" s="372">
        <v>0.0</v>
      </c>
    </row>
    <row r="7470">
      <c r="Y7470" s="372">
        <v>0.0</v>
      </c>
      <c r="Z7470" s="372">
        <v>0.0</v>
      </c>
    </row>
    <row r="7471">
      <c r="Y7471" s="372">
        <v>0.0</v>
      </c>
      <c r="Z7471" s="372">
        <v>0.0</v>
      </c>
    </row>
    <row r="7472">
      <c r="Y7472" s="372">
        <v>0.0</v>
      </c>
      <c r="Z7472" s="372">
        <v>0.0</v>
      </c>
    </row>
    <row r="7473">
      <c r="Y7473" s="372">
        <v>0.0</v>
      </c>
      <c r="Z7473" s="372">
        <v>0.0</v>
      </c>
    </row>
    <row r="7474">
      <c r="Y7474" s="372">
        <v>0.0</v>
      </c>
      <c r="Z7474" s="372">
        <v>0.0</v>
      </c>
    </row>
    <row r="7475">
      <c r="Y7475" s="372">
        <v>0.0</v>
      </c>
      <c r="Z7475" s="372">
        <v>0.0</v>
      </c>
    </row>
    <row r="7476">
      <c r="Y7476" s="372">
        <v>0.0</v>
      </c>
      <c r="Z7476" s="372">
        <v>0.0</v>
      </c>
    </row>
    <row r="7477">
      <c r="Y7477" s="372">
        <v>0.0</v>
      </c>
      <c r="Z7477" s="372">
        <v>0.0</v>
      </c>
    </row>
    <row r="7478">
      <c r="Y7478" s="372">
        <v>0.0</v>
      </c>
      <c r="Z7478" s="372">
        <v>0.0</v>
      </c>
    </row>
    <row r="7479">
      <c r="Y7479" s="372">
        <v>0.0</v>
      </c>
      <c r="Z7479" s="372">
        <v>0.0</v>
      </c>
    </row>
    <row r="7480">
      <c r="Y7480" s="372">
        <v>0.0</v>
      </c>
      <c r="Z7480" s="372">
        <v>0.0</v>
      </c>
    </row>
    <row r="7481">
      <c r="Y7481" s="372">
        <v>0.0</v>
      </c>
      <c r="Z7481" s="372">
        <v>0.0</v>
      </c>
    </row>
    <row r="7482">
      <c r="Y7482" s="372">
        <v>0.0</v>
      </c>
      <c r="Z7482" s="372">
        <v>0.0</v>
      </c>
    </row>
    <row r="7483">
      <c r="Y7483" s="372">
        <v>0.0</v>
      </c>
      <c r="Z7483" s="372">
        <v>0.0</v>
      </c>
    </row>
    <row r="7484">
      <c r="Y7484" s="372">
        <v>0.0</v>
      </c>
      <c r="Z7484" s="372">
        <v>0.0</v>
      </c>
    </row>
    <row r="7485">
      <c r="Y7485" s="372">
        <v>0.0</v>
      </c>
      <c r="Z7485" s="372">
        <v>0.0</v>
      </c>
    </row>
    <row r="7486">
      <c r="Y7486" s="372">
        <v>0.0</v>
      </c>
      <c r="Z7486" s="372">
        <v>0.0</v>
      </c>
    </row>
    <row r="7487">
      <c r="Y7487" s="372">
        <v>0.0</v>
      </c>
      <c r="Z7487" s="372">
        <v>0.0</v>
      </c>
    </row>
    <row r="7488">
      <c r="Y7488" s="372">
        <v>0.0</v>
      </c>
      <c r="Z7488" s="372">
        <v>0.0</v>
      </c>
    </row>
    <row r="7489">
      <c r="Y7489" s="372">
        <v>0.0</v>
      </c>
      <c r="Z7489" s="372">
        <v>0.0</v>
      </c>
    </row>
    <row r="7490">
      <c r="Y7490" s="372">
        <v>0.0</v>
      </c>
      <c r="Z7490" s="372">
        <v>0.0</v>
      </c>
    </row>
    <row r="7491">
      <c r="Y7491" s="372">
        <v>0.0</v>
      </c>
      <c r="Z7491" s="372">
        <v>0.0</v>
      </c>
    </row>
    <row r="7492">
      <c r="Y7492" s="372">
        <v>0.0</v>
      </c>
      <c r="Z7492" s="372">
        <v>0.0</v>
      </c>
    </row>
    <row r="7493">
      <c r="Y7493" s="372">
        <v>0.0</v>
      </c>
      <c r="Z7493" s="372">
        <v>0.0</v>
      </c>
    </row>
    <row r="7494">
      <c r="Y7494" s="372">
        <v>0.0</v>
      </c>
      <c r="Z7494" s="372">
        <v>0.0</v>
      </c>
    </row>
    <row r="7495">
      <c r="Y7495" s="372">
        <v>0.0</v>
      </c>
      <c r="Z7495" s="372">
        <v>0.0</v>
      </c>
    </row>
    <row r="7496">
      <c r="Y7496" s="372">
        <v>0.0</v>
      </c>
      <c r="Z7496" s="372">
        <v>0.0</v>
      </c>
    </row>
    <row r="7497">
      <c r="Y7497" s="372">
        <v>0.0</v>
      </c>
      <c r="Z7497" s="372">
        <v>0.0</v>
      </c>
    </row>
    <row r="7498">
      <c r="Y7498" s="372">
        <v>0.0</v>
      </c>
      <c r="Z7498" s="372">
        <v>0.0</v>
      </c>
    </row>
    <row r="7499">
      <c r="Y7499" s="372">
        <v>0.0</v>
      </c>
      <c r="Z7499" s="372">
        <v>0.0</v>
      </c>
    </row>
    <row r="7500">
      <c r="Y7500" s="372">
        <v>0.0</v>
      </c>
      <c r="Z7500" s="372">
        <v>0.0</v>
      </c>
    </row>
    <row r="7501">
      <c r="Y7501" s="372">
        <v>0.0</v>
      </c>
      <c r="Z7501" s="372">
        <v>0.0</v>
      </c>
    </row>
    <row r="7502">
      <c r="Y7502" s="372">
        <v>0.0</v>
      </c>
      <c r="Z7502" s="372">
        <v>0.0</v>
      </c>
    </row>
    <row r="7503">
      <c r="Y7503" s="372">
        <v>0.0</v>
      </c>
      <c r="Z7503" s="372">
        <v>0.0</v>
      </c>
    </row>
    <row r="7504">
      <c r="Y7504" s="372">
        <v>0.0</v>
      </c>
      <c r="Z7504" s="372">
        <v>0.0</v>
      </c>
    </row>
    <row r="7505">
      <c r="Y7505" s="372">
        <v>0.0</v>
      </c>
      <c r="Z7505" s="372">
        <v>0.0</v>
      </c>
    </row>
    <row r="7506">
      <c r="Y7506" s="372">
        <v>0.0</v>
      </c>
      <c r="Z7506" s="372">
        <v>0.0</v>
      </c>
    </row>
    <row r="7507">
      <c r="Y7507" s="372">
        <v>0.0</v>
      </c>
      <c r="Z7507" s="372">
        <v>0.0</v>
      </c>
    </row>
    <row r="7508">
      <c r="Y7508" s="372">
        <v>0.0</v>
      </c>
      <c r="Z7508" s="372">
        <v>0.0</v>
      </c>
    </row>
    <row r="7509">
      <c r="Y7509" s="372">
        <v>0.0</v>
      </c>
      <c r="Z7509" s="372">
        <v>0.0</v>
      </c>
    </row>
    <row r="7510">
      <c r="Y7510" s="372">
        <v>0.0</v>
      </c>
      <c r="Z7510" s="372">
        <v>0.0</v>
      </c>
    </row>
    <row r="7511">
      <c r="Y7511" s="372">
        <v>0.0</v>
      </c>
      <c r="Z7511" s="372">
        <v>0.0</v>
      </c>
    </row>
    <row r="7512">
      <c r="Y7512" s="372">
        <v>0.0</v>
      </c>
      <c r="Z7512" s="372">
        <v>0.0</v>
      </c>
    </row>
    <row r="7513">
      <c r="Y7513" s="372">
        <v>0.0</v>
      </c>
      <c r="Z7513" s="372">
        <v>0.0</v>
      </c>
    </row>
    <row r="7514">
      <c r="Y7514" s="372">
        <v>0.0</v>
      </c>
      <c r="Z7514" s="372">
        <v>0.0</v>
      </c>
    </row>
    <row r="7515">
      <c r="Y7515" s="372">
        <v>0.0</v>
      </c>
      <c r="Z7515" s="372">
        <v>0.0</v>
      </c>
    </row>
    <row r="7516">
      <c r="Y7516" s="372">
        <v>0.0</v>
      </c>
      <c r="Z7516" s="372">
        <v>0.0</v>
      </c>
    </row>
    <row r="7517">
      <c r="Y7517" s="372">
        <v>0.0</v>
      </c>
      <c r="Z7517" s="372">
        <v>0.0</v>
      </c>
    </row>
    <row r="7518">
      <c r="Y7518" s="372">
        <v>0.0</v>
      </c>
      <c r="Z7518" s="372">
        <v>0.0</v>
      </c>
    </row>
    <row r="7519">
      <c r="Y7519" s="372">
        <v>0.0</v>
      </c>
      <c r="Z7519" s="372">
        <v>0.0</v>
      </c>
    </row>
    <row r="7520">
      <c r="Y7520" s="372">
        <v>0.0</v>
      </c>
      <c r="Z7520" s="372">
        <v>0.0</v>
      </c>
    </row>
    <row r="7521">
      <c r="Y7521" s="372">
        <v>0.0</v>
      </c>
      <c r="Z7521" s="372">
        <v>0.0</v>
      </c>
    </row>
    <row r="7522">
      <c r="Y7522" s="372">
        <v>0.0</v>
      </c>
      <c r="Z7522" s="372">
        <v>0.0</v>
      </c>
    </row>
    <row r="7523">
      <c r="Y7523" s="372">
        <v>0.0</v>
      </c>
      <c r="Z7523" s="372">
        <v>0.0</v>
      </c>
    </row>
    <row r="7524">
      <c r="Y7524" s="372">
        <v>0.0</v>
      </c>
      <c r="Z7524" s="372">
        <v>0.0</v>
      </c>
    </row>
    <row r="7525">
      <c r="Y7525" s="372">
        <v>0.0</v>
      </c>
      <c r="Z7525" s="372">
        <v>0.0</v>
      </c>
    </row>
    <row r="7526">
      <c r="Y7526" s="372">
        <v>0.0</v>
      </c>
      <c r="Z7526" s="372">
        <v>0.0</v>
      </c>
    </row>
    <row r="7527">
      <c r="Y7527" s="372">
        <v>0.0</v>
      </c>
      <c r="Z7527" s="372">
        <v>0.0</v>
      </c>
    </row>
    <row r="7528">
      <c r="Y7528" s="372">
        <v>0.0</v>
      </c>
      <c r="Z7528" s="372">
        <v>0.0</v>
      </c>
    </row>
    <row r="7529">
      <c r="Y7529" s="372">
        <v>0.0</v>
      </c>
      <c r="Z7529" s="372">
        <v>0.0</v>
      </c>
    </row>
    <row r="7530">
      <c r="Y7530" s="372">
        <v>0.0</v>
      </c>
      <c r="Z7530" s="372">
        <v>0.0</v>
      </c>
    </row>
    <row r="7531">
      <c r="Y7531" s="372">
        <v>0.0</v>
      </c>
      <c r="Z7531" s="372">
        <v>0.0</v>
      </c>
    </row>
    <row r="7532">
      <c r="Y7532" s="372">
        <v>0.0</v>
      </c>
      <c r="Z7532" s="372">
        <v>0.0</v>
      </c>
    </row>
    <row r="7533">
      <c r="Y7533" s="372">
        <v>0.0</v>
      </c>
      <c r="Z7533" s="372">
        <v>0.0</v>
      </c>
    </row>
    <row r="7534">
      <c r="Y7534" s="372">
        <v>0.0</v>
      </c>
      <c r="Z7534" s="372">
        <v>0.0</v>
      </c>
    </row>
    <row r="7535">
      <c r="Y7535" s="372">
        <v>0.0</v>
      </c>
      <c r="Z7535" s="372">
        <v>0.0</v>
      </c>
    </row>
    <row r="7536">
      <c r="Y7536" s="372">
        <v>0.0</v>
      </c>
      <c r="Z7536" s="372">
        <v>0.0</v>
      </c>
    </row>
    <row r="7537">
      <c r="Y7537" s="372">
        <v>0.0</v>
      </c>
      <c r="Z7537" s="372">
        <v>0.0</v>
      </c>
    </row>
    <row r="7538">
      <c r="Y7538" s="372">
        <v>0.0</v>
      </c>
      <c r="Z7538" s="372">
        <v>0.0</v>
      </c>
    </row>
    <row r="7539">
      <c r="Y7539" s="372">
        <v>0.0</v>
      </c>
      <c r="Z7539" s="372">
        <v>0.0</v>
      </c>
    </row>
    <row r="7540">
      <c r="Y7540" s="372">
        <v>0.0</v>
      </c>
      <c r="Z7540" s="372">
        <v>0.0</v>
      </c>
    </row>
    <row r="7541">
      <c r="Y7541" s="372">
        <v>0.0</v>
      </c>
      <c r="Z7541" s="372">
        <v>0.0</v>
      </c>
    </row>
    <row r="7542">
      <c r="Y7542" s="372">
        <v>0.0</v>
      </c>
      <c r="Z7542" s="372">
        <v>0.0</v>
      </c>
    </row>
    <row r="7543">
      <c r="Y7543" s="372">
        <v>0.0</v>
      </c>
      <c r="Z7543" s="372">
        <v>0.0</v>
      </c>
    </row>
    <row r="7544">
      <c r="Y7544" s="372">
        <v>0.0</v>
      </c>
      <c r="Z7544" s="372">
        <v>0.0</v>
      </c>
    </row>
    <row r="7545">
      <c r="Y7545" s="372">
        <v>0.0</v>
      </c>
      <c r="Z7545" s="372">
        <v>0.0</v>
      </c>
    </row>
    <row r="7546">
      <c r="Y7546" s="372">
        <v>0.0</v>
      </c>
      <c r="Z7546" s="372">
        <v>0.0</v>
      </c>
    </row>
    <row r="7547">
      <c r="Y7547" s="372">
        <v>0.0</v>
      </c>
      <c r="Z7547" s="372">
        <v>0.0</v>
      </c>
    </row>
    <row r="7548">
      <c r="Y7548" s="372">
        <v>0.0</v>
      </c>
      <c r="Z7548" s="372">
        <v>0.0</v>
      </c>
    </row>
    <row r="7549">
      <c r="Y7549" s="372">
        <v>0.0</v>
      </c>
      <c r="Z7549" s="372">
        <v>0.0</v>
      </c>
    </row>
    <row r="7550">
      <c r="Y7550" s="372">
        <v>0.0</v>
      </c>
      <c r="Z7550" s="372">
        <v>0.0</v>
      </c>
    </row>
    <row r="7551">
      <c r="Y7551" s="372">
        <v>0.0</v>
      </c>
      <c r="Z7551" s="372">
        <v>0.0</v>
      </c>
    </row>
    <row r="7552">
      <c r="Y7552" s="372">
        <v>0.0</v>
      </c>
      <c r="Z7552" s="372">
        <v>0.0</v>
      </c>
    </row>
    <row r="7553">
      <c r="Y7553" s="372">
        <v>0.0</v>
      </c>
      <c r="Z7553" s="372">
        <v>0.0</v>
      </c>
    </row>
    <row r="7554">
      <c r="Y7554" s="372">
        <v>0.0</v>
      </c>
      <c r="Z7554" s="372">
        <v>0.0</v>
      </c>
    </row>
    <row r="7555">
      <c r="Y7555" s="372">
        <v>0.0</v>
      </c>
      <c r="Z7555" s="372">
        <v>0.0</v>
      </c>
    </row>
    <row r="7556">
      <c r="Y7556" s="372">
        <v>0.0</v>
      </c>
      <c r="Z7556" s="372">
        <v>0.0</v>
      </c>
    </row>
    <row r="7557">
      <c r="Y7557" s="372">
        <v>0.0</v>
      </c>
      <c r="Z7557" s="372">
        <v>0.0</v>
      </c>
    </row>
    <row r="7558">
      <c r="Y7558" s="372">
        <v>0.0</v>
      </c>
      <c r="Z7558" s="372">
        <v>0.0</v>
      </c>
    </row>
    <row r="7559">
      <c r="Y7559" s="372">
        <v>0.0</v>
      </c>
      <c r="Z7559" s="372">
        <v>0.0</v>
      </c>
    </row>
    <row r="7560">
      <c r="Y7560" s="372">
        <v>0.0</v>
      </c>
      <c r="Z7560" s="372">
        <v>0.0</v>
      </c>
    </row>
    <row r="7561">
      <c r="Y7561" s="372">
        <v>0.0</v>
      </c>
      <c r="Z7561" s="372">
        <v>0.0</v>
      </c>
    </row>
    <row r="7562">
      <c r="Y7562" s="372">
        <v>0.0</v>
      </c>
      <c r="Z7562" s="372">
        <v>0.0</v>
      </c>
    </row>
    <row r="7563">
      <c r="Y7563" s="372">
        <v>0.0</v>
      </c>
      <c r="Z7563" s="372">
        <v>0.0</v>
      </c>
    </row>
    <row r="7564">
      <c r="Y7564" s="372">
        <v>0.0</v>
      </c>
      <c r="Z7564" s="372">
        <v>0.0</v>
      </c>
    </row>
    <row r="7565">
      <c r="Y7565" s="372">
        <v>0.0</v>
      </c>
      <c r="Z7565" s="372">
        <v>0.0</v>
      </c>
    </row>
    <row r="7566">
      <c r="Y7566" s="372">
        <v>0.0</v>
      </c>
      <c r="Z7566" s="372">
        <v>0.0</v>
      </c>
    </row>
    <row r="7567">
      <c r="Y7567" s="372">
        <v>0.0</v>
      </c>
      <c r="Z7567" s="372">
        <v>0.0</v>
      </c>
    </row>
    <row r="7568">
      <c r="Y7568" s="372">
        <v>0.0</v>
      </c>
      <c r="Z7568" s="372">
        <v>0.0</v>
      </c>
    </row>
    <row r="7569">
      <c r="Y7569" s="372">
        <v>0.0</v>
      </c>
      <c r="Z7569" s="372">
        <v>0.0</v>
      </c>
    </row>
    <row r="7570">
      <c r="Y7570" s="372">
        <v>0.0</v>
      </c>
      <c r="Z7570" s="372">
        <v>0.0</v>
      </c>
    </row>
    <row r="7571">
      <c r="Y7571" s="372">
        <v>0.0</v>
      </c>
      <c r="Z7571" s="372">
        <v>0.0</v>
      </c>
    </row>
    <row r="7572">
      <c r="Y7572" s="372">
        <v>0.0</v>
      </c>
      <c r="Z7572" s="372">
        <v>0.0</v>
      </c>
    </row>
    <row r="7573">
      <c r="Y7573" s="372">
        <v>0.0</v>
      </c>
      <c r="Z7573" s="372">
        <v>0.0</v>
      </c>
    </row>
    <row r="7574">
      <c r="Y7574" s="372">
        <v>0.0</v>
      </c>
      <c r="Z7574" s="372">
        <v>0.0</v>
      </c>
    </row>
    <row r="7575">
      <c r="Y7575" s="372">
        <v>0.0</v>
      </c>
      <c r="Z7575" s="372">
        <v>0.0</v>
      </c>
    </row>
    <row r="7576">
      <c r="Y7576" s="372">
        <v>0.0</v>
      </c>
      <c r="Z7576" s="372">
        <v>0.0</v>
      </c>
    </row>
    <row r="7577">
      <c r="Y7577" s="372">
        <v>0.0</v>
      </c>
      <c r="Z7577" s="372">
        <v>0.0</v>
      </c>
    </row>
    <row r="7578">
      <c r="Y7578" s="372">
        <v>0.0</v>
      </c>
      <c r="Z7578" s="372">
        <v>0.0</v>
      </c>
    </row>
    <row r="7579">
      <c r="Y7579" s="372">
        <v>0.0</v>
      </c>
      <c r="Z7579" s="372">
        <v>0.0</v>
      </c>
    </row>
    <row r="7580">
      <c r="Y7580" s="372">
        <v>0.0</v>
      </c>
      <c r="Z7580" s="372">
        <v>0.0</v>
      </c>
    </row>
    <row r="7581">
      <c r="Y7581" s="372">
        <v>0.0</v>
      </c>
      <c r="Z7581" s="372">
        <v>0.0</v>
      </c>
    </row>
    <row r="7582">
      <c r="Y7582" s="372">
        <v>0.0</v>
      </c>
      <c r="Z7582" s="372">
        <v>0.0</v>
      </c>
    </row>
    <row r="7583">
      <c r="Y7583" s="372">
        <v>0.0</v>
      </c>
      <c r="Z7583" s="372">
        <v>0.0</v>
      </c>
    </row>
    <row r="7584">
      <c r="Y7584" s="372">
        <v>0.0</v>
      </c>
      <c r="Z7584" s="372">
        <v>0.0</v>
      </c>
    </row>
    <row r="7585">
      <c r="Y7585" s="372">
        <v>0.0</v>
      </c>
      <c r="Z7585" s="372">
        <v>0.0</v>
      </c>
    </row>
    <row r="7586">
      <c r="Y7586" s="372">
        <v>0.0</v>
      </c>
      <c r="Z7586" s="372">
        <v>0.0</v>
      </c>
    </row>
    <row r="7587">
      <c r="Y7587" s="372">
        <v>0.0</v>
      </c>
      <c r="Z7587" s="372">
        <v>0.0</v>
      </c>
    </row>
    <row r="7588">
      <c r="Y7588" s="372">
        <v>0.0</v>
      </c>
      <c r="Z7588" s="372">
        <v>0.0</v>
      </c>
    </row>
    <row r="7589">
      <c r="Y7589" s="372">
        <v>0.0</v>
      </c>
      <c r="Z7589" s="372">
        <v>0.0</v>
      </c>
    </row>
    <row r="7590">
      <c r="Y7590" s="372">
        <v>0.0</v>
      </c>
      <c r="Z7590" s="372">
        <v>0.0</v>
      </c>
    </row>
    <row r="7591">
      <c r="Y7591" s="372">
        <v>0.0</v>
      </c>
      <c r="Z7591" s="372">
        <v>0.0</v>
      </c>
    </row>
    <row r="7592">
      <c r="Y7592" s="372">
        <v>0.0</v>
      </c>
      <c r="Z7592" s="372">
        <v>0.0</v>
      </c>
    </row>
    <row r="7593">
      <c r="Y7593" s="372">
        <v>0.0</v>
      </c>
      <c r="Z7593" s="372">
        <v>0.0</v>
      </c>
    </row>
    <row r="7594">
      <c r="Y7594" s="372">
        <v>0.0</v>
      </c>
      <c r="Z7594" s="372">
        <v>0.0</v>
      </c>
    </row>
    <row r="7595">
      <c r="Y7595" s="372">
        <v>0.0</v>
      </c>
      <c r="Z7595" s="372">
        <v>0.0</v>
      </c>
    </row>
    <row r="7596">
      <c r="Y7596" s="372">
        <v>0.0</v>
      </c>
      <c r="Z7596" s="372">
        <v>0.0</v>
      </c>
    </row>
    <row r="7597">
      <c r="Y7597" s="372">
        <v>0.0</v>
      </c>
      <c r="Z7597" s="372">
        <v>0.0</v>
      </c>
    </row>
    <row r="7598">
      <c r="Y7598" s="372">
        <v>0.0</v>
      </c>
      <c r="Z7598" s="372">
        <v>0.0</v>
      </c>
    </row>
    <row r="7599">
      <c r="Y7599" s="372">
        <v>0.0</v>
      </c>
      <c r="Z7599" s="372">
        <v>0.0</v>
      </c>
    </row>
    <row r="7600">
      <c r="Y7600" s="372">
        <v>0.0</v>
      </c>
      <c r="Z7600" s="372">
        <v>0.0</v>
      </c>
    </row>
    <row r="7601">
      <c r="Y7601" s="372">
        <v>0.0</v>
      </c>
      <c r="Z7601" s="372">
        <v>0.0</v>
      </c>
    </row>
    <row r="7602">
      <c r="Y7602" s="372">
        <v>0.0</v>
      </c>
      <c r="Z7602" s="372">
        <v>0.0</v>
      </c>
    </row>
    <row r="7603">
      <c r="Y7603" s="372">
        <v>0.0</v>
      </c>
      <c r="Z7603" s="372">
        <v>0.0</v>
      </c>
    </row>
    <row r="7604">
      <c r="Y7604" s="372">
        <v>0.0</v>
      </c>
      <c r="Z7604" s="372">
        <v>0.0</v>
      </c>
    </row>
    <row r="7605">
      <c r="Y7605" s="372">
        <v>0.0</v>
      </c>
      <c r="Z7605" s="372">
        <v>0.0</v>
      </c>
    </row>
    <row r="7606">
      <c r="Y7606" s="372">
        <v>0.0</v>
      </c>
      <c r="Z7606" s="372">
        <v>0.0</v>
      </c>
    </row>
    <row r="7607">
      <c r="Y7607" s="372">
        <v>0.0</v>
      </c>
      <c r="Z7607" s="372">
        <v>0.0</v>
      </c>
    </row>
    <row r="7608">
      <c r="Y7608" s="372">
        <v>0.0</v>
      </c>
      <c r="Z7608" s="372">
        <v>0.0</v>
      </c>
    </row>
    <row r="7609">
      <c r="Y7609" s="372">
        <v>0.0</v>
      </c>
      <c r="Z7609" s="372">
        <v>0.0</v>
      </c>
    </row>
    <row r="7610">
      <c r="Y7610" s="372">
        <v>0.0</v>
      </c>
      <c r="Z7610" s="372">
        <v>0.0</v>
      </c>
    </row>
    <row r="7611">
      <c r="Y7611" s="372">
        <v>0.0</v>
      </c>
      <c r="Z7611" s="372">
        <v>0.0</v>
      </c>
    </row>
    <row r="7612">
      <c r="Y7612" s="372">
        <v>0.0</v>
      </c>
      <c r="Z7612" s="372">
        <v>0.0</v>
      </c>
    </row>
    <row r="7613">
      <c r="Y7613" s="372">
        <v>0.0</v>
      </c>
      <c r="Z7613" s="372">
        <v>0.0</v>
      </c>
    </row>
    <row r="7614">
      <c r="Y7614" s="372">
        <v>0.0</v>
      </c>
      <c r="Z7614" s="372">
        <v>0.0</v>
      </c>
    </row>
    <row r="7615">
      <c r="Y7615" s="372">
        <v>0.0</v>
      </c>
      <c r="Z7615" s="372">
        <v>0.0</v>
      </c>
    </row>
    <row r="7616">
      <c r="Y7616" s="372">
        <v>0.0</v>
      </c>
      <c r="Z7616" s="372">
        <v>0.0</v>
      </c>
    </row>
    <row r="7617">
      <c r="Y7617" s="372">
        <v>0.0</v>
      </c>
      <c r="Z7617" s="372">
        <v>0.0</v>
      </c>
    </row>
    <row r="7618">
      <c r="Y7618" s="372">
        <v>0.0</v>
      </c>
      <c r="Z7618" s="372">
        <v>0.0</v>
      </c>
    </row>
    <row r="7619">
      <c r="Y7619" s="372">
        <v>0.0</v>
      </c>
      <c r="Z7619" s="372">
        <v>0.0</v>
      </c>
    </row>
    <row r="7620">
      <c r="Y7620" s="372">
        <v>0.0</v>
      </c>
      <c r="Z7620" s="372">
        <v>0.0</v>
      </c>
    </row>
    <row r="7621">
      <c r="Y7621" s="372">
        <v>0.0</v>
      </c>
      <c r="Z7621" s="372">
        <v>0.0</v>
      </c>
    </row>
    <row r="7622">
      <c r="Y7622" s="372">
        <v>0.0</v>
      </c>
      <c r="Z7622" s="372">
        <v>0.0</v>
      </c>
    </row>
    <row r="7623">
      <c r="Y7623" s="372">
        <v>0.0</v>
      </c>
      <c r="Z7623" s="372">
        <v>0.0</v>
      </c>
    </row>
    <row r="7624">
      <c r="Y7624" s="372">
        <v>0.0</v>
      </c>
      <c r="Z7624" s="372">
        <v>0.0</v>
      </c>
    </row>
    <row r="7625">
      <c r="Y7625" s="372">
        <v>0.0</v>
      </c>
      <c r="Z7625" s="372">
        <v>0.0</v>
      </c>
    </row>
    <row r="7626">
      <c r="Y7626" s="372">
        <v>0.0</v>
      </c>
      <c r="Z7626" s="372">
        <v>0.0</v>
      </c>
    </row>
    <row r="7627">
      <c r="Y7627" s="372">
        <v>0.0</v>
      </c>
      <c r="Z7627" s="372">
        <v>0.0</v>
      </c>
    </row>
    <row r="7628">
      <c r="Y7628" s="372">
        <v>0.0</v>
      </c>
      <c r="Z7628" s="372">
        <v>0.0</v>
      </c>
    </row>
    <row r="7629">
      <c r="Y7629" s="372">
        <v>0.0</v>
      </c>
      <c r="Z7629" s="372">
        <v>0.0</v>
      </c>
    </row>
    <row r="7630">
      <c r="Y7630" s="372">
        <v>0.0</v>
      </c>
      <c r="Z7630" s="372">
        <v>0.0</v>
      </c>
    </row>
    <row r="7631">
      <c r="Y7631" s="372">
        <v>0.0</v>
      </c>
      <c r="Z7631" s="372">
        <v>0.0</v>
      </c>
    </row>
    <row r="7632">
      <c r="Y7632" s="372">
        <v>0.0</v>
      </c>
      <c r="Z7632" s="372">
        <v>0.0</v>
      </c>
    </row>
    <row r="7633">
      <c r="Y7633" s="372">
        <v>0.0</v>
      </c>
      <c r="Z7633" s="372">
        <v>0.0</v>
      </c>
    </row>
    <row r="7634">
      <c r="Y7634" s="372">
        <v>0.0</v>
      </c>
      <c r="Z7634" s="372">
        <v>0.0</v>
      </c>
    </row>
    <row r="7635">
      <c r="Y7635" s="372">
        <v>0.0</v>
      </c>
      <c r="Z7635" s="372">
        <v>0.0</v>
      </c>
    </row>
    <row r="7636">
      <c r="Y7636" s="372">
        <v>0.0</v>
      </c>
      <c r="Z7636" s="372">
        <v>0.0</v>
      </c>
    </row>
    <row r="7637">
      <c r="Y7637" s="372">
        <v>0.0</v>
      </c>
      <c r="Z7637" s="372">
        <v>0.0</v>
      </c>
    </row>
    <row r="7638">
      <c r="Y7638" s="372">
        <v>0.0</v>
      </c>
      <c r="Z7638" s="372">
        <v>0.0</v>
      </c>
    </row>
    <row r="7639">
      <c r="Y7639" s="372">
        <v>0.0</v>
      </c>
      <c r="Z7639" s="372">
        <v>0.0</v>
      </c>
    </row>
    <row r="7640">
      <c r="Y7640" s="372">
        <v>0.0</v>
      </c>
      <c r="Z7640" s="372">
        <v>0.0</v>
      </c>
    </row>
    <row r="7641">
      <c r="Y7641" s="372">
        <v>0.0</v>
      </c>
      <c r="Z7641" s="372">
        <v>0.0</v>
      </c>
    </row>
    <row r="7642">
      <c r="Y7642" s="372">
        <v>0.0</v>
      </c>
      <c r="Z7642" s="372">
        <v>0.0</v>
      </c>
    </row>
    <row r="7643">
      <c r="Y7643" s="372">
        <v>0.0</v>
      </c>
      <c r="Z7643" s="372">
        <v>0.0</v>
      </c>
    </row>
    <row r="7644">
      <c r="Y7644" s="372">
        <v>0.0</v>
      </c>
      <c r="Z7644" s="372">
        <v>0.0</v>
      </c>
    </row>
    <row r="7645">
      <c r="Y7645" s="372">
        <v>0.0</v>
      </c>
      <c r="Z7645" s="372">
        <v>0.0</v>
      </c>
    </row>
    <row r="7646">
      <c r="Y7646" s="372">
        <v>0.0</v>
      </c>
      <c r="Z7646" s="372">
        <v>0.0</v>
      </c>
    </row>
    <row r="7647">
      <c r="Y7647" s="372">
        <v>0.0</v>
      </c>
      <c r="Z7647" s="372">
        <v>0.0</v>
      </c>
    </row>
    <row r="7648">
      <c r="Y7648" s="372">
        <v>0.0</v>
      </c>
      <c r="Z7648" s="372">
        <v>0.0</v>
      </c>
    </row>
    <row r="7649">
      <c r="Y7649" s="372">
        <v>0.0</v>
      </c>
      <c r="Z7649" s="372">
        <v>0.0</v>
      </c>
    </row>
    <row r="7650">
      <c r="Y7650" s="372">
        <v>0.0</v>
      </c>
      <c r="Z7650" s="372">
        <v>0.0</v>
      </c>
    </row>
    <row r="7651">
      <c r="Y7651" s="372">
        <v>0.0</v>
      </c>
      <c r="Z7651" s="372">
        <v>0.0</v>
      </c>
    </row>
    <row r="7652">
      <c r="Y7652" s="372">
        <v>0.0</v>
      </c>
      <c r="Z7652" s="372">
        <v>0.0</v>
      </c>
    </row>
    <row r="7653">
      <c r="Y7653" s="372">
        <v>0.0</v>
      </c>
      <c r="Z7653" s="372">
        <v>0.0</v>
      </c>
    </row>
    <row r="7654">
      <c r="Y7654" s="372">
        <v>0.0</v>
      </c>
      <c r="Z7654" s="372">
        <v>0.0</v>
      </c>
    </row>
    <row r="7655">
      <c r="Y7655" s="372">
        <v>0.0</v>
      </c>
      <c r="Z7655" s="372">
        <v>0.0</v>
      </c>
    </row>
    <row r="7656">
      <c r="Y7656" s="372">
        <v>0.0</v>
      </c>
      <c r="Z7656" s="372">
        <v>0.0</v>
      </c>
    </row>
    <row r="7657">
      <c r="Y7657" s="372">
        <v>0.0</v>
      </c>
      <c r="Z7657" s="372">
        <v>0.0</v>
      </c>
    </row>
    <row r="7658">
      <c r="Y7658" s="372">
        <v>0.0</v>
      </c>
      <c r="Z7658" s="372">
        <v>0.0</v>
      </c>
    </row>
    <row r="7659">
      <c r="Y7659" s="372">
        <v>0.0</v>
      </c>
      <c r="Z7659" s="372">
        <v>0.0</v>
      </c>
    </row>
    <row r="7660">
      <c r="Y7660" s="372">
        <v>0.0</v>
      </c>
      <c r="Z7660" s="372">
        <v>0.0</v>
      </c>
    </row>
    <row r="7661">
      <c r="Y7661" s="372">
        <v>0.0</v>
      </c>
      <c r="Z7661" s="372">
        <v>0.0</v>
      </c>
    </row>
    <row r="7662">
      <c r="Y7662" s="372">
        <v>0.0</v>
      </c>
      <c r="Z7662" s="372">
        <v>0.0</v>
      </c>
    </row>
    <row r="7663">
      <c r="Y7663" s="372">
        <v>0.0</v>
      </c>
      <c r="Z7663" s="372">
        <v>0.0</v>
      </c>
    </row>
    <row r="7664">
      <c r="Y7664" s="372">
        <v>0.0</v>
      </c>
      <c r="Z7664" s="372">
        <v>0.0</v>
      </c>
    </row>
    <row r="7665">
      <c r="Y7665" s="372">
        <v>0.0</v>
      </c>
      <c r="Z7665" s="372">
        <v>0.0</v>
      </c>
    </row>
    <row r="7666">
      <c r="Y7666" s="372">
        <v>0.0</v>
      </c>
      <c r="Z7666" s="372">
        <v>0.0</v>
      </c>
    </row>
    <row r="7667">
      <c r="Y7667" s="372">
        <v>0.0</v>
      </c>
      <c r="Z7667" s="372">
        <v>0.0</v>
      </c>
    </row>
    <row r="7668">
      <c r="Y7668" s="372">
        <v>0.0</v>
      </c>
      <c r="Z7668" s="372">
        <v>0.0</v>
      </c>
    </row>
    <row r="7669">
      <c r="Y7669" s="372">
        <v>0.0</v>
      </c>
      <c r="Z7669" s="372">
        <v>0.0</v>
      </c>
    </row>
    <row r="7670">
      <c r="Y7670" s="372">
        <v>0.0</v>
      </c>
      <c r="Z7670" s="372">
        <v>0.0</v>
      </c>
    </row>
    <row r="7671">
      <c r="Y7671" s="372">
        <v>0.0</v>
      </c>
      <c r="Z7671" s="372">
        <v>0.0</v>
      </c>
    </row>
    <row r="7672">
      <c r="Y7672" s="372">
        <v>0.0</v>
      </c>
      <c r="Z7672" s="372">
        <v>0.0</v>
      </c>
    </row>
    <row r="7673">
      <c r="Y7673" s="372">
        <v>0.0</v>
      </c>
      <c r="Z7673" s="372">
        <v>0.0</v>
      </c>
    </row>
    <row r="7674">
      <c r="Y7674" s="372">
        <v>0.0</v>
      </c>
      <c r="Z7674" s="372">
        <v>0.0</v>
      </c>
    </row>
    <row r="7675">
      <c r="Y7675" s="372">
        <v>0.0</v>
      </c>
      <c r="Z7675" s="372">
        <v>0.0</v>
      </c>
    </row>
    <row r="7676">
      <c r="Y7676" s="372">
        <v>0.0</v>
      </c>
      <c r="Z7676" s="372">
        <v>0.0</v>
      </c>
    </row>
    <row r="7677">
      <c r="Y7677" s="372">
        <v>0.0</v>
      </c>
      <c r="Z7677" s="372">
        <v>0.0</v>
      </c>
    </row>
    <row r="7678">
      <c r="Y7678" s="372">
        <v>0.0</v>
      </c>
      <c r="Z7678" s="372">
        <v>0.0</v>
      </c>
    </row>
    <row r="7679">
      <c r="Y7679" s="372">
        <v>0.0</v>
      </c>
      <c r="Z7679" s="372">
        <v>0.0</v>
      </c>
    </row>
    <row r="7680">
      <c r="Y7680" s="372">
        <v>0.0</v>
      </c>
      <c r="Z7680" s="372">
        <v>0.0</v>
      </c>
    </row>
    <row r="7681">
      <c r="Y7681" s="372">
        <v>0.0</v>
      </c>
      <c r="Z7681" s="372">
        <v>0.0</v>
      </c>
    </row>
    <row r="7682">
      <c r="Y7682" s="372">
        <v>0.0</v>
      </c>
      <c r="Z7682" s="372">
        <v>0.0</v>
      </c>
    </row>
    <row r="7683">
      <c r="Y7683" s="372">
        <v>0.0</v>
      </c>
      <c r="Z7683" s="372">
        <v>0.0</v>
      </c>
    </row>
    <row r="7684">
      <c r="Y7684" s="372">
        <v>0.0</v>
      </c>
      <c r="Z7684" s="372">
        <v>0.0</v>
      </c>
    </row>
    <row r="7685">
      <c r="Y7685" s="372">
        <v>0.0</v>
      </c>
      <c r="Z7685" s="372">
        <v>0.0</v>
      </c>
    </row>
    <row r="7686">
      <c r="Y7686" s="372">
        <v>0.0</v>
      </c>
      <c r="Z7686" s="372">
        <v>0.0</v>
      </c>
    </row>
    <row r="7687">
      <c r="Y7687" s="372">
        <v>0.0</v>
      </c>
      <c r="Z7687" s="372">
        <v>0.0</v>
      </c>
    </row>
    <row r="7688">
      <c r="Y7688" s="372">
        <v>0.0</v>
      </c>
      <c r="Z7688" s="372">
        <v>0.0</v>
      </c>
    </row>
    <row r="7689">
      <c r="Y7689" s="372">
        <v>0.0</v>
      </c>
      <c r="Z7689" s="372">
        <v>0.0</v>
      </c>
    </row>
    <row r="7690">
      <c r="Y7690" s="372">
        <v>0.0</v>
      </c>
      <c r="Z7690" s="372">
        <v>0.0</v>
      </c>
    </row>
    <row r="7691">
      <c r="Y7691" s="372">
        <v>0.0</v>
      </c>
      <c r="Z7691" s="372">
        <v>0.0</v>
      </c>
    </row>
    <row r="7692">
      <c r="Y7692" s="372">
        <v>0.0</v>
      </c>
      <c r="Z7692" s="372">
        <v>0.0</v>
      </c>
    </row>
    <row r="7693">
      <c r="Y7693" s="372">
        <v>0.0</v>
      </c>
      <c r="Z7693" s="372">
        <v>0.0</v>
      </c>
    </row>
    <row r="7694">
      <c r="Y7694" s="372">
        <v>0.0</v>
      </c>
      <c r="Z7694" s="372">
        <v>0.0</v>
      </c>
    </row>
    <row r="7695">
      <c r="Y7695" s="372">
        <v>0.0</v>
      </c>
      <c r="Z7695" s="372">
        <v>0.0</v>
      </c>
    </row>
    <row r="7696">
      <c r="Y7696" s="372">
        <v>0.0</v>
      </c>
      <c r="Z7696" s="372">
        <v>0.0</v>
      </c>
    </row>
    <row r="7697">
      <c r="Y7697" s="372">
        <v>0.0</v>
      </c>
      <c r="Z7697" s="372">
        <v>0.0</v>
      </c>
    </row>
    <row r="7698">
      <c r="Y7698" s="372">
        <v>0.0</v>
      </c>
      <c r="Z7698" s="372">
        <v>0.0</v>
      </c>
    </row>
    <row r="7699">
      <c r="Y7699" s="372">
        <v>0.0</v>
      </c>
      <c r="Z7699" s="372">
        <v>0.0</v>
      </c>
    </row>
    <row r="7700">
      <c r="Y7700" s="372">
        <v>0.0</v>
      </c>
      <c r="Z7700" s="372">
        <v>0.0</v>
      </c>
    </row>
    <row r="7701">
      <c r="Y7701" s="372">
        <v>0.0</v>
      </c>
      <c r="Z7701" s="372">
        <v>0.0</v>
      </c>
    </row>
    <row r="7702">
      <c r="Y7702" s="372">
        <v>0.0</v>
      </c>
      <c r="Z7702" s="372">
        <v>0.0</v>
      </c>
    </row>
    <row r="7703">
      <c r="Y7703" s="372">
        <v>0.0</v>
      </c>
      <c r="Z7703" s="372">
        <v>0.0</v>
      </c>
    </row>
    <row r="7704">
      <c r="Y7704" s="372">
        <v>0.0</v>
      </c>
      <c r="Z7704" s="372">
        <v>0.0</v>
      </c>
    </row>
    <row r="7705">
      <c r="Y7705" s="372">
        <v>0.0</v>
      </c>
      <c r="Z7705" s="372">
        <v>0.0</v>
      </c>
    </row>
    <row r="7706">
      <c r="Y7706" s="372">
        <v>0.0</v>
      </c>
      <c r="Z7706" s="372">
        <v>0.0</v>
      </c>
    </row>
    <row r="7707">
      <c r="Y7707" s="372">
        <v>0.0</v>
      </c>
      <c r="Z7707" s="372">
        <v>0.0</v>
      </c>
    </row>
    <row r="7708">
      <c r="Y7708" s="372">
        <v>0.0</v>
      </c>
      <c r="Z7708" s="372">
        <v>0.0</v>
      </c>
    </row>
    <row r="7709">
      <c r="Y7709" s="372">
        <v>0.0</v>
      </c>
      <c r="Z7709" s="372">
        <v>0.0</v>
      </c>
    </row>
    <row r="7710">
      <c r="Y7710" s="372">
        <v>0.0</v>
      </c>
      <c r="Z7710" s="372">
        <v>0.0</v>
      </c>
    </row>
    <row r="7711">
      <c r="Y7711" s="372">
        <v>0.0</v>
      </c>
      <c r="Z7711" s="372">
        <v>0.0</v>
      </c>
    </row>
    <row r="7712">
      <c r="Y7712" s="372">
        <v>0.0</v>
      </c>
      <c r="Z7712" s="372">
        <v>0.0</v>
      </c>
    </row>
    <row r="7713">
      <c r="Y7713" s="372">
        <v>0.0</v>
      </c>
      <c r="Z7713" s="372">
        <v>0.0</v>
      </c>
    </row>
    <row r="7714">
      <c r="Y7714" s="372">
        <v>0.0</v>
      </c>
      <c r="Z7714" s="372">
        <v>0.0</v>
      </c>
    </row>
    <row r="7715">
      <c r="Y7715" s="372">
        <v>0.0</v>
      </c>
      <c r="Z7715" s="372">
        <v>0.0</v>
      </c>
    </row>
    <row r="7716">
      <c r="Y7716" s="372">
        <v>0.0</v>
      </c>
      <c r="Z7716" s="372">
        <v>0.0</v>
      </c>
    </row>
    <row r="7717">
      <c r="Y7717" s="372">
        <v>0.0</v>
      </c>
      <c r="Z7717" s="372">
        <v>0.0</v>
      </c>
    </row>
    <row r="7718">
      <c r="Y7718" s="372">
        <v>0.0</v>
      </c>
      <c r="Z7718" s="372">
        <v>0.0</v>
      </c>
    </row>
    <row r="7719">
      <c r="Y7719" s="372">
        <v>0.0</v>
      </c>
      <c r="Z7719" s="372">
        <v>0.0</v>
      </c>
    </row>
    <row r="7720">
      <c r="Y7720" s="372">
        <v>0.0</v>
      </c>
      <c r="Z7720" s="372">
        <v>0.0</v>
      </c>
    </row>
    <row r="7721">
      <c r="Y7721" s="372">
        <v>0.0</v>
      </c>
      <c r="Z7721" s="372">
        <v>0.0</v>
      </c>
    </row>
    <row r="7722">
      <c r="Y7722" s="372">
        <v>0.0</v>
      </c>
      <c r="Z7722" s="372">
        <v>0.0</v>
      </c>
    </row>
    <row r="7723">
      <c r="Y7723" s="372">
        <v>0.0</v>
      </c>
      <c r="Z7723" s="372">
        <v>0.0</v>
      </c>
    </row>
    <row r="7724">
      <c r="Y7724" s="372">
        <v>0.0</v>
      </c>
      <c r="Z7724" s="372">
        <v>0.0</v>
      </c>
    </row>
    <row r="7725">
      <c r="Y7725" s="372">
        <v>0.0</v>
      </c>
      <c r="Z7725" s="372">
        <v>0.0</v>
      </c>
    </row>
    <row r="7726">
      <c r="Y7726" s="372">
        <v>0.0</v>
      </c>
      <c r="Z7726" s="372">
        <v>0.0</v>
      </c>
    </row>
    <row r="7727">
      <c r="Y7727" s="372">
        <v>0.0</v>
      </c>
      <c r="Z7727" s="372">
        <v>0.0</v>
      </c>
    </row>
    <row r="7728">
      <c r="Y7728" s="372">
        <v>0.0</v>
      </c>
      <c r="Z7728" s="372">
        <v>0.0</v>
      </c>
    </row>
    <row r="7729">
      <c r="Y7729" s="372">
        <v>0.0</v>
      </c>
      <c r="Z7729" s="372">
        <v>0.0</v>
      </c>
    </row>
    <row r="7730">
      <c r="Y7730" s="372">
        <v>0.0</v>
      </c>
      <c r="Z7730" s="372">
        <v>0.0</v>
      </c>
    </row>
    <row r="7731">
      <c r="Y7731" s="372">
        <v>0.0</v>
      </c>
      <c r="Z7731" s="372">
        <v>0.0</v>
      </c>
    </row>
    <row r="7732">
      <c r="Y7732" s="372">
        <v>0.0</v>
      </c>
      <c r="Z7732" s="372">
        <v>0.0</v>
      </c>
    </row>
    <row r="7733">
      <c r="Y7733" s="372">
        <v>0.0</v>
      </c>
      <c r="Z7733" s="372">
        <v>0.0</v>
      </c>
    </row>
    <row r="7734">
      <c r="Y7734" s="372">
        <v>0.0</v>
      </c>
      <c r="Z7734" s="372">
        <v>0.0</v>
      </c>
    </row>
    <row r="7735">
      <c r="Y7735" s="372">
        <v>0.0</v>
      </c>
      <c r="Z7735" s="372">
        <v>0.0</v>
      </c>
    </row>
    <row r="7736">
      <c r="Y7736" s="372">
        <v>0.0</v>
      </c>
      <c r="Z7736" s="372">
        <v>0.0</v>
      </c>
    </row>
    <row r="7737">
      <c r="Y7737" s="372">
        <v>0.0</v>
      </c>
      <c r="Z7737" s="372">
        <v>0.0</v>
      </c>
    </row>
    <row r="7738">
      <c r="Y7738" s="372">
        <v>0.0</v>
      </c>
      <c r="Z7738" s="372">
        <v>0.0</v>
      </c>
    </row>
    <row r="7739">
      <c r="Y7739" s="372">
        <v>0.0</v>
      </c>
      <c r="Z7739" s="372">
        <v>0.0</v>
      </c>
    </row>
    <row r="7740">
      <c r="Y7740" s="372">
        <v>0.0</v>
      </c>
      <c r="Z7740" s="372">
        <v>0.0</v>
      </c>
    </row>
    <row r="7741">
      <c r="Y7741" s="372">
        <v>0.0</v>
      </c>
      <c r="Z7741" s="372">
        <v>0.0</v>
      </c>
    </row>
    <row r="7742">
      <c r="Y7742" s="372">
        <v>0.0</v>
      </c>
      <c r="Z7742" s="372">
        <v>0.0</v>
      </c>
    </row>
    <row r="7743">
      <c r="Y7743" s="372">
        <v>0.0</v>
      </c>
      <c r="Z7743" s="372">
        <v>0.0</v>
      </c>
    </row>
    <row r="7744">
      <c r="Y7744" s="372">
        <v>0.0</v>
      </c>
      <c r="Z7744" s="372">
        <v>0.0</v>
      </c>
    </row>
    <row r="7745">
      <c r="Y7745" s="372">
        <v>0.0</v>
      </c>
      <c r="Z7745" s="372">
        <v>0.0</v>
      </c>
    </row>
    <row r="7746">
      <c r="Y7746" s="372">
        <v>0.0</v>
      </c>
      <c r="Z7746" s="372">
        <v>0.0</v>
      </c>
    </row>
    <row r="7747">
      <c r="Y7747" s="372">
        <v>0.0</v>
      </c>
      <c r="Z7747" s="372">
        <v>0.0</v>
      </c>
    </row>
    <row r="7748">
      <c r="Y7748" s="372">
        <v>0.0</v>
      </c>
      <c r="Z7748" s="372">
        <v>0.0</v>
      </c>
    </row>
    <row r="7749">
      <c r="Y7749" s="372">
        <v>0.0</v>
      </c>
      <c r="Z7749" s="372">
        <v>0.0</v>
      </c>
    </row>
    <row r="7750">
      <c r="Y7750" s="372">
        <v>0.0</v>
      </c>
      <c r="Z7750" s="372">
        <v>0.0</v>
      </c>
    </row>
    <row r="7751">
      <c r="Y7751" s="372">
        <v>0.0</v>
      </c>
      <c r="Z7751" s="372">
        <v>0.0</v>
      </c>
    </row>
    <row r="7752">
      <c r="Y7752" s="372">
        <v>0.0</v>
      </c>
      <c r="Z7752" s="372">
        <v>0.0</v>
      </c>
    </row>
    <row r="7753">
      <c r="Y7753" s="372">
        <v>0.0</v>
      </c>
      <c r="Z7753" s="372">
        <v>0.0</v>
      </c>
    </row>
    <row r="7754">
      <c r="Y7754" s="372">
        <v>0.0</v>
      </c>
      <c r="Z7754" s="372">
        <v>0.0</v>
      </c>
    </row>
    <row r="7755">
      <c r="Y7755" s="372">
        <v>0.0</v>
      </c>
      <c r="Z7755" s="372">
        <v>0.0</v>
      </c>
    </row>
    <row r="7756">
      <c r="Y7756" s="372">
        <v>0.0</v>
      </c>
      <c r="Z7756" s="372">
        <v>0.0</v>
      </c>
    </row>
    <row r="7757">
      <c r="Y7757" s="372">
        <v>0.0</v>
      </c>
      <c r="Z7757" s="372">
        <v>0.0</v>
      </c>
    </row>
    <row r="7758">
      <c r="Y7758" s="372">
        <v>0.0</v>
      </c>
      <c r="Z7758" s="372">
        <v>0.0</v>
      </c>
    </row>
    <row r="7759">
      <c r="Y7759" s="372">
        <v>0.0</v>
      </c>
      <c r="Z7759" s="372">
        <v>0.0</v>
      </c>
    </row>
    <row r="7760">
      <c r="Y7760" s="372">
        <v>0.0</v>
      </c>
      <c r="Z7760" s="372">
        <v>0.0</v>
      </c>
    </row>
    <row r="7761">
      <c r="Y7761" s="372">
        <v>0.0</v>
      </c>
      <c r="Z7761" s="372">
        <v>0.0</v>
      </c>
    </row>
    <row r="7762">
      <c r="Y7762" s="372">
        <v>0.0</v>
      </c>
      <c r="Z7762" s="372">
        <v>0.0</v>
      </c>
    </row>
    <row r="7763">
      <c r="Y7763" s="372">
        <v>0.0</v>
      </c>
      <c r="Z7763" s="372">
        <v>0.0</v>
      </c>
    </row>
    <row r="7764">
      <c r="Y7764" s="372">
        <v>0.0</v>
      </c>
      <c r="Z7764" s="372">
        <v>0.0</v>
      </c>
    </row>
    <row r="7765">
      <c r="Y7765" s="372">
        <v>0.0</v>
      </c>
      <c r="Z7765" s="372">
        <v>0.0</v>
      </c>
    </row>
    <row r="7766">
      <c r="Y7766" s="372">
        <v>0.0</v>
      </c>
      <c r="Z7766" s="372">
        <v>0.0</v>
      </c>
    </row>
    <row r="7767">
      <c r="Y7767" s="372">
        <v>0.0</v>
      </c>
      <c r="Z7767" s="372">
        <v>0.0</v>
      </c>
    </row>
    <row r="7768">
      <c r="Y7768" s="372">
        <v>0.0</v>
      </c>
      <c r="Z7768" s="372">
        <v>0.0</v>
      </c>
    </row>
    <row r="7769">
      <c r="Y7769" s="372">
        <v>0.0</v>
      </c>
      <c r="Z7769" s="372">
        <v>0.0</v>
      </c>
    </row>
    <row r="7770">
      <c r="Y7770" s="372">
        <v>0.0</v>
      </c>
      <c r="Z7770" s="372">
        <v>0.0</v>
      </c>
    </row>
    <row r="7771">
      <c r="Y7771" s="372">
        <v>0.0</v>
      </c>
      <c r="Z7771" s="372">
        <v>0.0</v>
      </c>
    </row>
    <row r="7772">
      <c r="Y7772" s="372">
        <v>0.0</v>
      </c>
      <c r="Z7772" s="372">
        <v>0.0</v>
      </c>
    </row>
    <row r="7773">
      <c r="Y7773" s="372">
        <v>0.0</v>
      </c>
      <c r="Z7773" s="372">
        <v>0.0</v>
      </c>
    </row>
    <row r="7774">
      <c r="Y7774" s="372">
        <v>0.0</v>
      </c>
      <c r="Z7774" s="372">
        <v>0.0</v>
      </c>
    </row>
    <row r="7775">
      <c r="Y7775" s="372">
        <v>0.0</v>
      </c>
      <c r="Z7775" s="372">
        <v>0.0</v>
      </c>
    </row>
    <row r="7776">
      <c r="Y7776" s="372">
        <v>0.0</v>
      </c>
      <c r="Z7776" s="372">
        <v>0.0</v>
      </c>
    </row>
    <row r="7777">
      <c r="Y7777" s="372">
        <v>0.0</v>
      </c>
      <c r="Z7777" s="372">
        <v>0.0</v>
      </c>
    </row>
    <row r="7778">
      <c r="Y7778" s="372">
        <v>0.0</v>
      </c>
      <c r="Z7778" s="372">
        <v>0.0</v>
      </c>
    </row>
    <row r="7779">
      <c r="Y7779" s="372">
        <v>0.0</v>
      </c>
      <c r="Z7779" s="372">
        <v>0.0</v>
      </c>
    </row>
    <row r="7780">
      <c r="Y7780" s="372">
        <v>0.0</v>
      </c>
      <c r="Z7780" s="372">
        <v>0.0</v>
      </c>
    </row>
    <row r="7781">
      <c r="Y7781" s="372">
        <v>0.0</v>
      </c>
      <c r="Z7781" s="372">
        <v>0.0</v>
      </c>
    </row>
    <row r="7782">
      <c r="Y7782" s="372">
        <v>0.0</v>
      </c>
      <c r="Z7782" s="372">
        <v>0.0</v>
      </c>
    </row>
    <row r="7783">
      <c r="Y7783" s="372">
        <v>0.0</v>
      </c>
      <c r="Z7783" s="372">
        <v>0.0</v>
      </c>
    </row>
    <row r="7784">
      <c r="Y7784" s="372">
        <v>0.0</v>
      </c>
      <c r="Z7784" s="372">
        <v>0.0</v>
      </c>
    </row>
    <row r="7785">
      <c r="Y7785" s="372">
        <v>0.0</v>
      </c>
      <c r="Z7785" s="372">
        <v>0.0</v>
      </c>
    </row>
    <row r="7786">
      <c r="Y7786" s="372">
        <v>0.0</v>
      </c>
      <c r="Z7786" s="372">
        <v>0.0</v>
      </c>
    </row>
    <row r="7787">
      <c r="Y7787" s="372">
        <v>0.0</v>
      </c>
      <c r="Z7787" s="372">
        <v>0.0</v>
      </c>
    </row>
    <row r="7788">
      <c r="Y7788" s="372">
        <v>0.0</v>
      </c>
      <c r="Z7788" s="372">
        <v>0.0</v>
      </c>
    </row>
    <row r="7789">
      <c r="Y7789" s="372">
        <v>0.0</v>
      </c>
      <c r="Z7789" s="372">
        <v>0.0</v>
      </c>
    </row>
    <row r="7790">
      <c r="Y7790" s="372">
        <v>0.0</v>
      </c>
      <c r="Z7790" s="372">
        <v>0.0</v>
      </c>
    </row>
    <row r="7791">
      <c r="Y7791" s="372">
        <v>0.0</v>
      </c>
      <c r="Z7791" s="372">
        <v>0.0</v>
      </c>
    </row>
    <row r="7792">
      <c r="Y7792" s="372">
        <v>0.0</v>
      </c>
      <c r="Z7792" s="372">
        <v>0.0</v>
      </c>
    </row>
    <row r="7793">
      <c r="Y7793" s="372">
        <v>0.0</v>
      </c>
      <c r="Z7793" s="372">
        <v>0.0</v>
      </c>
    </row>
    <row r="7794">
      <c r="Y7794" s="372">
        <v>0.0</v>
      </c>
      <c r="Z7794" s="372">
        <v>0.0</v>
      </c>
    </row>
    <row r="7795">
      <c r="Y7795" s="372">
        <v>0.0</v>
      </c>
      <c r="Z7795" s="372">
        <v>0.0</v>
      </c>
    </row>
    <row r="7796">
      <c r="Y7796" s="372">
        <v>0.0</v>
      </c>
      <c r="Z7796" s="372">
        <v>0.0</v>
      </c>
    </row>
    <row r="7797">
      <c r="Y7797" s="372">
        <v>0.0</v>
      </c>
      <c r="Z7797" s="372">
        <v>0.0</v>
      </c>
    </row>
    <row r="7798">
      <c r="Y7798" s="372">
        <v>0.0</v>
      </c>
      <c r="Z7798" s="372">
        <v>0.0</v>
      </c>
    </row>
    <row r="7799">
      <c r="Y7799" s="372">
        <v>0.0</v>
      </c>
      <c r="Z7799" s="372">
        <v>0.0</v>
      </c>
    </row>
    <row r="7800">
      <c r="Y7800" s="372">
        <v>0.0</v>
      </c>
      <c r="Z7800" s="372">
        <v>0.0</v>
      </c>
    </row>
    <row r="7801">
      <c r="Y7801" s="372">
        <v>0.0</v>
      </c>
      <c r="Z7801" s="372">
        <v>0.0</v>
      </c>
    </row>
    <row r="7802">
      <c r="Y7802" s="372">
        <v>0.0</v>
      </c>
      <c r="Z7802" s="372">
        <v>0.0</v>
      </c>
    </row>
    <row r="7803">
      <c r="Y7803" s="372">
        <v>0.0</v>
      </c>
      <c r="Z7803" s="372">
        <v>0.0</v>
      </c>
    </row>
    <row r="7804">
      <c r="Y7804" s="372">
        <v>0.0</v>
      </c>
      <c r="Z7804" s="372">
        <v>0.0</v>
      </c>
    </row>
    <row r="7805">
      <c r="Y7805" s="372">
        <v>0.0</v>
      </c>
      <c r="Z7805" s="372">
        <v>0.0</v>
      </c>
    </row>
    <row r="7806">
      <c r="Y7806" s="372">
        <v>0.0</v>
      </c>
      <c r="Z7806" s="372">
        <v>0.0</v>
      </c>
    </row>
    <row r="7807">
      <c r="Y7807" s="372">
        <v>0.0</v>
      </c>
      <c r="Z7807" s="372">
        <v>0.0</v>
      </c>
    </row>
    <row r="7808">
      <c r="Y7808" s="372">
        <v>0.0</v>
      </c>
      <c r="Z7808" s="372">
        <v>0.0</v>
      </c>
    </row>
    <row r="7809">
      <c r="Y7809" s="372">
        <v>0.0</v>
      </c>
      <c r="Z7809" s="372">
        <v>0.0</v>
      </c>
    </row>
    <row r="7810">
      <c r="Y7810" s="372">
        <v>0.0</v>
      </c>
      <c r="Z7810" s="372">
        <v>0.0</v>
      </c>
    </row>
    <row r="7811">
      <c r="Y7811" s="372">
        <v>0.0</v>
      </c>
      <c r="Z7811" s="372">
        <v>0.0</v>
      </c>
    </row>
    <row r="7812">
      <c r="Y7812" s="372">
        <v>0.0</v>
      </c>
      <c r="Z7812" s="372">
        <v>0.0</v>
      </c>
    </row>
    <row r="7813">
      <c r="Y7813" s="372">
        <v>0.0</v>
      </c>
      <c r="Z7813" s="372">
        <v>0.0</v>
      </c>
    </row>
    <row r="7814">
      <c r="Y7814" s="372">
        <v>0.0</v>
      </c>
      <c r="Z7814" s="372">
        <v>0.0</v>
      </c>
    </row>
    <row r="7815">
      <c r="Y7815" s="372">
        <v>0.0</v>
      </c>
      <c r="Z7815" s="372">
        <v>0.0</v>
      </c>
    </row>
    <row r="7816">
      <c r="Y7816" s="372">
        <v>0.0</v>
      </c>
      <c r="Z7816" s="372">
        <v>0.0</v>
      </c>
    </row>
    <row r="7817">
      <c r="Y7817" s="372">
        <v>0.0</v>
      </c>
      <c r="Z7817" s="372">
        <v>0.0</v>
      </c>
    </row>
    <row r="7818">
      <c r="Y7818" s="372">
        <v>0.0</v>
      </c>
      <c r="Z7818" s="372">
        <v>0.0</v>
      </c>
    </row>
    <row r="7819">
      <c r="Y7819" s="372">
        <v>0.0</v>
      </c>
      <c r="Z7819" s="372">
        <v>0.0</v>
      </c>
    </row>
    <row r="7820">
      <c r="Y7820" s="372">
        <v>0.0</v>
      </c>
      <c r="Z7820" s="372">
        <v>0.0</v>
      </c>
    </row>
    <row r="7821">
      <c r="Y7821" s="372">
        <v>0.0</v>
      </c>
      <c r="Z7821" s="372">
        <v>0.0</v>
      </c>
    </row>
    <row r="7822">
      <c r="Y7822" s="372">
        <v>0.0</v>
      </c>
      <c r="Z7822" s="372">
        <v>0.0</v>
      </c>
    </row>
    <row r="7823">
      <c r="Y7823" s="372">
        <v>0.0</v>
      </c>
      <c r="Z7823" s="372">
        <v>0.0</v>
      </c>
    </row>
    <row r="7824">
      <c r="Y7824" s="372">
        <v>0.0</v>
      </c>
      <c r="Z7824" s="372">
        <v>0.0</v>
      </c>
    </row>
    <row r="7825">
      <c r="Y7825" s="372">
        <v>0.0</v>
      </c>
      <c r="Z7825" s="372">
        <v>0.0</v>
      </c>
    </row>
    <row r="7826">
      <c r="Y7826" s="372">
        <v>0.0</v>
      </c>
      <c r="Z7826" s="372">
        <v>0.0</v>
      </c>
    </row>
    <row r="7827">
      <c r="Y7827" s="372">
        <v>0.0</v>
      </c>
      <c r="Z7827" s="372">
        <v>0.0</v>
      </c>
    </row>
    <row r="7828">
      <c r="Y7828" s="372">
        <v>0.0</v>
      </c>
      <c r="Z7828" s="372">
        <v>0.0</v>
      </c>
    </row>
    <row r="7829">
      <c r="Y7829" s="372">
        <v>0.0</v>
      </c>
      <c r="Z7829" s="372">
        <v>0.0</v>
      </c>
    </row>
    <row r="7830">
      <c r="Y7830" s="372">
        <v>0.0</v>
      </c>
      <c r="Z7830" s="372">
        <v>0.0</v>
      </c>
    </row>
    <row r="7831">
      <c r="Y7831" s="372">
        <v>0.0</v>
      </c>
      <c r="Z7831" s="372">
        <v>0.0</v>
      </c>
    </row>
    <row r="7832">
      <c r="Y7832" s="372">
        <v>0.0</v>
      </c>
      <c r="Z7832" s="372">
        <v>0.0</v>
      </c>
    </row>
    <row r="7833">
      <c r="Y7833" s="372">
        <v>0.0</v>
      </c>
      <c r="Z7833" s="372">
        <v>0.0</v>
      </c>
    </row>
    <row r="7834">
      <c r="Y7834" s="372">
        <v>0.0</v>
      </c>
      <c r="Z7834" s="372">
        <v>0.0</v>
      </c>
    </row>
    <row r="7835">
      <c r="Y7835" s="372">
        <v>0.0</v>
      </c>
      <c r="Z7835" s="372">
        <v>0.0</v>
      </c>
    </row>
    <row r="7836">
      <c r="Y7836" s="372">
        <v>0.0</v>
      </c>
      <c r="Z7836" s="372">
        <v>0.0</v>
      </c>
    </row>
    <row r="7837">
      <c r="Y7837" s="372">
        <v>0.0</v>
      </c>
      <c r="Z7837" s="372">
        <v>0.0</v>
      </c>
    </row>
    <row r="7838">
      <c r="Y7838" s="372">
        <v>0.0</v>
      </c>
      <c r="Z7838" s="372">
        <v>0.0</v>
      </c>
    </row>
    <row r="7839">
      <c r="Y7839" s="372">
        <v>0.0</v>
      </c>
      <c r="Z7839" s="372">
        <v>0.0</v>
      </c>
    </row>
    <row r="7840">
      <c r="Y7840" s="372">
        <v>0.0</v>
      </c>
      <c r="Z7840" s="372">
        <v>0.0</v>
      </c>
    </row>
    <row r="7841">
      <c r="Y7841" s="372">
        <v>0.0</v>
      </c>
      <c r="Z7841" s="372">
        <v>0.0</v>
      </c>
    </row>
    <row r="7842">
      <c r="Y7842" s="372">
        <v>0.0</v>
      </c>
      <c r="Z7842" s="372">
        <v>0.0</v>
      </c>
    </row>
    <row r="7843">
      <c r="Y7843" s="372">
        <v>0.0</v>
      </c>
      <c r="Z7843" s="372">
        <v>0.0</v>
      </c>
    </row>
    <row r="7844">
      <c r="Y7844" s="372">
        <v>0.0</v>
      </c>
      <c r="Z7844" s="372">
        <v>0.0</v>
      </c>
    </row>
    <row r="7845">
      <c r="Y7845" s="372">
        <v>0.0</v>
      </c>
      <c r="Z7845" s="372">
        <v>0.0</v>
      </c>
    </row>
    <row r="7846">
      <c r="Y7846" s="372">
        <v>0.0</v>
      </c>
      <c r="Z7846" s="372">
        <v>0.0</v>
      </c>
    </row>
    <row r="7847">
      <c r="Y7847" s="372">
        <v>0.0</v>
      </c>
      <c r="Z7847" s="372">
        <v>0.0</v>
      </c>
    </row>
    <row r="7848">
      <c r="Y7848" s="372">
        <v>0.0</v>
      </c>
      <c r="Z7848" s="372">
        <v>0.0</v>
      </c>
    </row>
    <row r="7849">
      <c r="Y7849" s="372">
        <v>0.0</v>
      </c>
      <c r="Z7849" s="372">
        <v>0.0</v>
      </c>
    </row>
    <row r="7850">
      <c r="Y7850" s="372">
        <v>0.0</v>
      </c>
      <c r="Z7850" s="372">
        <v>0.0</v>
      </c>
    </row>
    <row r="7851">
      <c r="Y7851" s="372">
        <v>0.0</v>
      </c>
      <c r="Z7851" s="372">
        <v>0.0</v>
      </c>
    </row>
    <row r="7852">
      <c r="Y7852" s="372">
        <v>0.0</v>
      </c>
      <c r="Z7852" s="372">
        <v>0.0</v>
      </c>
    </row>
    <row r="7853">
      <c r="Y7853" s="372">
        <v>0.0</v>
      </c>
      <c r="Z7853" s="372">
        <v>0.0</v>
      </c>
    </row>
    <row r="7854">
      <c r="Y7854" s="372">
        <v>0.0</v>
      </c>
      <c r="Z7854" s="372">
        <v>0.0</v>
      </c>
    </row>
    <row r="7855">
      <c r="Y7855" s="372">
        <v>0.0</v>
      </c>
      <c r="Z7855" s="372">
        <v>0.0</v>
      </c>
    </row>
    <row r="7856">
      <c r="Y7856" s="372">
        <v>0.0</v>
      </c>
      <c r="Z7856" s="372">
        <v>0.0</v>
      </c>
    </row>
    <row r="7857">
      <c r="Y7857" s="372">
        <v>0.0</v>
      </c>
      <c r="Z7857" s="372">
        <v>0.0</v>
      </c>
    </row>
    <row r="7858">
      <c r="Y7858" s="372">
        <v>0.0</v>
      </c>
      <c r="Z7858" s="372">
        <v>0.0</v>
      </c>
    </row>
    <row r="7859">
      <c r="Y7859" s="372">
        <v>0.0</v>
      </c>
      <c r="Z7859" s="372">
        <v>0.0</v>
      </c>
    </row>
    <row r="7860">
      <c r="Y7860" s="372">
        <v>0.0</v>
      </c>
      <c r="Z7860" s="372">
        <v>0.0</v>
      </c>
    </row>
    <row r="7861">
      <c r="Y7861" s="372">
        <v>0.0</v>
      </c>
      <c r="Z7861" s="372">
        <v>0.0</v>
      </c>
    </row>
    <row r="7862">
      <c r="Y7862" s="372">
        <v>0.0</v>
      </c>
      <c r="Z7862" s="372">
        <v>0.0</v>
      </c>
    </row>
    <row r="7863">
      <c r="Y7863" s="372">
        <v>0.0</v>
      </c>
      <c r="Z7863" s="372">
        <v>0.0</v>
      </c>
    </row>
    <row r="7864">
      <c r="Y7864" s="372">
        <v>0.0</v>
      </c>
      <c r="Z7864" s="372">
        <v>0.0</v>
      </c>
    </row>
    <row r="7865">
      <c r="Y7865" s="372">
        <v>0.0</v>
      </c>
      <c r="Z7865" s="372">
        <v>0.0</v>
      </c>
    </row>
    <row r="7866">
      <c r="Y7866" s="372">
        <v>0.0</v>
      </c>
      <c r="Z7866" s="372">
        <v>0.0</v>
      </c>
    </row>
    <row r="7867">
      <c r="Y7867" s="372">
        <v>0.0</v>
      </c>
      <c r="Z7867" s="372">
        <v>0.0</v>
      </c>
    </row>
    <row r="7868">
      <c r="Y7868" s="372">
        <v>0.0</v>
      </c>
      <c r="Z7868" s="372">
        <v>0.0</v>
      </c>
    </row>
    <row r="7869">
      <c r="Y7869" s="372">
        <v>0.0</v>
      </c>
      <c r="Z7869" s="372">
        <v>0.0</v>
      </c>
    </row>
    <row r="7870">
      <c r="Y7870" s="372">
        <v>0.0</v>
      </c>
      <c r="Z7870" s="372">
        <v>0.0</v>
      </c>
    </row>
    <row r="7871">
      <c r="Y7871" s="372">
        <v>0.0</v>
      </c>
      <c r="Z7871" s="372">
        <v>0.0</v>
      </c>
    </row>
    <row r="7872">
      <c r="Y7872" s="372">
        <v>0.0</v>
      </c>
      <c r="Z7872" s="372">
        <v>0.0</v>
      </c>
    </row>
    <row r="7873">
      <c r="Y7873" s="372">
        <v>0.0</v>
      </c>
      <c r="Z7873" s="372">
        <v>0.0</v>
      </c>
    </row>
    <row r="7874">
      <c r="Y7874" s="372">
        <v>0.0</v>
      </c>
      <c r="Z7874" s="372">
        <v>0.0</v>
      </c>
    </row>
    <row r="7875">
      <c r="Y7875" s="372">
        <v>0.0</v>
      </c>
      <c r="Z7875" s="372">
        <v>0.0</v>
      </c>
    </row>
    <row r="7876">
      <c r="Y7876" s="372">
        <v>0.0</v>
      </c>
      <c r="Z7876" s="372">
        <v>0.0</v>
      </c>
    </row>
    <row r="7877">
      <c r="Y7877" s="372">
        <v>0.0</v>
      </c>
      <c r="Z7877" s="372">
        <v>0.0</v>
      </c>
    </row>
    <row r="7878">
      <c r="Y7878" s="372">
        <v>0.0</v>
      </c>
      <c r="Z7878" s="372">
        <v>0.0</v>
      </c>
    </row>
    <row r="7879">
      <c r="Y7879" s="372">
        <v>0.0</v>
      </c>
      <c r="Z7879" s="372">
        <v>0.0</v>
      </c>
    </row>
    <row r="7880">
      <c r="Y7880" s="372">
        <v>0.0</v>
      </c>
      <c r="Z7880" s="372">
        <v>0.0</v>
      </c>
    </row>
    <row r="7881">
      <c r="Y7881" s="372">
        <v>0.0</v>
      </c>
      <c r="Z7881" s="372">
        <v>0.0</v>
      </c>
    </row>
    <row r="7882">
      <c r="Y7882" s="372">
        <v>0.0</v>
      </c>
      <c r="Z7882" s="372">
        <v>0.0</v>
      </c>
    </row>
    <row r="7883">
      <c r="Y7883" s="372">
        <v>0.0</v>
      </c>
      <c r="Z7883" s="372">
        <v>0.0</v>
      </c>
    </row>
    <row r="7884">
      <c r="Y7884" s="372">
        <v>0.0</v>
      </c>
      <c r="Z7884" s="372">
        <v>0.0</v>
      </c>
    </row>
    <row r="7885">
      <c r="Y7885" s="372">
        <v>0.0</v>
      </c>
      <c r="Z7885" s="372">
        <v>0.0</v>
      </c>
    </row>
    <row r="7886">
      <c r="Y7886" s="372">
        <v>0.0</v>
      </c>
      <c r="Z7886" s="372">
        <v>0.0</v>
      </c>
    </row>
    <row r="7887">
      <c r="Y7887" s="372">
        <v>0.0</v>
      </c>
      <c r="Z7887" s="372">
        <v>0.0</v>
      </c>
    </row>
    <row r="7888">
      <c r="Y7888" s="372">
        <v>0.0</v>
      </c>
      <c r="Z7888" s="372">
        <v>0.0</v>
      </c>
    </row>
    <row r="7889">
      <c r="Y7889" s="372">
        <v>0.0</v>
      </c>
      <c r="Z7889" s="372">
        <v>0.0</v>
      </c>
    </row>
    <row r="7890">
      <c r="Y7890" s="372">
        <v>0.0</v>
      </c>
      <c r="Z7890" s="372">
        <v>0.0</v>
      </c>
    </row>
    <row r="7891">
      <c r="Y7891" s="372">
        <v>0.0</v>
      </c>
      <c r="Z7891" s="372">
        <v>0.0</v>
      </c>
    </row>
    <row r="7892">
      <c r="Y7892" s="372">
        <v>0.0</v>
      </c>
      <c r="Z7892" s="372">
        <v>0.0</v>
      </c>
    </row>
    <row r="7893">
      <c r="Y7893" s="372">
        <v>0.0</v>
      </c>
      <c r="Z7893" s="372">
        <v>0.0</v>
      </c>
    </row>
    <row r="7894">
      <c r="Y7894" s="372">
        <v>0.0</v>
      </c>
      <c r="Z7894" s="372">
        <v>0.0</v>
      </c>
    </row>
    <row r="7895">
      <c r="Y7895" s="372">
        <v>0.0</v>
      </c>
      <c r="Z7895" s="372">
        <v>0.0</v>
      </c>
    </row>
    <row r="7896">
      <c r="Y7896" s="372">
        <v>0.0</v>
      </c>
      <c r="Z7896" s="372">
        <v>0.0</v>
      </c>
    </row>
    <row r="7897">
      <c r="Y7897" s="372">
        <v>0.0</v>
      </c>
      <c r="Z7897" s="372">
        <v>0.0</v>
      </c>
    </row>
    <row r="7898">
      <c r="Y7898" s="372">
        <v>0.0</v>
      </c>
      <c r="Z7898" s="372">
        <v>0.0</v>
      </c>
    </row>
    <row r="7899">
      <c r="Y7899" s="372">
        <v>0.0</v>
      </c>
      <c r="Z7899" s="372">
        <v>0.0</v>
      </c>
    </row>
    <row r="7900">
      <c r="Y7900" s="372">
        <v>0.0</v>
      </c>
      <c r="Z7900" s="372">
        <v>0.0</v>
      </c>
    </row>
    <row r="7901">
      <c r="Y7901" s="372">
        <v>0.0</v>
      </c>
      <c r="Z7901" s="372">
        <v>0.0</v>
      </c>
    </row>
    <row r="7902">
      <c r="Y7902" s="372">
        <v>0.0</v>
      </c>
      <c r="Z7902" s="372">
        <v>0.0</v>
      </c>
    </row>
    <row r="7903">
      <c r="Y7903" s="372">
        <v>0.0</v>
      </c>
      <c r="Z7903" s="372">
        <v>0.0</v>
      </c>
    </row>
    <row r="7904">
      <c r="Y7904" s="372">
        <v>0.0</v>
      </c>
      <c r="Z7904" s="372">
        <v>0.0</v>
      </c>
    </row>
    <row r="7905">
      <c r="Y7905" s="372">
        <v>0.0</v>
      </c>
      <c r="Z7905" s="372">
        <v>0.0</v>
      </c>
    </row>
    <row r="7906">
      <c r="Y7906" s="372">
        <v>0.0</v>
      </c>
      <c r="Z7906" s="372">
        <v>0.0</v>
      </c>
    </row>
    <row r="7907">
      <c r="Y7907" s="372">
        <v>0.0</v>
      </c>
      <c r="Z7907" s="372">
        <v>0.0</v>
      </c>
    </row>
    <row r="7908">
      <c r="Y7908" s="372">
        <v>0.0</v>
      </c>
      <c r="Z7908" s="372">
        <v>0.0</v>
      </c>
    </row>
    <row r="7909">
      <c r="Y7909" s="372">
        <v>0.0</v>
      </c>
      <c r="Z7909" s="372">
        <v>0.0</v>
      </c>
    </row>
    <row r="7910">
      <c r="Y7910" s="372">
        <v>0.0</v>
      </c>
      <c r="Z7910" s="372">
        <v>0.0</v>
      </c>
    </row>
    <row r="7911">
      <c r="Y7911" s="372">
        <v>0.0</v>
      </c>
      <c r="Z7911" s="372">
        <v>0.0</v>
      </c>
    </row>
    <row r="7912">
      <c r="Y7912" s="372">
        <v>0.0</v>
      </c>
      <c r="Z7912" s="372">
        <v>0.0</v>
      </c>
    </row>
    <row r="7913">
      <c r="Y7913" s="372">
        <v>0.0</v>
      </c>
      <c r="Z7913" s="372">
        <v>0.0</v>
      </c>
    </row>
    <row r="7914">
      <c r="Y7914" s="372">
        <v>0.0</v>
      </c>
      <c r="Z7914" s="372">
        <v>0.0</v>
      </c>
    </row>
    <row r="7915">
      <c r="Y7915" s="372">
        <v>0.0</v>
      </c>
      <c r="Z7915" s="372">
        <v>0.0</v>
      </c>
    </row>
    <row r="7916">
      <c r="Y7916" s="372">
        <v>0.0</v>
      </c>
      <c r="Z7916" s="372">
        <v>0.0</v>
      </c>
    </row>
    <row r="7917">
      <c r="Y7917" s="372">
        <v>0.0</v>
      </c>
      <c r="Z7917" s="372">
        <v>0.0</v>
      </c>
    </row>
    <row r="7918">
      <c r="Y7918" s="372">
        <v>0.0</v>
      </c>
      <c r="Z7918" s="372">
        <v>0.0</v>
      </c>
    </row>
    <row r="7919">
      <c r="Y7919" s="372">
        <v>0.0</v>
      </c>
      <c r="Z7919" s="372">
        <v>0.0</v>
      </c>
    </row>
    <row r="7920">
      <c r="Y7920" s="372">
        <v>0.0</v>
      </c>
      <c r="Z7920" s="372">
        <v>0.0</v>
      </c>
    </row>
    <row r="7921">
      <c r="Y7921" s="372">
        <v>0.0</v>
      </c>
      <c r="Z7921" s="372">
        <v>0.0</v>
      </c>
    </row>
    <row r="7922">
      <c r="Y7922" s="372">
        <v>0.0</v>
      </c>
      <c r="Z7922" s="372">
        <v>0.0</v>
      </c>
    </row>
    <row r="7923">
      <c r="Y7923" s="372">
        <v>0.0</v>
      </c>
      <c r="Z7923" s="372">
        <v>0.0</v>
      </c>
    </row>
    <row r="7924">
      <c r="Y7924" s="372">
        <v>0.0</v>
      </c>
      <c r="Z7924" s="372">
        <v>0.0</v>
      </c>
    </row>
    <row r="7925">
      <c r="Y7925" s="372">
        <v>0.0</v>
      </c>
      <c r="Z7925" s="372">
        <v>0.0</v>
      </c>
    </row>
    <row r="7926">
      <c r="Y7926" s="372">
        <v>0.0</v>
      </c>
      <c r="Z7926" s="372">
        <v>0.0</v>
      </c>
    </row>
    <row r="7927">
      <c r="Y7927" s="372">
        <v>0.0</v>
      </c>
      <c r="Z7927" s="372">
        <v>0.0</v>
      </c>
    </row>
    <row r="7928">
      <c r="Y7928" s="372">
        <v>0.0</v>
      </c>
      <c r="Z7928" s="372">
        <v>0.0</v>
      </c>
    </row>
    <row r="7929">
      <c r="Y7929" s="372">
        <v>0.0</v>
      </c>
      <c r="Z7929" s="372">
        <v>0.0</v>
      </c>
    </row>
    <row r="7930">
      <c r="Y7930" s="372">
        <v>0.0</v>
      </c>
      <c r="Z7930" s="372">
        <v>0.0</v>
      </c>
    </row>
    <row r="7931">
      <c r="Y7931" s="372">
        <v>0.0</v>
      </c>
      <c r="Z7931" s="372">
        <v>0.0</v>
      </c>
    </row>
    <row r="7932">
      <c r="Y7932" s="372">
        <v>0.0</v>
      </c>
      <c r="Z7932" s="372">
        <v>0.0</v>
      </c>
    </row>
    <row r="7933">
      <c r="Y7933" s="372">
        <v>0.0</v>
      </c>
      <c r="Z7933" s="372">
        <v>0.0</v>
      </c>
    </row>
    <row r="7934">
      <c r="Y7934" s="372">
        <v>0.0</v>
      </c>
      <c r="Z7934" s="372">
        <v>0.0</v>
      </c>
    </row>
    <row r="7935">
      <c r="Y7935" s="372">
        <v>0.0</v>
      </c>
      <c r="Z7935" s="372">
        <v>0.0</v>
      </c>
    </row>
    <row r="7936">
      <c r="Y7936" s="372">
        <v>0.0</v>
      </c>
      <c r="Z7936" s="372">
        <v>0.0</v>
      </c>
    </row>
    <row r="7937">
      <c r="Y7937" s="372">
        <v>0.0</v>
      </c>
      <c r="Z7937" s="372">
        <v>0.0</v>
      </c>
    </row>
    <row r="7938">
      <c r="Y7938" s="372">
        <v>0.0</v>
      </c>
      <c r="Z7938" s="372">
        <v>0.0</v>
      </c>
    </row>
    <row r="7939">
      <c r="Y7939" s="372">
        <v>0.0</v>
      </c>
      <c r="Z7939" s="372">
        <v>0.0</v>
      </c>
    </row>
    <row r="7940">
      <c r="Y7940" s="372">
        <v>0.0</v>
      </c>
      <c r="Z7940" s="372">
        <v>0.0</v>
      </c>
    </row>
    <row r="7941">
      <c r="Y7941" s="372">
        <v>0.0</v>
      </c>
      <c r="Z7941" s="372">
        <v>0.0</v>
      </c>
    </row>
    <row r="7942">
      <c r="Y7942" s="372">
        <v>0.0</v>
      </c>
      <c r="Z7942" s="372">
        <v>0.0</v>
      </c>
    </row>
    <row r="7943">
      <c r="Y7943" s="372">
        <v>0.0</v>
      </c>
      <c r="Z7943" s="372">
        <v>0.0</v>
      </c>
    </row>
    <row r="7944">
      <c r="Y7944" s="372">
        <v>0.0</v>
      </c>
      <c r="Z7944" s="372">
        <v>0.0</v>
      </c>
    </row>
    <row r="7945">
      <c r="Y7945" s="372">
        <v>0.0</v>
      </c>
      <c r="Z7945" s="372">
        <v>0.0</v>
      </c>
    </row>
    <row r="7946">
      <c r="Y7946" s="372">
        <v>0.0</v>
      </c>
      <c r="Z7946" s="372">
        <v>0.0</v>
      </c>
    </row>
    <row r="7947">
      <c r="Y7947" s="372">
        <v>0.0</v>
      </c>
      <c r="Z7947" s="372">
        <v>0.0</v>
      </c>
    </row>
    <row r="7948">
      <c r="Y7948" s="372">
        <v>0.0</v>
      </c>
      <c r="Z7948" s="372">
        <v>0.0</v>
      </c>
    </row>
    <row r="7949">
      <c r="Y7949" s="372">
        <v>0.0</v>
      </c>
      <c r="Z7949" s="372">
        <v>0.0</v>
      </c>
    </row>
    <row r="7950">
      <c r="Y7950" s="372">
        <v>0.0</v>
      </c>
      <c r="Z7950" s="372">
        <v>0.0</v>
      </c>
    </row>
    <row r="7951">
      <c r="Y7951" s="372">
        <v>0.0</v>
      </c>
      <c r="Z7951" s="372">
        <v>0.0</v>
      </c>
    </row>
    <row r="7952">
      <c r="Y7952" s="372">
        <v>0.0</v>
      </c>
      <c r="Z7952" s="372">
        <v>0.0</v>
      </c>
    </row>
    <row r="7953">
      <c r="Y7953" s="372">
        <v>0.0</v>
      </c>
      <c r="Z7953" s="372">
        <v>0.0</v>
      </c>
    </row>
    <row r="7954">
      <c r="Y7954" s="372">
        <v>0.0</v>
      </c>
      <c r="Z7954" s="372">
        <v>0.0</v>
      </c>
    </row>
    <row r="7955">
      <c r="Y7955" s="372">
        <v>0.0</v>
      </c>
      <c r="Z7955" s="372">
        <v>0.0</v>
      </c>
    </row>
    <row r="7956">
      <c r="Y7956" s="372">
        <v>0.0</v>
      </c>
      <c r="Z7956" s="372">
        <v>0.0</v>
      </c>
    </row>
    <row r="7957">
      <c r="Y7957" s="372">
        <v>0.0</v>
      </c>
      <c r="Z7957" s="372">
        <v>0.0</v>
      </c>
    </row>
    <row r="7958">
      <c r="Y7958" s="372">
        <v>0.0</v>
      </c>
      <c r="Z7958" s="372">
        <v>0.0</v>
      </c>
    </row>
    <row r="7959">
      <c r="Y7959" s="372">
        <v>0.0</v>
      </c>
      <c r="Z7959" s="372">
        <v>0.0</v>
      </c>
    </row>
    <row r="7960">
      <c r="Y7960" s="372">
        <v>0.0</v>
      </c>
      <c r="Z7960" s="372">
        <v>0.0</v>
      </c>
    </row>
    <row r="7961">
      <c r="Y7961" s="372">
        <v>0.0</v>
      </c>
      <c r="Z7961" s="372">
        <v>0.0</v>
      </c>
    </row>
    <row r="7962">
      <c r="Y7962" s="372">
        <v>0.0</v>
      </c>
      <c r="Z7962" s="372">
        <v>0.0</v>
      </c>
    </row>
    <row r="7963">
      <c r="Y7963" s="372">
        <v>0.0</v>
      </c>
      <c r="Z7963" s="372">
        <v>0.0</v>
      </c>
    </row>
    <row r="7964">
      <c r="Y7964" s="372">
        <v>0.0</v>
      </c>
      <c r="Z7964" s="372">
        <v>0.0</v>
      </c>
    </row>
    <row r="7965">
      <c r="Y7965" s="372">
        <v>0.0</v>
      </c>
      <c r="Z7965" s="372">
        <v>0.0</v>
      </c>
    </row>
    <row r="7966">
      <c r="Y7966" s="372">
        <v>0.0</v>
      </c>
      <c r="Z7966" s="372">
        <v>0.0</v>
      </c>
    </row>
    <row r="7967">
      <c r="Y7967" s="372">
        <v>0.0</v>
      </c>
      <c r="Z7967" s="372">
        <v>0.0</v>
      </c>
    </row>
    <row r="7968">
      <c r="Y7968" s="372">
        <v>0.0</v>
      </c>
      <c r="Z7968" s="372">
        <v>0.0</v>
      </c>
    </row>
    <row r="7969">
      <c r="Y7969" s="372">
        <v>0.0</v>
      </c>
      <c r="Z7969" s="372">
        <v>0.0</v>
      </c>
    </row>
    <row r="7970">
      <c r="Y7970" s="372">
        <v>0.0</v>
      </c>
      <c r="Z7970" s="372">
        <v>0.0</v>
      </c>
    </row>
    <row r="7971">
      <c r="Y7971" s="372">
        <v>0.0</v>
      </c>
      <c r="Z7971" s="372">
        <v>0.0</v>
      </c>
    </row>
    <row r="7972">
      <c r="Y7972" s="372">
        <v>0.0</v>
      </c>
      <c r="Z7972" s="372">
        <v>0.0</v>
      </c>
    </row>
    <row r="7973">
      <c r="Y7973" s="372">
        <v>0.0</v>
      </c>
      <c r="Z7973" s="372">
        <v>0.0</v>
      </c>
    </row>
    <row r="7974">
      <c r="Y7974" s="372">
        <v>0.0</v>
      </c>
      <c r="Z7974" s="372">
        <v>0.0</v>
      </c>
    </row>
    <row r="7975">
      <c r="Y7975" s="372">
        <v>0.0</v>
      </c>
      <c r="Z7975" s="372">
        <v>0.0</v>
      </c>
    </row>
    <row r="7976">
      <c r="Y7976" s="372">
        <v>0.0</v>
      </c>
      <c r="Z7976" s="372">
        <v>0.0</v>
      </c>
    </row>
    <row r="7977">
      <c r="Y7977" s="372">
        <v>0.0</v>
      </c>
      <c r="Z7977" s="372">
        <v>0.0</v>
      </c>
    </row>
    <row r="7978">
      <c r="Y7978" s="372">
        <v>0.0</v>
      </c>
      <c r="Z7978" s="372">
        <v>0.0</v>
      </c>
    </row>
    <row r="7979">
      <c r="Y7979" s="372">
        <v>0.0</v>
      </c>
      <c r="Z7979" s="372">
        <v>0.0</v>
      </c>
    </row>
    <row r="7980">
      <c r="Y7980" s="372">
        <v>0.0</v>
      </c>
      <c r="Z7980" s="372">
        <v>0.0</v>
      </c>
    </row>
    <row r="7981">
      <c r="Y7981" s="372">
        <v>0.0</v>
      </c>
      <c r="Z7981" s="372">
        <v>0.0</v>
      </c>
    </row>
    <row r="7982">
      <c r="Y7982" s="372">
        <v>0.0</v>
      </c>
      <c r="Z7982" s="372">
        <v>0.0</v>
      </c>
    </row>
    <row r="7983">
      <c r="Y7983" s="372">
        <v>0.0</v>
      </c>
      <c r="Z7983" s="372">
        <v>0.0</v>
      </c>
    </row>
    <row r="7984">
      <c r="Y7984" s="372">
        <v>0.0</v>
      </c>
      <c r="Z7984" s="372">
        <v>0.0</v>
      </c>
    </row>
    <row r="7985">
      <c r="Y7985" s="372">
        <v>0.0</v>
      </c>
      <c r="Z7985" s="372">
        <v>0.0</v>
      </c>
    </row>
    <row r="7986">
      <c r="Y7986" s="372">
        <v>0.0</v>
      </c>
      <c r="Z7986" s="372">
        <v>0.0</v>
      </c>
    </row>
    <row r="7987">
      <c r="Y7987" s="372">
        <v>0.0</v>
      </c>
      <c r="Z7987" s="372">
        <v>0.0</v>
      </c>
    </row>
    <row r="7988">
      <c r="Y7988" s="372">
        <v>0.0</v>
      </c>
      <c r="Z7988" s="372">
        <v>0.0</v>
      </c>
    </row>
    <row r="7989">
      <c r="Y7989" s="372">
        <v>0.0</v>
      </c>
      <c r="Z7989" s="372">
        <v>0.0</v>
      </c>
    </row>
    <row r="7990">
      <c r="Y7990" s="372">
        <v>0.0</v>
      </c>
      <c r="Z7990" s="372">
        <v>0.0</v>
      </c>
    </row>
    <row r="7991">
      <c r="Y7991" s="372">
        <v>0.0</v>
      </c>
      <c r="Z7991" s="372">
        <v>0.0</v>
      </c>
    </row>
    <row r="7992">
      <c r="Y7992" s="372">
        <v>0.0</v>
      </c>
      <c r="Z7992" s="372">
        <v>0.0</v>
      </c>
    </row>
    <row r="7993">
      <c r="Y7993" s="372">
        <v>0.0</v>
      </c>
      <c r="Z7993" s="372">
        <v>0.0</v>
      </c>
    </row>
    <row r="7994">
      <c r="Y7994" s="372">
        <v>0.0</v>
      </c>
      <c r="Z7994" s="372">
        <v>0.0</v>
      </c>
    </row>
    <row r="7995">
      <c r="Y7995" s="372">
        <v>0.0</v>
      </c>
      <c r="Z7995" s="372">
        <v>0.0</v>
      </c>
    </row>
    <row r="7996">
      <c r="Y7996" s="372">
        <v>0.0</v>
      </c>
      <c r="Z7996" s="372">
        <v>0.0</v>
      </c>
    </row>
    <row r="7997">
      <c r="Y7997" s="372">
        <v>0.0</v>
      </c>
      <c r="Z7997" s="372">
        <v>0.0</v>
      </c>
    </row>
    <row r="7998">
      <c r="Y7998" s="372">
        <v>0.0</v>
      </c>
      <c r="Z7998" s="372">
        <v>0.0</v>
      </c>
    </row>
    <row r="7999">
      <c r="Y7999" s="372">
        <v>0.0</v>
      </c>
      <c r="Z7999" s="372">
        <v>0.0</v>
      </c>
    </row>
    <row r="8000">
      <c r="Y8000" s="372">
        <v>0.0</v>
      </c>
      <c r="Z8000" s="372">
        <v>0.0</v>
      </c>
    </row>
    <row r="8001">
      <c r="Y8001" s="372">
        <v>0.0</v>
      </c>
      <c r="Z8001" s="372">
        <v>0.0</v>
      </c>
    </row>
    <row r="8002">
      <c r="Y8002" s="372">
        <v>0.0</v>
      </c>
      <c r="Z8002" s="372">
        <v>0.0</v>
      </c>
    </row>
    <row r="8003">
      <c r="Y8003" s="372">
        <v>0.0</v>
      </c>
      <c r="Z8003" s="372">
        <v>0.0</v>
      </c>
    </row>
    <row r="8004">
      <c r="Y8004" s="372">
        <v>0.0</v>
      </c>
      <c r="Z8004" s="372">
        <v>0.0</v>
      </c>
    </row>
    <row r="8005">
      <c r="Y8005" s="372">
        <v>0.0</v>
      </c>
      <c r="Z8005" s="372">
        <v>0.0</v>
      </c>
    </row>
    <row r="8006">
      <c r="Y8006" s="372">
        <v>0.0</v>
      </c>
      <c r="Z8006" s="372">
        <v>0.0</v>
      </c>
    </row>
    <row r="8007">
      <c r="Y8007" s="372">
        <v>0.0</v>
      </c>
      <c r="Z8007" s="372">
        <v>0.0</v>
      </c>
    </row>
    <row r="8008">
      <c r="Y8008" s="372">
        <v>0.0</v>
      </c>
      <c r="Z8008" s="372">
        <v>0.0</v>
      </c>
    </row>
    <row r="8009">
      <c r="Y8009" s="372">
        <v>0.0</v>
      </c>
      <c r="Z8009" s="372">
        <v>0.0</v>
      </c>
    </row>
    <row r="8010">
      <c r="Y8010" s="372">
        <v>0.0</v>
      </c>
      <c r="Z8010" s="372">
        <v>0.0</v>
      </c>
    </row>
    <row r="8011">
      <c r="Y8011" s="372">
        <v>0.0</v>
      </c>
      <c r="Z8011" s="372">
        <v>0.0</v>
      </c>
    </row>
    <row r="8012">
      <c r="Y8012" s="372">
        <v>0.0</v>
      </c>
      <c r="Z8012" s="372">
        <v>0.0</v>
      </c>
    </row>
    <row r="8013">
      <c r="Y8013" s="372">
        <v>0.0</v>
      </c>
      <c r="Z8013" s="372">
        <v>0.0</v>
      </c>
    </row>
    <row r="8014">
      <c r="Y8014" s="372">
        <v>0.0</v>
      </c>
      <c r="Z8014" s="372">
        <v>0.0</v>
      </c>
    </row>
    <row r="8015">
      <c r="Y8015" s="372">
        <v>0.0</v>
      </c>
      <c r="Z8015" s="372">
        <v>0.0</v>
      </c>
    </row>
    <row r="8016">
      <c r="Y8016" s="372">
        <v>0.0</v>
      </c>
      <c r="Z8016" s="372">
        <v>0.0</v>
      </c>
    </row>
    <row r="8017">
      <c r="Y8017" s="372">
        <v>0.0</v>
      </c>
      <c r="Z8017" s="372">
        <v>0.0</v>
      </c>
    </row>
    <row r="8018">
      <c r="Y8018" s="372">
        <v>0.0</v>
      </c>
      <c r="Z8018" s="372">
        <v>0.0</v>
      </c>
    </row>
    <row r="8019">
      <c r="Y8019" s="372">
        <v>0.0</v>
      </c>
      <c r="Z8019" s="372">
        <v>0.0</v>
      </c>
    </row>
    <row r="8020">
      <c r="Y8020" s="372">
        <v>0.0</v>
      </c>
      <c r="Z8020" s="372">
        <v>0.0</v>
      </c>
    </row>
    <row r="8021">
      <c r="Y8021" s="372">
        <v>0.0</v>
      </c>
      <c r="Z8021" s="372">
        <v>0.0</v>
      </c>
    </row>
    <row r="8022">
      <c r="Y8022" s="372">
        <v>0.0</v>
      </c>
      <c r="Z8022" s="372">
        <v>0.0</v>
      </c>
    </row>
    <row r="8023">
      <c r="Y8023" s="372">
        <v>0.0</v>
      </c>
      <c r="Z8023" s="372">
        <v>0.0</v>
      </c>
    </row>
    <row r="8024">
      <c r="Y8024" s="372">
        <v>0.0</v>
      </c>
      <c r="Z8024" s="372">
        <v>0.0</v>
      </c>
    </row>
    <row r="8025">
      <c r="Y8025" s="372">
        <v>0.0</v>
      </c>
      <c r="Z8025" s="372">
        <v>0.0</v>
      </c>
    </row>
    <row r="8026">
      <c r="Y8026" s="372">
        <v>0.0</v>
      </c>
      <c r="Z8026" s="372">
        <v>0.0</v>
      </c>
    </row>
    <row r="8027">
      <c r="Y8027" s="372">
        <v>0.0</v>
      </c>
      <c r="Z8027" s="372">
        <v>0.0</v>
      </c>
    </row>
    <row r="8028">
      <c r="Y8028" s="372">
        <v>0.0</v>
      </c>
      <c r="Z8028" s="372">
        <v>0.0</v>
      </c>
    </row>
    <row r="8029">
      <c r="Y8029" s="372">
        <v>0.0</v>
      </c>
      <c r="Z8029" s="372">
        <v>0.0</v>
      </c>
    </row>
    <row r="8030">
      <c r="Y8030" s="372">
        <v>0.0</v>
      </c>
      <c r="Z8030" s="372">
        <v>0.0</v>
      </c>
    </row>
    <row r="8031">
      <c r="Y8031" s="372">
        <v>0.0</v>
      </c>
      <c r="Z8031" s="372">
        <v>0.0</v>
      </c>
    </row>
    <row r="8032">
      <c r="Y8032" s="372">
        <v>0.0</v>
      </c>
      <c r="Z8032" s="372">
        <v>0.0</v>
      </c>
    </row>
    <row r="8033">
      <c r="Y8033" s="372">
        <v>0.0</v>
      </c>
      <c r="Z8033" s="372">
        <v>0.0</v>
      </c>
    </row>
    <row r="8034">
      <c r="Y8034" s="372">
        <v>0.0</v>
      </c>
      <c r="Z8034" s="372">
        <v>0.0</v>
      </c>
    </row>
    <row r="8035">
      <c r="Y8035" s="372">
        <v>0.0</v>
      </c>
      <c r="Z8035" s="372">
        <v>0.0</v>
      </c>
    </row>
    <row r="8036">
      <c r="Y8036" s="372">
        <v>0.0</v>
      </c>
      <c r="Z8036" s="372">
        <v>0.0</v>
      </c>
    </row>
    <row r="8037">
      <c r="Y8037" s="372">
        <v>0.0</v>
      </c>
      <c r="Z8037" s="372">
        <v>0.0</v>
      </c>
    </row>
    <row r="8038">
      <c r="Y8038" s="372">
        <v>0.0</v>
      </c>
      <c r="Z8038" s="372">
        <v>0.0</v>
      </c>
    </row>
    <row r="8039">
      <c r="Y8039" s="372">
        <v>0.0</v>
      </c>
      <c r="Z8039" s="372">
        <v>0.0</v>
      </c>
    </row>
    <row r="8040">
      <c r="Y8040" s="372">
        <v>0.0</v>
      </c>
      <c r="Z8040" s="372">
        <v>0.0</v>
      </c>
    </row>
    <row r="8041">
      <c r="Y8041" s="372">
        <v>0.0</v>
      </c>
      <c r="Z8041" s="372">
        <v>0.0</v>
      </c>
    </row>
    <row r="8042">
      <c r="Y8042" s="372">
        <v>0.0</v>
      </c>
      <c r="Z8042" s="372">
        <v>0.0</v>
      </c>
    </row>
    <row r="8043">
      <c r="Y8043" s="372">
        <v>0.0</v>
      </c>
      <c r="Z8043" s="372">
        <v>0.0</v>
      </c>
    </row>
    <row r="8044">
      <c r="Y8044" s="372">
        <v>0.0</v>
      </c>
      <c r="Z8044" s="372">
        <v>0.0</v>
      </c>
    </row>
    <row r="8045">
      <c r="Y8045" s="372">
        <v>0.0</v>
      </c>
      <c r="Z8045" s="372">
        <v>0.0</v>
      </c>
    </row>
    <row r="8046">
      <c r="Y8046" s="372">
        <v>0.0</v>
      </c>
      <c r="Z8046" s="372">
        <v>0.0</v>
      </c>
    </row>
    <row r="8047">
      <c r="Y8047" s="372">
        <v>0.0</v>
      </c>
      <c r="Z8047" s="372">
        <v>0.0</v>
      </c>
    </row>
    <row r="8048">
      <c r="Y8048" s="372">
        <v>0.0</v>
      </c>
      <c r="Z8048" s="372">
        <v>0.0</v>
      </c>
    </row>
    <row r="8049">
      <c r="Y8049" s="372">
        <v>0.0</v>
      </c>
      <c r="Z8049" s="372">
        <v>0.0</v>
      </c>
    </row>
    <row r="8050">
      <c r="Y8050" s="372">
        <v>0.0</v>
      </c>
      <c r="Z8050" s="372">
        <v>0.0</v>
      </c>
    </row>
    <row r="8051">
      <c r="Y8051" s="372">
        <v>0.0</v>
      </c>
      <c r="Z8051" s="372">
        <v>0.0</v>
      </c>
    </row>
    <row r="8052">
      <c r="Y8052" s="372">
        <v>0.0</v>
      </c>
      <c r="Z8052" s="372">
        <v>0.0</v>
      </c>
    </row>
    <row r="8053">
      <c r="Y8053" s="372">
        <v>0.0</v>
      </c>
      <c r="Z8053" s="372">
        <v>0.0</v>
      </c>
    </row>
    <row r="8054">
      <c r="Y8054" s="372">
        <v>0.0</v>
      </c>
      <c r="Z8054" s="372">
        <v>0.0</v>
      </c>
    </row>
    <row r="8055">
      <c r="Y8055" s="372">
        <v>0.0</v>
      </c>
      <c r="Z8055" s="372">
        <v>0.0</v>
      </c>
    </row>
    <row r="8056">
      <c r="Y8056" s="372">
        <v>0.0</v>
      </c>
      <c r="Z8056" s="372">
        <v>0.0</v>
      </c>
    </row>
    <row r="8057">
      <c r="Y8057" s="372">
        <v>0.0</v>
      </c>
      <c r="Z8057" s="372">
        <v>0.0</v>
      </c>
    </row>
    <row r="8058">
      <c r="Y8058" s="372">
        <v>0.0</v>
      </c>
      <c r="Z8058" s="372">
        <v>0.0</v>
      </c>
    </row>
    <row r="8059">
      <c r="Y8059" s="372">
        <v>0.0</v>
      </c>
      <c r="Z8059" s="372">
        <v>0.0</v>
      </c>
    </row>
    <row r="8060">
      <c r="Y8060" s="372">
        <v>0.0</v>
      </c>
      <c r="Z8060" s="372">
        <v>0.0</v>
      </c>
    </row>
    <row r="8061">
      <c r="Y8061" s="372">
        <v>0.0</v>
      </c>
      <c r="Z8061" s="372">
        <v>0.0</v>
      </c>
    </row>
    <row r="8062">
      <c r="Y8062" s="372">
        <v>0.0</v>
      </c>
      <c r="Z8062" s="372">
        <v>0.0</v>
      </c>
    </row>
    <row r="8063">
      <c r="Y8063" s="372">
        <v>0.0</v>
      </c>
      <c r="Z8063" s="372">
        <v>0.0</v>
      </c>
    </row>
    <row r="8064">
      <c r="Y8064" s="372">
        <v>0.0</v>
      </c>
      <c r="Z8064" s="372">
        <v>0.0</v>
      </c>
    </row>
    <row r="8065">
      <c r="Y8065" s="372">
        <v>0.0</v>
      </c>
      <c r="Z8065" s="372">
        <v>0.0</v>
      </c>
    </row>
    <row r="8066">
      <c r="Y8066" s="372">
        <v>0.0</v>
      </c>
      <c r="Z8066" s="372">
        <v>0.0</v>
      </c>
    </row>
    <row r="8067">
      <c r="Y8067" s="372">
        <v>0.0</v>
      </c>
      <c r="Z8067" s="372">
        <v>0.0</v>
      </c>
    </row>
    <row r="8068">
      <c r="Y8068" s="372">
        <v>0.0</v>
      </c>
      <c r="Z8068" s="372">
        <v>0.0</v>
      </c>
    </row>
    <row r="8069">
      <c r="Y8069" s="372">
        <v>0.0</v>
      </c>
      <c r="Z8069" s="372">
        <v>0.0</v>
      </c>
    </row>
    <row r="8070">
      <c r="Y8070" s="372">
        <v>0.0</v>
      </c>
      <c r="Z8070" s="372">
        <v>0.0</v>
      </c>
    </row>
    <row r="8071">
      <c r="Y8071" s="372">
        <v>0.0</v>
      </c>
      <c r="Z8071" s="372">
        <v>0.0</v>
      </c>
    </row>
    <row r="8072">
      <c r="Y8072" s="372">
        <v>0.0</v>
      </c>
      <c r="Z8072" s="372">
        <v>0.0</v>
      </c>
    </row>
    <row r="8073">
      <c r="Y8073" s="372">
        <v>0.0</v>
      </c>
      <c r="Z8073" s="372">
        <v>0.0</v>
      </c>
    </row>
    <row r="8074">
      <c r="Y8074" s="372">
        <v>0.0</v>
      </c>
      <c r="Z8074" s="372">
        <v>0.0</v>
      </c>
    </row>
    <row r="8075">
      <c r="Y8075" s="372">
        <v>0.0</v>
      </c>
      <c r="Z8075" s="372">
        <v>0.0</v>
      </c>
    </row>
    <row r="8076">
      <c r="Y8076" s="372">
        <v>0.0</v>
      </c>
      <c r="Z8076" s="372">
        <v>0.0</v>
      </c>
    </row>
    <row r="8077">
      <c r="Y8077" s="372">
        <v>0.0</v>
      </c>
      <c r="Z8077" s="372">
        <v>0.0</v>
      </c>
    </row>
    <row r="8078">
      <c r="Y8078" s="372">
        <v>0.0</v>
      </c>
      <c r="Z8078" s="372">
        <v>0.0</v>
      </c>
    </row>
    <row r="8079">
      <c r="Y8079" s="372">
        <v>0.0</v>
      </c>
      <c r="Z8079" s="372">
        <v>0.0</v>
      </c>
    </row>
    <row r="8080">
      <c r="Y8080" s="372">
        <v>0.0</v>
      </c>
      <c r="Z8080" s="372">
        <v>0.0</v>
      </c>
    </row>
    <row r="8081">
      <c r="Y8081" s="372">
        <v>0.0</v>
      </c>
      <c r="Z8081" s="372">
        <v>0.0</v>
      </c>
    </row>
    <row r="8082">
      <c r="Y8082" s="372">
        <v>0.0</v>
      </c>
      <c r="Z8082" s="372">
        <v>0.0</v>
      </c>
    </row>
    <row r="8083">
      <c r="Y8083" s="372">
        <v>0.0</v>
      </c>
      <c r="Z8083" s="372">
        <v>0.0</v>
      </c>
    </row>
    <row r="8084">
      <c r="Y8084" s="372">
        <v>0.0</v>
      </c>
      <c r="Z8084" s="372">
        <v>0.0</v>
      </c>
    </row>
    <row r="8085">
      <c r="Y8085" s="372">
        <v>0.0</v>
      </c>
      <c r="Z8085" s="372">
        <v>0.0</v>
      </c>
    </row>
    <row r="8086">
      <c r="Y8086" s="372">
        <v>0.0</v>
      </c>
      <c r="Z8086" s="372">
        <v>0.0</v>
      </c>
    </row>
    <row r="8087">
      <c r="Y8087" s="372">
        <v>0.0</v>
      </c>
      <c r="Z8087" s="372">
        <v>0.0</v>
      </c>
    </row>
    <row r="8088">
      <c r="Y8088" s="372">
        <v>0.0</v>
      </c>
      <c r="Z8088" s="372">
        <v>0.0</v>
      </c>
    </row>
    <row r="8089">
      <c r="Y8089" s="372">
        <v>0.0</v>
      </c>
      <c r="Z8089" s="372">
        <v>0.0</v>
      </c>
    </row>
    <row r="8090">
      <c r="Y8090" s="372">
        <v>0.0</v>
      </c>
      <c r="Z8090" s="372">
        <v>0.0</v>
      </c>
    </row>
    <row r="8091">
      <c r="Y8091" s="372">
        <v>0.0</v>
      </c>
      <c r="Z8091" s="372">
        <v>0.0</v>
      </c>
    </row>
    <row r="8092">
      <c r="Y8092" s="372">
        <v>0.0</v>
      </c>
      <c r="Z8092" s="372">
        <v>0.0</v>
      </c>
    </row>
    <row r="8093">
      <c r="Y8093" s="372">
        <v>0.0</v>
      </c>
      <c r="Z8093" s="372">
        <v>0.0</v>
      </c>
    </row>
    <row r="8094">
      <c r="Y8094" s="372">
        <v>0.0</v>
      </c>
      <c r="Z8094" s="372">
        <v>0.0</v>
      </c>
    </row>
    <row r="8095">
      <c r="Y8095" s="372">
        <v>0.0</v>
      </c>
      <c r="Z8095" s="372">
        <v>0.0</v>
      </c>
    </row>
    <row r="8096">
      <c r="Y8096" s="372">
        <v>0.0</v>
      </c>
      <c r="Z8096" s="372">
        <v>0.0</v>
      </c>
    </row>
    <row r="8097">
      <c r="Y8097" s="372">
        <v>0.0</v>
      </c>
      <c r="Z8097" s="372">
        <v>0.0</v>
      </c>
    </row>
    <row r="8098">
      <c r="Y8098" s="372">
        <v>0.0</v>
      </c>
      <c r="Z8098" s="372">
        <v>0.0</v>
      </c>
    </row>
    <row r="8099">
      <c r="Y8099" s="372">
        <v>0.0</v>
      </c>
      <c r="Z8099" s="372">
        <v>0.0</v>
      </c>
    </row>
    <row r="8100">
      <c r="Y8100" s="372">
        <v>0.0</v>
      </c>
      <c r="Z8100" s="372">
        <v>0.0</v>
      </c>
    </row>
    <row r="8101">
      <c r="Y8101" s="372">
        <v>0.0</v>
      </c>
      <c r="Z8101" s="372">
        <v>0.0</v>
      </c>
    </row>
    <row r="8102">
      <c r="Y8102" s="372">
        <v>0.0</v>
      </c>
      <c r="Z8102" s="372">
        <v>0.0</v>
      </c>
    </row>
    <row r="8103">
      <c r="Y8103" s="372">
        <v>0.0</v>
      </c>
      <c r="Z8103" s="372">
        <v>0.0</v>
      </c>
    </row>
    <row r="8104">
      <c r="Y8104" s="372">
        <v>0.0</v>
      </c>
      <c r="Z8104" s="372">
        <v>0.0</v>
      </c>
    </row>
    <row r="8105">
      <c r="Y8105" s="372">
        <v>0.0</v>
      </c>
      <c r="Z8105" s="372">
        <v>0.0</v>
      </c>
    </row>
    <row r="8106">
      <c r="Y8106" s="372">
        <v>0.0</v>
      </c>
      <c r="Z8106" s="372">
        <v>0.0</v>
      </c>
    </row>
    <row r="8107">
      <c r="Y8107" s="372">
        <v>0.0</v>
      </c>
      <c r="Z8107" s="372">
        <v>0.0</v>
      </c>
    </row>
    <row r="8108">
      <c r="Y8108" s="372">
        <v>0.0</v>
      </c>
      <c r="Z8108" s="372">
        <v>0.0</v>
      </c>
    </row>
    <row r="8109">
      <c r="Y8109" s="372">
        <v>0.0</v>
      </c>
      <c r="Z8109" s="372">
        <v>0.0</v>
      </c>
    </row>
    <row r="8110">
      <c r="Y8110" s="372">
        <v>0.0</v>
      </c>
      <c r="Z8110" s="372">
        <v>0.0</v>
      </c>
    </row>
    <row r="8111">
      <c r="Y8111" s="372">
        <v>0.0</v>
      </c>
      <c r="Z8111" s="372">
        <v>0.0</v>
      </c>
    </row>
    <row r="8112">
      <c r="Y8112" s="372">
        <v>0.0</v>
      </c>
      <c r="Z8112" s="372">
        <v>0.0</v>
      </c>
    </row>
    <row r="8113">
      <c r="Y8113" s="372">
        <v>0.0</v>
      </c>
      <c r="Z8113" s="372">
        <v>0.0</v>
      </c>
    </row>
    <row r="8114">
      <c r="Y8114" s="372">
        <v>0.0</v>
      </c>
      <c r="Z8114" s="372">
        <v>0.0</v>
      </c>
    </row>
    <row r="8115">
      <c r="Y8115" s="372">
        <v>0.0</v>
      </c>
      <c r="Z8115" s="372">
        <v>0.0</v>
      </c>
    </row>
    <row r="8116">
      <c r="Y8116" s="372">
        <v>0.0</v>
      </c>
      <c r="Z8116" s="372">
        <v>0.0</v>
      </c>
    </row>
    <row r="8117">
      <c r="Y8117" s="372">
        <v>0.0</v>
      </c>
      <c r="Z8117" s="372">
        <v>0.0</v>
      </c>
    </row>
    <row r="8118">
      <c r="Y8118" s="372">
        <v>0.0</v>
      </c>
      <c r="Z8118" s="372">
        <v>0.0</v>
      </c>
    </row>
    <row r="8119">
      <c r="Y8119" s="372">
        <v>0.0</v>
      </c>
      <c r="Z8119" s="372">
        <v>0.0</v>
      </c>
    </row>
    <row r="8120">
      <c r="Y8120" s="372">
        <v>0.0</v>
      </c>
      <c r="Z8120" s="372">
        <v>0.0</v>
      </c>
    </row>
    <row r="8121">
      <c r="Y8121" s="372">
        <v>0.0</v>
      </c>
      <c r="Z8121" s="372">
        <v>0.0</v>
      </c>
    </row>
    <row r="8122">
      <c r="Y8122" s="372">
        <v>0.0</v>
      </c>
      <c r="Z8122" s="372">
        <v>0.0</v>
      </c>
    </row>
    <row r="8123">
      <c r="Y8123" s="372">
        <v>0.0</v>
      </c>
      <c r="Z8123" s="372">
        <v>0.0</v>
      </c>
    </row>
    <row r="8124">
      <c r="Y8124" s="372">
        <v>0.0</v>
      </c>
      <c r="Z8124" s="372">
        <v>0.0</v>
      </c>
    </row>
    <row r="8125">
      <c r="Y8125" s="372">
        <v>0.0</v>
      </c>
      <c r="Z8125" s="372">
        <v>0.0</v>
      </c>
    </row>
    <row r="8126">
      <c r="Y8126" s="372">
        <v>0.0</v>
      </c>
      <c r="Z8126" s="372">
        <v>0.0</v>
      </c>
    </row>
    <row r="8127">
      <c r="Y8127" s="372">
        <v>0.0</v>
      </c>
      <c r="Z8127" s="372">
        <v>0.0</v>
      </c>
    </row>
    <row r="8128">
      <c r="Y8128" s="372">
        <v>0.0</v>
      </c>
      <c r="Z8128" s="372">
        <v>0.0</v>
      </c>
    </row>
    <row r="8129">
      <c r="Y8129" s="372">
        <v>0.0</v>
      </c>
      <c r="Z8129" s="372">
        <v>0.0</v>
      </c>
    </row>
    <row r="8130">
      <c r="Y8130" s="372">
        <v>0.0</v>
      </c>
      <c r="Z8130" s="372">
        <v>0.0</v>
      </c>
    </row>
    <row r="8131">
      <c r="Y8131" s="372">
        <v>0.0</v>
      </c>
      <c r="Z8131" s="372">
        <v>0.0</v>
      </c>
    </row>
    <row r="8132">
      <c r="Y8132" s="372">
        <v>0.0</v>
      </c>
      <c r="Z8132" s="372">
        <v>0.0</v>
      </c>
    </row>
    <row r="8133">
      <c r="Y8133" s="372">
        <v>0.0</v>
      </c>
      <c r="Z8133" s="372">
        <v>0.0</v>
      </c>
    </row>
    <row r="8134">
      <c r="Y8134" s="372">
        <v>0.0</v>
      </c>
      <c r="Z8134" s="372">
        <v>0.0</v>
      </c>
    </row>
    <row r="8135">
      <c r="Y8135" s="372">
        <v>0.0</v>
      </c>
      <c r="Z8135" s="372">
        <v>0.0</v>
      </c>
    </row>
    <row r="8136">
      <c r="Y8136" s="372">
        <v>0.0</v>
      </c>
      <c r="Z8136" s="372">
        <v>0.0</v>
      </c>
    </row>
    <row r="8137">
      <c r="Y8137" s="372">
        <v>0.0</v>
      </c>
      <c r="Z8137" s="372">
        <v>0.0</v>
      </c>
    </row>
    <row r="8138">
      <c r="Y8138" s="372">
        <v>0.0</v>
      </c>
      <c r="Z8138" s="372">
        <v>0.0</v>
      </c>
    </row>
    <row r="8139">
      <c r="Y8139" s="372">
        <v>0.0</v>
      </c>
      <c r="Z8139" s="372">
        <v>0.0</v>
      </c>
    </row>
    <row r="8140">
      <c r="Y8140" s="372">
        <v>0.0</v>
      </c>
      <c r="Z8140" s="372">
        <v>0.0</v>
      </c>
    </row>
    <row r="8141">
      <c r="Y8141" s="372">
        <v>0.0</v>
      </c>
      <c r="Z8141" s="372">
        <v>0.0</v>
      </c>
    </row>
    <row r="8142">
      <c r="Y8142" s="372">
        <v>0.0</v>
      </c>
      <c r="Z8142" s="372">
        <v>0.0</v>
      </c>
    </row>
    <row r="8143">
      <c r="Y8143" s="372">
        <v>0.0</v>
      </c>
      <c r="Z8143" s="372">
        <v>0.0</v>
      </c>
    </row>
    <row r="8144">
      <c r="Y8144" s="372">
        <v>0.0</v>
      </c>
      <c r="Z8144" s="372">
        <v>0.0</v>
      </c>
    </row>
    <row r="8145">
      <c r="Y8145" s="372">
        <v>0.0</v>
      </c>
      <c r="Z8145" s="372">
        <v>0.0</v>
      </c>
    </row>
    <row r="8146">
      <c r="Y8146" s="372">
        <v>0.0</v>
      </c>
      <c r="Z8146" s="372">
        <v>0.0</v>
      </c>
    </row>
    <row r="8147">
      <c r="Y8147" s="372">
        <v>0.0</v>
      </c>
      <c r="Z8147" s="372">
        <v>0.0</v>
      </c>
    </row>
    <row r="8148">
      <c r="Y8148" s="372">
        <v>0.0</v>
      </c>
      <c r="Z8148" s="372">
        <v>0.0</v>
      </c>
    </row>
    <row r="8149">
      <c r="Y8149" s="372">
        <v>0.0</v>
      </c>
      <c r="Z8149" s="372">
        <v>0.0</v>
      </c>
    </row>
    <row r="8150">
      <c r="Y8150" s="372">
        <v>0.0</v>
      </c>
      <c r="Z8150" s="372">
        <v>0.0</v>
      </c>
    </row>
    <row r="8151">
      <c r="Y8151" s="372">
        <v>0.0</v>
      </c>
      <c r="Z8151" s="372">
        <v>0.0</v>
      </c>
    </row>
    <row r="8152">
      <c r="Y8152" s="372">
        <v>0.0</v>
      </c>
      <c r="Z8152" s="372">
        <v>0.0</v>
      </c>
    </row>
    <row r="8153">
      <c r="Y8153" s="372">
        <v>0.0</v>
      </c>
      <c r="Z8153" s="372">
        <v>0.0</v>
      </c>
    </row>
    <row r="8154">
      <c r="Y8154" s="372">
        <v>0.0</v>
      </c>
      <c r="Z8154" s="372">
        <v>0.0</v>
      </c>
    </row>
    <row r="8155">
      <c r="Y8155" s="372">
        <v>0.0</v>
      </c>
      <c r="Z8155" s="372">
        <v>0.0</v>
      </c>
    </row>
    <row r="8156">
      <c r="Y8156" s="372">
        <v>0.0</v>
      </c>
      <c r="Z8156" s="372">
        <v>0.0</v>
      </c>
    </row>
    <row r="8157">
      <c r="Y8157" s="372">
        <v>0.0</v>
      </c>
      <c r="Z8157" s="372">
        <v>0.0</v>
      </c>
    </row>
    <row r="8158">
      <c r="Y8158" s="372">
        <v>0.0</v>
      </c>
      <c r="Z8158" s="372">
        <v>0.0</v>
      </c>
    </row>
    <row r="8159">
      <c r="Y8159" s="372">
        <v>0.0</v>
      </c>
      <c r="Z8159" s="372">
        <v>0.0</v>
      </c>
    </row>
    <row r="8160">
      <c r="Y8160" s="372">
        <v>0.0</v>
      </c>
      <c r="Z8160" s="372">
        <v>0.0</v>
      </c>
    </row>
    <row r="8161">
      <c r="Y8161" s="372">
        <v>0.0</v>
      </c>
      <c r="Z8161" s="372">
        <v>0.0</v>
      </c>
    </row>
    <row r="8162">
      <c r="Y8162" s="372">
        <v>0.0</v>
      </c>
      <c r="Z8162" s="372">
        <v>0.0</v>
      </c>
    </row>
    <row r="8163">
      <c r="Y8163" s="372">
        <v>0.0</v>
      </c>
      <c r="Z8163" s="372">
        <v>0.0</v>
      </c>
    </row>
    <row r="8164">
      <c r="Y8164" s="372">
        <v>0.0</v>
      </c>
      <c r="Z8164" s="372">
        <v>0.0</v>
      </c>
    </row>
    <row r="8165">
      <c r="Y8165" s="372">
        <v>0.0</v>
      </c>
      <c r="Z8165" s="372">
        <v>0.0</v>
      </c>
    </row>
    <row r="8166">
      <c r="Y8166" s="372">
        <v>0.0</v>
      </c>
      <c r="Z8166" s="372">
        <v>0.0</v>
      </c>
    </row>
    <row r="8167">
      <c r="Y8167" s="372">
        <v>0.0</v>
      </c>
      <c r="Z8167" s="372">
        <v>0.0</v>
      </c>
    </row>
    <row r="8168">
      <c r="Y8168" s="372">
        <v>0.0</v>
      </c>
      <c r="Z8168" s="372">
        <v>0.0</v>
      </c>
    </row>
    <row r="8169">
      <c r="Y8169" s="372">
        <v>0.0</v>
      </c>
      <c r="Z8169" s="372">
        <v>0.0</v>
      </c>
    </row>
    <row r="8170">
      <c r="Y8170" s="372">
        <v>0.0</v>
      </c>
      <c r="Z8170" s="372">
        <v>0.0</v>
      </c>
    </row>
    <row r="8171">
      <c r="Y8171" s="372">
        <v>0.0</v>
      </c>
      <c r="Z8171" s="372">
        <v>0.0</v>
      </c>
    </row>
    <row r="8172">
      <c r="Y8172" s="372">
        <v>0.0</v>
      </c>
      <c r="Z8172" s="372">
        <v>0.0</v>
      </c>
    </row>
    <row r="8173">
      <c r="Y8173" s="372">
        <v>0.0</v>
      </c>
      <c r="Z8173" s="372">
        <v>0.0</v>
      </c>
    </row>
    <row r="8174">
      <c r="Y8174" s="372">
        <v>0.0</v>
      </c>
      <c r="Z8174" s="372">
        <v>0.0</v>
      </c>
    </row>
    <row r="8175">
      <c r="Y8175" s="372">
        <v>0.0</v>
      </c>
      <c r="Z8175" s="372">
        <v>0.0</v>
      </c>
    </row>
    <row r="8176">
      <c r="Y8176" s="372">
        <v>0.0</v>
      </c>
      <c r="Z8176" s="372">
        <v>0.0</v>
      </c>
    </row>
    <row r="8177">
      <c r="Y8177" s="372">
        <v>0.0</v>
      </c>
      <c r="Z8177" s="372">
        <v>0.0</v>
      </c>
    </row>
    <row r="8178">
      <c r="Y8178" s="372">
        <v>0.0</v>
      </c>
      <c r="Z8178" s="372">
        <v>0.0</v>
      </c>
    </row>
    <row r="8179">
      <c r="Y8179" s="372">
        <v>0.0</v>
      </c>
      <c r="Z8179" s="372">
        <v>0.0</v>
      </c>
    </row>
    <row r="8180">
      <c r="Y8180" s="372">
        <v>0.0</v>
      </c>
      <c r="Z8180" s="372">
        <v>0.0</v>
      </c>
    </row>
    <row r="8181">
      <c r="Y8181" s="372">
        <v>0.0</v>
      </c>
      <c r="Z8181" s="372">
        <v>0.0</v>
      </c>
    </row>
    <row r="8182">
      <c r="Y8182" s="372">
        <v>0.0</v>
      </c>
      <c r="Z8182" s="372">
        <v>0.0</v>
      </c>
    </row>
    <row r="8183">
      <c r="Y8183" s="372">
        <v>0.0</v>
      </c>
      <c r="Z8183" s="372">
        <v>0.0</v>
      </c>
    </row>
    <row r="8184">
      <c r="Y8184" s="372">
        <v>0.0</v>
      </c>
      <c r="Z8184" s="372">
        <v>0.0</v>
      </c>
    </row>
    <row r="8185">
      <c r="Y8185" s="372">
        <v>0.0</v>
      </c>
      <c r="Z8185" s="372">
        <v>0.0</v>
      </c>
    </row>
    <row r="8186">
      <c r="Y8186" s="372">
        <v>0.0</v>
      </c>
      <c r="Z8186" s="372">
        <v>0.0</v>
      </c>
    </row>
    <row r="8187">
      <c r="Y8187" s="372">
        <v>0.0</v>
      </c>
      <c r="Z8187" s="372">
        <v>0.0</v>
      </c>
    </row>
    <row r="8188">
      <c r="Y8188" s="372">
        <v>0.0</v>
      </c>
      <c r="Z8188" s="372">
        <v>0.0</v>
      </c>
    </row>
    <row r="8189">
      <c r="Y8189" s="372">
        <v>0.0</v>
      </c>
      <c r="Z8189" s="372">
        <v>0.0</v>
      </c>
    </row>
    <row r="8190">
      <c r="Y8190" s="372">
        <v>0.0</v>
      </c>
      <c r="Z8190" s="372">
        <v>0.0</v>
      </c>
    </row>
    <row r="8191">
      <c r="Y8191" s="372">
        <v>0.0</v>
      </c>
      <c r="Z8191" s="372">
        <v>0.0</v>
      </c>
    </row>
    <row r="8192">
      <c r="Y8192" s="372">
        <v>0.0</v>
      </c>
      <c r="Z8192" s="372">
        <v>0.0</v>
      </c>
    </row>
    <row r="8193">
      <c r="Y8193" s="372">
        <v>0.0</v>
      </c>
      <c r="Z8193" s="372">
        <v>0.0</v>
      </c>
    </row>
    <row r="8194">
      <c r="Y8194" s="372">
        <v>0.0</v>
      </c>
      <c r="Z8194" s="372">
        <v>0.0</v>
      </c>
    </row>
    <row r="8195">
      <c r="Y8195" s="372">
        <v>0.0</v>
      </c>
      <c r="Z8195" s="372">
        <v>0.0</v>
      </c>
    </row>
    <row r="8196">
      <c r="Y8196" s="372">
        <v>0.0</v>
      </c>
      <c r="Z8196" s="372">
        <v>0.0</v>
      </c>
    </row>
    <row r="8197">
      <c r="Y8197" s="372">
        <v>0.0</v>
      </c>
      <c r="Z8197" s="372">
        <v>0.0</v>
      </c>
    </row>
    <row r="8198">
      <c r="Y8198" s="372">
        <v>0.0</v>
      </c>
      <c r="Z8198" s="372">
        <v>0.0</v>
      </c>
    </row>
    <row r="8199">
      <c r="Y8199" s="372">
        <v>0.0</v>
      </c>
      <c r="Z8199" s="372">
        <v>0.0</v>
      </c>
    </row>
    <row r="8200">
      <c r="Y8200" s="372">
        <v>0.0</v>
      </c>
      <c r="Z8200" s="372">
        <v>0.0</v>
      </c>
    </row>
    <row r="8201">
      <c r="Y8201" s="372">
        <v>0.0</v>
      </c>
      <c r="Z8201" s="372">
        <v>0.0</v>
      </c>
    </row>
    <row r="8202">
      <c r="Y8202" s="372">
        <v>0.0</v>
      </c>
      <c r="Z8202" s="372">
        <v>0.0</v>
      </c>
    </row>
    <row r="8203">
      <c r="Y8203" s="372">
        <v>0.0</v>
      </c>
      <c r="Z8203" s="372">
        <v>0.0</v>
      </c>
    </row>
    <row r="8204">
      <c r="Y8204" s="372">
        <v>0.0</v>
      </c>
      <c r="Z8204" s="372">
        <v>0.0</v>
      </c>
    </row>
    <row r="8205">
      <c r="Y8205" s="372">
        <v>0.0</v>
      </c>
      <c r="Z8205" s="372">
        <v>0.0</v>
      </c>
    </row>
    <row r="8206">
      <c r="Y8206" s="372">
        <v>0.0</v>
      </c>
      <c r="Z8206" s="372">
        <v>0.0</v>
      </c>
    </row>
    <row r="8207">
      <c r="Y8207" s="372">
        <v>0.0</v>
      </c>
      <c r="Z8207" s="372">
        <v>0.0</v>
      </c>
    </row>
    <row r="8208">
      <c r="Y8208" s="372">
        <v>0.0</v>
      </c>
      <c r="Z8208" s="372">
        <v>0.0</v>
      </c>
    </row>
    <row r="8209">
      <c r="Y8209" s="372">
        <v>0.0</v>
      </c>
      <c r="Z8209" s="372">
        <v>0.0</v>
      </c>
    </row>
    <row r="8210">
      <c r="Y8210" s="372">
        <v>0.0</v>
      </c>
      <c r="Z8210" s="372">
        <v>0.0</v>
      </c>
    </row>
    <row r="8211">
      <c r="Y8211" s="372">
        <v>0.0</v>
      </c>
      <c r="Z8211" s="372">
        <v>0.0</v>
      </c>
    </row>
    <row r="8212">
      <c r="Y8212" s="372">
        <v>0.0</v>
      </c>
      <c r="Z8212" s="372">
        <v>0.0</v>
      </c>
    </row>
    <row r="8213">
      <c r="Y8213" s="372">
        <v>0.0</v>
      </c>
      <c r="Z8213" s="372">
        <v>0.0</v>
      </c>
    </row>
    <row r="8214">
      <c r="Y8214" s="372">
        <v>0.0</v>
      </c>
      <c r="Z8214" s="372">
        <v>0.0</v>
      </c>
    </row>
    <row r="8215">
      <c r="Y8215" s="372">
        <v>0.0</v>
      </c>
      <c r="Z8215" s="372">
        <v>0.0</v>
      </c>
    </row>
    <row r="8216">
      <c r="Y8216" s="372">
        <v>0.0</v>
      </c>
      <c r="Z8216" s="372">
        <v>0.0</v>
      </c>
    </row>
    <row r="8217">
      <c r="Y8217" s="372">
        <v>0.0</v>
      </c>
      <c r="Z8217" s="372">
        <v>0.0</v>
      </c>
    </row>
    <row r="8218">
      <c r="Y8218" s="372">
        <v>0.0</v>
      </c>
      <c r="Z8218" s="372">
        <v>0.0</v>
      </c>
    </row>
    <row r="8219">
      <c r="Y8219" s="372">
        <v>0.0</v>
      </c>
      <c r="Z8219" s="372">
        <v>0.0</v>
      </c>
    </row>
    <row r="8220">
      <c r="Y8220" s="372">
        <v>0.0</v>
      </c>
      <c r="Z8220" s="372">
        <v>0.0</v>
      </c>
    </row>
    <row r="8221">
      <c r="Y8221" s="372">
        <v>0.0</v>
      </c>
      <c r="Z8221" s="372">
        <v>0.0</v>
      </c>
    </row>
    <row r="8222">
      <c r="Y8222" s="372">
        <v>0.0</v>
      </c>
      <c r="Z8222" s="372">
        <v>0.0</v>
      </c>
    </row>
    <row r="8223">
      <c r="Y8223" s="372">
        <v>0.0</v>
      </c>
      <c r="Z8223" s="372">
        <v>0.0</v>
      </c>
    </row>
    <row r="8224">
      <c r="Y8224" s="372">
        <v>0.0</v>
      </c>
      <c r="Z8224" s="372">
        <v>0.0</v>
      </c>
    </row>
    <row r="8225">
      <c r="Y8225" s="372">
        <v>0.0</v>
      </c>
      <c r="Z8225" s="372">
        <v>0.0</v>
      </c>
    </row>
    <row r="8226">
      <c r="Y8226" s="372">
        <v>0.0</v>
      </c>
      <c r="Z8226" s="372">
        <v>0.0</v>
      </c>
    </row>
    <row r="8227">
      <c r="Y8227" s="372">
        <v>0.0</v>
      </c>
      <c r="Z8227" s="372">
        <v>0.0</v>
      </c>
    </row>
    <row r="8228">
      <c r="Y8228" s="372">
        <v>0.0</v>
      </c>
      <c r="Z8228" s="372">
        <v>0.0</v>
      </c>
    </row>
    <row r="8229">
      <c r="Y8229" s="372">
        <v>0.0</v>
      </c>
      <c r="Z8229" s="372">
        <v>0.0</v>
      </c>
    </row>
    <row r="8230">
      <c r="Y8230" s="372">
        <v>0.0</v>
      </c>
      <c r="Z8230" s="372">
        <v>0.0</v>
      </c>
    </row>
    <row r="8231">
      <c r="Y8231" s="372">
        <v>0.0</v>
      </c>
      <c r="Z8231" s="372">
        <v>0.0</v>
      </c>
    </row>
    <row r="8232">
      <c r="Y8232" s="372">
        <v>0.0</v>
      </c>
      <c r="Z8232" s="372">
        <v>0.0</v>
      </c>
    </row>
    <row r="8233">
      <c r="Y8233" s="372">
        <v>0.0</v>
      </c>
      <c r="Z8233" s="372">
        <v>0.0</v>
      </c>
    </row>
    <row r="8234">
      <c r="Y8234" s="372">
        <v>0.0</v>
      </c>
      <c r="Z8234" s="372">
        <v>0.0</v>
      </c>
    </row>
    <row r="8235">
      <c r="Y8235" s="372">
        <v>0.0</v>
      </c>
      <c r="Z8235" s="372">
        <v>0.0</v>
      </c>
    </row>
    <row r="8236">
      <c r="Y8236" s="372">
        <v>0.0</v>
      </c>
      <c r="Z8236" s="372">
        <v>0.0</v>
      </c>
    </row>
    <row r="8237">
      <c r="Y8237" s="372">
        <v>0.0</v>
      </c>
      <c r="Z8237" s="372">
        <v>0.0</v>
      </c>
    </row>
    <row r="8238">
      <c r="Y8238" s="372">
        <v>0.0</v>
      </c>
      <c r="Z8238" s="372">
        <v>0.0</v>
      </c>
    </row>
    <row r="8239">
      <c r="Y8239" s="372">
        <v>0.0</v>
      </c>
      <c r="Z8239" s="372">
        <v>0.0</v>
      </c>
    </row>
    <row r="8240">
      <c r="Y8240" s="372">
        <v>0.0</v>
      </c>
      <c r="Z8240" s="372">
        <v>0.0</v>
      </c>
    </row>
    <row r="8241">
      <c r="Y8241" s="372">
        <v>0.0</v>
      </c>
      <c r="Z8241" s="372">
        <v>0.0</v>
      </c>
    </row>
    <row r="8242">
      <c r="Y8242" s="372">
        <v>0.0</v>
      </c>
      <c r="Z8242" s="372">
        <v>0.0</v>
      </c>
    </row>
    <row r="8243">
      <c r="Y8243" s="372">
        <v>0.0</v>
      </c>
      <c r="Z8243" s="372">
        <v>0.0</v>
      </c>
    </row>
    <row r="8244">
      <c r="Y8244" s="372">
        <v>0.0</v>
      </c>
      <c r="Z8244" s="372">
        <v>0.0</v>
      </c>
    </row>
    <row r="8245">
      <c r="Y8245" s="372">
        <v>0.0</v>
      </c>
      <c r="Z8245" s="372">
        <v>0.0</v>
      </c>
    </row>
    <row r="8246">
      <c r="Y8246" s="372">
        <v>0.0</v>
      </c>
      <c r="Z8246" s="372">
        <v>0.0</v>
      </c>
    </row>
    <row r="8247">
      <c r="Y8247" s="372">
        <v>0.0</v>
      </c>
      <c r="Z8247" s="372">
        <v>0.0</v>
      </c>
    </row>
    <row r="8248">
      <c r="Y8248" s="372">
        <v>0.0</v>
      </c>
      <c r="Z8248" s="372">
        <v>0.0</v>
      </c>
    </row>
    <row r="8249">
      <c r="Y8249" s="372">
        <v>0.0</v>
      </c>
      <c r="Z8249" s="372">
        <v>0.0</v>
      </c>
    </row>
    <row r="8250">
      <c r="Y8250" s="372">
        <v>0.0</v>
      </c>
      <c r="Z8250" s="372">
        <v>0.0</v>
      </c>
    </row>
    <row r="8251">
      <c r="Y8251" s="372">
        <v>0.0</v>
      </c>
      <c r="Z8251" s="372">
        <v>0.0</v>
      </c>
    </row>
    <row r="8252">
      <c r="Y8252" s="372">
        <v>0.0</v>
      </c>
      <c r="Z8252" s="372">
        <v>0.0</v>
      </c>
    </row>
    <row r="8253">
      <c r="Y8253" s="372">
        <v>0.0</v>
      </c>
      <c r="Z8253" s="372">
        <v>0.0</v>
      </c>
    </row>
    <row r="8254">
      <c r="Y8254" s="372">
        <v>0.0</v>
      </c>
      <c r="Z8254" s="372">
        <v>0.0</v>
      </c>
    </row>
    <row r="8255">
      <c r="Y8255" s="372">
        <v>0.0</v>
      </c>
      <c r="Z8255" s="372">
        <v>0.0</v>
      </c>
    </row>
    <row r="8256">
      <c r="Y8256" s="372">
        <v>0.0</v>
      </c>
      <c r="Z8256" s="372">
        <v>0.0</v>
      </c>
    </row>
    <row r="8257">
      <c r="Y8257" s="372">
        <v>0.0</v>
      </c>
      <c r="Z8257" s="372">
        <v>0.0</v>
      </c>
    </row>
    <row r="8258">
      <c r="Y8258" s="372">
        <v>0.0</v>
      </c>
      <c r="Z8258" s="372">
        <v>0.0</v>
      </c>
    </row>
    <row r="8259">
      <c r="Y8259" s="372">
        <v>0.0</v>
      </c>
      <c r="Z8259" s="372">
        <v>0.0</v>
      </c>
    </row>
    <row r="8260">
      <c r="Y8260" s="372">
        <v>0.0</v>
      </c>
      <c r="Z8260" s="372">
        <v>0.0</v>
      </c>
    </row>
    <row r="8261">
      <c r="Y8261" s="372">
        <v>0.0</v>
      </c>
      <c r="Z8261" s="372">
        <v>0.0</v>
      </c>
    </row>
    <row r="8262">
      <c r="Y8262" s="372">
        <v>0.0</v>
      </c>
      <c r="Z8262" s="372">
        <v>0.0</v>
      </c>
    </row>
    <row r="8263">
      <c r="Y8263" s="372">
        <v>0.0</v>
      </c>
      <c r="Z8263" s="372">
        <v>0.0</v>
      </c>
    </row>
    <row r="8264">
      <c r="Y8264" s="372">
        <v>0.0</v>
      </c>
      <c r="Z8264" s="372">
        <v>0.0</v>
      </c>
    </row>
    <row r="8265">
      <c r="Y8265" s="372">
        <v>0.0</v>
      </c>
      <c r="Z8265" s="372">
        <v>0.0</v>
      </c>
    </row>
    <row r="8266">
      <c r="Y8266" s="372">
        <v>0.0</v>
      </c>
      <c r="Z8266" s="372">
        <v>0.0</v>
      </c>
    </row>
    <row r="8267">
      <c r="Y8267" s="372">
        <v>0.0</v>
      </c>
      <c r="Z8267" s="372">
        <v>0.0</v>
      </c>
    </row>
    <row r="8268">
      <c r="Y8268" s="372">
        <v>0.0</v>
      </c>
      <c r="Z8268" s="372">
        <v>0.0</v>
      </c>
    </row>
    <row r="8269">
      <c r="Y8269" s="372">
        <v>0.0</v>
      </c>
      <c r="Z8269" s="372">
        <v>0.0</v>
      </c>
    </row>
    <row r="8270">
      <c r="Y8270" s="372">
        <v>0.0</v>
      </c>
      <c r="Z8270" s="372">
        <v>0.0</v>
      </c>
    </row>
    <row r="8271">
      <c r="Y8271" s="372">
        <v>0.0</v>
      </c>
      <c r="Z8271" s="372">
        <v>0.0</v>
      </c>
    </row>
    <row r="8272">
      <c r="Y8272" s="372">
        <v>0.0</v>
      </c>
      <c r="Z8272" s="372">
        <v>0.0</v>
      </c>
    </row>
    <row r="8273">
      <c r="Y8273" s="372">
        <v>0.0</v>
      </c>
      <c r="Z8273" s="372">
        <v>0.0</v>
      </c>
    </row>
    <row r="8274">
      <c r="Y8274" s="372">
        <v>0.0</v>
      </c>
      <c r="Z8274" s="372">
        <v>0.0</v>
      </c>
    </row>
    <row r="8275">
      <c r="Y8275" s="372">
        <v>0.0</v>
      </c>
      <c r="Z8275" s="372">
        <v>0.0</v>
      </c>
    </row>
    <row r="8276">
      <c r="Y8276" s="372">
        <v>0.0</v>
      </c>
      <c r="Z8276" s="372">
        <v>0.0</v>
      </c>
    </row>
    <row r="8277">
      <c r="Y8277" s="372">
        <v>0.0</v>
      </c>
      <c r="Z8277" s="372">
        <v>0.0</v>
      </c>
    </row>
    <row r="8278">
      <c r="Y8278" s="372">
        <v>0.0</v>
      </c>
      <c r="Z8278" s="372">
        <v>0.0</v>
      </c>
    </row>
    <row r="8279">
      <c r="Y8279" s="372">
        <v>0.0</v>
      </c>
      <c r="Z8279" s="372">
        <v>0.0</v>
      </c>
    </row>
    <row r="8280">
      <c r="Y8280" s="372">
        <v>0.0</v>
      </c>
      <c r="Z8280" s="372">
        <v>0.0</v>
      </c>
    </row>
    <row r="8281">
      <c r="Y8281" s="372">
        <v>0.0</v>
      </c>
      <c r="Z8281" s="372">
        <v>0.0</v>
      </c>
    </row>
    <row r="8282">
      <c r="Y8282" s="372">
        <v>0.0</v>
      </c>
      <c r="Z8282" s="372">
        <v>0.0</v>
      </c>
    </row>
    <row r="8283">
      <c r="Y8283" s="372">
        <v>0.0</v>
      </c>
      <c r="Z8283" s="372">
        <v>0.0</v>
      </c>
    </row>
    <row r="8284">
      <c r="Y8284" s="372">
        <v>0.0</v>
      </c>
      <c r="Z8284" s="372">
        <v>0.0</v>
      </c>
    </row>
    <row r="8285">
      <c r="Y8285" s="372">
        <v>0.0</v>
      </c>
      <c r="Z8285" s="372">
        <v>0.0</v>
      </c>
    </row>
    <row r="8286">
      <c r="Y8286" s="372">
        <v>0.0</v>
      </c>
      <c r="Z8286" s="372">
        <v>0.0</v>
      </c>
    </row>
    <row r="8287">
      <c r="Y8287" s="372">
        <v>0.0</v>
      </c>
      <c r="Z8287" s="372">
        <v>0.0</v>
      </c>
    </row>
    <row r="8288">
      <c r="Y8288" s="372">
        <v>0.0</v>
      </c>
      <c r="Z8288" s="372">
        <v>0.0</v>
      </c>
    </row>
    <row r="8289">
      <c r="Y8289" s="372">
        <v>0.0</v>
      </c>
      <c r="Z8289" s="372">
        <v>0.0</v>
      </c>
    </row>
    <row r="8290">
      <c r="Y8290" s="372">
        <v>0.0</v>
      </c>
      <c r="Z8290" s="372">
        <v>0.0</v>
      </c>
    </row>
    <row r="8291">
      <c r="Y8291" s="372">
        <v>0.0</v>
      </c>
      <c r="Z8291" s="372">
        <v>0.0</v>
      </c>
    </row>
    <row r="8292">
      <c r="Y8292" s="372">
        <v>0.0</v>
      </c>
      <c r="Z8292" s="372">
        <v>0.0</v>
      </c>
    </row>
    <row r="8293">
      <c r="Y8293" s="372">
        <v>0.0</v>
      </c>
      <c r="Z8293" s="372">
        <v>0.0</v>
      </c>
    </row>
    <row r="8294">
      <c r="Y8294" s="372">
        <v>0.0</v>
      </c>
      <c r="Z8294" s="372">
        <v>0.0</v>
      </c>
    </row>
    <row r="8295">
      <c r="Y8295" s="372">
        <v>0.0</v>
      </c>
      <c r="Z8295" s="372">
        <v>0.0</v>
      </c>
    </row>
    <row r="8296">
      <c r="Y8296" s="372">
        <v>0.0</v>
      </c>
      <c r="Z8296" s="372">
        <v>0.0</v>
      </c>
    </row>
    <row r="8297">
      <c r="Y8297" s="372">
        <v>0.0</v>
      </c>
      <c r="Z8297" s="372">
        <v>0.0</v>
      </c>
    </row>
    <row r="8298">
      <c r="Y8298" s="372">
        <v>0.0</v>
      </c>
      <c r="Z8298" s="372">
        <v>0.0</v>
      </c>
    </row>
    <row r="8299">
      <c r="Y8299" s="372">
        <v>0.0</v>
      </c>
      <c r="Z8299" s="372">
        <v>0.0</v>
      </c>
    </row>
    <row r="8300">
      <c r="Y8300" s="372">
        <v>0.0</v>
      </c>
      <c r="Z8300" s="372">
        <v>0.0</v>
      </c>
    </row>
    <row r="8301">
      <c r="Y8301" s="372">
        <v>0.0</v>
      </c>
      <c r="Z8301" s="372">
        <v>0.0</v>
      </c>
    </row>
    <row r="8302">
      <c r="Y8302" s="372">
        <v>0.0</v>
      </c>
      <c r="Z8302" s="372">
        <v>0.0</v>
      </c>
    </row>
    <row r="8303">
      <c r="Y8303" s="372">
        <v>0.0</v>
      </c>
      <c r="Z8303" s="372">
        <v>0.0</v>
      </c>
    </row>
    <row r="8304">
      <c r="Y8304" s="372">
        <v>0.0</v>
      </c>
      <c r="Z8304" s="372">
        <v>0.0</v>
      </c>
    </row>
    <row r="8305">
      <c r="Y8305" s="372">
        <v>0.0</v>
      </c>
      <c r="Z8305" s="372">
        <v>0.0</v>
      </c>
    </row>
    <row r="8306">
      <c r="Y8306" s="372">
        <v>0.0</v>
      </c>
      <c r="Z8306" s="372">
        <v>0.0</v>
      </c>
    </row>
    <row r="8307">
      <c r="Y8307" s="372">
        <v>0.0</v>
      </c>
      <c r="Z8307" s="372">
        <v>0.0</v>
      </c>
    </row>
    <row r="8308">
      <c r="Y8308" s="372">
        <v>0.0</v>
      </c>
      <c r="Z8308" s="372">
        <v>0.0</v>
      </c>
    </row>
    <row r="8309">
      <c r="Y8309" s="372">
        <v>0.0</v>
      </c>
      <c r="Z8309" s="372">
        <v>0.0</v>
      </c>
    </row>
    <row r="8310">
      <c r="Y8310" s="372">
        <v>0.0</v>
      </c>
      <c r="Z8310" s="372">
        <v>0.0</v>
      </c>
    </row>
    <row r="8311">
      <c r="Y8311" s="372">
        <v>0.0</v>
      </c>
      <c r="Z8311" s="372">
        <v>0.0</v>
      </c>
    </row>
    <row r="8312">
      <c r="Y8312" s="372">
        <v>0.0</v>
      </c>
      <c r="Z8312" s="372">
        <v>0.0</v>
      </c>
    </row>
    <row r="8313">
      <c r="Y8313" s="372">
        <v>0.0</v>
      </c>
      <c r="Z8313" s="372">
        <v>0.0</v>
      </c>
    </row>
    <row r="8314">
      <c r="Y8314" s="372">
        <v>0.0</v>
      </c>
      <c r="Z8314" s="372">
        <v>0.0</v>
      </c>
    </row>
    <row r="8315">
      <c r="Y8315" s="372">
        <v>0.0</v>
      </c>
      <c r="Z8315" s="372">
        <v>0.0</v>
      </c>
    </row>
    <row r="8316">
      <c r="Y8316" s="372">
        <v>0.0</v>
      </c>
      <c r="Z8316" s="372">
        <v>0.0</v>
      </c>
    </row>
    <row r="8317">
      <c r="Y8317" s="372">
        <v>0.0</v>
      </c>
      <c r="Z8317" s="372">
        <v>0.0</v>
      </c>
    </row>
    <row r="8318">
      <c r="Y8318" s="372">
        <v>0.0</v>
      </c>
      <c r="Z8318" s="372">
        <v>0.0</v>
      </c>
    </row>
    <row r="8319">
      <c r="Y8319" s="372">
        <v>0.0</v>
      </c>
      <c r="Z8319" s="372">
        <v>0.0</v>
      </c>
    </row>
    <row r="8320">
      <c r="Y8320" s="372">
        <v>0.0</v>
      </c>
      <c r="Z8320" s="372">
        <v>0.0</v>
      </c>
    </row>
    <row r="8321">
      <c r="Y8321" s="372">
        <v>0.0</v>
      </c>
      <c r="Z8321" s="372">
        <v>0.0</v>
      </c>
    </row>
    <row r="8322">
      <c r="Y8322" s="372">
        <v>0.0</v>
      </c>
      <c r="Z8322" s="372">
        <v>0.0</v>
      </c>
    </row>
    <row r="8323">
      <c r="Y8323" s="372">
        <v>0.0</v>
      </c>
      <c r="Z8323" s="372">
        <v>0.0</v>
      </c>
    </row>
    <row r="8324">
      <c r="Y8324" s="372">
        <v>0.0</v>
      </c>
      <c r="Z8324" s="372">
        <v>0.0</v>
      </c>
    </row>
    <row r="8325">
      <c r="Y8325" s="372">
        <v>0.0</v>
      </c>
      <c r="Z8325" s="372">
        <v>0.0</v>
      </c>
    </row>
    <row r="8326">
      <c r="Y8326" s="372">
        <v>0.0</v>
      </c>
      <c r="Z8326" s="372">
        <v>0.0</v>
      </c>
    </row>
    <row r="8327">
      <c r="Y8327" s="372">
        <v>0.0</v>
      </c>
      <c r="Z8327" s="372">
        <v>0.0</v>
      </c>
    </row>
    <row r="8328">
      <c r="Y8328" s="372">
        <v>0.0</v>
      </c>
      <c r="Z8328" s="372">
        <v>0.0</v>
      </c>
    </row>
    <row r="8329">
      <c r="Y8329" s="372">
        <v>0.0</v>
      </c>
      <c r="Z8329" s="372">
        <v>0.0</v>
      </c>
    </row>
    <row r="8330">
      <c r="Y8330" s="372">
        <v>0.0</v>
      </c>
      <c r="Z8330" s="372">
        <v>0.0</v>
      </c>
    </row>
    <row r="8331">
      <c r="Y8331" s="372">
        <v>0.0</v>
      </c>
      <c r="Z8331" s="372">
        <v>0.0</v>
      </c>
    </row>
    <row r="8332">
      <c r="Y8332" s="372">
        <v>0.0</v>
      </c>
      <c r="Z8332" s="372">
        <v>0.0</v>
      </c>
    </row>
    <row r="8333">
      <c r="Y8333" s="372">
        <v>0.0</v>
      </c>
      <c r="Z8333" s="372">
        <v>0.0</v>
      </c>
    </row>
    <row r="8334">
      <c r="Y8334" s="372">
        <v>0.0</v>
      </c>
      <c r="Z8334" s="372">
        <v>0.0</v>
      </c>
    </row>
    <row r="8335">
      <c r="Y8335" s="372">
        <v>0.0</v>
      </c>
      <c r="Z8335" s="372">
        <v>0.0</v>
      </c>
    </row>
    <row r="8336">
      <c r="Y8336" s="372">
        <v>0.0</v>
      </c>
      <c r="Z8336" s="372">
        <v>0.0</v>
      </c>
    </row>
    <row r="8337">
      <c r="Y8337" s="372">
        <v>0.0</v>
      </c>
      <c r="Z8337" s="372">
        <v>0.0</v>
      </c>
    </row>
    <row r="8338">
      <c r="Y8338" s="372">
        <v>0.0</v>
      </c>
      <c r="Z8338" s="372">
        <v>0.0</v>
      </c>
    </row>
    <row r="8339">
      <c r="Y8339" s="372">
        <v>0.0</v>
      </c>
      <c r="Z8339" s="372">
        <v>0.0</v>
      </c>
    </row>
    <row r="8340">
      <c r="Y8340" s="372">
        <v>0.0</v>
      </c>
      <c r="Z8340" s="372">
        <v>0.0</v>
      </c>
    </row>
    <row r="8341">
      <c r="Y8341" s="372">
        <v>0.0</v>
      </c>
      <c r="Z8341" s="372">
        <v>0.0</v>
      </c>
    </row>
    <row r="8342">
      <c r="Y8342" s="372">
        <v>0.0</v>
      </c>
      <c r="Z8342" s="372">
        <v>0.0</v>
      </c>
    </row>
    <row r="8343">
      <c r="Y8343" s="372">
        <v>0.0</v>
      </c>
      <c r="Z8343" s="372">
        <v>0.0</v>
      </c>
    </row>
    <row r="8344">
      <c r="Y8344" s="372">
        <v>0.0</v>
      </c>
      <c r="Z8344" s="372">
        <v>0.0</v>
      </c>
    </row>
    <row r="8345">
      <c r="Y8345" s="372">
        <v>0.0</v>
      </c>
      <c r="Z8345" s="372">
        <v>0.0</v>
      </c>
    </row>
    <row r="8346">
      <c r="Y8346" s="372">
        <v>0.0</v>
      </c>
      <c r="Z8346" s="372">
        <v>0.0</v>
      </c>
    </row>
    <row r="8347">
      <c r="Y8347" s="372">
        <v>0.0</v>
      </c>
      <c r="Z8347" s="372">
        <v>0.0</v>
      </c>
    </row>
    <row r="8348">
      <c r="Y8348" s="372">
        <v>0.0</v>
      </c>
      <c r="Z8348" s="372">
        <v>0.0</v>
      </c>
    </row>
    <row r="8349">
      <c r="Y8349" s="372">
        <v>0.0</v>
      </c>
      <c r="Z8349" s="372">
        <v>0.0</v>
      </c>
    </row>
    <row r="8350">
      <c r="Y8350" s="372">
        <v>0.0</v>
      </c>
      <c r="Z8350" s="372">
        <v>0.0</v>
      </c>
    </row>
    <row r="8351">
      <c r="Y8351" s="372">
        <v>0.0</v>
      </c>
      <c r="Z8351" s="372">
        <v>0.0</v>
      </c>
    </row>
    <row r="8352">
      <c r="Y8352" s="372">
        <v>0.0</v>
      </c>
      <c r="Z8352" s="372">
        <v>0.0</v>
      </c>
    </row>
    <row r="8353">
      <c r="Y8353" s="372">
        <v>0.0</v>
      </c>
      <c r="Z8353" s="372">
        <v>0.0</v>
      </c>
    </row>
    <row r="8354">
      <c r="Y8354" s="372">
        <v>0.0</v>
      </c>
      <c r="Z8354" s="372">
        <v>0.0</v>
      </c>
    </row>
    <row r="8355">
      <c r="Y8355" s="372">
        <v>0.0</v>
      </c>
      <c r="Z8355" s="372">
        <v>0.0</v>
      </c>
    </row>
    <row r="8356">
      <c r="Y8356" s="372">
        <v>0.0</v>
      </c>
      <c r="Z8356" s="372">
        <v>0.0</v>
      </c>
    </row>
    <row r="8357">
      <c r="Y8357" s="372">
        <v>0.0</v>
      </c>
      <c r="Z8357" s="372">
        <v>0.0</v>
      </c>
    </row>
    <row r="8358">
      <c r="Y8358" s="372">
        <v>0.0</v>
      </c>
      <c r="Z8358" s="372">
        <v>0.0</v>
      </c>
    </row>
    <row r="8359">
      <c r="Y8359" s="372">
        <v>0.0</v>
      </c>
      <c r="Z8359" s="372">
        <v>0.0</v>
      </c>
    </row>
    <row r="8360">
      <c r="Y8360" s="372">
        <v>0.0</v>
      </c>
      <c r="Z8360" s="372">
        <v>0.0</v>
      </c>
    </row>
    <row r="8361">
      <c r="Y8361" s="372">
        <v>0.0</v>
      </c>
      <c r="Z8361" s="372">
        <v>0.0</v>
      </c>
    </row>
    <row r="8362">
      <c r="Y8362" s="372">
        <v>0.0</v>
      </c>
      <c r="Z8362" s="372">
        <v>0.0</v>
      </c>
    </row>
    <row r="8363">
      <c r="Y8363" s="372">
        <v>0.0</v>
      </c>
      <c r="Z8363" s="372">
        <v>0.0</v>
      </c>
    </row>
    <row r="8364">
      <c r="Y8364" s="372">
        <v>0.0</v>
      </c>
      <c r="Z8364" s="372">
        <v>0.0</v>
      </c>
    </row>
    <row r="8365">
      <c r="Y8365" s="372">
        <v>0.0</v>
      </c>
      <c r="Z8365" s="372">
        <v>0.0</v>
      </c>
    </row>
    <row r="8366">
      <c r="Y8366" s="372">
        <v>0.0</v>
      </c>
      <c r="Z8366" s="372">
        <v>0.0</v>
      </c>
    </row>
    <row r="8367">
      <c r="Y8367" s="372">
        <v>0.0</v>
      </c>
      <c r="Z8367" s="372">
        <v>0.0</v>
      </c>
    </row>
    <row r="8368">
      <c r="Y8368" s="372">
        <v>0.0</v>
      </c>
      <c r="Z8368" s="372">
        <v>0.0</v>
      </c>
    </row>
    <row r="8369">
      <c r="Y8369" s="372">
        <v>0.0</v>
      </c>
      <c r="Z8369" s="372">
        <v>0.0</v>
      </c>
    </row>
    <row r="8370">
      <c r="Y8370" s="372">
        <v>0.0</v>
      </c>
      <c r="Z8370" s="372">
        <v>0.0</v>
      </c>
    </row>
    <row r="8371">
      <c r="Y8371" s="372">
        <v>0.0</v>
      </c>
      <c r="Z8371" s="372">
        <v>0.0</v>
      </c>
    </row>
    <row r="8372">
      <c r="Y8372" s="372">
        <v>0.0</v>
      </c>
      <c r="Z8372" s="372">
        <v>0.0</v>
      </c>
    </row>
    <row r="8373">
      <c r="Y8373" s="372">
        <v>0.0</v>
      </c>
      <c r="Z8373" s="372">
        <v>0.0</v>
      </c>
    </row>
    <row r="8374">
      <c r="Y8374" s="372">
        <v>0.0</v>
      </c>
      <c r="Z8374" s="372">
        <v>0.0</v>
      </c>
    </row>
    <row r="8375">
      <c r="Y8375" s="372">
        <v>0.0</v>
      </c>
      <c r="Z8375" s="372">
        <v>0.0</v>
      </c>
    </row>
    <row r="8376">
      <c r="Y8376" s="372">
        <v>0.0</v>
      </c>
      <c r="Z8376" s="372">
        <v>0.0</v>
      </c>
    </row>
    <row r="8377">
      <c r="Y8377" s="372">
        <v>0.0</v>
      </c>
      <c r="Z8377" s="372">
        <v>0.0</v>
      </c>
    </row>
    <row r="8378">
      <c r="Y8378" s="372">
        <v>0.0</v>
      </c>
      <c r="Z8378" s="372">
        <v>0.0</v>
      </c>
    </row>
    <row r="8379">
      <c r="Y8379" s="372">
        <v>0.0</v>
      </c>
      <c r="Z8379" s="372">
        <v>0.0</v>
      </c>
    </row>
    <row r="8380">
      <c r="Y8380" s="372">
        <v>0.0</v>
      </c>
      <c r="Z8380" s="372">
        <v>0.0</v>
      </c>
    </row>
    <row r="8381">
      <c r="Y8381" s="372">
        <v>0.0</v>
      </c>
      <c r="Z8381" s="372">
        <v>0.0</v>
      </c>
    </row>
    <row r="8382">
      <c r="Y8382" s="372">
        <v>0.0</v>
      </c>
      <c r="Z8382" s="372">
        <v>0.0</v>
      </c>
    </row>
    <row r="8383">
      <c r="Y8383" s="372">
        <v>0.0</v>
      </c>
      <c r="Z8383" s="372">
        <v>0.0</v>
      </c>
    </row>
    <row r="8384">
      <c r="Y8384" s="372">
        <v>0.0</v>
      </c>
      <c r="Z8384" s="372">
        <v>0.0</v>
      </c>
    </row>
    <row r="8385">
      <c r="Y8385" s="372">
        <v>0.0</v>
      </c>
      <c r="Z8385" s="372">
        <v>0.0</v>
      </c>
    </row>
    <row r="8386">
      <c r="Y8386" s="372">
        <v>0.0</v>
      </c>
      <c r="Z8386" s="372">
        <v>0.0</v>
      </c>
    </row>
    <row r="8387">
      <c r="Y8387" s="372">
        <v>0.0</v>
      </c>
      <c r="Z8387" s="372">
        <v>0.0</v>
      </c>
    </row>
    <row r="8388">
      <c r="Y8388" s="372">
        <v>0.0</v>
      </c>
      <c r="Z8388" s="372">
        <v>0.0</v>
      </c>
    </row>
    <row r="8389">
      <c r="Y8389" s="372">
        <v>0.0</v>
      </c>
      <c r="Z8389" s="372">
        <v>0.0</v>
      </c>
    </row>
    <row r="8390">
      <c r="Y8390" s="372">
        <v>0.0</v>
      </c>
      <c r="Z8390" s="372">
        <v>0.0</v>
      </c>
    </row>
    <row r="8391">
      <c r="Y8391" s="372">
        <v>0.0</v>
      </c>
      <c r="Z8391" s="372">
        <v>0.0</v>
      </c>
    </row>
    <row r="8392">
      <c r="Y8392" s="372">
        <v>0.0</v>
      </c>
      <c r="Z8392" s="372">
        <v>0.0</v>
      </c>
    </row>
    <row r="8393">
      <c r="Y8393" s="372">
        <v>0.0</v>
      </c>
      <c r="Z8393" s="372">
        <v>0.0</v>
      </c>
    </row>
    <row r="8394">
      <c r="Y8394" s="372">
        <v>0.0</v>
      </c>
      <c r="Z8394" s="372">
        <v>0.0</v>
      </c>
    </row>
    <row r="8395">
      <c r="Y8395" s="372">
        <v>0.0</v>
      </c>
      <c r="Z8395" s="372">
        <v>0.0</v>
      </c>
    </row>
    <row r="8396">
      <c r="Y8396" s="372">
        <v>0.0</v>
      </c>
      <c r="Z8396" s="372">
        <v>0.0</v>
      </c>
    </row>
    <row r="8397">
      <c r="Y8397" s="372">
        <v>0.0</v>
      </c>
      <c r="Z8397" s="372">
        <v>0.0</v>
      </c>
    </row>
    <row r="8398">
      <c r="Y8398" s="372">
        <v>0.0</v>
      </c>
      <c r="Z8398" s="372">
        <v>0.0</v>
      </c>
    </row>
    <row r="8399">
      <c r="Y8399" s="372">
        <v>0.0</v>
      </c>
      <c r="Z8399" s="372">
        <v>0.0</v>
      </c>
    </row>
    <row r="8400">
      <c r="Y8400" s="372">
        <v>0.0</v>
      </c>
      <c r="Z8400" s="372">
        <v>0.0</v>
      </c>
    </row>
    <row r="8401">
      <c r="Y8401" s="372">
        <v>0.0</v>
      </c>
      <c r="Z8401" s="372">
        <v>0.0</v>
      </c>
    </row>
    <row r="8402">
      <c r="Y8402" s="372">
        <v>0.0</v>
      </c>
      <c r="Z8402" s="372">
        <v>0.0</v>
      </c>
    </row>
    <row r="8403">
      <c r="Y8403" s="372">
        <v>0.0</v>
      </c>
      <c r="Z8403" s="372">
        <v>0.0</v>
      </c>
    </row>
    <row r="8404">
      <c r="Y8404" s="372">
        <v>0.0</v>
      </c>
      <c r="Z8404" s="372">
        <v>0.0</v>
      </c>
    </row>
    <row r="8405">
      <c r="Y8405" s="372">
        <v>0.0</v>
      </c>
      <c r="Z8405" s="372">
        <v>0.0</v>
      </c>
    </row>
    <row r="8406">
      <c r="Y8406" s="372">
        <v>0.0</v>
      </c>
      <c r="Z8406" s="372">
        <v>0.0</v>
      </c>
    </row>
    <row r="8407">
      <c r="Y8407" s="372">
        <v>0.0</v>
      </c>
      <c r="Z8407" s="372">
        <v>0.0</v>
      </c>
    </row>
    <row r="8408">
      <c r="Y8408" s="372">
        <v>0.0</v>
      </c>
      <c r="Z8408" s="372">
        <v>0.0</v>
      </c>
    </row>
    <row r="8409">
      <c r="Y8409" s="372">
        <v>0.0</v>
      </c>
      <c r="Z8409" s="372">
        <v>0.0</v>
      </c>
    </row>
    <row r="8410">
      <c r="Y8410" s="372">
        <v>0.0</v>
      </c>
      <c r="Z8410" s="372">
        <v>0.0</v>
      </c>
    </row>
    <row r="8411">
      <c r="Y8411" s="372">
        <v>0.0</v>
      </c>
      <c r="Z8411" s="372">
        <v>0.0</v>
      </c>
    </row>
    <row r="8412">
      <c r="Y8412" s="372">
        <v>0.0</v>
      </c>
      <c r="Z8412" s="372">
        <v>0.0</v>
      </c>
    </row>
    <row r="8413">
      <c r="Y8413" s="372">
        <v>0.0</v>
      </c>
      <c r="Z8413" s="372">
        <v>0.0</v>
      </c>
    </row>
    <row r="8414">
      <c r="Y8414" s="372">
        <v>0.0</v>
      </c>
      <c r="Z8414" s="372">
        <v>0.0</v>
      </c>
    </row>
    <row r="8415">
      <c r="Y8415" s="372">
        <v>0.0</v>
      </c>
      <c r="Z8415" s="372">
        <v>0.0</v>
      </c>
    </row>
    <row r="8416">
      <c r="Y8416" s="372">
        <v>0.0</v>
      </c>
      <c r="Z8416" s="372">
        <v>0.0</v>
      </c>
    </row>
    <row r="8417">
      <c r="Y8417" s="372">
        <v>0.0</v>
      </c>
      <c r="Z8417" s="372">
        <v>0.0</v>
      </c>
    </row>
    <row r="8418">
      <c r="Y8418" s="372">
        <v>0.0</v>
      </c>
      <c r="Z8418" s="372">
        <v>0.0</v>
      </c>
    </row>
    <row r="8419">
      <c r="Y8419" s="372">
        <v>0.0</v>
      </c>
      <c r="Z8419" s="372">
        <v>0.0</v>
      </c>
    </row>
    <row r="8420">
      <c r="Y8420" s="372">
        <v>0.0</v>
      </c>
      <c r="Z8420" s="372">
        <v>0.0</v>
      </c>
    </row>
    <row r="8421">
      <c r="Y8421" s="372">
        <v>0.0</v>
      </c>
      <c r="Z8421" s="372">
        <v>0.0</v>
      </c>
    </row>
    <row r="8422">
      <c r="Y8422" s="372">
        <v>0.0</v>
      </c>
      <c r="Z8422" s="372">
        <v>0.0</v>
      </c>
    </row>
    <row r="8423">
      <c r="Y8423" s="372">
        <v>0.0</v>
      </c>
      <c r="Z8423" s="372">
        <v>0.0</v>
      </c>
    </row>
    <row r="8424">
      <c r="Y8424" s="372">
        <v>0.0</v>
      </c>
      <c r="Z8424" s="372">
        <v>0.0</v>
      </c>
    </row>
    <row r="8425">
      <c r="Y8425" s="372">
        <v>0.0</v>
      </c>
      <c r="Z8425" s="372">
        <v>0.0</v>
      </c>
    </row>
    <row r="8426">
      <c r="Y8426" s="372">
        <v>0.0</v>
      </c>
      <c r="Z8426" s="372">
        <v>0.0</v>
      </c>
    </row>
    <row r="8427">
      <c r="Y8427" s="372">
        <v>0.0</v>
      </c>
      <c r="Z8427" s="372">
        <v>0.0</v>
      </c>
    </row>
    <row r="8428">
      <c r="Y8428" s="372">
        <v>0.0</v>
      </c>
      <c r="Z8428" s="372">
        <v>0.0</v>
      </c>
    </row>
    <row r="8429">
      <c r="Y8429" s="372">
        <v>0.0</v>
      </c>
      <c r="Z8429" s="372">
        <v>0.0</v>
      </c>
    </row>
    <row r="8430">
      <c r="Y8430" s="372">
        <v>0.0</v>
      </c>
      <c r="Z8430" s="372">
        <v>0.0</v>
      </c>
    </row>
    <row r="8431">
      <c r="Y8431" s="372">
        <v>0.0</v>
      </c>
      <c r="Z8431" s="372">
        <v>0.0</v>
      </c>
    </row>
    <row r="8432">
      <c r="Y8432" s="372">
        <v>0.0</v>
      </c>
      <c r="Z8432" s="372">
        <v>0.0</v>
      </c>
    </row>
    <row r="8433">
      <c r="Y8433" s="372">
        <v>0.0</v>
      </c>
      <c r="Z8433" s="372">
        <v>0.0</v>
      </c>
    </row>
    <row r="8434">
      <c r="Y8434" s="372">
        <v>0.0</v>
      </c>
      <c r="Z8434" s="372">
        <v>0.0</v>
      </c>
    </row>
    <row r="8435">
      <c r="Y8435" s="372">
        <v>0.0</v>
      </c>
      <c r="Z8435" s="372">
        <v>0.0</v>
      </c>
    </row>
    <row r="8436">
      <c r="Y8436" s="372">
        <v>0.0</v>
      </c>
      <c r="Z8436" s="372">
        <v>0.0</v>
      </c>
    </row>
    <row r="8437">
      <c r="Y8437" s="372">
        <v>0.0</v>
      </c>
      <c r="Z8437" s="372">
        <v>0.0</v>
      </c>
    </row>
    <row r="8438">
      <c r="Y8438" s="372">
        <v>0.0</v>
      </c>
      <c r="Z8438" s="372">
        <v>0.0</v>
      </c>
    </row>
    <row r="8439">
      <c r="Y8439" s="372">
        <v>0.0</v>
      </c>
      <c r="Z8439" s="372">
        <v>0.0</v>
      </c>
    </row>
    <row r="8440">
      <c r="Y8440" s="372">
        <v>0.0</v>
      </c>
      <c r="Z8440" s="372">
        <v>0.0</v>
      </c>
    </row>
    <row r="8441">
      <c r="Y8441" s="372">
        <v>0.0</v>
      </c>
      <c r="Z8441" s="372">
        <v>0.0</v>
      </c>
    </row>
    <row r="8442">
      <c r="Y8442" s="372">
        <v>0.0</v>
      </c>
      <c r="Z8442" s="372">
        <v>0.0</v>
      </c>
    </row>
    <row r="8443">
      <c r="Y8443" s="372">
        <v>0.0</v>
      </c>
      <c r="Z8443" s="372">
        <v>0.0</v>
      </c>
    </row>
    <row r="8444">
      <c r="Y8444" s="372">
        <v>0.0</v>
      </c>
      <c r="Z8444" s="372">
        <v>0.0</v>
      </c>
    </row>
    <row r="8445">
      <c r="Y8445" s="372">
        <v>0.0</v>
      </c>
      <c r="Z8445" s="372">
        <v>0.0</v>
      </c>
    </row>
    <row r="8446">
      <c r="Y8446" s="372">
        <v>0.0</v>
      </c>
      <c r="Z8446" s="372">
        <v>0.0</v>
      </c>
    </row>
    <row r="8447">
      <c r="Y8447" s="372">
        <v>0.0</v>
      </c>
      <c r="Z8447" s="372">
        <v>0.0</v>
      </c>
    </row>
    <row r="8448">
      <c r="Y8448" s="372">
        <v>0.0</v>
      </c>
      <c r="Z8448" s="372">
        <v>0.0</v>
      </c>
    </row>
    <row r="8449">
      <c r="Y8449" s="372">
        <v>0.0</v>
      </c>
      <c r="Z8449" s="372">
        <v>0.0</v>
      </c>
    </row>
    <row r="8450">
      <c r="Y8450" s="372">
        <v>0.0</v>
      </c>
      <c r="Z8450" s="372">
        <v>0.0</v>
      </c>
    </row>
    <row r="8451">
      <c r="Y8451" s="372">
        <v>0.0</v>
      </c>
      <c r="Z8451" s="372">
        <v>0.0</v>
      </c>
    </row>
    <row r="8452">
      <c r="Y8452" s="372">
        <v>0.0</v>
      </c>
      <c r="Z8452" s="372">
        <v>0.0</v>
      </c>
    </row>
    <row r="8453">
      <c r="Y8453" s="372">
        <v>0.0</v>
      </c>
      <c r="Z8453" s="372">
        <v>0.0</v>
      </c>
    </row>
    <row r="8454">
      <c r="Y8454" s="372">
        <v>0.0</v>
      </c>
      <c r="Z8454" s="372">
        <v>0.0</v>
      </c>
    </row>
    <row r="8455">
      <c r="Y8455" s="372">
        <v>0.0</v>
      </c>
      <c r="Z8455" s="372">
        <v>0.0</v>
      </c>
    </row>
    <row r="8456">
      <c r="Y8456" s="372">
        <v>0.0</v>
      </c>
      <c r="Z8456" s="372">
        <v>0.0</v>
      </c>
    </row>
    <row r="8457">
      <c r="Y8457" s="372">
        <v>0.0</v>
      </c>
      <c r="Z8457" s="372">
        <v>0.0</v>
      </c>
    </row>
    <row r="8458">
      <c r="Y8458" s="372">
        <v>0.0</v>
      </c>
      <c r="Z8458" s="372">
        <v>0.0</v>
      </c>
    </row>
    <row r="8459">
      <c r="Y8459" s="372">
        <v>0.0</v>
      </c>
      <c r="Z8459" s="372">
        <v>0.0</v>
      </c>
    </row>
    <row r="8460">
      <c r="Y8460" s="372">
        <v>0.0</v>
      </c>
      <c r="Z8460" s="372">
        <v>0.0</v>
      </c>
    </row>
    <row r="8461">
      <c r="Y8461" s="372">
        <v>0.0</v>
      </c>
      <c r="Z8461" s="372">
        <v>0.0</v>
      </c>
    </row>
    <row r="8462">
      <c r="Y8462" s="372">
        <v>0.0</v>
      </c>
      <c r="Z8462" s="372">
        <v>0.0</v>
      </c>
    </row>
    <row r="8463">
      <c r="Y8463" s="372">
        <v>0.0</v>
      </c>
      <c r="Z8463" s="372">
        <v>0.0</v>
      </c>
    </row>
    <row r="8464">
      <c r="Y8464" s="372">
        <v>0.0</v>
      </c>
      <c r="Z8464" s="372">
        <v>0.0</v>
      </c>
    </row>
    <row r="8465">
      <c r="Y8465" s="372">
        <v>0.0</v>
      </c>
      <c r="Z8465" s="372">
        <v>0.0</v>
      </c>
    </row>
    <row r="8466">
      <c r="Y8466" s="372">
        <v>0.0</v>
      </c>
      <c r="Z8466" s="372">
        <v>0.0</v>
      </c>
    </row>
    <row r="8467">
      <c r="Y8467" s="372">
        <v>0.0</v>
      </c>
      <c r="Z8467" s="372">
        <v>0.0</v>
      </c>
    </row>
    <row r="8468">
      <c r="Y8468" s="372">
        <v>0.0</v>
      </c>
      <c r="Z8468" s="372">
        <v>0.0</v>
      </c>
    </row>
    <row r="8469">
      <c r="Y8469" s="372">
        <v>0.0</v>
      </c>
      <c r="Z8469" s="372">
        <v>0.0</v>
      </c>
    </row>
    <row r="8470">
      <c r="Y8470" s="372">
        <v>0.0</v>
      </c>
      <c r="Z8470" s="372">
        <v>0.0</v>
      </c>
    </row>
    <row r="8471">
      <c r="Y8471" s="372">
        <v>0.0</v>
      </c>
      <c r="Z8471" s="372">
        <v>0.0</v>
      </c>
    </row>
    <row r="8472">
      <c r="Y8472" s="372">
        <v>0.0</v>
      </c>
      <c r="Z8472" s="372">
        <v>0.0</v>
      </c>
    </row>
    <row r="8473">
      <c r="Y8473" s="372">
        <v>0.0</v>
      </c>
      <c r="Z8473" s="372">
        <v>0.0</v>
      </c>
    </row>
    <row r="8474">
      <c r="Y8474" s="372">
        <v>0.0</v>
      </c>
      <c r="Z8474" s="372">
        <v>0.0</v>
      </c>
    </row>
    <row r="8475">
      <c r="Y8475" s="372">
        <v>0.0</v>
      </c>
      <c r="Z8475" s="372">
        <v>0.0</v>
      </c>
    </row>
    <row r="8476">
      <c r="Y8476" s="372">
        <v>0.0</v>
      </c>
      <c r="Z8476" s="372">
        <v>0.0</v>
      </c>
    </row>
    <row r="8477">
      <c r="Y8477" s="372">
        <v>0.0</v>
      </c>
      <c r="Z8477" s="372">
        <v>0.0</v>
      </c>
    </row>
    <row r="8478">
      <c r="Y8478" s="372">
        <v>0.0</v>
      </c>
      <c r="Z8478" s="372">
        <v>0.0</v>
      </c>
    </row>
    <row r="8479">
      <c r="Y8479" s="372">
        <v>0.0</v>
      </c>
      <c r="Z8479" s="372">
        <v>0.0</v>
      </c>
    </row>
    <row r="8480">
      <c r="Y8480" s="372">
        <v>0.0</v>
      </c>
      <c r="Z8480" s="372">
        <v>0.0</v>
      </c>
    </row>
    <row r="8481">
      <c r="Y8481" s="372">
        <v>0.0</v>
      </c>
      <c r="Z8481" s="372">
        <v>0.0</v>
      </c>
    </row>
    <row r="8482">
      <c r="Y8482" s="372">
        <v>0.0</v>
      </c>
      <c r="Z8482" s="372">
        <v>0.0</v>
      </c>
    </row>
    <row r="8483">
      <c r="Y8483" s="372">
        <v>0.0</v>
      </c>
      <c r="Z8483" s="372">
        <v>0.0</v>
      </c>
    </row>
    <row r="8484">
      <c r="Y8484" s="372">
        <v>0.0</v>
      </c>
      <c r="Z8484" s="372">
        <v>0.0</v>
      </c>
    </row>
    <row r="8485">
      <c r="Y8485" s="372">
        <v>0.0</v>
      </c>
      <c r="Z8485" s="372">
        <v>0.0</v>
      </c>
    </row>
    <row r="8486">
      <c r="Y8486" s="372">
        <v>0.0</v>
      </c>
      <c r="Z8486" s="372">
        <v>0.0</v>
      </c>
    </row>
    <row r="8487">
      <c r="Y8487" s="372">
        <v>0.0</v>
      </c>
      <c r="Z8487" s="372">
        <v>0.0</v>
      </c>
    </row>
    <row r="8488">
      <c r="Y8488" s="372">
        <v>0.0</v>
      </c>
      <c r="Z8488" s="372">
        <v>0.0</v>
      </c>
    </row>
    <row r="8489">
      <c r="Y8489" s="372">
        <v>0.0</v>
      </c>
      <c r="Z8489" s="372">
        <v>0.0</v>
      </c>
    </row>
    <row r="8490">
      <c r="Y8490" s="372">
        <v>0.0</v>
      </c>
      <c r="Z8490" s="372">
        <v>0.0</v>
      </c>
    </row>
    <row r="8491">
      <c r="Y8491" s="372">
        <v>0.0</v>
      </c>
      <c r="Z8491" s="372">
        <v>0.0</v>
      </c>
    </row>
    <row r="8492">
      <c r="Y8492" s="372">
        <v>0.0</v>
      </c>
      <c r="Z8492" s="372">
        <v>0.0</v>
      </c>
    </row>
    <row r="8493">
      <c r="Y8493" s="372">
        <v>0.0</v>
      </c>
      <c r="Z8493" s="372">
        <v>0.0</v>
      </c>
    </row>
    <row r="8494">
      <c r="Y8494" s="372">
        <v>0.0</v>
      </c>
      <c r="Z8494" s="372">
        <v>0.0</v>
      </c>
    </row>
    <row r="8495">
      <c r="Y8495" s="372">
        <v>0.0</v>
      </c>
      <c r="Z8495" s="372">
        <v>0.0</v>
      </c>
    </row>
    <row r="8496">
      <c r="Y8496" s="372">
        <v>0.0</v>
      </c>
      <c r="Z8496" s="372">
        <v>0.0</v>
      </c>
    </row>
    <row r="8497">
      <c r="Y8497" s="372">
        <v>0.0</v>
      </c>
      <c r="Z8497" s="372">
        <v>0.0</v>
      </c>
    </row>
    <row r="8498">
      <c r="Y8498" s="372">
        <v>0.0</v>
      </c>
      <c r="Z8498" s="372">
        <v>0.0</v>
      </c>
    </row>
    <row r="8499">
      <c r="Y8499" s="372">
        <v>0.0</v>
      </c>
      <c r="Z8499" s="372">
        <v>0.0</v>
      </c>
    </row>
    <row r="8500">
      <c r="Y8500" s="372">
        <v>0.0</v>
      </c>
      <c r="Z8500" s="372">
        <v>0.0</v>
      </c>
    </row>
    <row r="8501">
      <c r="Y8501" s="372">
        <v>0.0</v>
      </c>
      <c r="Z8501" s="372">
        <v>0.0</v>
      </c>
    </row>
    <row r="8502">
      <c r="Y8502" s="372">
        <v>0.0</v>
      </c>
      <c r="Z8502" s="372">
        <v>0.0</v>
      </c>
    </row>
    <row r="8503">
      <c r="Y8503" s="372">
        <v>0.0</v>
      </c>
      <c r="Z8503" s="372">
        <v>0.0</v>
      </c>
    </row>
    <row r="8504">
      <c r="Y8504" s="372">
        <v>0.0</v>
      </c>
      <c r="Z8504" s="372">
        <v>0.0</v>
      </c>
    </row>
    <row r="8505">
      <c r="Y8505" s="372">
        <v>0.0</v>
      </c>
      <c r="Z8505" s="372">
        <v>0.0</v>
      </c>
    </row>
    <row r="8506">
      <c r="Y8506" s="372">
        <v>0.0</v>
      </c>
      <c r="Z8506" s="372">
        <v>0.0</v>
      </c>
    </row>
    <row r="8507">
      <c r="Y8507" s="372">
        <v>0.0</v>
      </c>
      <c r="Z8507" s="372">
        <v>0.0</v>
      </c>
    </row>
    <row r="8508">
      <c r="Y8508" s="372">
        <v>0.0</v>
      </c>
      <c r="Z8508" s="372">
        <v>0.0</v>
      </c>
    </row>
    <row r="8509">
      <c r="Y8509" s="372">
        <v>0.0</v>
      </c>
      <c r="Z8509" s="372">
        <v>0.0</v>
      </c>
    </row>
    <row r="8510">
      <c r="Y8510" s="372">
        <v>0.0</v>
      </c>
      <c r="Z8510" s="372">
        <v>0.0</v>
      </c>
    </row>
    <row r="8511">
      <c r="Y8511" s="372">
        <v>0.0</v>
      </c>
      <c r="Z8511" s="372">
        <v>0.0</v>
      </c>
    </row>
    <row r="8512">
      <c r="Y8512" s="372">
        <v>0.0</v>
      </c>
      <c r="Z8512" s="372">
        <v>0.0</v>
      </c>
    </row>
    <row r="8513">
      <c r="Y8513" s="372">
        <v>0.0</v>
      </c>
      <c r="Z8513" s="372">
        <v>0.0</v>
      </c>
    </row>
    <row r="8514">
      <c r="Y8514" s="372">
        <v>0.0</v>
      </c>
      <c r="Z8514" s="372">
        <v>0.0</v>
      </c>
    </row>
    <row r="8515">
      <c r="Y8515" s="372">
        <v>0.0</v>
      </c>
      <c r="Z8515" s="372">
        <v>0.0</v>
      </c>
    </row>
    <row r="8516">
      <c r="Y8516" s="372">
        <v>0.0</v>
      </c>
      <c r="Z8516" s="372">
        <v>0.0</v>
      </c>
    </row>
    <row r="8517">
      <c r="Y8517" s="372">
        <v>0.0</v>
      </c>
      <c r="Z8517" s="372">
        <v>0.0</v>
      </c>
    </row>
    <row r="8518">
      <c r="Y8518" s="372">
        <v>0.0</v>
      </c>
      <c r="Z8518" s="372">
        <v>0.0</v>
      </c>
    </row>
    <row r="8519">
      <c r="Y8519" s="372">
        <v>0.0</v>
      </c>
      <c r="Z8519" s="372">
        <v>0.0</v>
      </c>
    </row>
    <row r="8520">
      <c r="Y8520" s="372">
        <v>0.0</v>
      </c>
      <c r="Z8520" s="372">
        <v>0.0</v>
      </c>
    </row>
    <row r="8521">
      <c r="Y8521" s="372">
        <v>0.0</v>
      </c>
      <c r="Z8521" s="372">
        <v>0.0</v>
      </c>
    </row>
    <row r="8522">
      <c r="Y8522" s="372">
        <v>0.0</v>
      </c>
      <c r="Z8522" s="372">
        <v>0.0</v>
      </c>
    </row>
    <row r="8523">
      <c r="Y8523" s="372">
        <v>0.0</v>
      </c>
      <c r="Z8523" s="372">
        <v>0.0</v>
      </c>
    </row>
    <row r="8524">
      <c r="Y8524" s="372">
        <v>0.0</v>
      </c>
      <c r="Z8524" s="372">
        <v>0.0</v>
      </c>
    </row>
    <row r="8525">
      <c r="Y8525" s="372">
        <v>0.0</v>
      </c>
      <c r="Z8525" s="372">
        <v>0.0</v>
      </c>
    </row>
    <row r="8526">
      <c r="Y8526" s="372">
        <v>0.0</v>
      </c>
      <c r="Z8526" s="372">
        <v>0.0</v>
      </c>
    </row>
    <row r="8527">
      <c r="Y8527" s="372">
        <v>0.0</v>
      </c>
      <c r="Z8527" s="372">
        <v>0.0</v>
      </c>
    </row>
    <row r="8528">
      <c r="Y8528" s="372">
        <v>0.0</v>
      </c>
      <c r="Z8528" s="372">
        <v>0.0</v>
      </c>
    </row>
    <row r="8529">
      <c r="Y8529" s="372">
        <v>0.0</v>
      </c>
      <c r="Z8529" s="372">
        <v>0.0</v>
      </c>
    </row>
    <row r="8530">
      <c r="Y8530" s="372">
        <v>0.0</v>
      </c>
      <c r="Z8530" s="372">
        <v>0.0</v>
      </c>
    </row>
    <row r="8531">
      <c r="Y8531" s="372">
        <v>0.0</v>
      </c>
      <c r="Z8531" s="372">
        <v>0.0</v>
      </c>
    </row>
    <row r="8532">
      <c r="Y8532" s="372">
        <v>0.0</v>
      </c>
      <c r="Z8532" s="372">
        <v>0.0</v>
      </c>
    </row>
    <row r="8533">
      <c r="Y8533" s="372">
        <v>0.0</v>
      </c>
      <c r="Z8533" s="372">
        <v>0.0</v>
      </c>
    </row>
    <row r="8534">
      <c r="Y8534" s="372">
        <v>0.0</v>
      </c>
      <c r="Z8534" s="372">
        <v>0.0</v>
      </c>
    </row>
    <row r="8535">
      <c r="Y8535" s="372">
        <v>0.0</v>
      </c>
      <c r="Z8535" s="372">
        <v>0.0</v>
      </c>
    </row>
    <row r="8536">
      <c r="Y8536" s="372">
        <v>0.0</v>
      </c>
      <c r="Z8536" s="372">
        <v>0.0</v>
      </c>
    </row>
    <row r="8537">
      <c r="Y8537" s="372">
        <v>0.0</v>
      </c>
      <c r="Z8537" s="372">
        <v>0.0</v>
      </c>
    </row>
    <row r="8538">
      <c r="Y8538" s="372">
        <v>0.0</v>
      </c>
      <c r="Z8538" s="372">
        <v>0.0</v>
      </c>
    </row>
    <row r="8539">
      <c r="Y8539" s="372">
        <v>0.0</v>
      </c>
      <c r="Z8539" s="372">
        <v>0.0</v>
      </c>
    </row>
    <row r="8540">
      <c r="Y8540" s="372">
        <v>0.0</v>
      </c>
      <c r="Z8540" s="372">
        <v>0.0</v>
      </c>
    </row>
    <row r="8541">
      <c r="Y8541" s="372">
        <v>0.0</v>
      </c>
      <c r="Z8541" s="372">
        <v>0.0</v>
      </c>
    </row>
    <row r="8542">
      <c r="Y8542" s="372">
        <v>0.0</v>
      </c>
      <c r="Z8542" s="372">
        <v>0.0</v>
      </c>
    </row>
    <row r="8543">
      <c r="Y8543" s="372">
        <v>0.0</v>
      </c>
      <c r="Z8543" s="372">
        <v>0.0</v>
      </c>
    </row>
    <row r="8544">
      <c r="Y8544" s="372">
        <v>0.0</v>
      </c>
      <c r="Z8544" s="372">
        <v>0.0</v>
      </c>
    </row>
    <row r="8545">
      <c r="Y8545" s="372">
        <v>0.0</v>
      </c>
      <c r="Z8545" s="372">
        <v>0.0</v>
      </c>
    </row>
    <row r="8546">
      <c r="Y8546" s="372">
        <v>0.0</v>
      </c>
      <c r="Z8546" s="372">
        <v>0.0</v>
      </c>
    </row>
    <row r="8547">
      <c r="Y8547" s="372">
        <v>0.0</v>
      </c>
      <c r="Z8547" s="372">
        <v>0.0</v>
      </c>
    </row>
    <row r="8548">
      <c r="Y8548" s="372">
        <v>0.0</v>
      </c>
      <c r="Z8548" s="372">
        <v>0.0</v>
      </c>
    </row>
    <row r="8549">
      <c r="Y8549" s="372">
        <v>0.0</v>
      </c>
      <c r="Z8549" s="372">
        <v>0.0</v>
      </c>
    </row>
    <row r="8550">
      <c r="Y8550" s="372">
        <v>0.0</v>
      </c>
      <c r="Z8550" s="372">
        <v>0.0</v>
      </c>
    </row>
    <row r="8551">
      <c r="Y8551" s="372">
        <v>0.0</v>
      </c>
      <c r="Z8551" s="372">
        <v>0.0</v>
      </c>
    </row>
    <row r="8552">
      <c r="Y8552" s="372">
        <v>0.0</v>
      </c>
      <c r="Z8552" s="372">
        <v>0.0</v>
      </c>
    </row>
    <row r="8553">
      <c r="Y8553" s="372">
        <v>0.0</v>
      </c>
      <c r="Z8553" s="372">
        <v>0.0</v>
      </c>
    </row>
    <row r="8554">
      <c r="Y8554" s="372">
        <v>0.0</v>
      </c>
      <c r="Z8554" s="372">
        <v>0.0</v>
      </c>
    </row>
    <row r="8555">
      <c r="Y8555" s="372">
        <v>0.0</v>
      </c>
      <c r="Z8555" s="372">
        <v>0.0</v>
      </c>
    </row>
    <row r="8556">
      <c r="Y8556" s="372">
        <v>0.0</v>
      </c>
      <c r="Z8556" s="372">
        <v>0.0</v>
      </c>
    </row>
    <row r="8557">
      <c r="Y8557" s="372">
        <v>0.0</v>
      </c>
      <c r="Z8557" s="372">
        <v>0.0</v>
      </c>
    </row>
    <row r="8558">
      <c r="Y8558" s="372">
        <v>0.0</v>
      </c>
      <c r="Z8558" s="372">
        <v>0.0</v>
      </c>
    </row>
    <row r="8559">
      <c r="Y8559" s="372">
        <v>0.0</v>
      </c>
      <c r="Z8559" s="372">
        <v>0.0</v>
      </c>
    </row>
    <row r="8560">
      <c r="Y8560" s="372">
        <v>0.0</v>
      </c>
      <c r="Z8560" s="372">
        <v>0.0</v>
      </c>
    </row>
    <row r="8561">
      <c r="Y8561" s="372">
        <v>0.0</v>
      </c>
      <c r="Z8561" s="372">
        <v>0.0</v>
      </c>
    </row>
    <row r="8562">
      <c r="Y8562" s="372">
        <v>0.0</v>
      </c>
      <c r="Z8562" s="372">
        <v>0.0</v>
      </c>
    </row>
    <row r="8563">
      <c r="Y8563" s="372">
        <v>0.0</v>
      </c>
      <c r="Z8563" s="372">
        <v>0.0</v>
      </c>
    </row>
    <row r="8564">
      <c r="Y8564" s="372">
        <v>0.0</v>
      </c>
      <c r="Z8564" s="372">
        <v>0.0</v>
      </c>
    </row>
    <row r="8565">
      <c r="Y8565" s="372">
        <v>0.0</v>
      </c>
      <c r="Z8565" s="372">
        <v>0.0</v>
      </c>
    </row>
    <row r="8566">
      <c r="Y8566" s="372">
        <v>0.0</v>
      </c>
      <c r="Z8566" s="372">
        <v>0.0</v>
      </c>
    </row>
    <row r="8567">
      <c r="Y8567" s="372">
        <v>0.0</v>
      </c>
      <c r="Z8567" s="372">
        <v>0.0</v>
      </c>
    </row>
    <row r="8568">
      <c r="Y8568" s="372">
        <v>0.0</v>
      </c>
      <c r="Z8568" s="372">
        <v>0.0</v>
      </c>
    </row>
    <row r="8569">
      <c r="Y8569" s="372">
        <v>0.0</v>
      </c>
      <c r="Z8569" s="372">
        <v>0.0</v>
      </c>
    </row>
    <row r="8570">
      <c r="Y8570" s="372">
        <v>0.0</v>
      </c>
      <c r="Z8570" s="372">
        <v>0.0</v>
      </c>
    </row>
    <row r="8571">
      <c r="Y8571" s="372">
        <v>0.0</v>
      </c>
      <c r="Z8571" s="372">
        <v>0.0</v>
      </c>
    </row>
    <row r="8572">
      <c r="Y8572" s="372">
        <v>0.0</v>
      </c>
      <c r="Z8572" s="372">
        <v>0.0</v>
      </c>
    </row>
    <row r="8573">
      <c r="Y8573" s="372">
        <v>0.0</v>
      </c>
      <c r="Z8573" s="372">
        <v>0.0</v>
      </c>
    </row>
    <row r="8574">
      <c r="Y8574" s="372">
        <v>0.0</v>
      </c>
      <c r="Z8574" s="372">
        <v>0.0</v>
      </c>
    </row>
    <row r="8575">
      <c r="Y8575" s="372">
        <v>0.0</v>
      </c>
      <c r="Z8575" s="372">
        <v>0.0</v>
      </c>
    </row>
    <row r="8576">
      <c r="Y8576" s="372">
        <v>0.0</v>
      </c>
      <c r="Z8576" s="372">
        <v>0.0</v>
      </c>
    </row>
    <row r="8577">
      <c r="Y8577" s="372">
        <v>0.0</v>
      </c>
      <c r="Z8577" s="372">
        <v>0.0</v>
      </c>
    </row>
    <row r="8578">
      <c r="Y8578" s="372">
        <v>0.0</v>
      </c>
      <c r="Z8578" s="372">
        <v>0.0</v>
      </c>
    </row>
    <row r="8579">
      <c r="Y8579" s="372">
        <v>0.0</v>
      </c>
      <c r="Z8579" s="372">
        <v>0.0</v>
      </c>
    </row>
    <row r="8580">
      <c r="Y8580" s="372">
        <v>0.0</v>
      </c>
      <c r="Z8580" s="372">
        <v>0.0</v>
      </c>
    </row>
    <row r="8581">
      <c r="Y8581" s="372">
        <v>0.0</v>
      </c>
      <c r="Z8581" s="372">
        <v>0.0</v>
      </c>
    </row>
    <row r="8582">
      <c r="Y8582" s="372">
        <v>0.0</v>
      </c>
      <c r="Z8582" s="372">
        <v>0.0</v>
      </c>
    </row>
    <row r="8583">
      <c r="Y8583" s="372">
        <v>0.0</v>
      </c>
      <c r="Z8583" s="372">
        <v>0.0</v>
      </c>
    </row>
    <row r="8584">
      <c r="Y8584" s="372">
        <v>0.0</v>
      </c>
      <c r="Z8584" s="372">
        <v>0.0</v>
      </c>
    </row>
    <row r="8585">
      <c r="Y8585" s="372">
        <v>0.0</v>
      </c>
      <c r="Z8585" s="372">
        <v>0.0</v>
      </c>
    </row>
    <row r="8586">
      <c r="Y8586" s="372">
        <v>0.0</v>
      </c>
      <c r="Z8586" s="372">
        <v>0.0</v>
      </c>
    </row>
    <row r="8587">
      <c r="Y8587" s="372">
        <v>0.0</v>
      </c>
      <c r="Z8587" s="372">
        <v>0.0</v>
      </c>
    </row>
    <row r="8588">
      <c r="Y8588" s="372">
        <v>0.0</v>
      </c>
      <c r="Z8588" s="372">
        <v>0.0</v>
      </c>
    </row>
    <row r="8589">
      <c r="Y8589" s="372">
        <v>0.0</v>
      </c>
      <c r="Z8589" s="372">
        <v>0.0</v>
      </c>
    </row>
    <row r="8590">
      <c r="Y8590" s="372">
        <v>0.0</v>
      </c>
      <c r="Z8590" s="372">
        <v>0.0</v>
      </c>
    </row>
    <row r="8591">
      <c r="Y8591" s="372">
        <v>0.0</v>
      </c>
      <c r="Z8591" s="372">
        <v>0.0</v>
      </c>
    </row>
    <row r="8592">
      <c r="Y8592" s="372">
        <v>0.0</v>
      </c>
      <c r="Z8592" s="372">
        <v>0.0</v>
      </c>
    </row>
    <row r="8593">
      <c r="Y8593" s="372">
        <v>0.0</v>
      </c>
      <c r="Z8593" s="372">
        <v>0.0</v>
      </c>
    </row>
    <row r="8594">
      <c r="Y8594" s="372">
        <v>0.0</v>
      </c>
      <c r="Z8594" s="372">
        <v>0.0</v>
      </c>
    </row>
    <row r="8595">
      <c r="Y8595" s="372">
        <v>0.0</v>
      </c>
      <c r="Z8595" s="372">
        <v>0.0</v>
      </c>
    </row>
    <row r="8596">
      <c r="Y8596" s="372">
        <v>0.0</v>
      </c>
      <c r="Z8596" s="372">
        <v>0.0</v>
      </c>
    </row>
    <row r="8597">
      <c r="Y8597" s="372">
        <v>0.0</v>
      </c>
      <c r="Z8597" s="372">
        <v>0.0</v>
      </c>
    </row>
    <row r="8598">
      <c r="Y8598" s="372">
        <v>0.0</v>
      </c>
      <c r="Z8598" s="372">
        <v>0.0</v>
      </c>
    </row>
    <row r="8599">
      <c r="Y8599" s="372">
        <v>0.0</v>
      </c>
      <c r="Z8599" s="372">
        <v>0.0</v>
      </c>
    </row>
    <row r="8600">
      <c r="Y8600" s="372">
        <v>0.0</v>
      </c>
      <c r="Z8600" s="372">
        <v>0.0</v>
      </c>
    </row>
    <row r="8601">
      <c r="Y8601" s="372">
        <v>0.0</v>
      </c>
      <c r="Z8601" s="372">
        <v>0.0</v>
      </c>
    </row>
    <row r="8602">
      <c r="Y8602" s="372">
        <v>0.0</v>
      </c>
      <c r="Z8602" s="372">
        <v>0.0</v>
      </c>
    </row>
    <row r="8603">
      <c r="Y8603" s="372">
        <v>0.0</v>
      </c>
      <c r="Z8603" s="372">
        <v>0.0</v>
      </c>
    </row>
    <row r="8604">
      <c r="Y8604" s="372">
        <v>0.0</v>
      </c>
      <c r="Z8604" s="372">
        <v>0.0</v>
      </c>
    </row>
    <row r="8605">
      <c r="Y8605" s="372">
        <v>0.0</v>
      </c>
      <c r="Z8605" s="372">
        <v>0.0</v>
      </c>
    </row>
    <row r="8606">
      <c r="Y8606" s="372">
        <v>0.0</v>
      </c>
      <c r="Z8606" s="372">
        <v>0.0</v>
      </c>
    </row>
    <row r="8607">
      <c r="Y8607" s="372">
        <v>0.0</v>
      </c>
      <c r="Z8607" s="372">
        <v>0.0</v>
      </c>
    </row>
    <row r="8608">
      <c r="Y8608" s="372">
        <v>0.0</v>
      </c>
      <c r="Z8608" s="372">
        <v>0.0</v>
      </c>
    </row>
    <row r="8609">
      <c r="Y8609" s="372">
        <v>0.0</v>
      </c>
      <c r="Z8609" s="372">
        <v>0.0</v>
      </c>
    </row>
    <row r="8610">
      <c r="Y8610" s="372">
        <v>0.0</v>
      </c>
      <c r="Z8610" s="372">
        <v>0.0</v>
      </c>
    </row>
    <row r="8611">
      <c r="Y8611" s="372">
        <v>0.0</v>
      </c>
      <c r="Z8611" s="372">
        <v>0.0</v>
      </c>
    </row>
    <row r="8612">
      <c r="Y8612" s="372">
        <v>0.0</v>
      </c>
      <c r="Z8612" s="372">
        <v>0.0</v>
      </c>
    </row>
    <row r="8613">
      <c r="Y8613" s="372">
        <v>0.0</v>
      </c>
      <c r="Z8613" s="372">
        <v>0.0</v>
      </c>
    </row>
    <row r="8614">
      <c r="Y8614" s="372">
        <v>0.0</v>
      </c>
      <c r="Z8614" s="372">
        <v>0.0</v>
      </c>
    </row>
    <row r="8615">
      <c r="Y8615" s="372">
        <v>0.0</v>
      </c>
      <c r="Z8615" s="372">
        <v>0.0</v>
      </c>
    </row>
    <row r="8616">
      <c r="Y8616" s="372">
        <v>0.0</v>
      </c>
      <c r="Z8616" s="372">
        <v>0.0</v>
      </c>
    </row>
    <row r="8617">
      <c r="Y8617" s="372">
        <v>0.0</v>
      </c>
      <c r="Z8617" s="372">
        <v>0.0</v>
      </c>
    </row>
    <row r="8618">
      <c r="Y8618" s="372">
        <v>0.0</v>
      </c>
      <c r="Z8618" s="372">
        <v>0.0</v>
      </c>
    </row>
    <row r="8619">
      <c r="Y8619" s="372">
        <v>0.0</v>
      </c>
      <c r="Z8619" s="372">
        <v>0.0</v>
      </c>
    </row>
    <row r="8620">
      <c r="Y8620" s="372">
        <v>0.0</v>
      </c>
      <c r="Z8620" s="372">
        <v>0.0</v>
      </c>
    </row>
    <row r="8621">
      <c r="Y8621" s="372">
        <v>0.0</v>
      </c>
      <c r="Z8621" s="372">
        <v>0.0</v>
      </c>
    </row>
    <row r="8622">
      <c r="Y8622" s="372">
        <v>0.0</v>
      </c>
      <c r="Z8622" s="372">
        <v>0.0</v>
      </c>
    </row>
    <row r="8623">
      <c r="Y8623" s="372">
        <v>0.0</v>
      </c>
      <c r="Z8623" s="372">
        <v>0.0</v>
      </c>
    </row>
    <row r="8624">
      <c r="Y8624" s="372">
        <v>0.0</v>
      </c>
      <c r="Z8624" s="372">
        <v>0.0</v>
      </c>
    </row>
    <row r="8625">
      <c r="Y8625" s="372">
        <v>0.0</v>
      </c>
      <c r="Z8625" s="372">
        <v>0.0</v>
      </c>
    </row>
    <row r="8626">
      <c r="Y8626" s="372">
        <v>0.0</v>
      </c>
      <c r="Z8626" s="372">
        <v>0.0</v>
      </c>
    </row>
    <row r="8627">
      <c r="Y8627" s="372">
        <v>0.0</v>
      </c>
      <c r="Z8627" s="372">
        <v>0.0</v>
      </c>
    </row>
    <row r="8628">
      <c r="Y8628" s="372">
        <v>0.0</v>
      </c>
      <c r="Z8628" s="372">
        <v>0.0</v>
      </c>
    </row>
    <row r="8629">
      <c r="Y8629" s="372">
        <v>0.0</v>
      </c>
      <c r="Z8629" s="372">
        <v>0.0</v>
      </c>
    </row>
    <row r="8630">
      <c r="Y8630" s="372">
        <v>0.0</v>
      </c>
      <c r="Z8630" s="372">
        <v>0.0</v>
      </c>
    </row>
    <row r="8631">
      <c r="Y8631" s="372">
        <v>0.0</v>
      </c>
      <c r="Z8631" s="372">
        <v>0.0</v>
      </c>
    </row>
    <row r="8632">
      <c r="Y8632" s="372">
        <v>0.0</v>
      </c>
      <c r="Z8632" s="372">
        <v>0.0</v>
      </c>
    </row>
    <row r="8633">
      <c r="Y8633" s="372">
        <v>0.0</v>
      </c>
      <c r="Z8633" s="372">
        <v>0.0</v>
      </c>
    </row>
    <row r="8634">
      <c r="Y8634" s="372">
        <v>0.0</v>
      </c>
      <c r="Z8634" s="372">
        <v>0.0</v>
      </c>
    </row>
    <row r="8635">
      <c r="Y8635" s="372">
        <v>0.0</v>
      </c>
      <c r="Z8635" s="372">
        <v>0.0</v>
      </c>
    </row>
    <row r="8636">
      <c r="Y8636" s="372">
        <v>0.0</v>
      </c>
      <c r="Z8636" s="372">
        <v>0.0</v>
      </c>
    </row>
    <row r="8637">
      <c r="Y8637" s="372">
        <v>0.0</v>
      </c>
      <c r="Z8637" s="372">
        <v>0.0</v>
      </c>
    </row>
    <row r="8638">
      <c r="Y8638" s="372">
        <v>0.0</v>
      </c>
      <c r="Z8638" s="372">
        <v>0.0</v>
      </c>
    </row>
    <row r="8639">
      <c r="Y8639" s="372">
        <v>0.0</v>
      </c>
      <c r="Z8639" s="372">
        <v>0.0</v>
      </c>
    </row>
    <row r="8640">
      <c r="Y8640" s="372">
        <v>0.0</v>
      </c>
      <c r="Z8640" s="372">
        <v>0.0</v>
      </c>
    </row>
    <row r="8641">
      <c r="Y8641" s="372">
        <v>0.0</v>
      </c>
      <c r="Z8641" s="372">
        <v>0.0</v>
      </c>
    </row>
    <row r="8642">
      <c r="Y8642" s="372">
        <v>0.0</v>
      </c>
      <c r="Z8642" s="372">
        <v>0.0</v>
      </c>
    </row>
    <row r="8643">
      <c r="Y8643" s="372">
        <v>0.0</v>
      </c>
      <c r="Z8643" s="372">
        <v>0.0</v>
      </c>
    </row>
    <row r="8644">
      <c r="Y8644" s="372">
        <v>0.0</v>
      </c>
      <c r="Z8644" s="372">
        <v>0.0</v>
      </c>
    </row>
    <row r="8645">
      <c r="Y8645" s="372">
        <v>0.0</v>
      </c>
      <c r="Z8645" s="372">
        <v>0.0</v>
      </c>
    </row>
    <row r="8646">
      <c r="Y8646" s="372">
        <v>0.0</v>
      </c>
      <c r="Z8646" s="372">
        <v>0.0</v>
      </c>
    </row>
    <row r="8647">
      <c r="Y8647" s="372">
        <v>0.0</v>
      </c>
      <c r="Z8647" s="372">
        <v>0.0</v>
      </c>
    </row>
    <row r="8648">
      <c r="Y8648" s="372">
        <v>0.0</v>
      </c>
      <c r="Z8648" s="372">
        <v>0.0</v>
      </c>
    </row>
    <row r="8649">
      <c r="Y8649" s="372">
        <v>0.0</v>
      </c>
      <c r="Z8649" s="372">
        <v>0.0</v>
      </c>
    </row>
    <row r="8650">
      <c r="Y8650" s="372">
        <v>0.0</v>
      </c>
      <c r="Z8650" s="372">
        <v>0.0</v>
      </c>
    </row>
    <row r="8651">
      <c r="Y8651" s="372">
        <v>0.0</v>
      </c>
      <c r="Z8651" s="372">
        <v>0.0</v>
      </c>
    </row>
    <row r="8652">
      <c r="Y8652" s="372">
        <v>0.0</v>
      </c>
      <c r="Z8652" s="372">
        <v>0.0</v>
      </c>
    </row>
    <row r="8653">
      <c r="Y8653" s="372">
        <v>0.0</v>
      </c>
      <c r="Z8653" s="372">
        <v>0.0</v>
      </c>
    </row>
    <row r="8654">
      <c r="Y8654" s="372">
        <v>0.0</v>
      </c>
      <c r="Z8654" s="372">
        <v>0.0</v>
      </c>
    </row>
    <row r="8655">
      <c r="Y8655" s="372">
        <v>0.0</v>
      </c>
      <c r="Z8655" s="372">
        <v>0.0</v>
      </c>
    </row>
    <row r="8656">
      <c r="Y8656" s="372">
        <v>0.0</v>
      </c>
      <c r="Z8656" s="372">
        <v>0.0</v>
      </c>
    </row>
    <row r="8657">
      <c r="Y8657" s="372">
        <v>0.0</v>
      </c>
      <c r="Z8657" s="372">
        <v>0.0</v>
      </c>
    </row>
    <row r="8658">
      <c r="Y8658" s="372">
        <v>0.0</v>
      </c>
      <c r="Z8658" s="372">
        <v>0.0</v>
      </c>
    </row>
    <row r="8659">
      <c r="Y8659" s="372">
        <v>0.0</v>
      </c>
      <c r="Z8659" s="372">
        <v>0.0</v>
      </c>
    </row>
    <row r="8660">
      <c r="Y8660" s="372">
        <v>0.0</v>
      </c>
      <c r="Z8660" s="372">
        <v>0.0</v>
      </c>
    </row>
    <row r="8661">
      <c r="Y8661" s="372">
        <v>0.0</v>
      </c>
      <c r="Z8661" s="372">
        <v>0.0</v>
      </c>
    </row>
    <row r="8662">
      <c r="Y8662" s="372">
        <v>0.0</v>
      </c>
      <c r="Z8662" s="372">
        <v>0.0</v>
      </c>
    </row>
    <row r="8663">
      <c r="Y8663" s="372">
        <v>0.0</v>
      </c>
      <c r="Z8663" s="372">
        <v>0.0</v>
      </c>
    </row>
    <row r="8664">
      <c r="Y8664" s="372">
        <v>0.0</v>
      </c>
      <c r="Z8664" s="372">
        <v>0.0</v>
      </c>
    </row>
    <row r="8665">
      <c r="Y8665" s="372">
        <v>0.0</v>
      </c>
      <c r="Z8665" s="372">
        <v>0.0</v>
      </c>
    </row>
    <row r="8666">
      <c r="Y8666" s="372">
        <v>0.0</v>
      </c>
      <c r="Z8666" s="372">
        <v>0.0</v>
      </c>
    </row>
    <row r="8667">
      <c r="Y8667" s="372">
        <v>0.0</v>
      </c>
      <c r="Z8667" s="372">
        <v>0.0</v>
      </c>
    </row>
    <row r="8668">
      <c r="Y8668" s="372">
        <v>0.0</v>
      </c>
      <c r="Z8668" s="372">
        <v>0.0</v>
      </c>
    </row>
    <row r="8669">
      <c r="Y8669" s="372">
        <v>0.0</v>
      </c>
      <c r="Z8669" s="372">
        <v>0.0</v>
      </c>
    </row>
    <row r="8670">
      <c r="Y8670" s="372">
        <v>0.0</v>
      </c>
      <c r="Z8670" s="372">
        <v>0.0</v>
      </c>
    </row>
    <row r="8671">
      <c r="Y8671" s="372">
        <v>0.0</v>
      </c>
      <c r="Z8671" s="372">
        <v>0.0</v>
      </c>
    </row>
    <row r="8672">
      <c r="Y8672" s="372">
        <v>0.0</v>
      </c>
      <c r="Z8672" s="372">
        <v>0.0</v>
      </c>
    </row>
    <row r="8673">
      <c r="Y8673" s="372">
        <v>0.0</v>
      </c>
      <c r="Z8673" s="372">
        <v>0.0</v>
      </c>
    </row>
    <row r="8674">
      <c r="Y8674" s="372">
        <v>0.0</v>
      </c>
      <c r="Z8674" s="372">
        <v>0.0</v>
      </c>
    </row>
    <row r="8675">
      <c r="Y8675" s="372">
        <v>0.0</v>
      </c>
      <c r="Z8675" s="372">
        <v>0.0</v>
      </c>
    </row>
    <row r="8676">
      <c r="Y8676" s="372">
        <v>0.0</v>
      </c>
      <c r="Z8676" s="372">
        <v>0.0</v>
      </c>
    </row>
    <row r="8677">
      <c r="Y8677" s="372">
        <v>0.0</v>
      </c>
      <c r="Z8677" s="372">
        <v>0.0</v>
      </c>
    </row>
    <row r="8678">
      <c r="Y8678" s="372">
        <v>0.0</v>
      </c>
      <c r="Z8678" s="372">
        <v>0.0</v>
      </c>
    </row>
    <row r="8679">
      <c r="Y8679" s="372">
        <v>0.0</v>
      </c>
      <c r="Z8679" s="372">
        <v>0.0</v>
      </c>
    </row>
    <row r="8680">
      <c r="Y8680" s="372">
        <v>0.0</v>
      </c>
      <c r="Z8680" s="372">
        <v>0.0</v>
      </c>
    </row>
    <row r="8681">
      <c r="Y8681" s="372">
        <v>0.0</v>
      </c>
      <c r="Z8681" s="372">
        <v>0.0</v>
      </c>
    </row>
    <row r="8682">
      <c r="Y8682" s="372">
        <v>0.0</v>
      </c>
      <c r="Z8682" s="372">
        <v>0.0</v>
      </c>
    </row>
    <row r="8683">
      <c r="Y8683" s="372">
        <v>0.0</v>
      </c>
      <c r="Z8683" s="372">
        <v>0.0</v>
      </c>
    </row>
    <row r="8684">
      <c r="Y8684" s="372">
        <v>0.0</v>
      </c>
      <c r="Z8684" s="372">
        <v>0.0</v>
      </c>
    </row>
    <row r="8685">
      <c r="Y8685" s="372">
        <v>0.0</v>
      </c>
      <c r="Z8685" s="372">
        <v>0.0</v>
      </c>
    </row>
    <row r="8686">
      <c r="Y8686" s="372">
        <v>0.0</v>
      </c>
      <c r="Z8686" s="372">
        <v>0.0</v>
      </c>
    </row>
    <row r="8687">
      <c r="Y8687" s="372">
        <v>0.0</v>
      </c>
      <c r="Z8687" s="372">
        <v>0.0</v>
      </c>
    </row>
    <row r="8688">
      <c r="Y8688" s="372">
        <v>0.0</v>
      </c>
      <c r="Z8688" s="372">
        <v>0.0</v>
      </c>
    </row>
    <row r="8689">
      <c r="Y8689" s="372">
        <v>0.0</v>
      </c>
      <c r="Z8689" s="372">
        <v>0.0</v>
      </c>
    </row>
    <row r="8690">
      <c r="Y8690" s="372">
        <v>0.0</v>
      </c>
      <c r="Z8690" s="372">
        <v>0.0</v>
      </c>
    </row>
    <row r="8691">
      <c r="Y8691" s="372">
        <v>0.0</v>
      </c>
      <c r="Z8691" s="372">
        <v>0.0</v>
      </c>
    </row>
    <row r="8692">
      <c r="Y8692" s="372">
        <v>0.0</v>
      </c>
      <c r="Z8692" s="372">
        <v>0.0</v>
      </c>
    </row>
    <row r="8693">
      <c r="Y8693" s="372">
        <v>0.0</v>
      </c>
      <c r="Z8693" s="372">
        <v>0.0</v>
      </c>
    </row>
    <row r="8694">
      <c r="Y8694" s="372">
        <v>0.0</v>
      </c>
      <c r="Z8694" s="372">
        <v>0.0</v>
      </c>
    </row>
    <row r="8695">
      <c r="Y8695" s="372">
        <v>0.0</v>
      </c>
      <c r="Z8695" s="372">
        <v>0.0</v>
      </c>
    </row>
    <row r="8696">
      <c r="Y8696" s="372">
        <v>0.0</v>
      </c>
      <c r="Z8696" s="372">
        <v>0.0</v>
      </c>
    </row>
    <row r="8697">
      <c r="Y8697" s="372">
        <v>0.0</v>
      </c>
      <c r="Z8697" s="372">
        <v>0.0</v>
      </c>
    </row>
    <row r="8698">
      <c r="Y8698" s="372">
        <v>0.0</v>
      </c>
      <c r="Z8698" s="372">
        <v>0.0</v>
      </c>
    </row>
    <row r="8699">
      <c r="Y8699" s="372">
        <v>0.0</v>
      </c>
      <c r="Z8699" s="372">
        <v>0.0</v>
      </c>
    </row>
    <row r="8700">
      <c r="Y8700" s="372">
        <v>0.0</v>
      </c>
      <c r="Z8700" s="372">
        <v>0.0</v>
      </c>
    </row>
    <row r="8701">
      <c r="Y8701" s="372">
        <v>0.0</v>
      </c>
      <c r="Z8701" s="372">
        <v>0.0</v>
      </c>
    </row>
    <row r="8702">
      <c r="Y8702" s="372">
        <v>0.0</v>
      </c>
      <c r="Z8702" s="372">
        <v>0.0</v>
      </c>
    </row>
    <row r="8703">
      <c r="Y8703" s="372">
        <v>0.0</v>
      </c>
      <c r="Z8703" s="372">
        <v>0.0</v>
      </c>
    </row>
    <row r="8704">
      <c r="Y8704" s="372">
        <v>0.0</v>
      </c>
      <c r="Z8704" s="372">
        <v>0.0</v>
      </c>
    </row>
    <row r="8705">
      <c r="Y8705" s="372">
        <v>0.0</v>
      </c>
      <c r="Z8705" s="372">
        <v>0.0</v>
      </c>
    </row>
    <row r="8706">
      <c r="Y8706" s="372">
        <v>0.0</v>
      </c>
      <c r="Z8706" s="372">
        <v>0.0</v>
      </c>
    </row>
    <row r="8707">
      <c r="Y8707" s="372">
        <v>0.0</v>
      </c>
      <c r="Z8707" s="372">
        <v>0.0</v>
      </c>
    </row>
    <row r="8708">
      <c r="Y8708" s="372">
        <v>0.0</v>
      </c>
      <c r="Z8708" s="372">
        <v>0.0</v>
      </c>
    </row>
    <row r="8709">
      <c r="Y8709" s="372">
        <v>0.0</v>
      </c>
      <c r="Z8709" s="372">
        <v>0.0</v>
      </c>
    </row>
    <row r="8710">
      <c r="Y8710" s="372">
        <v>0.0</v>
      </c>
      <c r="Z8710" s="372">
        <v>0.0</v>
      </c>
    </row>
    <row r="8711">
      <c r="Y8711" s="372">
        <v>0.0</v>
      </c>
      <c r="Z8711" s="372">
        <v>0.0</v>
      </c>
    </row>
    <row r="8712">
      <c r="Y8712" s="372">
        <v>0.0</v>
      </c>
      <c r="Z8712" s="372">
        <v>0.0</v>
      </c>
    </row>
    <row r="8713">
      <c r="Y8713" s="372">
        <v>0.0</v>
      </c>
      <c r="Z8713" s="372">
        <v>0.0</v>
      </c>
    </row>
    <row r="8714">
      <c r="Y8714" s="372">
        <v>0.0</v>
      </c>
      <c r="Z8714" s="372">
        <v>0.0</v>
      </c>
    </row>
    <row r="8715">
      <c r="Y8715" s="372">
        <v>0.0</v>
      </c>
      <c r="Z8715" s="372">
        <v>0.0</v>
      </c>
    </row>
    <row r="8716">
      <c r="Y8716" s="372">
        <v>0.0</v>
      </c>
      <c r="Z8716" s="372">
        <v>0.0</v>
      </c>
    </row>
    <row r="8717">
      <c r="Y8717" s="372">
        <v>0.0</v>
      </c>
      <c r="Z8717" s="372">
        <v>0.0</v>
      </c>
    </row>
    <row r="8718">
      <c r="Y8718" s="372">
        <v>0.0</v>
      </c>
      <c r="Z8718" s="372">
        <v>0.0</v>
      </c>
    </row>
    <row r="8719">
      <c r="Y8719" s="372">
        <v>0.0</v>
      </c>
      <c r="Z8719" s="372">
        <v>0.0</v>
      </c>
    </row>
    <row r="8720">
      <c r="Y8720" s="372">
        <v>0.0</v>
      </c>
      <c r="Z8720" s="372">
        <v>0.0</v>
      </c>
    </row>
    <row r="8721">
      <c r="Y8721" s="372">
        <v>0.0</v>
      </c>
      <c r="Z8721" s="372">
        <v>0.0</v>
      </c>
    </row>
    <row r="8722">
      <c r="Y8722" s="372">
        <v>0.0</v>
      </c>
      <c r="Z8722" s="372">
        <v>0.0</v>
      </c>
    </row>
    <row r="8723">
      <c r="Y8723" s="372">
        <v>0.0</v>
      </c>
      <c r="Z8723" s="372">
        <v>0.0</v>
      </c>
    </row>
    <row r="8724">
      <c r="Y8724" s="372">
        <v>0.0</v>
      </c>
      <c r="Z8724" s="372">
        <v>0.0</v>
      </c>
    </row>
    <row r="8725">
      <c r="Y8725" s="372">
        <v>0.0</v>
      </c>
      <c r="Z8725" s="372">
        <v>0.0</v>
      </c>
    </row>
    <row r="8726">
      <c r="Y8726" s="372">
        <v>0.0</v>
      </c>
      <c r="Z8726" s="372">
        <v>0.0</v>
      </c>
    </row>
    <row r="8727">
      <c r="Y8727" s="372">
        <v>0.0</v>
      </c>
      <c r="Z8727" s="372">
        <v>0.0</v>
      </c>
    </row>
    <row r="8728">
      <c r="Y8728" s="372">
        <v>0.0</v>
      </c>
      <c r="Z8728" s="372">
        <v>0.0</v>
      </c>
    </row>
    <row r="8729">
      <c r="Y8729" s="372">
        <v>0.0</v>
      </c>
      <c r="Z8729" s="372">
        <v>0.0</v>
      </c>
    </row>
    <row r="8730">
      <c r="Y8730" s="372">
        <v>0.0</v>
      </c>
      <c r="Z8730" s="372">
        <v>0.0</v>
      </c>
    </row>
    <row r="8731">
      <c r="Y8731" s="372">
        <v>0.0</v>
      </c>
      <c r="Z8731" s="372">
        <v>0.0</v>
      </c>
    </row>
    <row r="8732">
      <c r="Y8732" s="372">
        <v>0.0</v>
      </c>
      <c r="Z8732" s="372">
        <v>0.0</v>
      </c>
    </row>
    <row r="8733">
      <c r="Y8733" s="372">
        <v>0.0</v>
      </c>
      <c r="Z8733" s="372">
        <v>0.0</v>
      </c>
    </row>
    <row r="8734">
      <c r="Y8734" s="372">
        <v>0.0</v>
      </c>
      <c r="Z8734" s="372">
        <v>0.0</v>
      </c>
    </row>
    <row r="8735">
      <c r="Y8735" s="372">
        <v>0.0</v>
      </c>
      <c r="Z8735" s="372">
        <v>0.0</v>
      </c>
    </row>
    <row r="8736">
      <c r="Y8736" s="372">
        <v>0.0</v>
      </c>
      <c r="Z8736" s="372">
        <v>0.0</v>
      </c>
    </row>
    <row r="8737">
      <c r="Y8737" s="372">
        <v>0.0</v>
      </c>
      <c r="Z8737" s="372">
        <v>0.0</v>
      </c>
    </row>
    <row r="8738">
      <c r="Y8738" s="372">
        <v>0.0</v>
      </c>
      <c r="Z8738" s="372">
        <v>0.0</v>
      </c>
    </row>
    <row r="8739">
      <c r="Y8739" s="372">
        <v>0.0</v>
      </c>
      <c r="Z8739" s="372">
        <v>0.0</v>
      </c>
    </row>
    <row r="8740">
      <c r="Y8740" s="372">
        <v>0.0</v>
      </c>
      <c r="Z8740" s="372">
        <v>0.0</v>
      </c>
    </row>
    <row r="8741">
      <c r="Y8741" s="372">
        <v>0.0</v>
      </c>
      <c r="Z8741" s="372">
        <v>0.0</v>
      </c>
    </row>
    <row r="8742">
      <c r="Y8742" s="372">
        <v>0.0</v>
      </c>
      <c r="Z8742" s="372">
        <v>0.0</v>
      </c>
    </row>
    <row r="8743">
      <c r="Y8743" s="372">
        <v>0.0</v>
      </c>
      <c r="Z8743" s="372">
        <v>0.0</v>
      </c>
    </row>
    <row r="8744">
      <c r="Y8744" s="372">
        <v>0.0</v>
      </c>
      <c r="Z8744" s="372">
        <v>0.0</v>
      </c>
    </row>
    <row r="8745">
      <c r="Y8745" s="372">
        <v>0.0</v>
      </c>
      <c r="Z8745" s="372">
        <v>0.0</v>
      </c>
    </row>
    <row r="8746">
      <c r="Y8746" s="372">
        <v>0.0</v>
      </c>
      <c r="Z8746" s="372">
        <v>0.0</v>
      </c>
    </row>
    <row r="8747">
      <c r="Y8747" s="372">
        <v>0.0</v>
      </c>
      <c r="Z8747" s="372">
        <v>0.0</v>
      </c>
    </row>
    <row r="8748">
      <c r="Y8748" s="372">
        <v>0.0</v>
      </c>
      <c r="Z8748" s="372">
        <v>0.0</v>
      </c>
    </row>
    <row r="8749">
      <c r="Y8749" s="372">
        <v>0.0</v>
      </c>
      <c r="Z8749" s="372">
        <v>0.0</v>
      </c>
    </row>
    <row r="8750">
      <c r="Y8750" s="372">
        <v>0.0</v>
      </c>
      <c r="Z8750" s="372">
        <v>0.0</v>
      </c>
    </row>
    <row r="8751">
      <c r="Y8751" s="372">
        <v>0.0</v>
      </c>
      <c r="Z8751" s="372">
        <v>0.0</v>
      </c>
    </row>
    <row r="8752">
      <c r="Y8752" s="372">
        <v>0.0</v>
      </c>
      <c r="Z8752" s="372">
        <v>0.0</v>
      </c>
    </row>
    <row r="8753">
      <c r="Y8753" s="372">
        <v>0.0</v>
      </c>
      <c r="Z8753" s="372">
        <v>0.0</v>
      </c>
    </row>
    <row r="8754">
      <c r="Y8754" s="372">
        <v>0.0</v>
      </c>
      <c r="Z8754" s="372">
        <v>0.0</v>
      </c>
    </row>
    <row r="8755">
      <c r="Y8755" s="372">
        <v>0.0</v>
      </c>
      <c r="Z8755" s="372">
        <v>0.0</v>
      </c>
    </row>
    <row r="8756">
      <c r="Y8756" s="372">
        <v>0.0</v>
      </c>
      <c r="Z8756" s="372">
        <v>0.0</v>
      </c>
    </row>
    <row r="8757">
      <c r="Y8757" s="372">
        <v>0.0</v>
      </c>
      <c r="Z8757" s="372">
        <v>0.0</v>
      </c>
    </row>
    <row r="8758">
      <c r="Y8758" s="372">
        <v>0.0</v>
      </c>
      <c r="Z8758" s="372">
        <v>0.0</v>
      </c>
    </row>
    <row r="8759">
      <c r="Y8759" s="372">
        <v>0.0</v>
      </c>
      <c r="Z8759" s="372">
        <v>0.0</v>
      </c>
    </row>
    <row r="8760">
      <c r="Y8760" s="372">
        <v>0.0</v>
      </c>
      <c r="Z8760" s="372">
        <v>0.0</v>
      </c>
    </row>
    <row r="8761">
      <c r="Y8761" s="372">
        <v>0.0</v>
      </c>
      <c r="Z8761" s="372">
        <v>0.0</v>
      </c>
    </row>
    <row r="8762">
      <c r="Y8762" s="372">
        <v>0.0</v>
      </c>
      <c r="Z8762" s="372">
        <v>0.0</v>
      </c>
    </row>
    <row r="8763">
      <c r="Y8763" s="372">
        <v>0.0</v>
      </c>
      <c r="Z8763" s="372">
        <v>0.0</v>
      </c>
    </row>
    <row r="8764">
      <c r="Y8764" s="372">
        <v>0.0</v>
      </c>
      <c r="Z8764" s="372">
        <v>0.0</v>
      </c>
    </row>
    <row r="8765">
      <c r="Y8765" s="372">
        <v>0.0</v>
      </c>
      <c r="Z8765" s="372">
        <v>0.0</v>
      </c>
    </row>
    <row r="8766">
      <c r="Y8766" s="372">
        <v>0.0</v>
      </c>
      <c r="Z8766" s="372">
        <v>0.0</v>
      </c>
    </row>
    <row r="8767">
      <c r="Y8767" s="372">
        <v>0.0</v>
      </c>
      <c r="Z8767" s="372">
        <v>0.0</v>
      </c>
    </row>
    <row r="8768">
      <c r="Y8768" s="372">
        <v>0.0</v>
      </c>
      <c r="Z8768" s="372">
        <v>0.0</v>
      </c>
    </row>
    <row r="8769">
      <c r="Y8769" s="372">
        <v>0.0</v>
      </c>
      <c r="Z8769" s="372">
        <v>0.0</v>
      </c>
    </row>
    <row r="8770">
      <c r="Y8770" s="372">
        <v>0.0</v>
      </c>
      <c r="Z8770" s="372">
        <v>0.0</v>
      </c>
    </row>
    <row r="8771">
      <c r="Y8771" s="372">
        <v>0.0</v>
      </c>
      <c r="Z8771" s="372">
        <v>0.0</v>
      </c>
    </row>
    <row r="8772">
      <c r="Y8772" s="372">
        <v>0.0</v>
      </c>
      <c r="Z8772" s="372">
        <v>0.0</v>
      </c>
    </row>
    <row r="8773">
      <c r="Y8773" s="372">
        <v>0.0</v>
      </c>
      <c r="Z8773" s="372">
        <v>0.0</v>
      </c>
    </row>
    <row r="8774">
      <c r="Y8774" s="372">
        <v>0.0</v>
      </c>
      <c r="Z8774" s="372">
        <v>0.0</v>
      </c>
    </row>
    <row r="8775">
      <c r="Y8775" s="372">
        <v>0.0</v>
      </c>
      <c r="Z8775" s="372">
        <v>0.0</v>
      </c>
    </row>
    <row r="8776">
      <c r="Y8776" s="372">
        <v>0.0</v>
      </c>
      <c r="Z8776" s="372">
        <v>0.0</v>
      </c>
    </row>
    <row r="8777">
      <c r="Y8777" s="372">
        <v>0.0</v>
      </c>
      <c r="Z8777" s="372">
        <v>0.0</v>
      </c>
    </row>
    <row r="8778">
      <c r="Y8778" s="372">
        <v>0.0</v>
      </c>
      <c r="Z8778" s="372">
        <v>0.0</v>
      </c>
    </row>
    <row r="8779">
      <c r="Y8779" s="372">
        <v>0.0</v>
      </c>
      <c r="Z8779" s="372">
        <v>0.0</v>
      </c>
    </row>
    <row r="8780">
      <c r="Y8780" s="372">
        <v>0.0</v>
      </c>
      <c r="Z8780" s="372">
        <v>0.0</v>
      </c>
    </row>
    <row r="8781">
      <c r="Y8781" s="372">
        <v>0.0</v>
      </c>
      <c r="Z8781" s="372">
        <v>0.0</v>
      </c>
    </row>
    <row r="8782">
      <c r="Y8782" s="372">
        <v>0.0</v>
      </c>
      <c r="Z8782" s="372">
        <v>0.0</v>
      </c>
    </row>
    <row r="8783">
      <c r="Y8783" s="372">
        <v>0.0</v>
      </c>
      <c r="Z8783" s="372">
        <v>0.0</v>
      </c>
    </row>
    <row r="8784">
      <c r="Y8784" s="372">
        <v>0.0</v>
      </c>
      <c r="Z8784" s="372">
        <v>0.0</v>
      </c>
    </row>
    <row r="8785">
      <c r="Y8785" s="372">
        <v>0.0</v>
      </c>
      <c r="Z8785" s="372">
        <v>0.0</v>
      </c>
    </row>
    <row r="8786">
      <c r="Y8786" s="372">
        <v>0.0</v>
      </c>
      <c r="Z8786" s="372">
        <v>0.0</v>
      </c>
    </row>
    <row r="8787">
      <c r="Y8787" s="372">
        <v>0.0</v>
      </c>
      <c r="Z8787" s="372">
        <v>0.0</v>
      </c>
    </row>
    <row r="8788">
      <c r="Y8788" s="372">
        <v>0.0</v>
      </c>
      <c r="Z8788" s="372">
        <v>0.0</v>
      </c>
    </row>
    <row r="8789">
      <c r="Y8789" s="372">
        <v>0.0</v>
      </c>
      <c r="Z8789" s="372">
        <v>0.0</v>
      </c>
    </row>
    <row r="8790">
      <c r="Y8790" s="372">
        <v>0.0</v>
      </c>
      <c r="Z8790" s="372">
        <v>0.0</v>
      </c>
    </row>
    <row r="8791">
      <c r="Y8791" s="372">
        <v>0.0</v>
      </c>
      <c r="Z8791" s="372">
        <v>0.0</v>
      </c>
    </row>
    <row r="8792">
      <c r="Y8792" s="372">
        <v>0.0</v>
      </c>
      <c r="Z8792" s="372">
        <v>0.0</v>
      </c>
    </row>
    <row r="8793">
      <c r="Y8793" s="372">
        <v>0.0</v>
      </c>
      <c r="Z8793" s="372">
        <v>0.0</v>
      </c>
    </row>
    <row r="8794">
      <c r="Y8794" s="372">
        <v>0.0</v>
      </c>
      <c r="Z8794" s="372">
        <v>0.0</v>
      </c>
    </row>
    <row r="8795">
      <c r="Y8795" s="372">
        <v>0.0</v>
      </c>
      <c r="Z8795" s="372">
        <v>0.0</v>
      </c>
    </row>
    <row r="8796">
      <c r="Y8796" s="372">
        <v>0.0</v>
      </c>
      <c r="Z8796" s="372">
        <v>0.0</v>
      </c>
    </row>
    <row r="8797">
      <c r="Y8797" s="372">
        <v>0.0</v>
      </c>
      <c r="Z8797" s="372">
        <v>0.0</v>
      </c>
    </row>
    <row r="8798">
      <c r="Y8798" s="372">
        <v>0.0</v>
      </c>
      <c r="Z8798" s="372">
        <v>0.0</v>
      </c>
    </row>
    <row r="8799">
      <c r="Y8799" s="372">
        <v>0.0</v>
      </c>
      <c r="Z8799" s="372">
        <v>0.0</v>
      </c>
    </row>
    <row r="8800">
      <c r="Y8800" s="372">
        <v>0.0</v>
      </c>
      <c r="Z8800" s="372">
        <v>0.0</v>
      </c>
    </row>
    <row r="8801">
      <c r="Y8801" s="372">
        <v>0.0</v>
      </c>
      <c r="Z8801" s="372">
        <v>0.0</v>
      </c>
    </row>
    <row r="8802">
      <c r="Y8802" s="372">
        <v>0.0</v>
      </c>
      <c r="Z8802" s="372">
        <v>0.0</v>
      </c>
    </row>
    <row r="8803">
      <c r="Y8803" s="372">
        <v>0.0</v>
      </c>
      <c r="Z8803" s="372">
        <v>0.0</v>
      </c>
    </row>
    <row r="8804">
      <c r="Y8804" s="372">
        <v>0.0</v>
      </c>
      <c r="Z8804" s="372">
        <v>0.0</v>
      </c>
    </row>
    <row r="8805">
      <c r="Y8805" s="372">
        <v>0.0</v>
      </c>
      <c r="Z8805" s="372">
        <v>0.0</v>
      </c>
    </row>
    <row r="8806">
      <c r="Y8806" s="372">
        <v>0.0</v>
      </c>
      <c r="Z8806" s="372">
        <v>0.0</v>
      </c>
    </row>
    <row r="8807">
      <c r="Y8807" s="372">
        <v>0.0</v>
      </c>
      <c r="Z8807" s="372">
        <v>0.0</v>
      </c>
    </row>
    <row r="8808">
      <c r="Y8808" s="372">
        <v>0.0</v>
      </c>
      <c r="Z8808" s="372">
        <v>0.0</v>
      </c>
    </row>
    <row r="8809">
      <c r="Y8809" s="372">
        <v>0.0</v>
      </c>
      <c r="Z8809" s="372">
        <v>0.0</v>
      </c>
    </row>
    <row r="8810">
      <c r="Y8810" s="372">
        <v>0.0</v>
      </c>
      <c r="Z8810" s="372">
        <v>0.0</v>
      </c>
    </row>
    <row r="8811">
      <c r="Y8811" s="372">
        <v>0.0</v>
      </c>
      <c r="Z8811" s="372">
        <v>0.0</v>
      </c>
    </row>
    <row r="8812">
      <c r="Y8812" s="372">
        <v>0.0</v>
      </c>
      <c r="Z8812" s="372">
        <v>0.0</v>
      </c>
    </row>
    <row r="8813">
      <c r="Y8813" s="372">
        <v>0.0</v>
      </c>
      <c r="Z8813" s="372">
        <v>0.0</v>
      </c>
    </row>
    <row r="8814">
      <c r="Y8814" s="372">
        <v>0.0</v>
      </c>
      <c r="Z8814" s="372">
        <v>0.0</v>
      </c>
    </row>
    <row r="8815">
      <c r="Y8815" s="372">
        <v>0.0</v>
      </c>
      <c r="Z8815" s="372">
        <v>0.0</v>
      </c>
    </row>
    <row r="8816">
      <c r="Y8816" s="372">
        <v>0.0</v>
      </c>
      <c r="Z8816" s="372">
        <v>0.0</v>
      </c>
    </row>
    <row r="8817">
      <c r="Y8817" s="372">
        <v>0.0</v>
      </c>
      <c r="Z8817" s="372">
        <v>0.0</v>
      </c>
    </row>
    <row r="8818">
      <c r="Y8818" s="372">
        <v>0.0</v>
      </c>
      <c r="Z8818" s="372">
        <v>0.0</v>
      </c>
    </row>
    <row r="8819">
      <c r="Y8819" s="372">
        <v>0.0</v>
      </c>
      <c r="Z8819" s="372">
        <v>0.0</v>
      </c>
    </row>
    <row r="8820">
      <c r="Y8820" s="372">
        <v>0.0</v>
      </c>
      <c r="Z8820" s="372">
        <v>0.0</v>
      </c>
    </row>
    <row r="8821">
      <c r="Y8821" s="372">
        <v>0.0</v>
      </c>
      <c r="Z8821" s="372">
        <v>0.0</v>
      </c>
    </row>
    <row r="8822">
      <c r="Y8822" s="372">
        <v>0.0</v>
      </c>
      <c r="Z8822" s="372">
        <v>0.0</v>
      </c>
    </row>
    <row r="8823">
      <c r="Y8823" s="372">
        <v>0.0</v>
      </c>
      <c r="Z8823" s="372">
        <v>0.0</v>
      </c>
    </row>
    <row r="8824">
      <c r="Y8824" s="372">
        <v>0.0</v>
      </c>
      <c r="Z8824" s="372">
        <v>0.0</v>
      </c>
    </row>
    <row r="8825">
      <c r="Y8825" s="372">
        <v>0.0</v>
      </c>
      <c r="Z8825" s="372">
        <v>0.0</v>
      </c>
    </row>
    <row r="8826">
      <c r="Y8826" s="372">
        <v>0.0</v>
      </c>
      <c r="Z8826" s="372">
        <v>0.0</v>
      </c>
    </row>
    <row r="8827">
      <c r="Y8827" s="372">
        <v>0.0</v>
      </c>
      <c r="Z8827" s="372">
        <v>0.0</v>
      </c>
    </row>
    <row r="8828">
      <c r="Y8828" s="372">
        <v>0.0</v>
      </c>
      <c r="Z8828" s="372">
        <v>0.0</v>
      </c>
    </row>
    <row r="8829">
      <c r="Y8829" s="372">
        <v>0.0</v>
      </c>
      <c r="Z8829" s="372">
        <v>0.0</v>
      </c>
    </row>
    <row r="8830">
      <c r="Y8830" s="372">
        <v>0.0</v>
      </c>
      <c r="Z8830" s="372">
        <v>0.0</v>
      </c>
    </row>
    <row r="8831">
      <c r="Y8831" s="372">
        <v>0.0</v>
      </c>
      <c r="Z8831" s="372">
        <v>0.0</v>
      </c>
    </row>
    <row r="8832">
      <c r="Y8832" s="372">
        <v>0.0</v>
      </c>
      <c r="Z8832" s="372">
        <v>0.0</v>
      </c>
    </row>
    <row r="8833">
      <c r="Y8833" s="372">
        <v>0.0</v>
      </c>
      <c r="Z8833" s="372">
        <v>0.0</v>
      </c>
    </row>
    <row r="8834">
      <c r="Y8834" s="372">
        <v>0.0</v>
      </c>
      <c r="Z8834" s="372">
        <v>0.0</v>
      </c>
    </row>
    <row r="8835">
      <c r="Y8835" s="372">
        <v>0.0</v>
      </c>
      <c r="Z8835" s="372">
        <v>0.0</v>
      </c>
    </row>
    <row r="8836">
      <c r="Y8836" s="372">
        <v>0.0</v>
      </c>
      <c r="Z8836" s="372">
        <v>0.0</v>
      </c>
    </row>
    <row r="8837">
      <c r="Y8837" s="372">
        <v>0.0</v>
      </c>
      <c r="Z8837" s="372">
        <v>0.0</v>
      </c>
    </row>
    <row r="8838">
      <c r="Y8838" s="372">
        <v>0.0</v>
      </c>
      <c r="Z8838" s="372">
        <v>0.0</v>
      </c>
    </row>
    <row r="8839">
      <c r="Y8839" s="372">
        <v>0.0</v>
      </c>
      <c r="Z8839" s="372">
        <v>0.0</v>
      </c>
    </row>
    <row r="8840">
      <c r="Y8840" s="372">
        <v>0.0</v>
      </c>
      <c r="Z8840" s="372">
        <v>0.0</v>
      </c>
    </row>
    <row r="8841">
      <c r="Y8841" s="372">
        <v>0.0</v>
      </c>
      <c r="Z8841" s="372">
        <v>0.0</v>
      </c>
    </row>
    <row r="8842">
      <c r="Y8842" s="372">
        <v>0.0</v>
      </c>
      <c r="Z8842" s="372">
        <v>0.0</v>
      </c>
    </row>
    <row r="8843">
      <c r="Y8843" s="372">
        <v>0.0</v>
      </c>
      <c r="Z8843" s="372">
        <v>0.0</v>
      </c>
    </row>
    <row r="8844">
      <c r="Y8844" s="372">
        <v>0.0</v>
      </c>
      <c r="Z8844" s="372">
        <v>0.0</v>
      </c>
    </row>
    <row r="8845">
      <c r="Y8845" s="372">
        <v>0.0</v>
      </c>
      <c r="Z8845" s="372">
        <v>0.0</v>
      </c>
    </row>
    <row r="8846">
      <c r="Y8846" s="372">
        <v>0.0</v>
      </c>
      <c r="Z8846" s="372">
        <v>0.0</v>
      </c>
    </row>
    <row r="8847">
      <c r="Y8847" s="372">
        <v>0.0</v>
      </c>
      <c r="Z8847" s="372">
        <v>0.0</v>
      </c>
    </row>
    <row r="8848">
      <c r="Y8848" s="372">
        <v>0.0</v>
      </c>
      <c r="Z8848" s="372">
        <v>0.0</v>
      </c>
    </row>
    <row r="8849">
      <c r="Y8849" s="372">
        <v>0.0</v>
      </c>
      <c r="Z8849" s="372">
        <v>0.0</v>
      </c>
    </row>
    <row r="8850">
      <c r="Y8850" s="372">
        <v>0.0</v>
      </c>
      <c r="Z8850" s="372">
        <v>0.0</v>
      </c>
    </row>
    <row r="8851">
      <c r="Y8851" s="372">
        <v>0.0</v>
      </c>
      <c r="Z8851" s="372">
        <v>0.0</v>
      </c>
    </row>
    <row r="8852">
      <c r="Y8852" s="372">
        <v>0.0</v>
      </c>
      <c r="Z8852" s="372">
        <v>0.0</v>
      </c>
    </row>
    <row r="8853">
      <c r="Y8853" s="372">
        <v>0.0</v>
      </c>
      <c r="Z8853" s="372">
        <v>0.0</v>
      </c>
    </row>
    <row r="8854">
      <c r="Y8854" s="372">
        <v>0.0</v>
      </c>
      <c r="Z8854" s="372">
        <v>0.0</v>
      </c>
    </row>
    <row r="8855">
      <c r="Y8855" s="372">
        <v>0.0</v>
      </c>
      <c r="Z8855" s="372">
        <v>0.0</v>
      </c>
    </row>
    <row r="8856">
      <c r="Y8856" s="372">
        <v>0.0</v>
      </c>
      <c r="Z8856" s="372">
        <v>0.0</v>
      </c>
    </row>
    <row r="8857">
      <c r="Y8857" s="372">
        <v>0.0</v>
      </c>
      <c r="Z8857" s="372">
        <v>0.0</v>
      </c>
    </row>
    <row r="8858">
      <c r="Y8858" s="372">
        <v>0.0</v>
      </c>
      <c r="Z8858" s="372">
        <v>0.0</v>
      </c>
    </row>
    <row r="8859">
      <c r="Y8859" s="372">
        <v>0.0</v>
      </c>
      <c r="Z8859" s="372">
        <v>0.0</v>
      </c>
    </row>
    <row r="8860">
      <c r="Y8860" s="372">
        <v>0.0</v>
      </c>
      <c r="Z8860" s="372">
        <v>0.0</v>
      </c>
    </row>
    <row r="8861">
      <c r="Y8861" s="372">
        <v>0.0</v>
      </c>
      <c r="Z8861" s="372">
        <v>0.0</v>
      </c>
    </row>
    <row r="8862">
      <c r="Y8862" s="372">
        <v>0.0</v>
      </c>
      <c r="Z8862" s="372">
        <v>0.0</v>
      </c>
    </row>
    <row r="8863">
      <c r="Y8863" s="372">
        <v>0.0</v>
      </c>
      <c r="Z8863" s="372">
        <v>0.0</v>
      </c>
    </row>
    <row r="8864">
      <c r="Y8864" s="372">
        <v>0.0</v>
      </c>
      <c r="Z8864" s="372">
        <v>0.0</v>
      </c>
    </row>
    <row r="8865">
      <c r="Y8865" s="372">
        <v>0.0</v>
      </c>
      <c r="Z8865" s="372">
        <v>0.0</v>
      </c>
    </row>
    <row r="8866">
      <c r="Y8866" s="372">
        <v>0.0</v>
      </c>
      <c r="Z8866" s="372">
        <v>0.0</v>
      </c>
    </row>
    <row r="8867">
      <c r="Y8867" s="372">
        <v>0.0</v>
      </c>
      <c r="Z8867" s="372">
        <v>0.0</v>
      </c>
    </row>
    <row r="8868">
      <c r="Y8868" s="372">
        <v>0.0</v>
      </c>
      <c r="Z8868" s="372">
        <v>0.0</v>
      </c>
    </row>
    <row r="8869">
      <c r="Y8869" s="372">
        <v>0.0</v>
      </c>
      <c r="Z8869" s="372">
        <v>0.0</v>
      </c>
    </row>
    <row r="8870">
      <c r="Y8870" s="372">
        <v>0.0</v>
      </c>
      <c r="Z8870" s="372">
        <v>0.0</v>
      </c>
    </row>
    <row r="8871">
      <c r="Y8871" s="372">
        <v>0.0</v>
      </c>
      <c r="Z8871" s="372">
        <v>0.0</v>
      </c>
    </row>
    <row r="8872">
      <c r="Y8872" s="372">
        <v>0.0</v>
      </c>
      <c r="Z8872" s="372">
        <v>0.0</v>
      </c>
    </row>
    <row r="8873">
      <c r="Y8873" s="372">
        <v>0.0</v>
      </c>
      <c r="Z8873" s="372">
        <v>0.0</v>
      </c>
    </row>
    <row r="8874">
      <c r="Y8874" s="372">
        <v>0.0</v>
      </c>
      <c r="Z8874" s="372">
        <v>0.0</v>
      </c>
    </row>
    <row r="8875">
      <c r="Y8875" s="372">
        <v>0.0</v>
      </c>
      <c r="Z8875" s="372">
        <v>0.0</v>
      </c>
    </row>
    <row r="8876">
      <c r="Y8876" s="372">
        <v>0.0</v>
      </c>
      <c r="Z8876" s="372">
        <v>0.0</v>
      </c>
    </row>
    <row r="8877">
      <c r="Y8877" s="372">
        <v>0.0</v>
      </c>
      <c r="Z8877" s="372">
        <v>0.0</v>
      </c>
    </row>
    <row r="8878">
      <c r="Y8878" s="372">
        <v>0.0</v>
      </c>
      <c r="Z8878" s="372">
        <v>0.0</v>
      </c>
    </row>
    <row r="8879">
      <c r="Y8879" s="372">
        <v>0.0</v>
      </c>
      <c r="Z8879" s="372">
        <v>0.0</v>
      </c>
    </row>
    <row r="8880">
      <c r="Y8880" s="372">
        <v>0.0</v>
      </c>
      <c r="Z8880" s="372">
        <v>0.0</v>
      </c>
    </row>
    <row r="8881">
      <c r="Y8881" s="372">
        <v>0.0</v>
      </c>
      <c r="Z8881" s="372">
        <v>0.0</v>
      </c>
    </row>
    <row r="8882">
      <c r="Y8882" s="372">
        <v>0.0</v>
      </c>
      <c r="Z8882" s="372">
        <v>0.0</v>
      </c>
    </row>
    <row r="8883">
      <c r="Y8883" s="372">
        <v>0.0</v>
      </c>
      <c r="Z8883" s="372">
        <v>0.0</v>
      </c>
    </row>
    <row r="8884">
      <c r="Y8884" s="372">
        <v>0.0</v>
      </c>
      <c r="Z8884" s="372">
        <v>0.0</v>
      </c>
    </row>
    <row r="8885">
      <c r="Y8885" s="372">
        <v>0.0</v>
      </c>
      <c r="Z8885" s="372">
        <v>0.0</v>
      </c>
    </row>
    <row r="8886">
      <c r="Y8886" s="372">
        <v>0.0</v>
      </c>
      <c r="Z8886" s="372">
        <v>0.0</v>
      </c>
    </row>
    <row r="8887">
      <c r="Y8887" s="372">
        <v>0.0</v>
      </c>
      <c r="Z8887" s="372">
        <v>0.0</v>
      </c>
    </row>
    <row r="8888">
      <c r="Y8888" s="372">
        <v>0.0</v>
      </c>
      <c r="Z8888" s="372">
        <v>0.0</v>
      </c>
    </row>
    <row r="8889">
      <c r="Y8889" s="372">
        <v>0.0</v>
      </c>
      <c r="Z8889" s="372">
        <v>0.0</v>
      </c>
    </row>
    <row r="8890">
      <c r="Y8890" s="372">
        <v>0.0</v>
      </c>
      <c r="Z8890" s="372">
        <v>0.0</v>
      </c>
    </row>
    <row r="8891">
      <c r="Y8891" s="372">
        <v>0.0</v>
      </c>
      <c r="Z8891" s="372">
        <v>0.0</v>
      </c>
    </row>
    <row r="8892">
      <c r="Y8892" s="372">
        <v>0.0</v>
      </c>
      <c r="Z8892" s="372">
        <v>0.0</v>
      </c>
    </row>
    <row r="8893">
      <c r="Y8893" s="372">
        <v>0.0</v>
      </c>
      <c r="Z8893" s="372">
        <v>0.0</v>
      </c>
    </row>
    <row r="8894">
      <c r="Y8894" s="372">
        <v>0.0</v>
      </c>
      <c r="Z8894" s="372">
        <v>0.0</v>
      </c>
    </row>
    <row r="8895">
      <c r="Y8895" s="372">
        <v>0.0</v>
      </c>
      <c r="Z8895" s="372">
        <v>0.0</v>
      </c>
    </row>
    <row r="8896">
      <c r="Y8896" s="372">
        <v>0.0</v>
      </c>
      <c r="Z8896" s="372">
        <v>0.0</v>
      </c>
    </row>
    <row r="8897">
      <c r="Y8897" s="372">
        <v>0.0</v>
      </c>
      <c r="Z8897" s="372">
        <v>0.0</v>
      </c>
    </row>
    <row r="8898">
      <c r="Y8898" s="372">
        <v>0.0</v>
      </c>
      <c r="Z8898" s="372">
        <v>0.0</v>
      </c>
    </row>
    <row r="8899">
      <c r="Y8899" s="372">
        <v>0.0</v>
      </c>
      <c r="Z8899" s="372">
        <v>0.0</v>
      </c>
    </row>
    <row r="8900">
      <c r="Y8900" s="372">
        <v>0.0</v>
      </c>
      <c r="Z8900" s="372">
        <v>0.0</v>
      </c>
    </row>
    <row r="8901">
      <c r="Y8901" s="372">
        <v>0.0</v>
      </c>
      <c r="Z8901" s="372">
        <v>0.0</v>
      </c>
    </row>
    <row r="8902">
      <c r="Y8902" s="372">
        <v>0.0</v>
      </c>
      <c r="Z8902" s="372">
        <v>0.0</v>
      </c>
    </row>
    <row r="8903">
      <c r="Y8903" s="372">
        <v>0.0</v>
      </c>
      <c r="Z8903" s="372">
        <v>0.0</v>
      </c>
    </row>
    <row r="8904">
      <c r="Y8904" s="372">
        <v>0.0</v>
      </c>
      <c r="Z8904" s="372">
        <v>0.0</v>
      </c>
    </row>
    <row r="8905">
      <c r="Y8905" s="372">
        <v>0.0</v>
      </c>
      <c r="Z8905" s="372">
        <v>0.0</v>
      </c>
    </row>
    <row r="8906">
      <c r="Y8906" s="372">
        <v>0.0</v>
      </c>
      <c r="Z8906" s="372">
        <v>0.0</v>
      </c>
    </row>
    <row r="8907">
      <c r="Y8907" s="372">
        <v>0.0</v>
      </c>
      <c r="Z8907" s="372">
        <v>0.0</v>
      </c>
    </row>
    <row r="8908">
      <c r="Y8908" s="372">
        <v>0.0</v>
      </c>
      <c r="Z8908" s="372">
        <v>0.0</v>
      </c>
    </row>
    <row r="8909">
      <c r="Y8909" s="372">
        <v>0.0</v>
      </c>
      <c r="Z8909" s="372">
        <v>0.0</v>
      </c>
    </row>
    <row r="8910">
      <c r="Y8910" s="372">
        <v>0.0</v>
      </c>
      <c r="Z8910" s="372">
        <v>0.0</v>
      </c>
    </row>
    <row r="8911">
      <c r="Y8911" s="372">
        <v>0.0</v>
      </c>
      <c r="Z8911" s="372">
        <v>0.0</v>
      </c>
    </row>
    <row r="8912">
      <c r="Y8912" s="372">
        <v>0.0</v>
      </c>
      <c r="Z8912" s="372">
        <v>0.0</v>
      </c>
    </row>
    <row r="8913">
      <c r="Y8913" s="372">
        <v>0.0</v>
      </c>
      <c r="Z8913" s="372">
        <v>0.0</v>
      </c>
    </row>
    <row r="8914">
      <c r="Y8914" s="372">
        <v>0.0</v>
      </c>
      <c r="Z8914" s="372">
        <v>0.0</v>
      </c>
    </row>
    <row r="8915">
      <c r="Y8915" s="372">
        <v>0.0</v>
      </c>
      <c r="Z8915" s="372">
        <v>0.0</v>
      </c>
    </row>
    <row r="8916">
      <c r="Y8916" s="372">
        <v>0.0</v>
      </c>
      <c r="Z8916" s="372">
        <v>0.0</v>
      </c>
    </row>
    <row r="8917">
      <c r="Y8917" s="372">
        <v>0.0</v>
      </c>
      <c r="Z8917" s="372">
        <v>0.0</v>
      </c>
    </row>
    <row r="8918">
      <c r="Y8918" s="372">
        <v>0.0</v>
      </c>
      <c r="Z8918" s="372">
        <v>0.0</v>
      </c>
    </row>
    <row r="8919">
      <c r="Y8919" s="372">
        <v>0.0</v>
      </c>
      <c r="Z8919" s="372">
        <v>0.0</v>
      </c>
    </row>
    <row r="8920">
      <c r="Y8920" s="372">
        <v>0.0</v>
      </c>
      <c r="Z8920" s="372">
        <v>0.0</v>
      </c>
    </row>
    <row r="8921">
      <c r="Y8921" s="372">
        <v>0.0</v>
      </c>
      <c r="Z8921" s="372">
        <v>0.0</v>
      </c>
    </row>
    <row r="8922">
      <c r="Y8922" s="372">
        <v>0.0</v>
      </c>
      <c r="Z8922" s="372">
        <v>0.0</v>
      </c>
    </row>
    <row r="8923">
      <c r="Y8923" s="372">
        <v>0.0</v>
      </c>
      <c r="Z8923" s="372">
        <v>0.0</v>
      </c>
    </row>
    <row r="8924">
      <c r="Y8924" s="372">
        <v>0.0</v>
      </c>
      <c r="Z8924" s="372">
        <v>0.0</v>
      </c>
    </row>
    <row r="8925">
      <c r="Y8925" s="372">
        <v>0.0</v>
      </c>
      <c r="Z8925" s="372">
        <v>0.0</v>
      </c>
    </row>
    <row r="8926">
      <c r="Y8926" s="372">
        <v>0.0</v>
      </c>
      <c r="Z8926" s="372">
        <v>0.0</v>
      </c>
    </row>
    <row r="8927">
      <c r="Y8927" s="372">
        <v>0.0</v>
      </c>
      <c r="Z8927" s="372">
        <v>0.0</v>
      </c>
    </row>
    <row r="8928">
      <c r="Y8928" s="372">
        <v>0.0</v>
      </c>
      <c r="Z8928" s="372">
        <v>0.0</v>
      </c>
    </row>
    <row r="8929">
      <c r="Y8929" s="372">
        <v>0.0</v>
      </c>
      <c r="Z8929" s="372">
        <v>0.0</v>
      </c>
    </row>
    <row r="8930">
      <c r="Y8930" s="372">
        <v>0.0</v>
      </c>
      <c r="Z8930" s="372">
        <v>0.0</v>
      </c>
    </row>
    <row r="8931">
      <c r="Y8931" s="372">
        <v>0.0</v>
      </c>
      <c r="Z8931" s="372">
        <v>0.0</v>
      </c>
    </row>
    <row r="8932">
      <c r="Y8932" s="372">
        <v>0.0</v>
      </c>
      <c r="Z8932" s="372">
        <v>0.0</v>
      </c>
    </row>
    <row r="8933">
      <c r="Y8933" s="372">
        <v>0.0</v>
      </c>
      <c r="Z8933" s="372">
        <v>0.0</v>
      </c>
    </row>
    <row r="8934">
      <c r="Y8934" s="372">
        <v>0.0</v>
      </c>
      <c r="Z8934" s="372">
        <v>0.0</v>
      </c>
    </row>
    <row r="8935">
      <c r="Y8935" s="372">
        <v>0.0</v>
      </c>
      <c r="Z8935" s="372">
        <v>0.0</v>
      </c>
    </row>
    <row r="8936">
      <c r="Y8936" s="372">
        <v>0.0</v>
      </c>
      <c r="Z8936" s="372">
        <v>0.0</v>
      </c>
    </row>
    <row r="8937">
      <c r="Y8937" s="372">
        <v>0.0</v>
      </c>
      <c r="Z8937" s="372">
        <v>0.0</v>
      </c>
    </row>
    <row r="8938">
      <c r="Y8938" s="372">
        <v>0.0</v>
      </c>
      <c r="Z8938" s="372">
        <v>0.0</v>
      </c>
    </row>
    <row r="8939">
      <c r="Y8939" s="372">
        <v>0.0</v>
      </c>
      <c r="Z8939" s="372">
        <v>0.0</v>
      </c>
    </row>
    <row r="8940">
      <c r="Y8940" s="372">
        <v>0.0</v>
      </c>
      <c r="Z8940" s="372">
        <v>0.0</v>
      </c>
    </row>
    <row r="8941">
      <c r="Y8941" s="372">
        <v>0.0</v>
      </c>
      <c r="Z8941" s="372">
        <v>0.0</v>
      </c>
    </row>
    <row r="8942">
      <c r="Y8942" s="372">
        <v>0.0</v>
      </c>
      <c r="Z8942" s="372">
        <v>0.0</v>
      </c>
    </row>
    <row r="8943">
      <c r="Y8943" s="372">
        <v>0.0</v>
      </c>
      <c r="Z8943" s="372">
        <v>0.0</v>
      </c>
    </row>
    <row r="8944">
      <c r="Y8944" s="372">
        <v>0.0</v>
      </c>
      <c r="Z8944" s="372">
        <v>0.0</v>
      </c>
    </row>
    <row r="8945">
      <c r="Y8945" s="372">
        <v>0.0</v>
      </c>
      <c r="Z8945" s="372">
        <v>0.0</v>
      </c>
    </row>
    <row r="8946">
      <c r="Y8946" s="372">
        <v>0.0</v>
      </c>
      <c r="Z8946" s="372">
        <v>0.0</v>
      </c>
    </row>
    <row r="8947">
      <c r="Y8947" s="372">
        <v>0.0</v>
      </c>
      <c r="Z8947" s="372">
        <v>0.0</v>
      </c>
    </row>
    <row r="8948">
      <c r="Y8948" s="372">
        <v>0.0</v>
      </c>
      <c r="Z8948" s="372">
        <v>0.0</v>
      </c>
    </row>
    <row r="8949">
      <c r="Y8949" s="372">
        <v>0.0</v>
      </c>
      <c r="Z8949" s="372">
        <v>0.0</v>
      </c>
    </row>
    <row r="8950">
      <c r="Y8950" s="372">
        <v>0.0</v>
      </c>
      <c r="Z8950" s="372">
        <v>0.0</v>
      </c>
    </row>
    <row r="8951">
      <c r="Y8951" s="372">
        <v>0.0</v>
      </c>
      <c r="Z8951" s="372">
        <v>0.0</v>
      </c>
    </row>
    <row r="8952">
      <c r="Y8952" s="372">
        <v>0.0</v>
      </c>
      <c r="Z8952" s="372">
        <v>0.0</v>
      </c>
    </row>
    <row r="8953">
      <c r="Y8953" s="372">
        <v>0.0</v>
      </c>
      <c r="Z8953" s="372">
        <v>0.0</v>
      </c>
    </row>
    <row r="8954">
      <c r="Y8954" s="372">
        <v>0.0</v>
      </c>
      <c r="Z8954" s="372">
        <v>0.0</v>
      </c>
    </row>
    <row r="8955">
      <c r="Y8955" s="372">
        <v>0.0</v>
      </c>
      <c r="Z8955" s="372">
        <v>0.0</v>
      </c>
    </row>
    <row r="8956">
      <c r="Y8956" s="372">
        <v>0.0</v>
      </c>
      <c r="Z8956" s="372">
        <v>0.0</v>
      </c>
    </row>
    <row r="8957">
      <c r="Y8957" s="372">
        <v>0.0</v>
      </c>
      <c r="Z8957" s="372">
        <v>0.0</v>
      </c>
    </row>
    <row r="8958">
      <c r="Y8958" s="372">
        <v>0.0</v>
      </c>
      <c r="Z8958" s="372">
        <v>0.0</v>
      </c>
    </row>
    <row r="8959">
      <c r="Y8959" s="372">
        <v>0.0</v>
      </c>
      <c r="Z8959" s="372">
        <v>0.0</v>
      </c>
    </row>
    <row r="8960">
      <c r="Y8960" s="372">
        <v>0.0</v>
      </c>
      <c r="Z8960" s="372">
        <v>0.0</v>
      </c>
    </row>
    <row r="8961">
      <c r="Y8961" s="372">
        <v>0.0</v>
      </c>
      <c r="Z8961" s="372">
        <v>0.0</v>
      </c>
    </row>
    <row r="8962">
      <c r="Y8962" s="372">
        <v>0.0</v>
      </c>
      <c r="Z8962" s="372">
        <v>0.0</v>
      </c>
    </row>
    <row r="8963">
      <c r="Y8963" s="372">
        <v>0.0</v>
      </c>
      <c r="Z8963" s="372">
        <v>0.0</v>
      </c>
    </row>
    <row r="8964">
      <c r="Y8964" s="372">
        <v>0.0</v>
      </c>
      <c r="Z8964" s="372">
        <v>0.0</v>
      </c>
    </row>
    <row r="8965">
      <c r="Y8965" s="372">
        <v>0.0</v>
      </c>
      <c r="Z8965" s="372">
        <v>0.0</v>
      </c>
    </row>
    <row r="8966">
      <c r="Y8966" s="372">
        <v>0.0</v>
      </c>
      <c r="Z8966" s="372">
        <v>0.0</v>
      </c>
    </row>
    <row r="8967">
      <c r="Y8967" s="372">
        <v>0.0</v>
      </c>
      <c r="Z8967" s="372">
        <v>0.0</v>
      </c>
    </row>
    <row r="8968">
      <c r="Y8968" s="372">
        <v>0.0</v>
      </c>
      <c r="Z8968" s="372">
        <v>0.0</v>
      </c>
    </row>
    <row r="8969">
      <c r="Y8969" s="372">
        <v>0.0</v>
      </c>
      <c r="Z8969" s="372">
        <v>0.0</v>
      </c>
    </row>
    <row r="8970">
      <c r="Y8970" s="372">
        <v>0.0</v>
      </c>
      <c r="Z8970" s="372">
        <v>0.0</v>
      </c>
    </row>
    <row r="8971">
      <c r="Y8971" s="372">
        <v>0.0</v>
      </c>
      <c r="Z8971" s="372">
        <v>0.0</v>
      </c>
    </row>
    <row r="8972">
      <c r="Y8972" s="372">
        <v>0.0</v>
      </c>
      <c r="Z8972" s="372">
        <v>0.0</v>
      </c>
    </row>
    <row r="8973">
      <c r="Y8973" s="372">
        <v>0.0</v>
      </c>
      <c r="Z8973" s="372">
        <v>0.0</v>
      </c>
    </row>
    <row r="8974">
      <c r="Y8974" s="372">
        <v>0.0</v>
      </c>
      <c r="Z8974" s="372">
        <v>0.0</v>
      </c>
    </row>
    <row r="8975">
      <c r="Y8975" s="372">
        <v>0.0</v>
      </c>
      <c r="Z8975" s="372">
        <v>0.0</v>
      </c>
    </row>
    <row r="8976">
      <c r="Y8976" s="372">
        <v>0.0</v>
      </c>
      <c r="Z8976" s="372">
        <v>0.0</v>
      </c>
    </row>
    <row r="8977">
      <c r="Y8977" s="372">
        <v>0.0</v>
      </c>
      <c r="Z8977" s="372">
        <v>0.0</v>
      </c>
    </row>
    <row r="8978">
      <c r="Y8978" s="372">
        <v>0.0</v>
      </c>
      <c r="Z8978" s="372">
        <v>0.0</v>
      </c>
    </row>
    <row r="8979">
      <c r="Y8979" s="372">
        <v>0.0</v>
      </c>
      <c r="Z8979" s="372">
        <v>0.0</v>
      </c>
    </row>
    <row r="8980">
      <c r="Y8980" s="372">
        <v>0.0</v>
      </c>
      <c r="Z8980" s="372">
        <v>0.0</v>
      </c>
    </row>
    <row r="8981">
      <c r="Y8981" s="372">
        <v>0.0</v>
      </c>
      <c r="Z8981" s="372">
        <v>0.0</v>
      </c>
    </row>
    <row r="8982">
      <c r="Y8982" s="372">
        <v>0.0</v>
      </c>
      <c r="Z8982" s="372">
        <v>0.0</v>
      </c>
    </row>
    <row r="8983">
      <c r="Y8983" s="372">
        <v>0.0</v>
      </c>
      <c r="Z8983" s="372">
        <v>0.0</v>
      </c>
    </row>
    <row r="8984">
      <c r="Y8984" s="372">
        <v>0.0</v>
      </c>
      <c r="Z8984" s="372">
        <v>0.0</v>
      </c>
    </row>
    <row r="8985">
      <c r="Y8985" s="372">
        <v>0.0</v>
      </c>
      <c r="Z8985" s="372">
        <v>0.0</v>
      </c>
    </row>
    <row r="8986">
      <c r="Y8986" s="372">
        <v>0.0</v>
      </c>
      <c r="Z8986" s="372">
        <v>0.0</v>
      </c>
    </row>
    <row r="8987">
      <c r="Y8987" s="372">
        <v>0.0</v>
      </c>
      <c r="Z8987" s="372">
        <v>0.0</v>
      </c>
    </row>
    <row r="8988">
      <c r="Y8988" s="372">
        <v>0.0</v>
      </c>
      <c r="Z8988" s="372">
        <v>0.0</v>
      </c>
    </row>
    <row r="8989">
      <c r="Y8989" s="372">
        <v>0.0</v>
      </c>
      <c r="Z8989" s="372">
        <v>0.0</v>
      </c>
    </row>
    <row r="8990">
      <c r="Y8990" s="372">
        <v>0.0</v>
      </c>
      <c r="Z8990" s="372">
        <v>0.0</v>
      </c>
    </row>
    <row r="8991">
      <c r="Y8991" s="372">
        <v>0.0</v>
      </c>
      <c r="Z8991" s="372">
        <v>0.0</v>
      </c>
    </row>
    <row r="8992">
      <c r="Y8992" s="372">
        <v>0.0</v>
      </c>
      <c r="Z8992" s="372">
        <v>0.0</v>
      </c>
    </row>
    <row r="8993">
      <c r="Y8993" s="372">
        <v>0.0</v>
      </c>
      <c r="Z8993" s="372">
        <v>0.0</v>
      </c>
    </row>
    <row r="8994">
      <c r="Y8994" s="372">
        <v>0.0</v>
      </c>
      <c r="Z8994" s="372">
        <v>0.0</v>
      </c>
    </row>
    <row r="8995">
      <c r="Y8995" s="372">
        <v>0.0</v>
      </c>
      <c r="Z8995" s="372">
        <v>0.0</v>
      </c>
    </row>
    <row r="8996">
      <c r="Y8996" s="372">
        <v>0.0</v>
      </c>
      <c r="Z8996" s="372">
        <v>0.0</v>
      </c>
    </row>
    <row r="8997">
      <c r="Y8997" s="372">
        <v>0.0</v>
      </c>
      <c r="Z8997" s="372">
        <v>0.0</v>
      </c>
    </row>
    <row r="8998">
      <c r="Y8998" s="372">
        <v>0.0</v>
      </c>
      <c r="Z8998" s="372">
        <v>0.0</v>
      </c>
    </row>
    <row r="8999">
      <c r="Y8999" s="372">
        <v>0.0</v>
      </c>
      <c r="Z8999" s="372">
        <v>0.0</v>
      </c>
    </row>
    <row r="9000">
      <c r="Y9000" s="372">
        <v>0.0</v>
      </c>
      <c r="Z9000" s="372">
        <v>0.0</v>
      </c>
    </row>
    <row r="9001">
      <c r="Y9001" s="372">
        <v>0.0</v>
      </c>
      <c r="Z9001" s="372">
        <v>0.0</v>
      </c>
    </row>
    <row r="9002">
      <c r="Y9002" s="372">
        <v>0.0</v>
      </c>
      <c r="Z9002" s="372">
        <v>0.0</v>
      </c>
    </row>
    <row r="9003">
      <c r="Y9003" s="372">
        <v>0.0</v>
      </c>
      <c r="Z9003" s="372">
        <v>0.0</v>
      </c>
    </row>
    <row r="9004">
      <c r="Y9004" s="372">
        <v>0.0</v>
      </c>
      <c r="Z9004" s="372">
        <v>0.0</v>
      </c>
    </row>
    <row r="9005">
      <c r="Y9005" s="372">
        <v>0.0</v>
      </c>
      <c r="Z9005" s="372">
        <v>0.0</v>
      </c>
    </row>
    <row r="9006">
      <c r="Y9006" s="372">
        <v>0.0</v>
      </c>
      <c r="Z9006" s="372">
        <v>0.0</v>
      </c>
    </row>
    <row r="9007">
      <c r="Y9007" s="372">
        <v>0.0</v>
      </c>
      <c r="Z9007" s="372">
        <v>0.0</v>
      </c>
    </row>
    <row r="9008">
      <c r="Y9008" s="372">
        <v>0.0</v>
      </c>
      <c r="Z9008" s="372">
        <v>0.0</v>
      </c>
    </row>
    <row r="9009">
      <c r="Y9009" s="372">
        <v>0.0</v>
      </c>
      <c r="Z9009" s="372">
        <v>0.0</v>
      </c>
    </row>
    <row r="9010">
      <c r="Y9010" s="372">
        <v>0.0</v>
      </c>
      <c r="Z9010" s="372">
        <v>0.0</v>
      </c>
    </row>
    <row r="9011">
      <c r="Y9011" s="372">
        <v>0.0</v>
      </c>
      <c r="Z9011" s="372">
        <v>0.0</v>
      </c>
    </row>
    <row r="9012">
      <c r="Y9012" s="372">
        <v>0.0</v>
      </c>
      <c r="Z9012" s="372">
        <v>0.0</v>
      </c>
    </row>
    <row r="9013">
      <c r="Y9013" s="372">
        <v>0.0</v>
      </c>
      <c r="Z9013" s="372">
        <v>0.0</v>
      </c>
    </row>
    <row r="9014">
      <c r="Y9014" s="372">
        <v>0.0</v>
      </c>
      <c r="Z9014" s="372">
        <v>0.0</v>
      </c>
    </row>
    <row r="9015">
      <c r="Y9015" s="372">
        <v>0.0</v>
      </c>
      <c r="Z9015" s="372">
        <v>0.0</v>
      </c>
    </row>
    <row r="9016">
      <c r="Y9016" s="372">
        <v>0.0</v>
      </c>
      <c r="Z9016" s="372">
        <v>0.0</v>
      </c>
    </row>
    <row r="9017">
      <c r="Y9017" s="372">
        <v>0.0</v>
      </c>
      <c r="Z9017" s="372">
        <v>0.0</v>
      </c>
    </row>
    <row r="9018">
      <c r="Y9018" s="372">
        <v>0.0</v>
      </c>
      <c r="Z9018" s="372">
        <v>0.0</v>
      </c>
    </row>
    <row r="9019">
      <c r="Y9019" s="372">
        <v>0.0</v>
      </c>
      <c r="Z9019" s="372">
        <v>0.0</v>
      </c>
    </row>
    <row r="9020">
      <c r="Y9020" s="372">
        <v>0.0</v>
      </c>
      <c r="Z9020" s="372">
        <v>0.0</v>
      </c>
    </row>
    <row r="9021">
      <c r="Y9021" s="372">
        <v>0.0</v>
      </c>
      <c r="Z9021" s="372">
        <v>0.0</v>
      </c>
    </row>
    <row r="9022">
      <c r="Y9022" s="372">
        <v>0.0</v>
      </c>
      <c r="Z9022" s="372">
        <v>0.0</v>
      </c>
    </row>
    <row r="9023">
      <c r="Y9023" s="372">
        <v>0.0</v>
      </c>
      <c r="Z9023" s="372">
        <v>0.0</v>
      </c>
    </row>
    <row r="9024">
      <c r="Y9024" s="372">
        <v>0.0</v>
      </c>
      <c r="Z9024" s="372">
        <v>0.0</v>
      </c>
    </row>
    <row r="9025">
      <c r="Y9025" s="372">
        <v>0.0</v>
      </c>
      <c r="Z9025" s="372">
        <v>0.0</v>
      </c>
    </row>
    <row r="9026">
      <c r="Y9026" s="372">
        <v>0.0</v>
      </c>
      <c r="Z9026" s="372">
        <v>0.0</v>
      </c>
    </row>
    <row r="9027">
      <c r="Y9027" s="372">
        <v>0.0</v>
      </c>
      <c r="Z9027" s="372">
        <v>0.0</v>
      </c>
    </row>
    <row r="9028">
      <c r="Y9028" s="372">
        <v>0.0</v>
      </c>
      <c r="Z9028" s="372">
        <v>0.0</v>
      </c>
    </row>
    <row r="9029">
      <c r="Y9029" s="372">
        <v>0.0</v>
      </c>
      <c r="Z9029" s="372">
        <v>0.0</v>
      </c>
    </row>
    <row r="9030">
      <c r="Y9030" s="372">
        <v>0.0</v>
      </c>
      <c r="Z9030" s="372">
        <v>0.0</v>
      </c>
    </row>
    <row r="9031">
      <c r="Y9031" s="372">
        <v>0.0</v>
      </c>
      <c r="Z9031" s="372">
        <v>0.0</v>
      </c>
    </row>
    <row r="9032">
      <c r="Y9032" s="372">
        <v>0.0</v>
      </c>
      <c r="Z9032" s="372">
        <v>0.0</v>
      </c>
    </row>
    <row r="9033">
      <c r="Y9033" s="372">
        <v>0.0</v>
      </c>
      <c r="Z9033" s="372">
        <v>0.0</v>
      </c>
    </row>
    <row r="9034">
      <c r="Y9034" s="372">
        <v>0.0</v>
      </c>
      <c r="Z9034" s="372">
        <v>0.0</v>
      </c>
    </row>
    <row r="9035">
      <c r="Y9035" s="372">
        <v>0.0</v>
      </c>
      <c r="Z9035" s="372">
        <v>0.0</v>
      </c>
    </row>
    <row r="9036">
      <c r="Y9036" s="372">
        <v>0.0</v>
      </c>
      <c r="Z9036" s="372">
        <v>0.0</v>
      </c>
    </row>
    <row r="9037">
      <c r="Y9037" s="372">
        <v>0.0</v>
      </c>
      <c r="Z9037" s="372">
        <v>0.0</v>
      </c>
    </row>
    <row r="9038">
      <c r="Y9038" s="372">
        <v>0.0</v>
      </c>
      <c r="Z9038" s="372">
        <v>0.0</v>
      </c>
    </row>
    <row r="9039">
      <c r="Y9039" s="372">
        <v>0.0</v>
      </c>
      <c r="Z9039" s="372">
        <v>0.0</v>
      </c>
    </row>
    <row r="9040">
      <c r="Y9040" s="372">
        <v>0.0</v>
      </c>
      <c r="Z9040" s="372">
        <v>0.0</v>
      </c>
    </row>
    <row r="9041">
      <c r="Y9041" s="372">
        <v>0.0</v>
      </c>
      <c r="Z9041" s="372">
        <v>0.0</v>
      </c>
    </row>
    <row r="9042">
      <c r="Y9042" s="372">
        <v>0.0</v>
      </c>
      <c r="Z9042" s="372">
        <v>0.0</v>
      </c>
    </row>
    <row r="9043">
      <c r="Y9043" s="372">
        <v>0.0</v>
      </c>
      <c r="Z9043" s="372">
        <v>0.0</v>
      </c>
    </row>
    <row r="9044">
      <c r="Y9044" s="372">
        <v>0.0</v>
      </c>
      <c r="Z9044" s="372">
        <v>0.0</v>
      </c>
    </row>
    <row r="9045">
      <c r="Y9045" s="372">
        <v>0.0</v>
      </c>
      <c r="Z9045" s="372">
        <v>0.0</v>
      </c>
    </row>
    <row r="9046">
      <c r="Y9046" s="372">
        <v>0.0</v>
      </c>
      <c r="Z9046" s="372">
        <v>0.0</v>
      </c>
    </row>
    <row r="9047">
      <c r="Y9047" s="372">
        <v>0.0</v>
      </c>
      <c r="Z9047" s="372">
        <v>0.0</v>
      </c>
    </row>
    <row r="9048">
      <c r="Y9048" s="372">
        <v>0.0</v>
      </c>
      <c r="Z9048" s="372">
        <v>0.0</v>
      </c>
    </row>
    <row r="9049">
      <c r="Y9049" s="372">
        <v>0.0</v>
      </c>
      <c r="Z9049" s="372">
        <v>0.0</v>
      </c>
    </row>
    <row r="9050">
      <c r="Y9050" s="372">
        <v>0.0</v>
      </c>
      <c r="Z9050" s="372">
        <v>0.0</v>
      </c>
    </row>
    <row r="9051">
      <c r="Y9051" s="372">
        <v>0.0</v>
      </c>
      <c r="Z9051" s="372">
        <v>0.0</v>
      </c>
    </row>
    <row r="9052">
      <c r="Y9052" s="372">
        <v>0.0</v>
      </c>
      <c r="Z9052" s="372">
        <v>0.0</v>
      </c>
    </row>
    <row r="9053">
      <c r="Y9053" s="372">
        <v>0.0</v>
      </c>
      <c r="Z9053" s="372">
        <v>0.0</v>
      </c>
    </row>
    <row r="9054">
      <c r="Y9054" s="372">
        <v>0.0</v>
      </c>
      <c r="Z9054" s="372">
        <v>0.0</v>
      </c>
    </row>
    <row r="9055">
      <c r="Y9055" s="372">
        <v>0.0</v>
      </c>
      <c r="Z9055" s="372">
        <v>0.0</v>
      </c>
    </row>
    <row r="9056">
      <c r="Y9056" s="372">
        <v>0.0</v>
      </c>
      <c r="Z9056" s="372">
        <v>0.0</v>
      </c>
    </row>
    <row r="9057">
      <c r="Y9057" s="372">
        <v>0.0</v>
      </c>
      <c r="Z9057" s="372">
        <v>0.0</v>
      </c>
    </row>
    <row r="9058">
      <c r="Y9058" s="372">
        <v>0.0</v>
      </c>
      <c r="Z9058" s="372">
        <v>0.0</v>
      </c>
    </row>
    <row r="9059">
      <c r="Y9059" s="372">
        <v>0.0</v>
      </c>
      <c r="Z9059" s="372">
        <v>0.0</v>
      </c>
    </row>
    <row r="9060">
      <c r="Y9060" s="372">
        <v>0.0</v>
      </c>
      <c r="Z9060" s="372">
        <v>0.0</v>
      </c>
    </row>
    <row r="9061">
      <c r="Y9061" s="372">
        <v>0.0</v>
      </c>
      <c r="Z9061" s="372">
        <v>0.0</v>
      </c>
    </row>
    <row r="9062">
      <c r="Y9062" s="372">
        <v>0.0</v>
      </c>
      <c r="Z9062" s="372">
        <v>0.0</v>
      </c>
    </row>
    <row r="9063">
      <c r="Y9063" s="372">
        <v>0.0</v>
      </c>
      <c r="Z9063" s="372">
        <v>0.0</v>
      </c>
    </row>
    <row r="9064">
      <c r="Y9064" s="372">
        <v>0.0</v>
      </c>
      <c r="Z9064" s="372">
        <v>0.0</v>
      </c>
    </row>
    <row r="9065">
      <c r="Y9065" s="372">
        <v>0.0</v>
      </c>
      <c r="Z9065" s="372">
        <v>0.0</v>
      </c>
    </row>
    <row r="9066">
      <c r="Y9066" s="372">
        <v>0.0</v>
      </c>
      <c r="Z9066" s="372">
        <v>0.0</v>
      </c>
    </row>
    <row r="9067">
      <c r="Y9067" s="372">
        <v>0.0</v>
      </c>
      <c r="Z9067" s="372">
        <v>0.0</v>
      </c>
    </row>
    <row r="9068">
      <c r="Y9068" s="372">
        <v>0.0</v>
      </c>
      <c r="Z9068" s="372">
        <v>0.0</v>
      </c>
    </row>
    <row r="9069">
      <c r="Y9069" s="372">
        <v>0.0</v>
      </c>
      <c r="Z9069" s="372">
        <v>0.0</v>
      </c>
    </row>
    <row r="9070">
      <c r="Y9070" s="372">
        <v>0.0</v>
      </c>
      <c r="Z9070" s="372">
        <v>0.0</v>
      </c>
    </row>
    <row r="9071">
      <c r="Y9071" s="372">
        <v>0.0</v>
      </c>
      <c r="Z9071" s="372">
        <v>0.0</v>
      </c>
    </row>
    <row r="9072">
      <c r="Y9072" s="372">
        <v>0.0</v>
      </c>
      <c r="Z9072" s="372">
        <v>0.0</v>
      </c>
    </row>
    <row r="9073">
      <c r="Y9073" s="372">
        <v>0.0</v>
      </c>
      <c r="Z9073" s="372">
        <v>0.0</v>
      </c>
    </row>
    <row r="9074">
      <c r="Y9074" s="372">
        <v>0.0</v>
      </c>
      <c r="Z9074" s="372">
        <v>0.0</v>
      </c>
    </row>
    <row r="9075">
      <c r="Y9075" s="372">
        <v>0.0</v>
      </c>
      <c r="Z9075" s="372">
        <v>0.0</v>
      </c>
    </row>
    <row r="9076">
      <c r="Y9076" s="372">
        <v>0.0</v>
      </c>
      <c r="Z9076" s="372">
        <v>0.0</v>
      </c>
    </row>
    <row r="9077">
      <c r="Y9077" s="372">
        <v>0.0</v>
      </c>
      <c r="Z9077" s="372">
        <v>0.0</v>
      </c>
    </row>
    <row r="9078">
      <c r="Y9078" s="372">
        <v>0.0</v>
      </c>
      <c r="Z9078" s="372">
        <v>0.0</v>
      </c>
    </row>
    <row r="9079">
      <c r="Y9079" s="372">
        <v>0.0</v>
      </c>
      <c r="Z9079" s="372">
        <v>0.0</v>
      </c>
    </row>
    <row r="9080">
      <c r="Y9080" s="372">
        <v>0.0</v>
      </c>
      <c r="Z9080" s="372">
        <v>0.0</v>
      </c>
    </row>
    <row r="9081">
      <c r="Y9081" s="372">
        <v>0.0</v>
      </c>
      <c r="Z9081" s="372">
        <v>0.0</v>
      </c>
    </row>
    <row r="9082">
      <c r="Y9082" s="372">
        <v>0.0</v>
      </c>
      <c r="Z9082" s="372">
        <v>0.0</v>
      </c>
    </row>
    <row r="9083">
      <c r="Y9083" s="372">
        <v>0.0</v>
      </c>
      <c r="Z9083" s="372">
        <v>0.0</v>
      </c>
    </row>
    <row r="9084">
      <c r="Y9084" s="372">
        <v>0.0</v>
      </c>
      <c r="Z9084" s="372">
        <v>0.0</v>
      </c>
    </row>
    <row r="9085">
      <c r="Y9085" s="372">
        <v>0.0</v>
      </c>
      <c r="Z9085" s="372">
        <v>0.0</v>
      </c>
    </row>
    <row r="9086">
      <c r="Y9086" s="372">
        <v>0.0</v>
      </c>
      <c r="Z9086" s="372">
        <v>0.0</v>
      </c>
    </row>
    <row r="9087">
      <c r="Y9087" s="372">
        <v>0.0</v>
      </c>
      <c r="Z9087" s="372">
        <v>0.0</v>
      </c>
    </row>
    <row r="9088">
      <c r="Y9088" s="372">
        <v>0.0</v>
      </c>
      <c r="Z9088" s="372">
        <v>0.0</v>
      </c>
    </row>
    <row r="9089">
      <c r="Y9089" s="372">
        <v>0.0</v>
      </c>
      <c r="Z9089" s="372">
        <v>0.0</v>
      </c>
    </row>
    <row r="9090">
      <c r="Y9090" s="372">
        <v>0.0</v>
      </c>
      <c r="Z9090" s="372">
        <v>0.0</v>
      </c>
    </row>
    <row r="9091">
      <c r="Y9091" s="372">
        <v>0.0</v>
      </c>
      <c r="Z9091" s="372">
        <v>0.0</v>
      </c>
    </row>
    <row r="9092">
      <c r="Y9092" s="372">
        <v>0.0</v>
      </c>
      <c r="Z9092" s="372">
        <v>0.0</v>
      </c>
    </row>
    <row r="9093">
      <c r="Y9093" s="372">
        <v>0.0</v>
      </c>
      <c r="Z9093" s="372">
        <v>0.0</v>
      </c>
    </row>
    <row r="9094">
      <c r="Y9094" s="372">
        <v>0.0</v>
      </c>
      <c r="Z9094" s="372">
        <v>0.0</v>
      </c>
    </row>
    <row r="9095">
      <c r="Y9095" s="372">
        <v>0.0</v>
      </c>
      <c r="Z9095" s="372">
        <v>0.0</v>
      </c>
    </row>
    <row r="9096">
      <c r="Y9096" s="372">
        <v>0.0</v>
      </c>
      <c r="Z9096" s="372">
        <v>0.0</v>
      </c>
    </row>
    <row r="9097">
      <c r="Y9097" s="372">
        <v>0.0</v>
      </c>
      <c r="Z9097" s="372">
        <v>0.0</v>
      </c>
    </row>
    <row r="9098">
      <c r="Y9098" s="372">
        <v>0.0</v>
      </c>
      <c r="Z9098" s="372">
        <v>0.0</v>
      </c>
    </row>
    <row r="9099">
      <c r="Y9099" s="372">
        <v>0.0</v>
      </c>
      <c r="Z9099" s="372">
        <v>0.0</v>
      </c>
    </row>
    <row r="9100">
      <c r="Y9100" s="372">
        <v>0.0</v>
      </c>
      <c r="Z9100" s="372">
        <v>0.0</v>
      </c>
    </row>
    <row r="9101">
      <c r="Y9101" s="372">
        <v>0.0</v>
      </c>
      <c r="Z9101" s="372">
        <v>0.0</v>
      </c>
    </row>
    <row r="9102">
      <c r="Y9102" s="372">
        <v>0.0</v>
      </c>
      <c r="Z9102" s="372">
        <v>0.0</v>
      </c>
    </row>
    <row r="9103">
      <c r="Y9103" s="372">
        <v>0.0</v>
      </c>
      <c r="Z9103" s="372">
        <v>0.0</v>
      </c>
    </row>
    <row r="9104">
      <c r="Y9104" s="372">
        <v>0.0</v>
      </c>
      <c r="Z9104" s="372">
        <v>0.0</v>
      </c>
    </row>
    <row r="9105">
      <c r="Y9105" s="372">
        <v>0.0</v>
      </c>
      <c r="Z9105" s="372">
        <v>0.0</v>
      </c>
    </row>
    <row r="9106">
      <c r="Y9106" s="372">
        <v>0.0</v>
      </c>
      <c r="Z9106" s="372">
        <v>0.0</v>
      </c>
    </row>
    <row r="9107">
      <c r="Y9107" s="372">
        <v>0.0</v>
      </c>
      <c r="Z9107" s="372">
        <v>0.0</v>
      </c>
    </row>
    <row r="9108">
      <c r="Y9108" s="372">
        <v>0.0</v>
      </c>
      <c r="Z9108" s="372">
        <v>0.0</v>
      </c>
    </row>
    <row r="9109">
      <c r="Y9109" s="372">
        <v>0.0</v>
      </c>
      <c r="Z9109" s="372">
        <v>0.0</v>
      </c>
    </row>
    <row r="9110">
      <c r="Y9110" s="372">
        <v>0.0</v>
      </c>
      <c r="Z9110" s="372">
        <v>0.0</v>
      </c>
    </row>
    <row r="9111">
      <c r="Y9111" s="372">
        <v>0.0</v>
      </c>
      <c r="Z9111" s="372">
        <v>0.0</v>
      </c>
    </row>
    <row r="9112">
      <c r="Y9112" s="372">
        <v>0.0</v>
      </c>
      <c r="Z9112" s="372">
        <v>0.0</v>
      </c>
    </row>
    <row r="9113">
      <c r="Y9113" s="372">
        <v>0.0</v>
      </c>
      <c r="Z9113" s="372">
        <v>0.0</v>
      </c>
    </row>
    <row r="9114">
      <c r="Y9114" s="372">
        <v>0.0</v>
      </c>
      <c r="Z9114" s="372">
        <v>0.0</v>
      </c>
    </row>
    <row r="9115">
      <c r="Y9115" s="372">
        <v>0.0</v>
      </c>
      <c r="Z9115" s="372">
        <v>0.0</v>
      </c>
    </row>
    <row r="9116">
      <c r="Y9116" s="372">
        <v>0.0</v>
      </c>
      <c r="Z9116" s="372">
        <v>0.0</v>
      </c>
    </row>
    <row r="9117">
      <c r="Y9117" s="372">
        <v>0.0</v>
      </c>
      <c r="Z9117" s="372">
        <v>0.0</v>
      </c>
    </row>
    <row r="9118">
      <c r="Y9118" s="372">
        <v>0.0</v>
      </c>
      <c r="Z9118" s="372">
        <v>0.0</v>
      </c>
    </row>
    <row r="9119">
      <c r="Y9119" s="372">
        <v>0.0</v>
      </c>
      <c r="Z9119" s="372">
        <v>0.0</v>
      </c>
    </row>
    <row r="9120">
      <c r="Y9120" s="372">
        <v>0.0</v>
      </c>
      <c r="Z9120" s="372">
        <v>0.0</v>
      </c>
    </row>
    <row r="9121">
      <c r="Y9121" s="372">
        <v>0.0</v>
      </c>
      <c r="Z9121" s="372">
        <v>0.0</v>
      </c>
    </row>
    <row r="9122">
      <c r="Y9122" s="372">
        <v>0.0</v>
      </c>
      <c r="Z9122" s="372">
        <v>0.0</v>
      </c>
    </row>
    <row r="9123">
      <c r="Y9123" s="372">
        <v>0.0</v>
      </c>
      <c r="Z9123" s="372">
        <v>0.0</v>
      </c>
    </row>
    <row r="9124">
      <c r="Y9124" s="372">
        <v>0.0</v>
      </c>
      <c r="Z9124" s="372">
        <v>0.0</v>
      </c>
    </row>
    <row r="9125">
      <c r="Y9125" s="372">
        <v>0.0</v>
      </c>
      <c r="Z9125" s="372">
        <v>0.0</v>
      </c>
    </row>
    <row r="9126">
      <c r="Y9126" s="372">
        <v>0.0</v>
      </c>
      <c r="Z9126" s="372">
        <v>0.0</v>
      </c>
    </row>
    <row r="9127">
      <c r="Y9127" s="372">
        <v>0.0</v>
      </c>
      <c r="Z9127" s="372">
        <v>0.0</v>
      </c>
    </row>
    <row r="9128">
      <c r="Y9128" s="372">
        <v>0.0</v>
      </c>
      <c r="Z9128" s="372">
        <v>0.0</v>
      </c>
    </row>
    <row r="9129">
      <c r="Y9129" s="372">
        <v>0.0</v>
      </c>
      <c r="Z9129" s="372">
        <v>0.0</v>
      </c>
    </row>
    <row r="9130">
      <c r="Y9130" s="372">
        <v>0.0</v>
      </c>
      <c r="Z9130" s="372">
        <v>0.0</v>
      </c>
    </row>
    <row r="9131">
      <c r="Y9131" s="372">
        <v>0.0</v>
      </c>
      <c r="Z9131" s="372">
        <v>0.0</v>
      </c>
    </row>
    <row r="9132">
      <c r="Y9132" s="372">
        <v>0.0</v>
      </c>
      <c r="Z9132" s="372">
        <v>0.0</v>
      </c>
    </row>
    <row r="9133">
      <c r="Y9133" s="372">
        <v>0.0</v>
      </c>
      <c r="Z9133" s="372">
        <v>0.0</v>
      </c>
    </row>
    <row r="9134">
      <c r="Y9134" s="372">
        <v>0.0</v>
      </c>
      <c r="Z9134" s="372">
        <v>0.0</v>
      </c>
    </row>
    <row r="9135">
      <c r="Y9135" s="372">
        <v>0.0</v>
      </c>
      <c r="Z9135" s="372">
        <v>0.0</v>
      </c>
    </row>
    <row r="9136">
      <c r="Y9136" s="372">
        <v>0.0</v>
      </c>
      <c r="Z9136" s="372">
        <v>0.0</v>
      </c>
    </row>
    <row r="9137">
      <c r="Y9137" s="372">
        <v>0.0</v>
      </c>
      <c r="Z9137" s="372">
        <v>0.0</v>
      </c>
    </row>
    <row r="9138">
      <c r="Y9138" s="372">
        <v>0.0</v>
      </c>
      <c r="Z9138" s="372">
        <v>0.0</v>
      </c>
    </row>
    <row r="9139">
      <c r="Y9139" s="372">
        <v>0.0</v>
      </c>
      <c r="Z9139" s="372">
        <v>0.0</v>
      </c>
    </row>
    <row r="9140">
      <c r="Y9140" s="372">
        <v>0.0</v>
      </c>
      <c r="Z9140" s="372">
        <v>0.0</v>
      </c>
    </row>
    <row r="9141">
      <c r="Y9141" s="372">
        <v>0.0</v>
      </c>
      <c r="Z9141" s="372">
        <v>0.0</v>
      </c>
    </row>
    <row r="9142">
      <c r="Y9142" s="372">
        <v>0.0</v>
      </c>
      <c r="Z9142" s="372">
        <v>0.0</v>
      </c>
    </row>
    <row r="9143">
      <c r="Y9143" s="372">
        <v>0.0</v>
      </c>
      <c r="Z9143" s="372">
        <v>0.0</v>
      </c>
    </row>
    <row r="9144">
      <c r="Y9144" s="372">
        <v>0.0</v>
      </c>
      <c r="Z9144" s="372">
        <v>0.0</v>
      </c>
    </row>
    <row r="9145">
      <c r="Y9145" s="372">
        <v>0.0</v>
      </c>
      <c r="Z9145" s="372">
        <v>0.0</v>
      </c>
    </row>
    <row r="9146">
      <c r="Y9146" s="372">
        <v>0.0</v>
      </c>
      <c r="Z9146" s="372">
        <v>0.0</v>
      </c>
    </row>
    <row r="9147">
      <c r="Y9147" s="372">
        <v>0.0</v>
      </c>
      <c r="Z9147" s="372">
        <v>0.0</v>
      </c>
    </row>
    <row r="9148">
      <c r="Y9148" s="372">
        <v>0.0</v>
      </c>
      <c r="Z9148" s="372">
        <v>0.0</v>
      </c>
    </row>
    <row r="9149">
      <c r="Y9149" s="372">
        <v>0.0</v>
      </c>
      <c r="Z9149" s="372">
        <v>0.0</v>
      </c>
    </row>
    <row r="9150">
      <c r="Y9150" s="372">
        <v>0.0</v>
      </c>
      <c r="Z9150" s="372">
        <v>0.0</v>
      </c>
    </row>
    <row r="9151">
      <c r="Y9151" s="372">
        <v>0.0</v>
      </c>
      <c r="Z9151" s="372">
        <v>0.0</v>
      </c>
    </row>
    <row r="9152">
      <c r="Y9152" s="372">
        <v>0.0</v>
      </c>
      <c r="Z9152" s="372">
        <v>0.0</v>
      </c>
    </row>
    <row r="9153">
      <c r="Y9153" s="372">
        <v>0.0</v>
      </c>
      <c r="Z9153" s="372">
        <v>0.0</v>
      </c>
    </row>
    <row r="9154">
      <c r="Y9154" s="372">
        <v>0.0</v>
      </c>
      <c r="Z9154" s="372">
        <v>0.0</v>
      </c>
    </row>
    <row r="9155">
      <c r="Y9155" s="372">
        <v>0.0</v>
      </c>
      <c r="Z9155" s="372">
        <v>0.0</v>
      </c>
    </row>
    <row r="9156">
      <c r="Y9156" s="372">
        <v>0.0</v>
      </c>
      <c r="Z9156" s="372">
        <v>0.0</v>
      </c>
    </row>
    <row r="9157">
      <c r="Y9157" s="372">
        <v>0.0</v>
      </c>
      <c r="Z9157" s="372">
        <v>0.0</v>
      </c>
    </row>
    <row r="9158">
      <c r="Y9158" s="372">
        <v>0.0</v>
      </c>
      <c r="Z9158" s="372">
        <v>0.0</v>
      </c>
    </row>
    <row r="9159">
      <c r="Y9159" s="372">
        <v>0.0</v>
      </c>
      <c r="Z9159" s="372">
        <v>0.0</v>
      </c>
    </row>
    <row r="9160">
      <c r="Y9160" s="372">
        <v>0.0</v>
      </c>
      <c r="Z9160" s="372">
        <v>0.0</v>
      </c>
    </row>
    <row r="9161">
      <c r="Y9161" s="372">
        <v>0.0</v>
      </c>
      <c r="Z9161" s="372">
        <v>0.0</v>
      </c>
    </row>
    <row r="9162">
      <c r="Y9162" s="372">
        <v>0.0</v>
      </c>
      <c r="Z9162" s="372">
        <v>0.0</v>
      </c>
    </row>
    <row r="9163">
      <c r="Y9163" s="372">
        <v>0.0</v>
      </c>
      <c r="Z9163" s="372">
        <v>0.0</v>
      </c>
    </row>
    <row r="9164">
      <c r="Y9164" s="372">
        <v>0.0</v>
      </c>
      <c r="Z9164" s="372">
        <v>0.0</v>
      </c>
    </row>
    <row r="9165">
      <c r="Y9165" s="372">
        <v>0.0</v>
      </c>
      <c r="Z9165" s="372">
        <v>0.0</v>
      </c>
    </row>
    <row r="9166">
      <c r="Y9166" s="372">
        <v>0.0</v>
      </c>
      <c r="Z9166" s="372">
        <v>0.0</v>
      </c>
    </row>
    <row r="9167">
      <c r="Y9167" s="372">
        <v>0.0</v>
      </c>
      <c r="Z9167" s="372">
        <v>0.0</v>
      </c>
    </row>
    <row r="9168">
      <c r="Y9168" s="372">
        <v>0.0</v>
      </c>
      <c r="Z9168" s="372">
        <v>0.0</v>
      </c>
    </row>
    <row r="9169">
      <c r="Y9169" s="372">
        <v>0.0</v>
      </c>
      <c r="Z9169" s="372">
        <v>0.0</v>
      </c>
    </row>
    <row r="9170">
      <c r="Y9170" s="372">
        <v>0.0</v>
      </c>
      <c r="Z9170" s="372">
        <v>0.0</v>
      </c>
    </row>
    <row r="9171">
      <c r="Y9171" s="372">
        <v>0.0</v>
      </c>
      <c r="Z9171" s="372">
        <v>0.0</v>
      </c>
    </row>
    <row r="9172">
      <c r="Y9172" s="372">
        <v>0.0</v>
      </c>
      <c r="Z9172" s="372">
        <v>0.0</v>
      </c>
    </row>
    <row r="9173">
      <c r="Y9173" s="372">
        <v>0.0</v>
      </c>
      <c r="Z9173" s="372">
        <v>0.0</v>
      </c>
    </row>
    <row r="9174">
      <c r="Y9174" s="372">
        <v>0.0</v>
      </c>
      <c r="Z9174" s="372">
        <v>0.0</v>
      </c>
    </row>
    <row r="9175">
      <c r="Y9175" s="372">
        <v>0.0</v>
      </c>
      <c r="Z9175" s="372">
        <v>0.0</v>
      </c>
    </row>
    <row r="9176">
      <c r="Y9176" s="372">
        <v>0.0</v>
      </c>
      <c r="Z9176" s="372">
        <v>0.0</v>
      </c>
    </row>
    <row r="9177">
      <c r="Y9177" s="372">
        <v>0.0</v>
      </c>
      <c r="Z9177" s="372">
        <v>0.0</v>
      </c>
    </row>
    <row r="9178">
      <c r="Y9178" s="372">
        <v>0.0</v>
      </c>
      <c r="Z9178" s="372">
        <v>0.0</v>
      </c>
    </row>
    <row r="9179">
      <c r="Y9179" s="372">
        <v>0.0</v>
      </c>
      <c r="Z9179" s="372">
        <v>0.0</v>
      </c>
    </row>
    <row r="9180">
      <c r="Y9180" s="372">
        <v>0.0</v>
      </c>
      <c r="Z9180" s="372">
        <v>0.0</v>
      </c>
    </row>
    <row r="9181">
      <c r="Y9181" s="372">
        <v>0.0</v>
      </c>
      <c r="Z9181" s="372">
        <v>0.0</v>
      </c>
    </row>
    <row r="9182">
      <c r="Y9182" s="372">
        <v>0.0</v>
      </c>
      <c r="Z9182" s="372">
        <v>0.0</v>
      </c>
    </row>
    <row r="9183">
      <c r="Y9183" s="372">
        <v>0.0</v>
      </c>
      <c r="Z9183" s="372">
        <v>0.0</v>
      </c>
    </row>
    <row r="9184">
      <c r="Y9184" s="372">
        <v>0.0</v>
      </c>
      <c r="Z9184" s="372">
        <v>0.0</v>
      </c>
    </row>
    <row r="9185">
      <c r="Y9185" s="372">
        <v>0.0</v>
      </c>
      <c r="Z9185" s="372">
        <v>0.0</v>
      </c>
    </row>
    <row r="9186">
      <c r="Y9186" s="372">
        <v>0.0</v>
      </c>
      <c r="Z9186" s="372">
        <v>0.0</v>
      </c>
    </row>
    <row r="9187">
      <c r="Y9187" s="372">
        <v>0.0</v>
      </c>
      <c r="Z9187" s="372">
        <v>0.0</v>
      </c>
    </row>
    <row r="9188">
      <c r="Y9188" s="372">
        <v>0.0</v>
      </c>
      <c r="Z9188" s="372">
        <v>0.0</v>
      </c>
    </row>
    <row r="9189">
      <c r="Y9189" s="372">
        <v>0.0</v>
      </c>
      <c r="Z9189" s="372">
        <v>0.0</v>
      </c>
    </row>
    <row r="9190">
      <c r="Y9190" s="372">
        <v>0.0</v>
      </c>
      <c r="Z9190" s="372">
        <v>0.0</v>
      </c>
    </row>
    <row r="9191">
      <c r="Y9191" s="372">
        <v>0.0</v>
      </c>
      <c r="Z9191" s="372">
        <v>0.0</v>
      </c>
    </row>
    <row r="9192">
      <c r="Y9192" s="372">
        <v>0.0</v>
      </c>
      <c r="Z9192" s="372">
        <v>0.0</v>
      </c>
    </row>
    <row r="9193">
      <c r="Y9193" s="372">
        <v>0.0</v>
      </c>
      <c r="Z9193" s="372">
        <v>0.0</v>
      </c>
    </row>
    <row r="9194">
      <c r="Y9194" s="372">
        <v>0.0</v>
      </c>
      <c r="Z9194" s="372">
        <v>0.0</v>
      </c>
    </row>
    <row r="9195">
      <c r="Y9195" s="372">
        <v>0.0</v>
      </c>
      <c r="Z9195" s="372">
        <v>0.0</v>
      </c>
    </row>
    <row r="9196">
      <c r="Y9196" s="372">
        <v>0.0</v>
      </c>
      <c r="Z9196" s="372">
        <v>0.0</v>
      </c>
    </row>
    <row r="9197">
      <c r="Y9197" s="372">
        <v>0.0</v>
      </c>
      <c r="Z9197" s="372">
        <v>0.0</v>
      </c>
    </row>
    <row r="9198">
      <c r="Y9198" s="372">
        <v>0.0</v>
      </c>
      <c r="Z9198" s="372">
        <v>0.0</v>
      </c>
    </row>
    <row r="9199">
      <c r="Y9199" s="372">
        <v>0.0</v>
      </c>
      <c r="Z9199" s="372">
        <v>0.0</v>
      </c>
    </row>
    <row r="9200">
      <c r="Y9200" s="372">
        <v>0.0</v>
      </c>
      <c r="Z9200" s="372">
        <v>0.0</v>
      </c>
    </row>
    <row r="9201">
      <c r="Y9201" s="372">
        <v>0.0</v>
      </c>
      <c r="Z9201" s="372">
        <v>0.0</v>
      </c>
    </row>
    <row r="9202">
      <c r="Y9202" s="372">
        <v>0.0</v>
      </c>
      <c r="Z9202" s="372">
        <v>0.0</v>
      </c>
    </row>
    <row r="9203">
      <c r="Y9203" s="372">
        <v>0.0</v>
      </c>
      <c r="Z9203" s="372">
        <v>0.0</v>
      </c>
    </row>
    <row r="9204">
      <c r="Y9204" s="372">
        <v>0.0</v>
      </c>
      <c r="Z9204" s="372">
        <v>0.0</v>
      </c>
    </row>
    <row r="9205">
      <c r="Y9205" s="372">
        <v>0.0</v>
      </c>
      <c r="Z9205" s="372">
        <v>0.0</v>
      </c>
    </row>
    <row r="9206">
      <c r="Y9206" s="372">
        <v>0.0</v>
      </c>
      <c r="Z9206" s="372">
        <v>0.0</v>
      </c>
    </row>
    <row r="9207">
      <c r="Y9207" s="372">
        <v>0.0</v>
      </c>
      <c r="Z9207" s="372">
        <v>0.0</v>
      </c>
    </row>
    <row r="9208">
      <c r="Y9208" s="372">
        <v>0.0</v>
      </c>
      <c r="Z9208" s="372">
        <v>0.0</v>
      </c>
    </row>
    <row r="9209">
      <c r="Y9209" s="372">
        <v>0.0</v>
      </c>
      <c r="Z9209" s="372">
        <v>0.0</v>
      </c>
    </row>
    <row r="9210">
      <c r="Y9210" s="372">
        <v>0.0</v>
      </c>
      <c r="Z9210" s="372">
        <v>0.0</v>
      </c>
    </row>
    <row r="9211">
      <c r="Y9211" s="372">
        <v>0.0</v>
      </c>
      <c r="Z9211" s="372">
        <v>0.0</v>
      </c>
    </row>
    <row r="9212">
      <c r="Y9212" s="372">
        <v>0.0</v>
      </c>
      <c r="Z9212" s="372">
        <v>0.0</v>
      </c>
    </row>
    <row r="9213">
      <c r="Y9213" s="372">
        <v>0.0</v>
      </c>
      <c r="Z9213" s="372">
        <v>0.0</v>
      </c>
    </row>
    <row r="9214">
      <c r="Y9214" s="372">
        <v>0.0</v>
      </c>
      <c r="Z9214" s="372">
        <v>0.0</v>
      </c>
    </row>
    <row r="9215">
      <c r="Y9215" s="372">
        <v>0.0</v>
      </c>
      <c r="Z9215" s="372">
        <v>0.0</v>
      </c>
    </row>
    <row r="9216">
      <c r="Y9216" s="372">
        <v>0.0</v>
      </c>
      <c r="Z9216" s="372">
        <v>0.0</v>
      </c>
    </row>
    <row r="9217">
      <c r="Y9217" s="372">
        <v>0.0</v>
      </c>
      <c r="Z9217" s="372">
        <v>0.0</v>
      </c>
    </row>
    <row r="9218">
      <c r="Y9218" s="372">
        <v>0.0</v>
      </c>
      <c r="Z9218" s="372">
        <v>0.0</v>
      </c>
    </row>
    <row r="9219">
      <c r="Y9219" s="372">
        <v>0.0</v>
      </c>
      <c r="Z9219" s="372">
        <v>0.0</v>
      </c>
    </row>
    <row r="9220">
      <c r="Y9220" s="372">
        <v>0.0</v>
      </c>
      <c r="Z9220" s="372">
        <v>0.0</v>
      </c>
    </row>
    <row r="9221">
      <c r="Y9221" s="372">
        <v>0.0</v>
      </c>
      <c r="Z9221" s="372">
        <v>0.0</v>
      </c>
    </row>
    <row r="9222">
      <c r="Y9222" s="372">
        <v>0.0</v>
      </c>
      <c r="Z9222" s="372">
        <v>0.0</v>
      </c>
    </row>
    <row r="9223">
      <c r="Y9223" s="372">
        <v>0.0</v>
      </c>
      <c r="Z9223" s="372">
        <v>0.0</v>
      </c>
    </row>
    <row r="9224">
      <c r="Y9224" s="372">
        <v>0.0</v>
      </c>
      <c r="Z9224" s="372">
        <v>0.0</v>
      </c>
    </row>
    <row r="9225">
      <c r="Y9225" s="372">
        <v>0.0</v>
      </c>
      <c r="Z9225" s="372">
        <v>0.0</v>
      </c>
    </row>
    <row r="9226">
      <c r="Y9226" s="372">
        <v>0.0</v>
      </c>
      <c r="Z9226" s="372">
        <v>0.0</v>
      </c>
    </row>
    <row r="9227">
      <c r="Y9227" s="372">
        <v>0.0</v>
      </c>
      <c r="Z9227" s="372">
        <v>0.0</v>
      </c>
    </row>
    <row r="9228">
      <c r="Y9228" s="372">
        <v>0.0</v>
      </c>
      <c r="Z9228" s="372">
        <v>0.0</v>
      </c>
    </row>
    <row r="9229">
      <c r="Y9229" s="372">
        <v>0.0</v>
      </c>
      <c r="Z9229" s="372">
        <v>0.0</v>
      </c>
    </row>
    <row r="9230">
      <c r="Y9230" s="372">
        <v>0.0</v>
      </c>
      <c r="Z9230" s="372">
        <v>0.0</v>
      </c>
    </row>
    <row r="9231">
      <c r="Y9231" s="372">
        <v>0.0</v>
      </c>
      <c r="Z9231" s="372">
        <v>0.0</v>
      </c>
    </row>
    <row r="9232">
      <c r="Y9232" s="372">
        <v>0.0</v>
      </c>
      <c r="Z9232" s="372">
        <v>0.0</v>
      </c>
    </row>
    <row r="9233">
      <c r="Y9233" s="372">
        <v>0.0</v>
      </c>
      <c r="Z9233" s="372">
        <v>0.0</v>
      </c>
    </row>
    <row r="9234">
      <c r="Y9234" s="372">
        <v>0.0</v>
      </c>
      <c r="Z9234" s="372">
        <v>0.0</v>
      </c>
    </row>
    <row r="9235">
      <c r="Y9235" s="372">
        <v>0.0</v>
      </c>
      <c r="Z9235" s="372">
        <v>0.0</v>
      </c>
    </row>
    <row r="9236">
      <c r="Y9236" s="372">
        <v>0.0</v>
      </c>
      <c r="Z9236" s="372">
        <v>0.0</v>
      </c>
    </row>
    <row r="9237">
      <c r="Y9237" s="372">
        <v>0.0</v>
      </c>
      <c r="Z9237" s="372">
        <v>0.0</v>
      </c>
    </row>
    <row r="9238">
      <c r="Y9238" s="372">
        <v>0.0</v>
      </c>
      <c r="Z9238" s="372">
        <v>0.0</v>
      </c>
    </row>
    <row r="9239">
      <c r="Y9239" s="372">
        <v>0.0</v>
      </c>
      <c r="Z9239" s="372">
        <v>0.0</v>
      </c>
    </row>
    <row r="9240">
      <c r="Y9240" s="372">
        <v>0.0</v>
      </c>
      <c r="Z9240" s="372">
        <v>0.0</v>
      </c>
    </row>
    <row r="9241">
      <c r="Y9241" s="372">
        <v>0.0</v>
      </c>
      <c r="Z9241" s="372">
        <v>0.0</v>
      </c>
    </row>
    <row r="9242">
      <c r="Y9242" s="372">
        <v>0.0</v>
      </c>
      <c r="Z9242" s="372">
        <v>0.0</v>
      </c>
    </row>
    <row r="9243">
      <c r="Y9243" s="372">
        <v>0.0</v>
      </c>
      <c r="Z9243" s="372">
        <v>0.0</v>
      </c>
    </row>
    <row r="9244">
      <c r="Y9244" s="372">
        <v>0.0</v>
      </c>
      <c r="Z9244" s="372">
        <v>0.0</v>
      </c>
    </row>
    <row r="9245">
      <c r="Y9245" s="372">
        <v>0.0</v>
      </c>
      <c r="Z9245" s="372">
        <v>0.0</v>
      </c>
    </row>
    <row r="9246">
      <c r="Y9246" s="372">
        <v>0.0</v>
      </c>
      <c r="Z9246" s="372">
        <v>0.0</v>
      </c>
    </row>
    <row r="9247">
      <c r="Y9247" s="372">
        <v>0.0</v>
      </c>
      <c r="Z9247" s="372">
        <v>0.0</v>
      </c>
    </row>
    <row r="9248">
      <c r="Y9248" s="372">
        <v>0.0</v>
      </c>
      <c r="Z9248" s="372">
        <v>0.0</v>
      </c>
    </row>
    <row r="9249">
      <c r="Y9249" s="372">
        <v>0.0</v>
      </c>
      <c r="Z9249" s="372">
        <v>0.0</v>
      </c>
    </row>
    <row r="9250">
      <c r="Y9250" s="372">
        <v>0.0</v>
      </c>
      <c r="Z9250" s="372">
        <v>0.0</v>
      </c>
    </row>
    <row r="9251">
      <c r="Y9251" s="372">
        <v>0.0</v>
      </c>
      <c r="Z9251" s="372">
        <v>0.0</v>
      </c>
    </row>
    <row r="9252">
      <c r="Y9252" s="372">
        <v>0.0</v>
      </c>
      <c r="Z9252" s="372">
        <v>0.0</v>
      </c>
    </row>
    <row r="9253">
      <c r="Y9253" s="372">
        <v>0.0</v>
      </c>
      <c r="Z9253" s="372">
        <v>0.0</v>
      </c>
    </row>
    <row r="9254">
      <c r="Y9254" s="372">
        <v>0.0</v>
      </c>
      <c r="Z9254" s="372">
        <v>0.0</v>
      </c>
    </row>
    <row r="9255">
      <c r="Y9255" s="372">
        <v>0.0</v>
      </c>
      <c r="Z9255" s="372">
        <v>0.0</v>
      </c>
    </row>
    <row r="9256">
      <c r="Y9256" s="372">
        <v>0.0</v>
      </c>
      <c r="Z9256" s="372">
        <v>0.0</v>
      </c>
    </row>
    <row r="9257">
      <c r="Y9257" s="372">
        <v>0.0</v>
      </c>
      <c r="Z9257" s="372">
        <v>0.0</v>
      </c>
    </row>
    <row r="9258">
      <c r="Y9258" s="372">
        <v>0.0</v>
      </c>
      <c r="Z9258" s="372">
        <v>0.0</v>
      </c>
    </row>
    <row r="9259">
      <c r="Y9259" s="372">
        <v>0.0</v>
      </c>
      <c r="Z9259" s="372">
        <v>0.0</v>
      </c>
    </row>
    <row r="9260">
      <c r="Y9260" s="372">
        <v>0.0</v>
      </c>
      <c r="Z9260" s="372">
        <v>0.0</v>
      </c>
    </row>
    <row r="9261">
      <c r="Y9261" s="372">
        <v>0.0</v>
      </c>
      <c r="Z9261" s="372">
        <v>0.0</v>
      </c>
    </row>
    <row r="9262">
      <c r="Y9262" s="372">
        <v>0.0</v>
      </c>
      <c r="Z9262" s="372">
        <v>0.0</v>
      </c>
    </row>
    <row r="9263">
      <c r="Y9263" s="372">
        <v>0.0</v>
      </c>
      <c r="Z9263" s="372">
        <v>0.0</v>
      </c>
    </row>
    <row r="9264">
      <c r="Y9264" s="372">
        <v>0.0</v>
      </c>
      <c r="Z9264" s="372">
        <v>0.0</v>
      </c>
    </row>
    <row r="9265">
      <c r="Y9265" s="372">
        <v>0.0</v>
      </c>
      <c r="Z9265" s="372">
        <v>0.0</v>
      </c>
    </row>
    <row r="9266">
      <c r="Y9266" s="372">
        <v>0.0</v>
      </c>
      <c r="Z9266" s="372">
        <v>0.0</v>
      </c>
    </row>
    <row r="9267">
      <c r="Y9267" s="372">
        <v>0.0</v>
      </c>
      <c r="Z9267" s="372">
        <v>0.0</v>
      </c>
    </row>
    <row r="9268">
      <c r="Y9268" s="372">
        <v>0.0</v>
      </c>
      <c r="Z9268" s="372">
        <v>0.0</v>
      </c>
    </row>
    <row r="9269">
      <c r="Y9269" s="372">
        <v>0.0</v>
      </c>
      <c r="Z9269" s="372">
        <v>0.0</v>
      </c>
    </row>
    <row r="9270">
      <c r="Y9270" s="372">
        <v>0.0</v>
      </c>
      <c r="Z9270" s="372">
        <v>0.0</v>
      </c>
    </row>
    <row r="9271">
      <c r="Y9271" s="372">
        <v>0.0</v>
      </c>
      <c r="Z9271" s="372">
        <v>0.0</v>
      </c>
    </row>
    <row r="9272">
      <c r="Y9272" s="372">
        <v>0.0</v>
      </c>
      <c r="Z9272" s="372">
        <v>0.0</v>
      </c>
    </row>
    <row r="9273">
      <c r="Y9273" s="372">
        <v>0.0</v>
      </c>
      <c r="Z9273" s="372">
        <v>0.0</v>
      </c>
    </row>
    <row r="9274">
      <c r="Y9274" s="372">
        <v>0.0</v>
      </c>
      <c r="Z9274" s="372">
        <v>0.0</v>
      </c>
    </row>
    <row r="9275">
      <c r="Y9275" s="372">
        <v>0.0</v>
      </c>
      <c r="Z9275" s="372">
        <v>0.0</v>
      </c>
    </row>
    <row r="9276">
      <c r="Y9276" s="372">
        <v>0.0</v>
      </c>
      <c r="Z9276" s="372">
        <v>0.0</v>
      </c>
    </row>
    <row r="9277">
      <c r="Y9277" s="372">
        <v>0.0</v>
      </c>
      <c r="Z9277" s="372">
        <v>0.0</v>
      </c>
    </row>
    <row r="9278">
      <c r="Y9278" s="372">
        <v>0.0</v>
      </c>
      <c r="Z9278" s="372">
        <v>0.0</v>
      </c>
    </row>
    <row r="9279">
      <c r="Y9279" s="372">
        <v>0.0</v>
      </c>
      <c r="Z9279" s="372">
        <v>0.0</v>
      </c>
    </row>
    <row r="9280">
      <c r="Y9280" s="372">
        <v>0.0</v>
      </c>
      <c r="Z9280" s="372">
        <v>0.0</v>
      </c>
    </row>
    <row r="9281">
      <c r="Y9281" s="372">
        <v>0.0</v>
      </c>
      <c r="Z9281" s="372">
        <v>0.0</v>
      </c>
    </row>
    <row r="9282">
      <c r="Y9282" s="372">
        <v>0.0</v>
      </c>
      <c r="Z9282" s="372">
        <v>0.0</v>
      </c>
    </row>
    <row r="9283">
      <c r="Y9283" s="372">
        <v>0.0</v>
      </c>
      <c r="Z9283" s="372">
        <v>0.0</v>
      </c>
    </row>
    <row r="9284">
      <c r="Y9284" s="372">
        <v>0.0</v>
      </c>
      <c r="Z9284" s="372">
        <v>0.0</v>
      </c>
    </row>
    <row r="9285">
      <c r="Y9285" s="372">
        <v>0.0</v>
      </c>
      <c r="Z9285" s="372">
        <v>0.0</v>
      </c>
    </row>
    <row r="9286">
      <c r="Y9286" s="372">
        <v>0.0</v>
      </c>
      <c r="Z9286" s="372">
        <v>0.0</v>
      </c>
    </row>
    <row r="9287">
      <c r="Y9287" s="372">
        <v>0.0</v>
      </c>
      <c r="Z9287" s="372">
        <v>0.0</v>
      </c>
    </row>
    <row r="9288">
      <c r="Y9288" s="372">
        <v>0.0</v>
      </c>
      <c r="Z9288" s="372">
        <v>0.0</v>
      </c>
    </row>
    <row r="9289">
      <c r="Y9289" s="372">
        <v>0.0</v>
      </c>
      <c r="Z9289" s="372">
        <v>0.0</v>
      </c>
    </row>
    <row r="9290">
      <c r="Y9290" s="372">
        <v>0.0</v>
      </c>
      <c r="Z9290" s="372">
        <v>0.0</v>
      </c>
    </row>
    <row r="9291">
      <c r="Y9291" s="372">
        <v>0.0</v>
      </c>
      <c r="Z9291" s="372">
        <v>0.0</v>
      </c>
    </row>
    <row r="9292">
      <c r="Y9292" s="372">
        <v>0.0</v>
      </c>
      <c r="Z9292" s="372">
        <v>0.0</v>
      </c>
    </row>
    <row r="9293">
      <c r="Y9293" s="372">
        <v>0.0</v>
      </c>
      <c r="Z9293" s="372">
        <v>0.0</v>
      </c>
    </row>
    <row r="9294">
      <c r="Y9294" s="372">
        <v>0.0</v>
      </c>
      <c r="Z9294" s="372">
        <v>0.0</v>
      </c>
    </row>
    <row r="9295">
      <c r="Y9295" s="372">
        <v>0.0</v>
      </c>
      <c r="Z9295" s="372">
        <v>0.0</v>
      </c>
    </row>
    <row r="9296">
      <c r="Y9296" s="372">
        <v>0.0</v>
      </c>
      <c r="Z9296" s="372">
        <v>0.0</v>
      </c>
    </row>
    <row r="9297">
      <c r="Y9297" s="372">
        <v>0.0</v>
      </c>
      <c r="Z9297" s="372">
        <v>0.0</v>
      </c>
    </row>
    <row r="9298">
      <c r="Y9298" s="372">
        <v>0.0</v>
      </c>
      <c r="Z9298" s="372">
        <v>0.0</v>
      </c>
    </row>
    <row r="9299">
      <c r="Y9299" s="372">
        <v>0.0</v>
      </c>
      <c r="Z9299" s="372">
        <v>0.0</v>
      </c>
    </row>
    <row r="9300">
      <c r="Y9300" s="372">
        <v>0.0</v>
      </c>
      <c r="Z9300" s="372">
        <v>0.0</v>
      </c>
    </row>
    <row r="9301">
      <c r="Y9301" s="372">
        <v>0.0</v>
      </c>
      <c r="Z9301" s="372">
        <v>0.0</v>
      </c>
    </row>
    <row r="9302">
      <c r="Y9302" s="372">
        <v>0.0</v>
      </c>
      <c r="Z9302" s="372">
        <v>0.0</v>
      </c>
    </row>
    <row r="9303">
      <c r="Y9303" s="372">
        <v>0.0</v>
      </c>
      <c r="Z9303" s="372">
        <v>0.0</v>
      </c>
    </row>
    <row r="9304">
      <c r="Y9304" s="372">
        <v>0.0</v>
      </c>
      <c r="Z9304" s="372">
        <v>0.0</v>
      </c>
    </row>
    <row r="9305">
      <c r="Y9305" s="372">
        <v>0.0</v>
      </c>
      <c r="Z9305" s="372">
        <v>0.0</v>
      </c>
    </row>
    <row r="9306">
      <c r="Y9306" s="372">
        <v>0.0</v>
      </c>
      <c r="Z9306" s="372">
        <v>0.0</v>
      </c>
    </row>
    <row r="9307">
      <c r="Y9307" s="372">
        <v>0.0</v>
      </c>
      <c r="Z9307" s="372">
        <v>0.0</v>
      </c>
    </row>
    <row r="9308">
      <c r="Y9308" s="372">
        <v>0.0</v>
      </c>
      <c r="Z9308" s="372">
        <v>0.0</v>
      </c>
    </row>
    <row r="9309">
      <c r="Y9309" s="372">
        <v>0.0</v>
      </c>
      <c r="Z9309" s="372">
        <v>0.0</v>
      </c>
    </row>
    <row r="9310">
      <c r="Y9310" s="372">
        <v>0.0</v>
      </c>
      <c r="Z9310" s="372">
        <v>0.0</v>
      </c>
    </row>
    <row r="9311">
      <c r="Y9311" s="372">
        <v>0.0</v>
      </c>
      <c r="Z9311" s="372">
        <v>0.0</v>
      </c>
    </row>
    <row r="9312">
      <c r="Y9312" s="372">
        <v>0.0</v>
      </c>
      <c r="Z9312" s="372">
        <v>0.0</v>
      </c>
    </row>
    <row r="9313">
      <c r="Y9313" s="372">
        <v>0.0</v>
      </c>
      <c r="Z9313" s="372">
        <v>0.0</v>
      </c>
    </row>
    <row r="9314">
      <c r="Y9314" s="372">
        <v>0.0</v>
      </c>
      <c r="Z9314" s="372">
        <v>0.0</v>
      </c>
    </row>
    <row r="9315">
      <c r="Y9315" s="372">
        <v>0.0</v>
      </c>
      <c r="Z9315" s="372">
        <v>0.0</v>
      </c>
    </row>
    <row r="9316">
      <c r="Y9316" s="372">
        <v>0.0</v>
      </c>
      <c r="Z9316" s="372">
        <v>0.0</v>
      </c>
    </row>
    <row r="9317">
      <c r="Y9317" s="372">
        <v>0.0</v>
      </c>
      <c r="Z9317" s="372">
        <v>0.0</v>
      </c>
    </row>
    <row r="9318">
      <c r="Y9318" s="372">
        <v>0.0</v>
      </c>
      <c r="Z9318" s="372">
        <v>0.0</v>
      </c>
    </row>
    <row r="9319">
      <c r="Y9319" s="372">
        <v>0.0</v>
      </c>
      <c r="Z9319" s="372">
        <v>0.0</v>
      </c>
    </row>
    <row r="9320">
      <c r="Y9320" s="372">
        <v>0.0</v>
      </c>
      <c r="Z9320" s="372">
        <v>0.0</v>
      </c>
    </row>
    <row r="9321">
      <c r="Y9321" s="372">
        <v>0.0</v>
      </c>
      <c r="Z9321" s="372">
        <v>0.0</v>
      </c>
    </row>
    <row r="9322">
      <c r="Y9322" s="372">
        <v>0.0</v>
      </c>
      <c r="Z9322" s="372">
        <v>0.0</v>
      </c>
    </row>
    <row r="9323">
      <c r="Y9323" s="372">
        <v>0.0</v>
      </c>
      <c r="Z9323" s="372">
        <v>0.0</v>
      </c>
    </row>
    <row r="9324">
      <c r="Y9324" s="372">
        <v>0.0</v>
      </c>
      <c r="Z9324" s="372">
        <v>0.0</v>
      </c>
    </row>
    <row r="9325">
      <c r="Y9325" s="372">
        <v>0.0</v>
      </c>
      <c r="Z9325" s="372">
        <v>0.0</v>
      </c>
    </row>
    <row r="9326">
      <c r="Y9326" s="372">
        <v>0.0</v>
      </c>
      <c r="Z9326" s="372">
        <v>0.0</v>
      </c>
    </row>
    <row r="9327">
      <c r="Y9327" s="372">
        <v>0.0</v>
      </c>
      <c r="Z9327" s="372">
        <v>0.0</v>
      </c>
    </row>
    <row r="9328">
      <c r="Y9328" s="372">
        <v>0.0</v>
      </c>
      <c r="Z9328" s="372">
        <v>0.0</v>
      </c>
    </row>
    <row r="9329">
      <c r="Y9329" s="372">
        <v>0.0</v>
      </c>
      <c r="Z9329" s="372">
        <v>0.0</v>
      </c>
    </row>
    <row r="9330">
      <c r="Y9330" s="372">
        <v>0.0</v>
      </c>
      <c r="Z9330" s="372">
        <v>0.0</v>
      </c>
    </row>
    <row r="9331">
      <c r="Y9331" s="372">
        <v>0.0</v>
      </c>
      <c r="Z9331" s="372">
        <v>0.0</v>
      </c>
    </row>
    <row r="9332">
      <c r="Y9332" s="372">
        <v>0.0</v>
      </c>
      <c r="Z9332" s="372">
        <v>0.0</v>
      </c>
    </row>
    <row r="9333">
      <c r="Y9333" s="372">
        <v>0.0</v>
      </c>
      <c r="Z9333" s="372">
        <v>0.0</v>
      </c>
    </row>
    <row r="9334">
      <c r="Y9334" s="372">
        <v>0.0</v>
      </c>
      <c r="Z9334" s="372">
        <v>0.0</v>
      </c>
    </row>
    <row r="9335">
      <c r="Y9335" s="372">
        <v>0.0</v>
      </c>
      <c r="Z9335" s="372">
        <v>0.0</v>
      </c>
    </row>
    <row r="9336">
      <c r="Y9336" s="372">
        <v>0.0</v>
      </c>
      <c r="Z9336" s="372">
        <v>0.0</v>
      </c>
    </row>
    <row r="9337">
      <c r="Y9337" s="372">
        <v>0.0</v>
      </c>
      <c r="Z9337" s="372">
        <v>0.0</v>
      </c>
    </row>
    <row r="9338">
      <c r="Y9338" s="372">
        <v>0.0</v>
      </c>
      <c r="Z9338" s="372">
        <v>0.0</v>
      </c>
    </row>
    <row r="9339">
      <c r="Y9339" s="372">
        <v>0.0</v>
      </c>
      <c r="Z9339" s="372">
        <v>0.0</v>
      </c>
    </row>
    <row r="9340">
      <c r="Y9340" s="372">
        <v>0.0</v>
      </c>
      <c r="Z9340" s="372">
        <v>0.0</v>
      </c>
    </row>
    <row r="9341">
      <c r="Y9341" s="372">
        <v>0.0</v>
      </c>
      <c r="Z9341" s="372">
        <v>0.0</v>
      </c>
    </row>
    <row r="9342">
      <c r="Y9342" s="372">
        <v>0.0</v>
      </c>
      <c r="Z9342" s="372">
        <v>0.0</v>
      </c>
    </row>
    <row r="9343">
      <c r="Y9343" s="372">
        <v>0.0</v>
      </c>
      <c r="Z9343" s="372">
        <v>0.0</v>
      </c>
    </row>
    <row r="9344">
      <c r="Y9344" s="372">
        <v>0.0</v>
      </c>
      <c r="Z9344" s="372">
        <v>0.0</v>
      </c>
    </row>
    <row r="9345">
      <c r="Y9345" s="372">
        <v>0.0</v>
      </c>
      <c r="Z9345" s="372">
        <v>0.0</v>
      </c>
    </row>
    <row r="9346">
      <c r="Y9346" s="372">
        <v>0.0</v>
      </c>
      <c r="Z9346" s="372">
        <v>0.0</v>
      </c>
    </row>
    <row r="9347">
      <c r="Y9347" s="372">
        <v>0.0</v>
      </c>
      <c r="Z9347" s="372">
        <v>0.0</v>
      </c>
    </row>
    <row r="9348">
      <c r="Y9348" s="372">
        <v>0.0</v>
      </c>
      <c r="Z9348" s="372">
        <v>0.0</v>
      </c>
    </row>
    <row r="9349">
      <c r="Y9349" s="372">
        <v>0.0</v>
      </c>
      <c r="Z9349" s="372">
        <v>0.0</v>
      </c>
    </row>
    <row r="9350">
      <c r="Y9350" s="372">
        <v>0.0</v>
      </c>
      <c r="Z9350" s="372">
        <v>0.0</v>
      </c>
    </row>
    <row r="9351">
      <c r="Y9351" s="372">
        <v>0.0</v>
      </c>
      <c r="Z9351" s="372">
        <v>0.0</v>
      </c>
    </row>
    <row r="9352">
      <c r="Y9352" s="372">
        <v>0.0</v>
      </c>
      <c r="Z9352" s="372">
        <v>0.0</v>
      </c>
    </row>
    <row r="9353">
      <c r="Y9353" s="372">
        <v>0.0</v>
      </c>
      <c r="Z9353" s="372">
        <v>0.0</v>
      </c>
    </row>
    <row r="9354">
      <c r="Y9354" s="372">
        <v>0.0</v>
      </c>
      <c r="Z9354" s="372">
        <v>0.0</v>
      </c>
    </row>
    <row r="9355">
      <c r="Y9355" s="372">
        <v>0.0</v>
      </c>
      <c r="Z9355" s="372">
        <v>0.0</v>
      </c>
    </row>
    <row r="9356">
      <c r="Y9356" s="372">
        <v>0.0</v>
      </c>
      <c r="Z9356" s="372">
        <v>0.0</v>
      </c>
    </row>
    <row r="9357">
      <c r="Y9357" s="372">
        <v>0.0</v>
      </c>
      <c r="Z9357" s="372">
        <v>0.0</v>
      </c>
    </row>
    <row r="9358">
      <c r="Y9358" s="372">
        <v>0.0</v>
      </c>
      <c r="Z9358" s="372">
        <v>0.0</v>
      </c>
    </row>
    <row r="9359">
      <c r="Y9359" s="372">
        <v>0.0</v>
      </c>
      <c r="Z9359" s="372">
        <v>0.0</v>
      </c>
    </row>
    <row r="9360">
      <c r="Y9360" s="372">
        <v>0.0</v>
      </c>
      <c r="Z9360" s="372">
        <v>0.0</v>
      </c>
    </row>
    <row r="9361">
      <c r="Y9361" s="372">
        <v>0.0</v>
      </c>
      <c r="Z9361" s="372">
        <v>0.0</v>
      </c>
    </row>
    <row r="9362">
      <c r="Y9362" s="372">
        <v>0.0</v>
      </c>
      <c r="Z9362" s="372">
        <v>0.0</v>
      </c>
    </row>
    <row r="9363">
      <c r="Y9363" s="372">
        <v>0.0</v>
      </c>
      <c r="Z9363" s="372">
        <v>0.0</v>
      </c>
    </row>
    <row r="9364">
      <c r="Y9364" s="372">
        <v>0.0</v>
      </c>
      <c r="Z9364" s="372">
        <v>0.0</v>
      </c>
    </row>
    <row r="9365">
      <c r="Y9365" s="372">
        <v>0.0</v>
      </c>
      <c r="Z9365" s="372">
        <v>0.0</v>
      </c>
    </row>
    <row r="9366">
      <c r="Y9366" s="372">
        <v>0.0</v>
      </c>
      <c r="Z9366" s="372">
        <v>0.0</v>
      </c>
    </row>
    <row r="9367">
      <c r="Y9367" s="372">
        <v>0.0</v>
      </c>
      <c r="Z9367" s="372">
        <v>0.0</v>
      </c>
    </row>
    <row r="9368">
      <c r="Y9368" s="372">
        <v>0.0</v>
      </c>
      <c r="Z9368" s="372">
        <v>0.0</v>
      </c>
    </row>
    <row r="9369">
      <c r="Y9369" s="372">
        <v>0.0</v>
      </c>
      <c r="Z9369" s="372">
        <v>0.0</v>
      </c>
    </row>
    <row r="9370">
      <c r="Y9370" s="372">
        <v>0.0</v>
      </c>
      <c r="Z9370" s="372">
        <v>0.0</v>
      </c>
    </row>
    <row r="9371">
      <c r="Y9371" s="372">
        <v>0.0</v>
      </c>
      <c r="Z9371" s="372">
        <v>0.0</v>
      </c>
    </row>
    <row r="9372">
      <c r="Y9372" s="372">
        <v>0.0</v>
      </c>
      <c r="Z9372" s="372">
        <v>0.0</v>
      </c>
    </row>
    <row r="9373">
      <c r="Y9373" s="372">
        <v>0.0</v>
      </c>
      <c r="Z9373" s="372">
        <v>0.0</v>
      </c>
    </row>
    <row r="9374">
      <c r="Y9374" s="372">
        <v>0.0</v>
      </c>
      <c r="Z9374" s="372">
        <v>0.0</v>
      </c>
    </row>
    <row r="9375">
      <c r="Y9375" s="372">
        <v>0.0</v>
      </c>
      <c r="Z9375" s="372">
        <v>0.0</v>
      </c>
    </row>
    <row r="9376">
      <c r="Y9376" s="372">
        <v>0.0</v>
      </c>
      <c r="Z9376" s="372">
        <v>0.0</v>
      </c>
    </row>
    <row r="9377">
      <c r="Y9377" s="372">
        <v>0.0</v>
      </c>
      <c r="Z9377" s="372">
        <v>0.0</v>
      </c>
    </row>
    <row r="9378">
      <c r="Y9378" s="372">
        <v>0.0</v>
      </c>
      <c r="Z9378" s="372">
        <v>0.0</v>
      </c>
    </row>
    <row r="9379">
      <c r="Y9379" s="372">
        <v>0.0</v>
      </c>
      <c r="Z9379" s="372">
        <v>0.0</v>
      </c>
    </row>
    <row r="9380">
      <c r="Y9380" s="372">
        <v>0.0</v>
      </c>
      <c r="Z9380" s="372">
        <v>0.0</v>
      </c>
    </row>
    <row r="9381">
      <c r="Y9381" s="372">
        <v>0.0</v>
      </c>
      <c r="Z9381" s="372">
        <v>0.0</v>
      </c>
    </row>
    <row r="9382">
      <c r="Y9382" s="372">
        <v>0.0</v>
      </c>
      <c r="Z9382" s="372">
        <v>0.0</v>
      </c>
    </row>
    <row r="9383">
      <c r="Y9383" s="372">
        <v>0.0</v>
      </c>
      <c r="Z9383" s="372">
        <v>0.0</v>
      </c>
    </row>
    <row r="9384">
      <c r="Y9384" s="372">
        <v>0.0</v>
      </c>
      <c r="Z9384" s="372">
        <v>0.0</v>
      </c>
    </row>
    <row r="9385">
      <c r="Y9385" s="372">
        <v>0.0</v>
      </c>
      <c r="Z9385" s="372">
        <v>0.0</v>
      </c>
    </row>
    <row r="9386">
      <c r="Y9386" s="372">
        <v>0.0</v>
      </c>
      <c r="Z9386" s="372">
        <v>0.0</v>
      </c>
    </row>
    <row r="9387">
      <c r="Y9387" s="372">
        <v>0.0</v>
      </c>
      <c r="Z9387" s="372">
        <v>0.0</v>
      </c>
    </row>
    <row r="9388">
      <c r="Y9388" s="372">
        <v>0.0</v>
      </c>
      <c r="Z9388" s="372">
        <v>0.0</v>
      </c>
    </row>
    <row r="9389">
      <c r="Y9389" s="372">
        <v>0.0</v>
      </c>
      <c r="Z9389" s="372">
        <v>0.0</v>
      </c>
    </row>
    <row r="9390">
      <c r="Y9390" s="372">
        <v>0.0</v>
      </c>
      <c r="Z9390" s="372">
        <v>0.0</v>
      </c>
    </row>
    <row r="9391">
      <c r="Y9391" s="372">
        <v>0.0</v>
      </c>
      <c r="Z9391" s="372">
        <v>0.0</v>
      </c>
    </row>
    <row r="9392">
      <c r="Y9392" s="372">
        <v>0.0</v>
      </c>
      <c r="Z9392" s="372">
        <v>0.0</v>
      </c>
    </row>
    <row r="9393">
      <c r="Y9393" s="372">
        <v>0.0</v>
      </c>
      <c r="Z9393" s="372">
        <v>0.0</v>
      </c>
    </row>
    <row r="9394">
      <c r="Y9394" s="372">
        <v>0.0</v>
      </c>
      <c r="Z9394" s="372">
        <v>0.0</v>
      </c>
    </row>
    <row r="9395">
      <c r="Y9395" s="372">
        <v>0.0</v>
      </c>
      <c r="Z9395" s="372">
        <v>0.0</v>
      </c>
    </row>
    <row r="9396">
      <c r="Y9396" s="372">
        <v>0.0</v>
      </c>
      <c r="Z9396" s="372">
        <v>0.0</v>
      </c>
    </row>
    <row r="9397">
      <c r="Y9397" s="372">
        <v>0.0</v>
      </c>
      <c r="Z9397" s="372">
        <v>0.0</v>
      </c>
    </row>
    <row r="9398">
      <c r="Y9398" s="372">
        <v>0.0</v>
      </c>
      <c r="Z9398" s="372">
        <v>0.0</v>
      </c>
    </row>
    <row r="9399">
      <c r="Y9399" s="372">
        <v>0.0</v>
      </c>
      <c r="Z9399" s="372">
        <v>0.0</v>
      </c>
    </row>
    <row r="9400">
      <c r="Y9400" s="372">
        <v>0.0</v>
      </c>
      <c r="Z9400" s="372">
        <v>0.0</v>
      </c>
    </row>
    <row r="9401">
      <c r="Y9401" s="372">
        <v>0.0</v>
      </c>
      <c r="Z9401" s="372">
        <v>0.0</v>
      </c>
    </row>
    <row r="9402">
      <c r="Y9402" s="372">
        <v>0.0</v>
      </c>
      <c r="Z9402" s="372">
        <v>0.0</v>
      </c>
    </row>
    <row r="9403">
      <c r="Y9403" s="372">
        <v>0.0</v>
      </c>
      <c r="Z9403" s="372">
        <v>0.0</v>
      </c>
    </row>
    <row r="9404">
      <c r="Y9404" s="372">
        <v>0.0</v>
      </c>
      <c r="Z9404" s="372">
        <v>0.0</v>
      </c>
    </row>
    <row r="9405">
      <c r="Y9405" s="372">
        <v>0.0</v>
      </c>
      <c r="Z9405" s="372">
        <v>0.0</v>
      </c>
    </row>
    <row r="9406">
      <c r="Y9406" s="372">
        <v>0.0</v>
      </c>
      <c r="Z9406" s="372">
        <v>0.0</v>
      </c>
    </row>
    <row r="9407">
      <c r="Y9407" s="372">
        <v>0.0</v>
      </c>
      <c r="Z9407" s="372">
        <v>0.0</v>
      </c>
    </row>
    <row r="9408">
      <c r="Y9408" s="372">
        <v>0.0</v>
      </c>
      <c r="Z9408" s="372">
        <v>0.0</v>
      </c>
    </row>
    <row r="9409">
      <c r="Y9409" s="372">
        <v>0.0</v>
      </c>
      <c r="Z9409" s="372">
        <v>0.0</v>
      </c>
    </row>
    <row r="9410">
      <c r="Y9410" s="372">
        <v>0.0</v>
      </c>
      <c r="Z9410" s="372">
        <v>0.0</v>
      </c>
    </row>
    <row r="9411">
      <c r="Y9411" s="372">
        <v>0.0</v>
      </c>
      <c r="Z9411" s="372">
        <v>0.0</v>
      </c>
    </row>
    <row r="9412">
      <c r="Y9412" s="372">
        <v>0.0</v>
      </c>
      <c r="Z9412" s="372">
        <v>0.0</v>
      </c>
    </row>
    <row r="9413">
      <c r="Y9413" s="372">
        <v>0.0</v>
      </c>
      <c r="Z9413" s="372">
        <v>0.0</v>
      </c>
    </row>
    <row r="9414">
      <c r="Y9414" s="372">
        <v>0.0</v>
      </c>
      <c r="Z9414" s="372">
        <v>0.0</v>
      </c>
    </row>
    <row r="9415">
      <c r="Y9415" s="372">
        <v>0.0</v>
      </c>
      <c r="Z9415" s="372">
        <v>0.0</v>
      </c>
    </row>
    <row r="9416">
      <c r="Y9416" s="372">
        <v>0.0</v>
      </c>
      <c r="Z9416" s="372">
        <v>0.0</v>
      </c>
    </row>
    <row r="9417">
      <c r="Y9417" s="372">
        <v>0.0</v>
      </c>
      <c r="Z9417" s="372">
        <v>0.0</v>
      </c>
    </row>
    <row r="9418">
      <c r="Y9418" s="372">
        <v>0.0</v>
      </c>
      <c r="Z9418" s="372">
        <v>0.0</v>
      </c>
    </row>
    <row r="9419">
      <c r="Y9419" s="372">
        <v>0.0</v>
      </c>
      <c r="Z9419" s="372">
        <v>0.0</v>
      </c>
    </row>
    <row r="9420">
      <c r="Y9420" s="372">
        <v>0.0</v>
      </c>
      <c r="Z9420" s="372">
        <v>0.0</v>
      </c>
    </row>
    <row r="9421">
      <c r="Y9421" s="372">
        <v>0.0</v>
      </c>
      <c r="Z9421" s="372">
        <v>0.0</v>
      </c>
    </row>
    <row r="9422">
      <c r="Y9422" s="372">
        <v>0.0</v>
      </c>
      <c r="Z9422" s="372">
        <v>0.0</v>
      </c>
    </row>
    <row r="9423">
      <c r="Y9423" s="372">
        <v>0.0</v>
      </c>
      <c r="Z9423" s="372">
        <v>0.0</v>
      </c>
    </row>
    <row r="9424">
      <c r="Y9424" s="372">
        <v>0.0</v>
      </c>
      <c r="Z9424" s="372">
        <v>0.0</v>
      </c>
    </row>
    <row r="9425">
      <c r="Y9425" s="372">
        <v>0.0</v>
      </c>
      <c r="Z9425" s="372">
        <v>0.0</v>
      </c>
    </row>
    <row r="9426">
      <c r="Y9426" s="372">
        <v>0.0</v>
      </c>
      <c r="Z9426" s="372">
        <v>0.0</v>
      </c>
    </row>
    <row r="9427">
      <c r="Y9427" s="372">
        <v>0.0</v>
      </c>
      <c r="Z9427" s="372">
        <v>0.0</v>
      </c>
    </row>
    <row r="9428">
      <c r="Y9428" s="372">
        <v>0.0</v>
      </c>
      <c r="Z9428" s="372">
        <v>0.0</v>
      </c>
    </row>
    <row r="9429">
      <c r="Y9429" s="372">
        <v>0.0</v>
      </c>
      <c r="Z9429" s="372">
        <v>0.0</v>
      </c>
    </row>
    <row r="9430">
      <c r="Y9430" s="372">
        <v>0.0</v>
      </c>
      <c r="Z9430" s="372">
        <v>0.0</v>
      </c>
    </row>
    <row r="9431">
      <c r="Y9431" s="372">
        <v>0.0</v>
      </c>
      <c r="Z9431" s="372">
        <v>0.0</v>
      </c>
    </row>
    <row r="9432">
      <c r="Y9432" s="372">
        <v>0.0</v>
      </c>
      <c r="Z9432" s="372">
        <v>0.0</v>
      </c>
    </row>
    <row r="9433">
      <c r="Y9433" s="372">
        <v>0.0</v>
      </c>
      <c r="Z9433" s="372">
        <v>0.0</v>
      </c>
    </row>
    <row r="9434">
      <c r="Y9434" s="372">
        <v>0.0</v>
      </c>
      <c r="Z9434" s="372">
        <v>0.0</v>
      </c>
    </row>
    <row r="9435">
      <c r="Y9435" s="372">
        <v>0.0</v>
      </c>
      <c r="Z9435" s="372">
        <v>0.0</v>
      </c>
    </row>
    <row r="9436">
      <c r="Y9436" s="372">
        <v>0.0</v>
      </c>
      <c r="Z9436" s="372">
        <v>0.0</v>
      </c>
    </row>
    <row r="9437">
      <c r="Y9437" s="372">
        <v>0.0</v>
      </c>
      <c r="Z9437" s="372">
        <v>0.0</v>
      </c>
    </row>
    <row r="9438">
      <c r="Y9438" s="372">
        <v>0.0</v>
      </c>
      <c r="Z9438" s="372">
        <v>0.0</v>
      </c>
    </row>
    <row r="9439">
      <c r="Y9439" s="372">
        <v>0.0</v>
      </c>
      <c r="Z9439" s="372">
        <v>0.0</v>
      </c>
    </row>
    <row r="9440">
      <c r="Y9440" s="372">
        <v>0.0</v>
      </c>
      <c r="Z9440" s="372">
        <v>0.0</v>
      </c>
    </row>
    <row r="9441">
      <c r="Y9441" s="372">
        <v>0.0</v>
      </c>
      <c r="Z9441" s="372">
        <v>0.0</v>
      </c>
    </row>
    <row r="9442">
      <c r="Y9442" s="372">
        <v>0.0</v>
      </c>
      <c r="Z9442" s="372">
        <v>0.0</v>
      </c>
    </row>
    <row r="9443">
      <c r="Y9443" s="372">
        <v>0.0</v>
      </c>
      <c r="Z9443" s="372">
        <v>0.0</v>
      </c>
    </row>
    <row r="9444">
      <c r="Y9444" s="372">
        <v>0.0</v>
      </c>
      <c r="Z9444" s="372">
        <v>0.0</v>
      </c>
    </row>
    <row r="9445">
      <c r="Y9445" s="372">
        <v>0.0</v>
      </c>
      <c r="Z9445" s="372">
        <v>0.0</v>
      </c>
    </row>
    <row r="9446">
      <c r="Y9446" s="372">
        <v>0.0</v>
      </c>
      <c r="Z9446" s="372">
        <v>0.0</v>
      </c>
    </row>
    <row r="9447">
      <c r="Y9447" s="372">
        <v>0.0</v>
      </c>
      <c r="Z9447" s="372">
        <v>0.0</v>
      </c>
    </row>
    <row r="9448">
      <c r="Y9448" s="372">
        <v>0.0</v>
      </c>
      <c r="Z9448" s="372">
        <v>0.0</v>
      </c>
    </row>
    <row r="9449">
      <c r="Y9449" s="372">
        <v>0.0</v>
      </c>
      <c r="Z9449" s="372">
        <v>0.0</v>
      </c>
    </row>
    <row r="9450">
      <c r="Y9450" s="372">
        <v>0.0</v>
      </c>
      <c r="Z9450" s="372">
        <v>0.0</v>
      </c>
    </row>
    <row r="9451">
      <c r="Y9451" s="372">
        <v>0.0</v>
      </c>
      <c r="Z9451" s="372">
        <v>0.0</v>
      </c>
    </row>
    <row r="9452">
      <c r="Y9452" s="372">
        <v>0.0</v>
      </c>
      <c r="Z9452" s="372">
        <v>0.0</v>
      </c>
    </row>
    <row r="9453">
      <c r="Y9453" s="372">
        <v>0.0</v>
      </c>
      <c r="Z9453" s="372">
        <v>0.0</v>
      </c>
    </row>
    <row r="9454">
      <c r="Y9454" s="372">
        <v>0.0</v>
      </c>
      <c r="Z9454" s="372">
        <v>0.0</v>
      </c>
    </row>
    <row r="9455">
      <c r="Y9455" s="372">
        <v>0.0</v>
      </c>
      <c r="Z9455" s="372">
        <v>0.0</v>
      </c>
    </row>
    <row r="9456">
      <c r="Y9456" s="372">
        <v>0.0</v>
      </c>
      <c r="Z9456" s="372">
        <v>0.0</v>
      </c>
    </row>
    <row r="9457">
      <c r="Y9457" s="372">
        <v>0.0</v>
      </c>
      <c r="Z9457" s="372">
        <v>0.0</v>
      </c>
    </row>
    <row r="9458">
      <c r="Y9458" s="372">
        <v>0.0</v>
      </c>
      <c r="Z9458" s="372">
        <v>0.0</v>
      </c>
    </row>
    <row r="9459">
      <c r="Y9459" s="372">
        <v>0.0</v>
      </c>
      <c r="Z9459" s="372">
        <v>0.0</v>
      </c>
    </row>
    <row r="9460">
      <c r="Y9460" s="372">
        <v>0.0</v>
      </c>
      <c r="Z9460" s="372">
        <v>0.0</v>
      </c>
    </row>
    <row r="9461">
      <c r="Y9461" s="372">
        <v>0.0</v>
      </c>
      <c r="Z9461" s="372">
        <v>0.0</v>
      </c>
    </row>
    <row r="9462">
      <c r="Y9462" s="372">
        <v>0.0</v>
      </c>
      <c r="Z9462" s="372">
        <v>0.0</v>
      </c>
    </row>
    <row r="9463">
      <c r="Y9463" s="372">
        <v>0.0</v>
      </c>
      <c r="Z9463" s="372">
        <v>0.0</v>
      </c>
    </row>
    <row r="9464">
      <c r="Y9464" s="372">
        <v>0.0</v>
      </c>
      <c r="Z9464" s="372">
        <v>0.0</v>
      </c>
    </row>
    <row r="9465">
      <c r="Y9465" s="372">
        <v>0.0</v>
      </c>
      <c r="Z9465" s="372">
        <v>0.0</v>
      </c>
    </row>
    <row r="9466">
      <c r="Y9466" s="372">
        <v>0.0</v>
      </c>
      <c r="Z9466" s="372">
        <v>0.0</v>
      </c>
    </row>
    <row r="9467">
      <c r="Y9467" s="372">
        <v>0.0</v>
      </c>
      <c r="Z9467" s="372">
        <v>0.0</v>
      </c>
    </row>
    <row r="9468">
      <c r="Y9468" s="372">
        <v>0.0</v>
      </c>
      <c r="Z9468" s="372">
        <v>0.0</v>
      </c>
    </row>
    <row r="9469">
      <c r="Y9469" s="372">
        <v>0.0</v>
      </c>
      <c r="Z9469" s="372">
        <v>0.0</v>
      </c>
    </row>
    <row r="9470">
      <c r="Y9470" s="372">
        <v>0.0</v>
      </c>
      <c r="Z9470" s="372">
        <v>0.0</v>
      </c>
    </row>
    <row r="9471">
      <c r="Y9471" s="372">
        <v>0.0</v>
      </c>
      <c r="Z9471" s="372">
        <v>0.0</v>
      </c>
    </row>
    <row r="9472">
      <c r="Y9472" s="372">
        <v>0.0</v>
      </c>
      <c r="Z9472" s="372">
        <v>0.0</v>
      </c>
    </row>
    <row r="9473">
      <c r="Y9473" s="372">
        <v>0.0</v>
      </c>
      <c r="Z9473" s="372">
        <v>0.0</v>
      </c>
    </row>
    <row r="9474">
      <c r="Y9474" s="372">
        <v>0.0</v>
      </c>
      <c r="Z9474" s="372">
        <v>0.0</v>
      </c>
    </row>
    <row r="9475">
      <c r="Y9475" s="372">
        <v>0.0</v>
      </c>
      <c r="Z9475" s="372">
        <v>0.0</v>
      </c>
    </row>
    <row r="9476">
      <c r="Y9476" s="372">
        <v>0.0</v>
      </c>
      <c r="Z9476" s="372">
        <v>0.0</v>
      </c>
    </row>
    <row r="9477">
      <c r="Y9477" s="372">
        <v>0.0</v>
      </c>
      <c r="Z9477" s="372">
        <v>0.0</v>
      </c>
    </row>
    <row r="9478">
      <c r="Y9478" s="372">
        <v>0.0</v>
      </c>
      <c r="Z9478" s="372">
        <v>0.0</v>
      </c>
    </row>
    <row r="9479">
      <c r="Y9479" s="372">
        <v>0.0</v>
      </c>
      <c r="Z9479" s="372">
        <v>0.0</v>
      </c>
    </row>
    <row r="9480">
      <c r="Y9480" s="372">
        <v>0.0</v>
      </c>
      <c r="Z9480" s="372">
        <v>0.0</v>
      </c>
    </row>
    <row r="9481">
      <c r="Y9481" s="372">
        <v>0.0</v>
      </c>
      <c r="Z9481" s="372">
        <v>0.0</v>
      </c>
    </row>
    <row r="9482">
      <c r="Y9482" s="372">
        <v>0.0</v>
      </c>
      <c r="Z9482" s="372">
        <v>0.0</v>
      </c>
    </row>
    <row r="9483">
      <c r="Y9483" s="372">
        <v>0.0</v>
      </c>
      <c r="Z9483" s="372">
        <v>0.0</v>
      </c>
    </row>
    <row r="9484">
      <c r="Y9484" s="372">
        <v>0.0</v>
      </c>
      <c r="Z9484" s="372">
        <v>0.0</v>
      </c>
    </row>
    <row r="9485">
      <c r="Y9485" s="372">
        <v>0.0</v>
      </c>
      <c r="Z9485" s="372">
        <v>0.0</v>
      </c>
    </row>
    <row r="9486">
      <c r="Y9486" s="372">
        <v>0.0</v>
      </c>
      <c r="Z9486" s="372">
        <v>0.0</v>
      </c>
    </row>
    <row r="9487">
      <c r="Y9487" s="372">
        <v>0.0</v>
      </c>
      <c r="Z9487" s="372">
        <v>0.0</v>
      </c>
    </row>
    <row r="9488">
      <c r="Y9488" s="372">
        <v>0.0</v>
      </c>
      <c r="Z9488" s="372">
        <v>0.0</v>
      </c>
    </row>
    <row r="9489">
      <c r="Y9489" s="372">
        <v>0.0</v>
      </c>
      <c r="Z9489" s="372">
        <v>0.0</v>
      </c>
    </row>
    <row r="9490">
      <c r="Y9490" s="372">
        <v>0.0</v>
      </c>
      <c r="Z9490" s="372">
        <v>0.0</v>
      </c>
    </row>
    <row r="9491">
      <c r="Y9491" s="372">
        <v>0.0</v>
      </c>
      <c r="Z9491" s="372">
        <v>0.0</v>
      </c>
    </row>
    <row r="9492">
      <c r="Y9492" s="372">
        <v>0.0</v>
      </c>
      <c r="Z9492" s="372">
        <v>0.0</v>
      </c>
    </row>
    <row r="9493">
      <c r="Y9493" s="372">
        <v>0.0</v>
      </c>
      <c r="Z9493" s="372">
        <v>0.0</v>
      </c>
    </row>
    <row r="9494">
      <c r="Y9494" s="372">
        <v>0.0</v>
      </c>
      <c r="Z9494" s="372">
        <v>0.0</v>
      </c>
    </row>
    <row r="9495">
      <c r="Y9495" s="372">
        <v>0.0</v>
      </c>
      <c r="Z9495" s="372">
        <v>0.0</v>
      </c>
    </row>
    <row r="9496">
      <c r="Y9496" s="372">
        <v>0.0</v>
      </c>
      <c r="Z9496" s="372">
        <v>0.0</v>
      </c>
    </row>
    <row r="9497">
      <c r="Y9497" s="372">
        <v>0.0</v>
      </c>
      <c r="Z9497" s="372">
        <v>0.0</v>
      </c>
    </row>
    <row r="9498">
      <c r="Y9498" s="372">
        <v>0.0</v>
      </c>
      <c r="Z9498" s="372">
        <v>0.0</v>
      </c>
    </row>
    <row r="9499">
      <c r="Y9499" s="372">
        <v>0.0</v>
      </c>
      <c r="Z9499" s="372">
        <v>0.0</v>
      </c>
    </row>
    <row r="9500">
      <c r="Y9500" s="372">
        <v>0.0</v>
      </c>
      <c r="Z9500" s="372">
        <v>0.0</v>
      </c>
    </row>
    <row r="9501">
      <c r="Y9501" s="372">
        <v>0.0</v>
      </c>
      <c r="Z9501" s="372">
        <v>0.0</v>
      </c>
    </row>
    <row r="9502">
      <c r="Y9502" s="372">
        <v>0.0</v>
      </c>
      <c r="Z9502" s="372">
        <v>0.0</v>
      </c>
    </row>
    <row r="9503">
      <c r="Y9503" s="372">
        <v>0.0</v>
      </c>
      <c r="Z9503" s="372">
        <v>0.0</v>
      </c>
    </row>
    <row r="9504">
      <c r="Y9504" s="372">
        <v>0.0</v>
      </c>
      <c r="Z9504" s="372">
        <v>0.0</v>
      </c>
    </row>
    <row r="9505">
      <c r="Y9505" s="372">
        <v>0.0</v>
      </c>
      <c r="Z9505" s="372">
        <v>0.0</v>
      </c>
    </row>
    <row r="9506">
      <c r="Y9506" s="372">
        <v>0.0</v>
      </c>
      <c r="Z9506" s="372">
        <v>0.0</v>
      </c>
    </row>
    <row r="9507">
      <c r="Y9507" s="372">
        <v>0.0</v>
      </c>
      <c r="Z9507" s="372">
        <v>0.0</v>
      </c>
    </row>
    <row r="9508">
      <c r="Y9508" s="372">
        <v>0.0</v>
      </c>
      <c r="Z9508" s="372">
        <v>0.0</v>
      </c>
    </row>
    <row r="9509">
      <c r="Y9509" s="372">
        <v>0.0</v>
      </c>
      <c r="Z9509" s="372">
        <v>0.0</v>
      </c>
    </row>
    <row r="9510">
      <c r="Y9510" s="372">
        <v>0.0</v>
      </c>
      <c r="Z9510" s="372">
        <v>0.0</v>
      </c>
    </row>
    <row r="9511">
      <c r="Y9511" s="372">
        <v>0.0</v>
      </c>
      <c r="Z9511" s="372">
        <v>0.0</v>
      </c>
    </row>
    <row r="9512">
      <c r="Y9512" s="372">
        <v>0.0</v>
      </c>
      <c r="Z9512" s="372">
        <v>0.0</v>
      </c>
    </row>
    <row r="9513">
      <c r="Y9513" s="372">
        <v>0.0</v>
      </c>
      <c r="Z9513" s="372">
        <v>0.0</v>
      </c>
    </row>
    <row r="9514">
      <c r="Y9514" s="372">
        <v>0.0</v>
      </c>
      <c r="Z9514" s="372">
        <v>0.0</v>
      </c>
    </row>
    <row r="9515">
      <c r="Y9515" s="372">
        <v>0.0</v>
      </c>
      <c r="Z9515" s="372">
        <v>0.0</v>
      </c>
    </row>
    <row r="9516">
      <c r="Y9516" s="372">
        <v>0.0</v>
      </c>
      <c r="Z9516" s="372">
        <v>0.0</v>
      </c>
    </row>
    <row r="9517">
      <c r="Y9517" s="372">
        <v>0.0</v>
      </c>
      <c r="Z9517" s="372">
        <v>0.0</v>
      </c>
    </row>
    <row r="9518">
      <c r="Y9518" s="372">
        <v>0.0</v>
      </c>
      <c r="Z9518" s="372">
        <v>0.0</v>
      </c>
    </row>
    <row r="9519">
      <c r="Y9519" s="372">
        <v>0.0</v>
      </c>
      <c r="Z9519" s="372">
        <v>0.0</v>
      </c>
    </row>
    <row r="9520">
      <c r="Y9520" s="372">
        <v>0.0</v>
      </c>
      <c r="Z9520" s="372">
        <v>0.0</v>
      </c>
    </row>
    <row r="9521">
      <c r="Y9521" s="372">
        <v>0.0</v>
      </c>
      <c r="Z9521" s="372">
        <v>0.0</v>
      </c>
    </row>
    <row r="9522">
      <c r="Y9522" s="372">
        <v>0.0</v>
      </c>
      <c r="Z9522" s="372">
        <v>0.0</v>
      </c>
    </row>
    <row r="9523">
      <c r="Y9523" s="372">
        <v>0.0</v>
      </c>
      <c r="Z9523" s="372">
        <v>0.0</v>
      </c>
    </row>
    <row r="9524">
      <c r="Y9524" s="372">
        <v>0.0</v>
      </c>
      <c r="Z9524" s="372">
        <v>0.0</v>
      </c>
    </row>
    <row r="9525">
      <c r="Y9525" s="372">
        <v>0.0</v>
      </c>
      <c r="Z9525" s="372">
        <v>0.0</v>
      </c>
    </row>
    <row r="9526">
      <c r="Y9526" s="372">
        <v>0.0</v>
      </c>
      <c r="Z9526" s="372">
        <v>0.0</v>
      </c>
    </row>
    <row r="9527">
      <c r="Y9527" s="372">
        <v>0.0</v>
      </c>
      <c r="Z9527" s="372">
        <v>0.0</v>
      </c>
    </row>
    <row r="9528">
      <c r="Y9528" s="372">
        <v>0.0</v>
      </c>
      <c r="Z9528" s="372">
        <v>0.0</v>
      </c>
    </row>
    <row r="9529">
      <c r="Y9529" s="372">
        <v>0.0</v>
      </c>
      <c r="Z9529" s="372">
        <v>0.0</v>
      </c>
    </row>
    <row r="9530">
      <c r="Y9530" s="372">
        <v>0.0</v>
      </c>
      <c r="Z9530" s="372">
        <v>0.0</v>
      </c>
    </row>
    <row r="9531">
      <c r="Y9531" s="372">
        <v>0.0</v>
      </c>
      <c r="Z9531" s="372">
        <v>0.0</v>
      </c>
    </row>
    <row r="9532">
      <c r="Y9532" s="372">
        <v>0.0</v>
      </c>
      <c r="Z9532" s="372">
        <v>0.0</v>
      </c>
    </row>
    <row r="9533">
      <c r="Y9533" s="372">
        <v>0.0</v>
      </c>
      <c r="Z9533" s="372">
        <v>0.0</v>
      </c>
    </row>
    <row r="9534">
      <c r="Y9534" s="372">
        <v>0.0</v>
      </c>
      <c r="Z9534" s="372">
        <v>0.0</v>
      </c>
    </row>
    <row r="9535">
      <c r="Y9535" s="372">
        <v>0.0</v>
      </c>
      <c r="Z9535" s="372">
        <v>0.0</v>
      </c>
    </row>
    <row r="9536">
      <c r="Y9536" s="372">
        <v>0.0</v>
      </c>
      <c r="Z9536" s="372">
        <v>0.0</v>
      </c>
    </row>
    <row r="9537">
      <c r="Y9537" s="372">
        <v>0.0</v>
      </c>
      <c r="Z9537" s="372">
        <v>0.0</v>
      </c>
    </row>
    <row r="9538">
      <c r="Y9538" s="372">
        <v>0.0</v>
      </c>
      <c r="Z9538" s="372">
        <v>0.0</v>
      </c>
    </row>
    <row r="9539">
      <c r="Y9539" s="372">
        <v>0.0</v>
      </c>
      <c r="Z9539" s="372">
        <v>0.0</v>
      </c>
    </row>
    <row r="9540">
      <c r="Y9540" s="372">
        <v>0.0</v>
      </c>
      <c r="Z9540" s="372">
        <v>0.0</v>
      </c>
    </row>
    <row r="9541">
      <c r="Y9541" s="372">
        <v>0.0</v>
      </c>
      <c r="Z9541" s="372">
        <v>0.0</v>
      </c>
    </row>
    <row r="9542">
      <c r="Y9542" s="372">
        <v>0.0</v>
      </c>
      <c r="Z9542" s="372">
        <v>0.0</v>
      </c>
    </row>
    <row r="9543">
      <c r="Y9543" s="372">
        <v>0.0</v>
      </c>
      <c r="Z9543" s="372">
        <v>0.0</v>
      </c>
    </row>
    <row r="9544">
      <c r="Y9544" s="372">
        <v>0.0</v>
      </c>
      <c r="Z9544" s="372">
        <v>0.0</v>
      </c>
    </row>
    <row r="9545">
      <c r="Y9545" s="372">
        <v>0.0</v>
      </c>
      <c r="Z9545" s="372">
        <v>0.0</v>
      </c>
    </row>
    <row r="9546">
      <c r="Y9546" s="372">
        <v>0.0</v>
      </c>
      <c r="Z9546" s="372">
        <v>0.0</v>
      </c>
    </row>
    <row r="9547">
      <c r="Y9547" s="372">
        <v>0.0</v>
      </c>
      <c r="Z9547" s="372">
        <v>0.0</v>
      </c>
    </row>
    <row r="9548">
      <c r="Y9548" s="372">
        <v>0.0</v>
      </c>
      <c r="Z9548" s="372">
        <v>0.0</v>
      </c>
    </row>
    <row r="9549">
      <c r="Y9549" s="372">
        <v>0.0</v>
      </c>
      <c r="Z9549" s="372">
        <v>0.0</v>
      </c>
    </row>
    <row r="9550">
      <c r="Y9550" s="372">
        <v>0.0</v>
      </c>
      <c r="Z9550" s="372">
        <v>0.0</v>
      </c>
    </row>
    <row r="9551">
      <c r="Y9551" s="372">
        <v>0.0</v>
      </c>
      <c r="Z9551" s="372">
        <v>0.0</v>
      </c>
    </row>
    <row r="9552">
      <c r="Y9552" s="372">
        <v>0.0</v>
      </c>
      <c r="Z9552" s="372">
        <v>0.0</v>
      </c>
    </row>
    <row r="9553">
      <c r="Y9553" s="372">
        <v>0.0</v>
      </c>
      <c r="Z9553" s="372">
        <v>0.0</v>
      </c>
    </row>
    <row r="9554">
      <c r="Y9554" s="372">
        <v>0.0</v>
      </c>
      <c r="Z9554" s="372">
        <v>0.0</v>
      </c>
    </row>
    <row r="9555">
      <c r="Y9555" s="372">
        <v>0.0</v>
      </c>
      <c r="Z9555" s="372">
        <v>0.0</v>
      </c>
    </row>
    <row r="9556">
      <c r="Y9556" s="372">
        <v>0.0</v>
      </c>
      <c r="Z9556" s="372">
        <v>0.0</v>
      </c>
    </row>
    <row r="9557">
      <c r="Y9557" s="372">
        <v>0.0</v>
      </c>
      <c r="Z9557" s="372">
        <v>0.0</v>
      </c>
    </row>
    <row r="9558">
      <c r="Y9558" s="372">
        <v>0.0</v>
      </c>
      <c r="Z9558" s="372">
        <v>0.0</v>
      </c>
    </row>
    <row r="9559">
      <c r="Y9559" s="372">
        <v>0.0</v>
      </c>
      <c r="Z9559" s="372">
        <v>0.0</v>
      </c>
    </row>
    <row r="9560">
      <c r="Y9560" s="372">
        <v>0.0</v>
      </c>
      <c r="Z9560" s="372">
        <v>0.0</v>
      </c>
    </row>
    <row r="9561">
      <c r="Y9561" s="372">
        <v>0.0</v>
      </c>
      <c r="Z9561" s="372">
        <v>0.0</v>
      </c>
    </row>
    <row r="9562">
      <c r="Y9562" s="372">
        <v>0.0</v>
      </c>
      <c r="Z9562" s="372">
        <v>0.0</v>
      </c>
    </row>
    <row r="9563">
      <c r="Y9563" s="372">
        <v>0.0</v>
      </c>
      <c r="Z9563" s="372">
        <v>0.0</v>
      </c>
    </row>
    <row r="9564">
      <c r="Y9564" s="372">
        <v>0.0</v>
      </c>
      <c r="Z9564" s="372">
        <v>0.0</v>
      </c>
    </row>
    <row r="9565">
      <c r="Y9565" s="372">
        <v>0.0</v>
      </c>
      <c r="Z9565" s="372">
        <v>0.0</v>
      </c>
    </row>
    <row r="9566">
      <c r="Y9566" s="372">
        <v>0.0</v>
      </c>
      <c r="Z9566" s="372">
        <v>0.0</v>
      </c>
    </row>
    <row r="9567">
      <c r="Y9567" s="372">
        <v>0.0</v>
      </c>
      <c r="Z9567" s="372">
        <v>0.0</v>
      </c>
    </row>
    <row r="9568">
      <c r="Y9568" s="372">
        <v>0.0</v>
      </c>
      <c r="Z9568" s="372">
        <v>0.0</v>
      </c>
    </row>
    <row r="9569">
      <c r="Y9569" s="372">
        <v>0.0</v>
      </c>
      <c r="Z9569" s="372">
        <v>0.0</v>
      </c>
    </row>
    <row r="9570">
      <c r="Y9570" s="372">
        <v>0.0</v>
      </c>
      <c r="Z9570" s="372">
        <v>0.0</v>
      </c>
    </row>
    <row r="9571">
      <c r="Y9571" s="372">
        <v>0.0</v>
      </c>
      <c r="Z9571" s="372">
        <v>0.0</v>
      </c>
    </row>
    <row r="9572">
      <c r="Y9572" s="372">
        <v>0.0</v>
      </c>
      <c r="Z9572" s="372">
        <v>0.0</v>
      </c>
    </row>
    <row r="9573">
      <c r="Y9573" s="372">
        <v>0.0</v>
      </c>
      <c r="Z9573" s="372">
        <v>0.0</v>
      </c>
    </row>
    <row r="9574">
      <c r="Y9574" s="372">
        <v>0.0</v>
      </c>
      <c r="Z9574" s="372">
        <v>0.0</v>
      </c>
    </row>
    <row r="9575">
      <c r="Y9575" s="372">
        <v>0.0</v>
      </c>
      <c r="Z9575" s="372">
        <v>0.0</v>
      </c>
    </row>
    <row r="9576">
      <c r="Y9576" s="372">
        <v>0.0</v>
      </c>
      <c r="Z9576" s="372">
        <v>0.0</v>
      </c>
    </row>
    <row r="9577">
      <c r="Y9577" s="372">
        <v>0.0</v>
      </c>
      <c r="Z9577" s="372">
        <v>0.0</v>
      </c>
    </row>
    <row r="9578">
      <c r="Y9578" s="372">
        <v>0.0</v>
      </c>
      <c r="Z9578" s="372">
        <v>0.0</v>
      </c>
    </row>
    <row r="9579">
      <c r="Y9579" s="372">
        <v>0.0</v>
      </c>
      <c r="Z9579" s="372">
        <v>0.0</v>
      </c>
    </row>
    <row r="9580">
      <c r="Y9580" s="372">
        <v>0.0</v>
      </c>
      <c r="Z9580" s="372">
        <v>0.0</v>
      </c>
    </row>
    <row r="9581">
      <c r="Y9581" s="372">
        <v>0.0</v>
      </c>
      <c r="Z9581" s="372">
        <v>0.0</v>
      </c>
    </row>
    <row r="9582">
      <c r="Y9582" s="372">
        <v>0.0</v>
      </c>
      <c r="Z9582" s="372">
        <v>0.0</v>
      </c>
    </row>
    <row r="9583">
      <c r="Y9583" s="372">
        <v>0.0</v>
      </c>
      <c r="Z9583" s="372">
        <v>0.0</v>
      </c>
    </row>
    <row r="9584">
      <c r="Y9584" s="372">
        <v>0.0</v>
      </c>
      <c r="Z9584" s="372">
        <v>0.0</v>
      </c>
    </row>
    <row r="9585">
      <c r="Y9585" s="372">
        <v>0.0</v>
      </c>
      <c r="Z9585" s="372">
        <v>0.0</v>
      </c>
    </row>
    <row r="9586">
      <c r="Y9586" s="372">
        <v>0.0</v>
      </c>
      <c r="Z9586" s="372">
        <v>0.0</v>
      </c>
    </row>
    <row r="9587">
      <c r="Y9587" s="372">
        <v>0.0</v>
      </c>
      <c r="Z9587" s="372">
        <v>0.0</v>
      </c>
    </row>
    <row r="9588">
      <c r="Y9588" s="372">
        <v>0.0</v>
      </c>
      <c r="Z9588" s="372">
        <v>0.0</v>
      </c>
    </row>
    <row r="9589">
      <c r="Y9589" s="372">
        <v>0.0</v>
      </c>
      <c r="Z9589" s="372">
        <v>0.0</v>
      </c>
    </row>
    <row r="9590">
      <c r="Y9590" s="372">
        <v>0.0</v>
      </c>
      <c r="Z9590" s="372">
        <v>0.0</v>
      </c>
    </row>
    <row r="9591">
      <c r="Y9591" s="372">
        <v>0.0</v>
      </c>
      <c r="Z9591" s="372">
        <v>0.0</v>
      </c>
    </row>
    <row r="9592">
      <c r="Y9592" s="372">
        <v>0.0</v>
      </c>
      <c r="Z9592" s="372">
        <v>0.0</v>
      </c>
    </row>
    <row r="9593">
      <c r="Y9593" s="372">
        <v>0.0</v>
      </c>
      <c r="Z9593" s="372">
        <v>0.0</v>
      </c>
    </row>
    <row r="9594">
      <c r="Y9594" s="372">
        <v>0.0</v>
      </c>
      <c r="Z9594" s="372">
        <v>0.0</v>
      </c>
    </row>
    <row r="9595">
      <c r="Y9595" s="372">
        <v>0.0</v>
      </c>
      <c r="Z9595" s="372">
        <v>0.0</v>
      </c>
    </row>
    <row r="9596">
      <c r="Y9596" s="372">
        <v>0.0</v>
      </c>
      <c r="Z9596" s="372">
        <v>0.0</v>
      </c>
    </row>
    <row r="9597">
      <c r="Y9597" s="372">
        <v>0.0</v>
      </c>
      <c r="Z9597" s="372">
        <v>0.0</v>
      </c>
    </row>
    <row r="9598">
      <c r="Y9598" s="372">
        <v>0.0</v>
      </c>
      <c r="Z9598" s="372">
        <v>0.0</v>
      </c>
    </row>
    <row r="9599">
      <c r="Y9599" s="372">
        <v>0.0</v>
      </c>
      <c r="Z9599" s="372">
        <v>0.0</v>
      </c>
    </row>
    <row r="9600">
      <c r="Y9600" s="372">
        <v>0.0</v>
      </c>
      <c r="Z9600" s="372">
        <v>0.0</v>
      </c>
    </row>
    <row r="9601">
      <c r="Y9601" s="372">
        <v>0.0</v>
      </c>
      <c r="Z9601" s="372">
        <v>0.0</v>
      </c>
    </row>
    <row r="9602">
      <c r="Y9602" s="372">
        <v>0.0</v>
      </c>
      <c r="Z9602" s="372">
        <v>0.0</v>
      </c>
    </row>
    <row r="9603">
      <c r="Y9603" s="372">
        <v>0.0</v>
      </c>
      <c r="Z9603" s="372">
        <v>0.0</v>
      </c>
    </row>
    <row r="9604">
      <c r="Y9604" s="372">
        <v>0.0</v>
      </c>
      <c r="Z9604" s="372">
        <v>0.0</v>
      </c>
    </row>
    <row r="9605">
      <c r="Y9605" s="372">
        <v>0.0</v>
      </c>
      <c r="Z9605" s="372">
        <v>0.0</v>
      </c>
    </row>
    <row r="9606">
      <c r="Y9606" s="372">
        <v>0.0</v>
      </c>
      <c r="Z9606" s="372">
        <v>0.0</v>
      </c>
    </row>
    <row r="9607">
      <c r="Y9607" s="372">
        <v>0.0</v>
      </c>
      <c r="Z9607" s="372">
        <v>0.0</v>
      </c>
    </row>
    <row r="9608">
      <c r="Y9608" s="372">
        <v>0.0</v>
      </c>
      <c r="Z9608" s="372">
        <v>0.0</v>
      </c>
    </row>
    <row r="9609">
      <c r="Y9609" s="372">
        <v>0.0</v>
      </c>
      <c r="Z9609" s="372">
        <v>0.0</v>
      </c>
    </row>
    <row r="9610">
      <c r="Y9610" s="372">
        <v>0.0</v>
      </c>
      <c r="Z9610" s="372">
        <v>0.0</v>
      </c>
    </row>
    <row r="9611">
      <c r="Y9611" s="372">
        <v>0.0</v>
      </c>
      <c r="Z9611" s="372">
        <v>0.0</v>
      </c>
    </row>
    <row r="9612">
      <c r="Y9612" s="372">
        <v>0.0</v>
      </c>
      <c r="Z9612" s="372">
        <v>0.0</v>
      </c>
    </row>
    <row r="9613">
      <c r="Y9613" s="372">
        <v>0.0</v>
      </c>
      <c r="Z9613" s="372">
        <v>0.0</v>
      </c>
    </row>
    <row r="9614">
      <c r="Y9614" s="372">
        <v>0.0</v>
      </c>
      <c r="Z9614" s="372">
        <v>0.0</v>
      </c>
    </row>
    <row r="9615">
      <c r="Y9615" s="372">
        <v>0.0</v>
      </c>
      <c r="Z9615" s="372">
        <v>0.0</v>
      </c>
    </row>
    <row r="9616">
      <c r="Y9616" s="372">
        <v>0.0</v>
      </c>
      <c r="Z9616" s="372">
        <v>0.0</v>
      </c>
    </row>
    <row r="9617">
      <c r="Y9617" s="372">
        <v>0.0</v>
      </c>
      <c r="Z9617" s="372">
        <v>0.0</v>
      </c>
    </row>
    <row r="9618">
      <c r="Y9618" s="372">
        <v>0.0</v>
      </c>
      <c r="Z9618" s="372">
        <v>0.0</v>
      </c>
    </row>
    <row r="9619">
      <c r="Y9619" s="372">
        <v>0.0</v>
      </c>
      <c r="Z9619" s="372">
        <v>0.0</v>
      </c>
    </row>
    <row r="9620">
      <c r="Y9620" s="372">
        <v>0.0</v>
      </c>
      <c r="Z9620" s="372">
        <v>0.0</v>
      </c>
    </row>
    <row r="9621">
      <c r="Y9621" s="372">
        <v>0.0</v>
      </c>
      <c r="Z9621" s="372">
        <v>0.0</v>
      </c>
    </row>
    <row r="9622">
      <c r="Y9622" s="372">
        <v>0.0</v>
      </c>
      <c r="Z9622" s="372">
        <v>0.0</v>
      </c>
    </row>
    <row r="9623">
      <c r="Y9623" s="372">
        <v>0.0</v>
      </c>
      <c r="Z9623" s="372">
        <v>0.0</v>
      </c>
    </row>
    <row r="9624">
      <c r="Y9624" s="372">
        <v>0.0</v>
      </c>
      <c r="Z9624" s="372">
        <v>0.0</v>
      </c>
    </row>
    <row r="9625">
      <c r="Y9625" s="372">
        <v>0.0</v>
      </c>
      <c r="Z9625" s="372">
        <v>0.0</v>
      </c>
    </row>
    <row r="9626">
      <c r="Y9626" s="372">
        <v>0.0</v>
      </c>
      <c r="Z9626" s="372">
        <v>0.0</v>
      </c>
    </row>
    <row r="9627">
      <c r="Y9627" s="372">
        <v>0.0</v>
      </c>
      <c r="Z9627" s="372">
        <v>0.0</v>
      </c>
    </row>
    <row r="9628">
      <c r="Y9628" s="372">
        <v>0.0</v>
      </c>
      <c r="Z9628" s="372">
        <v>0.0</v>
      </c>
    </row>
    <row r="9629">
      <c r="Y9629" s="372">
        <v>0.0</v>
      </c>
      <c r="Z9629" s="372">
        <v>0.0</v>
      </c>
    </row>
    <row r="9630">
      <c r="Y9630" s="372">
        <v>0.0</v>
      </c>
      <c r="Z9630" s="372">
        <v>0.0</v>
      </c>
    </row>
    <row r="9631">
      <c r="Y9631" s="372">
        <v>0.0</v>
      </c>
      <c r="Z9631" s="372">
        <v>0.0</v>
      </c>
    </row>
    <row r="9632">
      <c r="Y9632" s="372">
        <v>0.0</v>
      </c>
      <c r="Z9632" s="372">
        <v>0.0</v>
      </c>
    </row>
    <row r="9633">
      <c r="Y9633" s="372">
        <v>0.0</v>
      </c>
      <c r="Z9633" s="372">
        <v>0.0</v>
      </c>
    </row>
    <row r="9634">
      <c r="Y9634" s="372">
        <v>0.0</v>
      </c>
      <c r="Z9634" s="372">
        <v>0.0</v>
      </c>
    </row>
    <row r="9635">
      <c r="Y9635" s="372">
        <v>0.0</v>
      </c>
      <c r="Z9635" s="372">
        <v>0.0</v>
      </c>
    </row>
    <row r="9636">
      <c r="Y9636" s="372">
        <v>0.0</v>
      </c>
      <c r="Z9636" s="372">
        <v>0.0</v>
      </c>
    </row>
    <row r="9637">
      <c r="Y9637" s="372">
        <v>0.0</v>
      </c>
      <c r="Z9637" s="372">
        <v>0.0</v>
      </c>
    </row>
    <row r="9638">
      <c r="Y9638" s="372">
        <v>0.0</v>
      </c>
      <c r="Z9638" s="372">
        <v>0.0</v>
      </c>
    </row>
    <row r="9639">
      <c r="Y9639" s="372">
        <v>0.0</v>
      </c>
      <c r="Z9639" s="372">
        <v>0.0</v>
      </c>
    </row>
    <row r="9640">
      <c r="Y9640" s="372">
        <v>0.0</v>
      </c>
      <c r="Z9640" s="372">
        <v>0.0</v>
      </c>
    </row>
    <row r="9641">
      <c r="Y9641" s="372">
        <v>0.0</v>
      </c>
      <c r="Z9641" s="372">
        <v>0.0</v>
      </c>
    </row>
    <row r="9642">
      <c r="Y9642" s="372">
        <v>0.0</v>
      </c>
      <c r="Z9642" s="372">
        <v>0.0</v>
      </c>
    </row>
    <row r="9643">
      <c r="Y9643" s="372">
        <v>0.0</v>
      </c>
      <c r="Z9643" s="372">
        <v>0.0</v>
      </c>
    </row>
    <row r="9644">
      <c r="Y9644" s="372">
        <v>0.0</v>
      </c>
      <c r="Z9644" s="372">
        <v>0.0</v>
      </c>
    </row>
    <row r="9645">
      <c r="Y9645" s="372">
        <v>0.0</v>
      </c>
      <c r="Z9645" s="372">
        <v>0.0</v>
      </c>
    </row>
    <row r="9646">
      <c r="Y9646" s="372">
        <v>0.0</v>
      </c>
      <c r="Z9646" s="372">
        <v>0.0</v>
      </c>
    </row>
    <row r="9647">
      <c r="Y9647" s="372">
        <v>0.0</v>
      </c>
      <c r="Z9647" s="372">
        <v>0.0</v>
      </c>
    </row>
    <row r="9648">
      <c r="Y9648" s="372">
        <v>0.0</v>
      </c>
      <c r="Z9648" s="372">
        <v>0.0</v>
      </c>
    </row>
    <row r="9649">
      <c r="Y9649" s="372">
        <v>0.0</v>
      </c>
      <c r="Z9649" s="372">
        <v>0.0</v>
      </c>
    </row>
    <row r="9650">
      <c r="Y9650" s="372">
        <v>0.0</v>
      </c>
      <c r="Z9650" s="372">
        <v>0.0</v>
      </c>
    </row>
    <row r="9651">
      <c r="Y9651" s="372">
        <v>0.0</v>
      </c>
      <c r="Z9651" s="372">
        <v>0.0</v>
      </c>
    </row>
    <row r="9652">
      <c r="Y9652" s="372">
        <v>0.0</v>
      </c>
      <c r="Z9652" s="372">
        <v>0.0</v>
      </c>
    </row>
    <row r="9653">
      <c r="Y9653" s="372">
        <v>0.0</v>
      </c>
      <c r="Z9653" s="372">
        <v>0.0</v>
      </c>
    </row>
    <row r="9654">
      <c r="Y9654" s="372">
        <v>0.0</v>
      </c>
      <c r="Z9654" s="372">
        <v>0.0</v>
      </c>
    </row>
    <row r="9655">
      <c r="Y9655" s="372">
        <v>0.0</v>
      </c>
      <c r="Z9655" s="372">
        <v>0.0</v>
      </c>
    </row>
    <row r="9656">
      <c r="Y9656" s="372">
        <v>0.0</v>
      </c>
      <c r="Z9656" s="372">
        <v>0.0</v>
      </c>
    </row>
    <row r="9657">
      <c r="Y9657" s="372">
        <v>0.0</v>
      </c>
      <c r="Z9657" s="372">
        <v>0.0</v>
      </c>
    </row>
    <row r="9658">
      <c r="Y9658" s="372">
        <v>0.0</v>
      </c>
      <c r="Z9658" s="372">
        <v>0.0</v>
      </c>
    </row>
    <row r="9659">
      <c r="Y9659" s="372">
        <v>0.0</v>
      </c>
      <c r="Z9659" s="372">
        <v>0.0</v>
      </c>
    </row>
    <row r="9660">
      <c r="Y9660" s="372">
        <v>0.0</v>
      </c>
      <c r="Z9660" s="372">
        <v>0.0</v>
      </c>
    </row>
    <row r="9661">
      <c r="Y9661" s="372">
        <v>0.0</v>
      </c>
      <c r="Z9661" s="372">
        <v>0.0</v>
      </c>
    </row>
    <row r="9662">
      <c r="Y9662" s="372">
        <v>0.0</v>
      </c>
      <c r="Z9662" s="372">
        <v>0.0</v>
      </c>
    </row>
    <row r="9663">
      <c r="Y9663" s="372">
        <v>0.0</v>
      </c>
      <c r="Z9663" s="372">
        <v>0.0</v>
      </c>
    </row>
    <row r="9664">
      <c r="Y9664" s="372">
        <v>0.0</v>
      </c>
      <c r="Z9664" s="372">
        <v>0.0</v>
      </c>
    </row>
    <row r="9665">
      <c r="Y9665" s="372">
        <v>0.0</v>
      </c>
      <c r="Z9665" s="372">
        <v>0.0</v>
      </c>
    </row>
    <row r="9666">
      <c r="Y9666" s="372">
        <v>0.0</v>
      </c>
      <c r="Z9666" s="372">
        <v>0.0</v>
      </c>
    </row>
    <row r="9667">
      <c r="Y9667" s="372">
        <v>0.0</v>
      </c>
      <c r="Z9667" s="372">
        <v>0.0</v>
      </c>
    </row>
    <row r="9668">
      <c r="Y9668" s="372">
        <v>0.0</v>
      </c>
      <c r="Z9668" s="372">
        <v>0.0</v>
      </c>
    </row>
    <row r="9669">
      <c r="Y9669" s="372">
        <v>0.0</v>
      </c>
      <c r="Z9669" s="372">
        <v>0.0</v>
      </c>
    </row>
    <row r="9670">
      <c r="Y9670" s="372">
        <v>0.0</v>
      </c>
      <c r="Z9670" s="372">
        <v>0.0</v>
      </c>
    </row>
    <row r="9671">
      <c r="Y9671" s="372">
        <v>0.0</v>
      </c>
      <c r="Z9671" s="372">
        <v>0.0</v>
      </c>
    </row>
    <row r="9672">
      <c r="Y9672" s="372">
        <v>0.0</v>
      </c>
      <c r="Z9672" s="372">
        <v>0.0</v>
      </c>
    </row>
    <row r="9673">
      <c r="Y9673" s="372">
        <v>0.0</v>
      </c>
      <c r="Z9673" s="372">
        <v>0.0</v>
      </c>
    </row>
    <row r="9674">
      <c r="Y9674" s="372">
        <v>0.0</v>
      </c>
      <c r="Z9674" s="372">
        <v>0.0</v>
      </c>
    </row>
    <row r="9675">
      <c r="Y9675" s="372">
        <v>0.0</v>
      </c>
      <c r="Z9675" s="372">
        <v>0.0</v>
      </c>
    </row>
    <row r="9676">
      <c r="Y9676" s="372">
        <v>0.0</v>
      </c>
      <c r="Z9676" s="372">
        <v>0.0</v>
      </c>
    </row>
    <row r="9677">
      <c r="Y9677" s="372">
        <v>0.0</v>
      </c>
      <c r="Z9677" s="372">
        <v>0.0</v>
      </c>
    </row>
    <row r="9678">
      <c r="Y9678" s="372">
        <v>0.0</v>
      </c>
      <c r="Z9678" s="372">
        <v>0.0</v>
      </c>
    </row>
    <row r="9679">
      <c r="Y9679" s="372">
        <v>0.0</v>
      </c>
      <c r="Z9679" s="372">
        <v>0.0</v>
      </c>
    </row>
    <row r="9680">
      <c r="Y9680" s="372">
        <v>0.0</v>
      </c>
      <c r="Z9680" s="372">
        <v>0.0</v>
      </c>
    </row>
    <row r="9681">
      <c r="Y9681" s="372">
        <v>0.0</v>
      </c>
      <c r="Z9681" s="372">
        <v>0.0</v>
      </c>
    </row>
    <row r="9682">
      <c r="Y9682" s="372">
        <v>0.0</v>
      </c>
      <c r="Z9682" s="372">
        <v>0.0</v>
      </c>
    </row>
    <row r="9683">
      <c r="Y9683" s="372">
        <v>0.0</v>
      </c>
      <c r="Z9683" s="372">
        <v>0.0</v>
      </c>
    </row>
    <row r="9684">
      <c r="Y9684" s="372">
        <v>0.0</v>
      </c>
      <c r="Z9684" s="372">
        <v>0.0</v>
      </c>
    </row>
    <row r="9685">
      <c r="Y9685" s="372">
        <v>0.0</v>
      </c>
      <c r="Z9685" s="372">
        <v>0.0</v>
      </c>
    </row>
    <row r="9686">
      <c r="Y9686" s="372">
        <v>0.0</v>
      </c>
      <c r="Z9686" s="372">
        <v>0.0</v>
      </c>
    </row>
    <row r="9687">
      <c r="Y9687" s="372">
        <v>0.0</v>
      </c>
      <c r="Z9687" s="372">
        <v>0.0</v>
      </c>
    </row>
    <row r="9688">
      <c r="Y9688" s="372">
        <v>0.0</v>
      </c>
      <c r="Z9688" s="372">
        <v>0.0</v>
      </c>
    </row>
    <row r="9689">
      <c r="Y9689" s="372">
        <v>0.0</v>
      </c>
      <c r="Z9689" s="372">
        <v>0.0</v>
      </c>
    </row>
    <row r="9690">
      <c r="Y9690" s="372">
        <v>0.0</v>
      </c>
      <c r="Z9690" s="372">
        <v>0.0</v>
      </c>
    </row>
    <row r="9691">
      <c r="Y9691" s="372">
        <v>0.0</v>
      </c>
      <c r="Z9691" s="372">
        <v>0.0</v>
      </c>
    </row>
    <row r="9692">
      <c r="Y9692" s="372">
        <v>0.0</v>
      </c>
      <c r="Z9692" s="372">
        <v>0.0</v>
      </c>
    </row>
    <row r="9693">
      <c r="Y9693" s="372">
        <v>0.0</v>
      </c>
      <c r="Z9693" s="372">
        <v>0.0</v>
      </c>
    </row>
    <row r="9694">
      <c r="Y9694" s="372">
        <v>0.0</v>
      </c>
      <c r="Z9694" s="372">
        <v>0.0</v>
      </c>
    </row>
    <row r="9695">
      <c r="Y9695" s="372">
        <v>0.0</v>
      </c>
      <c r="Z9695" s="372">
        <v>0.0</v>
      </c>
    </row>
    <row r="9696">
      <c r="Y9696" s="372">
        <v>0.0</v>
      </c>
      <c r="Z9696" s="372">
        <v>0.0</v>
      </c>
    </row>
    <row r="9697">
      <c r="Y9697" s="372">
        <v>0.0</v>
      </c>
      <c r="Z9697" s="372">
        <v>0.0</v>
      </c>
    </row>
    <row r="9698">
      <c r="Y9698" s="372">
        <v>0.0</v>
      </c>
      <c r="Z9698" s="372">
        <v>0.0</v>
      </c>
    </row>
    <row r="9699">
      <c r="Y9699" s="372">
        <v>0.0</v>
      </c>
      <c r="Z9699" s="372">
        <v>0.0</v>
      </c>
    </row>
    <row r="9700">
      <c r="Y9700" s="372">
        <v>0.0</v>
      </c>
      <c r="Z9700" s="372">
        <v>0.0</v>
      </c>
    </row>
    <row r="9701">
      <c r="Y9701" s="372">
        <v>0.0</v>
      </c>
      <c r="Z9701" s="372">
        <v>0.0</v>
      </c>
    </row>
    <row r="9702">
      <c r="Y9702" s="372">
        <v>0.0</v>
      </c>
      <c r="Z9702" s="372">
        <v>0.0</v>
      </c>
    </row>
    <row r="9703">
      <c r="Y9703" s="372">
        <v>0.0</v>
      </c>
      <c r="Z9703" s="372">
        <v>0.0</v>
      </c>
    </row>
    <row r="9704">
      <c r="Y9704" s="372">
        <v>0.0</v>
      </c>
      <c r="Z9704" s="372">
        <v>0.0</v>
      </c>
    </row>
    <row r="9705">
      <c r="Y9705" s="372">
        <v>0.0</v>
      </c>
      <c r="Z9705" s="372">
        <v>0.0</v>
      </c>
    </row>
    <row r="9706">
      <c r="Y9706" s="372">
        <v>0.0</v>
      </c>
      <c r="Z9706" s="372">
        <v>0.0</v>
      </c>
    </row>
    <row r="9707">
      <c r="Y9707" s="372">
        <v>0.0</v>
      </c>
      <c r="Z9707" s="372">
        <v>0.0</v>
      </c>
    </row>
    <row r="9708">
      <c r="Y9708" s="372">
        <v>0.0</v>
      </c>
      <c r="Z9708" s="372">
        <v>0.0</v>
      </c>
    </row>
    <row r="9709">
      <c r="Y9709" s="372">
        <v>0.0</v>
      </c>
      <c r="Z9709" s="372">
        <v>0.0</v>
      </c>
    </row>
    <row r="9710">
      <c r="Y9710" s="372">
        <v>0.0</v>
      </c>
      <c r="Z9710" s="372">
        <v>0.0</v>
      </c>
    </row>
    <row r="9711">
      <c r="Y9711" s="372">
        <v>0.0</v>
      </c>
      <c r="Z9711" s="372">
        <v>0.0</v>
      </c>
    </row>
    <row r="9712">
      <c r="Y9712" s="372">
        <v>0.0</v>
      </c>
      <c r="Z9712" s="372">
        <v>0.0</v>
      </c>
    </row>
    <row r="9713">
      <c r="Y9713" s="372">
        <v>0.0</v>
      </c>
      <c r="Z9713" s="372">
        <v>0.0</v>
      </c>
    </row>
    <row r="9714">
      <c r="Y9714" s="372">
        <v>0.0</v>
      </c>
      <c r="Z9714" s="372">
        <v>0.0</v>
      </c>
    </row>
    <row r="9715">
      <c r="Y9715" s="372">
        <v>0.0</v>
      </c>
      <c r="Z9715" s="372">
        <v>0.0</v>
      </c>
    </row>
    <row r="9716">
      <c r="Y9716" s="372">
        <v>0.0</v>
      </c>
      <c r="Z9716" s="372">
        <v>0.0</v>
      </c>
    </row>
    <row r="9717">
      <c r="Y9717" s="372">
        <v>0.0</v>
      </c>
      <c r="Z9717" s="372">
        <v>0.0</v>
      </c>
    </row>
    <row r="9718">
      <c r="Y9718" s="372">
        <v>0.0</v>
      </c>
      <c r="Z9718" s="372">
        <v>0.0</v>
      </c>
    </row>
    <row r="9719">
      <c r="Y9719" s="372">
        <v>0.0</v>
      </c>
      <c r="Z9719" s="372">
        <v>0.0</v>
      </c>
    </row>
    <row r="9720">
      <c r="Y9720" s="372">
        <v>0.0</v>
      </c>
      <c r="Z9720" s="372">
        <v>0.0</v>
      </c>
    </row>
    <row r="9721">
      <c r="Y9721" s="372">
        <v>0.0</v>
      </c>
      <c r="Z9721" s="372">
        <v>0.0</v>
      </c>
    </row>
    <row r="9722">
      <c r="Y9722" s="372">
        <v>0.0</v>
      </c>
      <c r="Z9722" s="372">
        <v>0.0</v>
      </c>
    </row>
    <row r="9723">
      <c r="Y9723" s="372">
        <v>0.0</v>
      </c>
      <c r="Z9723" s="372">
        <v>0.0</v>
      </c>
    </row>
    <row r="9724">
      <c r="Y9724" s="372">
        <v>0.0</v>
      </c>
      <c r="Z9724" s="372">
        <v>0.0</v>
      </c>
    </row>
    <row r="9725">
      <c r="Y9725" s="372">
        <v>0.0</v>
      </c>
      <c r="Z9725" s="372">
        <v>0.0</v>
      </c>
    </row>
    <row r="9726">
      <c r="Y9726" s="372">
        <v>0.0</v>
      </c>
      <c r="Z9726" s="372">
        <v>0.0</v>
      </c>
    </row>
    <row r="9727">
      <c r="Y9727" s="372">
        <v>0.0</v>
      </c>
      <c r="Z9727" s="372">
        <v>0.0</v>
      </c>
    </row>
    <row r="9728">
      <c r="Y9728" s="372">
        <v>0.0</v>
      </c>
      <c r="Z9728" s="372">
        <v>0.0</v>
      </c>
    </row>
    <row r="9729">
      <c r="Y9729" s="372">
        <v>0.0</v>
      </c>
      <c r="Z9729" s="372">
        <v>0.0</v>
      </c>
    </row>
    <row r="9730">
      <c r="Y9730" s="372">
        <v>0.0</v>
      </c>
      <c r="Z9730" s="372">
        <v>0.0</v>
      </c>
    </row>
    <row r="9731">
      <c r="Y9731" s="372">
        <v>0.0</v>
      </c>
      <c r="Z9731" s="372">
        <v>0.0</v>
      </c>
    </row>
    <row r="9732">
      <c r="Y9732" s="372">
        <v>0.0</v>
      </c>
      <c r="Z9732" s="372">
        <v>0.0</v>
      </c>
    </row>
    <row r="9733">
      <c r="Y9733" s="372">
        <v>0.0</v>
      </c>
      <c r="Z9733" s="372">
        <v>0.0</v>
      </c>
    </row>
    <row r="9734">
      <c r="Y9734" s="372">
        <v>0.0</v>
      </c>
      <c r="Z9734" s="372">
        <v>0.0</v>
      </c>
    </row>
    <row r="9735">
      <c r="Y9735" s="372">
        <v>0.0</v>
      </c>
      <c r="Z9735" s="372">
        <v>0.0</v>
      </c>
    </row>
    <row r="9736">
      <c r="Y9736" s="372">
        <v>0.0</v>
      </c>
      <c r="Z9736" s="372">
        <v>0.0</v>
      </c>
    </row>
    <row r="9737">
      <c r="Y9737" s="372">
        <v>0.0</v>
      </c>
      <c r="Z9737" s="372">
        <v>0.0</v>
      </c>
    </row>
    <row r="9738">
      <c r="Y9738" s="372">
        <v>0.0</v>
      </c>
      <c r="Z9738" s="372">
        <v>0.0</v>
      </c>
    </row>
    <row r="9739">
      <c r="Y9739" s="372">
        <v>0.0</v>
      </c>
      <c r="Z9739" s="372">
        <v>0.0</v>
      </c>
    </row>
    <row r="9740">
      <c r="Y9740" s="372">
        <v>0.0</v>
      </c>
      <c r="Z9740" s="372">
        <v>0.0</v>
      </c>
    </row>
    <row r="9741">
      <c r="Y9741" s="372">
        <v>0.0</v>
      </c>
      <c r="Z9741" s="372">
        <v>0.0</v>
      </c>
    </row>
    <row r="9742">
      <c r="Y9742" s="372">
        <v>0.0</v>
      </c>
      <c r="Z9742" s="372">
        <v>0.0</v>
      </c>
    </row>
    <row r="9743">
      <c r="Y9743" s="372">
        <v>0.0</v>
      </c>
      <c r="Z9743" s="372">
        <v>0.0</v>
      </c>
    </row>
    <row r="9744">
      <c r="Y9744" s="372">
        <v>0.0</v>
      </c>
      <c r="Z9744" s="372">
        <v>0.0</v>
      </c>
    </row>
    <row r="9745">
      <c r="Y9745" s="372">
        <v>0.0</v>
      </c>
      <c r="Z9745" s="372">
        <v>0.0</v>
      </c>
    </row>
    <row r="9746">
      <c r="Y9746" s="372">
        <v>0.0</v>
      </c>
      <c r="Z9746" s="372">
        <v>0.0</v>
      </c>
    </row>
    <row r="9747">
      <c r="Y9747" s="372">
        <v>0.0</v>
      </c>
      <c r="Z9747" s="372">
        <v>0.0</v>
      </c>
    </row>
    <row r="9748">
      <c r="Y9748" s="372">
        <v>0.0</v>
      </c>
      <c r="Z9748" s="372">
        <v>0.0</v>
      </c>
    </row>
    <row r="9749">
      <c r="Y9749" s="372">
        <v>0.0</v>
      </c>
      <c r="Z9749" s="372">
        <v>0.0</v>
      </c>
    </row>
    <row r="9750">
      <c r="Y9750" s="372">
        <v>0.0</v>
      </c>
      <c r="Z9750" s="372">
        <v>0.0</v>
      </c>
    </row>
    <row r="9751">
      <c r="Y9751" s="372">
        <v>0.0</v>
      </c>
      <c r="Z9751" s="372">
        <v>0.0</v>
      </c>
    </row>
    <row r="9752">
      <c r="Y9752" s="372">
        <v>0.0</v>
      </c>
      <c r="Z9752" s="372">
        <v>0.0</v>
      </c>
    </row>
    <row r="9753">
      <c r="Y9753" s="372">
        <v>0.0</v>
      </c>
      <c r="Z9753" s="372">
        <v>0.0</v>
      </c>
    </row>
    <row r="9754">
      <c r="Y9754" s="372">
        <v>0.0</v>
      </c>
      <c r="Z9754" s="372">
        <v>0.0</v>
      </c>
    </row>
    <row r="9755">
      <c r="Y9755" s="372">
        <v>0.0</v>
      </c>
      <c r="Z9755" s="372">
        <v>0.0</v>
      </c>
    </row>
    <row r="9756">
      <c r="Y9756" s="372">
        <v>0.0</v>
      </c>
      <c r="Z9756" s="372">
        <v>0.0</v>
      </c>
    </row>
    <row r="9757">
      <c r="Y9757" s="372">
        <v>0.0</v>
      </c>
      <c r="Z9757" s="372">
        <v>0.0</v>
      </c>
    </row>
    <row r="9758">
      <c r="Y9758" s="372">
        <v>0.0</v>
      </c>
      <c r="Z9758" s="372">
        <v>0.0</v>
      </c>
    </row>
    <row r="9759">
      <c r="Y9759" s="372">
        <v>0.0</v>
      </c>
      <c r="Z9759" s="372">
        <v>0.0</v>
      </c>
    </row>
    <row r="9760">
      <c r="Y9760" s="372">
        <v>0.0</v>
      </c>
      <c r="Z9760" s="372">
        <v>0.0</v>
      </c>
    </row>
    <row r="9761">
      <c r="Y9761" s="372">
        <v>0.0</v>
      </c>
      <c r="Z9761" s="372">
        <v>0.0</v>
      </c>
    </row>
    <row r="9762">
      <c r="Y9762" s="372">
        <v>0.0</v>
      </c>
      <c r="Z9762" s="372">
        <v>0.0</v>
      </c>
    </row>
    <row r="9763">
      <c r="Y9763" s="372">
        <v>0.0</v>
      </c>
      <c r="Z9763" s="372">
        <v>0.0</v>
      </c>
    </row>
    <row r="9764">
      <c r="Y9764" s="372">
        <v>0.0</v>
      </c>
      <c r="Z9764" s="372">
        <v>0.0</v>
      </c>
    </row>
    <row r="9765">
      <c r="Y9765" s="372">
        <v>0.0</v>
      </c>
      <c r="Z9765" s="372">
        <v>0.0</v>
      </c>
    </row>
    <row r="9766">
      <c r="Y9766" s="372">
        <v>0.0</v>
      </c>
      <c r="Z9766" s="372">
        <v>0.0</v>
      </c>
    </row>
    <row r="9767">
      <c r="Y9767" s="372">
        <v>0.0</v>
      </c>
      <c r="Z9767" s="372">
        <v>0.0</v>
      </c>
    </row>
    <row r="9768">
      <c r="Y9768" s="372">
        <v>0.0</v>
      </c>
      <c r="Z9768" s="372">
        <v>0.0</v>
      </c>
    </row>
    <row r="9769">
      <c r="Y9769" s="372">
        <v>0.0</v>
      </c>
      <c r="Z9769" s="372">
        <v>0.0</v>
      </c>
    </row>
    <row r="9770">
      <c r="Y9770" s="372">
        <v>0.0</v>
      </c>
      <c r="Z9770" s="372">
        <v>0.0</v>
      </c>
    </row>
    <row r="9771">
      <c r="Y9771" s="372">
        <v>0.0</v>
      </c>
      <c r="Z9771" s="372">
        <v>0.0</v>
      </c>
    </row>
    <row r="9772">
      <c r="Y9772" s="372">
        <v>0.0</v>
      </c>
      <c r="Z9772" s="372">
        <v>0.0</v>
      </c>
    </row>
    <row r="9773">
      <c r="Y9773" s="372">
        <v>0.0</v>
      </c>
      <c r="Z9773" s="372">
        <v>0.0</v>
      </c>
    </row>
    <row r="9774">
      <c r="Y9774" s="372">
        <v>0.0</v>
      </c>
      <c r="Z9774" s="372">
        <v>0.0</v>
      </c>
    </row>
    <row r="9775">
      <c r="Y9775" s="372">
        <v>0.0</v>
      </c>
      <c r="Z9775" s="372">
        <v>0.0</v>
      </c>
    </row>
    <row r="9776">
      <c r="Y9776" s="372">
        <v>0.0</v>
      </c>
      <c r="Z9776" s="372">
        <v>0.0</v>
      </c>
    </row>
    <row r="9777">
      <c r="Y9777" s="372">
        <v>0.0</v>
      </c>
      <c r="Z9777" s="372">
        <v>0.0</v>
      </c>
    </row>
    <row r="9778">
      <c r="Y9778" s="372">
        <v>0.0</v>
      </c>
      <c r="Z9778" s="372">
        <v>0.0</v>
      </c>
    </row>
    <row r="9779">
      <c r="Y9779" s="372">
        <v>0.0</v>
      </c>
      <c r="Z9779" s="372">
        <v>0.0</v>
      </c>
    </row>
    <row r="9780">
      <c r="Y9780" s="372">
        <v>0.0</v>
      </c>
      <c r="Z9780" s="372">
        <v>0.0</v>
      </c>
    </row>
    <row r="9781">
      <c r="Y9781" s="372">
        <v>0.0</v>
      </c>
      <c r="Z9781" s="372">
        <v>0.0</v>
      </c>
    </row>
    <row r="9782">
      <c r="Y9782" s="372">
        <v>0.0</v>
      </c>
      <c r="Z9782" s="372">
        <v>0.0</v>
      </c>
    </row>
    <row r="9783">
      <c r="Y9783" s="372">
        <v>0.0</v>
      </c>
      <c r="Z9783" s="372">
        <v>0.0</v>
      </c>
    </row>
    <row r="9784">
      <c r="Y9784" s="372">
        <v>0.0</v>
      </c>
      <c r="Z9784" s="372">
        <v>0.0</v>
      </c>
    </row>
    <row r="9785">
      <c r="Y9785" s="372">
        <v>0.0</v>
      </c>
      <c r="Z9785" s="372">
        <v>0.0</v>
      </c>
    </row>
    <row r="9786">
      <c r="Y9786" s="372">
        <v>0.0</v>
      </c>
      <c r="Z9786" s="372">
        <v>0.0</v>
      </c>
    </row>
    <row r="9787">
      <c r="Y9787" s="372">
        <v>0.0</v>
      </c>
      <c r="Z9787" s="372">
        <v>0.0</v>
      </c>
    </row>
    <row r="9788">
      <c r="Y9788" s="372">
        <v>0.0</v>
      </c>
      <c r="Z9788" s="372">
        <v>0.0</v>
      </c>
    </row>
    <row r="9789">
      <c r="Y9789" s="372">
        <v>0.0</v>
      </c>
      <c r="Z9789" s="372">
        <v>0.0</v>
      </c>
    </row>
    <row r="9790">
      <c r="Y9790" s="372">
        <v>0.0</v>
      </c>
      <c r="Z9790" s="372">
        <v>0.0</v>
      </c>
    </row>
    <row r="9791">
      <c r="Y9791" s="372">
        <v>0.0</v>
      </c>
      <c r="Z9791" s="372">
        <v>0.0</v>
      </c>
    </row>
    <row r="9792">
      <c r="Y9792" s="372">
        <v>0.0</v>
      </c>
      <c r="Z9792" s="372">
        <v>0.0</v>
      </c>
    </row>
    <row r="9793">
      <c r="Y9793" s="372">
        <v>0.0</v>
      </c>
      <c r="Z9793" s="372">
        <v>0.0</v>
      </c>
    </row>
    <row r="9794">
      <c r="Y9794" s="372">
        <v>0.0</v>
      </c>
      <c r="Z9794" s="372">
        <v>0.0</v>
      </c>
    </row>
    <row r="9795">
      <c r="Y9795" s="372">
        <v>0.0</v>
      </c>
      <c r="Z9795" s="372">
        <v>0.0</v>
      </c>
    </row>
    <row r="9796">
      <c r="Y9796" s="372">
        <v>0.0</v>
      </c>
      <c r="Z9796" s="372">
        <v>0.0</v>
      </c>
    </row>
    <row r="9797">
      <c r="Y9797" s="372">
        <v>0.0</v>
      </c>
      <c r="Z9797" s="372">
        <v>0.0</v>
      </c>
    </row>
    <row r="9798">
      <c r="Y9798" s="372">
        <v>0.0</v>
      </c>
      <c r="Z9798" s="372">
        <v>0.0</v>
      </c>
    </row>
    <row r="9799">
      <c r="Y9799" s="372">
        <v>0.0</v>
      </c>
      <c r="Z9799" s="372">
        <v>0.0</v>
      </c>
    </row>
    <row r="9800">
      <c r="Y9800" s="372">
        <v>0.0</v>
      </c>
      <c r="Z9800" s="372">
        <v>0.0</v>
      </c>
    </row>
    <row r="9801">
      <c r="Y9801" s="372">
        <v>0.0</v>
      </c>
      <c r="Z9801" s="372">
        <v>0.0</v>
      </c>
    </row>
    <row r="9802">
      <c r="Y9802" s="372">
        <v>0.0</v>
      </c>
      <c r="Z9802" s="372">
        <v>0.0</v>
      </c>
    </row>
    <row r="9803">
      <c r="Y9803" s="372">
        <v>0.0</v>
      </c>
      <c r="Z9803" s="372">
        <v>0.0</v>
      </c>
    </row>
    <row r="9804">
      <c r="Y9804" s="372">
        <v>0.0</v>
      </c>
      <c r="Z9804" s="372">
        <v>0.0</v>
      </c>
    </row>
    <row r="9805">
      <c r="Y9805" s="372">
        <v>0.0</v>
      </c>
      <c r="Z9805" s="372">
        <v>0.0</v>
      </c>
    </row>
    <row r="9806">
      <c r="Y9806" s="372">
        <v>0.0</v>
      </c>
      <c r="Z9806" s="372">
        <v>0.0</v>
      </c>
    </row>
    <row r="9807">
      <c r="Y9807" s="372">
        <v>0.0</v>
      </c>
      <c r="Z9807" s="372">
        <v>0.0</v>
      </c>
    </row>
    <row r="9808">
      <c r="Y9808" s="372">
        <v>0.0</v>
      </c>
      <c r="Z9808" s="372">
        <v>0.0</v>
      </c>
    </row>
    <row r="9809">
      <c r="Y9809" s="372">
        <v>0.0</v>
      </c>
      <c r="Z9809" s="372">
        <v>0.0</v>
      </c>
    </row>
    <row r="9810">
      <c r="Y9810" s="372">
        <v>0.0</v>
      </c>
      <c r="Z9810" s="372">
        <v>0.0</v>
      </c>
    </row>
    <row r="9811">
      <c r="Y9811" s="372">
        <v>0.0</v>
      </c>
      <c r="Z9811" s="372">
        <v>0.0</v>
      </c>
    </row>
    <row r="9812">
      <c r="Y9812" s="372">
        <v>0.0</v>
      </c>
      <c r="Z9812" s="372">
        <v>0.0</v>
      </c>
    </row>
    <row r="9813">
      <c r="Y9813" s="372">
        <v>0.0</v>
      </c>
      <c r="Z9813" s="372">
        <v>0.0</v>
      </c>
    </row>
    <row r="9814">
      <c r="Y9814" s="372">
        <v>0.0</v>
      </c>
      <c r="Z9814" s="372">
        <v>0.0</v>
      </c>
    </row>
    <row r="9815">
      <c r="Y9815" s="372">
        <v>0.0</v>
      </c>
      <c r="Z9815" s="372">
        <v>0.0</v>
      </c>
    </row>
    <row r="9816">
      <c r="Y9816" s="372">
        <v>0.0</v>
      </c>
      <c r="Z9816" s="372">
        <v>0.0</v>
      </c>
    </row>
    <row r="9817">
      <c r="Y9817" s="372">
        <v>0.0</v>
      </c>
      <c r="Z9817" s="372">
        <v>0.0</v>
      </c>
    </row>
    <row r="9818">
      <c r="Y9818" s="372">
        <v>0.0</v>
      </c>
      <c r="Z9818" s="372">
        <v>0.0</v>
      </c>
    </row>
    <row r="9819">
      <c r="Y9819" s="372">
        <v>0.0</v>
      </c>
      <c r="Z9819" s="372">
        <v>0.0</v>
      </c>
    </row>
    <row r="9820">
      <c r="Y9820" s="372">
        <v>0.0</v>
      </c>
      <c r="Z9820" s="372">
        <v>0.0</v>
      </c>
    </row>
    <row r="9821">
      <c r="Y9821" s="372">
        <v>0.0</v>
      </c>
      <c r="Z9821" s="372">
        <v>0.0</v>
      </c>
    </row>
    <row r="9822">
      <c r="Y9822" s="372">
        <v>0.0</v>
      </c>
      <c r="Z9822" s="372">
        <v>0.0</v>
      </c>
    </row>
    <row r="9823">
      <c r="Y9823" s="372">
        <v>0.0</v>
      </c>
      <c r="Z9823" s="372">
        <v>0.0</v>
      </c>
    </row>
    <row r="9824">
      <c r="Y9824" s="372">
        <v>0.0</v>
      </c>
      <c r="Z9824" s="372">
        <v>0.0</v>
      </c>
    </row>
    <row r="9825">
      <c r="Y9825" s="372">
        <v>0.0</v>
      </c>
      <c r="Z9825" s="372">
        <v>0.0</v>
      </c>
    </row>
    <row r="9826">
      <c r="Y9826" s="372">
        <v>0.0</v>
      </c>
      <c r="Z9826" s="372">
        <v>0.0</v>
      </c>
    </row>
    <row r="9827">
      <c r="Y9827" s="372">
        <v>0.0</v>
      </c>
      <c r="Z9827" s="372">
        <v>0.0</v>
      </c>
    </row>
    <row r="9828">
      <c r="Y9828" s="372">
        <v>0.0</v>
      </c>
      <c r="Z9828" s="372">
        <v>0.0</v>
      </c>
    </row>
    <row r="9829">
      <c r="Y9829" s="372">
        <v>0.0</v>
      </c>
      <c r="Z9829" s="372">
        <v>0.0</v>
      </c>
    </row>
    <row r="9830">
      <c r="Y9830" s="372">
        <v>0.0</v>
      </c>
      <c r="Z9830" s="372">
        <v>0.0</v>
      </c>
    </row>
    <row r="9831">
      <c r="Y9831" s="372">
        <v>0.0</v>
      </c>
      <c r="Z9831" s="372">
        <v>0.0</v>
      </c>
    </row>
    <row r="9832">
      <c r="Y9832" s="372">
        <v>0.0</v>
      </c>
      <c r="Z9832" s="372">
        <v>0.0</v>
      </c>
    </row>
    <row r="9833">
      <c r="Y9833" s="372">
        <v>0.0</v>
      </c>
      <c r="Z9833" s="372">
        <v>0.0</v>
      </c>
    </row>
    <row r="9834">
      <c r="Y9834" s="372">
        <v>0.0</v>
      </c>
      <c r="Z9834" s="372">
        <v>0.0</v>
      </c>
    </row>
    <row r="9835">
      <c r="Y9835" s="372">
        <v>0.0</v>
      </c>
      <c r="Z9835" s="372">
        <v>0.0</v>
      </c>
    </row>
    <row r="9836">
      <c r="Y9836" s="372">
        <v>0.0</v>
      </c>
      <c r="Z9836" s="372">
        <v>0.0</v>
      </c>
    </row>
    <row r="9837">
      <c r="Y9837" s="372">
        <v>0.0</v>
      </c>
      <c r="Z9837" s="372">
        <v>0.0</v>
      </c>
    </row>
    <row r="9838">
      <c r="Y9838" s="372">
        <v>0.0</v>
      </c>
      <c r="Z9838" s="372">
        <v>0.0</v>
      </c>
    </row>
    <row r="9839">
      <c r="Y9839" s="372">
        <v>0.0</v>
      </c>
      <c r="Z9839" s="372">
        <v>0.0</v>
      </c>
    </row>
    <row r="9840">
      <c r="Y9840" s="372">
        <v>0.0</v>
      </c>
      <c r="Z9840" s="372">
        <v>0.0</v>
      </c>
    </row>
    <row r="9841">
      <c r="Y9841" s="372">
        <v>0.0</v>
      </c>
      <c r="Z9841" s="372">
        <v>0.0</v>
      </c>
    </row>
    <row r="9842">
      <c r="Y9842" s="372">
        <v>0.0</v>
      </c>
      <c r="Z9842" s="372">
        <v>0.0</v>
      </c>
    </row>
    <row r="9843">
      <c r="Y9843" s="372">
        <v>0.0</v>
      </c>
      <c r="Z9843" s="372">
        <v>0.0</v>
      </c>
    </row>
    <row r="9844">
      <c r="Y9844" s="372">
        <v>0.0</v>
      </c>
      <c r="Z9844" s="372">
        <v>0.0</v>
      </c>
    </row>
    <row r="9845">
      <c r="Y9845" s="372">
        <v>0.0</v>
      </c>
      <c r="Z9845" s="372">
        <v>0.0</v>
      </c>
    </row>
    <row r="9846">
      <c r="Y9846" s="372">
        <v>0.0</v>
      </c>
      <c r="Z9846" s="372">
        <v>0.0</v>
      </c>
    </row>
    <row r="9847">
      <c r="Y9847" s="372">
        <v>0.0</v>
      </c>
      <c r="Z9847" s="372">
        <v>0.0</v>
      </c>
    </row>
    <row r="9848">
      <c r="Y9848" s="372">
        <v>0.0</v>
      </c>
      <c r="Z9848" s="372">
        <v>0.0</v>
      </c>
    </row>
    <row r="9849">
      <c r="Y9849" s="372">
        <v>0.0</v>
      </c>
      <c r="Z9849" s="372">
        <v>0.0</v>
      </c>
    </row>
    <row r="9850">
      <c r="Y9850" s="372">
        <v>0.0</v>
      </c>
      <c r="Z9850" s="372">
        <v>0.0</v>
      </c>
    </row>
    <row r="9851">
      <c r="Y9851" s="372">
        <v>0.0</v>
      </c>
      <c r="Z9851" s="372">
        <v>0.0</v>
      </c>
    </row>
    <row r="9852">
      <c r="Y9852" s="372">
        <v>0.0</v>
      </c>
      <c r="Z9852" s="372">
        <v>0.0</v>
      </c>
    </row>
    <row r="9853">
      <c r="Y9853" s="372">
        <v>0.0</v>
      </c>
      <c r="Z9853" s="372">
        <v>0.0</v>
      </c>
    </row>
    <row r="9854">
      <c r="Y9854" s="372">
        <v>0.0</v>
      </c>
      <c r="Z9854" s="372">
        <v>0.0</v>
      </c>
    </row>
    <row r="9855">
      <c r="Y9855" s="372">
        <v>0.0</v>
      </c>
      <c r="Z9855" s="372">
        <v>0.0</v>
      </c>
    </row>
    <row r="9856">
      <c r="Y9856" s="372">
        <v>0.0</v>
      </c>
      <c r="Z9856" s="372">
        <v>0.0</v>
      </c>
    </row>
    <row r="9857">
      <c r="Y9857" s="372">
        <v>0.0</v>
      </c>
      <c r="Z9857" s="372">
        <v>0.0</v>
      </c>
    </row>
    <row r="9858">
      <c r="Y9858" s="372">
        <v>0.0</v>
      </c>
      <c r="Z9858" s="372">
        <v>0.0</v>
      </c>
    </row>
    <row r="9859">
      <c r="Y9859" s="372">
        <v>0.0</v>
      </c>
      <c r="Z9859" s="372">
        <v>0.0</v>
      </c>
    </row>
    <row r="9860">
      <c r="Y9860" s="372">
        <v>0.0</v>
      </c>
      <c r="Z9860" s="372">
        <v>0.0</v>
      </c>
    </row>
    <row r="9861">
      <c r="Y9861" s="372">
        <v>0.0</v>
      </c>
      <c r="Z9861" s="372">
        <v>0.0</v>
      </c>
    </row>
    <row r="9862">
      <c r="Y9862" s="372">
        <v>0.0</v>
      </c>
      <c r="Z9862" s="372">
        <v>0.0</v>
      </c>
    </row>
    <row r="9863">
      <c r="Y9863" s="372">
        <v>0.0</v>
      </c>
      <c r="Z9863" s="372">
        <v>0.0</v>
      </c>
    </row>
    <row r="9864">
      <c r="Y9864" s="372">
        <v>0.0</v>
      </c>
      <c r="Z9864" s="372">
        <v>0.0</v>
      </c>
    </row>
    <row r="9865">
      <c r="Y9865" s="372">
        <v>0.0</v>
      </c>
      <c r="Z9865" s="372">
        <v>0.0</v>
      </c>
    </row>
    <row r="9866">
      <c r="Y9866" s="372">
        <v>0.0</v>
      </c>
      <c r="Z9866" s="372">
        <v>0.0</v>
      </c>
    </row>
    <row r="9867">
      <c r="Y9867" s="372">
        <v>0.0</v>
      </c>
      <c r="Z9867" s="372">
        <v>0.0</v>
      </c>
    </row>
    <row r="9868">
      <c r="Y9868" s="372">
        <v>0.0</v>
      </c>
      <c r="Z9868" s="372">
        <v>0.0</v>
      </c>
    </row>
    <row r="9869">
      <c r="Y9869" s="372">
        <v>0.0</v>
      </c>
      <c r="Z9869" s="372">
        <v>0.0</v>
      </c>
    </row>
    <row r="9870">
      <c r="Y9870" s="372">
        <v>0.0</v>
      </c>
      <c r="Z9870" s="372">
        <v>0.0</v>
      </c>
    </row>
    <row r="9871">
      <c r="Y9871" s="372">
        <v>0.0</v>
      </c>
      <c r="Z9871" s="372">
        <v>0.0</v>
      </c>
    </row>
    <row r="9872">
      <c r="Y9872" s="372">
        <v>0.0</v>
      </c>
      <c r="Z9872" s="372">
        <v>0.0</v>
      </c>
    </row>
    <row r="9873">
      <c r="Y9873" s="372">
        <v>0.0</v>
      </c>
      <c r="Z9873" s="372">
        <v>0.0</v>
      </c>
    </row>
    <row r="9874">
      <c r="Y9874" s="372">
        <v>0.0</v>
      </c>
      <c r="Z9874" s="372">
        <v>0.0</v>
      </c>
    </row>
    <row r="9875">
      <c r="Y9875" s="372">
        <v>0.0</v>
      </c>
      <c r="Z9875" s="372">
        <v>0.0</v>
      </c>
    </row>
    <row r="9876">
      <c r="Y9876" s="372">
        <v>0.0</v>
      </c>
      <c r="Z9876" s="372">
        <v>0.0</v>
      </c>
    </row>
    <row r="9877">
      <c r="Y9877" s="372">
        <v>0.0</v>
      </c>
      <c r="Z9877" s="372">
        <v>0.0</v>
      </c>
    </row>
    <row r="9878">
      <c r="Y9878" s="372">
        <v>0.0</v>
      </c>
      <c r="Z9878" s="372">
        <v>0.0</v>
      </c>
    </row>
    <row r="9879">
      <c r="Y9879" s="372">
        <v>0.0</v>
      </c>
      <c r="Z9879" s="372">
        <v>0.0</v>
      </c>
    </row>
    <row r="9880">
      <c r="Y9880" s="372">
        <v>0.0</v>
      </c>
      <c r="Z9880" s="372">
        <v>0.0</v>
      </c>
    </row>
    <row r="9881">
      <c r="Y9881" s="372">
        <v>0.0</v>
      </c>
      <c r="Z9881" s="372">
        <v>0.0</v>
      </c>
    </row>
    <row r="9882">
      <c r="Y9882" s="372">
        <v>0.0</v>
      </c>
      <c r="Z9882" s="372">
        <v>0.0</v>
      </c>
    </row>
    <row r="9883">
      <c r="Y9883" s="372">
        <v>0.0</v>
      </c>
      <c r="Z9883" s="372">
        <v>0.0</v>
      </c>
    </row>
    <row r="9884">
      <c r="Y9884" s="372">
        <v>0.0</v>
      </c>
      <c r="Z9884" s="372">
        <v>0.0</v>
      </c>
    </row>
    <row r="9885">
      <c r="Y9885" s="372">
        <v>0.0</v>
      </c>
      <c r="Z9885" s="372">
        <v>0.0</v>
      </c>
    </row>
    <row r="9886">
      <c r="Y9886" s="372">
        <v>0.0</v>
      </c>
      <c r="Z9886" s="372">
        <v>0.0</v>
      </c>
    </row>
    <row r="9887">
      <c r="Y9887" s="372">
        <v>0.0</v>
      </c>
      <c r="Z9887" s="372">
        <v>0.0</v>
      </c>
    </row>
    <row r="9888">
      <c r="Y9888" s="372">
        <v>0.0</v>
      </c>
      <c r="Z9888" s="372">
        <v>0.0</v>
      </c>
    </row>
    <row r="9889">
      <c r="Y9889" s="372">
        <v>0.0</v>
      </c>
      <c r="Z9889" s="372">
        <v>0.0</v>
      </c>
    </row>
    <row r="9890">
      <c r="Y9890" s="372">
        <v>0.0</v>
      </c>
      <c r="Z9890" s="372">
        <v>0.0</v>
      </c>
    </row>
    <row r="9891">
      <c r="Y9891" s="372">
        <v>0.0</v>
      </c>
      <c r="Z9891" s="372">
        <v>0.0</v>
      </c>
    </row>
    <row r="9892">
      <c r="Y9892" s="372">
        <v>0.0</v>
      </c>
      <c r="Z9892" s="372">
        <v>0.0</v>
      </c>
    </row>
    <row r="9893">
      <c r="Y9893" s="372">
        <v>0.0</v>
      </c>
      <c r="Z9893" s="372">
        <v>0.0</v>
      </c>
    </row>
    <row r="9894">
      <c r="Y9894" s="372">
        <v>0.0</v>
      </c>
      <c r="Z9894" s="372">
        <v>0.0</v>
      </c>
    </row>
    <row r="9895">
      <c r="Y9895" s="372">
        <v>0.0</v>
      </c>
      <c r="Z9895" s="372">
        <v>0.0</v>
      </c>
    </row>
    <row r="9896">
      <c r="Y9896" s="372">
        <v>0.0</v>
      </c>
      <c r="Z9896" s="372">
        <v>0.0</v>
      </c>
    </row>
    <row r="9897">
      <c r="Y9897" s="372">
        <v>0.0</v>
      </c>
      <c r="Z9897" s="372">
        <v>0.0</v>
      </c>
    </row>
    <row r="9898">
      <c r="Y9898" s="372">
        <v>0.0</v>
      </c>
      <c r="Z9898" s="372">
        <v>0.0</v>
      </c>
    </row>
    <row r="9899">
      <c r="Y9899" s="372">
        <v>0.0</v>
      </c>
      <c r="Z9899" s="372">
        <v>0.0</v>
      </c>
    </row>
    <row r="9900">
      <c r="Y9900" s="372">
        <v>0.0</v>
      </c>
      <c r="Z9900" s="372">
        <v>0.0</v>
      </c>
    </row>
    <row r="9901">
      <c r="Y9901" s="372">
        <v>0.0</v>
      </c>
      <c r="Z9901" s="372">
        <v>0.0</v>
      </c>
    </row>
    <row r="9902">
      <c r="Y9902" s="372">
        <v>0.0</v>
      </c>
      <c r="Z9902" s="372">
        <v>0.0</v>
      </c>
    </row>
    <row r="9903">
      <c r="Y9903" s="372">
        <v>0.0</v>
      </c>
      <c r="Z9903" s="372">
        <v>0.0</v>
      </c>
    </row>
    <row r="9904">
      <c r="Y9904" s="372">
        <v>0.0</v>
      </c>
      <c r="Z9904" s="372">
        <v>0.0</v>
      </c>
    </row>
    <row r="9905">
      <c r="Y9905" s="372">
        <v>0.0</v>
      </c>
      <c r="Z9905" s="372">
        <v>0.0</v>
      </c>
    </row>
    <row r="9906">
      <c r="Y9906" s="372">
        <v>0.0</v>
      </c>
      <c r="Z9906" s="372">
        <v>0.0</v>
      </c>
    </row>
    <row r="9907">
      <c r="Y9907" s="372">
        <v>0.0</v>
      </c>
      <c r="Z9907" s="372">
        <v>0.0</v>
      </c>
    </row>
    <row r="9908">
      <c r="Y9908" s="372">
        <v>0.0</v>
      </c>
      <c r="Z9908" s="372">
        <v>0.0</v>
      </c>
    </row>
    <row r="9909">
      <c r="Y9909" s="372">
        <v>0.0</v>
      </c>
      <c r="Z9909" s="372">
        <v>0.0</v>
      </c>
    </row>
    <row r="9910">
      <c r="Y9910" s="372">
        <v>0.0</v>
      </c>
      <c r="Z9910" s="372">
        <v>0.0</v>
      </c>
    </row>
    <row r="9911">
      <c r="Y9911" s="372">
        <v>0.0</v>
      </c>
      <c r="Z9911" s="372">
        <v>0.0</v>
      </c>
    </row>
    <row r="9912">
      <c r="Y9912" s="372">
        <v>0.0</v>
      </c>
      <c r="Z9912" s="372">
        <v>0.0</v>
      </c>
    </row>
    <row r="9913">
      <c r="Y9913" s="372">
        <v>0.0</v>
      </c>
      <c r="Z9913" s="372">
        <v>0.0</v>
      </c>
    </row>
    <row r="9914">
      <c r="Y9914" s="372">
        <v>0.0</v>
      </c>
      <c r="Z9914" s="372">
        <v>0.0</v>
      </c>
    </row>
    <row r="9915">
      <c r="Y9915" s="372">
        <v>0.0</v>
      </c>
      <c r="Z9915" s="372">
        <v>0.0</v>
      </c>
    </row>
    <row r="9916">
      <c r="Y9916" s="372">
        <v>0.0</v>
      </c>
      <c r="Z9916" s="372">
        <v>0.0</v>
      </c>
    </row>
    <row r="9917">
      <c r="Y9917" s="372">
        <v>0.0</v>
      </c>
      <c r="Z9917" s="372">
        <v>0.0</v>
      </c>
    </row>
    <row r="9918">
      <c r="Y9918" s="372">
        <v>0.0</v>
      </c>
      <c r="Z9918" s="372">
        <v>0.0</v>
      </c>
    </row>
    <row r="9919">
      <c r="Y9919" s="372">
        <v>0.0</v>
      </c>
      <c r="Z9919" s="372">
        <v>0.0</v>
      </c>
    </row>
    <row r="9920">
      <c r="Y9920" s="372">
        <v>0.0</v>
      </c>
      <c r="Z9920" s="372">
        <v>0.0</v>
      </c>
    </row>
    <row r="9921">
      <c r="Y9921" s="372">
        <v>0.0</v>
      </c>
      <c r="Z9921" s="372">
        <v>0.0</v>
      </c>
    </row>
    <row r="9922">
      <c r="Y9922" s="372">
        <v>0.0</v>
      </c>
      <c r="Z9922" s="372">
        <v>0.0</v>
      </c>
    </row>
    <row r="9923">
      <c r="Y9923" s="372">
        <v>0.0</v>
      </c>
      <c r="Z9923" s="372">
        <v>0.0</v>
      </c>
    </row>
    <row r="9924">
      <c r="Y9924" s="372">
        <v>0.0</v>
      </c>
      <c r="Z9924" s="372">
        <v>0.0</v>
      </c>
    </row>
    <row r="9925">
      <c r="Y9925" s="372">
        <v>0.0</v>
      </c>
      <c r="Z9925" s="372">
        <v>0.0</v>
      </c>
    </row>
    <row r="9926">
      <c r="Y9926" s="372">
        <v>0.0</v>
      </c>
      <c r="Z9926" s="372">
        <v>0.0</v>
      </c>
    </row>
    <row r="9927">
      <c r="Y9927" s="372">
        <v>0.0</v>
      </c>
      <c r="Z9927" s="372">
        <v>0.0</v>
      </c>
    </row>
    <row r="9928">
      <c r="Y9928" s="372">
        <v>0.0</v>
      </c>
      <c r="Z9928" s="372">
        <v>0.0</v>
      </c>
    </row>
    <row r="9929">
      <c r="Y9929" s="372">
        <v>0.0</v>
      </c>
      <c r="Z9929" s="372">
        <v>0.0</v>
      </c>
    </row>
    <row r="9930">
      <c r="Y9930" s="372">
        <v>0.0</v>
      </c>
      <c r="Z9930" s="372">
        <v>0.0</v>
      </c>
    </row>
    <row r="9931">
      <c r="Y9931" s="372">
        <v>0.0</v>
      </c>
      <c r="Z9931" s="372">
        <v>0.0</v>
      </c>
    </row>
    <row r="9932">
      <c r="Y9932" s="372">
        <v>0.0</v>
      </c>
      <c r="Z9932" s="372">
        <v>0.0</v>
      </c>
    </row>
    <row r="9933">
      <c r="Y9933" s="372">
        <v>0.0</v>
      </c>
      <c r="Z9933" s="372">
        <v>0.0</v>
      </c>
    </row>
    <row r="9934">
      <c r="Y9934" s="372">
        <v>0.0</v>
      </c>
      <c r="Z9934" s="372">
        <v>0.0</v>
      </c>
    </row>
    <row r="9935">
      <c r="Y9935" s="372">
        <v>0.0</v>
      </c>
      <c r="Z9935" s="372">
        <v>0.0</v>
      </c>
    </row>
    <row r="9936">
      <c r="Y9936" s="372">
        <v>0.0</v>
      </c>
      <c r="Z9936" s="372">
        <v>0.0</v>
      </c>
    </row>
    <row r="9937">
      <c r="Y9937" s="372">
        <v>0.0</v>
      </c>
      <c r="Z9937" s="372">
        <v>0.0</v>
      </c>
    </row>
    <row r="9938">
      <c r="Y9938" s="372">
        <v>0.0</v>
      </c>
      <c r="Z9938" s="372">
        <v>0.0</v>
      </c>
    </row>
    <row r="9939">
      <c r="Y9939" s="372">
        <v>0.0</v>
      </c>
      <c r="Z9939" s="372">
        <v>0.0</v>
      </c>
    </row>
    <row r="9940">
      <c r="Y9940" s="372">
        <v>0.0</v>
      </c>
      <c r="Z9940" s="372">
        <v>0.0</v>
      </c>
    </row>
    <row r="9941">
      <c r="Y9941" s="372">
        <v>0.0</v>
      </c>
      <c r="Z9941" s="372">
        <v>0.0</v>
      </c>
    </row>
    <row r="9942">
      <c r="Y9942" s="372">
        <v>0.0</v>
      </c>
      <c r="Z9942" s="372">
        <v>0.0</v>
      </c>
    </row>
    <row r="9943">
      <c r="Y9943" s="372">
        <v>0.0</v>
      </c>
      <c r="Z9943" s="372">
        <v>0.0</v>
      </c>
    </row>
    <row r="9944">
      <c r="Y9944" s="372">
        <v>0.0</v>
      </c>
      <c r="Z9944" s="372">
        <v>0.0</v>
      </c>
    </row>
    <row r="9945">
      <c r="Y9945" s="372">
        <v>0.0</v>
      </c>
      <c r="Z9945" s="372">
        <v>0.0</v>
      </c>
    </row>
    <row r="9946">
      <c r="Y9946" s="372">
        <v>0.0</v>
      </c>
      <c r="Z9946" s="372">
        <v>0.0</v>
      </c>
    </row>
    <row r="9947">
      <c r="Y9947" s="372">
        <v>0.0</v>
      </c>
      <c r="Z9947" s="372">
        <v>0.0</v>
      </c>
    </row>
    <row r="9948">
      <c r="Y9948" s="372">
        <v>0.0</v>
      </c>
      <c r="Z9948" s="372">
        <v>0.0</v>
      </c>
    </row>
    <row r="9949">
      <c r="Y9949" s="372">
        <v>0.0</v>
      </c>
      <c r="Z9949" s="372">
        <v>0.0</v>
      </c>
    </row>
    <row r="9950">
      <c r="Y9950" s="372">
        <v>0.0</v>
      </c>
      <c r="Z9950" s="372">
        <v>0.0</v>
      </c>
    </row>
    <row r="9951">
      <c r="Y9951" s="372">
        <v>0.0</v>
      </c>
      <c r="Z9951" s="372">
        <v>0.0</v>
      </c>
    </row>
    <row r="9952">
      <c r="Y9952" s="372">
        <v>0.0</v>
      </c>
      <c r="Z9952" s="372">
        <v>0.0</v>
      </c>
    </row>
    <row r="9953">
      <c r="Y9953" s="372">
        <v>0.0</v>
      </c>
      <c r="Z9953" s="372">
        <v>0.0</v>
      </c>
    </row>
    <row r="9954">
      <c r="Y9954" s="372">
        <v>0.0</v>
      </c>
      <c r="Z9954" s="372">
        <v>0.0</v>
      </c>
    </row>
    <row r="9955">
      <c r="Y9955" s="372">
        <v>0.0</v>
      </c>
      <c r="Z9955" s="372">
        <v>0.0</v>
      </c>
    </row>
    <row r="9956">
      <c r="Y9956" s="372">
        <v>0.0</v>
      </c>
      <c r="Z9956" s="372">
        <v>0.0</v>
      </c>
    </row>
    <row r="9957">
      <c r="Y9957" s="372">
        <v>0.0</v>
      </c>
      <c r="Z9957" s="372">
        <v>0.0</v>
      </c>
    </row>
    <row r="9958">
      <c r="Y9958" s="372">
        <v>0.0</v>
      </c>
      <c r="Z9958" s="372">
        <v>0.0</v>
      </c>
    </row>
    <row r="9959">
      <c r="Y9959" s="372">
        <v>0.0</v>
      </c>
      <c r="Z9959" s="372">
        <v>0.0</v>
      </c>
    </row>
    <row r="9960">
      <c r="Y9960" s="372">
        <v>0.0</v>
      </c>
      <c r="Z9960" s="372">
        <v>0.0</v>
      </c>
    </row>
    <row r="9961">
      <c r="Y9961" s="372">
        <v>0.0</v>
      </c>
      <c r="Z9961" s="372">
        <v>0.0</v>
      </c>
    </row>
    <row r="9962">
      <c r="Y9962" s="372">
        <v>0.0</v>
      </c>
      <c r="Z9962" s="372">
        <v>0.0</v>
      </c>
    </row>
    <row r="9963">
      <c r="Y9963" s="372">
        <v>0.0</v>
      </c>
      <c r="Z9963" s="372">
        <v>0.0</v>
      </c>
    </row>
    <row r="9964">
      <c r="Y9964" s="372">
        <v>0.0</v>
      </c>
      <c r="Z9964" s="372">
        <v>0.0</v>
      </c>
    </row>
    <row r="9965">
      <c r="Y9965" s="372">
        <v>0.0</v>
      </c>
      <c r="Z9965" s="372">
        <v>0.0</v>
      </c>
    </row>
    <row r="9966">
      <c r="Y9966" s="372">
        <v>0.0</v>
      </c>
      <c r="Z9966" s="372">
        <v>0.0</v>
      </c>
    </row>
    <row r="9967">
      <c r="Y9967" s="372">
        <v>0.0</v>
      </c>
      <c r="Z9967" s="372">
        <v>0.0</v>
      </c>
    </row>
    <row r="9968">
      <c r="Y9968" s="372">
        <v>0.0</v>
      </c>
      <c r="Z9968" s="372">
        <v>0.0</v>
      </c>
    </row>
    <row r="9969">
      <c r="Y9969" s="372">
        <v>0.0</v>
      </c>
      <c r="Z9969" s="372">
        <v>0.0</v>
      </c>
    </row>
    <row r="9970">
      <c r="Y9970" s="372">
        <v>0.0</v>
      </c>
      <c r="Z9970" s="372">
        <v>0.0</v>
      </c>
    </row>
    <row r="9971">
      <c r="Y9971" s="372">
        <v>0.0</v>
      </c>
      <c r="Z9971" s="372">
        <v>0.0</v>
      </c>
    </row>
    <row r="9972">
      <c r="Y9972" s="372">
        <v>0.0</v>
      </c>
      <c r="Z9972" s="372">
        <v>0.0</v>
      </c>
    </row>
    <row r="9973">
      <c r="Y9973" s="372">
        <v>0.0</v>
      </c>
      <c r="Z9973" s="372">
        <v>0.0</v>
      </c>
    </row>
    <row r="9974">
      <c r="Y9974" s="372">
        <v>0.0</v>
      </c>
      <c r="Z9974" s="372">
        <v>0.0</v>
      </c>
    </row>
    <row r="9975">
      <c r="Y9975" s="372">
        <v>0.0</v>
      </c>
      <c r="Z9975" s="372">
        <v>0.0</v>
      </c>
    </row>
    <row r="9976">
      <c r="Y9976" s="372">
        <v>0.0</v>
      </c>
      <c r="Z9976" s="372">
        <v>0.0</v>
      </c>
    </row>
    <row r="9977">
      <c r="Y9977" s="372">
        <v>0.0</v>
      </c>
      <c r="Z9977" s="372">
        <v>0.0</v>
      </c>
    </row>
    <row r="9978">
      <c r="Y9978" s="372">
        <v>0.0</v>
      </c>
      <c r="Z9978" s="372">
        <v>0.0</v>
      </c>
    </row>
    <row r="9979">
      <c r="Y9979" s="372">
        <v>0.0</v>
      </c>
      <c r="Z9979" s="372">
        <v>0.0</v>
      </c>
    </row>
    <row r="9980">
      <c r="Y9980" s="372">
        <v>0.0</v>
      </c>
      <c r="Z9980" s="372">
        <v>0.0</v>
      </c>
    </row>
    <row r="9981">
      <c r="Y9981" s="372">
        <v>0.0</v>
      </c>
      <c r="Z9981" s="372">
        <v>0.0</v>
      </c>
    </row>
    <row r="9982">
      <c r="Y9982" s="372">
        <v>0.0</v>
      </c>
      <c r="Z9982" s="372">
        <v>0.0</v>
      </c>
    </row>
    <row r="9983">
      <c r="Y9983" s="372">
        <v>0.0</v>
      </c>
      <c r="Z9983" s="372">
        <v>0.0</v>
      </c>
    </row>
    <row r="9984">
      <c r="Y9984" s="372">
        <v>0.0</v>
      </c>
      <c r="Z9984" s="372">
        <v>0.0</v>
      </c>
    </row>
    <row r="9985">
      <c r="Y9985" s="372">
        <v>0.0</v>
      </c>
      <c r="Z9985" s="372">
        <v>0.0</v>
      </c>
    </row>
    <row r="9986">
      <c r="Y9986" s="372">
        <v>0.0</v>
      </c>
      <c r="Z9986" s="372">
        <v>0.0</v>
      </c>
    </row>
    <row r="9987">
      <c r="Y9987" s="372">
        <v>0.0</v>
      </c>
      <c r="Z9987" s="372">
        <v>0.0</v>
      </c>
    </row>
    <row r="9988">
      <c r="Y9988" s="372">
        <v>0.0</v>
      </c>
      <c r="Z9988" s="372">
        <v>0.0</v>
      </c>
    </row>
    <row r="9989">
      <c r="Y9989" s="372">
        <v>0.0</v>
      </c>
      <c r="Z9989" s="372">
        <v>0.0</v>
      </c>
    </row>
    <row r="9990">
      <c r="Y9990" s="372">
        <v>0.0</v>
      </c>
      <c r="Z9990" s="372">
        <v>0.0</v>
      </c>
    </row>
    <row r="9991">
      <c r="Y9991" s="372">
        <v>0.0</v>
      </c>
      <c r="Z9991" s="372">
        <v>0.0</v>
      </c>
    </row>
    <row r="9992">
      <c r="Y9992" s="372">
        <v>0.0</v>
      </c>
      <c r="Z9992" s="372">
        <v>0.0</v>
      </c>
    </row>
    <row r="9993">
      <c r="Y9993" s="372">
        <v>0.0</v>
      </c>
      <c r="Z9993" s="372">
        <v>0.0</v>
      </c>
    </row>
    <row r="9994">
      <c r="Y9994" s="372">
        <v>0.0</v>
      </c>
      <c r="Z9994" s="372">
        <v>0.0</v>
      </c>
    </row>
    <row r="9995">
      <c r="Y9995" s="372">
        <v>0.0</v>
      </c>
      <c r="Z9995" s="372">
        <v>0.0</v>
      </c>
    </row>
    <row r="9996">
      <c r="Y9996" s="372">
        <v>0.0</v>
      </c>
      <c r="Z9996" s="372">
        <v>0.0</v>
      </c>
    </row>
    <row r="9997">
      <c r="Y9997" s="372">
        <v>0.0</v>
      </c>
      <c r="Z9997" s="372">
        <v>0.0</v>
      </c>
    </row>
    <row r="9998">
      <c r="Y9998" s="372">
        <v>0.0</v>
      </c>
      <c r="Z9998" s="372">
        <v>0.0</v>
      </c>
    </row>
    <row r="9999">
      <c r="Y9999" s="372">
        <v>0.0</v>
      </c>
      <c r="Z9999" s="372">
        <v>0.0</v>
      </c>
    </row>
    <row r="10000">
      <c r="Y10000" s="372">
        <v>0.0</v>
      </c>
      <c r="Z10000" s="372">
        <v>0.0</v>
      </c>
    </row>
    <row r="10001">
      <c r="Y10001" s="372">
        <v>0.0</v>
      </c>
      <c r="Z10001" s="372">
        <v>0.0</v>
      </c>
    </row>
    <row r="10002">
      <c r="Y10002" s="372">
        <v>0.0</v>
      </c>
      <c r="Z10002" s="372">
        <v>0.0</v>
      </c>
    </row>
    <row r="10003">
      <c r="Y10003" s="372">
        <v>0.0</v>
      </c>
      <c r="Z10003" s="372">
        <v>0.0</v>
      </c>
    </row>
    <row r="10004">
      <c r="Y10004" s="372">
        <v>0.0</v>
      </c>
      <c r="Z10004" s="372">
        <v>0.0</v>
      </c>
    </row>
    <row r="10005">
      <c r="Y10005" s="372">
        <v>0.0</v>
      </c>
      <c r="Z10005" s="372">
        <v>0.0</v>
      </c>
    </row>
    <row r="10006">
      <c r="Y10006" s="372">
        <v>0.0</v>
      </c>
      <c r="Z10006" s="372">
        <v>0.0</v>
      </c>
    </row>
    <row r="10007">
      <c r="Y10007" s="372">
        <v>0.0</v>
      </c>
      <c r="Z10007" s="372">
        <v>0.0</v>
      </c>
    </row>
    <row r="10008">
      <c r="Y10008" s="372">
        <v>0.0</v>
      </c>
      <c r="Z10008" s="372">
        <v>0.0</v>
      </c>
    </row>
    <row r="10009">
      <c r="Y10009" s="372">
        <v>0.0</v>
      </c>
      <c r="Z10009" s="372">
        <v>0.0</v>
      </c>
    </row>
    <row r="10010">
      <c r="Y10010" s="372">
        <v>0.0</v>
      </c>
      <c r="Z10010" s="372">
        <v>0.0</v>
      </c>
    </row>
    <row r="10011">
      <c r="Y10011" s="372">
        <v>0.0</v>
      </c>
      <c r="Z10011" s="372">
        <v>0.0</v>
      </c>
    </row>
    <row r="10012">
      <c r="Y10012" s="372">
        <v>0.0</v>
      </c>
      <c r="Z10012" s="372">
        <v>0.0</v>
      </c>
    </row>
    <row r="10013">
      <c r="Y10013" s="372">
        <v>0.0</v>
      </c>
      <c r="Z10013" s="372">
        <v>0.0</v>
      </c>
    </row>
    <row r="10014">
      <c r="Y10014" s="372">
        <v>0.0</v>
      </c>
      <c r="Z10014" s="372">
        <v>0.0</v>
      </c>
    </row>
    <row r="10015">
      <c r="Y10015" s="372">
        <v>0.0</v>
      </c>
      <c r="Z10015" s="372">
        <v>0.0</v>
      </c>
    </row>
    <row r="10016">
      <c r="Y10016" s="372">
        <v>0.0</v>
      </c>
      <c r="Z10016" s="372">
        <v>0.0</v>
      </c>
    </row>
    <row r="10017">
      <c r="Y10017" s="372">
        <v>0.0</v>
      </c>
      <c r="Z10017" s="372">
        <v>0.0</v>
      </c>
    </row>
    <row r="10018">
      <c r="Y10018" s="372">
        <v>0.0</v>
      </c>
      <c r="Z10018" s="372">
        <v>0.0</v>
      </c>
    </row>
    <row r="10019">
      <c r="Y10019" s="372">
        <v>0.0</v>
      </c>
      <c r="Z10019" s="372">
        <v>0.0</v>
      </c>
    </row>
    <row r="10020">
      <c r="Y10020" s="372">
        <v>0.0</v>
      </c>
      <c r="Z10020" s="372">
        <v>0.0</v>
      </c>
    </row>
    <row r="10021">
      <c r="Y10021" s="372">
        <v>0.0</v>
      </c>
      <c r="Z10021" s="372">
        <v>0.0</v>
      </c>
    </row>
    <row r="10022">
      <c r="Y10022" s="372">
        <v>0.0</v>
      </c>
      <c r="Z10022" s="372">
        <v>0.0</v>
      </c>
    </row>
    <row r="10023">
      <c r="Y10023" s="372">
        <v>0.0</v>
      </c>
      <c r="Z10023" s="372">
        <v>0.0</v>
      </c>
    </row>
    <row r="10024">
      <c r="Y10024" s="372">
        <v>0.0</v>
      </c>
      <c r="Z10024" s="372">
        <v>0.0</v>
      </c>
    </row>
    <row r="10025">
      <c r="Y10025" s="372">
        <v>0.0</v>
      </c>
      <c r="Z10025" s="372">
        <v>0.0</v>
      </c>
    </row>
    <row r="10026">
      <c r="Y10026" s="372">
        <v>0.0</v>
      </c>
      <c r="Z10026" s="372">
        <v>0.0</v>
      </c>
    </row>
    <row r="10027">
      <c r="Y10027" s="372">
        <v>0.0</v>
      </c>
      <c r="Z10027" s="372">
        <v>0.0</v>
      </c>
    </row>
    <row r="10028">
      <c r="Y10028" s="372">
        <v>0.0</v>
      </c>
      <c r="Z10028" s="372">
        <v>0.0</v>
      </c>
    </row>
    <row r="10029">
      <c r="Y10029" s="372">
        <v>0.0</v>
      </c>
      <c r="Z10029" s="372">
        <v>0.0</v>
      </c>
    </row>
    <row r="10030">
      <c r="Y10030" s="372">
        <v>0.0</v>
      </c>
      <c r="Z10030" s="372">
        <v>0.0</v>
      </c>
    </row>
    <row r="10031">
      <c r="Y10031" s="372">
        <v>0.0</v>
      </c>
      <c r="Z10031" s="372">
        <v>0.0</v>
      </c>
    </row>
    <row r="10032">
      <c r="Y10032" s="372">
        <v>0.0</v>
      </c>
      <c r="Z10032" s="372">
        <v>0.0</v>
      </c>
    </row>
    <row r="10033">
      <c r="Y10033" s="372">
        <v>0.0</v>
      </c>
      <c r="Z10033" s="372">
        <v>0.0</v>
      </c>
    </row>
    <row r="10034">
      <c r="Y10034" s="372">
        <v>0.0</v>
      </c>
      <c r="Z10034" s="372">
        <v>0.0</v>
      </c>
    </row>
    <row r="10035">
      <c r="Y10035" s="372">
        <v>0.0</v>
      </c>
      <c r="Z10035" s="372">
        <v>0.0</v>
      </c>
    </row>
    <row r="10036">
      <c r="Y10036" s="372">
        <v>0.0</v>
      </c>
      <c r="Z10036" s="372">
        <v>0.0</v>
      </c>
    </row>
    <row r="10037">
      <c r="Y10037" s="372">
        <v>0.0</v>
      </c>
      <c r="Z10037" s="372">
        <v>0.0</v>
      </c>
    </row>
    <row r="10038">
      <c r="Y10038" s="372">
        <v>0.0</v>
      </c>
      <c r="Z10038" s="372">
        <v>0.0</v>
      </c>
    </row>
    <row r="10039">
      <c r="Y10039" s="372">
        <v>0.0</v>
      </c>
      <c r="Z10039" s="372">
        <v>0.0</v>
      </c>
    </row>
    <row r="10040">
      <c r="Y10040" s="372">
        <v>0.0</v>
      </c>
      <c r="Z10040" s="372">
        <v>0.0</v>
      </c>
    </row>
    <row r="10041">
      <c r="Y10041" s="372">
        <v>0.0</v>
      </c>
      <c r="Z10041" s="372">
        <v>0.0</v>
      </c>
    </row>
    <row r="10042">
      <c r="Y10042" s="372">
        <v>0.0</v>
      </c>
      <c r="Z10042" s="372">
        <v>0.0</v>
      </c>
    </row>
    <row r="10043">
      <c r="Y10043" s="372">
        <v>0.0</v>
      </c>
      <c r="Z10043" s="372">
        <v>0.0</v>
      </c>
    </row>
    <row r="10044">
      <c r="Y10044" s="372">
        <v>0.0</v>
      </c>
      <c r="Z10044" s="372">
        <v>0.0</v>
      </c>
    </row>
    <row r="10045">
      <c r="Y10045" s="372">
        <v>0.0</v>
      </c>
      <c r="Z10045" s="372">
        <v>0.0</v>
      </c>
    </row>
    <row r="10046">
      <c r="Y10046" s="372">
        <v>0.0</v>
      </c>
      <c r="Z10046" s="372">
        <v>0.0</v>
      </c>
    </row>
    <row r="10047">
      <c r="Y10047" s="372">
        <v>0.0</v>
      </c>
      <c r="Z10047" s="372">
        <v>0.0</v>
      </c>
    </row>
    <row r="10048">
      <c r="Y10048" s="372">
        <v>0.0</v>
      </c>
      <c r="Z10048" s="372">
        <v>0.0</v>
      </c>
    </row>
    <row r="10049">
      <c r="Y10049" s="372">
        <v>0.0</v>
      </c>
      <c r="Z10049" s="372">
        <v>0.0</v>
      </c>
    </row>
    <row r="10050">
      <c r="Y10050" s="372">
        <v>0.0</v>
      </c>
      <c r="Z10050" s="372">
        <v>0.0</v>
      </c>
    </row>
    <row r="10051">
      <c r="Y10051" s="372">
        <v>0.0</v>
      </c>
      <c r="Z10051" s="372">
        <v>0.0</v>
      </c>
    </row>
    <row r="10052">
      <c r="Y10052" s="372">
        <v>0.0</v>
      </c>
      <c r="Z10052" s="372">
        <v>0.0</v>
      </c>
    </row>
    <row r="10053">
      <c r="Y10053" s="372">
        <v>0.0</v>
      </c>
      <c r="Z10053" s="372">
        <v>0.0</v>
      </c>
    </row>
    <row r="10054">
      <c r="Y10054" s="372">
        <v>0.0</v>
      </c>
      <c r="Z10054" s="372">
        <v>0.0</v>
      </c>
    </row>
    <row r="10055">
      <c r="Y10055" s="372">
        <v>0.0</v>
      </c>
      <c r="Z10055" s="372">
        <v>0.0</v>
      </c>
    </row>
    <row r="10056">
      <c r="Y10056" s="372">
        <v>0.0</v>
      </c>
      <c r="Z10056" s="372">
        <v>0.0</v>
      </c>
    </row>
    <row r="10057">
      <c r="Y10057" s="372">
        <v>0.0</v>
      </c>
      <c r="Z10057" s="372">
        <v>0.0</v>
      </c>
    </row>
    <row r="10058">
      <c r="Y10058" s="372">
        <v>0.0</v>
      </c>
      <c r="Z10058" s="372">
        <v>0.0</v>
      </c>
    </row>
    <row r="10059">
      <c r="Y10059" s="372">
        <v>0.0</v>
      </c>
      <c r="Z10059" s="372">
        <v>0.0</v>
      </c>
    </row>
    <row r="10060">
      <c r="Y10060" s="372">
        <v>0.0</v>
      </c>
      <c r="Z10060" s="372">
        <v>0.0</v>
      </c>
    </row>
    <row r="10061">
      <c r="Y10061" s="372">
        <v>0.0</v>
      </c>
      <c r="Z10061" s="372">
        <v>0.0</v>
      </c>
    </row>
    <row r="10062">
      <c r="Y10062" s="372">
        <v>0.0</v>
      </c>
      <c r="Z10062" s="372">
        <v>0.0</v>
      </c>
    </row>
    <row r="10063">
      <c r="Y10063" s="372">
        <v>0.0</v>
      </c>
      <c r="Z10063" s="372">
        <v>0.0</v>
      </c>
    </row>
    <row r="10064">
      <c r="Y10064" s="372">
        <v>0.0</v>
      </c>
      <c r="Z10064" s="372">
        <v>0.0</v>
      </c>
    </row>
    <row r="10065">
      <c r="Y10065" s="372">
        <v>0.0</v>
      </c>
      <c r="Z10065" s="372">
        <v>0.0</v>
      </c>
    </row>
    <row r="10066">
      <c r="Y10066" s="372">
        <v>0.0</v>
      </c>
      <c r="Z10066" s="372">
        <v>0.0</v>
      </c>
    </row>
    <row r="10067">
      <c r="Y10067" s="372">
        <v>0.0</v>
      </c>
      <c r="Z10067" s="372">
        <v>0.0</v>
      </c>
    </row>
    <row r="10068">
      <c r="Y10068" s="372">
        <v>0.0</v>
      </c>
      <c r="Z10068" s="372">
        <v>0.0</v>
      </c>
    </row>
    <row r="10069">
      <c r="Y10069" s="372">
        <v>0.0</v>
      </c>
      <c r="Z10069" s="372">
        <v>0.0</v>
      </c>
    </row>
    <row r="10070">
      <c r="Y10070" s="372">
        <v>0.0</v>
      </c>
      <c r="Z10070" s="372">
        <v>0.0</v>
      </c>
    </row>
    <row r="10071">
      <c r="Y10071" s="372">
        <v>0.0</v>
      </c>
      <c r="Z10071" s="372">
        <v>0.0</v>
      </c>
    </row>
    <row r="10072">
      <c r="Y10072" s="372">
        <v>0.0</v>
      </c>
      <c r="Z10072" s="372">
        <v>0.0</v>
      </c>
    </row>
    <row r="10073">
      <c r="Y10073" s="372">
        <v>0.0</v>
      </c>
      <c r="Z10073" s="372">
        <v>0.0</v>
      </c>
    </row>
    <row r="10074">
      <c r="Y10074" s="372">
        <v>0.0</v>
      </c>
      <c r="Z10074" s="372">
        <v>0.0</v>
      </c>
    </row>
    <row r="10075">
      <c r="Y10075" s="372">
        <v>0.0</v>
      </c>
      <c r="Z10075" s="372">
        <v>0.0</v>
      </c>
    </row>
    <row r="10076">
      <c r="Y10076" s="372">
        <v>0.0</v>
      </c>
      <c r="Z10076" s="372">
        <v>0.0</v>
      </c>
    </row>
    <row r="10077">
      <c r="Y10077" s="372">
        <v>0.0</v>
      </c>
      <c r="Z10077" s="372">
        <v>0.0</v>
      </c>
    </row>
    <row r="10078">
      <c r="Y10078" s="372">
        <v>0.0</v>
      </c>
      <c r="Z10078" s="372">
        <v>0.0</v>
      </c>
    </row>
    <row r="10079">
      <c r="Y10079" s="372">
        <v>0.0</v>
      </c>
      <c r="Z10079" s="372">
        <v>0.0</v>
      </c>
    </row>
    <row r="10080">
      <c r="Y10080" s="372">
        <v>0.0</v>
      </c>
      <c r="Z10080" s="372">
        <v>0.0</v>
      </c>
    </row>
    <row r="10081">
      <c r="Y10081" s="372">
        <v>0.0</v>
      </c>
      <c r="Z10081" s="372">
        <v>0.0</v>
      </c>
    </row>
    <row r="10082">
      <c r="Y10082" s="372">
        <v>0.0</v>
      </c>
      <c r="Z10082" s="372">
        <v>0.0</v>
      </c>
    </row>
    <row r="10083">
      <c r="Y10083" s="372">
        <v>0.0</v>
      </c>
      <c r="Z10083" s="372">
        <v>0.0</v>
      </c>
    </row>
    <row r="10084">
      <c r="Y10084" s="372">
        <v>0.0</v>
      </c>
      <c r="Z10084" s="372">
        <v>0.0</v>
      </c>
    </row>
    <row r="10085">
      <c r="Y10085" s="372">
        <v>0.0</v>
      </c>
      <c r="Z10085" s="372">
        <v>0.0</v>
      </c>
    </row>
    <row r="10086">
      <c r="Y10086" s="372">
        <v>0.0</v>
      </c>
      <c r="Z10086" s="372">
        <v>0.0</v>
      </c>
    </row>
    <row r="10087">
      <c r="Y10087" s="372">
        <v>0.0</v>
      </c>
      <c r="Z10087" s="372">
        <v>0.0</v>
      </c>
    </row>
    <row r="10088">
      <c r="Y10088" s="372">
        <v>0.0</v>
      </c>
      <c r="Z10088" s="372">
        <v>0.0</v>
      </c>
    </row>
    <row r="10089">
      <c r="Y10089" s="372">
        <v>0.0</v>
      </c>
      <c r="Z10089" s="372">
        <v>0.0</v>
      </c>
    </row>
    <row r="10090">
      <c r="Y10090" s="372">
        <v>0.0</v>
      </c>
      <c r="Z10090" s="372">
        <v>0.0</v>
      </c>
    </row>
    <row r="10091">
      <c r="Y10091" s="372">
        <v>0.0</v>
      </c>
      <c r="Z10091" s="372">
        <v>0.0</v>
      </c>
    </row>
    <row r="10092">
      <c r="Y10092" s="372">
        <v>0.0</v>
      </c>
      <c r="Z10092" s="372">
        <v>0.0</v>
      </c>
    </row>
    <row r="10093">
      <c r="Y10093" s="372">
        <v>0.0</v>
      </c>
      <c r="Z10093" s="372">
        <v>0.0</v>
      </c>
    </row>
    <row r="10094">
      <c r="Y10094" s="372">
        <v>0.0</v>
      </c>
      <c r="Z10094" s="372">
        <v>0.0</v>
      </c>
    </row>
    <row r="10095">
      <c r="Y10095" s="372">
        <v>0.0</v>
      </c>
      <c r="Z10095" s="372">
        <v>0.0</v>
      </c>
    </row>
    <row r="10096">
      <c r="Y10096" s="372">
        <v>0.0</v>
      </c>
      <c r="Z10096" s="372">
        <v>0.0</v>
      </c>
    </row>
    <row r="10097">
      <c r="Y10097" s="372">
        <v>0.0</v>
      </c>
      <c r="Z10097" s="372">
        <v>0.0</v>
      </c>
    </row>
    <row r="10098">
      <c r="Y10098" s="372">
        <v>0.0</v>
      </c>
      <c r="Z10098" s="372">
        <v>0.0</v>
      </c>
    </row>
    <row r="10099">
      <c r="Y10099" s="372">
        <v>0.0</v>
      </c>
      <c r="Z10099" s="372">
        <v>0.0</v>
      </c>
    </row>
    <row r="10100">
      <c r="Y10100" s="372">
        <v>0.0</v>
      </c>
      <c r="Z10100" s="372">
        <v>0.0</v>
      </c>
    </row>
    <row r="10101">
      <c r="Y10101" s="372">
        <v>0.0</v>
      </c>
      <c r="Z10101" s="372">
        <v>0.0</v>
      </c>
    </row>
    <row r="10102">
      <c r="Y10102" s="372">
        <v>0.0</v>
      </c>
      <c r="Z10102" s="372">
        <v>0.0</v>
      </c>
    </row>
    <row r="10103">
      <c r="Y10103" s="372">
        <v>0.0</v>
      </c>
      <c r="Z10103" s="372">
        <v>0.0</v>
      </c>
    </row>
    <row r="10104">
      <c r="Y10104" s="372">
        <v>0.0</v>
      </c>
      <c r="Z10104" s="372">
        <v>0.0</v>
      </c>
    </row>
    <row r="10105">
      <c r="Y10105" s="372">
        <v>0.0</v>
      </c>
      <c r="Z10105" s="372">
        <v>0.0</v>
      </c>
    </row>
    <row r="10106">
      <c r="Y10106" s="372">
        <v>0.0</v>
      </c>
      <c r="Z10106" s="372">
        <v>0.0</v>
      </c>
    </row>
    <row r="10107">
      <c r="Y10107" s="372">
        <v>0.0</v>
      </c>
      <c r="Z10107" s="372">
        <v>0.0</v>
      </c>
    </row>
    <row r="10108">
      <c r="Y10108" s="372">
        <v>0.0</v>
      </c>
      <c r="Z10108" s="372">
        <v>0.0</v>
      </c>
    </row>
    <row r="10109">
      <c r="Y10109" s="372">
        <v>0.0</v>
      </c>
      <c r="Z10109" s="372">
        <v>0.0</v>
      </c>
    </row>
    <row r="10110">
      <c r="Y10110" s="372">
        <v>0.0</v>
      </c>
      <c r="Z10110" s="372">
        <v>0.0</v>
      </c>
    </row>
    <row r="10111">
      <c r="Y10111" s="372">
        <v>0.0</v>
      </c>
      <c r="Z10111" s="372">
        <v>0.0</v>
      </c>
    </row>
    <row r="10112">
      <c r="Y10112" s="372">
        <v>0.0</v>
      </c>
      <c r="Z10112" s="372">
        <v>0.0</v>
      </c>
    </row>
    <row r="10113">
      <c r="Y10113" s="372">
        <v>0.0</v>
      </c>
      <c r="Z10113" s="372">
        <v>0.0</v>
      </c>
    </row>
    <row r="10114">
      <c r="Y10114" s="372">
        <v>0.0</v>
      </c>
      <c r="Z10114" s="372">
        <v>0.0</v>
      </c>
    </row>
    <row r="10115">
      <c r="Y10115" s="372">
        <v>0.0</v>
      </c>
      <c r="Z10115" s="372">
        <v>0.0</v>
      </c>
    </row>
    <row r="10116">
      <c r="Y10116" s="372">
        <v>0.0</v>
      </c>
      <c r="Z10116" s="372">
        <v>0.0</v>
      </c>
    </row>
    <row r="10117">
      <c r="Y10117" s="372">
        <v>0.0</v>
      </c>
      <c r="Z10117" s="372">
        <v>0.0</v>
      </c>
    </row>
    <row r="10118">
      <c r="Y10118" s="372">
        <v>0.0</v>
      </c>
      <c r="Z10118" s="372">
        <v>0.0</v>
      </c>
    </row>
    <row r="10119">
      <c r="Y10119" s="372">
        <v>0.0</v>
      </c>
      <c r="Z10119" s="372">
        <v>0.0</v>
      </c>
    </row>
    <row r="10120">
      <c r="Y10120" s="372">
        <v>0.0</v>
      </c>
      <c r="Z10120" s="372">
        <v>0.0</v>
      </c>
    </row>
    <row r="10121">
      <c r="Y10121" s="372">
        <v>0.0</v>
      </c>
      <c r="Z10121" s="372">
        <v>0.0</v>
      </c>
    </row>
    <row r="10122">
      <c r="Y10122" s="372">
        <v>0.0</v>
      </c>
      <c r="Z10122" s="372">
        <v>0.0</v>
      </c>
    </row>
    <row r="10123">
      <c r="Y10123" s="372">
        <v>0.0</v>
      </c>
      <c r="Z10123" s="372">
        <v>0.0</v>
      </c>
    </row>
    <row r="10124">
      <c r="Y10124" s="372">
        <v>0.0</v>
      </c>
      <c r="Z10124" s="372">
        <v>0.0</v>
      </c>
    </row>
    <row r="10125">
      <c r="Y10125" s="372">
        <v>0.0</v>
      </c>
      <c r="Z10125" s="372">
        <v>0.0</v>
      </c>
    </row>
    <row r="10126">
      <c r="Y10126" s="372">
        <v>0.0</v>
      </c>
      <c r="Z10126" s="372">
        <v>0.0</v>
      </c>
    </row>
    <row r="10127">
      <c r="Y10127" s="372">
        <v>0.0</v>
      </c>
      <c r="Z10127" s="372">
        <v>0.0</v>
      </c>
    </row>
    <row r="10128">
      <c r="Y10128" s="372">
        <v>0.0</v>
      </c>
      <c r="Z10128" s="372">
        <v>0.0</v>
      </c>
    </row>
    <row r="10129">
      <c r="Y10129" s="372">
        <v>0.0</v>
      </c>
      <c r="Z10129" s="372">
        <v>0.0</v>
      </c>
    </row>
    <row r="10130">
      <c r="Y10130" s="372">
        <v>0.0</v>
      </c>
      <c r="Z10130" s="372">
        <v>0.0</v>
      </c>
    </row>
    <row r="10131">
      <c r="Y10131" s="372">
        <v>0.0</v>
      </c>
      <c r="Z10131" s="372">
        <v>0.0</v>
      </c>
    </row>
    <row r="10132">
      <c r="Y10132" s="372">
        <v>0.0</v>
      </c>
      <c r="Z10132" s="372">
        <v>0.0</v>
      </c>
    </row>
    <row r="10133">
      <c r="Y10133" s="372">
        <v>0.0</v>
      </c>
      <c r="Z10133" s="372">
        <v>0.0</v>
      </c>
    </row>
    <row r="10134">
      <c r="Y10134" s="372">
        <v>0.0</v>
      </c>
      <c r="Z10134" s="372">
        <v>0.0</v>
      </c>
    </row>
    <row r="10135">
      <c r="Y10135" s="372">
        <v>0.0</v>
      </c>
      <c r="Z10135" s="372">
        <v>0.0</v>
      </c>
    </row>
    <row r="10136">
      <c r="Y10136" s="372">
        <v>0.0</v>
      </c>
      <c r="Z10136" s="372">
        <v>0.0</v>
      </c>
    </row>
    <row r="10137">
      <c r="Y10137" s="372">
        <v>0.0</v>
      </c>
      <c r="Z10137" s="372">
        <v>0.0</v>
      </c>
    </row>
    <row r="10138">
      <c r="Y10138" s="372">
        <v>0.0</v>
      </c>
      <c r="Z10138" s="372">
        <v>0.0</v>
      </c>
    </row>
    <row r="10139">
      <c r="Y10139" s="372">
        <v>0.0</v>
      </c>
      <c r="Z10139" s="372">
        <v>0.0</v>
      </c>
    </row>
    <row r="10140">
      <c r="Y10140" s="372">
        <v>0.0</v>
      </c>
      <c r="Z10140" s="372">
        <v>0.0</v>
      </c>
    </row>
    <row r="10141">
      <c r="Y10141" s="372">
        <v>0.0</v>
      </c>
      <c r="Z10141" s="372">
        <v>0.0</v>
      </c>
    </row>
    <row r="10142">
      <c r="Y10142" s="372">
        <v>0.0</v>
      </c>
      <c r="Z10142" s="372">
        <v>0.0</v>
      </c>
    </row>
    <row r="10143">
      <c r="Y10143" s="372">
        <v>0.0</v>
      </c>
      <c r="Z10143" s="372">
        <v>0.0</v>
      </c>
    </row>
    <row r="10144">
      <c r="Y10144" s="372">
        <v>0.0</v>
      </c>
      <c r="Z10144" s="372">
        <v>0.0</v>
      </c>
    </row>
    <row r="10145">
      <c r="Y10145" s="372">
        <v>0.0</v>
      </c>
      <c r="Z10145" s="372">
        <v>0.0</v>
      </c>
    </row>
    <row r="10146">
      <c r="Y10146" s="372">
        <v>0.0</v>
      </c>
      <c r="Z10146" s="372">
        <v>0.0</v>
      </c>
    </row>
    <row r="10147">
      <c r="Y10147" s="372">
        <v>0.0</v>
      </c>
      <c r="Z10147" s="372">
        <v>0.0</v>
      </c>
    </row>
    <row r="10148">
      <c r="Y10148" s="372">
        <v>0.0</v>
      </c>
      <c r="Z10148" s="372">
        <v>0.0</v>
      </c>
    </row>
    <row r="10149">
      <c r="Y10149" s="372">
        <v>0.0</v>
      </c>
      <c r="Z10149" s="372">
        <v>0.0</v>
      </c>
    </row>
    <row r="10150">
      <c r="Y10150" s="372">
        <v>0.0</v>
      </c>
      <c r="Z10150" s="372">
        <v>0.0</v>
      </c>
    </row>
    <row r="10151">
      <c r="Y10151" s="372">
        <v>0.0</v>
      </c>
      <c r="Z10151" s="372">
        <v>0.0</v>
      </c>
    </row>
    <row r="10152">
      <c r="Y10152" s="372">
        <v>0.0</v>
      </c>
      <c r="Z10152" s="372">
        <v>0.0</v>
      </c>
    </row>
    <row r="10153">
      <c r="Y10153" s="372">
        <v>0.0</v>
      </c>
      <c r="Z10153" s="372">
        <v>0.0</v>
      </c>
    </row>
    <row r="10154">
      <c r="Y10154" s="372">
        <v>0.0</v>
      </c>
      <c r="Z10154" s="372">
        <v>0.0</v>
      </c>
    </row>
    <row r="10155">
      <c r="Y10155" s="372">
        <v>0.0</v>
      </c>
      <c r="Z10155" s="372">
        <v>0.0</v>
      </c>
    </row>
    <row r="10156">
      <c r="Y10156" s="372">
        <v>0.0</v>
      </c>
      <c r="Z10156" s="372">
        <v>0.0</v>
      </c>
    </row>
    <row r="10157">
      <c r="Y10157" s="372">
        <v>0.0</v>
      </c>
      <c r="Z10157" s="372">
        <v>0.0</v>
      </c>
    </row>
    <row r="10158">
      <c r="Y10158" s="372">
        <v>0.0</v>
      </c>
      <c r="Z10158" s="372">
        <v>0.0</v>
      </c>
    </row>
    <row r="10159">
      <c r="Y10159" s="372">
        <v>0.0</v>
      </c>
      <c r="Z10159" s="372">
        <v>0.0</v>
      </c>
    </row>
    <row r="10160">
      <c r="Y10160" s="372">
        <v>0.0</v>
      </c>
      <c r="Z10160" s="372">
        <v>0.0</v>
      </c>
    </row>
    <row r="10161">
      <c r="Y10161" s="372">
        <v>0.0</v>
      </c>
      <c r="Z10161" s="372">
        <v>0.0</v>
      </c>
    </row>
    <row r="10162">
      <c r="Y10162" s="372">
        <v>0.0</v>
      </c>
      <c r="Z10162" s="372">
        <v>0.0</v>
      </c>
    </row>
    <row r="10163">
      <c r="Y10163" s="372">
        <v>0.0</v>
      </c>
      <c r="Z10163" s="372">
        <v>0.0</v>
      </c>
    </row>
    <row r="10164">
      <c r="Y10164" s="372">
        <v>0.0</v>
      </c>
      <c r="Z10164" s="372">
        <v>0.0</v>
      </c>
    </row>
    <row r="10165">
      <c r="Y10165" s="372">
        <v>0.0</v>
      </c>
      <c r="Z10165" s="372">
        <v>0.0</v>
      </c>
    </row>
    <row r="10166">
      <c r="Y10166" s="372">
        <v>0.0</v>
      </c>
      <c r="Z10166" s="372">
        <v>0.0</v>
      </c>
    </row>
    <row r="10167">
      <c r="Y10167" s="372">
        <v>0.0</v>
      </c>
      <c r="Z10167" s="372">
        <v>0.0</v>
      </c>
    </row>
    <row r="10168">
      <c r="Y10168" s="372">
        <v>0.0</v>
      </c>
      <c r="Z10168" s="372">
        <v>0.0</v>
      </c>
    </row>
    <row r="10169">
      <c r="Y10169" s="372">
        <v>0.0</v>
      </c>
      <c r="Z10169" s="372">
        <v>0.0</v>
      </c>
    </row>
    <row r="10170">
      <c r="Y10170" s="372">
        <v>0.0</v>
      </c>
      <c r="Z10170" s="372">
        <v>0.0</v>
      </c>
    </row>
    <row r="10171">
      <c r="Y10171" s="372">
        <v>0.0</v>
      </c>
      <c r="Z10171" s="372">
        <v>0.0</v>
      </c>
    </row>
    <row r="10172">
      <c r="Y10172" s="372">
        <v>0.0</v>
      </c>
      <c r="Z10172" s="372">
        <v>0.0</v>
      </c>
    </row>
    <row r="10173">
      <c r="Y10173" s="372">
        <v>0.0</v>
      </c>
      <c r="Z10173" s="372">
        <v>0.0</v>
      </c>
    </row>
    <row r="10174">
      <c r="Y10174" s="372">
        <v>0.0</v>
      </c>
      <c r="Z10174" s="372">
        <v>0.0</v>
      </c>
    </row>
    <row r="10175">
      <c r="Y10175" s="372">
        <v>0.0</v>
      </c>
      <c r="Z10175" s="372">
        <v>0.0</v>
      </c>
    </row>
    <row r="10176">
      <c r="Y10176" s="372">
        <v>0.0</v>
      </c>
      <c r="Z10176" s="372">
        <v>0.0</v>
      </c>
    </row>
    <row r="10177">
      <c r="Y10177" s="372">
        <v>0.0</v>
      </c>
      <c r="Z10177" s="372">
        <v>0.0</v>
      </c>
    </row>
    <row r="10178">
      <c r="Y10178" s="372">
        <v>0.0</v>
      </c>
      <c r="Z10178" s="372">
        <v>0.0</v>
      </c>
    </row>
    <row r="10179">
      <c r="Y10179" s="372">
        <v>0.0</v>
      </c>
      <c r="Z10179" s="372">
        <v>0.0</v>
      </c>
    </row>
    <row r="10180">
      <c r="Y10180" s="372">
        <v>0.0</v>
      </c>
      <c r="Z10180" s="372">
        <v>0.0</v>
      </c>
    </row>
    <row r="10181">
      <c r="Y10181" s="372">
        <v>0.0</v>
      </c>
      <c r="Z10181" s="372">
        <v>0.0</v>
      </c>
    </row>
    <row r="10182">
      <c r="Y10182" s="372">
        <v>0.0</v>
      </c>
      <c r="Z10182" s="372">
        <v>0.0</v>
      </c>
    </row>
    <row r="10183">
      <c r="Y10183" s="372">
        <v>0.0</v>
      </c>
      <c r="Z10183" s="372">
        <v>0.0</v>
      </c>
    </row>
    <row r="10184">
      <c r="Y10184" s="372">
        <v>0.0</v>
      </c>
      <c r="Z10184" s="372">
        <v>0.0</v>
      </c>
    </row>
    <row r="10185">
      <c r="Y10185" s="372">
        <v>0.0</v>
      </c>
      <c r="Z10185" s="372">
        <v>0.0</v>
      </c>
    </row>
    <row r="10186">
      <c r="Y10186" s="372">
        <v>0.0</v>
      </c>
      <c r="Z10186" s="372">
        <v>0.0</v>
      </c>
    </row>
    <row r="10187">
      <c r="Y10187" s="372">
        <v>0.0</v>
      </c>
      <c r="Z10187" s="372">
        <v>0.0</v>
      </c>
    </row>
    <row r="10188">
      <c r="Y10188" s="372">
        <v>0.0</v>
      </c>
      <c r="Z10188" s="372">
        <v>0.0</v>
      </c>
    </row>
    <row r="10189">
      <c r="Y10189" s="372">
        <v>0.0</v>
      </c>
      <c r="Z10189" s="372">
        <v>0.0</v>
      </c>
    </row>
    <row r="10190">
      <c r="Y10190" s="372">
        <v>0.0</v>
      </c>
      <c r="Z10190" s="372">
        <v>0.0</v>
      </c>
    </row>
    <row r="10191">
      <c r="Y10191" s="372">
        <v>0.0</v>
      </c>
      <c r="Z10191" s="372">
        <v>0.0</v>
      </c>
    </row>
    <row r="10192">
      <c r="Y10192" s="372">
        <v>0.0</v>
      </c>
      <c r="Z10192" s="372">
        <v>0.0</v>
      </c>
    </row>
    <row r="10193">
      <c r="Y10193" s="372">
        <v>0.0</v>
      </c>
      <c r="Z10193" s="372">
        <v>0.0</v>
      </c>
    </row>
    <row r="10194">
      <c r="Y10194" s="372">
        <v>0.0</v>
      </c>
      <c r="Z10194" s="372">
        <v>0.0</v>
      </c>
    </row>
    <row r="10195">
      <c r="Y10195" s="372">
        <v>0.0</v>
      </c>
      <c r="Z10195" s="372">
        <v>0.0</v>
      </c>
    </row>
    <row r="10196">
      <c r="Y10196" s="372">
        <v>0.0</v>
      </c>
      <c r="Z10196" s="372">
        <v>0.0</v>
      </c>
    </row>
    <row r="10197">
      <c r="Y10197" s="372">
        <v>0.0</v>
      </c>
      <c r="Z10197" s="372">
        <v>0.0</v>
      </c>
    </row>
    <row r="10198">
      <c r="Y10198" s="372">
        <v>0.0</v>
      </c>
      <c r="Z10198" s="372">
        <v>0.0</v>
      </c>
    </row>
    <row r="10199">
      <c r="Y10199" s="372">
        <v>0.0</v>
      </c>
      <c r="Z10199" s="372">
        <v>0.0</v>
      </c>
    </row>
    <row r="10200">
      <c r="Y10200" s="372">
        <v>0.0</v>
      </c>
      <c r="Z10200" s="372">
        <v>0.0</v>
      </c>
    </row>
    <row r="10201">
      <c r="Y10201" s="372">
        <v>0.0</v>
      </c>
      <c r="Z10201" s="372">
        <v>0.0</v>
      </c>
    </row>
    <row r="10202">
      <c r="Y10202" s="372">
        <v>0.0</v>
      </c>
      <c r="Z10202" s="372">
        <v>0.0</v>
      </c>
    </row>
    <row r="10203">
      <c r="Y10203" s="372">
        <v>0.0</v>
      </c>
      <c r="Z10203" s="372">
        <v>0.0</v>
      </c>
    </row>
    <row r="10204">
      <c r="Y10204" s="372">
        <v>0.0</v>
      </c>
      <c r="Z10204" s="372">
        <v>0.0</v>
      </c>
    </row>
    <row r="10205">
      <c r="Y10205" s="372">
        <v>0.0</v>
      </c>
      <c r="Z10205" s="372">
        <v>0.0</v>
      </c>
    </row>
    <row r="10206">
      <c r="Y10206" s="372">
        <v>0.0</v>
      </c>
      <c r="Z10206" s="372">
        <v>0.0</v>
      </c>
    </row>
    <row r="10207">
      <c r="Y10207" s="372">
        <v>0.0</v>
      </c>
      <c r="Z10207" s="372">
        <v>0.0</v>
      </c>
    </row>
    <row r="10208">
      <c r="Y10208" s="372">
        <v>0.0</v>
      </c>
      <c r="Z10208" s="372">
        <v>0.0</v>
      </c>
    </row>
    <row r="10209">
      <c r="Y10209" s="372">
        <v>0.0</v>
      </c>
      <c r="Z10209" s="372">
        <v>0.0</v>
      </c>
    </row>
    <row r="10210">
      <c r="Y10210" s="372">
        <v>0.0</v>
      </c>
      <c r="Z10210" s="372">
        <v>0.0</v>
      </c>
    </row>
    <row r="10211">
      <c r="Y10211" s="372">
        <v>0.0</v>
      </c>
      <c r="Z10211" s="372">
        <v>0.0</v>
      </c>
    </row>
    <row r="10212">
      <c r="Y10212" s="372">
        <v>0.0</v>
      </c>
      <c r="Z10212" s="372">
        <v>0.0</v>
      </c>
    </row>
    <row r="10213">
      <c r="Y10213" s="372">
        <v>0.0</v>
      </c>
      <c r="Z10213" s="372">
        <v>0.0</v>
      </c>
    </row>
    <row r="10214">
      <c r="Y10214" s="372">
        <v>0.0</v>
      </c>
      <c r="Z10214" s="372">
        <v>0.0</v>
      </c>
    </row>
    <row r="10215">
      <c r="Y10215" s="372">
        <v>0.0</v>
      </c>
      <c r="Z10215" s="372">
        <v>0.0</v>
      </c>
    </row>
    <row r="10216">
      <c r="Y10216" s="372">
        <v>0.0</v>
      </c>
      <c r="Z10216" s="372">
        <v>0.0</v>
      </c>
    </row>
    <row r="10217">
      <c r="Y10217" s="372">
        <v>0.0</v>
      </c>
      <c r="Z10217" s="372">
        <v>0.0</v>
      </c>
    </row>
    <row r="10218">
      <c r="Y10218" s="372">
        <v>0.0</v>
      </c>
      <c r="Z10218" s="372">
        <v>0.0</v>
      </c>
    </row>
    <row r="10219">
      <c r="Y10219" s="372">
        <v>0.0</v>
      </c>
      <c r="Z10219" s="372">
        <v>0.0</v>
      </c>
    </row>
    <row r="10220">
      <c r="Y10220" s="372">
        <v>0.0</v>
      </c>
      <c r="Z10220" s="372">
        <v>0.0</v>
      </c>
    </row>
    <row r="10221">
      <c r="Y10221" s="372">
        <v>0.0</v>
      </c>
      <c r="Z10221" s="372">
        <v>0.0</v>
      </c>
    </row>
    <row r="10222">
      <c r="Y10222" s="372">
        <v>0.0</v>
      </c>
      <c r="Z10222" s="372">
        <v>0.0</v>
      </c>
    </row>
    <row r="10223">
      <c r="Y10223" s="372">
        <v>0.0</v>
      </c>
      <c r="Z10223" s="372">
        <v>0.0</v>
      </c>
    </row>
    <row r="10224">
      <c r="Y10224" s="372">
        <v>0.0</v>
      </c>
      <c r="Z10224" s="372">
        <v>0.0</v>
      </c>
    </row>
    <row r="10225">
      <c r="Y10225" s="372">
        <v>0.0</v>
      </c>
      <c r="Z10225" s="372">
        <v>0.0</v>
      </c>
    </row>
    <row r="10226">
      <c r="Y10226" s="372">
        <v>0.0</v>
      </c>
      <c r="Z10226" s="372">
        <v>0.0</v>
      </c>
    </row>
    <row r="10227">
      <c r="Y10227" s="372">
        <v>0.0</v>
      </c>
      <c r="Z10227" s="372">
        <v>0.0</v>
      </c>
    </row>
    <row r="10228">
      <c r="Y10228" s="372">
        <v>0.0</v>
      </c>
      <c r="Z10228" s="372">
        <v>0.0</v>
      </c>
    </row>
    <row r="10229">
      <c r="Y10229" s="372">
        <v>0.0</v>
      </c>
      <c r="Z10229" s="372">
        <v>0.0</v>
      </c>
    </row>
    <row r="10230">
      <c r="Y10230" s="372">
        <v>0.0</v>
      </c>
      <c r="Z10230" s="372">
        <v>0.0</v>
      </c>
    </row>
    <row r="10231">
      <c r="Y10231" s="372">
        <v>0.0</v>
      </c>
      <c r="Z10231" s="372">
        <v>0.0</v>
      </c>
    </row>
    <row r="10232">
      <c r="Y10232" s="372">
        <v>0.0</v>
      </c>
      <c r="Z10232" s="372">
        <v>0.0</v>
      </c>
    </row>
    <row r="10233">
      <c r="Y10233" s="372">
        <v>0.0</v>
      </c>
      <c r="Z10233" s="372">
        <v>0.0</v>
      </c>
    </row>
    <row r="10234">
      <c r="Y10234" s="372">
        <v>0.0</v>
      </c>
      <c r="Z10234" s="372">
        <v>0.0</v>
      </c>
    </row>
    <row r="10235">
      <c r="Y10235" s="372">
        <v>0.0</v>
      </c>
      <c r="Z10235" s="372">
        <v>0.0</v>
      </c>
    </row>
    <row r="10236">
      <c r="Y10236" s="372">
        <v>0.0</v>
      </c>
      <c r="Z10236" s="372">
        <v>0.0</v>
      </c>
    </row>
    <row r="10237">
      <c r="Y10237" s="372">
        <v>0.0</v>
      </c>
      <c r="Z10237" s="372">
        <v>0.0</v>
      </c>
    </row>
    <row r="10238">
      <c r="Y10238" s="372">
        <v>0.0</v>
      </c>
      <c r="Z10238" s="372">
        <v>0.0</v>
      </c>
    </row>
    <row r="10239">
      <c r="Y10239" s="372">
        <v>0.0</v>
      </c>
      <c r="Z10239" s="372">
        <v>0.0</v>
      </c>
    </row>
    <row r="10240">
      <c r="Y10240" s="372">
        <v>0.0</v>
      </c>
      <c r="Z10240" s="372">
        <v>0.0</v>
      </c>
    </row>
    <row r="10241">
      <c r="Y10241" s="372">
        <v>0.0</v>
      </c>
      <c r="Z10241" s="372">
        <v>0.0</v>
      </c>
    </row>
    <row r="10242">
      <c r="Y10242" s="372">
        <v>0.0</v>
      </c>
      <c r="Z10242" s="372">
        <v>0.0</v>
      </c>
    </row>
    <row r="10243">
      <c r="Y10243" s="372">
        <v>0.0</v>
      </c>
      <c r="Z10243" s="372">
        <v>0.0</v>
      </c>
    </row>
    <row r="10244">
      <c r="Y10244" s="372">
        <v>0.0</v>
      </c>
      <c r="Z10244" s="372">
        <v>0.0</v>
      </c>
    </row>
    <row r="10245">
      <c r="Y10245" s="372">
        <v>0.0</v>
      </c>
      <c r="Z10245" s="372">
        <v>0.0</v>
      </c>
    </row>
    <row r="10246">
      <c r="Y10246" s="372">
        <v>0.0</v>
      </c>
      <c r="Z10246" s="372">
        <v>0.0</v>
      </c>
    </row>
    <row r="10247">
      <c r="Y10247" s="372">
        <v>0.0</v>
      </c>
      <c r="Z10247" s="372">
        <v>0.0</v>
      </c>
    </row>
    <row r="10248">
      <c r="Y10248" s="372">
        <v>0.0</v>
      </c>
      <c r="Z10248" s="372">
        <v>0.0</v>
      </c>
    </row>
    <row r="10249">
      <c r="Y10249" s="372">
        <v>0.0</v>
      </c>
      <c r="Z10249" s="372">
        <v>0.0</v>
      </c>
    </row>
    <row r="10250">
      <c r="Y10250" s="372">
        <v>0.0</v>
      </c>
      <c r="Z10250" s="372">
        <v>0.0</v>
      </c>
    </row>
    <row r="10251">
      <c r="Y10251" s="372">
        <v>0.0</v>
      </c>
      <c r="Z10251" s="372">
        <v>0.0</v>
      </c>
    </row>
    <row r="10252">
      <c r="Y10252" s="372">
        <v>0.0</v>
      </c>
      <c r="Z10252" s="372">
        <v>0.0</v>
      </c>
    </row>
    <row r="10253">
      <c r="Y10253" s="372">
        <v>0.0</v>
      </c>
      <c r="Z10253" s="372">
        <v>0.0</v>
      </c>
    </row>
    <row r="10254">
      <c r="Y10254" s="372">
        <v>0.0</v>
      </c>
      <c r="Z10254" s="372">
        <v>0.0</v>
      </c>
    </row>
    <row r="10255">
      <c r="Y10255" s="372">
        <v>0.0</v>
      </c>
      <c r="Z10255" s="372">
        <v>0.0</v>
      </c>
    </row>
    <row r="10256">
      <c r="Y10256" s="372">
        <v>0.0</v>
      </c>
      <c r="Z10256" s="372">
        <v>0.0</v>
      </c>
    </row>
    <row r="10257">
      <c r="Y10257" s="372">
        <v>0.0</v>
      </c>
      <c r="Z10257" s="372">
        <v>0.0</v>
      </c>
    </row>
    <row r="10258">
      <c r="Y10258" s="372">
        <v>0.0</v>
      </c>
      <c r="Z10258" s="372">
        <v>0.0</v>
      </c>
    </row>
    <row r="10259">
      <c r="Y10259" s="372">
        <v>0.0</v>
      </c>
      <c r="Z10259" s="372">
        <v>0.0</v>
      </c>
    </row>
    <row r="10260">
      <c r="Y10260" s="372">
        <v>0.0</v>
      </c>
      <c r="Z10260" s="372">
        <v>0.0</v>
      </c>
    </row>
    <row r="10261">
      <c r="Y10261" s="372">
        <v>0.0</v>
      </c>
      <c r="Z10261" s="372">
        <v>0.0</v>
      </c>
    </row>
    <row r="10262">
      <c r="Y10262" s="372">
        <v>0.0</v>
      </c>
      <c r="Z10262" s="372">
        <v>0.0</v>
      </c>
    </row>
    <row r="10263">
      <c r="Y10263" s="372">
        <v>0.0</v>
      </c>
      <c r="Z10263" s="372">
        <v>0.0</v>
      </c>
    </row>
    <row r="10264">
      <c r="Y10264" s="372">
        <v>0.0</v>
      </c>
      <c r="Z10264" s="372">
        <v>0.0</v>
      </c>
    </row>
    <row r="10265">
      <c r="Y10265" s="372">
        <v>0.0</v>
      </c>
      <c r="Z10265" s="372">
        <v>0.0</v>
      </c>
    </row>
    <row r="10266">
      <c r="Y10266" s="372">
        <v>0.0</v>
      </c>
      <c r="Z10266" s="372">
        <v>0.0</v>
      </c>
    </row>
    <row r="10267">
      <c r="Y10267" s="372">
        <v>0.0</v>
      </c>
      <c r="Z10267" s="372">
        <v>0.0</v>
      </c>
    </row>
    <row r="10268">
      <c r="Y10268" s="372">
        <v>0.0</v>
      </c>
      <c r="Z10268" s="372">
        <v>0.0</v>
      </c>
    </row>
    <row r="10269">
      <c r="Y10269" s="372">
        <v>0.0</v>
      </c>
      <c r="Z10269" s="372">
        <v>0.0</v>
      </c>
    </row>
    <row r="10270">
      <c r="Y10270" s="372">
        <v>0.0</v>
      </c>
      <c r="Z10270" s="372">
        <v>0.0</v>
      </c>
    </row>
    <row r="10271">
      <c r="Y10271" s="372">
        <v>0.0</v>
      </c>
      <c r="Z10271" s="372">
        <v>0.0</v>
      </c>
    </row>
    <row r="10272">
      <c r="Y10272" s="372">
        <v>0.0</v>
      </c>
      <c r="Z10272" s="372">
        <v>0.0</v>
      </c>
    </row>
    <row r="10273">
      <c r="Y10273" s="372">
        <v>0.0</v>
      </c>
      <c r="Z10273" s="372">
        <v>0.0</v>
      </c>
    </row>
    <row r="10274">
      <c r="Y10274" s="372">
        <v>0.0</v>
      </c>
      <c r="Z10274" s="372">
        <v>0.0</v>
      </c>
    </row>
    <row r="10275">
      <c r="Y10275" s="372">
        <v>0.0</v>
      </c>
      <c r="Z10275" s="372">
        <v>0.0</v>
      </c>
    </row>
    <row r="10276">
      <c r="Y10276" s="372">
        <v>0.0</v>
      </c>
      <c r="Z10276" s="372">
        <v>0.0</v>
      </c>
    </row>
    <row r="10277">
      <c r="Y10277" s="372">
        <v>0.0</v>
      </c>
      <c r="Z10277" s="372">
        <v>0.0</v>
      </c>
    </row>
    <row r="10278">
      <c r="Y10278" s="372">
        <v>0.0</v>
      </c>
      <c r="Z10278" s="372">
        <v>0.0</v>
      </c>
    </row>
    <row r="10279">
      <c r="Y10279" s="372">
        <v>0.0</v>
      </c>
      <c r="Z10279" s="372">
        <v>0.0</v>
      </c>
    </row>
    <row r="10280">
      <c r="Y10280" s="372">
        <v>0.0</v>
      </c>
      <c r="Z10280" s="372">
        <v>0.0</v>
      </c>
    </row>
    <row r="10281">
      <c r="Y10281" s="372">
        <v>0.0</v>
      </c>
      <c r="Z10281" s="372">
        <v>0.0</v>
      </c>
    </row>
    <row r="10282">
      <c r="Y10282" s="372">
        <v>0.0</v>
      </c>
      <c r="Z10282" s="372">
        <v>0.0</v>
      </c>
    </row>
    <row r="10283">
      <c r="Y10283" s="372">
        <v>0.0</v>
      </c>
      <c r="Z10283" s="372">
        <v>0.0</v>
      </c>
    </row>
    <row r="10284">
      <c r="Y10284" s="372">
        <v>0.0</v>
      </c>
      <c r="Z10284" s="372">
        <v>0.0</v>
      </c>
    </row>
    <row r="10285">
      <c r="Y10285" s="372">
        <v>0.0</v>
      </c>
      <c r="Z10285" s="372">
        <v>0.0</v>
      </c>
    </row>
    <row r="10286">
      <c r="Y10286" s="372">
        <v>0.0</v>
      </c>
      <c r="Z10286" s="372">
        <v>0.0</v>
      </c>
    </row>
    <row r="10287">
      <c r="Y10287" s="372">
        <v>0.0</v>
      </c>
      <c r="Z10287" s="372">
        <v>0.0</v>
      </c>
    </row>
    <row r="10288">
      <c r="Y10288" s="372">
        <v>0.0</v>
      </c>
      <c r="Z10288" s="372">
        <v>0.0</v>
      </c>
    </row>
    <row r="10289">
      <c r="Y10289" s="372">
        <v>0.0</v>
      </c>
      <c r="Z10289" s="372">
        <v>0.0</v>
      </c>
    </row>
    <row r="10290">
      <c r="Y10290" s="372">
        <v>0.0</v>
      </c>
      <c r="Z10290" s="372">
        <v>0.0</v>
      </c>
    </row>
    <row r="10291">
      <c r="Y10291" s="372">
        <v>0.0</v>
      </c>
      <c r="Z10291" s="372">
        <v>0.0</v>
      </c>
    </row>
    <row r="10292">
      <c r="Y10292" s="372">
        <v>0.0</v>
      </c>
      <c r="Z10292" s="372">
        <v>0.0</v>
      </c>
    </row>
    <row r="10293">
      <c r="Y10293" s="372">
        <v>0.0</v>
      </c>
      <c r="Z10293" s="372">
        <v>0.0</v>
      </c>
    </row>
    <row r="10294">
      <c r="Y10294" s="372">
        <v>0.0</v>
      </c>
      <c r="Z10294" s="372">
        <v>0.0</v>
      </c>
    </row>
    <row r="10295">
      <c r="Y10295" s="372">
        <v>0.0</v>
      </c>
      <c r="Z10295" s="372">
        <v>0.0</v>
      </c>
    </row>
    <row r="10296">
      <c r="Y10296" s="372">
        <v>0.0</v>
      </c>
      <c r="Z10296" s="372">
        <v>0.0</v>
      </c>
    </row>
    <row r="10297">
      <c r="Y10297" s="372">
        <v>0.0</v>
      </c>
      <c r="Z10297" s="372">
        <v>0.0</v>
      </c>
    </row>
    <row r="10298">
      <c r="Y10298" s="372">
        <v>0.0</v>
      </c>
      <c r="Z10298" s="372">
        <v>0.0</v>
      </c>
    </row>
    <row r="10299">
      <c r="Y10299" s="372">
        <v>0.0</v>
      </c>
      <c r="Z10299" s="372">
        <v>0.0</v>
      </c>
    </row>
    <row r="10300">
      <c r="Y10300" s="372">
        <v>0.0</v>
      </c>
      <c r="Z10300" s="372">
        <v>0.0</v>
      </c>
    </row>
    <row r="10301">
      <c r="Y10301" s="372">
        <v>0.0</v>
      </c>
      <c r="Z10301" s="372">
        <v>0.0</v>
      </c>
    </row>
    <row r="10302">
      <c r="Y10302" s="372">
        <v>0.0</v>
      </c>
      <c r="Z10302" s="372">
        <v>0.0</v>
      </c>
    </row>
    <row r="10303">
      <c r="Y10303" s="372">
        <v>0.0</v>
      </c>
      <c r="Z10303" s="372">
        <v>0.0</v>
      </c>
    </row>
    <row r="10304">
      <c r="Y10304" s="372">
        <v>0.0</v>
      </c>
      <c r="Z10304" s="372">
        <v>0.0</v>
      </c>
    </row>
    <row r="10305">
      <c r="Y10305" s="372">
        <v>0.0</v>
      </c>
      <c r="Z10305" s="372">
        <v>0.0</v>
      </c>
    </row>
    <row r="10306">
      <c r="Y10306" s="372">
        <v>0.0</v>
      </c>
      <c r="Z10306" s="372">
        <v>0.0</v>
      </c>
    </row>
    <row r="10307">
      <c r="Y10307" s="372">
        <v>0.0</v>
      </c>
      <c r="Z10307" s="372">
        <v>0.0</v>
      </c>
    </row>
    <row r="10308">
      <c r="Y10308" s="372">
        <v>0.0</v>
      </c>
      <c r="Z10308" s="372">
        <v>0.0</v>
      </c>
    </row>
    <row r="10309">
      <c r="Y10309" s="372">
        <v>0.0</v>
      </c>
      <c r="Z10309" s="372">
        <v>0.0</v>
      </c>
    </row>
    <row r="10310">
      <c r="Y10310" s="372">
        <v>0.0</v>
      </c>
      <c r="Z10310" s="372">
        <v>0.0</v>
      </c>
    </row>
    <row r="10311">
      <c r="Y10311" s="372">
        <v>0.0</v>
      </c>
      <c r="Z10311" s="372">
        <v>0.0</v>
      </c>
    </row>
    <row r="10312">
      <c r="Y10312" s="372">
        <v>0.0</v>
      </c>
      <c r="Z10312" s="372">
        <v>0.0</v>
      </c>
    </row>
    <row r="10313">
      <c r="Y10313" s="372">
        <v>0.0</v>
      </c>
      <c r="Z10313" s="372">
        <v>0.0</v>
      </c>
    </row>
    <row r="10314">
      <c r="Y10314" s="372">
        <v>0.0</v>
      </c>
      <c r="Z10314" s="372">
        <v>0.0</v>
      </c>
    </row>
    <row r="10315">
      <c r="Y10315" s="372">
        <v>0.0</v>
      </c>
      <c r="Z10315" s="372">
        <v>0.0</v>
      </c>
    </row>
    <row r="10316">
      <c r="Y10316" s="372">
        <v>0.0</v>
      </c>
      <c r="Z10316" s="372">
        <v>0.0</v>
      </c>
    </row>
    <row r="10317">
      <c r="Y10317" s="372">
        <v>0.0</v>
      </c>
      <c r="Z10317" s="372">
        <v>0.0</v>
      </c>
    </row>
    <row r="10318">
      <c r="Y10318" s="372">
        <v>0.0</v>
      </c>
      <c r="Z10318" s="372">
        <v>0.0</v>
      </c>
    </row>
    <row r="10319">
      <c r="Y10319" s="372">
        <v>0.0</v>
      </c>
      <c r="Z10319" s="372">
        <v>0.0</v>
      </c>
    </row>
    <row r="10320">
      <c r="Y10320" s="372">
        <v>0.0</v>
      </c>
      <c r="Z10320" s="372">
        <v>0.0</v>
      </c>
    </row>
    <row r="10321">
      <c r="Y10321" s="372">
        <v>0.0</v>
      </c>
      <c r="Z10321" s="372">
        <v>0.0</v>
      </c>
    </row>
    <row r="10322">
      <c r="Y10322" s="372">
        <v>0.0</v>
      </c>
      <c r="Z10322" s="372">
        <v>0.0</v>
      </c>
    </row>
    <row r="10323">
      <c r="Y10323" s="372">
        <v>0.0</v>
      </c>
      <c r="Z10323" s="372">
        <v>0.0</v>
      </c>
    </row>
    <row r="10324">
      <c r="Y10324" s="372">
        <v>0.0</v>
      </c>
      <c r="Z10324" s="372">
        <v>0.0</v>
      </c>
    </row>
    <row r="10325">
      <c r="Y10325" s="372">
        <v>0.0</v>
      </c>
      <c r="Z10325" s="372">
        <v>0.0</v>
      </c>
    </row>
    <row r="10326">
      <c r="Y10326" s="372">
        <v>0.0</v>
      </c>
      <c r="Z10326" s="372">
        <v>0.0</v>
      </c>
    </row>
    <row r="10327">
      <c r="Y10327" s="372">
        <v>0.0</v>
      </c>
      <c r="Z10327" s="372">
        <v>0.0</v>
      </c>
    </row>
    <row r="10328">
      <c r="Y10328" s="372">
        <v>0.0</v>
      </c>
      <c r="Z10328" s="372">
        <v>0.0</v>
      </c>
    </row>
    <row r="10329">
      <c r="Y10329" s="372">
        <v>0.0</v>
      </c>
      <c r="Z10329" s="372">
        <v>0.0</v>
      </c>
    </row>
    <row r="10330">
      <c r="Y10330" s="372">
        <v>0.0</v>
      </c>
      <c r="Z10330" s="372">
        <v>0.0</v>
      </c>
    </row>
    <row r="10331">
      <c r="Y10331" s="372">
        <v>0.0</v>
      </c>
      <c r="Z10331" s="372">
        <v>0.0</v>
      </c>
    </row>
    <row r="10332">
      <c r="Y10332" s="372">
        <v>0.0</v>
      </c>
      <c r="Z10332" s="372">
        <v>0.0</v>
      </c>
    </row>
    <row r="10333">
      <c r="Y10333" s="372">
        <v>0.0</v>
      </c>
      <c r="Z10333" s="372">
        <v>0.0</v>
      </c>
    </row>
    <row r="10334">
      <c r="Y10334" s="372">
        <v>0.0</v>
      </c>
      <c r="Z10334" s="372">
        <v>0.0</v>
      </c>
    </row>
    <row r="10335">
      <c r="Y10335" s="372">
        <v>0.0</v>
      </c>
      <c r="Z10335" s="372">
        <v>0.0</v>
      </c>
    </row>
    <row r="10336">
      <c r="Y10336" s="372">
        <v>0.0</v>
      </c>
      <c r="Z10336" s="372">
        <v>0.0</v>
      </c>
    </row>
    <row r="10337">
      <c r="Y10337" s="372">
        <v>0.0</v>
      </c>
      <c r="Z10337" s="372">
        <v>0.0</v>
      </c>
    </row>
    <row r="10338">
      <c r="Y10338" s="372">
        <v>0.0</v>
      </c>
      <c r="Z10338" s="372">
        <v>0.0</v>
      </c>
    </row>
    <row r="10339">
      <c r="Y10339" s="372">
        <v>0.0</v>
      </c>
      <c r="Z10339" s="372">
        <v>0.0</v>
      </c>
    </row>
    <row r="10340">
      <c r="Y10340" s="372">
        <v>0.0</v>
      </c>
      <c r="Z10340" s="372">
        <v>0.0</v>
      </c>
    </row>
    <row r="10341">
      <c r="Y10341" s="372">
        <v>0.0</v>
      </c>
      <c r="Z10341" s="372">
        <v>0.0</v>
      </c>
    </row>
    <row r="10342">
      <c r="Y10342" s="372">
        <v>0.0</v>
      </c>
      <c r="Z10342" s="372">
        <v>0.0</v>
      </c>
    </row>
    <row r="10343">
      <c r="Y10343" s="372">
        <v>0.0</v>
      </c>
      <c r="Z10343" s="372">
        <v>0.0</v>
      </c>
    </row>
    <row r="10344">
      <c r="Y10344" s="372">
        <v>0.0</v>
      </c>
      <c r="Z10344" s="372">
        <v>0.0</v>
      </c>
    </row>
    <row r="10345">
      <c r="Y10345" s="372">
        <v>0.0</v>
      </c>
      <c r="Z10345" s="372">
        <v>0.0</v>
      </c>
    </row>
    <row r="10346">
      <c r="Y10346" s="372">
        <v>0.0</v>
      </c>
      <c r="Z10346" s="372">
        <v>0.0</v>
      </c>
    </row>
    <row r="10347">
      <c r="Y10347" s="372">
        <v>0.0</v>
      </c>
      <c r="Z10347" s="372">
        <v>0.0</v>
      </c>
    </row>
    <row r="10348">
      <c r="Y10348" s="372">
        <v>0.0</v>
      </c>
      <c r="Z10348" s="372">
        <v>0.0</v>
      </c>
    </row>
    <row r="10349">
      <c r="Y10349" s="372">
        <v>0.0</v>
      </c>
      <c r="Z10349" s="372">
        <v>0.0</v>
      </c>
    </row>
    <row r="10350">
      <c r="Y10350" s="372">
        <v>0.0</v>
      </c>
      <c r="Z10350" s="372">
        <v>0.0</v>
      </c>
    </row>
    <row r="10351">
      <c r="Y10351" s="372">
        <v>0.0</v>
      </c>
      <c r="Z10351" s="372">
        <v>0.0</v>
      </c>
    </row>
    <row r="10352">
      <c r="Y10352" s="372">
        <v>0.0</v>
      </c>
      <c r="Z10352" s="372">
        <v>0.0</v>
      </c>
    </row>
    <row r="10353">
      <c r="Y10353" s="372">
        <v>0.0</v>
      </c>
      <c r="Z10353" s="372">
        <v>0.0</v>
      </c>
    </row>
    <row r="10354">
      <c r="Y10354" s="372">
        <v>0.0</v>
      </c>
      <c r="Z10354" s="372">
        <v>0.0</v>
      </c>
    </row>
    <row r="10355">
      <c r="Y10355" s="372">
        <v>0.0</v>
      </c>
      <c r="Z10355" s="372">
        <v>0.0</v>
      </c>
    </row>
    <row r="10356">
      <c r="Y10356" s="372">
        <v>0.0</v>
      </c>
      <c r="Z10356" s="372">
        <v>0.0</v>
      </c>
    </row>
    <row r="10357">
      <c r="Y10357" s="372">
        <v>0.0</v>
      </c>
      <c r="Z10357" s="372">
        <v>0.0</v>
      </c>
    </row>
    <row r="10358">
      <c r="Y10358" s="372">
        <v>0.0</v>
      </c>
      <c r="Z10358" s="372">
        <v>0.0</v>
      </c>
    </row>
    <row r="10359">
      <c r="Y10359" s="372">
        <v>0.0</v>
      </c>
      <c r="Z10359" s="372">
        <v>0.0</v>
      </c>
    </row>
    <row r="10360">
      <c r="Y10360" s="372">
        <v>0.0</v>
      </c>
      <c r="Z10360" s="372">
        <v>0.0</v>
      </c>
    </row>
    <row r="10361">
      <c r="Y10361" s="372">
        <v>0.0</v>
      </c>
      <c r="Z10361" s="372">
        <v>0.0</v>
      </c>
    </row>
    <row r="10362">
      <c r="Y10362" s="372">
        <v>0.0</v>
      </c>
      <c r="Z10362" s="372">
        <v>0.0</v>
      </c>
    </row>
    <row r="10363">
      <c r="Y10363" s="372">
        <v>0.0</v>
      </c>
      <c r="Z10363" s="372">
        <v>0.0</v>
      </c>
    </row>
    <row r="10364">
      <c r="Y10364" s="372">
        <v>0.0</v>
      </c>
      <c r="Z10364" s="372">
        <v>0.0</v>
      </c>
    </row>
    <row r="10365">
      <c r="Y10365" s="372">
        <v>0.0</v>
      </c>
      <c r="Z10365" s="372">
        <v>0.0</v>
      </c>
    </row>
    <row r="10366">
      <c r="Y10366" s="372">
        <v>0.0</v>
      </c>
      <c r="Z10366" s="372">
        <v>0.0</v>
      </c>
    </row>
    <row r="10367">
      <c r="Y10367" s="372">
        <v>0.0</v>
      </c>
      <c r="Z10367" s="372">
        <v>0.0</v>
      </c>
    </row>
    <row r="10368">
      <c r="Y10368" s="372">
        <v>0.0</v>
      </c>
      <c r="Z10368" s="372">
        <v>0.0</v>
      </c>
    </row>
    <row r="10369">
      <c r="Y10369" s="372">
        <v>0.0</v>
      </c>
      <c r="Z10369" s="372">
        <v>0.0</v>
      </c>
    </row>
    <row r="10370">
      <c r="Y10370" s="372">
        <v>0.0</v>
      </c>
      <c r="Z10370" s="372">
        <v>0.0</v>
      </c>
    </row>
    <row r="10371">
      <c r="Y10371" s="372">
        <v>0.0</v>
      </c>
      <c r="Z10371" s="372">
        <v>0.0</v>
      </c>
    </row>
    <row r="10372">
      <c r="Y10372" s="372">
        <v>0.0</v>
      </c>
      <c r="Z10372" s="372">
        <v>0.0</v>
      </c>
    </row>
    <row r="10373">
      <c r="Y10373" s="372">
        <v>0.0</v>
      </c>
      <c r="Z10373" s="372">
        <v>0.0</v>
      </c>
    </row>
    <row r="10374">
      <c r="Y10374" s="372">
        <v>0.0</v>
      </c>
      <c r="Z10374" s="372">
        <v>0.0</v>
      </c>
    </row>
    <row r="10375">
      <c r="Y10375" s="372">
        <v>0.0</v>
      </c>
      <c r="Z10375" s="372">
        <v>0.0</v>
      </c>
    </row>
    <row r="10376">
      <c r="Y10376" s="372">
        <v>0.0</v>
      </c>
      <c r="Z10376" s="372">
        <v>0.0</v>
      </c>
    </row>
    <row r="10377">
      <c r="Y10377" s="372">
        <v>0.0</v>
      </c>
      <c r="Z10377" s="372">
        <v>0.0</v>
      </c>
    </row>
    <row r="10378">
      <c r="Y10378" s="372">
        <v>0.0</v>
      </c>
      <c r="Z10378" s="372">
        <v>0.0</v>
      </c>
    </row>
    <row r="10379">
      <c r="Y10379" s="372">
        <v>0.0</v>
      </c>
      <c r="Z10379" s="372">
        <v>0.0</v>
      </c>
    </row>
    <row r="10380">
      <c r="Y10380" s="372">
        <v>0.0</v>
      </c>
      <c r="Z10380" s="372">
        <v>0.0</v>
      </c>
    </row>
    <row r="10381">
      <c r="Y10381" s="372">
        <v>0.0</v>
      </c>
      <c r="Z10381" s="372">
        <v>0.0</v>
      </c>
    </row>
    <row r="10382">
      <c r="Y10382" s="372">
        <v>0.0</v>
      </c>
      <c r="Z10382" s="372">
        <v>0.0</v>
      </c>
    </row>
    <row r="10383">
      <c r="Y10383" s="372">
        <v>0.0</v>
      </c>
      <c r="Z10383" s="372">
        <v>0.0</v>
      </c>
    </row>
    <row r="10384">
      <c r="Y10384" s="372">
        <v>0.0</v>
      </c>
      <c r="Z10384" s="372">
        <v>0.0</v>
      </c>
    </row>
    <row r="10385">
      <c r="Y10385" s="372">
        <v>0.0</v>
      </c>
      <c r="Z10385" s="372">
        <v>0.0</v>
      </c>
    </row>
    <row r="10386">
      <c r="Y10386" s="372">
        <v>0.0</v>
      </c>
      <c r="Z10386" s="372">
        <v>0.0</v>
      </c>
    </row>
    <row r="10387">
      <c r="Y10387" s="372">
        <v>0.0</v>
      </c>
      <c r="Z10387" s="372">
        <v>0.0</v>
      </c>
    </row>
    <row r="10388">
      <c r="Y10388" s="372">
        <v>0.0</v>
      </c>
      <c r="Z10388" s="372">
        <v>0.0</v>
      </c>
    </row>
    <row r="10389">
      <c r="Y10389" s="372">
        <v>0.0</v>
      </c>
      <c r="Z10389" s="372">
        <v>0.0</v>
      </c>
    </row>
    <row r="10390">
      <c r="Y10390" s="372">
        <v>0.0</v>
      </c>
      <c r="Z10390" s="372">
        <v>0.0</v>
      </c>
    </row>
    <row r="10391">
      <c r="Y10391" s="372">
        <v>0.0</v>
      </c>
      <c r="Z10391" s="372">
        <v>0.0</v>
      </c>
    </row>
    <row r="10392">
      <c r="Y10392" s="372">
        <v>0.0</v>
      </c>
      <c r="Z10392" s="372">
        <v>0.0</v>
      </c>
    </row>
    <row r="10393">
      <c r="Y10393" s="372">
        <v>0.0</v>
      </c>
      <c r="Z10393" s="372">
        <v>0.0</v>
      </c>
    </row>
    <row r="10394">
      <c r="Y10394" s="372">
        <v>0.0</v>
      </c>
      <c r="Z10394" s="372">
        <v>0.0</v>
      </c>
    </row>
    <row r="10395">
      <c r="Y10395" s="372">
        <v>0.0</v>
      </c>
      <c r="Z10395" s="372">
        <v>0.0</v>
      </c>
    </row>
    <row r="10396">
      <c r="Y10396" s="372">
        <v>0.0</v>
      </c>
      <c r="Z10396" s="372">
        <v>0.0</v>
      </c>
    </row>
    <row r="10397">
      <c r="Y10397" s="372">
        <v>0.0</v>
      </c>
      <c r="Z10397" s="372">
        <v>0.0</v>
      </c>
    </row>
    <row r="10398">
      <c r="Y10398" s="372">
        <v>0.0</v>
      </c>
      <c r="Z10398" s="372">
        <v>0.0</v>
      </c>
    </row>
    <row r="10399">
      <c r="Y10399" s="372">
        <v>0.0</v>
      </c>
      <c r="Z10399" s="372">
        <v>0.0</v>
      </c>
    </row>
    <row r="10400">
      <c r="Y10400" s="372">
        <v>0.0</v>
      </c>
      <c r="Z10400" s="372">
        <v>0.0</v>
      </c>
    </row>
    <row r="10401">
      <c r="Y10401" s="372">
        <v>0.0</v>
      </c>
      <c r="Z10401" s="372">
        <v>0.0</v>
      </c>
    </row>
    <row r="10402">
      <c r="Y10402" s="372">
        <v>0.0</v>
      </c>
      <c r="Z10402" s="372">
        <v>0.0</v>
      </c>
    </row>
    <row r="10403">
      <c r="Y10403" s="372">
        <v>0.0</v>
      </c>
      <c r="Z10403" s="372">
        <v>0.0</v>
      </c>
    </row>
    <row r="10404">
      <c r="Y10404" s="372">
        <v>0.0</v>
      </c>
      <c r="Z10404" s="372">
        <v>0.0</v>
      </c>
    </row>
    <row r="10405">
      <c r="Y10405" s="372">
        <v>0.0</v>
      </c>
      <c r="Z10405" s="372">
        <v>0.0</v>
      </c>
    </row>
    <row r="10406">
      <c r="Y10406" s="372">
        <v>0.0</v>
      </c>
      <c r="Z10406" s="372">
        <v>0.0</v>
      </c>
    </row>
    <row r="10407">
      <c r="Y10407" s="372">
        <v>0.0</v>
      </c>
      <c r="Z10407" s="372">
        <v>0.0</v>
      </c>
    </row>
    <row r="10408">
      <c r="Y10408" s="372">
        <v>0.0</v>
      </c>
      <c r="Z10408" s="372">
        <v>0.0</v>
      </c>
    </row>
    <row r="10409">
      <c r="Y10409" s="372">
        <v>0.0</v>
      </c>
      <c r="Z10409" s="372">
        <v>0.0</v>
      </c>
    </row>
    <row r="10410">
      <c r="Y10410" s="372">
        <v>0.0</v>
      </c>
      <c r="Z10410" s="372">
        <v>0.0</v>
      </c>
    </row>
    <row r="10411">
      <c r="Y10411" s="372">
        <v>0.0</v>
      </c>
      <c r="Z10411" s="372">
        <v>0.0</v>
      </c>
    </row>
    <row r="10412">
      <c r="Y10412" s="372">
        <v>0.0</v>
      </c>
      <c r="Z10412" s="372">
        <v>0.0</v>
      </c>
    </row>
    <row r="10413">
      <c r="Y10413" s="372">
        <v>0.0</v>
      </c>
      <c r="Z10413" s="372">
        <v>0.0</v>
      </c>
    </row>
    <row r="10414">
      <c r="Y10414" s="372">
        <v>0.0</v>
      </c>
      <c r="Z10414" s="372">
        <v>0.0</v>
      </c>
    </row>
    <row r="10415">
      <c r="Y10415" s="372">
        <v>0.0</v>
      </c>
      <c r="Z10415" s="372">
        <v>0.0</v>
      </c>
    </row>
    <row r="10416">
      <c r="Y10416" s="372">
        <v>0.0</v>
      </c>
      <c r="Z10416" s="372">
        <v>0.0</v>
      </c>
    </row>
    <row r="10417">
      <c r="Y10417" s="372">
        <v>0.0</v>
      </c>
      <c r="Z10417" s="372">
        <v>0.0</v>
      </c>
    </row>
    <row r="10418">
      <c r="Y10418" s="372">
        <v>0.0</v>
      </c>
      <c r="Z10418" s="372">
        <v>0.0</v>
      </c>
    </row>
    <row r="10419">
      <c r="Y10419" s="372">
        <v>0.0</v>
      </c>
      <c r="Z10419" s="372">
        <v>0.0</v>
      </c>
    </row>
    <row r="10420">
      <c r="Y10420" s="372">
        <v>0.0</v>
      </c>
      <c r="Z10420" s="372">
        <v>0.0</v>
      </c>
    </row>
    <row r="10421">
      <c r="Y10421" s="372">
        <v>0.0</v>
      </c>
      <c r="Z10421" s="372">
        <v>0.0</v>
      </c>
    </row>
    <row r="10422">
      <c r="Y10422" s="372">
        <v>0.0</v>
      </c>
      <c r="Z10422" s="372">
        <v>0.0</v>
      </c>
    </row>
    <row r="10423">
      <c r="Y10423" s="372">
        <v>0.0</v>
      </c>
      <c r="Z10423" s="372">
        <v>0.0</v>
      </c>
    </row>
    <row r="10424">
      <c r="Y10424" s="372">
        <v>0.0</v>
      </c>
      <c r="Z10424" s="372">
        <v>0.0</v>
      </c>
    </row>
    <row r="10425">
      <c r="Y10425" s="372">
        <v>0.0</v>
      </c>
      <c r="Z10425" s="372">
        <v>0.0</v>
      </c>
    </row>
    <row r="10426">
      <c r="Y10426" s="372">
        <v>0.0</v>
      </c>
      <c r="Z10426" s="372">
        <v>0.0</v>
      </c>
    </row>
    <row r="10427">
      <c r="Y10427" s="372">
        <v>0.0</v>
      </c>
      <c r="Z10427" s="372">
        <v>0.0</v>
      </c>
    </row>
    <row r="10428">
      <c r="Y10428" s="372">
        <v>0.0</v>
      </c>
      <c r="Z10428" s="372">
        <v>0.0</v>
      </c>
    </row>
    <row r="10429">
      <c r="Y10429" s="372">
        <v>0.0</v>
      </c>
      <c r="Z10429" s="372">
        <v>0.0</v>
      </c>
    </row>
    <row r="10430">
      <c r="Y10430" s="372">
        <v>0.0</v>
      </c>
      <c r="Z10430" s="372">
        <v>0.0</v>
      </c>
    </row>
    <row r="10431">
      <c r="Y10431" s="372">
        <v>0.0</v>
      </c>
      <c r="Z10431" s="372">
        <v>0.0</v>
      </c>
    </row>
    <row r="10432">
      <c r="Y10432" s="372">
        <v>0.0</v>
      </c>
      <c r="Z10432" s="372">
        <v>0.0</v>
      </c>
    </row>
    <row r="10433">
      <c r="Y10433" s="372">
        <v>0.0</v>
      </c>
      <c r="Z10433" s="372">
        <v>0.0</v>
      </c>
    </row>
    <row r="10434">
      <c r="Y10434" s="372">
        <v>0.0</v>
      </c>
      <c r="Z10434" s="372">
        <v>0.0</v>
      </c>
    </row>
    <row r="10435">
      <c r="Y10435" s="372">
        <v>0.0</v>
      </c>
      <c r="Z10435" s="372">
        <v>0.0</v>
      </c>
    </row>
    <row r="10436">
      <c r="Y10436" s="372">
        <v>0.0</v>
      </c>
      <c r="Z10436" s="372">
        <v>0.0</v>
      </c>
    </row>
    <row r="10437">
      <c r="Y10437" s="372">
        <v>0.0</v>
      </c>
      <c r="Z10437" s="372">
        <v>0.0</v>
      </c>
    </row>
    <row r="10438">
      <c r="Y10438" s="372">
        <v>0.0</v>
      </c>
      <c r="Z10438" s="372">
        <v>0.0</v>
      </c>
    </row>
    <row r="10439">
      <c r="Y10439" s="372">
        <v>0.0</v>
      </c>
      <c r="Z10439" s="372">
        <v>0.0</v>
      </c>
    </row>
    <row r="10440">
      <c r="Y10440" s="372">
        <v>0.0</v>
      </c>
      <c r="Z10440" s="372">
        <v>0.0</v>
      </c>
    </row>
    <row r="10441">
      <c r="Y10441" s="372">
        <v>0.0</v>
      </c>
      <c r="Z10441" s="372">
        <v>0.0</v>
      </c>
    </row>
    <row r="10442">
      <c r="Y10442" s="372">
        <v>0.0</v>
      </c>
      <c r="Z10442" s="372">
        <v>0.0</v>
      </c>
    </row>
    <row r="10443">
      <c r="Y10443" s="372">
        <v>0.0</v>
      </c>
      <c r="Z10443" s="372">
        <v>0.0</v>
      </c>
    </row>
    <row r="10444">
      <c r="Y10444" s="372">
        <v>0.0</v>
      </c>
      <c r="Z10444" s="372">
        <v>0.0</v>
      </c>
    </row>
    <row r="10445">
      <c r="Y10445" s="372">
        <v>0.0</v>
      </c>
      <c r="Z10445" s="372">
        <v>0.0</v>
      </c>
    </row>
    <row r="10446">
      <c r="Y10446" s="372">
        <v>0.0</v>
      </c>
      <c r="Z10446" s="372">
        <v>0.0</v>
      </c>
    </row>
    <row r="10447">
      <c r="Y10447" s="372">
        <v>0.0</v>
      </c>
      <c r="Z10447" s="372">
        <v>0.0</v>
      </c>
    </row>
    <row r="10448">
      <c r="Y10448" s="372">
        <v>0.0</v>
      </c>
      <c r="Z10448" s="372">
        <v>0.0</v>
      </c>
    </row>
    <row r="10449">
      <c r="Y10449" s="372">
        <v>0.0</v>
      </c>
      <c r="Z10449" s="372">
        <v>0.0</v>
      </c>
    </row>
    <row r="10450">
      <c r="Y10450" s="372">
        <v>0.0</v>
      </c>
      <c r="Z10450" s="372">
        <v>0.0</v>
      </c>
    </row>
    <row r="10451">
      <c r="Y10451" s="372">
        <v>0.0</v>
      </c>
      <c r="Z10451" s="372">
        <v>0.0</v>
      </c>
    </row>
    <row r="10452">
      <c r="Y10452" s="372">
        <v>0.0</v>
      </c>
      <c r="Z10452" s="372">
        <v>0.0</v>
      </c>
    </row>
    <row r="10453">
      <c r="Y10453" s="372">
        <v>0.0</v>
      </c>
      <c r="Z10453" s="372">
        <v>0.0</v>
      </c>
    </row>
    <row r="10454">
      <c r="Y10454" s="372">
        <v>0.0</v>
      </c>
      <c r="Z10454" s="372">
        <v>0.0</v>
      </c>
    </row>
    <row r="10455">
      <c r="Y10455" s="372">
        <v>0.0</v>
      </c>
      <c r="Z10455" s="372">
        <v>0.0</v>
      </c>
    </row>
    <row r="10456">
      <c r="Y10456" s="372">
        <v>0.0</v>
      </c>
      <c r="Z10456" s="372">
        <v>0.0</v>
      </c>
    </row>
    <row r="10457">
      <c r="Y10457" s="372">
        <v>0.0</v>
      </c>
      <c r="Z10457" s="372">
        <v>0.0</v>
      </c>
    </row>
    <row r="10458">
      <c r="Y10458" s="372">
        <v>0.0</v>
      </c>
      <c r="Z10458" s="372">
        <v>0.0</v>
      </c>
    </row>
    <row r="10459">
      <c r="Y10459" s="372">
        <v>0.0</v>
      </c>
      <c r="Z10459" s="372">
        <v>0.0</v>
      </c>
    </row>
    <row r="10460">
      <c r="Y10460" s="372">
        <v>0.0</v>
      </c>
      <c r="Z10460" s="372">
        <v>0.0</v>
      </c>
    </row>
    <row r="10461">
      <c r="Y10461" s="372">
        <v>0.0</v>
      </c>
      <c r="Z10461" s="372">
        <v>0.0</v>
      </c>
    </row>
    <row r="10462">
      <c r="Y10462" s="372">
        <v>0.0</v>
      </c>
      <c r="Z10462" s="372">
        <v>0.0</v>
      </c>
    </row>
    <row r="10463">
      <c r="Y10463" s="372">
        <v>0.0</v>
      </c>
      <c r="Z10463" s="372">
        <v>0.0</v>
      </c>
    </row>
    <row r="10464">
      <c r="Y10464" s="372">
        <v>0.0</v>
      </c>
      <c r="Z10464" s="372">
        <v>0.0</v>
      </c>
    </row>
    <row r="10465">
      <c r="Y10465" s="372">
        <v>0.0</v>
      </c>
      <c r="Z10465" s="372">
        <v>0.0</v>
      </c>
    </row>
    <row r="10466">
      <c r="Y10466" s="372">
        <v>0.0</v>
      </c>
      <c r="Z10466" s="372">
        <v>0.0</v>
      </c>
    </row>
    <row r="10467">
      <c r="Y10467" s="372">
        <v>0.0</v>
      </c>
      <c r="Z10467" s="372">
        <v>0.0</v>
      </c>
    </row>
    <row r="10468">
      <c r="Y10468" s="372">
        <v>0.0</v>
      </c>
      <c r="Z10468" s="372">
        <v>0.0</v>
      </c>
    </row>
    <row r="10469">
      <c r="Y10469" s="372">
        <v>0.0</v>
      </c>
      <c r="Z10469" s="372">
        <v>0.0</v>
      </c>
    </row>
    <row r="10470">
      <c r="Y10470" s="372">
        <v>0.0</v>
      </c>
      <c r="Z10470" s="372">
        <v>0.0</v>
      </c>
    </row>
    <row r="10471">
      <c r="Y10471" s="372">
        <v>0.0</v>
      </c>
      <c r="Z10471" s="372">
        <v>0.0</v>
      </c>
    </row>
    <row r="10472">
      <c r="Y10472" s="372">
        <v>0.0</v>
      </c>
      <c r="Z10472" s="372">
        <v>0.0</v>
      </c>
    </row>
    <row r="10473">
      <c r="Y10473" s="372">
        <v>0.0</v>
      </c>
      <c r="Z10473" s="372">
        <v>0.0</v>
      </c>
    </row>
    <row r="10474">
      <c r="Y10474" s="372">
        <v>0.0</v>
      </c>
      <c r="Z10474" s="372">
        <v>0.0</v>
      </c>
    </row>
    <row r="10475">
      <c r="Y10475" s="372">
        <v>0.0</v>
      </c>
      <c r="Z10475" s="372">
        <v>0.0</v>
      </c>
    </row>
    <row r="10476">
      <c r="Y10476" s="372">
        <v>0.0</v>
      </c>
      <c r="Z10476" s="372">
        <v>0.0</v>
      </c>
    </row>
    <row r="10477">
      <c r="Y10477" s="372">
        <v>0.0</v>
      </c>
      <c r="Z10477" s="372">
        <v>0.0</v>
      </c>
    </row>
    <row r="10478">
      <c r="Y10478" s="372">
        <v>0.0</v>
      </c>
      <c r="Z10478" s="372">
        <v>0.0</v>
      </c>
    </row>
    <row r="10479">
      <c r="Y10479" s="372">
        <v>0.0</v>
      </c>
      <c r="Z10479" s="372">
        <v>0.0</v>
      </c>
    </row>
    <row r="10480">
      <c r="Y10480" s="372">
        <v>0.0</v>
      </c>
      <c r="Z10480" s="372">
        <v>0.0</v>
      </c>
    </row>
    <row r="10481">
      <c r="Y10481" s="372">
        <v>0.0</v>
      </c>
      <c r="Z10481" s="372">
        <v>0.0</v>
      </c>
    </row>
    <row r="10482">
      <c r="Y10482" s="372">
        <v>0.0</v>
      </c>
      <c r="Z10482" s="372">
        <v>0.0</v>
      </c>
    </row>
    <row r="10483">
      <c r="Y10483" s="372">
        <v>0.0</v>
      </c>
      <c r="Z10483" s="372">
        <v>0.0</v>
      </c>
    </row>
    <row r="10484">
      <c r="Y10484" s="372">
        <v>0.0</v>
      </c>
      <c r="Z10484" s="372">
        <v>0.0</v>
      </c>
    </row>
    <row r="10485">
      <c r="Y10485" s="372">
        <v>0.0</v>
      </c>
      <c r="Z10485" s="372">
        <v>0.0</v>
      </c>
    </row>
    <row r="10486">
      <c r="Y10486" s="372">
        <v>0.0</v>
      </c>
      <c r="Z10486" s="372">
        <v>0.0</v>
      </c>
    </row>
    <row r="10487">
      <c r="Y10487" s="372">
        <v>0.0</v>
      </c>
      <c r="Z10487" s="372">
        <v>0.0</v>
      </c>
    </row>
    <row r="10488">
      <c r="Y10488" s="372">
        <v>0.0</v>
      </c>
      <c r="Z10488" s="372">
        <v>0.0</v>
      </c>
    </row>
    <row r="10489">
      <c r="Y10489" s="372">
        <v>0.0</v>
      </c>
      <c r="Z10489" s="372">
        <v>0.0</v>
      </c>
    </row>
    <row r="10490">
      <c r="Y10490" s="372">
        <v>0.0</v>
      </c>
      <c r="Z10490" s="372">
        <v>0.0</v>
      </c>
    </row>
    <row r="10491">
      <c r="Y10491" s="372">
        <v>0.0</v>
      </c>
      <c r="Z10491" s="372">
        <v>0.0</v>
      </c>
    </row>
    <row r="10492">
      <c r="Y10492" s="372">
        <v>0.0</v>
      </c>
      <c r="Z10492" s="372">
        <v>0.0</v>
      </c>
    </row>
    <row r="10493">
      <c r="Y10493" s="372">
        <v>0.0</v>
      </c>
      <c r="Z10493" s="372">
        <v>0.0</v>
      </c>
    </row>
    <row r="10494">
      <c r="Y10494" s="372">
        <v>0.0</v>
      </c>
      <c r="Z10494" s="372">
        <v>0.0</v>
      </c>
    </row>
    <row r="10495">
      <c r="Y10495" s="372">
        <v>0.0</v>
      </c>
      <c r="Z10495" s="372">
        <v>0.0</v>
      </c>
    </row>
    <row r="10496">
      <c r="Y10496" s="372">
        <v>0.0</v>
      </c>
      <c r="Z10496" s="372">
        <v>0.0</v>
      </c>
    </row>
    <row r="10497">
      <c r="Y10497" s="372">
        <v>0.0</v>
      </c>
      <c r="Z10497" s="372">
        <v>0.0</v>
      </c>
    </row>
    <row r="10498">
      <c r="Y10498" s="372">
        <v>0.0</v>
      </c>
      <c r="Z10498" s="372">
        <v>0.0</v>
      </c>
    </row>
    <row r="10499">
      <c r="Y10499" s="372">
        <v>0.0</v>
      </c>
      <c r="Z10499" s="372">
        <v>0.0</v>
      </c>
    </row>
    <row r="10500">
      <c r="Y10500" s="372">
        <v>0.0</v>
      </c>
      <c r="Z10500" s="372">
        <v>0.0</v>
      </c>
    </row>
    <row r="10501">
      <c r="Y10501" s="372">
        <v>0.0</v>
      </c>
      <c r="Z10501" s="372">
        <v>0.0</v>
      </c>
    </row>
    <row r="10502">
      <c r="Y10502" s="372">
        <v>0.0</v>
      </c>
      <c r="Z10502" s="372">
        <v>0.0</v>
      </c>
    </row>
    <row r="10503">
      <c r="Y10503" s="372">
        <v>0.0</v>
      </c>
      <c r="Z10503" s="372">
        <v>0.0</v>
      </c>
    </row>
    <row r="10504">
      <c r="Y10504" s="372">
        <v>0.0</v>
      </c>
      <c r="Z10504" s="372">
        <v>0.0</v>
      </c>
    </row>
    <row r="10505">
      <c r="Y10505" s="372">
        <v>0.0</v>
      </c>
      <c r="Z10505" s="372">
        <v>0.0</v>
      </c>
    </row>
    <row r="10506">
      <c r="Y10506" s="372">
        <v>0.0</v>
      </c>
      <c r="Z10506" s="372">
        <v>0.0</v>
      </c>
    </row>
    <row r="10507">
      <c r="Y10507" s="372">
        <v>0.0</v>
      </c>
      <c r="Z10507" s="372">
        <v>0.0</v>
      </c>
    </row>
    <row r="10508">
      <c r="Y10508" s="372">
        <v>0.0</v>
      </c>
      <c r="Z10508" s="372">
        <v>0.0</v>
      </c>
    </row>
    <row r="10509">
      <c r="Y10509" s="372">
        <v>0.0</v>
      </c>
      <c r="Z10509" s="372">
        <v>0.0</v>
      </c>
    </row>
    <row r="10510">
      <c r="Y10510" s="372">
        <v>0.0</v>
      </c>
      <c r="Z10510" s="372">
        <v>0.0</v>
      </c>
    </row>
    <row r="10511">
      <c r="Y10511" s="372">
        <v>0.0</v>
      </c>
      <c r="Z10511" s="372">
        <v>0.0</v>
      </c>
    </row>
    <row r="10512">
      <c r="Y10512" s="372">
        <v>0.0</v>
      </c>
      <c r="Z10512" s="372">
        <v>0.0</v>
      </c>
    </row>
    <row r="10513">
      <c r="Y10513" s="372">
        <v>0.0</v>
      </c>
      <c r="Z10513" s="372">
        <v>0.0</v>
      </c>
    </row>
    <row r="10514">
      <c r="Y10514" s="372">
        <v>0.0</v>
      </c>
      <c r="Z10514" s="372">
        <v>0.0</v>
      </c>
    </row>
    <row r="10515">
      <c r="Y10515" s="372">
        <v>0.0</v>
      </c>
      <c r="Z10515" s="372">
        <v>0.0</v>
      </c>
    </row>
    <row r="10516">
      <c r="Y10516" s="372">
        <v>0.0</v>
      </c>
      <c r="Z10516" s="372">
        <v>0.0</v>
      </c>
    </row>
    <row r="10517">
      <c r="Y10517" s="372">
        <v>0.0</v>
      </c>
      <c r="Z10517" s="372">
        <v>0.0</v>
      </c>
    </row>
    <row r="10518">
      <c r="Y10518" s="372">
        <v>0.0</v>
      </c>
      <c r="Z10518" s="372">
        <v>0.0</v>
      </c>
    </row>
    <row r="10519">
      <c r="Y10519" s="372">
        <v>0.0</v>
      </c>
      <c r="Z10519" s="372">
        <v>0.0</v>
      </c>
    </row>
    <row r="10520">
      <c r="Y10520" s="372">
        <v>0.0</v>
      </c>
      <c r="Z10520" s="372">
        <v>0.0</v>
      </c>
    </row>
    <row r="10521">
      <c r="Y10521" s="372">
        <v>0.0</v>
      </c>
      <c r="Z10521" s="372">
        <v>0.0</v>
      </c>
    </row>
    <row r="10522">
      <c r="Y10522" s="372">
        <v>0.0</v>
      </c>
      <c r="Z10522" s="372">
        <v>0.0</v>
      </c>
    </row>
    <row r="10523">
      <c r="Y10523" s="372">
        <v>0.0</v>
      </c>
      <c r="Z10523" s="372">
        <v>0.0</v>
      </c>
    </row>
    <row r="10524">
      <c r="Y10524" s="372">
        <v>0.0</v>
      </c>
      <c r="Z10524" s="372">
        <v>0.0</v>
      </c>
    </row>
    <row r="10525">
      <c r="Y10525" s="372">
        <v>0.0</v>
      </c>
      <c r="Z10525" s="372">
        <v>0.0</v>
      </c>
    </row>
    <row r="10526">
      <c r="Y10526" s="372">
        <v>0.0</v>
      </c>
      <c r="Z10526" s="372">
        <v>0.0</v>
      </c>
    </row>
    <row r="10527">
      <c r="Y10527" s="372">
        <v>0.0</v>
      </c>
      <c r="Z10527" s="372">
        <v>0.0</v>
      </c>
    </row>
    <row r="10528">
      <c r="Y10528" s="372">
        <v>0.0</v>
      </c>
      <c r="Z10528" s="372">
        <v>0.0</v>
      </c>
    </row>
    <row r="10529">
      <c r="Y10529" s="372">
        <v>0.0</v>
      </c>
      <c r="Z10529" s="372">
        <v>0.0</v>
      </c>
    </row>
    <row r="10530">
      <c r="Y10530" s="372">
        <v>0.0</v>
      </c>
      <c r="Z10530" s="372">
        <v>0.0</v>
      </c>
    </row>
    <row r="10531">
      <c r="Y10531" s="372">
        <v>0.0</v>
      </c>
      <c r="Z10531" s="372">
        <v>0.0</v>
      </c>
    </row>
    <row r="10532">
      <c r="Y10532" s="372">
        <v>0.0</v>
      </c>
      <c r="Z10532" s="372">
        <v>0.0</v>
      </c>
    </row>
    <row r="10533">
      <c r="Y10533" s="372">
        <v>0.0</v>
      </c>
      <c r="Z10533" s="372">
        <v>0.0</v>
      </c>
    </row>
    <row r="10534">
      <c r="Y10534" s="372">
        <v>0.0</v>
      </c>
      <c r="Z10534" s="372">
        <v>0.0</v>
      </c>
    </row>
    <row r="10535">
      <c r="Y10535" s="372">
        <v>0.0</v>
      </c>
      <c r="Z10535" s="372">
        <v>0.0</v>
      </c>
    </row>
    <row r="10536">
      <c r="Y10536" s="372">
        <v>0.0</v>
      </c>
      <c r="Z10536" s="372">
        <v>0.0</v>
      </c>
    </row>
    <row r="10537">
      <c r="Y10537" s="372">
        <v>0.0</v>
      </c>
      <c r="Z10537" s="372">
        <v>0.0</v>
      </c>
    </row>
    <row r="10538">
      <c r="Y10538" s="372">
        <v>0.0</v>
      </c>
      <c r="Z10538" s="372">
        <v>0.0</v>
      </c>
    </row>
    <row r="10539">
      <c r="Y10539" s="372">
        <v>0.0</v>
      </c>
      <c r="Z10539" s="372">
        <v>0.0</v>
      </c>
    </row>
    <row r="10540">
      <c r="Y10540" s="372">
        <v>0.0</v>
      </c>
      <c r="Z10540" s="372">
        <v>0.0</v>
      </c>
    </row>
    <row r="10541">
      <c r="Y10541" s="372">
        <v>0.0</v>
      </c>
      <c r="Z10541" s="372">
        <v>0.0</v>
      </c>
    </row>
    <row r="10542">
      <c r="Y10542" s="372">
        <v>0.0</v>
      </c>
      <c r="Z10542" s="372">
        <v>0.0</v>
      </c>
    </row>
    <row r="10543">
      <c r="Y10543" s="372">
        <v>0.0</v>
      </c>
      <c r="Z10543" s="372">
        <v>0.0</v>
      </c>
    </row>
    <row r="10544">
      <c r="Y10544" s="372">
        <v>0.0</v>
      </c>
      <c r="Z10544" s="372">
        <v>0.0</v>
      </c>
    </row>
    <row r="10545">
      <c r="Y10545" s="372">
        <v>0.0</v>
      </c>
      <c r="Z10545" s="372">
        <v>0.0</v>
      </c>
    </row>
    <row r="10546">
      <c r="Y10546" s="372">
        <v>0.0</v>
      </c>
      <c r="Z10546" s="372">
        <v>0.0</v>
      </c>
    </row>
    <row r="10547">
      <c r="Y10547" s="372">
        <v>0.0</v>
      </c>
      <c r="Z10547" s="372">
        <v>0.0</v>
      </c>
    </row>
    <row r="10548">
      <c r="Y10548" s="372">
        <v>0.0</v>
      </c>
      <c r="Z10548" s="372">
        <v>0.0</v>
      </c>
    </row>
    <row r="10549">
      <c r="Y10549" s="372">
        <v>0.0</v>
      </c>
      <c r="Z10549" s="372">
        <v>0.0</v>
      </c>
    </row>
    <row r="10550">
      <c r="Y10550" s="372">
        <v>0.0</v>
      </c>
      <c r="Z10550" s="372">
        <v>0.0</v>
      </c>
    </row>
    <row r="10551">
      <c r="Y10551" s="372">
        <v>0.0</v>
      </c>
      <c r="Z10551" s="372">
        <v>0.0</v>
      </c>
    </row>
    <row r="10552">
      <c r="Y10552" s="372">
        <v>0.0</v>
      </c>
      <c r="Z10552" s="372">
        <v>0.0</v>
      </c>
    </row>
    <row r="10553">
      <c r="Y10553" s="372">
        <v>0.0</v>
      </c>
      <c r="Z10553" s="372">
        <v>0.0</v>
      </c>
    </row>
    <row r="10554">
      <c r="Y10554" s="372">
        <v>0.0</v>
      </c>
      <c r="Z10554" s="372">
        <v>0.0</v>
      </c>
    </row>
    <row r="10555">
      <c r="Y10555" s="372">
        <v>0.0</v>
      </c>
      <c r="Z10555" s="372">
        <v>0.0</v>
      </c>
    </row>
    <row r="10556">
      <c r="Y10556" s="372">
        <v>0.0</v>
      </c>
      <c r="Z10556" s="372">
        <v>0.0</v>
      </c>
    </row>
    <row r="10557">
      <c r="Y10557" s="372">
        <v>0.0</v>
      </c>
      <c r="Z10557" s="372">
        <v>0.0</v>
      </c>
    </row>
    <row r="10558">
      <c r="Y10558" s="372">
        <v>0.0</v>
      </c>
      <c r="Z10558" s="372">
        <v>0.0</v>
      </c>
    </row>
    <row r="10559">
      <c r="Y10559" s="372">
        <v>0.0</v>
      </c>
      <c r="Z10559" s="372">
        <v>0.0</v>
      </c>
    </row>
    <row r="10560">
      <c r="Y10560" s="372">
        <v>0.0</v>
      </c>
      <c r="Z10560" s="372">
        <v>0.0</v>
      </c>
    </row>
    <row r="10561">
      <c r="Y10561" s="372">
        <v>0.0</v>
      </c>
      <c r="Z10561" s="372">
        <v>0.0</v>
      </c>
    </row>
    <row r="10562">
      <c r="Y10562" s="372">
        <v>0.0</v>
      </c>
      <c r="Z10562" s="372">
        <v>0.0</v>
      </c>
    </row>
    <row r="10563">
      <c r="Y10563" s="372">
        <v>0.0</v>
      </c>
      <c r="Z10563" s="372">
        <v>0.0</v>
      </c>
    </row>
    <row r="10564">
      <c r="Y10564" s="372">
        <v>0.0</v>
      </c>
      <c r="Z10564" s="372">
        <v>0.0</v>
      </c>
    </row>
    <row r="10565">
      <c r="Y10565" s="372">
        <v>0.0</v>
      </c>
      <c r="Z10565" s="372">
        <v>0.0</v>
      </c>
    </row>
    <row r="10566">
      <c r="Y10566" s="372">
        <v>0.0</v>
      </c>
      <c r="Z10566" s="372">
        <v>0.0</v>
      </c>
    </row>
    <row r="10567">
      <c r="Y10567" s="372">
        <v>0.0</v>
      </c>
      <c r="Z10567" s="372">
        <v>0.0</v>
      </c>
    </row>
    <row r="10568">
      <c r="Y10568" s="372">
        <v>0.0</v>
      </c>
      <c r="Z10568" s="372">
        <v>0.0</v>
      </c>
    </row>
    <row r="10569">
      <c r="Y10569" s="372">
        <v>0.0</v>
      </c>
      <c r="Z10569" s="372">
        <v>0.0</v>
      </c>
    </row>
    <row r="10570">
      <c r="Y10570" s="372">
        <v>0.0</v>
      </c>
      <c r="Z10570" s="372">
        <v>0.0</v>
      </c>
    </row>
    <row r="10571">
      <c r="Y10571" s="372">
        <v>0.0</v>
      </c>
      <c r="Z10571" s="372">
        <v>0.0</v>
      </c>
    </row>
    <row r="10572">
      <c r="Y10572" s="372">
        <v>0.0</v>
      </c>
      <c r="Z10572" s="372">
        <v>0.0</v>
      </c>
    </row>
    <row r="10573">
      <c r="Y10573" s="372">
        <v>0.0</v>
      </c>
      <c r="Z10573" s="372">
        <v>0.0</v>
      </c>
    </row>
    <row r="10574">
      <c r="Y10574" s="372">
        <v>0.0</v>
      </c>
      <c r="Z10574" s="372">
        <v>0.0</v>
      </c>
    </row>
    <row r="10575">
      <c r="Y10575" s="372">
        <v>0.0</v>
      </c>
      <c r="Z10575" s="372">
        <v>0.0</v>
      </c>
    </row>
    <row r="10576">
      <c r="Y10576" s="372">
        <v>0.0</v>
      </c>
      <c r="Z10576" s="372">
        <v>0.0</v>
      </c>
    </row>
    <row r="10577">
      <c r="Y10577" s="372">
        <v>0.0</v>
      </c>
      <c r="Z10577" s="372">
        <v>0.0</v>
      </c>
    </row>
    <row r="10578">
      <c r="Y10578" s="372">
        <v>0.0</v>
      </c>
      <c r="Z10578" s="372">
        <v>0.0</v>
      </c>
    </row>
    <row r="10579">
      <c r="Y10579" s="372">
        <v>0.0</v>
      </c>
      <c r="Z10579" s="372">
        <v>0.0</v>
      </c>
    </row>
    <row r="10580">
      <c r="Y10580" s="372">
        <v>0.0</v>
      </c>
      <c r="Z10580" s="372">
        <v>0.0</v>
      </c>
    </row>
    <row r="10581">
      <c r="Y10581" s="372">
        <v>0.0</v>
      </c>
      <c r="Z10581" s="372">
        <v>0.0</v>
      </c>
    </row>
    <row r="10582">
      <c r="Y10582" s="372">
        <v>0.0</v>
      </c>
      <c r="Z10582" s="372">
        <v>0.0</v>
      </c>
    </row>
    <row r="10583">
      <c r="Y10583" s="372">
        <v>0.0</v>
      </c>
      <c r="Z10583" s="372">
        <v>0.0</v>
      </c>
    </row>
    <row r="10584">
      <c r="Y10584" s="372">
        <v>0.0</v>
      </c>
      <c r="Z10584" s="372">
        <v>0.0</v>
      </c>
    </row>
    <row r="10585">
      <c r="Y10585" s="372">
        <v>0.0</v>
      </c>
      <c r="Z10585" s="372">
        <v>0.0</v>
      </c>
    </row>
    <row r="10586">
      <c r="Y10586" s="372">
        <v>0.0</v>
      </c>
      <c r="Z10586" s="372">
        <v>0.0</v>
      </c>
    </row>
    <row r="10587">
      <c r="Y10587" s="372">
        <v>0.0</v>
      </c>
      <c r="Z10587" s="372">
        <v>0.0</v>
      </c>
    </row>
    <row r="10588">
      <c r="Y10588" s="372">
        <v>0.0</v>
      </c>
      <c r="Z10588" s="372">
        <v>0.0</v>
      </c>
    </row>
    <row r="10589">
      <c r="Y10589" s="372">
        <v>0.0</v>
      </c>
      <c r="Z10589" s="372">
        <v>0.0</v>
      </c>
    </row>
    <row r="10590">
      <c r="Y10590" s="372">
        <v>0.0</v>
      </c>
      <c r="Z10590" s="372">
        <v>0.0</v>
      </c>
    </row>
    <row r="10591">
      <c r="Y10591" s="372">
        <v>0.0</v>
      </c>
      <c r="Z10591" s="372">
        <v>0.0</v>
      </c>
    </row>
    <row r="10592">
      <c r="Y10592" s="372">
        <v>0.0</v>
      </c>
      <c r="Z10592" s="372">
        <v>0.0</v>
      </c>
    </row>
    <row r="10593">
      <c r="Y10593" s="372">
        <v>0.0</v>
      </c>
      <c r="Z10593" s="372">
        <v>0.0</v>
      </c>
    </row>
    <row r="10594">
      <c r="Y10594" s="372">
        <v>0.0</v>
      </c>
      <c r="Z10594" s="372">
        <v>0.0</v>
      </c>
    </row>
    <row r="10595">
      <c r="Y10595" s="372">
        <v>0.0</v>
      </c>
      <c r="Z10595" s="372">
        <v>0.0</v>
      </c>
    </row>
    <row r="10596">
      <c r="Y10596" s="372">
        <v>0.0</v>
      </c>
      <c r="Z10596" s="372">
        <v>0.0</v>
      </c>
    </row>
    <row r="10597">
      <c r="Y10597" s="372">
        <v>0.0</v>
      </c>
      <c r="Z10597" s="372">
        <v>0.0</v>
      </c>
    </row>
    <row r="10598">
      <c r="Y10598" s="372">
        <v>0.0</v>
      </c>
      <c r="Z10598" s="372">
        <v>0.0</v>
      </c>
    </row>
    <row r="10599">
      <c r="Y10599" s="372">
        <v>0.0</v>
      </c>
      <c r="Z10599" s="372">
        <v>0.0</v>
      </c>
    </row>
    <row r="10600">
      <c r="Y10600" s="372">
        <v>0.0</v>
      </c>
      <c r="Z10600" s="372">
        <v>0.0</v>
      </c>
    </row>
    <row r="10601">
      <c r="Y10601" s="372">
        <v>0.0</v>
      </c>
      <c r="Z10601" s="372">
        <v>0.0</v>
      </c>
    </row>
    <row r="10602">
      <c r="Y10602" s="372">
        <v>0.0</v>
      </c>
      <c r="Z10602" s="372">
        <v>0.0</v>
      </c>
    </row>
    <row r="10603">
      <c r="Y10603" s="372">
        <v>0.0</v>
      </c>
      <c r="Z10603" s="372">
        <v>0.0</v>
      </c>
    </row>
    <row r="10604">
      <c r="Y10604" s="372">
        <v>0.0</v>
      </c>
      <c r="Z10604" s="372">
        <v>0.0</v>
      </c>
    </row>
    <row r="10605">
      <c r="Y10605" s="372">
        <v>0.0</v>
      </c>
      <c r="Z10605" s="372">
        <v>0.0</v>
      </c>
    </row>
    <row r="10606">
      <c r="Y10606" s="372">
        <v>0.0</v>
      </c>
      <c r="Z10606" s="372">
        <v>0.0</v>
      </c>
    </row>
    <row r="10607">
      <c r="Y10607" s="372">
        <v>0.0</v>
      </c>
      <c r="Z10607" s="372">
        <v>0.0</v>
      </c>
    </row>
    <row r="10608">
      <c r="Y10608" s="372">
        <v>0.0</v>
      </c>
      <c r="Z10608" s="372">
        <v>0.0</v>
      </c>
    </row>
    <row r="10609">
      <c r="Y10609" s="372">
        <v>0.0</v>
      </c>
      <c r="Z10609" s="372">
        <v>0.0</v>
      </c>
    </row>
    <row r="10610">
      <c r="Y10610" s="372">
        <v>0.0</v>
      </c>
      <c r="Z10610" s="372">
        <v>0.0</v>
      </c>
    </row>
    <row r="10611">
      <c r="Y10611" s="372">
        <v>0.0</v>
      </c>
      <c r="Z10611" s="372">
        <v>0.0</v>
      </c>
    </row>
    <row r="10612">
      <c r="Y10612" s="372">
        <v>0.0</v>
      </c>
      <c r="Z10612" s="372">
        <v>0.0</v>
      </c>
    </row>
    <row r="10613">
      <c r="Y10613" s="372">
        <v>0.0</v>
      </c>
      <c r="Z10613" s="372">
        <v>0.0</v>
      </c>
    </row>
    <row r="10614">
      <c r="Y10614" s="372">
        <v>0.0</v>
      </c>
      <c r="Z10614" s="372">
        <v>0.0</v>
      </c>
    </row>
    <row r="10615">
      <c r="Y10615" s="372">
        <v>0.0</v>
      </c>
      <c r="Z10615" s="372">
        <v>0.0</v>
      </c>
    </row>
    <row r="10616">
      <c r="Y10616" s="372">
        <v>0.0</v>
      </c>
      <c r="Z10616" s="372">
        <v>0.0</v>
      </c>
    </row>
    <row r="10617">
      <c r="Y10617" s="372">
        <v>0.0</v>
      </c>
      <c r="Z10617" s="372">
        <v>0.0</v>
      </c>
    </row>
    <row r="10618">
      <c r="Y10618" s="372">
        <v>0.0</v>
      </c>
      <c r="Z10618" s="372">
        <v>0.0</v>
      </c>
    </row>
    <row r="10619">
      <c r="Y10619" s="372">
        <v>0.0</v>
      </c>
      <c r="Z10619" s="372">
        <v>0.0</v>
      </c>
    </row>
    <row r="10620">
      <c r="Y10620" s="372">
        <v>0.0</v>
      </c>
      <c r="Z10620" s="372">
        <v>0.0</v>
      </c>
    </row>
    <row r="10621">
      <c r="Y10621" s="372">
        <v>0.0</v>
      </c>
      <c r="Z10621" s="372">
        <v>0.0</v>
      </c>
    </row>
    <row r="10622">
      <c r="Y10622" s="372">
        <v>0.0</v>
      </c>
      <c r="Z10622" s="372">
        <v>0.0</v>
      </c>
    </row>
    <row r="10623">
      <c r="Y10623" s="372">
        <v>0.0</v>
      </c>
      <c r="Z10623" s="372">
        <v>0.0</v>
      </c>
    </row>
    <row r="10624">
      <c r="Y10624" s="372">
        <v>0.0</v>
      </c>
      <c r="Z10624" s="372">
        <v>0.0</v>
      </c>
    </row>
    <row r="10625">
      <c r="Y10625" s="372">
        <v>0.0</v>
      </c>
      <c r="Z10625" s="372">
        <v>0.0</v>
      </c>
    </row>
    <row r="10626">
      <c r="Y10626" s="372">
        <v>0.0</v>
      </c>
      <c r="Z10626" s="372">
        <v>0.0</v>
      </c>
    </row>
    <row r="10627">
      <c r="Y10627" s="372">
        <v>0.0</v>
      </c>
      <c r="Z10627" s="372">
        <v>0.0</v>
      </c>
    </row>
    <row r="10628">
      <c r="Y10628" s="372">
        <v>0.0</v>
      </c>
      <c r="Z10628" s="372">
        <v>0.0</v>
      </c>
    </row>
    <row r="10629">
      <c r="Y10629" s="372">
        <v>0.0</v>
      </c>
      <c r="Z10629" s="372">
        <v>0.0</v>
      </c>
    </row>
    <row r="10630">
      <c r="Y10630" s="372">
        <v>0.0</v>
      </c>
      <c r="Z10630" s="372">
        <v>0.0</v>
      </c>
    </row>
    <row r="10631">
      <c r="Y10631" s="372">
        <v>0.0</v>
      </c>
      <c r="Z10631" s="372">
        <v>0.0</v>
      </c>
    </row>
    <row r="10632">
      <c r="Y10632" s="372">
        <v>0.0</v>
      </c>
      <c r="Z10632" s="372">
        <v>0.0</v>
      </c>
    </row>
    <row r="10633">
      <c r="Y10633" s="372">
        <v>0.0</v>
      </c>
      <c r="Z10633" s="372">
        <v>0.0</v>
      </c>
    </row>
    <row r="10634">
      <c r="Y10634" s="372">
        <v>0.0</v>
      </c>
      <c r="Z10634" s="372">
        <v>0.0</v>
      </c>
    </row>
    <row r="10635">
      <c r="Y10635" s="372">
        <v>0.0</v>
      </c>
      <c r="Z10635" s="372">
        <v>0.0</v>
      </c>
    </row>
    <row r="10636">
      <c r="Y10636" s="372">
        <v>0.0</v>
      </c>
      <c r="Z10636" s="372">
        <v>0.0</v>
      </c>
    </row>
    <row r="10637">
      <c r="Y10637" s="372">
        <v>0.0</v>
      </c>
      <c r="Z10637" s="372">
        <v>0.0</v>
      </c>
    </row>
    <row r="10638">
      <c r="Y10638" s="372">
        <v>0.0</v>
      </c>
      <c r="Z10638" s="372">
        <v>0.0</v>
      </c>
    </row>
    <row r="10639">
      <c r="Y10639" s="372">
        <v>0.0</v>
      </c>
      <c r="Z10639" s="372">
        <v>0.0</v>
      </c>
    </row>
    <row r="10640">
      <c r="Y10640" s="372">
        <v>0.0</v>
      </c>
      <c r="Z10640" s="372">
        <v>0.0</v>
      </c>
    </row>
    <row r="10641">
      <c r="Y10641" s="372">
        <v>0.0</v>
      </c>
      <c r="Z10641" s="372">
        <v>0.0</v>
      </c>
    </row>
    <row r="10642">
      <c r="Y10642" s="372">
        <v>0.0</v>
      </c>
      <c r="Z10642" s="372">
        <v>0.0</v>
      </c>
    </row>
    <row r="10643">
      <c r="Y10643" s="372">
        <v>0.0</v>
      </c>
      <c r="Z10643" s="372">
        <v>0.0</v>
      </c>
    </row>
    <row r="10644">
      <c r="Y10644" s="372">
        <v>0.0</v>
      </c>
      <c r="Z10644" s="372">
        <v>0.0</v>
      </c>
    </row>
    <row r="10645">
      <c r="Y10645" s="372">
        <v>0.0</v>
      </c>
      <c r="Z10645" s="372">
        <v>0.0</v>
      </c>
    </row>
    <row r="10646">
      <c r="Y10646" s="372">
        <v>0.0</v>
      </c>
      <c r="Z10646" s="372">
        <v>0.0</v>
      </c>
    </row>
    <row r="10647">
      <c r="Y10647" s="372">
        <v>0.0</v>
      </c>
      <c r="Z10647" s="372">
        <v>0.0</v>
      </c>
    </row>
    <row r="10648">
      <c r="Y10648" s="372">
        <v>0.0</v>
      </c>
      <c r="Z10648" s="372">
        <v>0.0</v>
      </c>
    </row>
    <row r="10649">
      <c r="Y10649" s="372">
        <v>0.0</v>
      </c>
      <c r="Z10649" s="372">
        <v>0.0</v>
      </c>
    </row>
    <row r="10650">
      <c r="Y10650" s="372">
        <v>0.0</v>
      </c>
      <c r="Z10650" s="372">
        <v>0.0</v>
      </c>
    </row>
    <row r="10651">
      <c r="Y10651" s="372">
        <v>0.0</v>
      </c>
      <c r="Z10651" s="372">
        <v>0.0</v>
      </c>
    </row>
    <row r="10652">
      <c r="Y10652" s="372">
        <v>0.0</v>
      </c>
      <c r="Z10652" s="372">
        <v>0.0</v>
      </c>
    </row>
    <row r="10653">
      <c r="Y10653" s="372">
        <v>0.0</v>
      </c>
      <c r="Z10653" s="372">
        <v>0.0</v>
      </c>
    </row>
    <row r="10654">
      <c r="Y10654" s="372">
        <v>0.0</v>
      </c>
      <c r="Z10654" s="372">
        <v>0.0</v>
      </c>
    </row>
    <row r="10655">
      <c r="Y10655" s="372">
        <v>0.0</v>
      </c>
      <c r="Z10655" s="372">
        <v>0.0</v>
      </c>
    </row>
    <row r="10656">
      <c r="Y10656" s="372">
        <v>0.0</v>
      </c>
      <c r="Z10656" s="372">
        <v>0.0</v>
      </c>
    </row>
    <row r="10657">
      <c r="Y10657" s="372">
        <v>0.0</v>
      </c>
      <c r="Z10657" s="372">
        <v>0.0</v>
      </c>
    </row>
    <row r="10658">
      <c r="Y10658" s="372">
        <v>0.0</v>
      </c>
      <c r="Z10658" s="372">
        <v>0.0</v>
      </c>
    </row>
    <row r="10659">
      <c r="Y10659" s="372">
        <v>0.0</v>
      </c>
      <c r="Z10659" s="372">
        <v>0.0</v>
      </c>
    </row>
    <row r="10660">
      <c r="Y10660" s="372">
        <v>0.0</v>
      </c>
      <c r="Z10660" s="372">
        <v>0.0</v>
      </c>
    </row>
    <row r="10661">
      <c r="Y10661" s="372">
        <v>0.0</v>
      </c>
      <c r="Z10661" s="372">
        <v>0.0</v>
      </c>
    </row>
    <row r="10662">
      <c r="Y10662" s="372">
        <v>0.0</v>
      </c>
      <c r="Z10662" s="372">
        <v>0.0</v>
      </c>
    </row>
    <row r="10663">
      <c r="Y10663" s="372">
        <v>0.0</v>
      </c>
      <c r="Z10663" s="372">
        <v>0.0</v>
      </c>
    </row>
    <row r="10664">
      <c r="Y10664" s="372">
        <v>0.0</v>
      </c>
      <c r="Z10664" s="372">
        <v>0.0</v>
      </c>
    </row>
    <row r="10665">
      <c r="Y10665" s="372">
        <v>0.0</v>
      </c>
      <c r="Z10665" s="372">
        <v>0.0</v>
      </c>
    </row>
    <row r="10666">
      <c r="Y10666" s="372">
        <v>0.0</v>
      </c>
      <c r="Z10666" s="372">
        <v>0.0</v>
      </c>
    </row>
    <row r="10667">
      <c r="Y10667" s="372">
        <v>0.0</v>
      </c>
      <c r="Z10667" s="372">
        <v>0.0</v>
      </c>
    </row>
    <row r="10668">
      <c r="Y10668" s="372">
        <v>0.0</v>
      </c>
      <c r="Z10668" s="372">
        <v>0.0</v>
      </c>
    </row>
    <row r="10669">
      <c r="Y10669" s="372">
        <v>0.0</v>
      </c>
      <c r="Z10669" s="372">
        <v>0.0</v>
      </c>
    </row>
    <row r="10670">
      <c r="Y10670" s="372">
        <v>0.0</v>
      </c>
      <c r="Z10670" s="372">
        <v>0.0</v>
      </c>
    </row>
    <row r="10671">
      <c r="Y10671" s="372">
        <v>0.0</v>
      </c>
      <c r="Z10671" s="372">
        <v>0.0</v>
      </c>
    </row>
    <row r="10672">
      <c r="Y10672" s="372">
        <v>0.0</v>
      </c>
      <c r="Z10672" s="372">
        <v>0.0</v>
      </c>
    </row>
    <row r="10673">
      <c r="Y10673" s="372">
        <v>0.0</v>
      </c>
      <c r="Z10673" s="372">
        <v>0.0</v>
      </c>
    </row>
    <row r="10674">
      <c r="Y10674" s="372">
        <v>0.0</v>
      </c>
      <c r="Z10674" s="372">
        <v>0.0</v>
      </c>
    </row>
    <row r="10675">
      <c r="Y10675" s="372">
        <v>0.0</v>
      </c>
      <c r="Z10675" s="372">
        <v>0.0</v>
      </c>
    </row>
    <row r="10676">
      <c r="Y10676" s="372">
        <v>0.0</v>
      </c>
      <c r="Z10676" s="372">
        <v>0.0</v>
      </c>
    </row>
    <row r="10677">
      <c r="Y10677" s="372">
        <v>0.0</v>
      </c>
      <c r="Z10677" s="372">
        <v>0.0</v>
      </c>
    </row>
    <row r="10678">
      <c r="Y10678" s="372">
        <v>0.0</v>
      </c>
      <c r="Z10678" s="372">
        <v>0.0</v>
      </c>
    </row>
    <row r="10679">
      <c r="Y10679" s="372">
        <v>0.0</v>
      </c>
      <c r="Z10679" s="372">
        <v>0.0</v>
      </c>
    </row>
    <row r="10680">
      <c r="Y10680" s="372">
        <v>0.0</v>
      </c>
      <c r="Z10680" s="372">
        <v>0.0</v>
      </c>
    </row>
    <row r="10681">
      <c r="Y10681" s="372">
        <v>0.0</v>
      </c>
      <c r="Z10681" s="372">
        <v>0.0</v>
      </c>
    </row>
    <row r="10682">
      <c r="Y10682" s="372">
        <v>0.0</v>
      </c>
      <c r="Z10682" s="372">
        <v>0.0</v>
      </c>
    </row>
    <row r="10683">
      <c r="Y10683" s="372">
        <v>0.0</v>
      </c>
      <c r="Z10683" s="372">
        <v>0.0</v>
      </c>
    </row>
    <row r="10684">
      <c r="Y10684" s="372">
        <v>0.0</v>
      </c>
      <c r="Z10684" s="372">
        <v>0.0</v>
      </c>
    </row>
    <row r="10685">
      <c r="Y10685" s="372">
        <v>0.0</v>
      </c>
      <c r="Z10685" s="372">
        <v>0.0</v>
      </c>
    </row>
    <row r="10686">
      <c r="Y10686" s="372">
        <v>0.0</v>
      </c>
      <c r="Z10686" s="372">
        <v>0.0</v>
      </c>
    </row>
    <row r="10687">
      <c r="Y10687" s="372">
        <v>0.0</v>
      </c>
      <c r="Z10687" s="372">
        <v>0.0</v>
      </c>
    </row>
    <row r="10688">
      <c r="Y10688" s="372">
        <v>0.0</v>
      </c>
      <c r="Z10688" s="372">
        <v>0.0</v>
      </c>
    </row>
    <row r="10689">
      <c r="Y10689" s="372">
        <v>0.0</v>
      </c>
      <c r="Z10689" s="372">
        <v>0.0</v>
      </c>
    </row>
    <row r="10690">
      <c r="Y10690" s="372">
        <v>0.0</v>
      </c>
      <c r="Z10690" s="372">
        <v>0.0</v>
      </c>
    </row>
    <row r="10691">
      <c r="Y10691" s="372">
        <v>0.0</v>
      </c>
      <c r="Z10691" s="372">
        <v>0.0</v>
      </c>
    </row>
    <row r="10692">
      <c r="Y10692" s="372">
        <v>0.0</v>
      </c>
      <c r="Z10692" s="372">
        <v>0.0</v>
      </c>
    </row>
    <row r="10693">
      <c r="Y10693" s="372">
        <v>0.0</v>
      </c>
      <c r="Z10693" s="372">
        <v>0.0</v>
      </c>
    </row>
    <row r="10694">
      <c r="Y10694" s="372">
        <v>0.0</v>
      </c>
      <c r="Z10694" s="372">
        <v>0.0</v>
      </c>
    </row>
    <row r="10695">
      <c r="Y10695" s="372">
        <v>0.0</v>
      </c>
      <c r="Z10695" s="372">
        <v>0.0</v>
      </c>
    </row>
    <row r="10696">
      <c r="Y10696" s="372">
        <v>0.0</v>
      </c>
      <c r="Z10696" s="372">
        <v>0.0</v>
      </c>
    </row>
    <row r="10697">
      <c r="Y10697" s="372">
        <v>0.0</v>
      </c>
      <c r="Z10697" s="372">
        <v>0.0</v>
      </c>
    </row>
    <row r="10698">
      <c r="Y10698" s="372">
        <v>0.0</v>
      </c>
      <c r="Z10698" s="372">
        <v>0.0</v>
      </c>
    </row>
    <row r="10699">
      <c r="Y10699" s="372">
        <v>0.0</v>
      </c>
      <c r="Z10699" s="372">
        <v>0.0</v>
      </c>
    </row>
    <row r="10700">
      <c r="Y10700" s="372">
        <v>0.0</v>
      </c>
      <c r="Z10700" s="372">
        <v>0.0</v>
      </c>
    </row>
    <row r="10701">
      <c r="Y10701" s="372">
        <v>0.0</v>
      </c>
      <c r="Z10701" s="372">
        <v>0.0</v>
      </c>
    </row>
    <row r="10702">
      <c r="Y10702" s="372">
        <v>0.0</v>
      </c>
      <c r="Z10702" s="372">
        <v>0.0</v>
      </c>
    </row>
    <row r="10703">
      <c r="Y10703" s="372">
        <v>0.0</v>
      </c>
      <c r="Z10703" s="372">
        <v>0.0</v>
      </c>
    </row>
    <row r="10704">
      <c r="Y10704" s="372">
        <v>0.0</v>
      </c>
      <c r="Z10704" s="372">
        <v>0.0</v>
      </c>
    </row>
    <row r="10705">
      <c r="Y10705" s="372">
        <v>0.0</v>
      </c>
      <c r="Z10705" s="372">
        <v>0.0</v>
      </c>
    </row>
    <row r="10706">
      <c r="Y10706" s="372">
        <v>0.0</v>
      </c>
      <c r="Z10706" s="372">
        <v>0.0</v>
      </c>
    </row>
    <row r="10707">
      <c r="Y10707" s="372">
        <v>0.0</v>
      </c>
      <c r="Z10707" s="372">
        <v>0.0</v>
      </c>
    </row>
    <row r="10708">
      <c r="Y10708" s="372">
        <v>0.0</v>
      </c>
      <c r="Z10708" s="372">
        <v>0.0</v>
      </c>
    </row>
    <row r="10709">
      <c r="Y10709" s="372">
        <v>0.0</v>
      </c>
      <c r="Z10709" s="372">
        <v>0.0</v>
      </c>
    </row>
    <row r="10710">
      <c r="Y10710" s="372">
        <v>0.0</v>
      </c>
      <c r="Z10710" s="372">
        <v>0.0</v>
      </c>
    </row>
    <row r="10711">
      <c r="Y10711" s="372">
        <v>0.0</v>
      </c>
      <c r="Z10711" s="372">
        <v>0.0</v>
      </c>
    </row>
    <row r="10712">
      <c r="Y10712" s="372">
        <v>0.0</v>
      </c>
      <c r="Z10712" s="372">
        <v>0.0</v>
      </c>
    </row>
    <row r="10713">
      <c r="Y10713" s="372">
        <v>0.0</v>
      </c>
      <c r="Z10713" s="372">
        <v>0.0</v>
      </c>
    </row>
    <row r="10714">
      <c r="Y10714" s="372">
        <v>0.0</v>
      </c>
      <c r="Z10714" s="372">
        <v>0.0</v>
      </c>
    </row>
    <row r="10715">
      <c r="Y10715" s="372">
        <v>0.0</v>
      </c>
      <c r="Z10715" s="372">
        <v>0.0</v>
      </c>
    </row>
    <row r="10716">
      <c r="Y10716" s="372">
        <v>0.0</v>
      </c>
      <c r="Z10716" s="372">
        <v>0.0</v>
      </c>
    </row>
    <row r="10717">
      <c r="Y10717" s="372">
        <v>0.0</v>
      </c>
      <c r="Z10717" s="372">
        <v>0.0</v>
      </c>
    </row>
    <row r="10718">
      <c r="Y10718" s="372">
        <v>0.0</v>
      </c>
      <c r="Z10718" s="372">
        <v>0.0</v>
      </c>
    </row>
    <row r="10719">
      <c r="Y10719" s="372">
        <v>0.0</v>
      </c>
      <c r="Z10719" s="372">
        <v>0.0</v>
      </c>
    </row>
    <row r="10720">
      <c r="Y10720" s="372">
        <v>0.0</v>
      </c>
      <c r="Z10720" s="372">
        <v>0.0</v>
      </c>
    </row>
    <row r="10721">
      <c r="Y10721" s="372">
        <v>0.0</v>
      </c>
      <c r="Z10721" s="372">
        <v>0.0</v>
      </c>
    </row>
    <row r="10722">
      <c r="Y10722" s="372">
        <v>0.0</v>
      </c>
      <c r="Z10722" s="372">
        <v>0.0</v>
      </c>
    </row>
    <row r="10723">
      <c r="Y10723" s="372">
        <v>0.0</v>
      </c>
      <c r="Z10723" s="372">
        <v>0.0</v>
      </c>
    </row>
    <row r="10724">
      <c r="Y10724" s="372">
        <v>0.0</v>
      </c>
      <c r="Z10724" s="372">
        <v>0.0</v>
      </c>
    </row>
    <row r="10725">
      <c r="Y10725" s="372">
        <v>0.0</v>
      </c>
      <c r="Z10725" s="372">
        <v>0.0</v>
      </c>
    </row>
    <row r="10726">
      <c r="Y10726" s="372">
        <v>0.0</v>
      </c>
      <c r="Z10726" s="372">
        <v>0.0</v>
      </c>
    </row>
    <row r="10727">
      <c r="Y10727" s="372">
        <v>0.0</v>
      </c>
      <c r="Z10727" s="372">
        <v>0.0</v>
      </c>
    </row>
    <row r="10728">
      <c r="Y10728" s="372">
        <v>0.0</v>
      </c>
      <c r="Z10728" s="372">
        <v>0.0</v>
      </c>
    </row>
    <row r="10729">
      <c r="Y10729" s="372">
        <v>0.0</v>
      </c>
      <c r="Z10729" s="372">
        <v>0.0</v>
      </c>
    </row>
    <row r="10730">
      <c r="Y10730" s="372">
        <v>0.0</v>
      </c>
      <c r="Z10730" s="372">
        <v>0.0</v>
      </c>
    </row>
    <row r="10731">
      <c r="Y10731" s="372">
        <v>0.0</v>
      </c>
      <c r="Z10731" s="372">
        <v>0.0</v>
      </c>
    </row>
    <row r="10732">
      <c r="Y10732" s="372">
        <v>0.0</v>
      </c>
      <c r="Z10732" s="372">
        <v>0.0</v>
      </c>
    </row>
    <row r="10733">
      <c r="Y10733" s="372">
        <v>0.0</v>
      </c>
      <c r="Z10733" s="372">
        <v>0.0</v>
      </c>
    </row>
    <row r="10734">
      <c r="Y10734" s="372">
        <v>0.0</v>
      </c>
      <c r="Z10734" s="372">
        <v>0.0</v>
      </c>
    </row>
    <row r="10735">
      <c r="Y10735" s="372">
        <v>0.0</v>
      </c>
      <c r="Z10735" s="372">
        <v>0.0</v>
      </c>
    </row>
    <row r="10736">
      <c r="Y10736" s="372">
        <v>0.0</v>
      </c>
      <c r="Z10736" s="372">
        <v>0.0</v>
      </c>
    </row>
    <row r="10737">
      <c r="Y10737" s="372">
        <v>0.0</v>
      </c>
      <c r="Z10737" s="372">
        <v>0.0</v>
      </c>
    </row>
    <row r="10738">
      <c r="Y10738" s="372">
        <v>0.0</v>
      </c>
      <c r="Z10738" s="372">
        <v>0.0</v>
      </c>
    </row>
    <row r="10739">
      <c r="Y10739" s="372">
        <v>0.0</v>
      </c>
      <c r="Z10739" s="372">
        <v>0.0</v>
      </c>
    </row>
    <row r="10740">
      <c r="Y10740" s="372">
        <v>0.0</v>
      </c>
      <c r="Z10740" s="372">
        <v>0.0</v>
      </c>
    </row>
    <row r="10741">
      <c r="Y10741" s="372">
        <v>0.0</v>
      </c>
      <c r="Z10741" s="372">
        <v>0.0</v>
      </c>
    </row>
    <row r="10742">
      <c r="Y10742" s="372">
        <v>0.0</v>
      </c>
      <c r="Z10742" s="372">
        <v>0.0</v>
      </c>
    </row>
    <row r="10743">
      <c r="Y10743" s="372">
        <v>0.0</v>
      </c>
      <c r="Z10743" s="372">
        <v>0.0</v>
      </c>
    </row>
    <row r="10744">
      <c r="Y10744" s="372">
        <v>0.0</v>
      </c>
      <c r="Z10744" s="372">
        <v>0.0</v>
      </c>
    </row>
    <row r="10745">
      <c r="Y10745" s="372">
        <v>0.0</v>
      </c>
      <c r="Z10745" s="372">
        <v>0.0</v>
      </c>
    </row>
    <row r="10746">
      <c r="Y10746" s="372">
        <v>0.0</v>
      </c>
      <c r="Z10746" s="372">
        <v>0.0</v>
      </c>
    </row>
    <row r="10747">
      <c r="Y10747" s="372">
        <v>0.0</v>
      </c>
      <c r="Z10747" s="372">
        <v>0.0</v>
      </c>
    </row>
    <row r="10748">
      <c r="Y10748" s="372">
        <v>0.0</v>
      </c>
      <c r="Z10748" s="372">
        <v>0.0</v>
      </c>
    </row>
    <row r="10749">
      <c r="Y10749" s="372">
        <v>0.0</v>
      </c>
      <c r="Z10749" s="372">
        <v>0.0</v>
      </c>
    </row>
    <row r="10750">
      <c r="Y10750" s="372">
        <v>0.0</v>
      </c>
      <c r="Z10750" s="372">
        <v>0.0</v>
      </c>
    </row>
    <row r="10751">
      <c r="Y10751" s="372">
        <v>0.0</v>
      </c>
      <c r="Z10751" s="372">
        <v>0.0</v>
      </c>
    </row>
    <row r="10752">
      <c r="Y10752" s="372">
        <v>0.0</v>
      </c>
      <c r="Z10752" s="372">
        <v>0.0</v>
      </c>
    </row>
    <row r="10753">
      <c r="Y10753" s="372">
        <v>0.0</v>
      </c>
      <c r="Z10753" s="372">
        <v>0.0</v>
      </c>
    </row>
    <row r="10754">
      <c r="Y10754" s="372">
        <v>0.0</v>
      </c>
      <c r="Z10754" s="372">
        <v>0.0</v>
      </c>
    </row>
    <row r="10755">
      <c r="Y10755" s="372">
        <v>0.0</v>
      </c>
      <c r="Z10755" s="372">
        <v>0.0</v>
      </c>
    </row>
    <row r="10756">
      <c r="Y10756" s="372">
        <v>0.0</v>
      </c>
      <c r="Z10756" s="372">
        <v>0.0</v>
      </c>
    </row>
    <row r="10757">
      <c r="Y10757" s="372">
        <v>0.0</v>
      </c>
      <c r="Z10757" s="372">
        <v>0.0</v>
      </c>
    </row>
    <row r="10758">
      <c r="Y10758" s="372">
        <v>0.0</v>
      </c>
      <c r="Z10758" s="372">
        <v>0.0</v>
      </c>
    </row>
    <row r="10759">
      <c r="Y10759" s="372">
        <v>0.0</v>
      </c>
      <c r="Z10759" s="372">
        <v>0.0</v>
      </c>
    </row>
    <row r="10760">
      <c r="Y10760" s="372">
        <v>0.0</v>
      </c>
      <c r="Z10760" s="372">
        <v>0.0</v>
      </c>
    </row>
    <row r="10761">
      <c r="Y10761" s="372">
        <v>0.0</v>
      </c>
      <c r="Z10761" s="372">
        <v>0.0</v>
      </c>
    </row>
    <row r="10762">
      <c r="Y10762" s="372">
        <v>0.0</v>
      </c>
      <c r="Z10762" s="372">
        <v>0.0</v>
      </c>
    </row>
    <row r="10763">
      <c r="Y10763" s="372">
        <v>0.0</v>
      </c>
      <c r="Z10763" s="372">
        <v>0.0</v>
      </c>
    </row>
    <row r="10764">
      <c r="Y10764" s="372">
        <v>0.0</v>
      </c>
      <c r="Z10764" s="372">
        <v>0.0</v>
      </c>
    </row>
    <row r="10765">
      <c r="Y10765" s="372">
        <v>0.0</v>
      </c>
      <c r="Z10765" s="372">
        <v>0.0</v>
      </c>
    </row>
    <row r="10766">
      <c r="Y10766" s="372">
        <v>0.0</v>
      </c>
      <c r="Z10766" s="372">
        <v>0.0</v>
      </c>
    </row>
    <row r="10767">
      <c r="Y10767" s="372">
        <v>0.0</v>
      </c>
      <c r="Z10767" s="372">
        <v>0.0</v>
      </c>
    </row>
    <row r="10768">
      <c r="Y10768" s="372">
        <v>0.0</v>
      </c>
      <c r="Z10768" s="372">
        <v>0.0</v>
      </c>
    </row>
    <row r="10769">
      <c r="Y10769" s="372">
        <v>0.0</v>
      </c>
      <c r="Z10769" s="372">
        <v>0.0</v>
      </c>
    </row>
    <row r="10770">
      <c r="Y10770" s="372">
        <v>0.0</v>
      </c>
      <c r="Z10770" s="372">
        <v>0.0</v>
      </c>
    </row>
    <row r="10771">
      <c r="Y10771" s="372">
        <v>0.0</v>
      </c>
      <c r="Z10771" s="372">
        <v>0.0</v>
      </c>
    </row>
    <row r="10772">
      <c r="Y10772" s="372">
        <v>0.0</v>
      </c>
      <c r="Z10772" s="372">
        <v>0.0</v>
      </c>
    </row>
    <row r="10773">
      <c r="Y10773" s="372">
        <v>0.0</v>
      </c>
      <c r="Z10773" s="372">
        <v>0.0</v>
      </c>
    </row>
    <row r="10774">
      <c r="Y10774" s="372">
        <v>0.0</v>
      </c>
      <c r="Z10774" s="372">
        <v>0.0</v>
      </c>
    </row>
    <row r="10775">
      <c r="Y10775" s="372">
        <v>0.0</v>
      </c>
      <c r="Z10775" s="372">
        <v>0.0</v>
      </c>
    </row>
    <row r="10776">
      <c r="Y10776" s="372">
        <v>0.0</v>
      </c>
      <c r="Z10776" s="372">
        <v>0.0</v>
      </c>
    </row>
    <row r="10777">
      <c r="Y10777" s="372">
        <v>0.0</v>
      </c>
      <c r="Z10777" s="372">
        <v>0.0</v>
      </c>
    </row>
    <row r="10778">
      <c r="Y10778" s="372">
        <v>0.0</v>
      </c>
      <c r="Z10778" s="372">
        <v>0.0</v>
      </c>
    </row>
    <row r="10779">
      <c r="Y10779" s="372">
        <v>0.0</v>
      </c>
      <c r="Z10779" s="372">
        <v>0.0</v>
      </c>
    </row>
    <row r="10780">
      <c r="Y10780" s="372">
        <v>0.0</v>
      </c>
      <c r="Z10780" s="372">
        <v>0.0</v>
      </c>
    </row>
    <row r="10781">
      <c r="Y10781" s="372">
        <v>0.0</v>
      </c>
      <c r="Z10781" s="372">
        <v>0.0</v>
      </c>
    </row>
    <row r="10782">
      <c r="Y10782" s="372">
        <v>0.0</v>
      </c>
      <c r="Z10782" s="372">
        <v>0.0</v>
      </c>
    </row>
    <row r="10783">
      <c r="Y10783" s="372">
        <v>0.0</v>
      </c>
      <c r="Z10783" s="372">
        <v>0.0</v>
      </c>
    </row>
    <row r="10784">
      <c r="Y10784" s="372">
        <v>0.0</v>
      </c>
      <c r="Z10784" s="372">
        <v>0.0</v>
      </c>
    </row>
    <row r="10785">
      <c r="Y10785" s="372">
        <v>0.0</v>
      </c>
      <c r="Z10785" s="372">
        <v>0.0</v>
      </c>
    </row>
    <row r="10786">
      <c r="Y10786" s="372">
        <v>0.0</v>
      </c>
      <c r="Z10786" s="372">
        <v>0.0</v>
      </c>
    </row>
    <row r="10787">
      <c r="Y10787" s="372">
        <v>0.0</v>
      </c>
      <c r="Z10787" s="372">
        <v>0.0</v>
      </c>
    </row>
    <row r="10788">
      <c r="Y10788" s="372">
        <v>0.0</v>
      </c>
      <c r="Z10788" s="372">
        <v>0.0</v>
      </c>
    </row>
    <row r="10789">
      <c r="Y10789" s="372">
        <v>0.0</v>
      </c>
      <c r="Z10789" s="372">
        <v>0.0</v>
      </c>
    </row>
    <row r="10790">
      <c r="Y10790" s="372">
        <v>0.0</v>
      </c>
      <c r="Z10790" s="372">
        <v>0.0</v>
      </c>
    </row>
    <row r="10791">
      <c r="Y10791" s="372">
        <v>0.0</v>
      </c>
      <c r="Z10791" s="372">
        <v>0.0</v>
      </c>
    </row>
    <row r="10792">
      <c r="Y10792" s="372">
        <v>0.0</v>
      </c>
      <c r="Z10792" s="372">
        <v>0.0</v>
      </c>
    </row>
    <row r="10793">
      <c r="Y10793" s="372">
        <v>0.0</v>
      </c>
      <c r="Z10793" s="372">
        <v>0.0</v>
      </c>
    </row>
    <row r="10794">
      <c r="Y10794" s="372">
        <v>0.0</v>
      </c>
      <c r="Z10794" s="372">
        <v>0.0</v>
      </c>
    </row>
    <row r="10795">
      <c r="Y10795" s="372">
        <v>0.0</v>
      </c>
      <c r="Z10795" s="372">
        <v>0.0</v>
      </c>
    </row>
    <row r="10796">
      <c r="Y10796" s="372">
        <v>0.0</v>
      </c>
      <c r="Z10796" s="372">
        <v>0.0</v>
      </c>
    </row>
    <row r="10797">
      <c r="Y10797" s="372">
        <v>0.0</v>
      </c>
      <c r="Z10797" s="372">
        <v>0.0</v>
      </c>
    </row>
    <row r="10798">
      <c r="Y10798" s="372">
        <v>0.0</v>
      </c>
      <c r="Z10798" s="372">
        <v>0.0</v>
      </c>
    </row>
    <row r="10799">
      <c r="Y10799" s="372">
        <v>0.0</v>
      </c>
      <c r="Z10799" s="372">
        <v>0.0</v>
      </c>
    </row>
    <row r="10800">
      <c r="Y10800" s="372">
        <v>0.0</v>
      </c>
      <c r="Z10800" s="372">
        <v>0.0</v>
      </c>
    </row>
    <row r="10801">
      <c r="Y10801" s="372">
        <v>0.0</v>
      </c>
      <c r="Z10801" s="372">
        <v>0.0</v>
      </c>
    </row>
    <row r="10802">
      <c r="Y10802" s="372">
        <v>0.0</v>
      </c>
      <c r="Z10802" s="372">
        <v>0.0</v>
      </c>
    </row>
    <row r="10803">
      <c r="Y10803" s="372">
        <v>0.0</v>
      </c>
      <c r="Z10803" s="372">
        <v>0.0</v>
      </c>
    </row>
    <row r="10804">
      <c r="Y10804" s="372">
        <v>0.0</v>
      </c>
      <c r="Z10804" s="372">
        <v>0.0</v>
      </c>
    </row>
    <row r="10805">
      <c r="Y10805" s="372">
        <v>0.0</v>
      </c>
      <c r="Z10805" s="372">
        <v>0.0</v>
      </c>
    </row>
    <row r="10806">
      <c r="Y10806" s="372">
        <v>0.0</v>
      </c>
      <c r="Z10806" s="372">
        <v>0.0</v>
      </c>
    </row>
    <row r="10807">
      <c r="Y10807" s="372">
        <v>0.0</v>
      </c>
      <c r="Z10807" s="372">
        <v>0.0</v>
      </c>
    </row>
    <row r="10808">
      <c r="Y10808" s="372">
        <v>0.0</v>
      </c>
      <c r="Z10808" s="372">
        <v>0.0</v>
      </c>
    </row>
    <row r="10809">
      <c r="Y10809" s="372">
        <v>0.0</v>
      </c>
      <c r="Z10809" s="372">
        <v>0.0</v>
      </c>
    </row>
    <row r="10810">
      <c r="Y10810" s="372">
        <v>0.0</v>
      </c>
      <c r="Z10810" s="372">
        <v>0.0</v>
      </c>
    </row>
    <row r="10811">
      <c r="Y10811" s="372">
        <v>0.0</v>
      </c>
      <c r="Z10811" s="372">
        <v>0.0</v>
      </c>
    </row>
    <row r="10812">
      <c r="Y10812" s="372">
        <v>0.0</v>
      </c>
      <c r="Z10812" s="372">
        <v>0.0</v>
      </c>
    </row>
    <row r="10813">
      <c r="Y10813" s="372">
        <v>0.0</v>
      </c>
      <c r="Z10813" s="372">
        <v>0.0</v>
      </c>
    </row>
    <row r="10814">
      <c r="Y10814" s="372">
        <v>0.0</v>
      </c>
      <c r="Z10814" s="372">
        <v>0.0</v>
      </c>
    </row>
    <row r="10815">
      <c r="Y10815" s="372">
        <v>0.0</v>
      </c>
      <c r="Z10815" s="372">
        <v>0.0</v>
      </c>
    </row>
    <row r="10816">
      <c r="Y10816" s="372">
        <v>0.0</v>
      </c>
      <c r="Z10816" s="372">
        <v>0.0</v>
      </c>
    </row>
    <row r="10817">
      <c r="Y10817" s="372">
        <v>0.0</v>
      </c>
      <c r="Z10817" s="372">
        <v>0.0</v>
      </c>
    </row>
    <row r="10818">
      <c r="Y10818" s="372">
        <v>0.0</v>
      </c>
      <c r="Z10818" s="372">
        <v>0.0</v>
      </c>
    </row>
    <row r="10819">
      <c r="Y10819" s="372">
        <v>0.0</v>
      </c>
      <c r="Z10819" s="372">
        <v>0.0</v>
      </c>
    </row>
    <row r="10820">
      <c r="Y10820" s="372">
        <v>0.0</v>
      </c>
      <c r="Z10820" s="372">
        <v>0.0</v>
      </c>
    </row>
    <row r="10821">
      <c r="Y10821" s="372">
        <v>0.0</v>
      </c>
      <c r="Z10821" s="372">
        <v>0.0</v>
      </c>
    </row>
    <row r="10822">
      <c r="Y10822" s="372">
        <v>0.0</v>
      </c>
      <c r="Z10822" s="372">
        <v>0.0</v>
      </c>
    </row>
    <row r="10823">
      <c r="Y10823" s="372">
        <v>0.0</v>
      </c>
      <c r="Z10823" s="372">
        <v>0.0</v>
      </c>
    </row>
    <row r="10824">
      <c r="Y10824" s="372">
        <v>0.0</v>
      </c>
      <c r="Z10824" s="372">
        <v>0.0</v>
      </c>
    </row>
    <row r="10825">
      <c r="Y10825" s="372">
        <v>0.0</v>
      </c>
      <c r="Z10825" s="372">
        <v>0.0</v>
      </c>
    </row>
    <row r="10826">
      <c r="Y10826" s="372">
        <v>0.0</v>
      </c>
      <c r="Z10826" s="372">
        <v>0.0</v>
      </c>
    </row>
    <row r="10827">
      <c r="Y10827" s="372">
        <v>0.0</v>
      </c>
      <c r="Z10827" s="372">
        <v>0.0</v>
      </c>
    </row>
    <row r="10828">
      <c r="Y10828" s="372">
        <v>0.0</v>
      </c>
      <c r="Z10828" s="372">
        <v>0.0</v>
      </c>
    </row>
    <row r="10829">
      <c r="Y10829" s="372">
        <v>0.0</v>
      </c>
      <c r="Z10829" s="372">
        <v>0.0</v>
      </c>
    </row>
    <row r="10830">
      <c r="Y10830" s="372">
        <v>0.0</v>
      </c>
      <c r="Z10830" s="372">
        <v>0.0</v>
      </c>
    </row>
    <row r="10831">
      <c r="Y10831" s="372">
        <v>0.0</v>
      </c>
      <c r="Z10831" s="372">
        <v>0.0</v>
      </c>
    </row>
    <row r="10832">
      <c r="Y10832" s="372">
        <v>0.0</v>
      </c>
      <c r="Z10832" s="372">
        <v>0.0</v>
      </c>
    </row>
    <row r="10833">
      <c r="Y10833" s="372">
        <v>0.0</v>
      </c>
      <c r="Z10833" s="372">
        <v>0.0</v>
      </c>
    </row>
    <row r="10834">
      <c r="Y10834" s="372">
        <v>0.0</v>
      </c>
      <c r="Z10834" s="372">
        <v>0.0</v>
      </c>
    </row>
    <row r="10835">
      <c r="Y10835" s="372">
        <v>0.0</v>
      </c>
      <c r="Z10835" s="372">
        <v>0.0</v>
      </c>
    </row>
    <row r="10836">
      <c r="Y10836" s="372">
        <v>0.0</v>
      </c>
      <c r="Z10836" s="372">
        <v>0.0</v>
      </c>
    </row>
    <row r="10837">
      <c r="Y10837" s="372">
        <v>0.0</v>
      </c>
      <c r="Z10837" s="372">
        <v>0.0</v>
      </c>
    </row>
    <row r="10838">
      <c r="Y10838" s="372">
        <v>0.0</v>
      </c>
      <c r="Z10838" s="372">
        <v>0.0</v>
      </c>
    </row>
    <row r="10839">
      <c r="Y10839" s="372">
        <v>0.0</v>
      </c>
      <c r="Z10839" s="372">
        <v>0.0</v>
      </c>
    </row>
    <row r="10840">
      <c r="Y10840" s="372">
        <v>0.0</v>
      </c>
      <c r="Z10840" s="372">
        <v>0.0</v>
      </c>
    </row>
    <row r="10841">
      <c r="Y10841" s="372">
        <v>0.0</v>
      </c>
      <c r="Z10841" s="372">
        <v>0.0</v>
      </c>
    </row>
    <row r="10842">
      <c r="Y10842" s="372">
        <v>0.0</v>
      </c>
      <c r="Z10842" s="372">
        <v>0.0</v>
      </c>
    </row>
    <row r="10843">
      <c r="Y10843" s="372">
        <v>0.0</v>
      </c>
      <c r="Z10843" s="372">
        <v>0.0</v>
      </c>
    </row>
    <row r="10844">
      <c r="Y10844" s="372">
        <v>0.0</v>
      </c>
      <c r="Z10844" s="372">
        <v>0.0</v>
      </c>
    </row>
    <row r="10845">
      <c r="Y10845" s="372">
        <v>0.0</v>
      </c>
      <c r="Z10845" s="372">
        <v>0.0</v>
      </c>
    </row>
    <row r="10846">
      <c r="Y10846" s="372">
        <v>0.0</v>
      </c>
      <c r="Z10846" s="372">
        <v>0.0</v>
      </c>
    </row>
    <row r="10847">
      <c r="Y10847" s="372">
        <v>0.0</v>
      </c>
      <c r="Z10847" s="372">
        <v>0.0</v>
      </c>
    </row>
    <row r="10848">
      <c r="Y10848" s="372">
        <v>0.0</v>
      </c>
      <c r="Z10848" s="372">
        <v>0.0</v>
      </c>
    </row>
    <row r="10849">
      <c r="Y10849" s="372">
        <v>0.0</v>
      </c>
      <c r="Z10849" s="372">
        <v>0.0</v>
      </c>
    </row>
    <row r="10850">
      <c r="Y10850" s="372">
        <v>0.0</v>
      </c>
      <c r="Z10850" s="372">
        <v>0.0</v>
      </c>
    </row>
    <row r="10851">
      <c r="Y10851" s="372">
        <v>0.0</v>
      </c>
      <c r="Z10851" s="372">
        <v>0.0</v>
      </c>
    </row>
    <row r="10852">
      <c r="Y10852" s="372">
        <v>0.0</v>
      </c>
      <c r="Z10852" s="372">
        <v>0.0</v>
      </c>
    </row>
    <row r="10853">
      <c r="Y10853" s="372">
        <v>0.0</v>
      </c>
      <c r="Z10853" s="372">
        <v>0.0</v>
      </c>
    </row>
    <row r="10854">
      <c r="Y10854" s="372">
        <v>0.0</v>
      </c>
      <c r="Z10854" s="372">
        <v>0.0</v>
      </c>
    </row>
    <row r="10855">
      <c r="Y10855" s="372">
        <v>0.0</v>
      </c>
      <c r="Z10855" s="372">
        <v>0.0</v>
      </c>
    </row>
    <row r="10856">
      <c r="Y10856" s="372">
        <v>0.0</v>
      </c>
      <c r="Z10856" s="372">
        <v>0.0</v>
      </c>
    </row>
    <row r="10857">
      <c r="Y10857" s="372">
        <v>0.0</v>
      </c>
      <c r="Z10857" s="372">
        <v>0.0</v>
      </c>
    </row>
    <row r="10858">
      <c r="Y10858" s="372">
        <v>0.0</v>
      </c>
      <c r="Z10858" s="372">
        <v>0.0</v>
      </c>
    </row>
    <row r="10859">
      <c r="Y10859" s="372">
        <v>0.0</v>
      </c>
      <c r="Z10859" s="372">
        <v>0.0</v>
      </c>
    </row>
    <row r="10860">
      <c r="Y10860" s="372">
        <v>0.0</v>
      </c>
      <c r="Z10860" s="372">
        <v>0.0</v>
      </c>
    </row>
    <row r="10861">
      <c r="Y10861" s="372">
        <v>0.0</v>
      </c>
      <c r="Z10861" s="372">
        <v>0.0</v>
      </c>
    </row>
    <row r="10862">
      <c r="Y10862" s="372">
        <v>0.0</v>
      </c>
      <c r="Z10862" s="372">
        <v>0.0</v>
      </c>
    </row>
    <row r="10863">
      <c r="Y10863" s="372">
        <v>0.0</v>
      </c>
      <c r="Z10863" s="372">
        <v>0.0</v>
      </c>
    </row>
    <row r="10864">
      <c r="Y10864" s="372">
        <v>0.0</v>
      </c>
      <c r="Z10864" s="372">
        <v>0.0</v>
      </c>
    </row>
    <row r="10865">
      <c r="Y10865" s="372">
        <v>0.0</v>
      </c>
      <c r="Z10865" s="372">
        <v>0.0</v>
      </c>
    </row>
    <row r="10866">
      <c r="Y10866" s="372">
        <v>0.0</v>
      </c>
      <c r="Z10866" s="372">
        <v>0.0</v>
      </c>
    </row>
    <row r="10867">
      <c r="Y10867" s="372">
        <v>0.0</v>
      </c>
      <c r="Z10867" s="372">
        <v>0.0</v>
      </c>
    </row>
    <row r="10868">
      <c r="Y10868" s="372">
        <v>0.0</v>
      </c>
      <c r="Z10868" s="372">
        <v>0.0</v>
      </c>
    </row>
    <row r="10869">
      <c r="Y10869" s="372">
        <v>0.0</v>
      </c>
      <c r="Z10869" s="372">
        <v>0.0</v>
      </c>
    </row>
    <row r="10870">
      <c r="Y10870" s="372">
        <v>0.0</v>
      </c>
      <c r="Z10870" s="372">
        <v>0.0</v>
      </c>
    </row>
    <row r="10871">
      <c r="Y10871" s="372">
        <v>0.0</v>
      </c>
      <c r="Z10871" s="372">
        <v>0.0</v>
      </c>
    </row>
    <row r="10872">
      <c r="Y10872" s="372">
        <v>0.0</v>
      </c>
      <c r="Z10872" s="372">
        <v>0.0</v>
      </c>
    </row>
    <row r="10873">
      <c r="Y10873" s="372">
        <v>0.0</v>
      </c>
      <c r="Z10873" s="372">
        <v>0.0</v>
      </c>
    </row>
    <row r="10874">
      <c r="Y10874" s="372">
        <v>0.0</v>
      </c>
      <c r="Z10874" s="372">
        <v>0.0</v>
      </c>
    </row>
    <row r="10875">
      <c r="Y10875" s="372">
        <v>0.0</v>
      </c>
      <c r="Z10875" s="372">
        <v>0.0</v>
      </c>
    </row>
    <row r="10876">
      <c r="Y10876" s="372">
        <v>0.0</v>
      </c>
      <c r="Z10876" s="372">
        <v>0.0</v>
      </c>
    </row>
    <row r="10877">
      <c r="Y10877" s="372">
        <v>0.0</v>
      </c>
      <c r="Z10877" s="372">
        <v>0.0</v>
      </c>
    </row>
    <row r="10878">
      <c r="Y10878" s="372">
        <v>0.0</v>
      </c>
      <c r="Z10878" s="372">
        <v>0.0</v>
      </c>
    </row>
    <row r="10879">
      <c r="Y10879" s="372">
        <v>0.0</v>
      </c>
      <c r="Z10879" s="372">
        <v>0.0</v>
      </c>
    </row>
    <row r="10880">
      <c r="Y10880" s="372">
        <v>0.0</v>
      </c>
      <c r="Z10880" s="372">
        <v>0.0</v>
      </c>
    </row>
    <row r="10881">
      <c r="Y10881" s="372">
        <v>0.0</v>
      </c>
      <c r="Z10881" s="372">
        <v>0.0</v>
      </c>
    </row>
    <row r="10882">
      <c r="Y10882" s="372">
        <v>0.0</v>
      </c>
      <c r="Z10882" s="372">
        <v>0.0</v>
      </c>
    </row>
    <row r="10883">
      <c r="Y10883" s="372">
        <v>0.0</v>
      </c>
      <c r="Z10883" s="372">
        <v>0.0</v>
      </c>
    </row>
    <row r="10884">
      <c r="Y10884" s="372">
        <v>0.0</v>
      </c>
      <c r="Z10884" s="372">
        <v>0.0</v>
      </c>
    </row>
    <row r="10885">
      <c r="Y10885" s="372">
        <v>0.0</v>
      </c>
      <c r="Z10885" s="372">
        <v>0.0</v>
      </c>
    </row>
    <row r="10886">
      <c r="Y10886" s="372">
        <v>0.0</v>
      </c>
      <c r="Z10886" s="372">
        <v>0.0</v>
      </c>
    </row>
    <row r="10887">
      <c r="Y10887" s="372">
        <v>0.0</v>
      </c>
      <c r="Z10887" s="372">
        <v>0.0</v>
      </c>
    </row>
    <row r="10888">
      <c r="Y10888" s="372">
        <v>0.0</v>
      </c>
      <c r="Z10888" s="372">
        <v>0.0</v>
      </c>
    </row>
    <row r="10889">
      <c r="Y10889" s="372">
        <v>0.0</v>
      </c>
      <c r="Z10889" s="372">
        <v>0.0</v>
      </c>
    </row>
    <row r="10890">
      <c r="Y10890" s="372">
        <v>0.0</v>
      </c>
      <c r="Z10890" s="372">
        <v>0.0</v>
      </c>
    </row>
    <row r="10891">
      <c r="Y10891" s="372">
        <v>0.0</v>
      </c>
      <c r="Z10891" s="372">
        <v>0.0</v>
      </c>
    </row>
    <row r="10892">
      <c r="Y10892" s="372">
        <v>0.0</v>
      </c>
      <c r="Z10892" s="372">
        <v>0.0</v>
      </c>
    </row>
    <row r="10893">
      <c r="Y10893" s="372">
        <v>0.0</v>
      </c>
      <c r="Z10893" s="372">
        <v>0.0</v>
      </c>
    </row>
    <row r="10894">
      <c r="Y10894" s="372">
        <v>0.0</v>
      </c>
      <c r="Z10894" s="372">
        <v>0.0</v>
      </c>
    </row>
    <row r="10895">
      <c r="Y10895" s="372">
        <v>0.0</v>
      </c>
      <c r="Z10895" s="372">
        <v>0.0</v>
      </c>
    </row>
    <row r="10896">
      <c r="Y10896" s="372">
        <v>0.0</v>
      </c>
      <c r="Z10896" s="372">
        <v>0.0</v>
      </c>
    </row>
    <row r="10897">
      <c r="Y10897" s="372">
        <v>0.0</v>
      </c>
      <c r="Z10897" s="372">
        <v>0.0</v>
      </c>
    </row>
    <row r="10898">
      <c r="Y10898" s="372">
        <v>0.0</v>
      </c>
      <c r="Z10898" s="372">
        <v>0.0</v>
      </c>
    </row>
    <row r="10899">
      <c r="Y10899" s="372">
        <v>0.0</v>
      </c>
      <c r="Z10899" s="372">
        <v>0.0</v>
      </c>
    </row>
    <row r="10900">
      <c r="Y10900" s="372">
        <v>0.0</v>
      </c>
      <c r="Z10900" s="372">
        <v>0.0</v>
      </c>
    </row>
    <row r="10901">
      <c r="Y10901" s="372">
        <v>0.0</v>
      </c>
      <c r="Z10901" s="372">
        <v>0.0</v>
      </c>
    </row>
    <row r="10902">
      <c r="Y10902" s="372">
        <v>0.0</v>
      </c>
      <c r="Z10902" s="372">
        <v>0.0</v>
      </c>
    </row>
    <row r="10903">
      <c r="Y10903" s="372">
        <v>0.0</v>
      </c>
      <c r="Z10903" s="372">
        <v>0.0</v>
      </c>
    </row>
    <row r="10904">
      <c r="Y10904" s="372">
        <v>0.0</v>
      </c>
      <c r="Z10904" s="372">
        <v>0.0</v>
      </c>
    </row>
    <row r="10905">
      <c r="Y10905" s="372">
        <v>0.0</v>
      </c>
      <c r="Z10905" s="372">
        <v>0.0</v>
      </c>
    </row>
    <row r="10906">
      <c r="Y10906" s="372">
        <v>0.0</v>
      </c>
      <c r="Z10906" s="372">
        <v>0.0</v>
      </c>
    </row>
    <row r="10907">
      <c r="Y10907" s="372">
        <v>0.0</v>
      </c>
      <c r="Z10907" s="372">
        <v>0.0</v>
      </c>
    </row>
    <row r="10908">
      <c r="Y10908" s="372">
        <v>0.0</v>
      </c>
      <c r="Z10908" s="372">
        <v>0.0</v>
      </c>
    </row>
    <row r="10909">
      <c r="Y10909" s="372">
        <v>0.0</v>
      </c>
      <c r="Z10909" s="372">
        <v>0.0</v>
      </c>
    </row>
    <row r="10910">
      <c r="Y10910" s="372">
        <v>0.0</v>
      </c>
      <c r="Z10910" s="372">
        <v>0.0</v>
      </c>
    </row>
    <row r="10911">
      <c r="Y10911" s="372">
        <v>0.0</v>
      </c>
      <c r="Z10911" s="372">
        <v>0.0</v>
      </c>
    </row>
    <row r="10912">
      <c r="Y10912" s="372">
        <v>0.0</v>
      </c>
      <c r="Z10912" s="372">
        <v>0.0</v>
      </c>
    </row>
    <row r="10913">
      <c r="Y10913" s="372">
        <v>0.0</v>
      </c>
      <c r="Z10913" s="372">
        <v>0.0</v>
      </c>
    </row>
    <row r="10914">
      <c r="Y10914" s="372">
        <v>0.0</v>
      </c>
      <c r="Z10914" s="372">
        <v>0.0</v>
      </c>
    </row>
    <row r="10915">
      <c r="Y10915" s="372">
        <v>0.0</v>
      </c>
      <c r="Z10915" s="372">
        <v>0.0</v>
      </c>
    </row>
    <row r="10916">
      <c r="Y10916" s="372">
        <v>0.0</v>
      </c>
      <c r="Z10916" s="372">
        <v>0.0</v>
      </c>
    </row>
    <row r="10917">
      <c r="Y10917" s="372">
        <v>0.0</v>
      </c>
      <c r="Z10917" s="372">
        <v>0.0</v>
      </c>
    </row>
    <row r="10918">
      <c r="Y10918" s="372">
        <v>0.0</v>
      </c>
      <c r="Z10918" s="372">
        <v>0.0</v>
      </c>
    </row>
    <row r="10919">
      <c r="Y10919" s="372">
        <v>0.0</v>
      </c>
      <c r="Z10919" s="372">
        <v>0.0</v>
      </c>
    </row>
    <row r="10920">
      <c r="Y10920" s="372">
        <v>0.0</v>
      </c>
      <c r="Z10920" s="372">
        <v>0.0</v>
      </c>
    </row>
    <row r="10921">
      <c r="Y10921" s="372">
        <v>0.0</v>
      </c>
      <c r="Z10921" s="372">
        <v>0.0</v>
      </c>
    </row>
    <row r="10922">
      <c r="Y10922" s="372">
        <v>0.0</v>
      </c>
      <c r="Z10922" s="372">
        <v>0.0</v>
      </c>
    </row>
    <row r="10923">
      <c r="Y10923" s="372">
        <v>0.0</v>
      </c>
      <c r="Z10923" s="372">
        <v>0.0</v>
      </c>
    </row>
    <row r="10924">
      <c r="Y10924" s="372">
        <v>0.0</v>
      </c>
      <c r="Z10924" s="372">
        <v>0.0</v>
      </c>
    </row>
    <row r="10925">
      <c r="Y10925" s="372">
        <v>0.0</v>
      </c>
      <c r="Z10925" s="372">
        <v>0.0</v>
      </c>
    </row>
    <row r="10926">
      <c r="Y10926" s="372">
        <v>0.0</v>
      </c>
      <c r="Z10926" s="372">
        <v>0.0</v>
      </c>
    </row>
    <row r="10927">
      <c r="Y10927" s="372">
        <v>0.0</v>
      </c>
      <c r="Z10927" s="372">
        <v>0.0</v>
      </c>
    </row>
    <row r="10928">
      <c r="Y10928" s="372">
        <v>0.0</v>
      </c>
      <c r="Z10928" s="372">
        <v>0.0</v>
      </c>
    </row>
    <row r="10929">
      <c r="Y10929" s="372">
        <v>0.0</v>
      </c>
      <c r="Z10929" s="372">
        <v>0.0</v>
      </c>
    </row>
    <row r="10930">
      <c r="Y10930" s="372">
        <v>0.0</v>
      </c>
      <c r="Z10930" s="372">
        <v>0.0</v>
      </c>
    </row>
    <row r="10931">
      <c r="Y10931" s="372">
        <v>0.0</v>
      </c>
      <c r="Z10931" s="372">
        <v>0.0</v>
      </c>
    </row>
    <row r="10932">
      <c r="Y10932" s="372">
        <v>0.0</v>
      </c>
      <c r="Z10932" s="372">
        <v>0.0</v>
      </c>
    </row>
    <row r="10933">
      <c r="Y10933" s="372">
        <v>0.0</v>
      </c>
      <c r="Z10933" s="372">
        <v>0.0</v>
      </c>
    </row>
    <row r="10934">
      <c r="Y10934" s="372">
        <v>0.0</v>
      </c>
      <c r="Z10934" s="372">
        <v>0.0</v>
      </c>
    </row>
    <row r="10935">
      <c r="Y10935" s="372">
        <v>0.0</v>
      </c>
      <c r="Z10935" s="372">
        <v>0.0</v>
      </c>
    </row>
    <row r="10936">
      <c r="Y10936" s="372">
        <v>0.0</v>
      </c>
      <c r="Z10936" s="372">
        <v>0.0</v>
      </c>
    </row>
    <row r="10937">
      <c r="Y10937" s="372">
        <v>0.0</v>
      </c>
      <c r="Z10937" s="372">
        <v>0.0</v>
      </c>
    </row>
    <row r="10938">
      <c r="Y10938" s="372">
        <v>0.0</v>
      </c>
      <c r="Z10938" s="372">
        <v>0.0</v>
      </c>
    </row>
    <row r="10939">
      <c r="Y10939" s="372">
        <v>0.0</v>
      </c>
      <c r="Z10939" s="372">
        <v>0.0</v>
      </c>
    </row>
    <row r="10940">
      <c r="Y10940" s="372">
        <v>0.0</v>
      </c>
      <c r="Z10940" s="372">
        <v>0.0</v>
      </c>
    </row>
    <row r="10941">
      <c r="Y10941" s="372">
        <v>0.0</v>
      </c>
      <c r="Z10941" s="372">
        <v>0.0</v>
      </c>
    </row>
    <row r="10942">
      <c r="Y10942" s="372">
        <v>0.0</v>
      </c>
      <c r="Z10942" s="372">
        <v>0.0</v>
      </c>
    </row>
    <row r="10943">
      <c r="Y10943" s="372">
        <v>0.0</v>
      </c>
      <c r="Z10943" s="372">
        <v>0.0</v>
      </c>
    </row>
    <row r="10944">
      <c r="Y10944" s="372">
        <v>0.0</v>
      </c>
      <c r="Z10944" s="372">
        <v>0.0</v>
      </c>
    </row>
    <row r="10945">
      <c r="Y10945" s="372">
        <v>0.0</v>
      </c>
      <c r="Z10945" s="372">
        <v>0.0</v>
      </c>
    </row>
    <row r="10946">
      <c r="Y10946" s="372">
        <v>0.0</v>
      </c>
      <c r="Z10946" s="372">
        <v>0.0</v>
      </c>
    </row>
    <row r="10947">
      <c r="Y10947" s="372">
        <v>0.0</v>
      </c>
      <c r="Z10947" s="372">
        <v>0.0</v>
      </c>
    </row>
    <row r="10948">
      <c r="Y10948" s="372">
        <v>0.0</v>
      </c>
      <c r="Z10948" s="372">
        <v>0.0</v>
      </c>
    </row>
    <row r="10949">
      <c r="Y10949" s="372">
        <v>0.0</v>
      </c>
      <c r="Z10949" s="372">
        <v>0.0</v>
      </c>
    </row>
    <row r="10950">
      <c r="Y10950" s="372">
        <v>0.0</v>
      </c>
      <c r="Z10950" s="372">
        <v>0.0</v>
      </c>
    </row>
    <row r="10951">
      <c r="Y10951" s="372">
        <v>0.0</v>
      </c>
      <c r="Z10951" s="372">
        <v>0.0</v>
      </c>
    </row>
    <row r="10952">
      <c r="Y10952" s="372">
        <v>0.0</v>
      </c>
      <c r="Z10952" s="372">
        <v>0.0</v>
      </c>
    </row>
    <row r="10953">
      <c r="Y10953" s="372">
        <v>0.0</v>
      </c>
      <c r="Z10953" s="372">
        <v>0.0</v>
      </c>
    </row>
    <row r="10954">
      <c r="Y10954" s="372">
        <v>0.0</v>
      </c>
      <c r="Z10954" s="372">
        <v>0.0</v>
      </c>
    </row>
    <row r="10955">
      <c r="Y10955" s="372">
        <v>0.0</v>
      </c>
      <c r="Z10955" s="372">
        <v>0.0</v>
      </c>
    </row>
    <row r="10956">
      <c r="Y10956" s="372">
        <v>0.0</v>
      </c>
      <c r="Z10956" s="372">
        <v>0.0</v>
      </c>
    </row>
    <row r="10957">
      <c r="Y10957" s="372">
        <v>0.0</v>
      </c>
      <c r="Z10957" s="372">
        <v>0.0</v>
      </c>
    </row>
    <row r="10958">
      <c r="Y10958" s="372">
        <v>0.0</v>
      </c>
      <c r="Z10958" s="372">
        <v>0.0</v>
      </c>
    </row>
    <row r="10959">
      <c r="Y10959" s="372">
        <v>0.0</v>
      </c>
      <c r="Z10959" s="372">
        <v>0.0</v>
      </c>
    </row>
    <row r="10960">
      <c r="Y10960" s="372">
        <v>0.0</v>
      </c>
      <c r="Z10960" s="372">
        <v>0.0</v>
      </c>
    </row>
    <row r="10961">
      <c r="Y10961" s="372">
        <v>0.0</v>
      </c>
      <c r="Z10961" s="372">
        <v>0.0</v>
      </c>
    </row>
    <row r="10962">
      <c r="Y10962" s="372">
        <v>0.0</v>
      </c>
      <c r="Z10962" s="372">
        <v>0.0</v>
      </c>
    </row>
    <row r="10963">
      <c r="Y10963" s="372">
        <v>0.0</v>
      </c>
      <c r="Z10963" s="372">
        <v>0.0</v>
      </c>
    </row>
    <row r="10964">
      <c r="Y10964" s="372">
        <v>0.0</v>
      </c>
      <c r="Z10964" s="372">
        <v>0.0</v>
      </c>
    </row>
    <row r="10965">
      <c r="Y10965" s="372">
        <v>0.0</v>
      </c>
      <c r="Z10965" s="372">
        <v>0.0</v>
      </c>
    </row>
    <row r="10966">
      <c r="Y10966" s="372">
        <v>0.0</v>
      </c>
      <c r="Z10966" s="372">
        <v>0.0</v>
      </c>
    </row>
    <row r="10967">
      <c r="Y10967" s="372">
        <v>0.0</v>
      </c>
      <c r="Z10967" s="372">
        <v>0.0</v>
      </c>
    </row>
    <row r="10968">
      <c r="Y10968" s="372">
        <v>0.0</v>
      </c>
      <c r="Z10968" s="372">
        <v>0.0</v>
      </c>
    </row>
    <row r="10969">
      <c r="Y10969" s="372">
        <v>0.0</v>
      </c>
      <c r="Z10969" s="372">
        <v>0.0</v>
      </c>
    </row>
    <row r="10970">
      <c r="Y10970" s="372">
        <v>0.0</v>
      </c>
      <c r="Z10970" s="372">
        <v>0.0</v>
      </c>
    </row>
    <row r="10971">
      <c r="Y10971" s="372">
        <v>0.0</v>
      </c>
      <c r="Z10971" s="372">
        <v>0.0</v>
      </c>
    </row>
    <row r="10972">
      <c r="Y10972" s="372">
        <v>0.0</v>
      </c>
      <c r="Z10972" s="372">
        <v>0.0</v>
      </c>
    </row>
    <row r="10973">
      <c r="Y10973" s="372">
        <v>0.0</v>
      </c>
      <c r="Z10973" s="372">
        <v>0.0</v>
      </c>
    </row>
    <row r="10974">
      <c r="Y10974" s="372">
        <v>0.0</v>
      </c>
      <c r="Z10974" s="372">
        <v>0.0</v>
      </c>
    </row>
    <row r="10975">
      <c r="Y10975" s="372">
        <v>0.0</v>
      </c>
      <c r="Z10975" s="372">
        <v>0.0</v>
      </c>
    </row>
    <row r="10976">
      <c r="Y10976" s="372">
        <v>0.0</v>
      </c>
      <c r="Z10976" s="372">
        <v>0.0</v>
      </c>
    </row>
    <row r="10977">
      <c r="Y10977" s="372">
        <v>0.0</v>
      </c>
      <c r="Z10977" s="372">
        <v>0.0</v>
      </c>
    </row>
    <row r="10978">
      <c r="Y10978" s="372">
        <v>0.0</v>
      </c>
      <c r="Z10978" s="372">
        <v>0.0</v>
      </c>
    </row>
    <row r="10979">
      <c r="Y10979" s="372">
        <v>0.0</v>
      </c>
      <c r="Z10979" s="372">
        <v>0.0</v>
      </c>
    </row>
    <row r="10980">
      <c r="Y10980" s="372">
        <v>0.0</v>
      </c>
      <c r="Z10980" s="372">
        <v>0.0</v>
      </c>
    </row>
    <row r="10981">
      <c r="Y10981" s="372">
        <v>0.0</v>
      </c>
      <c r="Z10981" s="372">
        <v>0.0</v>
      </c>
    </row>
    <row r="10982">
      <c r="Y10982" s="372">
        <v>0.0</v>
      </c>
      <c r="Z10982" s="372">
        <v>0.0</v>
      </c>
    </row>
    <row r="10983">
      <c r="Y10983" s="372">
        <v>0.0</v>
      </c>
      <c r="Z10983" s="372">
        <v>0.0</v>
      </c>
    </row>
    <row r="10984">
      <c r="Y10984" s="372">
        <v>0.0</v>
      </c>
      <c r="Z10984" s="372">
        <v>0.0</v>
      </c>
    </row>
    <row r="10985">
      <c r="Y10985" s="372">
        <v>0.0</v>
      </c>
      <c r="Z10985" s="372">
        <v>0.0</v>
      </c>
    </row>
    <row r="10986">
      <c r="Y10986" s="372">
        <v>0.0</v>
      </c>
      <c r="Z10986" s="372">
        <v>0.0</v>
      </c>
    </row>
    <row r="10987">
      <c r="Y10987" s="372">
        <v>0.0</v>
      </c>
      <c r="Z10987" s="372">
        <v>0.0</v>
      </c>
    </row>
    <row r="10988">
      <c r="Y10988" s="372">
        <v>0.0</v>
      </c>
      <c r="Z10988" s="372">
        <v>0.0</v>
      </c>
    </row>
    <row r="10989">
      <c r="Y10989" s="372">
        <v>0.0</v>
      </c>
      <c r="Z10989" s="372">
        <v>0.0</v>
      </c>
    </row>
    <row r="10990">
      <c r="Y10990" s="372">
        <v>0.0</v>
      </c>
      <c r="Z10990" s="372">
        <v>0.0</v>
      </c>
    </row>
    <row r="10991">
      <c r="Y10991" s="372">
        <v>0.0</v>
      </c>
      <c r="Z10991" s="372">
        <v>0.0</v>
      </c>
    </row>
    <row r="10992">
      <c r="Y10992" s="372">
        <v>0.0</v>
      </c>
      <c r="Z10992" s="372">
        <v>0.0</v>
      </c>
    </row>
    <row r="10993">
      <c r="Y10993" s="372">
        <v>0.0</v>
      </c>
      <c r="Z10993" s="372">
        <v>0.0</v>
      </c>
    </row>
    <row r="10994">
      <c r="Y10994" s="372">
        <v>0.0</v>
      </c>
      <c r="Z10994" s="372">
        <v>0.0</v>
      </c>
    </row>
    <row r="10995">
      <c r="Y10995" s="372">
        <v>0.0</v>
      </c>
      <c r="Z10995" s="372">
        <v>0.0</v>
      </c>
    </row>
    <row r="10996">
      <c r="Y10996" s="372">
        <v>0.0</v>
      </c>
      <c r="Z10996" s="372">
        <v>0.0</v>
      </c>
    </row>
    <row r="10997">
      <c r="Y10997" s="372">
        <v>0.0</v>
      </c>
      <c r="Z10997" s="372">
        <v>0.0</v>
      </c>
    </row>
    <row r="10998">
      <c r="Y10998" s="372">
        <v>0.0</v>
      </c>
      <c r="Z10998" s="372">
        <v>0.0</v>
      </c>
    </row>
    <row r="10999">
      <c r="Y10999" s="372">
        <v>0.0</v>
      </c>
      <c r="Z10999" s="372">
        <v>0.0</v>
      </c>
    </row>
    <row r="11000">
      <c r="Y11000" s="372">
        <v>0.0</v>
      </c>
      <c r="Z11000" s="372">
        <v>0.0</v>
      </c>
    </row>
    <row r="11001">
      <c r="Y11001" s="372">
        <v>0.0</v>
      </c>
      <c r="Z11001" s="372">
        <v>0.0</v>
      </c>
    </row>
    <row r="11002">
      <c r="Y11002" s="372">
        <v>0.0</v>
      </c>
      <c r="Z11002" s="372">
        <v>0.0</v>
      </c>
    </row>
    <row r="11003">
      <c r="Y11003" s="372">
        <v>0.0</v>
      </c>
      <c r="Z11003" s="372">
        <v>0.0</v>
      </c>
    </row>
    <row r="11004">
      <c r="Y11004" s="372">
        <v>0.0</v>
      </c>
      <c r="Z11004" s="372">
        <v>0.0</v>
      </c>
    </row>
    <row r="11005">
      <c r="Y11005" s="372">
        <v>0.0</v>
      </c>
      <c r="Z11005" s="372">
        <v>0.0</v>
      </c>
    </row>
    <row r="11006">
      <c r="Y11006" s="372">
        <v>0.0</v>
      </c>
      <c r="Z11006" s="372">
        <v>0.0</v>
      </c>
    </row>
    <row r="11007">
      <c r="Y11007" s="372">
        <v>0.0</v>
      </c>
      <c r="Z11007" s="372">
        <v>0.0</v>
      </c>
    </row>
    <row r="11008">
      <c r="Y11008" s="372">
        <v>0.0</v>
      </c>
      <c r="Z11008" s="372">
        <v>0.0</v>
      </c>
    </row>
    <row r="11009">
      <c r="Y11009" s="372">
        <v>0.0</v>
      </c>
      <c r="Z11009" s="372">
        <v>0.0</v>
      </c>
    </row>
    <row r="11010">
      <c r="Y11010" s="372">
        <v>0.0</v>
      </c>
      <c r="Z11010" s="372">
        <v>0.0</v>
      </c>
    </row>
    <row r="11011">
      <c r="Y11011" s="372">
        <v>0.0</v>
      </c>
      <c r="Z11011" s="372">
        <v>0.0</v>
      </c>
    </row>
    <row r="11012">
      <c r="Y11012" s="372">
        <v>0.0</v>
      </c>
      <c r="Z11012" s="372">
        <v>0.0</v>
      </c>
    </row>
    <row r="11013">
      <c r="Y11013" s="372">
        <v>0.0</v>
      </c>
      <c r="Z11013" s="372">
        <v>0.0</v>
      </c>
    </row>
    <row r="11014">
      <c r="Y11014" s="372">
        <v>0.0</v>
      </c>
      <c r="Z11014" s="372">
        <v>0.0</v>
      </c>
    </row>
    <row r="11015">
      <c r="Y11015" s="372">
        <v>0.0</v>
      </c>
      <c r="Z11015" s="372">
        <v>0.0</v>
      </c>
    </row>
    <row r="11016">
      <c r="Y11016" s="372">
        <v>0.0</v>
      </c>
      <c r="Z11016" s="372">
        <v>0.0</v>
      </c>
    </row>
    <row r="11017">
      <c r="Y11017" s="372">
        <v>0.0</v>
      </c>
      <c r="Z11017" s="372">
        <v>0.0</v>
      </c>
    </row>
    <row r="11018">
      <c r="Y11018" s="372">
        <v>0.0</v>
      </c>
      <c r="Z11018" s="372">
        <v>0.0</v>
      </c>
    </row>
    <row r="11019">
      <c r="Y11019" s="372">
        <v>0.0</v>
      </c>
      <c r="Z11019" s="372">
        <v>0.0</v>
      </c>
    </row>
    <row r="11020">
      <c r="Y11020" s="372">
        <v>0.0</v>
      </c>
      <c r="Z11020" s="372">
        <v>0.0</v>
      </c>
    </row>
    <row r="11021">
      <c r="Y11021" s="372">
        <v>0.0</v>
      </c>
      <c r="Z11021" s="372">
        <v>0.0</v>
      </c>
    </row>
    <row r="11022">
      <c r="Y11022" s="372">
        <v>0.0</v>
      </c>
      <c r="Z11022" s="372">
        <v>0.0</v>
      </c>
    </row>
    <row r="11023">
      <c r="Y11023" s="372">
        <v>0.0</v>
      </c>
      <c r="Z11023" s="372">
        <v>0.0</v>
      </c>
    </row>
    <row r="11024">
      <c r="Y11024" s="372">
        <v>0.0</v>
      </c>
      <c r="Z11024" s="372">
        <v>0.0</v>
      </c>
    </row>
    <row r="11025">
      <c r="Y11025" s="372">
        <v>0.0</v>
      </c>
      <c r="Z11025" s="372">
        <v>0.0</v>
      </c>
    </row>
    <row r="11026">
      <c r="Y11026" s="372">
        <v>0.0</v>
      </c>
      <c r="Z11026" s="372">
        <v>0.0</v>
      </c>
    </row>
    <row r="11027">
      <c r="Y11027" s="372">
        <v>0.0</v>
      </c>
      <c r="Z11027" s="372">
        <v>0.0</v>
      </c>
    </row>
    <row r="11028">
      <c r="Y11028" s="372">
        <v>0.0</v>
      </c>
      <c r="Z11028" s="372">
        <v>0.0</v>
      </c>
    </row>
    <row r="11029">
      <c r="Y11029" s="372">
        <v>0.0</v>
      </c>
      <c r="Z11029" s="372">
        <v>0.0</v>
      </c>
    </row>
    <row r="11030">
      <c r="Y11030" s="372">
        <v>0.0</v>
      </c>
      <c r="Z11030" s="372">
        <v>0.0</v>
      </c>
    </row>
    <row r="11031">
      <c r="Y11031" s="372">
        <v>0.0</v>
      </c>
      <c r="Z11031" s="372">
        <v>0.0</v>
      </c>
    </row>
    <row r="11032">
      <c r="Y11032" s="372">
        <v>0.0</v>
      </c>
      <c r="Z11032" s="372">
        <v>0.0</v>
      </c>
    </row>
    <row r="11033">
      <c r="Y11033" s="372">
        <v>0.0</v>
      </c>
      <c r="Z11033" s="372">
        <v>0.0</v>
      </c>
    </row>
    <row r="11034">
      <c r="Y11034" s="372">
        <v>0.0</v>
      </c>
      <c r="Z11034" s="372">
        <v>0.0</v>
      </c>
    </row>
    <row r="11035">
      <c r="Y11035" s="372">
        <v>0.0</v>
      </c>
      <c r="Z11035" s="372">
        <v>0.0</v>
      </c>
    </row>
    <row r="11036">
      <c r="Y11036" s="372">
        <v>0.0</v>
      </c>
      <c r="Z11036" s="372">
        <v>0.0</v>
      </c>
    </row>
    <row r="11037">
      <c r="Y11037" s="372">
        <v>0.0</v>
      </c>
      <c r="Z11037" s="372">
        <v>0.0</v>
      </c>
    </row>
    <row r="11038">
      <c r="Y11038" s="372">
        <v>0.0</v>
      </c>
      <c r="Z11038" s="372">
        <v>0.0</v>
      </c>
    </row>
    <row r="11039">
      <c r="Y11039" s="372">
        <v>0.0</v>
      </c>
      <c r="Z11039" s="372">
        <v>0.0</v>
      </c>
    </row>
    <row r="11040">
      <c r="Y11040" s="372">
        <v>0.0</v>
      </c>
      <c r="Z11040" s="372">
        <v>0.0</v>
      </c>
    </row>
    <row r="11041">
      <c r="Y11041" s="372">
        <v>0.0</v>
      </c>
      <c r="Z11041" s="372">
        <v>0.0</v>
      </c>
    </row>
    <row r="11042">
      <c r="Y11042" s="372">
        <v>0.0</v>
      </c>
      <c r="Z11042" s="372">
        <v>0.0</v>
      </c>
    </row>
    <row r="11043">
      <c r="Y11043" s="372">
        <v>0.0</v>
      </c>
      <c r="Z11043" s="372">
        <v>0.0</v>
      </c>
    </row>
    <row r="11044">
      <c r="Y11044" s="372">
        <v>0.0</v>
      </c>
      <c r="Z11044" s="372">
        <v>0.0</v>
      </c>
    </row>
    <row r="11045">
      <c r="Y11045" s="372">
        <v>0.0</v>
      </c>
      <c r="Z11045" s="372">
        <v>0.0</v>
      </c>
    </row>
    <row r="11046">
      <c r="Y11046" s="372">
        <v>0.0</v>
      </c>
      <c r="Z11046" s="372">
        <v>0.0</v>
      </c>
    </row>
    <row r="11047">
      <c r="Y11047" s="372">
        <v>0.0</v>
      </c>
      <c r="Z11047" s="372">
        <v>0.0</v>
      </c>
    </row>
    <row r="11048">
      <c r="Y11048" s="372">
        <v>0.0</v>
      </c>
      <c r="Z11048" s="372">
        <v>0.0</v>
      </c>
    </row>
    <row r="11049">
      <c r="Y11049" s="372">
        <v>0.0</v>
      </c>
      <c r="Z11049" s="372">
        <v>0.0</v>
      </c>
    </row>
    <row r="11050">
      <c r="Y11050" s="372">
        <v>0.0</v>
      </c>
      <c r="Z11050" s="372">
        <v>0.0</v>
      </c>
    </row>
    <row r="11051">
      <c r="Y11051" s="372">
        <v>0.0</v>
      </c>
      <c r="Z11051" s="372">
        <v>0.0</v>
      </c>
    </row>
    <row r="11052">
      <c r="Y11052" s="372">
        <v>0.0</v>
      </c>
      <c r="Z11052" s="372">
        <v>0.0</v>
      </c>
    </row>
    <row r="11053">
      <c r="Y11053" s="372">
        <v>0.0</v>
      </c>
      <c r="Z11053" s="372">
        <v>0.0</v>
      </c>
    </row>
    <row r="11054">
      <c r="Y11054" s="372">
        <v>0.0</v>
      </c>
      <c r="Z11054" s="372">
        <v>0.0</v>
      </c>
    </row>
    <row r="11055">
      <c r="Y11055" s="372">
        <v>0.0</v>
      </c>
      <c r="Z11055" s="372">
        <v>0.0</v>
      </c>
    </row>
    <row r="11056">
      <c r="Y11056" s="372">
        <v>0.0</v>
      </c>
      <c r="Z11056" s="372">
        <v>0.0</v>
      </c>
    </row>
    <row r="11057">
      <c r="Y11057" s="372">
        <v>0.0</v>
      </c>
      <c r="Z11057" s="372">
        <v>0.0</v>
      </c>
    </row>
    <row r="11058">
      <c r="Y11058" s="372">
        <v>0.0</v>
      </c>
      <c r="Z11058" s="372">
        <v>0.0</v>
      </c>
    </row>
    <row r="11059">
      <c r="Y11059" s="372">
        <v>0.0</v>
      </c>
      <c r="Z11059" s="372">
        <v>0.0</v>
      </c>
    </row>
    <row r="11060">
      <c r="Y11060" s="372">
        <v>0.0</v>
      </c>
      <c r="Z11060" s="372">
        <v>0.0</v>
      </c>
    </row>
    <row r="11061">
      <c r="Y11061" s="372">
        <v>0.0</v>
      </c>
      <c r="Z11061" s="372">
        <v>0.0</v>
      </c>
    </row>
    <row r="11062">
      <c r="Y11062" s="372">
        <v>0.0</v>
      </c>
      <c r="Z11062" s="372">
        <v>0.0</v>
      </c>
    </row>
    <row r="11063">
      <c r="Y11063" s="372">
        <v>0.0</v>
      </c>
      <c r="Z11063" s="372">
        <v>0.0</v>
      </c>
    </row>
    <row r="11064">
      <c r="Y11064" s="372">
        <v>0.0</v>
      </c>
      <c r="Z11064" s="372">
        <v>0.0</v>
      </c>
    </row>
    <row r="11065">
      <c r="Y11065" s="372">
        <v>0.0</v>
      </c>
      <c r="Z11065" s="372">
        <v>0.0</v>
      </c>
    </row>
    <row r="11066">
      <c r="Y11066" s="372">
        <v>0.0</v>
      </c>
      <c r="Z11066" s="372">
        <v>0.0</v>
      </c>
    </row>
    <row r="11067">
      <c r="Y11067" s="372">
        <v>0.0</v>
      </c>
      <c r="Z11067" s="372">
        <v>0.0</v>
      </c>
    </row>
    <row r="11068">
      <c r="Y11068" s="372">
        <v>0.0</v>
      </c>
      <c r="Z11068" s="372">
        <v>0.0</v>
      </c>
    </row>
    <row r="11069">
      <c r="Y11069" s="372">
        <v>0.0</v>
      </c>
      <c r="Z11069" s="372">
        <v>0.0</v>
      </c>
    </row>
    <row r="11070">
      <c r="Y11070" s="372">
        <v>0.0</v>
      </c>
      <c r="Z11070" s="372">
        <v>0.0</v>
      </c>
    </row>
    <row r="11071">
      <c r="Y11071" s="372">
        <v>0.0</v>
      </c>
      <c r="Z11071" s="372">
        <v>0.0</v>
      </c>
    </row>
    <row r="11072">
      <c r="Y11072" s="372">
        <v>0.0</v>
      </c>
      <c r="Z11072" s="372">
        <v>0.0</v>
      </c>
    </row>
    <row r="11073">
      <c r="Y11073" s="372">
        <v>0.0</v>
      </c>
      <c r="Z11073" s="372">
        <v>0.0</v>
      </c>
    </row>
    <row r="11074">
      <c r="Y11074" s="372">
        <v>0.0</v>
      </c>
      <c r="Z11074" s="372">
        <v>0.0</v>
      </c>
    </row>
    <row r="11075">
      <c r="Y11075" s="372">
        <v>0.0</v>
      </c>
      <c r="Z11075" s="372">
        <v>0.0</v>
      </c>
    </row>
    <row r="11076">
      <c r="Y11076" s="372">
        <v>0.0</v>
      </c>
      <c r="Z11076" s="372">
        <v>0.0</v>
      </c>
    </row>
    <row r="11077">
      <c r="Y11077" s="372">
        <v>0.0</v>
      </c>
      <c r="Z11077" s="372">
        <v>0.0</v>
      </c>
    </row>
    <row r="11078">
      <c r="Y11078" s="372">
        <v>0.0</v>
      </c>
      <c r="Z11078" s="372">
        <v>0.0</v>
      </c>
    </row>
    <row r="11079">
      <c r="Y11079" s="372">
        <v>0.0</v>
      </c>
      <c r="Z11079" s="372">
        <v>0.0</v>
      </c>
    </row>
    <row r="11080">
      <c r="Y11080" s="372">
        <v>0.0</v>
      </c>
      <c r="Z11080" s="372">
        <v>0.0</v>
      </c>
    </row>
    <row r="11081">
      <c r="Y11081" s="372">
        <v>0.0</v>
      </c>
      <c r="Z11081" s="372">
        <v>0.0</v>
      </c>
    </row>
    <row r="11082">
      <c r="Y11082" s="372">
        <v>0.0</v>
      </c>
      <c r="Z11082" s="372">
        <v>0.0</v>
      </c>
    </row>
    <row r="11083">
      <c r="Y11083" s="372">
        <v>0.0</v>
      </c>
      <c r="Z11083" s="372">
        <v>0.0</v>
      </c>
    </row>
    <row r="11084">
      <c r="Y11084" s="372">
        <v>0.0</v>
      </c>
      <c r="Z11084" s="372">
        <v>0.0</v>
      </c>
    </row>
    <row r="11085">
      <c r="Y11085" s="372">
        <v>0.0</v>
      </c>
      <c r="Z11085" s="372">
        <v>0.0</v>
      </c>
    </row>
    <row r="11086">
      <c r="Y11086" s="372">
        <v>0.0</v>
      </c>
      <c r="Z11086" s="372">
        <v>0.0</v>
      </c>
    </row>
    <row r="11087">
      <c r="Y11087" s="372">
        <v>0.0</v>
      </c>
      <c r="Z11087" s="372">
        <v>0.0</v>
      </c>
    </row>
    <row r="11088">
      <c r="Y11088" s="372">
        <v>0.0</v>
      </c>
      <c r="Z11088" s="372">
        <v>0.0</v>
      </c>
    </row>
    <row r="11089">
      <c r="Y11089" s="372">
        <v>0.0</v>
      </c>
      <c r="Z11089" s="372">
        <v>0.0</v>
      </c>
    </row>
    <row r="11090">
      <c r="Y11090" s="372">
        <v>0.0</v>
      </c>
      <c r="Z11090" s="372">
        <v>0.0</v>
      </c>
    </row>
    <row r="11091">
      <c r="Y11091" s="372">
        <v>0.0</v>
      </c>
      <c r="Z11091" s="372">
        <v>0.0</v>
      </c>
    </row>
    <row r="11092">
      <c r="Y11092" s="372">
        <v>0.0</v>
      </c>
      <c r="Z11092" s="372">
        <v>0.0</v>
      </c>
    </row>
    <row r="11093">
      <c r="Y11093" s="372">
        <v>0.0</v>
      </c>
      <c r="Z11093" s="372">
        <v>0.0</v>
      </c>
    </row>
    <row r="11094">
      <c r="Y11094" s="372">
        <v>0.0</v>
      </c>
      <c r="Z11094" s="372">
        <v>0.0</v>
      </c>
    </row>
    <row r="11095">
      <c r="Y11095" s="372">
        <v>0.0</v>
      </c>
      <c r="Z11095" s="372">
        <v>0.0</v>
      </c>
    </row>
    <row r="11096">
      <c r="Y11096" s="372">
        <v>0.0</v>
      </c>
      <c r="Z11096" s="372">
        <v>0.0</v>
      </c>
    </row>
    <row r="11097">
      <c r="Y11097" s="372">
        <v>0.0</v>
      </c>
      <c r="Z11097" s="372">
        <v>0.0</v>
      </c>
    </row>
    <row r="11098">
      <c r="Y11098" s="372">
        <v>0.0</v>
      </c>
      <c r="Z11098" s="372">
        <v>0.0</v>
      </c>
    </row>
    <row r="11099">
      <c r="Y11099" s="372">
        <v>0.0</v>
      </c>
      <c r="Z11099" s="372">
        <v>0.0</v>
      </c>
    </row>
    <row r="11100">
      <c r="Y11100" s="372">
        <v>0.0</v>
      </c>
      <c r="Z11100" s="372">
        <v>0.0</v>
      </c>
    </row>
    <row r="11101">
      <c r="Y11101" s="372">
        <v>0.0</v>
      </c>
      <c r="Z11101" s="372">
        <v>0.0</v>
      </c>
    </row>
    <row r="11102">
      <c r="Y11102" s="372">
        <v>0.0</v>
      </c>
      <c r="Z11102" s="372">
        <v>0.0</v>
      </c>
    </row>
    <row r="11103">
      <c r="Y11103" s="372">
        <v>0.0</v>
      </c>
      <c r="Z11103" s="372">
        <v>0.0</v>
      </c>
    </row>
    <row r="11104">
      <c r="Y11104" s="372">
        <v>0.0</v>
      </c>
      <c r="Z11104" s="372">
        <v>0.0</v>
      </c>
    </row>
    <row r="11105">
      <c r="Y11105" s="372">
        <v>0.0</v>
      </c>
      <c r="Z11105" s="372">
        <v>0.0</v>
      </c>
    </row>
    <row r="11106">
      <c r="Y11106" s="372">
        <v>0.0</v>
      </c>
      <c r="Z11106" s="372">
        <v>0.0</v>
      </c>
    </row>
    <row r="11107">
      <c r="Y11107" s="372">
        <v>0.0</v>
      </c>
      <c r="Z11107" s="372">
        <v>0.0</v>
      </c>
    </row>
    <row r="11108">
      <c r="Y11108" s="372">
        <v>0.0</v>
      </c>
      <c r="Z11108" s="372">
        <v>0.0</v>
      </c>
    </row>
    <row r="11109">
      <c r="Y11109" s="372">
        <v>0.0</v>
      </c>
      <c r="Z11109" s="372">
        <v>0.0</v>
      </c>
    </row>
    <row r="11110">
      <c r="Y11110" s="372">
        <v>0.0</v>
      </c>
      <c r="Z11110" s="372">
        <v>0.0</v>
      </c>
    </row>
    <row r="11111">
      <c r="Y11111" s="372">
        <v>0.0</v>
      </c>
      <c r="Z11111" s="372">
        <v>0.0</v>
      </c>
    </row>
    <row r="11112">
      <c r="Y11112" s="372">
        <v>0.0</v>
      </c>
      <c r="Z11112" s="372">
        <v>0.0</v>
      </c>
    </row>
    <row r="11113">
      <c r="Y11113" s="372">
        <v>0.0</v>
      </c>
      <c r="Z11113" s="372">
        <v>0.0</v>
      </c>
    </row>
    <row r="11114">
      <c r="Y11114" s="372">
        <v>0.0</v>
      </c>
      <c r="Z11114" s="372">
        <v>0.0</v>
      </c>
    </row>
    <row r="11115">
      <c r="Y11115" s="372">
        <v>0.0</v>
      </c>
      <c r="Z11115" s="372">
        <v>0.0</v>
      </c>
    </row>
    <row r="11116">
      <c r="Y11116" s="372">
        <v>0.0</v>
      </c>
      <c r="Z11116" s="372">
        <v>0.0</v>
      </c>
    </row>
    <row r="11117">
      <c r="Y11117" s="372">
        <v>0.0</v>
      </c>
      <c r="Z11117" s="372">
        <v>0.0</v>
      </c>
    </row>
    <row r="11118">
      <c r="Y11118" s="372">
        <v>0.0</v>
      </c>
      <c r="Z11118" s="372">
        <v>0.0</v>
      </c>
    </row>
    <row r="11119">
      <c r="Y11119" s="372">
        <v>0.0</v>
      </c>
      <c r="Z11119" s="372">
        <v>0.0</v>
      </c>
    </row>
    <row r="11120">
      <c r="Y11120" s="372">
        <v>0.0</v>
      </c>
      <c r="Z11120" s="372">
        <v>0.0</v>
      </c>
    </row>
    <row r="11121">
      <c r="Y11121" s="372">
        <v>0.0</v>
      </c>
      <c r="Z11121" s="372">
        <v>0.0</v>
      </c>
    </row>
    <row r="11122">
      <c r="Y11122" s="372">
        <v>0.0</v>
      </c>
      <c r="Z11122" s="372">
        <v>0.0</v>
      </c>
    </row>
    <row r="11123">
      <c r="Y11123" s="372">
        <v>0.0</v>
      </c>
      <c r="Z11123" s="372">
        <v>0.0</v>
      </c>
    </row>
    <row r="11124">
      <c r="Y11124" s="372">
        <v>0.0</v>
      </c>
      <c r="Z11124" s="372">
        <v>0.0</v>
      </c>
    </row>
    <row r="11125">
      <c r="Y11125" s="372">
        <v>0.0</v>
      </c>
      <c r="Z11125" s="372">
        <v>0.0</v>
      </c>
    </row>
    <row r="11126">
      <c r="Y11126" s="372">
        <v>0.0</v>
      </c>
      <c r="Z11126" s="372">
        <v>0.0</v>
      </c>
    </row>
    <row r="11127">
      <c r="Y11127" s="372">
        <v>0.0</v>
      </c>
      <c r="Z11127" s="372">
        <v>0.0</v>
      </c>
    </row>
    <row r="11128">
      <c r="Y11128" s="372">
        <v>0.0</v>
      </c>
      <c r="Z11128" s="372">
        <v>0.0</v>
      </c>
    </row>
    <row r="11129">
      <c r="Y11129" s="372">
        <v>0.0</v>
      </c>
      <c r="Z11129" s="372">
        <v>0.0</v>
      </c>
    </row>
    <row r="11130">
      <c r="Y11130" s="372">
        <v>0.0</v>
      </c>
      <c r="Z11130" s="372">
        <v>0.0</v>
      </c>
    </row>
    <row r="11131">
      <c r="Y11131" s="372">
        <v>0.0</v>
      </c>
      <c r="Z11131" s="372">
        <v>0.0</v>
      </c>
    </row>
    <row r="11132">
      <c r="Y11132" s="372">
        <v>0.0</v>
      </c>
      <c r="Z11132" s="372">
        <v>0.0</v>
      </c>
    </row>
    <row r="11133">
      <c r="Y11133" s="372">
        <v>0.0</v>
      </c>
      <c r="Z11133" s="372">
        <v>0.0</v>
      </c>
    </row>
    <row r="11134">
      <c r="Y11134" s="372">
        <v>0.0</v>
      </c>
      <c r="Z11134" s="372">
        <v>0.0</v>
      </c>
    </row>
    <row r="11135">
      <c r="Y11135" s="372">
        <v>0.0</v>
      </c>
      <c r="Z11135" s="372">
        <v>0.0</v>
      </c>
    </row>
    <row r="11136">
      <c r="Y11136" s="372">
        <v>0.0</v>
      </c>
      <c r="Z11136" s="372">
        <v>0.0</v>
      </c>
    </row>
    <row r="11137">
      <c r="Y11137" s="372">
        <v>0.0</v>
      </c>
      <c r="Z11137" s="372">
        <v>0.0</v>
      </c>
    </row>
    <row r="11138">
      <c r="Y11138" s="372">
        <v>0.0</v>
      </c>
      <c r="Z11138" s="372">
        <v>0.0</v>
      </c>
    </row>
    <row r="11139">
      <c r="Y11139" s="372">
        <v>0.0</v>
      </c>
      <c r="Z11139" s="372">
        <v>0.0</v>
      </c>
    </row>
    <row r="11140">
      <c r="Y11140" s="372">
        <v>0.0</v>
      </c>
      <c r="Z11140" s="372">
        <v>0.0</v>
      </c>
    </row>
    <row r="11141">
      <c r="Y11141" s="372">
        <v>0.0</v>
      </c>
      <c r="Z11141" s="372">
        <v>0.0</v>
      </c>
    </row>
    <row r="11142">
      <c r="Y11142" s="372">
        <v>0.0</v>
      </c>
      <c r="Z11142" s="372">
        <v>0.0</v>
      </c>
    </row>
    <row r="11143">
      <c r="Y11143" s="372">
        <v>0.0</v>
      </c>
      <c r="Z11143" s="372">
        <v>0.0</v>
      </c>
    </row>
    <row r="11144">
      <c r="Y11144" s="372">
        <v>0.0</v>
      </c>
      <c r="Z11144" s="372">
        <v>0.0</v>
      </c>
    </row>
    <row r="11145">
      <c r="Y11145" s="372">
        <v>0.0</v>
      </c>
      <c r="Z11145" s="372">
        <v>0.0</v>
      </c>
    </row>
    <row r="11146">
      <c r="Y11146" s="372">
        <v>0.0</v>
      </c>
      <c r="Z11146" s="372">
        <v>0.0</v>
      </c>
    </row>
    <row r="11147">
      <c r="Y11147" s="372">
        <v>0.0</v>
      </c>
      <c r="Z11147" s="372">
        <v>0.0</v>
      </c>
    </row>
    <row r="11148">
      <c r="Y11148" s="372">
        <v>0.0</v>
      </c>
      <c r="Z11148" s="372">
        <v>0.0</v>
      </c>
    </row>
    <row r="11149">
      <c r="Y11149" s="372">
        <v>0.0</v>
      </c>
      <c r="Z11149" s="372">
        <v>0.0</v>
      </c>
    </row>
    <row r="11150">
      <c r="Y11150" s="372">
        <v>0.0</v>
      </c>
      <c r="Z11150" s="372">
        <v>0.0</v>
      </c>
    </row>
    <row r="11151">
      <c r="Y11151" s="372">
        <v>0.0</v>
      </c>
      <c r="Z11151" s="372">
        <v>0.0</v>
      </c>
    </row>
    <row r="11152">
      <c r="Y11152" s="372">
        <v>0.0</v>
      </c>
      <c r="Z11152" s="372">
        <v>0.0</v>
      </c>
    </row>
    <row r="11153">
      <c r="Y11153" s="372">
        <v>0.0</v>
      </c>
      <c r="Z11153" s="372">
        <v>0.0</v>
      </c>
    </row>
    <row r="11154">
      <c r="Y11154" s="372">
        <v>0.0</v>
      </c>
      <c r="Z11154" s="372">
        <v>0.0</v>
      </c>
    </row>
    <row r="11155">
      <c r="Y11155" s="372">
        <v>0.0</v>
      </c>
      <c r="Z11155" s="372">
        <v>0.0</v>
      </c>
    </row>
    <row r="11156">
      <c r="Y11156" s="372">
        <v>0.0</v>
      </c>
      <c r="Z11156" s="372">
        <v>0.0</v>
      </c>
    </row>
    <row r="11157">
      <c r="Y11157" s="372">
        <v>0.0</v>
      </c>
      <c r="Z11157" s="372">
        <v>0.0</v>
      </c>
    </row>
    <row r="11158">
      <c r="Y11158" s="372">
        <v>0.0</v>
      </c>
      <c r="Z11158" s="372">
        <v>0.0</v>
      </c>
    </row>
    <row r="11159">
      <c r="Y11159" s="372">
        <v>0.0</v>
      </c>
      <c r="Z11159" s="372">
        <v>0.0</v>
      </c>
    </row>
    <row r="11160">
      <c r="Y11160" s="372">
        <v>0.0</v>
      </c>
      <c r="Z11160" s="372">
        <v>0.0</v>
      </c>
    </row>
    <row r="11161">
      <c r="Y11161" s="372">
        <v>0.0</v>
      </c>
      <c r="Z11161" s="372">
        <v>0.0</v>
      </c>
    </row>
    <row r="11162">
      <c r="Y11162" s="372">
        <v>0.0</v>
      </c>
      <c r="Z11162" s="372">
        <v>0.0</v>
      </c>
    </row>
    <row r="11163">
      <c r="Y11163" s="372">
        <v>0.0</v>
      </c>
      <c r="Z11163" s="372">
        <v>0.0</v>
      </c>
    </row>
    <row r="11164">
      <c r="Y11164" s="372">
        <v>0.0</v>
      </c>
      <c r="Z11164" s="372">
        <v>0.0</v>
      </c>
    </row>
    <row r="11165">
      <c r="Y11165" s="372">
        <v>0.0</v>
      </c>
      <c r="Z11165" s="372">
        <v>0.0</v>
      </c>
    </row>
    <row r="11166">
      <c r="Y11166" s="372">
        <v>0.0</v>
      </c>
      <c r="Z11166" s="372">
        <v>0.0</v>
      </c>
    </row>
    <row r="11167">
      <c r="Y11167" s="372">
        <v>0.0</v>
      </c>
      <c r="Z11167" s="372">
        <v>0.0</v>
      </c>
    </row>
    <row r="11168">
      <c r="Y11168" s="372">
        <v>0.0</v>
      </c>
      <c r="Z11168" s="372">
        <v>0.0</v>
      </c>
    </row>
    <row r="11169">
      <c r="Y11169" s="372">
        <v>0.0</v>
      </c>
      <c r="Z11169" s="372">
        <v>0.0</v>
      </c>
    </row>
    <row r="11170">
      <c r="Y11170" s="372">
        <v>0.0</v>
      </c>
      <c r="Z11170" s="372">
        <v>0.0</v>
      </c>
    </row>
    <row r="11171">
      <c r="Y11171" s="372">
        <v>0.0</v>
      </c>
      <c r="Z11171" s="372">
        <v>0.0</v>
      </c>
    </row>
    <row r="11172">
      <c r="Y11172" s="372">
        <v>0.0</v>
      </c>
      <c r="Z11172" s="372">
        <v>0.0</v>
      </c>
    </row>
    <row r="11173">
      <c r="Y11173" s="372">
        <v>0.0</v>
      </c>
      <c r="Z11173" s="372">
        <v>0.0</v>
      </c>
    </row>
    <row r="11174">
      <c r="Y11174" s="372">
        <v>0.0</v>
      </c>
      <c r="Z11174" s="372">
        <v>0.0</v>
      </c>
    </row>
    <row r="11175">
      <c r="Y11175" s="372">
        <v>0.0</v>
      </c>
      <c r="Z11175" s="372">
        <v>0.0</v>
      </c>
    </row>
    <row r="11176">
      <c r="Y11176" s="372">
        <v>0.0</v>
      </c>
      <c r="Z11176" s="372">
        <v>0.0</v>
      </c>
    </row>
    <row r="11177">
      <c r="Y11177" s="372">
        <v>0.0</v>
      </c>
      <c r="Z11177" s="372">
        <v>0.0</v>
      </c>
    </row>
    <row r="11178">
      <c r="Y11178" s="372">
        <v>0.0</v>
      </c>
      <c r="Z11178" s="372">
        <v>0.0</v>
      </c>
    </row>
    <row r="11179">
      <c r="Y11179" s="372">
        <v>0.0</v>
      </c>
      <c r="Z11179" s="372">
        <v>0.0</v>
      </c>
    </row>
    <row r="11180">
      <c r="Y11180" s="372">
        <v>0.0</v>
      </c>
      <c r="Z11180" s="372">
        <v>0.0</v>
      </c>
    </row>
    <row r="11181">
      <c r="Y11181" s="372">
        <v>0.0</v>
      </c>
      <c r="Z11181" s="372">
        <v>0.0</v>
      </c>
    </row>
    <row r="11182">
      <c r="Y11182" s="372">
        <v>0.0</v>
      </c>
      <c r="Z11182" s="372">
        <v>0.0</v>
      </c>
    </row>
    <row r="11183">
      <c r="Y11183" s="372">
        <v>0.0</v>
      </c>
      <c r="Z11183" s="372">
        <v>0.0</v>
      </c>
    </row>
    <row r="11184">
      <c r="Y11184" s="372">
        <v>0.0</v>
      </c>
      <c r="Z11184" s="372">
        <v>0.0</v>
      </c>
    </row>
    <row r="11185">
      <c r="Y11185" s="372">
        <v>0.0</v>
      </c>
      <c r="Z11185" s="372">
        <v>0.0</v>
      </c>
    </row>
    <row r="11186">
      <c r="Y11186" s="372">
        <v>0.0</v>
      </c>
      <c r="Z11186" s="372">
        <v>0.0</v>
      </c>
    </row>
    <row r="11187">
      <c r="Y11187" s="372">
        <v>0.0</v>
      </c>
      <c r="Z11187" s="372">
        <v>0.0</v>
      </c>
    </row>
    <row r="11188">
      <c r="Y11188" s="372">
        <v>0.0</v>
      </c>
      <c r="Z11188" s="372">
        <v>0.0</v>
      </c>
    </row>
    <row r="11189">
      <c r="Y11189" s="372">
        <v>0.0</v>
      </c>
      <c r="Z11189" s="372">
        <v>0.0</v>
      </c>
    </row>
    <row r="11190">
      <c r="Y11190" s="372">
        <v>0.0</v>
      </c>
      <c r="Z11190" s="372">
        <v>0.0</v>
      </c>
    </row>
    <row r="11191">
      <c r="Y11191" s="372">
        <v>0.0</v>
      </c>
      <c r="Z11191" s="372">
        <v>0.0</v>
      </c>
    </row>
    <row r="11192">
      <c r="Y11192" s="372">
        <v>0.0</v>
      </c>
      <c r="Z11192" s="372">
        <v>0.0</v>
      </c>
    </row>
    <row r="11193">
      <c r="Y11193" s="372">
        <v>0.0</v>
      </c>
      <c r="Z11193" s="372">
        <v>0.0</v>
      </c>
    </row>
    <row r="11194">
      <c r="Y11194" s="372">
        <v>0.0</v>
      </c>
      <c r="Z11194" s="372">
        <v>0.0</v>
      </c>
    </row>
    <row r="11195">
      <c r="Y11195" s="372">
        <v>0.0</v>
      </c>
      <c r="Z11195" s="372">
        <v>0.0</v>
      </c>
    </row>
    <row r="11196">
      <c r="Y11196" s="372">
        <v>0.0</v>
      </c>
      <c r="Z11196" s="372">
        <v>0.0</v>
      </c>
    </row>
    <row r="11197">
      <c r="Y11197" s="372">
        <v>0.0</v>
      </c>
      <c r="Z11197" s="372">
        <v>0.0</v>
      </c>
    </row>
    <row r="11198">
      <c r="Y11198" s="372">
        <v>0.0</v>
      </c>
      <c r="Z11198" s="372">
        <v>0.0</v>
      </c>
    </row>
    <row r="11199">
      <c r="Y11199" s="372">
        <v>0.0</v>
      </c>
      <c r="Z11199" s="372">
        <v>0.0</v>
      </c>
    </row>
    <row r="11200">
      <c r="Y11200" s="372">
        <v>0.0</v>
      </c>
      <c r="Z11200" s="372">
        <v>0.0</v>
      </c>
    </row>
    <row r="11201">
      <c r="Y11201" s="372">
        <v>0.0</v>
      </c>
      <c r="Z11201" s="372">
        <v>0.0</v>
      </c>
    </row>
    <row r="11202">
      <c r="Y11202" s="372">
        <v>0.0</v>
      </c>
      <c r="Z11202" s="372">
        <v>0.0</v>
      </c>
    </row>
    <row r="11203">
      <c r="Y11203" s="372">
        <v>0.0</v>
      </c>
      <c r="Z11203" s="372">
        <v>0.0</v>
      </c>
    </row>
    <row r="11204">
      <c r="Y11204" s="372">
        <v>0.0</v>
      </c>
      <c r="Z11204" s="372">
        <v>0.0</v>
      </c>
    </row>
    <row r="11205">
      <c r="Y11205" s="372">
        <v>0.0</v>
      </c>
      <c r="Z11205" s="372">
        <v>0.0</v>
      </c>
    </row>
    <row r="11206">
      <c r="Y11206" s="372">
        <v>0.0</v>
      </c>
      <c r="Z11206" s="372">
        <v>0.0</v>
      </c>
    </row>
    <row r="11207">
      <c r="Y11207" s="372">
        <v>0.0</v>
      </c>
      <c r="Z11207" s="372">
        <v>0.0</v>
      </c>
    </row>
    <row r="11208">
      <c r="Y11208" s="372">
        <v>0.0</v>
      </c>
      <c r="Z11208" s="372">
        <v>0.0</v>
      </c>
    </row>
    <row r="11209">
      <c r="Y11209" s="372">
        <v>0.0</v>
      </c>
      <c r="Z11209" s="372">
        <v>0.0</v>
      </c>
    </row>
    <row r="11210">
      <c r="Y11210" s="372">
        <v>0.0</v>
      </c>
      <c r="Z11210" s="372">
        <v>0.0</v>
      </c>
    </row>
    <row r="11211">
      <c r="Y11211" s="372">
        <v>0.0</v>
      </c>
      <c r="Z11211" s="372">
        <v>0.0</v>
      </c>
    </row>
    <row r="11212">
      <c r="Y11212" s="372">
        <v>0.0</v>
      </c>
      <c r="Z11212" s="372">
        <v>0.0</v>
      </c>
    </row>
    <row r="11213">
      <c r="Y11213" s="372">
        <v>0.0</v>
      </c>
      <c r="Z11213" s="372">
        <v>0.0</v>
      </c>
    </row>
    <row r="11214">
      <c r="Y11214" s="372">
        <v>0.0</v>
      </c>
      <c r="Z11214" s="372">
        <v>0.0</v>
      </c>
    </row>
    <row r="11215">
      <c r="Y11215" s="372">
        <v>0.0</v>
      </c>
      <c r="Z11215" s="372">
        <v>0.0</v>
      </c>
    </row>
    <row r="11216">
      <c r="Y11216" s="372">
        <v>0.0</v>
      </c>
      <c r="Z11216" s="372">
        <v>0.0</v>
      </c>
    </row>
    <row r="11217">
      <c r="Y11217" s="372">
        <v>0.0</v>
      </c>
      <c r="Z11217" s="372">
        <v>0.0</v>
      </c>
    </row>
    <row r="11218">
      <c r="Y11218" s="372">
        <v>0.0</v>
      </c>
      <c r="Z11218" s="372">
        <v>0.0</v>
      </c>
    </row>
    <row r="11219">
      <c r="Y11219" s="372">
        <v>0.0</v>
      </c>
      <c r="Z11219" s="372">
        <v>0.0</v>
      </c>
    </row>
    <row r="11220">
      <c r="Y11220" s="372">
        <v>0.0</v>
      </c>
      <c r="Z11220" s="372">
        <v>0.0</v>
      </c>
    </row>
    <row r="11221">
      <c r="Y11221" s="372">
        <v>0.0</v>
      </c>
      <c r="Z11221" s="372">
        <v>0.0</v>
      </c>
    </row>
    <row r="11222">
      <c r="Y11222" s="372">
        <v>0.0</v>
      </c>
      <c r="Z11222" s="372">
        <v>0.0</v>
      </c>
    </row>
    <row r="11223">
      <c r="Y11223" s="372">
        <v>0.0</v>
      </c>
      <c r="Z11223" s="372">
        <v>0.0</v>
      </c>
    </row>
    <row r="11224">
      <c r="Y11224" s="372">
        <v>0.0</v>
      </c>
      <c r="Z11224" s="372">
        <v>0.0</v>
      </c>
    </row>
    <row r="11225">
      <c r="Y11225" s="372">
        <v>0.0</v>
      </c>
      <c r="Z11225" s="372">
        <v>0.0</v>
      </c>
    </row>
    <row r="11226">
      <c r="Y11226" s="372">
        <v>0.0</v>
      </c>
      <c r="Z11226" s="372">
        <v>0.0</v>
      </c>
    </row>
    <row r="11227">
      <c r="Y11227" s="372">
        <v>0.0</v>
      </c>
      <c r="Z11227" s="372">
        <v>0.0</v>
      </c>
    </row>
    <row r="11228">
      <c r="Y11228" s="372">
        <v>0.0</v>
      </c>
      <c r="Z11228" s="372">
        <v>0.0</v>
      </c>
    </row>
    <row r="11229">
      <c r="Y11229" s="372">
        <v>0.0</v>
      </c>
      <c r="Z11229" s="372">
        <v>0.0</v>
      </c>
    </row>
    <row r="11230">
      <c r="Y11230" s="372">
        <v>0.0</v>
      </c>
      <c r="Z11230" s="372">
        <v>0.0</v>
      </c>
    </row>
    <row r="11231">
      <c r="Y11231" s="372">
        <v>0.0</v>
      </c>
      <c r="Z11231" s="372">
        <v>0.0</v>
      </c>
    </row>
    <row r="11232">
      <c r="Y11232" s="372">
        <v>0.0</v>
      </c>
      <c r="Z11232" s="372">
        <v>0.0</v>
      </c>
    </row>
    <row r="11233">
      <c r="Y11233" s="372">
        <v>0.0</v>
      </c>
      <c r="Z11233" s="372">
        <v>0.0</v>
      </c>
    </row>
    <row r="11234">
      <c r="Y11234" s="372">
        <v>0.0</v>
      </c>
      <c r="Z11234" s="372">
        <v>0.0</v>
      </c>
    </row>
    <row r="11235">
      <c r="Y11235" s="372">
        <v>0.0</v>
      </c>
      <c r="Z11235" s="372">
        <v>0.0</v>
      </c>
    </row>
    <row r="11236">
      <c r="Y11236" s="372">
        <v>0.0</v>
      </c>
      <c r="Z11236" s="372">
        <v>0.0</v>
      </c>
    </row>
    <row r="11237">
      <c r="Y11237" s="372">
        <v>0.0</v>
      </c>
      <c r="Z11237" s="372">
        <v>0.0</v>
      </c>
    </row>
    <row r="11238">
      <c r="Y11238" s="372">
        <v>0.0</v>
      </c>
      <c r="Z11238" s="372">
        <v>0.0</v>
      </c>
    </row>
    <row r="11239">
      <c r="Y11239" s="372">
        <v>0.0</v>
      </c>
      <c r="Z11239" s="372">
        <v>0.0</v>
      </c>
    </row>
    <row r="11240">
      <c r="Y11240" s="372">
        <v>0.0</v>
      </c>
      <c r="Z11240" s="372">
        <v>0.0</v>
      </c>
    </row>
    <row r="11241">
      <c r="Y11241" s="372">
        <v>0.0</v>
      </c>
      <c r="Z11241" s="372">
        <v>0.0</v>
      </c>
    </row>
    <row r="11242">
      <c r="Y11242" s="372">
        <v>0.0</v>
      </c>
      <c r="Z11242" s="372">
        <v>0.0</v>
      </c>
    </row>
    <row r="11243">
      <c r="Y11243" s="372">
        <v>0.0</v>
      </c>
      <c r="Z11243" s="372">
        <v>0.0</v>
      </c>
    </row>
    <row r="11244">
      <c r="Y11244" s="372">
        <v>0.0</v>
      </c>
      <c r="Z11244" s="372">
        <v>0.0</v>
      </c>
    </row>
    <row r="11245">
      <c r="Y11245" s="372">
        <v>0.0</v>
      </c>
      <c r="Z11245" s="372">
        <v>0.0</v>
      </c>
    </row>
    <row r="11246">
      <c r="Y11246" s="372">
        <v>0.0</v>
      </c>
      <c r="Z11246" s="372">
        <v>0.0</v>
      </c>
    </row>
    <row r="11247">
      <c r="Y11247" s="372">
        <v>0.0</v>
      </c>
      <c r="Z11247" s="372">
        <v>0.0</v>
      </c>
    </row>
    <row r="11248">
      <c r="Y11248" s="372">
        <v>0.0</v>
      </c>
      <c r="Z11248" s="372">
        <v>0.0</v>
      </c>
    </row>
    <row r="11249">
      <c r="Y11249" s="372">
        <v>0.0</v>
      </c>
      <c r="Z11249" s="372">
        <v>0.0</v>
      </c>
    </row>
    <row r="11250">
      <c r="Y11250" s="372">
        <v>0.0</v>
      </c>
      <c r="Z11250" s="372">
        <v>0.0</v>
      </c>
    </row>
    <row r="11251">
      <c r="Y11251" s="372">
        <v>0.0</v>
      </c>
      <c r="Z11251" s="372">
        <v>0.0</v>
      </c>
    </row>
    <row r="11252">
      <c r="Y11252" s="372">
        <v>0.0</v>
      </c>
      <c r="Z11252" s="372">
        <v>0.0</v>
      </c>
    </row>
    <row r="11253">
      <c r="Y11253" s="372">
        <v>0.0</v>
      </c>
      <c r="Z11253" s="372">
        <v>0.0</v>
      </c>
    </row>
    <row r="11254">
      <c r="Y11254" s="372">
        <v>0.0</v>
      </c>
      <c r="Z11254" s="372">
        <v>0.0</v>
      </c>
    </row>
    <row r="11255">
      <c r="Y11255" s="372">
        <v>0.0</v>
      </c>
      <c r="Z11255" s="372">
        <v>0.0</v>
      </c>
    </row>
    <row r="11256">
      <c r="Y11256" s="372">
        <v>0.0</v>
      </c>
      <c r="Z11256" s="372">
        <v>0.0</v>
      </c>
    </row>
    <row r="11257">
      <c r="Y11257" s="372">
        <v>0.0</v>
      </c>
      <c r="Z11257" s="372">
        <v>0.0</v>
      </c>
    </row>
    <row r="11258">
      <c r="Y11258" s="372">
        <v>0.0</v>
      </c>
      <c r="Z11258" s="372">
        <v>0.0</v>
      </c>
    </row>
    <row r="11259">
      <c r="Y11259" s="372">
        <v>0.0</v>
      </c>
      <c r="Z11259" s="372">
        <v>0.0</v>
      </c>
    </row>
    <row r="11260">
      <c r="Y11260" s="372">
        <v>0.0</v>
      </c>
      <c r="Z11260" s="372">
        <v>0.0</v>
      </c>
    </row>
    <row r="11261">
      <c r="Y11261" s="372">
        <v>0.0</v>
      </c>
      <c r="Z11261" s="372">
        <v>0.0</v>
      </c>
    </row>
    <row r="11262">
      <c r="Y11262" s="372">
        <v>0.0</v>
      </c>
      <c r="Z11262" s="372">
        <v>0.0</v>
      </c>
    </row>
    <row r="11263">
      <c r="Y11263" s="372">
        <v>0.0</v>
      </c>
      <c r="Z11263" s="372">
        <v>0.0</v>
      </c>
    </row>
    <row r="11264">
      <c r="Y11264" s="372">
        <v>0.0</v>
      </c>
      <c r="Z11264" s="372">
        <v>0.0</v>
      </c>
    </row>
    <row r="11265">
      <c r="Y11265" s="372">
        <v>0.0</v>
      </c>
      <c r="Z11265" s="372">
        <v>0.0</v>
      </c>
    </row>
    <row r="11266">
      <c r="Y11266" s="372">
        <v>0.0</v>
      </c>
      <c r="Z11266" s="372">
        <v>0.0</v>
      </c>
    </row>
    <row r="11267">
      <c r="Y11267" s="372">
        <v>0.0</v>
      </c>
      <c r="Z11267" s="372">
        <v>0.0</v>
      </c>
    </row>
    <row r="11268">
      <c r="Y11268" s="372">
        <v>0.0</v>
      </c>
      <c r="Z11268" s="372">
        <v>0.0</v>
      </c>
    </row>
    <row r="11269">
      <c r="Y11269" s="372">
        <v>0.0</v>
      </c>
      <c r="Z11269" s="372">
        <v>0.0</v>
      </c>
    </row>
    <row r="11270">
      <c r="Y11270" s="372">
        <v>0.0</v>
      </c>
      <c r="Z11270" s="372">
        <v>0.0</v>
      </c>
    </row>
    <row r="11271">
      <c r="Y11271" s="372">
        <v>0.0</v>
      </c>
      <c r="Z11271" s="372">
        <v>0.0</v>
      </c>
    </row>
    <row r="11272">
      <c r="Y11272" s="372">
        <v>0.0</v>
      </c>
      <c r="Z11272" s="372">
        <v>0.0</v>
      </c>
    </row>
    <row r="11273">
      <c r="Y11273" s="372">
        <v>0.0</v>
      </c>
      <c r="Z11273" s="372">
        <v>0.0</v>
      </c>
    </row>
    <row r="11274">
      <c r="Y11274" s="372">
        <v>0.0</v>
      </c>
      <c r="Z11274" s="372">
        <v>0.0</v>
      </c>
    </row>
    <row r="11275">
      <c r="Y11275" s="372">
        <v>0.0</v>
      </c>
      <c r="Z11275" s="372">
        <v>0.0</v>
      </c>
    </row>
    <row r="11276">
      <c r="Y11276" s="372">
        <v>0.0</v>
      </c>
      <c r="Z11276" s="372">
        <v>0.0</v>
      </c>
    </row>
    <row r="11277">
      <c r="Y11277" s="372">
        <v>0.0</v>
      </c>
      <c r="Z11277" s="372">
        <v>0.0</v>
      </c>
    </row>
    <row r="11278">
      <c r="Y11278" s="372">
        <v>0.0</v>
      </c>
      <c r="Z11278" s="372">
        <v>0.0</v>
      </c>
    </row>
    <row r="11279">
      <c r="Y11279" s="372">
        <v>0.0</v>
      </c>
      <c r="Z11279" s="372">
        <v>0.0</v>
      </c>
    </row>
    <row r="11280">
      <c r="Y11280" s="372">
        <v>0.0</v>
      </c>
      <c r="Z11280" s="372">
        <v>0.0</v>
      </c>
    </row>
    <row r="11281">
      <c r="Y11281" s="372">
        <v>0.0</v>
      </c>
      <c r="Z11281" s="372">
        <v>0.0</v>
      </c>
    </row>
    <row r="11282">
      <c r="Y11282" s="372">
        <v>0.0</v>
      </c>
      <c r="Z11282" s="372">
        <v>0.0</v>
      </c>
    </row>
    <row r="11283">
      <c r="Y11283" s="372">
        <v>0.0</v>
      </c>
      <c r="Z11283" s="372">
        <v>0.0</v>
      </c>
    </row>
    <row r="11284">
      <c r="Y11284" s="372">
        <v>0.0</v>
      </c>
      <c r="Z11284" s="372">
        <v>0.0</v>
      </c>
    </row>
    <row r="11285">
      <c r="Y11285" s="372">
        <v>0.0</v>
      </c>
      <c r="Z11285" s="372">
        <v>0.0</v>
      </c>
    </row>
    <row r="11286">
      <c r="Y11286" s="372">
        <v>0.0</v>
      </c>
      <c r="Z11286" s="372">
        <v>0.0</v>
      </c>
    </row>
    <row r="11287">
      <c r="Y11287" s="372">
        <v>0.0</v>
      </c>
      <c r="Z11287" s="372">
        <v>0.0</v>
      </c>
    </row>
    <row r="11288">
      <c r="Y11288" s="372">
        <v>0.0</v>
      </c>
      <c r="Z11288" s="372">
        <v>0.0</v>
      </c>
    </row>
    <row r="11289">
      <c r="Y11289" s="372">
        <v>0.0</v>
      </c>
      <c r="Z11289" s="372">
        <v>0.0</v>
      </c>
    </row>
    <row r="11290">
      <c r="Y11290" s="372">
        <v>0.0</v>
      </c>
      <c r="Z11290" s="372">
        <v>0.0</v>
      </c>
    </row>
    <row r="11291">
      <c r="Y11291" s="372">
        <v>0.0</v>
      </c>
      <c r="Z11291" s="372">
        <v>0.0</v>
      </c>
    </row>
    <row r="11292">
      <c r="Y11292" s="372">
        <v>0.0</v>
      </c>
      <c r="Z11292" s="372">
        <v>0.0</v>
      </c>
    </row>
    <row r="11293">
      <c r="Y11293" s="372">
        <v>0.0</v>
      </c>
      <c r="Z11293" s="372">
        <v>0.0</v>
      </c>
    </row>
    <row r="11294">
      <c r="Y11294" s="372">
        <v>0.0</v>
      </c>
      <c r="Z11294" s="372">
        <v>0.0</v>
      </c>
    </row>
    <row r="11295">
      <c r="Y11295" s="372">
        <v>0.0</v>
      </c>
      <c r="Z11295" s="372">
        <v>0.0</v>
      </c>
    </row>
    <row r="11296">
      <c r="Y11296" s="372">
        <v>0.0</v>
      </c>
      <c r="Z11296" s="372">
        <v>0.0</v>
      </c>
    </row>
    <row r="11297">
      <c r="Y11297" s="372">
        <v>0.0</v>
      </c>
      <c r="Z11297" s="372">
        <v>0.0</v>
      </c>
    </row>
    <row r="11298">
      <c r="Y11298" s="372">
        <v>0.0</v>
      </c>
      <c r="Z11298" s="372">
        <v>0.0</v>
      </c>
    </row>
    <row r="11299">
      <c r="Y11299" s="372">
        <v>0.0</v>
      </c>
      <c r="Z11299" s="372">
        <v>0.0</v>
      </c>
    </row>
    <row r="11300">
      <c r="Y11300" s="372">
        <v>0.0</v>
      </c>
      <c r="Z11300" s="372">
        <v>0.0</v>
      </c>
    </row>
    <row r="11301">
      <c r="Y11301" s="372">
        <v>0.0</v>
      </c>
      <c r="Z11301" s="372">
        <v>0.0</v>
      </c>
    </row>
    <row r="11302">
      <c r="Y11302" s="372">
        <v>0.0</v>
      </c>
      <c r="Z11302" s="372">
        <v>0.0</v>
      </c>
    </row>
    <row r="11303">
      <c r="Y11303" s="372">
        <v>0.0</v>
      </c>
      <c r="Z11303" s="372">
        <v>0.0</v>
      </c>
    </row>
    <row r="11304">
      <c r="Y11304" s="372">
        <v>0.0</v>
      </c>
      <c r="Z11304" s="372">
        <v>0.0</v>
      </c>
    </row>
    <row r="11305">
      <c r="Y11305" s="372">
        <v>0.0</v>
      </c>
      <c r="Z11305" s="372">
        <v>0.0</v>
      </c>
    </row>
    <row r="11306">
      <c r="Y11306" s="372">
        <v>0.0</v>
      </c>
      <c r="Z11306" s="372">
        <v>0.0</v>
      </c>
    </row>
    <row r="11307">
      <c r="Y11307" s="372">
        <v>0.0</v>
      </c>
      <c r="Z11307" s="372">
        <v>0.0</v>
      </c>
    </row>
    <row r="11308">
      <c r="Y11308" s="372">
        <v>0.0</v>
      </c>
      <c r="Z11308" s="372">
        <v>0.0</v>
      </c>
    </row>
    <row r="11309">
      <c r="Y11309" s="372">
        <v>0.0</v>
      </c>
      <c r="Z11309" s="372">
        <v>0.0</v>
      </c>
    </row>
    <row r="11310">
      <c r="Y11310" s="372">
        <v>0.0</v>
      </c>
      <c r="Z11310" s="372">
        <v>0.0</v>
      </c>
    </row>
    <row r="11311">
      <c r="Y11311" s="372">
        <v>0.0</v>
      </c>
      <c r="Z11311" s="372">
        <v>0.0</v>
      </c>
    </row>
    <row r="11312">
      <c r="Y11312" s="372">
        <v>0.0</v>
      </c>
      <c r="Z11312" s="372">
        <v>0.0</v>
      </c>
    </row>
    <row r="11313">
      <c r="Y11313" s="372">
        <v>0.0</v>
      </c>
      <c r="Z11313" s="372">
        <v>0.0</v>
      </c>
    </row>
    <row r="11314">
      <c r="Y11314" s="372">
        <v>0.0</v>
      </c>
      <c r="Z11314" s="372">
        <v>0.0</v>
      </c>
    </row>
    <row r="11315">
      <c r="Y11315" s="372">
        <v>0.0</v>
      </c>
      <c r="Z11315" s="372">
        <v>0.0</v>
      </c>
    </row>
    <row r="11316">
      <c r="Y11316" s="372">
        <v>0.0</v>
      </c>
      <c r="Z11316" s="372">
        <v>0.0</v>
      </c>
    </row>
    <row r="11317">
      <c r="Y11317" s="372">
        <v>0.0</v>
      </c>
      <c r="Z11317" s="372">
        <v>0.0</v>
      </c>
    </row>
    <row r="11318">
      <c r="Y11318" s="372">
        <v>0.0</v>
      </c>
      <c r="Z11318" s="372">
        <v>0.0</v>
      </c>
    </row>
    <row r="11319">
      <c r="Y11319" s="372">
        <v>0.0</v>
      </c>
      <c r="Z11319" s="372">
        <v>0.0</v>
      </c>
    </row>
    <row r="11320">
      <c r="Y11320" s="372">
        <v>0.0</v>
      </c>
      <c r="Z11320" s="372">
        <v>0.0</v>
      </c>
    </row>
    <row r="11321">
      <c r="Y11321" s="372">
        <v>0.0</v>
      </c>
      <c r="Z11321" s="372">
        <v>0.0</v>
      </c>
    </row>
    <row r="11322">
      <c r="Y11322" s="372">
        <v>0.0</v>
      </c>
      <c r="Z11322" s="372">
        <v>0.0</v>
      </c>
    </row>
    <row r="11323">
      <c r="Y11323" s="372">
        <v>0.0</v>
      </c>
      <c r="Z11323" s="372">
        <v>0.0</v>
      </c>
    </row>
    <row r="11324">
      <c r="Y11324" s="372">
        <v>0.0</v>
      </c>
      <c r="Z11324" s="372">
        <v>0.0</v>
      </c>
    </row>
    <row r="11325">
      <c r="Y11325" s="372">
        <v>0.0</v>
      </c>
      <c r="Z11325" s="372">
        <v>0.0</v>
      </c>
    </row>
    <row r="11326">
      <c r="Y11326" s="372">
        <v>0.0</v>
      </c>
      <c r="Z11326" s="372">
        <v>0.0</v>
      </c>
    </row>
    <row r="11327">
      <c r="Y11327" s="372">
        <v>0.0</v>
      </c>
      <c r="Z11327" s="372">
        <v>0.0</v>
      </c>
    </row>
    <row r="11328">
      <c r="Y11328" s="372">
        <v>0.0</v>
      </c>
      <c r="Z11328" s="372">
        <v>0.0</v>
      </c>
    </row>
    <row r="11329">
      <c r="Y11329" s="372">
        <v>0.0</v>
      </c>
      <c r="Z11329" s="372">
        <v>0.0</v>
      </c>
    </row>
    <row r="11330">
      <c r="Y11330" s="372">
        <v>0.0</v>
      </c>
      <c r="Z11330" s="372">
        <v>0.0</v>
      </c>
    </row>
    <row r="11331">
      <c r="Y11331" s="372">
        <v>0.0</v>
      </c>
      <c r="Z11331" s="372">
        <v>0.0</v>
      </c>
    </row>
    <row r="11332">
      <c r="Y11332" s="372">
        <v>0.0</v>
      </c>
      <c r="Z11332" s="372">
        <v>0.0</v>
      </c>
    </row>
    <row r="11333">
      <c r="Y11333" s="372">
        <v>0.0</v>
      </c>
      <c r="Z11333" s="372">
        <v>0.0</v>
      </c>
    </row>
    <row r="11334">
      <c r="Y11334" s="372">
        <v>0.0</v>
      </c>
      <c r="Z11334" s="372">
        <v>0.0</v>
      </c>
    </row>
    <row r="11335">
      <c r="Y11335" s="372">
        <v>0.0</v>
      </c>
      <c r="Z11335" s="372">
        <v>0.0</v>
      </c>
    </row>
    <row r="11336">
      <c r="Y11336" s="372">
        <v>0.0</v>
      </c>
      <c r="Z11336" s="372">
        <v>0.0</v>
      </c>
    </row>
    <row r="11337">
      <c r="Y11337" s="372">
        <v>0.0</v>
      </c>
      <c r="Z11337" s="372">
        <v>0.0</v>
      </c>
    </row>
    <row r="11338">
      <c r="Y11338" s="372">
        <v>0.0</v>
      </c>
      <c r="Z11338" s="372">
        <v>0.0</v>
      </c>
    </row>
    <row r="11339">
      <c r="Y11339" s="372">
        <v>0.0</v>
      </c>
      <c r="Z11339" s="372">
        <v>0.0</v>
      </c>
    </row>
    <row r="11340">
      <c r="Y11340" s="372">
        <v>0.0</v>
      </c>
      <c r="Z11340" s="372">
        <v>0.0</v>
      </c>
    </row>
    <row r="11341">
      <c r="Y11341" s="372">
        <v>0.0</v>
      </c>
      <c r="Z11341" s="372">
        <v>0.0</v>
      </c>
    </row>
    <row r="11342">
      <c r="Y11342" s="372">
        <v>0.0</v>
      </c>
      <c r="Z11342" s="372">
        <v>0.0</v>
      </c>
    </row>
    <row r="11343">
      <c r="Y11343" s="372">
        <v>0.0</v>
      </c>
      <c r="Z11343" s="372">
        <v>0.0</v>
      </c>
    </row>
    <row r="11344">
      <c r="Y11344" s="372">
        <v>0.0</v>
      </c>
      <c r="Z11344" s="372">
        <v>0.0</v>
      </c>
    </row>
    <row r="11345">
      <c r="Y11345" s="372">
        <v>0.0</v>
      </c>
      <c r="Z11345" s="372">
        <v>0.0</v>
      </c>
    </row>
    <row r="11346">
      <c r="Y11346" s="372">
        <v>0.0</v>
      </c>
      <c r="Z11346" s="372">
        <v>0.0</v>
      </c>
    </row>
    <row r="11347">
      <c r="Y11347" s="372">
        <v>0.0</v>
      </c>
      <c r="Z11347" s="372">
        <v>0.0</v>
      </c>
    </row>
    <row r="11348">
      <c r="Y11348" s="372">
        <v>0.0</v>
      </c>
      <c r="Z11348" s="372">
        <v>0.0</v>
      </c>
    </row>
    <row r="11349">
      <c r="Y11349" s="372">
        <v>0.0</v>
      </c>
      <c r="Z11349" s="372">
        <v>0.0</v>
      </c>
    </row>
    <row r="11350">
      <c r="Y11350" s="372">
        <v>0.0</v>
      </c>
      <c r="Z11350" s="372">
        <v>0.0</v>
      </c>
    </row>
    <row r="11351">
      <c r="Y11351" s="372">
        <v>0.0</v>
      </c>
      <c r="Z11351" s="372">
        <v>0.0</v>
      </c>
    </row>
    <row r="11352">
      <c r="Y11352" s="372">
        <v>0.0</v>
      </c>
      <c r="Z11352" s="372">
        <v>0.0</v>
      </c>
    </row>
    <row r="11353">
      <c r="Y11353" s="372">
        <v>0.0</v>
      </c>
      <c r="Z11353" s="372">
        <v>0.0</v>
      </c>
    </row>
    <row r="11354">
      <c r="Y11354" s="372">
        <v>0.0</v>
      </c>
      <c r="Z11354" s="372">
        <v>0.0</v>
      </c>
    </row>
    <row r="11355">
      <c r="Y11355" s="372">
        <v>0.0</v>
      </c>
      <c r="Z11355" s="372">
        <v>0.0</v>
      </c>
    </row>
    <row r="11356">
      <c r="Y11356" s="372">
        <v>0.0</v>
      </c>
      <c r="Z11356" s="372">
        <v>0.0</v>
      </c>
    </row>
    <row r="11357">
      <c r="Y11357" s="372">
        <v>0.0</v>
      </c>
      <c r="Z11357" s="372">
        <v>0.0</v>
      </c>
    </row>
    <row r="11358">
      <c r="Y11358" s="372">
        <v>0.0</v>
      </c>
      <c r="Z11358" s="372">
        <v>0.0</v>
      </c>
    </row>
    <row r="11359">
      <c r="Y11359" s="372">
        <v>0.0</v>
      </c>
      <c r="Z11359" s="372">
        <v>0.0</v>
      </c>
    </row>
    <row r="11360">
      <c r="Y11360" s="372">
        <v>0.0</v>
      </c>
      <c r="Z11360" s="372">
        <v>0.0</v>
      </c>
    </row>
    <row r="11361">
      <c r="Y11361" s="372">
        <v>0.0</v>
      </c>
      <c r="Z11361" s="372">
        <v>0.0</v>
      </c>
    </row>
    <row r="11362">
      <c r="Y11362" s="372">
        <v>0.0</v>
      </c>
      <c r="Z11362" s="372">
        <v>0.0</v>
      </c>
    </row>
    <row r="11363">
      <c r="Y11363" s="372">
        <v>0.0</v>
      </c>
      <c r="Z11363" s="372">
        <v>0.0</v>
      </c>
    </row>
    <row r="11364">
      <c r="Y11364" s="372">
        <v>0.0</v>
      </c>
      <c r="Z11364" s="372">
        <v>0.0</v>
      </c>
    </row>
    <row r="11365">
      <c r="Y11365" s="372">
        <v>0.0</v>
      </c>
      <c r="Z11365" s="372">
        <v>0.0</v>
      </c>
    </row>
    <row r="11366">
      <c r="Y11366" s="372">
        <v>0.0</v>
      </c>
      <c r="Z11366" s="372">
        <v>0.0</v>
      </c>
    </row>
    <row r="11367">
      <c r="Y11367" s="372">
        <v>0.0</v>
      </c>
      <c r="Z11367" s="372">
        <v>0.0</v>
      </c>
    </row>
    <row r="11368">
      <c r="Y11368" s="372">
        <v>0.0</v>
      </c>
      <c r="Z11368" s="372">
        <v>0.0</v>
      </c>
    </row>
    <row r="11369">
      <c r="Y11369" s="372">
        <v>0.0</v>
      </c>
      <c r="Z11369" s="372">
        <v>0.0</v>
      </c>
    </row>
    <row r="11370">
      <c r="Y11370" s="372">
        <v>0.0</v>
      </c>
      <c r="Z11370" s="372">
        <v>0.0</v>
      </c>
    </row>
    <row r="11371">
      <c r="Y11371" s="372">
        <v>0.0</v>
      </c>
      <c r="Z11371" s="372">
        <v>0.0</v>
      </c>
    </row>
    <row r="11372">
      <c r="Y11372" s="372">
        <v>0.0</v>
      </c>
      <c r="Z11372" s="372">
        <v>0.0</v>
      </c>
    </row>
    <row r="11373">
      <c r="Y11373" s="372">
        <v>0.0</v>
      </c>
      <c r="Z11373" s="372">
        <v>0.0</v>
      </c>
    </row>
    <row r="11374">
      <c r="Y11374" s="372">
        <v>0.0</v>
      </c>
      <c r="Z11374" s="372">
        <v>0.0</v>
      </c>
    </row>
    <row r="11375">
      <c r="Y11375" s="372">
        <v>0.0</v>
      </c>
      <c r="Z11375" s="372">
        <v>0.0</v>
      </c>
    </row>
    <row r="11376">
      <c r="Y11376" s="372">
        <v>0.0</v>
      </c>
      <c r="Z11376" s="372">
        <v>0.0</v>
      </c>
    </row>
    <row r="11377">
      <c r="Y11377" s="372">
        <v>0.0</v>
      </c>
      <c r="Z11377" s="372">
        <v>0.0</v>
      </c>
    </row>
    <row r="11378">
      <c r="Y11378" s="372">
        <v>0.0</v>
      </c>
      <c r="Z11378" s="372">
        <v>0.0</v>
      </c>
    </row>
    <row r="11379">
      <c r="Y11379" s="372">
        <v>0.0</v>
      </c>
      <c r="Z11379" s="372">
        <v>0.0</v>
      </c>
    </row>
    <row r="11380">
      <c r="Y11380" s="372">
        <v>0.0</v>
      </c>
      <c r="Z11380" s="372">
        <v>0.0</v>
      </c>
    </row>
    <row r="11381">
      <c r="Y11381" s="372">
        <v>0.0</v>
      </c>
      <c r="Z11381" s="372">
        <v>0.0</v>
      </c>
    </row>
    <row r="11382">
      <c r="Y11382" s="372">
        <v>0.0</v>
      </c>
      <c r="Z11382" s="372">
        <v>0.0</v>
      </c>
    </row>
    <row r="11383">
      <c r="Y11383" s="372">
        <v>0.0</v>
      </c>
      <c r="Z11383" s="372">
        <v>0.0</v>
      </c>
    </row>
    <row r="11384">
      <c r="Y11384" s="372">
        <v>0.0</v>
      </c>
      <c r="Z11384" s="372">
        <v>0.0</v>
      </c>
    </row>
    <row r="11385">
      <c r="Y11385" s="372">
        <v>0.0</v>
      </c>
      <c r="Z11385" s="372">
        <v>0.0</v>
      </c>
    </row>
    <row r="11386">
      <c r="Y11386" s="372">
        <v>0.0</v>
      </c>
      <c r="Z11386" s="372">
        <v>0.0</v>
      </c>
    </row>
    <row r="11387">
      <c r="Y11387" s="372">
        <v>0.0</v>
      </c>
      <c r="Z11387" s="372">
        <v>0.0</v>
      </c>
    </row>
    <row r="11388">
      <c r="Y11388" s="372">
        <v>0.0</v>
      </c>
      <c r="Z11388" s="372">
        <v>0.0</v>
      </c>
    </row>
    <row r="11389">
      <c r="Y11389" s="372">
        <v>0.0</v>
      </c>
      <c r="Z11389" s="372">
        <v>0.0</v>
      </c>
    </row>
    <row r="11390">
      <c r="Y11390" s="372">
        <v>0.0</v>
      </c>
      <c r="Z11390" s="372">
        <v>0.0</v>
      </c>
    </row>
    <row r="11391">
      <c r="Y11391" s="372">
        <v>0.0</v>
      </c>
      <c r="Z11391" s="372">
        <v>0.0</v>
      </c>
    </row>
    <row r="11392">
      <c r="Y11392" s="372">
        <v>0.0</v>
      </c>
      <c r="Z11392" s="372">
        <v>0.0</v>
      </c>
    </row>
    <row r="11393">
      <c r="Y11393" s="372">
        <v>0.0</v>
      </c>
      <c r="Z11393" s="372">
        <v>0.0</v>
      </c>
    </row>
    <row r="11394">
      <c r="Y11394" s="372">
        <v>0.0</v>
      </c>
      <c r="Z11394" s="372">
        <v>0.0</v>
      </c>
    </row>
    <row r="11395">
      <c r="Y11395" s="372">
        <v>0.0</v>
      </c>
      <c r="Z11395" s="372">
        <v>0.0</v>
      </c>
    </row>
    <row r="11396">
      <c r="Y11396" s="372">
        <v>0.0</v>
      </c>
      <c r="Z11396" s="372">
        <v>0.0</v>
      </c>
    </row>
    <row r="11397">
      <c r="Y11397" s="372">
        <v>0.0</v>
      </c>
      <c r="Z11397" s="372">
        <v>0.0</v>
      </c>
    </row>
    <row r="11398">
      <c r="Y11398" s="372">
        <v>0.0</v>
      </c>
      <c r="Z11398" s="372">
        <v>0.0</v>
      </c>
    </row>
    <row r="11399">
      <c r="Y11399" s="372">
        <v>0.0</v>
      </c>
      <c r="Z11399" s="372">
        <v>0.0</v>
      </c>
    </row>
    <row r="11400">
      <c r="Y11400" s="372">
        <v>0.0</v>
      </c>
      <c r="Z11400" s="372">
        <v>0.0</v>
      </c>
    </row>
    <row r="11401">
      <c r="Y11401" s="372">
        <v>0.0</v>
      </c>
      <c r="Z11401" s="372">
        <v>0.0</v>
      </c>
    </row>
    <row r="11402">
      <c r="Y11402" s="372">
        <v>0.0</v>
      </c>
      <c r="Z11402" s="372">
        <v>0.0</v>
      </c>
    </row>
    <row r="11403">
      <c r="Y11403" s="372">
        <v>0.0</v>
      </c>
      <c r="Z11403" s="372">
        <v>0.0</v>
      </c>
    </row>
    <row r="11404">
      <c r="Y11404" s="372">
        <v>0.0</v>
      </c>
      <c r="Z11404" s="372">
        <v>0.0</v>
      </c>
    </row>
    <row r="11405">
      <c r="Y11405" s="372">
        <v>0.0</v>
      </c>
      <c r="Z11405" s="372">
        <v>0.0</v>
      </c>
    </row>
    <row r="11406">
      <c r="Y11406" s="372">
        <v>0.0</v>
      </c>
      <c r="Z11406" s="372">
        <v>0.0</v>
      </c>
    </row>
    <row r="11407">
      <c r="Y11407" s="372">
        <v>0.0</v>
      </c>
      <c r="Z11407" s="372">
        <v>0.0</v>
      </c>
    </row>
    <row r="11408">
      <c r="Y11408" s="372">
        <v>0.0</v>
      </c>
      <c r="Z11408" s="372">
        <v>0.0</v>
      </c>
    </row>
    <row r="11409">
      <c r="Y11409" s="372">
        <v>0.0</v>
      </c>
      <c r="Z11409" s="372">
        <v>0.0</v>
      </c>
    </row>
    <row r="11410">
      <c r="Y11410" s="372">
        <v>0.0</v>
      </c>
      <c r="Z11410" s="372">
        <v>0.0</v>
      </c>
    </row>
    <row r="11411">
      <c r="Y11411" s="372">
        <v>0.0</v>
      </c>
      <c r="Z11411" s="372">
        <v>0.0</v>
      </c>
    </row>
    <row r="11412">
      <c r="Y11412" s="372">
        <v>0.0</v>
      </c>
      <c r="Z11412" s="372">
        <v>0.0</v>
      </c>
    </row>
    <row r="11413">
      <c r="Y11413" s="372">
        <v>0.0</v>
      </c>
      <c r="Z11413" s="372">
        <v>0.0</v>
      </c>
    </row>
    <row r="11414">
      <c r="Y11414" s="372">
        <v>0.0</v>
      </c>
      <c r="Z11414" s="372">
        <v>0.0</v>
      </c>
    </row>
    <row r="11415">
      <c r="Y11415" s="372">
        <v>0.0</v>
      </c>
      <c r="Z11415" s="372">
        <v>0.0</v>
      </c>
    </row>
    <row r="11416">
      <c r="Y11416" s="372">
        <v>0.0</v>
      </c>
      <c r="Z11416" s="372">
        <v>0.0</v>
      </c>
    </row>
    <row r="11417">
      <c r="Y11417" s="372">
        <v>0.0</v>
      </c>
      <c r="Z11417" s="372">
        <v>0.0</v>
      </c>
    </row>
    <row r="11418">
      <c r="Y11418" s="372">
        <v>0.0</v>
      </c>
      <c r="Z11418" s="372">
        <v>0.0</v>
      </c>
    </row>
    <row r="11419">
      <c r="Y11419" s="372">
        <v>0.0</v>
      </c>
      <c r="Z11419" s="372">
        <v>0.0</v>
      </c>
    </row>
    <row r="11420">
      <c r="Y11420" s="372">
        <v>0.0</v>
      </c>
      <c r="Z11420" s="372">
        <v>0.0</v>
      </c>
    </row>
    <row r="11421">
      <c r="Y11421" s="372">
        <v>0.0</v>
      </c>
      <c r="Z11421" s="372">
        <v>0.0</v>
      </c>
    </row>
    <row r="11422">
      <c r="Y11422" s="372">
        <v>0.0</v>
      </c>
      <c r="Z11422" s="372">
        <v>0.0</v>
      </c>
    </row>
    <row r="11423">
      <c r="Y11423" s="372">
        <v>0.0</v>
      </c>
      <c r="Z11423" s="372">
        <v>0.0</v>
      </c>
    </row>
    <row r="11424">
      <c r="Y11424" s="372">
        <v>0.0</v>
      </c>
      <c r="Z11424" s="372">
        <v>0.0</v>
      </c>
    </row>
    <row r="11425">
      <c r="Y11425" s="372">
        <v>0.0</v>
      </c>
      <c r="Z11425" s="372">
        <v>0.0</v>
      </c>
    </row>
    <row r="11426">
      <c r="Y11426" s="372">
        <v>0.0</v>
      </c>
      <c r="Z11426" s="372">
        <v>0.0</v>
      </c>
    </row>
    <row r="11427">
      <c r="Y11427" s="372">
        <v>0.0</v>
      </c>
      <c r="Z11427" s="372">
        <v>0.0</v>
      </c>
    </row>
    <row r="11428">
      <c r="Y11428" s="372">
        <v>0.0</v>
      </c>
      <c r="Z11428" s="372">
        <v>0.0</v>
      </c>
    </row>
    <row r="11429">
      <c r="Y11429" s="372">
        <v>0.0</v>
      </c>
      <c r="Z11429" s="372">
        <v>0.0</v>
      </c>
    </row>
    <row r="11430">
      <c r="Y11430" s="372">
        <v>0.0</v>
      </c>
      <c r="Z11430" s="372">
        <v>0.0</v>
      </c>
    </row>
    <row r="11431">
      <c r="Y11431" s="372">
        <v>0.0</v>
      </c>
      <c r="Z11431" s="372">
        <v>0.0</v>
      </c>
    </row>
    <row r="11432">
      <c r="Y11432" s="372">
        <v>0.0</v>
      </c>
      <c r="Z11432" s="372">
        <v>0.0</v>
      </c>
    </row>
    <row r="11433">
      <c r="Y11433" s="372">
        <v>0.0</v>
      </c>
      <c r="Z11433" s="372">
        <v>0.0</v>
      </c>
    </row>
    <row r="11434">
      <c r="Y11434" s="372">
        <v>0.0</v>
      </c>
      <c r="Z11434" s="372">
        <v>0.0</v>
      </c>
    </row>
    <row r="11435">
      <c r="Y11435" s="372">
        <v>0.0</v>
      </c>
      <c r="Z11435" s="372">
        <v>0.0</v>
      </c>
    </row>
    <row r="11436">
      <c r="Y11436" s="372">
        <v>0.0</v>
      </c>
      <c r="Z11436" s="372">
        <v>0.0</v>
      </c>
    </row>
    <row r="11437">
      <c r="Y11437" s="372">
        <v>0.0</v>
      </c>
      <c r="Z11437" s="372">
        <v>0.0</v>
      </c>
    </row>
    <row r="11438">
      <c r="Y11438" s="372">
        <v>0.0</v>
      </c>
      <c r="Z11438" s="372">
        <v>0.0</v>
      </c>
    </row>
    <row r="11439">
      <c r="Y11439" s="372">
        <v>0.0</v>
      </c>
      <c r="Z11439" s="372">
        <v>0.0</v>
      </c>
    </row>
    <row r="11440">
      <c r="Y11440" s="372">
        <v>0.0</v>
      </c>
      <c r="Z11440" s="372">
        <v>0.0</v>
      </c>
    </row>
    <row r="11441">
      <c r="Y11441" s="372">
        <v>0.0</v>
      </c>
      <c r="Z11441" s="372">
        <v>0.0</v>
      </c>
    </row>
    <row r="11442">
      <c r="Y11442" s="372">
        <v>0.0</v>
      </c>
      <c r="Z11442" s="372">
        <v>0.0</v>
      </c>
    </row>
    <row r="11443">
      <c r="Y11443" s="372">
        <v>0.0</v>
      </c>
      <c r="Z11443" s="372">
        <v>0.0</v>
      </c>
    </row>
    <row r="11444">
      <c r="Y11444" s="372">
        <v>0.0</v>
      </c>
      <c r="Z11444" s="372">
        <v>0.0</v>
      </c>
    </row>
    <row r="11445">
      <c r="Y11445" s="372">
        <v>0.0</v>
      </c>
      <c r="Z11445" s="372">
        <v>0.0</v>
      </c>
    </row>
    <row r="11446">
      <c r="Y11446" s="372">
        <v>0.0</v>
      </c>
      <c r="Z11446" s="372">
        <v>0.0</v>
      </c>
    </row>
    <row r="11447">
      <c r="Y11447" s="372">
        <v>0.0</v>
      </c>
      <c r="Z11447" s="372">
        <v>0.0</v>
      </c>
    </row>
    <row r="11448">
      <c r="Y11448" s="372">
        <v>0.0</v>
      </c>
      <c r="Z11448" s="372">
        <v>0.0</v>
      </c>
    </row>
    <row r="11449">
      <c r="Y11449" s="372">
        <v>0.0</v>
      </c>
      <c r="Z11449" s="372">
        <v>0.0</v>
      </c>
    </row>
    <row r="11450">
      <c r="Y11450" s="372">
        <v>0.0</v>
      </c>
      <c r="Z11450" s="372">
        <v>0.0</v>
      </c>
    </row>
    <row r="11451">
      <c r="Y11451" s="372">
        <v>0.0</v>
      </c>
      <c r="Z11451" s="372">
        <v>0.0</v>
      </c>
    </row>
    <row r="11452">
      <c r="Y11452" s="372">
        <v>0.0</v>
      </c>
      <c r="Z11452" s="372">
        <v>0.0</v>
      </c>
    </row>
    <row r="11453">
      <c r="Y11453" s="372">
        <v>0.0</v>
      </c>
      <c r="Z11453" s="372">
        <v>0.0</v>
      </c>
    </row>
    <row r="11454">
      <c r="Y11454" s="372">
        <v>0.0</v>
      </c>
      <c r="Z11454" s="372">
        <v>0.0</v>
      </c>
    </row>
    <row r="11455">
      <c r="Y11455" s="372">
        <v>0.0</v>
      </c>
      <c r="Z11455" s="372">
        <v>0.0</v>
      </c>
    </row>
    <row r="11456">
      <c r="Y11456" s="372">
        <v>0.0</v>
      </c>
      <c r="Z11456" s="372">
        <v>0.0</v>
      </c>
    </row>
    <row r="11457">
      <c r="Y11457" s="372">
        <v>0.0</v>
      </c>
      <c r="Z11457" s="372">
        <v>0.0</v>
      </c>
    </row>
    <row r="11458">
      <c r="Y11458" s="372">
        <v>0.0</v>
      </c>
      <c r="Z11458" s="372">
        <v>0.0</v>
      </c>
    </row>
    <row r="11459">
      <c r="Y11459" s="372">
        <v>0.0</v>
      </c>
      <c r="Z11459" s="372">
        <v>0.0</v>
      </c>
    </row>
    <row r="11460">
      <c r="Y11460" s="372">
        <v>0.0</v>
      </c>
      <c r="Z11460" s="372">
        <v>0.0</v>
      </c>
    </row>
    <row r="11461">
      <c r="Y11461" s="372">
        <v>0.0</v>
      </c>
      <c r="Z11461" s="372">
        <v>0.0</v>
      </c>
    </row>
    <row r="11462">
      <c r="Y11462" s="372">
        <v>0.0</v>
      </c>
      <c r="Z11462" s="372">
        <v>0.0</v>
      </c>
    </row>
    <row r="11463">
      <c r="Y11463" s="372">
        <v>0.0</v>
      </c>
      <c r="Z11463" s="372">
        <v>0.0</v>
      </c>
    </row>
    <row r="11464">
      <c r="Y11464" s="372">
        <v>0.0</v>
      </c>
      <c r="Z11464" s="372">
        <v>0.0</v>
      </c>
    </row>
    <row r="11465">
      <c r="Y11465" s="372">
        <v>0.0</v>
      </c>
      <c r="Z11465" s="372">
        <v>0.0</v>
      </c>
    </row>
    <row r="11466">
      <c r="Y11466" s="372">
        <v>0.0</v>
      </c>
      <c r="Z11466" s="372">
        <v>0.0</v>
      </c>
    </row>
    <row r="11467">
      <c r="Y11467" s="372">
        <v>0.0</v>
      </c>
      <c r="Z11467" s="372">
        <v>0.0</v>
      </c>
    </row>
    <row r="11468">
      <c r="Y11468" s="372">
        <v>0.0</v>
      </c>
      <c r="Z11468" s="372">
        <v>0.0</v>
      </c>
    </row>
    <row r="11469">
      <c r="Y11469" s="372">
        <v>0.0</v>
      </c>
      <c r="Z11469" s="372">
        <v>0.0</v>
      </c>
    </row>
    <row r="11470">
      <c r="Y11470" s="372">
        <v>0.0</v>
      </c>
      <c r="Z11470" s="372">
        <v>0.0</v>
      </c>
    </row>
    <row r="11471">
      <c r="Y11471" s="372">
        <v>0.0</v>
      </c>
      <c r="Z11471" s="372">
        <v>0.0</v>
      </c>
    </row>
    <row r="11472">
      <c r="Y11472" s="372">
        <v>0.0</v>
      </c>
      <c r="Z11472" s="372">
        <v>0.0</v>
      </c>
    </row>
    <row r="11473">
      <c r="Y11473" s="372">
        <v>0.0</v>
      </c>
      <c r="Z11473" s="372">
        <v>0.0</v>
      </c>
    </row>
    <row r="11474">
      <c r="Y11474" s="372">
        <v>0.0</v>
      </c>
      <c r="Z11474" s="372">
        <v>0.0</v>
      </c>
    </row>
    <row r="11475">
      <c r="Y11475" s="372">
        <v>0.0</v>
      </c>
      <c r="Z11475" s="372">
        <v>0.0</v>
      </c>
    </row>
    <row r="11476">
      <c r="Y11476" s="372">
        <v>0.0</v>
      </c>
      <c r="Z11476" s="372">
        <v>0.0</v>
      </c>
    </row>
    <row r="11477">
      <c r="Y11477" s="372">
        <v>0.0</v>
      </c>
      <c r="Z11477" s="372">
        <v>0.0</v>
      </c>
    </row>
    <row r="11478">
      <c r="Y11478" s="372">
        <v>0.0</v>
      </c>
      <c r="Z11478" s="372">
        <v>0.0</v>
      </c>
    </row>
    <row r="11479">
      <c r="Y11479" s="372">
        <v>0.0</v>
      </c>
      <c r="Z11479" s="372">
        <v>0.0</v>
      </c>
    </row>
    <row r="11480">
      <c r="Y11480" s="372">
        <v>0.0</v>
      </c>
      <c r="Z11480" s="372">
        <v>0.0</v>
      </c>
    </row>
    <row r="11481">
      <c r="Y11481" s="372">
        <v>0.0</v>
      </c>
      <c r="Z11481" s="372">
        <v>0.0</v>
      </c>
    </row>
    <row r="11482">
      <c r="Y11482" s="372">
        <v>0.0</v>
      </c>
      <c r="Z11482" s="372">
        <v>0.0</v>
      </c>
    </row>
    <row r="11483">
      <c r="Y11483" s="372">
        <v>0.0</v>
      </c>
      <c r="Z11483" s="372">
        <v>0.0</v>
      </c>
    </row>
    <row r="11484">
      <c r="Y11484" s="372">
        <v>0.0</v>
      </c>
      <c r="Z11484" s="372">
        <v>0.0</v>
      </c>
    </row>
    <row r="11485">
      <c r="Y11485" s="372">
        <v>0.0</v>
      </c>
      <c r="Z11485" s="372">
        <v>0.0</v>
      </c>
    </row>
    <row r="11486">
      <c r="Y11486" s="372">
        <v>0.0</v>
      </c>
      <c r="Z11486" s="372">
        <v>0.0</v>
      </c>
    </row>
    <row r="11487">
      <c r="Y11487" s="372">
        <v>0.0</v>
      </c>
      <c r="Z11487" s="372">
        <v>0.0</v>
      </c>
    </row>
    <row r="11488">
      <c r="Y11488" s="372">
        <v>0.0</v>
      </c>
      <c r="Z11488" s="372">
        <v>0.0</v>
      </c>
    </row>
    <row r="11489">
      <c r="Y11489" s="372">
        <v>0.0</v>
      </c>
      <c r="Z11489" s="372">
        <v>0.0</v>
      </c>
    </row>
    <row r="11490">
      <c r="Y11490" s="372">
        <v>0.0</v>
      </c>
      <c r="Z11490" s="372">
        <v>0.0</v>
      </c>
    </row>
    <row r="11491">
      <c r="Y11491" s="372">
        <v>0.0</v>
      </c>
      <c r="Z11491" s="372">
        <v>0.0</v>
      </c>
    </row>
    <row r="11492">
      <c r="Y11492" s="372">
        <v>0.0</v>
      </c>
      <c r="Z11492" s="372">
        <v>0.0</v>
      </c>
    </row>
    <row r="11493">
      <c r="Y11493" s="372">
        <v>0.0</v>
      </c>
      <c r="Z11493" s="372">
        <v>0.0</v>
      </c>
    </row>
    <row r="11494">
      <c r="Y11494" s="372">
        <v>0.0</v>
      </c>
      <c r="Z11494" s="372">
        <v>0.0</v>
      </c>
    </row>
    <row r="11495">
      <c r="Y11495" s="372">
        <v>0.0</v>
      </c>
      <c r="Z11495" s="372">
        <v>0.0</v>
      </c>
    </row>
    <row r="11496">
      <c r="Y11496" s="372">
        <v>0.0</v>
      </c>
      <c r="Z11496" s="372">
        <v>0.0</v>
      </c>
    </row>
    <row r="11497">
      <c r="Y11497" s="372">
        <v>0.0</v>
      </c>
      <c r="Z11497" s="372">
        <v>0.0</v>
      </c>
    </row>
    <row r="11498">
      <c r="Y11498" s="372">
        <v>0.0</v>
      </c>
      <c r="Z11498" s="372">
        <v>0.0</v>
      </c>
    </row>
    <row r="11499">
      <c r="Y11499" s="372">
        <v>0.0</v>
      </c>
      <c r="Z11499" s="372">
        <v>0.0</v>
      </c>
    </row>
    <row r="11500">
      <c r="Y11500" s="372">
        <v>0.0</v>
      </c>
      <c r="Z11500" s="372">
        <v>0.0</v>
      </c>
    </row>
    <row r="11501">
      <c r="Y11501" s="372">
        <v>0.0</v>
      </c>
      <c r="Z11501" s="372">
        <v>0.0</v>
      </c>
    </row>
    <row r="11502">
      <c r="Y11502" s="372">
        <v>0.0</v>
      </c>
      <c r="Z11502" s="372">
        <v>0.0</v>
      </c>
    </row>
    <row r="11503">
      <c r="Y11503" s="372">
        <v>0.0</v>
      </c>
      <c r="Z11503" s="372">
        <v>0.0</v>
      </c>
    </row>
    <row r="11504">
      <c r="Y11504" s="372">
        <v>0.0</v>
      </c>
      <c r="Z11504" s="372">
        <v>0.0</v>
      </c>
    </row>
    <row r="11505">
      <c r="Y11505" s="372">
        <v>0.0</v>
      </c>
      <c r="Z11505" s="372">
        <v>0.0</v>
      </c>
    </row>
    <row r="11506">
      <c r="Y11506" s="372">
        <v>0.0</v>
      </c>
      <c r="Z11506" s="372">
        <v>0.0</v>
      </c>
    </row>
    <row r="11507">
      <c r="Y11507" s="372">
        <v>0.0</v>
      </c>
      <c r="Z11507" s="372">
        <v>0.0</v>
      </c>
    </row>
    <row r="11508">
      <c r="Y11508" s="372">
        <v>0.0</v>
      </c>
      <c r="Z11508" s="372">
        <v>0.0</v>
      </c>
    </row>
    <row r="11509">
      <c r="Y11509" s="372">
        <v>0.0</v>
      </c>
      <c r="Z11509" s="372">
        <v>0.0</v>
      </c>
    </row>
    <row r="11510">
      <c r="Y11510" s="372">
        <v>0.0</v>
      </c>
      <c r="Z11510" s="372">
        <v>0.0</v>
      </c>
    </row>
    <row r="11511">
      <c r="Y11511" s="372">
        <v>0.0</v>
      </c>
      <c r="Z11511" s="372">
        <v>0.0</v>
      </c>
    </row>
    <row r="11512">
      <c r="Y11512" s="372">
        <v>0.0</v>
      </c>
      <c r="Z11512" s="372">
        <v>0.0</v>
      </c>
    </row>
    <row r="11513">
      <c r="Y11513" s="372">
        <v>0.0</v>
      </c>
      <c r="Z11513" s="372">
        <v>0.0</v>
      </c>
    </row>
    <row r="11514">
      <c r="Y11514" s="372">
        <v>0.0</v>
      </c>
      <c r="Z11514" s="372">
        <v>0.0</v>
      </c>
    </row>
    <row r="11515">
      <c r="Y11515" s="372">
        <v>0.0</v>
      </c>
      <c r="Z11515" s="372">
        <v>0.0</v>
      </c>
    </row>
    <row r="11516">
      <c r="Y11516" s="372">
        <v>0.0</v>
      </c>
      <c r="Z11516" s="372">
        <v>0.0</v>
      </c>
    </row>
    <row r="11517">
      <c r="Y11517" s="372">
        <v>0.0</v>
      </c>
      <c r="Z11517" s="372">
        <v>0.0</v>
      </c>
    </row>
    <row r="11518">
      <c r="Y11518" s="372">
        <v>0.0</v>
      </c>
      <c r="Z11518" s="372">
        <v>0.0</v>
      </c>
    </row>
    <row r="11519">
      <c r="Y11519" s="372">
        <v>0.0</v>
      </c>
      <c r="Z11519" s="372">
        <v>0.0</v>
      </c>
    </row>
    <row r="11520">
      <c r="Y11520" s="372">
        <v>0.0</v>
      </c>
      <c r="Z11520" s="372">
        <v>0.0</v>
      </c>
    </row>
    <row r="11521">
      <c r="Y11521" s="372">
        <v>0.0</v>
      </c>
      <c r="Z11521" s="372">
        <v>0.0</v>
      </c>
    </row>
    <row r="11522">
      <c r="Y11522" s="372">
        <v>0.0</v>
      </c>
      <c r="Z11522" s="372">
        <v>0.0</v>
      </c>
    </row>
    <row r="11523">
      <c r="Y11523" s="372">
        <v>0.0</v>
      </c>
      <c r="Z11523" s="372">
        <v>0.0</v>
      </c>
    </row>
    <row r="11524">
      <c r="Y11524" s="372">
        <v>0.0</v>
      </c>
      <c r="Z11524" s="372">
        <v>0.0</v>
      </c>
    </row>
    <row r="11525">
      <c r="Y11525" s="372">
        <v>0.0</v>
      </c>
      <c r="Z11525" s="372">
        <v>0.0</v>
      </c>
    </row>
    <row r="11526">
      <c r="Y11526" s="372">
        <v>0.0</v>
      </c>
      <c r="Z11526" s="372">
        <v>0.0</v>
      </c>
    </row>
    <row r="11527">
      <c r="Y11527" s="372">
        <v>0.0</v>
      </c>
      <c r="Z11527" s="372">
        <v>0.0</v>
      </c>
    </row>
    <row r="11528">
      <c r="Y11528" s="372">
        <v>0.0</v>
      </c>
      <c r="Z11528" s="372">
        <v>0.0</v>
      </c>
    </row>
    <row r="11529">
      <c r="Y11529" s="372">
        <v>0.0</v>
      </c>
      <c r="Z11529" s="372">
        <v>0.0</v>
      </c>
    </row>
    <row r="11530">
      <c r="Y11530" s="372">
        <v>0.0</v>
      </c>
      <c r="Z11530" s="372">
        <v>0.0</v>
      </c>
    </row>
    <row r="11531">
      <c r="Y11531" s="372">
        <v>0.0</v>
      </c>
      <c r="Z11531" s="372">
        <v>0.0</v>
      </c>
    </row>
    <row r="11532">
      <c r="Y11532" s="372">
        <v>0.0</v>
      </c>
      <c r="Z11532" s="372">
        <v>0.0</v>
      </c>
    </row>
    <row r="11533">
      <c r="Y11533" s="372">
        <v>0.0</v>
      </c>
      <c r="Z11533" s="372">
        <v>0.0</v>
      </c>
    </row>
    <row r="11534">
      <c r="Y11534" s="372">
        <v>0.0</v>
      </c>
      <c r="Z11534" s="372">
        <v>0.0</v>
      </c>
    </row>
    <row r="11535">
      <c r="Y11535" s="372">
        <v>0.0</v>
      </c>
      <c r="Z11535" s="372">
        <v>0.0</v>
      </c>
    </row>
    <row r="11536">
      <c r="Y11536" s="372">
        <v>0.0</v>
      </c>
      <c r="Z11536" s="372">
        <v>0.0</v>
      </c>
    </row>
    <row r="11537">
      <c r="Y11537" s="372">
        <v>0.0</v>
      </c>
      <c r="Z11537" s="372">
        <v>0.0</v>
      </c>
    </row>
    <row r="11538">
      <c r="Y11538" s="372">
        <v>0.0</v>
      </c>
      <c r="Z11538" s="372">
        <v>0.0</v>
      </c>
    </row>
    <row r="11539">
      <c r="Y11539" s="372">
        <v>0.0</v>
      </c>
      <c r="Z11539" s="372">
        <v>0.0</v>
      </c>
    </row>
    <row r="11540">
      <c r="Y11540" s="372">
        <v>0.0</v>
      </c>
      <c r="Z11540" s="372">
        <v>0.0</v>
      </c>
    </row>
    <row r="11541">
      <c r="Y11541" s="372">
        <v>0.0</v>
      </c>
      <c r="Z11541" s="372">
        <v>0.0</v>
      </c>
    </row>
    <row r="11542">
      <c r="Y11542" s="372">
        <v>0.0</v>
      </c>
      <c r="Z11542" s="372">
        <v>0.0</v>
      </c>
    </row>
    <row r="11543">
      <c r="Y11543" s="372">
        <v>0.0</v>
      </c>
      <c r="Z11543" s="372">
        <v>0.0</v>
      </c>
    </row>
    <row r="11544">
      <c r="Y11544" s="372">
        <v>0.0</v>
      </c>
      <c r="Z11544" s="372">
        <v>0.0</v>
      </c>
    </row>
    <row r="11545">
      <c r="Y11545" s="372">
        <v>0.0</v>
      </c>
      <c r="Z11545" s="372">
        <v>0.0</v>
      </c>
    </row>
    <row r="11546">
      <c r="Y11546" s="372">
        <v>0.0</v>
      </c>
      <c r="Z11546" s="372">
        <v>0.0</v>
      </c>
    </row>
    <row r="11547">
      <c r="Y11547" s="372">
        <v>0.0</v>
      </c>
      <c r="Z11547" s="372">
        <v>0.0</v>
      </c>
    </row>
    <row r="11548">
      <c r="Y11548" s="372">
        <v>0.0</v>
      </c>
      <c r="Z11548" s="372">
        <v>0.0</v>
      </c>
    </row>
    <row r="11549">
      <c r="Y11549" s="372">
        <v>0.0</v>
      </c>
      <c r="Z11549" s="372">
        <v>0.0</v>
      </c>
    </row>
    <row r="11550">
      <c r="Y11550" s="372">
        <v>0.0</v>
      </c>
      <c r="Z11550" s="372">
        <v>0.0</v>
      </c>
    </row>
    <row r="11551">
      <c r="Y11551" s="372">
        <v>0.0</v>
      </c>
      <c r="Z11551" s="372">
        <v>0.0</v>
      </c>
    </row>
    <row r="11552">
      <c r="Y11552" s="372">
        <v>0.0</v>
      </c>
      <c r="Z11552" s="372">
        <v>0.0</v>
      </c>
    </row>
    <row r="11553">
      <c r="Y11553" s="372">
        <v>0.0</v>
      </c>
      <c r="Z11553" s="372">
        <v>0.0</v>
      </c>
    </row>
    <row r="11554">
      <c r="Y11554" s="372">
        <v>0.0</v>
      </c>
      <c r="Z11554" s="372">
        <v>0.0</v>
      </c>
    </row>
    <row r="11555">
      <c r="Y11555" s="372">
        <v>0.0</v>
      </c>
      <c r="Z11555" s="372">
        <v>0.0</v>
      </c>
    </row>
    <row r="11556">
      <c r="Y11556" s="372">
        <v>0.0</v>
      </c>
      <c r="Z11556" s="372">
        <v>0.0</v>
      </c>
    </row>
    <row r="11557">
      <c r="Y11557" s="372">
        <v>0.0</v>
      </c>
      <c r="Z11557" s="372">
        <v>0.0</v>
      </c>
    </row>
    <row r="11558">
      <c r="Y11558" s="372">
        <v>0.0</v>
      </c>
      <c r="Z11558" s="372">
        <v>0.0</v>
      </c>
    </row>
    <row r="11559">
      <c r="Y11559" s="372">
        <v>0.0</v>
      </c>
      <c r="Z11559" s="372">
        <v>0.0</v>
      </c>
    </row>
    <row r="11560">
      <c r="Y11560" s="372">
        <v>0.0</v>
      </c>
      <c r="Z11560" s="372">
        <v>0.0</v>
      </c>
    </row>
    <row r="11561">
      <c r="Y11561" s="372">
        <v>0.0</v>
      </c>
      <c r="Z11561" s="372">
        <v>0.0</v>
      </c>
    </row>
    <row r="11562">
      <c r="Y11562" s="372">
        <v>0.0</v>
      </c>
      <c r="Z11562" s="372">
        <v>0.0</v>
      </c>
    </row>
    <row r="11563">
      <c r="Y11563" s="372">
        <v>0.0</v>
      </c>
      <c r="Z11563" s="372">
        <v>0.0</v>
      </c>
    </row>
    <row r="11564">
      <c r="Y11564" s="372">
        <v>0.0</v>
      </c>
      <c r="Z11564" s="372">
        <v>0.0</v>
      </c>
    </row>
    <row r="11565">
      <c r="Y11565" s="372">
        <v>0.0</v>
      </c>
      <c r="Z11565" s="372">
        <v>0.0</v>
      </c>
    </row>
    <row r="11566">
      <c r="Y11566" s="372">
        <v>0.0</v>
      </c>
      <c r="Z11566" s="372">
        <v>0.0</v>
      </c>
    </row>
    <row r="11567">
      <c r="Y11567" s="372">
        <v>0.0</v>
      </c>
      <c r="Z11567" s="372">
        <v>0.0</v>
      </c>
    </row>
    <row r="11568">
      <c r="Y11568" s="372">
        <v>0.0</v>
      </c>
      <c r="Z11568" s="372">
        <v>0.0</v>
      </c>
    </row>
    <row r="11569">
      <c r="Y11569" s="372">
        <v>0.0</v>
      </c>
      <c r="Z11569" s="372">
        <v>0.0</v>
      </c>
    </row>
    <row r="11570">
      <c r="Y11570" s="372">
        <v>0.0</v>
      </c>
      <c r="Z11570" s="372">
        <v>0.0</v>
      </c>
    </row>
    <row r="11571">
      <c r="Y11571" s="372">
        <v>0.0</v>
      </c>
      <c r="Z11571" s="372">
        <v>0.0</v>
      </c>
    </row>
    <row r="11572">
      <c r="Y11572" s="372">
        <v>0.0</v>
      </c>
      <c r="Z11572" s="372">
        <v>0.0</v>
      </c>
    </row>
    <row r="11573">
      <c r="Y11573" s="372">
        <v>0.0</v>
      </c>
      <c r="Z11573" s="372">
        <v>0.0</v>
      </c>
    </row>
    <row r="11574">
      <c r="Y11574" s="372">
        <v>0.0</v>
      </c>
      <c r="Z11574" s="372">
        <v>0.0</v>
      </c>
    </row>
    <row r="11575">
      <c r="Y11575" s="372">
        <v>0.0</v>
      </c>
      <c r="Z11575" s="372">
        <v>0.0</v>
      </c>
    </row>
    <row r="11576">
      <c r="Y11576" s="372">
        <v>0.0</v>
      </c>
      <c r="Z11576" s="372">
        <v>0.0</v>
      </c>
    </row>
    <row r="11577">
      <c r="Y11577" s="372">
        <v>0.0</v>
      </c>
      <c r="Z11577" s="372">
        <v>0.0</v>
      </c>
    </row>
    <row r="11578">
      <c r="Y11578" s="372">
        <v>0.0</v>
      </c>
      <c r="Z11578" s="372">
        <v>0.0</v>
      </c>
    </row>
    <row r="11579">
      <c r="Y11579" s="372">
        <v>0.0</v>
      </c>
      <c r="Z11579" s="372">
        <v>0.0</v>
      </c>
    </row>
    <row r="11580">
      <c r="Y11580" s="372">
        <v>0.0</v>
      </c>
      <c r="Z11580" s="372">
        <v>0.0</v>
      </c>
    </row>
    <row r="11581">
      <c r="Y11581" s="372">
        <v>0.0</v>
      </c>
      <c r="Z11581" s="372">
        <v>0.0</v>
      </c>
    </row>
    <row r="11582">
      <c r="Y11582" s="372">
        <v>0.0</v>
      </c>
      <c r="Z11582" s="372">
        <v>0.0</v>
      </c>
    </row>
    <row r="11583">
      <c r="Y11583" s="372">
        <v>0.0</v>
      </c>
      <c r="Z11583" s="372">
        <v>0.0</v>
      </c>
    </row>
    <row r="11584">
      <c r="Y11584" s="372">
        <v>0.0</v>
      </c>
      <c r="Z11584" s="372">
        <v>0.0</v>
      </c>
    </row>
    <row r="11585">
      <c r="Y11585" s="372">
        <v>0.0</v>
      </c>
      <c r="Z11585" s="372">
        <v>0.0</v>
      </c>
    </row>
    <row r="11586">
      <c r="Y11586" s="372">
        <v>0.0</v>
      </c>
      <c r="Z11586" s="372">
        <v>0.0</v>
      </c>
    </row>
    <row r="11587">
      <c r="Y11587" s="372">
        <v>0.0</v>
      </c>
      <c r="Z11587" s="372">
        <v>0.0</v>
      </c>
    </row>
    <row r="11588">
      <c r="Y11588" s="372">
        <v>0.0</v>
      </c>
      <c r="Z11588" s="372">
        <v>0.0</v>
      </c>
    </row>
    <row r="11589">
      <c r="Y11589" s="372">
        <v>0.0</v>
      </c>
      <c r="Z11589" s="372">
        <v>0.0</v>
      </c>
    </row>
    <row r="11590">
      <c r="Y11590" s="372">
        <v>0.0</v>
      </c>
      <c r="Z11590" s="372">
        <v>0.0</v>
      </c>
    </row>
    <row r="11591">
      <c r="Y11591" s="372">
        <v>0.0</v>
      </c>
      <c r="Z11591" s="372">
        <v>0.0</v>
      </c>
    </row>
    <row r="11592">
      <c r="Y11592" s="372">
        <v>0.0</v>
      </c>
      <c r="Z11592" s="372">
        <v>0.0</v>
      </c>
    </row>
    <row r="11593">
      <c r="Y11593" s="372">
        <v>0.0</v>
      </c>
      <c r="Z11593" s="372">
        <v>0.0</v>
      </c>
    </row>
    <row r="11594">
      <c r="Y11594" s="372">
        <v>0.0</v>
      </c>
      <c r="Z11594" s="372">
        <v>0.0</v>
      </c>
    </row>
    <row r="11595">
      <c r="Y11595" s="372">
        <v>0.0</v>
      </c>
      <c r="Z11595" s="372">
        <v>0.0</v>
      </c>
    </row>
    <row r="11596">
      <c r="Y11596" s="372">
        <v>0.0</v>
      </c>
      <c r="Z11596" s="372">
        <v>0.0</v>
      </c>
    </row>
    <row r="11597">
      <c r="Y11597" s="372">
        <v>0.0</v>
      </c>
      <c r="Z11597" s="372">
        <v>0.0</v>
      </c>
    </row>
    <row r="11598">
      <c r="Y11598" s="372">
        <v>0.0</v>
      </c>
      <c r="Z11598" s="372">
        <v>0.0</v>
      </c>
    </row>
    <row r="11599">
      <c r="Y11599" s="372">
        <v>0.0</v>
      </c>
      <c r="Z11599" s="372">
        <v>0.0</v>
      </c>
    </row>
    <row r="11600">
      <c r="Y11600" s="372">
        <v>0.0</v>
      </c>
      <c r="Z11600" s="372">
        <v>0.0</v>
      </c>
    </row>
    <row r="11601">
      <c r="Y11601" s="372">
        <v>0.0</v>
      </c>
      <c r="Z11601" s="372">
        <v>0.0</v>
      </c>
    </row>
    <row r="11602">
      <c r="Y11602" s="372">
        <v>0.0</v>
      </c>
      <c r="Z11602" s="372">
        <v>0.0</v>
      </c>
    </row>
    <row r="11603">
      <c r="Y11603" s="372">
        <v>0.0</v>
      </c>
      <c r="Z11603" s="372">
        <v>0.0</v>
      </c>
    </row>
    <row r="11604">
      <c r="Y11604" s="372">
        <v>0.0</v>
      </c>
      <c r="Z11604" s="372">
        <v>0.0</v>
      </c>
    </row>
    <row r="11605">
      <c r="Y11605" s="372">
        <v>0.0</v>
      </c>
      <c r="Z11605" s="372">
        <v>0.0</v>
      </c>
    </row>
    <row r="11606">
      <c r="Y11606" s="372">
        <v>0.0</v>
      </c>
      <c r="Z11606" s="372">
        <v>0.0</v>
      </c>
    </row>
    <row r="11607">
      <c r="Y11607" s="372">
        <v>0.0</v>
      </c>
      <c r="Z11607" s="372">
        <v>0.0</v>
      </c>
    </row>
    <row r="11608">
      <c r="Y11608" s="372">
        <v>0.0</v>
      </c>
      <c r="Z11608" s="372">
        <v>0.0</v>
      </c>
    </row>
    <row r="11609">
      <c r="Y11609" s="372">
        <v>0.0</v>
      </c>
      <c r="Z11609" s="372">
        <v>0.0</v>
      </c>
    </row>
    <row r="11610">
      <c r="Y11610" s="372">
        <v>0.0</v>
      </c>
      <c r="Z11610" s="372">
        <v>0.0</v>
      </c>
    </row>
    <row r="11611">
      <c r="Y11611" s="372">
        <v>0.0</v>
      </c>
      <c r="Z11611" s="372">
        <v>0.0</v>
      </c>
    </row>
    <row r="11612">
      <c r="Y11612" s="372">
        <v>0.0</v>
      </c>
      <c r="Z11612" s="372">
        <v>0.0</v>
      </c>
    </row>
    <row r="11613">
      <c r="Y11613" s="372">
        <v>0.0</v>
      </c>
      <c r="Z11613" s="372">
        <v>0.0</v>
      </c>
    </row>
    <row r="11614">
      <c r="Y11614" s="372">
        <v>0.0</v>
      </c>
      <c r="Z11614" s="372">
        <v>0.0</v>
      </c>
    </row>
    <row r="11615">
      <c r="Y11615" s="372">
        <v>0.0</v>
      </c>
      <c r="Z11615" s="372">
        <v>0.0</v>
      </c>
    </row>
    <row r="11616">
      <c r="Y11616" s="372">
        <v>0.0</v>
      </c>
      <c r="Z11616" s="372">
        <v>0.0</v>
      </c>
    </row>
    <row r="11617">
      <c r="Y11617" s="372">
        <v>0.0</v>
      </c>
      <c r="Z11617" s="372">
        <v>0.0</v>
      </c>
    </row>
    <row r="11618">
      <c r="Y11618" s="372">
        <v>0.0</v>
      </c>
      <c r="Z11618" s="372">
        <v>0.0</v>
      </c>
    </row>
    <row r="11619">
      <c r="Y11619" s="372">
        <v>0.0</v>
      </c>
      <c r="Z11619" s="372">
        <v>0.0</v>
      </c>
    </row>
    <row r="11620">
      <c r="Y11620" s="372">
        <v>0.0</v>
      </c>
      <c r="Z11620" s="372">
        <v>0.0</v>
      </c>
    </row>
    <row r="11621">
      <c r="Y11621" s="372">
        <v>0.0</v>
      </c>
      <c r="Z11621" s="372">
        <v>0.0</v>
      </c>
    </row>
    <row r="11622">
      <c r="Y11622" s="372">
        <v>0.0</v>
      </c>
      <c r="Z11622" s="372">
        <v>0.0</v>
      </c>
    </row>
    <row r="11623">
      <c r="Y11623" s="372">
        <v>0.0</v>
      </c>
      <c r="Z11623" s="372">
        <v>0.0</v>
      </c>
    </row>
    <row r="11624">
      <c r="Y11624" s="372">
        <v>0.0</v>
      </c>
      <c r="Z11624" s="372">
        <v>0.0</v>
      </c>
    </row>
    <row r="11625">
      <c r="Y11625" s="372">
        <v>0.0</v>
      </c>
      <c r="Z11625" s="372">
        <v>0.0</v>
      </c>
    </row>
    <row r="11626">
      <c r="Y11626" s="372">
        <v>0.0</v>
      </c>
      <c r="Z11626" s="372">
        <v>0.0</v>
      </c>
    </row>
    <row r="11627">
      <c r="Y11627" s="372">
        <v>0.0</v>
      </c>
      <c r="Z11627" s="372">
        <v>0.0</v>
      </c>
    </row>
    <row r="11628">
      <c r="Y11628" s="372">
        <v>0.0</v>
      </c>
      <c r="Z11628" s="372">
        <v>0.0</v>
      </c>
    </row>
    <row r="11629">
      <c r="Y11629" s="372">
        <v>0.0</v>
      </c>
      <c r="Z11629" s="372">
        <v>0.0</v>
      </c>
    </row>
    <row r="11630">
      <c r="Y11630" s="372">
        <v>0.0</v>
      </c>
      <c r="Z11630" s="372">
        <v>0.0</v>
      </c>
    </row>
    <row r="11631">
      <c r="Y11631" s="372">
        <v>0.0</v>
      </c>
      <c r="Z11631" s="372">
        <v>0.0</v>
      </c>
    </row>
    <row r="11632">
      <c r="Y11632" s="372">
        <v>0.0</v>
      </c>
      <c r="Z11632" s="372">
        <v>0.0</v>
      </c>
    </row>
    <row r="11633">
      <c r="Y11633" s="372">
        <v>0.0</v>
      </c>
      <c r="Z11633" s="372">
        <v>0.0</v>
      </c>
    </row>
    <row r="11634">
      <c r="Y11634" s="372">
        <v>0.0</v>
      </c>
      <c r="Z11634" s="372">
        <v>0.0</v>
      </c>
    </row>
    <row r="11635">
      <c r="Y11635" s="372">
        <v>0.0</v>
      </c>
      <c r="Z11635" s="372">
        <v>0.0</v>
      </c>
    </row>
    <row r="11636">
      <c r="Y11636" s="372">
        <v>0.0</v>
      </c>
      <c r="Z11636" s="372">
        <v>0.0</v>
      </c>
    </row>
    <row r="11637">
      <c r="Y11637" s="372">
        <v>0.0</v>
      </c>
      <c r="Z11637" s="372">
        <v>0.0</v>
      </c>
    </row>
    <row r="11638">
      <c r="Y11638" s="372">
        <v>0.0</v>
      </c>
      <c r="Z11638" s="372">
        <v>0.0</v>
      </c>
    </row>
    <row r="11639">
      <c r="Y11639" s="372">
        <v>0.0</v>
      </c>
      <c r="Z11639" s="372">
        <v>0.0</v>
      </c>
    </row>
    <row r="11640">
      <c r="Y11640" s="372">
        <v>0.0</v>
      </c>
      <c r="Z11640" s="372">
        <v>0.0</v>
      </c>
    </row>
    <row r="11641">
      <c r="Y11641" s="372">
        <v>0.0</v>
      </c>
      <c r="Z11641" s="372">
        <v>0.0</v>
      </c>
    </row>
    <row r="11642">
      <c r="Y11642" s="372">
        <v>0.0</v>
      </c>
      <c r="Z11642" s="372">
        <v>0.0</v>
      </c>
    </row>
    <row r="11643">
      <c r="Y11643" s="372">
        <v>0.0</v>
      </c>
      <c r="Z11643" s="372">
        <v>0.0</v>
      </c>
    </row>
    <row r="11644">
      <c r="Y11644" s="372">
        <v>0.0</v>
      </c>
      <c r="Z11644" s="372">
        <v>0.0</v>
      </c>
    </row>
    <row r="11645">
      <c r="Y11645" s="372">
        <v>0.0</v>
      </c>
      <c r="Z11645" s="372">
        <v>0.0</v>
      </c>
    </row>
    <row r="11646">
      <c r="Y11646" s="372">
        <v>0.0</v>
      </c>
      <c r="Z11646" s="372">
        <v>0.0</v>
      </c>
    </row>
    <row r="11647">
      <c r="Y11647" s="372">
        <v>0.0</v>
      </c>
      <c r="Z11647" s="372">
        <v>0.0</v>
      </c>
    </row>
    <row r="11648">
      <c r="Y11648" s="372">
        <v>0.0</v>
      </c>
      <c r="Z11648" s="372">
        <v>0.0</v>
      </c>
    </row>
    <row r="11649">
      <c r="Y11649" s="372">
        <v>0.0</v>
      </c>
      <c r="Z11649" s="372">
        <v>0.0</v>
      </c>
    </row>
    <row r="11650">
      <c r="Y11650" s="372">
        <v>0.0</v>
      </c>
      <c r="Z11650" s="372">
        <v>0.0</v>
      </c>
    </row>
    <row r="11651">
      <c r="Y11651" s="372">
        <v>0.0</v>
      </c>
      <c r="Z11651" s="372">
        <v>0.0</v>
      </c>
    </row>
    <row r="11652">
      <c r="Y11652" s="372">
        <v>0.0</v>
      </c>
      <c r="Z11652" s="372">
        <v>0.0</v>
      </c>
    </row>
    <row r="11653">
      <c r="Y11653" s="372">
        <v>0.0</v>
      </c>
      <c r="Z11653" s="372">
        <v>0.0</v>
      </c>
    </row>
    <row r="11654">
      <c r="Y11654" s="372">
        <v>0.0</v>
      </c>
      <c r="Z11654" s="372">
        <v>0.0</v>
      </c>
    </row>
    <row r="11655">
      <c r="Y11655" s="372">
        <v>0.0</v>
      </c>
      <c r="Z11655" s="372">
        <v>0.0</v>
      </c>
    </row>
    <row r="11656">
      <c r="Y11656" s="372">
        <v>0.0</v>
      </c>
      <c r="Z11656" s="372">
        <v>0.0</v>
      </c>
    </row>
    <row r="11657">
      <c r="Y11657" s="372">
        <v>0.0</v>
      </c>
      <c r="Z11657" s="372">
        <v>0.0</v>
      </c>
    </row>
    <row r="11658">
      <c r="Y11658" s="372">
        <v>0.0</v>
      </c>
      <c r="Z11658" s="372">
        <v>0.0</v>
      </c>
    </row>
    <row r="11659">
      <c r="Y11659" s="372">
        <v>0.0</v>
      </c>
      <c r="Z11659" s="372">
        <v>0.0</v>
      </c>
    </row>
    <row r="11660">
      <c r="Y11660" s="372">
        <v>0.0</v>
      </c>
      <c r="Z11660" s="372">
        <v>0.0</v>
      </c>
    </row>
    <row r="11661">
      <c r="Y11661" s="372">
        <v>0.0</v>
      </c>
      <c r="Z11661" s="372">
        <v>0.0</v>
      </c>
    </row>
    <row r="11662">
      <c r="Y11662" s="372">
        <v>0.0</v>
      </c>
      <c r="Z11662" s="372">
        <v>0.0</v>
      </c>
    </row>
    <row r="11663">
      <c r="Y11663" s="372">
        <v>0.0</v>
      </c>
      <c r="Z11663" s="372">
        <v>0.0</v>
      </c>
    </row>
    <row r="11664">
      <c r="Y11664" s="372">
        <v>0.0</v>
      </c>
      <c r="Z11664" s="372">
        <v>0.0</v>
      </c>
    </row>
    <row r="11665">
      <c r="Y11665" s="372">
        <v>0.0</v>
      </c>
      <c r="Z11665" s="372">
        <v>0.0</v>
      </c>
    </row>
    <row r="11666">
      <c r="Y11666" s="372">
        <v>0.0</v>
      </c>
      <c r="Z11666" s="372">
        <v>0.0</v>
      </c>
    </row>
    <row r="11667">
      <c r="Y11667" s="372">
        <v>0.0</v>
      </c>
      <c r="Z11667" s="372">
        <v>0.0</v>
      </c>
    </row>
    <row r="11668">
      <c r="Y11668" s="372">
        <v>0.0</v>
      </c>
      <c r="Z11668" s="372">
        <v>0.0</v>
      </c>
    </row>
    <row r="11669">
      <c r="Y11669" s="372">
        <v>0.0</v>
      </c>
      <c r="Z11669" s="372">
        <v>0.0</v>
      </c>
    </row>
    <row r="11670">
      <c r="Y11670" s="372">
        <v>0.0</v>
      </c>
      <c r="Z11670" s="372">
        <v>0.0</v>
      </c>
    </row>
    <row r="11671">
      <c r="Y11671" s="372">
        <v>0.0</v>
      </c>
      <c r="Z11671" s="372">
        <v>0.0</v>
      </c>
    </row>
    <row r="11672">
      <c r="Y11672" s="372">
        <v>0.0</v>
      </c>
      <c r="Z11672" s="372">
        <v>0.0</v>
      </c>
    </row>
    <row r="11673">
      <c r="Y11673" s="372">
        <v>0.0</v>
      </c>
      <c r="Z11673" s="372">
        <v>0.0</v>
      </c>
    </row>
    <row r="11674">
      <c r="Y11674" s="372">
        <v>0.0</v>
      </c>
      <c r="Z11674" s="372">
        <v>0.0</v>
      </c>
    </row>
    <row r="11675">
      <c r="Y11675" s="372">
        <v>0.0</v>
      </c>
      <c r="Z11675" s="372">
        <v>0.0</v>
      </c>
    </row>
    <row r="11676">
      <c r="Y11676" s="372">
        <v>0.0</v>
      </c>
      <c r="Z11676" s="372">
        <v>0.0</v>
      </c>
    </row>
    <row r="11677">
      <c r="Y11677" s="372">
        <v>0.0</v>
      </c>
      <c r="Z11677" s="372">
        <v>0.0</v>
      </c>
    </row>
    <row r="11678">
      <c r="Y11678" s="372">
        <v>0.0</v>
      </c>
      <c r="Z11678" s="372">
        <v>0.0</v>
      </c>
    </row>
    <row r="11679">
      <c r="Y11679" s="372">
        <v>0.0</v>
      </c>
      <c r="Z11679" s="372">
        <v>0.0</v>
      </c>
    </row>
    <row r="11680">
      <c r="Y11680" s="372">
        <v>0.0</v>
      </c>
      <c r="Z11680" s="372">
        <v>0.0</v>
      </c>
    </row>
    <row r="11681">
      <c r="Y11681" s="372">
        <v>0.0</v>
      </c>
      <c r="Z11681" s="372">
        <v>0.0</v>
      </c>
    </row>
    <row r="11682">
      <c r="Y11682" s="372">
        <v>0.0</v>
      </c>
      <c r="Z11682" s="372">
        <v>0.0</v>
      </c>
    </row>
    <row r="11683">
      <c r="Y11683" s="372">
        <v>0.0</v>
      </c>
      <c r="Z11683" s="372">
        <v>0.0</v>
      </c>
    </row>
    <row r="11684">
      <c r="Y11684" s="372">
        <v>0.0</v>
      </c>
      <c r="Z11684" s="372">
        <v>0.0</v>
      </c>
    </row>
    <row r="11685">
      <c r="Y11685" s="372">
        <v>0.0</v>
      </c>
      <c r="Z11685" s="372">
        <v>0.0</v>
      </c>
    </row>
    <row r="11686">
      <c r="Y11686" s="372">
        <v>0.0</v>
      </c>
      <c r="Z11686" s="372">
        <v>0.0</v>
      </c>
    </row>
    <row r="11687">
      <c r="Y11687" s="372">
        <v>0.0</v>
      </c>
      <c r="Z11687" s="372">
        <v>0.0</v>
      </c>
    </row>
    <row r="11688">
      <c r="Y11688" s="372">
        <v>0.0</v>
      </c>
      <c r="Z11688" s="372">
        <v>0.0</v>
      </c>
    </row>
    <row r="11689">
      <c r="Y11689" s="372">
        <v>0.0</v>
      </c>
      <c r="Z11689" s="372">
        <v>0.0</v>
      </c>
    </row>
    <row r="11690">
      <c r="Y11690" s="372">
        <v>0.0</v>
      </c>
      <c r="Z11690" s="372">
        <v>0.0</v>
      </c>
    </row>
    <row r="11691">
      <c r="Y11691" s="372">
        <v>0.0</v>
      </c>
      <c r="Z11691" s="372">
        <v>0.0</v>
      </c>
    </row>
    <row r="11692">
      <c r="Y11692" s="372">
        <v>0.0</v>
      </c>
      <c r="Z11692" s="372">
        <v>0.0</v>
      </c>
    </row>
    <row r="11693">
      <c r="Y11693" s="372">
        <v>0.0</v>
      </c>
      <c r="Z11693" s="372">
        <v>0.0</v>
      </c>
    </row>
    <row r="11694">
      <c r="Y11694" s="372">
        <v>0.0</v>
      </c>
      <c r="Z11694" s="372">
        <v>0.0</v>
      </c>
    </row>
    <row r="11695">
      <c r="Y11695" s="372">
        <v>0.0</v>
      </c>
      <c r="Z11695" s="372">
        <v>0.0</v>
      </c>
    </row>
    <row r="11696">
      <c r="Y11696" s="372">
        <v>0.0</v>
      </c>
      <c r="Z11696" s="372">
        <v>0.0</v>
      </c>
    </row>
    <row r="11697">
      <c r="Y11697" s="372">
        <v>0.0</v>
      </c>
      <c r="Z11697" s="372">
        <v>0.0</v>
      </c>
    </row>
    <row r="11698">
      <c r="Y11698" s="372">
        <v>0.0</v>
      </c>
      <c r="Z11698" s="372">
        <v>0.0</v>
      </c>
    </row>
    <row r="11699">
      <c r="Y11699" s="372">
        <v>0.0</v>
      </c>
      <c r="Z11699" s="372">
        <v>0.0</v>
      </c>
    </row>
    <row r="11700">
      <c r="Y11700" s="372">
        <v>0.0</v>
      </c>
      <c r="Z11700" s="372">
        <v>0.0</v>
      </c>
    </row>
    <row r="11701">
      <c r="Y11701" s="372">
        <v>0.0</v>
      </c>
      <c r="Z11701" s="372">
        <v>0.0</v>
      </c>
    </row>
    <row r="11702">
      <c r="Y11702" s="372">
        <v>0.0</v>
      </c>
      <c r="Z11702" s="372">
        <v>0.0</v>
      </c>
    </row>
    <row r="11703">
      <c r="Y11703" s="372">
        <v>0.0</v>
      </c>
      <c r="Z11703" s="372">
        <v>0.0</v>
      </c>
    </row>
    <row r="11704">
      <c r="Y11704" s="372">
        <v>0.0</v>
      </c>
      <c r="Z11704" s="372">
        <v>0.0</v>
      </c>
    </row>
    <row r="11705">
      <c r="Y11705" s="372">
        <v>0.0</v>
      </c>
      <c r="Z11705" s="372">
        <v>0.0</v>
      </c>
    </row>
    <row r="11706">
      <c r="Y11706" s="372">
        <v>0.0</v>
      </c>
      <c r="Z11706" s="372">
        <v>0.0</v>
      </c>
    </row>
    <row r="11707">
      <c r="Y11707" s="372">
        <v>0.0</v>
      </c>
      <c r="Z11707" s="372">
        <v>0.0</v>
      </c>
    </row>
    <row r="11708">
      <c r="Y11708" s="372">
        <v>0.0</v>
      </c>
      <c r="Z11708" s="372">
        <v>0.0</v>
      </c>
    </row>
    <row r="11709">
      <c r="Y11709" s="372">
        <v>0.0</v>
      </c>
      <c r="Z11709" s="372">
        <v>0.0</v>
      </c>
    </row>
    <row r="11710">
      <c r="Y11710" s="372">
        <v>0.0</v>
      </c>
      <c r="Z11710" s="372">
        <v>0.0</v>
      </c>
    </row>
    <row r="11711">
      <c r="Y11711" s="372">
        <v>0.0</v>
      </c>
      <c r="Z11711" s="372">
        <v>0.0</v>
      </c>
    </row>
    <row r="11712">
      <c r="Y11712" s="372">
        <v>0.0</v>
      </c>
      <c r="Z11712" s="372">
        <v>0.0</v>
      </c>
    </row>
    <row r="11713">
      <c r="Y11713" s="372">
        <v>0.0</v>
      </c>
      <c r="Z11713" s="372">
        <v>0.0</v>
      </c>
    </row>
    <row r="11714">
      <c r="Y11714" s="372">
        <v>0.0</v>
      </c>
      <c r="Z11714" s="372">
        <v>0.0</v>
      </c>
    </row>
    <row r="11715">
      <c r="Y11715" s="372">
        <v>0.0</v>
      </c>
      <c r="Z11715" s="372">
        <v>0.0</v>
      </c>
    </row>
    <row r="11716">
      <c r="Y11716" s="372">
        <v>0.0</v>
      </c>
      <c r="Z11716" s="372">
        <v>0.0</v>
      </c>
    </row>
    <row r="11717">
      <c r="Y11717" s="372">
        <v>0.0</v>
      </c>
      <c r="Z11717" s="372">
        <v>0.0</v>
      </c>
    </row>
    <row r="11718">
      <c r="Y11718" s="372">
        <v>0.0</v>
      </c>
      <c r="Z11718" s="372">
        <v>0.0</v>
      </c>
    </row>
    <row r="11719">
      <c r="Y11719" s="372">
        <v>0.0</v>
      </c>
      <c r="Z11719" s="372">
        <v>0.0</v>
      </c>
    </row>
    <row r="11720">
      <c r="Y11720" s="372">
        <v>0.0</v>
      </c>
      <c r="Z11720" s="372">
        <v>0.0</v>
      </c>
    </row>
    <row r="11721">
      <c r="Y11721" s="372">
        <v>0.0</v>
      </c>
      <c r="Z11721" s="372">
        <v>0.0</v>
      </c>
    </row>
    <row r="11722">
      <c r="Y11722" s="372">
        <v>0.0</v>
      </c>
      <c r="Z11722" s="372">
        <v>0.0</v>
      </c>
    </row>
    <row r="11723">
      <c r="Y11723" s="372">
        <v>0.0</v>
      </c>
      <c r="Z11723" s="372">
        <v>0.0</v>
      </c>
    </row>
    <row r="11724">
      <c r="Y11724" s="372">
        <v>0.0</v>
      </c>
      <c r="Z11724" s="372">
        <v>0.0</v>
      </c>
    </row>
    <row r="11725">
      <c r="Y11725" s="372">
        <v>0.0</v>
      </c>
      <c r="Z11725" s="372">
        <v>0.0</v>
      </c>
    </row>
    <row r="11726">
      <c r="Y11726" s="372">
        <v>0.0</v>
      </c>
      <c r="Z11726" s="372">
        <v>0.0</v>
      </c>
    </row>
    <row r="11727">
      <c r="Y11727" s="372">
        <v>0.0</v>
      </c>
      <c r="Z11727" s="372">
        <v>0.0</v>
      </c>
    </row>
    <row r="11728">
      <c r="Y11728" s="372">
        <v>0.0</v>
      </c>
      <c r="Z11728" s="372">
        <v>0.0</v>
      </c>
    </row>
    <row r="11729">
      <c r="Y11729" s="372">
        <v>0.0</v>
      </c>
      <c r="Z11729" s="372">
        <v>0.0</v>
      </c>
    </row>
    <row r="11730">
      <c r="Y11730" s="372">
        <v>0.0</v>
      </c>
      <c r="Z11730" s="372">
        <v>0.0</v>
      </c>
    </row>
    <row r="11731">
      <c r="Y11731" s="372">
        <v>0.0</v>
      </c>
      <c r="Z11731" s="372">
        <v>0.0</v>
      </c>
    </row>
    <row r="11732">
      <c r="Y11732" s="372">
        <v>0.0</v>
      </c>
      <c r="Z11732" s="372">
        <v>0.0</v>
      </c>
    </row>
    <row r="11733">
      <c r="Y11733" s="372">
        <v>0.0</v>
      </c>
      <c r="Z11733" s="372">
        <v>0.0</v>
      </c>
    </row>
    <row r="11734">
      <c r="Y11734" s="372">
        <v>0.0</v>
      </c>
      <c r="Z11734" s="372">
        <v>0.0</v>
      </c>
    </row>
    <row r="11735">
      <c r="Y11735" s="372">
        <v>0.0</v>
      </c>
      <c r="Z11735" s="372">
        <v>0.0</v>
      </c>
    </row>
    <row r="11736">
      <c r="Y11736" s="372">
        <v>0.0</v>
      </c>
      <c r="Z11736" s="372">
        <v>0.0</v>
      </c>
    </row>
    <row r="11737">
      <c r="Y11737" s="372">
        <v>0.0</v>
      </c>
      <c r="Z11737" s="372">
        <v>0.0</v>
      </c>
    </row>
    <row r="11738">
      <c r="Y11738" s="372">
        <v>0.0</v>
      </c>
      <c r="Z11738" s="372">
        <v>0.0</v>
      </c>
    </row>
    <row r="11739">
      <c r="Y11739" s="372">
        <v>0.0</v>
      </c>
      <c r="Z11739" s="372">
        <v>0.0</v>
      </c>
    </row>
    <row r="11740">
      <c r="Y11740" s="372">
        <v>0.0</v>
      </c>
      <c r="Z11740" s="372">
        <v>0.0</v>
      </c>
    </row>
    <row r="11741">
      <c r="Y11741" s="372">
        <v>0.0</v>
      </c>
      <c r="Z11741" s="372">
        <v>0.0</v>
      </c>
    </row>
    <row r="11742">
      <c r="Y11742" s="372">
        <v>0.0</v>
      </c>
      <c r="Z11742" s="372">
        <v>0.0</v>
      </c>
    </row>
    <row r="11743">
      <c r="Y11743" s="372">
        <v>0.0</v>
      </c>
      <c r="Z11743" s="372">
        <v>0.0</v>
      </c>
    </row>
    <row r="11744">
      <c r="Y11744" s="372">
        <v>0.0</v>
      </c>
      <c r="Z11744" s="372">
        <v>0.0</v>
      </c>
    </row>
    <row r="11745">
      <c r="Y11745" s="372">
        <v>0.0</v>
      </c>
      <c r="Z11745" s="372">
        <v>0.0</v>
      </c>
    </row>
    <row r="11746">
      <c r="Y11746" s="372">
        <v>0.0</v>
      </c>
      <c r="Z11746" s="372">
        <v>0.0</v>
      </c>
    </row>
    <row r="11747">
      <c r="Y11747" s="372">
        <v>0.0</v>
      </c>
      <c r="Z11747" s="372">
        <v>0.0</v>
      </c>
    </row>
    <row r="11748">
      <c r="Y11748" s="372">
        <v>0.0</v>
      </c>
      <c r="Z11748" s="372">
        <v>0.0</v>
      </c>
    </row>
    <row r="11749">
      <c r="Y11749" s="372">
        <v>0.0</v>
      </c>
      <c r="Z11749" s="372">
        <v>0.0</v>
      </c>
    </row>
    <row r="11750">
      <c r="Y11750" s="372">
        <v>0.0</v>
      </c>
      <c r="Z11750" s="372">
        <v>0.0</v>
      </c>
    </row>
    <row r="11751">
      <c r="Y11751" s="372">
        <v>0.0</v>
      </c>
      <c r="Z11751" s="372">
        <v>0.0</v>
      </c>
    </row>
    <row r="11752">
      <c r="Y11752" s="372">
        <v>0.0</v>
      </c>
      <c r="Z11752" s="372">
        <v>0.0</v>
      </c>
    </row>
    <row r="11753">
      <c r="Y11753" s="372">
        <v>0.0</v>
      </c>
      <c r="Z11753" s="372">
        <v>0.0</v>
      </c>
    </row>
    <row r="11754">
      <c r="Y11754" s="372">
        <v>0.0</v>
      </c>
      <c r="Z11754" s="372">
        <v>0.0</v>
      </c>
    </row>
    <row r="11755">
      <c r="Y11755" s="372">
        <v>0.0</v>
      </c>
      <c r="Z11755" s="372">
        <v>0.0</v>
      </c>
    </row>
    <row r="11756">
      <c r="Y11756" s="372">
        <v>0.0</v>
      </c>
      <c r="Z11756" s="372">
        <v>0.0</v>
      </c>
    </row>
    <row r="11757">
      <c r="Y11757" s="372">
        <v>0.0</v>
      </c>
      <c r="Z11757" s="372">
        <v>0.0</v>
      </c>
    </row>
    <row r="11758">
      <c r="Y11758" s="372">
        <v>0.0</v>
      </c>
      <c r="Z11758" s="372">
        <v>0.0</v>
      </c>
    </row>
    <row r="11759">
      <c r="Y11759" s="372">
        <v>0.0</v>
      </c>
      <c r="Z11759" s="372">
        <v>0.0</v>
      </c>
    </row>
    <row r="11760">
      <c r="Y11760" s="372">
        <v>0.0</v>
      </c>
      <c r="Z11760" s="372">
        <v>0.0</v>
      </c>
    </row>
    <row r="11761">
      <c r="Y11761" s="372">
        <v>0.0</v>
      </c>
      <c r="Z11761" s="372">
        <v>0.0</v>
      </c>
    </row>
    <row r="11762">
      <c r="Y11762" s="372">
        <v>0.0</v>
      </c>
      <c r="Z11762" s="372">
        <v>0.0</v>
      </c>
    </row>
    <row r="11763">
      <c r="Y11763" s="372">
        <v>0.0</v>
      </c>
      <c r="Z11763" s="372">
        <v>0.0</v>
      </c>
    </row>
    <row r="11764">
      <c r="Y11764" s="372">
        <v>0.0</v>
      </c>
      <c r="Z11764" s="372">
        <v>0.0</v>
      </c>
    </row>
    <row r="11765">
      <c r="Y11765" s="372">
        <v>0.0</v>
      </c>
      <c r="Z11765" s="372">
        <v>0.0</v>
      </c>
    </row>
    <row r="11766">
      <c r="Y11766" s="372">
        <v>0.0</v>
      </c>
      <c r="Z11766" s="372">
        <v>0.0</v>
      </c>
    </row>
    <row r="11767">
      <c r="Y11767" s="372">
        <v>0.0</v>
      </c>
      <c r="Z11767" s="372">
        <v>0.0</v>
      </c>
    </row>
    <row r="11768">
      <c r="Y11768" s="372">
        <v>0.0</v>
      </c>
      <c r="Z11768" s="372">
        <v>0.0</v>
      </c>
    </row>
    <row r="11769">
      <c r="Y11769" s="372">
        <v>0.0</v>
      </c>
      <c r="Z11769" s="372">
        <v>0.0</v>
      </c>
    </row>
    <row r="11770">
      <c r="Y11770" s="372">
        <v>0.0</v>
      </c>
      <c r="Z11770" s="372">
        <v>0.0</v>
      </c>
    </row>
    <row r="11771">
      <c r="Y11771" s="372">
        <v>0.0</v>
      </c>
      <c r="Z11771" s="372">
        <v>0.0</v>
      </c>
    </row>
    <row r="11772">
      <c r="Y11772" s="372">
        <v>0.0</v>
      </c>
      <c r="Z11772" s="372">
        <v>0.0</v>
      </c>
    </row>
    <row r="11773">
      <c r="Y11773" s="372">
        <v>0.0</v>
      </c>
      <c r="Z11773" s="372">
        <v>0.0</v>
      </c>
    </row>
    <row r="11774">
      <c r="Y11774" s="372">
        <v>0.0</v>
      </c>
      <c r="Z11774" s="372">
        <v>0.0</v>
      </c>
    </row>
    <row r="11775">
      <c r="Y11775" s="372">
        <v>0.0</v>
      </c>
      <c r="Z11775" s="372">
        <v>0.0</v>
      </c>
    </row>
    <row r="11776">
      <c r="Y11776" s="372">
        <v>0.0</v>
      </c>
      <c r="Z11776" s="372">
        <v>0.0</v>
      </c>
    </row>
    <row r="11777">
      <c r="Y11777" s="372">
        <v>0.0</v>
      </c>
      <c r="Z11777" s="372">
        <v>0.0</v>
      </c>
    </row>
    <row r="11778">
      <c r="Y11778" s="372">
        <v>0.0</v>
      </c>
      <c r="Z11778" s="372">
        <v>0.0</v>
      </c>
    </row>
    <row r="11779">
      <c r="Y11779" s="372">
        <v>0.0</v>
      </c>
      <c r="Z11779" s="372">
        <v>0.0</v>
      </c>
    </row>
    <row r="11780">
      <c r="Y11780" s="372">
        <v>0.0</v>
      </c>
      <c r="Z11780" s="372">
        <v>0.0</v>
      </c>
    </row>
    <row r="11781">
      <c r="Y11781" s="372">
        <v>0.0</v>
      </c>
      <c r="Z11781" s="372">
        <v>0.0</v>
      </c>
    </row>
    <row r="11782">
      <c r="Y11782" s="372">
        <v>0.0</v>
      </c>
      <c r="Z11782" s="372">
        <v>0.0</v>
      </c>
    </row>
    <row r="11783">
      <c r="Y11783" s="372">
        <v>0.0</v>
      </c>
      <c r="Z11783" s="372">
        <v>0.0</v>
      </c>
    </row>
    <row r="11784">
      <c r="Y11784" s="372">
        <v>0.0</v>
      </c>
      <c r="Z11784" s="372">
        <v>0.0</v>
      </c>
    </row>
    <row r="11785">
      <c r="Y11785" s="372">
        <v>0.0</v>
      </c>
      <c r="Z11785" s="372">
        <v>0.0</v>
      </c>
    </row>
    <row r="11786">
      <c r="Y11786" s="372">
        <v>0.0</v>
      </c>
      <c r="Z11786" s="372">
        <v>0.0</v>
      </c>
    </row>
    <row r="11787">
      <c r="Y11787" s="372">
        <v>0.0</v>
      </c>
      <c r="Z11787" s="372">
        <v>0.0</v>
      </c>
    </row>
    <row r="11788">
      <c r="Y11788" s="372">
        <v>0.0</v>
      </c>
      <c r="Z11788" s="372">
        <v>0.0</v>
      </c>
    </row>
    <row r="11789">
      <c r="Y11789" s="372">
        <v>0.0</v>
      </c>
      <c r="Z11789" s="372">
        <v>0.0</v>
      </c>
    </row>
    <row r="11790">
      <c r="Y11790" s="372">
        <v>0.0</v>
      </c>
      <c r="Z11790" s="372">
        <v>0.0</v>
      </c>
    </row>
    <row r="11791">
      <c r="Y11791" s="372">
        <v>0.0</v>
      </c>
      <c r="Z11791" s="372">
        <v>0.0</v>
      </c>
    </row>
    <row r="11792">
      <c r="Y11792" s="372">
        <v>0.0</v>
      </c>
      <c r="Z11792" s="372">
        <v>0.0</v>
      </c>
    </row>
    <row r="11793">
      <c r="Y11793" s="372">
        <v>0.0</v>
      </c>
      <c r="Z11793" s="372">
        <v>0.0</v>
      </c>
    </row>
    <row r="11794">
      <c r="Y11794" s="372">
        <v>0.0</v>
      </c>
      <c r="Z11794" s="372">
        <v>0.0</v>
      </c>
    </row>
    <row r="11795">
      <c r="Y11795" s="372">
        <v>0.0</v>
      </c>
      <c r="Z11795" s="372">
        <v>0.0</v>
      </c>
    </row>
    <row r="11796">
      <c r="Y11796" s="372">
        <v>0.0</v>
      </c>
      <c r="Z11796" s="372">
        <v>0.0</v>
      </c>
    </row>
    <row r="11797">
      <c r="Y11797" s="372">
        <v>0.0</v>
      </c>
      <c r="Z11797" s="372">
        <v>0.0</v>
      </c>
    </row>
    <row r="11798">
      <c r="Y11798" s="372">
        <v>0.0</v>
      </c>
      <c r="Z11798" s="372">
        <v>0.0</v>
      </c>
    </row>
    <row r="11799">
      <c r="Y11799" s="372">
        <v>0.0</v>
      </c>
      <c r="Z11799" s="372">
        <v>0.0</v>
      </c>
    </row>
    <row r="11800">
      <c r="Y11800" s="372">
        <v>0.0</v>
      </c>
      <c r="Z11800" s="372">
        <v>0.0</v>
      </c>
    </row>
    <row r="11801">
      <c r="Y11801" s="372">
        <v>0.0</v>
      </c>
      <c r="Z11801" s="372">
        <v>0.0</v>
      </c>
    </row>
    <row r="11802">
      <c r="Y11802" s="372">
        <v>0.0</v>
      </c>
      <c r="Z11802" s="372">
        <v>0.0</v>
      </c>
    </row>
    <row r="11803">
      <c r="Y11803" s="372">
        <v>0.0</v>
      </c>
      <c r="Z11803" s="372">
        <v>0.0</v>
      </c>
    </row>
    <row r="11804">
      <c r="Y11804" s="372">
        <v>0.0</v>
      </c>
      <c r="Z11804" s="372">
        <v>0.0</v>
      </c>
    </row>
    <row r="11805">
      <c r="Y11805" s="372">
        <v>0.0</v>
      </c>
      <c r="Z11805" s="372">
        <v>0.0</v>
      </c>
    </row>
    <row r="11806">
      <c r="Y11806" s="372">
        <v>0.0</v>
      </c>
      <c r="Z11806" s="372">
        <v>0.0</v>
      </c>
    </row>
    <row r="11807">
      <c r="Y11807" s="372">
        <v>0.0</v>
      </c>
      <c r="Z11807" s="372">
        <v>0.0</v>
      </c>
    </row>
    <row r="11808">
      <c r="Y11808" s="372">
        <v>0.0</v>
      </c>
      <c r="Z11808" s="372">
        <v>0.0</v>
      </c>
    </row>
    <row r="11809">
      <c r="Y11809" s="372">
        <v>0.0</v>
      </c>
      <c r="Z11809" s="372">
        <v>0.0</v>
      </c>
    </row>
    <row r="11810">
      <c r="Y11810" s="372">
        <v>0.0</v>
      </c>
      <c r="Z11810" s="372">
        <v>0.0</v>
      </c>
    </row>
    <row r="11811">
      <c r="Y11811" s="372">
        <v>0.0</v>
      </c>
      <c r="Z11811" s="372">
        <v>0.0</v>
      </c>
    </row>
    <row r="11812">
      <c r="Y11812" s="372">
        <v>0.0</v>
      </c>
      <c r="Z11812" s="372">
        <v>0.0</v>
      </c>
    </row>
    <row r="11813">
      <c r="Y11813" s="372">
        <v>0.0</v>
      </c>
      <c r="Z11813" s="372">
        <v>0.0</v>
      </c>
    </row>
    <row r="11814">
      <c r="Y11814" s="372">
        <v>0.0</v>
      </c>
      <c r="Z11814" s="372">
        <v>0.0</v>
      </c>
    </row>
    <row r="11815">
      <c r="Y11815" s="372">
        <v>0.0</v>
      </c>
      <c r="Z11815" s="372">
        <v>0.0</v>
      </c>
    </row>
    <row r="11816">
      <c r="Y11816" s="372">
        <v>0.0</v>
      </c>
      <c r="Z11816" s="372">
        <v>0.0</v>
      </c>
    </row>
    <row r="11817">
      <c r="Y11817" s="372">
        <v>0.0</v>
      </c>
      <c r="Z11817" s="372">
        <v>0.0</v>
      </c>
    </row>
    <row r="11818">
      <c r="Y11818" s="372">
        <v>0.0</v>
      </c>
      <c r="Z11818" s="372">
        <v>0.0</v>
      </c>
    </row>
    <row r="11819">
      <c r="Y11819" s="372">
        <v>0.0</v>
      </c>
      <c r="Z11819" s="372">
        <v>0.0</v>
      </c>
    </row>
    <row r="11820">
      <c r="Y11820" s="372">
        <v>0.0</v>
      </c>
      <c r="Z11820" s="372">
        <v>0.0</v>
      </c>
    </row>
    <row r="11821">
      <c r="Y11821" s="372">
        <v>0.0</v>
      </c>
      <c r="Z11821" s="372">
        <v>0.0</v>
      </c>
    </row>
    <row r="11822">
      <c r="Y11822" s="372">
        <v>0.0</v>
      </c>
      <c r="Z11822" s="372">
        <v>0.0</v>
      </c>
    </row>
    <row r="11823">
      <c r="Y11823" s="372">
        <v>0.0</v>
      </c>
      <c r="Z11823" s="372">
        <v>0.0</v>
      </c>
    </row>
    <row r="11824">
      <c r="Y11824" s="372">
        <v>0.0</v>
      </c>
      <c r="Z11824" s="372">
        <v>0.0</v>
      </c>
    </row>
    <row r="11825">
      <c r="Y11825" s="372">
        <v>0.0</v>
      </c>
      <c r="Z11825" s="372">
        <v>0.0</v>
      </c>
    </row>
    <row r="11826">
      <c r="Y11826" s="372">
        <v>0.0</v>
      </c>
      <c r="Z11826" s="372">
        <v>0.0</v>
      </c>
    </row>
    <row r="11827">
      <c r="Y11827" s="372">
        <v>0.0</v>
      </c>
      <c r="Z11827" s="372">
        <v>0.0</v>
      </c>
    </row>
    <row r="11828">
      <c r="Y11828" s="372">
        <v>0.0</v>
      </c>
      <c r="Z11828" s="372">
        <v>0.0</v>
      </c>
    </row>
    <row r="11829">
      <c r="Y11829" s="372">
        <v>0.0</v>
      </c>
      <c r="Z11829" s="372">
        <v>0.0</v>
      </c>
    </row>
    <row r="11830">
      <c r="Y11830" s="372">
        <v>0.0</v>
      </c>
      <c r="Z11830" s="372">
        <v>0.0</v>
      </c>
    </row>
    <row r="11831">
      <c r="Y11831" s="372">
        <v>0.0</v>
      </c>
      <c r="Z11831" s="372">
        <v>0.0</v>
      </c>
    </row>
    <row r="11832">
      <c r="Y11832" s="372">
        <v>0.0</v>
      </c>
      <c r="Z11832" s="372">
        <v>0.0</v>
      </c>
    </row>
    <row r="11833">
      <c r="Y11833" s="372">
        <v>0.0</v>
      </c>
      <c r="Z11833" s="372">
        <v>0.0</v>
      </c>
    </row>
    <row r="11834">
      <c r="Y11834" s="372">
        <v>0.0</v>
      </c>
      <c r="Z11834" s="372">
        <v>0.0</v>
      </c>
    </row>
    <row r="11835">
      <c r="Y11835" s="372">
        <v>0.0</v>
      </c>
      <c r="Z11835" s="372">
        <v>0.0</v>
      </c>
    </row>
    <row r="11836">
      <c r="Y11836" s="372">
        <v>0.0</v>
      </c>
      <c r="Z11836" s="372">
        <v>0.0</v>
      </c>
    </row>
    <row r="11837">
      <c r="Y11837" s="372">
        <v>0.0</v>
      </c>
      <c r="Z11837" s="372">
        <v>0.0</v>
      </c>
    </row>
    <row r="11838">
      <c r="Y11838" s="372">
        <v>0.0</v>
      </c>
      <c r="Z11838" s="372">
        <v>0.0</v>
      </c>
    </row>
    <row r="11839">
      <c r="Y11839" s="372">
        <v>0.0</v>
      </c>
      <c r="Z11839" s="372">
        <v>0.0</v>
      </c>
    </row>
    <row r="11840">
      <c r="Y11840" s="372">
        <v>0.0</v>
      </c>
      <c r="Z11840" s="372">
        <v>0.0</v>
      </c>
    </row>
    <row r="11841">
      <c r="Y11841" s="372">
        <v>0.0</v>
      </c>
      <c r="Z11841" s="372">
        <v>0.0</v>
      </c>
    </row>
    <row r="11842">
      <c r="Y11842" s="372">
        <v>0.0</v>
      </c>
      <c r="Z11842" s="372">
        <v>0.0</v>
      </c>
    </row>
    <row r="11843">
      <c r="Y11843" s="372">
        <v>0.0</v>
      </c>
      <c r="Z11843" s="372">
        <v>0.0</v>
      </c>
    </row>
    <row r="11844">
      <c r="Y11844" s="372">
        <v>0.0</v>
      </c>
      <c r="Z11844" s="372">
        <v>0.0</v>
      </c>
    </row>
    <row r="11845">
      <c r="Y11845" s="372">
        <v>0.0</v>
      </c>
      <c r="Z11845" s="372">
        <v>0.0</v>
      </c>
    </row>
    <row r="11846">
      <c r="Y11846" s="372">
        <v>0.0</v>
      </c>
      <c r="Z11846" s="372">
        <v>0.0</v>
      </c>
    </row>
    <row r="11847">
      <c r="Y11847" s="372">
        <v>0.0</v>
      </c>
      <c r="Z11847" s="372">
        <v>0.0</v>
      </c>
    </row>
    <row r="11848">
      <c r="Y11848" s="372">
        <v>0.0</v>
      </c>
      <c r="Z11848" s="372">
        <v>0.0</v>
      </c>
    </row>
    <row r="11849">
      <c r="Y11849" s="372">
        <v>0.0</v>
      </c>
      <c r="Z11849" s="372">
        <v>0.0</v>
      </c>
    </row>
    <row r="11850">
      <c r="Y11850" s="372">
        <v>0.0</v>
      </c>
      <c r="Z11850" s="372">
        <v>0.0</v>
      </c>
    </row>
    <row r="11851">
      <c r="Y11851" s="372">
        <v>0.0</v>
      </c>
      <c r="Z11851" s="372">
        <v>0.0</v>
      </c>
    </row>
    <row r="11852">
      <c r="Y11852" s="372">
        <v>0.0</v>
      </c>
      <c r="Z11852" s="372">
        <v>0.0</v>
      </c>
    </row>
    <row r="11853">
      <c r="Y11853" s="372">
        <v>0.0</v>
      </c>
      <c r="Z11853" s="372">
        <v>0.0</v>
      </c>
    </row>
    <row r="11854">
      <c r="Y11854" s="372">
        <v>0.0</v>
      </c>
      <c r="Z11854" s="372">
        <v>0.0</v>
      </c>
    </row>
    <row r="11855">
      <c r="Y11855" s="372">
        <v>0.0</v>
      </c>
      <c r="Z11855" s="372">
        <v>0.0</v>
      </c>
    </row>
    <row r="11856">
      <c r="Y11856" s="372">
        <v>0.0</v>
      </c>
      <c r="Z11856" s="372">
        <v>0.0</v>
      </c>
    </row>
    <row r="11857">
      <c r="Y11857" s="372">
        <v>0.0</v>
      </c>
      <c r="Z11857" s="372">
        <v>0.0</v>
      </c>
    </row>
    <row r="11858">
      <c r="Y11858" s="372">
        <v>0.0</v>
      </c>
      <c r="Z11858" s="372">
        <v>0.0</v>
      </c>
    </row>
    <row r="11859">
      <c r="Y11859" s="372">
        <v>0.0</v>
      </c>
      <c r="Z11859" s="372">
        <v>0.0</v>
      </c>
    </row>
    <row r="11860">
      <c r="Y11860" s="372">
        <v>0.0</v>
      </c>
      <c r="Z11860" s="372">
        <v>0.0</v>
      </c>
    </row>
    <row r="11861">
      <c r="Y11861" s="372">
        <v>0.0</v>
      </c>
      <c r="Z11861" s="372">
        <v>0.0</v>
      </c>
    </row>
    <row r="11862">
      <c r="Y11862" s="372">
        <v>0.0</v>
      </c>
      <c r="Z11862" s="372">
        <v>0.0</v>
      </c>
    </row>
    <row r="11863">
      <c r="Y11863" s="372">
        <v>0.0</v>
      </c>
      <c r="Z11863" s="372">
        <v>0.0</v>
      </c>
    </row>
    <row r="11864">
      <c r="Y11864" s="372">
        <v>0.0</v>
      </c>
      <c r="Z11864" s="372">
        <v>0.0</v>
      </c>
    </row>
    <row r="11865">
      <c r="Y11865" s="372">
        <v>0.0</v>
      </c>
      <c r="Z11865" s="372">
        <v>0.0</v>
      </c>
    </row>
    <row r="11866">
      <c r="Y11866" s="372">
        <v>0.0</v>
      </c>
      <c r="Z11866" s="372">
        <v>0.0</v>
      </c>
    </row>
    <row r="11867">
      <c r="Y11867" s="372">
        <v>0.0</v>
      </c>
      <c r="Z11867" s="372">
        <v>0.0</v>
      </c>
    </row>
    <row r="11868">
      <c r="Y11868" s="372">
        <v>0.0</v>
      </c>
      <c r="Z11868" s="372">
        <v>0.0</v>
      </c>
    </row>
    <row r="11869">
      <c r="Y11869" s="372">
        <v>0.0</v>
      </c>
      <c r="Z11869" s="372">
        <v>0.0</v>
      </c>
    </row>
    <row r="11870">
      <c r="Y11870" s="372">
        <v>0.0</v>
      </c>
      <c r="Z11870" s="372">
        <v>0.0</v>
      </c>
    </row>
    <row r="11871">
      <c r="Y11871" s="372">
        <v>0.0</v>
      </c>
      <c r="Z11871" s="372">
        <v>0.0</v>
      </c>
    </row>
    <row r="11872">
      <c r="Y11872" s="372">
        <v>0.0</v>
      </c>
      <c r="Z11872" s="372">
        <v>0.0</v>
      </c>
    </row>
    <row r="11873">
      <c r="Y11873" s="372">
        <v>0.0</v>
      </c>
      <c r="Z11873" s="372">
        <v>0.0</v>
      </c>
    </row>
    <row r="11874">
      <c r="Y11874" s="372">
        <v>0.0</v>
      </c>
      <c r="Z11874" s="372">
        <v>0.0</v>
      </c>
    </row>
    <row r="11875">
      <c r="Y11875" s="372">
        <v>0.0</v>
      </c>
      <c r="Z11875" s="372">
        <v>0.0</v>
      </c>
    </row>
    <row r="11876">
      <c r="Y11876" s="372">
        <v>0.0</v>
      </c>
      <c r="Z11876" s="372">
        <v>0.0</v>
      </c>
    </row>
    <row r="11877">
      <c r="Y11877" s="372">
        <v>0.0</v>
      </c>
      <c r="Z11877" s="372">
        <v>0.0</v>
      </c>
    </row>
    <row r="11878">
      <c r="Y11878" s="372">
        <v>0.0</v>
      </c>
      <c r="Z11878" s="372">
        <v>0.0</v>
      </c>
    </row>
    <row r="11879">
      <c r="Y11879" s="372">
        <v>0.0</v>
      </c>
      <c r="Z11879" s="372">
        <v>0.0</v>
      </c>
    </row>
    <row r="11880">
      <c r="Y11880" s="372">
        <v>0.0</v>
      </c>
      <c r="Z11880" s="372">
        <v>0.0</v>
      </c>
    </row>
    <row r="11881">
      <c r="Y11881" s="372">
        <v>0.0</v>
      </c>
      <c r="Z11881" s="372">
        <v>0.0</v>
      </c>
    </row>
    <row r="11882">
      <c r="Y11882" s="372">
        <v>0.0</v>
      </c>
      <c r="Z11882" s="372">
        <v>0.0</v>
      </c>
    </row>
    <row r="11883">
      <c r="Y11883" s="372">
        <v>0.0</v>
      </c>
      <c r="Z11883" s="372">
        <v>0.0</v>
      </c>
    </row>
    <row r="11884">
      <c r="Y11884" s="372">
        <v>0.0</v>
      </c>
      <c r="Z11884" s="372">
        <v>0.0</v>
      </c>
    </row>
    <row r="11885">
      <c r="Y11885" s="372">
        <v>0.0</v>
      </c>
      <c r="Z11885" s="372">
        <v>0.0</v>
      </c>
    </row>
    <row r="11886">
      <c r="Y11886" s="372">
        <v>0.0</v>
      </c>
      <c r="Z11886" s="372">
        <v>0.0</v>
      </c>
    </row>
    <row r="11887">
      <c r="Y11887" s="372">
        <v>0.0</v>
      </c>
      <c r="Z11887" s="372">
        <v>0.0</v>
      </c>
    </row>
    <row r="11888">
      <c r="Y11888" s="372">
        <v>0.0</v>
      </c>
      <c r="Z11888" s="372">
        <v>0.0</v>
      </c>
    </row>
    <row r="11889">
      <c r="Y11889" s="372">
        <v>0.0</v>
      </c>
      <c r="Z11889" s="372">
        <v>0.0</v>
      </c>
    </row>
    <row r="11890">
      <c r="Y11890" s="372">
        <v>0.0</v>
      </c>
      <c r="Z11890" s="372">
        <v>0.0</v>
      </c>
    </row>
    <row r="11891">
      <c r="Y11891" s="372">
        <v>0.0</v>
      </c>
      <c r="Z11891" s="372">
        <v>0.0</v>
      </c>
    </row>
    <row r="11892">
      <c r="Y11892" s="372">
        <v>0.0</v>
      </c>
      <c r="Z11892" s="372">
        <v>0.0</v>
      </c>
    </row>
    <row r="11893">
      <c r="Y11893" s="372">
        <v>0.0</v>
      </c>
      <c r="Z11893" s="372">
        <v>0.0</v>
      </c>
    </row>
    <row r="11894">
      <c r="Y11894" s="372">
        <v>0.0</v>
      </c>
      <c r="Z11894" s="372">
        <v>0.0</v>
      </c>
    </row>
    <row r="11895">
      <c r="Y11895" s="372">
        <v>0.0</v>
      </c>
      <c r="Z11895" s="372">
        <v>0.0</v>
      </c>
    </row>
    <row r="11896">
      <c r="Y11896" s="372">
        <v>0.0</v>
      </c>
      <c r="Z11896" s="372">
        <v>0.0</v>
      </c>
    </row>
    <row r="11897">
      <c r="Y11897" s="372">
        <v>0.0</v>
      </c>
      <c r="Z11897" s="372">
        <v>0.0</v>
      </c>
    </row>
    <row r="11898">
      <c r="Y11898" s="372">
        <v>0.0</v>
      </c>
      <c r="Z11898" s="372">
        <v>0.0</v>
      </c>
    </row>
    <row r="11899">
      <c r="Y11899" s="372">
        <v>0.0</v>
      </c>
      <c r="Z11899" s="372">
        <v>0.0</v>
      </c>
    </row>
    <row r="11900">
      <c r="Y11900" s="372">
        <v>0.0</v>
      </c>
      <c r="Z11900" s="372">
        <v>0.0</v>
      </c>
    </row>
    <row r="11901">
      <c r="Y11901" s="372">
        <v>0.0</v>
      </c>
      <c r="Z11901" s="372">
        <v>0.0</v>
      </c>
    </row>
    <row r="11902">
      <c r="Y11902" s="372">
        <v>0.0</v>
      </c>
      <c r="Z11902" s="372">
        <v>0.0</v>
      </c>
    </row>
    <row r="11903">
      <c r="Y11903" s="372">
        <v>0.0</v>
      </c>
      <c r="Z11903" s="372">
        <v>0.0</v>
      </c>
    </row>
    <row r="11904">
      <c r="Y11904" s="372">
        <v>0.0</v>
      </c>
      <c r="Z11904" s="372">
        <v>0.0</v>
      </c>
    </row>
    <row r="11905">
      <c r="Y11905" s="372">
        <v>0.0</v>
      </c>
      <c r="Z11905" s="372">
        <v>0.0</v>
      </c>
    </row>
    <row r="11906">
      <c r="Y11906" s="372">
        <v>0.0</v>
      </c>
      <c r="Z11906" s="372">
        <v>0.0</v>
      </c>
    </row>
    <row r="11907">
      <c r="Y11907" s="372">
        <v>0.0</v>
      </c>
      <c r="Z11907" s="372">
        <v>0.0</v>
      </c>
    </row>
    <row r="11908">
      <c r="Y11908" s="372">
        <v>0.0</v>
      </c>
      <c r="Z11908" s="372">
        <v>0.0</v>
      </c>
    </row>
    <row r="11909">
      <c r="Y11909" s="372">
        <v>0.0</v>
      </c>
      <c r="Z11909" s="372">
        <v>0.0</v>
      </c>
    </row>
    <row r="11910">
      <c r="Y11910" s="372">
        <v>0.0</v>
      </c>
      <c r="Z11910" s="372">
        <v>0.0</v>
      </c>
    </row>
    <row r="11911">
      <c r="Y11911" s="372">
        <v>0.0</v>
      </c>
      <c r="Z11911" s="372">
        <v>0.0</v>
      </c>
    </row>
    <row r="11912">
      <c r="Y11912" s="372">
        <v>0.0</v>
      </c>
      <c r="Z11912" s="372">
        <v>0.0</v>
      </c>
    </row>
    <row r="11913">
      <c r="Y11913" s="372">
        <v>0.0</v>
      </c>
      <c r="Z11913" s="372">
        <v>0.0</v>
      </c>
    </row>
    <row r="11914">
      <c r="Y11914" s="372">
        <v>0.0</v>
      </c>
      <c r="Z11914" s="372">
        <v>0.0</v>
      </c>
    </row>
    <row r="11915">
      <c r="Y11915" s="372">
        <v>0.0</v>
      </c>
      <c r="Z11915" s="372">
        <v>0.0</v>
      </c>
    </row>
    <row r="11916">
      <c r="Y11916" s="372">
        <v>0.0</v>
      </c>
      <c r="Z11916" s="372">
        <v>0.0</v>
      </c>
    </row>
    <row r="11917">
      <c r="Y11917" s="372">
        <v>0.0</v>
      </c>
      <c r="Z11917" s="372">
        <v>0.0</v>
      </c>
    </row>
    <row r="11918">
      <c r="Y11918" s="372">
        <v>0.0</v>
      </c>
      <c r="Z11918" s="372">
        <v>0.0</v>
      </c>
    </row>
    <row r="11919">
      <c r="Y11919" s="372">
        <v>0.0</v>
      </c>
      <c r="Z11919" s="372">
        <v>0.0</v>
      </c>
    </row>
    <row r="11920">
      <c r="Y11920" s="372">
        <v>0.0</v>
      </c>
      <c r="Z11920" s="372">
        <v>0.0</v>
      </c>
    </row>
    <row r="11921">
      <c r="Y11921" s="372">
        <v>0.0</v>
      </c>
      <c r="Z11921" s="372">
        <v>0.0</v>
      </c>
    </row>
    <row r="11922">
      <c r="Y11922" s="372">
        <v>0.0</v>
      </c>
      <c r="Z11922" s="372">
        <v>0.0</v>
      </c>
    </row>
    <row r="11923">
      <c r="Y11923" s="372">
        <v>0.0</v>
      </c>
      <c r="Z11923" s="372">
        <v>0.0</v>
      </c>
    </row>
    <row r="11924">
      <c r="Y11924" s="372">
        <v>0.0</v>
      </c>
      <c r="Z11924" s="372">
        <v>0.0</v>
      </c>
    </row>
    <row r="11925">
      <c r="Y11925" s="372">
        <v>0.0</v>
      </c>
      <c r="Z11925" s="372">
        <v>0.0</v>
      </c>
    </row>
    <row r="11926">
      <c r="Y11926" s="372">
        <v>0.0</v>
      </c>
      <c r="Z11926" s="372">
        <v>0.0</v>
      </c>
    </row>
    <row r="11927">
      <c r="Y11927" s="372">
        <v>0.0</v>
      </c>
      <c r="Z11927" s="372">
        <v>0.0</v>
      </c>
    </row>
    <row r="11928">
      <c r="Y11928" s="372">
        <v>0.0</v>
      </c>
      <c r="Z11928" s="372">
        <v>0.0</v>
      </c>
    </row>
    <row r="11929">
      <c r="Y11929" s="372">
        <v>0.0</v>
      </c>
      <c r="Z11929" s="372">
        <v>0.0</v>
      </c>
    </row>
    <row r="11930">
      <c r="Y11930" s="372">
        <v>0.0</v>
      </c>
      <c r="Z11930" s="372">
        <v>0.0</v>
      </c>
    </row>
    <row r="11931">
      <c r="Y11931" s="372">
        <v>0.0</v>
      </c>
      <c r="Z11931" s="372">
        <v>0.0</v>
      </c>
    </row>
    <row r="11932">
      <c r="Y11932" s="372">
        <v>0.0</v>
      </c>
      <c r="Z11932" s="372">
        <v>0.0</v>
      </c>
    </row>
    <row r="11933">
      <c r="Y11933" s="372">
        <v>0.0</v>
      </c>
      <c r="Z11933" s="372">
        <v>0.0</v>
      </c>
    </row>
    <row r="11934">
      <c r="Y11934" s="372">
        <v>0.0</v>
      </c>
      <c r="Z11934" s="372">
        <v>0.0</v>
      </c>
    </row>
    <row r="11935">
      <c r="Y11935" s="372">
        <v>0.0</v>
      </c>
      <c r="Z11935" s="372">
        <v>0.0</v>
      </c>
    </row>
    <row r="11936">
      <c r="Y11936" s="372">
        <v>0.0</v>
      </c>
      <c r="Z11936" s="372">
        <v>0.0</v>
      </c>
    </row>
    <row r="11937">
      <c r="Y11937" s="372">
        <v>0.0</v>
      </c>
      <c r="Z11937" s="372">
        <v>0.0</v>
      </c>
    </row>
    <row r="11938">
      <c r="Y11938" s="372">
        <v>0.0</v>
      </c>
      <c r="Z11938" s="372">
        <v>0.0</v>
      </c>
    </row>
    <row r="11939">
      <c r="Y11939" s="372">
        <v>0.0</v>
      </c>
      <c r="Z11939" s="372">
        <v>0.0</v>
      </c>
    </row>
    <row r="11940">
      <c r="Y11940" s="372">
        <v>0.0</v>
      </c>
      <c r="Z11940" s="372">
        <v>0.0</v>
      </c>
    </row>
    <row r="11941">
      <c r="Y11941" s="372">
        <v>0.0</v>
      </c>
      <c r="Z11941" s="372">
        <v>0.0</v>
      </c>
    </row>
    <row r="11942">
      <c r="Y11942" s="372">
        <v>0.0</v>
      </c>
      <c r="Z11942" s="372">
        <v>0.0</v>
      </c>
    </row>
    <row r="11943">
      <c r="Y11943" s="372">
        <v>0.0</v>
      </c>
      <c r="Z11943" s="372">
        <v>0.0</v>
      </c>
    </row>
    <row r="11944">
      <c r="Y11944" s="372">
        <v>0.0</v>
      </c>
      <c r="Z11944" s="372">
        <v>0.0</v>
      </c>
    </row>
    <row r="11945">
      <c r="Y11945" s="372">
        <v>0.0</v>
      </c>
      <c r="Z11945" s="372">
        <v>0.0</v>
      </c>
    </row>
    <row r="11946">
      <c r="Y11946" s="372">
        <v>0.0</v>
      </c>
      <c r="Z11946" s="372">
        <v>0.0</v>
      </c>
    </row>
    <row r="11947">
      <c r="Y11947" s="372">
        <v>0.0</v>
      </c>
      <c r="Z11947" s="372">
        <v>0.0</v>
      </c>
    </row>
    <row r="11948">
      <c r="Y11948" s="372">
        <v>0.0</v>
      </c>
      <c r="Z11948" s="372">
        <v>0.0</v>
      </c>
    </row>
    <row r="11949">
      <c r="Y11949" s="372">
        <v>0.0</v>
      </c>
      <c r="Z11949" s="372">
        <v>0.0</v>
      </c>
    </row>
    <row r="11950">
      <c r="Y11950" s="372">
        <v>0.0</v>
      </c>
      <c r="Z11950" s="372">
        <v>0.0</v>
      </c>
    </row>
    <row r="11951">
      <c r="Y11951" s="372">
        <v>0.0</v>
      </c>
      <c r="Z11951" s="372">
        <v>0.0</v>
      </c>
    </row>
    <row r="11952">
      <c r="Y11952" s="372">
        <v>0.0</v>
      </c>
      <c r="Z11952" s="372">
        <v>0.0</v>
      </c>
    </row>
    <row r="11953">
      <c r="Y11953" s="372">
        <v>0.0</v>
      </c>
      <c r="Z11953" s="372">
        <v>0.0</v>
      </c>
    </row>
    <row r="11954">
      <c r="Y11954" s="372">
        <v>0.0</v>
      </c>
      <c r="Z11954" s="372">
        <v>0.0</v>
      </c>
    </row>
    <row r="11955">
      <c r="Y11955" s="372">
        <v>0.0</v>
      </c>
      <c r="Z11955" s="372">
        <v>0.0</v>
      </c>
    </row>
    <row r="11956">
      <c r="Y11956" s="372">
        <v>0.0</v>
      </c>
      <c r="Z11956" s="372">
        <v>0.0</v>
      </c>
    </row>
    <row r="11957">
      <c r="Y11957" s="372">
        <v>0.0</v>
      </c>
      <c r="Z11957" s="372">
        <v>0.0</v>
      </c>
    </row>
    <row r="11958">
      <c r="Y11958" s="372">
        <v>0.0</v>
      </c>
      <c r="Z11958" s="372">
        <v>0.0</v>
      </c>
    </row>
    <row r="11959">
      <c r="Y11959" s="372">
        <v>0.0</v>
      </c>
      <c r="Z11959" s="372">
        <v>0.0</v>
      </c>
    </row>
    <row r="11960">
      <c r="Y11960" s="372">
        <v>0.0</v>
      </c>
      <c r="Z11960" s="372">
        <v>0.0</v>
      </c>
    </row>
    <row r="11961">
      <c r="Y11961" s="372">
        <v>0.0</v>
      </c>
      <c r="Z11961" s="372">
        <v>0.0</v>
      </c>
    </row>
    <row r="11962">
      <c r="Y11962" s="372">
        <v>0.0</v>
      </c>
      <c r="Z11962" s="372">
        <v>0.0</v>
      </c>
    </row>
    <row r="11963">
      <c r="Y11963" s="372">
        <v>0.0</v>
      </c>
      <c r="Z11963" s="372">
        <v>0.0</v>
      </c>
    </row>
    <row r="11964">
      <c r="Y11964" s="372">
        <v>0.0</v>
      </c>
      <c r="Z11964" s="372">
        <v>0.0</v>
      </c>
    </row>
    <row r="11965">
      <c r="Y11965" s="372">
        <v>0.0</v>
      </c>
      <c r="Z11965" s="372">
        <v>0.0</v>
      </c>
    </row>
    <row r="11966">
      <c r="Y11966" s="372">
        <v>0.0</v>
      </c>
      <c r="Z11966" s="372">
        <v>0.0</v>
      </c>
    </row>
    <row r="11967">
      <c r="Y11967" s="372">
        <v>0.0</v>
      </c>
      <c r="Z11967" s="372">
        <v>0.0</v>
      </c>
    </row>
    <row r="11968">
      <c r="Y11968" s="372">
        <v>0.0</v>
      </c>
      <c r="Z11968" s="372">
        <v>0.0</v>
      </c>
    </row>
    <row r="11969">
      <c r="Y11969" s="372">
        <v>0.0</v>
      </c>
      <c r="Z11969" s="372">
        <v>0.0</v>
      </c>
    </row>
    <row r="11970">
      <c r="Y11970" s="372">
        <v>0.0</v>
      </c>
      <c r="Z11970" s="372">
        <v>0.0</v>
      </c>
    </row>
    <row r="11971">
      <c r="Y11971" s="372">
        <v>0.0</v>
      </c>
      <c r="Z11971" s="372">
        <v>0.0</v>
      </c>
    </row>
    <row r="11972">
      <c r="Y11972" s="372">
        <v>0.0</v>
      </c>
      <c r="Z11972" s="372">
        <v>0.0</v>
      </c>
    </row>
    <row r="11973">
      <c r="Y11973" s="372">
        <v>0.0</v>
      </c>
      <c r="Z11973" s="372">
        <v>0.0</v>
      </c>
    </row>
    <row r="11974">
      <c r="Y11974" s="372">
        <v>0.0</v>
      </c>
      <c r="Z11974" s="372">
        <v>0.0</v>
      </c>
    </row>
    <row r="11975">
      <c r="Y11975" s="372">
        <v>0.0</v>
      </c>
      <c r="Z11975" s="372">
        <v>0.0</v>
      </c>
    </row>
    <row r="11976">
      <c r="Y11976" s="372">
        <v>0.0</v>
      </c>
      <c r="Z11976" s="372">
        <v>0.0</v>
      </c>
    </row>
    <row r="11977">
      <c r="Y11977" s="372">
        <v>0.0</v>
      </c>
      <c r="Z11977" s="372">
        <v>0.0</v>
      </c>
    </row>
    <row r="11978">
      <c r="Y11978" s="372">
        <v>0.0</v>
      </c>
      <c r="Z11978" s="372">
        <v>0.0</v>
      </c>
    </row>
    <row r="11979">
      <c r="Y11979" s="372">
        <v>0.0</v>
      </c>
      <c r="Z11979" s="372">
        <v>0.0</v>
      </c>
    </row>
    <row r="11980">
      <c r="Y11980" s="372">
        <v>0.0</v>
      </c>
      <c r="Z11980" s="372">
        <v>0.0</v>
      </c>
    </row>
    <row r="11981">
      <c r="Y11981" s="372">
        <v>0.0</v>
      </c>
      <c r="Z11981" s="372">
        <v>0.0</v>
      </c>
    </row>
    <row r="11982">
      <c r="Y11982" s="372">
        <v>0.0</v>
      </c>
      <c r="Z11982" s="372">
        <v>0.0</v>
      </c>
    </row>
    <row r="11983">
      <c r="Y11983" s="372">
        <v>0.0</v>
      </c>
      <c r="Z11983" s="372">
        <v>0.0</v>
      </c>
    </row>
    <row r="11984">
      <c r="Y11984" s="372">
        <v>0.0</v>
      </c>
      <c r="Z11984" s="372">
        <v>0.0</v>
      </c>
    </row>
    <row r="11985">
      <c r="Y11985" s="372">
        <v>0.0</v>
      </c>
      <c r="Z11985" s="372">
        <v>0.0</v>
      </c>
    </row>
    <row r="11986">
      <c r="Y11986" s="372">
        <v>0.0</v>
      </c>
      <c r="Z11986" s="372">
        <v>0.0</v>
      </c>
    </row>
    <row r="11987">
      <c r="Y11987" s="372">
        <v>0.0</v>
      </c>
      <c r="Z11987" s="372">
        <v>0.0</v>
      </c>
    </row>
    <row r="11988">
      <c r="Y11988" s="372">
        <v>0.0</v>
      </c>
      <c r="Z11988" s="372">
        <v>0.0</v>
      </c>
    </row>
    <row r="11989">
      <c r="Y11989" s="372">
        <v>0.0</v>
      </c>
      <c r="Z11989" s="372">
        <v>0.0</v>
      </c>
    </row>
    <row r="11990">
      <c r="Y11990" s="372">
        <v>0.0</v>
      </c>
      <c r="Z11990" s="372">
        <v>0.0</v>
      </c>
    </row>
    <row r="11991">
      <c r="Y11991" s="372">
        <v>0.0</v>
      </c>
      <c r="Z11991" s="372">
        <v>0.0</v>
      </c>
    </row>
    <row r="11992">
      <c r="Y11992" s="372">
        <v>0.0</v>
      </c>
      <c r="Z11992" s="372">
        <v>0.0</v>
      </c>
    </row>
    <row r="11993">
      <c r="Y11993" s="372">
        <v>0.0</v>
      </c>
      <c r="Z11993" s="372">
        <v>0.0</v>
      </c>
    </row>
    <row r="11994">
      <c r="Y11994" s="372">
        <v>0.0</v>
      </c>
      <c r="Z11994" s="372">
        <v>0.0</v>
      </c>
    </row>
    <row r="11995">
      <c r="Y11995" s="372">
        <v>0.0</v>
      </c>
      <c r="Z11995" s="372">
        <v>0.0</v>
      </c>
    </row>
    <row r="11996">
      <c r="Y11996" s="372">
        <v>0.0</v>
      </c>
      <c r="Z11996" s="372">
        <v>0.0</v>
      </c>
    </row>
    <row r="11997">
      <c r="Y11997" s="372">
        <v>0.0</v>
      </c>
      <c r="Z11997" s="372">
        <v>0.0</v>
      </c>
    </row>
    <row r="11998">
      <c r="Y11998" s="372">
        <v>0.0</v>
      </c>
      <c r="Z11998" s="372">
        <v>0.0</v>
      </c>
    </row>
    <row r="11999">
      <c r="Y11999" s="372">
        <v>0.0</v>
      </c>
      <c r="Z11999" s="372">
        <v>0.0</v>
      </c>
    </row>
    <row r="12000">
      <c r="Y12000" s="372">
        <v>0.0</v>
      </c>
      <c r="Z12000" s="372">
        <v>0.0</v>
      </c>
    </row>
    <row r="12001">
      <c r="Y12001" s="372">
        <v>0.0</v>
      </c>
      <c r="Z12001" s="372">
        <v>0.0</v>
      </c>
    </row>
    <row r="12002">
      <c r="Y12002" s="372">
        <v>0.0</v>
      </c>
      <c r="Z12002" s="372">
        <v>0.0</v>
      </c>
    </row>
    <row r="12003">
      <c r="Y12003" s="372">
        <v>0.0</v>
      </c>
      <c r="Z12003" s="372">
        <v>0.0</v>
      </c>
    </row>
    <row r="12004">
      <c r="Y12004" s="372">
        <v>0.0</v>
      </c>
      <c r="Z12004" s="372">
        <v>0.0</v>
      </c>
    </row>
    <row r="12005">
      <c r="Y12005" s="372">
        <v>0.0</v>
      </c>
      <c r="Z12005" s="372">
        <v>0.0</v>
      </c>
    </row>
    <row r="12006">
      <c r="Y12006" s="372">
        <v>0.0</v>
      </c>
      <c r="Z12006" s="372">
        <v>0.0</v>
      </c>
    </row>
    <row r="12007">
      <c r="Y12007" s="372">
        <v>0.0</v>
      </c>
      <c r="Z12007" s="372">
        <v>0.0</v>
      </c>
    </row>
    <row r="12008">
      <c r="Y12008" s="372">
        <v>0.0</v>
      </c>
      <c r="Z12008" s="372">
        <v>0.0</v>
      </c>
    </row>
    <row r="12009">
      <c r="Y12009" s="372">
        <v>0.0</v>
      </c>
      <c r="Z12009" s="372">
        <v>0.0</v>
      </c>
    </row>
    <row r="12010">
      <c r="Y12010" s="372">
        <v>0.0</v>
      </c>
      <c r="Z12010" s="372">
        <v>0.0</v>
      </c>
    </row>
    <row r="12011">
      <c r="Y12011" s="372">
        <v>0.0</v>
      </c>
      <c r="Z12011" s="372">
        <v>0.0</v>
      </c>
    </row>
    <row r="12012">
      <c r="Y12012" s="372">
        <v>0.0</v>
      </c>
      <c r="Z12012" s="372">
        <v>0.0</v>
      </c>
    </row>
    <row r="12013">
      <c r="Y12013" s="372">
        <v>0.0</v>
      </c>
      <c r="Z12013" s="372">
        <v>0.0</v>
      </c>
    </row>
    <row r="12014">
      <c r="Y12014" s="372">
        <v>0.0</v>
      </c>
      <c r="Z12014" s="372">
        <v>0.0</v>
      </c>
    </row>
    <row r="12015">
      <c r="Y12015" s="372">
        <v>0.0</v>
      </c>
      <c r="Z12015" s="372">
        <v>0.0</v>
      </c>
    </row>
    <row r="12016">
      <c r="Y12016" s="372">
        <v>0.0</v>
      </c>
      <c r="Z12016" s="372">
        <v>0.0</v>
      </c>
    </row>
    <row r="12017">
      <c r="Y12017" s="372">
        <v>0.0</v>
      </c>
      <c r="Z12017" s="372">
        <v>0.0</v>
      </c>
    </row>
    <row r="12018">
      <c r="Y12018" s="372">
        <v>0.0</v>
      </c>
      <c r="Z12018" s="372">
        <v>0.0</v>
      </c>
    </row>
    <row r="12019">
      <c r="Y12019" s="372">
        <v>0.0</v>
      </c>
      <c r="Z12019" s="372">
        <v>0.0</v>
      </c>
    </row>
    <row r="12020">
      <c r="Y12020" s="372">
        <v>0.0</v>
      </c>
      <c r="Z12020" s="372">
        <v>0.0</v>
      </c>
    </row>
    <row r="12021">
      <c r="Y12021" s="372">
        <v>0.0</v>
      </c>
      <c r="Z12021" s="372">
        <v>0.0</v>
      </c>
    </row>
    <row r="12022">
      <c r="Y12022" s="372">
        <v>0.0</v>
      </c>
      <c r="Z12022" s="372">
        <v>0.0</v>
      </c>
    </row>
    <row r="12023">
      <c r="Y12023" s="372">
        <v>0.0</v>
      </c>
      <c r="Z12023" s="372">
        <v>0.0</v>
      </c>
    </row>
    <row r="12024">
      <c r="Y12024" s="372">
        <v>0.0</v>
      </c>
      <c r="Z12024" s="372">
        <v>0.0</v>
      </c>
    </row>
    <row r="12025">
      <c r="Y12025" s="372">
        <v>0.0</v>
      </c>
      <c r="Z12025" s="372">
        <v>0.0</v>
      </c>
    </row>
    <row r="12026">
      <c r="Y12026" s="372">
        <v>0.0</v>
      </c>
      <c r="Z12026" s="372">
        <v>0.0</v>
      </c>
    </row>
    <row r="12027">
      <c r="Y12027" s="372">
        <v>0.0</v>
      </c>
      <c r="Z12027" s="372">
        <v>0.0</v>
      </c>
    </row>
    <row r="12028">
      <c r="Y12028" s="372">
        <v>0.0</v>
      </c>
      <c r="Z12028" s="372">
        <v>0.0</v>
      </c>
    </row>
    <row r="12029">
      <c r="Y12029" s="372">
        <v>0.0</v>
      </c>
      <c r="Z12029" s="372">
        <v>0.0</v>
      </c>
    </row>
    <row r="12030">
      <c r="Y12030" s="372">
        <v>0.0</v>
      </c>
      <c r="Z12030" s="372">
        <v>0.0</v>
      </c>
    </row>
    <row r="12031">
      <c r="Y12031" s="372">
        <v>0.0</v>
      </c>
      <c r="Z12031" s="372">
        <v>0.0</v>
      </c>
    </row>
    <row r="12032">
      <c r="Y12032" s="372">
        <v>0.0</v>
      </c>
      <c r="Z12032" s="372">
        <v>0.0</v>
      </c>
    </row>
    <row r="12033">
      <c r="Y12033" s="372">
        <v>0.0</v>
      </c>
      <c r="Z12033" s="372">
        <v>0.0</v>
      </c>
    </row>
    <row r="12034">
      <c r="Y12034" s="372">
        <v>0.0</v>
      </c>
      <c r="Z12034" s="372">
        <v>0.0</v>
      </c>
    </row>
    <row r="12035">
      <c r="Y12035" s="372">
        <v>0.0</v>
      </c>
      <c r="Z12035" s="372">
        <v>0.0</v>
      </c>
    </row>
    <row r="12036">
      <c r="Y12036" s="372">
        <v>0.0</v>
      </c>
      <c r="Z12036" s="372">
        <v>0.0</v>
      </c>
    </row>
    <row r="12037">
      <c r="Y12037" s="372">
        <v>0.0</v>
      </c>
      <c r="Z12037" s="372">
        <v>0.0</v>
      </c>
    </row>
    <row r="12038">
      <c r="Y12038" s="372">
        <v>0.0</v>
      </c>
      <c r="Z12038" s="372">
        <v>0.0</v>
      </c>
    </row>
    <row r="12039">
      <c r="Y12039" s="372">
        <v>0.0</v>
      </c>
      <c r="Z12039" s="372">
        <v>0.0</v>
      </c>
    </row>
    <row r="12040">
      <c r="Y12040" s="372">
        <v>0.0</v>
      </c>
      <c r="Z12040" s="372">
        <v>0.0</v>
      </c>
    </row>
    <row r="12041">
      <c r="Y12041" s="372">
        <v>0.0</v>
      </c>
      <c r="Z12041" s="372">
        <v>0.0</v>
      </c>
    </row>
    <row r="12042">
      <c r="Y12042" s="372">
        <v>0.0</v>
      </c>
      <c r="Z12042" s="372">
        <v>0.0</v>
      </c>
    </row>
    <row r="12043">
      <c r="Y12043" s="372">
        <v>0.0</v>
      </c>
      <c r="Z12043" s="372">
        <v>0.0</v>
      </c>
    </row>
    <row r="12044">
      <c r="Y12044" s="372">
        <v>0.0</v>
      </c>
      <c r="Z12044" s="372">
        <v>0.0</v>
      </c>
    </row>
    <row r="12045">
      <c r="Y12045" s="372">
        <v>0.0</v>
      </c>
      <c r="Z12045" s="372">
        <v>0.0</v>
      </c>
    </row>
    <row r="12046">
      <c r="Y12046" s="372">
        <v>0.0</v>
      </c>
      <c r="Z12046" s="372">
        <v>0.0</v>
      </c>
    </row>
    <row r="12047">
      <c r="Y12047" s="372">
        <v>0.0</v>
      </c>
      <c r="Z12047" s="372">
        <v>0.0</v>
      </c>
    </row>
    <row r="12048">
      <c r="Y12048" s="372">
        <v>0.0</v>
      </c>
      <c r="Z12048" s="372">
        <v>0.0</v>
      </c>
    </row>
    <row r="12049">
      <c r="Y12049" s="372">
        <v>0.0</v>
      </c>
      <c r="Z12049" s="372">
        <v>0.0</v>
      </c>
    </row>
    <row r="12050">
      <c r="Y12050" s="372">
        <v>0.0</v>
      </c>
      <c r="Z12050" s="372">
        <v>0.0</v>
      </c>
    </row>
    <row r="12051">
      <c r="Y12051" s="372">
        <v>0.0</v>
      </c>
      <c r="Z12051" s="372">
        <v>0.0</v>
      </c>
    </row>
    <row r="12052">
      <c r="Y12052" s="372">
        <v>0.0</v>
      </c>
      <c r="Z12052" s="372">
        <v>0.0</v>
      </c>
    </row>
    <row r="12053">
      <c r="Y12053" s="372">
        <v>0.0</v>
      </c>
      <c r="Z12053" s="372">
        <v>0.0</v>
      </c>
    </row>
    <row r="12054">
      <c r="Y12054" s="372">
        <v>0.0</v>
      </c>
      <c r="Z12054" s="372">
        <v>0.0</v>
      </c>
    </row>
    <row r="12055">
      <c r="Y12055" s="372">
        <v>0.0</v>
      </c>
      <c r="Z12055" s="372">
        <v>0.0</v>
      </c>
    </row>
    <row r="12056">
      <c r="Y12056" s="372">
        <v>0.0</v>
      </c>
      <c r="Z12056" s="372">
        <v>0.0</v>
      </c>
    </row>
    <row r="12057">
      <c r="Y12057" s="372">
        <v>0.0</v>
      </c>
      <c r="Z12057" s="372">
        <v>0.0</v>
      </c>
    </row>
    <row r="12058">
      <c r="Y12058" s="372">
        <v>0.0</v>
      </c>
      <c r="Z12058" s="372">
        <v>0.0</v>
      </c>
    </row>
    <row r="12059">
      <c r="Y12059" s="372">
        <v>0.0</v>
      </c>
      <c r="Z12059" s="372">
        <v>0.0</v>
      </c>
    </row>
    <row r="12060">
      <c r="Y12060" s="372">
        <v>0.0</v>
      </c>
      <c r="Z12060" s="372">
        <v>0.0</v>
      </c>
    </row>
    <row r="12061">
      <c r="Y12061" s="372">
        <v>0.0</v>
      </c>
      <c r="Z12061" s="372">
        <v>0.0</v>
      </c>
    </row>
    <row r="12062">
      <c r="Y12062" s="372">
        <v>0.0</v>
      </c>
      <c r="Z12062" s="372">
        <v>0.0</v>
      </c>
    </row>
    <row r="12063">
      <c r="Y12063" s="372">
        <v>0.0</v>
      </c>
      <c r="Z12063" s="372">
        <v>0.0</v>
      </c>
    </row>
    <row r="12064">
      <c r="Y12064" s="372">
        <v>0.0</v>
      </c>
      <c r="Z12064" s="372">
        <v>0.0</v>
      </c>
    </row>
    <row r="12065">
      <c r="Y12065" s="372">
        <v>0.0</v>
      </c>
      <c r="Z12065" s="372">
        <v>0.0</v>
      </c>
    </row>
    <row r="12066">
      <c r="Y12066" s="372">
        <v>0.0</v>
      </c>
      <c r="Z12066" s="372">
        <v>0.0</v>
      </c>
    </row>
    <row r="12067">
      <c r="Y12067" s="372">
        <v>0.0</v>
      </c>
      <c r="Z12067" s="372">
        <v>0.0</v>
      </c>
    </row>
    <row r="12068">
      <c r="Y12068" s="372">
        <v>0.0</v>
      </c>
      <c r="Z12068" s="372">
        <v>0.0</v>
      </c>
    </row>
    <row r="12069">
      <c r="Y12069" s="372">
        <v>0.0</v>
      </c>
      <c r="Z12069" s="372">
        <v>0.0</v>
      </c>
    </row>
    <row r="12070">
      <c r="Y12070" s="372">
        <v>0.0</v>
      </c>
      <c r="Z12070" s="372">
        <v>0.0</v>
      </c>
    </row>
    <row r="12071">
      <c r="Y12071" s="372">
        <v>0.0</v>
      </c>
      <c r="Z12071" s="372">
        <v>0.0</v>
      </c>
    </row>
    <row r="12072">
      <c r="Y12072" s="372">
        <v>0.0</v>
      </c>
      <c r="Z12072" s="372">
        <v>0.0</v>
      </c>
    </row>
    <row r="12073">
      <c r="Y12073" s="372">
        <v>0.0</v>
      </c>
      <c r="Z12073" s="372">
        <v>0.0</v>
      </c>
    </row>
    <row r="12074">
      <c r="Y12074" s="372">
        <v>0.0</v>
      </c>
      <c r="Z12074" s="372">
        <v>0.0</v>
      </c>
    </row>
    <row r="12075">
      <c r="Y12075" s="372">
        <v>0.0</v>
      </c>
      <c r="Z12075" s="372">
        <v>0.0</v>
      </c>
    </row>
    <row r="12076">
      <c r="Y12076" s="372">
        <v>0.0</v>
      </c>
      <c r="Z12076" s="372">
        <v>0.0</v>
      </c>
    </row>
    <row r="12077">
      <c r="Y12077" s="372">
        <v>0.0</v>
      </c>
      <c r="Z12077" s="372">
        <v>0.0</v>
      </c>
    </row>
    <row r="12078">
      <c r="Y12078" s="372">
        <v>0.0</v>
      </c>
      <c r="Z12078" s="372">
        <v>0.0</v>
      </c>
    </row>
    <row r="12079">
      <c r="Y12079" s="372">
        <v>0.0</v>
      </c>
      <c r="Z12079" s="372">
        <v>0.0</v>
      </c>
    </row>
    <row r="12080">
      <c r="Y12080" s="372">
        <v>0.0</v>
      </c>
      <c r="Z12080" s="372">
        <v>0.0</v>
      </c>
    </row>
    <row r="12081">
      <c r="Y12081" s="372">
        <v>0.0</v>
      </c>
      <c r="Z12081" s="372">
        <v>0.0</v>
      </c>
    </row>
    <row r="12082">
      <c r="Y12082" s="372">
        <v>0.0</v>
      </c>
      <c r="Z12082" s="372">
        <v>0.0</v>
      </c>
    </row>
    <row r="12083">
      <c r="Y12083" s="372">
        <v>0.0</v>
      </c>
      <c r="Z12083" s="372">
        <v>0.0</v>
      </c>
    </row>
    <row r="12084">
      <c r="Y12084" s="372">
        <v>0.0</v>
      </c>
      <c r="Z12084" s="372">
        <v>0.0</v>
      </c>
    </row>
    <row r="12085">
      <c r="Y12085" s="372">
        <v>0.0</v>
      </c>
      <c r="Z12085" s="372">
        <v>0.0</v>
      </c>
    </row>
    <row r="12086">
      <c r="Y12086" s="372">
        <v>0.0</v>
      </c>
      <c r="Z12086" s="372">
        <v>0.0</v>
      </c>
    </row>
    <row r="12087">
      <c r="Y12087" s="372">
        <v>0.0</v>
      </c>
      <c r="Z12087" s="372">
        <v>0.0</v>
      </c>
    </row>
    <row r="12088">
      <c r="Y12088" s="372">
        <v>0.0</v>
      </c>
      <c r="Z12088" s="372">
        <v>0.0</v>
      </c>
    </row>
    <row r="12089">
      <c r="Y12089" s="372">
        <v>0.0</v>
      </c>
      <c r="Z12089" s="372">
        <v>0.0</v>
      </c>
    </row>
    <row r="12090">
      <c r="Y12090" s="372">
        <v>0.0</v>
      </c>
      <c r="Z12090" s="372">
        <v>0.0</v>
      </c>
    </row>
    <row r="12091">
      <c r="Y12091" s="372">
        <v>0.0</v>
      </c>
      <c r="Z12091" s="372">
        <v>0.0</v>
      </c>
    </row>
    <row r="12092">
      <c r="Y12092" s="372">
        <v>0.0</v>
      </c>
      <c r="Z12092" s="372">
        <v>0.0</v>
      </c>
    </row>
    <row r="12093">
      <c r="Y12093" s="372">
        <v>0.0</v>
      </c>
      <c r="Z12093" s="372">
        <v>0.0</v>
      </c>
    </row>
    <row r="12094">
      <c r="Y12094" s="372">
        <v>0.0</v>
      </c>
      <c r="Z12094" s="372">
        <v>0.0</v>
      </c>
    </row>
    <row r="12095">
      <c r="Y12095" s="372">
        <v>0.0</v>
      </c>
      <c r="Z12095" s="372">
        <v>0.0</v>
      </c>
    </row>
    <row r="12096">
      <c r="Y12096" s="372">
        <v>0.0</v>
      </c>
      <c r="Z12096" s="372">
        <v>0.0</v>
      </c>
    </row>
    <row r="12097">
      <c r="Y12097" s="372">
        <v>0.0</v>
      </c>
      <c r="Z12097" s="372">
        <v>0.0</v>
      </c>
    </row>
    <row r="12098">
      <c r="Y12098" s="372">
        <v>0.0</v>
      </c>
      <c r="Z12098" s="372">
        <v>0.0</v>
      </c>
    </row>
    <row r="12099">
      <c r="Y12099" s="372">
        <v>0.0</v>
      </c>
      <c r="Z12099" s="372">
        <v>0.0</v>
      </c>
    </row>
    <row r="12100">
      <c r="Y12100" s="372">
        <v>0.0</v>
      </c>
      <c r="Z12100" s="372">
        <v>0.0</v>
      </c>
    </row>
    <row r="12101">
      <c r="Y12101" s="372">
        <v>0.0</v>
      </c>
      <c r="Z12101" s="372">
        <v>0.0</v>
      </c>
    </row>
    <row r="12102">
      <c r="Y12102" s="372">
        <v>0.0</v>
      </c>
      <c r="Z12102" s="372">
        <v>0.0</v>
      </c>
    </row>
    <row r="12103">
      <c r="Y12103" s="372">
        <v>0.0</v>
      </c>
      <c r="Z12103" s="372">
        <v>0.0</v>
      </c>
    </row>
    <row r="12104">
      <c r="Y12104" s="372">
        <v>0.0</v>
      </c>
      <c r="Z12104" s="372">
        <v>0.0</v>
      </c>
    </row>
    <row r="12105">
      <c r="Y12105" s="372">
        <v>0.0</v>
      </c>
      <c r="Z12105" s="372">
        <v>0.0</v>
      </c>
    </row>
    <row r="12106">
      <c r="Y12106" s="372">
        <v>0.0</v>
      </c>
      <c r="Z12106" s="372">
        <v>0.0</v>
      </c>
    </row>
    <row r="12107">
      <c r="Y12107" s="372">
        <v>0.0</v>
      </c>
      <c r="Z12107" s="372">
        <v>0.0</v>
      </c>
    </row>
    <row r="12108">
      <c r="Y12108" s="372">
        <v>0.0</v>
      </c>
      <c r="Z12108" s="372">
        <v>0.0</v>
      </c>
    </row>
    <row r="12109">
      <c r="Y12109" s="372">
        <v>0.0</v>
      </c>
      <c r="Z12109" s="372">
        <v>0.0</v>
      </c>
    </row>
    <row r="12110">
      <c r="Y12110" s="372">
        <v>0.0</v>
      </c>
      <c r="Z12110" s="372">
        <v>0.0</v>
      </c>
    </row>
    <row r="12111">
      <c r="Y12111" s="372">
        <v>0.0</v>
      </c>
      <c r="Z12111" s="372">
        <v>0.0</v>
      </c>
    </row>
    <row r="12112">
      <c r="Y12112" s="372">
        <v>0.0</v>
      </c>
      <c r="Z12112" s="372">
        <v>0.0</v>
      </c>
    </row>
    <row r="12113">
      <c r="Y12113" s="372">
        <v>0.0</v>
      </c>
      <c r="Z12113" s="372">
        <v>0.0</v>
      </c>
    </row>
    <row r="12114">
      <c r="Y12114" s="372">
        <v>0.0</v>
      </c>
      <c r="Z12114" s="372">
        <v>0.0</v>
      </c>
    </row>
    <row r="12115">
      <c r="Y12115" s="372">
        <v>0.0</v>
      </c>
      <c r="Z12115" s="372">
        <v>0.0</v>
      </c>
    </row>
    <row r="12116">
      <c r="Y12116" s="372">
        <v>0.0</v>
      </c>
      <c r="Z12116" s="372">
        <v>0.0</v>
      </c>
    </row>
    <row r="12117">
      <c r="Y12117" s="372">
        <v>0.0</v>
      </c>
      <c r="Z12117" s="372">
        <v>0.0</v>
      </c>
    </row>
    <row r="12118">
      <c r="Y12118" s="372">
        <v>0.0</v>
      </c>
      <c r="Z12118" s="372">
        <v>0.0</v>
      </c>
    </row>
    <row r="12119">
      <c r="Y12119" s="372">
        <v>0.0</v>
      </c>
      <c r="Z12119" s="372">
        <v>0.0</v>
      </c>
    </row>
    <row r="12120">
      <c r="Y12120" s="372">
        <v>0.0</v>
      </c>
      <c r="Z12120" s="372">
        <v>0.0</v>
      </c>
    </row>
    <row r="12121">
      <c r="Y12121" s="372">
        <v>0.0</v>
      </c>
      <c r="Z12121" s="372">
        <v>0.0</v>
      </c>
    </row>
    <row r="12122">
      <c r="Y12122" s="372">
        <v>0.0</v>
      </c>
      <c r="Z12122" s="372">
        <v>0.0</v>
      </c>
    </row>
    <row r="12123">
      <c r="Y12123" s="372">
        <v>0.0</v>
      </c>
      <c r="Z12123" s="372">
        <v>0.0</v>
      </c>
    </row>
    <row r="12124">
      <c r="Y12124" s="372">
        <v>0.0</v>
      </c>
      <c r="Z12124" s="372">
        <v>0.0</v>
      </c>
    </row>
    <row r="12125">
      <c r="Y12125" s="372">
        <v>0.0</v>
      </c>
      <c r="Z12125" s="372">
        <v>0.0</v>
      </c>
    </row>
    <row r="12126">
      <c r="Y12126" s="372">
        <v>0.0</v>
      </c>
      <c r="Z12126" s="372">
        <v>0.0</v>
      </c>
    </row>
    <row r="12127">
      <c r="Y12127" s="372">
        <v>0.0</v>
      </c>
      <c r="Z12127" s="372">
        <v>0.0</v>
      </c>
    </row>
    <row r="12128">
      <c r="Y12128" s="372">
        <v>0.0</v>
      </c>
      <c r="Z12128" s="372">
        <v>0.0</v>
      </c>
    </row>
    <row r="12129">
      <c r="Y12129" s="372">
        <v>0.0</v>
      </c>
      <c r="Z12129" s="372">
        <v>0.0</v>
      </c>
    </row>
    <row r="12130">
      <c r="Y12130" s="372">
        <v>0.0</v>
      </c>
      <c r="Z12130" s="372">
        <v>0.0</v>
      </c>
    </row>
    <row r="12131">
      <c r="Y12131" s="372">
        <v>0.0</v>
      </c>
      <c r="Z12131" s="372">
        <v>0.0</v>
      </c>
    </row>
    <row r="12132">
      <c r="Y12132" s="372">
        <v>0.0</v>
      </c>
      <c r="Z12132" s="372">
        <v>0.0</v>
      </c>
    </row>
    <row r="12133">
      <c r="Y12133" s="372">
        <v>0.0</v>
      </c>
      <c r="Z12133" s="372">
        <v>0.0</v>
      </c>
    </row>
    <row r="12134">
      <c r="Y12134" s="372">
        <v>0.0</v>
      </c>
      <c r="Z12134" s="372">
        <v>0.0</v>
      </c>
    </row>
    <row r="12135">
      <c r="Y12135" s="372">
        <v>0.0</v>
      </c>
      <c r="Z12135" s="372">
        <v>0.0</v>
      </c>
    </row>
    <row r="12136">
      <c r="Y12136" s="372">
        <v>0.0</v>
      </c>
      <c r="Z12136" s="372">
        <v>0.0</v>
      </c>
    </row>
    <row r="12137">
      <c r="Y12137" s="372">
        <v>0.0</v>
      </c>
      <c r="Z12137" s="372">
        <v>0.0</v>
      </c>
    </row>
    <row r="12138">
      <c r="Y12138" s="372">
        <v>0.0</v>
      </c>
      <c r="Z12138" s="372">
        <v>0.0</v>
      </c>
    </row>
    <row r="12139">
      <c r="Y12139" s="372">
        <v>0.0</v>
      </c>
      <c r="Z12139" s="372">
        <v>0.0</v>
      </c>
    </row>
    <row r="12140">
      <c r="Y12140" s="372">
        <v>0.0</v>
      </c>
      <c r="Z12140" s="372">
        <v>0.0</v>
      </c>
    </row>
    <row r="12141">
      <c r="Y12141" s="372">
        <v>0.0</v>
      </c>
      <c r="Z12141" s="372">
        <v>0.0</v>
      </c>
    </row>
    <row r="12142">
      <c r="Y12142" s="372">
        <v>0.0</v>
      </c>
      <c r="Z12142" s="372">
        <v>0.0</v>
      </c>
    </row>
    <row r="12143">
      <c r="Y12143" s="372">
        <v>0.0</v>
      </c>
      <c r="Z12143" s="372">
        <v>0.0</v>
      </c>
    </row>
    <row r="12144">
      <c r="Y12144" s="372">
        <v>0.0</v>
      </c>
      <c r="Z12144" s="372">
        <v>0.0</v>
      </c>
    </row>
    <row r="12145">
      <c r="Y12145" s="372">
        <v>0.0</v>
      </c>
      <c r="Z12145" s="372">
        <v>0.0</v>
      </c>
    </row>
    <row r="12146">
      <c r="Y12146" s="372">
        <v>0.0</v>
      </c>
      <c r="Z12146" s="372">
        <v>0.0</v>
      </c>
    </row>
    <row r="12147">
      <c r="Y12147" s="372">
        <v>0.0</v>
      </c>
      <c r="Z12147" s="372">
        <v>0.0</v>
      </c>
    </row>
    <row r="12148">
      <c r="Y12148" s="372">
        <v>0.0</v>
      </c>
      <c r="Z12148" s="372">
        <v>0.0</v>
      </c>
    </row>
    <row r="12149">
      <c r="Y12149" s="372">
        <v>0.0</v>
      </c>
      <c r="Z12149" s="372">
        <v>0.0</v>
      </c>
    </row>
    <row r="12150">
      <c r="Y12150" s="372">
        <v>0.0</v>
      </c>
      <c r="Z12150" s="372">
        <v>0.0</v>
      </c>
    </row>
    <row r="12151">
      <c r="Y12151" s="372">
        <v>0.0</v>
      </c>
      <c r="Z12151" s="372">
        <v>0.0</v>
      </c>
    </row>
    <row r="12152">
      <c r="Y12152" s="372">
        <v>0.0</v>
      </c>
      <c r="Z12152" s="372">
        <v>0.0</v>
      </c>
    </row>
    <row r="12153">
      <c r="Y12153" s="372">
        <v>0.0</v>
      </c>
      <c r="Z12153" s="372">
        <v>0.0</v>
      </c>
    </row>
    <row r="12154">
      <c r="Y12154" s="372">
        <v>0.0</v>
      </c>
      <c r="Z12154" s="372">
        <v>0.0</v>
      </c>
    </row>
    <row r="12155">
      <c r="Y12155" s="372">
        <v>0.0</v>
      </c>
      <c r="Z12155" s="372">
        <v>0.0</v>
      </c>
    </row>
    <row r="12156">
      <c r="Y12156" s="372">
        <v>0.0</v>
      </c>
      <c r="Z12156" s="372">
        <v>0.0</v>
      </c>
    </row>
    <row r="12157">
      <c r="Y12157" s="372">
        <v>0.0</v>
      </c>
      <c r="Z12157" s="372">
        <v>0.0</v>
      </c>
    </row>
    <row r="12158">
      <c r="Y12158" s="372">
        <v>0.0</v>
      </c>
      <c r="Z12158" s="372">
        <v>0.0</v>
      </c>
    </row>
    <row r="12159">
      <c r="Y12159" s="372">
        <v>0.0</v>
      </c>
      <c r="Z12159" s="372">
        <v>0.0</v>
      </c>
    </row>
    <row r="12160">
      <c r="Y12160" s="372">
        <v>0.0</v>
      </c>
      <c r="Z12160" s="372">
        <v>0.0</v>
      </c>
    </row>
    <row r="12161">
      <c r="Y12161" s="372">
        <v>0.0</v>
      </c>
      <c r="Z12161" s="372">
        <v>0.0</v>
      </c>
    </row>
    <row r="12162">
      <c r="Y12162" s="372">
        <v>0.0</v>
      </c>
      <c r="Z12162" s="372">
        <v>0.0</v>
      </c>
    </row>
    <row r="12163">
      <c r="Y12163" s="372">
        <v>0.0</v>
      </c>
      <c r="Z12163" s="372">
        <v>0.0</v>
      </c>
    </row>
    <row r="12164">
      <c r="Y12164" s="372">
        <v>0.0</v>
      </c>
      <c r="Z12164" s="372">
        <v>0.0</v>
      </c>
    </row>
    <row r="12165">
      <c r="Y12165" s="372">
        <v>0.0</v>
      </c>
      <c r="Z12165" s="372">
        <v>0.0</v>
      </c>
    </row>
    <row r="12166">
      <c r="Y12166" s="372">
        <v>0.0</v>
      </c>
      <c r="Z12166" s="372">
        <v>0.0</v>
      </c>
    </row>
    <row r="12167">
      <c r="Y12167" s="372">
        <v>0.0</v>
      </c>
      <c r="Z12167" s="372">
        <v>0.0</v>
      </c>
    </row>
    <row r="12168">
      <c r="Y12168" s="372">
        <v>0.0</v>
      </c>
      <c r="Z12168" s="372">
        <v>0.0</v>
      </c>
    </row>
    <row r="12169">
      <c r="Y12169" s="372">
        <v>0.0</v>
      </c>
      <c r="Z12169" s="372">
        <v>0.0</v>
      </c>
    </row>
    <row r="12170">
      <c r="Y12170" s="372">
        <v>0.0</v>
      </c>
      <c r="Z12170" s="372">
        <v>0.0</v>
      </c>
    </row>
    <row r="12171">
      <c r="Y12171" s="372">
        <v>0.0</v>
      </c>
      <c r="Z12171" s="372">
        <v>0.0</v>
      </c>
    </row>
    <row r="12172">
      <c r="Y12172" s="372">
        <v>0.0</v>
      </c>
      <c r="Z12172" s="372">
        <v>0.0</v>
      </c>
    </row>
    <row r="12173">
      <c r="Y12173" s="372">
        <v>0.0</v>
      </c>
      <c r="Z12173" s="372">
        <v>0.0</v>
      </c>
    </row>
    <row r="12174">
      <c r="Y12174" s="372">
        <v>0.0</v>
      </c>
      <c r="Z12174" s="372">
        <v>0.0</v>
      </c>
    </row>
    <row r="12175">
      <c r="Y12175" s="372">
        <v>0.0</v>
      </c>
      <c r="Z12175" s="372">
        <v>0.0</v>
      </c>
    </row>
    <row r="12176">
      <c r="Y12176" s="372">
        <v>0.0</v>
      </c>
      <c r="Z12176" s="372">
        <v>0.0</v>
      </c>
    </row>
    <row r="12177">
      <c r="Y12177" s="372">
        <v>0.0</v>
      </c>
      <c r="Z12177" s="372">
        <v>0.0</v>
      </c>
    </row>
    <row r="12178">
      <c r="Y12178" s="372">
        <v>0.0</v>
      </c>
      <c r="Z12178" s="372">
        <v>0.0</v>
      </c>
    </row>
    <row r="12179">
      <c r="Y12179" s="372">
        <v>0.0</v>
      </c>
      <c r="Z12179" s="372">
        <v>0.0</v>
      </c>
    </row>
    <row r="12180">
      <c r="Y12180" s="372">
        <v>0.0</v>
      </c>
      <c r="Z12180" s="372">
        <v>0.0</v>
      </c>
    </row>
    <row r="12181">
      <c r="Y12181" s="372">
        <v>0.0</v>
      </c>
      <c r="Z12181" s="372">
        <v>0.0</v>
      </c>
    </row>
    <row r="12182">
      <c r="Y12182" s="372">
        <v>0.0</v>
      </c>
      <c r="Z12182" s="372">
        <v>0.0</v>
      </c>
    </row>
    <row r="12183">
      <c r="Y12183" s="372">
        <v>0.0</v>
      </c>
      <c r="Z12183" s="372">
        <v>0.0</v>
      </c>
    </row>
    <row r="12184">
      <c r="Y12184" s="372">
        <v>0.0</v>
      </c>
      <c r="Z12184" s="372">
        <v>0.0</v>
      </c>
    </row>
    <row r="12185">
      <c r="Y12185" s="372">
        <v>0.0</v>
      </c>
      <c r="Z12185" s="372">
        <v>0.0</v>
      </c>
    </row>
    <row r="12186">
      <c r="Y12186" s="372">
        <v>0.0</v>
      </c>
      <c r="Z12186" s="372">
        <v>0.0</v>
      </c>
    </row>
    <row r="12187">
      <c r="Y12187" s="372">
        <v>0.0</v>
      </c>
      <c r="Z12187" s="372">
        <v>0.0</v>
      </c>
    </row>
    <row r="12188">
      <c r="Y12188" s="372">
        <v>0.0</v>
      </c>
      <c r="Z12188" s="372">
        <v>0.0</v>
      </c>
    </row>
    <row r="12189">
      <c r="Y12189" s="372">
        <v>0.0</v>
      </c>
      <c r="Z12189" s="372">
        <v>0.0</v>
      </c>
    </row>
    <row r="12190">
      <c r="Y12190" s="372">
        <v>0.0</v>
      </c>
      <c r="Z12190" s="372">
        <v>0.0</v>
      </c>
    </row>
    <row r="12191">
      <c r="Y12191" s="372">
        <v>0.0</v>
      </c>
      <c r="Z12191" s="372">
        <v>0.0</v>
      </c>
    </row>
    <row r="12192">
      <c r="Y12192" s="372">
        <v>0.0</v>
      </c>
      <c r="Z12192" s="372">
        <v>0.0</v>
      </c>
    </row>
    <row r="12193">
      <c r="Y12193" s="372">
        <v>0.0</v>
      </c>
      <c r="Z12193" s="372">
        <v>0.0</v>
      </c>
    </row>
    <row r="12194">
      <c r="Y12194" s="372">
        <v>0.0</v>
      </c>
      <c r="Z12194" s="372">
        <v>0.0</v>
      </c>
    </row>
    <row r="12195">
      <c r="Y12195" s="372">
        <v>0.0</v>
      </c>
      <c r="Z12195" s="372">
        <v>0.0</v>
      </c>
    </row>
    <row r="12196">
      <c r="Y12196" s="372">
        <v>0.0</v>
      </c>
      <c r="Z12196" s="372">
        <v>0.0</v>
      </c>
    </row>
    <row r="12197">
      <c r="Y12197" s="372">
        <v>0.0</v>
      </c>
      <c r="Z12197" s="372">
        <v>0.0</v>
      </c>
    </row>
    <row r="12198">
      <c r="Y12198" s="372">
        <v>0.0</v>
      </c>
      <c r="Z12198" s="372">
        <v>0.0</v>
      </c>
    </row>
    <row r="12199">
      <c r="Y12199" s="372">
        <v>0.0</v>
      </c>
      <c r="Z12199" s="372">
        <v>0.0</v>
      </c>
    </row>
    <row r="12200">
      <c r="Y12200" s="372">
        <v>0.0</v>
      </c>
      <c r="Z12200" s="372">
        <v>0.0</v>
      </c>
    </row>
    <row r="12201">
      <c r="Y12201" s="372">
        <v>0.0</v>
      </c>
      <c r="Z12201" s="372">
        <v>0.0</v>
      </c>
    </row>
    <row r="12202">
      <c r="Y12202" s="372">
        <v>0.0</v>
      </c>
      <c r="Z12202" s="372">
        <v>0.0</v>
      </c>
    </row>
    <row r="12203">
      <c r="Y12203" s="372">
        <v>0.0</v>
      </c>
      <c r="Z12203" s="372">
        <v>0.0</v>
      </c>
    </row>
    <row r="12204">
      <c r="Y12204" s="372">
        <v>0.0</v>
      </c>
      <c r="Z12204" s="372">
        <v>0.0</v>
      </c>
    </row>
    <row r="12205">
      <c r="Y12205" s="372">
        <v>0.0</v>
      </c>
      <c r="Z12205" s="372">
        <v>0.0</v>
      </c>
    </row>
    <row r="12206">
      <c r="Y12206" s="372">
        <v>0.0</v>
      </c>
      <c r="Z12206" s="372">
        <v>0.0</v>
      </c>
    </row>
    <row r="12207">
      <c r="Y12207" s="372">
        <v>0.0</v>
      </c>
      <c r="Z12207" s="372">
        <v>0.0</v>
      </c>
    </row>
    <row r="12208">
      <c r="Y12208" s="372">
        <v>0.0</v>
      </c>
      <c r="Z12208" s="372">
        <v>0.0</v>
      </c>
    </row>
    <row r="12209">
      <c r="Y12209" s="372">
        <v>0.0</v>
      </c>
      <c r="Z12209" s="372">
        <v>0.0</v>
      </c>
    </row>
    <row r="12210">
      <c r="Y12210" s="372">
        <v>0.0</v>
      </c>
      <c r="Z12210" s="372">
        <v>0.0</v>
      </c>
    </row>
    <row r="12211">
      <c r="Y12211" s="372">
        <v>0.0</v>
      </c>
      <c r="Z12211" s="372">
        <v>0.0</v>
      </c>
    </row>
    <row r="12212">
      <c r="Y12212" s="372">
        <v>0.0</v>
      </c>
      <c r="Z12212" s="372">
        <v>0.0</v>
      </c>
    </row>
    <row r="12213">
      <c r="Y12213" s="372">
        <v>0.0</v>
      </c>
      <c r="Z12213" s="372">
        <v>0.0</v>
      </c>
    </row>
    <row r="12214">
      <c r="Y12214" s="372">
        <v>0.0</v>
      </c>
      <c r="Z12214" s="372">
        <v>0.0</v>
      </c>
    </row>
    <row r="12215">
      <c r="Y12215" s="372">
        <v>0.0</v>
      </c>
      <c r="Z12215" s="372">
        <v>0.0</v>
      </c>
    </row>
    <row r="12216">
      <c r="Y12216" s="372">
        <v>0.0</v>
      </c>
      <c r="Z12216" s="372">
        <v>0.0</v>
      </c>
    </row>
    <row r="12217">
      <c r="Y12217" s="372">
        <v>0.0</v>
      </c>
      <c r="Z12217" s="372">
        <v>0.0</v>
      </c>
    </row>
    <row r="12218">
      <c r="Y12218" s="372">
        <v>0.0</v>
      </c>
      <c r="Z12218" s="372">
        <v>0.0</v>
      </c>
    </row>
    <row r="12219">
      <c r="Y12219" s="372">
        <v>0.0</v>
      </c>
      <c r="Z12219" s="372">
        <v>0.0</v>
      </c>
    </row>
    <row r="12220">
      <c r="Y12220" s="372">
        <v>0.0</v>
      </c>
      <c r="Z12220" s="372">
        <v>0.0</v>
      </c>
    </row>
    <row r="12221">
      <c r="Y12221" s="372">
        <v>0.0</v>
      </c>
      <c r="Z12221" s="372">
        <v>0.0</v>
      </c>
    </row>
    <row r="12222">
      <c r="Y12222" s="372">
        <v>0.0</v>
      </c>
      <c r="Z12222" s="372">
        <v>0.0</v>
      </c>
    </row>
    <row r="12223">
      <c r="Y12223" s="372">
        <v>0.0</v>
      </c>
      <c r="Z12223" s="372">
        <v>0.0</v>
      </c>
    </row>
    <row r="12224">
      <c r="Y12224" s="372">
        <v>0.0</v>
      </c>
      <c r="Z12224" s="372">
        <v>0.0</v>
      </c>
    </row>
    <row r="12225">
      <c r="Y12225" s="372">
        <v>0.0</v>
      </c>
      <c r="Z12225" s="372">
        <v>0.0</v>
      </c>
    </row>
    <row r="12226">
      <c r="Y12226" s="372">
        <v>0.0</v>
      </c>
      <c r="Z12226" s="372">
        <v>0.0</v>
      </c>
    </row>
    <row r="12227">
      <c r="Y12227" s="372">
        <v>0.0</v>
      </c>
      <c r="Z12227" s="372">
        <v>0.0</v>
      </c>
    </row>
    <row r="12228">
      <c r="Y12228" s="372">
        <v>0.0</v>
      </c>
      <c r="Z12228" s="372">
        <v>0.0</v>
      </c>
    </row>
    <row r="12229">
      <c r="Y12229" s="372">
        <v>0.0</v>
      </c>
      <c r="Z12229" s="372">
        <v>0.0</v>
      </c>
    </row>
    <row r="12230">
      <c r="Y12230" s="372">
        <v>0.0</v>
      </c>
      <c r="Z12230" s="372">
        <v>0.0</v>
      </c>
    </row>
    <row r="12231">
      <c r="Y12231" s="372">
        <v>0.0</v>
      </c>
      <c r="Z12231" s="372">
        <v>0.0</v>
      </c>
    </row>
    <row r="12232">
      <c r="Y12232" s="372">
        <v>0.0</v>
      </c>
      <c r="Z12232" s="372">
        <v>0.0</v>
      </c>
    </row>
    <row r="12233">
      <c r="Y12233" s="372">
        <v>0.0</v>
      </c>
      <c r="Z12233" s="372">
        <v>0.0</v>
      </c>
    </row>
    <row r="12234">
      <c r="Y12234" s="372">
        <v>0.0</v>
      </c>
      <c r="Z12234" s="372">
        <v>0.0</v>
      </c>
    </row>
    <row r="12235">
      <c r="Y12235" s="372">
        <v>0.0</v>
      </c>
      <c r="Z12235" s="372">
        <v>0.0</v>
      </c>
    </row>
    <row r="12236">
      <c r="Y12236" s="372">
        <v>0.0</v>
      </c>
      <c r="Z12236" s="372">
        <v>0.0</v>
      </c>
    </row>
    <row r="12237">
      <c r="Y12237" s="372">
        <v>0.0</v>
      </c>
      <c r="Z12237" s="372">
        <v>0.0</v>
      </c>
    </row>
    <row r="12238">
      <c r="Y12238" s="372">
        <v>0.0</v>
      </c>
      <c r="Z12238" s="372">
        <v>0.0</v>
      </c>
    </row>
    <row r="12239">
      <c r="Y12239" s="372">
        <v>0.0</v>
      </c>
      <c r="Z12239" s="372">
        <v>0.0</v>
      </c>
    </row>
    <row r="12240">
      <c r="Y12240" s="372">
        <v>0.0</v>
      </c>
      <c r="Z12240" s="372">
        <v>0.0</v>
      </c>
    </row>
    <row r="12241">
      <c r="Y12241" s="372">
        <v>0.0</v>
      </c>
      <c r="Z12241" s="372">
        <v>0.0</v>
      </c>
    </row>
    <row r="12242">
      <c r="Y12242" s="372">
        <v>0.0</v>
      </c>
      <c r="Z12242" s="372">
        <v>0.0</v>
      </c>
    </row>
    <row r="12243">
      <c r="Y12243" s="372">
        <v>0.0</v>
      </c>
      <c r="Z12243" s="372">
        <v>0.0</v>
      </c>
    </row>
    <row r="12244">
      <c r="Y12244" s="372">
        <v>0.0</v>
      </c>
      <c r="Z12244" s="372">
        <v>0.0</v>
      </c>
    </row>
    <row r="12245">
      <c r="Y12245" s="372">
        <v>0.0</v>
      </c>
      <c r="Z12245" s="372">
        <v>0.0</v>
      </c>
    </row>
    <row r="12246">
      <c r="Y12246" s="372">
        <v>0.0</v>
      </c>
      <c r="Z12246" s="372">
        <v>0.0</v>
      </c>
    </row>
    <row r="12247">
      <c r="Y12247" s="372">
        <v>0.0</v>
      </c>
      <c r="Z12247" s="372">
        <v>0.0</v>
      </c>
    </row>
    <row r="12248">
      <c r="Y12248" s="372">
        <v>0.0</v>
      </c>
      <c r="Z12248" s="372">
        <v>0.0</v>
      </c>
    </row>
    <row r="12249">
      <c r="Y12249" s="372">
        <v>0.0</v>
      </c>
      <c r="Z12249" s="372">
        <v>0.0</v>
      </c>
    </row>
    <row r="12250">
      <c r="Y12250" s="372">
        <v>0.0</v>
      </c>
      <c r="Z12250" s="372">
        <v>0.0</v>
      </c>
    </row>
    <row r="12251">
      <c r="Y12251" s="372">
        <v>0.0</v>
      </c>
      <c r="Z12251" s="372">
        <v>0.0</v>
      </c>
    </row>
    <row r="12252">
      <c r="Y12252" s="372">
        <v>0.0</v>
      </c>
      <c r="Z12252" s="372">
        <v>0.0</v>
      </c>
    </row>
    <row r="12253">
      <c r="Y12253" s="372">
        <v>0.0</v>
      </c>
      <c r="Z12253" s="372">
        <v>0.0</v>
      </c>
    </row>
    <row r="12254">
      <c r="Y12254" s="372">
        <v>0.0</v>
      </c>
      <c r="Z12254" s="372">
        <v>0.0</v>
      </c>
    </row>
    <row r="12255">
      <c r="Y12255" s="372">
        <v>0.0</v>
      </c>
      <c r="Z12255" s="372">
        <v>0.0</v>
      </c>
    </row>
    <row r="12256">
      <c r="Y12256" s="372">
        <v>0.0</v>
      </c>
      <c r="Z12256" s="372">
        <v>0.0</v>
      </c>
    </row>
    <row r="12257">
      <c r="Y12257" s="372">
        <v>0.0</v>
      </c>
      <c r="Z12257" s="372">
        <v>0.0</v>
      </c>
    </row>
    <row r="12258">
      <c r="Y12258" s="372">
        <v>0.0</v>
      </c>
      <c r="Z12258" s="372">
        <v>0.0</v>
      </c>
    </row>
    <row r="12259">
      <c r="Y12259" s="372">
        <v>0.0</v>
      </c>
      <c r="Z12259" s="372">
        <v>0.0</v>
      </c>
    </row>
    <row r="12260">
      <c r="Y12260" s="372">
        <v>0.0</v>
      </c>
      <c r="Z12260" s="372">
        <v>0.0</v>
      </c>
    </row>
    <row r="12261">
      <c r="Y12261" s="372">
        <v>0.0</v>
      </c>
      <c r="Z12261" s="372">
        <v>0.0</v>
      </c>
    </row>
    <row r="12262">
      <c r="Y12262" s="372">
        <v>0.0</v>
      </c>
      <c r="Z12262" s="372">
        <v>0.0</v>
      </c>
    </row>
    <row r="12263">
      <c r="Y12263" s="372">
        <v>0.0</v>
      </c>
      <c r="Z12263" s="372">
        <v>0.0</v>
      </c>
    </row>
    <row r="12264">
      <c r="Y12264" s="372">
        <v>0.0</v>
      </c>
      <c r="Z12264" s="372">
        <v>0.0</v>
      </c>
    </row>
    <row r="12265">
      <c r="Y12265" s="372">
        <v>0.0</v>
      </c>
      <c r="Z12265" s="372">
        <v>0.0</v>
      </c>
    </row>
    <row r="12266">
      <c r="Y12266" s="372">
        <v>0.0</v>
      </c>
      <c r="Z12266" s="372">
        <v>0.0</v>
      </c>
    </row>
    <row r="12267">
      <c r="Y12267" s="372">
        <v>0.0</v>
      </c>
      <c r="Z12267" s="372">
        <v>0.0</v>
      </c>
    </row>
    <row r="12268">
      <c r="Y12268" s="372">
        <v>0.0</v>
      </c>
      <c r="Z12268" s="372">
        <v>0.0</v>
      </c>
    </row>
    <row r="12269">
      <c r="Y12269" s="372">
        <v>0.0</v>
      </c>
      <c r="Z12269" s="372">
        <v>0.0</v>
      </c>
    </row>
    <row r="12270">
      <c r="Y12270" s="372">
        <v>0.0</v>
      </c>
      <c r="Z12270" s="372">
        <v>0.0</v>
      </c>
    </row>
    <row r="12271">
      <c r="Y12271" s="372">
        <v>0.0</v>
      </c>
      <c r="Z12271" s="372">
        <v>0.0</v>
      </c>
    </row>
    <row r="12272">
      <c r="Y12272" s="372">
        <v>0.0</v>
      </c>
      <c r="Z12272" s="372">
        <v>0.0</v>
      </c>
    </row>
    <row r="12273">
      <c r="Y12273" s="372">
        <v>0.0</v>
      </c>
      <c r="Z12273" s="372">
        <v>0.0</v>
      </c>
    </row>
    <row r="12274">
      <c r="Y12274" s="372">
        <v>0.0</v>
      </c>
      <c r="Z12274" s="372">
        <v>0.0</v>
      </c>
    </row>
    <row r="12275">
      <c r="Y12275" s="372">
        <v>0.0</v>
      </c>
      <c r="Z12275" s="372">
        <v>0.0</v>
      </c>
    </row>
    <row r="12276">
      <c r="Y12276" s="372">
        <v>0.0</v>
      </c>
      <c r="Z12276" s="372">
        <v>0.0</v>
      </c>
    </row>
    <row r="12277">
      <c r="Y12277" s="372">
        <v>0.0</v>
      </c>
      <c r="Z12277" s="372">
        <v>0.0</v>
      </c>
    </row>
    <row r="12278">
      <c r="Y12278" s="372">
        <v>0.0</v>
      </c>
      <c r="Z12278" s="372">
        <v>0.0</v>
      </c>
    </row>
    <row r="12279">
      <c r="Y12279" s="372">
        <v>0.0</v>
      </c>
      <c r="Z12279" s="372">
        <v>0.0</v>
      </c>
    </row>
    <row r="12280">
      <c r="Y12280" s="372">
        <v>0.0</v>
      </c>
      <c r="Z12280" s="372">
        <v>0.0</v>
      </c>
    </row>
    <row r="12281">
      <c r="Y12281" s="372">
        <v>0.0</v>
      </c>
      <c r="Z12281" s="372">
        <v>0.0</v>
      </c>
    </row>
    <row r="12282">
      <c r="Y12282" s="372">
        <v>0.0</v>
      </c>
      <c r="Z12282" s="372">
        <v>0.0</v>
      </c>
    </row>
    <row r="12283">
      <c r="Y12283" s="372">
        <v>0.0</v>
      </c>
      <c r="Z12283" s="372">
        <v>0.0</v>
      </c>
    </row>
    <row r="12284">
      <c r="Y12284" s="372">
        <v>0.0</v>
      </c>
      <c r="Z12284" s="372">
        <v>0.0</v>
      </c>
    </row>
    <row r="12285">
      <c r="Y12285" s="372">
        <v>0.0</v>
      </c>
      <c r="Z12285" s="372">
        <v>0.0</v>
      </c>
    </row>
    <row r="12286">
      <c r="Y12286" s="372">
        <v>0.0</v>
      </c>
      <c r="Z12286" s="372">
        <v>0.0</v>
      </c>
    </row>
    <row r="12287">
      <c r="Y12287" s="372">
        <v>0.0</v>
      </c>
      <c r="Z12287" s="372">
        <v>0.0</v>
      </c>
    </row>
    <row r="12288">
      <c r="Y12288" s="372">
        <v>0.0</v>
      </c>
      <c r="Z12288" s="372">
        <v>0.0</v>
      </c>
    </row>
    <row r="12289">
      <c r="Y12289" s="372">
        <v>0.0</v>
      </c>
      <c r="Z12289" s="372">
        <v>0.0</v>
      </c>
    </row>
    <row r="12290">
      <c r="Y12290" s="372">
        <v>0.0</v>
      </c>
      <c r="Z12290" s="372">
        <v>0.0</v>
      </c>
    </row>
    <row r="12291">
      <c r="Y12291" s="372">
        <v>0.0</v>
      </c>
      <c r="Z12291" s="372">
        <v>0.0</v>
      </c>
    </row>
    <row r="12292">
      <c r="Y12292" s="372">
        <v>0.0</v>
      </c>
      <c r="Z12292" s="372">
        <v>0.0</v>
      </c>
    </row>
    <row r="12293">
      <c r="Y12293" s="372">
        <v>0.0</v>
      </c>
      <c r="Z12293" s="372">
        <v>0.0</v>
      </c>
    </row>
    <row r="12294">
      <c r="Y12294" s="372">
        <v>0.0</v>
      </c>
      <c r="Z12294" s="372">
        <v>0.0</v>
      </c>
    </row>
    <row r="12295">
      <c r="Y12295" s="372">
        <v>0.0</v>
      </c>
      <c r="Z12295" s="372">
        <v>0.0</v>
      </c>
    </row>
    <row r="12296">
      <c r="Y12296" s="372">
        <v>0.0</v>
      </c>
      <c r="Z12296" s="372">
        <v>0.0</v>
      </c>
    </row>
    <row r="12297">
      <c r="Y12297" s="372">
        <v>0.0</v>
      </c>
      <c r="Z12297" s="372">
        <v>0.0</v>
      </c>
    </row>
    <row r="12298">
      <c r="Y12298" s="372">
        <v>0.0</v>
      </c>
      <c r="Z12298" s="372">
        <v>0.0</v>
      </c>
    </row>
    <row r="12299">
      <c r="Y12299" s="372">
        <v>0.0</v>
      </c>
      <c r="Z12299" s="372">
        <v>0.0</v>
      </c>
    </row>
    <row r="12300">
      <c r="Y12300" s="372">
        <v>0.0</v>
      </c>
      <c r="Z12300" s="372">
        <v>0.0</v>
      </c>
    </row>
    <row r="12301">
      <c r="Y12301" s="372">
        <v>0.0</v>
      </c>
      <c r="Z12301" s="372">
        <v>0.0</v>
      </c>
    </row>
    <row r="12302">
      <c r="Y12302" s="372">
        <v>0.0</v>
      </c>
      <c r="Z12302" s="372">
        <v>0.0</v>
      </c>
    </row>
    <row r="12303">
      <c r="Y12303" s="372">
        <v>0.0</v>
      </c>
      <c r="Z12303" s="372">
        <v>0.0</v>
      </c>
    </row>
    <row r="12304">
      <c r="Y12304" s="372">
        <v>0.0</v>
      </c>
      <c r="Z12304" s="372">
        <v>0.0</v>
      </c>
    </row>
    <row r="12305">
      <c r="Y12305" s="372">
        <v>0.0</v>
      </c>
      <c r="Z12305" s="372">
        <v>0.0</v>
      </c>
    </row>
    <row r="12306">
      <c r="Y12306" s="372">
        <v>0.0</v>
      </c>
      <c r="Z12306" s="372">
        <v>0.0</v>
      </c>
    </row>
    <row r="12307">
      <c r="Y12307" s="372">
        <v>0.0</v>
      </c>
      <c r="Z12307" s="372">
        <v>0.0</v>
      </c>
    </row>
    <row r="12308">
      <c r="Y12308" s="372">
        <v>0.0</v>
      </c>
      <c r="Z12308" s="372">
        <v>0.0</v>
      </c>
    </row>
    <row r="12309">
      <c r="Y12309" s="372">
        <v>0.0</v>
      </c>
      <c r="Z12309" s="372">
        <v>0.0</v>
      </c>
    </row>
    <row r="12310">
      <c r="Y12310" s="372">
        <v>0.0</v>
      </c>
      <c r="Z12310" s="372">
        <v>0.0</v>
      </c>
    </row>
    <row r="12311">
      <c r="Y12311" s="372">
        <v>0.0</v>
      </c>
      <c r="Z12311" s="372">
        <v>0.0</v>
      </c>
    </row>
    <row r="12312">
      <c r="Y12312" s="372">
        <v>0.0</v>
      </c>
      <c r="Z12312" s="372">
        <v>0.0</v>
      </c>
    </row>
    <row r="12313">
      <c r="Y12313" s="372">
        <v>0.0</v>
      </c>
      <c r="Z12313" s="372">
        <v>0.0</v>
      </c>
    </row>
    <row r="12314">
      <c r="Y12314" s="372">
        <v>0.0</v>
      </c>
      <c r="Z12314" s="372">
        <v>0.0</v>
      </c>
    </row>
    <row r="12315">
      <c r="Y12315" s="372">
        <v>0.0</v>
      </c>
      <c r="Z12315" s="372">
        <v>0.0</v>
      </c>
    </row>
    <row r="12316">
      <c r="Y12316" s="372">
        <v>0.0</v>
      </c>
      <c r="Z12316" s="372">
        <v>0.0</v>
      </c>
    </row>
    <row r="12317">
      <c r="Y12317" s="372">
        <v>0.0</v>
      </c>
      <c r="Z12317" s="372">
        <v>0.0</v>
      </c>
    </row>
    <row r="12318">
      <c r="Y12318" s="372">
        <v>0.0</v>
      </c>
      <c r="Z12318" s="372">
        <v>0.0</v>
      </c>
    </row>
    <row r="12319">
      <c r="Y12319" s="372">
        <v>0.0</v>
      </c>
      <c r="Z12319" s="372">
        <v>0.0</v>
      </c>
    </row>
    <row r="12320">
      <c r="Y12320" s="372">
        <v>0.0</v>
      </c>
      <c r="Z12320" s="372">
        <v>0.0</v>
      </c>
    </row>
    <row r="12321">
      <c r="Y12321" s="372">
        <v>0.0</v>
      </c>
      <c r="Z12321" s="372">
        <v>0.0</v>
      </c>
    </row>
    <row r="12322">
      <c r="Y12322" s="372">
        <v>0.0</v>
      </c>
      <c r="Z12322" s="372">
        <v>0.0</v>
      </c>
    </row>
    <row r="12323">
      <c r="Y12323" s="372">
        <v>0.0</v>
      </c>
      <c r="Z12323" s="372">
        <v>0.0</v>
      </c>
    </row>
    <row r="12324">
      <c r="Y12324" s="372">
        <v>0.0</v>
      </c>
      <c r="Z12324" s="372">
        <v>0.0</v>
      </c>
    </row>
    <row r="12325">
      <c r="Y12325" s="372">
        <v>0.0</v>
      </c>
      <c r="Z12325" s="372">
        <v>0.0</v>
      </c>
    </row>
    <row r="12326">
      <c r="Y12326" s="372">
        <v>0.0</v>
      </c>
      <c r="Z12326" s="372">
        <v>0.0</v>
      </c>
    </row>
    <row r="12327">
      <c r="Y12327" s="372">
        <v>0.0</v>
      </c>
      <c r="Z12327" s="372">
        <v>0.0</v>
      </c>
    </row>
    <row r="12328">
      <c r="Y12328" s="372">
        <v>0.0</v>
      </c>
      <c r="Z12328" s="372">
        <v>0.0</v>
      </c>
    </row>
    <row r="12329">
      <c r="Y12329" s="372">
        <v>0.0</v>
      </c>
      <c r="Z12329" s="372">
        <v>0.0</v>
      </c>
    </row>
    <row r="12330">
      <c r="Y12330" s="372">
        <v>0.0</v>
      </c>
      <c r="Z12330" s="372">
        <v>0.0</v>
      </c>
    </row>
    <row r="12331">
      <c r="Y12331" s="372">
        <v>0.0</v>
      </c>
      <c r="Z12331" s="372">
        <v>0.0</v>
      </c>
    </row>
    <row r="12332">
      <c r="Y12332" s="372">
        <v>0.0</v>
      </c>
      <c r="Z12332" s="372">
        <v>0.0</v>
      </c>
    </row>
    <row r="12333">
      <c r="Y12333" s="372">
        <v>0.0</v>
      </c>
      <c r="Z12333" s="372">
        <v>0.0</v>
      </c>
    </row>
    <row r="12334">
      <c r="Y12334" s="372">
        <v>0.0</v>
      </c>
      <c r="Z12334" s="372">
        <v>0.0</v>
      </c>
    </row>
    <row r="12335">
      <c r="Y12335" s="372">
        <v>0.0</v>
      </c>
      <c r="Z12335" s="372">
        <v>0.0</v>
      </c>
    </row>
    <row r="12336">
      <c r="Y12336" s="372">
        <v>0.0</v>
      </c>
      <c r="Z12336" s="372">
        <v>0.0</v>
      </c>
    </row>
    <row r="12337">
      <c r="Y12337" s="372">
        <v>0.0</v>
      </c>
      <c r="Z12337" s="372">
        <v>0.0</v>
      </c>
    </row>
    <row r="12338">
      <c r="Y12338" s="372">
        <v>0.0</v>
      </c>
      <c r="Z12338" s="372">
        <v>0.0</v>
      </c>
    </row>
    <row r="12339">
      <c r="Y12339" s="372">
        <v>0.0</v>
      </c>
      <c r="Z12339" s="372">
        <v>0.0</v>
      </c>
    </row>
    <row r="12340">
      <c r="Y12340" s="372">
        <v>0.0</v>
      </c>
      <c r="Z12340" s="372">
        <v>0.0</v>
      </c>
    </row>
    <row r="12341">
      <c r="Y12341" s="372">
        <v>0.0</v>
      </c>
      <c r="Z12341" s="372">
        <v>0.0</v>
      </c>
    </row>
    <row r="12342">
      <c r="Y12342" s="372">
        <v>0.0</v>
      </c>
      <c r="Z12342" s="372">
        <v>0.0</v>
      </c>
    </row>
    <row r="12343">
      <c r="Y12343" s="372">
        <v>0.0</v>
      </c>
      <c r="Z12343" s="372">
        <v>0.0</v>
      </c>
    </row>
    <row r="12344">
      <c r="Y12344" s="372">
        <v>0.0</v>
      </c>
      <c r="Z12344" s="372">
        <v>0.0</v>
      </c>
    </row>
    <row r="12345">
      <c r="Y12345" s="372">
        <v>0.0</v>
      </c>
      <c r="Z12345" s="372">
        <v>0.0</v>
      </c>
    </row>
    <row r="12346">
      <c r="Y12346" s="372">
        <v>0.0</v>
      </c>
      <c r="Z12346" s="372">
        <v>0.0</v>
      </c>
    </row>
    <row r="12347">
      <c r="Y12347" s="372">
        <v>0.0</v>
      </c>
      <c r="Z12347" s="372">
        <v>0.0</v>
      </c>
    </row>
    <row r="12348">
      <c r="Y12348" s="372">
        <v>0.0</v>
      </c>
      <c r="Z12348" s="372">
        <v>0.0</v>
      </c>
    </row>
    <row r="12349">
      <c r="Y12349" s="372">
        <v>0.0</v>
      </c>
      <c r="Z12349" s="372">
        <v>0.0</v>
      </c>
    </row>
    <row r="12350">
      <c r="Y12350" s="372">
        <v>0.0</v>
      </c>
      <c r="Z12350" s="372">
        <v>0.0</v>
      </c>
    </row>
    <row r="12351">
      <c r="Y12351" s="372">
        <v>0.0</v>
      </c>
      <c r="Z12351" s="372">
        <v>0.0</v>
      </c>
    </row>
    <row r="12352">
      <c r="Y12352" s="372">
        <v>0.0</v>
      </c>
      <c r="Z12352" s="372">
        <v>0.0</v>
      </c>
    </row>
    <row r="12353">
      <c r="Y12353" s="372">
        <v>0.0</v>
      </c>
      <c r="Z12353" s="372">
        <v>0.0</v>
      </c>
    </row>
    <row r="12354">
      <c r="Y12354" s="372">
        <v>0.0</v>
      </c>
      <c r="Z12354" s="372">
        <v>0.0</v>
      </c>
    </row>
    <row r="12355">
      <c r="Y12355" s="372">
        <v>0.0</v>
      </c>
      <c r="Z12355" s="372">
        <v>0.0</v>
      </c>
    </row>
    <row r="12356">
      <c r="Y12356" s="372">
        <v>0.0</v>
      </c>
      <c r="Z12356" s="372">
        <v>0.0</v>
      </c>
    </row>
    <row r="12357">
      <c r="Y12357" s="372">
        <v>0.0</v>
      </c>
      <c r="Z12357" s="372">
        <v>0.0</v>
      </c>
    </row>
    <row r="12358">
      <c r="Y12358" s="372">
        <v>0.0</v>
      </c>
      <c r="Z12358" s="372">
        <v>0.0</v>
      </c>
    </row>
    <row r="12359">
      <c r="Y12359" s="372">
        <v>0.0</v>
      </c>
      <c r="Z12359" s="372">
        <v>0.0</v>
      </c>
    </row>
    <row r="12360">
      <c r="Y12360" s="372">
        <v>0.0</v>
      </c>
      <c r="Z12360" s="372">
        <v>0.0</v>
      </c>
    </row>
    <row r="12361">
      <c r="Y12361" s="372">
        <v>0.0</v>
      </c>
      <c r="Z12361" s="372">
        <v>0.0</v>
      </c>
    </row>
    <row r="12362">
      <c r="Y12362" s="372">
        <v>0.0</v>
      </c>
      <c r="Z12362" s="372">
        <v>0.0</v>
      </c>
    </row>
    <row r="12363">
      <c r="Y12363" s="372">
        <v>0.0</v>
      </c>
      <c r="Z12363" s="372">
        <v>0.0</v>
      </c>
    </row>
    <row r="12364">
      <c r="Y12364" s="372">
        <v>0.0</v>
      </c>
      <c r="Z12364" s="372">
        <v>0.0</v>
      </c>
    </row>
    <row r="12365">
      <c r="Y12365" s="372">
        <v>0.0</v>
      </c>
      <c r="Z12365" s="372">
        <v>0.0</v>
      </c>
    </row>
    <row r="12366">
      <c r="Y12366" s="372">
        <v>0.0</v>
      </c>
      <c r="Z12366" s="372">
        <v>0.0</v>
      </c>
    </row>
    <row r="12367">
      <c r="Y12367" s="372">
        <v>0.0</v>
      </c>
      <c r="Z12367" s="372">
        <v>0.0</v>
      </c>
    </row>
    <row r="12368">
      <c r="Y12368" s="372">
        <v>0.0</v>
      </c>
      <c r="Z12368" s="372">
        <v>0.0</v>
      </c>
    </row>
    <row r="12369">
      <c r="Y12369" s="372">
        <v>0.0</v>
      </c>
      <c r="Z12369" s="372">
        <v>0.0</v>
      </c>
    </row>
    <row r="12370">
      <c r="Y12370" s="372">
        <v>0.0</v>
      </c>
      <c r="Z12370" s="372">
        <v>0.0</v>
      </c>
    </row>
    <row r="12371">
      <c r="Y12371" s="372">
        <v>0.0</v>
      </c>
      <c r="Z12371" s="372">
        <v>0.0</v>
      </c>
    </row>
    <row r="12372">
      <c r="Y12372" s="372">
        <v>0.0</v>
      </c>
      <c r="Z12372" s="372">
        <v>0.0</v>
      </c>
    </row>
    <row r="12373">
      <c r="Y12373" s="372">
        <v>0.0</v>
      </c>
      <c r="Z12373" s="372">
        <v>0.0</v>
      </c>
    </row>
    <row r="12374">
      <c r="Y12374" s="372">
        <v>0.0</v>
      </c>
      <c r="Z12374" s="372">
        <v>0.0</v>
      </c>
    </row>
    <row r="12375">
      <c r="Y12375" s="372">
        <v>0.0</v>
      </c>
      <c r="Z12375" s="372">
        <v>0.0</v>
      </c>
    </row>
    <row r="12376">
      <c r="Y12376" s="372">
        <v>0.0</v>
      </c>
      <c r="Z12376" s="372">
        <v>0.0</v>
      </c>
    </row>
    <row r="12377">
      <c r="Y12377" s="372">
        <v>0.0</v>
      </c>
      <c r="Z12377" s="372">
        <v>0.0</v>
      </c>
    </row>
    <row r="12378">
      <c r="Y12378" s="372">
        <v>0.0</v>
      </c>
      <c r="Z12378" s="372">
        <v>0.0</v>
      </c>
    </row>
    <row r="12379">
      <c r="Y12379" s="372">
        <v>0.0</v>
      </c>
      <c r="Z12379" s="372">
        <v>0.0</v>
      </c>
    </row>
    <row r="12380">
      <c r="Y12380" s="372">
        <v>0.0</v>
      </c>
      <c r="Z12380" s="372">
        <v>0.0</v>
      </c>
    </row>
    <row r="12381">
      <c r="Y12381" s="372">
        <v>0.0</v>
      </c>
      <c r="Z12381" s="372">
        <v>0.0</v>
      </c>
    </row>
    <row r="12382">
      <c r="Y12382" s="372">
        <v>0.0</v>
      </c>
      <c r="Z12382" s="372">
        <v>0.0</v>
      </c>
    </row>
    <row r="12383">
      <c r="Y12383" s="372">
        <v>0.0</v>
      </c>
      <c r="Z12383" s="372">
        <v>0.0</v>
      </c>
    </row>
    <row r="12384">
      <c r="Y12384" s="372">
        <v>0.0</v>
      </c>
      <c r="Z12384" s="372">
        <v>0.0</v>
      </c>
    </row>
    <row r="12385">
      <c r="Y12385" s="372">
        <v>0.0</v>
      </c>
      <c r="Z12385" s="372">
        <v>0.0</v>
      </c>
    </row>
    <row r="12386">
      <c r="Y12386" s="372">
        <v>0.0</v>
      </c>
      <c r="Z12386" s="372">
        <v>0.0</v>
      </c>
    </row>
    <row r="12387">
      <c r="Y12387" s="372">
        <v>0.0</v>
      </c>
      <c r="Z12387" s="372">
        <v>0.0</v>
      </c>
    </row>
    <row r="12388">
      <c r="Y12388" s="372">
        <v>0.0</v>
      </c>
      <c r="Z12388" s="372">
        <v>0.0</v>
      </c>
    </row>
    <row r="12389">
      <c r="Y12389" s="372">
        <v>0.0</v>
      </c>
      <c r="Z12389" s="372">
        <v>0.0</v>
      </c>
    </row>
    <row r="12390">
      <c r="Y12390" s="372">
        <v>0.0</v>
      </c>
      <c r="Z12390" s="372">
        <v>0.0</v>
      </c>
    </row>
    <row r="12391">
      <c r="Y12391" s="372">
        <v>0.0</v>
      </c>
      <c r="Z12391" s="372">
        <v>0.0</v>
      </c>
    </row>
    <row r="12392">
      <c r="Y12392" s="372">
        <v>0.0</v>
      </c>
      <c r="Z12392" s="372">
        <v>0.0</v>
      </c>
    </row>
    <row r="12393">
      <c r="Y12393" s="372">
        <v>0.0</v>
      </c>
      <c r="Z12393" s="372">
        <v>0.0</v>
      </c>
    </row>
    <row r="12394">
      <c r="Y12394" s="372">
        <v>0.0</v>
      </c>
      <c r="Z12394" s="372">
        <v>0.0</v>
      </c>
    </row>
    <row r="12395">
      <c r="Y12395" s="372">
        <v>0.0</v>
      </c>
      <c r="Z12395" s="372">
        <v>0.0</v>
      </c>
    </row>
    <row r="12396">
      <c r="Y12396" s="372">
        <v>0.0</v>
      </c>
      <c r="Z12396" s="372">
        <v>0.0</v>
      </c>
    </row>
    <row r="12397">
      <c r="Y12397" s="372">
        <v>0.0</v>
      </c>
      <c r="Z12397" s="372">
        <v>0.0</v>
      </c>
    </row>
    <row r="12398">
      <c r="Y12398" s="372">
        <v>0.0</v>
      </c>
      <c r="Z12398" s="372">
        <v>0.0</v>
      </c>
    </row>
    <row r="12399">
      <c r="Y12399" s="372">
        <v>0.0</v>
      </c>
      <c r="Z12399" s="372">
        <v>0.0</v>
      </c>
    </row>
    <row r="12400">
      <c r="Y12400" s="372">
        <v>0.0</v>
      </c>
      <c r="Z12400" s="372">
        <v>0.0</v>
      </c>
    </row>
    <row r="12401">
      <c r="Y12401" s="372">
        <v>0.0</v>
      </c>
      <c r="Z12401" s="372">
        <v>0.0</v>
      </c>
    </row>
    <row r="12402">
      <c r="Y12402" s="372">
        <v>0.0</v>
      </c>
      <c r="Z12402" s="372">
        <v>0.0</v>
      </c>
    </row>
    <row r="12403">
      <c r="Y12403" s="372">
        <v>0.0</v>
      </c>
      <c r="Z12403" s="372">
        <v>0.0</v>
      </c>
    </row>
    <row r="12404">
      <c r="Y12404" s="372">
        <v>0.0</v>
      </c>
      <c r="Z12404" s="372">
        <v>0.0</v>
      </c>
    </row>
    <row r="12405">
      <c r="Y12405" s="372">
        <v>0.0</v>
      </c>
      <c r="Z12405" s="372">
        <v>0.0</v>
      </c>
    </row>
    <row r="12406">
      <c r="Y12406" s="372">
        <v>0.0</v>
      </c>
      <c r="Z12406" s="372">
        <v>0.0</v>
      </c>
    </row>
    <row r="12407">
      <c r="Y12407" s="372">
        <v>0.0</v>
      </c>
      <c r="Z12407" s="372">
        <v>0.0</v>
      </c>
    </row>
    <row r="12408">
      <c r="Y12408" s="372">
        <v>0.0</v>
      </c>
      <c r="Z12408" s="372">
        <v>0.0</v>
      </c>
    </row>
    <row r="12409">
      <c r="Y12409" s="372">
        <v>0.0</v>
      </c>
      <c r="Z12409" s="372">
        <v>0.0</v>
      </c>
    </row>
    <row r="12410">
      <c r="Y12410" s="372">
        <v>0.0</v>
      </c>
      <c r="Z12410" s="372">
        <v>0.0</v>
      </c>
    </row>
    <row r="12411">
      <c r="Y12411" s="372">
        <v>0.0</v>
      </c>
      <c r="Z12411" s="372">
        <v>0.0</v>
      </c>
    </row>
    <row r="12412">
      <c r="Y12412" s="372">
        <v>0.0</v>
      </c>
      <c r="Z12412" s="372">
        <v>0.0</v>
      </c>
    </row>
    <row r="12413">
      <c r="Y12413" s="372">
        <v>0.0</v>
      </c>
      <c r="Z12413" s="372">
        <v>0.0</v>
      </c>
    </row>
    <row r="12414">
      <c r="Y12414" s="372">
        <v>0.0</v>
      </c>
      <c r="Z12414" s="372">
        <v>0.0</v>
      </c>
    </row>
    <row r="12415">
      <c r="Y12415" s="372">
        <v>0.0</v>
      </c>
      <c r="Z12415" s="372">
        <v>0.0</v>
      </c>
    </row>
    <row r="12416">
      <c r="Y12416" s="372">
        <v>0.0</v>
      </c>
      <c r="Z12416" s="372">
        <v>0.0</v>
      </c>
    </row>
    <row r="12417">
      <c r="Y12417" s="372">
        <v>0.0</v>
      </c>
      <c r="Z12417" s="372">
        <v>0.0</v>
      </c>
    </row>
    <row r="12418">
      <c r="Y12418" s="372">
        <v>0.0</v>
      </c>
      <c r="Z12418" s="372">
        <v>0.0</v>
      </c>
    </row>
    <row r="12419">
      <c r="Y12419" s="372">
        <v>0.0</v>
      </c>
      <c r="Z12419" s="372">
        <v>0.0</v>
      </c>
    </row>
    <row r="12420">
      <c r="Y12420" s="372">
        <v>0.0</v>
      </c>
      <c r="Z12420" s="372">
        <v>0.0</v>
      </c>
    </row>
    <row r="12421">
      <c r="Y12421" s="372">
        <v>0.0</v>
      </c>
      <c r="Z12421" s="372">
        <v>0.0</v>
      </c>
    </row>
    <row r="12422">
      <c r="Y12422" s="372">
        <v>0.0</v>
      </c>
      <c r="Z12422" s="372">
        <v>0.0</v>
      </c>
    </row>
    <row r="12423">
      <c r="Y12423" s="372">
        <v>0.0</v>
      </c>
      <c r="Z12423" s="372">
        <v>0.0</v>
      </c>
    </row>
    <row r="12424">
      <c r="Y12424" s="372">
        <v>0.0</v>
      </c>
      <c r="Z12424" s="372">
        <v>0.0</v>
      </c>
    </row>
    <row r="12425">
      <c r="Y12425" s="372">
        <v>0.0</v>
      </c>
      <c r="Z12425" s="372">
        <v>0.0</v>
      </c>
    </row>
    <row r="12426">
      <c r="Y12426" s="372">
        <v>0.0</v>
      </c>
      <c r="Z12426" s="372">
        <v>0.0</v>
      </c>
    </row>
    <row r="12427">
      <c r="Y12427" s="372">
        <v>0.0</v>
      </c>
      <c r="Z12427" s="372">
        <v>0.0</v>
      </c>
    </row>
    <row r="12428">
      <c r="Y12428" s="372">
        <v>0.0</v>
      </c>
      <c r="Z12428" s="372">
        <v>0.0</v>
      </c>
    </row>
    <row r="12429">
      <c r="Y12429" s="372">
        <v>0.0</v>
      </c>
      <c r="Z12429" s="372">
        <v>0.0</v>
      </c>
    </row>
    <row r="12430">
      <c r="Y12430" s="372">
        <v>0.0</v>
      </c>
      <c r="Z12430" s="372">
        <v>0.0</v>
      </c>
    </row>
    <row r="12431">
      <c r="Y12431" s="372">
        <v>0.0</v>
      </c>
      <c r="Z12431" s="372">
        <v>0.0</v>
      </c>
    </row>
    <row r="12432">
      <c r="Y12432" s="372">
        <v>0.0</v>
      </c>
      <c r="Z12432" s="372">
        <v>0.0</v>
      </c>
    </row>
    <row r="12433">
      <c r="Y12433" s="372">
        <v>0.0</v>
      </c>
      <c r="Z12433" s="372">
        <v>0.0</v>
      </c>
    </row>
    <row r="12434">
      <c r="Y12434" s="372">
        <v>0.0</v>
      </c>
      <c r="Z12434" s="372">
        <v>0.0</v>
      </c>
    </row>
    <row r="12435">
      <c r="Y12435" s="372">
        <v>0.0</v>
      </c>
      <c r="Z12435" s="372">
        <v>0.0</v>
      </c>
    </row>
    <row r="12436">
      <c r="Y12436" s="372">
        <v>0.0</v>
      </c>
      <c r="Z12436" s="372">
        <v>0.0</v>
      </c>
    </row>
    <row r="12437">
      <c r="Y12437" s="372">
        <v>0.0</v>
      </c>
      <c r="Z12437" s="372">
        <v>0.0</v>
      </c>
    </row>
    <row r="12438">
      <c r="Y12438" s="372">
        <v>0.0</v>
      </c>
      <c r="Z12438" s="372">
        <v>0.0</v>
      </c>
    </row>
    <row r="12439">
      <c r="Y12439" s="372">
        <v>0.0</v>
      </c>
      <c r="Z12439" s="372">
        <v>0.0</v>
      </c>
    </row>
    <row r="12440">
      <c r="Y12440" s="372">
        <v>0.0</v>
      </c>
      <c r="Z12440" s="372">
        <v>0.0</v>
      </c>
    </row>
    <row r="12441">
      <c r="Y12441" s="372">
        <v>0.0</v>
      </c>
      <c r="Z12441" s="372">
        <v>0.0</v>
      </c>
    </row>
    <row r="12442">
      <c r="Y12442" s="372">
        <v>0.0</v>
      </c>
      <c r="Z12442" s="372">
        <v>0.0</v>
      </c>
    </row>
    <row r="12443">
      <c r="Y12443" s="372">
        <v>0.0</v>
      </c>
      <c r="Z12443" s="372">
        <v>0.0</v>
      </c>
    </row>
    <row r="12444">
      <c r="Y12444" s="372">
        <v>0.0</v>
      </c>
      <c r="Z12444" s="372">
        <v>0.0</v>
      </c>
    </row>
    <row r="12445">
      <c r="Y12445" s="372">
        <v>0.0</v>
      </c>
      <c r="Z12445" s="372">
        <v>0.0</v>
      </c>
    </row>
    <row r="12446">
      <c r="Y12446" s="372">
        <v>0.0</v>
      </c>
      <c r="Z12446" s="372">
        <v>0.0</v>
      </c>
    </row>
    <row r="12447">
      <c r="Y12447" s="372">
        <v>0.0</v>
      </c>
      <c r="Z12447" s="372">
        <v>0.0</v>
      </c>
    </row>
    <row r="12448">
      <c r="Y12448" s="372">
        <v>0.0</v>
      </c>
      <c r="Z12448" s="372">
        <v>0.0</v>
      </c>
    </row>
    <row r="12449">
      <c r="Y12449" s="372">
        <v>0.0</v>
      </c>
      <c r="Z12449" s="372">
        <v>0.0</v>
      </c>
    </row>
    <row r="12450">
      <c r="Y12450" s="372">
        <v>0.0</v>
      </c>
      <c r="Z12450" s="372">
        <v>0.0</v>
      </c>
    </row>
    <row r="12451">
      <c r="Y12451" s="372">
        <v>0.0</v>
      </c>
      <c r="Z12451" s="372">
        <v>0.0</v>
      </c>
    </row>
    <row r="12452">
      <c r="Y12452" s="372">
        <v>0.0</v>
      </c>
      <c r="Z12452" s="372">
        <v>0.0</v>
      </c>
    </row>
    <row r="12453">
      <c r="Y12453" s="372">
        <v>0.0</v>
      </c>
      <c r="Z12453" s="372">
        <v>0.0</v>
      </c>
    </row>
    <row r="12454">
      <c r="Y12454" s="372">
        <v>0.0</v>
      </c>
      <c r="Z12454" s="372">
        <v>0.0</v>
      </c>
    </row>
    <row r="12455">
      <c r="Y12455" s="372">
        <v>0.0</v>
      </c>
      <c r="Z12455" s="372">
        <v>0.0</v>
      </c>
    </row>
    <row r="12456">
      <c r="Y12456" s="372">
        <v>0.0</v>
      </c>
      <c r="Z12456" s="372">
        <v>0.0</v>
      </c>
    </row>
    <row r="12457">
      <c r="Y12457" s="372">
        <v>0.0</v>
      </c>
      <c r="Z12457" s="372">
        <v>0.0</v>
      </c>
    </row>
    <row r="12458">
      <c r="Y12458" s="372">
        <v>0.0</v>
      </c>
      <c r="Z12458" s="372">
        <v>0.0</v>
      </c>
    </row>
    <row r="12459">
      <c r="Y12459" s="372">
        <v>0.0</v>
      </c>
      <c r="Z12459" s="372">
        <v>0.0</v>
      </c>
    </row>
    <row r="12460">
      <c r="Y12460" s="372">
        <v>0.0</v>
      </c>
      <c r="Z12460" s="372">
        <v>0.0</v>
      </c>
    </row>
    <row r="12461">
      <c r="Y12461" s="372">
        <v>0.0</v>
      </c>
      <c r="Z12461" s="372">
        <v>0.0</v>
      </c>
    </row>
    <row r="12462">
      <c r="Y12462" s="372">
        <v>0.0</v>
      </c>
      <c r="Z12462" s="372">
        <v>0.0</v>
      </c>
    </row>
    <row r="12463">
      <c r="Y12463" s="372">
        <v>0.0</v>
      </c>
      <c r="Z12463" s="372">
        <v>0.0</v>
      </c>
    </row>
    <row r="12464">
      <c r="Y12464" s="372">
        <v>0.0</v>
      </c>
      <c r="Z12464" s="372">
        <v>0.0</v>
      </c>
    </row>
    <row r="12465">
      <c r="Y12465" s="372">
        <v>0.0</v>
      </c>
      <c r="Z12465" s="372">
        <v>0.0</v>
      </c>
    </row>
    <row r="12466">
      <c r="Y12466" s="372">
        <v>0.0</v>
      </c>
      <c r="Z12466" s="372">
        <v>0.0</v>
      </c>
    </row>
    <row r="12467">
      <c r="Y12467" s="372">
        <v>0.0</v>
      </c>
      <c r="Z12467" s="372">
        <v>0.0</v>
      </c>
    </row>
    <row r="12468">
      <c r="Y12468" s="372">
        <v>0.0</v>
      </c>
      <c r="Z12468" s="372">
        <v>0.0</v>
      </c>
    </row>
    <row r="12469">
      <c r="Y12469" s="372">
        <v>0.0</v>
      </c>
      <c r="Z12469" s="372">
        <v>0.0</v>
      </c>
    </row>
    <row r="12470">
      <c r="Y12470" s="372">
        <v>0.0</v>
      </c>
      <c r="Z12470" s="372">
        <v>0.0</v>
      </c>
    </row>
    <row r="12471">
      <c r="Y12471" s="372">
        <v>0.0</v>
      </c>
      <c r="Z12471" s="372">
        <v>0.0</v>
      </c>
    </row>
    <row r="12472">
      <c r="Y12472" s="372">
        <v>0.0</v>
      </c>
      <c r="Z12472" s="372">
        <v>0.0</v>
      </c>
    </row>
    <row r="12473">
      <c r="Y12473" s="372">
        <v>0.0</v>
      </c>
      <c r="Z12473" s="372">
        <v>0.0</v>
      </c>
    </row>
    <row r="12474">
      <c r="Y12474" s="372">
        <v>0.0</v>
      </c>
      <c r="Z12474" s="372">
        <v>0.0</v>
      </c>
    </row>
    <row r="12475">
      <c r="Y12475" s="372">
        <v>0.0</v>
      </c>
      <c r="Z12475" s="372">
        <v>0.0</v>
      </c>
    </row>
    <row r="12476">
      <c r="Y12476" s="372">
        <v>0.0</v>
      </c>
      <c r="Z12476" s="372">
        <v>0.0</v>
      </c>
    </row>
    <row r="12477">
      <c r="Y12477" s="372">
        <v>0.0</v>
      </c>
      <c r="Z12477" s="372">
        <v>0.0</v>
      </c>
    </row>
    <row r="12478">
      <c r="Y12478" s="372">
        <v>0.0</v>
      </c>
      <c r="Z12478" s="372">
        <v>0.0</v>
      </c>
    </row>
    <row r="12479">
      <c r="Y12479" s="372">
        <v>0.0</v>
      </c>
      <c r="Z12479" s="372">
        <v>0.0</v>
      </c>
    </row>
    <row r="12480">
      <c r="Y12480" s="372">
        <v>0.0</v>
      </c>
      <c r="Z12480" s="372">
        <v>0.0</v>
      </c>
    </row>
    <row r="12481">
      <c r="Y12481" s="372">
        <v>0.0</v>
      </c>
      <c r="Z12481" s="372">
        <v>0.0</v>
      </c>
    </row>
    <row r="12482">
      <c r="Y12482" s="372">
        <v>0.0</v>
      </c>
      <c r="Z12482" s="372">
        <v>0.0</v>
      </c>
    </row>
    <row r="12483">
      <c r="Y12483" s="372">
        <v>0.0</v>
      </c>
      <c r="Z12483" s="372">
        <v>0.0</v>
      </c>
    </row>
    <row r="12484">
      <c r="Y12484" s="372">
        <v>0.0</v>
      </c>
      <c r="Z12484" s="372">
        <v>0.0</v>
      </c>
    </row>
    <row r="12485">
      <c r="Y12485" s="372">
        <v>0.0</v>
      </c>
      <c r="Z12485" s="372">
        <v>0.0</v>
      </c>
    </row>
    <row r="12486">
      <c r="Y12486" s="372">
        <v>0.0</v>
      </c>
      <c r="Z12486" s="372">
        <v>0.0</v>
      </c>
    </row>
    <row r="12487">
      <c r="Y12487" s="372">
        <v>0.0</v>
      </c>
      <c r="Z12487" s="372">
        <v>0.0</v>
      </c>
    </row>
    <row r="12488">
      <c r="Y12488" s="372">
        <v>0.0</v>
      </c>
      <c r="Z12488" s="372">
        <v>0.0</v>
      </c>
    </row>
    <row r="12489">
      <c r="Y12489" s="372">
        <v>0.0</v>
      </c>
      <c r="Z12489" s="372">
        <v>0.0</v>
      </c>
    </row>
    <row r="12490">
      <c r="Y12490" s="372">
        <v>0.0</v>
      </c>
      <c r="Z12490" s="372">
        <v>0.0</v>
      </c>
    </row>
    <row r="12491">
      <c r="Y12491" s="372">
        <v>0.0</v>
      </c>
      <c r="Z12491" s="372">
        <v>0.0</v>
      </c>
    </row>
    <row r="12492">
      <c r="Y12492" s="372">
        <v>0.0</v>
      </c>
      <c r="Z12492" s="372">
        <v>0.0</v>
      </c>
    </row>
    <row r="12493">
      <c r="Y12493" s="372">
        <v>0.0</v>
      </c>
      <c r="Z12493" s="372">
        <v>0.0</v>
      </c>
    </row>
    <row r="12494">
      <c r="Y12494" s="372">
        <v>0.0</v>
      </c>
      <c r="Z12494" s="372">
        <v>0.0</v>
      </c>
    </row>
    <row r="12495">
      <c r="Y12495" s="372">
        <v>0.0</v>
      </c>
      <c r="Z12495" s="372">
        <v>0.0</v>
      </c>
    </row>
    <row r="12496">
      <c r="Y12496" s="372">
        <v>0.0</v>
      </c>
      <c r="Z12496" s="372">
        <v>0.0</v>
      </c>
    </row>
    <row r="12497">
      <c r="Y12497" s="372">
        <v>0.0</v>
      </c>
      <c r="Z12497" s="372">
        <v>0.0</v>
      </c>
    </row>
    <row r="12498">
      <c r="Y12498" s="372">
        <v>0.0</v>
      </c>
      <c r="Z12498" s="372">
        <v>0.0</v>
      </c>
    </row>
    <row r="12499">
      <c r="Y12499" s="372">
        <v>0.0</v>
      </c>
      <c r="Z12499" s="372">
        <v>0.0</v>
      </c>
    </row>
    <row r="12500">
      <c r="Y12500" s="372">
        <v>0.0</v>
      </c>
      <c r="Z12500" s="372">
        <v>0.0</v>
      </c>
    </row>
    <row r="12501">
      <c r="Y12501" s="372">
        <v>0.0</v>
      </c>
      <c r="Z12501" s="372">
        <v>0.0</v>
      </c>
    </row>
    <row r="12502">
      <c r="Y12502" s="372">
        <v>0.0</v>
      </c>
      <c r="Z12502" s="372">
        <v>0.0</v>
      </c>
    </row>
    <row r="12503">
      <c r="Y12503" s="372">
        <v>0.0</v>
      </c>
      <c r="Z12503" s="372">
        <v>0.0</v>
      </c>
    </row>
    <row r="12504">
      <c r="Y12504" s="372">
        <v>0.0</v>
      </c>
      <c r="Z12504" s="372">
        <v>0.0</v>
      </c>
    </row>
    <row r="12505">
      <c r="Y12505" s="372">
        <v>0.0</v>
      </c>
      <c r="Z12505" s="372">
        <v>0.0</v>
      </c>
    </row>
    <row r="12506">
      <c r="Y12506" s="372">
        <v>0.0</v>
      </c>
      <c r="Z12506" s="372">
        <v>0.0</v>
      </c>
    </row>
    <row r="12507">
      <c r="Y12507" s="372">
        <v>0.0</v>
      </c>
      <c r="Z12507" s="372">
        <v>0.0</v>
      </c>
    </row>
    <row r="12508">
      <c r="Y12508" s="372">
        <v>0.0</v>
      </c>
      <c r="Z12508" s="372">
        <v>0.0</v>
      </c>
    </row>
    <row r="12509">
      <c r="Y12509" s="372">
        <v>0.0</v>
      </c>
      <c r="Z12509" s="372">
        <v>0.0</v>
      </c>
    </row>
    <row r="12510">
      <c r="Y12510" s="372">
        <v>0.0</v>
      </c>
      <c r="Z12510" s="372">
        <v>0.0</v>
      </c>
    </row>
    <row r="12511">
      <c r="Y12511" s="372">
        <v>0.0</v>
      </c>
      <c r="Z12511" s="372">
        <v>0.0</v>
      </c>
    </row>
    <row r="12512">
      <c r="Y12512" s="372">
        <v>0.0</v>
      </c>
      <c r="Z12512" s="372">
        <v>0.0</v>
      </c>
    </row>
    <row r="12513">
      <c r="Y12513" s="372">
        <v>0.0</v>
      </c>
      <c r="Z12513" s="372">
        <v>0.0</v>
      </c>
    </row>
    <row r="12514">
      <c r="Y12514" s="372">
        <v>0.0</v>
      </c>
      <c r="Z12514" s="372">
        <v>0.0</v>
      </c>
    </row>
    <row r="12515">
      <c r="Y12515" s="372">
        <v>0.0</v>
      </c>
      <c r="Z12515" s="372">
        <v>0.0</v>
      </c>
    </row>
    <row r="12516">
      <c r="Y12516" s="372">
        <v>0.0</v>
      </c>
      <c r="Z12516" s="372">
        <v>0.0</v>
      </c>
    </row>
    <row r="12517">
      <c r="Y12517" s="372">
        <v>0.0</v>
      </c>
      <c r="Z12517" s="372">
        <v>0.0</v>
      </c>
    </row>
    <row r="12518">
      <c r="Y12518" s="372">
        <v>0.0</v>
      </c>
      <c r="Z12518" s="372">
        <v>0.0</v>
      </c>
    </row>
    <row r="12519">
      <c r="Y12519" s="372">
        <v>0.0</v>
      </c>
      <c r="Z12519" s="372">
        <v>0.0</v>
      </c>
    </row>
    <row r="12520">
      <c r="Y12520" s="372">
        <v>0.0</v>
      </c>
      <c r="Z12520" s="372">
        <v>0.0</v>
      </c>
    </row>
    <row r="12521">
      <c r="Y12521" s="372">
        <v>0.0</v>
      </c>
      <c r="Z12521" s="372">
        <v>0.0</v>
      </c>
    </row>
    <row r="12522">
      <c r="Y12522" s="372">
        <v>0.0</v>
      </c>
      <c r="Z12522" s="372">
        <v>0.0</v>
      </c>
    </row>
    <row r="12523">
      <c r="Y12523" s="372">
        <v>0.0</v>
      </c>
      <c r="Z12523" s="372">
        <v>0.0</v>
      </c>
    </row>
    <row r="12524">
      <c r="Y12524" s="372">
        <v>0.0</v>
      </c>
      <c r="Z12524" s="372">
        <v>0.0</v>
      </c>
    </row>
    <row r="12525">
      <c r="Y12525" s="372">
        <v>0.0</v>
      </c>
      <c r="Z12525" s="372">
        <v>0.0</v>
      </c>
    </row>
    <row r="12526">
      <c r="Y12526" s="372">
        <v>0.0</v>
      </c>
      <c r="Z12526" s="372">
        <v>0.0</v>
      </c>
    </row>
    <row r="12527">
      <c r="Y12527" s="372">
        <v>0.0</v>
      </c>
      <c r="Z12527" s="372">
        <v>0.0</v>
      </c>
    </row>
    <row r="12528">
      <c r="Y12528" s="372">
        <v>0.0</v>
      </c>
      <c r="Z12528" s="372">
        <v>0.0</v>
      </c>
    </row>
    <row r="12529">
      <c r="Y12529" s="372">
        <v>0.0</v>
      </c>
      <c r="Z12529" s="372">
        <v>0.0</v>
      </c>
    </row>
    <row r="12530">
      <c r="Y12530" s="372">
        <v>0.0</v>
      </c>
      <c r="Z12530" s="372">
        <v>0.0</v>
      </c>
    </row>
    <row r="12531">
      <c r="Y12531" s="372">
        <v>0.0</v>
      </c>
      <c r="Z12531" s="372">
        <v>0.0</v>
      </c>
    </row>
    <row r="12532">
      <c r="Y12532" s="372">
        <v>0.0</v>
      </c>
      <c r="Z12532" s="372">
        <v>0.0</v>
      </c>
    </row>
    <row r="12533">
      <c r="Y12533" s="372">
        <v>0.0</v>
      </c>
      <c r="Z12533" s="372">
        <v>0.0</v>
      </c>
    </row>
    <row r="12534">
      <c r="Y12534" s="372">
        <v>0.0</v>
      </c>
      <c r="Z12534" s="372">
        <v>0.0</v>
      </c>
    </row>
    <row r="12535">
      <c r="Y12535" s="372">
        <v>0.0</v>
      </c>
      <c r="Z12535" s="372">
        <v>0.0</v>
      </c>
    </row>
    <row r="12536">
      <c r="Y12536" s="372">
        <v>0.0</v>
      </c>
      <c r="Z12536" s="372">
        <v>0.0</v>
      </c>
    </row>
    <row r="12537">
      <c r="Y12537" s="372">
        <v>0.0</v>
      </c>
      <c r="Z12537" s="372">
        <v>0.0</v>
      </c>
    </row>
    <row r="12538">
      <c r="Y12538" s="372">
        <v>0.0</v>
      </c>
      <c r="Z12538" s="372">
        <v>0.0</v>
      </c>
    </row>
    <row r="12539">
      <c r="Y12539" s="372">
        <v>0.0</v>
      </c>
      <c r="Z12539" s="372">
        <v>0.0</v>
      </c>
    </row>
    <row r="12540">
      <c r="Y12540" s="372">
        <v>0.0</v>
      </c>
      <c r="Z12540" s="372">
        <v>0.0</v>
      </c>
    </row>
    <row r="12541">
      <c r="Y12541" s="372">
        <v>0.0</v>
      </c>
      <c r="Z12541" s="372">
        <v>0.0</v>
      </c>
    </row>
    <row r="12542">
      <c r="Y12542" s="372">
        <v>0.0</v>
      </c>
      <c r="Z12542" s="372">
        <v>0.0</v>
      </c>
    </row>
    <row r="12543">
      <c r="Y12543" s="372">
        <v>0.0</v>
      </c>
      <c r="Z12543" s="372">
        <v>0.0</v>
      </c>
    </row>
    <row r="12544">
      <c r="Y12544" s="372">
        <v>0.0</v>
      </c>
      <c r="Z12544" s="372">
        <v>0.0</v>
      </c>
    </row>
    <row r="12545">
      <c r="Y12545" s="372">
        <v>0.0</v>
      </c>
      <c r="Z12545" s="372">
        <v>0.0</v>
      </c>
    </row>
    <row r="12546">
      <c r="Y12546" s="372">
        <v>0.0</v>
      </c>
      <c r="Z12546" s="372">
        <v>0.0</v>
      </c>
    </row>
    <row r="12547">
      <c r="Y12547" s="372">
        <v>0.0</v>
      </c>
      <c r="Z12547" s="372">
        <v>0.0</v>
      </c>
    </row>
    <row r="12548">
      <c r="Y12548" s="372">
        <v>0.0</v>
      </c>
      <c r="Z12548" s="372">
        <v>0.0</v>
      </c>
    </row>
    <row r="12549">
      <c r="Y12549" s="372">
        <v>0.0</v>
      </c>
      <c r="Z12549" s="372">
        <v>0.0</v>
      </c>
    </row>
    <row r="12550">
      <c r="Y12550" s="372">
        <v>0.0</v>
      </c>
      <c r="Z12550" s="372">
        <v>0.0</v>
      </c>
    </row>
    <row r="12551">
      <c r="Y12551" s="372">
        <v>0.0</v>
      </c>
      <c r="Z12551" s="372">
        <v>0.0</v>
      </c>
    </row>
    <row r="12552">
      <c r="Y12552" s="372">
        <v>0.0</v>
      </c>
      <c r="Z12552" s="372">
        <v>0.0</v>
      </c>
    </row>
    <row r="12553">
      <c r="Y12553" s="372">
        <v>0.0</v>
      </c>
      <c r="Z12553" s="372">
        <v>0.0</v>
      </c>
    </row>
    <row r="12554">
      <c r="Y12554" s="372">
        <v>0.0</v>
      </c>
      <c r="Z12554" s="372">
        <v>0.0</v>
      </c>
    </row>
    <row r="12555">
      <c r="Y12555" s="372">
        <v>0.0</v>
      </c>
      <c r="Z12555" s="372">
        <v>0.0</v>
      </c>
    </row>
    <row r="12556">
      <c r="Y12556" s="372">
        <v>0.0</v>
      </c>
      <c r="Z12556" s="372">
        <v>0.0</v>
      </c>
    </row>
    <row r="12557">
      <c r="Y12557" s="372">
        <v>0.0</v>
      </c>
      <c r="Z12557" s="372">
        <v>0.0</v>
      </c>
    </row>
    <row r="12558">
      <c r="Y12558" s="372">
        <v>0.0</v>
      </c>
      <c r="Z12558" s="372">
        <v>0.0</v>
      </c>
    </row>
    <row r="12559">
      <c r="Y12559" s="372">
        <v>0.0</v>
      </c>
      <c r="Z12559" s="372">
        <v>0.0</v>
      </c>
    </row>
    <row r="12560">
      <c r="Y12560" s="372">
        <v>0.0</v>
      </c>
      <c r="Z12560" s="372">
        <v>0.0</v>
      </c>
    </row>
    <row r="12561">
      <c r="Y12561" s="372">
        <v>0.0</v>
      </c>
      <c r="Z12561" s="372">
        <v>0.0</v>
      </c>
    </row>
    <row r="12562">
      <c r="Y12562" s="372">
        <v>0.0</v>
      </c>
      <c r="Z12562" s="372">
        <v>0.0</v>
      </c>
    </row>
    <row r="12563">
      <c r="Y12563" s="372">
        <v>0.0</v>
      </c>
      <c r="Z12563" s="372">
        <v>0.0</v>
      </c>
    </row>
    <row r="12564">
      <c r="Y12564" s="372">
        <v>0.0</v>
      </c>
      <c r="Z12564" s="372">
        <v>0.0</v>
      </c>
    </row>
    <row r="12565">
      <c r="Y12565" s="372">
        <v>0.0</v>
      </c>
      <c r="Z12565" s="372">
        <v>0.0</v>
      </c>
    </row>
    <row r="12566">
      <c r="Y12566" s="372">
        <v>0.0</v>
      </c>
      <c r="Z12566" s="372">
        <v>0.0</v>
      </c>
    </row>
    <row r="12567">
      <c r="Y12567" s="372">
        <v>0.0</v>
      </c>
      <c r="Z12567" s="372">
        <v>0.0</v>
      </c>
    </row>
    <row r="12568">
      <c r="Y12568" s="372">
        <v>0.0</v>
      </c>
      <c r="Z12568" s="372">
        <v>0.0</v>
      </c>
    </row>
    <row r="12569">
      <c r="Y12569" s="372">
        <v>0.0</v>
      </c>
      <c r="Z12569" s="372">
        <v>0.0</v>
      </c>
    </row>
    <row r="12570">
      <c r="Y12570" s="372">
        <v>0.0</v>
      </c>
      <c r="Z12570" s="372">
        <v>0.0</v>
      </c>
    </row>
    <row r="12571">
      <c r="Y12571" s="372">
        <v>0.0</v>
      </c>
      <c r="Z12571" s="372">
        <v>0.0</v>
      </c>
    </row>
    <row r="12572">
      <c r="Y12572" s="372">
        <v>0.0</v>
      </c>
      <c r="Z12572" s="372">
        <v>0.0</v>
      </c>
    </row>
    <row r="12573">
      <c r="Y12573" s="372">
        <v>0.0</v>
      </c>
      <c r="Z12573" s="372">
        <v>0.0</v>
      </c>
    </row>
    <row r="12574">
      <c r="Y12574" s="372">
        <v>0.0</v>
      </c>
      <c r="Z12574" s="372">
        <v>0.0</v>
      </c>
    </row>
    <row r="12575">
      <c r="Y12575" s="372">
        <v>0.0</v>
      </c>
      <c r="Z12575" s="372">
        <v>0.0</v>
      </c>
    </row>
    <row r="12576">
      <c r="Y12576" s="372">
        <v>0.0</v>
      </c>
      <c r="Z12576" s="372">
        <v>0.0</v>
      </c>
    </row>
    <row r="12577">
      <c r="Y12577" s="372">
        <v>0.0</v>
      </c>
      <c r="Z12577" s="372">
        <v>0.0</v>
      </c>
    </row>
    <row r="12578">
      <c r="Y12578" s="372">
        <v>0.0</v>
      </c>
      <c r="Z12578" s="372">
        <v>0.0</v>
      </c>
    </row>
    <row r="12579">
      <c r="Y12579" s="372">
        <v>0.0</v>
      </c>
      <c r="Z12579" s="372">
        <v>0.0</v>
      </c>
    </row>
    <row r="12580">
      <c r="Y12580" s="372">
        <v>0.0</v>
      </c>
      <c r="Z12580" s="372">
        <v>0.0</v>
      </c>
    </row>
    <row r="12581">
      <c r="Y12581" s="372">
        <v>0.0</v>
      </c>
      <c r="Z12581" s="372">
        <v>0.0</v>
      </c>
    </row>
    <row r="12582">
      <c r="Y12582" s="372">
        <v>0.0</v>
      </c>
      <c r="Z12582" s="372">
        <v>0.0</v>
      </c>
    </row>
    <row r="12583">
      <c r="Y12583" s="372">
        <v>0.0</v>
      </c>
      <c r="Z12583" s="372">
        <v>0.0</v>
      </c>
    </row>
    <row r="12584">
      <c r="Y12584" s="372">
        <v>0.0</v>
      </c>
      <c r="Z12584" s="372">
        <v>0.0</v>
      </c>
    </row>
    <row r="12585">
      <c r="Y12585" s="372">
        <v>0.0</v>
      </c>
      <c r="Z12585" s="372">
        <v>0.0</v>
      </c>
    </row>
    <row r="12586">
      <c r="Y12586" s="372">
        <v>0.0</v>
      </c>
      <c r="Z12586" s="372">
        <v>0.0</v>
      </c>
    </row>
    <row r="12587">
      <c r="Y12587" s="372">
        <v>0.0</v>
      </c>
      <c r="Z12587" s="372">
        <v>0.0</v>
      </c>
    </row>
    <row r="12588">
      <c r="Y12588" s="372">
        <v>0.0</v>
      </c>
      <c r="Z12588" s="372">
        <v>0.0</v>
      </c>
    </row>
    <row r="12589">
      <c r="Y12589" s="372">
        <v>0.0</v>
      </c>
      <c r="Z12589" s="372">
        <v>0.0</v>
      </c>
    </row>
    <row r="12590">
      <c r="Y12590" s="372">
        <v>0.0</v>
      </c>
      <c r="Z12590" s="372">
        <v>0.0</v>
      </c>
    </row>
    <row r="12591">
      <c r="Y12591" s="372">
        <v>0.0</v>
      </c>
      <c r="Z12591" s="372">
        <v>0.0</v>
      </c>
    </row>
    <row r="12592">
      <c r="Y12592" s="372">
        <v>0.0</v>
      </c>
      <c r="Z12592" s="372">
        <v>0.0</v>
      </c>
    </row>
    <row r="12593">
      <c r="Y12593" s="372">
        <v>0.0</v>
      </c>
      <c r="Z12593" s="372">
        <v>0.0</v>
      </c>
    </row>
    <row r="12594">
      <c r="Y12594" s="372">
        <v>0.0</v>
      </c>
      <c r="Z12594" s="372">
        <v>0.0</v>
      </c>
    </row>
    <row r="12595">
      <c r="Y12595" s="372">
        <v>0.0</v>
      </c>
      <c r="Z12595" s="372">
        <v>0.0</v>
      </c>
    </row>
    <row r="12596">
      <c r="Y12596" s="372">
        <v>0.0</v>
      </c>
      <c r="Z12596" s="372">
        <v>0.0</v>
      </c>
    </row>
    <row r="12597">
      <c r="Y12597" s="372">
        <v>0.0</v>
      </c>
      <c r="Z12597" s="372">
        <v>0.0</v>
      </c>
    </row>
    <row r="12598">
      <c r="Y12598" s="372">
        <v>0.0</v>
      </c>
      <c r="Z12598" s="372">
        <v>0.0</v>
      </c>
    </row>
    <row r="12599">
      <c r="Y12599" s="372">
        <v>0.0</v>
      </c>
      <c r="Z12599" s="372">
        <v>0.0</v>
      </c>
    </row>
    <row r="12600">
      <c r="Y12600" s="372">
        <v>0.0</v>
      </c>
      <c r="Z12600" s="372">
        <v>0.0</v>
      </c>
    </row>
    <row r="12601">
      <c r="Y12601" s="372">
        <v>0.0</v>
      </c>
      <c r="Z12601" s="372">
        <v>0.0</v>
      </c>
    </row>
    <row r="12602">
      <c r="Y12602" s="372">
        <v>0.0</v>
      </c>
      <c r="Z12602" s="372">
        <v>0.0</v>
      </c>
    </row>
    <row r="12603">
      <c r="Y12603" s="372">
        <v>0.0</v>
      </c>
      <c r="Z12603" s="372">
        <v>0.0</v>
      </c>
    </row>
    <row r="12604">
      <c r="Y12604" s="372">
        <v>0.0</v>
      </c>
      <c r="Z12604" s="372">
        <v>0.0</v>
      </c>
    </row>
    <row r="12605">
      <c r="Y12605" s="372">
        <v>0.0</v>
      </c>
      <c r="Z12605" s="372">
        <v>0.0</v>
      </c>
    </row>
    <row r="12606">
      <c r="Y12606" s="372">
        <v>0.0</v>
      </c>
      <c r="Z12606" s="372">
        <v>0.0</v>
      </c>
    </row>
    <row r="12607">
      <c r="Y12607" s="372">
        <v>0.0</v>
      </c>
      <c r="Z12607" s="372">
        <v>0.0</v>
      </c>
    </row>
    <row r="12608">
      <c r="Y12608" s="372">
        <v>0.0</v>
      </c>
      <c r="Z12608" s="372">
        <v>0.0</v>
      </c>
    </row>
    <row r="12609">
      <c r="Y12609" s="372">
        <v>0.0</v>
      </c>
      <c r="Z12609" s="372">
        <v>0.0</v>
      </c>
    </row>
    <row r="12610">
      <c r="Y12610" s="372">
        <v>0.0</v>
      </c>
      <c r="Z12610" s="372">
        <v>0.0</v>
      </c>
    </row>
    <row r="12611">
      <c r="Y12611" s="372">
        <v>0.0</v>
      </c>
      <c r="Z12611" s="372">
        <v>0.0</v>
      </c>
    </row>
    <row r="12612">
      <c r="Y12612" s="372">
        <v>0.0</v>
      </c>
      <c r="Z12612" s="372">
        <v>0.0</v>
      </c>
    </row>
    <row r="12613">
      <c r="Y12613" s="372">
        <v>0.0</v>
      </c>
      <c r="Z12613" s="372">
        <v>0.0</v>
      </c>
    </row>
    <row r="12614">
      <c r="Y12614" s="372">
        <v>0.0</v>
      </c>
      <c r="Z12614" s="372">
        <v>0.0</v>
      </c>
    </row>
    <row r="12615">
      <c r="Y12615" s="372">
        <v>0.0</v>
      </c>
      <c r="Z12615" s="372">
        <v>0.0</v>
      </c>
    </row>
    <row r="12616">
      <c r="Y12616" s="372">
        <v>0.0</v>
      </c>
      <c r="Z12616" s="372">
        <v>0.0</v>
      </c>
    </row>
    <row r="12617">
      <c r="Y12617" s="372">
        <v>0.0</v>
      </c>
      <c r="Z12617" s="372">
        <v>0.0</v>
      </c>
    </row>
    <row r="12618">
      <c r="Y12618" s="372">
        <v>0.0</v>
      </c>
      <c r="Z12618" s="372">
        <v>0.0</v>
      </c>
    </row>
    <row r="12619">
      <c r="Y12619" s="372">
        <v>0.0</v>
      </c>
      <c r="Z12619" s="372">
        <v>0.0</v>
      </c>
    </row>
    <row r="12620">
      <c r="Y12620" s="372">
        <v>0.0</v>
      </c>
      <c r="Z12620" s="372">
        <v>0.0</v>
      </c>
    </row>
    <row r="12621">
      <c r="Y12621" s="372">
        <v>0.0</v>
      </c>
      <c r="Z12621" s="372">
        <v>0.0</v>
      </c>
    </row>
    <row r="12622">
      <c r="Y12622" s="372">
        <v>0.0</v>
      </c>
      <c r="Z12622" s="372">
        <v>0.0</v>
      </c>
    </row>
    <row r="12623">
      <c r="Y12623" s="372">
        <v>0.0</v>
      </c>
      <c r="Z12623" s="372">
        <v>0.0</v>
      </c>
    </row>
    <row r="12624">
      <c r="Y12624" s="372">
        <v>0.0</v>
      </c>
      <c r="Z12624" s="372">
        <v>0.0</v>
      </c>
    </row>
    <row r="12625">
      <c r="Y12625" s="372">
        <v>0.0</v>
      </c>
      <c r="Z12625" s="372">
        <v>0.0</v>
      </c>
    </row>
    <row r="12626">
      <c r="Y12626" s="372">
        <v>0.0</v>
      </c>
      <c r="Z12626" s="372">
        <v>0.0</v>
      </c>
    </row>
    <row r="12627">
      <c r="Y12627" s="372">
        <v>0.0</v>
      </c>
      <c r="Z12627" s="372">
        <v>0.0</v>
      </c>
    </row>
    <row r="12628">
      <c r="Y12628" s="372">
        <v>0.0</v>
      </c>
      <c r="Z12628" s="372">
        <v>0.0</v>
      </c>
    </row>
    <row r="12629">
      <c r="Y12629" s="372">
        <v>0.0</v>
      </c>
      <c r="Z12629" s="372">
        <v>0.0</v>
      </c>
    </row>
    <row r="12630">
      <c r="Y12630" s="372">
        <v>0.0</v>
      </c>
      <c r="Z12630" s="372">
        <v>0.0</v>
      </c>
    </row>
    <row r="12631">
      <c r="Y12631" s="372">
        <v>0.0</v>
      </c>
      <c r="Z12631" s="372">
        <v>0.0</v>
      </c>
    </row>
    <row r="12632">
      <c r="Y12632" s="372">
        <v>0.0</v>
      </c>
      <c r="Z12632" s="372">
        <v>0.0</v>
      </c>
    </row>
    <row r="12633">
      <c r="Y12633" s="372">
        <v>0.0</v>
      </c>
      <c r="Z12633" s="372">
        <v>0.0</v>
      </c>
    </row>
    <row r="12634">
      <c r="Y12634" s="372">
        <v>0.0</v>
      </c>
      <c r="Z12634" s="372">
        <v>0.0</v>
      </c>
    </row>
    <row r="12635">
      <c r="Y12635" s="372">
        <v>0.0</v>
      </c>
      <c r="Z12635" s="372">
        <v>0.0</v>
      </c>
    </row>
    <row r="12636">
      <c r="Y12636" s="372">
        <v>0.0</v>
      </c>
      <c r="Z12636" s="372">
        <v>0.0</v>
      </c>
    </row>
    <row r="12637">
      <c r="Y12637" s="372">
        <v>0.0</v>
      </c>
      <c r="Z12637" s="372">
        <v>0.0</v>
      </c>
    </row>
    <row r="12638">
      <c r="Y12638" s="372">
        <v>0.0</v>
      </c>
      <c r="Z12638" s="372">
        <v>0.0</v>
      </c>
    </row>
    <row r="12639">
      <c r="Y12639" s="372">
        <v>0.0</v>
      </c>
      <c r="Z12639" s="372">
        <v>0.0</v>
      </c>
    </row>
    <row r="12640">
      <c r="Y12640" s="372">
        <v>0.0</v>
      </c>
      <c r="Z12640" s="372">
        <v>0.0</v>
      </c>
    </row>
    <row r="12641">
      <c r="Y12641" s="372">
        <v>0.0</v>
      </c>
      <c r="Z12641" s="372">
        <v>0.0</v>
      </c>
    </row>
    <row r="12642">
      <c r="Y12642" s="372">
        <v>0.0</v>
      </c>
      <c r="Z12642" s="372">
        <v>0.0</v>
      </c>
    </row>
    <row r="12643">
      <c r="Y12643" s="372">
        <v>0.0</v>
      </c>
      <c r="Z12643" s="372">
        <v>0.0</v>
      </c>
    </row>
    <row r="12644">
      <c r="Y12644" s="372">
        <v>0.0</v>
      </c>
      <c r="Z12644" s="372">
        <v>0.0</v>
      </c>
    </row>
    <row r="12645">
      <c r="Y12645" s="372">
        <v>0.0</v>
      </c>
      <c r="Z12645" s="372">
        <v>0.0</v>
      </c>
    </row>
    <row r="12646">
      <c r="Y12646" s="372">
        <v>0.0</v>
      </c>
      <c r="Z12646" s="372">
        <v>0.0</v>
      </c>
    </row>
    <row r="12647">
      <c r="Y12647" s="372">
        <v>0.0</v>
      </c>
      <c r="Z12647" s="372">
        <v>0.0</v>
      </c>
    </row>
    <row r="12648">
      <c r="Y12648" s="372">
        <v>0.0</v>
      </c>
      <c r="Z12648" s="372">
        <v>0.0</v>
      </c>
    </row>
    <row r="12649">
      <c r="Y12649" s="372">
        <v>0.0</v>
      </c>
      <c r="Z12649" s="372">
        <v>0.0</v>
      </c>
    </row>
    <row r="12650">
      <c r="Y12650" s="372">
        <v>0.0</v>
      </c>
      <c r="Z12650" s="372">
        <v>0.0</v>
      </c>
    </row>
    <row r="12651">
      <c r="Y12651" s="372">
        <v>0.0</v>
      </c>
      <c r="Z12651" s="372">
        <v>0.0</v>
      </c>
    </row>
    <row r="12652">
      <c r="Y12652" s="372">
        <v>0.0</v>
      </c>
      <c r="Z12652" s="372">
        <v>0.0</v>
      </c>
    </row>
    <row r="12653">
      <c r="Y12653" s="372">
        <v>0.0</v>
      </c>
      <c r="Z12653" s="372">
        <v>0.0</v>
      </c>
    </row>
    <row r="12654">
      <c r="Y12654" s="372">
        <v>0.0</v>
      </c>
      <c r="Z12654" s="372">
        <v>0.0</v>
      </c>
    </row>
    <row r="12655">
      <c r="Y12655" s="372">
        <v>0.0</v>
      </c>
      <c r="Z12655" s="372">
        <v>0.0</v>
      </c>
    </row>
    <row r="12656">
      <c r="Y12656" s="372">
        <v>0.0</v>
      </c>
      <c r="Z12656" s="372">
        <v>0.0</v>
      </c>
    </row>
    <row r="12657">
      <c r="Y12657" s="372">
        <v>0.0</v>
      </c>
      <c r="Z12657" s="372">
        <v>0.0</v>
      </c>
    </row>
    <row r="12658">
      <c r="Y12658" s="372">
        <v>0.0</v>
      </c>
      <c r="Z12658" s="372">
        <v>0.0</v>
      </c>
    </row>
    <row r="12659">
      <c r="Y12659" s="372">
        <v>0.0</v>
      </c>
      <c r="Z12659" s="372">
        <v>0.0</v>
      </c>
    </row>
    <row r="12660">
      <c r="Y12660" s="372">
        <v>0.0</v>
      </c>
      <c r="Z12660" s="372">
        <v>0.0</v>
      </c>
    </row>
    <row r="12661">
      <c r="Y12661" s="372">
        <v>0.0</v>
      </c>
      <c r="Z12661" s="372">
        <v>0.0</v>
      </c>
    </row>
    <row r="12662">
      <c r="Y12662" s="372">
        <v>0.0</v>
      </c>
      <c r="Z12662" s="372">
        <v>0.0</v>
      </c>
    </row>
    <row r="12663">
      <c r="Y12663" s="372">
        <v>0.0</v>
      </c>
      <c r="Z12663" s="372">
        <v>0.0</v>
      </c>
    </row>
    <row r="12664">
      <c r="Y12664" s="372">
        <v>0.0</v>
      </c>
      <c r="Z12664" s="372">
        <v>0.0</v>
      </c>
    </row>
    <row r="12665">
      <c r="Y12665" s="372">
        <v>0.0</v>
      </c>
      <c r="Z12665" s="372">
        <v>0.0</v>
      </c>
    </row>
    <row r="12666">
      <c r="Y12666" s="372">
        <v>0.0</v>
      </c>
      <c r="Z12666" s="372">
        <v>0.0</v>
      </c>
    </row>
    <row r="12667">
      <c r="Y12667" s="372">
        <v>0.0</v>
      </c>
      <c r="Z12667" s="372">
        <v>0.0</v>
      </c>
    </row>
    <row r="12668">
      <c r="Y12668" s="372">
        <v>0.0</v>
      </c>
      <c r="Z12668" s="372">
        <v>0.0</v>
      </c>
    </row>
    <row r="12669">
      <c r="Y12669" s="372">
        <v>0.0</v>
      </c>
      <c r="Z12669" s="372">
        <v>0.0</v>
      </c>
    </row>
    <row r="12670">
      <c r="Y12670" s="372">
        <v>0.0</v>
      </c>
      <c r="Z12670" s="372">
        <v>0.0</v>
      </c>
    </row>
    <row r="12671">
      <c r="Y12671" s="372">
        <v>0.0</v>
      </c>
      <c r="Z12671" s="372">
        <v>0.0</v>
      </c>
    </row>
    <row r="12672">
      <c r="Y12672" s="372">
        <v>0.0</v>
      </c>
      <c r="Z12672" s="372">
        <v>0.0</v>
      </c>
    </row>
    <row r="12673">
      <c r="Y12673" s="372">
        <v>0.0</v>
      </c>
      <c r="Z12673" s="372">
        <v>0.0</v>
      </c>
    </row>
    <row r="12674">
      <c r="Y12674" s="372">
        <v>0.0</v>
      </c>
      <c r="Z12674" s="372">
        <v>0.0</v>
      </c>
    </row>
    <row r="12675">
      <c r="Y12675" s="372">
        <v>0.0</v>
      </c>
      <c r="Z12675" s="372">
        <v>0.0</v>
      </c>
    </row>
    <row r="12676">
      <c r="Y12676" s="372">
        <v>0.0</v>
      </c>
      <c r="Z12676" s="372">
        <v>0.0</v>
      </c>
    </row>
    <row r="12677">
      <c r="Y12677" s="372">
        <v>0.0</v>
      </c>
      <c r="Z12677" s="372">
        <v>0.0</v>
      </c>
    </row>
    <row r="12678">
      <c r="Y12678" s="372">
        <v>0.0</v>
      </c>
      <c r="Z12678" s="372">
        <v>0.0</v>
      </c>
    </row>
    <row r="12679">
      <c r="Y12679" s="372">
        <v>0.0</v>
      </c>
      <c r="Z12679" s="372">
        <v>0.0</v>
      </c>
    </row>
    <row r="12680">
      <c r="Y12680" s="372">
        <v>0.0</v>
      </c>
      <c r="Z12680" s="372">
        <v>0.0</v>
      </c>
    </row>
    <row r="12681">
      <c r="Y12681" s="372">
        <v>0.0</v>
      </c>
      <c r="Z12681" s="372">
        <v>0.0</v>
      </c>
    </row>
    <row r="12682">
      <c r="Y12682" s="372">
        <v>0.0</v>
      </c>
      <c r="Z12682" s="372">
        <v>0.0</v>
      </c>
    </row>
    <row r="12683">
      <c r="Y12683" s="372">
        <v>0.0</v>
      </c>
      <c r="Z12683" s="372">
        <v>0.0</v>
      </c>
    </row>
    <row r="12684">
      <c r="Y12684" s="372">
        <v>0.0</v>
      </c>
      <c r="Z12684" s="372">
        <v>0.0</v>
      </c>
    </row>
    <row r="12685">
      <c r="Y12685" s="372">
        <v>0.0</v>
      </c>
      <c r="Z12685" s="372">
        <v>0.0</v>
      </c>
    </row>
    <row r="12686">
      <c r="Y12686" s="372">
        <v>0.0</v>
      </c>
      <c r="Z12686" s="372">
        <v>0.0</v>
      </c>
    </row>
    <row r="12687">
      <c r="Y12687" s="372">
        <v>0.0</v>
      </c>
      <c r="Z12687" s="372">
        <v>0.0</v>
      </c>
    </row>
    <row r="12688">
      <c r="Y12688" s="372">
        <v>0.0</v>
      </c>
      <c r="Z12688" s="372">
        <v>0.0</v>
      </c>
    </row>
    <row r="12689">
      <c r="Y12689" s="372">
        <v>0.0</v>
      </c>
      <c r="Z12689" s="372">
        <v>0.0</v>
      </c>
    </row>
    <row r="12690">
      <c r="Y12690" s="372">
        <v>0.0</v>
      </c>
      <c r="Z12690" s="372">
        <v>0.0</v>
      </c>
    </row>
    <row r="12691">
      <c r="Y12691" s="372">
        <v>0.0</v>
      </c>
      <c r="Z12691" s="372">
        <v>0.0</v>
      </c>
    </row>
    <row r="12692">
      <c r="Y12692" s="372">
        <v>0.0</v>
      </c>
      <c r="Z12692" s="372">
        <v>0.0</v>
      </c>
    </row>
    <row r="12693">
      <c r="Y12693" s="372">
        <v>0.0</v>
      </c>
      <c r="Z12693" s="372">
        <v>0.0</v>
      </c>
    </row>
    <row r="12694">
      <c r="Y12694" s="372">
        <v>0.0</v>
      </c>
      <c r="Z12694" s="372">
        <v>0.0</v>
      </c>
    </row>
    <row r="12695">
      <c r="Y12695" s="372">
        <v>0.0</v>
      </c>
      <c r="Z12695" s="372">
        <v>0.0</v>
      </c>
    </row>
    <row r="12696">
      <c r="Y12696" s="372">
        <v>0.0</v>
      </c>
      <c r="Z12696" s="372">
        <v>0.0</v>
      </c>
    </row>
    <row r="12697">
      <c r="Y12697" s="372">
        <v>0.0</v>
      </c>
      <c r="Z12697" s="372">
        <v>0.0</v>
      </c>
    </row>
    <row r="12698">
      <c r="Y12698" s="372">
        <v>0.0</v>
      </c>
      <c r="Z12698" s="372">
        <v>0.0</v>
      </c>
    </row>
    <row r="12699">
      <c r="Y12699" s="372">
        <v>0.0</v>
      </c>
      <c r="Z12699" s="372">
        <v>0.0</v>
      </c>
    </row>
    <row r="12700">
      <c r="Y12700" s="372">
        <v>0.0</v>
      </c>
      <c r="Z12700" s="372">
        <v>0.0</v>
      </c>
    </row>
    <row r="12701">
      <c r="Y12701" s="372">
        <v>0.0</v>
      </c>
      <c r="Z12701" s="372">
        <v>0.0</v>
      </c>
    </row>
    <row r="12702">
      <c r="Y12702" s="372">
        <v>0.0</v>
      </c>
      <c r="Z12702" s="372">
        <v>0.0</v>
      </c>
    </row>
    <row r="12703">
      <c r="Y12703" s="372">
        <v>0.0</v>
      </c>
      <c r="Z12703" s="372">
        <v>0.0</v>
      </c>
    </row>
    <row r="12704">
      <c r="Y12704" s="372">
        <v>0.0</v>
      </c>
      <c r="Z12704" s="372">
        <v>0.0</v>
      </c>
    </row>
    <row r="12705">
      <c r="Y12705" s="372">
        <v>0.0</v>
      </c>
      <c r="Z12705" s="372">
        <v>0.0</v>
      </c>
    </row>
    <row r="12706">
      <c r="Y12706" s="372">
        <v>0.0</v>
      </c>
      <c r="Z12706" s="372">
        <v>0.0</v>
      </c>
    </row>
    <row r="12707">
      <c r="Y12707" s="372">
        <v>0.0</v>
      </c>
      <c r="Z12707" s="372">
        <v>0.0</v>
      </c>
    </row>
    <row r="12708">
      <c r="Y12708" s="372">
        <v>0.0</v>
      </c>
      <c r="Z12708" s="372">
        <v>0.0</v>
      </c>
    </row>
    <row r="12709">
      <c r="Y12709" s="372">
        <v>0.0</v>
      </c>
      <c r="Z12709" s="372">
        <v>0.0</v>
      </c>
    </row>
    <row r="12710">
      <c r="Y12710" s="372">
        <v>0.0</v>
      </c>
      <c r="Z12710" s="372">
        <v>0.0</v>
      </c>
    </row>
    <row r="12711">
      <c r="Y12711" s="372">
        <v>0.0</v>
      </c>
      <c r="Z12711" s="372">
        <v>0.0</v>
      </c>
    </row>
    <row r="12712">
      <c r="Y12712" s="372">
        <v>0.0</v>
      </c>
      <c r="Z12712" s="372">
        <v>0.0</v>
      </c>
    </row>
    <row r="12713">
      <c r="Y12713" s="372">
        <v>0.0</v>
      </c>
      <c r="Z12713" s="372">
        <v>0.0</v>
      </c>
    </row>
    <row r="12714">
      <c r="Y12714" s="372">
        <v>0.0</v>
      </c>
      <c r="Z12714" s="372">
        <v>0.0</v>
      </c>
    </row>
    <row r="12715">
      <c r="Y12715" s="372">
        <v>0.0</v>
      </c>
      <c r="Z12715" s="372">
        <v>0.0</v>
      </c>
    </row>
    <row r="12716">
      <c r="Y12716" s="372">
        <v>0.0</v>
      </c>
      <c r="Z12716" s="372">
        <v>0.0</v>
      </c>
    </row>
    <row r="12717">
      <c r="Y12717" s="372">
        <v>0.0</v>
      </c>
      <c r="Z12717" s="372">
        <v>0.0</v>
      </c>
    </row>
    <row r="12718">
      <c r="Y12718" s="372">
        <v>0.0</v>
      </c>
      <c r="Z12718" s="372">
        <v>0.0</v>
      </c>
    </row>
    <row r="12719">
      <c r="Y12719" s="372">
        <v>0.0</v>
      </c>
      <c r="Z12719" s="372">
        <v>0.0</v>
      </c>
    </row>
    <row r="12720">
      <c r="Y12720" s="372">
        <v>0.0</v>
      </c>
      <c r="Z12720" s="372">
        <v>0.0</v>
      </c>
    </row>
    <row r="12721">
      <c r="Y12721" s="372">
        <v>0.0</v>
      </c>
      <c r="Z12721" s="372">
        <v>0.0</v>
      </c>
    </row>
    <row r="12722">
      <c r="Y12722" s="372">
        <v>0.0</v>
      </c>
      <c r="Z12722" s="372">
        <v>0.0</v>
      </c>
    </row>
    <row r="12723">
      <c r="Y12723" s="372">
        <v>0.0</v>
      </c>
      <c r="Z12723" s="372">
        <v>0.0</v>
      </c>
    </row>
    <row r="12724">
      <c r="Y12724" s="372">
        <v>0.0</v>
      </c>
      <c r="Z12724" s="372">
        <v>0.0</v>
      </c>
    </row>
    <row r="12725">
      <c r="Y12725" s="372">
        <v>0.0</v>
      </c>
      <c r="Z12725" s="372">
        <v>0.0</v>
      </c>
    </row>
    <row r="12726">
      <c r="Y12726" s="372">
        <v>0.0</v>
      </c>
      <c r="Z12726" s="372">
        <v>0.0</v>
      </c>
    </row>
    <row r="12727">
      <c r="Y12727" s="372">
        <v>0.0</v>
      </c>
      <c r="Z12727" s="372">
        <v>0.0</v>
      </c>
    </row>
    <row r="12728">
      <c r="Y12728" s="372">
        <v>0.0</v>
      </c>
      <c r="Z12728" s="372">
        <v>0.0</v>
      </c>
    </row>
    <row r="12729">
      <c r="Y12729" s="372">
        <v>0.0</v>
      </c>
      <c r="Z12729" s="372">
        <v>0.0</v>
      </c>
    </row>
    <row r="12730">
      <c r="Y12730" s="372">
        <v>0.0</v>
      </c>
      <c r="Z12730" s="372">
        <v>0.0</v>
      </c>
    </row>
    <row r="12731">
      <c r="Y12731" s="372">
        <v>0.0</v>
      </c>
      <c r="Z12731" s="372">
        <v>0.0</v>
      </c>
    </row>
    <row r="12732">
      <c r="Y12732" s="372">
        <v>0.0</v>
      </c>
      <c r="Z12732" s="372">
        <v>0.0</v>
      </c>
    </row>
    <row r="12733">
      <c r="Y12733" s="372">
        <v>0.0</v>
      </c>
      <c r="Z12733" s="372">
        <v>0.0</v>
      </c>
    </row>
    <row r="12734">
      <c r="Y12734" s="372">
        <v>0.0</v>
      </c>
      <c r="Z12734" s="372">
        <v>0.0</v>
      </c>
    </row>
    <row r="12735">
      <c r="Y12735" s="372">
        <v>0.0</v>
      </c>
      <c r="Z12735" s="372">
        <v>0.0</v>
      </c>
    </row>
    <row r="12736">
      <c r="Y12736" s="372">
        <v>0.0</v>
      </c>
      <c r="Z12736" s="372">
        <v>0.0</v>
      </c>
    </row>
    <row r="12737">
      <c r="Y12737" s="372">
        <v>0.0</v>
      </c>
      <c r="Z12737" s="372">
        <v>0.0</v>
      </c>
    </row>
    <row r="12738">
      <c r="Y12738" s="372">
        <v>0.0</v>
      </c>
      <c r="Z12738" s="372">
        <v>0.0</v>
      </c>
    </row>
    <row r="12739">
      <c r="Y12739" s="372">
        <v>0.0</v>
      </c>
      <c r="Z12739" s="372">
        <v>0.0</v>
      </c>
    </row>
    <row r="12740">
      <c r="Y12740" s="372">
        <v>0.0</v>
      </c>
      <c r="Z12740" s="372">
        <v>0.0</v>
      </c>
    </row>
    <row r="12741">
      <c r="Y12741" s="372">
        <v>0.0</v>
      </c>
      <c r="Z12741" s="372">
        <v>0.0</v>
      </c>
    </row>
    <row r="12742">
      <c r="Y12742" s="372">
        <v>0.0</v>
      </c>
      <c r="Z12742" s="372">
        <v>0.0</v>
      </c>
    </row>
    <row r="12743">
      <c r="Y12743" s="372">
        <v>0.0</v>
      </c>
      <c r="Z12743" s="372">
        <v>0.0</v>
      </c>
    </row>
    <row r="12744">
      <c r="Y12744" s="372">
        <v>0.0</v>
      </c>
      <c r="Z12744" s="372">
        <v>0.0</v>
      </c>
    </row>
    <row r="12745">
      <c r="Y12745" s="372">
        <v>0.0</v>
      </c>
      <c r="Z12745" s="372">
        <v>0.0</v>
      </c>
    </row>
    <row r="12746">
      <c r="Y12746" s="372">
        <v>0.0</v>
      </c>
      <c r="Z12746" s="372">
        <v>0.0</v>
      </c>
    </row>
    <row r="12747">
      <c r="Y12747" s="372">
        <v>0.0</v>
      </c>
      <c r="Z12747" s="372">
        <v>0.0</v>
      </c>
    </row>
    <row r="12748">
      <c r="Y12748" s="372">
        <v>0.0</v>
      </c>
      <c r="Z12748" s="372">
        <v>0.0</v>
      </c>
    </row>
    <row r="12749">
      <c r="Y12749" s="372">
        <v>0.0</v>
      </c>
      <c r="Z12749" s="372">
        <v>0.0</v>
      </c>
    </row>
    <row r="12750">
      <c r="Y12750" s="372">
        <v>0.0</v>
      </c>
      <c r="Z12750" s="372">
        <v>0.0</v>
      </c>
    </row>
    <row r="12751">
      <c r="Y12751" s="372">
        <v>0.0</v>
      </c>
      <c r="Z12751" s="372">
        <v>0.0</v>
      </c>
    </row>
    <row r="12752">
      <c r="Y12752" s="372">
        <v>0.0</v>
      </c>
      <c r="Z12752" s="372">
        <v>0.0</v>
      </c>
    </row>
    <row r="12753">
      <c r="Y12753" s="372">
        <v>0.0</v>
      </c>
      <c r="Z12753" s="372">
        <v>0.0</v>
      </c>
    </row>
    <row r="12754">
      <c r="Y12754" s="372">
        <v>0.0</v>
      </c>
      <c r="Z12754" s="372">
        <v>0.0</v>
      </c>
    </row>
    <row r="12755">
      <c r="Y12755" s="372">
        <v>0.0</v>
      </c>
      <c r="Z12755" s="372">
        <v>0.0</v>
      </c>
    </row>
    <row r="12756">
      <c r="Y12756" s="372">
        <v>0.0</v>
      </c>
      <c r="Z12756" s="372">
        <v>0.0</v>
      </c>
    </row>
    <row r="12757">
      <c r="Y12757" s="372">
        <v>0.0</v>
      </c>
      <c r="Z12757" s="372">
        <v>0.0</v>
      </c>
    </row>
    <row r="12758">
      <c r="Y12758" s="372">
        <v>0.0</v>
      </c>
      <c r="Z12758" s="372">
        <v>0.0</v>
      </c>
    </row>
    <row r="12759">
      <c r="Y12759" s="372">
        <v>0.0</v>
      </c>
      <c r="Z12759" s="372">
        <v>0.0</v>
      </c>
    </row>
    <row r="12760">
      <c r="Y12760" s="372">
        <v>0.0</v>
      </c>
      <c r="Z12760" s="372">
        <v>0.0</v>
      </c>
    </row>
    <row r="12761">
      <c r="Y12761" s="372">
        <v>0.0</v>
      </c>
      <c r="Z12761" s="372">
        <v>0.0</v>
      </c>
    </row>
    <row r="12762">
      <c r="Y12762" s="372">
        <v>0.0</v>
      </c>
      <c r="Z12762" s="372">
        <v>0.0</v>
      </c>
    </row>
    <row r="12763">
      <c r="Y12763" s="372">
        <v>0.0</v>
      </c>
      <c r="Z12763" s="372">
        <v>0.0</v>
      </c>
    </row>
    <row r="12764">
      <c r="Y12764" s="372">
        <v>0.0</v>
      </c>
      <c r="Z12764" s="372">
        <v>0.0</v>
      </c>
    </row>
    <row r="12765">
      <c r="Y12765" s="372">
        <v>0.0</v>
      </c>
      <c r="Z12765" s="372">
        <v>0.0</v>
      </c>
    </row>
    <row r="12766">
      <c r="Y12766" s="372">
        <v>0.0</v>
      </c>
      <c r="Z12766" s="372">
        <v>0.0</v>
      </c>
    </row>
    <row r="12767">
      <c r="Y12767" s="372">
        <v>0.0</v>
      </c>
      <c r="Z12767" s="372">
        <v>0.0</v>
      </c>
    </row>
    <row r="12768">
      <c r="Y12768" s="372">
        <v>0.0</v>
      </c>
      <c r="Z12768" s="372">
        <v>0.0</v>
      </c>
    </row>
    <row r="12769">
      <c r="Y12769" s="372">
        <v>0.0</v>
      </c>
      <c r="Z12769" s="372">
        <v>0.0</v>
      </c>
    </row>
    <row r="12770">
      <c r="Y12770" s="372">
        <v>0.0</v>
      </c>
      <c r="Z12770" s="372">
        <v>0.0</v>
      </c>
    </row>
    <row r="12771">
      <c r="Y12771" s="372">
        <v>0.0</v>
      </c>
      <c r="Z12771" s="372">
        <v>0.0</v>
      </c>
    </row>
    <row r="12772">
      <c r="Y12772" s="372">
        <v>0.0</v>
      </c>
      <c r="Z12772" s="372">
        <v>0.0</v>
      </c>
    </row>
    <row r="12773">
      <c r="Y12773" s="372">
        <v>0.0</v>
      </c>
      <c r="Z12773" s="372">
        <v>0.0</v>
      </c>
    </row>
    <row r="12774">
      <c r="Y12774" s="372">
        <v>0.0</v>
      </c>
      <c r="Z12774" s="372">
        <v>0.0</v>
      </c>
    </row>
    <row r="12775">
      <c r="Y12775" s="372">
        <v>0.0</v>
      </c>
      <c r="Z12775" s="372">
        <v>0.0</v>
      </c>
    </row>
    <row r="12776">
      <c r="Y12776" s="372">
        <v>0.0</v>
      </c>
      <c r="Z12776" s="372">
        <v>0.0</v>
      </c>
    </row>
    <row r="12777">
      <c r="Y12777" s="372">
        <v>0.0</v>
      </c>
      <c r="Z12777" s="372">
        <v>0.0</v>
      </c>
    </row>
    <row r="12778">
      <c r="Y12778" s="372">
        <v>0.0</v>
      </c>
      <c r="Z12778" s="372">
        <v>0.0</v>
      </c>
    </row>
    <row r="12779">
      <c r="Y12779" s="372">
        <v>0.0</v>
      </c>
      <c r="Z12779" s="372">
        <v>0.0</v>
      </c>
    </row>
    <row r="12780">
      <c r="Y12780" s="372">
        <v>0.0</v>
      </c>
      <c r="Z12780" s="372">
        <v>0.0</v>
      </c>
    </row>
    <row r="12781">
      <c r="Y12781" s="372">
        <v>0.0</v>
      </c>
      <c r="Z12781" s="372">
        <v>0.0</v>
      </c>
    </row>
    <row r="12782">
      <c r="Y12782" s="372">
        <v>0.0</v>
      </c>
      <c r="Z12782" s="372">
        <v>0.0</v>
      </c>
    </row>
    <row r="12783">
      <c r="Y12783" s="372">
        <v>0.0</v>
      </c>
      <c r="Z12783" s="372">
        <v>0.0</v>
      </c>
    </row>
    <row r="12784">
      <c r="Y12784" s="372">
        <v>0.0</v>
      </c>
      <c r="Z12784" s="372">
        <v>0.0</v>
      </c>
    </row>
    <row r="12785">
      <c r="Y12785" s="372">
        <v>0.0</v>
      </c>
      <c r="Z12785" s="372">
        <v>0.0</v>
      </c>
    </row>
    <row r="12786">
      <c r="Y12786" s="372">
        <v>0.0</v>
      </c>
      <c r="Z12786" s="372">
        <v>0.0</v>
      </c>
    </row>
    <row r="12787">
      <c r="Y12787" s="372">
        <v>0.0</v>
      </c>
      <c r="Z12787" s="372">
        <v>0.0</v>
      </c>
    </row>
    <row r="12788">
      <c r="Y12788" s="372">
        <v>0.0</v>
      </c>
      <c r="Z12788" s="372">
        <v>0.0</v>
      </c>
    </row>
    <row r="12789">
      <c r="Y12789" s="372">
        <v>0.0</v>
      </c>
      <c r="Z12789" s="372">
        <v>0.0</v>
      </c>
    </row>
    <row r="12790">
      <c r="Y12790" s="372">
        <v>0.0</v>
      </c>
      <c r="Z12790" s="372">
        <v>0.0</v>
      </c>
    </row>
    <row r="12791">
      <c r="Y12791" s="372">
        <v>0.0</v>
      </c>
      <c r="Z12791" s="372">
        <v>0.0</v>
      </c>
    </row>
    <row r="12792">
      <c r="Y12792" s="372">
        <v>0.0</v>
      </c>
      <c r="Z12792" s="372">
        <v>0.0</v>
      </c>
    </row>
    <row r="12793">
      <c r="Y12793" s="372">
        <v>0.0</v>
      </c>
      <c r="Z12793" s="372">
        <v>0.0</v>
      </c>
    </row>
    <row r="12794">
      <c r="Y12794" s="372">
        <v>0.0</v>
      </c>
      <c r="Z12794" s="372">
        <v>0.0</v>
      </c>
    </row>
    <row r="12795">
      <c r="Y12795" s="372">
        <v>0.0</v>
      </c>
      <c r="Z12795" s="372">
        <v>0.0</v>
      </c>
    </row>
    <row r="12796">
      <c r="Y12796" s="372">
        <v>0.0</v>
      </c>
      <c r="Z12796" s="372">
        <v>0.0</v>
      </c>
    </row>
    <row r="12797">
      <c r="Y12797" s="372">
        <v>0.0</v>
      </c>
      <c r="Z12797" s="372">
        <v>0.0</v>
      </c>
    </row>
    <row r="12798">
      <c r="Y12798" s="372">
        <v>0.0</v>
      </c>
      <c r="Z12798" s="372">
        <v>0.0</v>
      </c>
    </row>
    <row r="12799">
      <c r="Y12799" s="372">
        <v>0.0</v>
      </c>
      <c r="Z12799" s="372">
        <v>0.0</v>
      </c>
    </row>
    <row r="12800">
      <c r="Y12800" s="372">
        <v>0.0</v>
      </c>
      <c r="Z12800" s="372">
        <v>0.0</v>
      </c>
    </row>
    <row r="12801">
      <c r="Y12801" s="372">
        <v>0.0</v>
      </c>
      <c r="Z12801" s="372">
        <v>0.0</v>
      </c>
    </row>
    <row r="12802">
      <c r="Y12802" s="372">
        <v>0.0</v>
      </c>
      <c r="Z12802" s="372">
        <v>0.0</v>
      </c>
    </row>
    <row r="12803">
      <c r="Y12803" s="372">
        <v>0.0</v>
      </c>
      <c r="Z12803" s="372">
        <v>0.0</v>
      </c>
    </row>
    <row r="12804">
      <c r="Y12804" s="372">
        <v>0.0</v>
      </c>
      <c r="Z12804" s="372">
        <v>0.0</v>
      </c>
    </row>
    <row r="12805">
      <c r="Y12805" s="372">
        <v>0.0</v>
      </c>
      <c r="Z12805" s="372">
        <v>0.0</v>
      </c>
    </row>
    <row r="12806">
      <c r="Y12806" s="372">
        <v>0.0</v>
      </c>
      <c r="Z12806" s="372">
        <v>0.0</v>
      </c>
    </row>
    <row r="12807">
      <c r="Y12807" s="372">
        <v>0.0</v>
      </c>
      <c r="Z12807" s="372">
        <v>0.0</v>
      </c>
    </row>
    <row r="12808">
      <c r="Y12808" s="372">
        <v>0.0</v>
      </c>
      <c r="Z12808" s="372">
        <v>0.0</v>
      </c>
    </row>
    <row r="12809">
      <c r="Y12809" s="372">
        <v>0.0</v>
      </c>
      <c r="Z12809" s="372">
        <v>0.0</v>
      </c>
    </row>
    <row r="12810">
      <c r="Y12810" s="372">
        <v>0.0</v>
      </c>
      <c r="Z12810" s="372">
        <v>0.0</v>
      </c>
    </row>
    <row r="12811">
      <c r="Y12811" s="372">
        <v>0.0</v>
      </c>
      <c r="Z12811" s="372">
        <v>0.0</v>
      </c>
    </row>
    <row r="12812">
      <c r="Y12812" s="372">
        <v>0.0</v>
      </c>
      <c r="Z12812" s="372">
        <v>0.0</v>
      </c>
    </row>
    <row r="12813">
      <c r="Y12813" s="372">
        <v>0.0</v>
      </c>
      <c r="Z12813" s="372">
        <v>0.0</v>
      </c>
    </row>
    <row r="12814">
      <c r="Y12814" s="372">
        <v>0.0</v>
      </c>
      <c r="Z12814" s="372">
        <v>0.0</v>
      </c>
    </row>
    <row r="12815">
      <c r="Y12815" s="372">
        <v>0.0</v>
      </c>
      <c r="Z12815" s="372">
        <v>0.0</v>
      </c>
    </row>
    <row r="12816">
      <c r="Y12816" s="372">
        <v>0.0</v>
      </c>
      <c r="Z12816" s="372">
        <v>0.0</v>
      </c>
    </row>
    <row r="12817">
      <c r="Y12817" s="372">
        <v>0.0</v>
      </c>
      <c r="Z12817" s="372">
        <v>0.0</v>
      </c>
    </row>
    <row r="12818">
      <c r="Y12818" s="372">
        <v>0.0</v>
      </c>
      <c r="Z12818" s="372">
        <v>0.0</v>
      </c>
    </row>
    <row r="12819">
      <c r="Y12819" s="372">
        <v>0.0</v>
      </c>
      <c r="Z12819" s="372">
        <v>0.0</v>
      </c>
    </row>
    <row r="12820">
      <c r="Y12820" s="372">
        <v>0.0</v>
      </c>
      <c r="Z12820" s="372">
        <v>0.0</v>
      </c>
    </row>
    <row r="12821">
      <c r="Y12821" s="372">
        <v>0.0</v>
      </c>
      <c r="Z12821" s="372">
        <v>0.0</v>
      </c>
    </row>
    <row r="12822">
      <c r="Y12822" s="372">
        <v>0.0</v>
      </c>
      <c r="Z12822" s="372">
        <v>0.0</v>
      </c>
    </row>
    <row r="12823">
      <c r="Y12823" s="372">
        <v>0.0</v>
      </c>
      <c r="Z12823" s="372">
        <v>0.0</v>
      </c>
    </row>
    <row r="12824">
      <c r="Y12824" s="372">
        <v>0.0</v>
      </c>
      <c r="Z12824" s="372">
        <v>0.0</v>
      </c>
    </row>
    <row r="12825">
      <c r="Y12825" s="372">
        <v>0.0</v>
      </c>
      <c r="Z12825" s="372">
        <v>0.0</v>
      </c>
    </row>
    <row r="12826">
      <c r="Y12826" s="372">
        <v>0.0</v>
      </c>
      <c r="Z12826" s="372">
        <v>0.0</v>
      </c>
    </row>
    <row r="12827">
      <c r="Y12827" s="372">
        <v>0.0</v>
      </c>
      <c r="Z12827" s="372">
        <v>0.0</v>
      </c>
    </row>
    <row r="12828">
      <c r="Y12828" s="372">
        <v>0.0</v>
      </c>
      <c r="Z12828" s="372">
        <v>0.0</v>
      </c>
    </row>
    <row r="12829">
      <c r="Y12829" s="372">
        <v>0.0</v>
      </c>
      <c r="Z12829" s="372">
        <v>0.0</v>
      </c>
    </row>
    <row r="12830">
      <c r="Y12830" s="372">
        <v>0.0</v>
      </c>
      <c r="Z12830" s="372">
        <v>0.0</v>
      </c>
    </row>
    <row r="12831">
      <c r="Y12831" s="372">
        <v>0.0</v>
      </c>
      <c r="Z12831" s="372">
        <v>0.0</v>
      </c>
    </row>
    <row r="12832">
      <c r="Y12832" s="372">
        <v>0.0</v>
      </c>
      <c r="Z12832" s="372">
        <v>0.0</v>
      </c>
    </row>
    <row r="12833">
      <c r="Y12833" s="372">
        <v>0.0</v>
      </c>
      <c r="Z12833" s="372">
        <v>0.0</v>
      </c>
    </row>
    <row r="12834">
      <c r="Y12834" s="372">
        <v>0.0</v>
      </c>
      <c r="Z12834" s="372">
        <v>0.0</v>
      </c>
    </row>
    <row r="12835">
      <c r="Y12835" s="372">
        <v>0.0</v>
      </c>
      <c r="Z12835" s="372">
        <v>0.0</v>
      </c>
    </row>
    <row r="12836">
      <c r="Y12836" s="372">
        <v>0.0</v>
      </c>
      <c r="Z12836" s="372">
        <v>0.0</v>
      </c>
    </row>
    <row r="12837">
      <c r="Y12837" s="372">
        <v>0.0</v>
      </c>
      <c r="Z12837" s="372">
        <v>0.0</v>
      </c>
    </row>
    <row r="12838">
      <c r="Y12838" s="372">
        <v>0.0</v>
      </c>
      <c r="Z12838" s="372">
        <v>0.0</v>
      </c>
    </row>
    <row r="12839">
      <c r="Y12839" s="372">
        <v>0.0</v>
      </c>
      <c r="Z12839" s="372">
        <v>0.0</v>
      </c>
    </row>
    <row r="12840">
      <c r="Y12840" s="372">
        <v>0.0</v>
      </c>
      <c r="Z12840" s="372">
        <v>0.0</v>
      </c>
    </row>
    <row r="12841">
      <c r="Y12841" s="372">
        <v>0.0</v>
      </c>
      <c r="Z12841" s="372">
        <v>0.0</v>
      </c>
    </row>
    <row r="12842">
      <c r="Y12842" s="372">
        <v>0.0</v>
      </c>
      <c r="Z12842" s="372">
        <v>0.0</v>
      </c>
    </row>
    <row r="12843">
      <c r="Y12843" s="372">
        <v>0.0</v>
      </c>
      <c r="Z12843" s="372">
        <v>0.0</v>
      </c>
    </row>
    <row r="12844">
      <c r="Y12844" s="372">
        <v>0.0</v>
      </c>
      <c r="Z12844" s="372">
        <v>0.0</v>
      </c>
    </row>
    <row r="12845">
      <c r="Y12845" s="372">
        <v>0.0</v>
      </c>
      <c r="Z12845" s="372">
        <v>0.0</v>
      </c>
    </row>
    <row r="12846">
      <c r="Y12846" s="372">
        <v>0.0</v>
      </c>
      <c r="Z12846" s="372">
        <v>0.0</v>
      </c>
    </row>
    <row r="12847">
      <c r="Y12847" s="372">
        <v>0.0</v>
      </c>
      <c r="Z12847" s="372">
        <v>0.0</v>
      </c>
    </row>
    <row r="12848">
      <c r="Y12848" s="372">
        <v>0.0</v>
      </c>
      <c r="Z12848" s="372">
        <v>0.0</v>
      </c>
    </row>
    <row r="12849">
      <c r="Y12849" s="372">
        <v>0.0</v>
      </c>
      <c r="Z12849" s="372">
        <v>0.0</v>
      </c>
    </row>
    <row r="12850">
      <c r="Y12850" s="372">
        <v>0.0</v>
      </c>
      <c r="Z12850" s="372">
        <v>0.0</v>
      </c>
    </row>
    <row r="12851">
      <c r="Y12851" s="372">
        <v>0.0</v>
      </c>
      <c r="Z12851" s="372">
        <v>0.0</v>
      </c>
    </row>
    <row r="12852">
      <c r="Y12852" s="372">
        <v>0.0</v>
      </c>
      <c r="Z12852" s="372">
        <v>0.0</v>
      </c>
    </row>
    <row r="12853">
      <c r="Y12853" s="372">
        <v>0.0</v>
      </c>
      <c r="Z12853" s="372">
        <v>0.0</v>
      </c>
    </row>
    <row r="12854">
      <c r="Y12854" s="372">
        <v>0.0</v>
      </c>
      <c r="Z12854" s="372">
        <v>0.0</v>
      </c>
    </row>
    <row r="12855">
      <c r="Y12855" s="372">
        <v>0.0</v>
      </c>
      <c r="Z12855" s="372">
        <v>0.0</v>
      </c>
    </row>
    <row r="12856">
      <c r="Y12856" s="372">
        <v>0.0</v>
      </c>
      <c r="Z12856" s="372">
        <v>0.0</v>
      </c>
    </row>
    <row r="12857">
      <c r="Y12857" s="372">
        <v>0.0</v>
      </c>
      <c r="Z12857" s="372">
        <v>0.0</v>
      </c>
    </row>
    <row r="12858">
      <c r="Y12858" s="372">
        <v>0.0</v>
      </c>
      <c r="Z12858" s="372">
        <v>0.0</v>
      </c>
    </row>
    <row r="12859">
      <c r="Y12859" s="372">
        <v>0.0</v>
      </c>
      <c r="Z12859" s="372">
        <v>0.0</v>
      </c>
    </row>
    <row r="12860">
      <c r="Y12860" s="372">
        <v>0.0</v>
      </c>
      <c r="Z12860" s="372">
        <v>0.0</v>
      </c>
    </row>
    <row r="12861">
      <c r="Y12861" s="372">
        <v>0.0</v>
      </c>
      <c r="Z12861" s="372">
        <v>0.0</v>
      </c>
    </row>
    <row r="12862">
      <c r="Y12862" s="372">
        <v>0.0</v>
      </c>
      <c r="Z12862" s="372">
        <v>0.0</v>
      </c>
    </row>
    <row r="12863">
      <c r="Y12863" s="372">
        <v>0.0</v>
      </c>
      <c r="Z12863" s="372">
        <v>0.0</v>
      </c>
    </row>
    <row r="12864">
      <c r="Y12864" s="372">
        <v>0.0</v>
      </c>
      <c r="Z12864" s="372">
        <v>0.0</v>
      </c>
    </row>
    <row r="12865">
      <c r="Y12865" s="372">
        <v>0.0</v>
      </c>
      <c r="Z12865" s="372">
        <v>0.0</v>
      </c>
    </row>
    <row r="12866">
      <c r="Y12866" s="372">
        <v>0.0</v>
      </c>
      <c r="Z12866" s="372">
        <v>0.0</v>
      </c>
    </row>
    <row r="12867">
      <c r="Y12867" s="372">
        <v>0.0</v>
      </c>
      <c r="Z12867" s="372">
        <v>0.0</v>
      </c>
    </row>
    <row r="12868">
      <c r="Y12868" s="372">
        <v>0.0</v>
      </c>
      <c r="Z12868" s="372">
        <v>0.0</v>
      </c>
    </row>
    <row r="12869">
      <c r="Y12869" s="372">
        <v>0.0</v>
      </c>
      <c r="Z12869" s="372">
        <v>0.0</v>
      </c>
    </row>
    <row r="12870">
      <c r="Y12870" s="372">
        <v>0.0</v>
      </c>
      <c r="Z12870" s="372">
        <v>0.0</v>
      </c>
    </row>
    <row r="12871">
      <c r="Y12871" s="372">
        <v>0.0</v>
      </c>
      <c r="Z12871" s="372">
        <v>0.0</v>
      </c>
    </row>
    <row r="12872">
      <c r="Y12872" s="372">
        <v>0.0</v>
      </c>
      <c r="Z12872" s="372">
        <v>0.0</v>
      </c>
    </row>
    <row r="12873">
      <c r="Y12873" s="372">
        <v>0.0</v>
      </c>
      <c r="Z12873" s="372">
        <v>0.0</v>
      </c>
    </row>
    <row r="12874">
      <c r="Y12874" s="372">
        <v>0.0</v>
      </c>
      <c r="Z12874" s="372">
        <v>0.0</v>
      </c>
    </row>
    <row r="12875">
      <c r="Y12875" s="372">
        <v>0.0</v>
      </c>
      <c r="Z12875" s="372">
        <v>0.0</v>
      </c>
    </row>
    <row r="12876">
      <c r="Y12876" s="372">
        <v>0.0</v>
      </c>
      <c r="Z12876" s="372">
        <v>0.0</v>
      </c>
    </row>
    <row r="12877">
      <c r="Y12877" s="372">
        <v>0.0</v>
      </c>
      <c r="Z12877" s="372">
        <v>0.0</v>
      </c>
    </row>
    <row r="12878">
      <c r="Y12878" s="372">
        <v>0.0</v>
      </c>
      <c r="Z12878" s="372">
        <v>0.0</v>
      </c>
    </row>
    <row r="12879">
      <c r="Y12879" s="372">
        <v>0.0</v>
      </c>
      <c r="Z12879" s="372">
        <v>0.0</v>
      </c>
    </row>
    <row r="12880">
      <c r="Y12880" s="372">
        <v>0.0</v>
      </c>
      <c r="Z12880" s="372">
        <v>0.0</v>
      </c>
    </row>
    <row r="12881">
      <c r="Y12881" s="372">
        <v>0.0</v>
      </c>
      <c r="Z12881" s="372">
        <v>0.0</v>
      </c>
    </row>
    <row r="12882">
      <c r="Y12882" s="372">
        <v>0.0</v>
      </c>
      <c r="Z12882" s="372">
        <v>0.0</v>
      </c>
    </row>
    <row r="12883">
      <c r="Y12883" s="372">
        <v>0.0</v>
      </c>
      <c r="Z12883" s="372">
        <v>0.0</v>
      </c>
    </row>
    <row r="12884">
      <c r="Y12884" s="372">
        <v>0.0</v>
      </c>
      <c r="Z12884" s="372">
        <v>0.0</v>
      </c>
    </row>
    <row r="12885">
      <c r="Y12885" s="372">
        <v>0.0</v>
      </c>
      <c r="Z12885" s="372">
        <v>0.0</v>
      </c>
    </row>
    <row r="12886">
      <c r="Y12886" s="372">
        <v>0.0</v>
      </c>
      <c r="Z12886" s="372">
        <v>0.0</v>
      </c>
    </row>
    <row r="12887">
      <c r="Y12887" s="372">
        <v>0.0</v>
      </c>
      <c r="Z12887" s="372">
        <v>0.0</v>
      </c>
    </row>
    <row r="12888">
      <c r="Y12888" s="372">
        <v>0.0</v>
      </c>
      <c r="Z12888" s="372">
        <v>0.0</v>
      </c>
    </row>
    <row r="12889">
      <c r="Y12889" s="372">
        <v>0.0</v>
      </c>
      <c r="Z12889" s="372">
        <v>0.0</v>
      </c>
    </row>
    <row r="12890">
      <c r="Y12890" s="372">
        <v>0.0</v>
      </c>
      <c r="Z12890" s="372">
        <v>0.0</v>
      </c>
    </row>
    <row r="12891">
      <c r="Y12891" s="372">
        <v>0.0</v>
      </c>
      <c r="Z12891" s="372">
        <v>0.0</v>
      </c>
    </row>
    <row r="12892">
      <c r="Y12892" s="372">
        <v>0.0</v>
      </c>
      <c r="Z12892" s="372">
        <v>0.0</v>
      </c>
    </row>
    <row r="12893">
      <c r="Y12893" s="372">
        <v>0.0</v>
      </c>
      <c r="Z12893" s="372">
        <v>0.0</v>
      </c>
    </row>
    <row r="12894">
      <c r="Y12894" s="372">
        <v>0.0</v>
      </c>
      <c r="Z12894" s="372">
        <v>0.0</v>
      </c>
    </row>
    <row r="12895">
      <c r="Y12895" s="372">
        <v>0.0</v>
      </c>
      <c r="Z12895" s="372">
        <v>0.0</v>
      </c>
    </row>
    <row r="12896">
      <c r="Y12896" s="372">
        <v>0.0</v>
      </c>
      <c r="Z12896" s="372">
        <v>0.0</v>
      </c>
    </row>
    <row r="12897">
      <c r="Y12897" s="372">
        <v>0.0</v>
      </c>
      <c r="Z12897" s="372">
        <v>0.0</v>
      </c>
    </row>
    <row r="12898">
      <c r="Y12898" s="372">
        <v>0.0</v>
      </c>
      <c r="Z12898" s="372">
        <v>0.0</v>
      </c>
    </row>
    <row r="12899">
      <c r="Y12899" s="372">
        <v>0.0</v>
      </c>
      <c r="Z12899" s="372">
        <v>0.0</v>
      </c>
    </row>
    <row r="12900">
      <c r="Y12900" s="372">
        <v>0.0</v>
      </c>
      <c r="Z12900" s="372">
        <v>0.0</v>
      </c>
    </row>
    <row r="12901">
      <c r="Y12901" s="372">
        <v>0.0</v>
      </c>
      <c r="Z12901" s="372">
        <v>0.0</v>
      </c>
    </row>
    <row r="12902">
      <c r="Y12902" s="372">
        <v>0.0</v>
      </c>
      <c r="Z12902" s="372">
        <v>0.0</v>
      </c>
    </row>
    <row r="12903">
      <c r="Y12903" s="372">
        <v>0.0</v>
      </c>
      <c r="Z12903" s="372">
        <v>0.0</v>
      </c>
    </row>
    <row r="12904">
      <c r="Y12904" s="372">
        <v>0.0</v>
      </c>
      <c r="Z12904" s="372">
        <v>0.0</v>
      </c>
    </row>
    <row r="12905">
      <c r="Y12905" s="372">
        <v>0.0</v>
      </c>
      <c r="Z12905" s="372">
        <v>0.0</v>
      </c>
    </row>
    <row r="12906">
      <c r="Y12906" s="372">
        <v>0.0</v>
      </c>
      <c r="Z12906" s="372">
        <v>0.0</v>
      </c>
    </row>
    <row r="12907">
      <c r="Y12907" s="372">
        <v>0.0</v>
      </c>
      <c r="Z12907" s="372">
        <v>0.0</v>
      </c>
    </row>
    <row r="12908">
      <c r="Y12908" s="372">
        <v>0.0</v>
      </c>
      <c r="Z12908" s="372">
        <v>0.0</v>
      </c>
    </row>
    <row r="12909">
      <c r="Y12909" s="372">
        <v>0.0</v>
      </c>
      <c r="Z12909" s="372">
        <v>0.0</v>
      </c>
    </row>
    <row r="12910">
      <c r="Y12910" s="372">
        <v>0.0</v>
      </c>
      <c r="Z12910" s="372">
        <v>0.0</v>
      </c>
    </row>
    <row r="12911">
      <c r="Y12911" s="372">
        <v>0.0</v>
      </c>
      <c r="Z12911" s="372">
        <v>0.0</v>
      </c>
    </row>
    <row r="12912">
      <c r="Y12912" s="372">
        <v>0.0</v>
      </c>
      <c r="Z12912" s="372">
        <v>0.0</v>
      </c>
    </row>
    <row r="12913">
      <c r="Y12913" s="372">
        <v>0.0</v>
      </c>
      <c r="Z12913" s="372">
        <v>0.0</v>
      </c>
    </row>
    <row r="12914">
      <c r="Y12914" s="372">
        <v>0.0</v>
      </c>
      <c r="Z12914" s="372">
        <v>0.0</v>
      </c>
    </row>
    <row r="12915">
      <c r="Y12915" s="372">
        <v>0.0</v>
      </c>
      <c r="Z12915" s="372">
        <v>0.0</v>
      </c>
    </row>
    <row r="12916">
      <c r="Y12916" s="372">
        <v>0.0</v>
      </c>
      <c r="Z12916" s="372">
        <v>0.0</v>
      </c>
    </row>
    <row r="12917">
      <c r="Y12917" s="372">
        <v>0.0</v>
      </c>
      <c r="Z12917" s="372">
        <v>0.0</v>
      </c>
    </row>
    <row r="12918">
      <c r="Y12918" s="372">
        <v>0.0</v>
      </c>
      <c r="Z12918" s="372">
        <v>0.0</v>
      </c>
    </row>
    <row r="12919">
      <c r="Y12919" s="372">
        <v>0.0</v>
      </c>
      <c r="Z12919" s="372">
        <v>0.0</v>
      </c>
    </row>
    <row r="12920">
      <c r="Y12920" s="372">
        <v>0.0</v>
      </c>
      <c r="Z12920" s="372">
        <v>0.0</v>
      </c>
    </row>
    <row r="12921">
      <c r="Y12921" s="372">
        <v>0.0</v>
      </c>
      <c r="Z12921" s="372">
        <v>0.0</v>
      </c>
    </row>
    <row r="12922">
      <c r="Y12922" s="372">
        <v>0.0</v>
      </c>
      <c r="Z12922" s="372">
        <v>0.0</v>
      </c>
    </row>
    <row r="12923">
      <c r="Y12923" s="372">
        <v>0.0</v>
      </c>
      <c r="Z12923" s="372">
        <v>0.0</v>
      </c>
    </row>
    <row r="12924">
      <c r="Y12924" s="372">
        <v>0.0</v>
      </c>
      <c r="Z12924" s="372">
        <v>0.0</v>
      </c>
    </row>
    <row r="12925">
      <c r="Y12925" s="372">
        <v>0.0</v>
      </c>
      <c r="Z12925" s="372">
        <v>0.0</v>
      </c>
    </row>
    <row r="12926">
      <c r="Y12926" s="372">
        <v>0.0</v>
      </c>
      <c r="Z12926" s="372">
        <v>0.0</v>
      </c>
    </row>
    <row r="12927">
      <c r="Y12927" s="372">
        <v>0.0</v>
      </c>
      <c r="Z12927" s="372">
        <v>0.0</v>
      </c>
    </row>
    <row r="12928">
      <c r="Y12928" s="372">
        <v>0.0</v>
      </c>
      <c r="Z12928" s="372">
        <v>0.0</v>
      </c>
    </row>
    <row r="12929">
      <c r="Y12929" s="372">
        <v>0.0</v>
      </c>
      <c r="Z12929" s="372">
        <v>0.0</v>
      </c>
    </row>
    <row r="12930">
      <c r="Y12930" s="372">
        <v>0.0</v>
      </c>
      <c r="Z12930" s="372">
        <v>0.0</v>
      </c>
    </row>
    <row r="12931">
      <c r="Y12931" s="372">
        <v>0.0</v>
      </c>
      <c r="Z12931" s="372">
        <v>0.0</v>
      </c>
    </row>
    <row r="12932">
      <c r="Y12932" s="372">
        <v>0.0</v>
      </c>
      <c r="Z12932" s="372">
        <v>0.0</v>
      </c>
    </row>
    <row r="12933">
      <c r="Y12933" s="372">
        <v>0.0</v>
      </c>
      <c r="Z12933" s="372">
        <v>0.0</v>
      </c>
    </row>
    <row r="12934">
      <c r="Y12934" s="372">
        <v>0.0</v>
      </c>
      <c r="Z12934" s="372">
        <v>0.0</v>
      </c>
    </row>
    <row r="12935">
      <c r="Y12935" s="372">
        <v>0.0</v>
      </c>
      <c r="Z12935" s="372">
        <v>0.0</v>
      </c>
    </row>
    <row r="12936">
      <c r="Y12936" s="372">
        <v>0.0</v>
      </c>
      <c r="Z12936" s="372">
        <v>0.0</v>
      </c>
    </row>
    <row r="12937">
      <c r="Y12937" s="372">
        <v>0.0</v>
      </c>
      <c r="Z12937" s="372">
        <v>0.0</v>
      </c>
    </row>
    <row r="12938">
      <c r="Y12938" s="372">
        <v>0.0</v>
      </c>
      <c r="Z12938" s="372">
        <v>0.0</v>
      </c>
    </row>
    <row r="12939">
      <c r="Y12939" s="372">
        <v>0.0</v>
      </c>
      <c r="Z12939" s="372">
        <v>0.0</v>
      </c>
    </row>
    <row r="12940">
      <c r="Y12940" s="372">
        <v>0.0</v>
      </c>
      <c r="Z12940" s="372">
        <v>0.0</v>
      </c>
    </row>
    <row r="12941">
      <c r="Y12941" s="372">
        <v>0.0</v>
      </c>
      <c r="Z12941" s="372">
        <v>0.0</v>
      </c>
    </row>
    <row r="12942">
      <c r="Y12942" s="372">
        <v>0.0</v>
      </c>
      <c r="Z12942" s="372">
        <v>0.0</v>
      </c>
    </row>
    <row r="12943">
      <c r="Y12943" s="372">
        <v>0.0</v>
      </c>
      <c r="Z12943" s="372">
        <v>0.0</v>
      </c>
    </row>
    <row r="12944">
      <c r="Y12944" s="372">
        <v>0.0</v>
      </c>
      <c r="Z12944" s="372">
        <v>0.0</v>
      </c>
    </row>
    <row r="12945">
      <c r="Y12945" s="372">
        <v>0.0</v>
      </c>
      <c r="Z12945" s="372">
        <v>0.0</v>
      </c>
    </row>
    <row r="12946">
      <c r="Y12946" s="372">
        <v>0.0</v>
      </c>
      <c r="Z12946" s="372">
        <v>0.0</v>
      </c>
    </row>
    <row r="12947">
      <c r="Y12947" s="372">
        <v>0.0</v>
      </c>
      <c r="Z12947" s="372">
        <v>0.0</v>
      </c>
    </row>
    <row r="12948">
      <c r="Y12948" s="372">
        <v>0.0</v>
      </c>
      <c r="Z12948" s="372">
        <v>0.0</v>
      </c>
    </row>
    <row r="12949">
      <c r="Y12949" s="372">
        <v>0.0</v>
      </c>
      <c r="Z12949" s="372">
        <v>0.0</v>
      </c>
    </row>
    <row r="12950">
      <c r="Y12950" s="372">
        <v>0.0</v>
      </c>
      <c r="Z12950" s="372">
        <v>0.0</v>
      </c>
    </row>
    <row r="12951">
      <c r="Y12951" s="372">
        <v>0.0</v>
      </c>
      <c r="Z12951" s="372">
        <v>0.0</v>
      </c>
    </row>
    <row r="12952">
      <c r="Y12952" s="372">
        <v>0.0</v>
      </c>
      <c r="Z12952" s="372">
        <v>0.0</v>
      </c>
    </row>
    <row r="12953">
      <c r="Y12953" s="372">
        <v>0.0</v>
      </c>
      <c r="Z12953" s="372">
        <v>0.0</v>
      </c>
    </row>
    <row r="12954">
      <c r="Y12954" s="372">
        <v>0.0</v>
      </c>
      <c r="Z12954" s="372">
        <v>0.0</v>
      </c>
    </row>
    <row r="12955">
      <c r="Y12955" s="372">
        <v>0.0</v>
      </c>
      <c r="Z12955" s="372">
        <v>0.0</v>
      </c>
    </row>
    <row r="12956">
      <c r="Y12956" s="372">
        <v>0.0</v>
      </c>
      <c r="Z12956" s="372">
        <v>0.0</v>
      </c>
    </row>
    <row r="12957">
      <c r="Y12957" s="372">
        <v>0.0</v>
      </c>
      <c r="Z12957" s="372">
        <v>0.0</v>
      </c>
    </row>
    <row r="12958">
      <c r="Y12958" s="372">
        <v>0.0</v>
      </c>
      <c r="Z12958" s="372">
        <v>0.0</v>
      </c>
    </row>
    <row r="12959">
      <c r="Y12959" s="372">
        <v>0.0</v>
      </c>
      <c r="Z12959" s="372">
        <v>0.0</v>
      </c>
    </row>
    <row r="12960">
      <c r="Y12960" s="372">
        <v>0.0</v>
      </c>
      <c r="Z12960" s="372">
        <v>0.0</v>
      </c>
    </row>
    <row r="12961">
      <c r="Y12961" s="372">
        <v>0.0</v>
      </c>
      <c r="Z12961" s="372">
        <v>0.0</v>
      </c>
    </row>
    <row r="12962">
      <c r="Y12962" s="372">
        <v>0.0</v>
      </c>
      <c r="Z12962" s="372">
        <v>0.0</v>
      </c>
    </row>
    <row r="12963">
      <c r="Y12963" s="372">
        <v>0.0</v>
      </c>
      <c r="Z12963" s="372">
        <v>0.0</v>
      </c>
    </row>
    <row r="12964">
      <c r="Y12964" s="372">
        <v>0.0</v>
      </c>
      <c r="Z12964" s="372">
        <v>0.0</v>
      </c>
    </row>
    <row r="12965">
      <c r="Y12965" s="372">
        <v>0.0</v>
      </c>
      <c r="Z12965" s="372">
        <v>0.0</v>
      </c>
    </row>
    <row r="12966">
      <c r="Y12966" s="372">
        <v>0.0</v>
      </c>
      <c r="Z12966" s="372">
        <v>0.0</v>
      </c>
    </row>
    <row r="12967">
      <c r="Y12967" s="372">
        <v>0.0</v>
      </c>
      <c r="Z12967" s="372">
        <v>0.0</v>
      </c>
    </row>
    <row r="12968">
      <c r="Y12968" s="372">
        <v>0.0</v>
      </c>
      <c r="Z12968" s="372">
        <v>0.0</v>
      </c>
    </row>
    <row r="12969">
      <c r="Y12969" s="372">
        <v>0.0</v>
      </c>
      <c r="Z12969" s="372">
        <v>0.0</v>
      </c>
    </row>
    <row r="12970">
      <c r="Y12970" s="372">
        <v>0.0</v>
      </c>
      <c r="Z12970" s="372">
        <v>0.0</v>
      </c>
    </row>
    <row r="12971">
      <c r="Y12971" s="372">
        <v>0.0</v>
      </c>
      <c r="Z12971" s="372">
        <v>0.0</v>
      </c>
    </row>
    <row r="12972">
      <c r="Y12972" s="372">
        <v>0.0</v>
      </c>
      <c r="Z12972" s="372">
        <v>0.0</v>
      </c>
    </row>
    <row r="12973">
      <c r="Y12973" s="372">
        <v>0.0</v>
      </c>
      <c r="Z12973" s="372">
        <v>0.0</v>
      </c>
    </row>
    <row r="12974">
      <c r="Y12974" s="372">
        <v>0.0</v>
      </c>
      <c r="Z12974" s="372">
        <v>0.0</v>
      </c>
    </row>
    <row r="12975">
      <c r="Y12975" s="372">
        <v>0.0</v>
      </c>
      <c r="Z12975" s="372">
        <v>0.0</v>
      </c>
    </row>
    <row r="12976">
      <c r="Y12976" s="372">
        <v>0.0</v>
      </c>
      <c r="Z12976" s="372">
        <v>0.0</v>
      </c>
    </row>
    <row r="12977">
      <c r="Y12977" s="372">
        <v>0.0</v>
      </c>
      <c r="Z12977" s="372">
        <v>0.0</v>
      </c>
    </row>
    <row r="12978">
      <c r="Y12978" s="372">
        <v>0.0</v>
      </c>
      <c r="Z12978" s="372">
        <v>0.0</v>
      </c>
    </row>
    <row r="12979">
      <c r="Y12979" s="372">
        <v>0.0</v>
      </c>
      <c r="Z12979" s="372">
        <v>0.0</v>
      </c>
    </row>
    <row r="12980">
      <c r="Y12980" s="372">
        <v>0.0</v>
      </c>
      <c r="Z12980" s="372">
        <v>0.0</v>
      </c>
    </row>
    <row r="12981">
      <c r="Y12981" s="372">
        <v>0.0</v>
      </c>
      <c r="Z12981" s="372">
        <v>0.0</v>
      </c>
    </row>
    <row r="12982">
      <c r="Y12982" s="372">
        <v>0.0</v>
      </c>
      <c r="Z12982" s="372">
        <v>0.0</v>
      </c>
    </row>
    <row r="12983">
      <c r="Y12983" s="372">
        <v>0.0</v>
      </c>
      <c r="Z12983" s="372">
        <v>0.0</v>
      </c>
    </row>
    <row r="12984">
      <c r="Y12984" s="372">
        <v>0.0</v>
      </c>
      <c r="Z12984" s="372">
        <v>0.0</v>
      </c>
    </row>
    <row r="12985">
      <c r="Y12985" s="372">
        <v>0.0</v>
      </c>
      <c r="Z12985" s="372">
        <v>0.0</v>
      </c>
    </row>
    <row r="12986">
      <c r="Y12986" s="372">
        <v>0.0</v>
      </c>
      <c r="Z12986" s="372">
        <v>0.0</v>
      </c>
    </row>
    <row r="12987">
      <c r="Y12987" s="372">
        <v>0.0</v>
      </c>
      <c r="Z12987" s="372">
        <v>0.0</v>
      </c>
    </row>
    <row r="12988">
      <c r="Y12988" s="372">
        <v>0.0</v>
      </c>
      <c r="Z12988" s="372">
        <v>0.0</v>
      </c>
    </row>
    <row r="12989">
      <c r="Y12989" s="372">
        <v>0.0</v>
      </c>
      <c r="Z12989" s="372">
        <v>0.0</v>
      </c>
    </row>
    <row r="12990">
      <c r="Y12990" s="372">
        <v>0.0</v>
      </c>
      <c r="Z12990" s="372">
        <v>0.0</v>
      </c>
    </row>
    <row r="12991">
      <c r="Y12991" s="372">
        <v>0.0</v>
      </c>
      <c r="Z12991" s="372">
        <v>0.0</v>
      </c>
    </row>
    <row r="12992">
      <c r="Y12992" s="372">
        <v>0.0</v>
      </c>
      <c r="Z12992" s="372">
        <v>0.0</v>
      </c>
    </row>
    <row r="12993">
      <c r="Y12993" s="372">
        <v>0.0</v>
      </c>
      <c r="Z12993" s="372">
        <v>0.0</v>
      </c>
    </row>
    <row r="12994">
      <c r="Y12994" s="372">
        <v>0.0</v>
      </c>
      <c r="Z12994" s="372">
        <v>0.0</v>
      </c>
    </row>
    <row r="12995">
      <c r="Y12995" s="372">
        <v>0.0</v>
      </c>
      <c r="Z12995" s="372">
        <v>0.0</v>
      </c>
    </row>
    <row r="12996">
      <c r="Y12996" s="372">
        <v>0.0</v>
      </c>
      <c r="Z12996" s="372">
        <v>0.0</v>
      </c>
    </row>
    <row r="12997">
      <c r="Y12997" s="372">
        <v>0.0</v>
      </c>
      <c r="Z12997" s="372">
        <v>0.0</v>
      </c>
    </row>
    <row r="12998">
      <c r="Y12998" s="372">
        <v>0.0</v>
      </c>
      <c r="Z12998" s="372">
        <v>0.0</v>
      </c>
    </row>
    <row r="12999">
      <c r="Y12999" s="372">
        <v>0.0</v>
      </c>
      <c r="Z12999" s="372">
        <v>0.0</v>
      </c>
    </row>
    <row r="13000">
      <c r="Y13000" s="372">
        <v>0.0</v>
      </c>
      <c r="Z13000" s="372">
        <v>0.0</v>
      </c>
    </row>
    <row r="13001">
      <c r="Y13001" s="372">
        <v>0.0</v>
      </c>
      <c r="Z13001" s="372">
        <v>0.0</v>
      </c>
    </row>
    <row r="13002">
      <c r="Y13002" s="372">
        <v>0.0</v>
      </c>
      <c r="Z13002" s="372">
        <v>0.0</v>
      </c>
    </row>
    <row r="13003">
      <c r="Y13003" s="372">
        <v>0.0</v>
      </c>
      <c r="Z13003" s="372">
        <v>0.0</v>
      </c>
    </row>
    <row r="13004">
      <c r="Y13004" s="372">
        <v>0.0</v>
      </c>
      <c r="Z13004" s="372">
        <v>0.0</v>
      </c>
    </row>
    <row r="13005">
      <c r="Y13005" s="372">
        <v>0.0</v>
      </c>
      <c r="Z13005" s="372">
        <v>0.0</v>
      </c>
    </row>
    <row r="13006">
      <c r="Y13006" s="372">
        <v>0.0</v>
      </c>
      <c r="Z13006" s="372">
        <v>0.0</v>
      </c>
    </row>
    <row r="13007">
      <c r="Y13007" s="372">
        <v>0.0</v>
      </c>
      <c r="Z13007" s="372">
        <v>0.0</v>
      </c>
    </row>
    <row r="13008">
      <c r="Y13008" s="372">
        <v>0.0</v>
      </c>
      <c r="Z13008" s="372">
        <v>0.0</v>
      </c>
    </row>
    <row r="13009">
      <c r="Y13009" s="372">
        <v>0.0</v>
      </c>
      <c r="Z13009" s="372">
        <v>0.0</v>
      </c>
    </row>
    <row r="13010">
      <c r="Y13010" s="372">
        <v>0.0</v>
      </c>
      <c r="Z13010" s="372">
        <v>0.0</v>
      </c>
    </row>
    <row r="13011">
      <c r="Y13011" s="372">
        <v>0.0</v>
      </c>
      <c r="Z13011" s="372">
        <v>0.0</v>
      </c>
    </row>
    <row r="13012">
      <c r="Y13012" s="372">
        <v>0.0</v>
      </c>
      <c r="Z13012" s="372">
        <v>0.0</v>
      </c>
    </row>
    <row r="13013">
      <c r="Y13013" s="372">
        <v>0.0</v>
      </c>
      <c r="Z13013" s="372">
        <v>0.0</v>
      </c>
    </row>
    <row r="13014">
      <c r="Y13014" s="372">
        <v>0.0</v>
      </c>
      <c r="Z13014" s="372">
        <v>0.0</v>
      </c>
    </row>
    <row r="13015">
      <c r="Y13015" s="372">
        <v>0.0</v>
      </c>
      <c r="Z13015" s="372">
        <v>0.0</v>
      </c>
    </row>
    <row r="13016">
      <c r="Y13016" s="372">
        <v>0.0</v>
      </c>
      <c r="Z13016" s="372">
        <v>0.0</v>
      </c>
    </row>
    <row r="13017">
      <c r="Y13017" s="372">
        <v>0.0</v>
      </c>
      <c r="Z13017" s="372">
        <v>0.0</v>
      </c>
    </row>
    <row r="13018">
      <c r="Y13018" s="372">
        <v>0.0</v>
      </c>
      <c r="Z13018" s="372">
        <v>0.0</v>
      </c>
    </row>
    <row r="13019">
      <c r="Y13019" s="372">
        <v>0.0</v>
      </c>
      <c r="Z13019" s="372">
        <v>0.0</v>
      </c>
    </row>
    <row r="13020">
      <c r="Y13020" s="372">
        <v>0.0</v>
      </c>
      <c r="Z13020" s="372">
        <v>0.0</v>
      </c>
    </row>
    <row r="13021">
      <c r="Y13021" s="372">
        <v>0.0</v>
      </c>
      <c r="Z13021" s="372">
        <v>0.0</v>
      </c>
    </row>
    <row r="13022">
      <c r="Y13022" s="372">
        <v>0.0</v>
      </c>
      <c r="Z13022" s="372">
        <v>0.0</v>
      </c>
    </row>
    <row r="13023">
      <c r="Y13023" s="372">
        <v>0.0</v>
      </c>
      <c r="Z13023" s="372">
        <v>0.0</v>
      </c>
    </row>
    <row r="13024">
      <c r="Y13024" s="372">
        <v>0.0</v>
      </c>
      <c r="Z13024" s="372">
        <v>0.0</v>
      </c>
    </row>
    <row r="13025">
      <c r="Y13025" s="372">
        <v>0.0</v>
      </c>
      <c r="Z13025" s="372">
        <v>0.0</v>
      </c>
    </row>
    <row r="13026">
      <c r="Y13026" s="372">
        <v>0.0</v>
      </c>
      <c r="Z13026" s="372">
        <v>0.0</v>
      </c>
    </row>
    <row r="13027">
      <c r="Y13027" s="372">
        <v>0.0</v>
      </c>
      <c r="Z13027" s="372">
        <v>0.0</v>
      </c>
    </row>
    <row r="13028">
      <c r="Y13028" s="372">
        <v>0.0</v>
      </c>
      <c r="Z13028" s="372">
        <v>0.0</v>
      </c>
    </row>
    <row r="13029">
      <c r="Y13029" s="372">
        <v>0.0</v>
      </c>
      <c r="Z13029" s="372">
        <v>0.0</v>
      </c>
    </row>
    <row r="13030">
      <c r="Y13030" s="372">
        <v>0.0</v>
      </c>
      <c r="Z13030" s="372">
        <v>0.0</v>
      </c>
    </row>
    <row r="13031">
      <c r="Y13031" s="372">
        <v>0.0</v>
      </c>
      <c r="Z13031" s="372">
        <v>0.0</v>
      </c>
    </row>
    <row r="13032">
      <c r="Y13032" s="372">
        <v>0.0</v>
      </c>
      <c r="Z13032" s="372">
        <v>0.0</v>
      </c>
    </row>
    <row r="13033">
      <c r="Y13033" s="372">
        <v>0.0</v>
      </c>
      <c r="Z13033" s="372">
        <v>0.0</v>
      </c>
    </row>
    <row r="13034">
      <c r="Y13034" s="372">
        <v>0.0</v>
      </c>
      <c r="Z13034" s="372">
        <v>0.0</v>
      </c>
    </row>
    <row r="13035">
      <c r="Y13035" s="372">
        <v>0.0</v>
      </c>
      <c r="Z13035" s="372">
        <v>0.0</v>
      </c>
    </row>
    <row r="13036">
      <c r="Y13036" s="372">
        <v>0.0</v>
      </c>
      <c r="Z13036" s="372">
        <v>0.0</v>
      </c>
    </row>
    <row r="13037">
      <c r="Y13037" s="372">
        <v>0.0</v>
      </c>
      <c r="Z13037" s="372">
        <v>0.0</v>
      </c>
    </row>
    <row r="13038">
      <c r="Y13038" s="372">
        <v>0.0</v>
      </c>
      <c r="Z13038" s="372">
        <v>0.0</v>
      </c>
    </row>
    <row r="13039">
      <c r="Y13039" s="372">
        <v>0.0</v>
      </c>
      <c r="Z13039" s="372">
        <v>0.0</v>
      </c>
    </row>
    <row r="13040">
      <c r="Y13040" s="372">
        <v>0.0</v>
      </c>
      <c r="Z13040" s="372">
        <v>0.0</v>
      </c>
    </row>
    <row r="13041">
      <c r="Y13041" s="372">
        <v>0.0</v>
      </c>
      <c r="Z13041" s="372">
        <v>0.0</v>
      </c>
    </row>
    <row r="13042">
      <c r="Y13042" s="372">
        <v>0.0</v>
      </c>
      <c r="Z13042" s="372">
        <v>0.0</v>
      </c>
    </row>
    <row r="13043">
      <c r="Y13043" s="372">
        <v>0.0</v>
      </c>
      <c r="Z13043" s="372">
        <v>0.0</v>
      </c>
    </row>
    <row r="13044">
      <c r="Y13044" s="372">
        <v>0.0</v>
      </c>
      <c r="Z13044" s="372">
        <v>0.0</v>
      </c>
    </row>
    <row r="13045">
      <c r="Y13045" s="372">
        <v>0.0</v>
      </c>
      <c r="Z13045" s="372">
        <v>0.0</v>
      </c>
    </row>
    <row r="13046">
      <c r="Y13046" s="372">
        <v>0.0</v>
      </c>
      <c r="Z13046" s="372">
        <v>0.0</v>
      </c>
    </row>
    <row r="13047">
      <c r="Y13047" s="372">
        <v>0.0</v>
      </c>
      <c r="Z13047" s="372">
        <v>0.0</v>
      </c>
    </row>
    <row r="13048">
      <c r="Y13048" s="372">
        <v>0.0</v>
      </c>
      <c r="Z13048" s="372">
        <v>0.0</v>
      </c>
    </row>
    <row r="13049">
      <c r="Y13049" s="372">
        <v>0.0</v>
      </c>
      <c r="Z13049" s="372">
        <v>0.0</v>
      </c>
    </row>
    <row r="13050">
      <c r="Y13050" s="372">
        <v>0.0</v>
      </c>
      <c r="Z13050" s="372">
        <v>0.0</v>
      </c>
    </row>
    <row r="13051">
      <c r="Y13051" s="372">
        <v>0.0</v>
      </c>
      <c r="Z13051" s="372">
        <v>0.0</v>
      </c>
    </row>
    <row r="13052">
      <c r="Y13052" s="372">
        <v>0.0</v>
      </c>
      <c r="Z13052" s="372">
        <v>0.0</v>
      </c>
    </row>
    <row r="13053">
      <c r="Y13053" s="372">
        <v>0.0</v>
      </c>
      <c r="Z13053" s="372">
        <v>0.0</v>
      </c>
    </row>
    <row r="13054">
      <c r="Y13054" s="372">
        <v>0.0</v>
      </c>
      <c r="Z13054" s="372">
        <v>0.0</v>
      </c>
    </row>
    <row r="13055">
      <c r="Y13055" s="372">
        <v>0.0</v>
      </c>
      <c r="Z13055" s="372">
        <v>0.0</v>
      </c>
    </row>
    <row r="13056">
      <c r="Y13056" s="372">
        <v>0.0</v>
      </c>
      <c r="Z13056" s="372">
        <v>0.0</v>
      </c>
    </row>
    <row r="13057">
      <c r="Y13057" s="372">
        <v>0.0</v>
      </c>
      <c r="Z13057" s="372">
        <v>0.0</v>
      </c>
    </row>
    <row r="13058">
      <c r="Y13058" s="372">
        <v>0.0</v>
      </c>
      <c r="Z13058" s="372">
        <v>0.0</v>
      </c>
    </row>
    <row r="13059">
      <c r="Y13059" s="372">
        <v>0.0</v>
      </c>
      <c r="Z13059" s="372">
        <v>0.0</v>
      </c>
    </row>
    <row r="13060">
      <c r="Y13060" s="372">
        <v>0.0</v>
      </c>
      <c r="Z13060" s="372">
        <v>0.0</v>
      </c>
    </row>
    <row r="13061">
      <c r="Y13061" s="372">
        <v>0.0</v>
      </c>
      <c r="Z13061" s="372">
        <v>0.0</v>
      </c>
    </row>
    <row r="13062">
      <c r="Y13062" s="372">
        <v>0.0</v>
      </c>
      <c r="Z13062" s="372">
        <v>0.0</v>
      </c>
    </row>
    <row r="13063">
      <c r="Y13063" s="372">
        <v>0.0</v>
      </c>
      <c r="Z13063" s="372">
        <v>0.0</v>
      </c>
    </row>
    <row r="13064">
      <c r="Y13064" s="372">
        <v>0.0</v>
      </c>
      <c r="Z13064" s="372">
        <v>0.0</v>
      </c>
    </row>
    <row r="13065">
      <c r="Y13065" s="372">
        <v>0.0</v>
      </c>
      <c r="Z13065" s="372">
        <v>0.0</v>
      </c>
    </row>
    <row r="13066">
      <c r="Y13066" s="372">
        <v>0.0</v>
      </c>
      <c r="Z13066" s="372">
        <v>0.0</v>
      </c>
    </row>
    <row r="13067">
      <c r="Y13067" s="372">
        <v>0.0</v>
      </c>
      <c r="Z13067" s="372">
        <v>0.0</v>
      </c>
    </row>
    <row r="13068">
      <c r="Y13068" s="372">
        <v>0.0</v>
      </c>
      <c r="Z13068" s="372">
        <v>0.0</v>
      </c>
    </row>
    <row r="13069">
      <c r="Y13069" s="372">
        <v>0.0</v>
      </c>
      <c r="Z13069" s="372">
        <v>0.0</v>
      </c>
    </row>
    <row r="13070">
      <c r="Y13070" s="372">
        <v>0.0</v>
      </c>
      <c r="Z13070" s="372">
        <v>0.0</v>
      </c>
    </row>
    <row r="13071">
      <c r="Y13071" s="372">
        <v>0.0</v>
      </c>
      <c r="Z13071" s="372">
        <v>0.0</v>
      </c>
    </row>
    <row r="13072">
      <c r="Y13072" s="372">
        <v>0.0</v>
      </c>
      <c r="Z13072" s="372">
        <v>0.0</v>
      </c>
    </row>
    <row r="13073">
      <c r="Y13073" s="372">
        <v>0.0</v>
      </c>
      <c r="Z13073" s="372">
        <v>0.0</v>
      </c>
    </row>
    <row r="13074">
      <c r="Y13074" s="372">
        <v>0.0</v>
      </c>
      <c r="Z13074" s="372">
        <v>0.0</v>
      </c>
    </row>
    <row r="13075">
      <c r="Y13075" s="372">
        <v>0.0</v>
      </c>
      <c r="Z13075" s="372">
        <v>0.0</v>
      </c>
    </row>
    <row r="13076">
      <c r="Y13076" s="372">
        <v>0.0</v>
      </c>
      <c r="Z13076" s="372">
        <v>0.0</v>
      </c>
    </row>
    <row r="13077">
      <c r="Y13077" s="372">
        <v>0.0</v>
      </c>
      <c r="Z13077" s="372">
        <v>0.0</v>
      </c>
    </row>
    <row r="13078">
      <c r="Y13078" s="372">
        <v>0.0</v>
      </c>
      <c r="Z13078" s="372">
        <v>0.0</v>
      </c>
    </row>
    <row r="13079">
      <c r="Y13079" s="372">
        <v>0.0</v>
      </c>
      <c r="Z13079" s="372">
        <v>0.0</v>
      </c>
    </row>
    <row r="13080">
      <c r="Y13080" s="372">
        <v>0.0</v>
      </c>
      <c r="Z13080" s="372">
        <v>0.0</v>
      </c>
    </row>
    <row r="13081">
      <c r="Y13081" s="372">
        <v>0.0</v>
      </c>
      <c r="Z13081" s="372">
        <v>0.0</v>
      </c>
    </row>
    <row r="13082">
      <c r="Y13082" s="372">
        <v>0.0</v>
      </c>
      <c r="Z13082" s="372">
        <v>0.0</v>
      </c>
    </row>
    <row r="13083">
      <c r="Y13083" s="372">
        <v>0.0</v>
      </c>
      <c r="Z13083" s="372">
        <v>0.0</v>
      </c>
    </row>
    <row r="13084">
      <c r="Y13084" s="372">
        <v>0.0</v>
      </c>
      <c r="Z13084" s="372">
        <v>0.0</v>
      </c>
    </row>
    <row r="13085">
      <c r="Y13085" s="372">
        <v>0.0</v>
      </c>
      <c r="Z13085" s="372">
        <v>0.0</v>
      </c>
    </row>
    <row r="13086">
      <c r="Y13086" s="372">
        <v>0.0</v>
      </c>
      <c r="Z13086" s="372">
        <v>0.0</v>
      </c>
    </row>
    <row r="13087">
      <c r="Y13087" s="372">
        <v>0.0</v>
      </c>
      <c r="Z13087" s="372">
        <v>0.0</v>
      </c>
    </row>
    <row r="13088">
      <c r="Y13088" s="372">
        <v>0.0</v>
      </c>
      <c r="Z13088" s="372">
        <v>0.0</v>
      </c>
    </row>
    <row r="13089">
      <c r="Y13089" s="372">
        <v>0.0</v>
      </c>
      <c r="Z13089" s="372">
        <v>0.0</v>
      </c>
    </row>
    <row r="13090">
      <c r="Y13090" s="372">
        <v>0.0</v>
      </c>
      <c r="Z13090" s="372">
        <v>0.0</v>
      </c>
    </row>
    <row r="13091">
      <c r="Y13091" s="372">
        <v>0.0</v>
      </c>
      <c r="Z13091" s="372">
        <v>0.0</v>
      </c>
    </row>
    <row r="13092">
      <c r="Y13092" s="372">
        <v>0.0</v>
      </c>
      <c r="Z13092" s="372">
        <v>0.0</v>
      </c>
    </row>
    <row r="13093">
      <c r="Y13093" s="372">
        <v>0.0</v>
      </c>
      <c r="Z13093" s="372">
        <v>0.0</v>
      </c>
    </row>
    <row r="13094">
      <c r="Y13094" s="372">
        <v>0.0</v>
      </c>
      <c r="Z13094" s="372">
        <v>0.0</v>
      </c>
    </row>
    <row r="13095">
      <c r="Y13095" s="372">
        <v>0.0</v>
      </c>
      <c r="Z13095" s="372">
        <v>0.0</v>
      </c>
    </row>
    <row r="13096">
      <c r="Y13096" s="372">
        <v>0.0</v>
      </c>
      <c r="Z13096" s="372">
        <v>0.0</v>
      </c>
    </row>
    <row r="13097">
      <c r="Y13097" s="372">
        <v>0.0</v>
      </c>
      <c r="Z13097" s="372">
        <v>0.0</v>
      </c>
    </row>
    <row r="13098">
      <c r="Y13098" s="372">
        <v>0.0</v>
      </c>
      <c r="Z13098" s="372">
        <v>0.0</v>
      </c>
    </row>
    <row r="13099">
      <c r="Y13099" s="372">
        <v>0.0</v>
      </c>
      <c r="Z13099" s="372">
        <v>0.0</v>
      </c>
    </row>
    <row r="13100">
      <c r="Y13100" s="372">
        <v>0.0</v>
      </c>
      <c r="Z13100" s="372">
        <v>0.0</v>
      </c>
    </row>
    <row r="13101">
      <c r="Y13101" s="372">
        <v>0.0</v>
      </c>
      <c r="Z13101" s="372">
        <v>0.0</v>
      </c>
    </row>
    <row r="13102">
      <c r="Y13102" s="372">
        <v>0.0</v>
      </c>
      <c r="Z13102" s="372">
        <v>0.0</v>
      </c>
    </row>
    <row r="13103">
      <c r="Y13103" s="372">
        <v>0.0</v>
      </c>
      <c r="Z13103" s="372">
        <v>0.0</v>
      </c>
    </row>
    <row r="13104">
      <c r="Y13104" s="372">
        <v>0.0</v>
      </c>
      <c r="Z13104" s="372">
        <v>0.0</v>
      </c>
    </row>
    <row r="13105">
      <c r="Y13105" s="372">
        <v>0.0</v>
      </c>
      <c r="Z13105" s="372">
        <v>0.0</v>
      </c>
    </row>
    <row r="13106">
      <c r="Y13106" s="372">
        <v>0.0</v>
      </c>
      <c r="Z13106" s="372">
        <v>0.0</v>
      </c>
    </row>
    <row r="13107">
      <c r="Y13107" s="372">
        <v>0.0</v>
      </c>
      <c r="Z13107" s="372">
        <v>0.0</v>
      </c>
    </row>
    <row r="13108">
      <c r="Y13108" s="372">
        <v>0.0</v>
      </c>
      <c r="Z13108" s="372">
        <v>0.0</v>
      </c>
    </row>
    <row r="13109">
      <c r="Y13109" s="372">
        <v>0.0</v>
      </c>
      <c r="Z13109" s="372">
        <v>0.0</v>
      </c>
    </row>
    <row r="13110">
      <c r="Y13110" s="372">
        <v>0.0</v>
      </c>
      <c r="Z13110" s="372">
        <v>0.0</v>
      </c>
    </row>
    <row r="13111">
      <c r="Y13111" s="372">
        <v>0.0</v>
      </c>
      <c r="Z13111" s="372">
        <v>0.0</v>
      </c>
    </row>
    <row r="13112">
      <c r="Y13112" s="372">
        <v>0.0</v>
      </c>
      <c r="Z13112" s="372">
        <v>0.0</v>
      </c>
    </row>
    <row r="13113">
      <c r="Y13113" s="372">
        <v>0.0</v>
      </c>
      <c r="Z13113" s="372">
        <v>0.0</v>
      </c>
    </row>
    <row r="13114">
      <c r="Y13114" s="372">
        <v>0.0</v>
      </c>
      <c r="Z13114" s="372">
        <v>0.0</v>
      </c>
    </row>
    <row r="13115">
      <c r="Y13115" s="372">
        <v>0.0</v>
      </c>
      <c r="Z13115" s="372">
        <v>0.0</v>
      </c>
    </row>
    <row r="13116">
      <c r="Y13116" s="372">
        <v>0.0</v>
      </c>
      <c r="Z13116" s="372">
        <v>0.0</v>
      </c>
    </row>
    <row r="13117">
      <c r="Y13117" s="372">
        <v>0.0</v>
      </c>
      <c r="Z13117" s="372">
        <v>0.0</v>
      </c>
    </row>
    <row r="13118">
      <c r="Y13118" s="372">
        <v>0.0</v>
      </c>
      <c r="Z13118" s="372">
        <v>0.0</v>
      </c>
    </row>
    <row r="13119">
      <c r="Y13119" s="372">
        <v>0.0</v>
      </c>
      <c r="Z13119" s="372">
        <v>0.0</v>
      </c>
    </row>
    <row r="13120">
      <c r="Y13120" s="372">
        <v>0.0</v>
      </c>
      <c r="Z13120" s="372">
        <v>0.0</v>
      </c>
    </row>
    <row r="13121">
      <c r="Y13121" s="372">
        <v>0.0</v>
      </c>
      <c r="Z13121" s="372">
        <v>0.0</v>
      </c>
    </row>
    <row r="13122">
      <c r="Y13122" s="372">
        <v>0.0</v>
      </c>
      <c r="Z13122" s="372">
        <v>0.0</v>
      </c>
    </row>
    <row r="13123">
      <c r="Y13123" s="372">
        <v>0.0</v>
      </c>
      <c r="Z13123" s="372">
        <v>0.0</v>
      </c>
    </row>
    <row r="13124">
      <c r="Y13124" s="372">
        <v>0.0</v>
      </c>
      <c r="Z13124" s="372">
        <v>0.0</v>
      </c>
    </row>
    <row r="13125">
      <c r="Y13125" s="372">
        <v>0.0</v>
      </c>
      <c r="Z13125" s="372">
        <v>0.0</v>
      </c>
    </row>
    <row r="13126">
      <c r="Y13126" s="372">
        <v>0.0</v>
      </c>
      <c r="Z13126" s="372">
        <v>0.0</v>
      </c>
    </row>
    <row r="13127">
      <c r="Y13127" s="372">
        <v>0.0</v>
      </c>
      <c r="Z13127" s="372">
        <v>0.0</v>
      </c>
    </row>
    <row r="13128">
      <c r="Y13128" s="372">
        <v>0.0</v>
      </c>
      <c r="Z13128" s="372">
        <v>0.0</v>
      </c>
    </row>
    <row r="13129">
      <c r="Y13129" s="372">
        <v>0.0</v>
      </c>
      <c r="Z13129" s="372">
        <v>0.0</v>
      </c>
    </row>
    <row r="13130">
      <c r="Y13130" s="372">
        <v>0.0</v>
      </c>
      <c r="Z13130" s="372">
        <v>0.0</v>
      </c>
    </row>
    <row r="13131">
      <c r="Y13131" s="372">
        <v>0.0</v>
      </c>
      <c r="Z13131" s="372">
        <v>0.0</v>
      </c>
    </row>
    <row r="13132">
      <c r="Y13132" s="372">
        <v>0.0</v>
      </c>
      <c r="Z13132" s="372">
        <v>0.0</v>
      </c>
    </row>
    <row r="13133">
      <c r="Y13133" s="372">
        <v>0.0</v>
      </c>
      <c r="Z13133" s="372">
        <v>0.0</v>
      </c>
    </row>
    <row r="13134">
      <c r="Y13134" s="372">
        <v>0.0</v>
      </c>
      <c r="Z13134" s="372">
        <v>0.0</v>
      </c>
    </row>
    <row r="13135">
      <c r="Y13135" s="372">
        <v>0.0</v>
      </c>
      <c r="Z13135" s="372">
        <v>0.0</v>
      </c>
    </row>
    <row r="13136">
      <c r="Y13136" s="372">
        <v>0.0</v>
      </c>
      <c r="Z13136" s="372">
        <v>0.0</v>
      </c>
    </row>
    <row r="13137">
      <c r="Y13137" s="372">
        <v>0.0</v>
      </c>
      <c r="Z13137" s="372">
        <v>0.0</v>
      </c>
    </row>
    <row r="13138">
      <c r="Y13138" s="372">
        <v>0.0</v>
      </c>
      <c r="Z13138" s="372">
        <v>0.0</v>
      </c>
    </row>
    <row r="13139">
      <c r="Y13139" s="372">
        <v>0.0</v>
      </c>
      <c r="Z13139" s="372">
        <v>0.0</v>
      </c>
    </row>
    <row r="13140">
      <c r="Y13140" s="372">
        <v>0.0</v>
      </c>
      <c r="Z13140" s="372">
        <v>0.0</v>
      </c>
    </row>
    <row r="13141">
      <c r="Y13141" s="372">
        <v>0.0</v>
      </c>
      <c r="Z13141" s="372">
        <v>0.0</v>
      </c>
    </row>
    <row r="13142">
      <c r="Y13142" s="372">
        <v>0.0</v>
      </c>
      <c r="Z13142" s="372">
        <v>0.0</v>
      </c>
    </row>
    <row r="13143">
      <c r="Y13143" s="372">
        <v>0.0</v>
      </c>
      <c r="Z13143" s="372">
        <v>0.0</v>
      </c>
    </row>
    <row r="13144">
      <c r="Y13144" s="372">
        <v>0.0</v>
      </c>
      <c r="Z13144" s="372">
        <v>0.0</v>
      </c>
    </row>
    <row r="13145">
      <c r="Y13145" s="372">
        <v>0.0</v>
      </c>
      <c r="Z13145" s="372">
        <v>0.0</v>
      </c>
    </row>
    <row r="13146">
      <c r="Y13146" s="372">
        <v>0.0</v>
      </c>
      <c r="Z13146" s="372">
        <v>0.0</v>
      </c>
    </row>
    <row r="13147">
      <c r="Y13147" s="372">
        <v>0.0</v>
      </c>
      <c r="Z13147" s="372">
        <v>0.0</v>
      </c>
    </row>
    <row r="13148">
      <c r="Y13148" s="372">
        <v>0.0</v>
      </c>
      <c r="Z13148" s="372">
        <v>0.0</v>
      </c>
    </row>
    <row r="13149">
      <c r="Y13149" s="372">
        <v>0.0</v>
      </c>
      <c r="Z13149" s="372">
        <v>0.0</v>
      </c>
    </row>
    <row r="13150">
      <c r="Y13150" s="372">
        <v>0.0</v>
      </c>
      <c r="Z13150" s="372">
        <v>0.0</v>
      </c>
    </row>
    <row r="13151">
      <c r="Y13151" s="372">
        <v>0.0</v>
      </c>
      <c r="Z13151" s="372">
        <v>0.0</v>
      </c>
    </row>
    <row r="13152">
      <c r="Y13152" s="372">
        <v>0.0</v>
      </c>
      <c r="Z13152" s="372">
        <v>0.0</v>
      </c>
    </row>
    <row r="13153">
      <c r="Y13153" s="372">
        <v>0.0</v>
      </c>
      <c r="Z13153" s="372">
        <v>0.0</v>
      </c>
    </row>
    <row r="13154">
      <c r="Y13154" s="372">
        <v>0.0</v>
      </c>
      <c r="Z13154" s="372">
        <v>0.0</v>
      </c>
    </row>
    <row r="13155">
      <c r="Y13155" s="372">
        <v>0.0</v>
      </c>
      <c r="Z13155" s="372">
        <v>0.0</v>
      </c>
    </row>
    <row r="13156">
      <c r="Y13156" s="372">
        <v>0.0</v>
      </c>
      <c r="Z13156" s="372">
        <v>0.0</v>
      </c>
    </row>
    <row r="13157">
      <c r="Y13157" s="372">
        <v>0.0</v>
      </c>
      <c r="Z13157" s="372">
        <v>0.0</v>
      </c>
    </row>
    <row r="13158">
      <c r="Y13158" s="372">
        <v>0.0</v>
      </c>
      <c r="Z13158" s="372">
        <v>0.0</v>
      </c>
    </row>
    <row r="13159">
      <c r="Y13159" s="372">
        <v>0.0</v>
      </c>
      <c r="Z13159" s="372">
        <v>0.0</v>
      </c>
    </row>
    <row r="13160">
      <c r="Y13160" s="372">
        <v>0.0</v>
      </c>
      <c r="Z13160" s="372">
        <v>0.0</v>
      </c>
    </row>
    <row r="13161">
      <c r="Y13161" s="372">
        <v>0.0</v>
      </c>
      <c r="Z13161" s="372">
        <v>0.0</v>
      </c>
    </row>
    <row r="13162">
      <c r="Y13162" s="372">
        <v>0.0</v>
      </c>
      <c r="Z13162" s="372">
        <v>0.0</v>
      </c>
    </row>
    <row r="13163">
      <c r="Y13163" s="372">
        <v>0.0</v>
      </c>
      <c r="Z13163" s="372">
        <v>0.0</v>
      </c>
    </row>
    <row r="13164">
      <c r="Y13164" s="372">
        <v>0.0</v>
      </c>
      <c r="Z13164" s="372">
        <v>0.0</v>
      </c>
    </row>
    <row r="13165">
      <c r="Y13165" s="372">
        <v>0.0</v>
      </c>
      <c r="Z13165" s="372">
        <v>0.0</v>
      </c>
    </row>
    <row r="13166">
      <c r="Y13166" s="372">
        <v>0.0</v>
      </c>
      <c r="Z13166" s="372">
        <v>0.0</v>
      </c>
    </row>
    <row r="13167">
      <c r="Y13167" s="372">
        <v>0.0</v>
      </c>
      <c r="Z13167" s="372">
        <v>0.0</v>
      </c>
    </row>
    <row r="13168">
      <c r="Y13168" s="372">
        <v>0.0</v>
      </c>
      <c r="Z13168" s="372">
        <v>0.0</v>
      </c>
    </row>
    <row r="13169">
      <c r="Y13169" s="372">
        <v>0.0</v>
      </c>
      <c r="Z13169" s="372">
        <v>0.0</v>
      </c>
    </row>
    <row r="13170">
      <c r="Y13170" s="372">
        <v>0.0</v>
      </c>
      <c r="Z13170" s="372">
        <v>0.0</v>
      </c>
    </row>
    <row r="13171">
      <c r="Y13171" s="372">
        <v>0.0</v>
      </c>
      <c r="Z13171" s="372">
        <v>0.0</v>
      </c>
    </row>
    <row r="13172">
      <c r="Y13172" s="372">
        <v>0.0</v>
      </c>
      <c r="Z13172" s="372">
        <v>0.0</v>
      </c>
    </row>
    <row r="13173">
      <c r="Y13173" s="372">
        <v>0.0</v>
      </c>
      <c r="Z13173" s="372">
        <v>0.0</v>
      </c>
    </row>
    <row r="13174">
      <c r="Y13174" s="372">
        <v>0.0</v>
      </c>
      <c r="Z13174" s="372">
        <v>0.0</v>
      </c>
    </row>
    <row r="13175">
      <c r="Y13175" s="372">
        <v>0.0</v>
      </c>
      <c r="Z13175" s="372">
        <v>0.0</v>
      </c>
    </row>
    <row r="13176">
      <c r="Y13176" s="372">
        <v>0.0</v>
      </c>
      <c r="Z13176" s="372">
        <v>0.0</v>
      </c>
    </row>
    <row r="13177">
      <c r="Y13177" s="372">
        <v>0.0</v>
      </c>
      <c r="Z13177" s="372">
        <v>0.0</v>
      </c>
    </row>
    <row r="13178">
      <c r="Y13178" s="372">
        <v>0.0</v>
      </c>
      <c r="Z13178" s="372">
        <v>0.0</v>
      </c>
    </row>
    <row r="13179">
      <c r="Y13179" s="372">
        <v>0.0</v>
      </c>
      <c r="Z13179" s="372">
        <v>0.0</v>
      </c>
    </row>
    <row r="13180">
      <c r="Y13180" s="372">
        <v>0.0</v>
      </c>
      <c r="Z13180" s="372">
        <v>0.0</v>
      </c>
    </row>
    <row r="13181">
      <c r="Y13181" s="372">
        <v>0.0</v>
      </c>
      <c r="Z13181" s="372">
        <v>0.0</v>
      </c>
    </row>
    <row r="13182">
      <c r="Y13182" s="372">
        <v>0.0</v>
      </c>
      <c r="Z13182" s="372">
        <v>0.0</v>
      </c>
    </row>
    <row r="13183">
      <c r="Y13183" s="372">
        <v>0.0</v>
      </c>
      <c r="Z13183" s="372">
        <v>0.0</v>
      </c>
    </row>
    <row r="13184">
      <c r="Y13184" s="372">
        <v>0.0</v>
      </c>
      <c r="Z13184" s="372">
        <v>0.0</v>
      </c>
    </row>
    <row r="13185">
      <c r="Y13185" s="372">
        <v>0.0</v>
      </c>
      <c r="Z13185" s="372">
        <v>0.0</v>
      </c>
    </row>
    <row r="13186">
      <c r="Y13186" s="372">
        <v>0.0</v>
      </c>
      <c r="Z13186" s="372">
        <v>0.0</v>
      </c>
    </row>
    <row r="13187">
      <c r="Y13187" s="372">
        <v>0.0</v>
      </c>
      <c r="Z13187" s="372">
        <v>0.0</v>
      </c>
    </row>
    <row r="13188">
      <c r="Y13188" s="372">
        <v>0.0</v>
      </c>
      <c r="Z13188" s="372">
        <v>0.0</v>
      </c>
    </row>
    <row r="13189">
      <c r="Y13189" s="372">
        <v>0.0</v>
      </c>
      <c r="Z13189" s="372">
        <v>0.0</v>
      </c>
    </row>
    <row r="13190">
      <c r="Y13190" s="372">
        <v>0.0</v>
      </c>
      <c r="Z13190" s="372">
        <v>0.0</v>
      </c>
    </row>
    <row r="13191">
      <c r="Y13191" s="372">
        <v>0.0</v>
      </c>
      <c r="Z13191" s="372">
        <v>0.0</v>
      </c>
    </row>
    <row r="13192">
      <c r="Y13192" s="372">
        <v>0.0</v>
      </c>
      <c r="Z13192" s="372">
        <v>0.0</v>
      </c>
    </row>
    <row r="13193">
      <c r="Y13193" s="372">
        <v>0.0</v>
      </c>
      <c r="Z13193" s="372">
        <v>0.0</v>
      </c>
    </row>
    <row r="13194">
      <c r="Y13194" s="372">
        <v>0.0</v>
      </c>
      <c r="Z13194" s="372">
        <v>0.0</v>
      </c>
    </row>
    <row r="13195">
      <c r="Y13195" s="372">
        <v>0.0</v>
      </c>
      <c r="Z13195" s="372">
        <v>0.0</v>
      </c>
    </row>
    <row r="13196">
      <c r="Y13196" s="372">
        <v>0.0</v>
      </c>
      <c r="Z13196" s="372">
        <v>0.0</v>
      </c>
    </row>
    <row r="13197">
      <c r="Y13197" s="372">
        <v>0.0</v>
      </c>
      <c r="Z13197" s="372">
        <v>0.0</v>
      </c>
    </row>
    <row r="13198">
      <c r="Y13198" s="372">
        <v>0.0</v>
      </c>
      <c r="Z13198" s="372">
        <v>0.0</v>
      </c>
    </row>
    <row r="13199">
      <c r="Y13199" s="372">
        <v>0.0</v>
      </c>
      <c r="Z13199" s="372">
        <v>0.0</v>
      </c>
    </row>
    <row r="13200">
      <c r="Y13200" s="372">
        <v>0.0</v>
      </c>
      <c r="Z13200" s="372">
        <v>0.0</v>
      </c>
    </row>
    <row r="13201">
      <c r="Y13201" s="372">
        <v>0.0</v>
      </c>
      <c r="Z13201" s="372">
        <v>0.0</v>
      </c>
    </row>
    <row r="13202">
      <c r="Y13202" s="372">
        <v>0.0</v>
      </c>
      <c r="Z13202" s="372">
        <v>0.0</v>
      </c>
    </row>
    <row r="13203">
      <c r="Y13203" s="372">
        <v>0.0</v>
      </c>
      <c r="Z13203" s="372">
        <v>0.0</v>
      </c>
    </row>
    <row r="13204">
      <c r="Y13204" s="372">
        <v>0.0</v>
      </c>
      <c r="Z13204" s="372">
        <v>0.0</v>
      </c>
    </row>
    <row r="13205">
      <c r="Y13205" s="372">
        <v>0.0</v>
      </c>
      <c r="Z13205" s="372">
        <v>0.0</v>
      </c>
    </row>
    <row r="13206">
      <c r="Y13206" s="372">
        <v>0.0</v>
      </c>
      <c r="Z13206" s="372">
        <v>0.0</v>
      </c>
    </row>
    <row r="13207">
      <c r="Y13207" s="372">
        <v>0.0</v>
      </c>
      <c r="Z13207" s="372">
        <v>0.0</v>
      </c>
    </row>
    <row r="13208">
      <c r="Y13208" s="372">
        <v>0.0</v>
      </c>
      <c r="Z13208" s="372">
        <v>0.0</v>
      </c>
    </row>
    <row r="13209">
      <c r="Y13209" s="372">
        <v>0.0</v>
      </c>
      <c r="Z13209" s="372">
        <v>0.0</v>
      </c>
    </row>
    <row r="13210">
      <c r="Y13210" s="372">
        <v>0.0</v>
      </c>
      <c r="Z13210" s="372">
        <v>0.0</v>
      </c>
    </row>
    <row r="13211">
      <c r="Y13211" s="372">
        <v>0.0</v>
      </c>
      <c r="Z13211" s="372">
        <v>0.0</v>
      </c>
    </row>
    <row r="13212">
      <c r="Y13212" s="372">
        <v>0.0</v>
      </c>
      <c r="Z13212" s="372">
        <v>0.0</v>
      </c>
    </row>
    <row r="13213">
      <c r="Y13213" s="372">
        <v>0.0</v>
      </c>
      <c r="Z13213" s="372">
        <v>0.0</v>
      </c>
    </row>
    <row r="13214">
      <c r="Y13214" s="372">
        <v>0.0</v>
      </c>
      <c r="Z13214" s="372">
        <v>0.0</v>
      </c>
    </row>
    <row r="13215">
      <c r="Y13215" s="372">
        <v>0.0</v>
      </c>
      <c r="Z13215" s="372">
        <v>0.0</v>
      </c>
    </row>
    <row r="13216">
      <c r="Y13216" s="372">
        <v>0.0</v>
      </c>
      <c r="Z13216" s="372">
        <v>0.0</v>
      </c>
    </row>
    <row r="13217">
      <c r="Y13217" s="372">
        <v>0.0</v>
      </c>
      <c r="Z13217" s="372">
        <v>0.0</v>
      </c>
    </row>
    <row r="13218">
      <c r="Y13218" s="372">
        <v>0.0</v>
      </c>
      <c r="Z13218" s="372">
        <v>0.0</v>
      </c>
    </row>
    <row r="13219">
      <c r="Y13219" s="372">
        <v>0.0</v>
      </c>
      <c r="Z13219" s="372">
        <v>0.0</v>
      </c>
    </row>
    <row r="13220">
      <c r="Y13220" s="372">
        <v>0.0</v>
      </c>
      <c r="Z13220" s="372">
        <v>0.0</v>
      </c>
    </row>
    <row r="13221">
      <c r="Y13221" s="372">
        <v>0.0</v>
      </c>
      <c r="Z13221" s="372">
        <v>0.0</v>
      </c>
    </row>
    <row r="13222">
      <c r="Y13222" s="372">
        <v>0.0</v>
      </c>
      <c r="Z13222" s="372">
        <v>0.0</v>
      </c>
    </row>
    <row r="13223">
      <c r="Y13223" s="372">
        <v>0.0</v>
      </c>
      <c r="Z13223" s="372">
        <v>0.0</v>
      </c>
    </row>
    <row r="13224">
      <c r="Y13224" s="372">
        <v>0.0</v>
      </c>
      <c r="Z13224" s="372">
        <v>0.0</v>
      </c>
    </row>
    <row r="13225">
      <c r="Y13225" s="372">
        <v>0.0</v>
      </c>
      <c r="Z13225" s="372">
        <v>0.0</v>
      </c>
    </row>
    <row r="13226">
      <c r="Y13226" s="372">
        <v>0.0</v>
      </c>
      <c r="Z13226" s="372">
        <v>0.0</v>
      </c>
    </row>
    <row r="13227">
      <c r="Y13227" s="372">
        <v>0.0</v>
      </c>
      <c r="Z13227" s="372">
        <v>0.0</v>
      </c>
    </row>
    <row r="13228">
      <c r="Y13228" s="372">
        <v>0.0</v>
      </c>
      <c r="Z13228" s="372">
        <v>0.0</v>
      </c>
    </row>
    <row r="13229">
      <c r="Y13229" s="372">
        <v>0.0</v>
      </c>
      <c r="Z13229" s="372">
        <v>0.0</v>
      </c>
    </row>
    <row r="13230">
      <c r="Y13230" s="372">
        <v>0.0</v>
      </c>
      <c r="Z13230" s="372">
        <v>0.0</v>
      </c>
    </row>
    <row r="13231">
      <c r="Y13231" s="372">
        <v>0.0</v>
      </c>
      <c r="Z13231" s="372">
        <v>0.0</v>
      </c>
    </row>
    <row r="13232">
      <c r="Y13232" s="372">
        <v>0.0</v>
      </c>
      <c r="Z13232" s="372">
        <v>0.0</v>
      </c>
    </row>
    <row r="13233">
      <c r="Y13233" s="372">
        <v>0.0</v>
      </c>
      <c r="Z13233" s="372">
        <v>0.0</v>
      </c>
    </row>
    <row r="13234">
      <c r="Y13234" s="372">
        <v>0.0</v>
      </c>
      <c r="Z13234" s="372">
        <v>0.0</v>
      </c>
    </row>
    <row r="13235">
      <c r="Y13235" s="372">
        <v>0.0</v>
      </c>
      <c r="Z13235" s="372">
        <v>0.0</v>
      </c>
    </row>
    <row r="13236">
      <c r="Y13236" s="372">
        <v>0.0</v>
      </c>
      <c r="Z13236" s="372">
        <v>0.0</v>
      </c>
    </row>
    <row r="13237">
      <c r="Y13237" s="372">
        <v>0.0</v>
      </c>
      <c r="Z13237" s="372">
        <v>0.0</v>
      </c>
    </row>
    <row r="13238">
      <c r="Y13238" s="372">
        <v>0.0</v>
      </c>
      <c r="Z13238" s="372">
        <v>0.0</v>
      </c>
    </row>
    <row r="13239">
      <c r="Y13239" s="372">
        <v>0.0</v>
      </c>
      <c r="Z13239" s="372">
        <v>0.0</v>
      </c>
    </row>
    <row r="13240">
      <c r="Y13240" s="372">
        <v>0.0</v>
      </c>
      <c r="Z13240" s="372">
        <v>0.0</v>
      </c>
    </row>
    <row r="13241">
      <c r="Y13241" s="372">
        <v>0.0</v>
      </c>
      <c r="Z13241" s="372">
        <v>0.0</v>
      </c>
    </row>
    <row r="13242">
      <c r="Y13242" s="372">
        <v>0.0</v>
      </c>
      <c r="Z13242" s="372">
        <v>0.0</v>
      </c>
    </row>
    <row r="13243">
      <c r="Y13243" s="372">
        <v>0.0</v>
      </c>
      <c r="Z13243" s="372">
        <v>0.0</v>
      </c>
    </row>
    <row r="13244">
      <c r="Y13244" s="372">
        <v>0.0</v>
      </c>
      <c r="Z13244" s="372">
        <v>0.0</v>
      </c>
    </row>
    <row r="13245">
      <c r="Y13245" s="372">
        <v>0.0</v>
      </c>
      <c r="Z13245" s="372">
        <v>0.0</v>
      </c>
    </row>
    <row r="13246">
      <c r="Y13246" s="372">
        <v>0.0</v>
      </c>
      <c r="Z13246" s="372">
        <v>0.0</v>
      </c>
    </row>
    <row r="13247">
      <c r="Y13247" s="372">
        <v>0.0</v>
      </c>
      <c r="Z13247" s="372">
        <v>0.0</v>
      </c>
    </row>
    <row r="13248">
      <c r="Y13248" s="372">
        <v>0.0</v>
      </c>
      <c r="Z13248" s="372">
        <v>0.0</v>
      </c>
    </row>
    <row r="13249">
      <c r="Y13249" s="372">
        <v>0.0</v>
      </c>
      <c r="Z13249" s="372">
        <v>0.0</v>
      </c>
    </row>
    <row r="13250">
      <c r="Y13250" s="372">
        <v>0.0</v>
      </c>
      <c r="Z13250" s="372">
        <v>0.0</v>
      </c>
    </row>
    <row r="13251">
      <c r="Y13251" s="372">
        <v>0.0</v>
      </c>
      <c r="Z13251" s="372">
        <v>0.0</v>
      </c>
    </row>
    <row r="13252">
      <c r="Y13252" s="372">
        <v>0.0</v>
      </c>
      <c r="Z13252" s="372">
        <v>0.0</v>
      </c>
    </row>
    <row r="13253">
      <c r="Y13253" s="372">
        <v>0.0</v>
      </c>
      <c r="Z13253" s="372">
        <v>0.0</v>
      </c>
    </row>
    <row r="13254">
      <c r="Y13254" s="372">
        <v>0.0</v>
      </c>
      <c r="Z13254" s="372">
        <v>0.0</v>
      </c>
    </row>
    <row r="13255">
      <c r="Y13255" s="372">
        <v>0.0</v>
      </c>
      <c r="Z13255" s="372">
        <v>0.0</v>
      </c>
    </row>
    <row r="13256">
      <c r="Y13256" s="372">
        <v>0.0</v>
      </c>
      <c r="Z13256" s="372">
        <v>0.0</v>
      </c>
    </row>
    <row r="13257">
      <c r="Y13257" s="372">
        <v>0.0</v>
      </c>
      <c r="Z13257" s="372">
        <v>0.0</v>
      </c>
    </row>
    <row r="13258">
      <c r="Y13258" s="372">
        <v>0.0</v>
      </c>
      <c r="Z13258" s="372">
        <v>0.0</v>
      </c>
    </row>
    <row r="13259">
      <c r="Y13259" s="372">
        <v>0.0</v>
      </c>
      <c r="Z13259" s="372">
        <v>0.0</v>
      </c>
    </row>
    <row r="13260">
      <c r="Y13260" s="372">
        <v>0.0</v>
      </c>
      <c r="Z13260" s="372">
        <v>0.0</v>
      </c>
    </row>
    <row r="13261">
      <c r="Y13261" s="372">
        <v>0.0</v>
      </c>
      <c r="Z13261" s="372">
        <v>0.0</v>
      </c>
    </row>
    <row r="13262">
      <c r="Y13262" s="372">
        <v>0.0</v>
      </c>
      <c r="Z13262" s="372">
        <v>0.0</v>
      </c>
    </row>
    <row r="13263">
      <c r="Y13263" s="372">
        <v>0.0</v>
      </c>
      <c r="Z13263" s="372">
        <v>0.0</v>
      </c>
    </row>
    <row r="13264">
      <c r="Y13264" s="372">
        <v>0.0</v>
      </c>
      <c r="Z13264" s="372">
        <v>0.0</v>
      </c>
    </row>
    <row r="13265">
      <c r="Y13265" s="372">
        <v>0.0</v>
      </c>
      <c r="Z13265" s="372">
        <v>0.0</v>
      </c>
    </row>
    <row r="13266">
      <c r="Y13266" s="372">
        <v>0.0</v>
      </c>
      <c r="Z13266" s="372">
        <v>0.0</v>
      </c>
    </row>
    <row r="13267">
      <c r="Y13267" s="372">
        <v>0.0</v>
      </c>
      <c r="Z13267" s="372">
        <v>0.0</v>
      </c>
    </row>
    <row r="13268">
      <c r="Y13268" s="372">
        <v>0.0</v>
      </c>
      <c r="Z13268" s="372">
        <v>0.0</v>
      </c>
    </row>
    <row r="13269">
      <c r="Y13269" s="372">
        <v>0.0</v>
      </c>
      <c r="Z13269" s="372">
        <v>0.0</v>
      </c>
    </row>
    <row r="13270">
      <c r="Y13270" s="372">
        <v>0.0</v>
      </c>
      <c r="Z13270" s="372">
        <v>0.0</v>
      </c>
    </row>
    <row r="13271">
      <c r="Y13271" s="372">
        <v>0.0</v>
      </c>
      <c r="Z13271" s="372">
        <v>0.0</v>
      </c>
    </row>
    <row r="13272">
      <c r="Y13272" s="372">
        <v>0.0</v>
      </c>
      <c r="Z13272" s="372">
        <v>0.0</v>
      </c>
    </row>
    <row r="13273">
      <c r="Y13273" s="372">
        <v>0.0</v>
      </c>
      <c r="Z13273" s="372">
        <v>0.0</v>
      </c>
    </row>
    <row r="13274">
      <c r="Y13274" s="372">
        <v>0.0</v>
      </c>
      <c r="Z13274" s="372">
        <v>0.0</v>
      </c>
    </row>
    <row r="13275">
      <c r="Y13275" s="372">
        <v>0.0</v>
      </c>
      <c r="Z13275" s="372">
        <v>0.0</v>
      </c>
    </row>
    <row r="13276">
      <c r="Y13276" s="372">
        <v>0.0</v>
      </c>
      <c r="Z13276" s="372">
        <v>0.0</v>
      </c>
    </row>
    <row r="13277">
      <c r="Y13277" s="372">
        <v>0.0</v>
      </c>
      <c r="Z13277" s="372">
        <v>0.0</v>
      </c>
    </row>
    <row r="13278">
      <c r="Y13278" s="372">
        <v>0.0</v>
      </c>
      <c r="Z13278" s="372">
        <v>0.0</v>
      </c>
    </row>
    <row r="13279">
      <c r="Y13279" s="372">
        <v>0.0</v>
      </c>
      <c r="Z13279" s="372">
        <v>0.0</v>
      </c>
    </row>
    <row r="13280">
      <c r="Y13280" s="372">
        <v>0.0</v>
      </c>
      <c r="Z13280" s="372">
        <v>0.0</v>
      </c>
    </row>
    <row r="13281">
      <c r="Y13281" s="372">
        <v>0.0</v>
      </c>
      <c r="Z13281" s="372">
        <v>0.0</v>
      </c>
    </row>
    <row r="13282">
      <c r="Y13282" s="372">
        <v>0.0</v>
      </c>
      <c r="Z13282" s="372">
        <v>0.0</v>
      </c>
    </row>
    <row r="13283">
      <c r="Y13283" s="372">
        <v>0.0</v>
      </c>
      <c r="Z13283" s="372">
        <v>0.0</v>
      </c>
    </row>
    <row r="13284">
      <c r="Y13284" s="372">
        <v>0.0</v>
      </c>
      <c r="Z13284" s="372">
        <v>0.0</v>
      </c>
    </row>
    <row r="13285">
      <c r="Y13285" s="372">
        <v>0.0</v>
      </c>
      <c r="Z13285" s="372">
        <v>0.0</v>
      </c>
    </row>
    <row r="13286">
      <c r="Y13286" s="372">
        <v>0.0</v>
      </c>
      <c r="Z13286" s="372">
        <v>0.0</v>
      </c>
    </row>
    <row r="13287">
      <c r="Y13287" s="372">
        <v>0.0</v>
      </c>
      <c r="Z13287" s="372">
        <v>0.0</v>
      </c>
    </row>
    <row r="13288">
      <c r="Y13288" s="372">
        <v>0.0</v>
      </c>
      <c r="Z13288" s="372">
        <v>0.0</v>
      </c>
    </row>
    <row r="13289">
      <c r="Y13289" s="372">
        <v>0.0</v>
      </c>
      <c r="Z13289" s="372">
        <v>0.0</v>
      </c>
    </row>
    <row r="13290">
      <c r="Y13290" s="372">
        <v>0.0</v>
      </c>
      <c r="Z13290" s="372">
        <v>0.0</v>
      </c>
    </row>
    <row r="13291">
      <c r="Y13291" s="372">
        <v>0.0</v>
      </c>
      <c r="Z13291" s="372">
        <v>0.0</v>
      </c>
    </row>
    <row r="13292">
      <c r="Y13292" s="372">
        <v>0.0</v>
      </c>
      <c r="Z13292" s="372">
        <v>0.0</v>
      </c>
    </row>
    <row r="13293">
      <c r="Y13293" s="372">
        <v>0.0</v>
      </c>
      <c r="Z13293" s="372">
        <v>0.0</v>
      </c>
    </row>
    <row r="13294">
      <c r="Y13294" s="372">
        <v>0.0</v>
      </c>
      <c r="Z13294" s="372">
        <v>0.0</v>
      </c>
    </row>
    <row r="13295">
      <c r="Y13295" s="372">
        <v>0.0</v>
      </c>
      <c r="Z13295" s="372">
        <v>0.0</v>
      </c>
    </row>
    <row r="13296">
      <c r="Y13296" s="372">
        <v>0.0</v>
      </c>
      <c r="Z13296" s="372">
        <v>0.0</v>
      </c>
    </row>
    <row r="13297">
      <c r="Y13297" s="372">
        <v>0.0</v>
      </c>
      <c r="Z13297" s="372">
        <v>0.0</v>
      </c>
    </row>
    <row r="13298">
      <c r="Y13298" s="372">
        <v>0.0</v>
      </c>
      <c r="Z13298" s="372">
        <v>0.0</v>
      </c>
    </row>
    <row r="13299">
      <c r="Y13299" s="372">
        <v>0.0</v>
      </c>
      <c r="Z13299" s="372">
        <v>0.0</v>
      </c>
    </row>
    <row r="13300">
      <c r="Y13300" s="372">
        <v>0.0</v>
      </c>
      <c r="Z13300" s="372">
        <v>0.0</v>
      </c>
    </row>
    <row r="13301">
      <c r="Y13301" s="372">
        <v>0.0</v>
      </c>
      <c r="Z13301" s="372">
        <v>0.0</v>
      </c>
    </row>
    <row r="13302">
      <c r="Y13302" s="372">
        <v>0.0</v>
      </c>
      <c r="Z13302" s="372">
        <v>0.0</v>
      </c>
    </row>
    <row r="13303">
      <c r="Y13303" s="372">
        <v>0.0</v>
      </c>
      <c r="Z13303" s="372">
        <v>0.0</v>
      </c>
    </row>
    <row r="13304">
      <c r="Y13304" s="372">
        <v>0.0</v>
      </c>
      <c r="Z13304" s="372">
        <v>0.0</v>
      </c>
    </row>
    <row r="13305">
      <c r="Y13305" s="372">
        <v>0.0</v>
      </c>
      <c r="Z13305" s="372">
        <v>0.0</v>
      </c>
    </row>
    <row r="13306">
      <c r="Y13306" s="372">
        <v>0.0</v>
      </c>
      <c r="Z13306" s="372">
        <v>0.0</v>
      </c>
    </row>
    <row r="13307">
      <c r="Y13307" s="372">
        <v>0.0</v>
      </c>
      <c r="Z13307" s="372">
        <v>0.0</v>
      </c>
    </row>
    <row r="13308">
      <c r="Y13308" s="372">
        <v>0.0</v>
      </c>
      <c r="Z13308" s="372">
        <v>0.0</v>
      </c>
    </row>
    <row r="13309">
      <c r="Y13309" s="372">
        <v>0.0</v>
      </c>
      <c r="Z13309" s="372">
        <v>0.0</v>
      </c>
    </row>
    <row r="13310">
      <c r="Y13310" s="372">
        <v>0.0</v>
      </c>
      <c r="Z13310" s="372">
        <v>0.0</v>
      </c>
    </row>
    <row r="13311">
      <c r="Y13311" s="372">
        <v>0.0</v>
      </c>
      <c r="Z13311" s="372">
        <v>0.0</v>
      </c>
    </row>
    <row r="13312">
      <c r="Y13312" s="372">
        <v>0.0</v>
      </c>
      <c r="Z13312" s="372">
        <v>0.0</v>
      </c>
    </row>
    <row r="13313">
      <c r="Y13313" s="372">
        <v>0.0</v>
      </c>
      <c r="Z13313" s="372">
        <v>0.0</v>
      </c>
    </row>
    <row r="13314">
      <c r="Y13314" s="372">
        <v>0.0</v>
      </c>
      <c r="Z13314" s="372">
        <v>0.0</v>
      </c>
    </row>
    <row r="13315">
      <c r="Y13315" s="372">
        <v>0.0</v>
      </c>
      <c r="Z13315" s="372">
        <v>0.0</v>
      </c>
    </row>
    <row r="13316">
      <c r="Y13316" s="372">
        <v>0.0</v>
      </c>
      <c r="Z13316" s="372">
        <v>0.0</v>
      </c>
    </row>
    <row r="13317">
      <c r="Y13317" s="372">
        <v>0.0</v>
      </c>
      <c r="Z13317" s="372">
        <v>0.0</v>
      </c>
    </row>
    <row r="13318">
      <c r="Y13318" s="372">
        <v>0.0</v>
      </c>
      <c r="Z13318" s="372">
        <v>0.0</v>
      </c>
    </row>
    <row r="13319">
      <c r="Y13319" s="372">
        <v>0.0</v>
      </c>
      <c r="Z13319" s="372">
        <v>0.0</v>
      </c>
    </row>
    <row r="13320">
      <c r="Y13320" s="372">
        <v>0.0</v>
      </c>
      <c r="Z13320" s="372">
        <v>0.0</v>
      </c>
    </row>
    <row r="13321">
      <c r="Y13321" s="372">
        <v>0.0</v>
      </c>
      <c r="Z13321" s="372">
        <v>0.0</v>
      </c>
    </row>
    <row r="13322">
      <c r="Y13322" s="372">
        <v>0.0</v>
      </c>
      <c r="Z13322" s="372">
        <v>0.0</v>
      </c>
    </row>
    <row r="13323">
      <c r="Y13323" s="372">
        <v>0.0</v>
      </c>
      <c r="Z13323" s="372">
        <v>0.0</v>
      </c>
    </row>
    <row r="13324">
      <c r="Y13324" s="372">
        <v>0.0</v>
      </c>
      <c r="Z13324" s="372">
        <v>0.0</v>
      </c>
    </row>
    <row r="13325">
      <c r="Y13325" s="372">
        <v>0.0</v>
      </c>
      <c r="Z13325" s="372">
        <v>0.0</v>
      </c>
    </row>
    <row r="13326">
      <c r="Y13326" s="372">
        <v>0.0</v>
      </c>
      <c r="Z13326" s="372">
        <v>0.0</v>
      </c>
    </row>
    <row r="13327">
      <c r="Y13327" s="372">
        <v>0.0</v>
      </c>
      <c r="Z13327" s="372">
        <v>0.0</v>
      </c>
    </row>
    <row r="13328">
      <c r="Y13328" s="372">
        <v>0.0</v>
      </c>
      <c r="Z13328" s="372">
        <v>0.0</v>
      </c>
    </row>
    <row r="13329">
      <c r="Y13329" s="372">
        <v>0.0</v>
      </c>
      <c r="Z13329" s="372">
        <v>0.0</v>
      </c>
    </row>
    <row r="13330">
      <c r="Y13330" s="372">
        <v>0.0</v>
      </c>
      <c r="Z13330" s="372">
        <v>0.0</v>
      </c>
    </row>
    <row r="13331">
      <c r="Y13331" s="372">
        <v>0.0</v>
      </c>
      <c r="Z13331" s="372">
        <v>0.0</v>
      </c>
    </row>
    <row r="13332">
      <c r="Y13332" s="372">
        <v>0.0</v>
      </c>
      <c r="Z13332" s="372">
        <v>0.0</v>
      </c>
    </row>
    <row r="13333">
      <c r="Y13333" s="372">
        <v>0.0</v>
      </c>
      <c r="Z13333" s="372">
        <v>0.0</v>
      </c>
    </row>
    <row r="13334">
      <c r="Y13334" s="372">
        <v>0.0</v>
      </c>
      <c r="Z13334" s="372">
        <v>0.0</v>
      </c>
    </row>
    <row r="13335">
      <c r="Y13335" s="372">
        <v>0.0</v>
      </c>
      <c r="Z13335" s="372">
        <v>0.0</v>
      </c>
    </row>
    <row r="13336">
      <c r="Y13336" s="372">
        <v>0.0</v>
      </c>
      <c r="Z13336" s="372">
        <v>0.0</v>
      </c>
    </row>
    <row r="13337">
      <c r="Y13337" s="372">
        <v>0.0</v>
      </c>
      <c r="Z13337" s="372">
        <v>0.0</v>
      </c>
    </row>
    <row r="13338">
      <c r="Y13338" s="372">
        <v>0.0</v>
      </c>
      <c r="Z13338" s="372">
        <v>0.0</v>
      </c>
    </row>
    <row r="13339">
      <c r="Y13339" s="372">
        <v>0.0</v>
      </c>
      <c r="Z13339" s="372">
        <v>0.0</v>
      </c>
    </row>
    <row r="13340">
      <c r="Y13340" s="372">
        <v>0.0</v>
      </c>
      <c r="Z13340" s="372">
        <v>0.0</v>
      </c>
    </row>
    <row r="13341">
      <c r="Y13341" s="372">
        <v>0.0</v>
      </c>
      <c r="Z13341" s="372">
        <v>0.0</v>
      </c>
    </row>
    <row r="13342">
      <c r="Y13342" s="372">
        <v>0.0</v>
      </c>
      <c r="Z13342" s="372">
        <v>0.0</v>
      </c>
    </row>
    <row r="13343">
      <c r="Y13343" s="372">
        <v>0.0</v>
      </c>
      <c r="Z13343" s="372">
        <v>0.0</v>
      </c>
    </row>
    <row r="13344">
      <c r="Y13344" s="372">
        <v>0.0</v>
      </c>
      <c r="Z13344" s="372">
        <v>0.0</v>
      </c>
    </row>
    <row r="13345">
      <c r="Y13345" s="372">
        <v>0.0</v>
      </c>
      <c r="Z13345" s="372">
        <v>0.0</v>
      </c>
    </row>
    <row r="13346">
      <c r="Y13346" s="372">
        <v>0.0</v>
      </c>
      <c r="Z13346" s="372">
        <v>0.0</v>
      </c>
    </row>
    <row r="13347">
      <c r="Y13347" s="372">
        <v>0.0</v>
      </c>
      <c r="Z13347" s="372">
        <v>0.0</v>
      </c>
    </row>
    <row r="13348">
      <c r="Y13348" s="372">
        <v>0.0</v>
      </c>
      <c r="Z13348" s="372">
        <v>0.0</v>
      </c>
    </row>
    <row r="13349">
      <c r="Y13349" s="372">
        <v>0.0</v>
      </c>
      <c r="Z13349" s="372">
        <v>0.0</v>
      </c>
    </row>
    <row r="13350">
      <c r="Y13350" s="372">
        <v>0.0</v>
      </c>
      <c r="Z13350" s="372">
        <v>0.0</v>
      </c>
    </row>
    <row r="13351">
      <c r="Y13351" s="372">
        <v>0.0</v>
      </c>
      <c r="Z13351" s="372">
        <v>0.0</v>
      </c>
    </row>
    <row r="13352">
      <c r="Y13352" s="372">
        <v>0.0</v>
      </c>
      <c r="Z13352" s="372">
        <v>0.0</v>
      </c>
    </row>
    <row r="13353">
      <c r="Y13353" s="372">
        <v>0.0</v>
      </c>
      <c r="Z13353" s="372">
        <v>0.0</v>
      </c>
    </row>
    <row r="13354">
      <c r="Y13354" s="372">
        <v>0.0</v>
      </c>
      <c r="Z13354" s="372">
        <v>0.0</v>
      </c>
    </row>
    <row r="13355">
      <c r="Y13355" s="372">
        <v>0.0</v>
      </c>
      <c r="Z13355" s="372">
        <v>0.0</v>
      </c>
    </row>
    <row r="13356">
      <c r="Y13356" s="372">
        <v>0.0</v>
      </c>
      <c r="Z13356" s="372">
        <v>0.0</v>
      </c>
    </row>
    <row r="13357">
      <c r="Y13357" s="372">
        <v>0.0</v>
      </c>
      <c r="Z13357" s="372">
        <v>0.0</v>
      </c>
    </row>
    <row r="13358">
      <c r="Y13358" s="372">
        <v>0.0</v>
      </c>
      <c r="Z13358" s="372">
        <v>0.0</v>
      </c>
    </row>
    <row r="13359">
      <c r="Y13359" s="372">
        <v>0.0</v>
      </c>
      <c r="Z13359" s="372">
        <v>0.0</v>
      </c>
    </row>
    <row r="13360">
      <c r="Y13360" s="372">
        <v>0.0</v>
      </c>
      <c r="Z13360" s="372">
        <v>0.0</v>
      </c>
    </row>
    <row r="13361">
      <c r="Y13361" s="372">
        <v>0.0</v>
      </c>
      <c r="Z13361" s="372">
        <v>0.0</v>
      </c>
    </row>
    <row r="13362">
      <c r="Y13362" s="372">
        <v>0.0</v>
      </c>
      <c r="Z13362" s="372">
        <v>0.0</v>
      </c>
    </row>
    <row r="13363">
      <c r="Y13363" s="372">
        <v>0.0</v>
      </c>
      <c r="Z13363" s="372">
        <v>0.0</v>
      </c>
    </row>
    <row r="13364">
      <c r="Y13364" s="372">
        <v>0.0</v>
      </c>
      <c r="Z13364" s="372">
        <v>0.0</v>
      </c>
    </row>
    <row r="13365">
      <c r="Y13365" s="372">
        <v>0.0</v>
      </c>
      <c r="Z13365" s="372">
        <v>0.0</v>
      </c>
    </row>
    <row r="13366">
      <c r="Y13366" s="372">
        <v>0.0</v>
      </c>
      <c r="Z13366" s="372">
        <v>0.0</v>
      </c>
    </row>
    <row r="13367">
      <c r="Y13367" s="372">
        <v>0.0</v>
      </c>
      <c r="Z13367" s="372">
        <v>0.0</v>
      </c>
    </row>
    <row r="13368">
      <c r="Y13368" s="372">
        <v>0.0</v>
      </c>
      <c r="Z13368" s="372">
        <v>0.0</v>
      </c>
    </row>
    <row r="13369">
      <c r="Y13369" s="372">
        <v>0.0</v>
      </c>
      <c r="Z13369" s="372">
        <v>0.0</v>
      </c>
    </row>
    <row r="13370">
      <c r="Y13370" s="372">
        <v>0.0</v>
      </c>
      <c r="Z13370" s="372">
        <v>0.0</v>
      </c>
    </row>
    <row r="13371">
      <c r="Y13371" s="372">
        <v>0.0</v>
      </c>
      <c r="Z13371" s="372">
        <v>0.0</v>
      </c>
    </row>
    <row r="13372">
      <c r="Y13372" s="372">
        <v>0.0</v>
      </c>
      <c r="Z13372" s="372">
        <v>0.0</v>
      </c>
    </row>
    <row r="13373">
      <c r="Y13373" s="372">
        <v>0.0</v>
      </c>
      <c r="Z13373" s="372">
        <v>0.0</v>
      </c>
    </row>
    <row r="13374">
      <c r="Y13374" s="372">
        <v>0.0</v>
      </c>
      <c r="Z13374" s="372">
        <v>0.0</v>
      </c>
    </row>
    <row r="13375">
      <c r="Y13375" s="372">
        <v>0.0</v>
      </c>
      <c r="Z13375" s="372">
        <v>0.0</v>
      </c>
    </row>
    <row r="13376">
      <c r="Y13376" s="372">
        <v>0.0</v>
      </c>
      <c r="Z13376" s="372">
        <v>0.0</v>
      </c>
    </row>
    <row r="13377">
      <c r="Y13377" s="372">
        <v>0.0</v>
      </c>
      <c r="Z13377" s="372">
        <v>0.0</v>
      </c>
    </row>
    <row r="13378">
      <c r="Y13378" s="372">
        <v>0.0</v>
      </c>
      <c r="Z13378" s="372">
        <v>0.0</v>
      </c>
    </row>
    <row r="13379">
      <c r="Y13379" s="372">
        <v>0.0</v>
      </c>
      <c r="Z13379" s="372">
        <v>0.0</v>
      </c>
    </row>
    <row r="13380">
      <c r="Y13380" s="372">
        <v>0.0</v>
      </c>
      <c r="Z13380" s="372">
        <v>0.0</v>
      </c>
    </row>
    <row r="13381">
      <c r="Y13381" s="372">
        <v>0.0</v>
      </c>
      <c r="Z13381" s="372">
        <v>0.0</v>
      </c>
    </row>
    <row r="13382">
      <c r="Y13382" s="372">
        <v>0.0</v>
      </c>
      <c r="Z13382" s="372">
        <v>0.0</v>
      </c>
    </row>
    <row r="13383">
      <c r="Y13383" s="372">
        <v>0.0</v>
      </c>
      <c r="Z13383" s="372">
        <v>0.0</v>
      </c>
    </row>
    <row r="13384">
      <c r="Y13384" s="372">
        <v>0.0</v>
      </c>
      <c r="Z13384" s="372">
        <v>0.0</v>
      </c>
    </row>
    <row r="13385">
      <c r="Y13385" s="372">
        <v>0.0</v>
      </c>
      <c r="Z13385" s="372">
        <v>0.0</v>
      </c>
    </row>
    <row r="13386">
      <c r="Y13386" s="372">
        <v>0.0</v>
      </c>
      <c r="Z13386" s="372">
        <v>0.0</v>
      </c>
    </row>
    <row r="13387">
      <c r="Y13387" s="372">
        <v>0.0</v>
      </c>
      <c r="Z13387" s="372">
        <v>0.0</v>
      </c>
    </row>
    <row r="13388">
      <c r="Y13388" s="372">
        <v>0.0</v>
      </c>
      <c r="Z13388" s="372">
        <v>0.0</v>
      </c>
    </row>
    <row r="13389">
      <c r="Y13389" s="372">
        <v>0.0</v>
      </c>
      <c r="Z13389" s="372">
        <v>0.0</v>
      </c>
    </row>
    <row r="13390">
      <c r="Y13390" s="372">
        <v>0.0</v>
      </c>
      <c r="Z13390" s="372">
        <v>0.0</v>
      </c>
    </row>
    <row r="13391">
      <c r="Y13391" s="372">
        <v>0.0</v>
      </c>
      <c r="Z13391" s="372">
        <v>0.0</v>
      </c>
    </row>
    <row r="13392">
      <c r="Y13392" s="372">
        <v>0.0</v>
      </c>
      <c r="Z13392" s="372">
        <v>0.0</v>
      </c>
    </row>
    <row r="13393">
      <c r="Y13393" s="372">
        <v>0.0</v>
      </c>
      <c r="Z13393" s="372">
        <v>0.0</v>
      </c>
    </row>
    <row r="13394">
      <c r="Y13394" s="372">
        <v>0.0</v>
      </c>
      <c r="Z13394" s="372">
        <v>0.0</v>
      </c>
    </row>
    <row r="13395">
      <c r="Y13395" s="372">
        <v>0.0</v>
      </c>
      <c r="Z13395" s="372">
        <v>0.0</v>
      </c>
    </row>
    <row r="13396">
      <c r="Y13396" s="372">
        <v>0.0</v>
      </c>
      <c r="Z13396" s="372">
        <v>0.0</v>
      </c>
    </row>
    <row r="13397">
      <c r="Y13397" s="372">
        <v>0.0</v>
      </c>
      <c r="Z13397" s="372">
        <v>0.0</v>
      </c>
    </row>
    <row r="13398">
      <c r="Y13398" s="372">
        <v>0.0</v>
      </c>
      <c r="Z13398" s="372">
        <v>0.0</v>
      </c>
    </row>
    <row r="13399">
      <c r="Y13399" s="372">
        <v>0.0</v>
      </c>
      <c r="Z13399" s="372">
        <v>0.0</v>
      </c>
    </row>
    <row r="13400">
      <c r="Y13400" s="372">
        <v>0.0</v>
      </c>
      <c r="Z13400" s="372">
        <v>0.0</v>
      </c>
    </row>
    <row r="13401">
      <c r="Y13401" s="372">
        <v>0.0</v>
      </c>
      <c r="Z13401" s="372">
        <v>0.0</v>
      </c>
    </row>
    <row r="13402">
      <c r="Y13402" s="372">
        <v>0.0</v>
      </c>
      <c r="Z13402" s="372">
        <v>0.0</v>
      </c>
    </row>
    <row r="13403">
      <c r="Y13403" s="372">
        <v>0.0</v>
      </c>
      <c r="Z13403" s="372">
        <v>0.0</v>
      </c>
    </row>
    <row r="13404">
      <c r="Y13404" s="372">
        <v>0.0</v>
      </c>
      <c r="Z13404" s="372">
        <v>0.0</v>
      </c>
    </row>
    <row r="13405">
      <c r="Y13405" s="372">
        <v>0.0</v>
      </c>
      <c r="Z13405" s="372">
        <v>0.0</v>
      </c>
    </row>
    <row r="13406">
      <c r="Y13406" s="372">
        <v>0.0</v>
      </c>
      <c r="Z13406" s="372">
        <v>0.0</v>
      </c>
    </row>
    <row r="13407">
      <c r="Y13407" s="372">
        <v>0.0</v>
      </c>
      <c r="Z13407" s="372">
        <v>0.0</v>
      </c>
    </row>
    <row r="13408">
      <c r="Y13408" s="372">
        <v>0.0</v>
      </c>
      <c r="Z13408" s="372">
        <v>0.0</v>
      </c>
    </row>
    <row r="13409">
      <c r="Y13409" s="372">
        <v>0.0</v>
      </c>
      <c r="Z13409" s="372">
        <v>0.0</v>
      </c>
    </row>
    <row r="13410">
      <c r="Y13410" s="372">
        <v>0.0</v>
      </c>
      <c r="Z13410" s="372">
        <v>0.0</v>
      </c>
    </row>
    <row r="13411">
      <c r="Y13411" s="372">
        <v>0.0</v>
      </c>
      <c r="Z13411" s="372">
        <v>0.0</v>
      </c>
    </row>
    <row r="13412">
      <c r="Y13412" s="372">
        <v>0.0</v>
      </c>
      <c r="Z13412" s="372">
        <v>0.0</v>
      </c>
    </row>
    <row r="13413">
      <c r="Y13413" s="372">
        <v>0.0</v>
      </c>
      <c r="Z13413" s="372">
        <v>0.0</v>
      </c>
    </row>
    <row r="13414">
      <c r="Y13414" s="372">
        <v>0.0</v>
      </c>
      <c r="Z13414" s="372">
        <v>0.0</v>
      </c>
    </row>
    <row r="13415">
      <c r="Y13415" s="372">
        <v>0.0</v>
      </c>
      <c r="Z13415" s="372">
        <v>0.0</v>
      </c>
    </row>
    <row r="13416">
      <c r="Y13416" s="372">
        <v>0.0</v>
      </c>
      <c r="Z13416" s="372">
        <v>0.0</v>
      </c>
    </row>
    <row r="13417">
      <c r="Y13417" s="372">
        <v>0.0</v>
      </c>
      <c r="Z13417" s="372">
        <v>0.0</v>
      </c>
    </row>
    <row r="13418">
      <c r="Y13418" s="372">
        <v>0.0</v>
      </c>
      <c r="Z13418" s="372">
        <v>0.0</v>
      </c>
    </row>
    <row r="13419">
      <c r="Y13419" s="372">
        <v>0.0</v>
      </c>
      <c r="Z13419" s="372">
        <v>0.0</v>
      </c>
    </row>
    <row r="13420">
      <c r="Y13420" s="372">
        <v>0.0</v>
      </c>
      <c r="Z13420" s="372">
        <v>0.0</v>
      </c>
    </row>
    <row r="13421">
      <c r="Y13421" s="372">
        <v>0.0</v>
      </c>
      <c r="Z13421" s="372">
        <v>0.0</v>
      </c>
    </row>
    <row r="13422">
      <c r="Y13422" s="372">
        <v>0.0</v>
      </c>
      <c r="Z13422" s="372">
        <v>0.0</v>
      </c>
    </row>
    <row r="13423">
      <c r="Y13423" s="372">
        <v>0.0</v>
      </c>
      <c r="Z13423" s="372">
        <v>0.0</v>
      </c>
    </row>
    <row r="13424">
      <c r="Y13424" s="372">
        <v>0.0</v>
      </c>
      <c r="Z13424" s="372">
        <v>0.0</v>
      </c>
    </row>
    <row r="13425">
      <c r="Y13425" s="372">
        <v>0.0</v>
      </c>
      <c r="Z13425" s="372">
        <v>0.0</v>
      </c>
    </row>
    <row r="13426">
      <c r="Y13426" s="372">
        <v>0.0</v>
      </c>
      <c r="Z13426" s="372">
        <v>0.0</v>
      </c>
    </row>
    <row r="13427">
      <c r="Y13427" s="372">
        <v>0.0</v>
      </c>
      <c r="Z13427" s="372">
        <v>0.0</v>
      </c>
    </row>
    <row r="13428">
      <c r="Y13428" s="372">
        <v>0.0</v>
      </c>
      <c r="Z13428" s="372">
        <v>0.0</v>
      </c>
    </row>
    <row r="13429">
      <c r="Y13429" s="372">
        <v>0.0</v>
      </c>
      <c r="Z13429" s="372">
        <v>0.0</v>
      </c>
    </row>
    <row r="13430">
      <c r="Y13430" s="372">
        <v>0.0</v>
      </c>
      <c r="Z13430" s="372">
        <v>0.0</v>
      </c>
    </row>
    <row r="13431">
      <c r="Y13431" s="372">
        <v>0.0</v>
      </c>
      <c r="Z13431" s="372">
        <v>0.0</v>
      </c>
    </row>
    <row r="13432">
      <c r="Y13432" s="372">
        <v>0.0</v>
      </c>
      <c r="Z13432" s="372">
        <v>0.0</v>
      </c>
    </row>
    <row r="13433">
      <c r="Y13433" s="372">
        <v>0.0</v>
      </c>
      <c r="Z13433" s="372">
        <v>0.0</v>
      </c>
    </row>
    <row r="13434">
      <c r="Y13434" s="372">
        <v>0.0</v>
      </c>
      <c r="Z13434" s="372">
        <v>0.0</v>
      </c>
    </row>
    <row r="13435">
      <c r="Y13435" s="372">
        <v>0.0</v>
      </c>
      <c r="Z13435" s="372">
        <v>0.0</v>
      </c>
    </row>
    <row r="13436">
      <c r="Y13436" s="372">
        <v>0.0</v>
      </c>
      <c r="Z13436" s="372">
        <v>0.0</v>
      </c>
    </row>
    <row r="13437">
      <c r="Y13437" s="372">
        <v>0.0</v>
      </c>
      <c r="Z13437" s="372">
        <v>0.0</v>
      </c>
    </row>
    <row r="13438">
      <c r="Y13438" s="372">
        <v>0.0</v>
      </c>
      <c r="Z13438" s="372">
        <v>0.0</v>
      </c>
    </row>
    <row r="13439">
      <c r="Y13439" s="372">
        <v>0.0</v>
      </c>
      <c r="Z13439" s="372">
        <v>0.0</v>
      </c>
    </row>
    <row r="13440">
      <c r="Y13440" s="372">
        <v>0.0</v>
      </c>
      <c r="Z13440" s="372">
        <v>0.0</v>
      </c>
    </row>
    <row r="13441">
      <c r="Y13441" s="372">
        <v>0.0</v>
      </c>
      <c r="Z13441" s="372">
        <v>0.0</v>
      </c>
    </row>
    <row r="13442">
      <c r="Y13442" s="372">
        <v>0.0</v>
      </c>
      <c r="Z13442" s="372">
        <v>0.0</v>
      </c>
    </row>
    <row r="13443">
      <c r="Y13443" s="372">
        <v>0.0</v>
      </c>
      <c r="Z13443" s="372">
        <v>0.0</v>
      </c>
    </row>
    <row r="13444">
      <c r="Y13444" s="372">
        <v>0.0</v>
      </c>
      <c r="Z13444" s="372">
        <v>0.0</v>
      </c>
    </row>
    <row r="13445">
      <c r="Y13445" s="372">
        <v>0.0</v>
      </c>
      <c r="Z13445" s="372">
        <v>0.0</v>
      </c>
    </row>
    <row r="13446">
      <c r="Y13446" s="372">
        <v>0.0</v>
      </c>
      <c r="Z13446" s="372">
        <v>0.0</v>
      </c>
    </row>
    <row r="13447">
      <c r="Y13447" s="372">
        <v>0.0</v>
      </c>
      <c r="Z13447" s="372">
        <v>0.0</v>
      </c>
    </row>
    <row r="13448">
      <c r="Y13448" s="372">
        <v>0.0</v>
      </c>
      <c r="Z13448" s="372">
        <v>0.0</v>
      </c>
    </row>
    <row r="13449">
      <c r="Y13449" s="372">
        <v>0.0</v>
      </c>
      <c r="Z13449" s="372">
        <v>0.0</v>
      </c>
    </row>
    <row r="13450">
      <c r="Y13450" s="372">
        <v>0.0</v>
      </c>
      <c r="Z13450" s="372">
        <v>0.0</v>
      </c>
    </row>
    <row r="13451">
      <c r="Y13451" s="372">
        <v>0.0</v>
      </c>
      <c r="Z13451" s="372">
        <v>0.0</v>
      </c>
    </row>
    <row r="13452">
      <c r="Y13452" s="372">
        <v>0.0</v>
      </c>
      <c r="Z13452" s="372">
        <v>0.0</v>
      </c>
    </row>
    <row r="13453">
      <c r="Y13453" s="372">
        <v>0.0</v>
      </c>
      <c r="Z13453" s="372">
        <v>0.0</v>
      </c>
    </row>
    <row r="13454">
      <c r="Y13454" s="372">
        <v>0.0</v>
      </c>
      <c r="Z13454" s="372">
        <v>0.0</v>
      </c>
    </row>
    <row r="13455">
      <c r="Y13455" s="372">
        <v>0.0</v>
      </c>
      <c r="Z13455" s="372">
        <v>0.0</v>
      </c>
    </row>
    <row r="13456">
      <c r="Y13456" s="372">
        <v>0.0</v>
      </c>
      <c r="Z13456" s="372">
        <v>0.0</v>
      </c>
    </row>
    <row r="13457">
      <c r="Y13457" s="372">
        <v>0.0</v>
      </c>
      <c r="Z13457" s="372">
        <v>0.0</v>
      </c>
    </row>
    <row r="13458">
      <c r="Y13458" s="372">
        <v>0.0</v>
      </c>
      <c r="Z13458" s="372">
        <v>0.0</v>
      </c>
    </row>
    <row r="13459">
      <c r="Y13459" s="372">
        <v>0.0</v>
      </c>
      <c r="Z13459" s="372">
        <v>0.0</v>
      </c>
    </row>
    <row r="13460">
      <c r="Y13460" s="372">
        <v>0.0</v>
      </c>
      <c r="Z13460" s="372">
        <v>0.0</v>
      </c>
    </row>
    <row r="13461">
      <c r="Y13461" s="372">
        <v>0.0</v>
      </c>
      <c r="Z13461" s="372">
        <v>0.0</v>
      </c>
    </row>
    <row r="13462">
      <c r="Y13462" s="372">
        <v>0.0</v>
      </c>
      <c r="Z13462" s="372">
        <v>0.0</v>
      </c>
    </row>
    <row r="13463">
      <c r="Y13463" s="372">
        <v>0.0</v>
      </c>
      <c r="Z13463" s="372">
        <v>0.0</v>
      </c>
    </row>
    <row r="13464">
      <c r="Y13464" s="372">
        <v>0.0</v>
      </c>
      <c r="Z13464" s="372">
        <v>0.0</v>
      </c>
    </row>
    <row r="13465">
      <c r="Y13465" s="372">
        <v>0.0</v>
      </c>
      <c r="Z13465" s="372">
        <v>0.0</v>
      </c>
    </row>
    <row r="13466">
      <c r="Y13466" s="372">
        <v>0.0</v>
      </c>
      <c r="Z13466" s="372">
        <v>0.0</v>
      </c>
    </row>
    <row r="13467">
      <c r="Y13467" s="372">
        <v>0.0</v>
      </c>
      <c r="Z13467" s="372">
        <v>0.0</v>
      </c>
    </row>
    <row r="13468">
      <c r="Y13468" s="372">
        <v>0.0</v>
      </c>
      <c r="Z13468" s="372">
        <v>0.0</v>
      </c>
    </row>
    <row r="13469">
      <c r="Y13469" s="372">
        <v>0.0</v>
      </c>
      <c r="Z13469" s="372">
        <v>0.0</v>
      </c>
    </row>
    <row r="13470">
      <c r="Y13470" s="372">
        <v>0.0</v>
      </c>
      <c r="Z13470" s="372">
        <v>0.0</v>
      </c>
    </row>
    <row r="13471">
      <c r="Y13471" s="372">
        <v>0.0</v>
      </c>
      <c r="Z13471" s="372">
        <v>0.0</v>
      </c>
    </row>
    <row r="13472">
      <c r="Y13472" s="372">
        <v>0.0</v>
      </c>
      <c r="Z13472" s="372">
        <v>0.0</v>
      </c>
    </row>
    <row r="13473">
      <c r="Y13473" s="372">
        <v>0.0</v>
      </c>
      <c r="Z13473" s="372">
        <v>0.0</v>
      </c>
    </row>
    <row r="13474">
      <c r="Y13474" s="372">
        <v>0.0</v>
      </c>
      <c r="Z13474" s="372">
        <v>0.0</v>
      </c>
    </row>
    <row r="13475">
      <c r="Y13475" s="372">
        <v>0.0</v>
      </c>
      <c r="Z13475" s="372">
        <v>0.0</v>
      </c>
    </row>
    <row r="13476">
      <c r="Y13476" s="372">
        <v>0.0</v>
      </c>
      <c r="Z13476" s="372">
        <v>0.0</v>
      </c>
    </row>
    <row r="13477">
      <c r="Y13477" s="372">
        <v>0.0</v>
      </c>
      <c r="Z13477" s="372">
        <v>0.0</v>
      </c>
    </row>
    <row r="13478">
      <c r="Y13478" s="372">
        <v>0.0</v>
      </c>
      <c r="Z13478" s="372">
        <v>0.0</v>
      </c>
    </row>
    <row r="13479">
      <c r="Y13479" s="372">
        <v>0.0</v>
      </c>
      <c r="Z13479" s="372">
        <v>0.0</v>
      </c>
    </row>
    <row r="13480">
      <c r="Y13480" s="372">
        <v>0.0</v>
      </c>
      <c r="Z13480" s="372">
        <v>0.0</v>
      </c>
    </row>
    <row r="13481">
      <c r="Y13481" s="372">
        <v>0.0</v>
      </c>
      <c r="Z13481" s="372">
        <v>0.0</v>
      </c>
    </row>
    <row r="13482">
      <c r="Y13482" s="372">
        <v>0.0</v>
      </c>
      <c r="Z13482" s="372">
        <v>0.0</v>
      </c>
    </row>
    <row r="13483">
      <c r="Y13483" s="372">
        <v>0.0</v>
      </c>
      <c r="Z13483" s="372">
        <v>0.0</v>
      </c>
    </row>
    <row r="13484">
      <c r="Y13484" s="372">
        <v>0.0</v>
      </c>
      <c r="Z13484" s="372">
        <v>0.0</v>
      </c>
    </row>
    <row r="13485">
      <c r="Y13485" s="372">
        <v>0.0</v>
      </c>
      <c r="Z13485" s="372">
        <v>0.0</v>
      </c>
    </row>
    <row r="13486">
      <c r="Y13486" s="372">
        <v>0.0</v>
      </c>
      <c r="Z13486" s="372">
        <v>0.0</v>
      </c>
    </row>
    <row r="13487">
      <c r="Y13487" s="372">
        <v>0.0</v>
      </c>
      <c r="Z13487" s="372">
        <v>0.0</v>
      </c>
    </row>
    <row r="13488">
      <c r="Y13488" s="372">
        <v>0.0</v>
      </c>
      <c r="Z13488" s="372">
        <v>0.0</v>
      </c>
    </row>
    <row r="13489">
      <c r="Y13489" s="372">
        <v>0.0</v>
      </c>
      <c r="Z13489" s="372">
        <v>0.0</v>
      </c>
    </row>
    <row r="13490">
      <c r="Y13490" s="372">
        <v>0.0</v>
      </c>
      <c r="Z13490" s="372">
        <v>0.0</v>
      </c>
    </row>
    <row r="13491">
      <c r="Y13491" s="372">
        <v>0.0</v>
      </c>
      <c r="Z13491" s="372">
        <v>0.0</v>
      </c>
    </row>
    <row r="13492">
      <c r="Y13492" s="372">
        <v>0.0</v>
      </c>
      <c r="Z13492" s="372">
        <v>0.0</v>
      </c>
    </row>
    <row r="13493">
      <c r="Y13493" s="372">
        <v>0.0</v>
      </c>
      <c r="Z13493" s="372">
        <v>0.0</v>
      </c>
    </row>
    <row r="13494">
      <c r="Y13494" s="372">
        <v>0.0</v>
      </c>
      <c r="Z13494" s="372">
        <v>0.0</v>
      </c>
    </row>
    <row r="13495">
      <c r="Y13495" s="372">
        <v>0.0</v>
      </c>
      <c r="Z13495" s="372">
        <v>0.0</v>
      </c>
    </row>
    <row r="13496">
      <c r="Y13496" s="372">
        <v>0.0</v>
      </c>
      <c r="Z13496" s="372">
        <v>0.0</v>
      </c>
    </row>
    <row r="13497">
      <c r="Y13497" s="372">
        <v>0.0</v>
      </c>
      <c r="Z13497" s="372">
        <v>0.0</v>
      </c>
    </row>
    <row r="13498">
      <c r="Y13498" s="372">
        <v>0.0</v>
      </c>
      <c r="Z13498" s="372">
        <v>0.0</v>
      </c>
    </row>
    <row r="13499">
      <c r="Y13499" s="372">
        <v>0.0</v>
      </c>
      <c r="Z13499" s="372">
        <v>0.0</v>
      </c>
    </row>
    <row r="13500">
      <c r="Y13500" s="372">
        <v>0.0</v>
      </c>
      <c r="Z13500" s="372">
        <v>0.0</v>
      </c>
    </row>
    <row r="13501">
      <c r="Y13501" s="372">
        <v>0.0</v>
      </c>
      <c r="Z13501" s="372">
        <v>0.0</v>
      </c>
    </row>
    <row r="13502">
      <c r="Y13502" s="372">
        <v>0.0</v>
      </c>
      <c r="Z13502" s="372">
        <v>0.0</v>
      </c>
    </row>
    <row r="13503">
      <c r="Y13503" s="372">
        <v>0.0</v>
      </c>
      <c r="Z13503" s="372">
        <v>0.0</v>
      </c>
    </row>
    <row r="13504">
      <c r="Y13504" s="372">
        <v>0.0</v>
      </c>
      <c r="Z13504" s="372">
        <v>0.0</v>
      </c>
    </row>
    <row r="13505">
      <c r="Y13505" s="372">
        <v>0.0</v>
      </c>
      <c r="Z13505" s="372">
        <v>0.0</v>
      </c>
    </row>
    <row r="13506">
      <c r="Y13506" s="372">
        <v>0.0</v>
      </c>
      <c r="Z13506" s="372">
        <v>0.0</v>
      </c>
    </row>
    <row r="13507">
      <c r="Y13507" s="372">
        <v>0.0</v>
      </c>
      <c r="Z13507" s="372">
        <v>0.0</v>
      </c>
    </row>
    <row r="13508">
      <c r="Y13508" s="372">
        <v>0.0</v>
      </c>
      <c r="Z13508" s="372">
        <v>0.0</v>
      </c>
    </row>
    <row r="13509">
      <c r="Y13509" s="372">
        <v>0.0</v>
      </c>
      <c r="Z13509" s="372">
        <v>0.0</v>
      </c>
    </row>
    <row r="13510">
      <c r="Y13510" s="372">
        <v>0.0</v>
      </c>
      <c r="Z13510" s="372">
        <v>0.0</v>
      </c>
    </row>
    <row r="13511">
      <c r="Y13511" s="372">
        <v>0.0</v>
      </c>
      <c r="Z13511" s="372">
        <v>0.0</v>
      </c>
    </row>
    <row r="13512">
      <c r="Y13512" s="372">
        <v>0.0</v>
      </c>
      <c r="Z13512" s="372">
        <v>0.0</v>
      </c>
    </row>
    <row r="13513">
      <c r="Y13513" s="372">
        <v>0.0</v>
      </c>
      <c r="Z13513" s="372">
        <v>0.0</v>
      </c>
    </row>
    <row r="13514">
      <c r="Y13514" s="372">
        <v>0.0</v>
      </c>
      <c r="Z13514" s="372">
        <v>0.0</v>
      </c>
    </row>
    <row r="13515">
      <c r="Y13515" s="372">
        <v>0.0</v>
      </c>
      <c r="Z13515" s="372">
        <v>0.0</v>
      </c>
    </row>
    <row r="13516">
      <c r="Y13516" s="372">
        <v>0.0</v>
      </c>
      <c r="Z13516" s="372">
        <v>0.0</v>
      </c>
    </row>
    <row r="13517">
      <c r="Y13517" s="372">
        <v>0.0</v>
      </c>
      <c r="Z13517" s="372">
        <v>0.0</v>
      </c>
    </row>
    <row r="13518">
      <c r="Y13518" s="372">
        <v>0.0</v>
      </c>
      <c r="Z13518" s="372">
        <v>0.0</v>
      </c>
    </row>
    <row r="13519">
      <c r="Y13519" s="372">
        <v>0.0</v>
      </c>
      <c r="Z13519" s="372">
        <v>0.0</v>
      </c>
    </row>
    <row r="13520">
      <c r="Y13520" s="372">
        <v>0.0</v>
      </c>
      <c r="Z13520" s="372">
        <v>0.0</v>
      </c>
    </row>
    <row r="13521">
      <c r="Y13521" s="372">
        <v>0.0</v>
      </c>
      <c r="Z13521" s="372">
        <v>0.0</v>
      </c>
    </row>
    <row r="13522">
      <c r="Y13522" s="372">
        <v>0.0</v>
      </c>
      <c r="Z13522" s="372">
        <v>0.0</v>
      </c>
    </row>
    <row r="13523">
      <c r="Y13523" s="372">
        <v>0.0</v>
      </c>
      <c r="Z13523" s="372">
        <v>0.0</v>
      </c>
    </row>
    <row r="13524">
      <c r="Y13524" s="372">
        <v>0.0</v>
      </c>
      <c r="Z13524" s="372">
        <v>0.0</v>
      </c>
    </row>
    <row r="13525">
      <c r="Y13525" s="372">
        <v>0.0</v>
      </c>
      <c r="Z13525" s="372">
        <v>0.0</v>
      </c>
    </row>
    <row r="13526">
      <c r="Y13526" s="372">
        <v>0.0</v>
      </c>
      <c r="Z13526" s="372">
        <v>0.0</v>
      </c>
    </row>
    <row r="13527">
      <c r="Y13527" s="372">
        <v>0.0</v>
      </c>
      <c r="Z13527" s="372">
        <v>0.0</v>
      </c>
    </row>
    <row r="13528">
      <c r="Y13528" s="372">
        <v>0.0</v>
      </c>
      <c r="Z13528" s="372">
        <v>0.0</v>
      </c>
    </row>
    <row r="13529">
      <c r="Y13529" s="372">
        <v>0.0</v>
      </c>
      <c r="Z13529" s="372">
        <v>0.0</v>
      </c>
    </row>
    <row r="13530">
      <c r="Y13530" s="372">
        <v>0.0</v>
      </c>
      <c r="Z13530" s="372">
        <v>0.0</v>
      </c>
    </row>
    <row r="13531">
      <c r="Y13531" s="372">
        <v>0.0</v>
      </c>
      <c r="Z13531" s="372">
        <v>0.0</v>
      </c>
    </row>
    <row r="13532">
      <c r="Y13532" s="372">
        <v>0.0</v>
      </c>
      <c r="Z13532" s="372">
        <v>0.0</v>
      </c>
    </row>
    <row r="13533">
      <c r="Y13533" s="372">
        <v>0.0</v>
      </c>
      <c r="Z13533" s="372">
        <v>0.0</v>
      </c>
    </row>
    <row r="13534">
      <c r="Y13534" s="372">
        <v>0.0</v>
      </c>
      <c r="Z13534" s="372">
        <v>0.0</v>
      </c>
    </row>
    <row r="13535">
      <c r="Y13535" s="372">
        <v>0.0</v>
      </c>
      <c r="Z13535" s="372">
        <v>0.0</v>
      </c>
    </row>
    <row r="13536">
      <c r="Y13536" s="372">
        <v>0.0</v>
      </c>
      <c r="Z13536" s="372">
        <v>0.0</v>
      </c>
    </row>
    <row r="13537">
      <c r="Y13537" s="372">
        <v>0.0</v>
      </c>
      <c r="Z13537" s="372">
        <v>0.0</v>
      </c>
    </row>
    <row r="13538">
      <c r="Y13538" s="372">
        <v>0.0</v>
      </c>
      <c r="Z13538" s="372">
        <v>0.0</v>
      </c>
    </row>
    <row r="13539">
      <c r="Y13539" s="372">
        <v>0.0</v>
      </c>
      <c r="Z13539" s="372">
        <v>0.0</v>
      </c>
    </row>
    <row r="13540">
      <c r="Y13540" s="372">
        <v>0.0</v>
      </c>
      <c r="Z13540" s="372">
        <v>0.0</v>
      </c>
    </row>
    <row r="13541">
      <c r="Y13541" s="372">
        <v>0.0</v>
      </c>
      <c r="Z13541" s="372">
        <v>0.0</v>
      </c>
    </row>
    <row r="13542">
      <c r="Y13542" s="372">
        <v>0.0</v>
      </c>
      <c r="Z13542" s="372">
        <v>0.0</v>
      </c>
    </row>
    <row r="13543">
      <c r="Y13543" s="372">
        <v>0.0</v>
      </c>
      <c r="Z13543" s="372">
        <v>0.0</v>
      </c>
    </row>
    <row r="13544">
      <c r="Y13544" s="372">
        <v>0.0</v>
      </c>
      <c r="Z13544" s="372">
        <v>0.0</v>
      </c>
    </row>
    <row r="13545">
      <c r="Y13545" s="372">
        <v>0.0</v>
      </c>
      <c r="Z13545" s="372">
        <v>0.0</v>
      </c>
    </row>
    <row r="13546">
      <c r="Y13546" s="372">
        <v>0.0</v>
      </c>
      <c r="Z13546" s="372">
        <v>0.0</v>
      </c>
    </row>
    <row r="13547">
      <c r="Y13547" s="372">
        <v>0.0</v>
      </c>
      <c r="Z13547" s="372">
        <v>0.0</v>
      </c>
    </row>
    <row r="13548">
      <c r="Y13548" s="372">
        <v>0.0</v>
      </c>
      <c r="Z13548" s="372">
        <v>0.0</v>
      </c>
    </row>
    <row r="13549">
      <c r="Y13549" s="372">
        <v>0.0</v>
      </c>
      <c r="Z13549" s="372">
        <v>0.0</v>
      </c>
    </row>
    <row r="13550">
      <c r="Y13550" s="372">
        <v>0.0</v>
      </c>
      <c r="Z13550" s="372">
        <v>0.0</v>
      </c>
    </row>
    <row r="13551">
      <c r="Y13551" s="372">
        <v>0.0</v>
      </c>
      <c r="Z13551" s="372">
        <v>0.0</v>
      </c>
    </row>
    <row r="13552">
      <c r="Y13552" s="372">
        <v>0.0</v>
      </c>
      <c r="Z13552" s="372">
        <v>0.0</v>
      </c>
    </row>
    <row r="13553">
      <c r="Y13553" s="372">
        <v>0.0</v>
      </c>
      <c r="Z13553" s="372">
        <v>0.0</v>
      </c>
    </row>
    <row r="13554">
      <c r="Y13554" s="372">
        <v>0.0</v>
      </c>
      <c r="Z13554" s="372">
        <v>0.0</v>
      </c>
    </row>
    <row r="13555">
      <c r="Y13555" s="372">
        <v>0.0</v>
      </c>
      <c r="Z13555" s="372">
        <v>0.0</v>
      </c>
    </row>
    <row r="13556">
      <c r="Y13556" s="372">
        <v>0.0</v>
      </c>
      <c r="Z13556" s="372">
        <v>0.0</v>
      </c>
    </row>
    <row r="13557">
      <c r="Y13557" s="372">
        <v>0.0</v>
      </c>
      <c r="Z13557" s="372">
        <v>0.0</v>
      </c>
    </row>
    <row r="13558">
      <c r="Y13558" s="372">
        <v>0.0</v>
      </c>
      <c r="Z13558" s="372">
        <v>0.0</v>
      </c>
    </row>
    <row r="13559">
      <c r="Y13559" s="372">
        <v>0.0</v>
      </c>
      <c r="Z13559" s="372">
        <v>0.0</v>
      </c>
    </row>
    <row r="13560">
      <c r="Y13560" s="372">
        <v>0.0</v>
      </c>
      <c r="Z13560" s="372">
        <v>0.0</v>
      </c>
    </row>
    <row r="13561">
      <c r="Y13561" s="372">
        <v>0.0</v>
      </c>
      <c r="Z13561" s="372">
        <v>0.0</v>
      </c>
    </row>
    <row r="13562">
      <c r="Y13562" s="372">
        <v>0.0</v>
      </c>
      <c r="Z13562" s="372">
        <v>0.0</v>
      </c>
    </row>
    <row r="13563">
      <c r="Y13563" s="372">
        <v>0.0</v>
      </c>
      <c r="Z13563" s="372">
        <v>0.0</v>
      </c>
    </row>
    <row r="13564">
      <c r="Y13564" s="372">
        <v>0.0</v>
      </c>
      <c r="Z13564" s="372">
        <v>0.0</v>
      </c>
    </row>
    <row r="13565">
      <c r="Y13565" s="372">
        <v>0.0</v>
      </c>
      <c r="Z13565" s="372">
        <v>0.0</v>
      </c>
    </row>
    <row r="13566">
      <c r="Y13566" s="372">
        <v>0.0</v>
      </c>
      <c r="Z13566" s="372">
        <v>0.0</v>
      </c>
    </row>
    <row r="13567">
      <c r="Y13567" s="372">
        <v>0.0</v>
      </c>
      <c r="Z13567" s="372">
        <v>0.0</v>
      </c>
    </row>
    <row r="13568">
      <c r="Y13568" s="372">
        <v>0.0</v>
      </c>
      <c r="Z13568" s="372">
        <v>0.0</v>
      </c>
    </row>
    <row r="13569">
      <c r="Y13569" s="372">
        <v>0.0</v>
      </c>
      <c r="Z13569" s="372">
        <v>0.0</v>
      </c>
    </row>
    <row r="13570">
      <c r="Y13570" s="372">
        <v>0.0</v>
      </c>
      <c r="Z13570" s="372">
        <v>0.0</v>
      </c>
    </row>
    <row r="13571">
      <c r="Y13571" s="372">
        <v>0.0</v>
      </c>
      <c r="Z13571" s="372">
        <v>0.0</v>
      </c>
    </row>
    <row r="13572">
      <c r="Y13572" s="372">
        <v>0.0</v>
      </c>
      <c r="Z13572" s="372">
        <v>0.0</v>
      </c>
    </row>
    <row r="13573">
      <c r="Y13573" s="372">
        <v>0.0</v>
      </c>
      <c r="Z13573" s="372">
        <v>0.0</v>
      </c>
    </row>
    <row r="13574">
      <c r="Y13574" s="372">
        <v>0.0</v>
      </c>
      <c r="Z13574" s="372">
        <v>0.0</v>
      </c>
    </row>
    <row r="13575">
      <c r="Y13575" s="372">
        <v>0.0</v>
      </c>
      <c r="Z13575" s="372">
        <v>0.0</v>
      </c>
    </row>
    <row r="13576">
      <c r="Y13576" s="372">
        <v>0.0</v>
      </c>
      <c r="Z13576" s="372">
        <v>0.0</v>
      </c>
    </row>
    <row r="13577">
      <c r="Y13577" s="372">
        <v>0.0</v>
      </c>
      <c r="Z13577" s="372">
        <v>0.0</v>
      </c>
    </row>
    <row r="13578">
      <c r="Y13578" s="372">
        <v>0.0</v>
      </c>
      <c r="Z13578" s="372">
        <v>0.0</v>
      </c>
    </row>
    <row r="13579">
      <c r="Y13579" s="372">
        <v>0.0</v>
      </c>
      <c r="Z13579" s="372">
        <v>0.0</v>
      </c>
    </row>
    <row r="13580">
      <c r="Y13580" s="372">
        <v>0.0</v>
      </c>
      <c r="Z13580" s="372">
        <v>0.0</v>
      </c>
    </row>
    <row r="13581">
      <c r="Y13581" s="372">
        <v>0.0</v>
      </c>
      <c r="Z13581" s="372">
        <v>0.0</v>
      </c>
    </row>
    <row r="13582">
      <c r="Y13582" s="372">
        <v>0.0</v>
      </c>
      <c r="Z13582" s="372">
        <v>0.0</v>
      </c>
    </row>
    <row r="13583">
      <c r="Y13583" s="372">
        <v>0.0</v>
      </c>
      <c r="Z13583" s="372">
        <v>0.0</v>
      </c>
    </row>
    <row r="13584">
      <c r="Y13584" s="372">
        <v>0.0</v>
      </c>
      <c r="Z13584" s="372">
        <v>0.0</v>
      </c>
    </row>
    <row r="13585">
      <c r="Y13585" s="372">
        <v>0.0</v>
      </c>
      <c r="Z13585" s="372">
        <v>0.0</v>
      </c>
    </row>
    <row r="13586">
      <c r="Y13586" s="372">
        <v>0.0</v>
      </c>
      <c r="Z13586" s="372">
        <v>0.0</v>
      </c>
    </row>
    <row r="13587">
      <c r="Y13587" s="372">
        <v>0.0</v>
      </c>
      <c r="Z13587" s="372">
        <v>0.0</v>
      </c>
    </row>
    <row r="13588">
      <c r="Y13588" s="372">
        <v>0.0</v>
      </c>
      <c r="Z13588" s="372">
        <v>0.0</v>
      </c>
    </row>
    <row r="13589">
      <c r="Y13589" s="372">
        <v>0.0</v>
      </c>
      <c r="Z13589" s="372">
        <v>0.0</v>
      </c>
    </row>
    <row r="13590">
      <c r="Y13590" s="372">
        <v>0.0</v>
      </c>
      <c r="Z13590" s="372">
        <v>0.0</v>
      </c>
    </row>
    <row r="13591">
      <c r="Y13591" s="372">
        <v>0.0</v>
      </c>
      <c r="Z13591" s="372">
        <v>0.0</v>
      </c>
    </row>
    <row r="13592">
      <c r="Y13592" s="372">
        <v>0.0</v>
      </c>
      <c r="Z13592" s="372">
        <v>0.0</v>
      </c>
    </row>
    <row r="13593">
      <c r="Y13593" s="372">
        <v>0.0</v>
      </c>
      <c r="Z13593" s="372">
        <v>0.0</v>
      </c>
    </row>
    <row r="13594">
      <c r="Y13594" s="372">
        <v>0.0</v>
      </c>
      <c r="Z13594" s="372">
        <v>0.0</v>
      </c>
    </row>
    <row r="13595">
      <c r="Y13595" s="372">
        <v>0.0</v>
      </c>
      <c r="Z13595" s="372">
        <v>0.0</v>
      </c>
    </row>
    <row r="13596">
      <c r="Y13596" s="372">
        <v>0.0</v>
      </c>
      <c r="Z13596" s="372">
        <v>0.0</v>
      </c>
    </row>
    <row r="13597">
      <c r="Y13597" s="372">
        <v>0.0</v>
      </c>
      <c r="Z13597" s="372">
        <v>0.0</v>
      </c>
    </row>
    <row r="13598">
      <c r="Y13598" s="372">
        <v>0.0</v>
      </c>
      <c r="Z13598" s="372">
        <v>0.0</v>
      </c>
    </row>
    <row r="13599">
      <c r="Y13599" s="372">
        <v>0.0</v>
      </c>
      <c r="Z13599" s="372">
        <v>0.0</v>
      </c>
    </row>
    <row r="13600">
      <c r="Y13600" s="372">
        <v>0.0</v>
      </c>
      <c r="Z13600" s="372">
        <v>0.0</v>
      </c>
    </row>
    <row r="13601">
      <c r="Y13601" s="372">
        <v>0.0</v>
      </c>
      <c r="Z13601" s="372">
        <v>0.0</v>
      </c>
    </row>
    <row r="13602">
      <c r="Y13602" s="372">
        <v>0.0</v>
      </c>
      <c r="Z13602" s="372">
        <v>0.0</v>
      </c>
    </row>
    <row r="13603">
      <c r="Y13603" s="372">
        <v>0.0</v>
      </c>
      <c r="Z13603" s="372">
        <v>0.0</v>
      </c>
    </row>
    <row r="13604">
      <c r="Y13604" s="372">
        <v>0.0</v>
      </c>
      <c r="Z13604" s="372">
        <v>0.0</v>
      </c>
    </row>
    <row r="13605">
      <c r="Y13605" s="372">
        <v>0.0</v>
      </c>
      <c r="Z13605" s="372">
        <v>0.0</v>
      </c>
    </row>
    <row r="13606">
      <c r="Y13606" s="372">
        <v>0.0</v>
      </c>
      <c r="Z13606" s="372">
        <v>0.0</v>
      </c>
    </row>
    <row r="13607">
      <c r="Y13607" s="372">
        <v>0.0</v>
      </c>
      <c r="Z13607" s="372">
        <v>0.0</v>
      </c>
    </row>
    <row r="13608">
      <c r="Y13608" s="372">
        <v>0.0</v>
      </c>
      <c r="Z13608" s="372">
        <v>0.0</v>
      </c>
    </row>
    <row r="13609">
      <c r="Y13609" s="372">
        <v>0.0</v>
      </c>
      <c r="Z13609" s="372">
        <v>0.0</v>
      </c>
    </row>
    <row r="13610">
      <c r="Y13610" s="372">
        <v>0.0</v>
      </c>
      <c r="Z13610" s="372">
        <v>0.0</v>
      </c>
    </row>
    <row r="13611">
      <c r="Y13611" s="372">
        <v>0.0</v>
      </c>
      <c r="Z13611" s="372">
        <v>0.0</v>
      </c>
    </row>
    <row r="13612">
      <c r="Y13612" s="372">
        <v>0.0</v>
      </c>
      <c r="Z13612" s="372">
        <v>0.0</v>
      </c>
    </row>
    <row r="13613">
      <c r="Y13613" s="372">
        <v>0.0</v>
      </c>
      <c r="Z13613" s="372">
        <v>0.0</v>
      </c>
    </row>
    <row r="13614">
      <c r="Y13614" s="372">
        <v>0.0</v>
      </c>
      <c r="Z13614" s="372">
        <v>0.0</v>
      </c>
    </row>
    <row r="13615">
      <c r="Y13615" s="372">
        <v>0.0</v>
      </c>
      <c r="Z13615" s="372">
        <v>0.0</v>
      </c>
    </row>
    <row r="13616">
      <c r="Y13616" s="372">
        <v>0.0</v>
      </c>
      <c r="Z13616" s="372">
        <v>0.0</v>
      </c>
    </row>
    <row r="13617">
      <c r="Y13617" s="372">
        <v>0.0</v>
      </c>
      <c r="Z13617" s="372">
        <v>0.0</v>
      </c>
    </row>
    <row r="13618">
      <c r="Y13618" s="372">
        <v>0.0</v>
      </c>
      <c r="Z13618" s="372">
        <v>0.0</v>
      </c>
    </row>
    <row r="13619">
      <c r="Y13619" s="372">
        <v>0.0</v>
      </c>
      <c r="Z13619" s="372">
        <v>0.0</v>
      </c>
    </row>
    <row r="13620">
      <c r="Y13620" s="372">
        <v>0.0</v>
      </c>
      <c r="Z13620" s="372">
        <v>0.0</v>
      </c>
    </row>
    <row r="13621">
      <c r="Y13621" s="372">
        <v>0.0</v>
      </c>
      <c r="Z13621" s="372">
        <v>0.0</v>
      </c>
    </row>
    <row r="13622">
      <c r="Y13622" s="372">
        <v>0.0</v>
      </c>
      <c r="Z13622" s="372">
        <v>0.0</v>
      </c>
    </row>
    <row r="13623">
      <c r="Y13623" s="372">
        <v>0.0</v>
      </c>
      <c r="Z13623" s="372">
        <v>0.0</v>
      </c>
    </row>
    <row r="13624">
      <c r="Y13624" s="372">
        <v>0.0</v>
      </c>
      <c r="Z13624" s="372">
        <v>0.0</v>
      </c>
    </row>
    <row r="13625">
      <c r="Y13625" s="372">
        <v>0.0</v>
      </c>
      <c r="Z13625" s="372">
        <v>0.0</v>
      </c>
    </row>
    <row r="13626">
      <c r="Y13626" s="372">
        <v>0.0</v>
      </c>
      <c r="Z13626" s="372">
        <v>0.0</v>
      </c>
    </row>
    <row r="13627">
      <c r="Y13627" s="372">
        <v>0.0</v>
      </c>
      <c r="Z13627" s="372">
        <v>0.0</v>
      </c>
    </row>
    <row r="13628">
      <c r="Y13628" s="372">
        <v>0.0</v>
      </c>
      <c r="Z13628" s="372">
        <v>0.0</v>
      </c>
    </row>
    <row r="13629">
      <c r="Y13629" s="372">
        <v>0.0</v>
      </c>
      <c r="Z13629" s="372">
        <v>0.0</v>
      </c>
    </row>
    <row r="13630">
      <c r="Y13630" s="372">
        <v>0.0</v>
      </c>
      <c r="Z13630" s="372">
        <v>0.0</v>
      </c>
    </row>
    <row r="13631">
      <c r="Y13631" s="372">
        <v>0.0</v>
      </c>
      <c r="Z13631" s="372">
        <v>0.0</v>
      </c>
    </row>
    <row r="13632">
      <c r="Y13632" s="372">
        <v>0.0</v>
      </c>
      <c r="Z13632" s="372">
        <v>0.0</v>
      </c>
    </row>
    <row r="13633">
      <c r="Y13633" s="372">
        <v>0.0</v>
      </c>
      <c r="Z13633" s="372">
        <v>0.0</v>
      </c>
    </row>
    <row r="13634">
      <c r="Y13634" s="372">
        <v>0.0</v>
      </c>
      <c r="Z13634" s="372">
        <v>0.0</v>
      </c>
    </row>
    <row r="13635">
      <c r="Y13635" s="372">
        <v>0.0</v>
      </c>
      <c r="Z13635" s="372">
        <v>0.0</v>
      </c>
    </row>
    <row r="13636">
      <c r="Y13636" s="372">
        <v>0.0</v>
      </c>
      <c r="Z13636" s="372">
        <v>0.0</v>
      </c>
    </row>
    <row r="13637">
      <c r="Y13637" s="372">
        <v>0.0</v>
      </c>
      <c r="Z13637" s="372">
        <v>0.0</v>
      </c>
    </row>
    <row r="13638">
      <c r="Y13638" s="372">
        <v>0.0</v>
      </c>
      <c r="Z13638" s="372">
        <v>0.0</v>
      </c>
    </row>
    <row r="13639">
      <c r="Y13639" s="372">
        <v>0.0</v>
      </c>
      <c r="Z13639" s="372">
        <v>0.0</v>
      </c>
    </row>
    <row r="13640">
      <c r="Y13640" s="372">
        <v>0.0</v>
      </c>
      <c r="Z13640" s="372">
        <v>0.0</v>
      </c>
    </row>
    <row r="13641">
      <c r="Y13641" s="372">
        <v>0.0</v>
      </c>
      <c r="Z13641" s="372">
        <v>0.0</v>
      </c>
    </row>
    <row r="13642">
      <c r="Y13642" s="372">
        <v>0.0</v>
      </c>
      <c r="Z13642" s="372">
        <v>0.0</v>
      </c>
    </row>
    <row r="13643">
      <c r="Y13643" s="372">
        <v>0.0</v>
      </c>
      <c r="Z13643" s="372">
        <v>0.0</v>
      </c>
    </row>
    <row r="13644">
      <c r="Y13644" s="372">
        <v>0.0</v>
      </c>
      <c r="Z13644" s="372">
        <v>0.0</v>
      </c>
    </row>
    <row r="13645">
      <c r="Y13645" s="372">
        <v>0.0</v>
      </c>
      <c r="Z13645" s="372">
        <v>0.0</v>
      </c>
    </row>
    <row r="13646">
      <c r="Y13646" s="372">
        <v>0.0</v>
      </c>
      <c r="Z13646" s="372">
        <v>0.0</v>
      </c>
    </row>
    <row r="13647">
      <c r="Y13647" s="372">
        <v>0.0</v>
      </c>
      <c r="Z13647" s="372">
        <v>0.0</v>
      </c>
    </row>
    <row r="13648">
      <c r="Y13648" s="372">
        <v>0.0</v>
      </c>
      <c r="Z13648" s="372">
        <v>0.0</v>
      </c>
    </row>
    <row r="13649">
      <c r="Y13649" s="372">
        <v>0.0</v>
      </c>
      <c r="Z13649" s="372">
        <v>0.0</v>
      </c>
    </row>
    <row r="13650">
      <c r="Y13650" s="372">
        <v>0.0</v>
      </c>
      <c r="Z13650" s="372">
        <v>0.0</v>
      </c>
    </row>
    <row r="13651">
      <c r="Y13651" s="372">
        <v>0.0</v>
      </c>
      <c r="Z13651" s="372">
        <v>0.0</v>
      </c>
    </row>
    <row r="13652">
      <c r="Y13652" s="372">
        <v>0.0</v>
      </c>
      <c r="Z13652" s="372">
        <v>0.0</v>
      </c>
    </row>
    <row r="13653">
      <c r="Y13653" s="372">
        <v>0.0</v>
      </c>
      <c r="Z13653" s="372">
        <v>0.0</v>
      </c>
    </row>
    <row r="13654">
      <c r="Y13654" s="372">
        <v>0.0</v>
      </c>
      <c r="Z13654" s="372">
        <v>0.0</v>
      </c>
    </row>
    <row r="13655">
      <c r="Y13655" s="372">
        <v>0.0</v>
      </c>
      <c r="Z13655" s="372">
        <v>0.0</v>
      </c>
    </row>
    <row r="13656">
      <c r="Y13656" s="372">
        <v>0.0</v>
      </c>
      <c r="Z13656" s="372">
        <v>0.0</v>
      </c>
    </row>
    <row r="13657">
      <c r="Y13657" s="372">
        <v>0.0</v>
      </c>
      <c r="Z13657" s="372">
        <v>0.0</v>
      </c>
    </row>
    <row r="13658">
      <c r="Y13658" s="372">
        <v>0.0</v>
      </c>
      <c r="Z13658" s="372">
        <v>0.0</v>
      </c>
    </row>
    <row r="13659">
      <c r="Y13659" s="372">
        <v>0.0</v>
      </c>
      <c r="Z13659" s="372">
        <v>0.0</v>
      </c>
    </row>
    <row r="13660">
      <c r="Y13660" s="372">
        <v>0.0</v>
      </c>
      <c r="Z13660" s="372">
        <v>0.0</v>
      </c>
    </row>
    <row r="13661">
      <c r="Y13661" s="372">
        <v>0.0</v>
      </c>
      <c r="Z13661" s="372">
        <v>0.0</v>
      </c>
    </row>
    <row r="13662">
      <c r="Y13662" s="372">
        <v>0.0</v>
      </c>
      <c r="Z13662" s="372">
        <v>0.0</v>
      </c>
    </row>
    <row r="13663">
      <c r="Y13663" s="372">
        <v>0.0</v>
      </c>
      <c r="Z13663" s="372">
        <v>0.0</v>
      </c>
    </row>
    <row r="13664">
      <c r="Y13664" s="372">
        <v>0.0</v>
      </c>
      <c r="Z13664" s="372">
        <v>0.0</v>
      </c>
    </row>
    <row r="13665">
      <c r="Y13665" s="372">
        <v>0.0</v>
      </c>
      <c r="Z13665" s="372">
        <v>0.0</v>
      </c>
    </row>
    <row r="13666">
      <c r="Y13666" s="372">
        <v>0.0</v>
      </c>
      <c r="Z13666" s="372">
        <v>0.0</v>
      </c>
    </row>
    <row r="13667">
      <c r="Y13667" s="372">
        <v>0.0</v>
      </c>
      <c r="Z13667" s="372">
        <v>0.0</v>
      </c>
    </row>
    <row r="13668">
      <c r="Y13668" s="372">
        <v>0.0</v>
      </c>
      <c r="Z13668" s="372">
        <v>0.0</v>
      </c>
    </row>
    <row r="13669">
      <c r="Y13669" s="372">
        <v>0.0</v>
      </c>
      <c r="Z13669" s="372">
        <v>0.0</v>
      </c>
    </row>
    <row r="13670">
      <c r="Y13670" s="372">
        <v>0.0</v>
      </c>
      <c r="Z13670" s="372">
        <v>0.0</v>
      </c>
    </row>
    <row r="13671">
      <c r="Y13671" s="372">
        <v>0.0</v>
      </c>
      <c r="Z13671" s="372">
        <v>0.0</v>
      </c>
    </row>
    <row r="13672">
      <c r="Y13672" s="372">
        <v>0.0</v>
      </c>
      <c r="Z13672" s="372">
        <v>0.0</v>
      </c>
    </row>
    <row r="13673">
      <c r="Y13673" s="372">
        <v>0.0</v>
      </c>
      <c r="Z13673" s="372">
        <v>0.0</v>
      </c>
    </row>
    <row r="13674">
      <c r="Y13674" s="372">
        <v>0.0</v>
      </c>
      <c r="Z13674" s="372">
        <v>0.0</v>
      </c>
    </row>
    <row r="13675">
      <c r="Y13675" s="372">
        <v>0.0</v>
      </c>
      <c r="Z13675" s="372">
        <v>0.0</v>
      </c>
    </row>
    <row r="13676">
      <c r="Y13676" s="372">
        <v>0.0</v>
      </c>
      <c r="Z13676" s="372">
        <v>0.0</v>
      </c>
    </row>
    <row r="13677">
      <c r="Y13677" s="372">
        <v>0.0</v>
      </c>
      <c r="Z13677" s="372">
        <v>0.0</v>
      </c>
    </row>
    <row r="13678">
      <c r="Y13678" s="372">
        <v>0.0</v>
      </c>
      <c r="Z13678" s="372">
        <v>0.0</v>
      </c>
    </row>
    <row r="13679">
      <c r="Y13679" s="372">
        <v>0.0</v>
      </c>
      <c r="Z13679" s="372">
        <v>0.0</v>
      </c>
    </row>
    <row r="13680">
      <c r="Y13680" s="372">
        <v>0.0</v>
      </c>
      <c r="Z13680" s="372">
        <v>0.0</v>
      </c>
    </row>
    <row r="13681">
      <c r="Y13681" s="372">
        <v>0.0</v>
      </c>
      <c r="Z13681" s="372">
        <v>0.0</v>
      </c>
    </row>
    <row r="13682">
      <c r="Y13682" s="372">
        <v>0.0</v>
      </c>
      <c r="Z13682" s="372">
        <v>0.0</v>
      </c>
    </row>
    <row r="13683">
      <c r="Y13683" s="372">
        <v>0.0</v>
      </c>
      <c r="Z13683" s="372">
        <v>0.0</v>
      </c>
    </row>
    <row r="13684">
      <c r="Y13684" s="372">
        <v>0.0</v>
      </c>
      <c r="Z13684" s="372">
        <v>0.0</v>
      </c>
    </row>
    <row r="13685">
      <c r="Y13685" s="372">
        <v>0.0</v>
      </c>
      <c r="Z13685" s="372">
        <v>0.0</v>
      </c>
    </row>
    <row r="13686">
      <c r="Y13686" s="372">
        <v>0.0</v>
      </c>
      <c r="Z13686" s="372">
        <v>0.0</v>
      </c>
    </row>
    <row r="13687">
      <c r="Y13687" s="372">
        <v>0.0</v>
      </c>
      <c r="Z13687" s="372">
        <v>0.0</v>
      </c>
    </row>
    <row r="13688">
      <c r="Y13688" s="372">
        <v>0.0</v>
      </c>
      <c r="Z13688" s="372">
        <v>0.0</v>
      </c>
    </row>
    <row r="13689">
      <c r="Y13689" s="372">
        <v>0.0</v>
      </c>
      <c r="Z13689" s="372">
        <v>0.0</v>
      </c>
    </row>
    <row r="13690">
      <c r="Y13690" s="372">
        <v>0.0</v>
      </c>
      <c r="Z13690" s="372">
        <v>0.0</v>
      </c>
    </row>
    <row r="13691">
      <c r="Y13691" s="372">
        <v>0.0</v>
      </c>
      <c r="Z13691" s="372">
        <v>0.0</v>
      </c>
    </row>
    <row r="13692">
      <c r="Y13692" s="372">
        <v>0.0</v>
      </c>
      <c r="Z13692" s="372">
        <v>0.0</v>
      </c>
    </row>
    <row r="13693">
      <c r="Y13693" s="372">
        <v>0.0</v>
      </c>
      <c r="Z13693" s="372">
        <v>0.0</v>
      </c>
    </row>
    <row r="13694">
      <c r="Y13694" s="372">
        <v>0.0</v>
      </c>
      <c r="Z13694" s="372">
        <v>0.0</v>
      </c>
    </row>
    <row r="13695">
      <c r="Y13695" s="372">
        <v>0.0</v>
      </c>
      <c r="Z13695" s="372">
        <v>0.0</v>
      </c>
    </row>
    <row r="13696">
      <c r="Y13696" s="372">
        <v>0.0</v>
      </c>
      <c r="Z13696" s="372">
        <v>0.0</v>
      </c>
    </row>
    <row r="13697">
      <c r="Y13697" s="372">
        <v>0.0</v>
      </c>
      <c r="Z13697" s="372">
        <v>0.0</v>
      </c>
    </row>
    <row r="13698">
      <c r="Y13698" s="372">
        <v>0.0</v>
      </c>
      <c r="Z13698" s="372">
        <v>0.0</v>
      </c>
    </row>
    <row r="13699">
      <c r="Y13699" s="372">
        <v>0.0</v>
      </c>
      <c r="Z13699" s="372">
        <v>0.0</v>
      </c>
    </row>
    <row r="13700">
      <c r="Y13700" s="372">
        <v>0.0</v>
      </c>
      <c r="Z13700" s="372">
        <v>0.0</v>
      </c>
    </row>
    <row r="13701">
      <c r="Y13701" s="372">
        <v>0.0</v>
      </c>
      <c r="Z13701" s="372">
        <v>0.0</v>
      </c>
    </row>
    <row r="13702">
      <c r="Y13702" s="372">
        <v>0.0</v>
      </c>
      <c r="Z13702" s="372">
        <v>0.0</v>
      </c>
    </row>
    <row r="13703">
      <c r="Y13703" s="372">
        <v>0.0</v>
      </c>
      <c r="Z13703" s="372">
        <v>0.0</v>
      </c>
    </row>
    <row r="13704">
      <c r="Y13704" s="372">
        <v>0.0</v>
      </c>
      <c r="Z13704" s="372">
        <v>0.0</v>
      </c>
    </row>
    <row r="13705">
      <c r="Y13705" s="372">
        <v>0.0</v>
      </c>
      <c r="Z13705" s="372">
        <v>0.0</v>
      </c>
    </row>
    <row r="13706">
      <c r="Y13706" s="372">
        <v>0.0</v>
      </c>
      <c r="Z13706" s="372">
        <v>0.0</v>
      </c>
    </row>
    <row r="13707">
      <c r="Y13707" s="372">
        <v>0.0</v>
      </c>
      <c r="Z13707" s="372">
        <v>0.0</v>
      </c>
    </row>
    <row r="13708">
      <c r="Y13708" s="372">
        <v>0.0</v>
      </c>
      <c r="Z13708" s="372">
        <v>0.0</v>
      </c>
    </row>
    <row r="13709">
      <c r="Y13709" s="372">
        <v>0.0</v>
      </c>
      <c r="Z13709" s="372">
        <v>0.0</v>
      </c>
    </row>
    <row r="13710">
      <c r="Y13710" s="372">
        <v>0.0</v>
      </c>
      <c r="Z13710" s="372">
        <v>0.0</v>
      </c>
    </row>
    <row r="13711">
      <c r="Y13711" s="372">
        <v>0.0</v>
      </c>
      <c r="Z13711" s="372">
        <v>0.0</v>
      </c>
    </row>
    <row r="13712">
      <c r="Y13712" s="372">
        <v>0.0</v>
      </c>
      <c r="Z13712" s="372">
        <v>0.0</v>
      </c>
    </row>
    <row r="13713">
      <c r="Y13713" s="372">
        <v>0.0</v>
      </c>
      <c r="Z13713" s="372">
        <v>0.0</v>
      </c>
    </row>
    <row r="13714">
      <c r="Y13714" s="372">
        <v>0.0</v>
      </c>
      <c r="Z13714" s="372">
        <v>0.0</v>
      </c>
    </row>
    <row r="13715">
      <c r="Y13715" s="372">
        <v>0.0</v>
      </c>
      <c r="Z13715" s="372">
        <v>0.0</v>
      </c>
    </row>
    <row r="13716">
      <c r="Y13716" s="372">
        <v>0.0</v>
      </c>
      <c r="Z13716" s="372">
        <v>0.0</v>
      </c>
    </row>
    <row r="13717">
      <c r="Y13717" s="372">
        <v>0.0</v>
      </c>
      <c r="Z13717" s="372">
        <v>0.0</v>
      </c>
    </row>
    <row r="13718">
      <c r="Y13718" s="372">
        <v>0.0</v>
      </c>
      <c r="Z13718" s="372">
        <v>0.0</v>
      </c>
    </row>
    <row r="13719">
      <c r="Y13719" s="372">
        <v>0.0</v>
      </c>
      <c r="Z13719" s="372">
        <v>0.0</v>
      </c>
    </row>
    <row r="13720">
      <c r="Y13720" s="372">
        <v>0.0</v>
      </c>
      <c r="Z13720" s="372">
        <v>0.0</v>
      </c>
    </row>
    <row r="13721">
      <c r="Y13721" s="372">
        <v>0.0</v>
      </c>
      <c r="Z13721" s="372">
        <v>0.0</v>
      </c>
    </row>
    <row r="13722">
      <c r="Y13722" s="372">
        <v>0.0</v>
      </c>
      <c r="Z13722" s="372">
        <v>0.0</v>
      </c>
    </row>
    <row r="13723">
      <c r="Y13723" s="372">
        <v>0.0</v>
      </c>
      <c r="Z13723" s="372">
        <v>0.0</v>
      </c>
    </row>
    <row r="13724">
      <c r="Y13724" s="372">
        <v>0.0</v>
      </c>
      <c r="Z13724" s="372">
        <v>0.0</v>
      </c>
    </row>
    <row r="13725">
      <c r="Y13725" s="372">
        <v>0.0</v>
      </c>
      <c r="Z13725" s="372">
        <v>0.0</v>
      </c>
    </row>
    <row r="13726">
      <c r="Y13726" s="372">
        <v>0.0</v>
      </c>
      <c r="Z13726" s="372">
        <v>0.0</v>
      </c>
    </row>
    <row r="13727">
      <c r="Y13727" s="372">
        <v>0.0</v>
      </c>
      <c r="Z13727" s="372">
        <v>0.0</v>
      </c>
    </row>
    <row r="13728">
      <c r="Y13728" s="372">
        <v>0.0</v>
      </c>
      <c r="Z13728" s="372">
        <v>0.0</v>
      </c>
    </row>
    <row r="13729">
      <c r="Y13729" s="372">
        <v>0.0</v>
      </c>
      <c r="Z13729" s="372">
        <v>0.0</v>
      </c>
    </row>
    <row r="13730">
      <c r="Y13730" s="372">
        <v>0.0</v>
      </c>
      <c r="Z13730" s="372">
        <v>0.0</v>
      </c>
    </row>
    <row r="13731">
      <c r="Y13731" s="372">
        <v>0.0</v>
      </c>
      <c r="Z13731" s="372">
        <v>0.0</v>
      </c>
    </row>
    <row r="13732">
      <c r="Y13732" s="372">
        <v>0.0</v>
      </c>
      <c r="Z13732" s="372">
        <v>0.0</v>
      </c>
    </row>
    <row r="13733">
      <c r="Y13733" s="372">
        <v>0.0</v>
      </c>
      <c r="Z13733" s="372">
        <v>0.0</v>
      </c>
    </row>
    <row r="13734">
      <c r="Y13734" s="372">
        <v>0.0</v>
      </c>
      <c r="Z13734" s="372">
        <v>0.0</v>
      </c>
    </row>
    <row r="13735">
      <c r="Y13735" s="372">
        <v>0.0</v>
      </c>
      <c r="Z13735" s="372">
        <v>0.0</v>
      </c>
    </row>
    <row r="13736">
      <c r="Y13736" s="372">
        <v>0.0</v>
      </c>
      <c r="Z13736" s="372">
        <v>0.0</v>
      </c>
    </row>
    <row r="13737">
      <c r="Y13737" s="372">
        <v>0.0</v>
      </c>
      <c r="Z13737" s="372">
        <v>0.0</v>
      </c>
    </row>
    <row r="13738">
      <c r="Y13738" s="372">
        <v>0.0</v>
      </c>
      <c r="Z13738" s="372">
        <v>0.0</v>
      </c>
    </row>
    <row r="13739">
      <c r="Y13739" s="372">
        <v>0.0</v>
      </c>
      <c r="Z13739" s="372">
        <v>0.0</v>
      </c>
    </row>
    <row r="13740">
      <c r="Y13740" s="372">
        <v>0.0</v>
      </c>
      <c r="Z13740" s="372">
        <v>0.0</v>
      </c>
    </row>
    <row r="13741">
      <c r="Y13741" s="372">
        <v>0.0</v>
      </c>
      <c r="Z13741" s="372">
        <v>0.0</v>
      </c>
    </row>
    <row r="13742">
      <c r="Y13742" s="372">
        <v>0.0</v>
      </c>
      <c r="Z13742" s="372">
        <v>0.0</v>
      </c>
    </row>
    <row r="13743">
      <c r="Y13743" s="372">
        <v>0.0</v>
      </c>
      <c r="Z13743" s="372">
        <v>0.0</v>
      </c>
    </row>
    <row r="13744">
      <c r="Y13744" s="372">
        <v>0.0</v>
      </c>
      <c r="Z13744" s="372">
        <v>0.0</v>
      </c>
    </row>
    <row r="13745">
      <c r="Y13745" s="372">
        <v>0.0</v>
      </c>
      <c r="Z13745" s="372">
        <v>0.0</v>
      </c>
    </row>
    <row r="13746">
      <c r="Y13746" s="372">
        <v>0.0</v>
      </c>
      <c r="Z13746" s="372">
        <v>0.0</v>
      </c>
    </row>
    <row r="13747">
      <c r="Y13747" s="372">
        <v>0.0</v>
      </c>
      <c r="Z13747" s="372">
        <v>0.0</v>
      </c>
    </row>
    <row r="13748">
      <c r="Y13748" s="372">
        <v>0.0</v>
      </c>
      <c r="Z13748" s="372">
        <v>0.0</v>
      </c>
    </row>
    <row r="13749">
      <c r="Y13749" s="372">
        <v>0.0</v>
      </c>
      <c r="Z13749" s="372">
        <v>0.0</v>
      </c>
    </row>
    <row r="13750">
      <c r="Y13750" s="372">
        <v>0.0</v>
      </c>
      <c r="Z13750" s="372">
        <v>0.0</v>
      </c>
    </row>
    <row r="13751">
      <c r="Y13751" s="372">
        <v>0.0</v>
      </c>
      <c r="Z13751" s="372">
        <v>0.0</v>
      </c>
    </row>
    <row r="13752">
      <c r="Y13752" s="372">
        <v>0.0</v>
      </c>
      <c r="Z13752" s="372">
        <v>0.0</v>
      </c>
    </row>
    <row r="13753">
      <c r="Y13753" s="372">
        <v>0.0</v>
      </c>
      <c r="Z13753" s="372">
        <v>0.0</v>
      </c>
    </row>
    <row r="13754">
      <c r="Y13754" s="372">
        <v>0.0</v>
      </c>
      <c r="Z13754" s="372">
        <v>0.0</v>
      </c>
    </row>
    <row r="13755">
      <c r="Y13755" s="372">
        <v>0.0</v>
      </c>
      <c r="Z13755" s="372">
        <v>0.0</v>
      </c>
    </row>
    <row r="13756">
      <c r="Y13756" s="372">
        <v>0.0</v>
      </c>
      <c r="Z13756" s="372">
        <v>0.0</v>
      </c>
    </row>
    <row r="13757">
      <c r="Y13757" s="372">
        <v>0.0</v>
      </c>
      <c r="Z13757" s="372">
        <v>0.0</v>
      </c>
    </row>
    <row r="13758">
      <c r="Y13758" s="372">
        <v>0.0</v>
      </c>
      <c r="Z13758" s="372">
        <v>0.0</v>
      </c>
    </row>
    <row r="13759">
      <c r="Y13759" s="372">
        <v>0.0</v>
      </c>
      <c r="Z13759" s="372">
        <v>0.0</v>
      </c>
    </row>
    <row r="13760">
      <c r="Y13760" s="372">
        <v>0.0</v>
      </c>
      <c r="Z13760" s="372">
        <v>0.0</v>
      </c>
    </row>
    <row r="13761">
      <c r="Y13761" s="372">
        <v>0.0</v>
      </c>
      <c r="Z13761" s="372">
        <v>0.0</v>
      </c>
    </row>
    <row r="13762">
      <c r="Y13762" s="372">
        <v>0.0</v>
      </c>
      <c r="Z13762" s="372">
        <v>0.0</v>
      </c>
    </row>
    <row r="13763">
      <c r="Y13763" s="372">
        <v>0.0</v>
      </c>
      <c r="Z13763" s="372">
        <v>0.0</v>
      </c>
    </row>
    <row r="13764">
      <c r="Y13764" s="372">
        <v>0.0</v>
      </c>
      <c r="Z13764" s="372">
        <v>0.0</v>
      </c>
    </row>
    <row r="13765">
      <c r="Y13765" s="372">
        <v>0.0</v>
      </c>
      <c r="Z13765" s="372">
        <v>0.0</v>
      </c>
    </row>
    <row r="13766">
      <c r="Y13766" s="372">
        <v>0.0</v>
      </c>
      <c r="Z13766" s="372">
        <v>0.0</v>
      </c>
    </row>
    <row r="13767">
      <c r="Y13767" s="372">
        <v>0.0</v>
      </c>
      <c r="Z13767" s="372">
        <v>0.0</v>
      </c>
    </row>
    <row r="13768">
      <c r="Y13768" s="372">
        <v>0.0</v>
      </c>
      <c r="Z13768" s="372">
        <v>0.0</v>
      </c>
    </row>
    <row r="13769">
      <c r="Y13769" s="372">
        <v>0.0</v>
      </c>
      <c r="Z13769" s="372">
        <v>0.0</v>
      </c>
    </row>
    <row r="13770">
      <c r="Y13770" s="372">
        <v>0.0</v>
      </c>
      <c r="Z13770" s="372">
        <v>0.0</v>
      </c>
    </row>
    <row r="13771">
      <c r="Y13771" s="372">
        <v>0.0</v>
      </c>
      <c r="Z13771" s="372">
        <v>0.0</v>
      </c>
    </row>
    <row r="13772">
      <c r="Y13772" s="372">
        <v>0.0</v>
      </c>
      <c r="Z13772" s="372">
        <v>0.0</v>
      </c>
    </row>
    <row r="13773">
      <c r="Y13773" s="372">
        <v>0.0</v>
      </c>
      <c r="Z13773" s="372">
        <v>0.0</v>
      </c>
    </row>
    <row r="13774">
      <c r="Y13774" s="372">
        <v>0.0</v>
      </c>
      <c r="Z13774" s="372">
        <v>0.0</v>
      </c>
    </row>
    <row r="13775">
      <c r="Y13775" s="372">
        <v>0.0</v>
      </c>
      <c r="Z13775" s="372">
        <v>0.0</v>
      </c>
    </row>
    <row r="13776">
      <c r="Y13776" s="372">
        <v>0.0</v>
      </c>
      <c r="Z13776" s="372">
        <v>0.0</v>
      </c>
    </row>
    <row r="13777">
      <c r="Y13777" s="372">
        <v>0.0</v>
      </c>
      <c r="Z13777" s="372">
        <v>0.0</v>
      </c>
    </row>
    <row r="13778">
      <c r="Y13778" s="372">
        <v>0.0</v>
      </c>
      <c r="Z13778" s="372">
        <v>0.0</v>
      </c>
    </row>
    <row r="13779">
      <c r="Y13779" s="372">
        <v>0.0</v>
      </c>
      <c r="Z13779" s="372">
        <v>0.0</v>
      </c>
    </row>
    <row r="13780">
      <c r="Y13780" s="372">
        <v>0.0</v>
      </c>
      <c r="Z13780" s="372">
        <v>0.0</v>
      </c>
    </row>
    <row r="13781">
      <c r="Y13781" s="372">
        <v>0.0</v>
      </c>
      <c r="Z13781" s="372">
        <v>0.0</v>
      </c>
    </row>
    <row r="13782">
      <c r="Y13782" s="372">
        <v>0.0</v>
      </c>
      <c r="Z13782" s="372">
        <v>0.0</v>
      </c>
    </row>
    <row r="13783">
      <c r="Y13783" s="372">
        <v>0.0</v>
      </c>
      <c r="Z13783" s="372">
        <v>0.0</v>
      </c>
    </row>
    <row r="13784">
      <c r="Y13784" s="372">
        <v>0.0</v>
      </c>
      <c r="Z13784" s="372">
        <v>0.0</v>
      </c>
    </row>
    <row r="13785">
      <c r="Y13785" s="372">
        <v>0.0</v>
      </c>
      <c r="Z13785" s="372">
        <v>0.0</v>
      </c>
    </row>
    <row r="13786">
      <c r="Y13786" s="372">
        <v>0.0</v>
      </c>
      <c r="Z13786" s="372">
        <v>0.0</v>
      </c>
    </row>
    <row r="13787">
      <c r="Y13787" s="372">
        <v>0.0</v>
      </c>
      <c r="Z13787" s="372">
        <v>0.0</v>
      </c>
    </row>
    <row r="13788">
      <c r="Y13788" s="372">
        <v>0.0</v>
      </c>
      <c r="Z13788" s="372">
        <v>0.0</v>
      </c>
    </row>
    <row r="13789">
      <c r="Y13789" s="372">
        <v>0.0</v>
      </c>
      <c r="Z13789" s="372">
        <v>0.0</v>
      </c>
    </row>
    <row r="13790">
      <c r="Y13790" s="372">
        <v>0.0</v>
      </c>
      <c r="Z13790" s="372">
        <v>0.0</v>
      </c>
    </row>
    <row r="13791">
      <c r="Y13791" s="372">
        <v>0.0</v>
      </c>
      <c r="Z13791" s="372">
        <v>0.0</v>
      </c>
    </row>
    <row r="13792">
      <c r="Y13792" s="372">
        <v>0.0</v>
      </c>
      <c r="Z13792" s="372">
        <v>0.0</v>
      </c>
    </row>
    <row r="13793">
      <c r="Y13793" s="372">
        <v>0.0</v>
      </c>
      <c r="Z13793" s="372">
        <v>0.0</v>
      </c>
    </row>
    <row r="13794">
      <c r="Y13794" s="372">
        <v>0.0</v>
      </c>
      <c r="Z13794" s="372">
        <v>0.0</v>
      </c>
    </row>
    <row r="13795">
      <c r="Y13795" s="372">
        <v>0.0</v>
      </c>
      <c r="Z13795" s="372">
        <v>0.0</v>
      </c>
    </row>
    <row r="13796">
      <c r="Y13796" s="372">
        <v>0.0</v>
      </c>
      <c r="Z13796" s="372">
        <v>0.0</v>
      </c>
    </row>
    <row r="13797">
      <c r="Y13797" s="372">
        <v>0.0</v>
      </c>
      <c r="Z13797" s="372">
        <v>0.0</v>
      </c>
    </row>
    <row r="13798">
      <c r="Y13798" s="372">
        <v>0.0</v>
      </c>
      <c r="Z13798" s="372">
        <v>0.0</v>
      </c>
    </row>
    <row r="13799">
      <c r="Y13799" s="372">
        <v>0.0</v>
      </c>
      <c r="Z13799" s="372">
        <v>0.0</v>
      </c>
    </row>
    <row r="13800">
      <c r="Y13800" s="372">
        <v>0.0</v>
      </c>
      <c r="Z13800" s="372">
        <v>0.0</v>
      </c>
    </row>
    <row r="13801">
      <c r="Y13801" s="372">
        <v>0.0</v>
      </c>
      <c r="Z13801" s="372">
        <v>0.0</v>
      </c>
    </row>
    <row r="13802">
      <c r="Y13802" s="372">
        <v>0.0</v>
      </c>
      <c r="Z13802" s="372">
        <v>0.0</v>
      </c>
    </row>
    <row r="13803">
      <c r="Y13803" s="372">
        <v>0.0</v>
      </c>
      <c r="Z13803" s="372">
        <v>0.0</v>
      </c>
    </row>
    <row r="13804">
      <c r="Y13804" s="372">
        <v>0.0</v>
      </c>
      <c r="Z13804" s="372">
        <v>0.0</v>
      </c>
    </row>
    <row r="13805">
      <c r="Y13805" s="372">
        <v>0.0</v>
      </c>
      <c r="Z13805" s="372">
        <v>0.0</v>
      </c>
    </row>
    <row r="13806">
      <c r="Y13806" s="372">
        <v>0.0</v>
      </c>
      <c r="Z13806" s="372">
        <v>0.0</v>
      </c>
    </row>
    <row r="13807">
      <c r="Y13807" s="372">
        <v>0.0</v>
      </c>
      <c r="Z13807" s="372">
        <v>0.0</v>
      </c>
    </row>
    <row r="13808">
      <c r="Y13808" s="372">
        <v>0.0</v>
      </c>
      <c r="Z13808" s="372">
        <v>0.0</v>
      </c>
    </row>
    <row r="13809">
      <c r="Y13809" s="372">
        <v>0.0</v>
      </c>
      <c r="Z13809" s="372">
        <v>0.0</v>
      </c>
    </row>
    <row r="13810">
      <c r="Y13810" s="372">
        <v>0.0</v>
      </c>
      <c r="Z13810" s="372">
        <v>0.0</v>
      </c>
    </row>
    <row r="13811">
      <c r="Y13811" s="372">
        <v>0.0</v>
      </c>
      <c r="Z13811" s="372">
        <v>0.0</v>
      </c>
    </row>
    <row r="13812">
      <c r="Y13812" s="372">
        <v>0.0</v>
      </c>
      <c r="Z13812" s="372">
        <v>0.0</v>
      </c>
    </row>
    <row r="13813">
      <c r="Y13813" s="372">
        <v>0.0</v>
      </c>
      <c r="Z13813" s="372">
        <v>0.0</v>
      </c>
    </row>
    <row r="13814">
      <c r="Y13814" s="372">
        <v>0.0</v>
      </c>
      <c r="Z13814" s="372">
        <v>0.0</v>
      </c>
    </row>
    <row r="13815">
      <c r="Y13815" s="372">
        <v>0.0</v>
      </c>
      <c r="Z13815" s="372">
        <v>0.0</v>
      </c>
    </row>
    <row r="13816">
      <c r="Y13816" s="372">
        <v>0.0</v>
      </c>
      <c r="Z13816" s="372">
        <v>0.0</v>
      </c>
    </row>
    <row r="13817">
      <c r="Y13817" s="372">
        <v>0.0</v>
      </c>
      <c r="Z13817" s="372">
        <v>0.0</v>
      </c>
    </row>
    <row r="13818">
      <c r="Y13818" s="372">
        <v>0.0</v>
      </c>
      <c r="Z13818" s="372">
        <v>0.0</v>
      </c>
    </row>
    <row r="13819">
      <c r="Y13819" s="372">
        <v>0.0</v>
      </c>
      <c r="Z13819" s="372">
        <v>0.0</v>
      </c>
    </row>
    <row r="13820">
      <c r="Y13820" s="372">
        <v>0.0</v>
      </c>
      <c r="Z13820" s="372">
        <v>0.0</v>
      </c>
    </row>
    <row r="13821">
      <c r="Y13821" s="372">
        <v>0.0</v>
      </c>
      <c r="Z13821" s="372">
        <v>0.0</v>
      </c>
    </row>
    <row r="13822">
      <c r="Y13822" s="372">
        <v>0.0</v>
      </c>
      <c r="Z13822" s="372">
        <v>0.0</v>
      </c>
    </row>
    <row r="13823">
      <c r="Y13823" s="372">
        <v>0.0</v>
      </c>
      <c r="Z13823" s="372">
        <v>0.0</v>
      </c>
    </row>
    <row r="13824">
      <c r="Y13824" s="372">
        <v>0.0</v>
      </c>
      <c r="Z13824" s="372">
        <v>0.0</v>
      </c>
    </row>
    <row r="13825">
      <c r="Y13825" s="372">
        <v>0.0</v>
      </c>
      <c r="Z13825" s="372">
        <v>0.0</v>
      </c>
    </row>
    <row r="13826">
      <c r="Y13826" s="372">
        <v>0.0</v>
      </c>
      <c r="Z13826" s="372">
        <v>0.0</v>
      </c>
    </row>
    <row r="13827">
      <c r="Y13827" s="372">
        <v>0.0</v>
      </c>
      <c r="Z13827" s="372">
        <v>0.0</v>
      </c>
    </row>
    <row r="13828">
      <c r="Y13828" s="372">
        <v>0.0</v>
      </c>
      <c r="Z13828" s="372">
        <v>0.0</v>
      </c>
    </row>
    <row r="13829">
      <c r="Y13829" s="372">
        <v>0.0</v>
      </c>
      <c r="Z13829" s="372">
        <v>0.0</v>
      </c>
    </row>
    <row r="13830">
      <c r="Y13830" s="372">
        <v>0.0</v>
      </c>
      <c r="Z13830" s="372">
        <v>0.0</v>
      </c>
    </row>
    <row r="13831">
      <c r="Y13831" s="372">
        <v>0.0</v>
      </c>
      <c r="Z13831" s="372">
        <v>0.0</v>
      </c>
    </row>
    <row r="13832">
      <c r="Y13832" s="372">
        <v>0.0</v>
      </c>
      <c r="Z13832" s="372">
        <v>0.0</v>
      </c>
    </row>
    <row r="13833">
      <c r="Y13833" s="372">
        <v>0.0</v>
      </c>
      <c r="Z13833" s="372">
        <v>0.0</v>
      </c>
    </row>
    <row r="13834">
      <c r="Y13834" s="372">
        <v>0.0</v>
      </c>
      <c r="Z13834" s="372">
        <v>0.0</v>
      </c>
    </row>
    <row r="13835">
      <c r="Y13835" s="372">
        <v>0.0</v>
      </c>
      <c r="Z13835" s="372">
        <v>0.0</v>
      </c>
    </row>
    <row r="13836">
      <c r="Y13836" s="372">
        <v>0.0</v>
      </c>
      <c r="Z13836" s="372">
        <v>0.0</v>
      </c>
    </row>
    <row r="13837">
      <c r="Y13837" s="372">
        <v>0.0</v>
      </c>
      <c r="Z13837" s="372">
        <v>0.0</v>
      </c>
    </row>
    <row r="13838">
      <c r="Y13838" s="372">
        <v>0.0</v>
      </c>
      <c r="Z13838" s="372">
        <v>0.0</v>
      </c>
    </row>
    <row r="13839">
      <c r="Y13839" s="372">
        <v>0.0</v>
      </c>
      <c r="Z13839" s="372">
        <v>0.0</v>
      </c>
    </row>
    <row r="13840">
      <c r="Y13840" s="372">
        <v>0.0</v>
      </c>
      <c r="Z13840" s="372">
        <v>0.0</v>
      </c>
    </row>
    <row r="13841">
      <c r="Y13841" s="372">
        <v>0.0</v>
      </c>
      <c r="Z13841" s="372">
        <v>0.0</v>
      </c>
    </row>
    <row r="13842">
      <c r="Y13842" s="372">
        <v>0.0</v>
      </c>
      <c r="Z13842" s="372">
        <v>0.0</v>
      </c>
    </row>
    <row r="13843">
      <c r="Y13843" s="372">
        <v>0.0</v>
      </c>
      <c r="Z13843" s="372">
        <v>0.0</v>
      </c>
    </row>
    <row r="13844">
      <c r="Y13844" s="372">
        <v>0.0</v>
      </c>
      <c r="Z13844" s="372">
        <v>0.0</v>
      </c>
    </row>
    <row r="13845">
      <c r="Y13845" s="372">
        <v>0.0</v>
      </c>
      <c r="Z13845" s="372">
        <v>0.0</v>
      </c>
    </row>
    <row r="13846">
      <c r="Y13846" s="372">
        <v>0.0</v>
      </c>
      <c r="Z13846" s="372">
        <v>0.0</v>
      </c>
    </row>
    <row r="13847">
      <c r="Y13847" s="372">
        <v>0.0</v>
      </c>
      <c r="Z13847" s="372">
        <v>0.0</v>
      </c>
    </row>
    <row r="13848">
      <c r="Y13848" s="372">
        <v>0.0</v>
      </c>
      <c r="Z13848" s="372">
        <v>0.0</v>
      </c>
    </row>
    <row r="13849">
      <c r="Y13849" s="372">
        <v>0.0</v>
      </c>
      <c r="Z13849" s="372">
        <v>0.0</v>
      </c>
    </row>
    <row r="13850">
      <c r="Y13850" s="372">
        <v>0.0</v>
      </c>
      <c r="Z13850" s="372">
        <v>0.0</v>
      </c>
    </row>
    <row r="13851">
      <c r="Y13851" s="372">
        <v>0.0</v>
      </c>
      <c r="Z13851" s="372">
        <v>0.0</v>
      </c>
    </row>
    <row r="13852">
      <c r="Y13852" s="372">
        <v>0.0</v>
      </c>
      <c r="Z13852" s="372">
        <v>0.0</v>
      </c>
    </row>
    <row r="13853">
      <c r="Y13853" s="372">
        <v>0.0</v>
      </c>
      <c r="Z13853" s="372">
        <v>0.0</v>
      </c>
    </row>
    <row r="13854">
      <c r="Y13854" s="372">
        <v>0.0</v>
      </c>
      <c r="Z13854" s="372">
        <v>0.0</v>
      </c>
    </row>
    <row r="13855">
      <c r="Y13855" s="372">
        <v>0.0</v>
      </c>
      <c r="Z13855" s="372">
        <v>0.0</v>
      </c>
    </row>
    <row r="13856">
      <c r="Y13856" s="372">
        <v>0.0</v>
      </c>
      <c r="Z13856" s="372">
        <v>0.0</v>
      </c>
    </row>
    <row r="13857">
      <c r="Y13857" s="372">
        <v>0.0</v>
      </c>
      <c r="Z13857" s="372">
        <v>0.0</v>
      </c>
    </row>
    <row r="13858">
      <c r="Y13858" s="372">
        <v>0.0</v>
      </c>
      <c r="Z13858" s="372">
        <v>0.0</v>
      </c>
    </row>
    <row r="13859">
      <c r="Y13859" s="372">
        <v>0.0</v>
      </c>
      <c r="Z13859" s="372">
        <v>0.0</v>
      </c>
    </row>
    <row r="13860">
      <c r="Y13860" s="372">
        <v>0.0</v>
      </c>
      <c r="Z13860" s="372">
        <v>0.0</v>
      </c>
    </row>
    <row r="13861">
      <c r="Y13861" s="372">
        <v>0.0</v>
      </c>
      <c r="Z13861" s="372">
        <v>0.0</v>
      </c>
    </row>
    <row r="13862">
      <c r="Y13862" s="372">
        <v>0.0</v>
      </c>
      <c r="Z13862" s="372">
        <v>0.0</v>
      </c>
    </row>
    <row r="13863">
      <c r="Y13863" s="372">
        <v>0.0</v>
      </c>
      <c r="Z13863" s="372">
        <v>0.0</v>
      </c>
    </row>
    <row r="13864">
      <c r="Y13864" s="372">
        <v>0.0</v>
      </c>
      <c r="Z13864" s="372">
        <v>0.0</v>
      </c>
    </row>
    <row r="13865">
      <c r="Y13865" s="372">
        <v>0.0</v>
      </c>
      <c r="Z13865" s="372">
        <v>0.0</v>
      </c>
    </row>
    <row r="13866">
      <c r="Y13866" s="372">
        <v>0.0</v>
      </c>
      <c r="Z13866" s="372">
        <v>0.0</v>
      </c>
    </row>
    <row r="13867">
      <c r="Y13867" s="372">
        <v>0.0</v>
      </c>
      <c r="Z13867" s="372">
        <v>0.0</v>
      </c>
    </row>
    <row r="13868">
      <c r="Y13868" s="372">
        <v>0.0</v>
      </c>
      <c r="Z13868" s="372">
        <v>0.0</v>
      </c>
    </row>
    <row r="13869">
      <c r="Y13869" s="372">
        <v>0.0</v>
      </c>
      <c r="Z13869" s="372">
        <v>0.0</v>
      </c>
    </row>
    <row r="13870">
      <c r="Y13870" s="372">
        <v>0.0</v>
      </c>
      <c r="Z13870" s="372">
        <v>0.0</v>
      </c>
    </row>
    <row r="13871">
      <c r="Y13871" s="372">
        <v>0.0</v>
      </c>
      <c r="Z13871" s="372">
        <v>0.0</v>
      </c>
    </row>
    <row r="13872">
      <c r="Y13872" s="372">
        <v>0.0</v>
      </c>
      <c r="Z13872" s="372">
        <v>0.0</v>
      </c>
    </row>
    <row r="13873">
      <c r="Y13873" s="372">
        <v>0.0</v>
      </c>
      <c r="Z13873" s="372">
        <v>0.0</v>
      </c>
    </row>
    <row r="13874">
      <c r="Y13874" s="372">
        <v>0.0</v>
      </c>
      <c r="Z13874" s="372">
        <v>0.0</v>
      </c>
    </row>
    <row r="13875">
      <c r="Y13875" s="372">
        <v>0.0</v>
      </c>
      <c r="Z13875" s="372">
        <v>0.0</v>
      </c>
    </row>
    <row r="13876">
      <c r="Y13876" s="372">
        <v>0.0</v>
      </c>
      <c r="Z13876" s="372">
        <v>0.0</v>
      </c>
    </row>
    <row r="13877">
      <c r="Y13877" s="372">
        <v>0.0</v>
      </c>
      <c r="Z13877" s="372">
        <v>0.0</v>
      </c>
    </row>
    <row r="13878">
      <c r="Y13878" s="372">
        <v>0.0</v>
      </c>
      <c r="Z13878" s="372">
        <v>0.0</v>
      </c>
    </row>
    <row r="13879">
      <c r="Y13879" s="372">
        <v>0.0</v>
      </c>
      <c r="Z13879" s="372">
        <v>0.0</v>
      </c>
    </row>
    <row r="13880">
      <c r="Y13880" s="372">
        <v>0.0</v>
      </c>
      <c r="Z13880" s="372">
        <v>0.0</v>
      </c>
    </row>
    <row r="13881">
      <c r="Y13881" s="372">
        <v>0.0</v>
      </c>
      <c r="Z13881" s="372">
        <v>0.0</v>
      </c>
    </row>
    <row r="13882">
      <c r="Y13882" s="372">
        <v>0.0</v>
      </c>
      <c r="Z13882" s="372">
        <v>0.0</v>
      </c>
    </row>
    <row r="13883">
      <c r="Y13883" s="372">
        <v>0.0</v>
      </c>
      <c r="Z13883" s="372">
        <v>0.0</v>
      </c>
    </row>
    <row r="13884">
      <c r="Y13884" s="372">
        <v>0.0</v>
      </c>
      <c r="Z13884" s="372">
        <v>0.0</v>
      </c>
    </row>
    <row r="13885">
      <c r="Y13885" s="372">
        <v>0.0</v>
      </c>
      <c r="Z13885" s="372">
        <v>0.0</v>
      </c>
    </row>
    <row r="13886">
      <c r="Y13886" s="372">
        <v>0.0</v>
      </c>
      <c r="Z13886" s="372">
        <v>0.0</v>
      </c>
    </row>
    <row r="13887">
      <c r="Y13887" s="372">
        <v>0.0</v>
      </c>
      <c r="Z13887" s="372">
        <v>0.0</v>
      </c>
    </row>
    <row r="13888">
      <c r="Y13888" s="372">
        <v>0.0</v>
      </c>
      <c r="Z13888" s="372">
        <v>0.0</v>
      </c>
    </row>
    <row r="13889">
      <c r="Y13889" s="372">
        <v>0.0</v>
      </c>
      <c r="Z13889" s="372">
        <v>0.0</v>
      </c>
    </row>
    <row r="13890">
      <c r="Y13890" s="372">
        <v>0.0</v>
      </c>
      <c r="Z13890" s="372">
        <v>0.0</v>
      </c>
    </row>
    <row r="13891">
      <c r="Y13891" s="372">
        <v>0.0</v>
      </c>
      <c r="Z13891" s="372">
        <v>0.0</v>
      </c>
    </row>
    <row r="13892">
      <c r="Y13892" s="372">
        <v>0.0</v>
      </c>
      <c r="Z13892" s="372">
        <v>0.0</v>
      </c>
    </row>
    <row r="13893">
      <c r="Y13893" s="372">
        <v>0.0</v>
      </c>
      <c r="Z13893" s="372">
        <v>0.0</v>
      </c>
    </row>
    <row r="13894">
      <c r="Y13894" s="372">
        <v>0.0</v>
      </c>
      <c r="Z13894" s="372">
        <v>0.0</v>
      </c>
    </row>
    <row r="13895">
      <c r="Y13895" s="372">
        <v>0.0</v>
      </c>
      <c r="Z13895" s="372">
        <v>0.0</v>
      </c>
    </row>
    <row r="13896">
      <c r="Y13896" s="372">
        <v>0.0</v>
      </c>
      <c r="Z13896" s="372">
        <v>0.0</v>
      </c>
    </row>
    <row r="13897">
      <c r="Y13897" s="372">
        <v>0.0</v>
      </c>
      <c r="Z13897" s="372">
        <v>0.0</v>
      </c>
    </row>
    <row r="13898">
      <c r="Y13898" s="372">
        <v>0.0</v>
      </c>
      <c r="Z13898" s="372">
        <v>0.0</v>
      </c>
    </row>
    <row r="13899">
      <c r="Y13899" s="372">
        <v>0.0</v>
      </c>
      <c r="Z13899" s="372">
        <v>0.0</v>
      </c>
    </row>
    <row r="13900">
      <c r="Y13900" s="372">
        <v>0.0</v>
      </c>
      <c r="Z13900" s="372">
        <v>0.0</v>
      </c>
    </row>
    <row r="13901">
      <c r="Y13901" s="372">
        <v>0.0</v>
      </c>
      <c r="Z13901" s="372">
        <v>0.0</v>
      </c>
    </row>
    <row r="13902">
      <c r="Y13902" s="372">
        <v>0.0</v>
      </c>
      <c r="Z13902" s="372">
        <v>0.0</v>
      </c>
    </row>
    <row r="13903">
      <c r="Y13903" s="372">
        <v>0.0</v>
      </c>
      <c r="Z13903" s="372">
        <v>0.0</v>
      </c>
    </row>
    <row r="13904">
      <c r="Y13904" s="372">
        <v>0.0</v>
      </c>
      <c r="Z13904" s="372">
        <v>0.0</v>
      </c>
    </row>
    <row r="13905">
      <c r="Y13905" s="372">
        <v>0.0</v>
      </c>
      <c r="Z13905" s="372">
        <v>0.0</v>
      </c>
    </row>
    <row r="13906">
      <c r="Y13906" s="372">
        <v>0.0</v>
      </c>
      <c r="Z13906" s="372">
        <v>0.0</v>
      </c>
    </row>
    <row r="13907">
      <c r="Y13907" s="372">
        <v>0.0</v>
      </c>
      <c r="Z13907" s="372">
        <v>0.0</v>
      </c>
    </row>
    <row r="13908">
      <c r="Y13908" s="372">
        <v>0.0</v>
      </c>
      <c r="Z13908" s="372">
        <v>0.0</v>
      </c>
    </row>
    <row r="13909">
      <c r="Y13909" s="372">
        <v>0.0</v>
      </c>
      <c r="Z13909" s="372">
        <v>0.0</v>
      </c>
    </row>
    <row r="13910">
      <c r="Y13910" s="372">
        <v>0.0</v>
      </c>
      <c r="Z13910" s="372">
        <v>0.0</v>
      </c>
    </row>
    <row r="13911">
      <c r="Y13911" s="372">
        <v>0.0</v>
      </c>
      <c r="Z13911" s="372">
        <v>0.0</v>
      </c>
    </row>
    <row r="13912">
      <c r="Y13912" s="372">
        <v>0.0</v>
      </c>
      <c r="Z13912" s="372">
        <v>0.0</v>
      </c>
    </row>
    <row r="13913">
      <c r="Y13913" s="372">
        <v>0.0</v>
      </c>
      <c r="Z13913" s="372">
        <v>0.0</v>
      </c>
    </row>
    <row r="13914">
      <c r="Y13914" s="372">
        <v>0.0</v>
      </c>
      <c r="Z13914" s="372">
        <v>0.0</v>
      </c>
    </row>
    <row r="13915">
      <c r="Y13915" s="372">
        <v>0.0</v>
      </c>
      <c r="Z13915" s="372">
        <v>0.0</v>
      </c>
    </row>
    <row r="13916">
      <c r="Y13916" s="372">
        <v>0.0</v>
      </c>
      <c r="Z13916" s="372">
        <v>0.0</v>
      </c>
    </row>
    <row r="13917">
      <c r="Y13917" s="372">
        <v>0.0</v>
      </c>
      <c r="Z13917" s="372">
        <v>0.0</v>
      </c>
    </row>
    <row r="13918">
      <c r="Y13918" s="372">
        <v>0.0</v>
      </c>
      <c r="Z13918" s="372">
        <v>0.0</v>
      </c>
    </row>
    <row r="13919">
      <c r="Y13919" s="372">
        <v>0.0</v>
      </c>
      <c r="Z13919" s="372">
        <v>0.0</v>
      </c>
    </row>
    <row r="13920">
      <c r="Y13920" s="372">
        <v>0.0</v>
      </c>
      <c r="Z13920" s="372">
        <v>0.0</v>
      </c>
    </row>
    <row r="13921">
      <c r="Y13921" s="372">
        <v>0.0</v>
      </c>
      <c r="Z13921" s="372">
        <v>0.0</v>
      </c>
    </row>
    <row r="13922">
      <c r="Y13922" s="372">
        <v>0.0</v>
      </c>
      <c r="Z13922" s="372">
        <v>0.0</v>
      </c>
    </row>
    <row r="13923">
      <c r="Y13923" s="372">
        <v>0.0</v>
      </c>
      <c r="Z13923" s="372">
        <v>0.0</v>
      </c>
    </row>
    <row r="13924">
      <c r="Y13924" s="372">
        <v>0.0</v>
      </c>
      <c r="Z13924" s="372">
        <v>0.0</v>
      </c>
    </row>
    <row r="13925">
      <c r="Y13925" s="372">
        <v>0.0</v>
      </c>
      <c r="Z13925" s="372">
        <v>0.0</v>
      </c>
    </row>
    <row r="13926">
      <c r="Y13926" s="372">
        <v>0.0</v>
      </c>
      <c r="Z13926" s="372">
        <v>0.0</v>
      </c>
    </row>
    <row r="13927">
      <c r="Y13927" s="372">
        <v>0.0</v>
      </c>
      <c r="Z13927" s="372">
        <v>0.0</v>
      </c>
    </row>
    <row r="13928">
      <c r="Y13928" s="372">
        <v>0.0</v>
      </c>
      <c r="Z13928" s="372">
        <v>0.0</v>
      </c>
    </row>
    <row r="13929">
      <c r="Y13929" s="372">
        <v>0.0</v>
      </c>
      <c r="Z13929" s="372">
        <v>0.0</v>
      </c>
    </row>
    <row r="13930">
      <c r="Y13930" s="372">
        <v>0.0</v>
      </c>
      <c r="Z13930" s="372">
        <v>0.0</v>
      </c>
    </row>
    <row r="13931">
      <c r="Y13931" s="372">
        <v>0.0</v>
      </c>
      <c r="Z13931" s="372">
        <v>0.0</v>
      </c>
    </row>
    <row r="13932">
      <c r="Y13932" s="372">
        <v>0.0</v>
      </c>
      <c r="Z13932" s="372">
        <v>0.0</v>
      </c>
    </row>
    <row r="13933">
      <c r="Y13933" s="372">
        <v>0.0</v>
      </c>
      <c r="Z13933" s="372">
        <v>0.0</v>
      </c>
    </row>
    <row r="13934">
      <c r="Y13934" s="372">
        <v>0.0</v>
      </c>
      <c r="Z13934" s="372">
        <v>0.0</v>
      </c>
    </row>
    <row r="13935">
      <c r="Y13935" s="372">
        <v>0.0</v>
      </c>
      <c r="Z13935" s="372">
        <v>0.0</v>
      </c>
    </row>
    <row r="13936">
      <c r="Y13936" s="372">
        <v>0.0</v>
      </c>
      <c r="Z13936" s="372">
        <v>0.0</v>
      </c>
    </row>
    <row r="13937">
      <c r="Y13937" s="372">
        <v>0.0</v>
      </c>
      <c r="Z13937" s="372">
        <v>0.0</v>
      </c>
    </row>
    <row r="13938">
      <c r="Y13938" s="372">
        <v>0.0</v>
      </c>
      <c r="Z13938" s="372">
        <v>0.0</v>
      </c>
    </row>
    <row r="13939">
      <c r="Y13939" s="372">
        <v>0.0</v>
      </c>
      <c r="Z13939" s="372">
        <v>0.0</v>
      </c>
    </row>
    <row r="13940">
      <c r="Y13940" s="372">
        <v>0.0</v>
      </c>
      <c r="Z13940" s="372">
        <v>0.0</v>
      </c>
    </row>
    <row r="13941">
      <c r="Y13941" s="372">
        <v>0.0</v>
      </c>
      <c r="Z13941" s="372">
        <v>0.0</v>
      </c>
    </row>
    <row r="13942">
      <c r="Y13942" s="372">
        <v>0.0</v>
      </c>
      <c r="Z13942" s="372">
        <v>0.0</v>
      </c>
    </row>
    <row r="13943">
      <c r="Y13943" s="372">
        <v>0.0</v>
      </c>
      <c r="Z13943" s="372">
        <v>0.0</v>
      </c>
    </row>
    <row r="13944">
      <c r="Y13944" s="372">
        <v>0.0</v>
      </c>
      <c r="Z13944" s="372">
        <v>0.0</v>
      </c>
    </row>
    <row r="13945">
      <c r="Y13945" s="372">
        <v>0.0</v>
      </c>
      <c r="Z13945" s="372">
        <v>0.0</v>
      </c>
    </row>
    <row r="13946">
      <c r="Y13946" s="372">
        <v>0.0</v>
      </c>
      <c r="Z13946" s="372">
        <v>0.0</v>
      </c>
    </row>
    <row r="13947">
      <c r="Y13947" s="372">
        <v>0.0</v>
      </c>
      <c r="Z13947" s="372">
        <v>0.0</v>
      </c>
    </row>
    <row r="13948">
      <c r="Y13948" s="372">
        <v>0.0</v>
      </c>
      <c r="Z13948" s="372">
        <v>0.0</v>
      </c>
    </row>
    <row r="13949">
      <c r="Y13949" s="372">
        <v>0.0</v>
      </c>
      <c r="Z13949" s="372">
        <v>0.0</v>
      </c>
    </row>
    <row r="13950">
      <c r="Y13950" s="372">
        <v>0.0</v>
      </c>
      <c r="Z13950" s="372">
        <v>0.0</v>
      </c>
    </row>
    <row r="13951">
      <c r="Y13951" s="372">
        <v>0.0</v>
      </c>
      <c r="Z13951" s="372">
        <v>0.0</v>
      </c>
    </row>
    <row r="13952">
      <c r="Y13952" s="372">
        <v>0.0</v>
      </c>
      <c r="Z13952" s="372">
        <v>0.0</v>
      </c>
    </row>
    <row r="13953">
      <c r="Y13953" s="372">
        <v>0.0</v>
      </c>
      <c r="Z13953" s="372">
        <v>0.0</v>
      </c>
    </row>
    <row r="13954">
      <c r="Y13954" s="372">
        <v>0.0</v>
      </c>
      <c r="Z13954" s="372">
        <v>0.0</v>
      </c>
    </row>
    <row r="13955">
      <c r="Y13955" s="372">
        <v>0.0</v>
      </c>
      <c r="Z13955" s="372">
        <v>0.0</v>
      </c>
    </row>
    <row r="13956">
      <c r="Y13956" s="372">
        <v>0.0</v>
      </c>
      <c r="Z13956" s="372">
        <v>0.0</v>
      </c>
    </row>
    <row r="13957">
      <c r="Y13957" s="372">
        <v>0.0</v>
      </c>
      <c r="Z13957" s="372">
        <v>0.0</v>
      </c>
    </row>
    <row r="13958">
      <c r="Y13958" s="372">
        <v>0.0</v>
      </c>
      <c r="Z13958" s="372">
        <v>0.0</v>
      </c>
    </row>
    <row r="13959">
      <c r="Y13959" s="372">
        <v>0.0</v>
      </c>
      <c r="Z13959" s="372">
        <v>0.0</v>
      </c>
    </row>
    <row r="13960">
      <c r="Y13960" s="372">
        <v>0.0</v>
      </c>
      <c r="Z13960" s="372">
        <v>0.0</v>
      </c>
    </row>
    <row r="13961">
      <c r="Y13961" s="372">
        <v>0.0</v>
      </c>
      <c r="Z13961" s="372">
        <v>0.0</v>
      </c>
    </row>
    <row r="13962">
      <c r="Y13962" s="372">
        <v>0.0</v>
      </c>
      <c r="Z13962" s="372">
        <v>0.0</v>
      </c>
    </row>
    <row r="13963">
      <c r="Y13963" s="372">
        <v>0.0</v>
      </c>
      <c r="Z13963" s="372">
        <v>0.0</v>
      </c>
    </row>
    <row r="13964">
      <c r="Y13964" s="372">
        <v>0.0</v>
      </c>
      <c r="Z13964" s="372">
        <v>0.0</v>
      </c>
    </row>
    <row r="13965">
      <c r="Y13965" s="372">
        <v>0.0</v>
      </c>
      <c r="Z13965" s="372">
        <v>0.0</v>
      </c>
    </row>
    <row r="13966">
      <c r="Y13966" s="372">
        <v>0.0</v>
      </c>
      <c r="Z13966" s="372">
        <v>0.0</v>
      </c>
    </row>
    <row r="13967">
      <c r="Y13967" s="372">
        <v>0.0</v>
      </c>
      <c r="Z13967" s="372">
        <v>0.0</v>
      </c>
    </row>
    <row r="13968">
      <c r="Y13968" s="372">
        <v>0.0</v>
      </c>
      <c r="Z13968" s="372">
        <v>0.0</v>
      </c>
    </row>
    <row r="13969">
      <c r="Y13969" s="372">
        <v>0.0</v>
      </c>
      <c r="Z13969" s="372">
        <v>0.0</v>
      </c>
    </row>
    <row r="13970">
      <c r="Y13970" s="372">
        <v>0.0</v>
      </c>
      <c r="Z13970" s="372">
        <v>0.0</v>
      </c>
    </row>
    <row r="13971">
      <c r="Y13971" s="372">
        <v>0.0</v>
      </c>
      <c r="Z13971" s="372">
        <v>0.0</v>
      </c>
    </row>
    <row r="13972">
      <c r="Y13972" s="372">
        <v>0.0</v>
      </c>
      <c r="Z13972" s="372">
        <v>0.0</v>
      </c>
    </row>
    <row r="13973">
      <c r="Y13973" s="372">
        <v>0.0</v>
      </c>
      <c r="Z13973" s="372">
        <v>0.0</v>
      </c>
    </row>
    <row r="13974">
      <c r="Y13974" s="372">
        <v>0.0</v>
      </c>
      <c r="Z13974" s="372">
        <v>0.0</v>
      </c>
    </row>
    <row r="13975">
      <c r="Y13975" s="372">
        <v>0.0</v>
      </c>
      <c r="Z13975" s="372">
        <v>0.0</v>
      </c>
    </row>
    <row r="13976">
      <c r="Y13976" s="372">
        <v>0.0</v>
      </c>
      <c r="Z13976" s="372">
        <v>0.0</v>
      </c>
    </row>
    <row r="13977">
      <c r="Y13977" s="372">
        <v>0.0</v>
      </c>
      <c r="Z13977" s="372">
        <v>0.0</v>
      </c>
    </row>
    <row r="13978">
      <c r="Y13978" s="372">
        <v>0.0</v>
      </c>
      <c r="Z13978" s="372">
        <v>0.0</v>
      </c>
    </row>
    <row r="13979">
      <c r="Y13979" s="372">
        <v>0.0</v>
      </c>
      <c r="Z13979" s="372">
        <v>0.0</v>
      </c>
    </row>
    <row r="13980">
      <c r="Y13980" s="372">
        <v>0.0</v>
      </c>
      <c r="Z13980" s="372">
        <v>0.0</v>
      </c>
    </row>
    <row r="13981">
      <c r="Y13981" s="372">
        <v>0.0</v>
      </c>
      <c r="Z13981" s="372">
        <v>0.0</v>
      </c>
    </row>
    <row r="13982">
      <c r="Y13982" s="372">
        <v>0.0</v>
      </c>
      <c r="Z13982" s="372">
        <v>0.0</v>
      </c>
    </row>
    <row r="13983">
      <c r="Y13983" s="372">
        <v>0.0</v>
      </c>
      <c r="Z13983" s="372">
        <v>0.0</v>
      </c>
    </row>
    <row r="13984">
      <c r="Y13984" s="372">
        <v>0.0</v>
      </c>
      <c r="Z13984" s="372">
        <v>0.0</v>
      </c>
    </row>
    <row r="13985">
      <c r="Y13985" s="372">
        <v>0.0</v>
      </c>
      <c r="Z13985" s="372">
        <v>0.0</v>
      </c>
    </row>
    <row r="13986">
      <c r="Y13986" s="372">
        <v>0.0</v>
      </c>
      <c r="Z13986" s="372">
        <v>0.0</v>
      </c>
    </row>
    <row r="13987">
      <c r="Y13987" s="372">
        <v>0.0</v>
      </c>
      <c r="Z13987" s="372">
        <v>0.0</v>
      </c>
    </row>
    <row r="13988">
      <c r="Y13988" s="372">
        <v>0.0</v>
      </c>
      <c r="Z13988" s="372">
        <v>0.0</v>
      </c>
    </row>
    <row r="13989">
      <c r="Y13989" s="372">
        <v>0.0</v>
      </c>
      <c r="Z13989" s="372">
        <v>0.0</v>
      </c>
    </row>
    <row r="13990">
      <c r="Y13990" s="372">
        <v>0.0</v>
      </c>
      <c r="Z13990" s="372">
        <v>0.0</v>
      </c>
    </row>
    <row r="13991">
      <c r="Y13991" s="372">
        <v>0.0</v>
      </c>
      <c r="Z13991" s="372">
        <v>0.0</v>
      </c>
    </row>
    <row r="13992">
      <c r="Y13992" s="372">
        <v>0.0</v>
      </c>
      <c r="Z13992" s="372">
        <v>0.0</v>
      </c>
    </row>
    <row r="13993">
      <c r="Y13993" s="372">
        <v>0.0</v>
      </c>
      <c r="Z13993" s="372">
        <v>0.0</v>
      </c>
    </row>
    <row r="13994">
      <c r="Y13994" s="372">
        <v>0.0</v>
      </c>
      <c r="Z13994" s="372">
        <v>0.0</v>
      </c>
    </row>
    <row r="13995">
      <c r="Y13995" s="372">
        <v>0.0</v>
      </c>
      <c r="Z13995" s="372">
        <v>0.0</v>
      </c>
    </row>
    <row r="13996">
      <c r="Y13996" s="372">
        <v>0.0</v>
      </c>
      <c r="Z13996" s="372">
        <v>0.0</v>
      </c>
    </row>
    <row r="13997">
      <c r="Y13997" s="372">
        <v>0.0</v>
      </c>
      <c r="Z13997" s="372">
        <v>0.0</v>
      </c>
    </row>
    <row r="13998">
      <c r="Y13998" s="372">
        <v>0.0</v>
      </c>
      <c r="Z13998" s="372">
        <v>0.0</v>
      </c>
    </row>
    <row r="13999">
      <c r="Y13999" s="372">
        <v>0.0</v>
      </c>
      <c r="Z13999" s="372">
        <v>0.0</v>
      </c>
    </row>
    <row r="14000">
      <c r="Y14000" s="372">
        <v>0.0</v>
      </c>
      <c r="Z14000" s="372">
        <v>0.0</v>
      </c>
    </row>
    <row r="14001">
      <c r="Y14001" s="372">
        <v>0.0</v>
      </c>
      <c r="Z14001" s="372">
        <v>0.0</v>
      </c>
    </row>
    <row r="14002">
      <c r="Y14002" s="372">
        <v>0.0</v>
      </c>
      <c r="Z14002" s="372">
        <v>0.0</v>
      </c>
    </row>
    <row r="14003">
      <c r="Y14003" s="372">
        <v>0.0</v>
      </c>
      <c r="Z14003" s="372">
        <v>0.0</v>
      </c>
    </row>
    <row r="14004">
      <c r="Y14004" s="372">
        <v>0.0</v>
      </c>
      <c r="Z14004" s="372">
        <v>0.0</v>
      </c>
    </row>
    <row r="14005">
      <c r="Y14005" s="372">
        <v>0.0</v>
      </c>
      <c r="Z14005" s="372">
        <v>0.0</v>
      </c>
    </row>
    <row r="14006">
      <c r="Y14006" s="372">
        <v>0.0</v>
      </c>
      <c r="Z14006" s="372">
        <v>0.0</v>
      </c>
    </row>
    <row r="14007">
      <c r="Y14007" s="372">
        <v>0.0</v>
      </c>
      <c r="Z14007" s="372">
        <v>0.0</v>
      </c>
    </row>
    <row r="14008">
      <c r="Y14008" s="372">
        <v>0.0</v>
      </c>
      <c r="Z14008" s="372">
        <v>0.0</v>
      </c>
    </row>
    <row r="14009">
      <c r="Y14009" s="372">
        <v>0.0</v>
      </c>
      <c r="Z14009" s="372">
        <v>0.0</v>
      </c>
    </row>
    <row r="14010">
      <c r="Y14010" s="372">
        <v>0.0</v>
      </c>
      <c r="Z14010" s="372">
        <v>0.0</v>
      </c>
    </row>
    <row r="14011">
      <c r="Y14011" s="372">
        <v>0.0</v>
      </c>
      <c r="Z14011" s="372">
        <v>0.0</v>
      </c>
    </row>
    <row r="14012">
      <c r="Y14012" s="372">
        <v>0.0</v>
      </c>
      <c r="Z14012" s="372">
        <v>0.0</v>
      </c>
    </row>
    <row r="14013">
      <c r="Y14013" s="372">
        <v>0.0</v>
      </c>
      <c r="Z14013" s="372">
        <v>0.0</v>
      </c>
    </row>
    <row r="14014">
      <c r="Y14014" s="372">
        <v>0.0</v>
      </c>
      <c r="Z14014" s="372">
        <v>0.0</v>
      </c>
    </row>
    <row r="14015">
      <c r="Y14015" s="372">
        <v>0.0</v>
      </c>
      <c r="Z14015" s="372">
        <v>0.0</v>
      </c>
    </row>
    <row r="14016">
      <c r="Y14016" s="372">
        <v>0.0</v>
      </c>
      <c r="Z14016" s="372">
        <v>0.0</v>
      </c>
    </row>
    <row r="14017">
      <c r="Y14017" s="372">
        <v>0.0</v>
      </c>
      <c r="Z14017" s="372">
        <v>0.0</v>
      </c>
    </row>
    <row r="14018">
      <c r="Y14018" s="372">
        <v>0.0</v>
      </c>
      <c r="Z14018" s="372">
        <v>0.0</v>
      </c>
    </row>
    <row r="14019">
      <c r="Y14019" s="372">
        <v>0.0</v>
      </c>
      <c r="Z14019" s="372">
        <v>0.0</v>
      </c>
    </row>
    <row r="14020">
      <c r="Y14020" s="372">
        <v>0.0</v>
      </c>
      <c r="Z14020" s="372">
        <v>0.0</v>
      </c>
    </row>
    <row r="14021">
      <c r="Y14021" s="372">
        <v>0.0</v>
      </c>
      <c r="Z14021" s="372">
        <v>0.0</v>
      </c>
    </row>
    <row r="14022">
      <c r="Y14022" s="372">
        <v>0.0</v>
      </c>
      <c r="Z14022" s="372">
        <v>0.0</v>
      </c>
    </row>
    <row r="14023">
      <c r="Y14023" s="372">
        <v>0.0</v>
      </c>
      <c r="Z14023" s="372">
        <v>0.0</v>
      </c>
    </row>
    <row r="14024">
      <c r="Y14024" s="372">
        <v>0.0</v>
      </c>
      <c r="Z14024" s="372">
        <v>0.0</v>
      </c>
    </row>
    <row r="14025">
      <c r="Y14025" s="372">
        <v>0.0</v>
      </c>
      <c r="Z14025" s="372">
        <v>0.0</v>
      </c>
    </row>
    <row r="14026">
      <c r="Y14026" s="372">
        <v>0.0</v>
      </c>
      <c r="Z14026" s="372">
        <v>0.0</v>
      </c>
    </row>
    <row r="14027">
      <c r="Y14027" s="372">
        <v>0.0</v>
      </c>
      <c r="Z14027" s="372">
        <v>0.0</v>
      </c>
    </row>
    <row r="14028">
      <c r="Y14028" s="372">
        <v>0.0</v>
      </c>
      <c r="Z14028" s="372">
        <v>0.0</v>
      </c>
    </row>
    <row r="14029">
      <c r="Y14029" s="372">
        <v>0.0</v>
      </c>
      <c r="Z14029" s="372">
        <v>0.0</v>
      </c>
    </row>
    <row r="14030">
      <c r="Y14030" s="372">
        <v>0.0</v>
      </c>
      <c r="Z14030" s="372">
        <v>0.0</v>
      </c>
    </row>
    <row r="14031">
      <c r="Y14031" s="372">
        <v>0.0</v>
      </c>
      <c r="Z14031" s="372">
        <v>0.0</v>
      </c>
    </row>
    <row r="14032">
      <c r="Y14032" s="372">
        <v>0.0</v>
      </c>
      <c r="Z14032" s="372">
        <v>0.0</v>
      </c>
    </row>
    <row r="14033">
      <c r="Y14033" s="372">
        <v>0.0</v>
      </c>
      <c r="Z14033" s="372">
        <v>0.0</v>
      </c>
    </row>
    <row r="14034">
      <c r="Y14034" s="372">
        <v>0.0</v>
      </c>
      <c r="Z14034" s="372">
        <v>0.0</v>
      </c>
    </row>
    <row r="14035">
      <c r="Y14035" s="372">
        <v>0.0</v>
      </c>
      <c r="Z14035" s="372">
        <v>0.0</v>
      </c>
    </row>
    <row r="14036">
      <c r="Y14036" s="372">
        <v>0.0</v>
      </c>
      <c r="Z14036" s="372">
        <v>0.0</v>
      </c>
    </row>
    <row r="14037">
      <c r="Y14037" s="372">
        <v>0.0</v>
      </c>
      <c r="Z14037" s="372">
        <v>0.0</v>
      </c>
    </row>
    <row r="14038">
      <c r="Y14038" s="372">
        <v>0.0</v>
      </c>
      <c r="Z14038" s="372">
        <v>0.0</v>
      </c>
    </row>
    <row r="14039">
      <c r="Y14039" s="372">
        <v>0.0</v>
      </c>
      <c r="Z14039" s="372">
        <v>0.0</v>
      </c>
    </row>
    <row r="14040">
      <c r="Y14040" s="372">
        <v>0.0</v>
      </c>
      <c r="Z14040" s="372">
        <v>0.0</v>
      </c>
    </row>
    <row r="14041">
      <c r="Y14041" s="372">
        <v>0.0</v>
      </c>
      <c r="Z14041" s="372">
        <v>0.0</v>
      </c>
    </row>
    <row r="14042">
      <c r="Y14042" s="372">
        <v>0.0</v>
      </c>
      <c r="Z14042" s="372">
        <v>0.0</v>
      </c>
    </row>
    <row r="14043">
      <c r="Y14043" s="372">
        <v>0.0</v>
      </c>
      <c r="Z14043" s="372">
        <v>0.0</v>
      </c>
    </row>
    <row r="14044">
      <c r="Y14044" s="372">
        <v>0.0</v>
      </c>
      <c r="Z14044" s="372">
        <v>0.0</v>
      </c>
    </row>
    <row r="14045">
      <c r="Y14045" s="372">
        <v>0.0</v>
      </c>
      <c r="Z14045" s="372">
        <v>0.0</v>
      </c>
    </row>
    <row r="14046">
      <c r="Y14046" s="372">
        <v>0.0</v>
      </c>
      <c r="Z14046" s="372">
        <v>0.0</v>
      </c>
    </row>
    <row r="14047">
      <c r="Y14047" s="372">
        <v>0.0</v>
      </c>
      <c r="Z14047" s="372">
        <v>0.0</v>
      </c>
    </row>
    <row r="14048">
      <c r="Y14048" s="372">
        <v>0.0</v>
      </c>
      <c r="Z14048" s="372">
        <v>0.0</v>
      </c>
    </row>
    <row r="14049">
      <c r="Y14049" s="372">
        <v>0.0</v>
      </c>
      <c r="Z14049" s="372">
        <v>0.0</v>
      </c>
    </row>
    <row r="14050">
      <c r="Y14050" s="372">
        <v>0.0</v>
      </c>
      <c r="Z14050" s="372">
        <v>0.0</v>
      </c>
    </row>
    <row r="14051">
      <c r="Y14051" s="372">
        <v>0.0</v>
      </c>
      <c r="Z14051" s="372">
        <v>0.0</v>
      </c>
    </row>
    <row r="14052">
      <c r="Y14052" s="372">
        <v>0.0</v>
      </c>
      <c r="Z14052" s="372">
        <v>0.0</v>
      </c>
    </row>
    <row r="14053">
      <c r="Y14053" s="372">
        <v>0.0</v>
      </c>
      <c r="Z14053" s="372">
        <v>0.0</v>
      </c>
    </row>
    <row r="14054">
      <c r="Y14054" s="372">
        <v>0.0</v>
      </c>
      <c r="Z14054" s="372">
        <v>0.0</v>
      </c>
    </row>
    <row r="14055">
      <c r="Y14055" s="372">
        <v>0.0</v>
      </c>
      <c r="Z14055" s="372">
        <v>0.0</v>
      </c>
    </row>
    <row r="14056">
      <c r="Y14056" s="372">
        <v>0.0</v>
      </c>
      <c r="Z14056" s="372">
        <v>0.0</v>
      </c>
    </row>
    <row r="14057">
      <c r="Y14057" s="372">
        <v>0.0</v>
      </c>
      <c r="Z14057" s="372">
        <v>0.0</v>
      </c>
    </row>
    <row r="14058">
      <c r="Y14058" s="372">
        <v>0.0</v>
      </c>
      <c r="Z14058" s="372">
        <v>0.0</v>
      </c>
    </row>
    <row r="14059">
      <c r="Y14059" s="372">
        <v>0.0</v>
      </c>
      <c r="Z14059" s="372">
        <v>0.0</v>
      </c>
    </row>
    <row r="14060">
      <c r="Y14060" s="372">
        <v>0.0</v>
      </c>
      <c r="Z14060" s="372">
        <v>0.0</v>
      </c>
    </row>
    <row r="14061">
      <c r="Y14061" s="372">
        <v>0.0</v>
      </c>
      <c r="Z14061" s="372">
        <v>0.0</v>
      </c>
    </row>
    <row r="14062">
      <c r="Y14062" s="372">
        <v>0.0</v>
      </c>
      <c r="Z14062" s="372">
        <v>0.0</v>
      </c>
    </row>
    <row r="14063">
      <c r="Y14063" s="372">
        <v>0.0</v>
      </c>
      <c r="Z14063" s="372">
        <v>0.0</v>
      </c>
    </row>
    <row r="14064">
      <c r="Y14064" s="372">
        <v>0.0</v>
      </c>
      <c r="Z14064" s="372">
        <v>0.0</v>
      </c>
    </row>
    <row r="14065">
      <c r="Y14065" s="372">
        <v>0.0</v>
      </c>
      <c r="Z14065" s="372">
        <v>0.0</v>
      </c>
    </row>
    <row r="14066">
      <c r="Y14066" s="372">
        <v>0.0</v>
      </c>
      <c r="Z14066" s="372">
        <v>0.0</v>
      </c>
    </row>
    <row r="14067">
      <c r="Y14067" s="372">
        <v>0.0</v>
      </c>
      <c r="Z14067" s="372">
        <v>0.0</v>
      </c>
    </row>
    <row r="14068">
      <c r="Y14068" s="372">
        <v>0.0</v>
      </c>
      <c r="Z14068" s="372">
        <v>0.0</v>
      </c>
    </row>
    <row r="14069">
      <c r="Y14069" s="372">
        <v>0.0</v>
      </c>
      <c r="Z14069" s="372">
        <v>0.0</v>
      </c>
    </row>
    <row r="14070">
      <c r="Y14070" s="372">
        <v>0.0</v>
      </c>
      <c r="Z14070" s="372">
        <v>0.0</v>
      </c>
    </row>
    <row r="14071">
      <c r="Y14071" s="372">
        <v>0.0</v>
      </c>
      <c r="Z14071" s="372">
        <v>0.0</v>
      </c>
    </row>
    <row r="14072">
      <c r="Y14072" s="372">
        <v>0.0</v>
      </c>
      <c r="Z14072" s="372">
        <v>0.0</v>
      </c>
    </row>
    <row r="14073">
      <c r="Y14073" s="372">
        <v>0.0</v>
      </c>
      <c r="Z14073" s="372">
        <v>0.0</v>
      </c>
    </row>
    <row r="14074">
      <c r="Y14074" s="372">
        <v>0.0</v>
      </c>
      <c r="Z14074" s="372">
        <v>0.0</v>
      </c>
    </row>
    <row r="14075">
      <c r="Y14075" s="372">
        <v>0.0</v>
      </c>
      <c r="Z14075" s="372">
        <v>0.0</v>
      </c>
    </row>
    <row r="14076">
      <c r="Y14076" s="372">
        <v>0.0</v>
      </c>
      <c r="Z14076" s="372">
        <v>0.0</v>
      </c>
    </row>
    <row r="14077">
      <c r="Y14077" s="372">
        <v>0.0</v>
      </c>
      <c r="Z14077" s="372">
        <v>0.0</v>
      </c>
    </row>
    <row r="14078">
      <c r="Y14078" s="372">
        <v>0.0</v>
      </c>
      <c r="Z14078" s="372">
        <v>0.0</v>
      </c>
    </row>
    <row r="14079">
      <c r="Y14079" s="372">
        <v>0.0</v>
      </c>
      <c r="Z14079" s="372">
        <v>0.0</v>
      </c>
    </row>
    <row r="14080">
      <c r="Y14080" s="372">
        <v>0.0</v>
      </c>
      <c r="Z14080" s="372">
        <v>0.0</v>
      </c>
    </row>
    <row r="14081">
      <c r="Y14081" s="372">
        <v>0.0</v>
      </c>
      <c r="Z14081" s="372">
        <v>0.0</v>
      </c>
    </row>
    <row r="14082">
      <c r="Y14082" s="372">
        <v>0.0</v>
      </c>
      <c r="Z14082" s="372">
        <v>0.0</v>
      </c>
    </row>
    <row r="14083">
      <c r="Y14083" s="372">
        <v>0.0</v>
      </c>
      <c r="Z14083" s="372">
        <v>0.0</v>
      </c>
    </row>
    <row r="14084">
      <c r="Y14084" s="372">
        <v>0.0</v>
      </c>
      <c r="Z14084" s="372">
        <v>0.0</v>
      </c>
    </row>
    <row r="14085">
      <c r="Y14085" s="372">
        <v>0.0</v>
      </c>
      <c r="Z14085" s="372">
        <v>0.0</v>
      </c>
    </row>
    <row r="14086">
      <c r="Y14086" s="372">
        <v>0.0</v>
      </c>
      <c r="Z14086" s="372">
        <v>0.0</v>
      </c>
    </row>
    <row r="14087">
      <c r="Y14087" s="372">
        <v>0.0</v>
      </c>
      <c r="Z14087" s="372">
        <v>0.0</v>
      </c>
    </row>
    <row r="14088">
      <c r="Y14088" s="372">
        <v>0.0</v>
      </c>
      <c r="Z14088" s="372">
        <v>0.0</v>
      </c>
    </row>
    <row r="14089">
      <c r="Y14089" s="372">
        <v>0.0</v>
      </c>
      <c r="Z14089" s="372">
        <v>0.0</v>
      </c>
    </row>
    <row r="14090">
      <c r="Y14090" s="372">
        <v>0.0</v>
      </c>
      <c r="Z14090" s="372">
        <v>0.0</v>
      </c>
    </row>
    <row r="14091">
      <c r="Y14091" s="372">
        <v>0.0</v>
      </c>
      <c r="Z14091" s="372">
        <v>0.0</v>
      </c>
    </row>
    <row r="14092">
      <c r="Y14092" s="372">
        <v>0.0</v>
      </c>
      <c r="Z14092" s="372">
        <v>0.0</v>
      </c>
    </row>
    <row r="14093">
      <c r="Y14093" s="372">
        <v>0.0</v>
      </c>
      <c r="Z14093" s="372">
        <v>0.0</v>
      </c>
    </row>
    <row r="14094">
      <c r="Y14094" s="372">
        <v>0.0</v>
      </c>
      <c r="Z14094" s="372">
        <v>0.0</v>
      </c>
    </row>
    <row r="14095">
      <c r="Y14095" s="372">
        <v>0.0</v>
      </c>
      <c r="Z14095" s="372">
        <v>0.0</v>
      </c>
    </row>
    <row r="14096">
      <c r="Y14096" s="372">
        <v>0.0</v>
      </c>
      <c r="Z14096" s="372">
        <v>0.0</v>
      </c>
    </row>
    <row r="14097">
      <c r="Y14097" s="372">
        <v>0.0</v>
      </c>
      <c r="Z14097" s="372">
        <v>0.0</v>
      </c>
    </row>
    <row r="14098">
      <c r="Y14098" s="372">
        <v>0.0</v>
      </c>
      <c r="Z14098" s="372">
        <v>0.0</v>
      </c>
    </row>
    <row r="14099">
      <c r="Y14099" s="372">
        <v>0.0</v>
      </c>
      <c r="Z14099" s="372">
        <v>0.0</v>
      </c>
    </row>
    <row r="14100">
      <c r="Y14100" s="372">
        <v>0.0</v>
      </c>
      <c r="Z14100" s="372">
        <v>0.0</v>
      </c>
    </row>
    <row r="14101">
      <c r="Y14101" s="372">
        <v>0.0</v>
      </c>
      <c r="Z14101" s="372">
        <v>0.0</v>
      </c>
    </row>
    <row r="14102">
      <c r="Y14102" s="372">
        <v>0.0</v>
      </c>
      <c r="Z14102" s="372">
        <v>0.0</v>
      </c>
    </row>
    <row r="14103">
      <c r="Y14103" s="372">
        <v>0.0</v>
      </c>
      <c r="Z14103" s="372">
        <v>0.0</v>
      </c>
    </row>
    <row r="14104">
      <c r="Y14104" s="372">
        <v>0.0</v>
      </c>
      <c r="Z14104" s="372">
        <v>0.0</v>
      </c>
    </row>
    <row r="14105">
      <c r="Y14105" s="372">
        <v>0.0</v>
      </c>
      <c r="Z14105" s="372">
        <v>0.0</v>
      </c>
    </row>
    <row r="14106">
      <c r="Y14106" s="372">
        <v>0.0</v>
      </c>
      <c r="Z14106" s="372">
        <v>0.0</v>
      </c>
    </row>
    <row r="14107">
      <c r="Y14107" s="372">
        <v>0.0</v>
      </c>
      <c r="Z14107" s="372">
        <v>0.0</v>
      </c>
    </row>
    <row r="14108">
      <c r="Y14108" s="372">
        <v>0.0</v>
      </c>
      <c r="Z14108" s="372">
        <v>0.0</v>
      </c>
    </row>
    <row r="14109">
      <c r="Y14109" s="372">
        <v>0.0</v>
      </c>
      <c r="Z14109" s="372">
        <v>0.0</v>
      </c>
    </row>
    <row r="14110">
      <c r="Y14110" s="372">
        <v>0.0</v>
      </c>
      <c r="Z14110" s="372">
        <v>0.0</v>
      </c>
    </row>
    <row r="14111">
      <c r="Y14111" s="372">
        <v>0.0</v>
      </c>
      <c r="Z14111" s="372">
        <v>0.0</v>
      </c>
    </row>
    <row r="14112">
      <c r="Y14112" s="372">
        <v>0.0</v>
      </c>
      <c r="Z14112" s="372">
        <v>0.0</v>
      </c>
    </row>
    <row r="14113">
      <c r="Y14113" s="372">
        <v>0.0</v>
      </c>
      <c r="Z14113" s="372">
        <v>0.0</v>
      </c>
    </row>
    <row r="14114">
      <c r="Y14114" s="372">
        <v>0.0</v>
      </c>
      <c r="Z14114" s="372">
        <v>0.0</v>
      </c>
    </row>
    <row r="14115">
      <c r="Y14115" s="372">
        <v>0.0</v>
      </c>
      <c r="Z14115" s="372">
        <v>0.0</v>
      </c>
    </row>
    <row r="14116">
      <c r="Y14116" s="372">
        <v>0.0</v>
      </c>
      <c r="Z14116" s="372">
        <v>0.0</v>
      </c>
    </row>
    <row r="14117">
      <c r="Y14117" s="372">
        <v>0.0</v>
      </c>
      <c r="Z14117" s="372">
        <v>0.0</v>
      </c>
    </row>
    <row r="14118">
      <c r="Y14118" s="372">
        <v>0.0</v>
      </c>
      <c r="Z14118" s="372">
        <v>0.0</v>
      </c>
    </row>
    <row r="14119">
      <c r="Y14119" s="372">
        <v>0.0</v>
      </c>
      <c r="Z14119" s="372">
        <v>0.0</v>
      </c>
    </row>
    <row r="14120">
      <c r="Y14120" s="372">
        <v>0.0</v>
      </c>
      <c r="Z14120" s="372">
        <v>0.0</v>
      </c>
    </row>
    <row r="14121">
      <c r="Y14121" s="372">
        <v>0.0</v>
      </c>
      <c r="Z14121" s="372">
        <v>0.0</v>
      </c>
    </row>
    <row r="14122">
      <c r="Y14122" s="372">
        <v>0.0</v>
      </c>
      <c r="Z14122" s="372">
        <v>0.0</v>
      </c>
    </row>
    <row r="14123">
      <c r="Y14123" s="372">
        <v>0.0</v>
      </c>
      <c r="Z14123" s="372">
        <v>0.0</v>
      </c>
    </row>
    <row r="14124">
      <c r="Y14124" s="372">
        <v>0.0</v>
      </c>
      <c r="Z14124" s="372">
        <v>0.0</v>
      </c>
    </row>
    <row r="14125">
      <c r="Y14125" s="372">
        <v>0.0</v>
      </c>
      <c r="Z14125" s="372">
        <v>0.0</v>
      </c>
    </row>
    <row r="14126">
      <c r="Y14126" s="372">
        <v>0.0</v>
      </c>
      <c r="Z14126" s="372">
        <v>0.0</v>
      </c>
    </row>
    <row r="14127">
      <c r="Y14127" s="372">
        <v>0.0</v>
      </c>
      <c r="Z14127" s="372">
        <v>0.0</v>
      </c>
    </row>
    <row r="14128">
      <c r="Y14128" s="372">
        <v>0.0</v>
      </c>
      <c r="Z14128" s="372">
        <v>0.0</v>
      </c>
    </row>
    <row r="14129">
      <c r="Y14129" s="372">
        <v>0.0</v>
      </c>
      <c r="Z14129" s="372">
        <v>0.0</v>
      </c>
    </row>
    <row r="14130">
      <c r="Y14130" s="372">
        <v>0.0</v>
      </c>
      <c r="Z14130" s="372">
        <v>0.0</v>
      </c>
    </row>
    <row r="14131">
      <c r="Y14131" s="372">
        <v>0.0</v>
      </c>
      <c r="Z14131" s="372">
        <v>0.0</v>
      </c>
    </row>
    <row r="14132">
      <c r="Y14132" s="372">
        <v>0.0</v>
      </c>
      <c r="Z14132" s="372">
        <v>0.0</v>
      </c>
    </row>
    <row r="14133">
      <c r="Y14133" s="372">
        <v>0.0</v>
      </c>
      <c r="Z14133" s="372">
        <v>0.0</v>
      </c>
    </row>
    <row r="14134">
      <c r="Y14134" s="372">
        <v>0.0</v>
      </c>
      <c r="Z14134" s="372">
        <v>0.0</v>
      </c>
    </row>
    <row r="14135">
      <c r="Y14135" s="372">
        <v>0.0</v>
      </c>
      <c r="Z14135" s="372">
        <v>0.0</v>
      </c>
    </row>
    <row r="14136">
      <c r="Y14136" s="372">
        <v>0.0</v>
      </c>
      <c r="Z14136" s="372">
        <v>0.0</v>
      </c>
    </row>
    <row r="14137">
      <c r="Y14137" s="372">
        <v>0.0</v>
      </c>
      <c r="Z14137" s="372">
        <v>0.0</v>
      </c>
    </row>
    <row r="14138">
      <c r="Y14138" s="372">
        <v>0.0</v>
      </c>
      <c r="Z14138" s="372">
        <v>0.0</v>
      </c>
    </row>
    <row r="14139">
      <c r="Y14139" s="372">
        <v>0.0</v>
      </c>
      <c r="Z14139" s="372">
        <v>0.0</v>
      </c>
    </row>
    <row r="14140">
      <c r="Y14140" s="372">
        <v>0.0</v>
      </c>
      <c r="Z14140" s="372">
        <v>0.0</v>
      </c>
    </row>
    <row r="14141">
      <c r="Y14141" s="372">
        <v>0.0</v>
      </c>
      <c r="Z14141" s="372">
        <v>0.0</v>
      </c>
    </row>
    <row r="14142">
      <c r="Y14142" s="372">
        <v>0.0</v>
      </c>
      <c r="Z14142" s="372">
        <v>0.0</v>
      </c>
    </row>
    <row r="14143">
      <c r="Y14143" s="372">
        <v>0.0</v>
      </c>
      <c r="Z14143" s="372">
        <v>0.0</v>
      </c>
    </row>
    <row r="14144">
      <c r="Y14144" s="372">
        <v>0.0</v>
      </c>
      <c r="Z14144" s="372">
        <v>0.0</v>
      </c>
    </row>
    <row r="14145">
      <c r="Y14145" s="372">
        <v>0.0</v>
      </c>
      <c r="Z14145" s="372">
        <v>0.0</v>
      </c>
    </row>
    <row r="14146">
      <c r="Y14146" s="372">
        <v>0.0</v>
      </c>
      <c r="Z14146" s="372">
        <v>0.0</v>
      </c>
    </row>
    <row r="14147">
      <c r="Y14147" s="372">
        <v>0.0</v>
      </c>
      <c r="Z14147" s="372">
        <v>0.0</v>
      </c>
    </row>
    <row r="14148">
      <c r="Y14148" s="372">
        <v>0.0</v>
      </c>
      <c r="Z14148" s="372">
        <v>0.0</v>
      </c>
    </row>
    <row r="14149">
      <c r="Y14149" s="372">
        <v>0.0</v>
      </c>
      <c r="Z14149" s="372">
        <v>0.0</v>
      </c>
    </row>
    <row r="14150">
      <c r="Y14150" s="372">
        <v>0.0</v>
      </c>
      <c r="Z14150" s="372">
        <v>0.0</v>
      </c>
    </row>
    <row r="14151">
      <c r="Y14151" s="372">
        <v>0.0</v>
      </c>
      <c r="Z14151" s="372">
        <v>0.0</v>
      </c>
    </row>
    <row r="14152">
      <c r="Y14152" s="372">
        <v>0.0</v>
      </c>
      <c r="Z14152" s="372">
        <v>0.0</v>
      </c>
    </row>
    <row r="14153">
      <c r="Y14153" s="372">
        <v>0.0</v>
      </c>
      <c r="Z14153" s="372">
        <v>0.0</v>
      </c>
    </row>
    <row r="14154">
      <c r="Y14154" s="372">
        <v>0.0</v>
      </c>
      <c r="Z14154" s="372">
        <v>0.0</v>
      </c>
    </row>
    <row r="14155">
      <c r="Y14155" s="372">
        <v>0.0</v>
      </c>
      <c r="Z14155" s="372">
        <v>0.0</v>
      </c>
    </row>
    <row r="14156">
      <c r="Y14156" s="372">
        <v>0.0</v>
      </c>
      <c r="Z14156" s="372">
        <v>0.0</v>
      </c>
    </row>
    <row r="14157">
      <c r="Y14157" s="372">
        <v>0.0</v>
      </c>
      <c r="Z14157" s="372">
        <v>0.0</v>
      </c>
    </row>
    <row r="14158">
      <c r="Y14158" s="372">
        <v>0.0</v>
      </c>
      <c r="Z14158" s="372">
        <v>0.0</v>
      </c>
    </row>
    <row r="14159">
      <c r="Y14159" s="372">
        <v>0.0</v>
      </c>
      <c r="Z14159" s="372">
        <v>0.0</v>
      </c>
    </row>
    <row r="14160">
      <c r="Y14160" s="372">
        <v>0.0</v>
      </c>
      <c r="Z14160" s="372">
        <v>0.0</v>
      </c>
    </row>
    <row r="14161">
      <c r="Y14161" s="372">
        <v>0.0</v>
      </c>
      <c r="Z14161" s="372">
        <v>0.0</v>
      </c>
    </row>
    <row r="14162">
      <c r="Y14162" s="372">
        <v>0.0</v>
      </c>
      <c r="Z14162" s="372">
        <v>0.0</v>
      </c>
    </row>
    <row r="14163">
      <c r="Y14163" s="372">
        <v>0.0</v>
      </c>
      <c r="Z14163" s="372">
        <v>0.0</v>
      </c>
    </row>
    <row r="14164">
      <c r="Y14164" s="372">
        <v>0.0</v>
      </c>
      <c r="Z14164" s="372">
        <v>0.0</v>
      </c>
    </row>
    <row r="14165">
      <c r="Y14165" s="372">
        <v>0.0</v>
      </c>
      <c r="Z14165" s="372">
        <v>0.0</v>
      </c>
    </row>
    <row r="14166">
      <c r="Y14166" s="372">
        <v>0.0</v>
      </c>
      <c r="Z14166" s="372">
        <v>0.0</v>
      </c>
    </row>
    <row r="14167">
      <c r="Y14167" s="372">
        <v>0.0</v>
      </c>
      <c r="Z14167" s="372">
        <v>0.0</v>
      </c>
    </row>
    <row r="14168">
      <c r="Y14168" s="372">
        <v>0.0</v>
      </c>
      <c r="Z14168" s="372">
        <v>0.0</v>
      </c>
    </row>
    <row r="14169">
      <c r="Y14169" s="372">
        <v>0.0</v>
      </c>
      <c r="Z14169" s="372">
        <v>0.0</v>
      </c>
    </row>
    <row r="14170">
      <c r="Y14170" s="372">
        <v>0.0</v>
      </c>
      <c r="Z14170" s="372">
        <v>0.0</v>
      </c>
    </row>
    <row r="14171">
      <c r="Y14171" s="372">
        <v>0.0</v>
      </c>
      <c r="Z14171" s="372">
        <v>0.0</v>
      </c>
    </row>
    <row r="14172">
      <c r="Y14172" s="372">
        <v>0.0</v>
      </c>
      <c r="Z14172" s="372">
        <v>0.0</v>
      </c>
    </row>
    <row r="14173">
      <c r="Y14173" s="372">
        <v>0.0</v>
      </c>
      <c r="Z14173" s="372">
        <v>0.0</v>
      </c>
    </row>
    <row r="14174">
      <c r="Y14174" s="372">
        <v>0.0</v>
      </c>
      <c r="Z14174" s="372">
        <v>0.0</v>
      </c>
    </row>
    <row r="14175">
      <c r="Y14175" s="372">
        <v>0.0</v>
      </c>
      <c r="Z14175" s="372">
        <v>0.0</v>
      </c>
    </row>
    <row r="14176">
      <c r="Y14176" s="372">
        <v>0.0</v>
      </c>
      <c r="Z14176" s="372">
        <v>0.0</v>
      </c>
    </row>
    <row r="14177">
      <c r="Y14177" s="372">
        <v>0.0</v>
      </c>
      <c r="Z14177" s="372">
        <v>0.0</v>
      </c>
    </row>
    <row r="14178">
      <c r="Y14178" s="372">
        <v>0.0</v>
      </c>
      <c r="Z14178" s="372">
        <v>0.0</v>
      </c>
    </row>
    <row r="14179">
      <c r="Y14179" s="372">
        <v>0.0</v>
      </c>
      <c r="Z14179" s="372">
        <v>0.0</v>
      </c>
    </row>
    <row r="14180">
      <c r="Y14180" s="372">
        <v>0.0</v>
      </c>
      <c r="Z14180" s="372">
        <v>0.0</v>
      </c>
    </row>
    <row r="14181">
      <c r="Y14181" s="372">
        <v>0.0</v>
      </c>
      <c r="Z14181" s="372">
        <v>0.0</v>
      </c>
    </row>
    <row r="14182">
      <c r="Y14182" s="372">
        <v>0.0</v>
      </c>
      <c r="Z14182" s="372">
        <v>0.0</v>
      </c>
    </row>
    <row r="14183">
      <c r="Y14183" s="372">
        <v>0.0</v>
      </c>
      <c r="Z14183" s="372">
        <v>0.0</v>
      </c>
    </row>
    <row r="14184">
      <c r="Y14184" s="372">
        <v>0.0</v>
      </c>
      <c r="Z14184" s="372">
        <v>0.0</v>
      </c>
    </row>
    <row r="14185">
      <c r="Y14185" s="372">
        <v>0.0</v>
      </c>
      <c r="Z14185" s="372">
        <v>0.0</v>
      </c>
    </row>
    <row r="14186">
      <c r="Y14186" s="372">
        <v>0.0</v>
      </c>
      <c r="Z14186" s="372">
        <v>0.0</v>
      </c>
    </row>
    <row r="14187">
      <c r="Y14187" s="372">
        <v>0.0</v>
      </c>
      <c r="Z14187" s="372">
        <v>0.0</v>
      </c>
    </row>
    <row r="14188">
      <c r="Y14188" s="372">
        <v>0.0</v>
      </c>
      <c r="Z14188" s="372">
        <v>0.0</v>
      </c>
    </row>
    <row r="14189">
      <c r="Y14189" s="372">
        <v>0.0</v>
      </c>
      <c r="Z14189" s="372">
        <v>0.0</v>
      </c>
    </row>
    <row r="14190">
      <c r="Y14190" s="372">
        <v>0.0</v>
      </c>
      <c r="Z14190" s="372">
        <v>0.0</v>
      </c>
    </row>
    <row r="14191">
      <c r="Y14191" s="372">
        <v>0.0</v>
      </c>
      <c r="Z14191" s="372">
        <v>0.0</v>
      </c>
    </row>
    <row r="14192">
      <c r="Y14192" s="372">
        <v>0.0</v>
      </c>
      <c r="Z14192" s="372">
        <v>0.0</v>
      </c>
    </row>
    <row r="14193">
      <c r="Y14193" s="372">
        <v>0.0</v>
      </c>
      <c r="Z14193" s="372">
        <v>0.0</v>
      </c>
    </row>
    <row r="14194">
      <c r="Y14194" s="372">
        <v>0.0</v>
      </c>
      <c r="Z14194" s="372">
        <v>0.0</v>
      </c>
    </row>
    <row r="14195">
      <c r="Y14195" s="372">
        <v>0.0</v>
      </c>
      <c r="Z14195" s="372">
        <v>0.0</v>
      </c>
    </row>
    <row r="14196">
      <c r="Y14196" s="372">
        <v>0.0</v>
      </c>
      <c r="Z14196" s="372">
        <v>0.0</v>
      </c>
    </row>
    <row r="14197">
      <c r="Y14197" s="372">
        <v>0.0</v>
      </c>
      <c r="Z14197" s="372">
        <v>0.0</v>
      </c>
    </row>
    <row r="14198">
      <c r="Y14198" s="372">
        <v>0.0</v>
      </c>
      <c r="Z14198" s="372">
        <v>0.0</v>
      </c>
    </row>
    <row r="14199">
      <c r="Y14199" s="372">
        <v>0.0</v>
      </c>
      <c r="Z14199" s="372">
        <v>0.0</v>
      </c>
    </row>
    <row r="14200">
      <c r="Y14200" s="372">
        <v>0.0</v>
      </c>
      <c r="Z14200" s="372">
        <v>0.0</v>
      </c>
    </row>
    <row r="14201">
      <c r="Y14201" s="372">
        <v>0.0</v>
      </c>
      <c r="Z14201" s="372">
        <v>0.0</v>
      </c>
    </row>
    <row r="14202">
      <c r="Y14202" s="372">
        <v>0.0</v>
      </c>
      <c r="Z14202" s="372">
        <v>0.0</v>
      </c>
    </row>
    <row r="14203">
      <c r="Y14203" s="372">
        <v>0.0</v>
      </c>
      <c r="Z14203" s="372">
        <v>0.0</v>
      </c>
    </row>
    <row r="14204">
      <c r="Y14204" s="372">
        <v>0.0</v>
      </c>
      <c r="Z14204" s="372">
        <v>0.0</v>
      </c>
    </row>
    <row r="14205">
      <c r="Y14205" s="372">
        <v>0.0</v>
      </c>
      <c r="Z14205" s="372">
        <v>0.0</v>
      </c>
    </row>
    <row r="14206">
      <c r="Y14206" s="372">
        <v>0.0</v>
      </c>
      <c r="Z14206" s="372">
        <v>0.0</v>
      </c>
    </row>
    <row r="14207">
      <c r="Y14207" s="372">
        <v>0.0</v>
      </c>
      <c r="Z14207" s="372">
        <v>0.0</v>
      </c>
    </row>
    <row r="14208">
      <c r="Y14208" s="372">
        <v>0.0</v>
      </c>
      <c r="Z14208" s="372">
        <v>0.0</v>
      </c>
    </row>
    <row r="14209">
      <c r="Y14209" s="372">
        <v>0.0</v>
      </c>
      <c r="Z14209" s="372">
        <v>0.0</v>
      </c>
    </row>
    <row r="14210">
      <c r="Y14210" s="372">
        <v>0.0</v>
      </c>
      <c r="Z14210" s="372">
        <v>0.0</v>
      </c>
    </row>
    <row r="14211">
      <c r="Y14211" s="372">
        <v>0.0</v>
      </c>
      <c r="Z14211" s="372">
        <v>0.0</v>
      </c>
    </row>
    <row r="14212">
      <c r="Y14212" s="372">
        <v>0.0</v>
      </c>
      <c r="Z14212" s="372">
        <v>0.0</v>
      </c>
    </row>
    <row r="14213">
      <c r="Y14213" s="372">
        <v>0.0</v>
      </c>
      <c r="Z14213" s="372">
        <v>0.0</v>
      </c>
    </row>
    <row r="14214">
      <c r="Y14214" s="372">
        <v>0.0</v>
      </c>
      <c r="Z14214" s="372">
        <v>0.0</v>
      </c>
    </row>
    <row r="14215">
      <c r="Y14215" s="372">
        <v>0.0</v>
      </c>
      <c r="Z14215" s="372">
        <v>0.0</v>
      </c>
    </row>
    <row r="14216">
      <c r="Y14216" s="372">
        <v>0.0</v>
      </c>
      <c r="Z14216" s="372">
        <v>0.0</v>
      </c>
    </row>
    <row r="14217">
      <c r="Y14217" s="372">
        <v>0.0</v>
      </c>
      <c r="Z14217" s="372">
        <v>0.0</v>
      </c>
    </row>
    <row r="14218">
      <c r="Y14218" s="372">
        <v>0.0</v>
      </c>
      <c r="Z14218" s="372">
        <v>0.0</v>
      </c>
    </row>
    <row r="14219">
      <c r="Y14219" s="372">
        <v>0.0</v>
      </c>
      <c r="Z14219" s="372">
        <v>0.0</v>
      </c>
    </row>
    <row r="14220">
      <c r="Y14220" s="372">
        <v>0.0</v>
      </c>
      <c r="Z14220" s="372">
        <v>0.0</v>
      </c>
    </row>
    <row r="14221">
      <c r="Y14221" s="372">
        <v>0.0</v>
      </c>
      <c r="Z14221" s="372">
        <v>0.0</v>
      </c>
    </row>
    <row r="14222">
      <c r="Y14222" s="372">
        <v>0.0</v>
      </c>
      <c r="Z14222" s="372">
        <v>0.0</v>
      </c>
    </row>
    <row r="14223">
      <c r="Y14223" s="372">
        <v>0.0</v>
      </c>
      <c r="Z14223" s="372">
        <v>0.0</v>
      </c>
    </row>
    <row r="14224">
      <c r="Y14224" s="372">
        <v>0.0</v>
      </c>
      <c r="Z14224" s="372">
        <v>0.0</v>
      </c>
    </row>
    <row r="14225">
      <c r="Y14225" s="372">
        <v>0.0</v>
      </c>
      <c r="Z14225" s="372">
        <v>0.0</v>
      </c>
    </row>
    <row r="14226">
      <c r="Y14226" s="372">
        <v>0.0</v>
      </c>
      <c r="Z14226" s="372">
        <v>0.0</v>
      </c>
    </row>
    <row r="14227">
      <c r="Y14227" s="372">
        <v>0.0</v>
      </c>
      <c r="Z14227" s="372">
        <v>0.0</v>
      </c>
    </row>
    <row r="14228">
      <c r="Y14228" s="372">
        <v>0.0</v>
      </c>
      <c r="Z14228" s="372">
        <v>0.0</v>
      </c>
    </row>
    <row r="14229">
      <c r="Y14229" s="372">
        <v>0.0</v>
      </c>
      <c r="Z14229" s="372">
        <v>0.0</v>
      </c>
    </row>
    <row r="14230">
      <c r="Y14230" s="372">
        <v>0.0</v>
      </c>
      <c r="Z14230" s="372">
        <v>0.0</v>
      </c>
    </row>
    <row r="14231">
      <c r="Y14231" s="372">
        <v>0.0</v>
      </c>
      <c r="Z14231" s="372">
        <v>0.0</v>
      </c>
    </row>
    <row r="14232">
      <c r="Y14232" s="372">
        <v>0.0</v>
      </c>
      <c r="Z14232" s="372">
        <v>0.0</v>
      </c>
    </row>
    <row r="14233">
      <c r="Y14233" s="372">
        <v>0.0</v>
      </c>
      <c r="Z14233" s="372">
        <v>0.0</v>
      </c>
    </row>
    <row r="14234">
      <c r="Y14234" s="372">
        <v>0.0</v>
      </c>
      <c r="Z14234" s="372">
        <v>0.0</v>
      </c>
    </row>
    <row r="14235">
      <c r="Y14235" s="372">
        <v>0.0</v>
      </c>
      <c r="Z14235" s="372">
        <v>0.0</v>
      </c>
    </row>
    <row r="14236">
      <c r="Y14236" s="372">
        <v>0.0</v>
      </c>
      <c r="Z14236" s="372">
        <v>0.0</v>
      </c>
    </row>
    <row r="14237">
      <c r="Y14237" s="372">
        <v>0.0</v>
      </c>
      <c r="Z14237" s="372">
        <v>0.0</v>
      </c>
    </row>
    <row r="14238">
      <c r="Y14238" s="372">
        <v>0.0</v>
      </c>
      <c r="Z14238" s="372">
        <v>0.0</v>
      </c>
    </row>
    <row r="14239">
      <c r="Y14239" s="372">
        <v>0.0</v>
      </c>
      <c r="Z14239" s="372">
        <v>0.0</v>
      </c>
    </row>
    <row r="14240">
      <c r="Y14240" s="372">
        <v>0.0</v>
      </c>
      <c r="Z14240" s="372">
        <v>0.0</v>
      </c>
    </row>
    <row r="14241">
      <c r="Y14241" s="372">
        <v>0.0</v>
      </c>
      <c r="Z14241" s="372">
        <v>0.0</v>
      </c>
    </row>
    <row r="14242">
      <c r="Y14242" s="372">
        <v>0.0</v>
      </c>
      <c r="Z14242" s="372">
        <v>0.0</v>
      </c>
    </row>
    <row r="14243">
      <c r="Y14243" s="372">
        <v>0.0</v>
      </c>
      <c r="Z14243" s="372">
        <v>0.0</v>
      </c>
    </row>
    <row r="14244">
      <c r="Y14244" s="372">
        <v>0.0</v>
      </c>
      <c r="Z14244" s="372">
        <v>0.0</v>
      </c>
    </row>
    <row r="14245">
      <c r="Y14245" s="372">
        <v>0.0</v>
      </c>
      <c r="Z14245" s="372">
        <v>0.0</v>
      </c>
    </row>
    <row r="14246">
      <c r="Y14246" s="372">
        <v>0.0</v>
      </c>
      <c r="Z14246" s="372">
        <v>0.0</v>
      </c>
    </row>
    <row r="14247">
      <c r="Y14247" s="372">
        <v>0.0</v>
      </c>
      <c r="Z14247" s="372">
        <v>0.0</v>
      </c>
    </row>
    <row r="14248">
      <c r="Y14248" s="372">
        <v>0.0</v>
      </c>
      <c r="Z14248" s="372">
        <v>0.0</v>
      </c>
    </row>
    <row r="14249">
      <c r="Y14249" s="372">
        <v>0.0</v>
      </c>
      <c r="Z14249" s="372">
        <v>0.0</v>
      </c>
    </row>
    <row r="14250">
      <c r="Y14250" s="372">
        <v>0.0</v>
      </c>
      <c r="Z14250" s="372">
        <v>0.0</v>
      </c>
    </row>
    <row r="14251">
      <c r="Y14251" s="372">
        <v>0.0</v>
      </c>
      <c r="Z14251" s="372">
        <v>0.0</v>
      </c>
    </row>
    <row r="14252">
      <c r="Y14252" s="372">
        <v>0.0</v>
      </c>
      <c r="Z14252" s="372">
        <v>0.0</v>
      </c>
    </row>
    <row r="14253">
      <c r="Y14253" s="372">
        <v>0.0</v>
      </c>
      <c r="Z14253" s="372">
        <v>0.0</v>
      </c>
    </row>
    <row r="14254">
      <c r="Y14254" s="372">
        <v>0.0</v>
      </c>
      <c r="Z14254" s="372">
        <v>0.0</v>
      </c>
    </row>
    <row r="14255">
      <c r="Y14255" s="372">
        <v>0.0</v>
      </c>
      <c r="Z14255" s="372">
        <v>0.0</v>
      </c>
    </row>
    <row r="14256">
      <c r="Y14256" s="372">
        <v>0.0</v>
      </c>
      <c r="Z14256" s="372">
        <v>0.0</v>
      </c>
    </row>
    <row r="14257">
      <c r="Y14257" s="372">
        <v>0.0</v>
      </c>
      <c r="Z14257" s="372">
        <v>0.0</v>
      </c>
    </row>
    <row r="14258">
      <c r="Y14258" s="372">
        <v>0.0</v>
      </c>
      <c r="Z14258" s="372">
        <v>0.0</v>
      </c>
    </row>
    <row r="14259">
      <c r="Y14259" s="372">
        <v>0.0</v>
      </c>
      <c r="Z14259" s="372">
        <v>0.0</v>
      </c>
    </row>
    <row r="14260">
      <c r="Y14260" s="372">
        <v>0.0</v>
      </c>
      <c r="Z14260" s="372">
        <v>0.0</v>
      </c>
    </row>
    <row r="14261">
      <c r="Y14261" s="372">
        <v>0.0</v>
      </c>
      <c r="Z14261" s="372">
        <v>0.0</v>
      </c>
    </row>
    <row r="14262">
      <c r="Y14262" s="372">
        <v>0.0</v>
      </c>
      <c r="Z14262" s="372">
        <v>0.0</v>
      </c>
    </row>
    <row r="14263">
      <c r="Y14263" s="372">
        <v>0.0</v>
      </c>
      <c r="Z14263" s="372">
        <v>0.0</v>
      </c>
    </row>
    <row r="14264">
      <c r="Y14264" s="372">
        <v>0.0</v>
      </c>
      <c r="Z14264" s="372">
        <v>0.0</v>
      </c>
    </row>
    <row r="14265">
      <c r="Y14265" s="372">
        <v>0.0</v>
      </c>
      <c r="Z14265" s="372">
        <v>0.0</v>
      </c>
    </row>
    <row r="14266">
      <c r="Y14266" s="372">
        <v>0.0</v>
      </c>
      <c r="Z14266" s="372">
        <v>0.0</v>
      </c>
    </row>
    <row r="14267">
      <c r="Y14267" s="372">
        <v>0.0</v>
      </c>
      <c r="Z14267" s="372">
        <v>0.0</v>
      </c>
    </row>
    <row r="14268">
      <c r="Y14268" s="372">
        <v>0.0</v>
      </c>
      <c r="Z14268" s="372">
        <v>0.0</v>
      </c>
    </row>
    <row r="14269">
      <c r="Y14269" s="372">
        <v>0.0</v>
      </c>
      <c r="Z14269" s="372">
        <v>0.0</v>
      </c>
    </row>
    <row r="14270">
      <c r="Y14270" s="372">
        <v>0.0</v>
      </c>
      <c r="Z14270" s="372">
        <v>0.0</v>
      </c>
    </row>
    <row r="14271">
      <c r="Y14271" s="372">
        <v>0.0</v>
      </c>
      <c r="Z14271" s="372">
        <v>0.0</v>
      </c>
    </row>
    <row r="14272">
      <c r="Y14272" s="372">
        <v>0.0</v>
      </c>
      <c r="Z14272" s="372">
        <v>0.0</v>
      </c>
    </row>
    <row r="14273">
      <c r="Y14273" s="372">
        <v>0.0</v>
      </c>
      <c r="Z14273" s="372">
        <v>0.0</v>
      </c>
    </row>
    <row r="14274">
      <c r="Y14274" s="372">
        <v>0.0</v>
      </c>
      <c r="Z14274" s="372">
        <v>0.0</v>
      </c>
    </row>
    <row r="14275">
      <c r="Y14275" s="372">
        <v>0.0</v>
      </c>
      <c r="Z14275" s="372">
        <v>0.0</v>
      </c>
    </row>
    <row r="14276">
      <c r="Y14276" s="372">
        <v>0.0</v>
      </c>
      <c r="Z14276" s="372">
        <v>0.0</v>
      </c>
    </row>
    <row r="14277">
      <c r="Y14277" s="372">
        <v>0.0</v>
      </c>
      <c r="Z14277" s="372">
        <v>0.0</v>
      </c>
    </row>
    <row r="14278">
      <c r="Y14278" s="372">
        <v>0.0</v>
      </c>
      <c r="Z14278" s="372">
        <v>0.0</v>
      </c>
    </row>
    <row r="14279">
      <c r="Y14279" s="372">
        <v>0.0</v>
      </c>
      <c r="Z14279" s="372">
        <v>0.0</v>
      </c>
    </row>
    <row r="14280">
      <c r="Y14280" s="372">
        <v>0.0</v>
      </c>
      <c r="Z14280" s="372">
        <v>0.0</v>
      </c>
    </row>
    <row r="14281">
      <c r="Y14281" s="372">
        <v>0.0</v>
      </c>
      <c r="Z14281" s="372">
        <v>0.0</v>
      </c>
    </row>
    <row r="14282">
      <c r="Y14282" s="372">
        <v>0.0</v>
      </c>
      <c r="Z14282" s="372">
        <v>0.0</v>
      </c>
    </row>
    <row r="14283">
      <c r="Y14283" s="372">
        <v>0.0</v>
      </c>
      <c r="Z14283" s="372">
        <v>0.0</v>
      </c>
    </row>
    <row r="14284">
      <c r="Y14284" s="372">
        <v>0.0</v>
      </c>
      <c r="Z14284" s="372">
        <v>0.0</v>
      </c>
    </row>
    <row r="14285">
      <c r="Y14285" s="372">
        <v>0.0</v>
      </c>
      <c r="Z14285" s="372">
        <v>0.0</v>
      </c>
    </row>
    <row r="14286">
      <c r="Y14286" s="372">
        <v>0.0</v>
      </c>
      <c r="Z14286" s="372">
        <v>0.0</v>
      </c>
    </row>
    <row r="14287">
      <c r="Y14287" s="372">
        <v>0.0</v>
      </c>
      <c r="Z14287" s="372">
        <v>0.0</v>
      </c>
    </row>
    <row r="14288">
      <c r="Y14288" s="372">
        <v>0.0</v>
      </c>
      <c r="Z14288" s="372">
        <v>0.0</v>
      </c>
    </row>
    <row r="14289">
      <c r="Y14289" s="372">
        <v>0.0</v>
      </c>
      <c r="Z14289" s="372">
        <v>0.0</v>
      </c>
    </row>
    <row r="14290">
      <c r="Y14290" s="372">
        <v>0.0</v>
      </c>
      <c r="Z14290" s="372">
        <v>0.0</v>
      </c>
    </row>
    <row r="14291">
      <c r="Y14291" s="372">
        <v>0.0</v>
      </c>
      <c r="Z14291" s="372">
        <v>0.0</v>
      </c>
    </row>
    <row r="14292">
      <c r="Y14292" s="372">
        <v>0.0</v>
      </c>
      <c r="Z14292" s="372">
        <v>0.0</v>
      </c>
    </row>
    <row r="14293">
      <c r="Y14293" s="372">
        <v>0.0</v>
      </c>
      <c r="Z14293" s="372">
        <v>0.0</v>
      </c>
    </row>
    <row r="14294">
      <c r="Y14294" s="372">
        <v>0.0</v>
      </c>
      <c r="Z14294" s="372">
        <v>0.0</v>
      </c>
    </row>
    <row r="14295">
      <c r="Y14295" s="372">
        <v>0.0</v>
      </c>
      <c r="Z14295" s="372">
        <v>0.0</v>
      </c>
    </row>
    <row r="14296">
      <c r="Y14296" s="372">
        <v>0.0</v>
      </c>
      <c r="Z14296" s="372">
        <v>0.0</v>
      </c>
    </row>
    <row r="14297">
      <c r="Y14297" s="372">
        <v>0.0</v>
      </c>
      <c r="Z14297" s="372">
        <v>0.0</v>
      </c>
    </row>
    <row r="14298">
      <c r="Y14298" s="372">
        <v>0.0</v>
      </c>
      <c r="Z14298" s="372">
        <v>0.0</v>
      </c>
    </row>
    <row r="14299">
      <c r="Y14299" s="372">
        <v>0.0</v>
      </c>
      <c r="Z14299" s="372">
        <v>0.0</v>
      </c>
    </row>
    <row r="14300">
      <c r="Y14300" s="372">
        <v>0.0</v>
      </c>
      <c r="Z14300" s="372">
        <v>0.0</v>
      </c>
    </row>
    <row r="14301">
      <c r="Y14301" s="372">
        <v>0.0</v>
      </c>
      <c r="Z14301" s="372">
        <v>0.0</v>
      </c>
    </row>
    <row r="14302">
      <c r="Y14302" s="372">
        <v>0.0</v>
      </c>
      <c r="Z14302" s="372">
        <v>0.0</v>
      </c>
    </row>
    <row r="14303">
      <c r="Y14303" s="372">
        <v>0.0</v>
      </c>
      <c r="Z14303" s="372">
        <v>0.0</v>
      </c>
    </row>
    <row r="14304">
      <c r="Y14304" s="372">
        <v>0.0</v>
      </c>
      <c r="Z14304" s="372">
        <v>0.0</v>
      </c>
    </row>
    <row r="14305">
      <c r="Y14305" s="372">
        <v>0.0</v>
      </c>
      <c r="Z14305" s="372">
        <v>0.0</v>
      </c>
    </row>
    <row r="14306">
      <c r="Y14306" s="372">
        <v>0.0</v>
      </c>
      <c r="Z14306" s="372">
        <v>0.0</v>
      </c>
    </row>
    <row r="14307">
      <c r="Y14307" s="372">
        <v>0.0</v>
      </c>
      <c r="Z14307" s="372">
        <v>0.0</v>
      </c>
    </row>
    <row r="14308">
      <c r="Y14308" s="372">
        <v>0.0</v>
      </c>
      <c r="Z14308" s="372">
        <v>0.0</v>
      </c>
    </row>
    <row r="14309">
      <c r="Y14309" s="372">
        <v>0.0</v>
      </c>
      <c r="Z14309" s="372">
        <v>0.0</v>
      </c>
    </row>
    <row r="14310">
      <c r="Y14310" s="372">
        <v>0.0</v>
      </c>
      <c r="Z14310" s="372">
        <v>0.0</v>
      </c>
    </row>
    <row r="14311">
      <c r="Y14311" s="372">
        <v>0.0</v>
      </c>
      <c r="Z14311" s="372">
        <v>0.0</v>
      </c>
    </row>
    <row r="14312">
      <c r="Y14312" s="372">
        <v>0.0</v>
      </c>
      <c r="Z14312" s="372">
        <v>0.0</v>
      </c>
    </row>
    <row r="14313">
      <c r="Y14313" s="372">
        <v>0.0</v>
      </c>
      <c r="Z14313" s="372">
        <v>0.0</v>
      </c>
    </row>
    <row r="14314">
      <c r="Y14314" s="372">
        <v>0.0</v>
      </c>
      <c r="Z14314" s="372">
        <v>0.0</v>
      </c>
    </row>
    <row r="14315">
      <c r="Y14315" s="372">
        <v>0.0</v>
      </c>
      <c r="Z14315" s="372">
        <v>0.0</v>
      </c>
    </row>
    <row r="14316">
      <c r="Y14316" s="372">
        <v>0.0</v>
      </c>
      <c r="Z14316" s="372">
        <v>0.0</v>
      </c>
    </row>
    <row r="14317">
      <c r="Y14317" s="372">
        <v>0.0</v>
      </c>
      <c r="Z14317" s="372">
        <v>0.0</v>
      </c>
    </row>
    <row r="14318">
      <c r="Y14318" s="372">
        <v>0.0</v>
      </c>
      <c r="Z14318" s="372">
        <v>0.0</v>
      </c>
    </row>
    <row r="14319">
      <c r="Y14319" s="372">
        <v>0.0</v>
      </c>
      <c r="Z14319" s="372">
        <v>0.0</v>
      </c>
    </row>
    <row r="14320">
      <c r="Y14320" s="372">
        <v>0.0</v>
      </c>
      <c r="Z14320" s="372">
        <v>0.0</v>
      </c>
    </row>
    <row r="14321">
      <c r="Y14321" s="372">
        <v>0.0</v>
      </c>
      <c r="Z14321" s="372">
        <v>0.0</v>
      </c>
    </row>
    <row r="14322">
      <c r="Y14322" s="372">
        <v>0.0</v>
      </c>
      <c r="Z14322" s="372">
        <v>0.0</v>
      </c>
    </row>
    <row r="14323">
      <c r="Y14323" s="372">
        <v>0.0</v>
      </c>
      <c r="Z14323" s="372">
        <v>0.0</v>
      </c>
    </row>
    <row r="14324">
      <c r="Y14324" s="372">
        <v>0.0</v>
      </c>
      <c r="Z14324" s="372">
        <v>0.0</v>
      </c>
    </row>
    <row r="14325">
      <c r="Y14325" s="372">
        <v>0.0</v>
      </c>
      <c r="Z14325" s="372">
        <v>0.0</v>
      </c>
    </row>
    <row r="14326">
      <c r="Y14326" s="372">
        <v>0.0</v>
      </c>
      <c r="Z14326" s="372">
        <v>0.0</v>
      </c>
    </row>
    <row r="14327">
      <c r="Y14327" s="372">
        <v>0.0</v>
      </c>
      <c r="Z14327" s="372">
        <v>0.0</v>
      </c>
    </row>
    <row r="14328">
      <c r="Y14328" s="372">
        <v>0.0</v>
      </c>
      <c r="Z14328" s="372">
        <v>0.0</v>
      </c>
    </row>
    <row r="14329">
      <c r="Y14329" s="372">
        <v>0.0</v>
      </c>
      <c r="Z14329" s="372">
        <v>0.0</v>
      </c>
    </row>
    <row r="14330">
      <c r="Y14330" s="372">
        <v>0.0</v>
      </c>
      <c r="Z14330" s="372">
        <v>0.0</v>
      </c>
    </row>
    <row r="14331">
      <c r="Y14331" s="372">
        <v>0.0</v>
      </c>
      <c r="Z14331" s="372">
        <v>0.0</v>
      </c>
    </row>
    <row r="14332">
      <c r="Y14332" s="372">
        <v>0.0</v>
      </c>
      <c r="Z14332" s="372">
        <v>0.0</v>
      </c>
    </row>
    <row r="14333">
      <c r="Y14333" s="372">
        <v>0.0</v>
      </c>
      <c r="Z14333" s="372">
        <v>0.0</v>
      </c>
    </row>
    <row r="14334">
      <c r="Y14334" s="372">
        <v>0.0</v>
      </c>
      <c r="Z14334" s="372">
        <v>0.0</v>
      </c>
    </row>
    <row r="14335">
      <c r="Y14335" s="372">
        <v>0.0</v>
      </c>
      <c r="Z14335" s="372">
        <v>0.0</v>
      </c>
    </row>
    <row r="14336">
      <c r="Y14336" s="372">
        <v>0.0</v>
      </c>
      <c r="Z14336" s="372">
        <v>0.0</v>
      </c>
    </row>
    <row r="14337">
      <c r="Y14337" s="372">
        <v>0.0</v>
      </c>
      <c r="Z14337" s="372">
        <v>0.0</v>
      </c>
    </row>
    <row r="14338">
      <c r="Y14338" s="372">
        <v>0.0</v>
      </c>
      <c r="Z14338" s="372">
        <v>0.0</v>
      </c>
    </row>
    <row r="14339">
      <c r="Y14339" s="372">
        <v>0.0</v>
      </c>
      <c r="Z14339" s="372">
        <v>0.0</v>
      </c>
    </row>
    <row r="14340">
      <c r="Y14340" s="372">
        <v>0.0</v>
      </c>
      <c r="Z14340" s="372">
        <v>0.0</v>
      </c>
    </row>
    <row r="14341">
      <c r="Y14341" s="372">
        <v>0.0</v>
      </c>
      <c r="Z14341" s="372">
        <v>0.0</v>
      </c>
    </row>
    <row r="14342">
      <c r="Y14342" s="372">
        <v>0.0</v>
      </c>
      <c r="Z14342" s="372">
        <v>0.0</v>
      </c>
    </row>
    <row r="14343">
      <c r="Y14343" s="372">
        <v>0.0</v>
      </c>
      <c r="Z14343" s="372">
        <v>0.0</v>
      </c>
    </row>
    <row r="14344">
      <c r="Y14344" s="372">
        <v>0.0</v>
      </c>
      <c r="Z14344" s="372">
        <v>0.0</v>
      </c>
    </row>
    <row r="14345">
      <c r="Y14345" s="372">
        <v>0.0</v>
      </c>
      <c r="Z14345" s="372">
        <v>0.0</v>
      </c>
    </row>
    <row r="14346">
      <c r="Y14346" s="372">
        <v>0.0</v>
      </c>
      <c r="Z14346" s="372">
        <v>0.0</v>
      </c>
    </row>
    <row r="14347">
      <c r="Y14347" s="372">
        <v>0.0</v>
      </c>
      <c r="Z14347" s="372">
        <v>0.0</v>
      </c>
    </row>
    <row r="14348">
      <c r="Y14348" s="372">
        <v>0.0</v>
      </c>
      <c r="Z14348" s="372">
        <v>0.0</v>
      </c>
    </row>
    <row r="14349">
      <c r="Y14349" s="372">
        <v>0.0</v>
      </c>
      <c r="Z14349" s="372">
        <v>0.0</v>
      </c>
    </row>
    <row r="14350">
      <c r="Y14350" s="372">
        <v>0.0</v>
      </c>
      <c r="Z14350" s="372">
        <v>0.0</v>
      </c>
    </row>
    <row r="14351">
      <c r="Y14351" s="372">
        <v>0.0</v>
      </c>
      <c r="Z14351" s="372">
        <v>0.0</v>
      </c>
    </row>
    <row r="14352">
      <c r="Y14352" s="372">
        <v>0.0</v>
      </c>
      <c r="Z14352" s="372">
        <v>0.0</v>
      </c>
    </row>
    <row r="14353">
      <c r="Y14353" s="372">
        <v>0.0</v>
      </c>
      <c r="Z14353" s="372">
        <v>0.0</v>
      </c>
    </row>
    <row r="14354">
      <c r="Y14354" s="372">
        <v>0.0</v>
      </c>
      <c r="Z14354" s="372">
        <v>0.0</v>
      </c>
    </row>
    <row r="14355">
      <c r="Y14355" s="372">
        <v>0.0</v>
      </c>
      <c r="Z14355" s="372">
        <v>0.0</v>
      </c>
    </row>
    <row r="14356">
      <c r="Y14356" s="372">
        <v>0.0</v>
      </c>
      <c r="Z14356" s="372">
        <v>0.0</v>
      </c>
    </row>
    <row r="14357">
      <c r="Y14357" s="372">
        <v>0.0</v>
      </c>
      <c r="Z14357" s="372">
        <v>0.0</v>
      </c>
    </row>
    <row r="14358">
      <c r="Y14358" s="372">
        <v>0.0</v>
      </c>
      <c r="Z14358" s="372">
        <v>0.0</v>
      </c>
    </row>
    <row r="14359">
      <c r="Y14359" s="372">
        <v>0.0</v>
      </c>
      <c r="Z14359" s="372">
        <v>0.0</v>
      </c>
    </row>
    <row r="14360">
      <c r="Y14360" s="372">
        <v>0.0</v>
      </c>
      <c r="Z14360" s="372">
        <v>0.0</v>
      </c>
    </row>
    <row r="14361">
      <c r="Y14361" s="372">
        <v>0.0</v>
      </c>
      <c r="Z14361" s="372">
        <v>0.0</v>
      </c>
    </row>
    <row r="14362">
      <c r="Y14362" s="372">
        <v>0.0</v>
      </c>
      <c r="Z14362" s="372">
        <v>0.0</v>
      </c>
    </row>
    <row r="14363">
      <c r="Y14363" s="372">
        <v>0.0</v>
      </c>
      <c r="Z14363" s="372">
        <v>0.0</v>
      </c>
    </row>
    <row r="14364">
      <c r="Y14364" s="372">
        <v>0.0</v>
      </c>
      <c r="Z14364" s="372">
        <v>0.0</v>
      </c>
    </row>
    <row r="14365">
      <c r="Y14365" s="372">
        <v>0.0</v>
      </c>
      <c r="Z14365" s="372">
        <v>0.0</v>
      </c>
    </row>
    <row r="14366">
      <c r="Y14366" s="372">
        <v>0.0</v>
      </c>
      <c r="Z14366" s="372">
        <v>0.0</v>
      </c>
    </row>
    <row r="14367">
      <c r="Y14367" s="372">
        <v>0.0</v>
      </c>
      <c r="Z14367" s="372">
        <v>0.0</v>
      </c>
    </row>
    <row r="14368">
      <c r="Y14368" s="372">
        <v>0.0</v>
      </c>
      <c r="Z14368" s="372">
        <v>0.0</v>
      </c>
    </row>
    <row r="14369">
      <c r="Y14369" s="372">
        <v>0.0</v>
      </c>
      <c r="Z14369" s="372">
        <v>0.0</v>
      </c>
    </row>
    <row r="14370">
      <c r="Y14370" s="372">
        <v>0.0</v>
      </c>
      <c r="Z14370" s="372">
        <v>0.0</v>
      </c>
    </row>
    <row r="14371">
      <c r="Y14371" s="372">
        <v>0.0</v>
      </c>
      <c r="Z14371" s="372">
        <v>0.0</v>
      </c>
    </row>
    <row r="14372">
      <c r="Y14372" s="372">
        <v>0.0</v>
      </c>
      <c r="Z14372" s="372">
        <v>0.0</v>
      </c>
    </row>
    <row r="14373">
      <c r="Y14373" s="372">
        <v>0.0</v>
      </c>
      <c r="Z14373" s="372">
        <v>0.0</v>
      </c>
    </row>
    <row r="14374">
      <c r="Y14374" s="372">
        <v>0.0</v>
      </c>
      <c r="Z14374" s="372">
        <v>0.0</v>
      </c>
    </row>
    <row r="14375">
      <c r="Y14375" s="372">
        <v>0.0</v>
      </c>
      <c r="Z14375" s="372">
        <v>0.0</v>
      </c>
    </row>
    <row r="14376">
      <c r="Y14376" s="372">
        <v>0.0</v>
      </c>
      <c r="Z14376" s="372">
        <v>0.0</v>
      </c>
    </row>
    <row r="14377">
      <c r="Y14377" s="372">
        <v>0.0</v>
      </c>
      <c r="Z14377" s="372">
        <v>0.0</v>
      </c>
    </row>
    <row r="14378">
      <c r="Y14378" s="372">
        <v>0.0</v>
      </c>
      <c r="Z14378" s="372">
        <v>0.0</v>
      </c>
    </row>
    <row r="14379">
      <c r="Y14379" s="372">
        <v>0.0</v>
      </c>
      <c r="Z14379" s="372">
        <v>0.0</v>
      </c>
    </row>
    <row r="14380">
      <c r="Y14380" s="372">
        <v>0.0</v>
      </c>
      <c r="Z14380" s="372">
        <v>0.0</v>
      </c>
    </row>
    <row r="14381">
      <c r="Y14381" s="372">
        <v>0.0</v>
      </c>
      <c r="Z14381" s="372">
        <v>0.0</v>
      </c>
    </row>
    <row r="14382">
      <c r="Y14382" s="372">
        <v>0.0</v>
      </c>
      <c r="Z14382" s="372">
        <v>0.0</v>
      </c>
    </row>
    <row r="14383">
      <c r="Y14383" s="372">
        <v>0.0</v>
      </c>
      <c r="Z14383" s="372">
        <v>0.0</v>
      </c>
    </row>
    <row r="14384">
      <c r="Y14384" s="372">
        <v>0.0</v>
      </c>
      <c r="Z14384" s="372">
        <v>0.0</v>
      </c>
    </row>
    <row r="14385">
      <c r="Y14385" s="372">
        <v>0.0</v>
      </c>
      <c r="Z14385" s="372">
        <v>0.0</v>
      </c>
    </row>
    <row r="14386">
      <c r="Y14386" s="372">
        <v>0.0</v>
      </c>
      <c r="Z14386" s="372">
        <v>0.0</v>
      </c>
    </row>
    <row r="14387">
      <c r="Y14387" s="372">
        <v>0.0</v>
      </c>
      <c r="Z14387" s="372">
        <v>0.0</v>
      </c>
    </row>
    <row r="14388">
      <c r="Y14388" s="372">
        <v>0.0</v>
      </c>
      <c r="Z14388" s="372">
        <v>0.0</v>
      </c>
    </row>
    <row r="14389">
      <c r="Y14389" s="372">
        <v>0.0</v>
      </c>
      <c r="Z14389" s="372">
        <v>0.0</v>
      </c>
    </row>
    <row r="14390">
      <c r="Y14390" s="372">
        <v>0.0</v>
      </c>
      <c r="Z14390" s="372">
        <v>0.0</v>
      </c>
    </row>
    <row r="14391">
      <c r="Y14391" s="372">
        <v>0.0</v>
      </c>
      <c r="Z14391" s="372">
        <v>0.0</v>
      </c>
    </row>
    <row r="14392">
      <c r="Y14392" s="372">
        <v>0.0</v>
      </c>
      <c r="Z14392" s="372">
        <v>0.0</v>
      </c>
    </row>
    <row r="14393">
      <c r="Y14393" s="372">
        <v>0.0</v>
      </c>
      <c r="Z14393" s="372">
        <v>0.0</v>
      </c>
    </row>
    <row r="14394">
      <c r="Y14394" s="372">
        <v>0.0</v>
      </c>
      <c r="Z14394" s="372">
        <v>0.0</v>
      </c>
    </row>
    <row r="14395">
      <c r="Y14395" s="372">
        <v>0.0</v>
      </c>
      <c r="Z14395" s="372">
        <v>0.0</v>
      </c>
    </row>
    <row r="14396">
      <c r="Y14396" s="372">
        <v>0.0</v>
      </c>
      <c r="Z14396" s="372">
        <v>0.0</v>
      </c>
    </row>
    <row r="14397">
      <c r="Y14397" s="372">
        <v>0.0</v>
      </c>
      <c r="Z14397" s="372">
        <v>0.0</v>
      </c>
    </row>
    <row r="14398">
      <c r="Y14398" s="372">
        <v>0.0</v>
      </c>
      <c r="Z14398" s="372">
        <v>0.0</v>
      </c>
    </row>
    <row r="14399">
      <c r="Y14399" s="372">
        <v>0.0</v>
      </c>
      <c r="Z14399" s="372">
        <v>0.0</v>
      </c>
    </row>
    <row r="14400">
      <c r="Y14400" s="372">
        <v>0.0</v>
      </c>
      <c r="Z14400" s="372">
        <v>0.0</v>
      </c>
    </row>
    <row r="14401">
      <c r="Y14401" s="372">
        <v>0.0</v>
      </c>
      <c r="Z14401" s="372">
        <v>0.0</v>
      </c>
    </row>
    <row r="14402">
      <c r="Y14402" s="372">
        <v>0.0</v>
      </c>
      <c r="Z14402" s="372">
        <v>0.0</v>
      </c>
    </row>
    <row r="14403">
      <c r="Y14403" s="372">
        <v>0.0</v>
      </c>
      <c r="Z14403" s="372">
        <v>0.0</v>
      </c>
    </row>
    <row r="14404">
      <c r="Y14404" s="372">
        <v>0.0</v>
      </c>
      <c r="Z14404" s="372">
        <v>0.0</v>
      </c>
    </row>
    <row r="14405">
      <c r="Y14405" s="372">
        <v>0.0</v>
      </c>
      <c r="Z14405" s="372">
        <v>0.0</v>
      </c>
    </row>
    <row r="14406">
      <c r="Y14406" s="372">
        <v>0.0</v>
      </c>
      <c r="Z14406" s="372">
        <v>0.0</v>
      </c>
    </row>
    <row r="14407">
      <c r="Y14407" s="372">
        <v>0.0</v>
      </c>
      <c r="Z14407" s="372">
        <v>0.0</v>
      </c>
    </row>
    <row r="14408">
      <c r="Y14408" s="372">
        <v>0.0</v>
      </c>
      <c r="Z14408" s="372">
        <v>0.0</v>
      </c>
    </row>
    <row r="14409">
      <c r="Y14409" s="372">
        <v>0.0</v>
      </c>
      <c r="Z14409" s="372">
        <v>0.0</v>
      </c>
    </row>
    <row r="14410">
      <c r="Y14410" s="372">
        <v>0.0</v>
      </c>
      <c r="Z14410" s="372">
        <v>0.0</v>
      </c>
    </row>
    <row r="14411">
      <c r="Y14411" s="372">
        <v>0.0</v>
      </c>
      <c r="Z14411" s="372">
        <v>0.0</v>
      </c>
    </row>
    <row r="14412">
      <c r="Y14412" s="372">
        <v>0.0</v>
      </c>
      <c r="Z14412" s="372">
        <v>0.0</v>
      </c>
    </row>
    <row r="14413">
      <c r="Y14413" s="372">
        <v>0.0</v>
      </c>
      <c r="Z14413" s="372">
        <v>0.0</v>
      </c>
    </row>
    <row r="14414">
      <c r="Y14414" s="372">
        <v>0.0</v>
      </c>
      <c r="Z14414" s="372">
        <v>0.0</v>
      </c>
    </row>
    <row r="14415">
      <c r="Y14415" s="372">
        <v>0.0</v>
      </c>
      <c r="Z14415" s="372">
        <v>0.0</v>
      </c>
    </row>
    <row r="14416">
      <c r="Y14416" s="372">
        <v>0.0</v>
      </c>
      <c r="Z14416" s="372">
        <v>0.0</v>
      </c>
    </row>
    <row r="14417">
      <c r="Y14417" s="372">
        <v>0.0</v>
      </c>
      <c r="Z14417" s="372">
        <v>0.0</v>
      </c>
    </row>
    <row r="14418">
      <c r="Y14418" s="372">
        <v>0.0</v>
      </c>
      <c r="Z14418" s="372">
        <v>0.0</v>
      </c>
    </row>
    <row r="14419">
      <c r="Y14419" s="372">
        <v>0.0</v>
      </c>
      <c r="Z14419" s="372">
        <v>0.0</v>
      </c>
    </row>
    <row r="14420">
      <c r="Y14420" s="372">
        <v>0.0</v>
      </c>
      <c r="Z14420" s="372">
        <v>0.0</v>
      </c>
    </row>
    <row r="14421">
      <c r="Y14421" s="372">
        <v>0.0</v>
      </c>
      <c r="Z14421" s="372">
        <v>0.0</v>
      </c>
    </row>
    <row r="14422">
      <c r="Y14422" s="372">
        <v>0.0</v>
      </c>
      <c r="Z14422" s="372">
        <v>0.0</v>
      </c>
    </row>
    <row r="14423">
      <c r="Y14423" s="372">
        <v>0.0</v>
      </c>
      <c r="Z14423" s="372">
        <v>0.0</v>
      </c>
    </row>
    <row r="14424">
      <c r="Y14424" s="372">
        <v>0.0</v>
      </c>
      <c r="Z14424" s="372">
        <v>0.0</v>
      </c>
    </row>
    <row r="14425">
      <c r="Y14425" s="372">
        <v>0.0</v>
      </c>
      <c r="Z14425" s="372">
        <v>0.0</v>
      </c>
    </row>
    <row r="14426">
      <c r="Y14426" s="372">
        <v>0.0</v>
      </c>
      <c r="Z14426" s="372">
        <v>0.0</v>
      </c>
    </row>
    <row r="14427">
      <c r="Y14427" s="372">
        <v>0.0</v>
      </c>
      <c r="Z14427" s="372">
        <v>0.0</v>
      </c>
    </row>
    <row r="14428">
      <c r="Y14428" s="372">
        <v>0.0</v>
      </c>
      <c r="Z14428" s="372">
        <v>0.0</v>
      </c>
    </row>
    <row r="14429">
      <c r="Y14429" s="372">
        <v>0.0</v>
      </c>
      <c r="Z14429" s="372">
        <v>0.0</v>
      </c>
    </row>
    <row r="14430">
      <c r="Y14430" s="372">
        <v>0.0</v>
      </c>
      <c r="Z14430" s="372">
        <v>0.0</v>
      </c>
    </row>
    <row r="14431">
      <c r="Y14431" s="372">
        <v>0.0</v>
      </c>
      <c r="Z14431" s="372">
        <v>0.0</v>
      </c>
    </row>
    <row r="14432">
      <c r="Y14432" s="372">
        <v>0.0</v>
      </c>
      <c r="Z14432" s="372">
        <v>0.0</v>
      </c>
    </row>
    <row r="14433">
      <c r="Y14433" s="372">
        <v>0.0</v>
      </c>
      <c r="Z14433" s="372">
        <v>0.0</v>
      </c>
    </row>
    <row r="14434">
      <c r="Y14434" s="372">
        <v>0.0</v>
      </c>
      <c r="Z14434" s="372">
        <v>0.0</v>
      </c>
    </row>
    <row r="14435">
      <c r="Y14435" s="372">
        <v>0.0</v>
      </c>
      <c r="Z14435" s="372">
        <v>0.0</v>
      </c>
    </row>
    <row r="14436">
      <c r="Y14436" s="372">
        <v>0.0</v>
      </c>
      <c r="Z14436" s="372">
        <v>0.0</v>
      </c>
    </row>
    <row r="14437">
      <c r="Y14437" s="372">
        <v>0.0</v>
      </c>
      <c r="Z14437" s="372">
        <v>0.0</v>
      </c>
    </row>
    <row r="14438">
      <c r="Y14438" s="372">
        <v>0.0</v>
      </c>
      <c r="Z14438" s="372">
        <v>0.0</v>
      </c>
    </row>
    <row r="14439">
      <c r="Y14439" s="372">
        <v>0.0</v>
      </c>
      <c r="Z14439" s="372">
        <v>0.0</v>
      </c>
    </row>
    <row r="14440">
      <c r="Y14440" s="372">
        <v>0.0</v>
      </c>
      <c r="Z14440" s="372">
        <v>0.0</v>
      </c>
    </row>
    <row r="14441">
      <c r="Y14441" s="372">
        <v>0.0</v>
      </c>
      <c r="Z14441" s="372">
        <v>0.0</v>
      </c>
    </row>
    <row r="14442">
      <c r="Y14442" s="372">
        <v>0.0</v>
      </c>
      <c r="Z14442" s="372">
        <v>0.0</v>
      </c>
    </row>
    <row r="14443">
      <c r="Y14443" s="372">
        <v>0.0</v>
      </c>
      <c r="Z14443" s="372">
        <v>0.0</v>
      </c>
    </row>
    <row r="14444">
      <c r="Y14444" s="372">
        <v>0.0</v>
      </c>
      <c r="Z14444" s="372">
        <v>0.0</v>
      </c>
    </row>
    <row r="14445">
      <c r="Y14445" s="372">
        <v>0.0</v>
      </c>
      <c r="Z14445" s="372">
        <v>0.0</v>
      </c>
    </row>
    <row r="14446">
      <c r="Y14446" s="372">
        <v>0.0</v>
      </c>
      <c r="Z14446" s="372">
        <v>0.0</v>
      </c>
    </row>
    <row r="14447">
      <c r="Y14447" s="372">
        <v>0.0</v>
      </c>
      <c r="Z14447" s="372">
        <v>0.0</v>
      </c>
    </row>
    <row r="14448">
      <c r="Y14448" s="372">
        <v>0.0</v>
      </c>
      <c r="Z14448" s="372">
        <v>0.0</v>
      </c>
    </row>
    <row r="14449">
      <c r="Y14449" s="372">
        <v>0.0</v>
      </c>
      <c r="Z14449" s="372">
        <v>0.0</v>
      </c>
    </row>
    <row r="14450">
      <c r="Y14450" s="372">
        <v>0.0</v>
      </c>
      <c r="Z14450" s="372">
        <v>0.0</v>
      </c>
    </row>
    <row r="14451">
      <c r="Y14451" s="372">
        <v>0.0</v>
      </c>
      <c r="Z14451" s="372">
        <v>0.0</v>
      </c>
    </row>
    <row r="14452">
      <c r="Y14452" s="372">
        <v>0.0</v>
      </c>
      <c r="Z14452" s="372">
        <v>0.0</v>
      </c>
    </row>
    <row r="14453">
      <c r="Y14453" s="372">
        <v>0.0</v>
      </c>
      <c r="Z14453" s="372">
        <v>0.0</v>
      </c>
    </row>
    <row r="14454">
      <c r="Y14454" s="372">
        <v>0.0</v>
      </c>
      <c r="Z14454" s="372">
        <v>0.0</v>
      </c>
    </row>
    <row r="14455">
      <c r="Y14455" s="372">
        <v>0.0</v>
      </c>
      <c r="Z14455" s="372">
        <v>0.0</v>
      </c>
    </row>
    <row r="14456">
      <c r="Y14456" s="372">
        <v>0.0</v>
      </c>
      <c r="Z14456" s="372">
        <v>0.0</v>
      </c>
    </row>
    <row r="14457">
      <c r="Y14457" s="372">
        <v>0.0</v>
      </c>
      <c r="Z14457" s="372">
        <v>0.0</v>
      </c>
    </row>
    <row r="14458">
      <c r="Y14458" s="372">
        <v>0.0</v>
      </c>
      <c r="Z14458" s="372">
        <v>0.0</v>
      </c>
    </row>
    <row r="14459">
      <c r="Y14459" s="372">
        <v>0.0</v>
      </c>
      <c r="Z14459" s="372">
        <v>0.0</v>
      </c>
    </row>
    <row r="14460">
      <c r="Y14460" s="372">
        <v>0.0</v>
      </c>
      <c r="Z14460" s="372">
        <v>0.0</v>
      </c>
    </row>
    <row r="14461">
      <c r="Y14461" s="372">
        <v>0.0</v>
      </c>
      <c r="Z14461" s="372">
        <v>0.0</v>
      </c>
    </row>
    <row r="14462">
      <c r="Y14462" s="372">
        <v>0.0</v>
      </c>
      <c r="Z14462" s="372">
        <v>0.0</v>
      </c>
    </row>
    <row r="14463">
      <c r="Y14463" s="372">
        <v>0.0</v>
      </c>
      <c r="Z14463" s="372">
        <v>0.0</v>
      </c>
    </row>
    <row r="14464">
      <c r="Y14464" s="372">
        <v>0.0</v>
      </c>
      <c r="Z14464" s="372">
        <v>0.0</v>
      </c>
    </row>
    <row r="14465">
      <c r="Y14465" s="372">
        <v>0.0</v>
      </c>
      <c r="Z14465" s="372">
        <v>0.0</v>
      </c>
    </row>
    <row r="14466">
      <c r="Y14466" s="372">
        <v>0.0</v>
      </c>
      <c r="Z14466" s="372">
        <v>0.0</v>
      </c>
    </row>
    <row r="14467">
      <c r="Y14467" s="372">
        <v>0.0</v>
      </c>
      <c r="Z14467" s="372">
        <v>0.0</v>
      </c>
    </row>
    <row r="14468">
      <c r="Y14468" s="372">
        <v>0.0</v>
      </c>
      <c r="Z14468" s="372">
        <v>0.0</v>
      </c>
    </row>
    <row r="14469">
      <c r="Y14469" s="372">
        <v>0.0</v>
      </c>
      <c r="Z14469" s="372">
        <v>0.0</v>
      </c>
    </row>
    <row r="14470">
      <c r="Y14470" s="372">
        <v>0.0</v>
      </c>
      <c r="Z14470" s="372">
        <v>0.0</v>
      </c>
    </row>
    <row r="14471">
      <c r="Y14471" s="372">
        <v>0.0</v>
      </c>
      <c r="Z14471" s="372">
        <v>0.0</v>
      </c>
    </row>
    <row r="14472">
      <c r="Y14472" s="372">
        <v>0.0</v>
      </c>
      <c r="Z14472" s="372">
        <v>0.0</v>
      </c>
    </row>
    <row r="14473">
      <c r="Y14473" s="372">
        <v>0.0</v>
      </c>
      <c r="Z14473" s="372">
        <v>0.0</v>
      </c>
    </row>
    <row r="14474">
      <c r="Y14474" s="372">
        <v>0.0</v>
      </c>
      <c r="Z14474" s="372">
        <v>0.0</v>
      </c>
    </row>
    <row r="14475">
      <c r="Y14475" s="372">
        <v>0.0</v>
      </c>
      <c r="Z14475" s="372">
        <v>0.0</v>
      </c>
    </row>
    <row r="14476">
      <c r="Y14476" s="372">
        <v>0.0</v>
      </c>
      <c r="Z14476" s="372">
        <v>0.0</v>
      </c>
    </row>
    <row r="14477">
      <c r="Y14477" s="372">
        <v>0.0</v>
      </c>
      <c r="Z14477" s="372">
        <v>0.0</v>
      </c>
    </row>
    <row r="14478">
      <c r="Y14478" s="372">
        <v>0.0</v>
      </c>
      <c r="Z14478" s="372">
        <v>0.0</v>
      </c>
    </row>
    <row r="14479">
      <c r="Y14479" s="372">
        <v>0.0</v>
      </c>
      <c r="Z14479" s="372">
        <v>0.0</v>
      </c>
    </row>
    <row r="14480">
      <c r="Y14480" s="372">
        <v>0.0</v>
      </c>
      <c r="Z14480" s="372">
        <v>0.0</v>
      </c>
    </row>
    <row r="14481">
      <c r="Y14481" s="372">
        <v>0.0</v>
      </c>
      <c r="Z14481" s="372">
        <v>0.0</v>
      </c>
    </row>
    <row r="14482">
      <c r="Y14482" s="372">
        <v>0.0</v>
      </c>
      <c r="Z14482" s="372">
        <v>0.0</v>
      </c>
    </row>
    <row r="14483">
      <c r="Y14483" s="372">
        <v>0.0</v>
      </c>
      <c r="Z14483" s="372">
        <v>0.0</v>
      </c>
    </row>
    <row r="14484">
      <c r="Y14484" s="372">
        <v>0.0</v>
      </c>
      <c r="Z14484" s="372">
        <v>0.0</v>
      </c>
    </row>
    <row r="14485">
      <c r="Y14485" s="372">
        <v>0.0</v>
      </c>
      <c r="Z14485" s="372">
        <v>0.0</v>
      </c>
    </row>
    <row r="14486">
      <c r="Y14486" s="372">
        <v>0.0</v>
      </c>
      <c r="Z14486" s="372">
        <v>0.0</v>
      </c>
    </row>
    <row r="14487">
      <c r="Y14487" s="372">
        <v>0.0</v>
      </c>
      <c r="Z14487" s="372">
        <v>0.0</v>
      </c>
    </row>
    <row r="14488">
      <c r="Y14488" s="372">
        <v>0.0</v>
      </c>
      <c r="Z14488" s="372">
        <v>0.0</v>
      </c>
    </row>
    <row r="14489">
      <c r="Y14489" s="372">
        <v>0.0</v>
      </c>
      <c r="Z14489" s="372">
        <v>0.0</v>
      </c>
    </row>
    <row r="14490">
      <c r="Y14490" s="372">
        <v>0.0</v>
      </c>
      <c r="Z14490" s="372">
        <v>0.0</v>
      </c>
    </row>
    <row r="14491">
      <c r="Y14491" s="372">
        <v>0.0</v>
      </c>
      <c r="Z14491" s="372">
        <v>0.0</v>
      </c>
    </row>
    <row r="14492">
      <c r="Y14492" s="372">
        <v>0.0</v>
      </c>
      <c r="Z14492" s="372">
        <v>0.0</v>
      </c>
    </row>
    <row r="14493">
      <c r="Y14493" s="372">
        <v>0.0</v>
      </c>
      <c r="Z14493" s="372">
        <v>0.0</v>
      </c>
    </row>
    <row r="14494">
      <c r="Y14494" s="372">
        <v>0.0</v>
      </c>
      <c r="Z14494" s="372">
        <v>0.0</v>
      </c>
    </row>
    <row r="14495">
      <c r="Y14495" s="372">
        <v>0.0</v>
      </c>
      <c r="Z14495" s="372">
        <v>0.0</v>
      </c>
    </row>
    <row r="14496">
      <c r="Y14496" s="372">
        <v>0.0</v>
      </c>
      <c r="Z14496" s="372">
        <v>0.0</v>
      </c>
    </row>
    <row r="14497">
      <c r="Y14497" s="372">
        <v>0.0</v>
      </c>
      <c r="Z14497" s="372">
        <v>0.0</v>
      </c>
    </row>
    <row r="14498">
      <c r="Y14498" s="372">
        <v>0.0</v>
      </c>
      <c r="Z14498" s="372">
        <v>0.0</v>
      </c>
    </row>
    <row r="14499">
      <c r="Y14499" s="372">
        <v>0.0</v>
      </c>
      <c r="Z14499" s="372">
        <v>0.0</v>
      </c>
    </row>
    <row r="14500">
      <c r="Y14500" s="372">
        <v>0.0</v>
      </c>
      <c r="Z14500" s="372">
        <v>0.0</v>
      </c>
    </row>
    <row r="14501">
      <c r="Y14501" s="372">
        <v>0.0</v>
      </c>
      <c r="Z14501" s="372">
        <v>0.0</v>
      </c>
    </row>
    <row r="14502">
      <c r="Y14502" s="372">
        <v>0.0</v>
      </c>
      <c r="Z14502" s="372">
        <v>0.0</v>
      </c>
    </row>
    <row r="14503">
      <c r="Y14503" s="372">
        <v>0.0</v>
      </c>
      <c r="Z14503" s="372">
        <v>0.0</v>
      </c>
    </row>
    <row r="14504">
      <c r="Y14504" s="372">
        <v>0.0</v>
      </c>
      <c r="Z14504" s="372">
        <v>0.0</v>
      </c>
    </row>
    <row r="14505">
      <c r="Y14505" s="372">
        <v>0.0</v>
      </c>
      <c r="Z14505" s="372">
        <v>0.0</v>
      </c>
    </row>
    <row r="14506">
      <c r="Y14506" s="372">
        <v>0.0</v>
      </c>
      <c r="Z14506" s="372">
        <v>0.0</v>
      </c>
    </row>
    <row r="14507">
      <c r="Y14507" s="372">
        <v>0.0</v>
      </c>
      <c r="Z14507" s="372">
        <v>0.0</v>
      </c>
    </row>
    <row r="14508">
      <c r="Y14508" s="372">
        <v>0.0</v>
      </c>
      <c r="Z14508" s="372">
        <v>0.0</v>
      </c>
    </row>
    <row r="14509">
      <c r="Y14509" s="372">
        <v>0.0</v>
      </c>
      <c r="Z14509" s="372">
        <v>0.0</v>
      </c>
    </row>
    <row r="14510">
      <c r="Y14510" s="372">
        <v>0.0</v>
      </c>
      <c r="Z14510" s="372">
        <v>0.0</v>
      </c>
    </row>
    <row r="14511">
      <c r="Y14511" s="372">
        <v>0.0</v>
      </c>
      <c r="Z14511" s="372">
        <v>0.0</v>
      </c>
    </row>
    <row r="14512">
      <c r="Y14512" s="372">
        <v>0.0</v>
      </c>
      <c r="Z14512" s="372">
        <v>0.0</v>
      </c>
    </row>
    <row r="14513">
      <c r="Y14513" s="372">
        <v>0.0</v>
      </c>
      <c r="Z14513" s="372">
        <v>0.0</v>
      </c>
    </row>
    <row r="14514">
      <c r="Y14514" s="372">
        <v>0.0</v>
      </c>
      <c r="Z14514" s="372">
        <v>0.0</v>
      </c>
    </row>
    <row r="14515">
      <c r="Y14515" s="372">
        <v>0.0</v>
      </c>
      <c r="Z14515" s="372">
        <v>0.0</v>
      </c>
    </row>
    <row r="14516">
      <c r="Y14516" s="372">
        <v>0.0</v>
      </c>
      <c r="Z14516" s="372">
        <v>0.0</v>
      </c>
    </row>
    <row r="14517">
      <c r="Y14517" s="372">
        <v>0.0</v>
      </c>
      <c r="Z14517" s="372">
        <v>0.0</v>
      </c>
    </row>
    <row r="14518">
      <c r="Y14518" s="372">
        <v>0.0</v>
      </c>
      <c r="Z14518" s="372">
        <v>0.0</v>
      </c>
    </row>
    <row r="14519">
      <c r="Y14519" s="372">
        <v>0.0</v>
      </c>
      <c r="Z14519" s="372">
        <v>0.0</v>
      </c>
    </row>
    <row r="14520">
      <c r="Y14520" s="372">
        <v>0.0</v>
      </c>
      <c r="Z14520" s="372">
        <v>0.0</v>
      </c>
    </row>
    <row r="14521">
      <c r="Y14521" s="372">
        <v>0.0</v>
      </c>
      <c r="Z14521" s="372">
        <v>0.0</v>
      </c>
    </row>
    <row r="14522">
      <c r="Y14522" s="372">
        <v>0.0</v>
      </c>
      <c r="Z14522" s="372">
        <v>0.0</v>
      </c>
    </row>
    <row r="14523">
      <c r="Y14523" s="372">
        <v>0.0</v>
      </c>
      <c r="Z14523" s="372">
        <v>0.0</v>
      </c>
    </row>
    <row r="14524">
      <c r="Y14524" s="372">
        <v>0.0</v>
      </c>
      <c r="Z14524" s="372">
        <v>0.0</v>
      </c>
    </row>
    <row r="14525">
      <c r="Y14525" s="372">
        <v>0.0</v>
      </c>
      <c r="Z14525" s="372">
        <v>0.0</v>
      </c>
    </row>
    <row r="14526">
      <c r="Y14526" s="372">
        <v>0.0</v>
      </c>
      <c r="Z14526" s="372">
        <v>0.0</v>
      </c>
    </row>
    <row r="14527">
      <c r="Y14527" s="372">
        <v>0.0</v>
      </c>
      <c r="Z14527" s="372">
        <v>0.0</v>
      </c>
    </row>
    <row r="14528">
      <c r="Y14528" s="372">
        <v>0.0</v>
      </c>
      <c r="Z14528" s="372">
        <v>0.0</v>
      </c>
    </row>
    <row r="14529">
      <c r="Y14529" s="372">
        <v>0.0</v>
      </c>
      <c r="Z14529" s="372">
        <v>0.0</v>
      </c>
    </row>
    <row r="14530">
      <c r="Y14530" s="372">
        <v>0.0</v>
      </c>
      <c r="Z14530" s="372">
        <v>0.0</v>
      </c>
    </row>
    <row r="14531">
      <c r="Y14531" s="372">
        <v>0.0</v>
      </c>
      <c r="Z14531" s="372">
        <v>0.0</v>
      </c>
    </row>
    <row r="14532">
      <c r="Y14532" s="372">
        <v>0.0</v>
      </c>
      <c r="Z14532" s="372">
        <v>0.0</v>
      </c>
    </row>
    <row r="14533">
      <c r="Y14533" s="372">
        <v>0.0</v>
      </c>
      <c r="Z14533" s="372">
        <v>0.0</v>
      </c>
    </row>
    <row r="14534">
      <c r="Y14534" s="372">
        <v>0.0</v>
      </c>
      <c r="Z14534" s="372">
        <v>0.0</v>
      </c>
    </row>
    <row r="14535">
      <c r="Y14535" s="372">
        <v>0.0</v>
      </c>
      <c r="Z14535" s="372">
        <v>0.0</v>
      </c>
    </row>
    <row r="14536">
      <c r="Y14536" s="372">
        <v>0.0</v>
      </c>
      <c r="Z14536" s="372">
        <v>0.0</v>
      </c>
    </row>
    <row r="14537">
      <c r="Y14537" s="372">
        <v>0.0</v>
      </c>
      <c r="Z14537" s="372">
        <v>0.0</v>
      </c>
    </row>
    <row r="14538">
      <c r="Y14538" s="372">
        <v>0.0</v>
      </c>
      <c r="Z14538" s="372">
        <v>0.0</v>
      </c>
    </row>
    <row r="14539">
      <c r="Y14539" s="372">
        <v>0.0</v>
      </c>
      <c r="Z14539" s="372">
        <v>0.0</v>
      </c>
    </row>
    <row r="14540">
      <c r="Y14540" s="372">
        <v>0.0</v>
      </c>
      <c r="Z14540" s="372">
        <v>0.0</v>
      </c>
    </row>
    <row r="14541">
      <c r="Y14541" s="372">
        <v>0.0</v>
      </c>
      <c r="Z14541" s="372">
        <v>0.0</v>
      </c>
    </row>
    <row r="14542">
      <c r="Y14542" s="372">
        <v>0.0</v>
      </c>
      <c r="Z14542" s="372">
        <v>0.0</v>
      </c>
    </row>
    <row r="14543">
      <c r="Y14543" s="372">
        <v>0.0</v>
      </c>
      <c r="Z14543" s="372">
        <v>0.0</v>
      </c>
    </row>
    <row r="14544">
      <c r="Y14544" s="372">
        <v>0.0</v>
      </c>
      <c r="Z14544" s="372">
        <v>0.0</v>
      </c>
    </row>
    <row r="14545">
      <c r="Y14545" s="372">
        <v>0.0</v>
      </c>
      <c r="Z14545" s="372">
        <v>0.0</v>
      </c>
    </row>
    <row r="14546">
      <c r="Y14546" s="372">
        <v>0.0</v>
      </c>
      <c r="Z14546" s="372">
        <v>0.0</v>
      </c>
    </row>
    <row r="14547">
      <c r="Y14547" s="372">
        <v>0.0</v>
      </c>
      <c r="Z14547" s="372">
        <v>0.0</v>
      </c>
    </row>
    <row r="14548">
      <c r="Y14548" s="372">
        <v>0.0</v>
      </c>
      <c r="Z14548" s="372">
        <v>0.0</v>
      </c>
    </row>
    <row r="14549">
      <c r="Y14549" s="372">
        <v>0.0</v>
      </c>
      <c r="Z14549" s="372">
        <v>0.0</v>
      </c>
    </row>
    <row r="14550">
      <c r="Y14550" s="372">
        <v>0.0</v>
      </c>
      <c r="Z14550" s="372">
        <v>0.0</v>
      </c>
    </row>
    <row r="14551">
      <c r="Y14551" s="372">
        <v>0.0</v>
      </c>
      <c r="Z14551" s="372">
        <v>0.0</v>
      </c>
    </row>
    <row r="14552">
      <c r="Y14552" s="372">
        <v>0.0</v>
      </c>
      <c r="Z14552" s="372">
        <v>0.0</v>
      </c>
    </row>
    <row r="14553">
      <c r="Y14553" s="372">
        <v>0.0</v>
      </c>
      <c r="Z14553" s="372">
        <v>0.0</v>
      </c>
    </row>
    <row r="14554">
      <c r="Y14554" s="372">
        <v>0.0</v>
      </c>
      <c r="Z14554" s="372">
        <v>0.0</v>
      </c>
    </row>
    <row r="14555">
      <c r="Y14555" s="372">
        <v>0.0</v>
      </c>
      <c r="Z14555" s="372">
        <v>0.0</v>
      </c>
    </row>
    <row r="14556">
      <c r="Y14556" s="372">
        <v>0.0</v>
      </c>
      <c r="Z14556" s="372">
        <v>0.0</v>
      </c>
    </row>
    <row r="14557">
      <c r="Y14557" s="372">
        <v>0.0</v>
      </c>
      <c r="Z14557" s="372">
        <v>0.0</v>
      </c>
    </row>
    <row r="14558">
      <c r="Y14558" s="372">
        <v>0.0</v>
      </c>
      <c r="Z14558" s="372">
        <v>0.0</v>
      </c>
    </row>
    <row r="14559">
      <c r="Y14559" s="372">
        <v>0.0</v>
      </c>
      <c r="Z14559" s="372">
        <v>0.0</v>
      </c>
    </row>
    <row r="14560">
      <c r="Y14560" s="372">
        <v>0.0</v>
      </c>
      <c r="Z14560" s="372">
        <v>0.0</v>
      </c>
    </row>
    <row r="14561">
      <c r="Y14561" s="372">
        <v>0.0</v>
      </c>
      <c r="Z14561" s="372">
        <v>0.0</v>
      </c>
    </row>
    <row r="14562">
      <c r="Y14562" s="372">
        <v>0.0</v>
      </c>
      <c r="Z14562" s="372">
        <v>0.0</v>
      </c>
    </row>
    <row r="14563">
      <c r="Y14563" s="372">
        <v>0.0</v>
      </c>
      <c r="Z14563" s="372">
        <v>0.0</v>
      </c>
    </row>
    <row r="14564">
      <c r="Y14564" s="372">
        <v>0.0</v>
      </c>
      <c r="Z14564" s="372">
        <v>0.0</v>
      </c>
    </row>
    <row r="14565">
      <c r="Y14565" s="372">
        <v>0.0</v>
      </c>
      <c r="Z14565" s="372">
        <v>0.0</v>
      </c>
    </row>
    <row r="14566">
      <c r="Y14566" s="372">
        <v>0.0</v>
      </c>
      <c r="Z14566" s="372">
        <v>0.0</v>
      </c>
    </row>
    <row r="14567">
      <c r="Y14567" s="372">
        <v>0.0</v>
      </c>
      <c r="Z14567" s="372">
        <v>0.0</v>
      </c>
    </row>
    <row r="14568">
      <c r="Y14568" s="372">
        <v>0.0</v>
      </c>
      <c r="Z14568" s="372">
        <v>0.0</v>
      </c>
    </row>
    <row r="14569">
      <c r="Y14569" s="372">
        <v>0.0</v>
      </c>
      <c r="Z14569" s="372">
        <v>0.0</v>
      </c>
    </row>
    <row r="14570">
      <c r="Y14570" s="372">
        <v>0.0</v>
      </c>
      <c r="Z14570" s="372">
        <v>0.0</v>
      </c>
    </row>
    <row r="14571">
      <c r="Y14571" s="372">
        <v>0.0</v>
      </c>
      <c r="Z14571" s="372">
        <v>0.0</v>
      </c>
    </row>
    <row r="14572">
      <c r="Y14572" s="372">
        <v>0.0</v>
      </c>
      <c r="Z14572" s="372">
        <v>0.0</v>
      </c>
    </row>
    <row r="14573">
      <c r="Y14573" s="372">
        <v>0.0</v>
      </c>
      <c r="Z14573" s="372">
        <v>0.0</v>
      </c>
    </row>
    <row r="14574">
      <c r="Y14574" s="372">
        <v>0.0</v>
      </c>
      <c r="Z14574" s="372">
        <v>0.0</v>
      </c>
    </row>
    <row r="14575">
      <c r="Y14575" s="372">
        <v>0.0</v>
      </c>
      <c r="Z14575" s="372">
        <v>0.0</v>
      </c>
    </row>
    <row r="14576">
      <c r="Y14576" s="372">
        <v>0.0</v>
      </c>
      <c r="Z14576" s="372">
        <v>0.0</v>
      </c>
    </row>
    <row r="14577">
      <c r="Y14577" s="372">
        <v>0.0</v>
      </c>
      <c r="Z14577" s="372">
        <v>0.0</v>
      </c>
    </row>
    <row r="14578">
      <c r="Y14578" s="372">
        <v>0.0</v>
      </c>
      <c r="Z14578" s="372">
        <v>0.0</v>
      </c>
    </row>
    <row r="14579">
      <c r="Y14579" s="372">
        <v>0.0</v>
      </c>
      <c r="Z14579" s="372">
        <v>0.0</v>
      </c>
    </row>
    <row r="14580">
      <c r="Y14580" s="372">
        <v>0.0</v>
      </c>
      <c r="Z14580" s="372">
        <v>0.0</v>
      </c>
    </row>
    <row r="14581">
      <c r="Y14581" s="372">
        <v>0.0</v>
      </c>
      <c r="Z14581" s="372">
        <v>0.0</v>
      </c>
    </row>
    <row r="14582">
      <c r="Y14582" s="372">
        <v>0.0</v>
      </c>
      <c r="Z14582" s="372">
        <v>0.0</v>
      </c>
    </row>
    <row r="14583">
      <c r="Y14583" s="372">
        <v>0.0</v>
      </c>
      <c r="Z14583" s="372">
        <v>0.0</v>
      </c>
    </row>
    <row r="14584">
      <c r="Y14584" s="372">
        <v>0.0</v>
      </c>
      <c r="Z14584" s="372">
        <v>0.0</v>
      </c>
    </row>
    <row r="14585">
      <c r="Y14585" s="372">
        <v>0.0</v>
      </c>
      <c r="Z14585" s="372">
        <v>0.0</v>
      </c>
    </row>
    <row r="14586">
      <c r="Y14586" s="372">
        <v>0.0</v>
      </c>
      <c r="Z14586" s="372">
        <v>0.0</v>
      </c>
    </row>
    <row r="14587">
      <c r="Y14587" s="372">
        <v>0.0</v>
      </c>
      <c r="Z14587" s="372">
        <v>0.0</v>
      </c>
    </row>
    <row r="14588">
      <c r="Y14588" s="372">
        <v>0.0</v>
      </c>
      <c r="Z14588" s="372">
        <v>0.0</v>
      </c>
    </row>
    <row r="14589">
      <c r="Y14589" s="372">
        <v>0.0</v>
      </c>
      <c r="Z14589" s="372">
        <v>0.0</v>
      </c>
    </row>
    <row r="14590">
      <c r="Y14590" s="372">
        <v>0.0</v>
      </c>
      <c r="Z14590" s="372">
        <v>0.0</v>
      </c>
    </row>
    <row r="14591">
      <c r="Y14591" s="372">
        <v>0.0</v>
      </c>
      <c r="Z14591" s="372">
        <v>0.0</v>
      </c>
    </row>
    <row r="14592">
      <c r="Y14592" s="372">
        <v>0.0</v>
      </c>
      <c r="Z14592" s="372">
        <v>0.0</v>
      </c>
    </row>
    <row r="14593">
      <c r="Y14593" s="372">
        <v>0.0</v>
      </c>
      <c r="Z14593" s="372">
        <v>0.0</v>
      </c>
    </row>
    <row r="14594">
      <c r="Y14594" s="372">
        <v>0.0</v>
      </c>
      <c r="Z14594" s="372">
        <v>0.0</v>
      </c>
    </row>
    <row r="14595">
      <c r="Y14595" s="372">
        <v>0.0</v>
      </c>
      <c r="Z14595" s="372">
        <v>0.0</v>
      </c>
    </row>
    <row r="14596">
      <c r="Y14596" s="372">
        <v>0.0</v>
      </c>
      <c r="Z14596" s="372">
        <v>0.0</v>
      </c>
    </row>
    <row r="14597">
      <c r="Y14597" s="372">
        <v>0.0</v>
      </c>
      <c r="Z14597" s="372">
        <v>0.0</v>
      </c>
    </row>
    <row r="14598">
      <c r="Y14598" s="372">
        <v>0.0</v>
      </c>
      <c r="Z14598" s="372">
        <v>0.0</v>
      </c>
    </row>
    <row r="14599">
      <c r="Y14599" s="372">
        <v>0.0</v>
      </c>
      <c r="Z14599" s="372">
        <v>0.0</v>
      </c>
    </row>
    <row r="14600">
      <c r="Y14600" s="372">
        <v>0.0</v>
      </c>
      <c r="Z14600" s="372">
        <v>0.0</v>
      </c>
    </row>
    <row r="14601">
      <c r="Y14601" s="372">
        <v>0.0</v>
      </c>
      <c r="Z14601" s="372">
        <v>0.0</v>
      </c>
    </row>
    <row r="14602">
      <c r="Y14602" s="372">
        <v>0.0</v>
      </c>
      <c r="Z14602" s="372">
        <v>0.0</v>
      </c>
    </row>
    <row r="14603">
      <c r="Y14603" s="372">
        <v>0.0</v>
      </c>
      <c r="Z14603" s="372">
        <v>0.0</v>
      </c>
    </row>
    <row r="14604">
      <c r="Y14604" s="372">
        <v>0.0</v>
      </c>
      <c r="Z14604" s="372">
        <v>0.0</v>
      </c>
    </row>
    <row r="14605">
      <c r="Y14605" s="372">
        <v>0.0</v>
      </c>
      <c r="Z14605" s="372">
        <v>0.0</v>
      </c>
    </row>
    <row r="14606">
      <c r="Y14606" s="372">
        <v>0.0</v>
      </c>
      <c r="Z14606" s="372">
        <v>0.0</v>
      </c>
    </row>
    <row r="14607">
      <c r="Y14607" s="372">
        <v>0.0</v>
      </c>
      <c r="Z14607" s="372">
        <v>0.0</v>
      </c>
    </row>
    <row r="14608">
      <c r="Y14608" s="372">
        <v>0.0</v>
      </c>
      <c r="Z14608" s="372">
        <v>0.0</v>
      </c>
    </row>
    <row r="14609">
      <c r="Y14609" s="372">
        <v>0.0</v>
      </c>
      <c r="Z14609" s="372">
        <v>0.0</v>
      </c>
    </row>
    <row r="14610">
      <c r="Y14610" s="372">
        <v>0.0</v>
      </c>
      <c r="Z14610" s="372">
        <v>0.0</v>
      </c>
    </row>
    <row r="14611">
      <c r="Y14611" s="372">
        <v>0.0</v>
      </c>
      <c r="Z14611" s="372">
        <v>0.0</v>
      </c>
    </row>
    <row r="14612">
      <c r="Y14612" s="372">
        <v>0.0</v>
      </c>
      <c r="Z14612" s="372">
        <v>0.0</v>
      </c>
    </row>
    <row r="14613">
      <c r="Y14613" s="372">
        <v>0.0</v>
      </c>
      <c r="Z14613" s="372">
        <v>0.0</v>
      </c>
    </row>
    <row r="14614">
      <c r="Y14614" s="372">
        <v>0.0</v>
      </c>
      <c r="Z14614" s="372">
        <v>0.0</v>
      </c>
    </row>
    <row r="14615">
      <c r="Y14615" s="372">
        <v>0.0</v>
      </c>
      <c r="Z14615" s="372">
        <v>0.0</v>
      </c>
    </row>
    <row r="14616">
      <c r="Y14616" s="372">
        <v>0.0</v>
      </c>
      <c r="Z14616" s="372">
        <v>0.0</v>
      </c>
    </row>
    <row r="14617">
      <c r="Y14617" s="372">
        <v>0.0</v>
      </c>
      <c r="Z14617" s="372">
        <v>0.0</v>
      </c>
    </row>
    <row r="14618">
      <c r="Y14618" s="372">
        <v>0.0</v>
      </c>
      <c r="Z14618" s="372">
        <v>0.0</v>
      </c>
    </row>
    <row r="14619">
      <c r="Y14619" s="372">
        <v>0.0</v>
      </c>
      <c r="Z14619" s="372">
        <v>0.0</v>
      </c>
    </row>
    <row r="14620">
      <c r="Y14620" s="372">
        <v>0.0</v>
      </c>
      <c r="Z14620" s="372">
        <v>0.0</v>
      </c>
    </row>
    <row r="14621">
      <c r="Y14621" s="372">
        <v>0.0</v>
      </c>
      <c r="Z14621" s="372">
        <v>0.0</v>
      </c>
    </row>
    <row r="14622">
      <c r="Y14622" s="372">
        <v>0.0</v>
      </c>
      <c r="Z14622" s="372">
        <v>0.0</v>
      </c>
    </row>
    <row r="14623">
      <c r="Y14623" s="372">
        <v>0.0</v>
      </c>
      <c r="Z14623" s="372">
        <v>0.0</v>
      </c>
    </row>
    <row r="14624">
      <c r="Y14624" s="372">
        <v>0.0</v>
      </c>
      <c r="Z14624" s="372">
        <v>0.0</v>
      </c>
    </row>
    <row r="14625">
      <c r="Y14625" s="372">
        <v>0.0</v>
      </c>
      <c r="Z14625" s="372">
        <v>0.0</v>
      </c>
    </row>
    <row r="14626">
      <c r="Y14626" s="372">
        <v>0.0</v>
      </c>
      <c r="Z14626" s="372">
        <v>0.0</v>
      </c>
    </row>
    <row r="14627">
      <c r="Y14627" s="372">
        <v>0.0</v>
      </c>
      <c r="Z14627" s="372">
        <v>0.0</v>
      </c>
    </row>
    <row r="14628">
      <c r="Y14628" s="372">
        <v>0.0</v>
      </c>
      <c r="Z14628" s="372">
        <v>0.0</v>
      </c>
    </row>
    <row r="14629">
      <c r="Y14629" s="372">
        <v>0.0</v>
      </c>
      <c r="Z14629" s="372">
        <v>0.0</v>
      </c>
    </row>
    <row r="14630">
      <c r="Y14630" s="372">
        <v>0.0</v>
      </c>
      <c r="Z14630" s="372">
        <v>0.0</v>
      </c>
    </row>
    <row r="14631">
      <c r="Y14631" s="372">
        <v>0.0</v>
      </c>
      <c r="Z14631" s="372">
        <v>0.0</v>
      </c>
    </row>
    <row r="14632">
      <c r="Y14632" s="372">
        <v>0.0</v>
      </c>
      <c r="Z14632" s="372">
        <v>0.0</v>
      </c>
    </row>
    <row r="14633">
      <c r="Y14633" s="372">
        <v>0.0</v>
      </c>
      <c r="Z14633" s="372">
        <v>0.0</v>
      </c>
    </row>
    <row r="14634">
      <c r="Y14634" s="372">
        <v>0.0</v>
      </c>
      <c r="Z14634" s="372">
        <v>0.0</v>
      </c>
    </row>
    <row r="14635">
      <c r="Y14635" s="372">
        <v>0.0</v>
      </c>
      <c r="Z14635" s="372">
        <v>0.0</v>
      </c>
    </row>
    <row r="14636">
      <c r="Y14636" s="372">
        <v>0.0</v>
      </c>
      <c r="Z14636" s="372">
        <v>0.0</v>
      </c>
    </row>
    <row r="14637">
      <c r="Y14637" s="372">
        <v>0.0</v>
      </c>
      <c r="Z14637" s="372">
        <v>0.0</v>
      </c>
    </row>
    <row r="14638">
      <c r="Y14638" s="372">
        <v>0.0</v>
      </c>
      <c r="Z14638" s="372">
        <v>0.0</v>
      </c>
    </row>
    <row r="14639">
      <c r="Y14639" s="372">
        <v>0.0</v>
      </c>
      <c r="Z14639" s="372">
        <v>0.0</v>
      </c>
    </row>
    <row r="14640">
      <c r="Y14640" s="372">
        <v>0.0</v>
      </c>
      <c r="Z14640" s="372">
        <v>0.0</v>
      </c>
    </row>
    <row r="14641">
      <c r="Y14641" s="372">
        <v>0.0</v>
      </c>
      <c r="Z14641" s="372">
        <v>0.0</v>
      </c>
    </row>
    <row r="14642">
      <c r="Y14642" s="372">
        <v>0.0</v>
      </c>
      <c r="Z14642" s="372">
        <v>0.0</v>
      </c>
    </row>
    <row r="14643">
      <c r="Y14643" s="372">
        <v>0.0</v>
      </c>
      <c r="Z14643" s="372">
        <v>0.0</v>
      </c>
    </row>
    <row r="14644">
      <c r="Y14644" s="372">
        <v>0.0</v>
      </c>
      <c r="Z14644" s="372">
        <v>0.0</v>
      </c>
    </row>
    <row r="14645">
      <c r="Y14645" s="372">
        <v>0.0</v>
      </c>
      <c r="Z14645" s="372">
        <v>0.0</v>
      </c>
    </row>
    <row r="14646">
      <c r="Y14646" s="372">
        <v>0.0</v>
      </c>
      <c r="Z14646" s="372">
        <v>0.0</v>
      </c>
    </row>
    <row r="14647">
      <c r="Y14647" s="372">
        <v>0.0</v>
      </c>
      <c r="Z14647" s="372">
        <v>0.0</v>
      </c>
    </row>
    <row r="14648">
      <c r="Y14648" s="372">
        <v>0.0</v>
      </c>
      <c r="Z14648" s="372">
        <v>0.0</v>
      </c>
    </row>
    <row r="14649">
      <c r="Y14649" s="372">
        <v>0.0</v>
      </c>
      <c r="Z14649" s="372">
        <v>0.0</v>
      </c>
    </row>
    <row r="14650">
      <c r="Y14650" s="372">
        <v>0.0</v>
      </c>
      <c r="Z14650" s="372">
        <v>0.0</v>
      </c>
    </row>
    <row r="14651">
      <c r="Y14651" s="372">
        <v>0.0</v>
      </c>
      <c r="Z14651" s="372">
        <v>0.0</v>
      </c>
    </row>
    <row r="14652">
      <c r="Y14652" s="372">
        <v>0.0</v>
      </c>
      <c r="Z14652" s="372">
        <v>0.0</v>
      </c>
    </row>
    <row r="14653">
      <c r="Y14653" s="372">
        <v>0.0</v>
      </c>
      <c r="Z14653" s="372">
        <v>0.0</v>
      </c>
    </row>
    <row r="14654">
      <c r="Y14654" s="372">
        <v>0.0</v>
      </c>
      <c r="Z14654" s="372">
        <v>0.0</v>
      </c>
    </row>
    <row r="14655">
      <c r="Y14655" s="372">
        <v>0.0</v>
      </c>
      <c r="Z14655" s="372">
        <v>0.0</v>
      </c>
    </row>
    <row r="14656">
      <c r="Y14656" s="372">
        <v>0.0</v>
      </c>
      <c r="Z14656" s="372">
        <v>0.0</v>
      </c>
    </row>
    <row r="14657">
      <c r="Y14657" s="372">
        <v>0.0</v>
      </c>
      <c r="Z14657" s="372">
        <v>0.0</v>
      </c>
    </row>
    <row r="14658">
      <c r="Y14658" s="372">
        <v>0.0</v>
      </c>
      <c r="Z14658" s="372">
        <v>0.0</v>
      </c>
    </row>
    <row r="14659">
      <c r="Y14659" s="372">
        <v>0.0</v>
      </c>
      <c r="Z14659" s="372">
        <v>0.0</v>
      </c>
    </row>
    <row r="14660">
      <c r="Y14660" s="372">
        <v>0.0</v>
      </c>
      <c r="Z14660" s="372">
        <v>0.0</v>
      </c>
    </row>
    <row r="14661">
      <c r="Y14661" s="372">
        <v>0.0</v>
      </c>
      <c r="Z14661" s="372">
        <v>0.0</v>
      </c>
    </row>
    <row r="14662">
      <c r="Y14662" s="372">
        <v>0.0</v>
      </c>
      <c r="Z14662" s="372">
        <v>0.0</v>
      </c>
    </row>
    <row r="14663">
      <c r="Y14663" s="372">
        <v>0.0</v>
      </c>
      <c r="Z14663" s="372">
        <v>0.0</v>
      </c>
    </row>
    <row r="14664">
      <c r="Y14664" s="372">
        <v>0.0</v>
      </c>
      <c r="Z14664" s="372">
        <v>0.0</v>
      </c>
    </row>
    <row r="14665">
      <c r="Y14665" s="372">
        <v>0.0</v>
      </c>
      <c r="Z14665" s="372">
        <v>0.0</v>
      </c>
    </row>
    <row r="14666">
      <c r="Y14666" s="372">
        <v>0.0</v>
      </c>
      <c r="Z14666" s="372">
        <v>0.0</v>
      </c>
    </row>
    <row r="14667">
      <c r="Y14667" s="372">
        <v>0.0</v>
      </c>
      <c r="Z14667" s="372">
        <v>0.0</v>
      </c>
    </row>
    <row r="14668">
      <c r="Y14668" s="372">
        <v>0.0</v>
      </c>
      <c r="Z14668" s="372">
        <v>0.0</v>
      </c>
    </row>
    <row r="14669">
      <c r="Y14669" s="372">
        <v>0.0</v>
      </c>
      <c r="Z14669" s="372">
        <v>0.0</v>
      </c>
    </row>
    <row r="14670">
      <c r="Y14670" s="372">
        <v>0.0</v>
      </c>
      <c r="Z14670" s="372">
        <v>0.0</v>
      </c>
    </row>
    <row r="14671">
      <c r="Y14671" s="372">
        <v>0.0</v>
      </c>
      <c r="Z14671" s="372">
        <v>0.0</v>
      </c>
    </row>
    <row r="14672">
      <c r="Y14672" s="372">
        <v>0.0</v>
      </c>
      <c r="Z14672" s="372">
        <v>0.0</v>
      </c>
    </row>
    <row r="14673">
      <c r="Y14673" s="372">
        <v>0.0</v>
      </c>
      <c r="Z14673" s="372">
        <v>0.0</v>
      </c>
    </row>
    <row r="14674">
      <c r="Y14674" s="372">
        <v>0.0</v>
      </c>
      <c r="Z14674" s="372">
        <v>0.0</v>
      </c>
    </row>
    <row r="14675">
      <c r="Y14675" s="372">
        <v>0.0</v>
      </c>
      <c r="Z14675" s="372">
        <v>0.0</v>
      </c>
    </row>
    <row r="14676">
      <c r="Y14676" s="372">
        <v>0.0</v>
      </c>
      <c r="Z14676" s="372">
        <v>0.0</v>
      </c>
    </row>
    <row r="14677">
      <c r="Y14677" s="372">
        <v>0.0</v>
      </c>
      <c r="Z14677" s="372">
        <v>0.0</v>
      </c>
    </row>
    <row r="14678">
      <c r="Y14678" s="372">
        <v>0.0</v>
      </c>
      <c r="Z14678" s="372">
        <v>0.0</v>
      </c>
    </row>
    <row r="14679">
      <c r="Y14679" s="372">
        <v>0.0</v>
      </c>
      <c r="Z14679" s="372">
        <v>0.0</v>
      </c>
    </row>
    <row r="14680">
      <c r="Y14680" s="372">
        <v>0.0</v>
      </c>
      <c r="Z14680" s="372">
        <v>0.0</v>
      </c>
    </row>
    <row r="14681">
      <c r="Y14681" s="372">
        <v>0.0</v>
      </c>
      <c r="Z14681" s="372">
        <v>0.0</v>
      </c>
    </row>
    <row r="14682">
      <c r="Y14682" s="372">
        <v>0.0</v>
      </c>
      <c r="Z14682" s="372">
        <v>0.0</v>
      </c>
    </row>
    <row r="14683">
      <c r="Y14683" s="372">
        <v>0.0</v>
      </c>
      <c r="Z14683" s="372">
        <v>0.0</v>
      </c>
    </row>
    <row r="14684">
      <c r="Y14684" s="372">
        <v>0.0</v>
      </c>
      <c r="Z14684" s="372">
        <v>0.0</v>
      </c>
    </row>
    <row r="14685">
      <c r="Y14685" s="372">
        <v>0.0</v>
      </c>
      <c r="Z14685" s="372">
        <v>0.0</v>
      </c>
    </row>
    <row r="14686">
      <c r="Y14686" s="372">
        <v>0.0</v>
      </c>
      <c r="Z14686" s="372">
        <v>0.0</v>
      </c>
    </row>
    <row r="14687">
      <c r="Y14687" s="372">
        <v>0.0</v>
      </c>
      <c r="Z14687" s="372">
        <v>0.0</v>
      </c>
    </row>
    <row r="14688">
      <c r="Y14688" s="372">
        <v>0.0</v>
      </c>
      <c r="Z14688" s="372">
        <v>0.0</v>
      </c>
    </row>
    <row r="14689">
      <c r="Y14689" s="372">
        <v>0.0</v>
      </c>
      <c r="Z14689" s="372">
        <v>0.0</v>
      </c>
    </row>
    <row r="14690">
      <c r="Y14690" s="372">
        <v>0.0</v>
      </c>
      <c r="Z14690" s="372">
        <v>0.0</v>
      </c>
    </row>
    <row r="14691">
      <c r="Y14691" s="372">
        <v>0.0</v>
      </c>
      <c r="Z14691" s="372">
        <v>0.0</v>
      </c>
    </row>
    <row r="14692">
      <c r="Y14692" s="372">
        <v>0.0</v>
      </c>
      <c r="Z14692" s="372">
        <v>0.0</v>
      </c>
    </row>
    <row r="14693">
      <c r="Y14693" s="372">
        <v>0.0</v>
      </c>
      <c r="Z14693" s="372">
        <v>0.0</v>
      </c>
    </row>
    <row r="14694">
      <c r="Y14694" s="372">
        <v>0.0</v>
      </c>
      <c r="Z14694" s="372">
        <v>0.0</v>
      </c>
    </row>
    <row r="14695">
      <c r="Y14695" s="372">
        <v>0.0</v>
      </c>
      <c r="Z14695" s="372">
        <v>0.0</v>
      </c>
    </row>
    <row r="14696">
      <c r="Y14696" s="372">
        <v>0.0</v>
      </c>
      <c r="Z14696" s="372">
        <v>0.0</v>
      </c>
    </row>
    <row r="14697">
      <c r="Y14697" s="372">
        <v>0.0</v>
      </c>
      <c r="Z14697" s="372">
        <v>0.0</v>
      </c>
    </row>
    <row r="14698">
      <c r="Y14698" s="372">
        <v>0.0</v>
      </c>
      <c r="Z14698" s="372">
        <v>0.0</v>
      </c>
    </row>
    <row r="14699">
      <c r="Y14699" s="372">
        <v>0.0</v>
      </c>
      <c r="Z14699" s="372">
        <v>0.0</v>
      </c>
    </row>
    <row r="14700">
      <c r="Y14700" s="372">
        <v>0.0</v>
      </c>
      <c r="Z14700" s="372">
        <v>0.0</v>
      </c>
    </row>
    <row r="14701">
      <c r="Y14701" s="372">
        <v>0.0</v>
      </c>
      <c r="Z14701" s="372">
        <v>0.0</v>
      </c>
    </row>
    <row r="14702">
      <c r="Y14702" s="372">
        <v>0.0</v>
      </c>
      <c r="Z14702" s="372">
        <v>0.0</v>
      </c>
    </row>
    <row r="14703">
      <c r="Y14703" s="372">
        <v>0.0</v>
      </c>
      <c r="Z14703" s="372">
        <v>0.0</v>
      </c>
    </row>
    <row r="14704">
      <c r="Y14704" s="372">
        <v>0.0</v>
      </c>
      <c r="Z14704" s="372">
        <v>0.0</v>
      </c>
    </row>
    <row r="14705">
      <c r="Y14705" s="372">
        <v>0.0</v>
      </c>
      <c r="Z14705" s="372">
        <v>0.0</v>
      </c>
    </row>
    <row r="14706">
      <c r="Y14706" s="372">
        <v>0.0</v>
      </c>
      <c r="Z14706" s="372">
        <v>0.0</v>
      </c>
    </row>
    <row r="14707">
      <c r="Y14707" s="372">
        <v>0.0</v>
      </c>
      <c r="Z14707" s="372">
        <v>0.0</v>
      </c>
    </row>
    <row r="14708">
      <c r="Y14708" s="372">
        <v>0.0</v>
      </c>
      <c r="Z14708" s="372">
        <v>0.0</v>
      </c>
    </row>
    <row r="14709">
      <c r="Y14709" s="372">
        <v>0.0</v>
      </c>
      <c r="Z14709" s="372">
        <v>0.0</v>
      </c>
    </row>
    <row r="14710">
      <c r="Y14710" s="372">
        <v>0.0</v>
      </c>
      <c r="Z14710" s="372">
        <v>0.0</v>
      </c>
    </row>
    <row r="14711">
      <c r="Y14711" s="372">
        <v>0.0</v>
      </c>
      <c r="Z14711" s="372">
        <v>0.0</v>
      </c>
    </row>
    <row r="14712">
      <c r="Y14712" s="372">
        <v>0.0</v>
      </c>
      <c r="Z14712" s="372">
        <v>0.0</v>
      </c>
    </row>
    <row r="14713">
      <c r="Y14713" s="372">
        <v>0.0</v>
      </c>
      <c r="Z14713" s="372">
        <v>0.0</v>
      </c>
    </row>
    <row r="14714">
      <c r="Y14714" s="372">
        <v>0.0</v>
      </c>
      <c r="Z14714" s="372">
        <v>0.0</v>
      </c>
    </row>
    <row r="14715">
      <c r="Y14715" s="372">
        <v>0.0</v>
      </c>
      <c r="Z14715" s="372">
        <v>0.0</v>
      </c>
    </row>
    <row r="14716">
      <c r="Y14716" s="372">
        <v>0.0</v>
      </c>
      <c r="Z14716" s="372">
        <v>0.0</v>
      </c>
    </row>
    <row r="14717">
      <c r="Y14717" s="372">
        <v>0.0</v>
      </c>
      <c r="Z14717" s="372">
        <v>0.0</v>
      </c>
    </row>
    <row r="14718">
      <c r="Y14718" s="372">
        <v>0.0</v>
      </c>
      <c r="Z14718" s="372">
        <v>0.0</v>
      </c>
    </row>
    <row r="14719">
      <c r="Y14719" s="372">
        <v>0.0</v>
      </c>
      <c r="Z14719" s="372">
        <v>0.0</v>
      </c>
    </row>
    <row r="14720">
      <c r="Y14720" s="372">
        <v>0.0</v>
      </c>
      <c r="Z14720" s="372">
        <v>0.0</v>
      </c>
    </row>
    <row r="14721">
      <c r="Y14721" s="372">
        <v>0.0</v>
      </c>
      <c r="Z14721" s="372">
        <v>0.0</v>
      </c>
    </row>
    <row r="14722">
      <c r="Y14722" s="372">
        <v>0.0</v>
      </c>
      <c r="Z14722" s="372">
        <v>0.0</v>
      </c>
    </row>
    <row r="14723">
      <c r="Y14723" s="372">
        <v>0.0</v>
      </c>
      <c r="Z14723" s="372">
        <v>0.0</v>
      </c>
    </row>
    <row r="14724">
      <c r="Y14724" s="372">
        <v>0.0</v>
      </c>
      <c r="Z14724" s="372">
        <v>0.0</v>
      </c>
    </row>
    <row r="14725">
      <c r="Y14725" s="372">
        <v>0.0</v>
      </c>
      <c r="Z14725" s="372">
        <v>0.0</v>
      </c>
    </row>
    <row r="14726">
      <c r="Y14726" s="372">
        <v>0.0</v>
      </c>
      <c r="Z14726" s="372">
        <v>0.0</v>
      </c>
    </row>
    <row r="14727">
      <c r="Y14727" s="372">
        <v>0.0</v>
      </c>
      <c r="Z14727" s="372">
        <v>0.0</v>
      </c>
    </row>
    <row r="14728">
      <c r="Y14728" s="372">
        <v>0.0</v>
      </c>
      <c r="Z14728" s="372">
        <v>0.0</v>
      </c>
    </row>
    <row r="14729">
      <c r="Y14729" s="372">
        <v>0.0</v>
      </c>
      <c r="Z14729" s="372">
        <v>0.0</v>
      </c>
    </row>
    <row r="14730">
      <c r="Y14730" s="372">
        <v>0.0</v>
      </c>
      <c r="Z14730" s="372">
        <v>0.0</v>
      </c>
    </row>
    <row r="14731">
      <c r="Y14731" s="372">
        <v>0.0</v>
      </c>
      <c r="Z14731" s="372">
        <v>0.0</v>
      </c>
    </row>
    <row r="14732">
      <c r="Y14732" s="372">
        <v>0.0</v>
      </c>
      <c r="Z14732" s="372">
        <v>0.0</v>
      </c>
    </row>
    <row r="14733">
      <c r="Y14733" s="372">
        <v>0.0</v>
      </c>
      <c r="Z14733" s="372">
        <v>0.0</v>
      </c>
    </row>
    <row r="14734">
      <c r="Y14734" s="372">
        <v>0.0</v>
      </c>
      <c r="Z14734" s="372">
        <v>0.0</v>
      </c>
    </row>
    <row r="14735">
      <c r="Y14735" s="372">
        <v>0.0</v>
      </c>
      <c r="Z14735" s="372">
        <v>0.0</v>
      </c>
    </row>
    <row r="14736">
      <c r="Y14736" s="372">
        <v>0.0</v>
      </c>
      <c r="Z14736" s="372">
        <v>0.0</v>
      </c>
    </row>
    <row r="14737">
      <c r="Y14737" s="372">
        <v>0.0</v>
      </c>
      <c r="Z14737" s="372">
        <v>0.0</v>
      </c>
    </row>
    <row r="14738">
      <c r="Y14738" s="372">
        <v>0.0</v>
      </c>
      <c r="Z14738" s="372">
        <v>0.0</v>
      </c>
    </row>
    <row r="14739">
      <c r="Y14739" s="372">
        <v>0.0</v>
      </c>
      <c r="Z14739" s="372">
        <v>0.0</v>
      </c>
    </row>
    <row r="14740">
      <c r="Y14740" s="372">
        <v>0.0</v>
      </c>
      <c r="Z14740" s="372">
        <v>0.0</v>
      </c>
    </row>
    <row r="14741">
      <c r="Y14741" s="372">
        <v>0.0</v>
      </c>
      <c r="Z14741" s="372">
        <v>0.0</v>
      </c>
    </row>
    <row r="14742">
      <c r="Y14742" s="372">
        <v>0.0</v>
      </c>
      <c r="Z14742" s="372">
        <v>0.0</v>
      </c>
    </row>
    <row r="14743">
      <c r="Y14743" s="372">
        <v>0.0</v>
      </c>
      <c r="Z14743" s="372">
        <v>0.0</v>
      </c>
    </row>
    <row r="14744">
      <c r="Y14744" s="372">
        <v>0.0</v>
      </c>
      <c r="Z14744" s="372">
        <v>0.0</v>
      </c>
    </row>
    <row r="14745">
      <c r="Y14745" s="372">
        <v>0.0</v>
      </c>
      <c r="Z14745" s="372">
        <v>0.0</v>
      </c>
    </row>
    <row r="14746">
      <c r="Y14746" s="372">
        <v>0.0</v>
      </c>
      <c r="Z14746" s="372">
        <v>0.0</v>
      </c>
    </row>
    <row r="14747">
      <c r="Y14747" s="372">
        <v>0.0</v>
      </c>
      <c r="Z14747" s="372">
        <v>0.0</v>
      </c>
    </row>
    <row r="14748">
      <c r="Y14748" s="372">
        <v>0.0</v>
      </c>
      <c r="Z14748" s="372">
        <v>0.0</v>
      </c>
    </row>
    <row r="14749">
      <c r="Y14749" s="372">
        <v>0.0</v>
      </c>
      <c r="Z14749" s="372">
        <v>0.0</v>
      </c>
    </row>
    <row r="14750">
      <c r="Y14750" s="372">
        <v>0.0</v>
      </c>
      <c r="Z14750" s="372">
        <v>0.0</v>
      </c>
    </row>
    <row r="14751">
      <c r="Y14751" s="372">
        <v>0.0</v>
      </c>
      <c r="Z14751" s="372">
        <v>0.0</v>
      </c>
    </row>
    <row r="14752">
      <c r="Y14752" s="372">
        <v>0.0</v>
      </c>
      <c r="Z14752" s="372">
        <v>0.0</v>
      </c>
    </row>
    <row r="14753">
      <c r="Y14753" s="372">
        <v>0.0</v>
      </c>
      <c r="Z14753" s="372">
        <v>0.0</v>
      </c>
    </row>
    <row r="14754">
      <c r="Y14754" s="372">
        <v>0.0</v>
      </c>
      <c r="Z14754" s="372">
        <v>0.0</v>
      </c>
    </row>
    <row r="14755">
      <c r="Y14755" s="372">
        <v>0.0</v>
      </c>
      <c r="Z14755" s="372">
        <v>0.0</v>
      </c>
    </row>
    <row r="14756">
      <c r="Y14756" s="372">
        <v>0.0</v>
      </c>
      <c r="Z14756" s="372">
        <v>0.0</v>
      </c>
    </row>
    <row r="14757">
      <c r="Y14757" s="372">
        <v>0.0</v>
      </c>
      <c r="Z14757" s="372">
        <v>0.0</v>
      </c>
    </row>
    <row r="14758">
      <c r="Y14758" s="372">
        <v>0.0</v>
      </c>
      <c r="Z14758" s="372">
        <v>0.0</v>
      </c>
    </row>
    <row r="14759">
      <c r="Y14759" s="372">
        <v>0.0</v>
      </c>
      <c r="Z14759" s="372">
        <v>0.0</v>
      </c>
    </row>
    <row r="14760">
      <c r="Y14760" s="372">
        <v>0.0</v>
      </c>
      <c r="Z14760" s="372">
        <v>0.0</v>
      </c>
    </row>
    <row r="14761">
      <c r="Y14761" s="372">
        <v>0.0</v>
      </c>
      <c r="Z14761" s="372">
        <v>0.0</v>
      </c>
    </row>
    <row r="14762">
      <c r="Y14762" s="372">
        <v>0.0</v>
      </c>
      <c r="Z14762" s="372">
        <v>0.0</v>
      </c>
    </row>
    <row r="14763">
      <c r="Y14763" s="372">
        <v>0.0</v>
      </c>
      <c r="Z14763" s="372">
        <v>0.0</v>
      </c>
    </row>
    <row r="14764">
      <c r="Y14764" s="372">
        <v>0.0</v>
      </c>
      <c r="Z14764" s="372">
        <v>0.0</v>
      </c>
    </row>
    <row r="14765">
      <c r="Y14765" s="372">
        <v>0.0</v>
      </c>
      <c r="Z14765" s="372">
        <v>0.0</v>
      </c>
    </row>
    <row r="14766">
      <c r="Y14766" s="372">
        <v>0.0</v>
      </c>
      <c r="Z14766" s="372">
        <v>0.0</v>
      </c>
    </row>
    <row r="14767">
      <c r="Y14767" s="372">
        <v>0.0</v>
      </c>
      <c r="Z14767" s="372">
        <v>0.0</v>
      </c>
    </row>
    <row r="14768">
      <c r="Y14768" s="372">
        <v>0.0</v>
      </c>
      <c r="Z14768" s="372">
        <v>0.0</v>
      </c>
    </row>
    <row r="14769">
      <c r="Y14769" s="372">
        <v>0.0</v>
      </c>
      <c r="Z14769" s="372">
        <v>0.0</v>
      </c>
    </row>
    <row r="14770">
      <c r="Y14770" s="372">
        <v>0.0</v>
      </c>
      <c r="Z14770" s="372">
        <v>0.0</v>
      </c>
    </row>
    <row r="14771">
      <c r="Y14771" s="372">
        <v>0.0</v>
      </c>
      <c r="Z14771" s="372">
        <v>0.0</v>
      </c>
    </row>
    <row r="14772">
      <c r="Y14772" s="372">
        <v>0.0</v>
      </c>
      <c r="Z14772" s="372">
        <v>0.0</v>
      </c>
    </row>
    <row r="14773">
      <c r="Y14773" s="372">
        <v>0.0</v>
      </c>
      <c r="Z14773" s="372">
        <v>0.0</v>
      </c>
    </row>
    <row r="14774">
      <c r="Y14774" s="372">
        <v>0.0</v>
      </c>
      <c r="Z14774" s="372">
        <v>0.0</v>
      </c>
    </row>
    <row r="14775">
      <c r="Y14775" s="372">
        <v>0.0</v>
      </c>
      <c r="Z14775" s="372">
        <v>0.0</v>
      </c>
    </row>
    <row r="14776">
      <c r="Y14776" s="372">
        <v>0.0</v>
      </c>
      <c r="Z14776" s="372">
        <v>0.0</v>
      </c>
    </row>
    <row r="14777">
      <c r="Y14777" s="372">
        <v>0.0</v>
      </c>
      <c r="Z14777" s="372">
        <v>0.0</v>
      </c>
    </row>
    <row r="14778">
      <c r="Y14778" s="372">
        <v>0.0</v>
      </c>
      <c r="Z14778" s="372">
        <v>0.0</v>
      </c>
    </row>
    <row r="14779">
      <c r="Y14779" s="372">
        <v>0.0</v>
      </c>
      <c r="Z14779" s="372">
        <v>0.0</v>
      </c>
    </row>
    <row r="14780">
      <c r="Y14780" s="372">
        <v>0.0</v>
      </c>
      <c r="Z14780" s="372">
        <v>0.0</v>
      </c>
    </row>
    <row r="14781">
      <c r="Y14781" s="372">
        <v>0.0</v>
      </c>
      <c r="Z14781" s="372">
        <v>0.0</v>
      </c>
    </row>
    <row r="14782">
      <c r="Y14782" s="372">
        <v>0.0</v>
      </c>
      <c r="Z14782" s="372">
        <v>0.0</v>
      </c>
    </row>
    <row r="14783">
      <c r="Y14783" s="372">
        <v>0.0</v>
      </c>
      <c r="Z14783" s="372">
        <v>0.0</v>
      </c>
    </row>
    <row r="14784">
      <c r="Y14784" s="372">
        <v>0.0</v>
      </c>
      <c r="Z14784" s="372">
        <v>0.0</v>
      </c>
    </row>
    <row r="14785">
      <c r="Y14785" s="372">
        <v>0.0</v>
      </c>
      <c r="Z14785" s="372">
        <v>0.0</v>
      </c>
    </row>
    <row r="14786">
      <c r="Y14786" s="372">
        <v>0.0</v>
      </c>
      <c r="Z14786" s="372">
        <v>0.0</v>
      </c>
    </row>
    <row r="14787">
      <c r="Y14787" s="372">
        <v>0.0</v>
      </c>
      <c r="Z14787" s="372">
        <v>0.0</v>
      </c>
    </row>
    <row r="14788">
      <c r="Y14788" s="372">
        <v>0.0</v>
      </c>
      <c r="Z14788" s="372">
        <v>0.0</v>
      </c>
    </row>
    <row r="14789">
      <c r="Y14789" s="372">
        <v>0.0</v>
      </c>
      <c r="Z14789" s="372">
        <v>0.0</v>
      </c>
    </row>
    <row r="14790">
      <c r="Y14790" s="372">
        <v>0.0</v>
      </c>
      <c r="Z14790" s="372">
        <v>0.0</v>
      </c>
    </row>
    <row r="14791">
      <c r="Y14791" s="372">
        <v>0.0</v>
      </c>
      <c r="Z14791" s="372">
        <v>0.0</v>
      </c>
    </row>
    <row r="14792">
      <c r="Y14792" s="372">
        <v>0.0</v>
      </c>
      <c r="Z14792" s="372">
        <v>0.0</v>
      </c>
    </row>
    <row r="14793">
      <c r="Y14793" s="372">
        <v>0.0</v>
      </c>
      <c r="Z14793" s="372">
        <v>0.0</v>
      </c>
    </row>
    <row r="14794">
      <c r="Y14794" s="372">
        <v>0.0</v>
      </c>
      <c r="Z14794" s="372">
        <v>0.0</v>
      </c>
    </row>
    <row r="14795">
      <c r="Y14795" s="372">
        <v>0.0</v>
      </c>
      <c r="Z14795" s="372">
        <v>0.0</v>
      </c>
    </row>
    <row r="14796">
      <c r="Y14796" s="372">
        <v>0.0</v>
      </c>
      <c r="Z14796" s="372">
        <v>0.0</v>
      </c>
    </row>
    <row r="14797">
      <c r="Y14797" s="372">
        <v>0.0</v>
      </c>
      <c r="Z14797" s="372">
        <v>0.0</v>
      </c>
    </row>
    <row r="14798">
      <c r="Y14798" s="372">
        <v>0.0</v>
      </c>
      <c r="Z14798" s="372">
        <v>0.0</v>
      </c>
    </row>
    <row r="14799">
      <c r="Y14799" s="372">
        <v>0.0</v>
      </c>
      <c r="Z14799" s="372">
        <v>0.0</v>
      </c>
    </row>
    <row r="14800">
      <c r="Y14800" s="372">
        <v>0.0</v>
      </c>
      <c r="Z14800" s="372">
        <v>0.0</v>
      </c>
    </row>
    <row r="14801">
      <c r="Y14801" s="372">
        <v>0.0</v>
      </c>
      <c r="Z14801" s="372">
        <v>0.0</v>
      </c>
    </row>
    <row r="14802">
      <c r="Y14802" s="372">
        <v>0.0</v>
      </c>
      <c r="Z14802" s="372">
        <v>0.0</v>
      </c>
    </row>
    <row r="14803">
      <c r="Y14803" s="372">
        <v>0.0</v>
      </c>
      <c r="Z14803" s="372">
        <v>0.0</v>
      </c>
    </row>
    <row r="14804">
      <c r="Y14804" s="372">
        <v>0.0</v>
      </c>
      <c r="Z14804" s="372">
        <v>0.0</v>
      </c>
    </row>
    <row r="14805">
      <c r="Y14805" s="372">
        <v>0.0</v>
      </c>
      <c r="Z14805" s="372">
        <v>0.0</v>
      </c>
    </row>
    <row r="14806">
      <c r="Y14806" s="372">
        <v>0.0</v>
      </c>
      <c r="Z14806" s="372">
        <v>0.0</v>
      </c>
    </row>
    <row r="14807">
      <c r="Y14807" s="372">
        <v>0.0</v>
      </c>
      <c r="Z14807" s="372">
        <v>0.0</v>
      </c>
    </row>
    <row r="14808">
      <c r="Y14808" s="372">
        <v>0.0</v>
      </c>
      <c r="Z14808" s="372">
        <v>0.0</v>
      </c>
    </row>
    <row r="14809">
      <c r="Y14809" s="372">
        <v>0.0</v>
      </c>
      <c r="Z14809" s="372">
        <v>0.0</v>
      </c>
    </row>
    <row r="14810">
      <c r="Y14810" s="372">
        <v>0.0</v>
      </c>
      <c r="Z14810" s="372">
        <v>0.0</v>
      </c>
    </row>
    <row r="14811">
      <c r="Y14811" s="372">
        <v>0.0</v>
      </c>
      <c r="Z14811" s="372">
        <v>0.0</v>
      </c>
    </row>
    <row r="14812">
      <c r="Y14812" s="372">
        <v>0.0</v>
      </c>
      <c r="Z14812" s="372">
        <v>0.0</v>
      </c>
    </row>
    <row r="14813">
      <c r="Y14813" s="372">
        <v>0.0</v>
      </c>
      <c r="Z14813" s="372">
        <v>0.0</v>
      </c>
    </row>
    <row r="14814">
      <c r="Y14814" s="372">
        <v>0.0</v>
      </c>
      <c r="Z14814" s="372">
        <v>0.0</v>
      </c>
    </row>
    <row r="14815">
      <c r="Y14815" s="372">
        <v>0.0</v>
      </c>
      <c r="Z14815" s="372">
        <v>0.0</v>
      </c>
    </row>
    <row r="14816">
      <c r="Y14816" s="372">
        <v>0.0</v>
      </c>
      <c r="Z14816" s="372">
        <v>0.0</v>
      </c>
    </row>
    <row r="14817">
      <c r="Y14817" s="372">
        <v>0.0</v>
      </c>
      <c r="Z14817" s="372">
        <v>0.0</v>
      </c>
    </row>
    <row r="14818">
      <c r="Y14818" s="372">
        <v>0.0</v>
      </c>
      <c r="Z14818" s="372">
        <v>0.0</v>
      </c>
    </row>
    <row r="14819">
      <c r="Y14819" s="372">
        <v>0.0</v>
      </c>
      <c r="Z14819" s="372">
        <v>0.0</v>
      </c>
    </row>
    <row r="14820">
      <c r="Y14820" s="372">
        <v>0.0</v>
      </c>
      <c r="Z14820" s="372">
        <v>0.0</v>
      </c>
    </row>
    <row r="14821">
      <c r="Y14821" s="372">
        <v>0.0</v>
      </c>
      <c r="Z14821" s="372">
        <v>0.0</v>
      </c>
    </row>
    <row r="14822">
      <c r="Y14822" s="372">
        <v>0.0</v>
      </c>
      <c r="Z14822" s="372">
        <v>0.0</v>
      </c>
    </row>
    <row r="14823">
      <c r="Y14823" s="372">
        <v>0.0</v>
      </c>
      <c r="Z14823" s="372">
        <v>0.0</v>
      </c>
    </row>
    <row r="14824">
      <c r="Y14824" s="372">
        <v>0.0</v>
      </c>
      <c r="Z14824" s="372">
        <v>0.0</v>
      </c>
    </row>
    <row r="14825">
      <c r="Y14825" s="372">
        <v>0.0</v>
      </c>
      <c r="Z14825" s="372">
        <v>0.0</v>
      </c>
    </row>
    <row r="14826">
      <c r="Y14826" s="372">
        <v>0.0</v>
      </c>
      <c r="Z14826" s="372">
        <v>0.0</v>
      </c>
    </row>
    <row r="14827">
      <c r="Y14827" s="372">
        <v>0.0</v>
      </c>
      <c r="Z14827" s="372">
        <v>0.0</v>
      </c>
    </row>
    <row r="14828">
      <c r="Y14828" s="372">
        <v>0.0</v>
      </c>
      <c r="Z14828" s="372">
        <v>0.0</v>
      </c>
    </row>
    <row r="14829">
      <c r="Y14829" s="372">
        <v>0.0</v>
      </c>
      <c r="Z14829" s="372">
        <v>0.0</v>
      </c>
    </row>
    <row r="14830">
      <c r="Y14830" s="372">
        <v>0.0</v>
      </c>
      <c r="Z14830" s="372">
        <v>0.0</v>
      </c>
    </row>
    <row r="14831">
      <c r="Y14831" s="372">
        <v>0.0</v>
      </c>
      <c r="Z14831" s="372">
        <v>0.0</v>
      </c>
    </row>
    <row r="14832">
      <c r="Y14832" s="372">
        <v>0.0</v>
      </c>
      <c r="Z14832" s="372">
        <v>0.0</v>
      </c>
    </row>
    <row r="14833">
      <c r="Y14833" s="372">
        <v>0.0</v>
      </c>
      <c r="Z14833" s="372">
        <v>0.0</v>
      </c>
    </row>
    <row r="14834">
      <c r="Y14834" s="372">
        <v>0.0</v>
      </c>
      <c r="Z14834" s="372">
        <v>0.0</v>
      </c>
    </row>
    <row r="14835">
      <c r="Y14835" s="372">
        <v>0.0</v>
      </c>
      <c r="Z14835" s="372">
        <v>0.0</v>
      </c>
    </row>
    <row r="14836">
      <c r="Y14836" s="372">
        <v>0.0</v>
      </c>
      <c r="Z14836" s="372">
        <v>0.0</v>
      </c>
    </row>
    <row r="14837">
      <c r="Y14837" s="372">
        <v>0.0</v>
      </c>
      <c r="Z14837" s="372">
        <v>0.0</v>
      </c>
    </row>
    <row r="14838">
      <c r="Y14838" s="372">
        <v>0.0</v>
      </c>
      <c r="Z14838" s="372">
        <v>0.0</v>
      </c>
    </row>
    <row r="14839">
      <c r="Y14839" s="372">
        <v>0.0</v>
      </c>
      <c r="Z14839" s="372">
        <v>0.0</v>
      </c>
    </row>
    <row r="14840">
      <c r="Y14840" s="372">
        <v>0.0</v>
      </c>
      <c r="Z14840" s="372">
        <v>0.0</v>
      </c>
    </row>
    <row r="14841">
      <c r="Y14841" s="372">
        <v>0.0</v>
      </c>
      <c r="Z14841" s="372">
        <v>0.0</v>
      </c>
    </row>
    <row r="14842">
      <c r="Y14842" s="372">
        <v>0.0</v>
      </c>
      <c r="Z14842" s="372">
        <v>0.0</v>
      </c>
    </row>
    <row r="14843">
      <c r="Y14843" s="372">
        <v>0.0</v>
      </c>
      <c r="Z14843" s="372">
        <v>0.0</v>
      </c>
    </row>
    <row r="14844">
      <c r="Y14844" s="372">
        <v>0.0</v>
      </c>
      <c r="Z14844" s="372">
        <v>0.0</v>
      </c>
    </row>
    <row r="14845">
      <c r="Y14845" s="372">
        <v>0.0</v>
      </c>
      <c r="Z14845" s="372">
        <v>0.0</v>
      </c>
    </row>
    <row r="14846">
      <c r="Y14846" s="372">
        <v>0.0</v>
      </c>
      <c r="Z14846" s="372">
        <v>0.0</v>
      </c>
    </row>
    <row r="14847">
      <c r="Y14847" s="372">
        <v>0.0</v>
      </c>
      <c r="Z14847" s="372">
        <v>0.0</v>
      </c>
    </row>
    <row r="14848">
      <c r="Y14848" s="372">
        <v>0.0</v>
      </c>
      <c r="Z14848" s="372">
        <v>0.0</v>
      </c>
    </row>
    <row r="14849">
      <c r="Y14849" s="372">
        <v>0.0</v>
      </c>
      <c r="Z14849" s="372">
        <v>0.0</v>
      </c>
    </row>
    <row r="14850">
      <c r="Y14850" s="372">
        <v>0.0</v>
      </c>
      <c r="Z14850" s="372">
        <v>0.0</v>
      </c>
    </row>
    <row r="14851">
      <c r="Y14851" s="372">
        <v>0.0</v>
      </c>
      <c r="Z14851" s="372">
        <v>0.0</v>
      </c>
    </row>
    <row r="14852">
      <c r="Y14852" s="372">
        <v>0.0</v>
      </c>
      <c r="Z14852" s="372">
        <v>0.0</v>
      </c>
    </row>
    <row r="14853">
      <c r="Y14853" s="372">
        <v>0.0</v>
      </c>
      <c r="Z14853" s="372">
        <v>0.0</v>
      </c>
    </row>
    <row r="14854">
      <c r="Y14854" s="372">
        <v>0.0</v>
      </c>
      <c r="Z14854" s="372">
        <v>0.0</v>
      </c>
    </row>
    <row r="14855">
      <c r="Y14855" s="372">
        <v>0.0</v>
      </c>
      <c r="Z14855" s="372">
        <v>0.0</v>
      </c>
    </row>
    <row r="14856">
      <c r="Y14856" s="372">
        <v>0.0</v>
      </c>
      <c r="Z14856" s="372">
        <v>0.0</v>
      </c>
    </row>
    <row r="14857">
      <c r="Y14857" s="372">
        <v>0.0</v>
      </c>
      <c r="Z14857" s="372">
        <v>0.0</v>
      </c>
    </row>
    <row r="14858">
      <c r="Y14858" s="372">
        <v>0.0</v>
      </c>
      <c r="Z14858" s="372">
        <v>0.0</v>
      </c>
    </row>
    <row r="14859">
      <c r="Y14859" s="372">
        <v>0.0</v>
      </c>
      <c r="Z14859" s="372">
        <v>0.0</v>
      </c>
    </row>
    <row r="14860">
      <c r="Y14860" s="372">
        <v>0.0</v>
      </c>
      <c r="Z14860" s="372">
        <v>0.0</v>
      </c>
    </row>
    <row r="14861">
      <c r="Y14861" s="372">
        <v>0.0</v>
      </c>
      <c r="Z14861" s="372">
        <v>0.0</v>
      </c>
    </row>
    <row r="14862">
      <c r="Y14862" s="372">
        <v>0.0</v>
      </c>
      <c r="Z14862" s="372">
        <v>0.0</v>
      </c>
    </row>
    <row r="14863">
      <c r="Y14863" s="372">
        <v>0.0</v>
      </c>
      <c r="Z14863" s="372">
        <v>0.0</v>
      </c>
    </row>
    <row r="14864">
      <c r="Y14864" s="372">
        <v>0.0</v>
      </c>
      <c r="Z14864" s="372">
        <v>0.0</v>
      </c>
    </row>
    <row r="14865">
      <c r="Y14865" s="372">
        <v>0.0</v>
      </c>
      <c r="Z14865" s="372">
        <v>0.0</v>
      </c>
    </row>
    <row r="14866">
      <c r="Y14866" s="372">
        <v>0.0</v>
      </c>
      <c r="Z14866" s="372">
        <v>0.0</v>
      </c>
    </row>
    <row r="14867">
      <c r="Y14867" s="372">
        <v>0.0</v>
      </c>
      <c r="Z14867" s="372">
        <v>0.0</v>
      </c>
    </row>
    <row r="14868">
      <c r="Y14868" s="372">
        <v>0.0</v>
      </c>
      <c r="Z14868" s="372">
        <v>0.0</v>
      </c>
    </row>
    <row r="14869">
      <c r="Y14869" s="372">
        <v>0.0</v>
      </c>
      <c r="Z14869" s="372">
        <v>0.0</v>
      </c>
    </row>
    <row r="14870">
      <c r="Y14870" s="372">
        <v>0.0</v>
      </c>
      <c r="Z14870" s="372">
        <v>0.0</v>
      </c>
    </row>
    <row r="14871">
      <c r="Y14871" s="372">
        <v>0.0</v>
      </c>
      <c r="Z14871" s="372">
        <v>0.0</v>
      </c>
    </row>
    <row r="14872">
      <c r="Y14872" s="372">
        <v>0.0</v>
      </c>
      <c r="Z14872" s="372">
        <v>0.0</v>
      </c>
    </row>
    <row r="14873">
      <c r="Y14873" s="372">
        <v>0.0</v>
      </c>
      <c r="Z14873" s="372">
        <v>0.0</v>
      </c>
    </row>
    <row r="14874">
      <c r="Y14874" s="372">
        <v>0.0</v>
      </c>
      <c r="Z14874" s="372">
        <v>0.0</v>
      </c>
    </row>
    <row r="14875">
      <c r="Y14875" s="372">
        <v>0.0</v>
      </c>
      <c r="Z14875" s="372">
        <v>0.0</v>
      </c>
    </row>
    <row r="14876">
      <c r="Y14876" s="372">
        <v>0.0</v>
      </c>
      <c r="Z14876" s="372">
        <v>0.0</v>
      </c>
    </row>
    <row r="14877">
      <c r="Y14877" s="372">
        <v>0.0</v>
      </c>
      <c r="Z14877" s="372">
        <v>0.0</v>
      </c>
    </row>
    <row r="14878">
      <c r="Y14878" s="372">
        <v>0.0</v>
      </c>
      <c r="Z14878" s="372">
        <v>0.0</v>
      </c>
    </row>
    <row r="14879">
      <c r="Y14879" s="372">
        <v>0.0</v>
      </c>
      <c r="Z14879" s="372">
        <v>0.0</v>
      </c>
    </row>
    <row r="14880">
      <c r="Y14880" s="372">
        <v>0.0</v>
      </c>
      <c r="Z14880" s="372">
        <v>0.0</v>
      </c>
    </row>
    <row r="14881">
      <c r="Y14881" s="372">
        <v>0.0</v>
      </c>
      <c r="Z14881" s="372">
        <v>0.0</v>
      </c>
    </row>
    <row r="14882">
      <c r="Y14882" s="372">
        <v>0.0</v>
      </c>
      <c r="Z14882" s="372">
        <v>0.0</v>
      </c>
    </row>
    <row r="14883">
      <c r="Y14883" s="372">
        <v>0.0</v>
      </c>
      <c r="Z14883" s="372">
        <v>0.0</v>
      </c>
    </row>
    <row r="14884">
      <c r="Y14884" s="372">
        <v>0.0</v>
      </c>
      <c r="Z14884" s="372">
        <v>0.0</v>
      </c>
    </row>
    <row r="14885">
      <c r="Y14885" s="372">
        <v>0.0</v>
      </c>
      <c r="Z14885" s="372">
        <v>0.0</v>
      </c>
    </row>
    <row r="14886">
      <c r="Y14886" s="372">
        <v>0.0</v>
      </c>
      <c r="Z14886" s="372">
        <v>0.0</v>
      </c>
    </row>
    <row r="14887">
      <c r="Y14887" s="372">
        <v>0.0</v>
      </c>
      <c r="Z14887" s="372">
        <v>0.0</v>
      </c>
    </row>
    <row r="14888">
      <c r="Y14888" s="372">
        <v>0.0</v>
      </c>
      <c r="Z14888" s="372">
        <v>0.0</v>
      </c>
    </row>
    <row r="14889">
      <c r="Y14889" s="372">
        <v>0.0</v>
      </c>
      <c r="Z14889" s="372">
        <v>0.0</v>
      </c>
    </row>
    <row r="14890">
      <c r="Y14890" s="372">
        <v>0.0</v>
      </c>
      <c r="Z14890" s="372">
        <v>0.0</v>
      </c>
    </row>
    <row r="14891">
      <c r="Y14891" s="372">
        <v>0.0</v>
      </c>
      <c r="Z14891" s="372">
        <v>0.0</v>
      </c>
    </row>
    <row r="14892">
      <c r="Y14892" s="372">
        <v>0.0</v>
      </c>
      <c r="Z14892" s="372">
        <v>0.0</v>
      </c>
    </row>
    <row r="14893">
      <c r="Y14893" s="372">
        <v>0.0</v>
      </c>
      <c r="Z14893" s="372">
        <v>0.0</v>
      </c>
    </row>
    <row r="14894">
      <c r="Y14894" s="372">
        <v>0.0</v>
      </c>
      <c r="Z14894" s="372">
        <v>0.0</v>
      </c>
    </row>
    <row r="14895">
      <c r="Y14895" s="372">
        <v>0.0</v>
      </c>
      <c r="Z14895" s="372">
        <v>0.0</v>
      </c>
    </row>
    <row r="14896">
      <c r="Y14896" s="372">
        <v>0.0</v>
      </c>
      <c r="Z14896" s="372">
        <v>0.0</v>
      </c>
    </row>
    <row r="14897">
      <c r="Y14897" s="372">
        <v>0.0</v>
      </c>
      <c r="Z14897" s="372">
        <v>0.0</v>
      </c>
    </row>
    <row r="14898">
      <c r="Y14898" s="372">
        <v>0.0</v>
      </c>
      <c r="Z14898" s="372">
        <v>0.0</v>
      </c>
    </row>
    <row r="14899">
      <c r="Y14899" s="372">
        <v>0.0</v>
      </c>
      <c r="Z14899" s="372">
        <v>0.0</v>
      </c>
    </row>
    <row r="14900">
      <c r="Y14900" s="372">
        <v>0.0</v>
      </c>
      <c r="Z14900" s="372">
        <v>0.0</v>
      </c>
    </row>
    <row r="14901">
      <c r="Y14901" s="372">
        <v>0.0</v>
      </c>
      <c r="Z14901" s="372">
        <v>0.0</v>
      </c>
    </row>
    <row r="14902">
      <c r="Y14902" s="372">
        <v>0.0</v>
      </c>
      <c r="Z14902" s="372">
        <v>0.0</v>
      </c>
    </row>
    <row r="14903">
      <c r="Y14903" s="372">
        <v>0.0</v>
      </c>
      <c r="Z14903" s="372">
        <v>0.0</v>
      </c>
    </row>
    <row r="14904">
      <c r="Y14904" s="372">
        <v>0.0</v>
      </c>
      <c r="Z14904" s="372">
        <v>0.0</v>
      </c>
    </row>
    <row r="14905">
      <c r="Y14905" s="372">
        <v>0.0</v>
      </c>
      <c r="Z14905" s="372">
        <v>0.0</v>
      </c>
    </row>
    <row r="14906">
      <c r="Y14906" s="372">
        <v>0.0</v>
      </c>
      <c r="Z14906" s="372">
        <v>0.0</v>
      </c>
    </row>
    <row r="14907">
      <c r="Y14907" s="372">
        <v>0.0</v>
      </c>
      <c r="Z14907" s="372">
        <v>0.0</v>
      </c>
    </row>
    <row r="14908">
      <c r="Y14908" s="372">
        <v>0.0</v>
      </c>
      <c r="Z14908" s="372">
        <v>0.0</v>
      </c>
    </row>
    <row r="14909">
      <c r="Y14909" s="372">
        <v>0.0</v>
      </c>
      <c r="Z14909" s="372">
        <v>0.0</v>
      </c>
    </row>
    <row r="14910">
      <c r="Y14910" s="372">
        <v>0.0</v>
      </c>
      <c r="Z14910" s="372">
        <v>0.0</v>
      </c>
    </row>
    <row r="14911">
      <c r="Y14911" s="372">
        <v>0.0</v>
      </c>
      <c r="Z14911" s="372">
        <v>0.0</v>
      </c>
    </row>
    <row r="14912">
      <c r="Y14912" s="372">
        <v>0.0</v>
      </c>
      <c r="Z14912" s="372">
        <v>0.0</v>
      </c>
    </row>
    <row r="14913">
      <c r="Y14913" s="372">
        <v>0.0</v>
      </c>
      <c r="Z14913" s="372">
        <v>0.0</v>
      </c>
    </row>
    <row r="14914">
      <c r="Y14914" s="372">
        <v>0.0</v>
      </c>
      <c r="Z14914" s="372">
        <v>0.0</v>
      </c>
    </row>
    <row r="14915">
      <c r="Y14915" s="372">
        <v>0.0</v>
      </c>
      <c r="Z14915" s="372">
        <v>0.0</v>
      </c>
    </row>
    <row r="14916">
      <c r="Y14916" s="372">
        <v>0.0</v>
      </c>
      <c r="Z14916" s="372">
        <v>0.0</v>
      </c>
    </row>
    <row r="14917">
      <c r="Y14917" s="372">
        <v>0.0</v>
      </c>
      <c r="Z14917" s="372">
        <v>0.0</v>
      </c>
    </row>
    <row r="14918">
      <c r="Y14918" s="372">
        <v>0.0</v>
      </c>
      <c r="Z14918" s="372">
        <v>0.0</v>
      </c>
    </row>
    <row r="14919">
      <c r="Y14919" s="372">
        <v>0.0</v>
      </c>
      <c r="Z14919" s="372">
        <v>0.0</v>
      </c>
    </row>
    <row r="14920">
      <c r="Y14920" s="372">
        <v>0.0</v>
      </c>
      <c r="Z14920" s="372">
        <v>0.0</v>
      </c>
    </row>
    <row r="14921">
      <c r="Y14921" s="372">
        <v>0.0</v>
      </c>
      <c r="Z14921" s="372">
        <v>0.0</v>
      </c>
    </row>
    <row r="14922">
      <c r="Y14922" s="372">
        <v>0.0</v>
      </c>
      <c r="Z14922" s="372">
        <v>0.0</v>
      </c>
    </row>
    <row r="14923">
      <c r="Y14923" s="372">
        <v>0.0</v>
      </c>
      <c r="Z14923" s="372">
        <v>0.0</v>
      </c>
    </row>
    <row r="14924">
      <c r="Y14924" s="372">
        <v>0.0</v>
      </c>
      <c r="Z14924" s="372">
        <v>0.0</v>
      </c>
    </row>
    <row r="14925">
      <c r="Y14925" s="372">
        <v>0.0</v>
      </c>
      <c r="Z14925" s="372">
        <v>0.0</v>
      </c>
    </row>
    <row r="14926">
      <c r="Y14926" s="372">
        <v>0.0</v>
      </c>
      <c r="Z14926" s="372">
        <v>0.0</v>
      </c>
    </row>
    <row r="14927">
      <c r="Y14927" s="372">
        <v>0.0</v>
      </c>
      <c r="Z14927" s="372">
        <v>0.0</v>
      </c>
    </row>
    <row r="14928">
      <c r="Y14928" s="372">
        <v>0.0</v>
      </c>
      <c r="Z14928" s="372">
        <v>0.0</v>
      </c>
    </row>
    <row r="14929">
      <c r="Y14929" s="372">
        <v>0.0</v>
      </c>
      <c r="Z14929" s="372">
        <v>0.0</v>
      </c>
    </row>
    <row r="14930">
      <c r="Y14930" s="372">
        <v>0.0</v>
      </c>
      <c r="Z14930" s="372">
        <v>0.0</v>
      </c>
    </row>
    <row r="14931">
      <c r="Y14931" s="372">
        <v>0.0</v>
      </c>
      <c r="Z14931" s="372">
        <v>0.0</v>
      </c>
    </row>
    <row r="14932">
      <c r="Y14932" s="372">
        <v>0.0</v>
      </c>
      <c r="Z14932" s="372">
        <v>0.0</v>
      </c>
    </row>
    <row r="14933">
      <c r="Y14933" s="372">
        <v>0.0</v>
      </c>
      <c r="Z14933" s="372">
        <v>0.0</v>
      </c>
    </row>
    <row r="14934">
      <c r="Y14934" s="372">
        <v>0.0</v>
      </c>
      <c r="Z14934" s="372">
        <v>0.0</v>
      </c>
    </row>
    <row r="14935">
      <c r="Y14935" s="372">
        <v>0.0</v>
      </c>
      <c r="Z14935" s="372">
        <v>0.0</v>
      </c>
    </row>
    <row r="14936">
      <c r="Y14936" s="372">
        <v>0.0</v>
      </c>
      <c r="Z14936" s="372">
        <v>0.0</v>
      </c>
    </row>
    <row r="14937">
      <c r="Y14937" s="372">
        <v>0.0</v>
      </c>
      <c r="Z14937" s="372">
        <v>0.0</v>
      </c>
    </row>
    <row r="14938">
      <c r="Y14938" s="372">
        <v>0.0</v>
      </c>
      <c r="Z14938" s="372">
        <v>0.0</v>
      </c>
    </row>
    <row r="14939">
      <c r="Y14939" s="372">
        <v>0.0</v>
      </c>
      <c r="Z14939" s="372">
        <v>0.0</v>
      </c>
    </row>
    <row r="14940">
      <c r="Y14940" s="372">
        <v>0.0</v>
      </c>
      <c r="Z14940" s="372">
        <v>0.0</v>
      </c>
    </row>
    <row r="14941">
      <c r="Y14941" s="372">
        <v>0.0</v>
      </c>
      <c r="Z14941" s="372">
        <v>0.0</v>
      </c>
    </row>
    <row r="14942">
      <c r="Y14942" s="372">
        <v>0.0</v>
      </c>
      <c r="Z14942" s="372">
        <v>0.0</v>
      </c>
    </row>
    <row r="14943">
      <c r="Y14943" s="372">
        <v>0.0</v>
      </c>
      <c r="Z14943" s="372">
        <v>0.0</v>
      </c>
    </row>
    <row r="14944">
      <c r="Y14944" s="372">
        <v>0.0</v>
      </c>
      <c r="Z14944" s="372">
        <v>0.0</v>
      </c>
    </row>
    <row r="14945">
      <c r="Y14945" s="372">
        <v>0.0</v>
      </c>
      <c r="Z14945" s="372">
        <v>0.0</v>
      </c>
    </row>
    <row r="14946">
      <c r="Y14946" s="372">
        <v>0.0</v>
      </c>
      <c r="Z14946" s="372">
        <v>0.0</v>
      </c>
    </row>
    <row r="14947">
      <c r="Y14947" s="372">
        <v>0.0</v>
      </c>
      <c r="Z14947" s="372">
        <v>0.0</v>
      </c>
    </row>
    <row r="14948">
      <c r="Y14948" s="372">
        <v>0.0</v>
      </c>
      <c r="Z14948" s="372">
        <v>0.0</v>
      </c>
    </row>
    <row r="14949">
      <c r="Y14949" s="372">
        <v>0.0</v>
      </c>
      <c r="Z14949" s="372">
        <v>0.0</v>
      </c>
    </row>
    <row r="14950">
      <c r="Y14950" s="372">
        <v>0.0</v>
      </c>
      <c r="Z14950" s="372">
        <v>0.0</v>
      </c>
    </row>
    <row r="14951">
      <c r="Y14951" s="372">
        <v>0.0</v>
      </c>
      <c r="Z14951" s="372">
        <v>0.0</v>
      </c>
    </row>
    <row r="14952">
      <c r="Y14952" s="372">
        <v>0.0</v>
      </c>
      <c r="Z14952" s="372">
        <v>0.0</v>
      </c>
    </row>
    <row r="14953">
      <c r="Y14953" s="372">
        <v>0.0</v>
      </c>
      <c r="Z14953" s="372">
        <v>0.0</v>
      </c>
    </row>
    <row r="14954">
      <c r="Y14954" s="372">
        <v>0.0</v>
      </c>
      <c r="Z14954" s="372">
        <v>0.0</v>
      </c>
    </row>
    <row r="14955">
      <c r="Y14955" s="372">
        <v>0.0</v>
      </c>
      <c r="Z14955" s="372">
        <v>0.0</v>
      </c>
    </row>
    <row r="14956">
      <c r="Y14956" s="372">
        <v>0.0</v>
      </c>
      <c r="Z14956" s="372">
        <v>0.0</v>
      </c>
    </row>
    <row r="14957">
      <c r="Y14957" s="372">
        <v>0.0</v>
      </c>
      <c r="Z14957" s="372">
        <v>0.0</v>
      </c>
    </row>
    <row r="14958">
      <c r="Y14958" s="372">
        <v>0.0</v>
      </c>
      <c r="Z14958" s="372">
        <v>0.0</v>
      </c>
    </row>
    <row r="14959">
      <c r="Y14959" s="372">
        <v>0.0</v>
      </c>
      <c r="Z14959" s="372">
        <v>0.0</v>
      </c>
    </row>
    <row r="14960">
      <c r="Y14960" s="372">
        <v>0.0</v>
      </c>
      <c r="Z14960" s="372">
        <v>0.0</v>
      </c>
    </row>
    <row r="14961">
      <c r="Y14961" s="372">
        <v>0.0</v>
      </c>
      <c r="Z14961" s="372">
        <v>0.0</v>
      </c>
    </row>
    <row r="14962">
      <c r="Y14962" s="372">
        <v>0.0</v>
      </c>
      <c r="Z14962" s="372">
        <v>0.0</v>
      </c>
    </row>
    <row r="14963">
      <c r="Y14963" s="372">
        <v>0.0</v>
      </c>
      <c r="Z14963" s="372">
        <v>0.0</v>
      </c>
    </row>
    <row r="14964">
      <c r="Y14964" s="372">
        <v>0.0</v>
      </c>
      <c r="Z14964" s="372">
        <v>0.0</v>
      </c>
    </row>
    <row r="14965">
      <c r="Y14965" s="372">
        <v>0.0</v>
      </c>
      <c r="Z14965" s="372">
        <v>0.0</v>
      </c>
    </row>
    <row r="14966">
      <c r="Y14966" s="372">
        <v>0.0</v>
      </c>
      <c r="Z14966" s="372">
        <v>0.0</v>
      </c>
    </row>
    <row r="14967">
      <c r="Y14967" s="372">
        <v>0.0</v>
      </c>
      <c r="Z14967" s="372">
        <v>0.0</v>
      </c>
    </row>
    <row r="14968">
      <c r="Y14968" s="372">
        <v>0.0</v>
      </c>
      <c r="Z14968" s="372">
        <v>0.0</v>
      </c>
    </row>
    <row r="14969">
      <c r="Y14969" s="372">
        <v>0.0</v>
      </c>
      <c r="Z14969" s="372">
        <v>0.0</v>
      </c>
    </row>
    <row r="14970">
      <c r="Y14970" s="372">
        <v>0.0</v>
      </c>
      <c r="Z14970" s="372">
        <v>0.0</v>
      </c>
    </row>
    <row r="14971">
      <c r="Y14971" s="372">
        <v>0.0</v>
      </c>
      <c r="Z14971" s="372">
        <v>0.0</v>
      </c>
    </row>
    <row r="14972">
      <c r="Y14972" s="372">
        <v>0.0</v>
      </c>
      <c r="Z14972" s="372">
        <v>0.0</v>
      </c>
    </row>
    <row r="14973">
      <c r="Y14973" s="372">
        <v>0.0</v>
      </c>
      <c r="Z14973" s="372">
        <v>0.0</v>
      </c>
    </row>
    <row r="14974">
      <c r="Y14974" s="372">
        <v>0.0</v>
      </c>
      <c r="Z14974" s="372">
        <v>0.0</v>
      </c>
    </row>
    <row r="14975">
      <c r="Y14975" s="372">
        <v>0.0</v>
      </c>
      <c r="Z14975" s="372">
        <v>0.0</v>
      </c>
    </row>
    <row r="14976">
      <c r="Y14976" s="372">
        <v>0.0</v>
      </c>
      <c r="Z14976" s="372">
        <v>0.0</v>
      </c>
    </row>
    <row r="14977">
      <c r="Y14977" s="372">
        <v>0.0</v>
      </c>
      <c r="Z14977" s="372">
        <v>0.0</v>
      </c>
    </row>
    <row r="14978">
      <c r="Y14978" s="372">
        <v>0.0</v>
      </c>
      <c r="Z14978" s="372">
        <v>0.0</v>
      </c>
    </row>
    <row r="14979">
      <c r="Y14979" s="372">
        <v>0.0</v>
      </c>
      <c r="Z14979" s="372">
        <v>0.0</v>
      </c>
    </row>
    <row r="14980">
      <c r="Y14980" s="372">
        <v>0.0</v>
      </c>
      <c r="Z14980" s="372">
        <v>0.0</v>
      </c>
    </row>
    <row r="14981">
      <c r="Y14981" s="372">
        <v>0.0</v>
      </c>
      <c r="Z14981" s="372">
        <v>0.0</v>
      </c>
    </row>
    <row r="14982">
      <c r="Y14982" s="372">
        <v>0.0</v>
      </c>
      <c r="Z14982" s="372">
        <v>0.0</v>
      </c>
    </row>
    <row r="14983">
      <c r="Y14983" s="372">
        <v>0.0</v>
      </c>
      <c r="Z14983" s="372">
        <v>0.0</v>
      </c>
    </row>
    <row r="14984">
      <c r="Y14984" s="372">
        <v>0.0</v>
      </c>
      <c r="Z14984" s="372">
        <v>0.0</v>
      </c>
    </row>
    <row r="14985">
      <c r="Y14985" s="372">
        <v>0.0</v>
      </c>
      <c r="Z14985" s="372">
        <v>0.0</v>
      </c>
    </row>
    <row r="14986">
      <c r="Y14986" s="372">
        <v>0.0</v>
      </c>
      <c r="Z14986" s="372">
        <v>0.0</v>
      </c>
    </row>
    <row r="14987">
      <c r="Y14987" s="372">
        <v>0.0</v>
      </c>
      <c r="Z14987" s="372">
        <v>0.0</v>
      </c>
    </row>
    <row r="14988">
      <c r="Y14988" s="372">
        <v>0.0</v>
      </c>
      <c r="Z14988" s="372">
        <v>0.0</v>
      </c>
    </row>
    <row r="14989">
      <c r="Y14989" s="372">
        <v>0.0</v>
      </c>
      <c r="Z14989" s="372">
        <v>0.0</v>
      </c>
    </row>
    <row r="14990">
      <c r="Y14990" s="372">
        <v>0.0</v>
      </c>
      <c r="Z14990" s="372">
        <v>0.0</v>
      </c>
    </row>
    <row r="14991">
      <c r="Y14991" s="372">
        <v>0.0</v>
      </c>
      <c r="Z14991" s="372">
        <v>0.0</v>
      </c>
    </row>
    <row r="14992">
      <c r="Y14992" s="372">
        <v>0.0</v>
      </c>
      <c r="Z14992" s="372">
        <v>0.0</v>
      </c>
    </row>
    <row r="14993">
      <c r="Y14993" s="372">
        <v>0.0</v>
      </c>
      <c r="Z14993" s="372">
        <v>0.0</v>
      </c>
    </row>
    <row r="14994">
      <c r="Y14994" s="372">
        <v>0.0</v>
      </c>
      <c r="Z14994" s="372">
        <v>0.0</v>
      </c>
    </row>
    <row r="14995">
      <c r="Y14995" s="372">
        <v>0.0</v>
      </c>
      <c r="Z14995" s="372">
        <v>0.0</v>
      </c>
    </row>
    <row r="14996">
      <c r="Y14996" s="372">
        <v>0.0</v>
      </c>
      <c r="Z14996" s="372">
        <v>0.0</v>
      </c>
    </row>
    <row r="14997">
      <c r="Y14997" s="372">
        <v>0.0</v>
      </c>
      <c r="Z14997" s="372">
        <v>0.0</v>
      </c>
    </row>
    <row r="14998">
      <c r="Y14998" s="372">
        <v>0.0</v>
      </c>
      <c r="Z14998" s="372">
        <v>0.0</v>
      </c>
    </row>
    <row r="14999">
      <c r="Y14999" s="372">
        <v>0.0</v>
      </c>
      <c r="Z14999" s="372">
        <v>0.0</v>
      </c>
    </row>
    <row r="15000">
      <c r="Y15000" s="372">
        <v>0.0</v>
      </c>
      <c r="Z15000" s="372">
        <v>0.0</v>
      </c>
    </row>
    <row r="15001">
      <c r="Y15001" s="372">
        <v>0.0</v>
      </c>
      <c r="Z15001" s="372">
        <v>0.0</v>
      </c>
    </row>
    <row r="15002">
      <c r="Y15002" s="372">
        <v>0.0</v>
      </c>
      <c r="Z15002" s="372">
        <v>0.0</v>
      </c>
    </row>
    <row r="15003">
      <c r="Y15003" s="372">
        <v>0.0</v>
      </c>
      <c r="Z15003" s="372">
        <v>0.0</v>
      </c>
    </row>
    <row r="15004">
      <c r="Y15004" s="372">
        <v>0.0</v>
      </c>
      <c r="Z15004" s="372">
        <v>0.0</v>
      </c>
    </row>
    <row r="15005">
      <c r="Y15005" s="372">
        <v>0.0</v>
      </c>
      <c r="Z15005" s="372">
        <v>0.0</v>
      </c>
    </row>
    <row r="15006">
      <c r="Y15006" s="372">
        <v>0.0</v>
      </c>
      <c r="Z15006" s="372">
        <v>0.0</v>
      </c>
    </row>
    <row r="15007">
      <c r="Y15007" s="372">
        <v>0.0</v>
      </c>
      <c r="Z15007" s="372">
        <v>0.0</v>
      </c>
    </row>
    <row r="15008">
      <c r="Y15008" s="372">
        <v>0.0</v>
      </c>
      <c r="Z15008" s="372">
        <v>0.0</v>
      </c>
    </row>
    <row r="15009">
      <c r="Y15009" s="372">
        <v>0.0</v>
      </c>
      <c r="Z15009" s="372">
        <v>0.0</v>
      </c>
    </row>
    <row r="15010">
      <c r="Y15010" s="372">
        <v>0.0</v>
      </c>
      <c r="Z15010" s="372">
        <v>0.0</v>
      </c>
    </row>
    <row r="15011">
      <c r="Y15011" s="372">
        <v>0.0</v>
      </c>
      <c r="Z15011" s="372">
        <v>0.0</v>
      </c>
    </row>
    <row r="15012">
      <c r="Y15012" s="372">
        <v>0.0</v>
      </c>
      <c r="Z15012" s="372">
        <v>0.0</v>
      </c>
    </row>
    <row r="15013">
      <c r="Y15013" s="372">
        <v>0.0</v>
      </c>
      <c r="Z15013" s="372">
        <v>0.0</v>
      </c>
    </row>
    <row r="15014">
      <c r="Y15014" s="372">
        <v>0.0</v>
      </c>
      <c r="Z15014" s="372">
        <v>0.0</v>
      </c>
    </row>
    <row r="15015">
      <c r="Y15015" s="372">
        <v>0.0</v>
      </c>
      <c r="Z15015" s="372">
        <v>0.0</v>
      </c>
    </row>
    <row r="15016">
      <c r="Y15016" s="372">
        <v>0.0</v>
      </c>
      <c r="Z15016" s="372">
        <v>0.0</v>
      </c>
    </row>
    <row r="15017">
      <c r="Y15017" s="372">
        <v>0.0</v>
      </c>
      <c r="Z15017" s="372">
        <v>0.0</v>
      </c>
    </row>
    <row r="15018">
      <c r="Y15018" s="372">
        <v>0.0</v>
      </c>
      <c r="Z15018" s="372">
        <v>0.0</v>
      </c>
    </row>
    <row r="15019">
      <c r="Y15019" s="372">
        <v>0.0</v>
      </c>
      <c r="Z15019" s="372">
        <v>0.0</v>
      </c>
    </row>
    <row r="15020">
      <c r="Y15020" s="372">
        <v>0.0</v>
      </c>
      <c r="Z15020" s="372">
        <v>0.0</v>
      </c>
    </row>
    <row r="15021">
      <c r="Y15021" s="372">
        <v>0.0</v>
      </c>
      <c r="Z15021" s="372">
        <v>0.0</v>
      </c>
    </row>
    <row r="15022">
      <c r="Y15022" s="372">
        <v>0.0</v>
      </c>
      <c r="Z15022" s="372">
        <v>0.0</v>
      </c>
    </row>
    <row r="15023">
      <c r="Y15023" s="372">
        <v>0.0</v>
      </c>
      <c r="Z15023" s="372">
        <v>0.0</v>
      </c>
    </row>
    <row r="15024">
      <c r="Y15024" s="372">
        <v>0.0</v>
      </c>
      <c r="Z15024" s="372">
        <v>0.0</v>
      </c>
    </row>
    <row r="15025">
      <c r="Y15025" s="372">
        <v>0.0</v>
      </c>
      <c r="Z15025" s="372">
        <v>0.0</v>
      </c>
    </row>
    <row r="15026">
      <c r="Y15026" s="372">
        <v>0.0</v>
      </c>
      <c r="Z15026" s="372">
        <v>0.0</v>
      </c>
    </row>
    <row r="15027">
      <c r="Y15027" s="372">
        <v>0.0</v>
      </c>
      <c r="Z15027" s="372">
        <v>0.0</v>
      </c>
    </row>
    <row r="15028">
      <c r="Y15028" s="372">
        <v>0.0</v>
      </c>
      <c r="Z15028" s="372">
        <v>0.0</v>
      </c>
    </row>
    <row r="15029">
      <c r="Y15029" s="372">
        <v>0.0</v>
      </c>
      <c r="Z15029" s="372">
        <v>0.0</v>
      </c>
    </row>
    <row r="15030">
      <c r="Y15030" s="372">
        <v>0.0</v>
      </c>
      <c r="Z15030" s="372">
        <v>0.0</v>
      </c>
    </row>
    <row r="15031">
      <c r="Y15031" s="372">
        <v>0.0</v>
      </c>
      <c r="Z15031" s="372">
        <v>0.0</v>
      </c>
    </row>
    <row r="15032">
      <c r="Y15032" s="372">
        <v>0.0</v>
      </c>
      <c r="Z15032" s="372">
        <v>0.0</v>
      </c>
    </row>
    <row r="15033">
      <c r="Y15033" s="372">
        <v>0.0</v>
      </c>
      <c r="Z15033" s="372">
        <v>0.0</v>
      </c>
    </row>
    <row r="15034">
      <c r="Y15034" s="372">
        <v>0.0</v>
      </c>
      <c r="Z15034" s="372">
        <v>0.0</v>
      </c>
    </row>
    <row r="15035">
      <c r="Y15035" s="372">
        <v>0.0</v>
      </c>
      <c r="Z15035" s="372">
        <v>0.0</v>
      </c>
    </row>
    <row r="15036">
      <c r="Y15036" s="372">
        <v>0.0</v>
      </c>
      <c r="Z15036" s="372">
        <v>0.0</v>
      </c>
    </row>
    <row r="15037">
      <c r="Y15037" s="372">
        <v>0.0</v>
      </c>
      <c r="Z15037" s="372">
        <v>0.0</v>
      </c>
    </row>
    <row r="15038">
      <c r="Y15038" s="372">
        <v>0.0</v>
      </c>
      <c r="Z15038" s="372">
        <v>0.0</v>
      </c>
    </row>
    <row r="15039">
      <c r="Y15039" s="372">
        <v>0.0</v>
      </c>
      <c r="Z15039" s="372">
        <v>0.0</v>
      </c>
    </row>
    <row r="15040">
      <c r="Y15040" s="372">
        <v>0.0</v>
      </c>
      <c r="Z15040" s="372">
        <v>0.0</v>
      </c>
    </row>
    <row r="15041">
      <c r="Y15041" s="372">
        <v>0.0</v>
      </c>
      <c r="Z15041" s="372">
        <v>0.0</v>
      </c>
    </row>
    <row r="15042">
      <c r="Y15042" s="372">
        <v>0.0</v>
      </c>
      <c r="Z15042" s="372">
        <v>0.0</v>
      </c>
    </row>
    <row r="15043">
      <c r="Y15043" s="372">
        <v>0.0</v>
      </c>
      <c r="Z15043" s="372">
        <v>0.0</v>
      </c>
    </row>
    <row r="15044">
      <c r="Y15044" s="372">
        <v>0.0</v>
      </c>
      <c r="Z15044" s="372">
        <v>0.0</v>
      </c>
    </row>
    <row r="15045">
      <c r="Y15045" s="372">
        <v>0.0</v>
      </c>
      <c r="Z15045" s="372">
        <v>0.0</v>
      </c>
    </row>
    <row r="15046">
      <c r="Y15046" s="372">
        <v>0.0</v>
      </c>
      <c r="Z15046" s="372">
        <v>0.0</v>
      </c>
    </row>
    <row r="15047">
      <c r="Y15047" s="372">
        <v>0.0</v>
      </c>
      <c r="Z15047" s="372">
        <v>0.0</v>
      </c>
    </row>
    <row r="15048">
      <c r="Y15048" s="372">
        <v>0.0</v>
      </c>
      <c r="Z15048" s="372">
        <v>0.0</v>
      </c>
    </row>
    <row r="15049">
      <c r="Y15049" s="372">
        <v>0.0</v>
      </c>
      <c r="Z15049" s="372">
        <v>0.0</v>
      </c>
    </row>
    <row r="15050">
      <c r="Y15050" s="372">
        <v>0.0</v>
      </c>
      <c r="Z15050" s="372">
        <v>0.0</v>
      </c>
    </row>
    <row r="15051">
      <c r="Y15051" s="372">
        <v>0.0</v>
      </c>
      <c r="Z15051" s="372">
        <v>0.0</v>
      </c>
    </row>
    <row r="15052">
      <c r="Y15052" s="372">
        <v>0.0</v>
      </c>
      <c r="Z15052" s="372">
        <v>0.0</v>
      </c>
    </row>
    <row r="15053">
      <c r="Y15053" s="372">
        <v>0.0</v>
      </c>
      <c r="Z15053" s="372">
        <v>0.0</v>
      </c>
    </row>
    <row r="15054">
      <c r="Y15054" s="372">
        <v>0.0</v>
      </c>
      <c r="Z15054" s="372">
        <v>0.0</v>
      </c>
    </row>
    <row r="15055">
      <c r="Y15055" s="372">
        <v>0.0</v>
      </c>
      <c r="Z15055" s="372">
        <v>0.0</v>
      </c>
    </row>
    <row r="15056">
      <c r="Y15056" s="372">
        <v>0.0</v>
      </c>
      <c r="Z15056" s="372">
        <v>0.0</v>
      </c>
    </row>
    <row r="15057">
      <c r="Y15057" s="372">
        <v>0.0</v>
      </c>
      <c r="Z15057" s="372">
        <v>0.0</v>
      </c>
    </row>
    <row r="15058">
      <c r="Y15058" s="372">
        <v>0.0</v>
      </c>
      <c r="Z15058" s="372">
        <v>0.0</v>
      </c>
    </row>
    <row r="15059">
      <c r="Y15059" s="372">
        <v>0.0</v>
      </c>
      <c r="Z15059" s="372">
        <v>0.0</v>
      </c>
    </row>
    <row r="15060">
      <c r="Y15060" s="372">
        <v>0.0</v>
      </c>
      <c r="Z15060" s="372">
        <v>0.0</v>
      </c>
    </row>
    <row r="15061">
      <c r="Y15061" s="372">
        <v>0.0</v>
      </c>
      <c r="Z15061" s="372">
        <v>0.0</v>
      </c>
    </row>
    <row r="15062">
      <c r="Y15062" s="372">
        <v>0.0</v>
      </c>
      <c r="Z15062" s="372">
        <v>0.0</v>
      </c>
    </row>
    <row r="15063">
      <c r="Y15063" s="372">
        <v>0.0</v>
      </c>
      <c r="Z15063" s="372">
        <v>0.0</v>
      </c>
    </row>
    <row r="15064">
      <c r="Y15064" s="372">
        <v>0.0</v>
      </c>
      <c r="Z15064" s="372">
        <v>0.0</v>
      </c>
    </row>
    <row r="15065">
      <c r="Y15065" s="372">
        <v>0.0</v>
      </c>
      <c r="Z15065" s="372">
        <v>0.0</v>
      </c>
    </row>
    <row r="15066">
      <c r="Y15066" s="372">
        <v>0.0</v>
      </c>
      <c r="Z15066" s="372">
        <v>0.0</v>
      </c>
    </row>
    <row r="15067">
      <c r="Y15067" s="372">
        <v>0.0</v>
      </c>
      <c r="Z15067" s="372">
        <v>0.0</v>
      </c>
    </row>
    <row r="15068">
      <c r="Y15068" s="372">
        <v>0.0</v>
      </c>
      <c r="Z15068" s="372">
        <v>0.0</v>
      </c>
    </row>
    <row r="15069">
      <c r="Y15069" s="372">
        <v>0.0</v>
      </c>
      <c r="Z15069" s="372">
        <v>0.0</v>
      </c>
    </row>
    <row r="15070">
      <c r="Y15070" s="372">
        <v>0.0</v>
      </c>
      <c r="Z15070" s="372">
        <v>0.0</v>
      </c>
    </row>
    <row r="15071">
      <c r="Y15071" s="372">
        <v>0.0</v>
      </c>
      <c r="Z15071" s="372">
        <v>0.0</v>
      </c>
    </row>
    <row r="15072">
      <c r="Y15072" s="372">
        <v>0.0</v>
      </c>
      <c r="Z15072" s="372">
        <v>0.0</v>
      </c>
    </row>
    <row r="15073">
      <c r="Y15073" s="372">
        <v>0.0</v>
      </c>
      <c r="Z15073" s="372">
        <v>0.0</v>
      </c>
    </row>
    <row r="15074">
      <c r="Y15074" s="372">
        <v>0.0</v>
      </c>
      <c r="Z15074" s="372">
        <v>0.0</v>
      </c>
    </row>
    <row r="15075">
      <c r="Y15075" s="372">
        <v>0.0</v>
      </c>
      <c r="Z15075" s="372">
        <v>0.0</v>
      </c>
    </row>
    <row r="15076">
      <c r="Y15076" s="372">
        <v>0.0</v>
      </c>
      <c r="Z15076" s="372">
        <v>0.0</v>
      </c>
    </row>
    <row r="15077">
      <c r="Y15077" s="372">
        <v>0.0</v>
      </c>
      <c r="Z15077" s="372">
        <v>0.0</v>
      </c>
    </row>
    <row r="15078">
      <c r="Y15078" s="372">
        <v>0.0</v>
      </c>
      <c r="Z15078" s="372">
        <v>0.0</v>
      </c>
    </row>
    <row r="15079">
      <c r="Y15079" s="372">
        <v>0.0</v>
      </c>
      <c r="Z15079" s="372">
        <v>0.0</v>
      </c>
    </row>
    <row r="15080">
      <c r="Y15080" s="372">
        <v>0.0</v>
      </c>
      <c r="Z15080" s="372">
        <v>0.0</v>
      </c>
    </row>
    <row r="15081">
      <c r="Y15081" s="372">
        <v>0.0</v>
      </c>
      <c r="Z15081" s="372">
        <v>0.0</v>
      </c>
    </row>
    <row r="15082">
      <c r="Y15082" s="372">
        <v>0.0</v>
      </c>
      <c r="Z15082" s="372">
        <v>0.0</v>
      </c>
    </row>
    <row r="15083">
      <c r="Y15083" s="372">
        <v>0.0</v>
      </c>
      <c r="Z15083" s="372">
        <v>0.0</v>
      </c>
    </row>
    <row r="15084">
      <c r="Y15084" s="372">
        <v>0.0</v>
      </c>
      <c r="Z15084" s="372">
        <v>0.0</v>
      </c>
    </row>
    <row r="15085">
      <c r="Y15085" s="372">
        <v>0.0</v>
      </c>
      <c r="Z15085" s="372">
        <v>0.0</v>
      </c>
    </row>
    <row r="15086">
      <c r="Y15086" s="372">
        <v>0.0</v>
      </c>
      <c r="Z15086" s="372">
        <v>0.0</v>
      </c>
    </row>
    <row r="15087">
      <c r="Y15087" s="372">
        <v>0.0</v>
      </c>
      <c r="Z15087" s="372">
        <v>0.0</v>
      </c>
    </row>
    <row r="15088">
      <c r="Y15088" s="372">
        <v>0.0</v>
      </c>
      <c r="Z15088" s="372">
        <v>0.0</v>
      </c>
    </row>
    <row r="15089">
      <c r="Y15089" s="372">
        <v>0.0</v>
      </c>
      <c r="Z15089" s="372">
        <v>0.0</v>
      </c>
    </row>
    <row r="15090">
      <c r="Y15090" s="372">
        <v>0.0</v>
      </c>
      <c r="Z15090" s="372">
        <v>0.0</v>
      </c>
    </row>
    <row r="15091">
      <c r="Y15091" s="372">
        <v>0.0</v>
      </c>
      <c r="Z15091" s="372">
        <v>0.0</v>
      </c>
    </row>
    <row r="15092">
      <c r="Y15092" s="372">
        <v>0.0</v>
      </c>
      <c r="Z15092" s="372">
        <v>0.0</v>
      </c>
    </row>
    <row r="15093">
      <c r="Y15093" s="372">
        <v>0.0</v>
      </c>
      <c r="Z15093" s="372">
        <v>0.0</v>
      </c>
    </row>
    <row r="15094">
      <c r="Y15094" s="372">
        <v>0.0</v>
      </c>
      <c r="Z15094" s="372">
        <v>0.0</v>
      </c>
    </row>
    <row r="15095">
      <c r="Y15095" s="372">
        <v>0.0</v>
      </c>
      <c r="Z15095" s="372">
        <v>0.0</v>
      </c>
    </row>
    <row r="15096">
      <c r="Y15096" s="372">
        <v>0.0</v>
      </c>
      <c r="Z15096" s="372">
        <v>0.0</v>
      </c>
    </row>
    <row r="15097">
      <c r="Y15097" s="372">
        <v>0.0</v>
      </c>
      <c r="Z15097" s="372">
        <v>0.0</v>
      </c>
    </row>
    <row r="15098">
      <c r="Y15098" s="372">
        <v>0.0</v>
      </c>
      <c r="Z15098" s="372">
        <v>0.0</v>
      </c>
    </row>
    <row r="15099">
      <c r="Y15099" s="372">
        <v>0.0</v>
      </c>
      <c r="Z15099" s="372">
        <v>0.0</v>
      </c>
    </row>
    <row r="15100">
      <c r="Y15100" s="372">
        <v>0.0</v>
      </c>
      <c r="Z15100" s="372">
        <v>0.0</v>
      </c>
    </row>
    <row r="15101">
      <c r="Y15101" s="372">
        <v>0.0</v>
      </c>
      <c r="Z15101" s="372">
        <v>0.0</v>
      </c>
    </row>
    <row r="15102">
      <c r="Y15102" s="372">
        <v>0.0</v>
      </c>
      <c r="Z15102" s="372">
        <v>0.0</v>
      </c>
    </row>
    <row r="15103">
      <c r="Y15103" s="372">
        <v>0.0</v>
      </c>
      <c r="Z15103" s="372">
        <v>0.0</v>
      </c>
    </row>
    <row r="15104">
      <c r="Y15104" s="372">
        <v>0.0</v>
      </c>
      <c r="Z15104" s="372">
        <v>0.0</v>
      </c>
    </row>
    <row r="15105">
      <c r="Y15105" s="372">
        <v>0.0</v>
      </c>
      <c r="Z15105" s="372">
        <v>0.0</v>
      </c>
    </row>
    <row r="15106">
      <c r="Y15106" s="372">
        <v>0.0</v>
      </c>
      <c r="Z15106" s="372">
        <v>0.0</v>
      </c>
    </row>
    <row r="15107">
      <c r="Y15107" s="372">
        <v>0.0</v>
      </c>
      <c r="Z15107" s="372">
        <v>0.0</v>
      </c>
    </row>
    <row r="15108">
      <c r="Y15108" s="372">
        <v>0.0</v>
      </c>
      <c r="Z15108" s="372">
        <v>0.0</v>
      </c>
    </row>
    <row r="15109">
      <c r="Y15109" s="372">
        <v>0.0</v>
      </c>
      <c r="Z15109" s="372">
        <v>0.0</v>
      </c>
    </row>
    <row r="15110">
      <c r="Y15110" s="372">
        <v>0.0</v>
      </c>
      <c r="Z15110" s="372">
        <v>0.0</v>
      </c>
    </row>
    <row r="15111">
      <c r="Y15111" s="372">
        <v>0.0</v>
      </c>
      <c r="Z15111" s="372">
        <v>0.0</v>
      </c>
    </row>
    <row r="15112">
      <c r="Y15112" s="372">
        <v>0.0</v>
      </c>
      <c r="Z15112" s="372">
        <v>0.0</v>
      </c>
    </row>
    <row r="15113">
      <c r="Y15113" s="372">
        <v>0.0</v>
      </c>
      <c r="Z15113" s="372">
        <v>0.0</v>
      </c>
    </row>
    <row r="15114">
      <c r="Y15114" s="372">
        <v>0.0</v>
      </c>
      <c r="Z15114" s="372">
        <v>0.0</v>
      </c>
    </row>
    <row r="15115">
      <c r="Y15115" s="372">
        <v>0.0</v>
      </c>
      <c r="Z15115" s="372">
        <v>0.0</v>
      </c>
    </row>
    <row r="15116">
      <c r="Y15116" s="372">
        <v>0.0</v>
      </c>
      <c r="Z15116" s="372">
        <v>0.0</v>
      </c>
    </row>
    <row r="15117">
      <c r="Y15117" s="372">
        <v>0.0</v>
      </c>
      <c r="Z15117" s="372">
        <v>0.0</v>
      </c>
    </row>
    <row r="15118">
      <c r="Y15118" s="372">
        <v>0.0</v>
      </c>
      <c r="Z15118" s="372">
        <v>0.0</v>
      </c>
    </row>
    <row r="15119">
      <c r="Y15119" s="372">
        <v>0.0</v>
      </c>
      <c r="Z15119" s="372">
        <v>0.0</v>
      </c>
    </row>
    <row r="15120">
      <c r="Y15120" s="372">
        <v>0.0</v>
      </c>
      <c r="Z15120" s="372">
        <v>0.0</v>
      </c>
    </row>
    <row r="15121">
      <c r="Y15121" s="372">
        <v>0.0</v>
      </c>
      <c r="Z15121" s="372">
        <v>0.0</v>
      </c>
    </row>
    <row r="15122">
      <c r="Y15122" s="372">
        <v>0.0</v>
      </c>
      <c r="Z15122" s="372">
        <v>0.0</v>
      </c>
    </row>
    <row r="15123">
      <c r="Y15123" s="372">
        <v>0.0</v>
      </c>
      <c r="Z15123" s="372">
        <v>0.0</v>
      </c>
    </row>
    <row r="15124">
      <c r="Y15124" s="372">
        <v>0.0</v>
      </c>
      <c r="Z15124" s="372">
        <v>0.0</v>
      </c>
    </row>
    <row r="15125">
      <c r="Y15125" s="372">
        <v>0.0</v>
      </c>
      <c r="Z15125" s="372">
        <v>0.0</v>
      </c>
    </row>
    <row r="15126">
      <c r="Y15126" s="372">
        <v>0.0</v>
      </c>
      <c r="Z15126" s="372">
        <v>0.0</v>
      </c>
    </row>
    <row r="15127">
      <c r="Y15127" s="372">
        <v>0.0</v>
      </c>
      <c r="Z15127" s="372">
        <v>0.0</v>
      </c>
    </row>
    <row r="15128">
      <c r="Y15128" s="372">
        <v>0.0</v>
      </c>
      <c r="Z15128" s="372">
        <v>0.0</v>
      </c>
    </row>
    <row r="15129">
      <c r="Y15129" s="372">
        <v>0.0</v>
      </c>
      <c r="Z15129" s="372">
        <v>0.0</v>
      </c>
    </row>
    <row r="15130">
      <c r="Y15130" s="372">
        <v>0.0</v>
      </c>
      <c r="Z15130" s="372">
        <v>0.0</v>
      </c>
    </row>
    <row r="15131">
      <c r="Y15131" s="372">
        <v>0.0</v>
      </c>
      <c r="Z15131" s="372">
        <v>0.0</v>
      </c>
    </row>
    <row r="15132">
      <c r="Y15132" s="372">
        <v>0.0</v>
      </c>
      <c r="Z15132" s="372">
        <v>0.0</v>
      </c>
    </row>
    <row r="15133">
      <c r="Y15133" s="372">
        <v>0.0</v>
      </c>
      <c r="Z15133" s="372">
        <v>0.0</v>
      </c>
    </row>
    <row r="15134">
      <c r="Y15134" s="372">
        <v>0.0</v>
      </c>
      <c r="Z15134" s="372">
        <v>0.0</v>
      </c>
    </row>
    <row r="15135">
      <c r="Y15135" s="372">
        <v>0.0</v>
      </c>
      <c r="Z15135" s="372">
        <v>0.0</v>
      </c>
    </row>
    <row r="15136">
      <c r="Y15136" s="372">
        <v>0.0</v>
      </c>
      <c r="Z15136" s="372">
        <v>0.0</v>
      </c>
    </row>
    <row r="15137">
      <c r="Y15137" s="372">
        <v>0.0</v>
      </c>
      <c r="Z15137" s="372">
        <v>0.0</v>
      </c>
    </row>
    <row r="15138">
      <c r="Y15138" s="372">
        <v>0.0</v>
      </c>
      <c r="Z15138" s="372">
        <v>0.0</v>
      </c>
    </row>
    <row r="15139">
      <c r="Y15139" s="372">
        <v>0.0</v>
      </c>
      <c r="Z15139" s="372">
        <v>0.0</v>
      </c>
    </row>
    <row r="15140">
      <c r="Y15140" s="372">
        <v>0.0</v>
      </c>
      <c r="Z15140" s="372">
        <v>0.0</v>
      </c>
    </row>
    <row r="15141">
      <c r="Y15141" s="372">
        <v>0.0</v>
      </c>
      <c r="Z15141" s="372">
        <v>0.0</v>
      </c>
    </row>
    <row r="15142">
      <c r="Y15142" s="372">
        <v>0.0</v>
      </c>
      <c r="Z15142" s="372">
        <v>0.0</v>
      </c>
    </row>
    <row r="15143">
      <c r="Y15143" s="372">
        <v>0.0</v>
      </c>
      <c r="Z15143" s="372">
        <v>0.0</v>
      </c>
    </row>
    <row r="15144">
      <c r="Y15144" s="372">
        <v>0.0</v>
      </c>
      <c r="Z15144" s="372">
        <v>0.0</v>
      </c>
    </row>
    <row r="15145">
      <c r="Y15145" s="372">
        <v>0.0</v>
      </c>
      <c r="Z15145" s="372">
        <v>0.0</v>
      </c>
    </row>
    <row r="15146">
      <c r="Y15146" s="372">
        <v>0.0</v>
      </c>
      <c r="Z15146" s="372">
        <v>0.0</v>
      </c>
    </row>
    <row r="15147">
      <c r="Y15147" s="372">
        <v>0.0</v>
      </c>
      <c r="Z15147" s="372">
        <v>0.0</v>
      </c>
    </row>
    <row r="15148">
      <c r="Y15148" s="372">
        <v>0.0</v>
      </c>
      <c r="Z15148" s="372">
        <v>0.0</v>
      </c>
    </row>
    <row r="15149">
      <c r="Y15149" s="372">
        <v>0.0</v>
      </c>
      <c r="Z15149" s="372">
        <v>0.0</v>
      </c>
    </row>
    <row r="15150">
      <c r="Y15150" s="372">
        <v>0.0</v>
      </c>
      <c r="Z15150" s="372">
        <v>0.0</v>
      </c>
    </row>
    <row r="15151">
      <c r="Y15151" s="372">
        <v>0.0</v>
      </c>
      <c r="Z15151" s="372">
        <v>0.0</v>
      </c>
    </row>
    <row r="15152">
      <c r="Y15152" s="372">
        <v>0.0</v>
      </c>
      <c r="Z15152" s="372">
        <v>0.0</v>
      </c>
    </row>
    <row r="15153">
      <c r="Y15153" s="372">
        <v>0.0</v>
      </c>
      <c r="Z15153" s="372">
        <v>0.0</v>
      </c>
    </row>
    <row r="15154">
      <c r="Y15154" s="372">
        <v>0.0</v>
      </c>
      <c r="Z15154" s="372">
        <v>0.0</v>
      </c>
    </row>
    <row r="15155">
      <c r="Y15155" s="372">
        <v>0.0</v>
      </c>
      <c r="Z15155" s="372">
        <v>0.0</v>
      </c>
    </row>
    <row r="15156">
      <c r="Y15156" s="372">
        <v>0.0</v>
      </c>
      <c r="Z15156" s="372">
        <v>0.0</v>
      </c>
    </row>
    <row r="15157">
      <c r="Y15157" s="372">
        <v>0.0</v>
      </c>
      <c r="Z15157" s="372">
        <v>0.0</v>
      </c>
    </row>
    <row r="15158">
      <c r="Y15158" s="372">
        <v>0.0</v>
      </c>
      <c r="Z15158" s="372">
        <v>0.0</v>
      </c>
    </row>
    <row r="15159">
      <c r="Y15159" s="372">
        <v>0.0</v>
      </c>
      <c r="Z15159" s="372">
        <v>0.0</v>
      </c>
    </row>
    <row r="15160">
      <c r="Y15160" s="372">
        <v>0.0</v>
      </c>
      <c r="Z15160" s="372">
        <v>0.0</v>
      </c>
    </row>
    <row r="15161">
      <c r="Y15161" s="372">
        <v>0.0</v>
      </c>
      <c r="Z15161" s="372">
        <v>0.0</v>
      </c>
    </row>
    <row r="15162">
      <c r="Y15162" s="372">
        <v>0.0</v>
      </c>
      <c r="Z15162" s="372">
        <v>0.0</v>
      </c>
    </row>
    <row r="15163">
      <c r="Y15163" s="372">
        <v>0.0</v>
      </c>
      <c r="Z15163" s="372">
        <v>0.0</v>
      </c>
    </row>
    <row r="15164">
      <c r="Y15164" s="372">
        <v>0.0</v>
      </c>
      <c r="Z15164" s="372">
        <v>0.0</v>
      </c>
    </row>
    <row r="15165">
      <c r="Y15165" s="372">
        <v>0.0</v>
      </c>
      <c r="Z15165" s="372">
        <v>0.0</v>
      </c>
    </row>
    <row r="15166">
      <c r="Y15166" s="372">
        <v>0.0</v>
      </c>
      <c r="Z15166" s="372">
        <v>0.0</v>
      </c>
    </row>
    <row r="15167">
      <c r="Y15167" s="372">
        <v>0.0</v>
      </c>
      <c r="Z15167" s="372">
        <v>0.0</v>
      </c>
    </row>
    <row r="15168">
      <c r="Y15168" s="372">
        <v>0.0</v>
      </c>
      <c r="Z15168" s="372">
        <v>0.0</v>
      </c>
    </row>
    <row r="15169">
      <c r="Y15169" s="372">
        <v>0.0</v>
      </c>
      <c r="Z15169" s="372">
        <v>0.0</v>
      </c>
    </row>
    <row r="15170">
      <c r="Y15170" s="372">
        <v>0.0</v>
      </c>
      <c r="Z15170" s="372">
        <v>0.0</v>
      </c>
    </row>
    <row r="15171">
      <c r="Y15171" s="372">
        <v>0.0</v>
      </c>
      <c r="Z15171" s="372">
        <v>0.0</v>
      </c>
    </row>
    <row r="15172">
      <c r="Y15172" s="372">
        <v>0.0</v>
      </c>
      <c r="Z15172" s="372">
        <v>0.0</v>
      </c>
    </row>
    <row r="15173">
      <c r="Y15173" s="372">
        <v>0.0</v>
      </c>
      <c r="Z15173" s="372">
        <v>0.0</v>
      </c>
    </row>
    <row r="15174">
      <c r="Y15174" s="372">
        <v>0.0</v>
      </c>
      <c r="Z15174" s="372">
        <v>0.0</v>
      </c>
    </row>
    <row r="15175">
      <c r="Y15175" s="372">
        <v>0.0</v>
      </c>
      <c r="Z15175" s="372">
        <v>0.0</v>
      </c>
    </row>
    <row r="15176">
      <c r="Y15176" s="372">
        <v>0.0</v>
      </c>
      <c r="Z15176" s="372">
        <v>0.0</v>
      </c>
    </row>
    <row r="15177">
      <c r="Y15177" s="372">
        <v>0.0</v>
      </c>
      <c r="Z15177" s="372">
        <v>0.0</v>
      </c>
    </row>
    <row r="15178">
      <c r="Y15178" s="372">
        <v>0.0</v>
      </c>
      <c r="Z15178" s="372">
        <v>0.0</v>
      </c>
    </row>
    <row r="15179">
      <c r="Y15179" s="372">
        <v>0.0</v>
      </c>
      <c r="Z15179" s="372">
        <v>0.0</v>
      </c>
    </row>
    <row r="15180">
      <c r="Y15180" s="372">
        <v>0.0</v>
      </c>
      <c r="Z15180" s="372">
        <v>0.0</v>
      </c>
    </row>
    <row r="15181">
      <c r="Y15181" s="372">
        <v>0.0</v>
      </c>
      <c r="Z15181" s="372">
        <v>0.0</v>
      </c>
    </row>
    <row r="15182">
      <c r="Y15182" s="372">
        <v>0.0</v>
      </c>
      <c r="Z15182" s="372">
        <v>0.0</v>
      </c>
    </row>
    <row r="15183">
      <c r="Y15183" s="372">
        <v>0.0</v>
      </c>
      <c r="Z15183" s="372">
        <v>0.0</v>
      </c>
    </row>
    <row r="15184">
      <c r="Y15184" s="372">
        <v>0.0</v>
      </c>
      <c r="Z15184" s="372">
        <v>0.0</v>
      </c>
    </row>
    <row r="15185">
      <c r="Y15185" s="372">
        <v>0.0</v>
      </c>
      <c r="Z15185" s="372">
        <v>0.0</v>
      </c>
    </row>
    <row r="15186">
      <c r="Y15186" s="372">
        <v>0.0</v>
      </c>
      <c r="Z15186" s="372">
        <v>0.0</v>
      </c>
    </row>
    <row r="15187">
      <c r="Y15187" s="372">
        <v>0.0</v>
      </c>
      <c r="Z15187" s="372">
        <v>0.0</v>
      </c>
    </row>
    <row r="15188">
      <c r="Y15188" s="372">
        <v>0.0</v>
      </c>
      <c r="Z15188" s="372">
        <v>0.0</v>
      </c>
    </row>
    <row r="15189">
      <c r="Y15189" s="372">
        <v>0.0</v>
      </c>
      <c r="Z15189" s="372">
        <v>0.0</v>
      </c>
    </row>
    <row r="15190">
      <c r="Y15190" s="372">
        <v>0.0</v>
      </c>
      <c r="Z15190" s="372">
        <v>0.0</v>
      </c>
    </row>
    <row r="15191">
      <c r="Y15191" s="372">
        <v>0.0</v>
      </c>
      <c r="Z15191" s="372">
        <v>0.0</v>
      </c>
    </row>
    <row r="15192">
      <c r="Y15192" s="372">
        <v>0.0</v>
      </c>
      <c r="Z15192" s="372">
        <v>0.0</v>
      </c>
    </row>
    <row r="15193">
      <c r="Y15193" s="372">
        <v>0.0</v>
      </c>
      <c r="Z15193" s="372">
        <v>0.0</v>
      </c>
    </row>
    <row r="15194">
      <c r="Y15194" s="372">
        <v>0.0</v>
      </c>
      <c r="Z15194" s="372">
        <v>0.0</v>
      </c>
    </row>
    <row r="15195">
      <c r="Y15195" s="372">
        <v>0.0</v>
      </c>
      <c r="Z15195" s="372">
        <v>0.0</v>
      </c>
    </row>
    <row r="15196">
      <c r="Y15196" s="372">
        <v>0.0</v>
      </c>
      <c r="Z15196" s="372">
        <v>0.0</v>
      </c>
    </row>
    <row r="15197">
      <c r="Y15197" s="372">
        <v>0.0</v>
      </c>
      <c r="Z15197" s="372">
        <v>0.0</v>
      </c>
    </row>
    <row r="15198">
      <c r="Y15198" s="372">
        <v>0.0</v>
      </c>
      <c r="Z15198" s="372">
        <v>0.0</v>
      </c>
    </row>
    <row r="15199">
      <c r="Y15199" s="372">
        <v>0.0</v>
      </c>
      <c r="Z15199" s="372">
        <v>0.0</v>
      </c>
    </row>
    <row r="15200">
      <c r="Y15200" s="372">
        <v>0.0</v>
      </c>
      <c r="Z15200" s="372">
        <v>0.0</v>
      </c>
    </row>
    <row r="15201">
      <c r="Y15201" s="372">
        <v>0.0</v>
      </c>
      <c r="Z15201" s="372">
        <v>0.0</v>
      </c>
    </row>
    <row r="15202">
      <c r="Y15202" s="372">
        <v>0.0</v>
      </c>
      <c r="Z15202" s="372">
        <v>0.0</v>
      </c>
    </row>
    <row r="15203">
      <c r="Y15203" s="372">
        <v>0.0</v>
      </c>
      <c r="Z15203" s="372">
        <v>0.0</v>
      </c>
    </row>
    <row r="15204">
      <c r="Y15204" s="372">
        <v>0.0</v>
      </c>
      <c r="Z15204" s="372">
        <v>0.0</v>
      </c>
    </row>
    <row r="15205">
      <c r="Y15205" s="372">
        <v>0.0</v>
      </c>
      <c r="Z15205" s="372">
        <v>0.0</v>
      </c>
    </row>
    <row r="15206">
      <c r="Y15206" s="372">
        <v>0.0</v>
      </c>
      <c r="Z15206" s="372">
        <v>0.0</v>
      </c>
    </row>
    <row r="15207">
      <c r="Y15207" s="372">
        <v>0.0</v>
      </c>
      <c r="Z15207" s="372">
        <v>0.0</v>
      </c>
    </row>
    <row r="15208">
      <c r="Y15208" s="372">
        <v>0.0</v>
      </c>
      <c r="Z15208" s="372">
        <v>0.0</v>
      </c>
    </row>
    <row r="15209">
      <c r="Y15209" s="372">
        <v>0.0</v>
      </c>
      <c r="Z15209" s="372">
        <v>0.0</v>
      </c>
    </row>
    <row r="15210">
      <c r="Y15210" s="372">
        <v>0.0</v>
      </c>
      <c r="Z15210" s="372">
        <v>0.0</v>
      </c>
    </row>
    <row r="15211">
      <c r="Y15211" s="372">
        <v>0.0</v>
      </c>
      <c r="Z15211" s="372">
        <v>0.0</v>
      </c>
    </row>
    <row r="15212">
      <c r="Y15212" s="372">
        <v>0.0</v>
      </c>
      <c r="Z15212" s="372">
        <v>0.0</v>
      </c>
    </row>
    <row r="15213">
      <c r="Y15213" s="372">
        <v>0.0</v>
      </c>
      <c r="Z15213" s="372">
        <v>0.0</v>
      </c>
    </row>
    <row r="15214">
      <c r="Y15214" s="372">
        <v>0.0</v>
      </c>
      <c r="Z15214" s="372">
        <v>0.0</v>
      </c>
    </row>
    <row r="15215">
      <c r="Y15215" s="372">
        <v>0.0</v>
      </c>
      <c r="Z15215" s="372">
        <v>0.0</v>
      </c>
    </row>
    <row r="15216">
      <c r="Y15216" s="372">
        <v>0.0</v>
      </c>
      <c r="Z15216" s="372">
        <v>0.0</v>
      </c>
    </row>
    <row r="15217">
      <c r="Y15217" s="372">
        <v>0.0</v>
      </c>
      <c r="Z15217" s="372">
        <v>0.0</v>
      </c>
    </row>
    <row r="15218">
      <c r="Y15218" s="372">
        <v>0.0</v>
      </c>
      <c r="Z15218" s="372">
        <v>0.0</v>
      </c>
    </row>
    <row r="15219">
      <c r="Y15219" s="372">
        <v>0.0</v>
      </c>
      <c r="Z15219" s="372">
        <v>0.0</v>
      </c>
    </row>
    <row r="15220">
      <c r="Y15220" s="372">
        <v>0.0</v>
      </c>
      <c r="Z15220" s="372">
        <v>0.0</v>
      </c>
    </row>
    <row r="15221">
      <c r="Y15221" s="372">
        <v>0.0</v>
      </c>
      <c r="Z15221" s="372">
        <v>0.0</v>
      </c>
    </row>
    <row r="15222">
      <c r="Y15222" s="372">
        <v>0.0</v>
      </c>
      <c r="Z15222" s="372">
        <v>0.0</v>
      </c>
    </row>
    <row r="15223">
      <c r="Y15223" s="372">
        <v>0.0</v>
      </c>
      <c r="Z15223" s="372">
        <v>0.0</v>
      </c>
    </row>
    <row r="15224">
      <c r="Y15224" s="372">
        <v>0.0</v>
      </c>
      <c r="Z15224" s="372">
        <v>0.0</v>
      </c>
    </row>
    <row r="15225">
      <c r="Y15225" s="372">
        <v>0.0</v>
      </c>
      <c r="Z15225" s="372">
        <v>0.0</v>
      </c>
    </row>
    <row r="15226">
      <c r="Y15226" s="372">
        <v>0.0</v>
      </c>
      <c r="Z15226" s="372">
        <v>0.0</v>
      </c>
    </row>
    <row r="15227">
      <c r="Y15227" s="372">
        <v>0.0</v>
      </c>
      <c r="Z15227" s="372">
        <v>0.0</v>
      </c>
    </row>
    <row r="15228">
      <c r="Y15228" s="372">
        <v>0.0</v>
      </c>
      <c r="Z15228" s="372">
        <v>0.0</v>
      </c>
    </row>
    <row r="15229">
      <c r="Y15229" s="372">
        <v>0.0</v>
      </c>
      <c r="Z15229" s="372">
        <v>0.0</v>
      </c>
    </row>
    <row r="15230">
      <c r="Y15230" s="372">
        <v>0.0</v>
      </c>
      <c r="Z15230" s="372">
        <v>0.0</v>
      </c>
    </row>
    <row r="15231">
      <c r="Y15231" s="372">
        <v>0.0</v>
      </c>
      <c r="Z15231" s="372">
        <v>0.0</v>
      </c>
    </row>
    <row r="15232">
      <c r="Y15232" s="372">
        <v>0.0</v>
      </c>
      <c r="Z15232" s="372">
        <v>0.0</v>
      </c>
    </row>
    <row r="15233">
      <c r="Y15233" s="372">
        <v>0.0</v>
      </c>
      <c r="Z15233" s="372">
        <v>0.0</v>
      </c>
    </row>
    <row r="15234">
      <c r="Y15234" s="372">
        <v>0.0</v>
      </c>
      <c r="Z15234" s="372">
        <v>0.0</v>
      </c>
    </row>
    <row r="15235">
      <c r="Y15235" s="372">
        <v>0.0</v>
      </c>
      <c r="Z15235" s="372">
        <v>0.0</v>
      </c>
    </row>
    <row r="15236">
      <c r="Y15236" s="372">
        <v>0.0</v>
      </c>
      <c r="Z15236" s="372">
        <v>0.0</v>
      </c>
    </row>
    <row r="15237">
      <c r="Y15237" s="372">
        <v>0.0</v>
      </c>
      <c r="Z15237" s="372">
        <v>0.0</v>
      </c>
    </row>
    <row r="15238">
      <c r="Y15238" s="372">
        <v>0.0</v>
      </c>
      <c r="Z15238" s="372">
        <v>0.0</v>
      </c>
    </row>
    <row r="15239">
      <c r="Y15239" s="372">
        <v>0.0</v>
      </c>
      <c r="Z15239" s="372">
        <v>0.0</v>
      </c>
    </row>
    <row r="15240">
      <c r="Y15240" s="372">
        <v>0.0</v>
      </c>
      <c r="Z15240" s="372">
        <v>0.0</v>
      </c>
    </row>
    <row r="15241">
      <c r="Y15241" s="372">
        <v>0.0</v>
      </c>
      <c r="Z15241" s="372">
        <v>0.0</v>
      </c>
    </row>
    <row r="15242">
      <c r="Y15242" s="372">
        <v>0.0</v>
      </c>
      <c r="Z15242" s="372">
        <v>0.0</v>
      </c>
    </row>
    <row r="15243">
      <c r="Y15243" s="372">
        <v>0.0</v>
      </c>
      <c r="Z15243" s="372">
        <v>0.0</v>
      </c>
    </row>
    <row r="15244">
      <c r="Y15244" s="372">
        <v>0.0</v>
      </c>
      <c r="Z15244" s="372">
        <v>0.0</v>
      </c>
    </row>
    <row r="15245">
      <c r="Y15245" s="372">
        <v>0.0</v>
      </c>
      <c r="Z15245" s="372">
        <v>0.0</v>
      </c>
    </row>
    <row r="15246">
      <c r="Y15246" s="372">
        <v>0.0</v>
      </c>
      <c r="Z15246" s="372">
        <v>0.0</v>
      </c>
    </row>
    <row r="15247">
      <c r="Y15247" s="372">
        <v>0.0</v>
      </c>
      <c r="Z15247" s="372">
        <v>0.0</v>
      </c>
    </row>
    <row r="15248">
      <c r="Y15248" s="372">
        <v>0.0</v>
      </c>
      <c r="Z15248" s="372">
        <v>0.0</v>
      </c>
    </row>
    <row r="15249">
      <c r="Y15249" s="372">
        <v>0.0</v>
      </c>
      <c r="Z15249" s="372">
        <v>0.0</v>
      </c>
    </row>
    <row r="15250">
      <c r="Y15250" s="372">
        <v>0.0</v>
      </c>
      <c r="Z15250" s="372">
        <v>0.0</v>
      </c>
    </row>
    <row r="15251">
      <c r="Y15251" s="372">
        <v>0.0</v>
      </c>
      <c r="Z15251" s="372">
        <v>0.0</v>
      </c>
    </row>
    <row r="15252">
      <c r="Y15252" s="372">
        <v>0.0</v>
      </c>
      <c r="Z15252" s="372">
        <v>0.0</v>
      </c>
    </row>
    <row r="15253">
      <c r="Y15253" s="372">
        <v>0.0</v>
      </c>
      <c r="Z15253" s="372">
        <v>0.0</v>
      </c>
    </row>
    <row r="15254">
      <c r="Y15254" s="372">
        <v>0.0</v>
      </c>
      <c r="Z15254" s="372">
        <v>0.0</v>
      </c>
    </row>
    <row r="15255">
      <c r="Y15255" s="372">
        <v>0.0</v>
      </c>
      <c r="Z15255" s="372">
        <v>0.0</v>
      </c>
    </row>
    <row r="15256">
      <c r="Y15256" s="372">
        <v>0.0</v>
      </c>
      <c r="Z15256" s="372">
        <v>0.0</v>
      </c>
    </row>
    <row r="15257">
      <c r="Y15257" s="372">
        <v>0.0</v>
      </c>
      <c r="Z15257" s="372">
        <v>0.0</v>
      </c>
    </row>
    <row r="15258">
      <c r="Y15258" s="372">
        <v>0.0</v>
      </c>
      <c r="Z15258" s="372">
        <v>0.0</v>
      </c>
    </row>
    <row r="15259">
      <c r="Y15259" s="372">
        <v>0.0</v>
      </c>
      <c r="Z15259" s="372">
        <v>0.0</v>
      </c>
    </row>
    <row r="15260">
      <c r="Y15260" s="372">
        <v>0.0</v>
      </c>
      <c r="Z15260" s="372">
        <v>0.0</v>
      </c>
    </row>
    <row r="15261">
      <c r="Y15261" s="372">
        <v>0.0</v>
      </c>
      <c r="Z15261" s="372">
        <v>0.0</v>
      </c>
    </row>
    <row r="15262">
      <c r="Y15262" s="372">
        <v>0.0</v>
      </c>
      <c r="Z15262" s="372">
        <v>0.0</v>
      </c>
    </row>
    <row r="15263">
      <c r="Y15263" s="372">
        <v>0.0</v>
      </c>
      <c r="Z15263" s="372">
        <v>0.0</v>
      </c>
    </row>
    <row r="15264">
      <c r="Y15264" s="372">
        <v>0.0</v>
      </c>
      <c r="Z15264" s="372">
        <v>0.0</v>
      </c>
    </row>
    <row r="15265">
      <c r="Y15265" s="372">
        <v>0.0</v>
      </c>
      <c r="Z15265" s="372">
        <v>0.0</v>
      </c>
    </row>
    <row r="15266">
      <c r="Y15266" s="372">
        <v>0.0</v>
      </c>
      <c r="Z15266" s="372">
        <v>0.0</v>
      </c>
    </row>
    <row r="15267">
      <c r="Y15267" s="372">
        <v>0.0</v>
      </c>
      <c r="Z15267" s="372">
        <v>0.0</v>
      </c>
    </row>
    <row r="15268">
      <c r="Y15268" s="372">
        <v>0.0</v>
      </c>
      <c r="Z15268" s="372">
        <v>0.0</v>
      </c>
    </row>
    <row r="15269">
      <c r="Y15269" s="372">
        <v>0.0</v>
      </c>
      <c r="Z15269" s="372">
        <v>0.0</v>
      </c>
    </row>
    <row r="15270">
      <c r="Y15270" s="372">
        <v>0.0</v>
      </c>
      <c r="Z15270" s="372">
        <v>0.0</v>
      </c>
    </row>
    <row r="15271">
      <c r="Y15271" s="372">
        <v>0.0</v>
      </c>
      <c r="Z15271" s="372">
        <v>0.0</v>
      </c>
    </row>
    <row r="15272">
      <c r="Y15272" s="372">
        <v>0.0</v>
      </c>
      <c r="Z15272" s="372">
        <v>0.0</v>
      </c>
    </row>
    <row r="15273">
      <c r="Y15273" s="372">
        <v>0.0</v>
      </c>
      <c r="Z15273" s="372">
        <v>0.0</v>
      </c>
    </row>
    <row r="15274">
      <c r="Y15274" s="372">
        <v>0.0</v>
      </c>
      <c r="Z15274" s="372">
        <v>0.0</v>
      </c>
    </row>
    <row r="15275">
      <c r="Y15275" s="372">
        <v>0.0</v>
      </c>
      <c r="Z15275" s="372">
        <v>0.0</v>
      </c>
    </row>
    <row r="15276">
      <c r="Y15276" s="372">
        <v>0.0</v>
      </c>
      <c r="Z15276" s="372">
        <v>0.0</v>
      </c>
    </row>
    <row r="15277">
      <c r="Y15277" s="372">
        <v>0.0</v>
      </c>
      <c r="Z15277" s="372">
        <v>0.0</v>
      </c>
    </row>
    <row r="15278">
      <c r="Y15278" s="372">
        <v>0.0</v>
      </c>
      <c r="Z15278" s="372">
        <v>0.0</v>
      </c>
    </row>
    <row r="15279">
      <c r="Y15279" s="372">
        <v>0.0</v>
      </c>
      <c r="Z15279" s="372">
        <v>0.0</v>
      </c>
    </row>
    <row r="15280">
      <c r="Y15280" s="372">
        <v>0.0</v>
      </c>
      <c r="Z15280" s="372">
        <v>0.0</v>
      </c>
    </row>
    <row r="15281">
      <c r="Y15281" s="372">
        <v>0.0</v>
      </c>
      <c r="Z15281" s="372">
        <v>0.0</v>
      </c>
    </row>
    <row r="15282">
      <c r="Y15282" s="372">
        <v>0.0</v>
      </c>
      <c r="Z15282" s="372">
        <v>0.0</v>
      </c>
    </row>
    <row r="15283">
      <c r="Y15283" s="372">
        <v>0.0</v>
      </c>
      <c r="Z15283" s="372">
        <v>0.0</v>
      </c>
    </row>
    <row r="15284">
      <c r="Y15284" s="372">
        <v>0.0</v>
      </c>
      <c r="Z15284" s="372">
        <v>0.0</v>
      </c>
    </row>
    <row r="15285">
      <c r="Y15285" s="372">
        <v>0.0</v>
      </c>
      <c r="Z15285" s="372">
        <v>0.0</v>
      </c>
    </row>
    <row r="15286">
      <c r="Y15286" s="372">
        <v>0.0</v>
      </c>
      <c r="Z15286" s="372">
        <v>0.0</v>
      </c>
    </row>
    <row r="15287">
      <c r="Y15287" s="372">
        <v>0.0</v>
      </c>
      <c r="Z15287" s="372">
        <v>0.0</v>
      </c>
    </row>
    <row r="15288">
      <c r="Y15288" s="372">
        <v>0.0</v>
      </c>
      <c r="Z15288" s="372">
        <v>0.0</v>
      </c>
    </row>
    <row r="15289">
      <c r="Y15289" s="372">
        <v>0.0</v>
      </c>
      <c r="Z15289" s="372">
        <v>0.0</v>
      </c>
    </row>
    <row r="15290">
      <c r="Y15290" s="372">
        <v>0.0</v>
      </c>
      <c r="Z15290" s="372">
        <v>0.0</v>
      </c>
    </row>
    <row r="15291">
      <c r="Y15291" s="372">
        <v>0.0</v>
      </c>
      <c r="Z15291" s="372">
        <v>0.0</v>
      </c>
    </row>
    <row r="15292">
      <c r="Y15292" s="372">
        <v>0.0</v>
      </c>
      <c r="Z15292" s="372">
        <v>0.0</v>
      </c>
    </row>
    <row r="15293">
      <c r="Y15293" s="372">
        <v>0.0</v>
      </c>
      <c r="Z15293" s="372">
        <v>0.0</v>
      </c>
    </row>
    <row r="15294">
      <c r="Y15294" s="372">
        <v>0.0</v>
      </c>
      <c r="Z15294" s="372">
        <v>0.0</v>
      </c>
    </row>
    <row r="15295">
      <c r="Y15295" s="372">
        <v>0.0</v>
      </c>
      <c r="Z15295" s="372">
        <v>0.0</v>
      </c>
    </row>
    <row r="15296">
      <c r="Y15296" s="372">
        <v>0.0</v>
      </c>
      <c r="Z15296" s="372">
        <v>0.0</v>
      </c>
    </row>
    <row r="15297">
      <c r="Y15297" s="372">
        <v>0.0</v>
      </c>
      <c r="Z15297" s="372">
        <v>0.0</v>
      </c>
    </row>
    <row r="15298">
      <c r="Y15298" s="372">
        <v>0.0</v>
      </c>
      <c r="Z15298" s="372">
        <v>0.0</v>
      </c>
    </row>
    <row r="15299">
      <c r="Y15299" s="372">
        <v>0.0</v>
      </c>
      <c r="Z15299" s="372">
        <v>0.0</v>
      </c>
    </row>
    <row r="15300">
      <c r="Y15300" s="372">
        <v>0.0</v>
      </c>
      <c r="Z15300" s="372">
        <v>0.0</v>
      </c>
    </row>
    <row r="15301">
      <c r="Y15301" s="372">
        <v>0.0</v>
      </c>
      <c r="Z15301" s="372">
        <v>0.0</v>
      </c>
    </row>
    <row r="15302">
      <c r="Y15302" s="372">
        <v>0.0</v>
      </c>
      <c r="Z15302" s="372">
        <v>0.0</v>
      </c>
    </row>
    <row r="15303">
      <c r="Y15303" s="372">
        <v>0.0</v>
      </c>
      <c r="Z15303" s="372">
        <v>0.0</v>
      </c>
    </row>
    <row r="15304">
      <c r="Y15304" s="372">
        <v>0.0</v>
      </c>
      <c r="Z15304" s="372">
        <v>0.0</v>
      </c>
    </row>
    <row r="15305">
      <c r="Y15305" s="372">
        <v>0.0</v>
      </c>
      <c r="Z15305" s="372">
        <v>0.0</v>
      </c>
    </row>
    <row r="15306">
      <c r="Y15306" s="372">
        <v>0.0</v>
      </c>
      <c r="Z15306" s="372">
        <v>0.0</v>
      </c>
    </row>
    <row r="15307">
      <c r="Y15307" s="372">
        <v>0.0</v>
      </c>
      <c r="Z15307" s="372">
        <v>0.0</v>
      </c>
    </row>
    <row r="15308">
      <c r="Y15308" s="372">
        <v>0.0</v>
      </c>
      <c r="Z15308" s="372">
        <v>0.0</v>
      </c>
    </row>
    <row r="15309">
      <c r="Y15309" s="372">
        <v>0.0</v>
      </c>
      <c r="Z15309" s="372">
        <v>0.0</v>
      </c>
    </row>
    <row r="15310">
      <c r="Y15310" s="372">
        <v>0.0</v>
      </c>
      <c r="Z15310" s="372">
        <v>0.0</v>
      </c>
    </row>
    <row r="15311">
      <c r="Y15311" s="372">
        <v>0.0</v>
      </c>
      <c r="Z15311" s="372">
        <v>0.0</v>
      </c>
    </row>
    <row r="15312">
      <c r="Y15312" s="372">
        <v>0.0</v>
      </c>
      <c r="Z15312" s="372">
        <v>0.0</v>
      </c>
    </row>
    <row r="15313">
      <c r="Y15313" s="372">
        <v>0.0</v>
      </c>
      <c r="Z15313" s="372">
        <v>0.0</v>
      </c>
    </row>
    <row r="15314">
      <c r="Y15314" s="372">
        <v>0.0</v>
      </c>
      <c r="Z15314" s="372">
        <v>0.0</v>
      </c>
    </row>
    <row r="15315">
      <c r="Y15315" s="372">
        <v>0.0</v>
      </c>
      <c r="Z15315" s="372">
        <v>0.0</v>
      </c>
    </row>
    <row r="15316">
      <c r="Y15316" s="372">
        <v>0.0</v>
      </c>
      <c r="Z15316" s="372">
        <v>0.0</v>
      </c>
    </row>
    <row r="15317">
      <c r="Y15317" s="372">
        <v>0.0</v>
      </c>
      <c r="Z15317" s="372">
        <v>0.0</v>
      </c>
    </row>
    <row r="15318">
      <c r="Y15318" s="372">
        <v>0.0</v>
      </c>
      <c r="Z15318" s="372">
        <v>0.0</v>
      </c>
    </row>
    <row r="15319">
      <c r="Y15319" s="372">
        <v>0.0</v>
      </c>
      <c r="Z15319" s="372">
        <v>0.0</v>
      </c>
    </row>
    <row r="15320">
      <c r="Y15320" s="372">
        <v>0.0</v>
      </c>
      <c r="Z15320" s="372">
        <v>0.0</v>
      </c>
    </row>
    <row r="15321">
      <c r="Y15321" s="372">
        <v>0.0</v>
      </c>
      <c r="Z15321" s="372">
        <v>0.0</v>
      </c>
    </row>
    <row r="15322">
      <c r="Y15322" s="372">
        <v>0.0</v>
      </c>
      <c r="Z15322" s="372">
        <v>0.0</v>
      </c>
    </row>
    <row r="15323">
      <c r="Y15323" s="372">
        <v>0.0</v>
      </c>
      <c r="Z15323" s="372">
        <v>0.0</v>
      </c>
    </row>
    <row r="15324">
      <c r="Y15324" s="372">
        <v>0.0</v>
      </c>
      <c r="Z15324" s="372">
        <v>0.0</v>
      </c>
    </row>
    <row r="15325">
      <c r="Y15325" s="372">
        <v>0.0</v>
      </c>
      <c r="Z15325" s="372">
        <v>0.0</v>
      </c>
    </row>
    <row r="15326">
      <c r="Y15326" s="372">
        <v>0.0</v>
      </c>
      <c r="Z15326" s="372">
        <v>0.0</v>
      </c>
    </row>
    <row r="15327">
      <c r="Y15327" s="372">
        <v>0.0</v>
      </c>
      <c r="Z15327" s="372">
        <v>0.0</v>
      </c>
    </row>
    <row r="15328">
      <c r="Y15328" s="372">
        <v>0.0</v>
      </c>
      <c r="Z15328" s="372">
        <v>0.0</v>
      </c>
    </row>
    <row r="15329">
      <c r="Y15329" s="372">
        <v>0.0</v>
      </c>
      <c r="Z15329" s="372">
        <v>0.0</v>
      </c>
    </row>
    <row r="15330">
      <c r="Y15330" s="372">
        <v>0.0</v>
      </c>
      <c r="Z15330" s="372">
        <v>0.0</v>
      </c>
    </row>
    <row r="15331">
      <c r="Y15331" s="372">
        <v>0.0</v>
      </c>
      <c r="Z15331" s="372">
        <v>0.0</v>
      </c>
    </row>
    <row r="15332">
      <c r="Y15332" s="372">
        <v>0.0</v>
      </c>
      <c r="Z15332" s="372">
        <v>0.0</v>
      </c>
    </row>
    <row r="15333">
      <c r="Y15333" s="372">
        <v>0.0</v>
      </c>
      <c r="Z15333" s="372">
        <v>0.0</v>
      </c>
    </row>
    <row r="15334">
      <c r="Y15334" s="372">
        <v>0.0</v>
      </c>
      <c r="Z15334" s="372">
        <v>0.0</v>
      </c>
    </row>
    <row r="15335">
      <c r="Y15335" s="372">
        <v>0.0</v>
      </c>
      <c r="Z15335" s="372">
        <v>0.0</v>
      </c>
    </row>
    <row r="15336">
      <c r="Y15336" s="372">
        <v>0.0</v>
      </c>
      <c r="Z15336" s="372">
        <v>0.0</v>
      </c>
    </row>
    <row r="15337">
      <c r="Y15337" s="372">
        <v>0.0</v>
      </c>
      <c r="Z15337" s="372">
        <v>0.0</v>
      </c>
    </row>
    <row r="15338">
      <c r="Y15338" s="372">
        <v>0.0</v>
      </c>
      <c r="Z15338" s="372">
        <v>0.0</v>
      </c>
    </row>
    <row r="15339">
      <c r="Y15339" s="372">
        <v>0.0</v>
      </c>
      <c r="Z15339" s="372">
        <v>0.0</v>
      </c>
    </row>
    <row r="15340">
      <c r="Y15340" s="372">
        <v>0.0</v>
      </c>
      <c r="Z15340" s="372">
        <v>0.0</v>
      </c>
    </row>
    <row r="15341">
      <c r="Y15341" s="372">
        <v>0.0</v>
      </c>
      <c r="Z15341" s="372">
        <v>0.0</v>
      </c>
    </row>
    <row r="15342">
      <c r="Y15342" s="372">
        <v>0.0</v>
      </c>
      <c r="Z15342" s="372">
        <v>0.0</v>
      </c>
    </row>
    <row r="15343">
      <c r="Y15343" s="372">
        <v>0.0</v>
      </c>
      <c r="Z15343" s="372">
        <v>0.0</v>
      </c>
    </row>
    <row r="15344">
      <c r="Y15344" s="372">
        <v>0.0</v>
      </c>
      <c r="Z15344" s="372">
        <v>0.0</v>
      </c>
    </row>
    <row r="15345">
      <c r="Y15345" s="372">
        <v>0.0</v>
      </c>
      <c r="Z15345" s="372">
        <v>0.0</v>
      </c>
    </row>
    <row r="15346">
      <c r="Y15346" s="372">
        <v>0.0</v>
      </c>
      <c r="Z15346" s="372">
        <v>0.0</v>
      </c>
    </row>
    <row r="15347">
      <c r="Y15347" s="372">
        <v>0.0</v>
      </c>
      <c r="Z15347" s="372">
        <v>0.0</v>
      </c>
    </row>
    <row r="15348">
      <c r="Y15348" s="372">
        <v>0.0</v>
      </c>
      <c r="Z15348" s="372">
        <v>0.0</v>
      </c>
    </row>
    <row r="15349">
      <c r="Y15349" s="372">
        <v>0.0</v>
      </c>
      <c r="Z15349" s="372">
        <v>0.0</v>
      </c>
    </row>
    <row r="15350">
      <c r="Y15350" s="372">
        <v>0.0</v>
      </c>
      <c r="Z15350" s="372">
        <v>0.0</v>
      </c>
    </row>
    <row r="15351">
      <c r="Y15351" s="372">
        <v>0.0</v>
      </c>
      <c r="Z15351" s="372">
        <v>0.0</v>
      </c>
    </row>
    <row r="15352">
      <c r="Y15352" s="372">
        <v>0.0</v>
      </c>
      <c r="Z15352" s="372">
        <v>0.0</v>
      </c>
    </row>
    <row r="15353">
      <c r="Y15353" s="372">
        <v>0.0</v>
      </c>
      <c r="Z15353" s="372">
        <v>0.0</v>
      </c>
    </row>
    <row r="15354">
      <c r="Y15354" s="372">
        <v>0.0</v>
      </c>
      <c r="Z15354" s="372">
        <v>0.0</v>
      </c>
    </row>
    <row r="15355">
      <c r="Y15355" s="372">
        <v>0.0</v>
      </c>
      <c r="Z15355" s="372">
        <v>0.0</v>
      </c>
    </row>
    <row r="15356">
      <c r="Y15356" s="372">
        <v>0.0</v>
      </c>
      <c r="Z15356" s="372">
        <v>0.0</v>
      </c>
    </row>
    <row r="15357">
      <c r="Y15357" s="372">
        <v>0.0</v>
      </c>
      <c r="Z15357" s="372">
        <v>0.0</v>
      </c>
    </row>
    <row r="15358">
      <c r="Y15358" s="372">
        <v>0.0</v>
      </c>
      <c r="Z15358" s="372">
        <v>0.0</v>
      </c>
    </row>
    <row r="15359">
      <c r="Y15359" s="372">
        <v>0.0</v>
      </c>
      <c r="Z15359" s="372">
        <v>0.0</v>
      </c>
    </row>
    <row r="15360">
      <c r="Y15360" s="372">
        <v>0.0</v>
      </c>
      <c r="Z15360" s="372">
        <v>0.0</v>
      </c>
    </row>
    <row r="15361">
      <c r="Y15361" s="372">
        <v>0.0</v>
      </c>
      <c r="Z15361" s="372">
        <v>0.0</v>
      </c>
    </row>
    <row r="15362">
      <c r="Y15362" s="372">
        <v>0.0</v>
      </c>
      <c r="Z15362" s="372">
        <v>0.0</v>
      </c>
    </row>
    <row r="15363">
      <c r="Y15363" s="372">
        <v>0.0</v>
      </c>
      <c r="Z15363" s="372">
        <v>0.0</v>
      </c>
    </row>
    <row r="15364">
      <c r="Y15364" s="372">
        <v>0.0</v>
      </c>
      <c r="Z15364" s="372">
        <v>0.0</v>
      </c>
    </row>
    <row r="15365">
      <c r="Y15365" s="372">
        <v>0.0</v>
      </c>
      <c r="Z15365" s="372">
        <v>0.0</v>
      </c>
    </row>
    <row r="15366">
      <c r="Y15366" s="372">
        <v>0.0</v>
      </c>
      <c r="Z15366" s="372">
        <v>0.0</v>
      </c>
    </row>
    <row r="15367">
      <c r="Y15367" s="372">
        <v>0.0</v>
      </c>
      <c r="Z15367" s="372">
        <v>0.0</v>
      </c>
    </row>
    <row r="15368">
      <c r="Y15368" s="372">
        <v>0.0</v>
      </c>
      <c r="Z15368" s="372">
        <v>0.0</v>
      </c>
    </row>
    <row r="15369">
      <c r="Y15369" s="372">
        <v>0.0</v>
      </c>
      <c r="Z15369" s="372">
        <v>0.0</v>
      </c>
    </row>
    <row r="15370">
      <c r="Y15370" s="372">
        <v>0.0</v>
      </c>
      <c r="Z15370" s="372">
        <v>0.0</v>
      </c>
    </row>
    <row r="15371">
      <c r="Y15371" s="372">
        <v>0.0</v>
      </c>
      <c r="Z15371" s="372">
        <v>0.0</v>
      </c>
    </row>
    <row r="15372">
      <c r="Y15372" s="372">
        <v>0.0</v>
      </c>
      <c r="Z15372" s="372">
        <v>0.0</v>
      </c>
    </row>
    <row r="15373">
      <c r="Y15373" s="372">
        <v>0.0</v>
      </c>
      <c r="Z15373" s="372">
        <v>0.0</v>
      </c>
    </row>
    <row r="15374">
      <c r="Y15374" s="372">
        <v>0.0</v>
      </c>
      <c r="Z15374" s="372">
        <v>0.0</v>
      </c>
    </row>
    <row r="15375">
      <c r="Y15375" s="372">
        <v>0.0</v>
      </c>
      <c r="Z15375" s="372">
        <v>0.0</v>
      </c>
    </row>
    <row r="15376">
      <c r="Y15376" s="372">
        <v>0.0</v>
      </c>
      <c r="Z15376" s="372">
        <v>0.0</v>
      </c>
    </row>
    <row r="15377">
      <c r="Y15377" s="372">
        <v>0.0</v>
      </c>
      <c r="Z15377" s="372">
        <v>0.0</v>
      </c>
    </row>
    <row r="15378">
      <c r="Y15378" s="372">
        <v>0.0</v>
      </c>
      <c r="Z15378" s="372">
        <v>0.0</v>
      </c>
    </row>
    <row r="15379">
      <c r="Y15379" s="372">
        <v>0.0</v>
      </c>
      <c r="Z15379" s="372">
        <v>0.0</v>
      </c>
    </row>
    <row r="15380">
      <c r="Y15380" s="372">
        <v>0.0</v>
      </c>
      <c r="Z15380" s="372">
        <v>0.0</v>
      </c>
    </row>
    <row r="15381">
      <c r="Y15381" s="372">
        <v>0.0</v>
      </c>
      <c r="Z15381" s="372">
        <v>0.0</v>
      </c>
    </row>
    <row r="15382">
      <c r="Y15382" s="372">
        <v>0.0</v>
      </c>
      <c r="Z15382" s="372">
        <v>0.0</v>
      </c>
    </row>
    <row r="15383">
      <c r="Y15383" s="372">
        <v>0.0</v>
      </c>
      <c r="Z15383" s="372">
        <v>0.0</v>
      </c>
    </row>
    <row r="15384">
      <c r="Y15384" s="372">
        <v>0.0</v>
      </c>
      <c r="Z15384" s="372">
        <v>0.0</v>
      </c>
    </row>
    <row r="15385">
      <c r="Y15385" s="372">
        <v>0.0</v>
      </c>
      <c r="Z15385" s="372">
        <v>0.0</v>
      </c>
    </row>
    <row r="15386">
      <c r="Y15386" s="372">
        <v>0.0</v>
      </c>
      <c r="Z15386" s="372">
        <v>0.0</v>
      </c>
    </row>
    <row r="15387">
      <c r="Y15387" s="372">
        <v>0.0</v>
      </c>
      <c r="Z15387" s="372">
        <v>0.0</v>
      </c>
    </row>
    <row r="15388">
      <c r="Y15388" s="372">
        <v>0.0</v>
      </c>
      <c r="Z15388" s="372">
        <v>0.0</v>
      </c>
    </row>
    <row r="15389">
      <c r="Y15389" s="372">
        <v>0.0</v>
      </c>
      <c r="Z15389" s="372">
        <v>0.0</v>
      </c>
    </row>
    <row r="15390">
      <c r="Y15390" s="372">
        <v>0.0</v>
      </c>
      <c r="Z15390" s="372">
        <v>0.0</v>
      </c>
    </row>
    <row r="15391">
      <c r="Y15391" s="372">
        <v>0.0</v>
      </c>
      <c r="Z15391" s="372">
        <v>0.0</v>
      </c>
    </row>
    <row r="15392">
      <c r="Y15392" s="372">
        <v>0.0</v>
      </c>
      <c r="Z15392" s="372">
        <v>0.0</v>
      </c>
    </row>
    <row r="15393">
      <c r="Y15393" s="372">
        <v>0.0</v>
      </c>
      <c r="Z15393" s="372">
        <v>0.0</v>
      </c>
    </row>
    <row r="15394">
      <c r="Y15394" s="372">
        <v>0.0</v>
      </c>
      <c r="Z15394" s="372">
        <v>0.0</v>
      </c>
    </row>
    <row r="15395">
      <c r="Y15395" s="372">
        <v>0.0</v>
      </c>
      <c r="Z15395" s="372">
        <v>0.0</v>
      </c>
    </row>
    <row r="15396">
      <c r="Y15396" s="372">
        <v>0.0</v>
      </c>
      <c r="Z15396" s="372">
        <v>0.0</v>
      </c>
    </row>
    <row r="15397">
      <c r="Y15397" s="372">
        <v>0.0</v>
      </c>
      <c r="Z15397" s="372">
        <v>0.0</v>
      </c>
    </row>
    <row r="15398">
      <c r="Y15398" s="372">
        <v>0.0</v>
      </c>
      <c r="Z15398" s="372">
        <v>0.0</v>
      </c>
    </row>
    <row r="15399">
      <c r="Y15399" s="372">
        <v>0.0</v>
      </c>
      <c r="Z15399" s="372">
        <v>0.0</v>
      </c>
    </row>
    <row r="15400">
      <c r="Y15400" s="372">
        <v>0.0</v>
      </c>
      <c r="Z15400" s="372">
        <v>0.0</v>
      </c>
    </row>
    <row r="15401">
      <c r="Y15401" s="372">
        <v>0.0</v>
      </c>
      <c r="Z15401" s="372">
        <v>0.0</v>
      </c>
    </row>
    <row r="15402">
      <c r="Y15402" s="372">
        <v>0.0</v>
      </c>
      <c r="Z15402" s="372">
        <v>0.0</v>
      </c>
    </row>
    <row r="15403">
      <c r="Y15403" s="372">
        <v>0.0</v>
      </c>
      <c r="Z15403" s="372">
        <v>0.0</v>
      </c>
    </row>
    <row r="15404">
      <c r="Y15404" s="372">
        <v>0.0</v>
      </c>
      <c r="Z15404" s="372">
        <v>0.0</v>
      </c>
    </row>
    <row r="15405">
      <c r="Y15405" s="372">
        <v>0.0</v>
      </c>
      <c r="Z15405" s="372">
        <v>0.0</v>
      </c>
    </row>
    <row r="15406">
      <c r="Y15406" s="372">
        <v>0.0</v>
      </c>
      <c r="Z15406" s="372">
        <v>0.0</v>
      </c>
    </row>
    <row r="15407">
      <c r="Y15407" s="372">
        <v>0.0</v>
      </c>
      <c r="Z15407" s="372">
        <v>0.0</v>
      </c>
    </row>
    <row r="15408">
      <c r="Y15408" s="372">
        <v>0.0</v>
      </c>
      <c r="Z15408" s="372">
        <v>0.0</v>
      </c>
    </row>
    <row r="15409">
      <c r="Y15409" s="372">
        <v>0.0</v>
      </c>
      <c r="Z15409" s="372">
        <v>0.0</v>
      </c>
    </row>
    <row r="15410">
      <c r="Y15410" s="372">
        <v>0.0</v>
      </c>
      <c r="Z15410" s="372">
        <v>0.0</v>
      </c>
    </row>
    <row r="15411">
      <c r="Y15411" s="372">
        <v>0.0</v>
      </c>
      <c r="Z15411" s="372">
        <v>0.0</v>
      </c>
    </row>
    <row r="15412">
      <c r="Y15412" s="372">
        <v>0.0</v>
      </c>
      <c r="Z15412" s="372">
        <v>0.0</v>
      </c>
    </row>
    <row r="15413">
      <c r="Y15413" s="372">
        <v>0.0</v>
      </c>
      <c r="Z15413" s="372">
        <v>0.0</v>
      </c>
    </row>
    <row r="15414">
      <c r="Y15414" s="372">
        <v>0.0</v>
      </c>
      <c r="Z15414" s="372">
        <v>0.0</v>
      </c>
    </row>
    <row r="15415">
      <c r="Y15415" s="372">
        <v>0.0</v>
      </c>
      <c r="Z15415" s="372">
        <v>0.0</v>
      </c>
    </row>
    <row r="15416">
      <c r="Y15416" s="372">
        <v>0.0</v>
      </c>
      <c r="Z15416" s="372">
        <v>0.0</v>
      </c>
    </row>
    <row r="15417">
      <c r="Y15417" s="372">
        <v>0.0</v>
      </c>
      <c r="Z15417" s="372">
        <v>0.0</v>
      </c>
    </row>
    <row r="15418">
      <c r="Y15418" s="372">
        <v>0.0</v>
      </c>
      <c r="Z15418" s="372">
        <v>0.0</v>
      </c>
    </row>
    <row r="15419">
      <c r="Y15419" s="372">
        <v>0.0</v>
      </c>
      <c r="Z15419" s="372">
        <v>0.0</v>
      </c>
    </row>
    <row r="15420">
      <c r="Y15420" s="372">
        <v>0.0</v>
      </c>
      <c r="Z15420" s="372">
        <v>0.0</v>
      </c>
    </row>
    <row r="15421">
      <c r="Y15421" s="372">
        <v>0.0</v>
      </c>
      <c r="Z15421" s="372">
        <v>0.0</v>
      </c>
    </row>
    <row r="15422">
      <c r="Y15422" s="372">
        <v>0.0</v>
      </c>
      <c r="Z15422" s="372">
        <v>0.0</v>
      </c>
    </row>
    <row r="15423">
      <c r="Y15423" s="372">
        <v>0.0</v>
      </c>
      <c r="Z15423" s="372">
        <v>0.0</v>
      </c>
    </row>
    <row r="15424">
      <c r="Y15424" s="372">
        <v>0.0</v>
      </c>
      <c r="Z15424" s="372">
        <v>0.0</v>
      </c>
    </row>
    <row r="15425">
      <c r="Y15425" s="372">
        <v>0.0</v>
      </c>
      <c r="Z15425" s="372">
        <v>0.0</v>
      </c>
    </row>
    <row r="15426">
      <c r="Y15426" s="372">
        <v>0.0</v>
      </c>
      <c r="Z15426" s="372">
        <v>0.0</v>
      </c>
    </row>
    <row r="15427">
      <c r="Y15427" s="372">
        <v>0.0</v>
      </c>
      <c r="Z15427" s="372">
        <v>0.0</v>
      </c>
    </row>
    <row r="15428">
      <c r="Y15428" s="372">
        <v>0.0</v>
      </c>
      <c r="Z15428" s="372">
        <v>0.0</v>
      </c>
    </row>
    <row r="15429">
      <c r="Y15429" s="372">
        <v>0.0</v>
      </c>
      <c r="Z15429" s="372">
        <v>0.0</v>
      </c>
    </row>
    <row r="15430">
      <c r="Y15430" s="372">
        <v>0.0</v>
      </c>
      <c r="Z15430" s="372">
        <v>0.0</v>
      </c>
    </row>
    <row r="15431">
      <c r="Y15431" s="372">
        <v>0.0</v>
      </c>
      <c r="Z15431" s="372">
        <v>0.0</v>
      </c>
    </row>
    <row r="15432">
      <c r="Y15432" s="372">
        <v>0.0</v>
      </c>
      <c r="Z15432" s="372">
        <v>0.0</v>
      </c>
    </row>
    <row r="15433">
      <c r="Y15433" s="372">
        <v>0.0</v>
      </c>
      <c r="Z15433" s="372">
        <v>0.0</v>
      </c>
    </row>
    <row r="15434">
      <c r="Y15434" s="372">
        <v>0.0</v>
      </c>
      <c r="Z15434" s="372">
        <v>0.0</v>
      </c>
    </row>
    <row r="15435">
      <c r="Y15435" s="372">
        <v>0.0</v>
      </c>
      <c r="Z15435" s="372">
        <v>0.0</v>
      </c>
    </row>
    <row r="15436">
      <c r="Y15436" s="372">
        <v>0.0</v>
      </c>
      <c r="Z15436" s="372">
        <v>0.0</v>
      </c>
    </row>
    <row r="15437">
      <c r="Y15437" s="372">
        <v>0.0</v>
      </c>
      <c r="Z15437" s="372">
        <v>0.0</v>
      </c>
    </row>
    <row r="15438">
      <c r="Y15438" s="372">
        <v>0.0</v>
      </c>
      <c r="Z15438" s="372">
        <v>0.0</v>
      </c>
    </row>
    <row r="15439">
      <c r="Y15439" s="372">
        <v>0.0</v>
      </c>
      <c r="Z15439" s="372">
        <v>0.0</v>
      </c>
    </row>
    <row r="15440">
      <c r="Y15440" s="372">
        <v>0.0</v>
      </c>
      <c r="Z15440" s="372">
        <v>0.0</v>
      </c>
    </row>
    <row r="15441">
      <c r="Y15441" s="372">
        <v>0.0</v>
      </c>
      <c r="Z15441" s="372">
        <v>0.0</v>
      </c>
    </row>
    <row r="15442">
      <c r="Y15442" s="372">
        <v>0.0</v>
      </c>
      <c r="Z15442" s="372">
        <v>0.0</v>
      </c>
    </row>
    <row r="15443">
      <c r="Y15443" s="372">
        <v>0.0</v>
      </c>
      <c r="Z15443" s="372">
        <v>0.0</v>
      </c>
    </row>
    <row r="15444">
      <c r="Y15444" s="372">
        <v>0.0</v>
      </c>
      <c r="Z15444" s="372">
        <v>0.0</v>
      </c>
    </row>
    <row r="15445">
      <c r="Y15445" s="372">
        <v>0.0</v>
      </c>
      <c r="Z15445" s="372">
        <v>0.0</v>
      </c>
    </row>
    <row r="15446">
      <c r="Y15446" s="372">
        <v>0.0</v>
      </c>
      <c r="Z15446" s="372">
        <v>0.0</v>
      </c>
    </row>
    <row r="15447">
      <c r="Y15447" s="372">
        <v>0.0</v>
      </c>
      <c r="Z15447" s="372">
        <v>0.0</v>
      </c>
    </row>
    <row r="15448">
      <c r="Y15448" s="372">
        <v>0.0</v>
      </c>
      <c r="Z15448" s="372">
        <v>0.0</v>
      </c>
    </row>
    <row r="15449">
      <c r="Y15449" s="372">
        <v>0.0</v>
      </c>
      <c r="Z15449" s="372">
        <v>0.0</v>
      </c>
    </row>
    <row r="15450">
      <c r="Y15450" s="372">
        <v>0.0</v>
      </c>
      <c r="Z15450" s="372">
        <v>0.0</v>
      </c>
    </row>
    <row r="15451">
      <c r="Y15451" s="372">
        <v>0.0</v>
      </c>
      <c r="Z15451" s="372">
        <v>0.0</v>
      </c>
    </row>
    <row r="15452">
      <c r="Y15452" s="372">
        <v>0.0</v>
      </c>
      <c r="Z15452" s="372">
        <v>0.0</v>
      </c>
    </row>
    <row r="15453">
      <c r="Y15453" s="372">
        <v>0.0</v>
      </c>
      <c r="Z15453" s="372">
        <v>0.0</v>
      </c>
    </row>
    <row r="15454">
      <c r="Y15454" s="372">
        <v>0.0</v>
      </c>
      <c r="Z15454" s="372">
        <v>0.0</v>
      </c>
    </row>
    <row r="15455">
      <c r="Y15455" s="372">
        <v>0.0</v>
      </c>
      <c r="Z15455" s="372">
        <v>0.0</v>
      </c>
    </row>
    <row r="15456">
      <c r="Y15456" s="372">
        <v>0.0</v>
      </c>
      <c r="Z15456" s="372">
        <v>0.0</v>
      </c>
    </row>
    <row r="15457">
      <c r="Y15457" s="372">
        <v>0.0</v>
      </c>
      <c r="Z15457" s="372">
        <v>0.0</v>
      </c>
    </row>
    <row r="15458">
      <c r="Y15458" s="372">
        <v>0.0</v>
      </c>
      <c r="Z15458" s="372">
        <v>0.0</v>
      </c>
    </row>
    <row r="15459">
      <c r="Y15459" s="372">
        <v>0.0</v>
      </c>
      <c r="Z15459" s="372">
        <v>0.0</v>
      </c>
    </row>
    <row r="15460">
      <c r="Y15460" s="372">
        <v>0.0</v>
      </c>
      <c r="Z15460" s="372">
        <v>0.0</v>
      </c>
    </row>
    <row r="15461">
      <c r="Y15461" s="372">
        <v>0.0</v>
      </c>
      <c r="Z15461" s="372">
        <v>0.0</v>
      </c>
    </row>
    <row r="15462">
      <c r="Y15462" s="372">
        <v>0.0</v>
      </c>
      <c r="Z15462" s="372">
        <v>0.0</v>
      </c>
    </row>
    <row r="15463">
      <c r="Y15463" s="372">
        <v>0.0</v>
      </c>
      <c r="Z15463" s="372">
        <v>0.0</v>
      </c>
    </row>
    <row r="15464">
      <c r="Y15464" s="372">
        <v>0.0</v>
      </c>
      <c r="Z15464" s="372">
        <v>0.0</v>
      </c>
    </row>
    <row r="15465">
      <c r="Y15465" s="372">
        <v>0.0</v>
      </c>
      <c r="Z15465" s="372">
        <v>0.0</v>
      </c>
    </row>
    <row r="15466">
      <c r="Y15466" s="372">
        <v>0.0</v>
      </c>
      <c r="Z15466" s="372">
        <v>0.0</v>
      </c>
    </row>
    <row r="15467">
      <c r="Y15467" s="372">
        <v>0.0</v>
      </c>
      <c r="Z15467" s="372">
        <v>0.0</v>
      </c>
    </row>
    <row r="15468">
      <c r="Y15468" s="372">
        <v>0.0</v>
      </c>
      <c r="Z15468" s="372">
        <v>0.0</v>
      </c>
    </row>
    <row r="15469">
      <c r="Y15469" s="372">
        <v>0.0</v>
      </c>
      <c r="Z15469" s="372">
        <v>0.0</v>
      </c>
    </row>
    <row r="15470">
      <c r="Y15470" s="372">
        <v>0.0</v>
      </c>
      <c r="Z15470" s="372">
        <v>0.0</v>
      </c>
    </row>
    <row r="15471">
      <c r="Y15471" s="372">
        <v>0.0</v>
      </c>
      <c r="Z15471" s="372">
        <v>0.0</v>
      </c>
    </row>
    <row r="15472">
      <c r="Y15472" s="372">
        <v>0.0</v>
      </c>
      <c r="Z15472" s="372">
        <v>0.0</v>
      </c>
    </row>
    <row r="15473">
      <c r="Y15473" s="372">
        <v>0.0</v>
      </c>
      <c r="Z15473" s="372">
        <v>0.0</v>
      </c>
    </row>
    <row r="15474">
      <c r="Y15474" s="372">
        <v>0.0</v>
      </c>
      <c r="Z15474" s="372">
        <v>0.0</v>
      </c>
    </row>
    <row r="15475">
      <c r="Y15475" s="372">
        <v>0.0</v>
      </c>
      <c r="Z15475" s="372">
        <v>0.0</v>
      </c>
    </row>
    <row r="15476">
      <c r="Y15476" s="372">
        <v>0.0</v>
      </c>
      <c r="Z15476" s="372">
        <v>0.0</v>
      </c>
    </row>
    <row r="15477">
      <c r="Y15477" s="372">
        <v>0.0</v>
      </c>
      <c r="Z15477" s="372">
        <v>0.0</v>
      </c>
    </row>
    <row r="15478">
      <c r="Y15478" s="372">
        <v>0.0</v>
      </c>
      <c r="Z15478" s="372">
        <v>0.0</v>
      </c>
    </row>
    <row r="15479">
      <c r="Y15479" s="372">
        <v>0.0</v>
      </c>
      <c r="Z15479" s="372">
        <v>0.0</v>
      </c>
    </row>
    <row r="15480">
      <c r="Y15480" s="372">
        <v>0.0</v>
      </c>
      <c r="Z15480" s="372">
        <v>0.0</v>
      </c>
    </row>
    <row r="15481">
      <c r="Y15481" s="372">
        <v>0.0</v>
      </c>
      <c r="Z15481" s="372">
        <v>0.0</v>
      </c>
    </row>
    <row r="15482">
      <c r="Y15482" s="372">
        <v>0.0</v>
      </c>
      <c r="Z15482" s="372">
        <v>0.0</v>
      </c>
    </row>
    <row r="15483">
      <c r="Y15483" s="372">
        <v>0.0</v>
      </c>
      <c r="Z15483" s="372">
        <v>0.0</v>
      </c>
    </row>
    <row r="15484">
      <c r="Y15484" s="372">
        <v>0.0</v>
      </c>
      <c r="Z15484" s="372">
        <v>0.0</v>
      </c>
    </row>
    <row r="15485">
      <c r="Y15485" s="372">
        <v>0.0</v>
      </c>
      <c r="Z15485" s="372">
        <v>0.0</v>
      </c>
    </row>
    <row r="15486">
      <c r="Y15486" s="372">
        <v>0.0</v>
      </c>
      <c r="Z15486" s="372">
        <v>0.0</v>
      </c>
    </row>
    <row r="15487">
      <c r="Y15487" s="372">
        <v>0.0</v>
      </c>
      <c r="Z15487" s="372">
        <v>0.0</v>
      </c>
    </row>
    <row r="15488">
      <c r="Y15488" s="372">
        <v>0.0</v>
      </c>
      <c r="Z15488" s="372">
        <v>0.0</v>
      </c>
    </row>
    <row r="15489">
      <c r="Y15489" s="372">
        <v>0.0</v>
      </c>
      <c r="Z15489" s="372">
        <v>0.0</v>
      </c>
    </row>
    <row r="15490">
      <c r="Y15490" s="372">
        <v>0.0</v>
      </c>
      <c r="Z15490" s="372">
        <v>0.0</v>
      </c>
    </row>
    <row r="15491">
      <c r="Y15491" s="372">
        <v>0.0</v>
      </c>
      <c r="Z15491" s="372">
        <v>0.0</v>
      </c>
    </row>
    <row r="15492">
      <c r="Y15492" s="372">
        <v>0.0</v>
      </c>
      <c r="Z15492" s="372">
        <v>0.0</v>
      </c>
    </row>
    <row r="15493">
      <c r="Y15493" s="372">
        <v>0.0</v>
      </c>
      <c r="Z15493" s="372">
        <v>0.0</v>
      </c>
    </row>
    <row r="15494">
      <c r="Y15494" s="372">
        <v>0.0</v>
      </c>
      <c r="Z15494" s="372">
        <v>0.0</v>
      </c>
    </row>
    <row r="15495">
      <c r="Y15495" s="372">
        <v>0.0</v>
      </c>
      <c r="Z15495" s="372">
        <v>0.0</v>
      </c>
    </row>
    <row r="15496">
      <c r="Y15496" s="372">
        <v>0.0</v>
      </c>
      <c r="Z15496" s="372">
        <v>0.0</v>
      </c>
    </row>
    <row r="15497">
      <c r="Y15497" s="372">
        <v>0.0</v>
      </c>
      <c r="Z15497" s="372">
        <v>0.0</v>
      </c>
    </row>
    <row r="15498">
      <c r="Y15498" s="372">
        <v>0.0</v>
      </c>
      <c r="Z15498" s="372">
        <v>0.0</v>
      </c>
    </row>
    <row r="15499">
      <c r="Y15499" s="372">
        <v>0.0</v>
      </c>
      <c r="Z15499" s="372">
        <v>0.0</v>
      </c>
    </row>
    <row r="15500">
      <c r="Y15500" s="372">
        <v>0.0</v>
      </c>
      <c r="Z15500" s="372">
        <v>0.0</v>
      </c>
    </row>
    <row r="15501">
      <c r="Y15501" s="372">
        <v>0.0</v>
      </c>
      <c r="Z15501" s="372">
        <v>0.0</v>
      </c>
    </row>
    <row r="15502">
      <c r="Y15502" s="372">
        <v>0.0</v>
      </c>
      <c r="Z15502" s="372">
        <v>0.0</v>
      </c>
    </row>
    <row r="15503">
      <c r="Y15503" s="372">
        <v>0.0</v>
      </c>
      <c r="Z15503" s="372">
        <v>0.0</v>
      </c>
    </row>
    <row r="15504">
      <c r="Y15504" s="372">
        <v>0.0</v>
      </c>
      <c r="Z15504" s="372">
        <v>0.0</v>
      </c>
    </row>
    <row r="15505">
      <c r="Y15505" s="372">
        <v>0.0</v>
      </c>
      <c r="Z15505" s="372">
        <v>0.0</v>
      </c>
    </row>
    <row r="15506">
      <c r="Y15506" s="372">
        <v>0.0</v>
      </c>
      <c r="Z15506" s="372">
        <v>0.0</v>
      </c>
    </row>
    <row r="15507">
      <c r="Y15507" s="372">
        <v>0.0</v>
      </c>
      <c r="Z15507" s="372">
        <v>0.0</v>
      </c>
    </row>
    <row r="15508">
      <c r="Y15508" s="372">
        <v>0.0</v>
      </c>
      <c r="Z15508" s="372">
        <v>0.0</v>
      </c>
    </row>
    <row r="15509">
      <c r="Y15509" s="372">
        <v>0.0</v>
      </c>
      <c r="Z15509" s="372">
        <v>0.0</v>
      </c>
    </row>
    <row r="15510">
      <c r="Y15510" s="372">
        <v>0.0</v>
      </c>
      <c r="Z15510" s="372">
        <v>0.0</v>
      </c>
    </row>
    <row r="15511">
      <c r="Y15511" s="372">
        <v>0.0</v>
      </c>
      <c r="Z15511" s="372">
        <v>0.0</v>
      </c>
    </row>
    <row r="15512">
      <c r="Y15512" s="372">
        <v>0.0</v>
      </c>
      <c r="Z15512" s="372">
        <v>0.0</v>
      </c>
    </row>
    <row r="15513">
      <c r="Y15513" s="372">
        <v>0.0</v>
      </c>
      <c r="Z15513" s="372">
        <v>0.0</v>
      </c>
    </row>
    <row r="15514">
      <c r="Y15514" s="372">
        <v>0.0</v>
      </c>
      <c r="Z15514" s="372">
        <v>0.0</v>
      </c>
    </row>
    <row r="15515">
      <c r="Y15515" s="372">
        <v>0.0</v>
      </c>
      <c r="Z15515" s="372">
        <v>0.0</v>
      </c>
    </row>
    <row r="15516">
      <c r="Y15516" s="372">
        <v>0.0</v>
      </c>
      <c r="Z15516" s="372">
        <v>0.0</v>
      </c>
    </row>
    <row r="15517">
      <c r="Y15517" s="372">
        <v>0.0</v>
      </c>
      <c r="Z15517" s="372">
        <v>0.0</v>
      </c>
    </row>
    <row r="15518">
      <c r="Y15518" s="372">
        <v>0.0</v>
      </c>
      <c r="Z15518" s="372">
        <v>0.0</v>
      </c>
    </row>
    <row r="15519">
      <c r="Y15519" s="372">
        <v>0.0</v>
      </c>
      <c r="Z15519" s="372">
        <v>0.0</v>
      </c>
    </row>
    <row r="15520">
      <c r="Y15520" s="372">
        <v>0.0</v>
      </c>
      <c r="Z15520" s="372">
        <v>0.0</v>
      </c>
    </row>
    <row r="15521">
      <c r="Y15521" s="372">
        <v>0.0</v>
      </c>
      <c r="Z15521" s="372">
        <v>0.0</v>
      </c>
    </row>
    <row r="15522">
      <c r="Y15522" s="372">
        <v>0.0</v>
      </c>
      <c r="Z15522" s="372">
        <v>0.0</v>
      </c>
    </row>
    <row r="15523">
      <c r="Y15523" s="372">
        <v>0.0</v>
      </c>
      <c r="Z15523" s="372">
        <v>0.0</v>
      </c>
    </row>
    <row r="15524">
      <c r="Y15524" s="372">
        <v>0.0</v>
      </c>
      <c r="Z15524" s="372">
        <v>0.0</v>
      </c>
    </row>
    <row r="15525">
      <c r="Y15525" s="372">
        <v>0.0</v>
      </c>
      <c r="Z15525" s="372">
        <v>0.0</v>
      </c>
    </row>
    <row r="15526">
      <c r="Y15526" s="372">
        <v>0.0</v>
      </c>
      <c r="Z15526" s="372">
        <v>0.0</v>
      </c>
    </row>
    <row r="15527">
      <c r="Y15527" s="372">
        <v>0.0</v>
      </c>
      <c r="Z15527" s="372">
        <v>0.0</v>
      </c>
    </row>
    <row r="15528">
      <c r="Y15528" s="372">
        <v>0.0</v>
      </c>
      <c r="Z15528" s="372">
        <v>0.0</v>
      </c>
    </row>
    <row r="15529">
      <c r="Y15529" s="372">
        <v>0.0</v>
      </c>
      <c r="Z15529" s="372">
        <v>0.0</v>
      </c>
    </row>
    <row r="15530">
      <c r="Y15530" s="372">
        <v>0.0</v>
      </c>
      <c r="Z15530" s="372">
        <v>0.0</v>
      </c>
    </row>
    <row r="15531">
      <c r="Y15531" s="372">
        <v>0.0</v>
      </c>
      <c r="Z15531" s="372">
        <v>0.0</v>
      </c>
    </row>
    <row r="15532">
      <c r="Y15532" s="372">
        <v>0.0</v>
      </c>
      <c r="Z15532" s="372">
        <v>0.0</v>
      </c>
    </row>
    <row r="15533">
      <c r="Y15533" s="372">
        <v>0.0</v>
      </c>
      <c r="Z15533" s="372">
        <v>0.0</v>
      </c>
    </row>
    <row r="15534">
      <c r="Y15534" s="372">
        <v>0.0</v>
      </c>
      <c r="Z15534" s="372">
        <v>0.0</v>
      </c>
    </row>
    <row r="15535">
      <c r="Y15535" s="372">
        <v>0.0</v>
      </c>
      <c r="Z15535" s="372">
        <v>0.0</v>
      </c>
    </row>
    <row r="15536">
      <c r="Y15536" s="372">
        <v>0.0</v>
      </c>
      <c r="Z15536" s="372">
        <v>0.0</v>
      </c>
    </row>
    <row r="15537">
      <c r="Y15537" s="372">
        <v>0.0</v>
      </c>
      <c r="Z15537" s="372">
        <v>0.0</v>
      </c>
    </row>
    <row r="15538">
      <c r="Y15538" s="372">
        <v>0.0</v>
      </c>
      <c r="Z15538" s="372">
        <v>0.0</v>
      </c>
    </row>
    <row r="15539">
      <c r="Y15539" s="372">
        <v>0.0</v>
      </c>
      <c r="Z15539" s="372">
        <v>0.0</v>
      </c>
    </row>
    <row r="15540">
      <c r="Y15540" s="372">
        <v>0.0</v>
      </c>
      <c r="Z15540" s="372">
        <v>0.0</v>
      </c>
    </row>
    <row r="15541">
      <c r="Y15541" s="372">
        <v>0.0</v>
      </c>
      <c r="Z15541" s="372">
        <v>0.0</v>
      </c>
    </row>
    <row r="15542">
      <c r="Y15542" s="372">
        <v>0.0</v>
      </c>
      <c r="Z15542" s="372">
        <v>0.0</v>
      </c>
    </row>
    <row r="15543">
      <c r="Y15543" s="372">
        <v>0.0</v>
      </c>
      <c r="Z15543" s="372">
        <v>0.0</v>
      </c>
    </row>
    <row r="15544">
      <c r="Y15544" s="372">
        <v>0.0</v>
      </c>
      <c r="Z15544" s="372">
        <v>0.0</v>
      </c>
    </row>
    <row r="15545">
      <c r="Y15545" s="372">
        <v>0.0</v>
      </c>
      <c r="Z15545" s="372">
        <v>0.0</v>
      </c>
    </row>
    <row r="15546">
      <c r="Y15546" s="372">
        <v>0.0</v>
      </c>
      <c r="Z15546" s="372">
        <v>0.0</v>
      </c>
    </row>
    <row r="15547">
      <c r="Y15547" s="372">
        <v>0.0</v>
      </c>
      <c r="Z15547" s="372">
        <v>0.0</v>
      </c>
    </row>
    <row r="15548">
      <c r="Y15548" s="372">
        <v>0.0</v>
      </c>
      <c r="Z15548" s="372">
        <v>0.0</v>
      </c>
    </row>
    <row r="15549">
      <c r="Y15549" s="372">
        <v>0.0</v>
      </c>
      <c r="Z15549" s="372">
        <v>0.0</v>
      </c>
    </row>
    <row r="15550">
      <c r="Y15550" s="372">
        <v>0.0</v>
      </c>
      <c r="Z15550" s="372">
        <v>0.0</v>
      </c>
    </row>
    <row r="15551">
      <c r="Y15551" s="372">
        <v>0.0</v>
      </c>
      <c r="Z15551" s="372">
        <v>0.0</v>
      </c>
    </row>
    <row r="15552">
      <c r="Y15552" s="372">
        <v>0.0</v>
      </c>
      <c r="Z15552" s="372">
        <v>0.0</v>
      </c>
    </row>
    <row r="15553">
      <c r="Y15553" s="372">
        <v>0.0</v>
      </c>
      <c r="Z15553" s="372">
        <v>0.0</v>
      </c>
    </row>
    <row r="15554">
      <c r="Y15554" s="372">
        <v>0.0</v>
      </c>
      <c r="Z15554" s="372">
        <v>0.0</v>
      </c>
    </row>
    <row r="15555">
      <c r="Y15555" s="372">
        <v>0.0</v>
      </c>
      <c r="Z15555" s="372">
        <v>0.0</v>
      </c>
    </row>
    <row r="15556">
      <c r="Y15556" s="372">
        <v>0.0</v>
      </c>
      <c r="Z15556" s="372">
        <v>0.0</v>
      </c>
    </row>
    <row r="15557">
      <c r="Y15557" s="372">
        <v>0.0</v>
      </c>
      <c r="Z15557" s="372">
        <v>0.0</v>
      </c>
    </row>
    <row r="15558">
      <c r="Y15558" s="372">
        <v>0.0</v>
      </c>
      <c r="Z15558" s="372">
        <v>0.0</v>
      </c>
    </row>
    <row r="15559">
      <c r="Y15559" s="372">
        <v>0.0</v>
      </c>
      <c r="Z15559" s="372">
        <v>0.0</v>
      </c>
    </row>
    <row r="15560">
      <c r="Y15560" s="372">
        <v>0.0</v>
      </c>
      <c r="Z15560" s="372">
        <v>0.0</v>
      </c>
    </row>
    <row r="15561">
      <c r="Y15561" s="372">
        <v>0.0</v>
      </c>
      <c r="Z15561" s="372">
        <v>0.0</v>
      </c>
    </row>
    <row r="15562">
      <c r="Y15562" s="372">
        <v>0.0</v>
      </c>
      <c r="Z15562" s="372">
        <v>0.0</v>
      </c>
    </row>
    <row r="15563">
      <c r="Y15563" s="372">
        <v>0.0</v>
      </c>
      <c r="Z15563" s="372">
        <v>0.0</v>
      </c>
    </row>
    <row r="15564">
      <c r="Y15564" s="372">
        <v>0.0</v>
      </c>
      <c r="Z15564" s="372">
        <v>0.0</v>
      </c>
    </row>
    <row r="15565">
      <c r="Y15565" s="372">
        <v>0.0</v>
      </c>
      <c r="Z15565" s="372">
        <v>0.0</v>
      </c>
    </row>
    <row r="15566">
      <c r="Y15566" s="372">
        <v>0.0</v>
      </c>
      <c r="Z15566" s="372">
        <v>0.0</v>
      </c>
    </row>
    <row r="15567">
      <c r="Y15567" s="372">
        <v>0.0</v>
      </c>
      <c r="Z15567" s="372">
        <v>0.0</v>
      </c>
    </row>
    <row r="15568">
      <c r="Y15568" s="372">
        <v>0.0</v>
      </c>
      <c r="Z15568" s="372">
        <v>0.0</v>
      </c>
    </row>
    <row r="15569">
      <c r="Y15569" s="372">
        <v>0.0</v>
      </c>
      <c r="Z15569" s="372">
        <v>0.0</v>
      </c>
    </row>
    <row r="15570">
      <c r="Y15570" s="372">
        <v>0.0</v>
      </c>
      <c r="Z15570" s="372">
        <v>0.0</v>
      </c>
    </row>
    <row r="15571">
      <c r="Y15571" s="372">
        <v>0.0</v>
      </c>
      <c r="Z15571" s="372">
        <v>0.0</v>
      </c>
    </row>
    <row r="15572">
      <c r="Y15572" s="372">
        <v>0.0</v>
      </c>
      <c r="Z15572" s="372">
        <v>0.0</v>
      </c>
    </row>
    <row r="15573">
      <c r="Y15573" s="372">
        <v>0.0</v>
      </c>
      <c r="Z15573" s="372">
        <v>0.0</v>
      </c>
    </row>
    <row r="15574">
      <c r="Y15574" s="372">
        <v>0.0</v>
      </c>
      <c r="Z15574" s="372">
        <v>0.0</v>
      </c>
    </row>
    <row r="15575">
      <c r="Y15575" s="372">
        <v>0.0</v>
      </c>
      <c r="Z15575" s="372">
        <v>0.0</v>
      </c>
    </row>
    <row r="15576">
      <c r="Y15576" s="372">
        <v>0.0</v>
      </c>
      <c r="Z15576" s="372">
        <v>0.0</v>
      </c>
    </row>
    <row r="15577">
      <c r="Y15577" s="372">
        <v>0.0</v>
      </c>
      <c r="Z15577" s="372">
        <v>0.0</v>
      </c>
    </row>
    <row r="15578">
      <c r="Y15578" s="372">
        <v>0.0</v>
      </c>
      <c r="Z15578" s="372">
        <v>0.0</v>
      </c>
    </row>
    <row r="15579">
      <c r="Y15579" s="372">
        <v>0.0</v>
      </c>
      <c r="Z15579" s="372">
        <v>0.0</v>
      </c>
    </row>
    <row r="15580">
      <c r="Y15580" s="372">
        <v>0.0</v>
      </c>
      <c r="Z15580" s="372">
        <v>0.0</v>
      </c>
    </row>
    <row r="15581">
      <c r="Y15581" s="372">
        <v>0.0</v>
      </c>
      <c r="Z15581" s="372">
        <v>0.0</v>
      </c>
    </row>
    <row r="15582">
      <c r="Y15582" s="372">
        <v>0.0</v>
      </c>
      <c r="Z15582" s="372">
        <v>0.0</v>
      </c>
    </row>
    <row r="15583">
      <c r="Y15583" s="372">
        <v>0.0</v>
      </c>
      <c r="Z15583" s="372">
        <v>0.0</v>
      </c>
    </row>
    <row r="15584">
      <c r="Y15584" s="372">
        <v>0.0</v>
      </c>
      <c r="Z15584" s="372">
        <v>0.0</v>
      </c>
    </row>
    <row r="15585">
      <c r="Y15585" s="372">
        <v>0.0</v>
      </c>
      <c r="Z15585" s="372">
        <v>0.0</v>
      </c>
    </row>
    <row r="15586">
      <c r="Y15586" s="372">
        <v>0.0</v>
      </c>
      <c r="Z15586" s="372">
        <v>0.0</v>
      </c>
    </row>
    <row r="15587">
      <c r="Y15587" s="372">
        <v>0.0</v>
      </c>
      <c r="Z15587" s="372">
        <v>0.0</v>
      </c>
    </row>
    <row r="15588">
      <c r="Y15588" s="372">
        <v>0.0</v>
      </c>
      <c r="Z15588" s="372">
        <v>0.0</v>
      </c>
    </row>
    <row r="15589">
      <c r="Y15589" s="372">
        <v>0.0</v>
      </c>
      <c r="Z15589" s="372">
        <v>0.0</v>
      </c>
    </row>
    <row r="15590">
      <c r="Y15590" s="372">
        <v>0.0</v>
      </c>
      <c r="Z15590" s="372">
        <v>0.0</v>
      </c>
    </row>
    <row r="15591">
      <c r="Y15591" s="372">
        <v>0.0</v>
      </c>
      <c r="Z15591" s="372">
        <v>0.0</v>
      </c>
    </row>
    <row r="15592">
      <c r="Y15592" s="372">
        <v>0.0</v>
      </c>
      <c r="Z15592" s="372">
        <v>0.0</v>
      </c>
    </row>
    <row r="15593">
      <c r="Y15593" s="372">
        <v>0.0</v>
      </c>
      <c r="Z15593" s="372">
        <v>0.0</v>
      </c>
    </row>
    <row r="15594">
      <c r="Y15594" s="372">
        <v>0.0</v>
      </c>
      <c r="Z15594" s="372">
        <v>0.0</v>
      </c>
    </row>
    <row r="15595">
      <c r="Y15595" s="372">
        <v>0.0</v>
      </c>
      <c r="Z15595" s="372">
        <v>0.0</v>
      </c>
    </row>
    <row r="15596">
      <c r="Y15596" s="372">
        <v>0.0</v>
      </c>
      <c r="Z15596" s="372">
        <v>0.0</v>
      </c>
    </row>
    <row r="15597">
      <c r="Y15597" s="372">
        <v>0.0</v>
      </c>
      <c r="Z15597" s="372">
        <v>0.0</v>
      </c>
    </row>
    <row r="15598">
      <c r="Y15598" s="372">
        <v>0.0</v>
      </c>
      <c r="Z15598" s="372">
        <v>0.0</v>
      </c>
    </row>
    <row r="15599">
      <c r="Y15599" s="372">
        <v>0.0</v>
      </c>
      <c r="Z15599" s="372">
        <v>0.0</v>
      </c>
    </row>
    <row r="15600">
      <c r="Y15600" s="372">
        <v>0.0</v>
      </c>
      <c r="Z15600" s="372">
        <v>0.0</v>
      </c>
    </row>
    <row r="15601">
      <c r="Y15601" s="372">
        <v>0.0</v>
      </c>
      <c r="Z15601" s="372">
        <v>0.0</v>
      </c>
    </row>
    <row r="15602">
      <c r="Y15602" s="372">
        <v>0.0</v>
      </c>
      <c r="Z15602" s="372">
        <v>0.0</v>
      </c>
    </row>
    <row r="15603">
      <c r="Y15603" s="372">
        <v>0.0</v>
      </c>
      <c r="Z15603" s="372">
        <v>0.0</v>
      </c>
    </row>
    <row r="15604">
      <c r="Y15604" s="372">
        <v>0.0</v>
      </c>
      <c r="Z15604" s="372">
        <v>0.0</v>
      </c>
    </row>
    <row r="15605">
      <c r="Y15605" s="372">
        <v>0.0</v>
      </c>
      <c r="Z15605" s="372">
        <v>0.0</v>
      </c>
    </row>
    <row r="15606">
      <c r="Y15606" s="372">
        <v>0.0</v>
      </c>
      <c r="Z15606" s="372">
        <v>0.0</v>
      </c>
    </row>
    <row r="15607">
      <c r="Y15607" s="372">
        <v>0.0</v>
      </c>
      <c r="Z15607" s="372">
        <v>0.0</v>
      </c>
    </row>
    <row r="15608">
      <c r="Y15608" s="372">
        <v>0.0</v>
      </c>
      <c r="Z15608" s="372">
        <v>0.0</v>
      </c>
    </row>
    <row r="15609">
      <c r="Y15609" s="372">
        <v>0.0</v>
      </c>
      <c r="Z15609" s="372">
        <v>0.0</v>
      </c>
    </row>
    <row r="15610">
      <c r="Y15610" s="372">
        <v>0.0</v>
      </c>
      <c r="Z15610" s="372">
        <v>0.0</v>
      </c>
    </row>
    <row r="15611">
      <c r="Y15611" s="372">
        <v>0.0</v>
      </c>
      <c r="Z15611" s="372">
        <v>0.0</v>
      </c>
    </row>
    <row r="15612">
      <c r="Y15612" s="372">
        <v>0.0</v>
      </c>
      <c r="Z15612" s="372">
        <v>0.0</v>
      </c>
    </row>
    <row r="15613">
      <c r="Y15613" s="372">
        <v>0.0</v>
      </c>
      <c r="Z15613" s="372">
        <v>0.0</v>
      </c>
    </row>
    <row r="15614">
      <c r="Y15614" s="372">
        <v>0.0</v>
      </c>
      <c r="Z15614" s="372">
        <v>0.0</v>
      </c>
    </row>
    <row r="15615">
      <c r="Y15615" s="372">
        <v>0.0</v>
      </c>
      <c r="Z15615" s="372">
        <v>0.0</v>
      </c>
    </row>
    <row r="15616">
      <c r="Y15616" s="372">
        <v>0.0</v>
      </c>
      <c r="Z15616" s="372">
        <v>0.0</v>
      </c>
    </row>
    <row r="15617">
      <c r="Y15617" s="372">
        <v>0.0</v>
      </c>
      <c r="Z15617" s="372">
        <v>0.0</v>
      </c>
    </row>
    <row r="15618">
      <c r="Y15618" s="372">
        <v>0.0</v>
      </c>
      <c r="Z15618" s="372">
        <v>0.0</v>
      </c>
    </row>
    <row r="15619">
      <c r="Y15619" s="372">
        <v>0.0</v>
      </c>
      <c r="Z15619" s="372">
        <v>0.0</v>
      </c>
    </row>
    <row r="15620">
      <c r="Y15620" s="372">
        <v>0.0</v>
      </c>
      <c r="Z15620" s="372">
        <v>0.0</v>
      </c>
    </row>
    <row r="15621">
      <c r="Y15621" s="372">
        <v>0.0</v>
      </c>
      <c r="Z15621" s="372">
        <v>0.0</v>
      </c>
    </row>
    <row r="15622">
      <c r="Y15622" s="372">
        <v>0.0</v>
      </c>
      <c r="Z15622" s="372">
        <v>0.0</v>
      </c>
    </row>
    <row r="15623">
      <c r="Y15623" s="372">
        <v>0.0</v>
      </c>
      <c r="Z15623" s="372">
        <v>0.0</v>
      </c>
    </row>
    <row r="15624">
      <c r="Y15624" s="372">
        <v>0.0</v>
      </c>
      <c r="Z15624" s="372">
        <v>0.0</v>
      </c>
    </row>
    <row r="15625">
      <c r="Y15625" s="372">
        <v>0.0</v>
      </c>
      <c r="Z15625" s="372">
        <v>0.0</v>
      </c>
    </row>
    <row r="15626">
      <c r="Y15626" s="372">
        <v>0.0</v>
      </c>
      <c r="Z15626" s="372">
        <v>0.0</v>
      </c>
    </row>
    <row r="15627">
      <c r="Y15627" s="372">
        <v>0.0</v>
      </c>
      <c r="Z15627" s="372">
        <v>0.0</v>
      </c>
    </row>
    <row r="15628">
      <c r="Y15628" s="372">
        <v>0.0</v>
      </c>
      <c r="Z15628" s="372">
        <v>0.0</v>
      </c>
    </row>
    <row r="15629">
      <c r="Y15629" s="372">
        <v>0.0</v>
      </c>
      <c r="Z15629" s="372">
        <v>0.0</v>
      </c>
    </row>
    <row r="15630">
      <c r="Y15630" s="372">
        <v>0.0</v>
      </c>
      <c r="Z15630" s="372">
        <v>0.0</v>
      </c>
    </row>
    <row r="15631">
      <c r="Y15631" s="372">
        <v>0.0</v>
      </c>
      <c r="Z15631" s="372">
        <v>0.0</v>
      </c>
    </row>
    <row r="15632">
      <c r="Y15632" s="372">
        <v>0.0</v>
      </c>
      <c r="Z15632" s="372">
        <v>0.0</v>
      </c>
    </row>
    <row r="15633">
      <c r="Y15633" s="372">
        <v>0.0</v>
      </c>
      <c r="Z15633" s="372">
        <v>0.0</v>
      </c>
    </row>
    <row r="15634">
      <c r="Y15634" s="372">
        <v>0.0</v>
      </c>
      <c r="Z15634" s="372">
        <v>0.0</v>
      </c>
    </row>
    <row r="15635">
      <c r="Y15635" s="372">
        <v>0.0</v>
      </c>
      <c r="Z15635" s="372">
        <v>0.0</v>
      </c>
    </row>
    <row r="15636">
      <c r="Y15636" s="372">
        <v>0.0</v>
      </c>
      <c r="Z15636" s="372">
        <v>0.0</v>
      </c>
    </row>
    <row r="15637">
      <c r="Y15637" s="372">
        <v>0.0</v>
      </c>
      <c r="Z15637" s="372">
        <v>0.0</v>
      </c>
    </row>
    <row r="15638">
      <c r="Y15638" s="372">
        <v>0.0</v>
      </c>
      <c r="Z15638" s="372">
        <v>0.0</v>
      </c>
    </row>
    <row r="15639">
      <c r="Y15639" s="372">
        <v>0.0</v>
      </c>
      <c r="Z15639" s="372">
        <v>0.0</v>
      </c>
    </row>
    <row r="15640">
      <c r="Y15640" s="372">
        <v>0.0</v>
      </c>
      <c r="Z15640" s="372">
        <v>0.0</v>
      </c>
    </row>
    <row r="15641">
      <c r="Y15641" s="372">
        <v>0.0</v>
      </c>
      <c r="Z15641" s="372">
        <v>0.0</v>
      </c>
    </row>
    <row r="15642">
      <c r="Y15642" s="372">
        <v>0.0</v>
      </c>
      <c r="Z15642" s="372">
        <v>0.0</v>
      </c>
    </row>
    <row r="15643">
      <c r="Y15643" s="372">
        <v>0.0</v>
      </c>
      <c r="Z15643" s="372">
        <v>0.0</v>
      </c>
    </row>
    <row r="15644">
      <c r="Y15644" s="372">
        <v>0.0</v>
      </c>
      <c r="Z15644" s="372">
        <v>0.0</v>
      </c>
    </row>
    <row r="15645">
      <c r="Y15645" s="372">
        <v>0.0</v>
      </c>
      <c r="Z15645" s="372">
        <v>0.0</v>
      </c>
    </row>
    <row r="15646">
      <c r="Y15646" s="372">
        <v>0.0</v>
      </c>
      <c r="Z15646" s="372">
        <v>0.0</v>
      </c>
    </row>
    <row r="15647">
      <c r="Y15647" s="372">
        <v>0.0</v>
      </c>
      <c r="Z15647" s="372">
        <v>0.0</v>
      </c>
    </row>
    <row r="15648">
      <c r="Y15648" s="372">
        <v>0.0</v>
      </c>
      <c r="Z15648" s="372">
        <v>0.0</v>
      </c>
    </row>
    <row r="15649">
      <c r="Y15649" s="372">
        <v>0.0</v>
      </c>
      <c r="Z15649" s="372">
        <v>0.0</v>
      </c>
    </row>
    <row r="15650">
      <c r="Y15650" s="372">
        <v>0.0</v>
      </c>
      <c r="Z15650" s="372">
        <v>0.0</v>
      </c>
    </row>
    <row r="15651">
      <c r="Y15651" s="372">
        <v>0.0</v>
      </c>
      <c r="Z15651" s="372">
        <v>0.0</v>
      </c>
    </row>
    <row r="15652">
      <c r="Y15652" s="372">
        <v>0.0</v>
      </c>
      <c r="Z15652" s="372">
        <v>0.0</v>
      </c>
    </row>
    <row r="15653">
      <c r="Y15653" s="372">
        <v>0.0</v>
      </c>
      <c r="Z15653" s="372">
        <v>0.0</v>
      </c>
    </row>
    <row r="15654">
      <c r="Y15654" s="372">
        <v>0.0</v>
      </c>
      <c r="Z15654" s="372">
        <v>0.0</v>
      </c>
    </row>
    <row r="15655">
      <c r="Y15655" s="372">
        <v>0.0</v>
      </c>
      <c r="Z15655" s="372">
        <v>0.0</v>
      </c>
    </row>
    <row r="15656">
      <c r="Y15656" s="372">
        <v>0.0</v>
      </c>
      <c r="Z15656" s="372">
        <v>0.0</v>
      </c>
    </row>
    <row r="15657">
      <c r="Y15657" s="372">
        <v>0.0</v>
      </c>
      <c r="Z15657" s="372">
        <v>0.0</v>
      </c>
    </row>
    <row r="15658">
      <c r="Y15658" s="372">
        <v>0.0</v>
      </c>
      <c r="Z15658" s="372">
        <v>0.0</v>
      </c>
    </row>
    <row r="15659">
      <c r="Y15659" s="372">
        <v>0.0</v>
      </c>
      <c r="Z15659" s="372">
        <v>0.0</v>
      </c>
    </row>
    <row r="15660">
      <c r="Y15660" s="372">
        <v>0.0</v>
      </c>
      <c r="Z15660" s="372">
        <v>0.0</v>
      </c>
    </row>
    <row r="15661">
      <c r="Y15661" s="372">
        <v>0.0</v>
      </c>
      <c r="Z15661" s="372">
        <v>0.0</v>
      </c>
    </row>
    <row r="15662">
      <c r="Y15662" s="372">
        <v>0.0</v>
      </c>
      <c r="Z15662" s="372">
        <v>0.0</v>
      </c>
    </row>
    <row r="15663">
      <c r="Y15663" s="372">
        <v>0.0</v>
      </c>
      <c r="Z15663" s="372">
        <v>0.0</v>
      </c>
    </row>
    <row r="15664">
      <c r="Y15664" s="372">
        <v>0.0</v>
      </c>
      <c r="Z15664" s="372">
        <v>0.0</v>
      </c>
    </row>
    <row r="15665">
      <c r="Y15665" s="372">
        <v>0.0</v>
      </c>
      <c r="Z15665" s="372">
        <v>0.0</v>
      </c>
    </row>
    <row r="15666">
      <c r="Y15666" s="372">
        <v>0.0</v>
      </c>
      <c r="Z15666" s="372">
        <v>0.0</v>
      </c>
    </row>
    <row r="15667">
      <c r="Y15667" s="372">
        <v>0.0</v>
      </c>
      <c r="Z15667" s="372">
        <v>0.0</v>
      </c>
    </row>
    <row r="15668">
      <c r="Y15668" s="372">
        <v>0.0</v>
      </c>
      <c r="Z15668" s="372">
        <v>0.0</v>
      </c>
    </row>
    <row r="15669">
      <c r="Y15669" s="372">
        <v>0.0</v>
      </c>
      <c r="Z15669" s="372">
        <v>0.0</v>
      </c>
    </row>
    <row r="15670">
      <c r="Y15670" s="372">
        <v>0.0</v>
      </c>
      <c r="Z15670" s="372">
        <v>0.0</v>
      </c>
    </row>
    <row r="15671">
      <c r="Y15671" s="372">
        <v>0.0</v>
      </c>
      <c r="Z15671" s="372">
        <v>0.0</v>
      </c>
    </row>
    <row r="15672">
      <c r="Y15672" s="372">
        <v>0.0</v>
      </c>
      <c r="Z15672" s="372">
        <v>0.0</v>
      </c>
    </row>
    <row r="15673">
      <c r="Y15673" s="372">
        <v>0.0</v>
      </c>
      <c r="Z15673" s="372">
        <v>0.0</v>
      </c>
    </row>
    <row r="15674">
      <c r="Y15674" s="372">
        <v>0.0</v>
      </c>
      <c r="Z15674" s="372">
        <v>0.0</v>
      </c>
    </row>
    <row r="15675">
      <c r="Y15675" s="372">
        <v>0.0</v>
      </c>
      <c r="Z15675" s="372">
        <v>0.0</v>
      </c>
    </row>
    <row r="15676">
      <c r="Y15676" s="372">
        <v>0.0</v>
      </c>
      <c r="Z15676" s="372">
        <v>0.0</v>
      </c>
    </row>
    <row r="15677">
      <c r="Y15677" s="372">
        <v>0.0</v>
      </c>
      <c r="Z15677" s="372">
        <v>0.0</v>
      </c>
    </row>
    <row r="15678">
      <c r="Y15678" s="372">
        <v>0.0</v>
      </c>
      <c r="Z15678" s="372">
        <v>0.0</v>
      </c>
    </row>
    <row r="15679">
      <c r="Y15679" s="372">
        <v>0.0</v>
      </c>
      <c r="Z15679" s="372">
        <v>0.0</v>
      </c>
    </row>
    <row r="15680">
      <c r="Y15680" s="372">
        <v>0.0</v>
      </c>
      <c r="Z15680" s="372">
        <v>0.0</v>
      </c>
    </row>
    <row r="15681">
      <c r="Y15681" s="372">
        <v>0.0</v>
      </c>
      <c r="Z15681" s="372">
        <v>0.0</v>
      </c>
    </row>
    <row r="15682">
      <c r="Y15682" s="372">
        <v>0.0</v>
      </c>
      <c r="Z15682" s="372">
        <v>0.0</v>
      </c>
    </row>
    <row r="15683">
      <c r="Y15683" s="372">
        <v>0.0</v>
      </c>
      <c r="Z15683" s="372">
        <v>0.0</v>
      </c>
    </row>
    <row r="15684">
      <c r="Y15684" s="372">
        <v>0.0</v>
      </c>
      <c r="Z15684" s="372">
        <v>0.0</v>
      </c>
    </row>
    <row r="15685">
      <c r="Y15685" s="372">
        <v>0.0</v>
      </c>
      <c r="Z15685" s="372">
        <v>0.0</v>
      </c>
    </row>
    <row r="15686">
      <c r="Y15686" s="372">
        <v>0.0</v>
      </c>
      <c r="Z15686" s="372">
        <v>0.0</v>
      </c>
    </row>
    <row r="15687">
      <c r="Y15687" s="372">
        <v>0.0</v>
      </c>
      <c r="Z15687" s="372">
        <v>0.0</v>
      </c>
    </row>
    <row r="15688">
      <c r="Y15688" s="372">
        <v>0.0</v>
      </c>
      <c r="Z15688" s="372">
        <v>0.0</v>
      </c>
    </row>
    <row r="15689">
      <c r="Y15689" s="372">
        <v>0.0</v>
      </c>
      <c r="Z15689" s="372">
        <v>0.0</v>
      </c>
    </row>
    <row r="15690">
      <c r="Y15690" s="372">
        <v>0.0</v>
      </c>
      <c r="Z15690" s="372">
        <v>0.0</v>
      </c>
    </row>
    <row r="15691">
      <c r="Y15691" s="372">
        <v>0.0</v>
      </c>
      <c r="Z15691" s="372">
        <v>0.0</v>
      </c>
    </row>
    <row r="15692">
      <c r="Y15692" s="372">
        <v>0.0</v>
      </c>
      <c r="Z15692" s="372">
        <v>0.0</v>
      </c>
    </row>
    <row r="15693">
      <c r="Y15693" s="372">
        <v>0.0</v>
      </c>
      <c r="Z15693" s="372">
        <v>0.0</v>
      </c>
    </row>
    <row r="15694">
      <c r="Y15694" s="372">
        <v>0.0</v>
      </c>
      <c r="Z15694" s="372">
        <v>0.0</v>
      </c>
    </row>
    <row r="15695">
      <c r="Y15695" s="372">
        <v>0.0</v>
      </c>
      <c r="Z15695" s="372">
        <v>0.0</v>
      </c>
    </row>
    <row r="15696">
      <c r="Y15696" s="372">
        <v>0.0</v>
      </c>
      <c r="Z15696" s="372">
        <v>0.0</v>
      </c>
    </row>
    <row r="15697">
      <c r="Y15697" s="372">
        <v>0.0</v>
      </c>
      <c r="Z15697" s="372">
        <v>0.0</v>
      </c>
    </row>
    <row r="15698">
      <c r="Y15698" s="372">
        <v>0.0</v>
      </c>
      <c r="Z15698" s="372">
        <v>0.0</v>
      </c>
    </row>
    <row r="15699">
      <c r="Y15699" s="372">
        <v>0.0</v>
      </c>
      <c r="Z15699" s="372">
        <v>0.0</v>
      </c>
    </row>
    <row r="15700">
      <c r="Y15700" s="372">
        <v>0.0</v>
      </c>
      <c r="Z15700" s="372">
        <v>0.0</v>
      </c>
    </row>
    <row r="15701">
      <c r="Y15701" s="372">
        <v>0.0</v>
      </c>
      <c r="Z15701" s="372">
        <v>0.0</v>
      </c>
    </row>
    <row r="15702">
      <c r="Y15702" s="372">
        <v>0.0</v>
      </c>
      <c r="Z15702" s="372">
        <v>0.0</v>
      </c>
    </row>
    <row r="15703">
      <c r="Y15703" s="372">
        <v>0.0</v>
      </c>
      <c r="Z15703" s="372">
        <v>0.0</v>
      </c>
    </row>
    <row r="15704">
      <c r="Y15704" s="372">
        <v>0.0</v>
      </c>
      <c r="Z15704" s="372">
        <v>0.0</v>
      </c>
    </row>
    <row r="15705">
      <c r="Y15705" s="372">
        <v>0.0</v>
      </c>
      <c r="Z15705" s="372">
        <v>0.0</v>
      </c>
    </row>
    <row r="15706">
      <c r="Y15706" s="372">
        <v>0.0</v>
      </c>
      <c r="Z15706" s="372">
        <v>0.0</v>
      </c>
    </row>
    <row r="15707">
      <c r="Y15707" s="372">
        <v>0.0</v>
      </c>
      <c r="Z15707" s="372">
        <v>0.0</v>
      </c>
    </row>
    <row r="15708">
      <c r="Y15708" s="372">
        <v>0.0</v>
      </c>
      <c r="Z15708" s="372">
        <v>0.0</v>
      </c>
    </row>
    <row r="15709">
      <c r="Y15709" s="372">
        <v>0.0</v>
      </c>
      <c r="Z15709" s="372">
        <v>0.0</v>
      </c>
    </row>
    <row r="15710">
      <c r="Y15710" s="372">
        <v>0.0</v>
      </c>
      <c r="Z15710" s="372">
        <v>0.0</v>
      </c>
    </row>
    <row r="15711">
      <c r="Y15711" s="372">
        <v>0.0</v>
      </c>
      <c r="Z15711" s="372">
        <v>0.0</v>
      </c>
    </row>
    <row r="15712">
      <c r="Y15712" s="372">
        <v>0.0</v>
      </c>
      <c r="Z15712" s="372">
        <v>0.0</v>
      </c>
    </row>
    <row r="15713">
      <c r="Y15713" s="372">
        <v>0.0</v>
      </c>
      <c r="Z15713" s="372">
        <v>0.0</v>
      </c>
    </row>
    <row r="15714">
      <c r="Y15714" s="372">
        <v>0.0</v>
      </c>
      <c r="Z15714" s="372">
        <v>0.0</v>
      </c>
    </row>
    <row r="15715">
      <c r="Y15715" s="372">
        <v>0.0</v>
      </c>
      <c r="Z15715" s="372">
        <v>0.0</v>
      </c>
    </row>
    <row r="15716">
      <c r="Y15716" s="372">
        <v>0.0</v>
      </c>
      <c r="Z15716" s="372">
        <v>0.0</v>
      </c>
    </row>
    <row r="15717">
      <c r="Y15717" s="372">
        <v>0.0</v>
      </c>
      <c r="Z15717" s="372">
        <v>0.0</v>
      </c>
    </row>
    <row r="15718">
      <c r="Y15718" s="372">
        <v>0.0</v>
      </c>
      <c r="Z15718" s="372">
        <v>0.0</v>
      </c>
    </row>
    <row r="15719">
      <c r="Y15719" s="372">
        <v>0.0</v>
      </c>
      <c r="Z15719" s="372">
        <v>0.0</v>
      </c>
    </row>
    <row r="15720">
      <c r="Y15720" s="372">
        <v>0.0</v>
      </c>
      <c r="Z15720" s="372">
        <v>0.0</v>
      </c>
    </row>
    <row r="15721">
      <c r="Y15721" s="372">
        <v>0.0</v>
      </c>
      <c r="Z15721" s="372">
        <v>0.0</v>
      </c>
    </row>
    <row r="15722">
      <c r="Y15722" s="372">
        <v>0.0</v>
      </c>
      <c r="Z15722" s="372">
        <v>0.0</v>
      </c>
    </row>
    <row r="15723">
      <c r="Y15723" s="372">
        <v>0.0</v>
      </c>
      <c r="Z15723" s="372">
        <v>0.0</v>
      </c>
    </row>
    <row r="15724">
      <c r="Y15724" s="372">
        <v>0.0</v>
      </c>
      <c r="Z15724" s="372">
        <v>0.0</v>
      </c>
    </row>
    <row r="15725">
      <c r="Y15725" s="372">
        <v>0.0</v>
      </c>
      <c r="Z15725" s="372">
        <v>0.0</v>
      </c>
    </row>
    <row r="15726">
      <c r="Y15726" s="372">
        <v>0.0</v>
      </c>
      <c r="Z15726" s="372">
        <v>0.0</v>
      </c>
    </row>
    <row r="15727">
      <c r="Y15727" s="372">
        <v>0.0</v>
      </c>
      <c r="Z15727" s="372">
        <v>0.0</v>
      </c>
    </row>
    <row r="15728">
      <c r="Y15728" s="372">
        <v>0.0</v>
      </c>
      <c r="Z15728" s="372">
        <v>0.0</v>
      </c>
    </row>
    <row r="15729">
      <c r="Y15729" s="372">
        <v>0.0</v>
      </c>
      <c r="Z15729" s="372">
        <v>0.0</v>
      </c>
    </row>
    <row r="15730">
      <c r="Y15730" s="372">
        <v>0.0</v>
      </c>
      <c r="Z15730" s="372">
        <v>0.0</v>
      </c>
    </row>
    <row r="15731">
      <c r="Y15731" s="372">
        <v>0.0</v>
      </c>
      <c r="Z15731" s="372">
        <v>0.0</v>
      </c>
    </row>
    <row r="15732">
      <c r="Y15732" s="372">
        <v>0.0</v>
      </c>
      <c r="Z15732" s="372">
        <v>0.0</v>
      </c>
    </row>
    <row r="15733">
      <c r="Y15733" s="372">
        <v>0.0</v>
      </c>
      <c r="Z15733" s="372">
        <v>0.0</v>
      </c>
    </row>
    <row r="15734">
      <c r="Y15734" s="372">
        <v>0.0</v>
      </c>
      <c r="Z15734" s="372">
        <v>0.0</v>
      </c>
    </row>
    <row r="15735">
      <c r="Y15735" s="372">
        <v>0.0</v>
      </c>
      <c r="Z15735" s="372">
        <v>0.0</v>
      </c>
    </row>
    <row r="15736">
      <c r="Y15736" s="372">
        <v>0.0</v>
      </c>
      <c r="Z15736" s="372">
        <v>0.0</v>
      </c>
    </row>
    <row r="15737">
      <c r="Y15737" s="372">
        <v>0.0</v>
      </c>
      <c r="Z15737" s="372">
        <v>0.0</v>
      </c>
    </row>
    <row r="15738">
      <c r="Y15738" s="372">
        <v>0.0</v>
      </c>
      <c r="Z15738" s="372">
        <v>0.0</v>
      </c>
    </row>
    <row r="15739">
      <c r="Y15739" s="372">
        <v>0.0</v>
      </c>
      <c r="Z15739" s="372">
        <v>0.0</v>
      </c>
    </row>
    <row r="15740">
      <c r="Y15740" s="372">
        <v>0.0</v>
      </c>
      <c r="Z15740" s="372">
        <v>0.0</v>
      </c>
    </row>
    <row r="15741">
      <c r="Y15741" s="372">
        <v>0.0</v>
      </c>
      <c r="Z15741" s="372">
        <v>0.0</v>
      </c>
    </row>
    <row r="15742">
      <c r="Y15742" s="372">
        <v>0.0</v>
      </c>
      <c r="Z15742" s="372">
        <v>0.0</v>
      </c>
    </row>
    <row r="15743">
      <c r="Y15743" s="372">
        <v>0.0</v>
      </c>
      <c r="Z15743" s="372">
        <v>0.0</v>
      </c>
    </row>
    <row r="15744">
      <c r="Y15744" s="372">
        <v>0.0</v>
      </c>
      <c r="Z15744" s="372">
        <v>0.0</v>
      </c>
    </row>
    <row r="15745">
      <c r="Y15745" s="372">
        <v>0.0</v>
      </c>
      <c r="Z15745" s="372">
        <v>0.0</v>
      </c>
    </row>
    <row r="15746">
      <c r="Y15746" s="372">
        <v>0.0</v>
      </c>
      <c r="Z15746" s="372">
        <v>0.0</v>
      </c>
    </row>
    <row r="15747">
      <c r="Y15747" s="372">
        <v>0.0</v>
      </c>
      <c r="Z15747" s="372">
        <v>0.0</v>
      </c>
    </row>
    <row r="15748">
      <c r="Y15748" s="372">
        <v>0.0</v>
      </c>
      <c r="Z15748" s="372">
        <v>0.0</v>
      </c>
    </row>
    <row r="15749">
      <c r="Y15749" s="372">
        <v>0.0</v>
      </c>
      <c r="Z15749" s="372">
        <v>0.0</v>
      </c>
    </row>
    <row r="15750">
      <c r="Y15750" s="372">
        <v>0.0</v>
      </c>
      <c r="Z15750" s="372">
        <v>0.0</v>
      </c>
    </row>
    <row r="15751">
      <c r="Y15751" s="372">
        <v>0.0</v>
      </c>
      <c r="Z15751" s="372">
        <v>0.0</v>
      </c>
    </row>
    <row r="15752">
      <c r="Y15752" s="372">
        <v>0.0</v>
      </c>
      <c r="Z15752" s="372">
        <v>0.0</v>
      </c>
    </row>
    <row r="15753">
      <c r="Y15753" s="372">
        <v>0.0</v>
      </c>
      <c r="Z15753" s="372">
        <v>0.0</v>
      </c>
    </row>
    <row r="15754">
      <c r="Y15754" s="372">
        <v>0.0</v>
      </c>
      <c r="Z15754" s="372">
        <v>0.0</v>
      </c>
    </row>
    <row r="15755">
      <c r="Y15755" s="372">
        <v>0.0</v>
      </c>
      <c r="Z15755" s="372">
        <v>0.0</v>
      </c>
    </row>
    <row r="15756">
      <c r="Y15756" s="372">
        <v>0.0</v>
      </c>
      <c r="Z15756" s="372">
        <v>0.0</v>
      </c>
    </row>
    <row r="15757">
      <c r="Y15757" s="372">
        <v>0.0</v>
      </c>
      <c r="Z15757" s="372">
        <v>0.0</v>
      </c>
    </row>
    <row r="15758">
      <c r="Y15758" s="372">
        <v>0.0</v>
      </c>
      <c r="Z15758" s="372">
        <v>0.0</v>
      </c>
    </row>
    <row r="15759">
      <c r="Y15759" s="372">
        <v>0.0</v>
      </c>
      <c r="Z15759" s="372">
        <v>0.0</v>
      </c>
    </row>
    <row r="15760">
      <c r="Y15760" s="372">
        <v>0.0</v>
      </c>
      <c r="Z15760" s="372">
        <v>0.0</v>
      </c>
    </row>
    <row r="15761">
      <c r="Y15761" s="372">
        <v>0.0</v>
      </c>
      <c r="Z15761" s="372">
        <v>0.0</v>
      </c>
    </row>
    <row r="15762">
      <c r="Y15762" s="372">
        <v>0.0</v>
      </c>
      <c r="Z15762" s="372">
        <v>0.0</v>
      </c>
    </row>
    <row r="15763">
      <c r="Y15763" s="372">
        <v>0.0</v>
      </c>
      <c r="Z15763" s="372">
        <v>0.0</v>
      </c>
    </row>
    <row r="15764">
      <c r="Y15764" s="372">
        <v>0.0</v>
      </c>
      <c r="Z15764" s="372">
        <v>0.0</v>
      </c>
    </row>
    <row r="15765">
      <c r="Y15765" s="372">
        <v>0.0</v>
      </c>
      <c r="Z15765" s="372">
        <v>0.0</v>
      </c>
    </row>
    <row r="15766">
      <c r="Y15766" s="372">
        <v>0.0</v>
      </c>
      <c r="Z15766" s="372">
        <v>0.0</v>
      </c>
    </row>
    <row r="15767">
      <c r="Y15767" s="372">
        <v>0.0</v>
      </c>
      <c r="Z15767" s="372">
        <v>0.0</v>
      </c>
    </row>
    <row r="15768">
      <c r="Y15768" s="372">
        <v>0.0</v>
      </c>
      <c r="Z15768" s="372">
        <v>0.0</v>
      </c>
    </row>
    <row r="15769">
      <c r="Y15769" s="372">
        <v>0.0</v>
      </c>
      <c r="Z15769" s="372">
        <v>0.0</v>
      </c>
    </row>
    <row r="15770">
      <c r="Y15770" s="372">
        <v>0.0</v>
      </c>
      <c r="Z15770" s="372">
        <v>0.0</v>
      </c>
    </row>
    <row r="15771">
      <c r="Y15771" s="372">
        <v>0.0</v>
      </c>
      <c r="Z15771" s="372">
        <v>0.0</v>
      </c>
    </row>
    <row r="15772">
      <c r="Y15772" s="372">
        <v>0.0</v>
      </c>
      <c r="Z15772" s="372">
        <v>0.0</v>
      </c>
    </row>
    <row r="15773">
      <c r="Y15773" s="372">
        <v>0.0</v>
      </c>
      <c r="Z15773" s="372">
        <v>0.0</v>
      </c>
    </row>
    <row r="15774">
      <c r="Y15774" s="372">
        <v>0.0</v>
      </c>
      <c r="Z15774" s="372">
        <v>0.0</v>
      </c>
    </row>
    <row r="15775">
      <c r="Y15775" s="372">
        <v>0.0</v>
      </c>
      <c r="Z15775" s="372">
        <v>0.0</v>
      </c>
    </row>
    <row r="15776">
      <c r="Y15776" s="372">
        <v>0.0</v>
      </c>
      <c r="Z15776" s="372">
        <v>0.0</v>
      </c>
    </row>
    <row r="15777">
      <c r="Y15777" s="372">
        <v>0.0</v>
      </c>
      <c r="Z15777" s="372">
        <v>0.0</v>
      </c>
    </row>
    <row r="15778">
      <c r="Y15778" s="372">
        <v>0.0</v>
      </c>
      <c r="Z15778" s="372">
        <v>0.0</v>
      </c>
    </row>
    <row r="15779">
      <c r="Y15779" s="372">
        <v>0.0</v>
      </c>
      <c r="Z15779" s="372">
        <v>0.0</v>
      </c>
    </row>
    <row r="15780">
      <c r="Y15780" s="372">
        <v>0.0</v>
      </c>
      <c r="Z15780" s="372">
        <v>0.0</v>
      </c>
    </row>
    <row r="15781">
      <c r="Y15781" s="372">
        <v>0.0</v>
      </c>
      <c r="Z15781" s="372">
        <v>0.0</v>
      </c>
    </row>
    <row r="15782">
      <c r="Y15782" s="372">
        <v>0.0</v>
      </c>
      <c r="Z15782" s="372">
        <v>0.0</v>
      </c>
    </row>
    <row r="15783">
      <c r="Y15783" s="372">
        <v>0.0</v>
      </c>
      <c r="Z15783" s="372">
        <v>0.0</v>
      </c>
    </row>
    <row r="15784">
      <c r="Y15784" s="372">
        <v>0.0</v>
      </c>
      <c r="Z15784" s="372">
        <v>0.0</v>
      </c>
    </row>
    <row r="15785">
      <c r="Y15785" s="372">
        <v>0.0</v>
      </c>
      <c r="Z15785" s="372">
        <v>0.0</v>
      </c>
    </row>
    <row r="15786">
      <c r="Y15786" s="372">
        <v>0.0</v>
      </c>
      <c r="Z15786" s="372">
        <v>0.0</v>
      </c>
    </row>
    <row r="15787">
      <c r="Y15787" s="372">
        <v>0.0</v>
      </c>
      <c r="Z15787" s="372">
        <v>0.0</v>
      </c>
    </row>
    <row r="15788">
      <c r="Y15788" s="372">
        <v>0.0</v>
      </c>
      <c r="Z15788" s="372">
        <v>0.0</v>
      </c>
    </row>
    <row r="15789">
      <c r="Y15789" s="372">
        <v>0.0</v>
      </c>
      <c r="Z15789" s="372">
        <v>0.0</v>
      </c>
    </row>
    <row r="15790">
      <c r="Y15790" s="372">
        <v>0.0</v>
      </c>
      <c r="Z15790" s="372">
        <v>0.0</v>
      </c>
    </row>
    <row r="15791">
      <c r="Y15791" s="372">
        <v>0.0</v>
      </c>
      <c r="Z15791" s="372">
        <v>0.0</v>
      </c>
    </row>
    <row r="15792">
      <c r="Y15792" s="372">
        <v>0.0</v>
      </c>
      <c r="Z15792" s="372">
        <v>0.0</v>
      </c>
    </row>
    <row r="15793">
      <c r="Y15793" s="372">
        <v>0.0</v>
      </c>
      <c r="Z15793" s="372">
        <v>0.0</v>
      </c>
    </row>
    <row r="15794">
      <c r="Y15794" s="372">
        <v>0.0</v>
      </c>
      <c r="Z15794" s="372">
        <v>0.0</v>
      </c>
    </row>
    <row r="15795">
      <c r="Y15795" s="372">
        <v>0.0</v>
      </c>
      <c r="Z15795" s="372">
        <v>0.0</v>
      </c>
    </row>
    <row r="15796">
      <c r="Y15796" s="372">
        <v>0.0</v>
      </c>
      <c r="Z15796" s="372">
        <v>0.0</v>
      </c>
    </row>
    <row r="15797">
      <c r="Y15797" s="372">
        <v>0.0</v>
      </c>
      <c r="Z15797" s="372">
        <v>0.0</v>
      </c>
    </row>
    <row r="15798">
      <c r="Y15798" s="372">
        <v>0.0</v>
      </c>
      <c r="Z15798" s="372">
        <v>0.0</v>
      </c>
    </row>
    <row r="15799">
      <c r="Y15799" s="372">
        <v>0.0</v>
      </c>
      <c r="Z15799" s="372">
        <v>0.0</v>
      </c>
    </row>
    <row r="15800">
      <c r="Y15800" s="372">
        <v>0.0</v>
      </c>
      <c r="Z15800" s="372">
        <v>0.0</v>
      </c>
    </row>
    <row r="15801">
      <c r="Y15801" s="372">
        <v>0.0</v>
      </c>
      <c r="Z15801" s="372">
        <v>0.0</v>
      </c>
    </row>
    <row r="15802">
      <c r="Y15802" s="372">
        <v>0.0</v>
      </c>
      <c r="Z15802" s="372">
        <v>0.0</v>
      </c>
    </row>
    <row r="15803">
      <c r="Y15803" s="372">
        <v>0.0</v>
      </c>
      <c r="Z15803" s="372">
        <v>0.0</v>
      </c>
    </row>
    <row r="15804">
      <c r="Y15804" s="372">
        <v>0.0</v>
      </c>
      <c r="Z15804" s="372">
        <v>0.0</v>
      </c>
    </row>
    <row r="15805">
      <c r="Y15805" s="372">
        <v>0.0</v>
      </c>
      <c r="Z15805" s="372">
        <v>0.0</v>
      </c>
    </row>
    <row r="15806">
      <c r="Y15806" s="372">
        <v>0.0</v>
      </c>
      <c r="Z15806" s="372">
        <v>0.0</v>
      </c>
    </row>
    <row r="15807">
      <c r="Y15807" s="372">
        <v>0.0</v>
      </c>
      <c r="Z15807" s="372">
        <v>0.0</v>
      </c>
    </row>
    <row r="15808">
      <c r="Y15808" s="372">
        <v>0.0</v>
      </c>
      <c r="Z15808" s="372">
        <v>0.0</v>
      </c>
    </row>
    <row r="15809">
      <c r="Y15809" s="372">
        <v>0.0</v>
      </c>
      <c r="Z15809" s="372">
        <v>0.0</v>
      </c>
    </row>
    <row r="15810">
      <c r="Y15810" s="372">
        <v>0.0</v>
      </c>
      <c r="Z15810" s="372">
        <v>0.0</v>
      </c>
    </row>
    <row r="15811">
      <c r="Y15811" s="372">
        <v>0.0</v>
      </c>
      <c r="Z15811" s="372">
        <v>0.0</v>
      </c>
    </row>
    <row r="15812">
      <c r="Y15812" s="372">
        <v>0.0</v>
      </c>
      <c r="Z15812" s="372">
        <v>0.0</v>
      </c>
    </row>
    <row r="15813">
      <c r="Y15813" s="372">
        <v>0.0</v>
      </c>
      <c r="Z15813" s="372">
        <v>0.0</v>
      </c>
    </row>
    <row r="15814">
      <c r="Y15814" s="372">
        <v>0.0</v>
      </c>
      <c r="Z15814" s="372">
        <v>0.0</v>
      </c>
    </row>
    <row r="15815">
      <c r="Y15815" s="372">
        <v>0.0</v>
      </c>
      <c r="Z15815" s="372">
        <v>0.0</v>
      </c>
    </row>
    <row r="15816">
      <c r="Y15816" s="372">
        <v>0.0</v>
      </c>
      <c r="Z15816" s="372">
        <v>0.0</v>
      </c>
    </row>
    <row r="15817">
      <c r="Y15817" s="372">
        <v>0.0</v>
      </c>
      <c r="Z15817" s="372">
        <v>0.0</v>
      </c>
    </row>
    <row r="15818">
      <c r="Y15818" s="372">
        <v>0.0</v>
      </c>
      <c r="Z15818" s="372">
        <v>0.0</v>
      </c>
    </row>
    <row r="15819">
      <c r="Y15819" s="372">
        <v>0.0</v>
      </c>
      <c r="Z15819" s="372">
        <v>0.0</v>
      </c>
    </row>
    <row r="15820">
      <c r="Y15820" s="372">
        <v>0.0</v>
      </c>
      <c r="Z15820" s="372">
        <v>0.0</v>
      </c>
    </row>
    <row r="15821">
      <c r="Y15821" s="372">
        <v>0.0</v>
      </c>
      <c r="Z15821" s="372">
        <v>0.0</v>
      </c>
    </row>
    <row r="15822">
      <c r="Y15822" s="372">
        <v>0.0</v>
      </c>
      <c r="Z15822" s="372">
        <v>0.0</v>
      </c>
    </row>
    <row r="15823">
      <c r="Y15823" s="372">
        <v>0.0</v>
      </c>
      <c r="Z15823" s="372">
        <v>0.0</v>
      </c>
    </row>
    <row r="15824">
      <c r="Y15824" s="372">
        <v>0.0</v>
      </c>
      <c r="Z15824" s="372">
        <v>0.0</v>
      </c>
    </row>
    <row r="15825">
      <c r="Y15825" s="372">
        <v>0.0</v>
      </c>
      <c r="Z15825" s="372">
        <v>0.0</v>
      </c>
    </row>
    <row r="15826">
      <c r="Y15826" s="372">
        <v>0.0</v>
      </c>
      <c r="Z15826" s="372">
        <v>0.0</v>
      </c>
    </row>
    <row r="15827">
      <c r="Y15827" s="372">
        <v>0.0</v>
      </c>
      <c r="Z15827" s="372">
        <v>0.0</v>
      </c>
    </row>
    <row r="15828">
      <c r="Y15828" s="372">
        <v>0.0</v>
      </c>
      <c r="Z15828" s="372">
        <v>0.0</v>
      </c>
    </row>
    <row r="15829">
      <c r="Y15829" s="372">
        <v>0.0</v>
      </c>
      <c r="Z15829" s="372">
        <v>0.0</v>
      </c>
    </row>
    <row r="15830">
      <c r="Y15830" s="372">
        <v>0.0</v>
      </c>
      <c r="Z15830" s="372">
        <v>0.0</v>
      </c>
    </row>
    <row r="15831">
      <c r="Y15831" s="372">
        <v>0.0</v>
      </c>
      <c r="Z15831" s="372">
        <v>0.0</v>
      </c>
    </row>
    <row r="15832">
      <c r="Y15832" s="372">
        <v>0.0</v>
      </c>
      <c r="Z15832" s="372">
        <v>0.0</v>
      </c>
    </row>
    <row r="15833">
      <c r="Y15833" s="372">
        <v>0.0</v>
      </c>
      <c r="Z15833" s="372">
        <v>0.0</v>
      </c>
    </row>
    <row r="15834">
      <c r="Y15834" s="372">
        <v>0.0</v>
      </c>
      <c r="Z15834" s="372">
        <v>0.0</v>
      </c>
    </row>
    <row r="15835">
      <c r="Y15835" s="372">
        <v>0.0</v>
      </c>
      <c r="Z15835" s="372">
        <v>0.0</v>
      </c>
    </row>
    <row r="15836">
      <c r="Y15836" s="372">
        <v>0.0</v>
      </c>
      <c r="Z15836" s="372">
        <v>0.0</v>
      </c>
    </row>
    <row r="15837">
      <c r="Y15837" s="372">
        <v>0.0</v>
      </c>
      <c r="Z15837" s="372">
        <v>0.0</v>
      </c>
    </row>
    <row r="15838">
      <c r="Y15838" s="372">
        <v>0.0</v>
      </c>
      <c r="Z15838" s="372">
        <v>0.0</v>
      </c>
    </row>
    <row r="15839">
      <c r="Y15839" s="372">
        <v>0.0</v>
      </c>
      <c r="Z15839" s="372">
        <v>0.0</v>
      </c>
    </row>
    <row r="15840">
      <c r="Y15840" s="372">
        <v>0.0</v>
      </c>
      <c r="Z15840" s="372">
        <v>0.0</v>
      </c>
    </row>
    <row r="15841">
      <c r="Y15841" s="372">
        <v>0.0</v>
      </c>
      <c r="Z15841" s="372">
        <v>0.0</v>
      </c>
    </row>
    <row r="15842">
      <c r="Y15842" s="372">
        <v>0.0</v>
      </c>
      <c r="Z15842" s="372">
        <v>0.0</v>
      </c>
    </row>
    <row r="15843">
      <c r="Y15843" s="372">
        <v>0.0</v>
      </c>
      <c r="Z15843" s="372">
        <v>0.0</v>
      </c>
    </row>
    <row r="15844">
      <c r="Y15844" s="372">
        <v>0.0</v>
      </c>
      <c r="Z15844" s="372">
        <v>0.0</v>
      </c>
    </row>
    <row r="15845">
      <c r="Y15845" s="372">
        <v>0.0</v>
      </c>
      <c r="Z15845" s="372">
        <v>0.0</v>
      </c>
    </row>
    <row r="15846">
      <c r="Y15846" s="372">
        <v>0.0</v>
      </c>
      <c r="Z15846" s="372">
        <v>0.0</v>
      </c>
    </row>
    <row r="15847">
      <c r="Y15847" s="372">
        <v>0.0</v>
      </c>
      <c r="Z15847" s="372">
        <v>0.0</v>
      </c>
    </row>
    <row r="15848">
      <c r="Y15848" s="372">
        <v>0.0</v>
      </c>
      <c r="Z15848" s="372">
        <v>0.0</v>
      </c>
    </row>
    <row r="15849">
      <c r="Y15849" s="372">
        <v>0.0</v>
      </c>
      <c r="Z15849" s="372">
        <v>0.0</v>
      </c>
    </row>
    <row r="15850">
      <c r="Y15850" s="372">
        <v>0.0</v>
      </c>
      <c r="Z15850" s="372">
        <v>0.0</v>
      </c>
    </row>
    <row r="15851">
      <c r="Y15851" s="372">
        <v>0.0</v>
      </c>
      <c r="Z15851" s="372">
        <v>0.0</v>
      </c>
    </row>
    <row r="15852">
      <c r="Y15852" s="372">
        <v>0.0</v>
      </c>
      <c r="Z15852" s="372">
        <v>0.0</v>
      </c>
    </row>
    <row r="15853">
      <c r="Y15853" s="372">
        <v>0.0</v>
      </c>
      <c r="Z15853" s="372">
        <v>0.0</v>
      </c>
    </row>
    <row r="15854">
      <c r="Y15854" s="372">
        <v>0.0</v>
      </c>
      <c r="Z15854" s="372">
        <v>0.0</v>
      </c>
    </row>
    <row r="15855">
      <c r="Y15855" s="372">
        <v>0.0</v>
      </c>
      <c r="Z15855" s="372">
        <v>0.0</v>
      </c>
    </row>
    <row r="15856">
      <c r="Y15856" s="372">
        <v>0.0</v>
      </c>
      <c r="Z15856" s="372">
        <v>0.0</v>
      </c>
    </row>
    <row r="15857">
      <c r="Y15857" s="372">
        <v>0.0</v>
      </c>
      <c r="Z15857" s="372">
        <v>0.0</v>
      </c>
    </row>
    <row r="15858">
      <c r="Y15858" s="372">
        <v>0.0</v>
      </c>
      <c r="Z15858" s="372">
        <v>0.0</v>
      </c>
    </row>
    <row r="15859">
      <c r="Y15859" s="372">
        <v>0.0</v>
      </c>
      <c r="Z15859" s="372">
        <v>0.0</v>
      </c>
    </row>
    <row r="15860">
      <c r="Y15860" s="372">
        <v>0.0</v>
      </c>
      <c r="Z15860" s="372">
        <v>0.0</v>
      </c>
    </row>
    <row r="15861">
      <c r="Y15861" s="372">
        <v>0.0</v>
      </c>
      <c r="Z15861" s="372">
        <v>0.0</v>
      </c>
    </row>
    <row r="15862">
      <c r="Y15862" s="372">
        <v>0.0</v>
      </c>
      <c r="Z15862" s="372">
        <v>0.0</v>
      </c>
    </row>
    <row r="15863">
      <c r="Y15863" s="372">
        <v>0.0</v>
      </c>
      <c r="Z15863" s="372">
        <v>0.0</v>
      </c>
    </row>
    <row r="15864">
      <c r="Y15864" s="372">
        <v>0.0</v>
      </c>
      <c r="Z15864" s="372">
        <v>0.0</v>
      </c>
    </row>
    <row r="15865">
      <c r="Y15865" s="372">
        <v>0.0</v>
      </c>
      <c r="Z15865" s="372">
        <v>0.0</v>
      </c>
    </row>
    <row r="15866">
      <c r="Y15866" s="372">
        <v>0.0</v>
      </c>
      <c r="Z15866" s="372">
        <v>0.0</v>
      </c>
    </row>
    <row r="15867">
      <c r="Y15867" s="372">
        <v>0.0</v>
      </c>
      <c r="Z15867" s="372">
        <v>0.0</v>
      </c>
    </row>
    <row r="15868">
      <c r="Y15868" s="372">
        <v>0.0</v>
      </c>
      <c r="Z15868" s="372">
        <v>0.0</v>
      </c>
    </row>
    <row r="15869">
      <c r="Y15869" s="372">
        <v>0.0</v>
      </c>
      <c r="Z15869" s="372">
        <v>0.0</v>
      </c>
    </row>
    <row r="15870">
      <c r="Y15870" s="372">
        <v>0.0</v>
      </c>
      <c r="Z15870" s="372">
        <v>0.0</v>
      </c>
    </row>
    <row r="15871">
      <c r="Y15871" s="372">
        <v>0.0</v>
      </c>
      <c r="Z15871" s="372">
        <v>0.0</v>
      </c>
    </row>
    <row r="15872">
      <c r="Y15872" s="372">
        <v>0.0</v>
      </c>
      <c r="Z15872" s="372">
        <v>0.0</v>
      </c>
    </row>
    <row r="15873">
      <c r="Y15873" s="372">
        <v>0.0</v>
      </c>
      <c r="Z15873" s="372">
        <v>0.0</v>
      </c>
    </row>
    <row r="15874">
      <c r="Y15874" s="372">
        <v>0.0</v>
      </c>
      <c r="Z15874" s="372">
        <v>0.0</v>
      </c>
    </row>
    <row r="15875">
      <c r="Y15875" s="372">
        <v>0.0</v>
      </c>
      <c r="Z15875" s="372">
        <v>0.0</v>
      </c>
    </row>
    <row r="15876">
      <c r="Y15876" s="372">
        <v>0.0</v>
      </c>
      <c r="Z15876" s="372">
        <v>0.0</v>
      </c>
    </row>
    <row r="15877">
      <c r="Y15877" s="372">
        <v>0.0</v>
      </c>
      <c r="Z15877" s="372">
        <v>0.0</v>
      </c>
    </row>
    <row r="15878">
      <c r="Y15878" s="372">
        <v>0.0</v>
      </c>
      <c r="Z15878" s="372">
        <v>0.0</v>
      </c>
    </row>
    <row r="15879">
      <c r="Y15879" s="372">
        <v>0.0</v>
      </c>
      <c r="Z15879" s="372">
        <v>0.0</v>
      </c>
    </row>
    <row r="15880">
      <c r="Y15880" s="372">
        <v>0.0</v>
      </c>
      <c r="Z15880" s="372">
        <v>0.0</v>
      </c>
    </row>
    <row r="15881">
      <c r="Y15881" s="372">
        <v>0.0</v>
      </c>
      <c r="Z15881" s="372">
        <v>0.0</v>
      </c>
    </row>
    <row r="15882">
      <c r="Y15882" s="372">
        <v>0.0</v>
      </c>
      <c r="Z15882" s="372">
        <v>0.0</v>
      </c>
    </row>
    <row r="15883">
      <c r="Y15883" s="372">
        <v>0.0</v>
      </c>
      <c r="Z15883" s="372">
        <v>0.0</v>
      </c>
    </row>
    <row r="15884">
      <c r="Y15884" s="372">
        <v>0.0</v>
      </c>
      <c r="Z15884" s="372">
        <v>0.0</v>
      </c>
    </row>
    <row r="15885">
      <c r="Y15885" s="372">
        <v>0.0</v>
      </c>
      <c r="Z15885" s="372">
        <v>0.0</v>
      </c>
    </row>
    <row r="15886">
      <c r="Y15886" s="372">
        <v>0.0</v>
      </c>
      <c r="Z15886" s="372">
        <v>0.0</v>
      </c>
    </row>
    <row r="15887">
      <c r="Y15887" s="372">
        <v>0.0</v>
      </c>
      <c r="Z15887" s="372">
        <v>0.0</v>
      </c>
    </row>
    <row r="15888">
      <c r="Y15888" s="372">
        <v>0.0</v>
      </c>
      <c r="Z15888" s="372">
        <v>0.0</v>
      </c>
    </row>
    <row r="15889">
      <c r="Y15889" s="372">
        <v>0.0</v>
      </c>
      <c r="Z15889" s="372">
        <v>0.0</v>
      </c>
    </row>
    <row r="15890">
      <c r="Y15890" s="372">
        <v>0.0</v>
      </c>
      <c r="Z15890" s="372">
        <v>0.0</v>
      </c>
    </row>
    <row r="15891">
      <c r="Y15891" s="372">
        <v>0.0</v>
      </c>
      <c r="Z15891" s="372">
        <v>0.0</v>
      </c>
    </row>
    <row r="15892">
      <c r="Y15892" s="372">
        <v>0.0</v>
      </c>
      <c r="Z15892" s="372">
        <v>0.0</v>
      </c>
    </row>
    <row r="15893">
      <c r="Y15893" s="372">
        <v>0.0</v>
      </c>
      <c r="Z15893" s="372">
        <v>0.0</v>
      </c>
    </row>
    <row r="15894">
      <c r="Y15894" s="372">
        <v>0.0</v>
      </c>
      <c r="Z15894" s="372">
        <v>0.0</v>
      </c>
    </row>
    <row r="15895">
      <c r="Y15895" s="372">
        <v>0.0</v>
      </c>
      <c r="Z15895" s="372">
        <v>0.0</v>
      </c>
    </row>
    <row r="15896">
      <c r="Y15896" s="372">
        <v>0.0</v>
      </c>
      <c r="Z15896" s="372">
        <v>0.0</v>
      </c>
    </row>
    <row r="15897">
      <c r="Y15897" s="372">
        <v>0.0</v>
      </c>
      <c r="Z15897" s="372">
        <v>0.0</v>
      </c>
    </row>
    <row r="15898">
      <c r="Y15898" s="372">
        <v>0.0</v>
      </c>
      <c r="Z15898" s="372">
        <v>0.0</v>
      </c>
    </row>
    <row r="15899">
      <c r="Y15899" s="372">
        <v>0.0</v>
      </c>
      <c r="Z15899" s="372">
        <v>0.0</v>
      </c>
    </row>
    <row r="15900">
      <c r="Y15900" s="372">
        <v>0.0</v>
      </c>
      <c r="Z15900" s="372">
        <v>0.0</v>
      </c>
    </row>
    <row r="15901">
      <c r="Y15901" s="372">
        <v>0.0</v>
      </c>
      <c r="Z15901" s="372">
        <v>0.0</v>
      </c>
    </row>
    <row r="15902">
      <c r="Y15902" s="372">
        <v>0.0</v>
      </c>
      <c r="Z15902" s="372">
        <v>0.0</v>
      </c>
    </row>
    <row r="15903">
      <c r="Y15903" s="372">
        <v>0.0</v>
      </c>
      <c r="Z15903" s="372">
        <v>0.0</v>
      </c>
    </row>
    <row r="15904">
      <c r="Y15904" s="372">
        <v>0.0</v>
      </c>
      <c r="Z15904" s="372">
        <v>0.0</v>
      </c>
    </row>
    <row r="15905">
      <c r="Y15905" s="372">
        <v>0.0</v>
      </c>
      <c r="Z15905" s="372">
        <v>0.0</v>
      </c>
    </row>
    <row r="15906">
      <c r="Y15906" s="372">
        <v>0.0</v>
      </c>
      <c r="Z15906" s="372">
        <v>0.0</v>
      </c>
    </row>
    <row r="15907">
      <c r="Y15907" s="372">
        <v>0.0</v>
      </c>
      <c r="Z15907" s="372">
        <v>0.0</v>
      </c>
    </row>
    <row r="15908">
      <c r="Y15908" s="372">
        <v>0.0</v>
      </c>
      <c r="Z15908" s="372">
        <v>0.0</v>
      </c>
    </row>
    <row r="15909">
      <c r="Y15909" s="372">
        <v>0.0</v>
      </c>
      <c r="Z15909" s="372">
        <v>0.0</v>
      </c>
    </row>
    <row r="15910">
      <c r="Y15910" s="372">
        <v>0.0</v>
      </c>
      <c r="Z15910" s="372">
        <v>0.0</v>
      </c>
    </row>
    <row r="15911">
      <c r="Y15911" s="372">
        <v>0.0</v>
      </c>
      <c r="Z15911" s="372">
        <v>0.0</v>
      </c>
    </row>
    <row r="15912">
      <c r="Y15912" s="372">
        <v>0.0</v>
      </c>
      <c r="Z15912" s="372">
        <v>0.0</v>
      </c>
    </row>
    <row r="15913">
      <c r="Y15913" s="372">
        <v>0.0</v>
      </c>
      <c r="Z15913" s="372">
        <v>0.0</v>
      </c>
    </row>
    <row r="15914">
      <c r="Y15914" s="372">
        <v>0.0</v>
      </c>
      <c r="Z15914" s="372">
        <v>0.0</v>
      </c>
    </row>
    <row r="15915">
      <c r="Y15915" s="372">
        <v>0.0</v>
      </c>
      <c r="Z15915" s="372">
        <v>0.0</v>
      </c>
    </row>
    <row r="15916">
      <c r="Y15916" s="372">
        <v>0.0</v>
      </c>
      <c r="Z15916" s="372">
        <v>0.0</v>
      </c>
    </row>
    <row r="15917">
      <c r="Y15917" s="372">
        <v>0.0</v>
      </c>
      <c r="Z15917" s="372">
        <v>0.0</v>
      </c>
    </row>
    <row r="15918">
      <c r="Y15918" s="372">
        <v>0.0</v>
      </c>
      <c r="Z15918" s="372">
        <v>0.0</v>
      </c>
    </row>
    <row r="15919">
      <c r="Y15919" s="372">
        <v>0.0</v>
      </c>
      <c r="Z15919" s="372">
        <v>0.0</v>
      </c>
    </row>
    <row r="15920">
      <c r="Y15920" s="372">
        <v>0.0</v>
      </c>
      <c r="Z15920" s="372">
        <v>0.0</v>
      </c>
    </row>
    <row r="15921">
      <c r="Y15921" s="372">
        <v>0.0</v>
      </c>
      <c r="Z15921" s="372">
        <v>0.0</v>
      </c>
    </row>
    <row r="15922">
      <c r="Y15922" s="372">
        <v>0.0</v>
      </c>
      <c r="Z15922" s="372">
        <v>0.0</v>
      </c>
    </row>
    <row r="15923">
      <c r="Y15923" s="372">
        <v>0.0</v>
      </c>
      <c r="Z15923" s="372">
        <v>0.0</v>
      </c>
    </row>
    <row r="15924">
      <c r="Y15924" s="372">
        <v>0.0</v>
      </c>
      <c r="Z15924" s="372">
        <v>0.0</v>
      </c>
    </row>
    <row r="15925">
      <c r="Y15925" s="372">
        <v>0.0</v>
      </c>
      <c r="Z15925" s="372">
        <v>0.0</v>
      </c>
    </row>
    <row r="15926">
      <c r="Y15926" s="372">
        <v>0.0</v>
      </c>
      <c r="Z15926" s="372">
        <v>0.0</v>
      </c>
    </row>
    <row r="15927">
      <c r="Y15927" s="372">
        <v>0.0</v>
      </c>
      <c r="Z15927" s="372">
        <v>0.0</v>
      </c>
    </row>
    <row r="15928">
      <c r="Y15928" s="372">
        <v>0.0</v>
      </c>
      <c r="Z15928" s="372">
        <v>0.0</v>
      </c>
    </row>
    <row r="15929">
      <c r="Y15929" s="372">
        <v>0.0</v>
      </c>
      <c r="Z15929" s="372">
        <v>0.0</v>
      </c>
    </row>
    <row r="15930">
      <c r="Y15930" s="372">
        <v>0.0</v>
      </c>
      <c r="Z15930" s="372">
        <v>0.0</v>
      </c>
    </row>
    <row r="15931">
      <c r="Y15931" s="372">
        <v>0.0</v>
      </c>
      <c r="Z15931" s="372">
        <v>0.0</v>
      </c>
    </row>
    <row r="15932">
      <c r="Y15932" s="372">
        <v>0.0</v>
      </c>
      <c r="Z15932" s="372">
        <v>0.0</v>
      </c>
    </row>
    <row r="15933">
      <c r="Y15933" s="372">
        <v>0.0</v>
      </c>
      <c r="Z15933" s="372">
        <v>0.0</v>
      </c>
    </row>
    <row r="15934">
      <c r="Y15934" s="372">
        <v>0.0</v>
      </c>
      <c r="Z15934" s="372">
        <v>0.0</v>
      </c>
    </row>
    <row r="15935">
      <c r="Y15935" s="372">
        <v>0.0</v>
      </c>
      <c r="Z15935" s="372">
        <v>0.0</v>
      </c>
    </row>
    <row r="15936">
      <c r="Y15936" s="372">
        <v>0.0</v>
      </c>
      <c r="Z15936" s="372">
        <v>0.0</v>
      </c>
    </row>
    <row r="15937">
      <c r="Y15937" s="372">
        <v>0.0</v>
      </c>
      <c r="Z15937" s="372">
        <v>0.0</v>
      </c>
    </row>
    <row r="15938">
      <c r="Y15938" s="372">
        <v>0.0</v>
      </c>
      <c r="Z15938" s="372">
        <v>0.0</v>
      </c>
    </row>
    <row r="15939">
      <c r="Y15939" s="372">
        <v>0.0</v>
      </c>
      <c r="Z15939" s="372">
        <v>0.0</v>
      </c>
    </row>
    <row r="15940">
      <c r="Y15940" s="372">
        <v>0.0</v>
      </c>
      <c r="Z15940" s="372">
        <v>0.0</v>
      </c>
    </row>
    <row r="15941">
      <c r="Y15941" s="372">
        <v>0.0</v>
      </c>
      <c r="Z15941" s="372">
        <v>0.0</v>
      </c>
    </row>
    <row r="15942">
      <c r="Y15942" s="372">
        <v>0.0</v>
      </c>
      <c r="Z15942" s="372">
        <v>0.0</v>
      </c>
    </row>
    <row r="15943">
      <c r="Y15943" s="372">
        <v>0.0</v>
      </c>
      <c r="Z15943" s="372">
        <v>0.0</v>
      </c>
    </row>
    <row r="15944">
      <c r="Y15944" s="372">
        <v>0.0</v>
      </c>
      <c r="Z15944" s="372">
        <v>0.0</v>
      </c>
    </row>
    <row r="15945">
      <c r="Y15945" s="372">
        <v>0.0</v>
      </c>
      <c r="Z15945" s="372">
        <v>0.0</v>
      </c>
    </row>
    <row r="15946">
      <c r="Y15946" s="372">
        <v>0.0</v>
      </c>
      <c r="Z15946" s="372">
        <v>0.0</v>
      </c>
    </row>
    <row r="15947">
      <c r="Y15947" s="372">
        <v>0.0</v>
      </c>
      <c r="Z15947" s="372">
        <v>0.0</v>
      </c>
    </row>
    <row r="15948">
      <c r="Y15948" s="372">
        <v>0.0</v>
      </c>
      <c r="Z15948" s="372">
        <v>0.0</v>
      </c>
    </row>
    <row r="15949">
      <c r="Y15949" s="372">
        <v>0.0</v>
      </c>
      <c r="Z15949" s="372">
        <v>0.0</v>
      </c>
    </row>
    <row r="15950">
      <c r="Y15950" s="372">
        <v>0.0</v>
      </c>
      <c r="Z15950" s="372">
        <v>0.0</v>
      </c>
    </row>
    <row r="15951">
      <c r="Y15951" s="372">
        <v>0.0</v>
      </c>
      <c r="Z15951" s="372">
        <v>0.0</v>
      </c>
    </row>
    <row r="15952">
      <c r="Y15952" s="372">
        <v>0.0</v>
      </c>
      <c r="Z15952" s="372">
        <v>0.0</v>
      </c>
    </row>
    <row r="15953">
      <c r="Y15953" s="372">
        <v>0.0</v>
      </c>
      <c r="Z15953" s="372">
        <v>0.0</v>
      </c>
    </row>
    <row r="15954">
      <c r="Y15954" s="372">
        <v>0.0</v>
      </c>
      <c r="Z15954" s="372">
        <v>0.0</v>
      </c>
    </row>
    <row r="15955">
      <c r="Y15955" s="372">
        <v>0.0</v>
      </c>
      <c r="Z15955" s="372">
        <v>0.0</v>
      </c>
    </row>
    <row r="15956">
      <c r="Y15956" s="372">
        <v>0.0</v>
      </c>
      <c r="Z15956" s="372">
        <v>0.0</v>
      </c>
    </row>
    <row r="15957">
      <c r="Y15957" s="372">
        <v>0.0</v>
      </c>
      <c r="Z15957" s="372">
        <v>0.0</v>
      </c>
    </row>
    <row r="15958">
      <c r="Y15958" s="372">
        <v>0.0</v>
      </c>
      <c r="Z15958" s="372">
        <v>0.0</v>
      </c>
    </row>
    <row r="15959">
      <c r="Y15959" s="372">
        <v>0.0</v>
      </c>
      <c r="Z15959" s="372">
        <v>0.0</v>
      </c>
    </row>
    <row r="15960">
      <c r="Y15960" s="372">
        <v>0.0</v>
      </c>
      <c r="Z15960" s="372">
        <v>0.0</v>
      </c>
    </row>
    <row r="15961">
      <c r="Y15961" s="372">
        <v>0.0</v>
      </c>
      <c r="Z15961" s="372">
        <v>0.0</v>
      </c>
    </row>
    <row r="15962">
      <c r="Y15962" s="372">
        <v>0.0</v>
      </c>
      <c r="Z15962" s="372">
        <v>0.0</v>
      </c>
    </row>
    <row r="15963">
      <c r="Y15963" s="372">
        <v>0.0</v>
      </c>
      <c r="Z15963" s="372">
        <v>0.0</v>
      </c>
    </row>
    <row r="15964">
      <c r="Y15964" s="372">
        <v>0.0</v>
      </c>
      <c r="Z15964" s="372">
        <v>0.0</v>
      </c>
    </row>
    <row r="15965">
      <c r="Y15965" s="372">
        <v>0.0</v>
      </c>
      <c r="Z15965" s="372">
        <v>0.0</v>
      </c>
    </row>
    <row r="15966">
      <c r="Y15966" s="372">
        <v>0.0</v>
      </c>
      <c r="Z15966" s="372">
        <v>0.0</v>
      </c>
    </row>
    <row r="15967">
      <c r="Y15967" s="372">
        <v>0.0</v>
      </c>
      <c r="Z15967" s="372">
        <v>0.0</v>
      </c>
    </row>
    <row r="15968">
      <c r="Y15968" s="372">
        <v>0.0</v>
      </c>
      <c r="Z15968" s="372">
        <v>0.0</v>
      </c>
    </row>
    <row r="15969">
      <c r="Y15969" s="372">
        <v>0.0</v>
      </c>
      <c r="Z15969" s="372">
        <v>0.0</v>
      </c>
    </row>
    <row r="15970">
      <c r="Y15970" s="372">
        <v>0.0</v>
      </c>
      <c r="Z15970" s="372">
        <v>0.0</v>
      </c>
    </row>
    <row r="15971">
      <c r="Y15971" s="372">
        <v>0.0</v>
      </c>
      <c r="Z15971" s="372">
        <v>0.0</v>
      </c>
    </row>
    <row r="15972">
      <c r="Y15972" s="372">
        <v>0.0</v>
      </c>
      <c r="Z15972" s="372">
        <v>0.0</v>
      </c>
    </row>
    <row r="15973">
      <c r="Y15973" s="372">
        <v>0.0</v>
      </c>
      <c r="Z15973" s="372">
        <v>0.0</v>
      </c>
    </row>
    <row r="15974">
      <c r="Y15974" s="372">
        <v>0.0</v>
      </c>
      <c r="Z15974" s="372">
        <v>0.0</v>
      </c>
    </row>
    <row r="15975">
      <c r="Y15975" s="372">
        <v>0.0</v>
      </c>
      <c r="Z15975" s="372">
        <v>0.0</v>
      </c>
    </row>
    <row r="15976">
      <c r="Y15976" s="372">
        <v>0.0</v>
      </c>
      <c r="Z15976" s="372">
        <v>0.0</v>
      </c>
    </row>
    <row r="15977">
      <c r="Y15977" s="372">
        <v>0.0</v>
      </c>
      <c r="Z15977" s="372">
        <v>0.0</v>
      </c>
    </row>
    <row r="15978">
      <c r="Y15978" s="372">
        <v>0.0</v>
      </c>
      <c r="Z15978" s="372">
        <v>0.0</v>
      </c>
    </row>
    <row r="15979">
      <c r="Y15979" s="372">
        <v>0.0</v>
      </c>
      <c r="Z15979" s="372">
        <v>0.0</v>
      </c>
    </row>
    <row r="15980">
      <c r="Y15980" s="372">
        <v>0.0</v>
      </c>
      <c r="Z15980" s="372">
        <v>0.0</v>
      </c>
    </row>
    <row r="15981">
      <c r="Y15981" s="372">
        <v>0.0</v>
      </c>
      <c r="Z15981" s="372">
        <v>0.0</v>
      </c>
    </row>
    <row r="15982">
      <c r="Y15982" s="372">
        <v>0.0</v>
      </c>
      <c r="Z15982" s="372">
        <v>0.0</v>
      </c>
    </row>
    <row r="15983">
      <c r="Y15983" s="372">
        <v>0.0</v>
      </c>
      <c r="Z15983" s="372">
        <v>0.0</v>
      </c>
    </row>
    <row r="15984">
      <c r="Y15984" s="372">
        <v>0.0</v>
      </c>
      <c r="Z15984" s="372">
        <v>0.0</v>
      </c>
    </row>
    <row r="15985">
      <c r="Y15985" s="372">
        <v>0.0</v>
      </c>
      <c r="Z15985" s="372">
        <v>0.0</v>
      </c>
    </row>
    <row r="15986">
      <c r="Y15986" s="372">
        <v>0.0</v>
      </c>
      <c r="Z15986" s="372">
        <v>0.0</v>
      </c>
    </row>
    <row r="15987">
      <c r="Y15987" s="372">
        <v>0.0</v>
      </c>
      <c r="Z15987" s="372">
        <v>0.0</v>
      </c>
    </row>
    <row r="15988">
      <c r="Y15988" s="372">
        <v>0.0</v>
      </c>
      <c r="Z15988" s="372">
        <v>0.0</v>
      </c>
    </row>
    <row r="15989">
      <c r="Y15989" s="372">
        <v>0.0</v>
      </c>
      <c r="Z15989" s="372">
        <v>0.0</v>
      </c>
    </row>
    <row r="15990">
      <c r="Y15990" s="372">
        <v>0.0</v>
      </c>
      <c r="Z15990" s="372">
        <v>0.0</v>
      </c>
    </row>
    <row r="15991">
      <c r="Y15991" s="372">
        <v>0.0</v>
      </c>
      <c r="Z15991" s="372">
        <v>0.0</v>
      </c>
    </row>
    <row r="15992">
      <c r="Y15992" s="372">
        <v>0.0</v>
      </c>
      <c r="Z15992" s="372">
        <v>0.0</v>
      </c>
    </row>
    <row r="15993">
      <c r="Y15993" s="372">
        <v>0.0</v>
      </c>
      <c r="Z15993" s="372">
        <v>0.0</v>
      </c>
    </row>
    <row r="15994">
      <c r="Y15994" s="372">
        <v>0.0</v>
      </c>
      <c r="Z15994" s="372">
        <v>0.0</v>
      </c>
    </row>
    <row r="15995">
      <c r="Y15995" s="372">
        <v>0.0</v>
      </c>
      <c r="Z15995" s="372">
        <v>0.0</v>
      </c>
    </row>
    <row r="15996">
      <c r="Y15996" s="372">
        <v>0.0</v>
      </c>
      <c r="Z15996" s="372">
        <v>0.0</v>
      </c>
    </row>
    <row r="15997">
      <c r="Y15997" s="372">
        <v>0.0</v>
      </c>
      <c r="Z15997" s="372">
        <v>0.0</v>
      </c>
    </row>
    <row r="15998">
      <c r="Y15998" s="372">
        <v>0.0</v>
      </c>
      <c r="Z15998" s="372">
        <v>0.0</v>
      </c>
    </row>
    <row r="15999">
      <c r="Y15999" s="372">
        <v>0.0</v>
      </c>
      <c r="Z15999" s="372">
        <v>0.0</v>
      </c>
    </row>
    <row r="16000">
      <c r="Y16000" s="372">
        <v>0.0</v>
      </c>
      <c r="Z16000" s="372">
        <v>0.0</v>
      </c>
    </row>
    <row r="16001">
      <c r="Y16001" s="372">
        <v>0.0</v>
      </c>
      <c r="Z16001" s="372">
        <v>0.0</v>
      </c>
    </row>
    <row r="16002">
      <c r="Y16002" s="372">
        <v>0.0</v>
      </c>
      <c r="Z16002" s="372">
        <v>0.0</v>
      </c>
    </row>
    <row r="16003">
      <c r="Y16003" s="372">
        <v>0.0</v>
      </c>
      <c r="Z16003" s="372">
        <v>0.0</v>
      </c>
    </row>
    <row r="16004">
      <c r="Y16004" s="372">
        <v>0.0</v>
      </c>
      <c r="Z16004" s="372">
        <v>0.0</v>
      </c>
    </row>
    <row r="16005">
      <c r="Y16005" s="372">
        <v>0.0</v>
      </c>
      <c r="Z16005" s="372">
        <v>0.0</v>
      </c>
    </row>
    <row r="16006">
      <c r="Y16006" s="372">
        <v>0.0</v>
      </c>
      <c r="Z16006" s="372">
        <v>0.0</v>
      </c>
    </row>
    <row r="16007">
      <c r="Y16007" s="372">
        <v>0.0</v>
      </c>
      <c r="Z16007" s="372">
        <v>0.0</v>
      </c>
    </row>
    <row r="16008">
      <c r="Y16008" s="372">
        <v>0.0</v>
      </c>
      <c r="Z16008" s="372">
        <v>0.0</v>
      </c>
    </row>
    <row r="16009">
      <c r="Y16009" s="372">
        <v>0.0</v>
      </c>
      <c r="Z16009" s="372">
        <v>0.0</v>
      </c>
    </row>
    <row r="16010">
      <c r="Y16010" s="372">
        <v>0.0</v>
      </c>
      <c r="Z16010" s="372">
        <v>0.0</v>
      </c>
    </row>
    <row r="16011">
      <c r="Y16011" s="372">
        <v>0.0</v>
      </c>
      <c r="Z16011" s="372">
        <v>0.0</v>
      </c>
    </row>
    <row r="16012">
      <c r="Y16012" s="372">
        <v>0.0</v>
      </c>
      <c r="Z16012" s="372">
        <v>0.0</v>
      </c>
    </row>
    <row r="16013">
      <c r="Y16013" s="372">
        <v>0.0</v>
      </c>
      <c r="Z16013" s="372">
        <v>0.0</v>
      </c>
    </row>
    <row r="16014">
      <c r="Y16014" s="372">
        <v>0.0</v>
      </c>
      <c r="Z16014" s="372">
        <v>0.0</v>
      </c>
    </row>
    <row r="16015">
      <c r="Y16015" s="372">
        <v>0.0</v>
      </c>
      <c r="Z16015" s="372">
        <v>0.0</v>
      </c>
    </row>
    <row r="16016">
      <c r="Y16016" s="372">
        <v>0.0</v>
      </c>
      <c r="Z16016" s="372">
        <v>0.0</v>
      </c>
    </row>
    <row r="16017">
      <c r="Y16017" s="372">
        <v>0.0</v>
      </c>
      <c r="Z16017" s="372">
        <v>0.0</v>
      </c>
    </row>
    <row r="16018">
      <c r="Y16018" s="372">
        <v>0.0</v>
      </c>
      <c r="Z16018" s="372">
        <v>0.0</v>
      </c>
    </row>
    <row r="16019">
      <c r="Y16019" s="372">
        <v>0.0</v>
      </c>
      <c r="Z16019" s="372">
        <v>0.0</v>
      </c>
    </row>
    <row r="16020">
      <c r="Y16020" s="372">
        <v>0.0</v>
      </c>
      <c r="Z16020" s="372">
        <v>0.0</v>
      </c>
    </row>
    <row r="16021">
      <c r="Y16021" s="372">
        <v>0.0</v>
      </c>
      <c r="Z16021" s="372">
        <v>0.0</v>
      </c>
    </row>
    <row r="16022">
      <c r="Y16022" s="372">
        <v>0.0</v>
      </c>
      <c r="Z16022" s="372">
        <v>0.0</v>
      </c>
    </row>
    <row r="16023">
      <c r="Y16023" s="372">
        <v>0.0</v>
      </c>
      <c r="Z16023" s="372">
        <v>0.0</v>
      </c>
    </row>
    <row r="16024">
      <c r="Y16024" s="372">
        <v>0.0</v>
      </c>
      <c r="Z16024" s="372">
        <v>0.0</v>
      </c>
    </row>
    <row r="16025">
      <c r="Y16025" s="372">
        <v>0.0</v>
      </c>
      <c r="Z16025" s="372">
        <v>0.0</v>
      </c>
    </row>
    <row r="16026">
      <c r="Y16026" s="372">
        <v>0.0</v>
      </c>
      <c r="Z16026" s="372">
        <v>0.0</v>
      </c>
    </row>
    <row r="16027">
      <c r="Y16027" s="372">
        <v>0.0</v>
      </c>
      <c r="Z16027" s="372">
        <v>0.0</v>
      </c>
    </row>
    <row r="16028">
      <c r="Y16028" s="372">
        <v>0.0</v>
      </c>
      <c r="Z16028" s="372">
        <v>0.0</v>
      </c>
    </row>
    <row r="16029">
      <c r="Y16029" s="372">
        <v>0.0</v>
      </c>
      <c r="Z16029" s="372">
        <v>0.0</v>
      </c>
    </row>
    <row r="16030">
      <c r="Y16030" s="372">
        <v>0.0</v>
      </c>
      <c r="Z16030" s="372">
        <v>0.0</v>
      </c>
    </row>
    <row r="16031">
      <c r="Y16031" s="372">
        <v>0.0</v>
      </c>
      <c r="Z16031" s="372">
        <v>0.0</v>
      </c>
    </row>
    <row r="16032">
      <c r="Y16032" s="372">
        <v>0.0</v>
      </c>
      <c r="Z16032" s="372">
        <v>0.0</v>
      </c>
    </row>
    <row r="16033">
      <c r="Y16033" s="372">
        <v>0.0</v>
      </c>
      <c r="Z16033" s="372">
        <v>0.0</v>
      </c>
    </row>
    <row r="16034">
      <c r="Y16034" s="372">
        <v>0.0</v>
      </c>
      <c r="Z16034" s="372">
        <v>0.0</v>
      </c>
    </row>
    <row r="16035">
      <c r="Y16035" s="372">
        <v>0.0</v>
      </c>
      <c r="Z16035" s="372">
        <v>0.0</v>
      </c>
    </row>
    <row r="16036">
      <c r="Y16036" s="372">
        <v>0.0</v>
      </c>
      <c r="Z16036" s="372">
        <v>0.0</v>
      </c>
    </row>
    <row r="16037">
      <c r="Y16037" s="372">
        <v>0.0</v>
      </c>
      <c r="Z16037" s="372">
        <v>0.0</v>
      </c>
    </row>
    <row r="16038">
      <c r="Y16038" s="372">
        <v>0.0</v>
      </c>
      <c r="Z16038" s="372">
        <v>0.0</v>
      </c>
    </row>
    <row r="16039">
      <c r="Y16039" s="372">
        <v>0.0</v>
      </c>
      <c r="Z16039" s="372">
        <v>0.0</v>
      </c>
    </row>
    <row r="16040">
      <c r="Y16040" s="372">
        <v>0.0</v>
      </c>
      <c r="Z16040" s="372">
        <v>0.0</v>
      </c>
    </row>
    <row r="16041">
      <c r="Y16041" s="372">
        <v>0.0</v>
      </c>
      <c r="Z16041" s="372">
        <v>0.0</v>
      </c>
    </row>
    <row r="16042">
      <c r="Y16042" s="372">
        <v>0.0</v>
      </c>
      <c r="Z16042" s="372">
        <v>0.0</v>
      </c>
    </row>
    <row r="16043">
      <c r="Y16043" s="372">
        <v>0.0</v>
      </c>
      <c r="Z16043" s="372">
        <v>0.0</v>
      </c>
    </row>
    <row r="16044">
      <c r="Y16044" s="372">
        <v>0.0</v>
      </c>
      <c r="Z16044" s="372">
        <v>0.0</v>
      </c>
    </row>
    <row r="16045">
      <c r="Y16045" s="372">
        <v>0.0</v>
      </c>
      <c r="Z16045" s="372">
        <v>0.0</v>
      </c>
    </row>
    <row r="16046">
      <c r="Y16046" s="372">
        <v>0.0</v>
      </c>
      <c r="Z16046" s="372">
        <v>0.0</v>
      </c>
    </row>
    <row r="16047">
      <c r="Y16047" s="372">
        <v>0.0</v>
      </c>
      <c r="Z16047" s="372">
        <v>0.0</v>
      </c>
    </row>
    <row r="16048">
      <c r="Y16048" s="372">
        <v>0.0</v>
      </c>
      <c r="Z16048" s="372">
        <v>0.0</v>
      </c>
    </row>
    <row r="16049">
      <c r="Y16049" s="372">
        <v>0.0</v>
      </c>
      <c r="Z16049" s="372">
        <v>0.0</v>
      </c>
    </row>
    <row r="16050">
      <c r="Y16050" s="372">
        <v>0.0</v>
      </c>
      <c r="Z16050" s="372">
        <v>0.0</v>
      </c>
    </row>
    <row r="16051">
      <c r="Y16051" s="372">
        <v>0.0</v>
      </c>
      <c r="Z16051" s="372">
        <v>0.0</v>
      </c>
    </row>
    <row r="16052">
      <c r="Y16052" s="372">
        <v>0.0</v>
      </c>
      <c r="Z16052" s="372">
        <v>0.0</v>
      </c>
    </row>
    <row r="16053">
      <c r="Y16053" s="372">
        <v>0.0</v>
      </c>
      <c r="Z16053" s="372">
        <v>0.0</v>
      </c>
    </row>
    <row r="16054">
      <c r="Y16054" s="372">
        <v>0.0</v>
      </c>
      <c r="Z16054" s="372">
        <v>0.0</v>
      </c>
    </row>
    <row r="16055">
      <c r="Y16055" s="372">
        <v>0.0</v>
      </c>
      <c r="Z16055" s="372">
        <v>0.0</v>
      </c>
    </row>
    <row r="16056">
      <c r="Y16056" s="372">
        <v>0.0</v>
      </c>
      <c r="Z16056" s="372">
        <v>0.0</v>
      </c>
    </row>
    <row r="16057">
      <c r="Y16057" s="372">
        <v>0.0</v>
      </c>
      <c r="Z16057" s="372">
        <v>0.0</v>
      </c>
    </row>
    <row r="16058">
      <c r="Y16058" s="372">
        <v>0.0</v>
      </c>
      <c r="Z16058" s="372">
        <v>0.0</v>
      </c>
    </row>
    <row r="16059">
      <c r="Y16059" s="372">
        <v>0.0</v>
      </c>
      <c r="Z16059" s="372">
        <v>0.0</v>
      </c>
    </row>
    <row r="16060">
      <c r="Y16060" s="372">
        <v>0.0</v>
      </c>
      <c r="Z16060" s="372">
        <v>0.0</v>
      </c>
    </row>
    <row r="16061">
      <c r="Y16061" s="372">
        <v>0.0</v>
      </c>
      <c r="Z16061" s="372">
        <v>0.0</v>
      </c>
    </row>
    <row r="16062">
      <c r="Y16062" s="372">
        <v>0.0</v>
      </c>
      <c r="Z16062" s="372">
        <v>0.0</v>
      </c>
    </row>
    <row r="16063">
      <c r="Y16063" s="372">
        <v>0.0</v>
      </c>
      <c r="Z16063" s="372">
        <v>0.0</v>
      </c>
    </row>
    <row r="16064">
      <c r="Y16064" s="372">
        <v>0.0</v>
      </c>
      <c r="Z16064" s="372">
        <v>0.0</v>
      </c>
    </row>
    <row r="16065">
      <c r="Y16065" s="372">
        <v>0.0</v>
      </c>
      <c r="Z16065" s="372">
        <v>0.0</v>
      </c>
    </row>
    <row r="16066">
      <c r="Y16066" s="372">
        <v>0.0</v>
      </c>
      <c r="Z16066" s="372">
        <v>0.0</v>
      </c>
    </row>
    <row r="16067">
      <c r="Y16067" s="372">
        <v>0.0</v>
      </c>
      <c r="Z16067" s="372">
        <v>0.0</v>
      </c>
    </row>
    <row r="16068">
      <c r="Y16068" s="372">
        <v>0.0</v>
      </c>
      <c r="Z16068" s="372">
        <v>0.0</v>
      </c>
    </row>
    <row r="16069">
      <c r="Y16069" s="372">
        <v>0.0</v>
      </c>
      <c r="Z16069" s="372">
        <v>0.0</v>
      </c>
    </row>
    <row r="16070">
      <c r="Y16070" s="372">
        <v>0.0</v>
      </c>
      <c r="Z16070" s="372">
        <v>0.0</v>
      </c>
    </row>
    <row r="16071">
      <c r="Y16071" s="372">
        <v>0.0</v>
      </c>
      <c r="Z16071" s="372">
        <v>0.0</v>
      </c>
    </row>
    <row r="16072">
      <c r="Y16072" s="372">
        <v>0.0</v>
      </c>
      <c r="Z16072" s="372">
        <v>0.0</v>
      </c>
    </row>
    <row r="16073">
      <c r="Y16073" s="372">
        <v>0.0</v>
      </c>
      <c r="Z16073" s="372">
        <v>0.0</v>
      </c>
    </row>
    <row r="16074">
      <c r="Y16074" s="372">
        <v>0.0</v>
      </c>
      <c r="Z16074" s="372">
        <v>0.0</v>
      </c>
    </row>
    <row r="16075">
      <c r="Y16075" s="372">
        <v>0.0</v>
      </c>
      <c r="Z16075" s="372">
        <v>0.0</v>
      </c>
    </row>
    <row r="16076">
      <c r="Y16076" s="372">
        <v>0.0</v>
      </c>
      <c r="Z16076" s="372">
        <v>0.0</v>
      </c>
    </row>
    <row r="16077">
      <c r="Y16077" s="372">
        <v>0.0</v>
      </c>
      <c r="Z16077" s="372">
        <v>0.0</v>
      </c>
    </row>
    <row r="16078">
      <c r="Y16078" s="372">
        <v>0.0</v>
      </c>
      <c r="Z16078" s="372">
        <v>0.0</v>
      </c>
    </row>
    <row r="16079">
      <c r="Y16079" s="372">
        <v>0.0</v>
      </c>
      <c r="Z16079" s="372">
        <v>0.0</v>
      </c>
    </row>
    <row r="16080">
      <c r="Y16080" s="372">
        <v>0.0</v>
      </c>
      <c r="Z16080" s="372">
        <v>0.0</v>
      </c>
    </row>
    <row r="16081">
      <c r="Y16081" s="372">
        <v>0.0</v>
      </c>
      <c r="Z16081" s="372">
        <v>0.0</v>
      </c>
    </row>
    <row r="16082">
      <c r="Y16082" s="372">
        <v>0.0</v>
      </c>
      <c r="Z16082" s="372">
        <v>0.0</v>
      </c>
    </row>
    <row r="16083">
      <c r="Y16083" s="372">
        <v>0.0</v>
      </c>
      <c r="Z16083" s="372">
        <v>0.0</v>
      </c>
    </row>
    <row r="16084">
      <c r="Y16084" s="372">
        <v>0.0</v>
      </c>
      <c r="Z16084" s="372">
        <v>0.0</v>
      </c>
    </row>
    <row r="16085">
      <c r="Y16085" s="372">
        <v>0.0</v>
      </c>
      <c r="Z16085" s="372">
        <v>0.0</v>
      </c>
    </row>
    <row r="16086">
      <c r="Y16086" s="372">
        <v>0.0</v>
      </c>
      <c r="Z16086" s="372">
        <v>0.0</v>
      </c>
    </row>
    <row r="16087">
      <c r="Y16087" s="372">
        <v>0.0</v>
      </c>
      <c r="Z16087" s="372">
        <v>0.0</v>
      </c>
    </row>
    <row r="16088">
      <c r="Y16088" s="372">
        <v>0.0</v>
      </c>
      <c r="Z16088" s="372">
        <v>0.0</v>
      </c>
    </row>
    <row r="16089">
      <c r="Y16089" s="372">
        <v>0.0</v>
      </c>
      <c r="Z16089" s="372">
        <v>0.0</v>
      </c>
    </row>
    <row r="16090">
      <c r="Y16090" s="372">
        <v>0.0</v>
      </c>
      <c r="Z16090" s="372">
        <v>0.0</v>
      </c>
    </row>
    <row r="16091">
      <c r="Y16091" s="372">
        <v>0.0</v>
      </c>
      <c r="Z16091" s="372">
        <v>0.0</v>
      </c>
    </row>
    <row r="16092">
      <c r="Y16092" s="372">
        <v>0.0</v>
      </c>
      <c r="Z16092" s="372">
        <v>0.0</v>
      </c>
    </row>
    <row r="16093">
      <c r="Y16093" s="372">
        <v>0.0</v>
      </c>
      <c r="Z16093" s="372">
        <v>0.0</v>
      </c>
    </row>
    <row r="16094">
      <c r="Y16094" s="372">
        <v>0.0</v>
      </c>
      <c r="Z16094" s="372">
        <v>0.0</v>
      </c>
    </row>
    <row r="16095">
      <c r="Y16095" s="372">
        <v>0.0</v>
      </c>
      <c r="Z16095" s="372">
        <v>0.0</v>
      </c>
    </row>
    <row r="16096">
      <c r="Y16096" s="372">
        <v>0.0</v>
      </c>
      <c r="Z16096" s="372">
        <v>0.0</v>
      </c>
    </row>
    <row r="16097">
      <c r="Y16097" s="372">
        <v>0.0</v>
      </c>
      <c r="Z16097" s="372">
        <v>0.0</v>
      </c>
    </row>
    <row r="16098">
      <c r="Y16098" s="372">
        <v>0.0</v>
      </c>
      <c r="Z16098" s="372">
        <v>0.0</v>
      </c>
    </row>
    <row r="16099">
      <c r="Y16099" s="372">
        <v>0.0</v>
      </c>
      <c r="Z16099" s="372">
        <v>0.0</v>
      </c>
    </row>
    <row r="16100">
      <c r="Y16100" s="372">
        <v>0.0</v>
      </c>
      <c r="Z16100" s="372">
        <v>0.0</v>
      </c>
    </row>
    <row r="16101">
      <c r="Y16101" s="372">
        <v>0.0</v>
      </c>
      <c r="Z16101" s="372">
        <v>0.0</v>
      </c>
    </row>
    <row r="16102">
      <c r="Y16102" s="372">
        <v>0.0</v>
      </c>
      <c r="Z16102" s="372">
        <v>0.0</v>
      </c>
    </row>
    <row r="16103">
      <c r="Y16103" s="372">
        <v>0.0</v>
      </c>
      <c r="Z16103" s="372">
        <v>0.0</v>
      </c>
    </row>
    <row r="16104">
      <c r="Y16104" s="372">
        <v>0.0</v>
      </c>
      <c r="Z16104" s="372">
        <v>0.0</v>
      </c>
    </row>
    <row r="16105">
      <c r="Y16105" s="372">
        <v>0.0</v>
      </c>
      <c r="Z16105" s="372">
        <v>0.0</v>
      </c>
    </row>
    <row r="16106">
      <c r="Y16106" s="372">
        <v>0.0</v>
      </c>
      <c r="Z16106" s="372">
        <v>0.0</v>
      </c>
    </row>
    <row r="16107">
      <c r="Y16107" s="372">
        <v>0.0</v>
      </c>
      <c r="Z16107" s="372">
        <v>0.0</v>
      </c>
    </row>
    <row r="16108">
      <c r="Y16108" s="372">
        <v>0.0</v>
      </c>
      <c r="Z16108" s="372">
        <v>0.0</v>
      </c>
    </row>
    <row r="16109">
      <c r="Y16109" s="372">
        <v>0.0</v>
      </c>
      <c r="Z16109" s="372">
        <v>0.0</v>
      </c>
    </row>
    <row r="16110">
      <c r="Y16110" s="372">
        <v>0.0</v>
      </c>
      <c r="Z16110" s="372">
        <v>0.0</v>
      </c>
    </row>
    <row r="16111">
      <c r="Y16111" s="372">
        <v>0.0</v>
      </c>
      <c r="Z16111" s="372">
        <v>0.0</v>
      </c>
    </row>
    <row r="16112">
      <c r="Y16112" s="372">
        <v>0.0</v>
      </c>
      <c r="Z16112" s="372">
        <v>0.0</v>
      </c>
    </row>
    <row r="16113">
      <c r="Y16113" s="372">
        <v>0.0</v>
      </c>
      <c r="Z16113" s="372">
        <v>0.0</v>
      </c>
    </row>
    <row r="16114">
      <c r="Y16114" s="372">
        <v>0.0</v>
      </c>
      <c r="Z16114" s="372">
        <v>0.0</v>
      </c>
    </row>
    <row r="16115">
      <c r="Y16115" s="372">
        <v>0.0</v>
      </c>
      <c r="Z16115" s="372">
        <v>0.0</v>
      </c>
    </row>
    <row r="16116">
      <c r="Y16116" s="372">
        <v>0.0</v>
      </c>
      <c r="Z16116" s="372">
        <v>0.0</v>
      </c>
    </row>
    <row r="16117">
      <c r="Y16117" s="372">
        <v>0.0</v>
      </c>
      <c r="Z16117" s="372">
        <v>0.0</v>
      </c>
    </row>
    <row r="16118">
      <c r="Y16118" s="372">
        <v>0.0</v>
      </c>
      <c r="Z16118" s="372">
        <v>0.0</v>
      </c>
    </row>
    <row r="16119">
      <c r="Y16119" s="372">
        <v>0.0</v>
      </c>
      <c r="Z16119" s="372">
        <v>0.0</v>
      </c>
    </row>
    <row r="16120">
      <c r="Y16120" s="372">
        <v>0.0</v>
      </c>
      <c r="Z16120" s="372">
        <v>0.0</v>
      </c>
    </row>
    <row r="16121">
      <c r="Y16121" s="372">
        <v>0.0</v>
      </c>
      <c r="Z16121" s="372">
        <v>0.0</v>
      </c>
    </row>
    <row r="16122">
      <c r="Y16122" s="372">
        <v>0.0</v>
      </c>
      <c r="Z16122" s="372">
        <v>0.0</v>
      </c>
    </row>
    <row r="16123">
      <c r="Y16123" s="372">
        <v>0.0</v>
      </c>
      <c r="Z16123" s="372">
        <v>0.0</v>
      </c>
    </row>
    <row r="16124">
      <c r="Y16124" s="372">
        <v>0.0</v>
      </c>
      <c r="Z16124" s="372">
        <v>0.0</v>
      </c>
    </row>
    <row r="16125">
      <c r="Y16125" s="372">
        <v>0.0</v>
      </c>
      <c r="Z16125" s="372">
        <v>0.0</v>
      </c>
    </row>
    <row r="16126">
      <c r="Y16126" s="372">
        <v>0.0</v>
      </c>
      <c r="Z16126" s="372">
        <v>0.0</v>
      </c>
    </row>
    <row r="16127">
      <c r="Y16127" s="372">
        <v>0.0</v>
      </c>
      <c r="Z16127" s="372">
        <v>0.0</v>
      </c>
    </row>
    <row r="16128">
      <c r="Y16128" s="372">
        <v>0.0</v>
      </c>
      <c r="Z16128" s="372">
        <v>0.0</v>
      </c>
    </row>
    <row r="16129">
      <c r="Y16129" s="372">
        <v>0.0</v>
      </c>
      <c r="Z16129" s="372">
        <v>0.0</v>
      </c>
    </row>
    <row r="16130">
      <c r="Y16130" s="372">
        <v>0.0</v>
      </c>
      <c r="Z16130" s="372">
        <v>0.0</v>
      </c>
    </row>
    <row r="16131">
      <c r="Y16131" s="372">
        <v>0.0</v>
      </c>
      <c r="Z16131" s="372">
        <v>0.0</v>
      </c>
    </row>
    <row r="16132">
      <c r="Y16132" s="372">
        <v>0.0</v>
      </c>
      <c r="Z16132" s="372">
        <v>0.0</v>
      </c>
    </row>
    <row r="16133">
      <c r="Y16133" s="372">
        <v>0.0</v>
      </c>
      <c r="Z16133" s="372">
        <v>0.0</v>
      </c>
    </row>
    <row r="16134">
      <c r="Y16134" s="372">
        <v>0.0</v>
      </c>
      <c r="Z16134" s="372">
        <v>0.0</v>
      </c>
    </row>
    <row r="16135">
      <c r="Y16135" s="372">
        <v>0.0</v>
      </c>
      <c r="Z16135" s="372">
        <v>0.0</v>
      </c>
    </row>
    <row r="16136">
      <c r="Y16136" s="372">
        <v>0.0</v>
      </c>
      <c r="Z16136" s="372">
        <v>0.0</v>
      </c>
    </row>
    <row r="16137">
      <c r="Y16137" s="372">
        <v>0.0</v>
      </c>
      <c r="Z16137" s="372">
        <v>0.0</v>
      </c>
    </row>
    <row r="16138">
      <c r="Y16138" s="372">
        <v>0.0</v>
      </c>
      <c r="Z16138" s="372">
        <v>0.0</v>
      </c>
    </row>
    <row r="16139">
      <c r="Y16139" s="372">
        <v>0.0</v>
      </c>
      <c r="Z16139" s="372">
        <v>0.0</v>
      </c>
    </row>
    <row r="16140">
      <c r="Y16140" s="372">
        <v>0.0</v>
      </c>
      <c r="Z16140" s="372">
        <v>0.0</v>
      </c>
    </row>
    <row r="16141">
      <c r="Y16141" s="372">
        <v>0.0</v>
      </c>
      <c r="Z16141" s="372">
        <v>0.0</v>
      </c>
    </row>
    <row r="16142">
      <c r="Y16142" s="372">
        <v>0.0</v>
      </c>
      <c r="Z16142" s="372">
        <v>0.0</v>
      </c>
    </row>
    <row r="16143">
      <c r="Y16143" s="372">
        <v>0.0</v>
      </c>
      <c r="Z16143" s="372">
        <v>0.0</v>
      </c>
    </row>
    <row r="16144">
      <c r="Y16144" s="372">
        <v>0.0</v>
      </c>
      <c r="Z16144" s="372">
        <v>0.0</v>
      </c>
    </row>
    <row r="16145">
      <c r="Y16145" s="372">
        <v>0.0</v>
      </c>
      <c r="Z16145" s="372">
        <v>0.0</v>
      </c>
    </row>
    <row r="16146">
      <c r="Y16146" s="372">
        <v>0.0</v>
      </c>
      <c r="Z16146" s="372">
        <v>0.0</v>
      </c>
    </row>
    <row r="16147">
      <c r="Y16147" s="372">
        <v>0.0</v>
      </c>
      <c r="Z16147" s="372">
        <v>0.0</v>
      </c>
    </row>
    <row r="16148">
      <c r="Y16148" s="372">
        <v>0.0</v>
      </c>
      <c r="Z16148" s="372">
        <v>0.0</v>
      </c>
    </row>
    <row r="16149">
      <c r="Y16149" s="372">
        <v>0.0</v>
      </c>
      <c r="Z16149" s="372">
        <v>0.0</v>
      </c>
    </row>
    <row r="16150">
      <c r="Y16150" s="372">
        <v>0.0</v>
      </c>
      <c r="Z16150" s="372">
        <v>0.0</v>
      </c>
    </row>
    <row r="16151">
      <c r="Y16151" s="372">
        <v>0.0</v>
      </c>
      <c r="Z16151" s="372">
        <v>0.0</v>
      </c>
    </row>
    <row r="16152">
      <c r="Y16152" s="372">
        <v>0.0</v>
      </c>
      <c r="Z16152" s="372">
        <v>0.0</v>
      </c>
    </row>
    <row r="16153">
      <c r="Y16153" s="372">
        <v>0.0</v>
      </c>
      <c r="Z16153" s="372">
        <v>0.0</v>
      </c>
    </row>
    <row r="16154">
      <c r="Y16154" s="372">
        <v>0.0</v>
      </c>
      <c r="Z16154" s="372">
        <v>0.0</v>
      </c>
    </row>
    <row r="16155">
      <c r="Y16155" s="372">
        <v>0.0</v>
      </c>
      <c r="Z16155" s="372">
        <v>0.0</v>
      </c>
    </row>
    <row r="16156">
      <c r="Y16156" s="372">
        <v>0.0</v>
      </c>
      <c r="Z16156" s="372">
        <v>0.0</v>
      </c>
    </row>
    <row r="16157">
      <c r="Y16157" s="372">
        <v>0.0</v>
      </c>
      <c r="Z16157" s="372">
        <v>0.0</v>
      </c>
    </row>
    <row r="16158">
      <c r="Y16158" s="372">
        <v>0.0</v>
      </c>
      <c r="Z16158" s="372">
        <v>0.0</v>
      </c>
    </row>
    <row r="16159">
      <c r="Y16159" s="372">
        <v>0.0</v>
      </c>
      <c r="Z16159" s="372">
        <v>0.0</v>
      </c>
    </row>
    <row r="16160">
      <c r="Y16160" s="372">
        <v>0.0</v>
      </c>
      <c r="Z16160" s="372">
        <v>0.0</v>
      </c>
    </row>
    <row r="16161">
      <c r="Y16161" s="372">
        <v>0.0</v>
      </c>
      <c r="Z16161" s="372">
        <v>0.0</v>
      </c>
    </row>
    <row r="16162">
      <c r="Y16162" s="372">
        <v>0.0</v>
      </c>
      <c r="Z16162" s="372">
        <v>0.0</v>
      </c>
    </row>
    <row r="16163">
      <c r="Y16163" s="372">
        <v>0.0</v>
      </c>
      <c r="Z16163" s="372">
        <v>0.0</v>
      </c>
    </row>
    <row r="16164">
      <c r="Y16164" s="372">
        <v>0.0</v>
      </c>
      <c r="Z16164" s="372">
        <v>0.0</v>
      </c>
    </row>
    <row r="16165">
      <c r="Y16165" s="372">
        <v>0.0</v>
      </c>
      <c r="Z16165" s="372">
        <v>0.0</v>
      </c>
    </row>
    <row r="16166">
      <c r="Y16166" s="372">
        <v>0.0</v>
      </c>
      <c r="Z16166" s="372">
        <v>0.0</v>
      </c>
    </row>
    <row r="16167">
      <c r="Y16167" s="372">
        <v>0.0</v>
      </c>
      <c r="Z16167" s="372">
        <v>0.0</v>
      </c>
    </row>
    <row r="16168">
      <c r="Y16168" s="372">
        <v>0.0</v>
      </c>
      <c r="Z16168" s="372">
        <v>0.0</v>
      </c>
    </row>
    <row r="16169">
      <c r="Y16169" s="372">
        <v>0.0</v>
      </c>
      <c r="Z16169" s="372">
        <v>0.0</v>
      </c>
    </row>
    <row r="16170">
      <c r="Y16170" s="372">
        <v>0.0</v>
      </c>
      <c r="Z16170" s="372">
        <v>0.0</v>
      </c>
    </row>
    <row r="16171">
      <c r="Y16171" s="372">
        <v>0.0</v>
      </c>
      <c r="Z16171" s="372">
        <v>0.0</v>
      </c>
    </row>
    <row r="16172">
      <c r="Y16172" s="372">
        <v>0.0</v>
      </c>
      <c r="Z16172" s="372">
        <v>0.0</v>
      </c>
    </row>
    <row r="16173">
      <c r="Y16173" s="372">
        <v>0.0</v>
      </c>
      <c r="Z16173" s="372">
        <v>0.0</v>
      </c>
    </row>
    <row r="16174">
      <c r="Y16174" s="372">
        <v>0.0</v>
      </c>
      <c r="Z16174" s="372">
        <v>0.0</v>
      </c>
    </row>
    <row r="16175">
      <c r="Y16175" s="372">
        <v>0.0</v>
      </c>
      <c r="Z16175" s="372">
        <v>0.0</v>
      </c>
    </row>
    <row r="16176">
      <c r="Y16176" s="372">
        <v>0.0</v>
      </c>
      <c r="Z16176" s="372">
        <v>0.0</v>
      </c>
    </row>
    <row r="16177">
      <c r="Y16177" s="372">
        <v>0.0</v>
      </c>
      <c r="Z16177" s="372">
        <v>0.0</v>
      </c>
    </row>
    <row r="16178">
      <c r="Y16178" s="372">
        <v>0.0</v>
      </c>
      <c r="Z16178" s="372">
        <v>0.0</v>
      </c>
    </row>
    <row r="16179">
      <c r="Y16179" s="372">
        <v>0.0</v>
      </c>
      <c r="Z16179" s="372">
        <v>0.0</v>
      </c>
    </row>
    <row r="16180">
      <c r="Y16180" s="372">
        <v>0.0</v>
      </c>
      <c r="Z16180" s="372">
        <v>0.0</v>
      </c>
    </row>
    <row r="16181">
      <c r="Y16181" s="372">
        <v>0.0</v>
      </c>
      <c r="Z16181" s="372">
        <v>0.0</v>
      </c>
    </row>
    <row r="16182">
      <c r="Y16182" s="372">
        <v>0.0</v>
      </c>
      <c r="Z16182" s="372">
        <v>0.0</v>
      </c>
    </row>
    <row r="16183">
      <c r="Y16183" s="372">
        <v>0.0</v>
      </c>
      <c r="Z16183" s="372">
        <v>0.0</v>
      </c>
    </row>
    <row r="16184">
      <c r="Y16184" s="372">
        <v>0.0</v>
      </c>
      <c r="Z16184" s="372">
        <v>0.0</v>
      </c>
    </row>
    <row r="16185">
      <c r="Y16185" s="372">
        <v>0.0</v>
      </c>
      <c r="Z16185" s="372">
        <v>0.0</v>
      </c>
    </row>
    <row r="16186">
      <c r="Y16186" s="372">
        <v>0.0</v>
      </c>
      <c r="Z16186" s="372">
        <v>0.0</v>
      </c>
    </row>
    <row r="16187">
      <c r="Y16187" s="372">
        <v>0.0</v>
      </c>
      <c r="Z16187" s="372">
        <v>0.0</v>
      </c>
    </row>
    <row r="16188">
      <c r="Y16188" s="372">
        <v>0.0</v>
      </c>
      <c r="Z16188" s="372">
        <v>0.0</v>
      </c>
    </row>
    <row r="16189">
      <c r="Y16189" s="372">
        <v>0.0</v>
      </c>
      <c r="Z16189" s="372">
        <v>0.0</v>
      </c>
    </row>
    <row r="16190">
      <c r="Y16190" s="372">
        <v>0.0</v>
      </c>
      <c r="Z16190" s="372">
        <v>0.0</v>
      </c>
    </row>
    <row r="16191">
      <c r="Y16191" s="372">
        <v>0.0</v>
      </c>
      <c r="Z16191" s="372">
        <v>0.0</v>
      </c>
    </row>
    <row r="16192">
      <c r="Y16192" s="372">
        <v>0.0</v>
      </c>
      <c r="Z16192" s="372">
        <v>0.0</v>
      </c>
    </row>
    <row r="16193">
      <c r="Y16193" s="372">
        <v>0.0</v>
      </c>
      <c r="Z16193" s="372">
        <v>0.0</v>
      </c>
    </row>
    <row r="16194">
      <c r="Y16194" s="372">
        <v>0.0</v>
      </c>
      <c r="Z16194" s="372">
        <v>0.0</v>
      </c>
    </row>
    <row r="16195">
      <c r="Y16195" s="372">
        <v>0.0</v>
      </c>
      <c r="Z16195" s="372">
        <v>0.0</v>
      </c>
    </row>
    <row r="16196">
      <c r="Y16196" s="372">
        <v>0.0</v>
      </c>
      <c r="Z16196" s="372">
        <v>0.0</v>
      </c>
    </row>
    <row r="16197">
      <c r="Y16197" s="372">
        <v>0.0</v>
      </c>
      <c r="Z16197" s="372">
        <v>0.0</v>
      </c>
    </row>
    <row r="16198">
      <c r="Y16198" s="372">
        <v>0.0</v>
      </c>
      <c r="Z16198" s="372">
        <v>0.0</v>
      </c>
    </row>
    <row r="16199">
      <c r="Y16199" s="372">
        <v>0.0</v>
      </c>
      <c r="Z16199" s="372">
        <v>0.0</v>
      </c>
    </row>
    <row r="16200">
      <c r="Y16200" s="372">
        <v>0.0</v>
      </c>
      <c r="Z16200" s="372">
        <v>0.0</v>
      </c>
    </row>
    <row r="16201">
      <c r="Y16201" s="372">
        <v>0.0</v>
      </c>
      <c r="Z16201" s="372">
        <v>0.0</v>
      </c>
    </row>
    <row r="16202">
      <c r="Y16202" s="372">
        <v>0.0</v>
      </c>
      <c r="Z16202" s="372">
        <v>0.0</v>
      </c>
    </row>
    <row r="16203">
      <c r="Y16203" s="372">
        <v>0.0</v>
      </c>
      <c r="Z16203" s="372">
        <v>0.0</v>
      </c>
    </row>
    <row r="16204">
      <c r="Y16204" s="372">
        <v>0.0</v>
      </c>
      <c r="Z16204" s="372">
        <v>0.0</v>
      </c>
    </row>
    <row r="16205">
      <c r="Y16205" s="372">
        <v>0.0</v>
      </c>
      <c r="Z16205" s="372">
        <v>0.0</v>
      </c>
    </row>
    <row r="16206">
      <c r="Y16206" s="372">
        <v>0.0</v>
      </c>
      <c r="Z16206" s="372">
        <v>0.0</v>
      </c>
    </row>
    <row r="16207">
      <c r="Y16207" s="372">
        <v>0.0</v>
      </c>
      <c r="Z16207" s="372">
        <v>0.0</v>
      </c>
    </row>
    <row r="16208">
      <c r="Y16208" s="372">
        <v>0.0</v>
      </c>
      <c r="Z16208" s="372">
        <v>0.0</v>
      </c>
    </row>
    <row r="16209">
      <c r="Y16209" s="372">
        <v>0.0</v>
      </c>
      <c r="Z16209" s="372">
        <v>0.0</v>
      </c>
    </row>
    <row r="16210">
      <c r="Y16210" s="372">
        <v>0.0</v>
      </c>
      <c r="Z16210" s="372">
        <v>0.0</v>
      </c>
    </row>
    <row r="16211">
      <c r="Y16211" s="372">
        <v>0.0</v>
      </c>
      <c r="Z16211" s="372">
        <v>0.0</v>
      </c>
    </row>
    <row r="16212">
      <c r="Y16212" s="372">
        <v>0.0</v>
      </c>
      <c r="Z16212" s="372">
        <v>0.0</v>
      </c>
    </row>
    <row r="16213">
      <c r="Y16213" s="372">
        <v>0.0</v>
      </c>
      <c r="Z16213" s="372">
        <v>0.0</v>
      </c>
    </row>
    <row r="16214">
      <c r="Y16214" s="372">
        <v>0.0</v>
      </c>
      <c r="Z16214" s="372">
        <v>0.0</v>
      </c>
    </row>
    <row r="16215">
      <c r="Y16215" s="372">
        <v>0.0</v>
      </c>
      <c r="Z16215" s="372">
        <v>0.0</v>
      </c>
    </row>
    <row r="16216">
      <c r="Y16216" s="372">
        <v>0.0</v>
      </c>
      <c r="Z16216" s="372">
        <v>0.0</v>
      </c>
    </row>
    <row r="16217">
      <c r="Y16217" s="372">
        <v>0.0</v>
      </c>
      <c r="Z16217" s="372">
        <v>0.0</v>
      </c>
    </row>
    <row r="16218">
      <c r="Y16218" s="372">
        <v>0.0</v>
      </c>
      <c r="Z16218" s="372">
        <v>0.0</v>
      </c>
    </row>
    <row r="16219">
      <c r="Y16219" s="372">
        <v>0.0</v>
      </c>
      <c r="Z16219" s="372">
        <v>0.0</v>
      </c>
    </row>
    <row r="16220">
      <c r="Y16220" s="372">
        <v>0.0</v>
      </c>
      <c r="Z16220" s="372">
        <v>0.0</v>
      </c>
    </row>
    <row r="16221">
      <c r="Y16221" s="372">
        <v>0.0</v>
      </c>
      <c r="Z16221" s="372">
        <v>0.0</v>
      </c>
    </row>
    <row r="16222">
      <c r="Y16222" s="372">
        <v>0.0</v>
      </c>
      <c r="Z16222" s="372">
        <v>0.0</v>
      </c>
    </row>
    <row r="16223">
      <c r="Y16223" s="372">
        <v>0.0</v>
      </c>
      <c r="Z16223" s="372">
        <v>0.0</v>
      </c>
    </row>
    <row r="16224">
      <c r="Y16224" s="372">
        <v>0.0</v>
      </c>
      <c r="Z16224" s="372">
        <v>0.0</v>
      </c>
    </row>
    <row r="16225">
      <c r="Y16225" s="372">
        <v>0.0</v>
      </c>
      <c r="Z16225" s="372">
        <v>0.0</v>
      </c>
    </row>
    <row r="16226">
      <c r="Y16226" s="372">
        <v>0.0</v>
      </c>
      <c r="Z16226" s="372">
        <v>0.0</v>
      </c>
    </row>
    <row r="16227">
      <c r="Y16227" s="372">
        <v>0.0</v>
      </c>
      <c r="Z16227" s="372">
        <v>0.0</v>
      </c>
    </row>
    <row r="16228">
      <c r="Y16228" s="372">
        <v>0.0</v>
      </c>
      <c r="Z16228" s="372">
        <v>0.0</v>
      </c>
    </row>
    <row r="16229">
      <c r="Y16229" s="372">
        <v>0.0</v>
      </c>
      <c r="Z16229" s="372">
        <v>0.0</v>
      </c>
    </row>
    <row r="16230">
      <c r="Y16230" s="372">
        <v>0.0</v>
      </c>
      <c r="Z16230" s="372">
        <v>0.0</v>
      </c>
    </row>
    <row r="16231">
      <c r="Y16231" s="372">
        <v>0.0</v>
      </c>
      <c r="Z16231" s="372">
        <v>0.0</v>
      </c>
    </row>
    <row r="16232">
      <c r="Y16232" s="372">
        <v>0.0</v>
      </c>
      <c r="Z16232" s="372">
        <v>0.0</v>
      </c>
    </row>
    <row r="16233">
      <c r="Y16233" s="372">
        <v>0.0</v>
      </c>
      <c r="Z16233" s="372">
        <v>0.0</v>
      </c>
    </row>
    <row r="16234">
      <c r="Y16234" s="372">
        <v>0.0</v>
      </c>
      <c r="Z16234" s="372">
        <v>0.0</v>
      </c>
    </row>
    <row r="16235">
      <c r="Y16235" s="372">
        <v>0.0</v>
      </c>
      <c r="Z16235" s="372">
        <v>0.0</v>
      </c>
    </row>
    <row r="16236">
      <c r="Y16236" s="372">
        <v>0.0</v>
      </c>
      <c r="Z16236" s="372">
        <v>0.0</v>
      </c>
    </row>
    <row r="16237">
      <c r="Y16237" s="372">
        <v>0.0</v>
      </c>
      <c r="Z16237" s="372">
        <v>0.0</v>
      </c>
    </row>
    <row r="16238">
      <c r="Y16238" s="372">
        <v>0.0</v>
      </c>
      <c r="Z16238" s="372">
        <v>0.0</v>
      </c>
    </row>
    <row r="16239">
      <c r="Y16239" s="372">
        <v>0.0</v>
      </c>
      <c r="Z16239" s="372">
        <v>0.0</v>
      </c>
    </row>
    <row r="16240">
      <c r="Y16240" s="372">
        <v>0.0</v>
      </c>
      <c r="Z16240" s="372">
        <v>0.0</v>
      </c>
    </row>
    <row r="16241">
      <c r="Y16241" s="372">
        <v>0.0</v>
      </c>
      <c r="Z16241" s="372">
        <v>0.0</v>
      </c>
    </row>
    <row r="16242">
      <c r="Y16242" s="372">
        <v>0.0</v>
      </c>
      <c r="Z16242" s="372">
        <v>0.0</v>
      </c>
    </row>
    <row r="16243">
      <c r="Y16243" s="372">
        <v>0.0</v>
      </c>
      <c r="Z16243" s="372">
        <v>0.0</v>
      </c>
    </row>
    <row r="16244">
      <c r="Y16244" s="372">
        <v>0.0</v>
      </c>
      <c r="Z16244" s="372">
        <v>0.0</v>
      </c>
    </row>
    <row r="16245">
      <c r="Y16245" s="372">
        <v>0.0</v>
      </c>
      <c r="Z16245" s="372">
        <v>0.0</v>
      </c>
    </row>
    <row r="16246">
      <c r="Y16246" s="372">
        <v>0.0</v>
      </c>
      <c r="Z16246" s="372">
        <v>0.0</v>
      </c>
    </row>
    <row r="16247">
      <c r="Y16247" s="372">
        <v>0.0</v>
      </c>
      <c r="Z16247" s="372">
        <v>0.0</v>
      </c>
    </row>
    <row r="16248">
      <c r="Y16248" s="372">
        <v>0.0</v>
      </c>
      <c r="Z16248" s="372">
        <v>0.0</v>
      </c>
    </row>
    <row r="16249">
      <c r="Y16249" s="372">
        <v>0.0</v>
      </c>
      <c r="Z16249" s="372">
        <v>0.0</v>
      </c>
    </row>
    <row r="16250">
      <c r="Y16250" s="372">
        <v>0.0</v>
      </c>
      <c r="Z16250" s="372">
        <v>0.0</v>
      </c>
    </row>
    <row r="16251">
      <c r="Y16251" s="372">
        <v>0.0</v>
      </c>
      <c r="Z16251" s="372">
        <v>0.0</v>
      </c>
    </row>
    <row r="16252">
      <c r="Y16252" s="372">
        <v>0.0</v>
      </c>
      <c r="Z16252" s="372">
        <v>0.0</v>
      </c>
    </row>
    <row r="16253">
      <c r="Y16253" s="372">
        <v>0.0</v>
      </c>
      <c r="Z16253" s="372">
        <v>0.0</v>
      </c>
    </row>
    <row r="16254">
      <c r="Y16254" s="372">
        <v>0.0</v>
      </c>
      <c r="Z16254" s="372">
        <v>0.0</v>
      </c>
    </row>
    <row r="16255">
      <c r="Y16255" s="372">
        <v>0.0</v>
      </c>
      <c r="Z16255" s="372">
        <v>0.0</v>
      </c>
    </row>
    <row r="16256">
      <c r="Y16256" s="372">
        <v>0.0</v>
      </c>
      <c r="Z16256" s="372">
        <v>0.0</v>
      </c>
    </row>
    <row r="16257">
      <c r="Y16257" s="372">
        <v>0.0</v>
      </c>
      <c r="Z16257" s="372">
        <v>0.0</v>
      </c>
    </row>
    <row r="16258">
      <c r="Y16258" s="372">
        <v>0.0</v>
      </c>
      <c r="Z16258" s="372">
        <v>0.0</v>
      </c>
    </row>
    <row r="16259">
      <c r="Y16259" s="372">
        <v>0.0</v>
      </c>
      <c r="Z16259" s="372">
        <v>0.0</v>
      </c>
    </row>
    <row r="16260">
      <c r="Y16260" s="372">
        <v>0.0</v>
      </c>
      <c r="Z16260" s="372">
        <v>0.0</v>
      </c>
    </row>
    <row r="16261">
      <c r="Y16261" s="372">
        <v>0.0</v>
      </c>
      <c r="Z16261" s="372">
        <v>0.0</v>
      </c>
    </row>
    <row r="16262">
      <c r="Y16262" s="372">
        <v>0.0</v>
      </c>
      <c r="Z16262" s="372">
        <v>0.0</v>
      </c>
    </row>
    <row r="16263">
      <c r="Y16263" s="372">
        <v>0.0</v>
      </c>
      <c r="Z16263" s="372">
        <v>0.0</v>
      </c>
    </row>
    <row r="16264">
      <c r="Y16264" s="372">
        <v>0.0</v>
      </c>
      <c r="Z16264" s="372">
        <v>0.0</v>
      </c>
    </row>
    <row r="16265">
      <c r="Y16265" s="372">
        <v>0.0</v>
      </c>
      <c r="Z16265" s="372">
        <v>0.0</v>
      </c>
    </row>
    <row r="16266">
      <c r="Y16266" s="372">
        <v>0.0</v>
      </c>
      <c r="Z16266" s="372">
        <v>0.0</v>
      </c>
    </row>
    <row r="16267">
      <c r="Y16267" s="372">
        <v>0.0</v>
      </c>
      <c r="Z16267" s="372">
        <v>0.0</v>
      </c>
    </row>
    <row r="16268">
      <c r="Y16268" s="372">
        <v>0.0</v>
      </c>
      <c r="Z16268" s="372">
        <v>0.0</v>
      </c>
    </row>
    <row r="16269">
      <c r="Y16269" s="372">
        <v>0.0</v>
      </c>
      <c r="Z16269" s="372">
        <v>0.0</v>
      </c>
    </row>
    <row r="16270">
      <c r="Y16270" s="372">
        <v>0.0</v>
      </c>
      <c r="Z16270" s="372">
        <v>0.0</v>
      </c>
    </row>
    <row r="16271">
      <c r="Y16271" s="372">
        <v>0.0</v>
      </c>
      <c r="Z16271" s="372">
        <v>0.0</v>
      </c>
    </row>
    <row r="16272">
      <c r="Y16272" s="372">
        <v>0.0</v>
      </c>
      <c r="Z16272" s="372">
        <v>0.0</v>
      </c>
    </row>
    <row r="16273">
      <c r="Y16273" s="372">
        <v>0.0</v>
      </c>
      <c r="Z16273" s="372">
        <v>0.0</v>
      </c>
    </row>
    <row r="16274">
      <c r="Y16274" s="372">
        <v>0.0</v>
      </c>
      <c r="Z16274" s="372">
        <v>0.0</v>
      </c>
    </row>
    <row r="16275">
      <c r="Y16275" s="372">
        <v>0.0</v>
      </c>
      <c r="Z16275" s="372">
        <v>0.0</v>
      </c>
    </row>
    <row r="16276">
      <c r="Y16276" s="372">
        <v>0.0</v>
      </c>
      <c r="Z16276" s="372">
        <v>0.0</v>
      </c>
    </row>
    <row r="16277">
      <c r="Y16277" s="372">
        <v>0.0</v>
      </c>
      <c r="Z16277" s="372">
        <v>0.0</v>
      </c>
    </row>
    <row r="16278">
      <c r="Y16278" s="372">
        <v>0.0</v>
      </c>
      <c r="Z16278" s="372">
        <v>0.0</v>
      </c>
    </row>
    <row r="16279">
      <c r="Y16279" s="372">
        <v>0.0</v>
      </c>
      <c r="Z16279" s="372">
        <v>0.0</v>
      </c>
    </row>
    <row r="16280">
      <c r="Y16280" s="372">
        <v>0.0</v>
      </c>
      <c r="Z16280" s="372">
        <v>0.0</v>
      </c>
    </row>
    <row r="16281">
      <c r="Y16281" s="372">
        <v>0.0</v>
      </c>
      <c r="Z16281" s="372">
        <v>0.0</v>
      </c>
    </row>
    <row r="16282">
      <c r="Y16282" s="372">
        <v>0.0</v>
      </c>
      <c r="Z16282" s="372">
        <v>0.0</v>
      </c>
    </row>
    <row r="16283">
      <c r="Y16283" s="372">
        <v>0.0</v>
      </c>
      <c r="Z16283" s="372">
        <v>0.0</v>
      </c>
    </row>
    <row r="16284">
      <c r="Y16284" s="372">
        <v>0.0</v>
      </c>
      <c r="Z16284" s="372">
        <v>0.0</v>
      </c>
    </row>
    <row r="16285">
      <c r="Y16285" s="372">
        <v>0.0</v>
      </c>
      <c r="Z16285" s="372">
        <v>0.0</v>
      </c>
    </row>
    <row r="16286">
      <c r="Y16286" s="372">
        <v>0.0</v>
      </c>
      <c r="Z16286" s="372">
        <v>0.0</v>
      </c>
    </row>
    <row r="16287">
      <c r="Y16287" s="372">
        <v>0.0</v>
      </c>
      <c r="Z16287" s="372">
        <v>0.0</v>
      </c>
    </row>
    <row r="16288">
      <c r="Y16288" s="372">
        <v>0.0</v>
      </c>
      <c r="Z16288" s="372">
        <v>0.0</v>
      </c>
    </row>
    <row r="16289">
      <c r="Y16289" s="372">
        <v>0.0</v>
      </c>
      <c r="Z16289" s="372">
        <v>0.0</v>
      </c>
    </row>
    <row r="16290">
      <c r="Y16290" s="372">
        <v>0.0</v>
      </c>
      <c r="Z16290" s="372">
        <v>0.0</v>
      </c>
    </row>
    <row r="16291">
      <c r="Y16291" s="372">
        <v>0.0</v>
      </c>
      <c r="Z16291" s="372">
        <v>0.0</v>
      </c>
    </row>
    <row r="16292">
      <c r="Y16292" s="372">
        <v>0.0</v>
      </c>
      <c r="Z16292" s="372">
        <v>0.0</v>
      </c>
    </row>
    <row r="16293">
      <c r="Y16293" s="372">
        <v>0.0</v>
      </c>
      <c r="Z16293" s="372">
        <v>0.0</v>
      </c>
    </row>
    <row r="16294">
      <c r="Y16294" s="372">
        <v>0.0</v>
      </c>
      <c r="Z16294" s="372">
        <v>0.0</v>
      </c>
    </row>
    <row r="16295">
      <c r="Y16295" s="372">
        <v>0.0</v>
      </c>
      <c r="Z16295" s="372">
        <v>0.0</v>
      </c>
    </row>
    <row r="16296">
      <c r="Y16296" s="372">
        <v>0.0</v>
      </c>
      <c r="Z16296" s="372">
        <v>0.0</v>
      </c>
    </row>
    <row r="16297">
      <c r="Y16297" s="372">
        <v>0.0</v>
      </c>
      <c r="Z16297" s="372">
        <v>0.0</v>
      </c>
    </row>
    <row r="16298">
      <c r="Y16298" s="372">
        <v>0.0</v>
      </c>
      <c r="Z16298" s="372">
        <v>0.0</v>
      </c>
    </row>
    <row r="16299">
      <c r="Y16299" s="372">
        <v>0.0</v>
      </c>
      <c r="Z16299" s="372">
        <v>0.0</v>
      </c>
    </row>
    <row r="16300">
      <c r="Y16300" s="372">
        <v>0.0</v>
      </c>
      <c r="Z16300" s="372">
        <v>0.0</v>
      </c>
    </row>
    <row r="16301">
      <c r="Y16301" s="372">
        <v>0.0</v>
      </c>
      <c r="Z16301" s="372">
        <v>0.0</v>
      </c>
    </row>
    <row r="16302">
      <c r="Y16302" s="372">
        <v>0.0</v>
      </c>
      <c r="Z16302" s="372">
        <v>0.0</v>
      </c>
    </row>
    <row r="16303">
      <c r="Y16303" s="372">
        <v>0.0</v>
      </c>
      <c r="Z16303" s="372">
        <v>0.0</v>
      </c>
    </row>
    <row r="16304">
      <c r="Y16304" s="372">
        <v>0.0</v>
      </c>
      <c r="Z16304" s="372">
        <v>0.0</v>
      </c>
    </row>
    <row r="16305">
      <c r="Y16305" s="372">
        <v>0.0</v>
      </c>
      <c r="Z16305" s="372">
        <v>0.0</v>
      </c>
    </row>
    <row r="16306">
      <c r="Y16306" s="372">
        <v>0.0</v>
      </c>
      <c r="Z16306" s="372">
        <v>0.0</v>
      </c>
    </row>
    <row r="16307">
      <c r="Y16307" s="372">
        <v>0.0</v>
      </c>
      <c r="Z16307" s="372">
        <v>0.0</v>
      </c>
    </row>
    <row r="16308">
      <c r="Y16308" s="372">
        <v>0.0</v>
      </c>
      <c r="Z16308" s="372">
        <v>0.0</v>
      </c>
    </row>
    <row r="16309">
      <c r="Y16309" s="372">
        <v>0.0</v>
      </c>
      <c r="Z16309" s="372">
        <v>0.0</v>
      </c>
    </row>
    <row r="16310">
      <c r="Y16310" s="372">
        <v>0.0</v>
      </c>
      <c r="Z16310" s="372">
        <v>0.0</v>
      </c>
    </row>
    <row r="16311">
      <c r="Y16311" s="372">
        <v>0.0</v>
      </c>
      <c r="Z16311" s="372">
        <v>0.0</v>
      </c>
    </row>
    <row r="16312">
      <c r="Y16312" s="372">
        <v>0.0</v>
      </c>
      <c r="Z16312" s="372">
        <v>0.0</v>
      </c>
    </row>
    <row r="16313">
      <c r="Y16313" s="372">
        <v>0.0</v>
      </c>
      <c r="Z16313" s="372">
        <v>0.0</v>
      </c>
    </row>
    <row r="16314">
      <c r="Y16314" s="372">
        <v>0.0</v>
      </c>
      <c r="Z16314" s="372">
        <v>0.0</v>
      </c>
    </row>
    <row r="16315">
      <c r="Y16315" s="372">
        <v>0.0</v>
      </c>
      <c r="Z16315" s="372">
        <v>0.0</v>
      </c>
    </row>
    <row r="16316">
      <c r="Y16316" s="372">
        <v>0.0</v>
      </c>
      <c r="Z16316" s="372">
        <v>0.0</v>
      </c>
    </row>
    <row r="16317">
      <c r="Y16317" s="372">
        <v>0.0</v>
      </c>
      <c r="Z16317" s="372">
        <v>0.0</v>
      </c>
    </row>
    <row r="16318">
      <c r="Y16318" s="372">
        <v>0.0</v>
      </c>
      <c r="Z16318" s="372">
        <v>0.0</v>
      </c>
    </row>
    <row r="16319">
      <c r="Y16319" s="372">
        <v>0.0</v>
      </c>
      <c r="Z16319" s="372">
        <v>0.0</v>
      </c>
    </row>
    <row r="16320">
      <c r="Y16320" s="372">
        <v>0.0</v>
      </c>
      <c r="Z16320" s="372">
        <v>0.0</v>
      </c>
    </row>
    <row r="16321">
      <c r="Y16321" s="372">
        <v>0.0</v>
      </c>
      <c r="Z16321" s="372">
        <v>0.0</v>
      </c>
    </row>
    <row r="16322">
      <c r="Y16322" s="372">
        <v>0.0</v>
      </c>
      <c r="Z16322" s="372">
        <v>0.0</v>
      </c>
    </row>
    <row r="16323">
      <c r="Y16323" s="372">
        <v>0.0</v>
      </c>
      <c r="Z16323" s="372">
        <v>0.0</v>
      </c>
    </row>
    <row r="16324">
      <c r="Y16324" s="372">
        <v>0.0</v>
      </c>
      <c r="Z16324" s="372">
        <v>0.0</v>
      </c>
    </row>
    <row r="16325">
      <c r="Y16325" s="372">
        <v>0.0</v>
      </c>
      <c r="Z16325" s="372">
        <v>0.0</v>
      </c>
    </row>
    <row r="16326">
      <c r="Y16326" s="372">
        <v>0.0</v>
      </c>
      <c r="Z16326" s="372">
        <v>0.0</v>
      </c>
    </row>
    <row r="16327">
      <c r="Y16327" s="372">
        <v>0.0</v>
      </c>
      <c r="Z16327" s="372">
        <v>0.0</v>
      </c>
    </row>
    <row r="16328">
      <c r="Y16328" s="372">
        <v>0.0</v>
      </c>
      <c r="Z16328" s="372">
        <v>0.0</v>
      </c>
    </row>
    <row r="16329">
      <c r="Y16329" s="372">
        <v>0.0</v>
      </c>
      <c r="Z16329" s="372">
        <v>0.0</v>
      </c>
    </row>
    <row r="16330">
      <c r="Y16330" s="372">
        <v>0.0</v>
      </c>
      <c r="Z16330" s="372">
        <v>0.0</v>
      </c>
    </row>
    <row r="16331">
      <c r="Y16331" s="372">
        <v>0.0</v>
      </c>
      <c r="Z16331" s="372">
        <v>0.0</v>
      </c>
    </row>
    <row r="16332">
      <c r="Y16332" s="372">
        <v>0.0</v>
      </c>
      <c r="Z16332" s="372">
        <v>0.0</v>
      </c>
    </row>
    <row r="16333">
      <c r="Y16333" s="372">
        <v>0.0</v>
      </c>
      <c r="Z16333" s="372">
        <v>0.0</v>
      </c>
    </row>
    <row r="16334">
      <c r="Y16334" s="372">
        <v>0.0</v>
      </c>
      <c r="Z16334" s="372">
        <v>0.0</v>
      </c>
    </row>
    <row r="16335">
      <c r="Y16335" s="372">
        <v>0.0</v>
      </c>
      <c r="Z16335" s="372">
        <v>0.0</v>
      </c>
    </row>
    <row r="16336">
      <c r="Y16336" s="372">
        <v>0.0</v>
      </c>
      <c r="Z16336" s="372">
        <v>0.0</v>
      </c>
    </row>
    <row r="16337">
      <c r="Y16337" s="372">
        <v>0.0</v>
      </c>
      <c r="Z16337" s="372">
        <v>0.0</v>
      </c>
    </row>
    <row r="16338">
      <c r="Y16338" s="372">
        <v>0.0</v>
      </c>
      <c r="Z16338" s="372">
        <v>0.0</v>
      </c>
    </row>
    <row r="16339">
      <c r="Y16339" s="372">
        <v>0.0</v>
      </c>
      <c r="Z16339" s="372">
        <v>0.0</v>
      </c>
    </row>
    <row r="16340">
      <c r="Y16340" s="372">
        <v>0.0</v>
      </c>
      <c r="Z16340" s="372">
        <v>0.0</v>
      </c>
    </row>
    <row r="16341">
      <c r="Y16341" s="372">
        <v>0.0</v>
      </c>
      <c r="Z16341" s="372">
        <v>0.0</v>
      </c>
    </row>
    <row r="16342">
      <c r="Y16342" s="372">
        <v>0.0</v>
      </c>
      <c r="Z16342" s="372">
        <v>0.0</v>
      </c>
    </row>
    <row r="16343">
      <c r="Y16343" s="372">
        <v>0.0</v>
      </c>
      <c r="Z16343" s="372">
        <v>0.0</v>
      </c>
    </row>
    <row r="16344">
      <c r="Y16344" s="372">
        <v>0.0</v>
      </c>
      <c r="Z16344" s="372">
        <v>0.0</v>
      </c>
    </row>
    <row r="16345">
      <c r="Y16345" s="372">
        <v>0.0</v>
      </c>
      <c r="Z16345" s="372">
        <v>0.0</v>
      </c>
    </row>
    <row r="16346">
      <c r="Y16346" s="372">
        <v>0.0</v>
      </c>
      <c r="Z16346" s="372">
        <v>0.0</v>
      </c>
    </row>
    <row r="16347">
      <c r="Y16347" s="372">
        <v>0.0</v>
      </c>
      <c r="Z16347" s="372">
        <v>0.0</v>
      </c>
    </row>
    <row r="16348">
      <c r="Y16348" s="372">
        <v>0.0</v>
      </c>
      <c r="Z16348" s="372">
        <v>0.0</v>
      </c>
    </row>
    <row r="16349">
      <c r="Y16349" s="372">
        <v>0.0</v>
      </c>
      <c r="Z16349" s="372">
        <v>0.0</v>
      </c>
    </row>
    <row r="16350">
      <c r="Y16350" s="372">
        <v>0.0</v>
      </c>
      <c r="Z16350" s="372">
        <v>0.0</v>
      </c>
    </row>
    <row r="16351">
      <c r="Y16351" s="372">
        <v>0.0</v>
      </c>
      <c r="Z16351" s="372">
        <v>0.0</v>
      </c>
    </row>
    <row r="16352">
      <c r="Y16352" s="372">
        <v>0.0</v>
      </c>
      <c r="Z16352" s="372">
        <v>0.0</v>
      </c>
    </row>
    <row r="16353">
      <c r="Y16353" s="372">
        <v>0.0</v>
      </c>
      <c r="Z16353" s="372">
        <v>0.0</v>
      </c>
    </row>
    <row r="16354">
      <c r="Y16354" s="372">
        <v>0.0</v>
      </c>
      <c r="Z16354" s="372">
        <v>0.0</v>
      </c>
    </row>
    <row r="16355">
      <c r="Y16355" s="372">
        <v>0.0</v>
      </c>
      <c r="Z16355" s="372">
        <v>0.0</v>
      </c>
    </row>
    <row r="16356">
      <c r="Y16356" s="372">
        <v>0.0</v>
      </c>
      <c r="Z16356" s="372">
        <v>0.0</v>
      </c>
    </row>
    <row r="16357">
      <c r="Y16357" s="372">
        <v>0.0</v>
      </c>
      <c r="Z16357" s="372">
        <v>0.0</v>
      </c>
    </row>
    <row r="16358">
      <c r="Y16358" s="372">
        <v>0.0</v>
      </c>
      <c r="Z16358" s="372">
        <v>0.0</v>
      </c>
    </row>
    <row r="16359">
      <c r="Y16359" s="372">
        <v>0.0</v>
      </c>
      <c r="Z16359" s="372">
        <v>0.0</v>
      </c>
    </row>
    <row r="16360">
      <c r="Y16360" s="372">
        <v>0.0</v>
      </c>
      <c r="Z16360" s="372">
        <v>0.0</v>
      </c>
    </row>
    <row r="16361">
      <c r="Y16361" s="372">
        <v>0.0</v>
      </c>
      <c r="Z16361" s="372">
        <v>0.0</v>
      </c>
    </row>
    <row r="16362">
      <c r="Y16362" s="372">
        <v>0.0</v>
      </c>
      <c r="Z16362" s="372">
        <v>0.0</v>
      </c>
    </row>
    <row r="16363">
      <c r="Y16363" s="372">
        <v>0.0</v>
      </c>
      <c r="Z16363" s="372">
        <v>0.0</v>
      </c>
    </row>
    <row r="16364">
      <c r="Y16364" s="372">
        <v>0.0</v>
      </c>
      <c r="Z16364" s="372">
        <v>0.0</v>
      </c>
    </row>
    <row r="16365">
      <c r="Y16365" s="372">
        <v>0.0</v>
      </c>
      <c r="Z16365" s="372">
        <v>0.0</v>
      </c>
    </row>
    <row r="16366">
      <c r="Y16366" s="372">
        <v>0.0</v>
      </c>
      <c r="Z16366" s="372">
        <v>0.0</v>
      </c>
    </row>
    <row r="16367">
      <c r="Y16367" s="372">
        <v>0.0</v>
      </c>
      <c r="Z16367" s="372">
        <v>0.0</v>
      </c>
    </row>
    <row r="16368">
      <c r="Y16368" s="372">
        <v>0.0</v>
      </c>
      <c r="Z16368" s="372">
        <v>0.0</v>
      </c>
    </row>
    <row r="16369">
      <c r="Y16369" s="372">
        <v>0.0</v>
      </c>
      <c r="Z16369" s="372">
        <v>0.0</v>
      </c>
    </row>
    <row r="16370">
      <c r="Y16370" s="372">
        <v>0.0</v>
      </c>
      <c r="Z16370" s="372">
        <v>0.0</v>
      </c>
    </row>
    <row r="16371">
      <c r="Y16371" s="372">
        <v>0.0</v>
      </c>
      <c r="Z16371" s="372">
        <v>0.0</v>
      </c>
    </row>
    <row r="16372">
      <c r="Y16372" s="372">
        <v>0.0</v>
      </c>
      <c r="Z16372" s="372">
        <v>0.0</v>
      </c>
    </row>
    <row r="16373">
      <c r="Y16373" s="372">
        <v>0.0</v>
      </c>
      <c r="Z16373" s="372">
        <v>0.0</v>
      </c>
    </row>
    <row r="16374">
      <c r="Y16374" s="372">
        <v>0.0</v>
      </c>
      <c r="Z16374" s="372">
        <v>0.0</v>
      </c>
    </row>
    <row r="16375">
      <c r="Y16375" s="372">
        <v>0.0</v>
      </c>
      <c r="Z16375" s="372">
        <v>0.0</v>
      </c>
    </row>
    <row r="16376">
      <c r="Y16376" s="372">
        <v>0.0</v>
      </c>
      <c r="Z16376" s="372">
        <v>0.0</v>
      </c>
    </row>
    <row r="16377">
      <c r="Y16377" s="372">
        <v>0.0</v>
      </c>
      <c r="Z16377" s="372">
        <v>0.0</v>
      </c>
    </row>
    <row r="16378">
      <c r="Y16378" s="372">
        <v>0.0</v>
      </c>
      <c r="Z16378" s="372">
        <v>0.0</v>
      </c>
    </row>
    <row r="16379">
      <c r="Y16379" s="372">
        <v>0.0</v>
      </c>
      <c r="Z16379" s="372">
        <v>0.0</v>
      </c>
    </row>
    <row r="16380">
      <c r="Y16380" s="372">
        <v>0.0</v>
      </c>
      <c r="Z16380" s="372">
        <v>0.0</v>
      </c>
    </row>
    <row r="16381">
      <c r="Y16381" s="372">
        <v>0.0</v>
      </c>
      <c r="Z16381" s="372">
        <v>0.0</v>
      </c>
    </row>
    <row r="16382">
      <c r="Y16382" s="372">
        <v>0.0</v>
      </c>
      <c r="Z16382" s="372">
        <v>0.0</v>
      </c>
    </row>
    <row r="16383">
      <c r="Y16383" s="372">
        <v>0.0</v>
      </c>
      <c r="Z16383" s="372">
        <v>0.0</v>
      </c>
    </row>
    <row r="16384">
      <c r="Y16384" s="372">
        <v>0.0</v>
      </c>
      <c r="Z16384" s="372">
        <v>0.0</v>
      </c>
    </row>
    <row r="16385">
      <c r="Y16385" s="372">
        <v>0.0</v>
      </c>
      <c r="Z16385" s="372">
        <v>0.0</v>
      </c>
    </row>
    <row r="16386">
      <c r="Y16386" s="372">
        <v>0.0</v>
      </c>
      <c r="Z16386" s="372">
        <v>0.0</v>
      </c>
    </row>
    <row r="16387">
      <c r="Y16387" s="372">
        <v>0.0</v>
      </c>
      <c r="Z16387" s="372">
        <v>0.0</v>
      </c>
    </row>
    <row r="16388">
      <c r="Y16388" s="372">
        <v>0.0</v>
      </c>
      <c r="Z16388" s="372">
        <v>0.0</v>
      </c>
    </row>
    <row r="16389">
      <c r="Y16389" s="372">
        <v>0.0</v>
      </c>
      <c r="Z16389" s="372">
        <v>0.0</v>
      </c>
    </row>
    <row r="16390">
      <c r="Y16390" s="372">
        <v>0.0</v>
      </c>
      <c r="Z16390" s="372">
        <v>0.0</v>
      </c>
    </row>
    <row r="16391">
      <c r="Y16391" s="372">
        <v>0.0</v>
      </c>
      <c r="Z16391" s="372">
        <v>0.0</v>
      </c>
    </row>
    <row r="16392">
      <c r="Y16392" s="372">
        <v>0.0</v>
      </c>
      <c r="Z16392" s="372">
        <v>0.0</v>
      </c>
    </row>
    <row r="16393">
      <c r="Y16393" s="372">
        <v>0.0</v>
      </c>
      <c r="Z16393" s="372">
        <v>0.0</v>
      </c>
    </row>
    <row r="16394">
      <c r="Y16394" s="372">
        <v>0.0</v>
      </c>
      <c r="Z16394" s="372">
        <v>0.0</v>
      </c>
    </row>
    <row r="16395">
      <c r="Y16395" s="372">
        <v>0.0</v>
      </c>
      <c r="Z16395" s="372">
        <v>0.0</v>
      </c>
    </row>
    <row r="16396">
      <c r="Y16396" s="372">
        <v>0.0</v>
      </c>
      <c r="Z16396" s="372">
        <v>0.0</v>
      </c>
    </row>
    <row r="16397">
      <c r="Y16397" s="372">
        <v>0.0</v>
      </c>
      <c r="Z16397" s="372">
        <v>0.0</v>
      </c>
    </row>
    <row r="16398">
      <c r="Y16398" s="372">
        <v>0.0</v>
      </c>
      <c r="Z16398" s="372">
        <v>0.0</v>
      </c>
    </row>
    <row r="16399">
      <c r="Y16399" s="372">
        <v>0.0</v>
      </c>
      <c r="Z16399" s="372">
        <v>0.0</v>
      </c>
    </row>
    <row r="16400">
      <c r="Y16400" s="372">
        <v>0.0</v>
      </c>
      <c r="Z16400" s="372">
        <v>0.0</v>
      </c>
    </row>
    <row r="16401">
      <c r="Y16401" s="372">
        <v>0.0</v>
      </c>
      <c r="Z16401" s="372">
        <v>0.0</v>
      </c>
    </row>
    <row r="16402">
      <c r="Y16402" s="372">
        <v>0.0</v>
      </c>
      <c r="Z16402" s="372">
        <v>0.0</v>
      </c>
    </row>
    <row r="16403">
      <c r="Y16403" s="372">
        <v>0.0</v>
      </c>
      <c r="Z16403" s="372">
        <v>0.0</v>
      </c>
    </row>
    <row r="16404">
      <c r="Y16404" s="372">
        <v>0.0</v>
      </c>
      <c r="Z16404" s="372">
        <v>0.0</v>
      </c>
    </row>
    <row r="16405">
      <c r="Y16405" s="372">
        <v>0.0</v>
      </c>
      <c r="Z16405" s="372">
        <v>0.0</v>
      </c>
    </row>
    <row r="16406">
      <c r="Y16406" s="372">
        <v>0.0</v>
      </c>
      <c r="Z16406" s="372">
        <v>0.0</v>
      </c>
    </row>
    <row r="16407">
      <c r="Y16407" s="372">
        <v>0.0</v>
      </c>
      <c r="Z16407" s="372">
        <v>0.0</v>
      </c>
    </row>
    <row r="16408">
      <c r="Y16408" s="372">
        <v>0.0</v>
      </c>
      <c r="Z16408" s="372">
        <v>0.0</v>
      </c>
    </row>
    <row r="16409">
      <c r="Y16409" s="372">
        <v>0.0</v>
      </c>
      <c r="Z16409" s="372">
        <v>0.0</v>
      </c>
    </row>
    <row r="16410">
      <c r="Y16410" s="372">
        <v>0.0</v>
      </c>
      <c r="Z16410" s="372">
        <v>0.0</v>
      </c>
    </row>
    <row r="16411">
      <c r="Y16411" s="372">
        <v>0.0</v>
      </c>
      <c r="Z16411" s="372">
        <v>0.0</v>
      </c>
    </row>
    <row r="16412">
      <c r="Y16412" s="372">
        <v>0.0</v>
      </c>
      <c r="Z16412" s="372">
        <v>0.0</v>
      </c>
    </row>
    <row r="16413">
      <c r="Y16413" s="372">
        <v>0.0</v>
      </c>
      <c r="Z16413" s="372">
        <v>0.0</v>
      </c>
    </row>
    <row r="16414">
      <c r="Y16414" s="372">
        <v>0.0</v>
      </c>
      <c r="Z16414" s="372">
        <v>0.0</v>
      </c>
    </row>
    <row r="16415">
      <c r="Y16415" s="372">
        <v>0.0</v>
      </c>
      <c r="Z16415" s="372">
        <v>0.0</v>
      </c>
    </row>
    <row r="16416">
      <c r="Y16416" s="372">
        <v>0.0</v>
      </c>
      <c r="Z16416" s="372">
        <v>0.0</v>
      </c>
    </row>
    <row r="16417">
      <c r="Y16417" s="372">
        <v>0.0</v>
      </c>
      <c r="Z16417" s="372">
        <v>0.0</v>
      </c>
    </row>
    <row r="16418">
      <c r="Y16418" s="372">
        <v>0.0</v>
      </c>
      <c r="Z16418" s="372">
        <v>0.0</v>
      </c>
    </row>
    <row r="16419">
      <c r="Y16419" s="372">
        <v>0.0</v>
      </c>
      <c r="Z16419" s="372">
        <v>0.0</v>
      </c>
    </row>
    <row r="16420">
      <c r="Y16420" s="372">
        <v>0.0</v>
      </c>
      <c r="Z16420" s="372">
        <v>0.0</v>
      </c>
    </row>
    <row r="16421">
      <c r="Y16421" s="372">
        <v>0.0</v>
      </c>
      <c r="Z16421" s="372">
        <v>0.0</v>
      </c>
    </row>
    <row r="16422">
      <c r="Y16422" s="372">
        <v>0.0</v>
      </c>
      <c r="Z16422" s="372">
        <v>0.0</v>
      </c>
    </row>
    <row r="16423">
      <c r="Y16423" s="372">
        <v>0.0</v>
      </c>
      <c r="Z16423" s="372">
        <v>0.0</v>
      </c>
    </row>
    <row r="16424">
      <c r="Y16424" s="372">
        <v>0.0</v>
      </c>
      <c r="Z16424" s="372">
        <v>0.0</v>
      </c>
    </row>
    <row r="16425">
      <c r="Y16425" s="372">
        <v>0.0</v>
      </c>
      <c r="Z16425" s="372">
        <v>0.0</v>
      </c>
    </row>
    <row r="16426">
      <c r="Y16426" s="372">
        <v>0.0</v>
      </c>
      <c r="Z16426" s="372">
        <v>0.0</v>
      </c>
    </row>
    <row r="16427">
      <c r="Y16427" s="372">
        <v>0.0</v>
      </c>
      <c r="Z16427" s="372">
        <v>0.0</v>
      </c>
    </row>
    <row r="16428">
      <c r="Y16428" s="372">
        <v>0.0</v>
      </c>
      <c r="Z16428" s="372">
        <v>0.0</v>
      </c>
    </row>
    <row r="16429">
      <c r="Y16429" s="372">
        <v>0.0</v>
      </c>
      <c r="Z16429" s="372">
        <v>0.0</v>
      </c>
    </row>
    <row r="16430">
      <c r="Y16430" s="372">
        <v>0.0</v>
      </c>
      <c r="Z16430" s="372">
        <v>0.0</v>
      </c>
    </row>
    <row r="16431">
      <c r="Y16431" s="372">
        <v>0.0</v>
      </c>
      <c r="Z16431" s="372">
        <v>0.0</v>
      </c>
    </row>
    <row r="16432">
      <c r="Y16432" s="372">
        <v>0.0</v>
      </c>
      <c r="Z16432" s="372">
        <v>0.0</v>
      </c>
    </row>
    <row r="16433">
      <c r="Y16433" s="372">
        <v>0.0</v>
      </c>
      <c r="Z16433" s="372">
        <v>0.0</v>
      </c>
    </row>
    <row r="16434">
      <c r="Y16434" s="372">
        <v>0.0</v>
      </c>
      <c r="Z16434" s="372">
        <v>0.0</v>
      </c>
    </row>
    <row r="16435">
      <c r="Y16435" s="372">
        <v>0.0</v>
      </c>
      <c r="Z16435" s="372">
        <v>0.0</v>
      </c>
    </row>
    <row r="16436">
      <c r="Y16436" s="372">
        <v>0.0</v>
      </c>
      <c r="Z16436" s="372">
        <v>0.0</v>
      </c>
    </row>
    <row r="16437">
      <c r="Y16437" s="372">
        <v>0.0</v>
      </c>
      <c r="Z16437" s="372">
        <v>0.0</v>
      </c>
    </row>
    <row r="16438">
      <c r="Y16438" s="372">
        <v>0.0</v>
      </c>
      <c r="Z16438" s="372">
        <v>0.0</v>
      </c>
    </row>
    <row r="16439">
      <c r="Y16439" s="372">
        <v>0.0</v>
      </c>
      <c r="Z16439" s="372">
        <v>0.0</v>
      </c>
    </row>
    <row r="16440">
      <c r="Y16440" s="372">
        <v>0.0</v>
      </c>
      <c r="Z16440" s="372">
        <v>0.0</v>
      </c>
    </row>
    <row r="16441">
      <c r="Y16441" s="372">
        <v>0.0</v>
      </c>
      <c r="Z16441" s="372">
        <v>0.0</v>
      </c>
    </row>
    <row r="16442">
      <c r="Y16442" s="372">
        <v>0.0</v>
      </c>
      <c r="Z16442" s="372">
        <v>0.0</v>
      </c>
    </row>
    <row r="16443">
      <c r="Y16443" s="372">
        <v>0.0</v>
      </c>
      <c r="Z16443" s="372">
        <v>0.0</v>
      </c>
    </row>
    <row r="16444">
      <c r="Y16444" s="372">
        <v>0.0</v>
      </c>
      <c r="Z16444" s="372">
        <v>0.0</v>
      </c>
    </row>
    <row r="16445">
      <c r="Y16445" s="372">
        <v>0.0</v>
      </c>
      <c r="Z16445" s="372">
        <v>0.0</v>
      </c>
    </row>
    <row r="16446">
      <c r="Y16446" s="372">
        <v>0.0</v>
      </c>
      <c r="Z16446" s="372">
        <v>0.0</v>
      </c>
    </row>
    <row r="16447">
      <c r="Y16447" s="372">
        <v>0.0</v>
      </c>
      <c r="Z16447" s="372">
        <v>0.0</v>
      </c>
    </row>
    <row r="16448">
      <c r="Y16448" s="372">
        <v>0.0</v>
      </c>
      <c r="Z16448" s="372">
        <v>0.0</v>
      </c>
    </row>
    <row r="16449">
      <c r="Y16449" s="372">
        <v>0.0</v>
      </c>
      <c r="Z16449" s="372">
        <v>0.0</v>
      </c>
    </row>
    <row r="16450">
      <c r="Y16450" s="372">
        <v>0.0</v>
      </c>
      <c r="Z16450" s="372">
        <v>0.0</v>
      </c>
    </row>
    <row r="16451">
      <c r="Y16451" s="372">
        <v>0.0</v>
      </c>
      <c r="Z16451" s="372">
        <v>0.0</v>
      </c>
    </row>
    <row r="16452">
      <c r="Y16452" s="372">
        <v>0.0</v>
      </c>
      <c r="Z16452" s="372">
        <v>0.0</v>
      </c>
    </row>
    <row r="16453">
      <c r="Y16453" s="372">
        <v>0.0</v>
      </c>
      <c r="Z16453" s="372">
        <v>0.0</v>
      </c>
    </row>
    <row r="16454">
      <c r="Y16454" s="372">
        <v>0.0</v>
      </c>
      <c r="Z16454" s="372">
        <v>0.0</v>
      </c>
    </row>
    <row r="16455">
      <c r="Y16455" s="372">
        <v>0.0</v>
      </c>
      <c r="Z16455" s="372">
        <v>0.0</v>
      </c>
    </row>
    <row r="16456">
      <c r="Y16456" s="372">
        <v>0.0</v>
      </c>
      <c r="Z16456" s="372">
        <v>0.0</v>
      </c>
    </row>
    <row r="16457">
      <c r="Y16457" s="372">
        <v>0.0</v>
      </c>
      <c r="Z16457" s="372">
        <v>0.0</v>
      </c>
    </row>
    <row r="16458">
      <c r="Y16458" s="372">
        <v>0.0</v>
      </c>
      <c r="Z16458" s="372">
        <v>0.0</v>
      </c>
    </row>
    <row r="16459">
      <c r="Y16459" s="372">
        <v>0.0</v>
      </c>
      <c r="Z16459" s="372">
        <v>0.0</v>
      </c>
    </row>
    <row r="16460">
      <c r="Y16460" s="372">
        <v>0.0</v>
      </c>
      <c r="Z16460" s="372">
        <v>0.0</v>
      </c>
    </row>
    <row r="16461">
      <c r="Y16461" s="372">
        <v>0.0</v>
      </c>
      <c r="Z16461" s="372">
        <v>0.0</v>
      </c>
    </row>
    <row r="16462">
      <c r="Y16462" s="372">
        <v>0.0</v>
      </c>
      <c r="Z16462" s="372">
        <v>0.0</v>
      </c>
    </row>
    <row r="16463">
      <c r="Y16463" s="372">
        <v>0.0</v>
      </c>
      <c r="Z16463" s="372">
        <v>0.0</v>
      </c>
    </row>
    <row r="16464">
      <c r="Y16464" s="372">
        <v>0.0</v>
      </c>
      <c r="Z16464" s="372">
        <v>0.0</v>
      </c>
    </row>
    <row r="16465">
      <c r="Y16465" s="372">
        <v>0.0</v>
      </c>
      <c r="Z16465" s="372">
        <v>0.0</v>
      </c>
    </row>
    <row r="16466">
      <c r="Y16466" s="372">
        <v>0.0</v>
      </c>
      <c r="Z16466" s="372">
        <v>0.0</v>
      </c>
    </row>
    <row r="16467">
      <c r="Y16467" s="372">
        <v>0.0</v>
      </c>
      <c r="Z16467" s="372">
        <v>0.0</v>
      </c>
    </row>
    <row r="16468">
      <c r="Y16468" s="372">
        <v>0.0</v>
      </c>
      <c r="Z16468" s="372">
        <v>0.0</v>
      </c>
    </row>
    <row r="16469">
      <c r="Y16469" s="372">
        <v>0.0</v>
      </c>
      <c r="Z16469" s="372">
        <v>0.0</v>
      </c>
    </row>
    <row r="16470">
      <c r="Y16470" s="372">
        <v>0.0</v>
      </c>
      <c r="Z16470" s="372">
        <v>0.0</v>
      </c>
    </row>
    <row r="16471">
      <c r="Y16471" s="372">
        <v>0.0</v>
      </c>
      <c r="Z16471" s="372">
        <v>0.0</v>
      </c>
    </row>
    <row r="16472">
      <c r="Y16472" s="372">
        <v>0.0</v>
      </c>
      <c r="Z16472" s="372">
        <v>0.0</v>
      </c>
    </row>
    <row r="16473">
      <c r="Y16473" s="372">
        <v>0.0</v>
      </c>
      <c r="Z16473" s="372">
        <v>0.0</v>
      </c>
    </row>
    <row r="16474">
      <c r="Y16474" s="372">
        <v>0.0</v>
      </c>
      <c r="Z16474" s="372">
        <v>0.0</v>
      </c>
    </row>
    <row r="16475">
      <c r="Y16475" s="372">
        <v>0.0</v>
      </c>
      <c r="Z16475" s="372">
        <v>0.0</v>
      </c>
    </row>
    <row r="16476">
      <c r="Y16476" s="372">
        <v>0.0</v>
      </c>
      <c r="Z16476" s="372">
        <v>0.0</v>
      </c>
    </row>
    <row r="16477">
      <c r="Y16477" s="372">
        <v>0.0</v>
      </c>
      <c r="Z16477" s="372">
        <v>0.0</v>
      </c>
    </row>
    <row r="16478">
      <c r="Y16478" s="372">
        <v>0.0</v>
      </c>
      <c r="Z16478" s="372">
        <v>0.0</v>
      </c>
    </row>
    <row r="16479">
      <c r="Y16479" s="372">
        <v>0.0</v>
      </c>
      <c r="Z16479" s="372">
        <v>0.0</v>
      </c>
    </row>
    <row r="16480">
      <c r="Y16480" s="372">
        <v>0.0</v>
      </c>
      <c r="Z16480" s="372">
        <v>0.0</v>
      </c>
    </row>
    <row r="16481">
      <c r="Y16481" s="372">
        <v>0.0</v>
      </c>
      <c r="Z16481" s="372">
        <v>0.0</v>
      </c>
    </row>
    <row r="16482">
      <c r="Y16482" s="372">
        <v>0.0</v>
      </c>
      <c r="Z16482" s="372">
        <v>0.0</v>
      </c>
    </row>
    <row r="16483">
      <c r="Y16483" s="372">
        <v>0.0</v>
      </c>
      <c r="Z16483" s="372">
        <v>0.0</v>
      </c>
    </row>
    <row r="16484">
      <c r="Y16484" s="372">
        <v>0.0</v>
      </c>
      <c r="Z16484" s="372">
        <v>0.0</v>
      </c>
    </row>
    <row r="16485">
      <c r="Y16485" s="372">
        <v>0.0</v>
      </c>
      <c r="Z16485" s="372">
        <v>0.0</v>
      </c>
    </row>
    <row r="16486">
      <c r="Y16486" s="372">
        <v>0.0</v>
      </c>
      <c r="Z16486" s="372">
        <v>0.0</v>
      </c>
    </row>
    <row r="16487">
      <c r="Y16487" s="372">
        <v>0.0</v>
      </c>
      <c r="Z16487" s="372">
        <v>0.0</v>
      </c>
    </row>
    <row r="16488">
      <c r="Y16488" s="372">
        <v>0.0</v>
      </c>
      <c r="Z16488" s="372">
        <v>0.0</v>
      </c>
    </row>
    <row r="16489">
      <c r="Y16489" s="372">
        <v>0.0</v>
      </c>
      <c r="Z16489" s="372">
        <v>0.0</v>
      </c>
    </row>
    <row r="16490">
      <c r="Y16490" s="372">
        <v>0.0</v>
      </c>
      <c r="Z16490" s="372">
        <v>0.0</v>
      </c>
    </row>
    <row r="16491">
      <c r="Y16491" s="372">
        <v>0.0</v>
      </c>
      <c r="Z16491" s="372">
        <v>0.0</v>
      </c>
    </row>
    <row r="16492">
      <c r="Y16492" s="372">
        <v>0.0</v>
      </c>
      <c r="Z16492" s="372">
        <v>0.0</v>
      </c>
    </row>
    <row r="16493">
      <c r="Y16493" s="372">
        <v>0.0</v>
      </c>
      <c r="Z16493" s="372">
        <v>0.0</v>
      </c>
    </row>
    <row r="16494">
      <c r="Y16494" s="372">
        <v>0.0</v>
      </c>
      <c r="Z16494" s="372">
        <v>0.0</v>
      </c>
    </row>
    <row r="16495">
      <c r="Y16495" s="372">
        <v>0.0</v>
      </c>
      <c r="Z16495" s="372">
        <v>0.0</v>
      </c>
    </row>
    <row r="16496">
      <c r="Y16496" s="372">
        <v>0.0</v>
      </c>
      <c r="Z16496" s="372">
        <v>0.0</v>
      </c>
    </row>
    <row r="16497">
      <c r="Y16497" s="372">
        <v>0.0</v>
      </c>
      <c r="Z16497" s="372">
        <v>0.0</v>
      </c>
    </row>
    <row r="16498">
      <c r="Y16498" s="372">
        <v>0.0</v>
      </c>
      <c r="Z16498" s="372">
        <v>0.0</v>
      </c>
    </row>
    <row r="16499">
      <c r="Y16499" s="372">
        <v>0.0</v>
      </c>
      <c r="Z16499" s="372">
        <v>0.0</v>
      </c>
    </row>
    <row r="16500">
      <c r="Y16500" s="372">
        <v>0.0</v>
      </c>
      <c r="Z16500" s="372">
        <v>0.0</v>
      </c>
    </row>
    <row r="16501">
      <c r="Y16501" s="372">
        <v>0.0</v>
      </c>
      <c r="Z16501" s="372">
        <v>0.0</v>
      </c>
    </row>
    <row r="16502">
      <c r="Y16502" s="372">
        <v>0.0</v>
      </c>
      <c r="Z16502" s="372">
        <v>0.0</v>
      </c>
    </row>
    <row r="16503">
      <c r="Y16503" s="372">
        <v>0.0</v>
      </c>
      <c r="Z16503" s="372">
        <v>0.0</v>
      </c>
    </row>
    <row r="16504">
      <c r="Y16504" s="372">
        <v>0.0</v>
      </c>
      <c r="Z16504" s="372">
        <v>0.0</v>
      </c>
    </row>
    <row r="16505">
      <c r="Y16505" s="372">
        <v>0.0</v>
      </c>
      <c r="Z16505" s="372">
        <v>0.0</v>
      </c>
    </row>
    <row r="16506">
      <c r="Y16506" s="372">
        <v>0.0</v>
      </c>
      <c r="Z16506" s="372">
        <v>0.0</v>
      </c>
    </row>
    <row r="16507">
      <c r="Y16507" s="372">
        <v>0.0</v>
      </c>
      <c r="Z16507" s="372">
        <v>0.0</v>
      </c>
    </row>
    <row r="16508">
      <c r="Y16508" s="372">
        <v>0.0</v>
      </c>
      <c r="Z16508" s="372">
        <v>0.0</v>
      </c>
    </row>
    <row r="16509">
      <c r="Y16509" s="372">
        <v>0.0</v>
      </c>
      <c r="Z16509" s="372">
        <v>0.0</v>
      </c>
    </row>
    <row r="16510">
      <c r="Y16510" s="372">
        <v>0.0</v>
      </c>
      <c r="Z16510" s="372">
        <v>0.0</v>
      </c>
    </row>
    <row r="16511">
      <c r="Y16511" s="372">
        <v>0.0</v>
      </c>
      <c r="Z16511" s="372">
        <v>0.0</v>
      </c>
    </row>
    <row r="16512">
      <c r="Y16512" s="372">
        <v>0.0</v>
      </c>
      <c r="Z16512" s="372">
        <v>0.0</v>
      </c>
    </row>
    <row r="16513">
      <c r="Y16513" s="372">
        <v>0.0</v>
      </c>
      <c r="Z16513" s="372">
        <v>0.0</v>
      </c>
    </row>
    <row r="16514">
      <c r="Y16514" s="372">
        <v>0.0</v>
      </c>
      <c r="Z16514" s="372">
        <v>0.0</v>
      </c>
    </row>
    <row r="16515">
      <c r="Y16515" s="372">
        <v>0.0</v>
      </c>
      <c r="Z16515" s="372">
        <v>0.0</v>
      </c>
    </row>
    <row r="16516">
      <c r="Y16516" s="372">
        <v>0.0</v>
      </c>
      <c r="Z16516" s="372">
        <v>0.0</v>
      </c>
    </row>
    <row r="16517">
      <c r="Y16517" s="372">
        <v>0.0</v>
      </c>
      <c r="Z16517" s="372">
        <v>0.0</v>
      </c>
    </row>
    <row r="16518">
      <c r="Y16518" s="372">
        <v>0.0</v>
      </c>
      <c r="Z16518" s="372">
        <v>0.0</v>
      </c>
    </row>
    <row r="16519">
      <c r="Y16519" s="372">
        <v>0.0</v>
      </c>
      <c r="Z16519" s="372">
        <v>0.0</v>
      </c>
    </row>
    <row r="16520">
      <c r="Y16520" s="372">
        <v>0.0</v>
      </c>
      <c r="Z16520" s="372">
        <v>0.0</v>
      </c>
    </row>
    <row r="16521">
      <c r="Y16521" s="372">
        <v>0.0</v>
      </c>
      <c r="Z16521" s="372">
        <v>0.0</v>
      </c>
    </row>
    <row r="16522">
      <c r="Y16522" s="372">
        <v>0.0</v>
      </c>
      <c r="Z16522" s="372">
        <v>0.0</v>
      </c>
    </row>
    <row r="16523">
      <c r="Y16523" s="372">
        <v>0.0</v>
      </c>
      <c r="Z16523" s="372">
        <v>0.0</v>
      </c>
    </row>
    <row r="16524">
      <c r="Y16524" s="372">
        <v>0.0</v>
      </c>
      <c r="Z16524" s="372">
        <v>0.0</v>
      </c>
    </row>
    <row r="16525">
      <c r="Y16525" s="372">
        <v>0.0</v>
      </c>
      <c r="Z16525" s="372">
        <v>0.0</v>
      </c>
    </row>
    <row r="16526">
      <c r="Y16526" s="372">
        <v>0.0</v>
      </c>
      <c r="Z16526" s="372">
        <v>0.0</v>
      </c>
    </row>
    <row r="16527">
      <c r="Y16527" s="372">
        <v>0.0</v>
      </c>
      <c r="Z16527" s="372">
        <v>0.0</v>
      </c>
    </row>
    <row r="16528">
      <c r="Y16528" s="372">
        <v>0.0</v>
      </c>
      <c r="Z16528" s="372">
        <v>0.0</v>
      </c>
    </row>
    <row r="16529">
      <c r="Y16529" s="372">
        <v>0.0</v>
      </c>
      <c r="Z16529" s="372">
        <v>0.0</v>
      </c>
    </row>
    <row r="16530">
      <c r="Y16530" s="372">
        <v>0.0</v>
      </c>
      <c r="Z16530" s="372">
        <v>0.0</v>
      </c>
    </row>
    <row r="16531">
      <c r="Y16531" s="372">
        <v>0.0</v>
      </c>
      <c r="Z16531" s="372">
        <v>0.0</v>
      </c>
    </row>
    <row r="16532">
      <c r="Y16532" s="372">
        <v>0.0</v>
      </c>
      <c r="Z16532" s="372">
        <v>0.0</v>
      </c>
    </row>
    <row r="16533">
      <c r="Y16533" s="372">
        <v>0.0</v>
      </c>
      <c r="Z16533" s="372">
        <v>0.0</v>
      </c>
    </row>
    <row r="16534">
      <c r="Y16534" s="372">
        <v>0.0</v>
      </c>
      <c r="Z16534" s="372">
        <v>0.0</v>
      </c>
    </row>
    <row r="16535">
      <c r="Y16535" s="372">
        <v>0.0</v>
      </c>
      <c r="Z16535" s="372">
        <v>0.0</v>
      </c>
    </row>
    <row r="16536">
      <c r="Y16536" s="372">
        <v>0.0</v>
      </c>
      <c r="Z16536" s="372">
        <v>0.0</v>
      </c>
    </row>
    <row r="16537">
      <c r="Y16537" s="372">
        <v>0.0</v>
      </c>
      <c r="Z16537" s="372">
        <v>0.0</v>
      </c>
    </row>
    <row r="16538">
      <c r="Y16538" s="372">
        <v>0.0</v>
      </c>
      <c r="Z16538" s="372">
        <v>0.0</v>
      </c>
    </row>
    <row r="16539">
      <c r="Y16539" s="372">
        <v>0.0</v>
      </c>
      <c r="Z16539" s="372">
        <v>0.0</v>
      </c>
    </row>
    <row r="16540">
      <c r="Y16540" s="372">
        <v>0.0</v>
      </c>
      <c r="Z16540" s="372">
        <v>0.0</v>
      </c>
    </row>
    <row r="16541">
      <c r="Y16541" s="372">
        <v>0.0</v>
      </c>
      <c r="Z16541" s="372">
        <v>0.0</v>
      </c>
    </row>
    <row r="16542">
      <c r="Y16542" s="372">
        <v>0.0</v>
      </c>
      <c r="Z16542" s="372">
        <v>0.0</v>
      </c>
    </row>
    <row r="16543">
      <c r="Y16543" s="372">
        <v>0.0</v>
      </c>
      <c r="Z16543" s="372">
        <v>0.0</v>
      </c>
    </row>
    <row r="16544">
      <c r="Y16544" s="372">
        <v>0.0</v>
      </c>
      <c r="Z16544" s="372">
        <v>0.0</v>
      </c>
    </row>
    <row r="16545">
      <c r="Y16545" s="372">
        <v>0.0</v>
      </c>
      <c r="Z16545" s="372">
        <v>0.0</v>
      </c>
    </row>
    <row r="16546">
      <c r="Y16546" s="372">
        <v>0.0</v>
      </c>
      <c r="Z16546" s="372">
        <v>0.0</v>
      </c>
    </row>
    <row r="16547">
      <c r="Y16547" s="372">
        <v>0.0</v>
      </c>
      <c r="Z16547" s="372">
        <v>0.0</v>
      </c>
    </row>
    <row r="16548">
      <c r="Y16548" s="372">
        <v>0.0</v>
      </c>
      <c r="Z16548" s="372">
        <v>0.0</v>
      </c>
    </row>
    <row r="16549">
      <c r="Y16549" s="372">
        <v>0.0</v>
      </c>
      <c r="Z16549" s="372">
        <v>0.0</v>
      </c>
    </row>
    <row r="16550">
      <c r="Y16550" s="372">
        <v>0.0</v>
      </c>
      <c r="Z16550" s="372">
        <v>0.0</v>
      </c>
    </row>
    <row r="16551">
      <c r="Y16551" s="372">
        <v>0.0</v>
      </c>
      <c r="Z16551" s="372">
        <v>0.0</v>
      </c>
    </row>
    <row r="16552">
      <c r="Y16552" s="372">
        <v>0.0</v>
      </c>
      <c r="Z16552" s="372">
        <v>0.0</v>
      </c>
    </row>
    <row r="16553">
      <c r="Y16553" s="372">
        <v>0.0</v>
      </c>
      <c r="Z16553" s="372">
        <v>0.0</v>
      </c>
    </row>
    <row r="16554">
      <c r="Y16554" s="372">
        <v>0.0</v>
      </c>
      <c r="Z16554" s="372">
        <v>0.0</v>
      </c>
    </row>
    <row r="16555">
      <c r="Y16555" s="372">
        <v>0.0</v>
      </c>
      <c r="Z16555" s="372">
        <v>0.0</v>
      </c>
    </row>
    <row r="16556">
      <c r="Y16556" s="372">
        <v>0.0</v>
      </c>
      <c r="Z16556" s="372">
        <v>0.0</v>
      </c>
    </row>
    <row r="16557">
      <c r="Y16557" s="372">
        <v>0.0</v>
      </c>
      <c r="Z16557" s="372">
        <v>0.0</v>
      </c>
    </row>
    <row r="16558">
      <c r="Y16558" s="372">
        <v>0.0</v>
      </c>
      <c r="Z16558" s="372">
        <v>0.0</v>
      </c>
    </row>
    <row r="16559">
      <c r="Y16559" s="372">
        <v>0.0</v>
      </c>
      <c r="Z16559" s="372">
        <v>0.0</v>
      </c>
    </row>
    <row r="16560">
      <c r="Y16560" s="372">
        <v>0.0</v>
      </c>
      <c r="Z16560" s="372">
        <v>0.0</v>
      </c>
    </row>
    <row r="16561">
      <c r="Y16561" s="372">
        <v>0.0</v>
      </c>
      <c r="Z16561" s="372">
        <v>0.0</v>
      </c>
    </row>
    <row r="16562">
      <c r="Y16562" s="372">
        <v>0.0</v>
      </c>
      <c r="Z16562" s="372">
        <v>0.0</v>
      </c>
    </row>
    <row r="16563">
      <c r="Y16563" s="372">
        <v>0.0</v>
      </c>
      <c r="Z16563" s="372">
        <v>0.0</v>
      </c>
    </row>
    <row r="16564">
      <c r="Y16564" s="372">
        <v>0.0</v>
      </c>
      <c r="Z16564" s="372">
        <v>0.0</v>
      </c>
    </row>
    <row r="16565">
      <c r="Y16565" s="372">
        <v>0.0</v>
      </c>
      <c r="Z16565" s="372">
        <v>0.0</v>
      </c>
    </row>
    <row r="16566">
      <c r="Y16566" s="372">
        <v>0.0</v>
      </c>
      <c r="Z16566" s="372">
        <v>0.0</v>
      </c>
    </row>
    <row r="16567">
      <c r="Y16567" s="372">
        <v>0.0</v>
      </c>
      <c r="Z16567" s="372">
        <v>0.0</v>
      </c>
    </row>
    <row r="16568">
      <c r="Y16568" s="372">
        <v>0.0</v>
      </c>
      <c r="Z16568" s="372">
        <v>0.0</v>
      </c>
    </row>
    <row r="16569">
      <c r="Y16569" s="372">
        <v>0.0</v>
      </c>
      <c r="Z16569" s="372">
        <v>0.0</v>
      </c>
    </row>
    <row r="16570">
      <c r="Y16570" s="372">
        <v>0.0</v>
      </c>
      <c r="Z16570" s="372">
        <v>0.0</v>
      </c>
    </row>
    <row r="16571">
      <c r="Y16571" s="372">
        <v>0.0</v>
      </c>
      <c r="Z16571" s="372">
        <v>0.0</v>
      </c>
    </row>
    <row r="16572">
      <c r="Y16572" s="372">
        <v>0.0</v>
      </c>
      <c r="Z16572" s="372">
        <v>0.0</v>
      </c>
    </row>
    <row r="16573">
      <c r="Y16573" s="372">
        <v>0.0</v>
      </c>
      <c r="Z16573" s="372">
        <v>0.0</v>
      </c>
    </row>
    <row r="16574">
      <c r="Y16574" s="372">
        <v>0.0</v>
      </c>
      <c r="Z16574" s="372">
        <v>0.0</v>
      </c>
    </row>
    <row r="16575">
      <c r="Y16575" s="372">
        <v>0.0</v>
      </c>
      <c r="Z16575" s="372">
        <v>0.0</v>
      </c>
    </row>
    <row r="16576">
      <c r="Y16576" s="372">
        <v>0.0</v>
      </c>
      <c r="Z16576" s="372">
        <v>0.0</v>
      </c>
    </row>
    <row r="16577">
      <c r="Y16577" s="372">
        <v>0.0</v>
      </c>
      <c r="Z16577" s="372">
        <v>0.0</v>
      </c>
    </row>
    <row r="16578">
      <c r="Y16578" s="372">
        <v>0.0</v>
      </c>
      <c r="Z16578" s="372">
        <v>0.0</v>
      </c>
    </row>
    <row r="16579">
      <c r="Y16579" s="372">
        <v>0.0</v>
      </c>
      <c r="Z16579" s="372">
        <v>0.0</v>
      </c>
    </row>
    <row r="16580">
      <c r="Y16580" s="372">
        <v>0.0</v>
      </c>
      <c r="Z16580" s="372">
        <v>0.0</v>
      </c>
    </row>
    <row r="16581">
      <c r="Y16581" s="372">
        <v>0.0</v>
      </c>
      <c r="Z16581" s="372">
        <v>0.0</v>
      </c>
    </row>
    <row r="16582">
      <c r="Y16582" s="372">
        <v>0.0</v>
      </c>
      <c r="Z16582" s="372">
        <v>0.0</v>
      </c>
    </row>
    <row r="16583">
      <c r="Y16583" s="372">
        <v>0.0</v>
      </c>
      <c r="Z16583" s="372">
        <v>0.0</v>
      </c>
    </row>
    <row r="16584">
      <c r="Y16584" s="372">
        <v>0.0</v>
      </c>
      <c r="Z16584" s="372">
        <v>0.0</v>
      </c>
    </row>
    <row r="16585">
      <c r="Y16585" s="372">
        <v>0.0</v>
      </c>
      <c r="Z16585" s="372">
        <v>0.0</v>
      </c>
    </row>
    <row r="16586">
      <c r="Y16586" s="372">
        <v>0.0</v>
      </c>
      <c r="Z16586" s="372">
        <v>0.0</v>
      </c>
    </row>
    <row r="16587">
      <c r="Y16587" s="372">
        <v>0.0</v>
      </c>
      <c r="Z16587" s="372">
        <v>0.0</v>
      </c>
    </row>
    <row r="16588">
      <c r="Y16588" s="372">
        <v>0.0</v>
      </c>
      <c r="Z16588" s="372">
        <v>0.0</v>
      </c>
    </row>
    <row r="16589">
      <c r="Y16589" s="372">
        <v>0.0</v>
      </c>
      <c r="Z16589" s="372">
        <v>0.0</v>
      </c>
    </row>
    <row r="16590">
      <c r="Y16590" s="372">
        <v>0.0</v>
      </c>
      <c r="Z16590" s="372">
        <v>0.0</v>
      </c>
    </row>
    <row r="16591">
      <c r="Y16591" s="372">
        <v>0.0</v>
      </c>
      <c r="Z16591" s="372">
        <v>0.0</v>
      </c>
    </row>
    <row r="16592">
      <c r="Y16592" s="372">
        <v>0.0</v>
      </c>
      <c r="Z16592" s="372">
        <v>0.0</v>
      </c>
    </row>
    <row r="16593">
      <c r="Y16593" s="372">
        <v>0.0</v>
      </c>
      <c r="Z16593" s="372">
        <v>0.0</v>
      </c>
    </row>
    <row r="16594">
      <c r="Y16594" s="372">
        <v>0.0</v>
      </c>
      <c r="Z16594" s="372">
        <v>0.0</v>
      </c>
    </row>
    <row r="16595">
      <c r="Y16595" s="372">
        <v>0.0</v>
      </c>
      <c r="Z16595" s="372">
        <v>0.0</v>
      </c>
    </row>
    <row r="16596">
      <c r="Y16596" s="372">
        <v>0.0</v>
      </c>
      <c r="Z16596" s="372">
        <v>0.0</v>
      </c>
    </row>
    <row r="16597">
      <c r="Y16597" s="372">
        <v>0.0</v>
      </c>
      <c r="Z16597" s="372">
        <v>0.0</v>
      </c>
    </row>
    <row r="16598">
      <c r="Y16598" s="372">
        <v>0.0</v>
      </c>
      <c r="Z16598" s="372">
        <v>0.0</v>
      </c>
    </row>
    <row r="16599">
      <c r="Y16599" s="372">
        <v>0.0</v>
      </c>
      <c r="Z16599" s="372">
        <v>0.0</v>
      </c>
    </row>
    <row r="16600">
      <c r="Y16600" s="372">
        <v>0.0</v>
      </c>
      <c r="Z16600" s="372">
        <v>0.0</v>
      </c>
    </row>
    <row r="16601">
      <c r="Y16601" s="372">
        <v>0.0</v>
      </c>
      <c r="Z16601" s="372">
        <v>0.0</v>
      </c>
    </row>
    <row r="16602">
      <c r="Y16602" s="372">
        <v>0.0</v>
      </c>
      <c r="Z16602" s="372">
        <v>0.0</v>
      </c>
    </row>
    <row r="16603">
      <c r="Y16603" s="372">
        <v>0.0</v>
      </c>
      <c r="Z16603" s="372">
        <v>0.0</v>
      </c>
    </row>
    <row r="16604">
      <c r="Y16604" s="372">
        <v>0.0</v>
      </c>
      <c r="Z16604" s="372">
        <v>0.0</v>
      </c>
    </row>
    <row r="16605">
      <c r="Y16605" s="372">
        <v>0.0</v>
      </c>
      <c r="Z16605" s="372">
        <v>0.0</v>
      </c>
    </row>
    <row r="16606">
      <c r="Y16606" s="372">
        <v>0.0</v>
      </c>
      <c r="Z16606" s="372">
        <v>0.0</v>
      </c>
    </row>
    <row r="16607">
      <c r="Y16607" s="372">
        <v>0.0</v>
      </c>
      <c r="Z16607" s="372">
        <v>0.0</v>
      </c>
    </row>
    <row r="16608">
      <c r="Y16608" s="372">
        <v>0.0</v>
      </c>
      <c r="Z16608" s="372">
        <v>0.0</v>
      </c>
    </row>
    <row r="16609">
      <c r="Y16609" s="372">
        <v>0.0</v>
      </c>
      <c r="Z16609" s="372">
        <v>0.0</v>
      </c>
    </row>
    <row r="16610">
      <c r="Y16610" s="372">
        <v>0.0</v>
      </c>
      <c r="Z16610" s="372">
        <v>0.0</v>
      </c>
    </row>
    <row r="16611">
      <c r="Y16611" s="372">
        <v>0.0</v>
      </c>
      <c r="Z16611" s="372">
        <v>0.0</v>
      </c>
    </row>
    <row r="16612">
      <c r="Y16612" s="372">
        <v>0.0</v>
      </c>
      <c r="Z16612" s="372">
        <v>0.0</v>
      </c>
    </row>
    <row r="16613">
      <c r="Y16613" s="372">
        <v>0.0</v>
      </c>
      <c r="Z16613" s="372">
        <v>0.0</v>
      </c>
    </row>
    <row r="16614">
      <c r="Y16614" s="372">
        <v>0.0</v>
      </c>
      <c r="Z16614" s="372">
        <v>0.0</v>
      </c>
    </row>
    <row r="16615">
      <c r="Y16615" s="372">
        <v>0.0</v>
      </c>
      <c r="Z16615" s="372">
        <v>0.0</v>
      </c>
    </row>
    <row r="16616">
      <c r="Y16616" s="372">
        <v>0.0</v>
      </c>
      <c r="Z16616" s="372">
        <v>0.0</v>
      </c>
    </row>
    <row r="16617">
      <c r="Y16617" s="372">
        <v>0.0</v>
      </c>
      <c r="Z16617" s="372">
        <v>0.0</v>
      </c>
    </row>
    <row r="16618">
      <c r="Y16618" s="372">
        <v>0.0</v>
      </c>
      <c r="Z16618" s="372">
        <v>0.0</v>
      </c>
    </row>
    <row r="16619">
      <c r="Y16619" s="372">
        <v>0.0</v>
      </c>
      <c r="Z16619" s="372">
        <v>0.0</v>
      </c>
    </row>
    <row r="16620">
      <c r="Y16620" s="372">
        <v>0.0</v>
      </c>
      <c r="Z16620" s="372">
        <v>0.0</v>
      </c>
    </row>
    <row r="16621">
      <c r="Y16621" s="372">
        <v>0.0</v>
      </c>
      <c r="Z16621" s="372">
        <v>0.0</v>
      </c>
    </row>
    <row r="16622">
      <c r="Y16622" s="372">
        <v>0.0</v>
      </c>
      <c r="Z16622" s="372">
        <v>0.0</v>
      </c>
    </row>
    <row r="16623">
      <c r="Y16623" s="372">
        <v>0.0</v>
      </c>
      <c r="Z16623" s="372">
        <v>0.0</v>
      </c>
    </row>
    <row r="16624">
      <c r="Y16624" s="372">
        <v>0.0</v>
      </c>
      <c r="Z16624" s="372">
        <v>0.0</v>
      </c>
    </row>
    <row r="16625">
      <c r="Y16625" s="372">
        <v>0.0</v>
      </c>
      <c r="Z16625" s="372">
        <v>0.0</v>
      </c>
    </row>
    <row r="16626">
      <c r="Y16626" s="372">
        <v>0.0</v>
      </c>
      <c r="Z16626" s="372">
        <v>0.0</v>
      </c>
    </row>
    <row r="16627">
      <c r="Y16627" s="372">
        <v>0.0</v>
      </c>
      <c r="Z16627" s="372">
        <v>0.0</v>
      </c>
    </row>
    <row r="16628">
      <c r="Y16628" s="372">
        <v>0.0</v>
      </c>
      <c r="Z16628" s="372">
        <v>0.0</v>
      </c>
    </row>
    <row r="16629">
      <c r="Y16629" s="372">
        <v>0.0</v>
      </c>
      <c r="Z16629" s="372">
        <v>0.0</v>
      </c>
    </row>
    <row r="16630">
      <c r="Y16630" s="372">
        <v>0.0</v>
      </c>
      <c r="Z16630" s="372">
        <v>0.0</v>
      </c>
    </row>
    <row r="16631">
      <c r="Y16631" s="372">
        <v>0.0</v>
      </c>
      <c r="Z16631" s="372">
        <v>0.0</v>
      </c>
    </row>
    <row r="16632">
      <c r="Y16632" s="372">
        <v>0.0</v>
      </c>
      <c r="Z16632" s="372">
        <v>0.0</v>
      </c>
    </row>
    <row r="16633">
      <c r="Y16633" s="372">
        <v>0.0</v>
      </c>
      <c r="Z16633" s="372">
        <v>0.0</v>
      </c>
    </row>
    <row r="16634">
      <c r="Y16634" s="372">
        <v>0.0</v>
      </c>
      <c r="Z16634" s="372">
        <v>0.0</v>
      </c>
    </row>
    <row r="16635">
      <c r="Y16635" s="372">
        <v>0.0</v>
      </c>
      <c r="Z16635" s="372">
        <v>0.0</v>
      </c>
    </row>
    <row r="16636">
      <c r="Y16636" s="372">
        <v>0.0</v>
      </c>
      <c r="Z16636" s="372">
        <v>0.0</v>
      </c>
    </row>
    <row r="16637">
      <c r="Y16637" s="372">
        <v>0.0</v>
      </c>
      <c r="Z16637" s="372">
        <v>0.0</v>
      </c>
    </row>
    <row r="16638">
      <c r="Y16638" s="372">
        <v>0.0</v>
      </c>
      <c r="Z16638" s="372">
        <v>0.0</v>
      </c>
    </row>
    <row r="16639">
      <c r="Y16639" s="372">
        <v>0.0</v>
      </c>
      <c r="Z16639" s="372">
        <v>0.0</v>
      </c>
    </row>
    <row r="16640">
      <c r="Y16640" s="372">
        <v>0.0</v>
      </c>
      <c r="Z16640" s="372">
        <v>0.0</v>
      </c>
    </row>
    <row r="16641">
      <c r="Y16641" s="372">
        <v>0.0</v>
      </c>
      <c r="Z16641" s="372">
        <v>0.0</v>
      </c>
    </row>
    <row r="16642">
      <c r="Y16642" s="372">
        <v>0.0</v>
      </c>
      <c r="Z16642" s="372">
        <v>0.0</v>
      </c>
    </row>
    <row r="16643">
      <c r="Y16643" s="372">
        <v>0.0</v>
      </c>
      <c r="Z16643" s="372">
        <v>0.0</v>
      </c>
    </row>
    <row r="16644">
      <c r="Y16644" s="372">
        <v>0.0</v>
      </c>
      <c r="Z16644" s="372">
        <v>0.0</v>
      </c>
    </row>
    <row r="16645">
      <c r="Y16645" s="372">
        <v>0.0</v>
      </c>
      <c r="Z16645" s="372">
        <v>0.0</v>
      </c>
    </row>
    <row r="16646">
      <c r="Y16646" s="372">
        <v>0.0</v>
      </c>
      <c r="Z16646" s="372">
        <v>0.0</v>
      </c>
    </row>
    <row r="16647">
      <c r="Y16647" s="372">
        <v>0.0</v>
      </c>
      <c r="Z16647" s="372">
        <v>0.0</v>
      </c>
    </row>
    <row r="16648">
      <c r="Y16648" s="372">
        <v>0.0</v>
      </c>
      <c r="Z16648" s="372">
        <v>0.0</v>
      </c>
    </row>
    <row r="16649">
      <c r="Y16649" s="372">
        <v>0.0</v>
      </c>
      <c r="Z16649" s="372">
        <v>0.0</v>
      </c>
    </row>
    <row r="16650">
      <c r="Y16650" s="372">
        <v>0.0</v>
      </c>
      <c r="Z16650" s="372">
        <v>0.0</v>
      </c>
    </row>
    <row r="16651">
      <c r="Y16651" s="372">
        <v>0.0</v>
      </c>
      <c r="Z16651" s="372">
        <v>0.0</v>
      </c>
    </row>
    <row r="16652">
      <c r="Y16652" s="372">
        <v>0.0</v>
      </c>
      <c r="Z16652" s="372">
        <v>0.0</v>
      </c>
    </row>
    <row r="16653">
      <c r="Y16653" s="372">
        <v>0.0</v>
      </c>
      <c r="Z16653" s="372">
        <v>0.0</v>
      </c>
    </row>
    <row r="16654">
      <c r="Y16654" s="372">
        <v>0.0</v>
      </c>
      <c r="Z16654" s="372">
        <v>0.0</v>
      </c>
    </row>
    <row r="16655">
      <c r="Y16655" s="372">
        <v>0.0</v>
      </c>
      <c r="Z16655" s="372">
        <v>0.0</v>
      </c>
    </row>
    <row r="16656">
      <c r="Y16656" s="372">
        <v>0.0</v>
      </c>
      <c r="Z16656" s="372">
        <v>0.0</v>
      </c>
    </row>
    <row r="16657">
      <c r="Y16657" s="372">
        <v>0.0</v>
      </c>
      <c r="Z16657" s="372">
        <v>0.0</v>
      </c>
    </row>
    <row r="16658">
      <c r="Y16658" s="372">
        <v>0.0</v>
      </c>
      <c r="Z16658" s="372">
        <v>0.0</v>
      </c>
    </row>
    <row r="16659">
      <c r="Y16659" s="372">
        <v>0.0</v>
      </c>
      <c r="Z16659" s="372">
        <v>0.0</v>
      </c>
    </row>
    <row r="16660">
      <c r="Y16660" s="372">
        <v>0.0</v>
      </c>
      <c r="Z16660" s="372">
        <v>0.0</v>
      </c>
    </row>
    <row r="16661">
      <c r="Y16661" s="372">
        <v>0.0</v>
      </c>
      <c r="Z16661" s="372">
        <v>0.0</v>
      </c>
    </row>
    <row r="16662">
      <c r="Y16662" s="372">
        <v>0.0</v>
      </c>
      <c r="Z16662" s="372">
        <v>0.0</v>
      </c>
    </row>
    <row r="16663">
      <c r="Y16663" s="372">
        <v>0.0</v>
      </c>
      <c r="Z16663" s="372">
        <v>0.0</v>
      </c>
    </row>
    <row r="16664">
      <c r="Y16664" s="372">
        <v>0.0</v>
      </c>
      <c r="Z16664" s="372">
        <v>0.0</v>
      </c>
    </row>
    <row r="16665">
      <c r="Y16665" s="372">
        <v>0.0</v>
      </c>
      <c r="Z16665" s="372">
        <v>0.0</v>
      </c>
    </row>
    <row r="16666">
      <c r="Y16666" s="372">
        <v>0.0</v>
      </c>
      <c r="Z16666" s="372">
        <v>0.0</v>
      </c>
    </row>
    <row r="16667">
      <c r="Y16667" s="372">
        <v>0.0</v>
      </c>
      <c r="Z16667" s="372">
        <v>0.0</v>
      </c>
    </row>
    <row r="16668">
      <c r="Y16668" s="372">
        <v>0.0</v>
      </c>
      <c r="Z16668" s="372">
        <v>0.0</v>
      </c>
    </row>
    <row r="16669">
      <c r="Y16669" s="372">
        <v>0.0</v>
      </c>
      <c r="Z16669" s="372">
        <v>0.0</v>
      </c>
    </row>
    <row r="16670">
      <c r="Y16670" s="372">
        <v>0.0</v>
      </c>
      <c r="Z16670" s="372">
        <v>0.0</v>
      </c>
    </row>
    <row r="16671">
      <c r="Y16671" s="372">
        <v>0.0</v>
      </c>
      <c r="Z16671" s="372">
        <v>0.0</v>
      </c>
    </row>
    <row r="16672">
      <c r="Y16672" s="372">
        <v>0.0</v>
      </c>
      <c r="Z16672" s="372">
        <v>0.0</v>
      </c>
    </row>
    <row r="16673">
      <c r="Y16673" s="372">
        <v>0.0</v>
      </c>
      <c r="Z16673" s="372">
        <v>0.0</v>
      </c>
    </row>
    <row r="16674">
      <c r="Y16674" s="372">
        <v>0.0</v>
      </c>
      <c r="Z16674" s="372">
        <v>0.0</v>
      </c>
    </row>
    <row r="16675">
      <c r="Y16675" s="372">
        <v>0.0</v>
      </c>
      <c r="Z16675" s="372">
        <v>0.0</v>
      </c>
    </row>
    <row r="16676">
      <c r="Y16676" s="372">
        <v>0.0</v>
      </c>
      <c r="Z16676" s="372">
        <v>0.0</v>
      </c>
    </row>
    <row r="16677">
      <c r="Y16677" s="372">
        <v>0.0</v>
      </c>
      <c r="Z16677" s="372">
        <v>0.0</v>
      </c>
    </row>
    <row r="16678">
      <c r="Y16678" s="372">
        <v>0.0</v>
      </c>
      <c r="Z16678" s="372">
        <v>0.0</v>
      </c>
    </row>
    <row r="16679">
      <c r="Y16679" s="372">
        <v>0.0</v>
      </c>
      <c r="Z16679" s="372">
        <v>0.0</v>
      </c>
    </row>
    <row r="16680">
      <c r="Y16680" s="372">
        <v>0.0</v>
      </c>
      <c r="Z16680" s="372">
        <v>0.0</v>
      </c>
    </row>
    <row r="16681">
      <c r="Y16681" s="372">
        <v>0.0</v>
      </c>
      <c r="Z16681" s="372">
        <v>0.0</v>
      </c>
    </row>
    <row r="16682">
      <c r="Y16682" s="372">
        <v>0.0</v>
      </c>
      <c r="Z16682" s="372">
        <v>0.0</v>
      </c>
    </row>
    <row r="16683">
      <c r="Y16683" s="372">
        <v>0.0</v>
      </c>
      <c r="Z16683" s="372">
        <v>0.0</v>
      </c>
    </row>
    <row r="16684">
      <c r="Y16684" s="372">
        <v>0.0</v>
      </c>
      <c r="Z16684" s="372">
        <v>0.0</v>
      </c>
    </row>
    <row r="16685">
      <c r="Y16685" s="372">
        <v>0.0</v>
      </c>
      <c r="Z16685" s="372">
        <v>0.0</v>
      </c>
    </row>
    <row r="16686">
      <c r="Y16686" s="372">
        <v>0.0</v>
      </c>
      <c r="Z16686" s="372">
        <v>0.0</v>
      </c>
    </row>
    <row r="16687">
      <c r="Y16687" s="372">
        <v>0.0</v>
      </c>
      <c r="Z16687" s="372">
        <v>0.0</v>
      </c>
    </row>
    <row r="16688">
      <c r="Y16688" s="372">
        <v>0.0</v>
      </c>
      <c r="Z16688" s="372">
        <v>0.0</v>
      </c>
    </row>
    <row r="16689">
      <c r="Y16689" s="372">
        <v>0.0</v>
      </c>
      <c r="Z16689" s="372">
        <v>0.0</v>
      </c>
    </row>
    <row r="16690">
      <c r="Y16690" s="372">
        <v>0.0</v>
      </c>
      <c r="Z16690" s="372">
        <v>0.0</v>
      </c>
    </row>
    <row r="16691">
      <c r="Y16691" s="372">
        <v>0.0</v>
      </c>
      <c r="Z16691" s="372">
        <v>0.0</v>
      </c>
    </row>
    <row r="16692">
      <c r="Y16692" s="372">
        <v>0.0</v>
      </c>
      <c r="Z16692" s="372">
        <v>0.0</v>
      </c>
    </row>
    <row r="16693">
      <c r="Y16693" s="372">
        <v>0.0</v>
      </c>
      <c r="Z16693" s="372">
        <v>0.0</v>
      </c>
    </row>
    <row r="16694">
      <c r="Y16694" s="372">
        <v>0.0</v>
      </c>
      <c r="Z16694" s="372">
        <v>0.0</v>
      </c>
    </row>
    <row r="16695">
      <c r="Y16695" s="372">
        <v>0.0</v>
      </c>
      <c r="Z16695" s="372">
        <v>0.0</v>
      </c>
    </row>
    <row r="16696">
      <c r="Y16696" s="372">
        <v>0.0</v>
      </c>
      <c r="Z16696" s="372">
        <v>0.0</v>
      </c>
    </row>
    <row r="16697">
      <c r="Y16697" s="372">
        <v>0.0</v>
      </c>
      <c r="Z16697" s="372">
        <v>0.0</v>
      </c>
    </row>
    <row r="16698">
      <c r="Y16698" s="372">
        <v>0.0</v>
      </c>
      <c r="Z16698" s="372">
        <v>0.0</v>
      </c>
    </row>
    <row r="16699">
      <c r="Y16699" s="372">
        <v>0.0</v>
      </c>
      <c r="Z16699" s="372">
        <v>0.0</v>
      </c>
    </row>
    <row r="16700">
      <c r="Y16700" s="372">
        <v>0.0</v>
      </c>
      <c r="Z16700" s="372">
        <v>0.0</v>
      </c>
    </row>
    <row r="16701">
      <c r="Y16701" s="372">
        <v>0.0</v>
      </c>
      <c r="Z16701" s="372">
        <v>0.0</v>
      </c>
    </row>
    <row r="16702">
      <c r="Y16702" s="372">
        <v>0.0</v>
      </c>
      <c r="Z16702" s="372">
        <v>0.0</v>
      </c>
    </row>
    <row r="16703">
      <c r="Y16703" s="372">
        <v>0.0</v>
      </c>
      <c r="Z16703" s="372">
        <v>0.0</v>
      </c>
    </row>
    <row r="16704">
      <c r="Y16704" s="372">
        <v>0.0</v>
      </c>
      <c r="Z16704" s="372">
        <v>0.0</v>
      </c>
    </row>
    <row r="16705">
      <c r="Y16705" s="372">
        <v>0.0</v>
      </c>
      <c r="Z16705" s="372">
        <v>0.0</v>
      </c>
    </row>
    <row r="16706">
      <c r="Y16706" s="372">
        <v>0.0</v>
      </c>
      <c r="Z16706" s="372">
        <v>0.0</v>
      </c>
    </row>
    <row r="16707">
      <c r="Y16707" s="372">
        <v>0.0</v>
      </c>
      <c r="Z16707" s="372">
        <v>0.0</v>
      </c>
    </row>
    <row r="16708">
      <c r="Y16708" s="372">
        <v>0.0</v>
      </c>
      <c r="Z16708" s="372">
        <v>0.0</v>
      </c>
    </row>
    <row r="16709">
      <c r="Y16709" s="372">
        <v>0.0</v>
      </c>
      <c r="Z16709" s="372">
        <v>0.0</v>
      </c>
    </row>
    <row r="16710">
      <c r="Y16710" s="372">
        <v>0.0</v>
      </c>
      <c r="Z16710" s="372">
        <v>0.0</v>
      </c>
    </row>
    <row r="16711">
      <c r="Y16711" s="372">
        <v>0.0</v>
      </c>
      <c r="Z16711" s="372">
        <v>0.0</v>
      </c>
    </row>
    <row r="16712">
      <c r="Y16712" s="372">
        <v>0.0</v>
      </c>
      <c r="Z16712" s="372">
        <v>0.0</v>
      </c>
    </row>
    <row r="16713">
      <c r="Y16713" s="372">
        <v>0.0</v>
      </c>
      <c r="Z16713" s="372">
        <v>0.0</v>
      </c>
    </row>
    <row r="16714">
      <c r="Y16714" s="372">
        <v>0.0</v>
      </c>
      <c r="Z16714" s="372">
        <v>0.0</v>
      </c>
    </row>
    <row r="16715">
      <c r="Y16715" s="372">
        <v>0.0</v>
      </c>
      <c r="Z16715" s="372">
        <v>0.0</v>
      </c>
    </row>
    <row r="16716">
      <c r="Y16716" s="372">
        <v>0.0</v>
      </c>
      <c r="Z16716" s="372">
        <v>0.0</v>
      </c>
    </row>
    <row r="16717">
      <c r="Y16717" s="372">
        <v>0.0</v>
      </c>
      <c r="Z16717" s="372">
        <v>0.0</v>
      </c>
    </row>
    <row r="16718">
      <c r="Y16718" s="372">
        <v>0.0</v>
      </c>
      <c r="Z16718" s="372">
        <v>0.0</v>
      </c>
    </row>
    <row r="16719">
      <c r="Y16719" s="372">
        <v>0.0</v>
      </c>
      <c r="Z16719" s="372">
        <v>0.0</v>
      </c>
    </row>
    <row r="16720">
      <c r="Y16720" s="372">
        <v>0.0</v>
      </c>
      <c r="Z16720" s="372">
        <v>0.0</v>
      </c>
    </row>
    <row r="16721">
      <c r="Y16721" s="372">
        <v>0.0</v>
      </c>
      <c r="Z16721" s="372">
        <v>0.0</v>
      </c>
    </row>
    <row r="16722">
      <c r="Y16722" s="372">
        <v>0.0</v>
      </c>
      <c r="Z16722" s="372">
        <v>0.0</v>
      </c>
    </row>
    <row r="16723">
      <c r="Y16723" s="372">
        <v>0.0</v>
      </c>
      <c r="Z16723" s="372">
        <v>0.0</v>
      </c>
    </row>
    <row r="16724">
      <c r="Y16724" s="372">
        <v>0.0</v>
      </c>
      <c r="Z16724" s="372">
        <v>0.0</v>
      </c>
    </row>
    <row r="16725">
      <c r="Y16725" s="372">
        <v>0.0</v>
      </c>
      <c r="Z16725" s="372">
        <v>0.0</v>
      </c>
    </row>
    <row r="16726">
      <c r="Y16726" s="372">
        <v>0.0</v>
      </c>
      <c r="Z16726" s="372">
        <v>0.0</v>
      </c>
    </row>
    <row r="16727">
      <c r="Y16727" s="372">
        <v>0.0</v>
      </c>
      <c r="Z16727" s="372">
        <v>0.0</v>
      </c>
    </row>
    <row r="16728">
      <c r="Y16728" s="372">
        <v>0.0</v>
      </c>
      <c r="Z16728" s="372">
        <v>0.0</v>
      </c>
    </row>
    <row r="16729">
      <c r="Y16729" s="372">
        <v>0.0</v>
      </c>
      <c r="Z16729" s="372">
        <v>0.0</v>
      </c>
    </row>
    <row r="16730">
      <c r="Y16730" s="372">
        <v>0.0</v>
      </c>
      <c r="Z16730" s="372">
        <v>0.0</v>
      </c>
    </row>
    <row r="16731">
      <c r="Y16731" s="372">
        <v>0.0</v>
      </c>
      <c r="Z16731" s="372">
        <v>0.0</v>
      </c>
    </row>
    <row r="16732">
      <c r="Y16732" s="372">
        <v>0.0</v>
      </c>
      <c r="Z16732" s="372">
        <v>0.0</v>
      </c>
    </row>
    <row r="16733">
      <c r="Y16733" s="372">
        <v>0.0</v>
      </c>
      <c r="Z16733" s="372">
        <v>0.0</v>
      </c>
    </row>
    <row r="16734">
      <c r="Y16734" s="372">
        <v>0.0</v>
      </c>
      <c r="Z16734" s="372">
        <v>0.0</v>
      </c>
    </row>
    <row r="16735">
      <c r="Y16735" s="372">
        <v>0.0</v>
      </c>
      <c r="Z16735" s="372">
        <v>0.0</v>
      </c>
    </row>
    <row r="16736">
      <c r="Y16736" s="372">
        <v>0.0</v>
      </c>
      <c r="Z16736" s="372">
        <v>0.0</v>
      </c>
    </row>
    <row r="16737">
      <c r="Y16737" s="372">
        <v>0.0</v>
      </c>
      <c r="Z16737" s="372">
        <v>0.0</v>
      </c>
    </row>
    <row r="16738">
      <c r="Y16738" s="372">
        <v>0.0</v>
      </c>
      <c r="Z16738" s="372">
        <v>0.0</v>
      </c>
    </row>
    <row r="16739">
      <c r="Y16739" s="372">
        <v>0.0</v>
      </c>
      <c r="Z16739" s="372">
        <v>0.0</v>
      </c>
    </row>
    <row r="16740">
      <c r="Y16740" s="372">
        <v>0.0</v>
      </c>
      <c r="Z16740" s="372">
        <v>0.0</v>
      </c>
    </row>
    <row r="16741">
      <c r="Y16741" s="372">
        <v>0.0</v>
      </c>
      <c r="Z16741" s="372">
        <v>0.0</v>
      </c>
    </row>
    <row r="16742">
      <c r="Y16742" s="372">
        <v>0.0</v>
      </c>
      <c r="Z16742" s="372">
        <v>0.0</v>
      </c>
    </row>
    <row r="16743">
      <c r="Y16743" s="372">
        <v>0.0</v>
      </c>
      <c r="Z16743" s="372">
        <v>0.0</v>
      </c>
    </row>
    <row r="16744">
      <c r="Y16744" s="372">
        <v>0.0</v>
      </c>
      <c r="Z16744" s="372">
        <v>0.0</v>
      </c>
    </row>
    <row r="16745">
      <c r="Y16745" s="372">
        <v>0.0</v>
      </c>
      <c r="Z16745" s="372">
        <v>0.0</v>
      </c>
    </row>
    <row r="16746">
      <c r="Y16746" s="372">
        <v>0.0</v>
      </c>
      <c r="Z16746" s="372">
        <v>0.0</v>
      </c>
    </row>
    <row r="16747">
      <c r="Y16747" s="372">
        <v>0.0</v>
      </c>
      <c r="Z16747" s="372">
        <v>0.0</v>
      </c>
    </row>
    <row r="16748">
      <c r="Y16748" s="372">
        <v>0.0</v>
      </c>
      <c r="Z16748" s="372">
        <v>0.0</v>
      </c>
    </row>
    <row r="16749">
      <c r="Y16749" s="372">
        <v>0.0</v>
      </c>
      <c r="Z16749" s="372">
        <v>0.0</v>
      </c>
    </row>
    <row r="16750">
      <c r="Y16750" s="372">
        <v>0.0</v>
      </c>
      <c r="Z16750" s="372">
        <v>0.0</v>
      </c>
    </row>
    <row r="16751">
      <c r="Y16751" s="372">
        <v>0.0</v>
      </c>
      <c r="Z16751" s="372">
        <v>0.0</v>
      </c>
    </row>
    <row r="16752">
      <c r="Y16752" s="372">
        <v>0.0</v>
      </c>
      <c r="Z16752" s="372">
        <v>0.0</v>
      </c>
    </row>
    <row r="16753">
      <c r="Y16753" s="372">
        <v>0.0</v>
      </c>
      <c r="Z16753" s="372">
        <v>0.0</v>
      </c>
    </row>
    <row r="16754">
      <c r="Y16754" s="372">
        <v>0.0</v>
      </c>
      <c r="Z16754" s="372">
        <v>0.0</v>
      </c>
    </row>
    <row r="16755">
      <c r="Y16755" s="372">
        <v>0.0</v>
      </c>
      <c r="Z16755" s="372">
        <v>0.0</v>
      </c>
    </row>
    <row r="16756">
      <c r="Y16756" s="372">
        <v>0.0</v>
      </c>
      <c r="Z16756" s="372">
        <v>0.0</v>
      </c>
    </row>
    <row r="16757">
      <c r="Y16757" s="372">
        <v>0.0</v>
      </c>
      <c r="Z16757" s="372">
        <v>0.0</v>
      </c>
    </row>
    <row r="16758">
      <c r="Y16758" s="372">
        <v>0.0</v>
      </c>
      <c r="Z16758" s="372">
        <v>0.0</v>
      </c>
    </row>
    <row r="16759">
      <c r="Y16759" s="372">
        <v>0.0</v>
      </c>
      <c r="Z16759" s="372">
        <v>0.0</v>
      </c>
    </row>
    <row r="16760">
      <c r="Y16760" s="372">
        <v>0.0</v>
      </c>
      <c r="Z16760" s="372">
        <v>0.0</v>
      </c>
    </row>
    <row r="16761">
      <c r="Y16761" s="372">
        <v>0.0</v>
      </c>
      <c r="Z16761" s="372">
        <v>0.0</v>
      </c>
    </row>
    <row r="16762">
      <c r="Y16762" s="372">
        <v>0.0</v>
      </c>
      <c r="Z16762" s="372">
        <v>0.0</v>
      </c>
    </row>
    <row r="16763">
      <c r="Y16763" s="372">
        <v>0.0</v>
      </c>
      <c r="Z16763" s="372">
        <v>0.0</v>
      </c>
    </row>
    <row r="16764">
      <c r="Y16764" s="372">
        <v>0.0</v>
      </c>
      <c r="Z16764" s="372">
        <v>0.0</v>
      </c>
    </row>
    <row r="16765">
      <c r="Y16765" s="372">
        <v>0.0</v>
      </c>
      <c r="Z16765" s="372">
        <v>0.0</v>
      </c>
    </row>
    <row r="16766">
      <c r="Y16766" s="372">
        <v>0.0</v>
      </c>
      <c r="Z16766" s="372">
        <v>0.0</v>
      </c>
    </row>
    <row r="16767">
      <c r="Y16767" s="372">
        <v>0.0</v>
      </c>
      <c r="Z16767" s="372">
        <v>0.0</v>
      </c>
    </row>
    <row r="16768">
      <c r="Y16768" s="372">
        <v>0.0</v>
      </c>
      <c r="Z16768" s="372">
        <v>0.0</v>
      </c>
    </row>
    <row r="16769">
      <c r="Y16769" s="372">
        <v>0.0</v>
      </c>
      <c r="Z16769" s="372">
        <v>0.0</v>
      </c>
    </row>
    <row r="16770">
      <c r="Y16770" s="372">
        <v>0.0</v>
      </c>
      <c r="Z16770" s="372">
        <v>0.0</v>
      </c>
    </row>
    <row r="16771">
      <c r="Y16771" s="372">
        <v>0.0</v>
      </c>
      <c r="Z16771" s="372">
        <v>0.0</v>
      </c>
    </row>
    <row r="16772">
      <c r="Y16772" s="372">
        <v>0.0</v>
      </c>
      <c r="Z16772" s="372">
        <v>0.0</v>
      </c>
    </row>
    <row r="16773">
      <c r="Y16773" s="372">
        <v>0.0</v>
      </c>
      <c r="Z16773" s="372">
        <v>0.0</v>
      </c>
    </row>
    <row r="16774">
      <c r="Y16774" s="372">
        <v>0.0</v>
      </c>
      <c r="Z16774" s="372">
        <v>0.0</v>
      </c>
    </row>
    <row r="16775">
      <c r="Y16775" s="372">
        <v>0.0</v>
      </c>
      <c r="Z16775" s="372">
        <v>0.0</v>
      </c>
    </row>
    <row r="16776">
      <c r="Y16776" s="372">
        <v>0.0</v>
      </c>
      <c r="Z16776" s="372">
        <v>0.0</v>
      </c>
    </row>
    <row r="16777">
      <c r="Y16777" s="372">
        <v>0.0</v>
      </c>
      <c r="Z16777" s="372">
        <v>0.0</v>
      </c>
    </row>
    <row r="16778">
      <c r="Y16778" s="372">
        <v>0.0</v>
      </c>
      <c r="Z16778" s="372">
        <v>0.0</v>
      </c>
    </row>
    <row r="16779">
      <c r="Y16779" s="372">
        <v>0.0</v>
      </c>
      <c r="Z16779" s="372">
        <v>0.0</v>
      </c>
    </row>
    <row r="16780">
      <c r="Y16780" s="372">
        <v>0.0</v>
      </c>
      <c r="Z16780" s="372">
        <v>0.0</v>
      </c>
    </row>
    <row r="16781">
      <c r="Y16781" s="372">
        <v>0.0</v>
      </c>
      <c r="Z16781" s="372">
        <v>0.0</v>
      </c>
    </row>
    <row r="16782">
      <c r="Y16782" s="372">
        <v>0.0</v>
      </c>
      <c r="Z16782" s="372">
        <v>0.0</v>
      </c>
    </row>
    <row r="16783">
      <c r="Y16783" s="372">
        <v>0.0</v>
      </c>
      <c r="Z16783" s="372">
        <v>0.0</v>
      </c>
    </row>
    <row r="16784">
      <c r="Y16784" s="372">
        <v>0.0</v>
      </c>
      <c r="Z16784" s="372">
        <v>0.0</v>
      </c>
    </row>
    <row r="16785">
      <c r="Y16785" s="372">
        <v>0.0</v>
      </c>
      <c r="Z16785" s="372">
        <v>0.0</v>
      </c>
    </row>
    <row r="16786">
      <c r="Y16786" s="372">
        <v>0.0</v>
      </c>
      <c r="Z16786" s="372">
        <v>0.0</v>
      </c>
    </row>
    <row r="16787">
      <c r="Y16787" s="372">
        <v>0.0</v>
      </c>
      <c r="Z16787" s="372">
        <v>0.0</v>
      </c>
    </row>
    <row r="16788">
      <c r="Y16788" s="372">
        <v>0.0</v>
      </c>
      <c r="Z16788" s="372">
        <v>0.0</v>
      </c>
    </row>
    <row r="16789">
      <c r="Y16789" s="372">
        <v>0.0</v>
      </c>
      <c r="Z16789" s="372">
        <v>0.0</v>
      </c>
    </row>
    <row r="16790">
      <c r="Y16790" s="372">
        <v>0.0</v>
      </c>
      <c r="Z16790" s="372">
        <v>0.0</v>
      </c>
    </row>
    <row r="16791">
      <c r="Y16791" s="372">
        <v>0.0</v>
      </c>
      <c r="Z16791" s="372">
        <v>0.0</v>
      </c>
    </row>
    <row r="16792">
      <c r="Y16792" s="372">
        <v>0.0</v>
      </c>
      <c r="Z16792" s="372">
        <v>0.0</v>
      </c>
    </row>
    <row r="16793">
      <c r="Y16793" s="372">
        <v>0.0</v>
      </c>
      <c r="Z16793" s="372">
        <v>0.0</v>
      </c>
    </row>
    <row r="16794">
      <c r="Y16794" s="372">
        <v>0.0</v>
      </c>
      <c r="Z16794" s="372">
        <v>0.0</v>
      </c>
    </row>
    <row r="16795">
      <c r="Y16795" s="372">
        <v>0.0</v>
      </c>
      <c r="Z16795" s="372">
        <v>0.0</v>
      </c>
    </row>
    <row r="16796">
      <c r="Y16796" s="372">
        <v>0.0</v>
      </c>
      <c r="Z16796" s="372">
        <v>0.0</v>
      </c>
    </row>
    <row r="16797">
      <c r="Y16797" s="372">
        <v>0.0</v>
      </c>
      <c r="Z16797" s="372">
        <v>0.0</v>
      </c>
    </row>
    <row r="16798">
      <c r="Y16798" s="372">
        <v>0.0</v>
      </c>
      <c r="Z16798" s="372">
        <v>0.0</v>
      </c>
    </row>
    <row r="16799">
      <c r="Y16799" s="372">
        <v>0.0</v>
      </c>
      <c r="Z16799" s="372">
        <v>0.0</v>
      </c>
    </row>
    <row r="16800">
      <c r="Y16800" s="372">
        <v>0.0</v>
      </c>
      <c r="Z16800" s="372">
        <v>0.0</v>
      </c>
    </row>
    <row r="16801">
      <c r="Y16801" s="372">
        <v>0.0</v>
      </c>
      <c r="Z16801" s="372">
        <v>0.0</v>
      </c>
    </row>
    <row r="16802">
      <c r="Y16802" s="372">
        <v>0.0</v>
      </c>
      <c r="Z16802" s="372">
        <v>0.0</v>
      </c>
    </row>
    <row r="16803">
      <c r="Y16803" s="372">
        <v>0.0</v>
      </c>
      <c r="Z16803" s="372">
        <v>0.0</v>
      </c>
    </row>
    <row r="16804">
      <c r="Y16804" s="372">
        <v>0.0</v>
      </c>
      <c r="Z16804" s="372">
        <v>0.0</v>
      </c>
    </row>
    <row r="16805">
      <c r="Y16805" s="372">
        <v>0.0</v>
      </c>
      <c r="Z16805" s="372">
        <v>0.0</v>
      </c>
    </row>
    <row r="16806">
      <c r="Y16806" s="372">
        <v>0.0</v>
      </c>
      <c r="Z16806" s="372">
        <v>0.0</v>
      </c>
    </row>
    <row r="16807">
      <c r="Y16807" s="372">
        <v>0.0</v>
      </c>
      <c r="Z16807" s="372">
        <v>0.0</v>
      </c>
    </row>
    <row r="16808">
      <c r="Y16808" s="372">
        <v>0.0</v>
      </c>
      <c r="Z16808" s="372">
        <v>0.0</v>
      </c>
    </row>
    <row r="16809">
      <c r="Y16809" s="372">
        <v>0.0</v>
      </c>
      <c r="Z16809" s="372">
        <v>0.0</v>
      </c>
    </row>
    <row r="16810">
      <c r="Y16810" s="372">
        <v>0.0</v>
      </c>
      <c r="Z16810" s="372">
        <v>0.0</v>
      </c>
    </row>
    <row r="16811">
      <c r="Y16811" s="372">
        <v>0.0</v>
      </c>
      <c r="Z16811" s="372">
        <v>0.0</v>
      </c>
    </row>
    <row r="16812">
      <c r="Y16812" s="372">
        <v>0.0</v>
      </c>
      <c r="Z16812" s="372">
        <v>0.0</v>
      </c>
    </row>
    <row r="16813">
      <c r="Y16813" s="372">
        <v>0.0</v>
      </c>
      <c r="Z16813" s="372">
        <v>0.0</v>
      </c>
    </row>
    <row r="16814">
      <c r="Y16814" s="372">
        <v>0.0</v>
      </c>
      <c r="Z16814" s="372">
        <v>0.0</v>
      </c>
    </row>
    <row r="16815">
      <c r="Y16815" s="372">
        <v>0.0</v>
      </c>
      <c r="Z16815" s="372">
        <v>0.0</v>
      </c>
    </row>
    <row r="16816">
      <c r="Y16816" s="372">
        <v>0.0</v>
      </c>
      <c r="Z16816" s="372">
        <v>0.0</v>
      </c>
    </row>
    <row r="16817">
      <c r="Y16817" s="372">
        <v>0.0</v>
      </c>
      <c r="Z16817" s="372">
        <v>0.0</v>
      </c>
    </row>
    <row r="16818">
      <c r="Y16818" s="372">
        <v>0.0</v>
      </c>
      <c r="Z16818" s="372">
        <v>0.0</v>
      </c>
    </row>
    <row r="16819">
      <c r="Y16819" s="372">
        <v>0.0</v>
      </c>
      <c r="Z16819" s="372">
        <v>0.0</v>
      </c>
    </row>
    <row r="16820">
      <c r="Y16820" s="372">
        <v>0.0</v>
      </c>
      <c r="Z16820" s="372">
        <v>0.0</v>
      </c>
    </row>
    <row r="16821">
      <c r="Y16821" s="372">
        <v>0.0</v>
      </c>
      <c r="Z16821" s="372">
        <v>0.0</v>
      </c>
    </row>
    <row r="16822">
      <c r="Y16822" s="372">
        <v>0.0</v>
      </c>
      <c r="Z16822" s="372">
        <v>0.0</v>
      </c>
    </row>
    <row r="16823">
      <c r="Y16823" s="372">
        <v>0.0</v>
      </c>
      <c r="Z16823" s="372">
        <v>0.0</v>
      </c>
    </row>
    <row r="16824">
      <c r="Y16824" s="372">
        <v>0.0</v>
      </c>
      <c r="Z16824" s="372">
        <v>0.0</v>
      </c>
    </row>
    <row r="16825">
      <c r="Y16825" s="372">
        <v>0.0</v>
      </c>
      <c r="Z16825" s="372">
        <v>0.0</v>
      </c>
    </row>
    <row r="16826">
      <c r="Y16826" s="372">
        <v>0.0</v>
      </c>
      <c r="Z16826" s="372">
        <v>0.0</v>
      </c>
    </row>
    <row r="16827">
      <c r="Y16827" s="372">
        <v>0.0</v>
      </c>
      <c r="Z16827" s="372">
        <v>0.0</v>
      </c>
    </row>
    <row r="16828">
      <c r="Y16828" s="372">
        <v>0.0</v>
      </c>
      <c r="Z16828" s="372">
        <v>0.0</v>
      </c>
    </row>
    <row r="16829">
      <c r="Y16829" s="372">
        <v>0.0</v>
      </c>
      <c r="Z16829" s="372">
        <v>0.0</v>
      </c>
    </row>
    <row r="16830">
      <c r="Y16830" s="372">
        <v>0.0</v>
      </c>
      <c r="Z16830" s="372">
        <v>0.0</v>
      </c>
    </row>
    <row r="16831">
      <c r="Y16831" s="372">
        <v>0.0</v>
      </c>
      <c r="Z16831" s="372">
        <v>0.0</v>
      </c>
    </row>
    <row r="16832">
      <c r="Y16832" s="372">
        <v>0.0</v>
      </c>
      <c r="Z16832" s="372">
        <v>0.0</v>
      </c>
    </row>
    <row r="16833">
      <c r="Y16833" s="372">
        <v>0.0</v>
      </c>
      <c r="Z16833" s="372">
        <v>0.0</v>
      </c>
    </row>
    <row r="16834">
      <c r="Y16834" s="372">
        <v>0.0</v>
      </c>
      <c r="Z16834" s="372">
        <v>0.0</v>
      </c>
    </row>
    <row r="16835">
      <c r="Y16835" s="372">
        <v>0.0</v>
      </c>
      <c r="Z16835" s="372">
        <v>0.0</v>
      </c>
    </row>
    <row r="16836">
      <c r="Y16836" s="372">
        <v>0.0</v>
      </c>
      <c r="Z16836" s="372">
        <v>0.0</v>
      </c>
    </row>
    <row r="16837">
      <c r="Y16837" s="372">
        <v>0.0</v>
      </c>
      <c r="Z16837" s="372">
        <v>0.0</v>
      </c>
    </row>
    <row r="16838">
      <c r="Y16838" s="372">
        <v>0.0</v>
      </c>
      <c r="Z16838" s="372">
        <v>0.0</v>
      </c>
    </row>
    <row r="16839">
      <c r="Y16839" s="372">
        <v>0.0</v>
      </c>
      <c r="Z16839" s="372">
        <v>0.0</v>
      </c>
    </row>
    <row r="16840">
      <c r="Y16840" s="372">
        <v>0.0</v>
      </c>
      <c r="Z16840" s="372">
        <v>0.0</v>
      </c>
    </row>
    <row r="16841">
      <c r="Y16841" s="372">
        <v>0.0</v>
      </c>
      <c r="Z16841" s="372">
        <v>0.0</v>
      </c>
    </row>
    <row r="16842">
      <c r="Y16842" s="372">
        <v>0.0</v>
      </c>
      <c r="Z16842" s="372">
        <v>0.0</v>
      </c>
    </row>
    <row r="16843">
      <c r="Y16843" s="372">
        <v>0.0</v>
      </c>
      <c r="Z16843" s="372">
        <v>0.0</v>
      </c>
    </row>
    <row r="16844">
      <c r="Y16844" s="372">
        <v>0.0</v>
      </c>
      <c r="Z16844" s="372">
        <v>0.0</v>
      </c>
    </row>
    <row r="16845">
      <c r="Y16845" s="372">
        <v>0.0</v>
      </c>
      <c r="Z16845" s="372">
        <v>0.0</v>
      </c>
    </row>
    <row r="16846">
      <c r="Y16846" s="372">
        <v>0.0</v>
      </c>
      <c r="Z16846" s="372">
        <v>0.0</v>
      </c>
    </row>
    <row r="16847">
      <c r="Y16847" s="372">
        <v>0.0</v>
      </c>
      <c r="Z16847" s="372">
        <v>0.0</v>
      </c>
    </row>
    <row r="16848">
      <c r="Y16848" s="372">
        <v>0.0</v>
      </c>
      <c r="Z16848" s="372">
        <v>0.0</v>
      </c>
    </row>
    <row r="16849">
      <c r="Y16849" s="372">
        <v>0.0</v>
      </c>
      <c r="Z16849" s="372">
        <v>0.0</v>
      </c>
    </row>
    <row r="16850">
      <c r="Y16850" s="372">
        <v>0.0</v>
      </c>
      <c r="Z16850" s="372">
        <v>0.0</v>
      </c>
    </row>
    <row r="16851">
      <c r="Y16851" s="372">
        <v>0.0</v>
      </c>
      <c r="Z16851" s="372">
        <v>0.0</v>
      </c>
    </row>
    <row r="16852">
      <c r="Y16852" s="372">
        <v>0.0</v>
      </c>
      <c r="Z16852" s="372">
        <v>0.0</v>
      </c>
    </row>
    <row r="16853">
      <c r="Y16853" s="372">
        <v>0.0</v>
      </c>
      <c r="Z16853" s="372">
        <v>0.0</v>
      </c>
    </row>
    <row r="16854">
      <c r="Y16854" s="372">
        <v>0.0</v>
      </c>
      <c r="Z16854" s="372">
        <v>0.0</v>
      </c>
    </row>
    <row r="16855">
      <c r="Y16855" s="372">
        <v>0.0</v>
      </c>
      <c r="Z16855" s="372">
        <v>0.0</v>
      </c>
    </row>
    <row r="16856">
      <c r="Y16856" s="372">
        <v>0.0</v>
      </c>
      <c r="Z16856" s="372">
        <v>0.0</v>
      </c>
    </row>
    <row r="16857">
      <c r="Y16857" s="372">
        <v>0.0</v>
      </c>
      <c r="Z16857" s="372">
        <v>0.0</v>
      </c>
    </row>
    <row r="16858">
      <c r="Y16858" s="372">
        <v>0.0</v>
      </c>
      <c r="Z16858" s="372">
        <v>0.0</v>
      </c>
    </row>
    <row r="16859">
      <c r="Y16859" s="372">
        <v>0.0</v>
      </c>
      <c r="Z16859" s="372">
        <v>0.0</v>
      </c>
    </row>
    <row r="16860">
      <c r="Y16860" s="372">
        <v>0.0</v>
      </c>
      <c r="Z16860" s="372">
        <v>0.0</v>
      </c>
    </row>
    <row r="16861">
      <c r="Y16861" s="372">
        <v>0.0</v>
      </c>
      <c r="Z16861" s="372">
        <v>0.0</v>
      </c>
    </row>
    <row r="16862">
      <c r="Y16862" s="372">
        <v>0.0</v>
      </c>
      <c r="Z16862" s="372">
        <v>0.0</v>
      </c>
    </row>
    <row r="16863">
      <c r="Y16863" s="372">
        <v>0.0</v>
      </c>
      <c r="Z16863" s="372">
        <v>0.0</v>
      </c>
    </row>
    <row r="16864">
      <c r="Y16864" s="372">
        <v>0.0</v>
      </c>
      <c r="Z16864" s="372">
        <v>0.0</v>
      </c>
    </row>
    <row r="16865">
      <c r="Y16865" s="372">
        <v>0.0</v>
      </c>
      <c r="Z16865" s="372">
        <v>0.0</v>
      </c>
    </row>
    <row r="16866">
      <c r="Y16866" s="372">
        <v>0.0</v>
      </c>
      <c r="Z16866" s="372">
        <v>0.0</v>
      </c>
    </row>
    <row r="16867">
      <c r="Y16867" s="372">
        <v>0.0</v>
      </c>
      <c r="Z16867" s="372">
        <v>0.0</v>
      </c>
    </row>
    <row r="16868">
      <c r="Y16868" s="372">
        <v>0.0</v>
      </c>
      <c r="Z16868" s="372">
        <v>0.0</v>
      </c>
    </row>
    <row r="16869">
      <c r="Y16869" s="372">
        <v>0.0</v>
      </c>
      <c r="Z16869" s="372">
        <v>0.0</v>
      </c>
    </row>
    <row r="16870">
      <c r="Y16870" s="372">
        <v>0.0</v>
      </c>
      <c r="Z16870" s="372">
        <v>0.0</v>
      </c>
    </row>
    <row r="16871">
      <c r="Y16871" s="372">
        <v>0.0</v>
      </c>
      <c r="Z16871" s="372">
        <v>0.0</v>
      </c>
    </row>
    <row r="16872">
      <c r="Y16872" s="372">
        <v>0.0</v>
      </c>
      <c r="Z16872" s="372">
        <v>0.0</v>
      </c>
    </row>
    <row r="16873">
      <c r="Y16873" s="372">
        <v>0.0</v>
      </c>
      <c r="Z16873" s="372">
        <v>0.0</v>
      </c>
    </row>
    <row r="16874">
      <c r="Y16874" s="372">
        <v>0.0</v>
      </c>
      <c r="Z16874" s="372">
        <v>0.0</v>
      </c>
    </row>
    <row r="16875">
      <c r="Y16875" s="372">
        <v>0.0</v>
      </c>
      <c r="Z16875" s="372">
        <v>0.0</v>
      </c>
    </row>
    <row r="16876">
      <c r="Y16876" s="372">
        <v>0.0</v>
      </c>
      <c r="Z16876" s="372">
        <v>0.0</v>
      </c>
    </row>
    <row r="16877">
      <c r="Y16877" s="372">
        <v>0.0</v>
      </c>
      <c r="Z16877" s="372">
        <v>0.0</v>
      </c>
    </row>
    <row r="16878">
      <c r="Y16878" s="372">
        <v>0.0</v>
      </c>
      <c r="Z16878" s="372">
        <v>0.0</v>
      </c>
    </row>
    <row r="16879">
      <c r="Y16879" s="372">
        <v>0.0</v>
      </c>
      <c r="Z16879" s="372">
        <v>0.0</v>
      </c>
    </row>
    <row r="16880">
      <c r="Y16880" s="372">
        <v>0.0</v>
      </c>
      <c r="Z16880" s="372">
        <v>0.0</v>
      </c>
    </row>
    <row r="16881">
      <c r="Y16881" s="372">
        <v>0.0</v>
      </c>
      <c r="Z16881" s="372">
        <v>0.0</v>
      </c>
    </row>
    <row r="16882">
      <c r="Y16882" s="372">
        <v>0.0</v>
      </c>
      <c r="Z16882" s="372">
        <v>0.0</v>
      </c>
    </row>
    <row r="16883">
      <c r="Y16883" s="372">
        <v>0.0</v>
      </c>
      <c r="Z16883" s="372">
        <v>0.0</v>
      </c>
    </row>
    <row r="16884">
      <c r="Y16884" s="372">
        <v>0.0</v>
      </c>
      <c r="Z16884" s="372">
        <v>0.0</v>
      </c>
    </row>
    <row r="16885">
      <c r="Y16885" s="372">
        <v>0.0</v>
      </c>
      <c r="Z16885" s="372">
        <v>0.0</v>
      </c>
    </row>
    <row r="16886">
      <c r="Y16886" s="372">
        <v>0.0</v>
      </c>
      <c r="Z16886" s="372">
        <v>0.0</v>
      </c>
    </row>
    <row r="16887">
      <c r="Y16887" s="372">
        <v>0.0</v>
      </c>
      <c r="Z16887" s="372">
        <v>0.0</v>
      </c>
    </row>
    <row r="16888">
      <c r="Y16888" s="372">
        <v>0.0</v>
      </c>
      <c r="Z16888" s="372">
        <v>0.0</v>
      </c>
    </row>
    <row r="16889">
      <c r="Y16889" s="372">
        <v>0.0</v>
      </c>
      <c r="Z16889" s="372">
        <v>0.0</v>
      </c>
    </row>
    <row r="16890">
      <c r="Y16890" s="372">
        <v>0.0</v>
      </c>
      <c r="Z16890" s="372">
        <v>0.0</v>
      </c>
    </row>
    <row r="16891">
      <c r="Y16891" s="372">
        <v>0.0</v>
      </c>
      <c r="Z16891" s="372">
        <v>0.0</v>
      </c>
    </row>
    <row r="16892">
      <c r="Y16892" s="372">
        <v>0.0</v>
      </c>
      <c r="Z16892" s="372">
        <v>0.0</v>
      </c>
    </row>
    <row r="16893">
      <c r="Y16893" s="372">
        <v>0.0</v>
      </c>
      <c r="Z16893" s="372">
        <v>0.0</v>
      </c>
    </row>
    <row r="16894">
      <c r="Y16894" s="372">
        <v>0.0</v>
      </c>
      <c r="Z16894" s="372">
        <v>0.0</v>
      </c>
    </row>
    <row r="16895">
      <c r="Y16895" s="372">
        <v>0.0</v>
      </c>
      <c r="Z16895" s="372">
        <v>0.0</v>
      </c>
    </row>
    <row r="16896">
      <c r="Y16896" s="372">
        <v>0.0</v>
      </c>
      <c r="Z16896" s="372">
        <v>0.0</v>
      </c>
    </row>
    <row r="16897">
      <c r="Y16897" s="372">
        <v>0.0</v>
      </c>
      <c r="Z16897" s="372">
        <v>0.0</v>
      </c>
    </row>
    <row r="16898">
      <c r="Y16898" s="372">
        <v>0.0</v>
      </c>
      <c r="Z16898" s="372">
        <v>0.0</v>
      </c>
    </row>
    <row r="16899">
      <c r="Y16899" s="372">
        <v>0.0</v>
      </c>
      <c r="Z16899" s="372">
        <v>0.0</v>
      </c>
    </row>
    <row r="16900">
      <c r="Y16900" s="372">
        <v>0.0</v>
      </c>
      <c r="Z16900" s="372">
        <v>0.0</v>
      </c>
    </row>
    <row r="16901">
      <c r="Y16901" s="372">
        <v>0.0</v>
      </c>
      <c r="Z16901" s="372">
        <v>0.0</v>
      </c>
    </row>
    <row r="16902">
      <c r="Y16902" s="372">
        <v>0.0</v>
      </c>
      <c r="Z16902" s="372">
        <v>0.0</v>
      </c>
    </row>
    <row r="16903">
      <c r="Y16903" s="372">
        <v>0.0</v>
      </c>
      <c r="Z16903" s="372">
        <v>0.0</v>
      </c>
    </row>
    <row r="16904">
      <c r="Y16904" s="372">
        <v>0.0</v>
      </c>
      <c r="Z16904" s="372">
        <v>0.0</v>
      </c>
    </row>
    <row r="16905">
      <c r="Y16905" s="372">
        <v>0.0</v>
      </c>
      <c r="Z16905" s="372">
        <v>0.0</v>
      </c>
    </row>
    <row r="16906">
      <c r="Y16906" s="372">
        <v>0.0</v>
      </c>
      <c r="Z16906" s="372">
        <v>0.0</v>
      </c>
    </row>
    <row r="16907">
      <c r="Y16907" s="372">
        <v>0.0</v>
      </c>
      <c r="Z16907" s="372">
        <v>0.0</v>
      </c>
    </row>
    <row r="16908">
      <c r="Y16908" s="372">
        <v>0.0</v>
      </c>
      <c r="Z16908" s="372">
        <v>0.0</v>
      </c>
    </row>
    <row r="16909">
      <c r="Y16909" s="372">
        <v>0.0</v>
      </c>
      <c r="Z16909" s="372">
        <v>0.0</v>
      </c>
    </row>
    <row r="16910">
      <c r="Y16910" s="372">
        <v>0.0</v>
      </c>
      <c r="Z16910" s="372">
        <v>0.0</v>
      </c>
    </row>
    <row r="16911">
      <c r="Y16911" s="372">
        <v>0.0</v>
      </c>
      <c r="Z16911" s="372">
        <v>0.0</v>
      </c>
    </row>
    <row r="16912">
      <c r="Y16912" s="372">
        <v>0.0</v>
      </c>
      <c r="Z16912" s="372">
        <v>0.0</v>
      </c>
    </row>
    <row r="16913">
      <c r="Y16913" s="372">
        <v>0.0</v>
      </c>
      <c r="Z16913" s="372">
        <v>0.0</v>
      </c>
    </row>
    <row r="16914">
      <c r="Y16914" s="372">
        <v>0.0</v>
      </c>
      <c r="Z16914" s="372">
        <v>0.0</v>
      </c>
    </row>
    <row r="16915">
      <c r="Y16915" s="372">
        <v>0.0</v>
      </c>
      <c r="Z16915" s="372">
        <v>0.0</v>
      </c>
    </row>
    <row r="16916">
      <c r="Y16916" s="372">
        <v>0.0</v>
      </c>
      <c r="Z16916" s="372">
        <v>0.0</v>
      </c>
    </row>
    <row r="16917">
      <c r="Y16917" s="372">
        <v>0.0</v>
      </c>
      <c r="Z16917" s="372">
        <v>0.0</v>
      </c>
    </row>
    <row r="16918">
      <c r="Y16918" s="372">
        <v>0.0</v>
      </c>
      <c r="Z16918" s="372">
        <v>0.0</v>
      </c>
    </row>
    <row r="16919">
      <c r="Y16919" s="372">
        <v>0.0</v>
      </c>
      <c r="Z16919" s="372">
        <v>0.0</v>
      </c>
    </row>
    <row r="16920">
      <c r="Y16920" s="372">
        <v>0.0</v>
      </c>
      <c r="Z16920" s="372">
        <v>0.0</v>
      </c>
    </row>
    <row r="16921">
      <c r="Y16921" s="372">
        <v>0.0</v>
      </c>
      <c r="Z16921" s="372">
        <v>0.0</v>
      </c>
    </row>
    <row r="16922">
      <c r="Y16922" s="372">
        <v>0.0</v>
      </c>
      <c r="Z16922" s="372">
        <v>0.0</v>
      </c>
    </row>
    <row r="16923">
      <c r="Y16923" s="372">
        <v>0.0</v>
      </c>
      <c r="Z16923" s="372">
        <v>0.0</v>
      </c>
    </row>
    <row r="16924">
      <c r="Y16924" s="372">
        <v>0.0</v>
      </c>
      <c r="Z16924" s="372">
        <v>0.0</v>
      </c>
    </row>
    <row r="16925">
      <c r="Y16925" s="372">
        <v>0.0</v>
      </c>
      <c r="Z16925" s="372">
        <v>0.0</v>
      </c>
    </row>
    <row r="16926">
      <c r="Y16926" s="372">
        <v>0.0</v>
      </c>
      <c r="Z16926" s="372">
        <v>0.0</v>
      </c>
    </row>
    <row r="16927">
      <c r="Y16927" s="372">
        <v>0.0</v>
      </c>
      <c r="Z16927" s="372">
        <v>0.0</v>
      </c>
    </row>
    <row r="16928">
      <c r="Y16928" s="372">
        <v>0.0</v>
      </c>
      <c r="Z16928" s="372">
        <v>0.0</v>
      </c>
    </row>
    <row r="16929">
      <c r="Y16929" s="372">
        <v>0.0</v>
      </c>
      <c r="Z16929" s="372">
        <v>0.0</v>
      </c>
    </row>
    <row r="16930">
      <c r="Y16930" s="372">
        <v>0.0</v>
      </c>
      <c r="Z16930" s="372">
        <v>0.0</v>
      </c>
    </row>
    <row r="16931">
      <c r="Y16931" s="372">
        <v>0.0</v>
      </c>
      <c r="Z16931" s="372">
        <v>0.0</v>
      </c>
    </row>
    <row r="16932">
      <c r="Y16932" s="372">
        <v>0.0</v>
      </c>
      <c r="Z16932" s="372">
        <v>0.0</v>
      </c>
    </row>
    <row r="16933">
      <c r="Y16933" s="372">
        <v>0.0</v>
      </c>
      <c r="Z16933" s="372">
        <v>0.0</v>
      </c>
    </row>
    <row r="16934">
      <c r="Y16934" s="372">
        <v>0.0</v>
      </c>
      <c r="Z16934" s="372">
        <v>0.0</v>
      </c>
    </row>
    <row r="16935">
      <c r="Y16935" s="372">
        <v>0.0</v>
      </c>
      <c r="Z16935" s="372">
        <v>0.0</v>
      </c>
    </row>
    <row r="16936">
      <c r="Y16936" s="372">
        <v>0.0</v>
      </c>
      <c r="Z16936" s="372">
        <v>0.0</v>
      </c>
    </row>
    <row r="16937">
      <c r="Y16937" s="372">
        <v>0.0</v>
      </c>
      <c r="Z16937" s="372">
        <v>0.0</v>
      </c>
    </row>
    <row r="16938">
      <c r="Y16938" s="372">
        <v>0.0</v>
      </c>
      <c r="Z16938" s="372">
        <v>0.0</v>
      </c>
    </row>
    <row r="16939">
      <c r="Y16939" s="372">
        <v>0.0</v>
      </c>
      <c r="Z16939" s="372">
        <v>0.0</v>
      </c>
    </row>
    <row r="16940">
      <c r="Y16940" s="372">
        <v>0.0</v>
      </c>
      <c r="Z16940" s="372">
        <v>0.0</v>
      </c>
    </row>
    <row r="16941">
      <c r="Y16941" s="372">
        <v>0.0</v>
      </c>
      <c r="Z16941" s="372">
        <v>0.0</v>
      </c>
    </row>
    <row r="16942">
      <c r="Y16942" s="372">
        <v>0.0</v>
      </c>
      <c r="Z16942" s="372">
        <v>0.0</v>
      </c>
    </row>
    <row r="16943">
      <c r="Y16943" s="372">
        <v>0.0</v>
      </c>
      <c r="Z16943" s="372">
        <v>0.0</v>
      </c>
    </row>
    <row r="16944">
      <c r="Y16944" s="372">
        <v>0.0</v>
      </c>
      <c r="Z16944" s="372">
        <v>0.0</v>
      </c>
    </row>
    <row r="16945">
      <c r="Y16945" s="372">
        <v>0.0</v>
      </c>
      <c r="Z16945" s="372">
        <v>0.0</v>
      </c>
    </row>
    <row r="16946">
      <c r="Y16946" s="372">
        <v>0.0</v>
      </c>
      <c r="Z16946" s="372">
        <v>0.0</v>
      </c>
    </row>
    <row r="16947">
      <c r="Y16947" s="372">
        <v>0.0</v>
      </c>
      <c r="Z16947" s="372">
        <v>0.0</v>
      </c>
    </row>
    <row r="16948">
      <c r="Y16948" s="372">
        <v>0.0</v>
      </c>
      <c r="Z16948" s="372">
        <v>0.0</v>
      </c>
    </row>
    <row r="16949">
      <c r="Y16949" s="372">
        <v>0.0</v>
      </c>
      <c r="Z16949" s="372">
        <v>0.0</v>
      </c>
    </row>
    <row r="16950">
      <c r="Y16950" s="372">
        <v>0.0</v>
      </c>
      <c r="Z16950" s="372">
        <v>0.0</v>
      </c>
    </row>
    <row r="16951">
      <c r="Y16951" s="372">
        <v>0.0</v>
      </c>
      <c r="Z16951" s="372">
        <v>0.0</v>
      </c>
    </row>
    <row r="16952">
      <c r="Y16952" s="372">
        <v>0.0</v>
      </c>
      <c r="Z16952" s="372">
        <v>0.0</v>
      </c>
    </row>
    <row r="16953">
      <c r="Y16953" s="372">
        <v>0.0</v>
      </c>
      <c r="Z16953" s="372">
        <v>0.0</v>
      </c>
    </row>
    <row r="16954">
      <c r="Y16954" s="372">
        <v>0.0</v>
      </c>
      <c r="Z16954" s="372">
        <v>0.0</v>
      </c>
    </row>
    <row r="16955">
      <c r="Y16955" s="372">
        <v>0.0</v>
      </c>
      <c r="Z16955" s="372">
        <v>0.0</v>
      </c>
    </row>
    <row r="16956">
      <c r="Y16956" s="372">
        <v>0.0</v>
      </c>
      <c r="Z16956" s="372">
        <v>0.0</v>
      </c>
    </row>
    <row r="16957">
      <c r="Y16957" s="372">
        <v>0.0</v>
      </c>
      <c r="Z16957" s="372">
        <v>0.0</v>
      </c>
    </row>
    <row r="16958">
      <c r="Y16958" s="372">
        <v>0.0</v>
      </c>
      <c r="Z16958" s="372">
        <v>0.0</v>
      </c>
    </row>
    <row r="16959">
      <c r="Y16959" s="372">
        <v>0.0</v>
      </c>
      <c r="Z16959" s="372">
        <v>0.0</v>
      </c>
    </row>
    <row r="16960">
      <c r="Y16960" s="372">
        <v>0.0</v>
      </c>
      <c r="Z16960" s="372">
        <v>0.0</v>
      </c>
    </row>
    <row r="16961">
      <c r="Y16961" s="372">
        <v>0.0</v>
      </c>
      <c r="Z16961" s="372">
        <v>0.0</v>
      </c>
    </row>
    <row r="16962">
      <c r="Y16962" s="372">
        <v>0.0</v>
      </c>
      <c r="Z16962" s="372">
        <v>0.0</v>
      </c>
    </row>
    <row r="16963">
      <c r="Y16963" s="372">
        <v>0.0</v>
      </c>
      <c r="Z16963" s="372">
        <v>0.0</v>
      </c>
    </row>
    <row r="16964">
      <c r="Y16964" s="372">
        <v>0.0</v>
      </c>
      <c r="Z16964" s="372">
        <v>0.0</v>
      </c>
    </row>
    <row r="16965">
      <c r="Y16965" s="372">
        <v>0.0</v>
      </c>
      <c r="Z16965" s="372">
        <v>0.0</v>
      </c>
    </row>
    <row r="16966">
      <c r="Y16966" s="372">
        <v>0.0</v>
      </c>
      <c r="Z16966" s="372">
        <v>0.0</v>
      </c>
    </row>
    <row r="16967">
      <c r="Y16967" s="372">
        <v>0.0</v>
      </c>
      <c r="Z16967" s="372">
        <v>0.0</v>
      </c>
    </row>
    <row r="16968">
      <c r="Y16968" s="372">
        <v>0.0</v>
      </c>
      <c r="Z16968" s="372">
        <v>0.0</v>
      </c>
    </row>
    <row r="16969">
      <c r="Y16969" s="372">
        <v>0.0</v>
      </c>
      <c r="Z16969" s="372">
        <v>0.0</v>
      </c>
    </row>
    <row r="16970">
      <c r="Y16970" s="372">
        <v>0.0</v>
      </c>
      <c r="Z16970" s="372">
        <v>0.0</v>
      </c>
    </row>
    <row r="16971">
      <c r="Y16971" s="372">
        <v>0.0</v>
      </c>
      <c r="Z16971" s="372">
        <v>0.0</v>
      </c>
    </row>
    <row r="16972">
      <c r="Y16972" s="372">
        <v>0.0</v>
      </c>
      <c r="Z16972" s="372">
        <v>0.0</v>
      </c>
    </row>
    <row r="16973">
      <c r="Y16973" s="372">
        <v>0.0</v>
      </c>
      <c r="Z16973" s="372">
        <v>0.0</v>
      </c>
    </row>
    <row r="16974">
      <c r="Y16974" s="372">
        <v>0.0</v>
      </c>
      <c r="Z16974" s="372">
        <v>0.0</v>
      </c>
    </row>
    <row r="16975">
      <c r="Y16975" s="372">
        <v>0.0</v>
      </c>
      <c r="Z16975" s="372">
        <v>0.0</v>
      </c>
    </row>
    <row r="16976">
      <c r="Y16976" s="372">
        <v>0.0</v>
      </c>
      <c r="Z16976" s="372">
        <v>0.0</v>
      </c>
    </row>
    <row r="16977">
      <c r="Y16977" s="372">
        <v>0.0</v>
      </c>
      <c r="Z16977" s="372">
        <v>0.0</v>
      </c>
    </row>
    <row r="16978">
      <c r="Y16978" s="372">
        <v>0.0</v>
      </c>
      <c r="Z16978" s="372">
        <v>0.0</v>
      </c>
    </row>
    <row r="16979">
      <c r="Y16979" s="372">
        <v>0.0</v>
      </c>
      <c r="Z16979" s="372">
        <v>0.0</v>
      </c>
    </row>
    <row r="16980">
      <c r="Y16980" s="372">
        <v>0.0</v>
      </c>
      <c r="Z16980" s="372">
        <v>0.0</v>
      </c>
    </row>
    <row r="16981">
      <c r="Y16981" s="372">
        <v>0.0</v>
      </c>
      <c r="Z16981" s="372">
        <v>0.0</v>
      </c>
    </row>
    <row r="16982">
      <c r="Y16982" s="372">
        <v>0.0</v>
      </c>
      <c r="Z16982" s="372">
        <v>0.0</v>
      </c>
    </row>
    <row r="16983">
      <c r="Y16983" s="372">
        <v>0.0</v>
      </c>
      <c r="Z16983" s="372">
        <v>0.0</v>
      </c>
    </row>
    <row r="16984">
      <c r="Y16984" s="372">
        <v>0.0</v>
      </c>
      <c r="Z16984" s="372">
        <v>0.0</v>
      </c>
    </row>
    <row r="16985">
      <c r="Y16985" s="372">
        <v>0.0</v>
      </c>
      <c r="Z16985" s="372">
        <v>0.0</v>
      </c>
    </row>
    <row r="16986">
      <c r="Y16986" s="372">
        <v>0.0</v>
      </c>
      <c r="Z16986" s="372">
        <v>0.0</v>
      </c>
    </row>
    <row r="16987">
      <c r="Y16987" s="372">
        <v>0.0</v>
      </c>
      <c r="Z16987" s="372">
        <v>0.0</v>
      </c>
    </row>
    <row r="16988">
      <c r="Y16988" s="372">
        <v>0.0</v>
      </c>
      <c r="Z16988" s="372">
        <v>0.0</v>
      </c>
    </row>
    <row r="16989">
      <c r="Y16989" s="372">
        <v>0.0</v>
      </c>
      <c r="Z16989" s="372">
        <v>0.0</v>
      </c>
    </row>
    <row r="16990">
      <c r="Y16990" s="372">
        <v>0.0</v>
      </c>
      <c r="Z16990" s="372">
        <v>0.0</v>
      </c>
    </row>
    <row r="16991">
      <c r="Y16991" s="372">
        <v>0.0</v>
      </c>
      <c r="Z16991" s="372">
        <v>0.0</v>
      </c>
    </row>
    <row r="16992">
      <c r="Y16992" s="372">
        <v>0.0</v>
      </c>
      <c r="Z16992" s="372">
        <v>0.0</v>
      </c>
    </row>
    <row r="16993">
      <c r="Y16993" s="372">
        <v>0.0</v>
      </c>
      <c r="Z16993" s="372">
        <v>0.0</v>
      </c>
    </row>
    <row r="16994">
      <c r="Y16994" s="372">
        <v>0.0</v>
      </c>
      <c r="Z16994" s="372">
        <v>0.0</v>
      </c>
    </row>
    <row r="16995">
      <c r="Y16995" s="372">
        <v>0.0</v>
      </c>
      <c r="Z16995" s="372">
        <v>0.0</v>
      </c>
    </row>
    <row r="16996">
      <c r="Y16996" s="372">
        <v>0.0</v>
      </c>
      <c r="Z16996" s="372">
        <v>0.0</v>
      </c>
    </row>
    <row r="16997">
      <c r="Y16997" s="372">
        <v>0.0</v>
      </c>
      <c r="Z16997" s="372">
        <v>0.0</v>
      </c>
    </row>
    <row r="16998">
      <c r="Y16998" s="372">
        <v>0.0</v>
      </c>
      <c r="Z16998" s="372">
        <v>0.0</v>
      </c>
    </row>
    <row r="16999">
      <c r="Y16999" s="372">
        <v>0.0</v>
      </c>
      <c r="Z16999" s="372">
        <v>0.0</v>
      </c>
    </row>
    <row r="17000">
      <c r="Y17000" s="372">
        <v>0.0</v>
      </c>
      <c r="Z17000" s="372">
        <v>0.0</v>
      </c>
    </row>
    <row r="17001">
      <c r="Y17001" s="372">
        <v>0.0</v>
      </c>
      <c r="Z17001" s="372">
        <v>0.0</v>
      </c>
    </row>
    <row r="17002">
      <c r="Y17002" s="372">
        <v>0.0</v>
      </c>
      <c r="Z17002" s="372">
        <v>0.0</v>
      </c>
    </row>
    <row r="17003">
      <c r="Y17003" s="372">
        <v>0.0</v>
      </c>
      <c r="Z17003" s="372">
        <v>0.0</v>
      </c>
    </row>
    <row r="17004">
      <c r="Y17004" s="372">
        <v>0.0</v>
      </c>
      <c r="Z17004" s="372">
        <v>0.0</v>
      </c>
    </row>
    <row r="17005">
      <c r="Y17005" s="372">
        <v>0.0</v>
      </c>
      <c r="Z17005" s="372">
        <v>0.0</v>
      </c>
    </row>
    <row r="17006">
      <c r="Y17006" s="372">
        <v>0.0</v>
      </c>
      <c r="Z17006" s="372">
        <v>0.0</v>
      </c>
    </row>
    <row r="17007">
      <c r="Y17007" s="372">
        <v>0.0</v>
      </c>
      <c r="Z17007" s="372">
        <v>0.0</v>
      </c>
    </row>
    <row r="17008">
      <c r="Y17008" s="372">
        <v>0.0</v>
      </c>
      <c r="Z17008" s="372">
        <v>0.0</v>
      </c>
    </row>
    <row r="17009">
      <c r="Y17009" s="372">
        <v>0.0</v>
      </c>
      <c r="Z17009" s="372">
        <v>0.0</v>
      </c>
    </row>
    <row r="17010">
      <c r="Y17010" s="372">
        <v>0.0</v>
      </c>
      <c r="Z17010" s="372">
        <v>0.0</v>
      </c>
    </row>
    <row r="17011">
      <c r="Y17011" s="372">
        <v>0.0</v>
      </c>
      <c r="Z17011" s="372">
        <v>0.0</v>
      </c>
    </row>
    <row r="17012">
      <c r="Y17012" s="372">
        <v>0.0</v>
      </c>
      <c r="Z17012" s="372">
        <v>0.0</v>
      </c>
    </row>
    <row r="17013">
      <c r="Y17013" s="372">
        <v>0.0</v>
      </c>
      <c r="Z17013" s="372">
        <v>0.0</v>
      </c>
    </row>
    <row r="17014">
      <c r="Y17014" s="372">
        <v>0.0</v>
      </c>
      <c r="Z17014" s="372">
        <v>0.0</v>
      </c>
    </row>
    <row r="17015">
      <c r="Y17015" s="372">
        <v>0.0</v>
      </c>
      <c r="Z17015" s="372">
        <v>0.0</v>
      </c>
    </row>
    <row r="17016">
      <c r="Y17016" s="372">
        <v>0.0</v>
      </c>
      <c r="Z17016" s="372">
        <v>0.0</v>
      </c>
    </row>
    <row r="17017">
      <c r="Y17017" s="372">
        <v>0.0</v>
      </c>
      <c r="Z17017" s="372">
        <v>0.0</v>
      </c>
    </row>
    <row r="17018">
      <c r="Y17018" s="372">
        <v>0.0</v>
      </c>
      <c r="Z17018" s="372">
        <v>0.0</v>
      </c>
    </row>
    <row r="17019">
      <c r="Y17019" s="372">
        <v>0.0</v>
      </c>
      <c r="Z17019" s="372">
        <v>0.0</v>
      </c>
    </row>
    <row r="17020">
      <c r="Y17020" s="372">
        <v>0.0</v>
      </c>
      <c r="Z17020" s="372">
        <v>0.0</v>
      </c>
    </row>
    <row r="17021">
      <c r="Y17021" s="372">
        <v>0.0</v>
      </c>
      <c r="Z17021" s="372">
        <v>0.0</v>
      </c>
    </row>
    <row r="17022">
      <c r="Y17022" s="372">
        <v>0.0</v>
      </c>
      <c r="Z17022" s="372">
        <v>0.0</v>
      </c>
    </row>
    <row r="17023">
      <c r="Y17023" s="372">
        <v>0.0</v>
      </c>
      <c r="Z17023" s="372">
        <v>0.0</v>
      </c>
    </row>
    <row r="17024">
      <c r="Y17024" s="372">
        <v>0.0</v>
      </c>
      <c r="Z17024" s="372">
        <v>0.0</v>
      </c>
    </row>
    <row r="17025">
      <c r="Y17025" s="372">
        <v>0.0</v>
      </c>
      <c r="Z17025" s="372">
        <v>0.0</v>
      </c>
    </row>
    <row r="17026">
      <c r="Y17026" s="372">
        <v>0.0</v>
      </c>
      <c r="Z17026" s="372">
        <v>0.0</v>
      </c>
    </row>
    <row r="17027">
      <c r="Y17027" s="372">
        <v>0.0</v>
      </c>
      <c r="Z17027" s="372">
        <v>0.0</v>
      </c>
    </row>
    <row r="17028">
      <c r="Y17028" s="372">
        <v>0.0</v>
      </c>
      <c r="Z17028" s="372">
        <v>0.0</v>
      </c>
    </row>
    <row r="17029">
      <c r="Y17029" s="372">
        <v>0.0</v>
      </c>
      <c r="Z17029" s="372">
        <v>0.0</v>
      </c>
    </row>
    <row r="17030">
      <c r="Y17030" s="372">
        <v>0.0</v>
      </c>
      <c r="Z17030" s="372">
        <v>0.0</v>
      </c>
    </row>
    <row r="17031">
      <c r="Y17031" s="372">
        <v>0.0</v>
      </c>
      <c r="Z17031" s="372">
        <v>0.0</v>
      </c>
    </row>
    <row r="17032">
      <c r="Y17032" s="372">
        <v>0.0</v>
      </c>
      <c r="Z17032" s="372">
        <v>0.0</v>
      </c>
    </row>
    <row r="17033">
      <c r="Y17033" s="372">
        <v>0.0</v>
      </c>
      <c r="Z17033" s="372">
        <v>0.0</v>
      </c>
    </row>
    <row r="17034">
      <c r="Y17034" s="372">
        <v>0.0</v>
      </c>
      <c r="Z17034" s="372">
        <v>0.0</v>
      </c>
    </row>
    <row r="17035">
      <c r="Y17035" s="372">
        <v>0.0</v>
      </c>
      <c r="Z17035" s="372">
        <v>0.0</v>
      </c>
    </row>
    <row r="17036">
      <c r="Y17036" s="372">
        <v>0.0</v>
      </c>
      <c r="Z17036" s="372">
        <v>0.0</v>
      </c>
    </row>
    <row r="17037">
      <c r="Y17037" s="372">
        <v>0.0</v>
      </c>
      <c r="Z17037" s="372">
        <v>0.0</v>
      </c>
    </row>
    <row r="17038">
      <c r="Y17038" s="372">
        <v>0.0</v>
      </c>
      <c r="Z17038" s="372">
        <v>0.0</v>
      </c>
    </row>
    <row r="17039">
      <c r="Y17039" s="372">
        <v>0.0</v>
      </c>
      <c r="Z17039" s="372">
        <v>0.0</v>
      </c>
    </row>
    <row r="17040">
      <c r="Y17040" s="372">
        <v>0.0</v>
      </c>
      <c r="Z17040" s="372">
        <v>0.0</v>
      </c>
    </row>
    <row r="17041">
      <c r="Y17041" s="372">
        <v>0.0</v>
      </c>
      <c r="Z17041" s="372">
        <v>0.0</v>
      </c>
    </row>
    <row r="17042">
      <c r="Y17042" s="372">
        <v>0.0</v>
      </c>
      <c r="Z17042" s="372">
        <v>0.0</v>
      </c>
    </row>
    <row r="17043">
      <c r="Y17043" s="372">
        <v>0.0</v>
      </c>
      <c r="Z17043" s="372">
        <v>0.0</v>
      </c>
    </row>
    <row r="17044">
      <c r="Y17044" s="372">
        <v>0.0</v>
      </c>
      <c r="Z17044" s="372">
        <v>0.0</v>
      </c>
    </row>
    <row r="17045">
      <c r="Y17045" s="372">
        <v>0.0</v>
      </c>
      <c r="Z17045" s="372">
        <v>0.0</v>
      </c>
    </row>
    <row r="17046">
      <c r="Y17046" s="372">
        <v>0.0</v>
      </c>
      <c r="Z17046" s="372">
        <v>0.0</v>
      </c>
    </row>
    <row r="17047">
      <c r="Y17047" s="372">
        <v>0.0</v>
      </c>
      <c r="Z17047" s="372">
        <v>0.0</v>
      </c>
    </row>
    <row r="17048">
      <c r="Y17048" s="372">
        <v>0.0</v>
      </c>
      <c r="Z17048" s="372">
        <v>0.0</v>
      </c>
    </row>
    <row r="17049">
      <c r="Y17049" s="372">
        <v>0.0</v>
      </c>
      <c r="Z17049" s="372">
        <v>0.0</v>
      </c>
    </row>
    <row r="17050">
      <c r="Y17050" s="372">
        <v>0.0</v>
      </c>
      <c r="Z17050" s="372">
        <v>0.0</v>
      </c>
    </row>
    <row r="17051">
      <c r="Y17051" s="372">
        <v>0.0</v>
      </c>
      <c r="Z17051" s="372">
        <v>0.0</v>
      </c>
    </row>
    <row r="17052">
      <c r="Y17052" s="372">
        <v>0.0</v>
      </c>
      <c r="Z17052" s="372">
        <v>0.0</v>
      </c>
    </row>
    <row r="17053">
      <c r="Y17053" s="372">
        <v>0.0</v>
      </c>
      <c r="Z17053" s="372">
        <v>0.0</v>
      </c>
    </row>
    <row r="17054">
      <c r="Y17054" s="372">
        <v>0.0</v>
      </c>
      <c r="Z17054" s="372">
        <v>0.0</v>
      </c>
    </row>
    <row r="17055">
      <c r="Y17055" s="372">
        <v>0.0</v>
      </c>
      <c r="Z17055" s="372">
        <v>0.0</v>
      </c>
    </row>
    <row r="17056">
      <c r="Y17056" s="372">
        <v>0.0</v>
      </c>
      <c r="Z17056" s="372">
        <v>0.0</v>
      </c>
    </row>
    <row r="17057">
      <c r="Y17057" s="372">
        <v>0.0</v>
      </c>
      <c r="Z17057" s="372">
        <v>0.0</v>
      </c>
    </row>
    <row r="17058">
      <c r="Y17058" s="372">
        <v>0.0</v>
      </c>
      <c r="Z17058" s="372">
        <v>0.0</v>
      </c>
    </row>
    <row r="17059">
      <c r="Y17059" s="372">
        <v>0.0</v>
      </c>
      <c r="Z17059" s="372">
        <v>0.0</v>
      </c>
    </row>
    <row r="17060">
      <c r="Y17060" s="372">
        <v>0.0</v>
      </c>
      <c r="Z17060" s="372">
        <v>0.0</v>
      </c>
    </row>
    <row r="17061">
      <c r="Y17061" s="372">
        <v>0.0</v>
      </c>
      <c r="Z17061" s="372">
        <v>0.0</v>
      </c>
    </row>
    <row r="17062">
      <c r="Y17062" s="372">
        <v>0.0</v>
      </c>
      <c r="Z17062" s="372">
        <v>0.0</v>
      </c>
    </row>
    <row r="17063">
      <c r="Y17063" s="372">
        <v>0.0</v>
      </c>
      <c r="Z17063" s="372">
        <v>0.0</v>
      </c>
    </row>
    <row r="17064">
      <c r="Y17064" s="372">
        <v>0.0</v>
      </c>
      <c r="Z17064" s="372">
        <v>0.0</v>
      </c>
    </row>
    <row r="17065">
      <c r="Y17065" s="372">
        <v>0.0</v>
      </c>
      <c r="Z17065" s="372">
        <v>0.0</v>
      </c>
    </row>
    <row r="17066">
      <c r="Y17066" s="372">
        <v>0.0</v>
      </c>
      <c r="Z17066" s="372">
        <v>0.0</v>
      </c>
    </row>
    <row r="17067">
      <c r="Y17067" s="372">
        <v>0.0</v>
      </c>
      <c r="Z17067" s="372">
        <v>0.0</v>
      </c>
    </row>
    <row r="17068">
      <c r="Y17068" s="372">
        <v>0.0</v>
      </c>
      <c r="Z17068" s="372">
        <v>0.0</v>
      </c>
    </row>
    <row r="17069">
      <c r="Y17069" s="372">
        <v>0.0</v>
      </c>
      <c r="Z17069" s="372">
        <v>0.0</v>
      </c>
    </row>
    <row r="17070">
      <c r="Y17070" s="372">
        <v>0.0</v>
      </c>
      <c r="Z17070" s="372">
        <v>0.0</v>
      </c>
    </row>
    <row r="17071">
      <c r="Y17071" s="372">
        <v>0.0</v>
      </c>
      <c r="Z17071" s="372">
        <v>0.0</v>
      </c>
    </row>
    <row r="17072">
      <c r="Y17072" s="372">
        <v>0.0</v>
      </c>
      <c r="Z17072" s="372">
        <v>0.0</v>
      </c>
    </row>
    <row r="17073">
      <c r="Y17073" s="372">
        <v>0.0</v>
      </c>
      <c r="Z17073" s="372">
        <v>0.0</v>
      </c>
    </row>
    <row r="17074">
      <c r="Y17074" s="372">
        <v>0.0</v>
      </c>
      <c r="Z17074" s="372">
        <v>0.0</v>
      </c>
    </row>
    <row r="17075">
      <c r="Y17075" s="372">
        <v>0.0</v>
      </c>
      <c r="Z17075" s="372">
        <v>0.0</v>
      </c>
    </row>
    <row r="17076">
      <c r="Y17076" s="372">
        <v>0.0</v>
      </c>
      <c r="Z17076" s="372">
        <v>0.0</v>
      </c>
    </row>
    <row r="17077">
      <c r="Y17077" s="372">
        <v>0.0</v>
      </c>
      <c r="Z17077" s="372">
        <v>0.0</v>
      </c>
    </row>
    <row r="17078">
      <c r="Y17078" s="372">
        <v>0.0</v>
      </c>
      <c r="Z17078" s="372">
        <v>0.0</v>
      </c>
    </row>
    <row r="17079">
      <c r="Y17079" s="372">
        <v>0.0</v>
      </c>
      <c r="Z17079" s="372">
        <v>0.0</v>
      </c>
    </row>
    <row r="17080">
      <c r="Y17080" s="372">
        <v>0.0</v>
      </c>
      <c r="Z17080" s="372">
        <v>0.0</v>
      </c>
    </row>
    <row r="17081">
      <c r="Y17081" s="372">
        <v>0.0</v>
      </c>
      <c r="Z17081" s="372">
        <v>0.0</v>
      </c>
    </row>
    <row r="17082">
      <c r="Y17082" s="372">
        <v>0.0</v>
      </c>
      <c r="Z17082" s="372">
        <v>0.0</v>
      </c>
    </row>
    <row r="17083">
      <c r="Y17083" s="372">
        <v>0.0</v>
      </c>
      <c r="Z17083" s="372">
        <v>0.0</v>
      </c>
    </row>
    <row r="17084">
      <c r="Y17084" s="372">
        <v>0.0</v>
      </c>
      <c r="Z17084" s="372">
        <v>0.0</v>
      </c>
    </row>
    <row r="17085">
      <c r="Y17085" s="372">
        <v>0.0</v>
      </c>
      <c r="Z17085" s="372">
        <v>0.0</v>
      </c>
    </row>
    <row r="17086">
      <c r="Y17086" s="372">
        <v>0.0</v>
      </c>
      <c r="Z17086" s="372">
        <v>0.0</v>
      </c>
    </row>
    <row r="17087">
      <c r="Y17087" s="372">
        <v>0.0</v>
      </c>
      <c r="Z17087" s="372">
        <v>0.0</v>
      </c>
    </row>
    <row r="17088">
      <c r="Y17088" s="372">
        <v>0.0</v>
      </c>
      <c r="Z17088" s="372">
        <v>0.0</v>
      </c>
    </row>
    <row r="17089">
      <c r="Y17089" s="372">
        <v>0.0</v>
      </c>
      <c r="Z17089" s="372">
        <v>0.0</v>
      </c>
    </row>
    <row r="17090">
      <c r="Y17090" s="372">
        <v>0.0</v>
      </c>
      <c r="Z17090" s="372">
        <v>0.0</v>
      </c>
    </row>
    <row r="17091">
      <c r="Y17091" s="372">
        <v>0.0</v>
      </c>
      <c r="Z17091" s="372">
        <v>0.0</v>
      </c>
    </row>
    <row r="17092">
      <c r="Y17092" s="372">
        <v>0.0</v>
      </c>
      <c r="Z17092" s="372">
        <v>0.0</v>
      </c>
    </row>
    <row r="17093">
      <c r="Y17093" s="372">
        <v>0.0</v>
      </c>
      <c r="Z17093" s="372">
        <v>0.0</v>
      </c>
    </row>
    <row r="17094">
      <c r="Y17094" s="372">
        <v>0.0</v>
      </c>
      <c r="Z17094" s="372">
        <v>0.0</v>
      </c>
    </row>
    <row r="17095">
      <c r="Y17095" s="372">
        <v>0.0</v>
      </c>
      <c r="Z17095" s="372">
        <v>0.0</v>
      </c>
    </row>
    <row r="17096">
      <c r="Y17096" s="372">
        <v>0.0</v>
      </c>
      <c r="Z17096" s="372">
        <v>0.0</v>
      </c>
    </row>
    <row r="17097">
      <c r="Y17097" s="372">
        <v>0.0</v>
      </c>
      <c r="Z17097" s="372">
        <v>0.0</v>
      </c>
    </row>
    <row r="17098">
      <c r="Y17098" s="372">
        <v>0.0</v>
      </c>
      <c r="Z17098" s="372">
        <v>0.0</v>
      </c>
    </row>
    <row r="17099">
      <c r="Y17099" s="372">
        <v>0.0</v>
      </c>
      <c r="Z17099" s="372">
        <v>0.0</v>
      </c>
    </row>
    <row r="17100">
      <c r="Y17100" s="372">
        <v>0.0</v>
      </c>
      <c r="Z17100" s="372">
        <v>0.0</v>
      </c>
    </row>
    <row r="17101">
      <c r="Y17101" s="372">
        <v>0.0</v>
      </c>
      <c r="Z17101" s="372">
        <v>0.0</v>
      </c>
    </row>
    <row r="17102">
      <c r="Y17102" s="372">
        <v>0.0</v>
      </c>
      <c r="Z17102" s="372">
        <v>0.0</v>
      </c>
    </row>
    <row r="17103">
      <c r="Y17103" s="372">
        <v>0.0</v>
      </c>
      <c r="Z17103" s="372">
        <v>0.0</v>
      </c>
    </row>
    <row r="17104">
      <c r="Y17104" s="372">
        <v>0.0</v>
      </c>
      <c r="Z17104" s="372">
        <v>0.0</v>
      </c>
    </row>
    <row r="17105">
      <c r="Y17105" s="372">
        <v>0.0</v>
      </c>
      <c r="Z17105" s="372">
        <v>0.0</v>
      </c>
    </row>
    <row r="17106">
      <c r="Y17106" s="372">
        <v>0.0</v>
      </c>
      <c r="Z17106" s="372">
        <v>0.0</v>
      </c>
    </row>
    <row r="17107">
      <c r="Y17107" s="372">
        <v>0.0</v>
      </c>
      <c r="Z17107" s="372">
        <v>0.0</v>
      </c>
    </row>
    <row r="17108">
      <c r="Y17108" s="372">
        <v>0.0</v>
      </c>
      <c r="Z17108" s="372">
        <v>0.0</v>
      </c>
    </row>
    <row r="17109">
      <c r="Y17109" s="372">
        <v>0.0</v>
      </c>
      <c r="Z17109" s="372">
        <v>0.0</v>
      </c>
    </row>
    <row r="17110">
      <c r="Y17110" s="372">
        <v>0.0</v>
      </c>
      <c r="Z17110" s="372">
        <v>0.0</v>
      </c>
    </row>
    <row r="17111">
      <c r="Y17111" s="372">
        <v>0.0</v>
      </c>
      <c r="Z17111" s="372">
        <v>0.0</v>
      </c>
    </row>
    <row r="17112">
      <c r="Y17112" s="372">
        <v>0.0</v>
      </c>
      <c r="Z17112" s="372">
        <v>0.0</v>
      </c>
    </row>
    <row r="17113">
      <c r="Y17113" s="372">
        <v>0.0</v>
      </c>
      <c r="Z17113" s="372">
        <v>0.0</v>
      </c>
    </row>
    <row r="17114">
      <c r="Y17114" s="372">
        <v>0.0</v>
      </c>
      <c r="Z17114" s="372">
        <v>0.0</v>
      </c>
    </row>
    <row r="17115">
      <c r="Y17115" s="372">
        <v>0.0</v>
      </c>
      <c r="Z17115" s="372">
        <v>0.0</v>
      </c>
    </row>
    <row r="17116">
      <c r="Y17116" s="372">
        <v>0.0</v>
      </c>
      <c r="Z17116" s="372">
        <v>0.0</v>
      </c>
    </row>
    <row r="17117">
      <c r="Y17117" s="372">
        <v>0.0</v>
      </c>
      <c r="Z17117" s="372">
        <v>0.0</v>
      </c>
    </row>
    <row r="17118">
      <c r="Y17118" s="372">
        <v>0.0</v>
      </c>
      <c r="Z17118" s="372">
        <v>0.0</v>
      </c>
    </row>
    <row r="17119">
      <c r="Y17119" s="372">
        <v>0.0</v>
      </c>
      <c r="Z17119" s="372">
        <v>0.0</v>
      </c>
    </row>
    <row r="17120">
      <c r="Y17120" s="372">
        <v>0.0</v>
      </c>
      <c r="Z17120" s="372">
        <v>0.0</v>
      </c>
    </row>
    <row r="17121">
      <c r="Y17121" s="372">
        <v>0.0</v>
      </c>
      <c r="Z17121" s="372">
        <v>0.0</v>
      </c>
    </row>
    <row r="17122">
      <c r="Y17122" s="372">
        <v>0.0</v>
      </c>
      <c r="Z17122" s="372">
        <v>0.0</v>
      </c>
    </row>
    <row r="17123">
      <c r="Y17123" s="372">
        <v>0.0</v>
      </c>
      <c r="Z17123" s="372">
        <v>0.0</v>
      </c>
    </row>
    <row r="17124">
      <c r="Y17124" s="372">
        <v>0.0</v>
      </c>
      <c r="Z17124" s="372">
        <v>0.0</v>
      </c>
    </row>
    <row r="17125">
      <c r="Y17125" s="372">
        <v>0.0</v>
      </c>
      <c r="Z17125" s="372">
        <v>0.0</v>
      </c>
    </row>
    <row r="17126">
      <c r="Y17126" s="372">
        <v>0.0</v>
      </c>
      <c r="Z17126" s="372">
        <v>0.0</v>
      </c>
    </row>
    <row r="17127">
      <c r="Y17127" s="372">
        <v>0.0</v>
      </c>
      <c r="Z17127" s="372">
        <v>0.0</v>
      </c>
    </row>
    <row r="17128">
      <c r="Y17128" s="372">
        <v>0.0</v>
      </c>
      <c r="Z17128" s="372">
        <v>0.0</v>
      </c>
    </row>
    <row r="17129">
      <c r="Y17129" s="372">
        <v>0.0</v>
      </c>
      <c r="Z17129" s="372">
        <v>0.0</v>
      </c>
    </row>
    <row r="17130">
      <c r="Y17130" s="372">
        <v>0.0</v>
      </c>
      <c r="Z17130" s="372">
        <v>0.0</v>
      </c>
    </row>
    <row r="17131">
      <c r="Y17131" s="372">
        <v>0.0</v>
      </c>
      <c r="Z17131" s="372">
        <v>0.0</v>
      </c>
    </row>
    <row r="17132">
      <c r="Y17132" s="372">
        <v>0.0</v>
      </c>
      <c r="Z17132" s="372">
        <v>0.0</v>
      </c>
    </row>
    <row r="17133">
      <c r="Y17133" s="372">
        <v>0.0</v>
      </c>
      <c r="Z17133" s="372">
        <v>0.0</v>
      </c>
    </row>
    <row r="17134">
      <c r="Y17134" s="372">
        <v>0.0</v>
      </c>
      <c r="Z17134" s="372">
        <v>0.0</v>
      </c>
    </row>
    <row r="17135">
      <c r="Y17135" s="372">
        <v>0.0</v>
      </c>
      <c r="Z17135" s="372">
        <v>0.0</v>
      </c>
    </row>
    <row r="17136">
      <c r="Y17136" s="372">
        <v>0.0</v>
      </c>
      <c r="Z17136" s="372">
        <v>0.0</v>
      </c>
    </row>
    <row r="17137">
      <c r="Y17137" s="372">
        <v>0.0</v>
      </c>
      <c r="Z17137" s="372">
        <v>0.0</v>
      </c>
    </row>
    <row r="17138">
      <c r="Y17138" s="372">
        <v>0.0</v>
      </c>
      <c r="Z17138" s="372">
        <v>0.0</v>
      </c>
    </row>
    <row r="17139">
      <c r="Y17139" s="372">
        <v>0.0</v>
      </c>
      <c r="Z17139" s="372">
        <v>0.0</v>
      </c>
    </row>
    <row r="17140">
      <c r="Y17140" s="372">
        <v>0.0</v>
      </c>
      <c r="Z17140" s="372">
        <v>0.0</v>
      </c>
    </row>
    <row r="17141">
      <c r="Y17141" s="372">
        <v>0.0</v>
      </c>
      <c r="Z17141" s="372">
        <v>0.0</v>
      </c>
    </row>
    <row r="17142">
      <c r="Y17142" s="372">
        <v>0.0</v>
      </c>
      <c r="Z17142" s="372">
        <v>0.0</v>
      </c>
    </row>
    <row r="17143">
      <c r="Y17143" s="372">
        <v>0.0</v>
      </c>
      <c r="Z17143" s="372">
        <v>0.0</v>
      </c>
    </row>
    <row r="17144">
      <c r="Y17144" s="372">
        <v>0.0</v>
      </c>
      <c r="Z17144" s="372">
        <v>0.0</v>
      </c>
    </row>
    <row r="17145">
      <c r="Y17145" s="372">
        <v>0.0</v>
      </c>
      <c r="Z17145" s="372">
        <v>0.0</v>
      </c>
    </row>
    <row r="17146">
      <c r="Y17146" s="372">
        <v>0.0</v>
      </c>
      <c r="Z17146" s="372">
        <v>0.0</v>
      </c>
    </row>
    <row r="17147">
      <c r="Y17147" s="372">
        <v>0.0</v>
      </c>
      <c r="Z17147" s="372">
        <v>0.0</v>
      </c>
    </row>
    <row r="17148">
      <c r="Y17148" s="372">
        <v>0.0</v>
      </c>
      <c r="Z17148" s="372">
        <v>0.0</v>
      </c>
    </row>
    <row r="17149">
      <c r="Y17149" s="372">
        <v>0.0</v>
      </c>
      <c r="Z17149" s="372">
        <v>0.0</v>
      </c>
    </row>
    <row r="17150">
      <c r="Y17150" s="372">
        <v>0.0</v>
      </c>
      <c r="Z17150" s="372">
        <v>0.0</v>
      </c>
    </row>
    <row r="17151">
      <c r="Y17151" s="372">
        <v>0.0</v>
      </c>
      <c r="Z17151" s="372">
        <v>0.0</v>
      </c>
    </row>
    <row r="17152">
      <c r="Y17152" s="372">
        <v>0.0</v>
      </c>
      <c r="Z17152" s="372">
        <v>0.0</v>
      </c>
    </row>
    <row r="17153">
      <c r="Y17153" s="372">
        <v>0.0</v>
      </c>
      <c r="Z17153" s="372">
        <v>0.0</v>
      </c>
    </row>
    <row r="17154">
      <c r="Y17154" s="372">
        <v>0.0</v>
      </c>
      <c r="Z17154" s="372">
        <v>0.0</v>
      </c>
    </row>
    <row r="17155">
      <c r="Y17155" s="372">
        <v>0.0</v>
      </c>
      <c r="Z17155" s="372">
        <v>0.0</v>
      </c>
    </row>
    <row r="17156">
      <c r="Y17156" s="372">
        <v>0.0</v>
      </c>
      <c r="Z17156" s="372">
        <v>0.0</v>
      </c>
    </row>
    <row r="17157">
      <c r="Y17157" s="372">
        <v>0.0</v>
      </c>
      <c r="Z17157" s="372">
        <v>0.0</v>
      </c>
    </row>
    <row r="17158">
      <c r="Y17158" s="372">
        <v>0.0</v>
      </c>
      <c r="Z17158" s="372">
        <v>0.0</v>
      </c>
    </row>
    <row r="17159">
      <c r="Y17159" s="372">
        <v>0.0</v>
      </c>
      <c r="Z17159" s="372">
        <v>0.0</v>
      </c>
    </row>
    <row r="17160">
      <c r="Y17160" s="372">
        <v>0.0</v>
      </c>
      <c r="Z17160" s="372">
        <v>0.0</v>
      </c>
    </row>
    <row r="17161">
      <c r="Y17161" s="372">
        <v>0.0</v>
      </c>
      <c r="Z17161" s="372">
        <v>0.0</v>
      </c>
    </row>
    <row r="17162">
      <c r="Y17162" s="372">
        <v>0.0</v>
      </c>
      <c r="Z17162" s="372">
        <v>0.0</v>
      </c>
    </row>
    <row r="17163">
      <c r="Y17163" s="372">
        <v>0.0</v>
      </c>
      <c r="Z17163" s="372">
        <v>0.0</v>
      </c>
    </row>
    <row r="17164">
      <c r="Y17164" s="372">
        <v>0.0</v>
      </c>
      <c r="Z17164" s="372">
        <v>0.0</v>
      </c>
    </row>
    <row r="17165">
      <c r="Y17165" s="372">
        <v>0.0</v>
      </c>
      <c r="Z17165" s="372">
        <v>0.0</v>
      </c>
    </row>
    <row r="17166">
      <c r="Y17166" s="372">
        <v>0.0</v>
      </c>
      <c r="Z17166" s="372">
        <v>0.0</v>
      </c>
    </row>
    <row r="17167">
      <c r="Y17167" s="372">
        <v>0.0</v>
      </c>
      <c r="Z17167" s="372">
        <v>0.0</v>
      </c>
    </row>
    <row r="17168">
      <c r="Y17168" s="372">
        <v>0.0</v>
      </c>
      <c r="Z17168" s="372">
        <v>0.0</v>
      </c>
    </row>
    <row r="17169">
      <c r="Y17169" s="372">
        <v>0.0</v>
      </c>
      <c r="Z17169" s="372">
        <v>0.0</v>
      </c>
    </row>
    <row r="17170">
      <c r="Y17170" s="372">
        <v>0.0</v>
      </c>
      <c r="Z17170" s="372">
        <v>0.0</v>
      </c>
    </row>
    <row r="17171">
      <c r="Y17171" s="372">
        <v>0.0</v>
      </c>
      <c r="Z17171" s="372">
        <v>0.0</v>
      </c>
    </row>
    <row r="17172">
      <c r="Y17172" s="372">
        <v>0.0</v>
      </c>
      <c r="Z17172" s="372">
        <v>0.0</v>
      </c>
    </row>
    <row r="17173">
      <c r="Y17173" s="372">
        <v>0.0</v>
      </c>
      <c r="Z17173" s="372">
        <v>0.0</v>
      </c>
    </row>
    <row r="17174">
      <c r="Y17174" s="372">
        <v>0.0</v>
      </c>
      <c r="Z17174" s="372">
        <v>0.0</v>
      </c>
    </row>
    <row r="17175">
      <c r="Y17175" s="372">
        <v>0.0</v>
      </c>
      <c r="Z17175" s="372">
        <v>0.0</v>
      </c>
    </row>
    <row r="17176">
      <c r="Y17176" s="372">
        <v>0.0</v>
      </c>
      <c r="Z17176" s="372">
        <v>0.0</v>
      </c>
    </row>
    <row r="17177">
      <c r="Y17177" s="372">
        <v>0.0</v>
      </c>
      <c r="Z17177" s="372">
        <v>0.0</v>
      </c>
    </row>
    <row r="17178">
      <c r="Y17178" s="372">
        <v>0.0</v>
      </c>
      <c r="Z17178" s="372">
        <v>0.0</v>
      </c>
    </row>
    <row r="17179">
      <c r="Y17179" s="372">
        <v>0.0</v>
      </c>
      <c r="Z17179" s="372">
        <v>0.0</v>
      </c>
    </row>
    <row r="17180">
      <c r="Y17180" s="372">
        <v>0.0</v>
      </c>
      <c r="Z17180" s="372">
        <v>0.0</v>
      </c>
    </row>
    <row r="17181">
      <c r="Y17181" s="372">
        <v>0.0</v>
      </c>
      <c r="Z17181" s="372">
        <v>0.0</v>
      </c>
    </row>
    <row r="17182">
      <c r="Y17182" s="372">
        <v>0.0</v>
      </c>
      <c r="Z17182" s="372">
        <v>0.0</v>
      </c>
    </row>
    <row r="17183">
      <c r="Y17183" s="372">
        <v>0.0</v>
      </c>
      <c r="Z17183" s="372">
        <v>0.0</v>
      </c>
    </row>
    <row r="17184">
      <c r="Y17184" s="372">
        <v>0.0</v>
      </c>
      <c r="Z17184" s="372">
        <v>0.0</v>
      </c>
    </row>
    <row r="17185">
      <c r="Y17185" s="372">
        <v>0.0</v>
      </c>
      <c r="Z17185" s="372">
        <v>0.0</v>
      </c>
    </row>
    <row r="17186">
      <c r="Y17186" s="372">
        <v>0.0</v>
      </c>
      <c r="Z17186" s="372">
        <v>0.0</v>
      </c>
    </row>
    <row r="17187">
      <c r="Y17187" s="372">
        <v>0.0</v>
      </c>
      <c r="Z17187" s="372">
        <v>0.0</v>
      </c>
    </row>
    <row r="17188">
      <c r="Y17188" s="372">
        <v>0.0</v>
      </c>
      <c r="Z17188" s="372">
        <v>0.0</v>
      </c>
    </row>
    <row r="17189">
      <c r="Y17189" s="372">
        <v>0.0</v>
      </c>
      <c r="Z17189" s="372">
        <v>0.0</v>
      </c>
    </row>
    <row r="17190">
      <c r="Y17190" s="372">
        <v>0.0</v>
      </c>
      <c r="Z17190" s="372">
        <v>0.0</v>
      </c>
    </row>
    <row r="17191">
      <c r="Y17191" s="372">
        <v>0.0</v>
      </c>
      <c r="Z17191" s="372">
        <v>0.0</v>
      </c>
    </row>
    <row r="17192">
      <c r="Y17192" s="372">
        <v>0.0</v>
      </c>
      <c r="Z17192" s="372">
        <v>0.0</v>
      </c>
    </row>
    <row r="17193">
      <c r="Y17193" s="372">
        <v>0.0</v>
      </c>
      <c r="Z17193" s="372">
        <v>0.0</v>
      </c>
    </row>
    <row r="17194">
      <c r="Y17194" s="372">
        <v>0.0</v>
      </c>
      <c r="Z17194" s="372">
        <v>0.0</v>
      </c>
    </row>
    <row r="17195">
      <c r="Y17195" s="372">
        <v>0.0</v>
      </c>
      <c r="Z17195" s="372">
        <v>0.0</v>
      </c>
    </row>
    <row r="17196">
      <c r="Y17196" s="372">
        <v>0.0</v>
      </c>
      <c r="Z17196" s="372">
        <v>0.0</v>
      </c>
    </row>
    <row r="17197">
      <c r="Y17197" s="372">
        <v>0.0</v>
      </c>
      <c r="Z17197" s="372">
        <v>0.0</v>
      </c>
    </row>
    <row r="17198">
      <c r="Y17198" s="372">
        <v>0.0</v>
      </c>
      <c r="Z17198" s="372">
        <v>0.0</v>
      </c>
    </row>
    <row r="17199">
      <c r="Y17199" s="372">
        <v>0.0</v>
      </c>
      <c r="Z17199" s="372">
        <v>0.0</v>
      </c>
    </row>
    <row r="17200">
      <c r="Y17200" s="372">
        <v>0.0</v>
      </c>
      <c r="Z17200" s="372">
        <v>0.0</v>
      </c>
    </row>
    <row r="17201">
      <c r="Y17201" s="372">
        <v>0.0</v>
      </c>
      <c r="Z17201" s="372">
        <v>0.0</v>
      </c>
    </row>
    <row r="17202">
      <c r="Y17202" s="372">
        <v>0.0</v>
      </c>
      <c r="Z17202" s="372">
        <v>0.0</v>
      </c>
    </row>
    <row r="17203">
      <c r="Y17203" s="372">
        <v>0.0</v>
      </c>
      <c r="Z17203" s="372">
        <v>0.0</v>
      </c>
    </row>
    <row r="17204">
      <c r="Y17204" s="372">
        <v>0.0</v>
      </c>
      <c r="Z17204" s="372">
        <v>0.0</v>
      </c>
    </row>
    <row r="17205">
      <c r="Y17205" s="372">
        <v>0.0</v>
      </c>
      <c r="Z17205" s="372">
        <v>0.0</v>
      </c>
    </row>
    <row r="17206">
      <c r="Y17206" s="372">
        <v>0.0</v>
      </c>
      <c r="Z17206" s="372">
        <v>0.0</v>
      </c>
    </row>
    <row r="17207">
      <c r="Y17207" s="372">
        <v>0.0</v>
      </c>
      <c r="Z17207" s="372">
        <v>0.0</v>
      </c>
    </row>
    <row r="17208">
      <c r="Y17208" s="372">
        <v>0.0</v>
      </c>
      <c r="Z17208" s="372">
        <v>0.0</v>
      </c>
    </row>
    <row r="17209">
      <c r="Y17209" s="372">
        <v>0.0</v>
      </c>
      <c r="Z17209" s="372">
        <v>0.0</v>
      </c>
    </row>
    <row r="17210">
      <c r="Y17210" s="372">
        <v>0.0</v>
      </c>
      <c r="Z17210" s="372">
        <v>0.0</v>
      </c>
    </row>
    <row r="17211">
      <c r="Y17211" s="372">
        <v>0.0</v>
      </c>
      <c r="Z17211" s="372">
        <v>0.0</v>
      </c>
    </row>
    <row r="17212">
      <c r="Y17212" s="372">
        <v>0.0</v>
      </c>
      <c r="Z17212" s="372">
        <v>0.0</v>
      </c>
    </row>
    <row r="17213">
      <c r="Y17213" s="372">
        <v>0.0</v>
      </c>
      <c r="Z17213" s="372">
        <v>0.0</v>
      </c>
    </row>
    <row r="17214">
      <c r="Y17214" s="372">
        <v>0.0</v>
      </c>
      <c r="Z17214" s="372">
        <v>0.0</v>
      </c>
    </row>
    <row r="17215">
      <c r="Y17215" s="372">
        <v>0.0</v>
      </c>
      <c r="Z17215" s="372">
        <v>0.0</v>
      </c>
    </row>
    <row r="17216">
      <c r="Y17216" s="372">
        <v>0.0</v>
      </c>
      <c r="Z17216" s="372">
        <v>0.0</v>
      </c>
    </row>
    <row r="17217">
      <c r="Y17217" s="372">
        <v>0.0</v>
      </c>
      <c r="Z17217" s="372">
        <v>0.0</v>
      </c>
    </row>
    <row r="17218">
      <c r="Y17218" s="372">
        <v>0.0</v>
      </c>
      <c r="Z17218" s="372">
        <v>0.0</v>
      </c>
    </row>
    <row r="17219">
      <c r="Y17219" s="372">
        <v>0.0</v>
      </c>
      <c r="Z17219" s="372">
        <v>0.0</v>
      </c>
    </row>
    <row r="17220">
      <c r="Y17220" s="372">
        <v>0.0</v>
      </c>
      <c r="Z17220" s="372">
        <v>0.0</v>
      </c>
    </row>
    <row r="17221">
      <c r="Y17221" s="372">
        <v>0.0</v>
      </c>
      <c r="Z17221" s="372">
        <v>0.0</v>
      </c>
    </row>
    <row r="17222">
      <c r="Y17222" s="372">
        <v>0.0</v>
      </c>
      <c r="Z17222" s="372">
        <v>0.0</v>
      </c>
    </row>
    <row r="17223">
      <c r="Y17223" s="372">
        <v>0.0</v>
      </c>
      <c r="Z17223" s="372">
        <v>0.0</v>
      </c>
    </row>
    <row r="17224">
      <c r="Y17224" s="372">
        <v>0.0</v>
      </c>
      <c r="Z17224" s="372">
        <v>0.0</v>
      </c>
    </row>
    <row r="17225">
      <c r="Y17225" s="372">
        <v>0.0</v>
      </c>
      <c r="Z17225" s="372">
        <v>0.0</v>
      </c>
    </row>
    <row r="17226">
      <c r="Y17226" s="372">
        <v>0.0</v>
      </c>
      <c r="Z17226" s="372">
        <v>0.0</v>
      </c>
    </row>
    <row r="17227">
      <c r="Y17227" s="372">
        <v>0.0</v>
      </c>
      <c r="Z17227" s="372">
        <v>0.0</v>
      </c>
    </row>
    <row r="17228">
      <c r="Y17228" s="372">
        <v>0.0</v>
      </c>
      <c r="Z17228" s="372">
        <v>0.0</v>
      </c>
    </row>
    <row r="17229">
      <c r="Y17229" s="372">
        <v>0.0</v>
      </c>
      <c r="Z17229" s="372">
        <v>0.0</v>
      </c>
    </row>
    <row r="17230">
      <c r="Y17230" s="372">
        <v>0.0</v>
      </c>
      <c r="Z17230" s="372">
        <v>0.0</v>
      </c>
    </row>
    <row r="17231">
      <c r="Y17231" s="372">
        <v>0.0</v>
      </c>
      <c r="Z17231" s="372">
        <v>0.0</v>
      </c>
    </row>
    <row r="17232">
      <c r="Y17232" s="372">
        <v>0.0</v>
      </c>
      <c r="Z17232" s="372">
        <v>0.0</v>
      </c>
    </row>
    <row r="17233">
      <c r="Y17233" s="372">
        <v>0.0</v>
      </c>
      <c r="Z17233" s="372">
        <v>0.0</v>
      </c>
    </row>
    <row r="17234">
      <c r="Y17234" s="372">
        <v>0.0</v>
      </c>
      <c r="Z17234" s="372">
        <v>0.0</v>
      </c>
    </row>
    <row r="17235">
      <c r="Y17235" s="372">
        <v>0.0</v>
      </c>
      <c r="Z17235" s="372">
        <v>0.0</v>
      </c>
    </row>
    <row r="17236">
      <c r="Y17236" s="372">
        <v>0.0</v>
      </c>
      <c r="Z17236" s="372">
        <v>0.0</v>
      </c>
    </row>
    <row r="17237">
      <c r="Y17237" s="372">
        <v>0.0</v>
      </c>
      <c r="Z17237" s="372">
        <v>0.0</v>
      </c>
    </row>
    <row r="17238">
      <c r="Y17238" s="372">
        <v>0.0</v>
      </c>
      <c r="Z17238" s="372">
        <v>0.0</v>
      </c>
    </row>
    <row r="17239">
      <c r="Y17239" s="372">
        <v>0.0</v>
      </c>
      <c r="Z17239" s="372">
        <v>0.0</v>
      </c>
    </row>
    <row r="17240">
      <c r="Y17240" s="372">
        <v>0.0</v>
      </c>
      <c r="Z17240" s="372">
        <v>0.0</v>
      </c>
    </row>
    <row r="17241">
      <c r="Y17241" s="372">
        <v>0.0</v>
      </c>
      <c r="Z17241" s="372">
        <v>0.0</v>
      </c>
    </row>
    <row r="17242">
      <c r="Y17242" s="372">
        <v>0.0</v>
      </c>
      <c r="Z17242" s="372">
        <v>0.0</v>
      </c>
    </row>
    <row r="17243">
      <c r="Y17243" s="372">
        <v>0.0</v>
      </c>
      <c r="Z17243" s="372">
        <v>0.0</v>
      </c>
    </row>
    <row r="17244">
      <c r="Y17244" s="372">
        <v>0.0</v>
      </c>
      <c r="Z17244" s="372">
        <v>0.0</v>
      </c>
    </row>
    <row r="17245">
      <c r="Y17245" s="372">
        <v>0.0</v>
      </c>
      <c r="Z17245" s="372">
        <v>0.0</v>
      </c>
    </row>
    <row r="17246">
      <c r="Y17246" s="372">
        <v>0.0</v>
      </c>
      <c r="Z17246" s="372">
        <v>0.0</v>
      </c>
    </row>
    <row r="17247">
      <c r="Y17247" s="372">
        <v>0.0</v>
      </c>
      <c r="Z17247" s="372">
        <v>0.0</v>
      </c>
    </row>
    <row r="17248">
      <c r="Y17248" s="372">
        <v>0.0</v>
      </c>
      <c r="Z17248" s="372">
        <v>0.0</v>
      </c>
    </row>
    <row r="17249">
      <c r="Y17249" s="372">
        <v>0.0</v>
      </c>
      <c r="Z17249" s="372">
        <v>0.0</v>
      </c>
    </row>
    <row r="17250">
      <c r="Y17250" s="372">
        <v>0.0</v>
      </c>
      <c r="Z17250" s="372">
        <v>0.0</v>
      </c>
    </row>
    <row r="17251">
      <c r="Y17251" s="372">
        <v>0.0</v>
      </c>
      <c r="Z17251" s="372">
        <v>0.0</v>
      </c>
    </row>
    <row r="17252">
      <c r="Y17252" s="372">
        <v>0.0</v>
      </c>
      <c r="Z17252" s="372">
        <v>0.0</v>
      </c>
    </row>
    <row r="17253">
      <c r="Y17253" s="372">
        <v>0.0</v>
      </c>
      <c r="Z17253" s="372">
        <v>0.0</v>
      </c>
    </row>
    <row r="17254">
      <c r="Y17254" s="372">
        <v>0.0</v>
      </c>
      <c r="Z17254" s="372">
        <v>0.0</v>
      </c>
    </row>
    <row r="17255">
      <c r="Y17255" s="372">
        <v>0.0</v>
      </c>
      <c r="Z17255" s="372">
        <v>0.0</v>
      </c>
    </row>
    <row r="17256">
      <c r="Y17256" s="372">
        <v>0.0</v>
      </c>
      <c r="Z17256" s="372">
        <v>0.0</v>
      </c>
    </row>
    <row r="17257">
      <c r="Y17257" s="372">
        <v>0.0</v>
      </c>
      <c r="Z17257" s="372">
        <v>0.0</v>
      </c>
    </row>
    <row r="17258">
      <c r="Y17258" s="372">
        <v>0.0</v>
      </c>
      <c r="Z17258" s="372">
        <v>0.0</v>
      </c>
    </row>
    <row r="17259">
      <c r="Y17259" s="372">
        <v>0.0</v>
      </c>
      <c r="Z17259" s="372">
        <v>0.0</v>
      </c>
    </row>
    <row r="17260">
      <c r="Y17260" s="372">
        <v>0.0</v>
      </c>
      <c r="Z17260" s="372">
        <v>0.0</v>
      </c>
    </row>
    <row r="17261">
      <c r="Y17261" s="372">
        <v>0.0</v>
      </c>
      <c r="Z17261" s="372">
        <v>0.0</v>
      </c>
    </row>
    <row r="17262">
      <c r="Y17262" s="372">
        <v>0.0</v>
      </c>
      <c r="Z17262" s="372">
        <v>0.0</v>
      </c>
    </row>
    <row r="17263">
      <c r="Y17263" s="372">
        <v>0.0</v>
      </c>
      <c r="Z17263" s="372">
        <v>0.0</v>
      </c>
    </row>
    <row r="17264">
      <c r="Y17264" s="372">
        <v>0.0</v>
      </c>
      <c r="Z17264" s="372">
        <v>0.0</v>
      </c>
    </row>
    <row r="17265">
      <c r="Y17265" s="372">
        <v>0.0</v>
      </c>
      <c r="Z17265" s="372">
        <v>0.0</v>
      </c>
    </row>
    <row r="17266">
      <c r="Y17266" s="372">
        <v>0.0</v>
      </c>
      <c r="Z17266" s="372">
        <v>0.0</v>
      </c>
    </row>
    <row r="17267">
      <c r="Y17267" s="372">
        <v>0.0</v>
      </c>
      <c r="Z17267" s="372">
        <v>0.0</v>
      </c>
    </row>
    <row r="17268">
      <c r="Y17268" s="372">
        <v>0.0</v>
      </c>
      <c r="Z17268" s="372">
        <v>0.0</v>
      </c>
    </row>
    <row r="17269">
      <c r="Y17269" s="372">
        <v>0.0</v>
      </c>
      <c r="Z17269" s="372">
        <v>0.0</v>
      </c>
    </row>
    <row r="17270">
      <c r="Y17270" s="372">
        <v>0.0</v>
      </c>
      <c r="Z17270" s="372">
        <v>0.0</v>
      </c>
    </row>
    <row r="17271">
      <c r="Y17271" s="372">
        <v>0.0</v>
      </c>
      <c r="Z17271" s="372">
        <v>0.0</v>
      </c>
    </row>
    <row r="17272">
      <c r="Y17272" s="372">
        <v>0.0</v>
      </c>
      <c r="Z17272" s="372">
        <v>0.0</v>
      </c>
    </row>
    <row r="17273">
      <c r="Y17273" s="372">
        <v>0.0</v>
      </c>
      <c r="Z17273" s="372">
        <v>0.0</v>
      </c>
    </row>
    <row r="17274">
      <c r="Y17274" s="372">
        <v>0.0</v>
      </c>
      <c r="Z17274" s="372">
        <v>0.0</v>
      </c>
    </row>
    <row r="17275">
      <c r="Y17275" s="372">
        <v>0.0</v>
      </c>
      <c r="Z17275" s="372">
        <v>0.0</v>
      </c>
    </row>
    <row r="17276">
      <c r="Y17276" s="372">
        <v>0.0</v>
      </c>
      <c r="Z17276" s="372">
        <v>0.0</v>
      </c>
    </row>
    <row r="17277">
      <c r="Y17277" s="372">
        <v>0.0</v>
      </c>
      <c r="Z17277" s="372">
        <v>0.0</v>
      </c>
    </row>
    <row r="17278">
      <c r="Y17278" s="372">
        <v>0.0</v>
      </c>
      <c r="Z17278" s="372">
        <v>0.0</v>
      </c>
    </row>
    <row r="17279">
      <c r="Y17279" s="372">
        <v>0.0</v>
      </c>
      <c r="Z17279" s="372">
        <v>0.0</v>
      </c>
    </row>
    <row r="17280">
      <c r="Y17280" s="372">
        <v>0.0</v>
      </c>
      <c r="Z17280" s="372">
        <v>0.0</v>
      </c>
    </row>
    <row r="17281">
      <c r="Y17281" s="372">
        <v>0.0</v>
      </c>
      <c r="Z17281" s="372">
        <v>0.0</v>
      </c>
    </row>
    <row r="17282">
      <c r="Y17282" s="372">
        <v>0.0</v>
      </c>
      <c r="Z17282" s="372">
        <v>0.0</v>
      </c>
    </row>
    <row r="17283">
      <c r="Y17283" s="372">
        <v>0.0</v>
      </c>
      <c r="Z17283" s="372">
        <v>0.0</v>
      </c>
    </row>
    <row r="17284">
      <c r="Y17284" s="372">
        <v>0.0</v>
      </c>
      <c r="Z17284" s="372">
        <v>0.0</v>
      </c>
    </row>
    <row r="17285">
      <c r="Y17285" s="372">
        <v>0.0</v>
      </c>
      <c r="Z17285" s="372">
        <v>0.0</v>
      </c>
    </row>
    <row r="17286">
      <c r="Y17286" s="372">
        <v>0.0</v>
      </c>
      <c r="Z17286" s="372">
        <v>0.0</v>
      </c>
    </row>
    <row r="17287">
      <c r="Y17287" s="372">
        <v>0.0</v>
      </c>
      <c r="Z17287" s="372">
        <v>0.0</v>
      </c>
    </row>
    <row r="17288">
      <c r="Y17288" s="372">
        <v>0.0</v>
      </c>
      <c r="Z17288" s="372">
        <v>0.0</v>
      </c>
    </row>
    <row r="17289">
      <c r="Y17289" s="372">
        <v>0.0</v>
      </c>
      <c r="Z17289" s="372">
        <v>0.0</v>
      </c>
    </row>
    <row r="17290">
      <c r="Y17290" s="372">
        <v>0.0</v>
      </c>
      <c r="Z17290" s="372">
        <v>0.0</v>
      </c>
    </row>
    <row r="17291">
      <c r="Y17291" s="372">
        <v>0.0</v>
      </c>
      <c r="Z17291" s="372">
        <v>0.0</v>
      </c>
    </row>
    <row r="17292">
      <c r="Y17292" s="372">
        <v>0.0</v>
      </c>
      <c r="Z17292" s="372">
        <v>0.0</v>
      </c>
    </row>
    <row r="17293">
      <c r="Y17293" s="372">
        <v>0.0</v>
      </c>
      <c r="Z17293" s="372">
        <v>0.0</v>
      </c>
    </row>
    <row r="17294">
      <c r="Y17294" s="372">
        <v>0.0</v>
      </c>
      <c r="Z17294" s="372">
        <v>0.0</v>
      </c>
    </row>
    <row r="17295">
      <c r="Y17295" s="372">
        <v>0.0</v>
      </c>
      <c r="Z17295" s="372">
        <v>0.0</v>
      </c>
    </row>
    <row r="17296">
      <c r="Y17296" s="372">
        <v>0.0</v>
      </c>
      <c r="Z17296" s="372">
        <v>0.0</v>
      </c>
    </row>
    <row r="17297">
      <c r="Y17297" s="372">
        <v>0.0</v>
      </c>
      <c r="Z17297" s="372">
        <v>0.0</v>
      </c>
    </row>
    <row r="17298">
      <c r="Y17298" s="372">
        <v>0.0</v>
      </c>
      <c r="Z17298" s="372">
        <v>0.0</v>
      </c>
    </row>
    <row r="17299">
      <c r="Y17299" s="372">
        <v>0.0</v>
      </c>
      <c r="Z17299" s="372">
        <v>0.0</v>
      </c>
    </row>
    <row r="17300">
      <c r="Y17300" s="372">
        <v>0.0</v>
      </c>
      <c r="Z17300" s="372">
        <v>0.0</v>
      </c>
    </row>
    <row r="17301">
      <c r="Y17301" s="372">
        <v>0.0</v>
      </c>
      <c r="Z17301" s="372">
        <v>0.0</v>
      </c>
    </row>
    <row r="17302">
      <c r="Y17302" s="372">
        <v>0.0</v>
      </c>
      <c r="Z17302" s="372">
        <v>0.0</v>
      </c>
    </row>
    <row r="17303">
      <c r="Y17303" s="372">
        <v>0.0</v>
      </c>
      <c r="Z17303" s="372">
        <v>0.0</v>
      </c>
    </row>
    <row r="17304">
      <c r="Y17304" s="372">
        <v>0.0</v>
      </c>
      <c r="Z17304" s="372">
        <v>0.0</v>
      </c>
    </row>
    <row r="17305">
      <c r="Y17305" s="372">
        <v>0.0</v>
      </c>
      <c r="Z17305" s="372">
        <v>0.0</v>
      </c>
    </row>
    <row r="17306">
      <c r="Y17306" s="372">
        <v>0.0</v>
      </c>
      <c r="Z17306" s="372">
        <v>0.0</v>
      </c>
    </row>
    <row r="17307">
      <c r="Y17307" s="372">
        <v>0.0</v>
      </c>
      <c r="Z17307" s="372">
        <v>0.0</v>
      </c>
    </row>
    <row r="17308">
      <c r="Y17308" s="372">
        <v>0.0</v>
      </c>
      <c r="Z17308" s="372">
        <v>0.0</v>
      </c>
    </row>
    <row r="17309">
      <c r="Y17309" s="372">
        <v>0.0</v>
      </c>
      <c r="Z17309" s="372">
        <v>0.0</v>
      </c>
    </row>
    <row r="17310">
      <c r="Y17310" s="372">
        <v>0.0</v>
      </c>
      <c r="Z17310" s="372">
        <v>0.0</v>
      </c>
    </row>
    <row r="17311">
      <c r="Y17311" s="372">
        <v>0.0</v>
      </c>
      <c r="Z17311" s="372">
        <v>0.0</v>
      </c>
    </row>
    <row r="17312">
      <c r="Y17312" s="372">
        <v>0.0</v>
      </c>
      <c r="Z17312" s="372">
        <v>0.0</v>
      </c>
    </row>
    <row r="17313">
      <c r="Y17313" s="372">
        <v>0.0</v>
      </c>
      <c r="Z17313" s="372">
        <v>0.0</v>
      </c>
    </row>
    <row r="17314">
      <c r="Y17314" s="372">
        <v>0.0</v>
      </c>
      <c r="Z17314" s="372">
        <v>0.0</v>
      </c>
    </row>
    <row r="17315">
      <c r="Y17315" s="372">
        <v>0.0</v>
      </c>
      <c r="Z17315" s="372">
        <v>0.0</v>
      </c>
    </row>
    <row r="17316">
      <c r="Y17316" s="372">
        <v>0.0</v>
      </c>
      <c r="Z17316" s="372">
        <v>0.0</v>
      </c>
    </row>
    <row r="17317">
      <c r="Y17317" s="372">
        <v>0.0</v>
      </c>
      <c r="Z17317" s="372">
        <v>0.0</v>
      </c>
    </row>
    <row r="17318">
      <c r="Y17318" s="372">
        <v>0.0</v>
      </c>
      <c r="Z17318" s="372">
        <v>0.0</v>
      </c>
    </row>
    <row r="17319">
      <c r="Y17319" s="372">
        <v>0.0</v>
      </c>
      <c r="Z17319" s="372">
        <v>0.0</v>
      </c>
    </row>
    <row r="17320">
      <c r="Y17320" s="372">
        <v>0.0</v>
      </c>
      <c r="Z17320" s="372">
        <v>0.0</v>
      </c>
    </row>
    <row r="17321">
      <c r="Y17321" s="372">
        <v>0.0</v>
      </c>
      <c r="Z17321" s="372">
        <v>0.0</v>
      </c>
    </row>
    <row r="17322">
      <c r="Y17322" s="372">
        <v>0.0</v>
      </c>
      <c r="Z17322" s="372">
        <v>0.0</v>
      </c>
    </row>
    <row r="17323">
      <c r="Y17323" s="372">
        <v>0.0</v>
      </c>
      <c r="Z17323" s="372">
        <v>0.0</v>
      </c>
    </row>
    <row r="17324">
      <c r="Y17324" s="372">
        <v>0.0</v>
      </c>
      <c r="Z17324" s="372">
        <v>0.0</v>
      </c>
    </row>
    <row r="17325">
      <c r="Y17325" s="372">
        <v>0.0</v>
      </c>
      <c r="Z17325" s="372">
        <v>0.0</v>
      </c>
    </row>
    <row r="17326">
      <c r="Y17326" s="372">
        <v>0.0</v>
      </c>
      <c r="Z17326" s="372">
        <v>0.0</v>
      </c>
    </row>
    <row r="17327">
      <c r="Y17327" s="372">
        <v>0.0</v>
      </c>
      <c r="Z17327" s="372">
        <v>0.0</v>
      </c>
    </row>
    <row r="17328">
      <c r="Y17328" s="372">
        <v>0.0</v>
      </c>
      <c r="Z17328" s="372">
        <v>0.0</v>
      </c>
    </row>
    <row r="17329">
      <c r="Y17329" s="372">
        <v>0.0</v>
      </c>
      <c r="Z17329" s="372">
        <v>0.0</v>
      </c>
    </row>
    <row r="17330">
      <c r="Y17330" s="372">
        <v>0.0</v>
      </c>
      <c r="Z17330" s="372">
        <v>0.0</v>
      </c>
    </row>
    <row r="17331">
      <c r="Y17331" s="372">
        <v>0.0</v>
      </c>
      <c r="Z17331" s="372">
        <v>0.0</v>
      </c>
    </row>
    <row r="17332">
      <c r="Y17332" s="372">
        <v>0.0</v>
      </c>
      <c r="Z17332" s="372">
        <v>0.0</v>
      </c>
    </row>
    <row r="17333">
      <c r="Y17333" s="372">
        <v>0.0</v>
      </c>
      <c r="Z17333" s="372">
        <v>0.0</v>
      </c>
    </row>
    <row r="17334">
      <c r="Y17334" s="372">
        <v>0.0</v>
      </c>
      <c r="Z17334" s="372">
        <v>0.0</v>
      </c>
    </row>
    <row r="17335">
      <c r="Y17335" s="372">
        <v>0.0</v>
      </c>
      <c r="Z17335" s="372">
        <v>0.0</v>
      </c>
    </row>
    <row r="17336">
      <c r="Y17336" s="372">
        <v>0.0</v>
      </c>
      <c r="Z17336" s="372">
        <v>0.0</v>
      </c>
    </row>
    <row r="17337">
      <c r="Y17337" s="372">
        <v>0.0</v>
      </c>
      <c r="Z17337" s="372">
        <v>0.0</v>
      </c>
    </row>
    <row r="17338">
      <c r="Y17338" s="372">
        <v>0.0</v>
      </c>
      <c r="Z17338" s="372">
        <v>0.0</v>
      </c>
    </row>
    <row r="17339">
      <c r="Y17339" s="372">
        <v>0.0</v>
      </c>
      <c r="Z17339" s="372">
        <v>0.0</v>
      </c>
    </row>
    <row r="17340">
      <c r="Y17340" s="372">
        <v>0.0</v>
      </c>
      <c r="Z17340" s="372">
        <v>0.0</v>
      </c>
    </row>
    <row r="17341">
      <c r="Y17341" s="372">
        <v>0.0</v>
      </c>
      <c r="Z17341" s="372">
        <v>0.0</v>
      </c>
    </row>
    <row r="17342">
      <c r="Y17342" s="372">
        <v>0.0</v>
      </c>
      <c r="Z17342" s="372">
        <v>0.0</v>
      </c>
    </row>
    <row r="17343">
      <c r="Y17343" s="372">
        <v>0.0</v>
      </c>
      <c r="Z17343" s="372">
        <v>0.0</v>
      </c>
    </row>
    <row r="17344">
      <c r="Y17344" s="372">
        <v>0.0</v>
      </c>
      <c r="Z17344" s="372">
        <v>0.0</v>
      </c>
    </row>
    <row r="17345">
      <c r="Y17345" s="372">
        <v>0.0</v>
      </c>
      <c r="Z17345" s="372">
        <v>0.0</v>
      </c>
    </row>
    <row r="17346">
      <c r="Y17346" s="372">
        <v>0.0</v>
      </c>
      <c r="Z17346" s="372">
        <v>0.0</v>
      </c>
    </row>
    <row r="17347">
      <c r="Y17347" s="372">
        <v>0.0</v>
      </c>
      <c r="Z17347" s="372">
        <v>0.0</v>
      </c>
    </row>
    <row r="17348">
      <c r="Y17348" s="372">
        <v>0.0</v>
      </c>
      <c r="Z17348" s="372">
        <v>0.0</v>
      </c>
    </row>
    <row r="17349">
      <c r="Y17349" s="372">
        <v>0.0</v>
      </c>
      <c r="Z17349" s="372">
        <v>0.0</v>
      </c>
    </row>
    <row r="17350">
      <c r="Y17350" s="372">
        <v>0.0</v>
      </c>
      <c r="Z17350" s="372">
        <v>0.0</v>
      </c>
    </row>
    <row r="17351">
      <c r="Y17351" s="372">
        <v>0.0</v>
      </c>
      <c r="Z17351" s="372">
        <v>0.0</v>
      </c>
    </row>
    <row r="17352">
      <c r="Y17352" s="372">
        <v>0.0</v>
      </c>
      <c r="Z17352" s="372">
        <v>0.0</v>
      </c>
    </row>
    <row r="17353">
      <c r="Y17353" s="372">
        <v>0.0</v>
      </c>
      <c r="Z17353" s="372">
        <v>0.0</v>
      </c>
    </row>
    <row r="17354">
      <c r="Y17354" s="372">
        <v>0.0</v>
      </c>
      <c r="Z17354" s="372">
        <v>0.0</v>
      </c>
    </row>
    <row r="17355">
      <c r="Y17355" s="372">
        <v>0.0</v>
      </c>
      <c r="Z17355" s="372">
        <v>0.0</v>
      </c>
    </row>
    <row r="17356">
      <c r="Y17356" s="372">
        <v>0.0</v>
      </c>
      <c r="Z17356" s="372">
        <v>0.0</v>
      </c>
    </row>
    <row r="17357">
      <c r="Y17357" s="372">
        <v>0.0</v>
      </c>
      <c r="Z17357" s="372">
        <v>0.0</v>
      </c>
    </row>
    <row r="17358">
      <c r="Y17358" s="372">
        <v>0.0</v>
      </c>
      <c r="Z17358" s="372">
        <v>0.0</v>
      </c>
    </row>
    <row r="17359">
      <c r="Y17359" s="372">
        <v>0.0</v>
      </c>
      <c r="Z17359" s="372">
        <v>0.0</v>
      </c>
    </row>
    <row r="17360">
      <c r="Y17360" s="372">
        <v>0.0</v>
      </c>
      <c r="Z17360" s="372">
        <v>0.0</v>
      </c>
    </row>
    <row r="17361">
      <c r="Y17361" s="372">
        <v>0.0</v>
      </c>
      <c r="Z17361" s="372">
        <v>0.0</v>
      </c>
    </row>
    <row r="17362">
      <c r="Y17362" s="372">
        <v>0.0</v>
      </c>
      <c r="Z17362" s="372">
        <v>0.0</v>
      </c>
    </row>
    <row r="17363">
      <c r="Y17363" s="372">
        <v>0.0</v>
      </c>
      <c r="Z17363" s="372">
        <v>0.0</v>
      </c>
    </row>
    <row r="17364">
      <c r="Y17364" s="372">
        <v>0.0</v>
      </c>
      <c r="Z17364" s="372">
        <v>0.0</v>
      </c>
    </row>
    <row r="17365">
      <c r="Y17365" s="372">
        <v>0.0</v>
      </c>
      <c r="Z17365" s="372">
        <v>0.0</v>
      </c>
    </row>
    <row r="17366">
      <c r="Y17366" s="372">
        <v>0.0</v>
      </c>
      <c r="Z17366" s="372">
        <v>0.0</v>
      </c>
    </row>
    <row r="17367">
      <c r="Y17367" s="372">
        <v>0.0</v>
      </c>
      <c r="Z17367" s="372">
        <v>0.0</v>
      </c>
    </row>
    <row r="17368">
      <c r="Y17368" s="372">
        <v>0.0</v>
      </c>
      <c r="Z17368" s="372">
        <v>0.0</v>
      </c>
    </row>
    <row r="17369">
      <c r="Y17369" s="372">
        <v>0.0</v>
      </c>
      <c r="Z17369" s="372">
        <v>0.0</v>
      </c>
    </row>
    <row r="17370">
      <c r="Y17370" s="372">
        <v>0.0</v>
      </c>
      <c r="Z17370" s="372">
        <v>0.0</v>
      </c>
    </row>
    <row r="17371">
      <c r="Y17371" s="372">
        <v>0.0</v>
      </c>
      <c r="Z17371" s="372">
        <v>0.0</v>
      </c>
    </row>
    <row r="17372">
      <c r="Y17372" s="372">
        <v>0.0</v>
      </c>
      <c r="Z17372" s="372">
        <v>0.0</v>
      </c>
    </row>
    <row r="17373">
      <c r="Y17373" s="372">
        <v>0.0</v>
      </c>
      <c r="Z17373" s="372">
        <v>0.0</v>
      </c>
    </row>
    <row r="17374">
      <c r="Y17374" s="372">
        <v>0.0</v>
      </c>
      <c r="Z17374" s="372">
        <v>0.0</v>
      </c>
    </row>
    <row r="17375">
      <c r="Y17375" s="372">
        <v>0.0</v>
      </c>
      <c r="Z17375" s="372">
        <v>0.0</v>
      </c>
    </row>
    <row r="17376">
      <c r="Y17376" s="372">
        <v>0.0</v>
      </c>
      <c r="Z17376" s="372">
        <v>0.0</v>
      </c>
    </row>
    <row r="17377">
      <c r="Y17377" s="372">
        <v>0.0</v>
      </c>
      <c r="Z17377" s="372">
        <v>0.0</v>
      </c>
    </row>
    <row r="17378">
      <c r="Y17378" s="372">
        <v>0.0</v>
      </c>
      <c r="Z17378" s="372">
        <v>0.0</v>
      </c>
    </row>
    <row r="17379">
      <c r="Y17379" s="372">
        <v>0.0</v>
      </c>
      <c r="Z17379" s="372">
        <v>0.0</v>
      </c>
    </row>
    <row r="17380">
      <c r="Y17380" s="372">
        <v>0.0</v>
      </c>
      <c r="Z17380" s="372">
        <v>0.0</v>
      </c>
    </row>
    <row r="17381">
      <c r="Y17381" s="372">
        <v>0.0</v>
      </c>
      <c r="Z17381" s="372">
        <v>0.0</v>
      </c>
    </row>
    <row r="17382">
      <c r="Y17382" s="372">
        <v>0.0</v>
      </c>
      <c r="Z17382" s="372">
        <v>0.0</v>
      </c>
    </row>
    <row r="17383">
      <c r="Y17383" s="372">
        <v>0.0</v>
      </c>
      <c r="Z17383" s="372">
        <v>0.0</v>
      </c>
    </row>
    <row r="17384">
      <c r="Y17384" s="372">
        <v>0.0</v>
      </c>
      <c r="Z17384" s="372">
        <v>0.0</v>
      </c>
    </row>
    <row r="17385">
      <c r="Y17385" s="372">
        <v>0.0</v>
      </c>
      <c r="Z17385" s="372">
        <v>0.0</v>
      </c>
    </row>
    <row r="17386">
      <c r="Y17386" s="372">
        <v>0.0</v>
      </c>
      <c r="Z17386" s="372">
        <v>0.0</v>
      </c>
    </row>
    <row r="17387">
      <c r="Y17387" s="372">
        <v>0.0</v>
      </c>
      <c r="Z17387" s="372">
        <v>0.0</v>
      </c>
    </row>
    <row r="17388">
      <c r="Y17388" s="372">
        <v>0.0</v>
      </c>
      <c r="Z17388" s="372">
        <v>0.0</v>
      </c>
    </row>
    <row r="17389">
      <c r="Y17389" s="372">
        <v>0.0</v>
      </c>
      <c r="Z17389" s="372">
        <v>0.0</v>
      </c>
    </row>
    <row r="17390">
      <c r="Y17390" s="372">
        <v>0.0</v>
      </c>
      <c r="Z17390" s="372">
        <v>0.0</v>
      </c>
    </row>
    <row r="17391">
      <c r="Y17391" s="372">
        <v>0.0</v>
      </c>
      <c r="Z17391" s="372">
        <v>0.0</v>
      </c>
    </row>
    <row r="17392">
      <c r="Y17392" s="372">
        <v>0.0</v>
      </c>
      <c r="Z17392" s="372">
        <v>0.0</v>
      </c>
    </row>
    <row r="17393">
      <c r="Y17393" s="372">
        <v>0.0</v>
      </c>
      <c r="Z17393" s="372">
        <v>0.0</v>
      </c>
    </row>
    <row r="17394">
      <c r="Y17394" s="372">
        <v>0.0</v>
      </c>
      <c r="Z17394" s="372">
        <v>0.0</v>
      </c>
    </row>
    <row r="17395">
      <c r="Y17395" s="372">
        <v>0.0</v>
      </c>
      <c r="Z17395" s="372">
        <v>0.0</v>
      </c>
    </row>
    <row r="17396">
      <c r="Y17396" s="372">
        <v>0.0</v>
      </c>
      <c r="Z17396" s="372">
        <v>0.0</v>
      </c>
    </row>
    <row r="17397">
      <c r="Y17397" s="372">
        <v>0.0</v>
      </c>
      <c r="Z17397" s="372">
        <v>0.0</v>
      </c>
    </row>
    <row r="17398">
      <c r="Y17398" s="372">
        <v>0.0</v>
      </c>
      <c r="Z17398" s="372">
        <v>0.0</v>
      </c>
    </row>
    <row r="17399">
      <c r="Y17399" s="372">
        <v>0.0</v>
      </c>
      <c r="Z17399" s="372">
        <v>0.0</v>
      </c>
    </row>
    <row r="17400">
      <c r="Y17400" s="372">
        <v>0.0</v>
      </c>
      <c r="Z17400" s="372">
        <v>0.0</v>
      </c>
    </row>
    <row r="17401">
      <c r="Y17401" s="372">
        <v>0.0</v>
      </c>
      <c r="Z17401" s="372">
        <v>0.0</v>
      </c>
    </row>
    <row r="17402">
      <c r="Y17402" s="372">
        <v>0.0</v>
      </c>
      <c r="Z17402" s="372">
        <v>0.0</v>
      </c>
    </row>
    <row r="17403">
      <c r="Y17403" s="372">
        <v>0.0</v>
      </c>
      <c r="Z17403" s="372">
        <v>0.0</v>
      </c>
    </row>
    <row r="17404">
      <c r="Y17404" s="372">
        <v>0.0</v>
      </c>
      <c r="Z17404" s="372">
        <v>0.0</v>
      </c>
    </row>
    <row r="17405">
      <c r="Y17405" s="372">
        <v>0.0</v>
      </c>
      <c r="Z17405" s="372">
        <v>0.0</v>
      </c>
    </row>
    <row r="17406">
      <c r="Y17406" s="372">
        <v>0.0</v>
      </c>
      <c r="Z17406" s="372">
        <v>0.0</v>
      </c>
    </row>
    <row r="17407">
      <c r="Y17407" s="372">
        <v>0.0</v>
      </c>
      <c r="Z17407" s="372">
        <v>0.0</v>
      </c>
    </row>
    <row r="17408">
      <c r="Y17408" s="372">
        <v>0.0</v>
      </c>
      <c r="Z17408" s="372">
        <v>0.0</v>
      </c>
    </row>
    <row r="17409">
      <c r="Y17409" s="372">
        <v>0.0</v>
      </c>
      <c r="Z17409" s="372">
        <v>0.0</v>
      </c>
    </row>
    <row r="17410">
      <c r="Y17410" s="372">
        <v>0.0</v>
      </c>
      <c r="Z17410" s="372">
        <v>0.0</v>
      </c>
    </row>
    <row r="17411">
      <c r="Y17411" s="372">
        <v>0.0</v>
      </c>
      <c r="Z17411" s="372">
        <v>0.0</v>
      </c>
    </row>
    <row r="17412">
      <c r="Y17412" s="372">
        <v>0.0</v>
      </c>
      <c r="Z17412" s="372">
        <v>0.0</v>
      </c>
    </row>
    <row r="17413">
      <c r="Y17413" s="372">
        <v>0.0</v>
      </c>
      <c r="Z17413" s="372">
        <v>0.0</v>
      </c>
    </row>
    <row r="17414">
      <c r="Y17414" s="372">
        <v>0.0</v>
      </c>
      <c r="Z17414" s="372">
        <v>0.0</v>
      </c>
    </row>
    <row r="17415">
      <c r="Y17415" s="372">
        <v>0.0</v>
      </c>
      <c r="Z17415" s="372">
        <v>0.0</v>
      </c>
    </row>
    <row r="17416">
      <c r="Y17416" s="372">
        <v>0.0</v>
      </c>
      <c r="Z17416" s="372">
        <v>0.0</v>
      </c>
    </row>
    <row r="17417">
      <c r="Y17417" s="372">
        <v>0.0</v>
      </c>
      <c r="Z17417" s="372">
        <v>0.0</v>
      </c>
    </row>
    <row r="17418">
      <c r="Y17418" s="372">
        <v>0.0</v>
      </c>
      <c r="Z17418" s="372">
        <v>0.0</v>
      </c>
    </row>
    <row r="17419">
      <c r="Y17419" s="372">
        <v>0.0</v>
      </c>
      <c r="Z17419" s="372">
        <v>0.0</v>
      </c>
    </row>
    <row r="17420">
      <c r="Y17420" s="372">
        <v>0.0</v>
      </c>
      <c r="Z17420" s="372">
        <v>0.0</v>
      </c>
    </row>
    <row r="17421">
      <c r="Y17421" s="372">
        <v>0.0</v>
      </c>
      <c r="Z17421" s="372">
        <v>0.0</v>
      </c>
    </row>
    <row r="17422">
      <c r="Y17422" s="372">
        <v>0.0</v>
      </c>
      <c r="Z17422" s="372">
        <v>0.0</v>
      </c>
    </row>
    <row r="17423">
      <c r="Y17423" s="372">
        <v>0.0</v>
      </c>
      <c r="Z17423" s="372">
        <v>0.0</v>
      </c>
    </row>
    <row r="17424">
      <c r="Y17424" s="372">
        <v>0.0</v>
      </c>
      <c r="Z17424" s="372">
        <v>0.0</v>
      </c>
    </row>
    <row r="17425">
      <c r="Y17425" s="372">
        <v>0.0</v>
      </c>
      <c r="Z17425" s="372">
        <v>0.0</v>
      </c>
    </row>
    <row r="17426">
      <c r="Y17426" s="372">
        <v>0.0</v>
      </c>
      <c r="Z17426" s="372">
        <v>0.0</v>
      </c>
    </row>
    <row r="17427">
      <c r="Y17427" s="372">
        <v>0.0</v>
      </c>
      <c r="Z17427" s="372">
        <v>0.0</v>
      </c>
    </row>
    <row r="17428">
      <c r="Y17428" s="372">
        <v>0.0</v>
      </c>
      <c r="Z17428" s="372">
        <v>0.0</v>
      </c>
    </row>
    <row r="17429">
      <c r="Y17429" s="372">
        <v>0.0</v>
      </c>
      <c r="Z17429" s="372">
        <v>0.0</v>
      </c>
    </row>
    <row r="17430">
      <c r="Y17430" s="372">
        <v>0.0</v>
      </c>
      <c r="Z17430" s="372">
        <v>0.0</v>
      </c>
    </row>
    <row r="17431">
      <c r="Y17431" s="372">
        <v>0.0</v>
      </c>
      <c r="Z17431" s="372">
        <v>0.0</v>
      </c>
    </row>
    <row r="17432">
      <c r="Y17432" s="372">
        <v>0.0</v>
      </c>
      <c r="Z17432" s="372">
        <v>0.0</v>
      </c>
    </row>
    <row r="17433">
      <c r="Y17433" s="372">
        <v>0.0</v>
      </c>
      <c r="Z17433" s="372">
        <v>0.0</v>
      </c>
    </row>
    <row r="17434">
      <c r="Y17434" s="372">
        <v>0.0</v>
      </c>
      <c r="Z17434" s="372">
        <v>0.0</v>
      </c>
    </row>
    <row r="17435">
      <c r="Y17435" s="372">
        <v>0.0</v>
      </c>
      <c r="Z17435" s="372">
        <v>0.0</v>
      </c>
    </row>
    <row r="17436">
      <c r="Y17436" s="372">
        <v>0.0</v>
      </c>
      <c r="Z17436" s="372">
        <v>0.0</v>
      </c>
    </row>
    <row r="17437">
      <c r="Y17437" s="372">
        <v>0.0</v>
      </c>
      <c r="Z17437" s="372">
        <v>0.0</v>
      </c>
    </row>
    <row r="17438">
      <c r="Y17438" s="372">
        <v>0.0</v>
      </c>
      <c r="Z17438" s="372">
        <v>0.0</v>
      </c>
    </row>
    <row r="17439">
      <c r="Y17439" s="372">
        <v>0.0</v>
      </c>
      <c r="Z17439" s="372">
        <v>0.0</v>
      </c>
    </row>
    <row r="17440">
      <c r="Y17440" s="372">
        <v>0.0</v>
      </c>
      <c r="Z17440" s="372">
        <v>0.0</v>
      </c>
    </row>
    <row r="17441">
      <c r="Y17441" s="372">
        <v>0.0</v>
      </c>
      <c r="Z17441" s="372">
        <v>0.0</v>
      </c>
    </row>
    <row r="17442">
      <c r="Y17442" s="372">
        <v>0.0</v>
      </c>
      <c r="Z17442" s="372">
        <v>0.0</v>
      </c>
    </row>
    <row r="17443">
      <c r="Y17443" s="372">
        <v>0.0</v>
      </c>
      <c r="Z17443" s="372">
        <v>0.0</v>
      </c>
    </row>
    <row r="17444">
      <c r="Y17444" s="372">
        <v>0.0</v>
      </c>
      <c r="Z17444" s="372">
        <v>0.0</v>
      </c>
    </row>
    <row r="17445">
      <c r="Y17445" s="372">
        <v>0.0</v>
      </c>
      <c r="Z17445" s="372">
        <v>0.0</v>
      </c>
    </row>
    <row r="17446">
      <c r="Y17446" s="372">
        <v>0.0</v>
      </c>
      <c r="Z17446" s="372">
        <v>0.0</v>
      </c>
    </row>
    <row r="17447">
      <c r="Y17447" s="372">
        <v>0.0</v>
      </c>
      <c r="Z17447" s="372">
        <v>0.0</v>
      </c>
    </row>
    <row r="17448">
      <c r="Y17448" s="372">
        <v>0.0</v>
      </c>
      <c r="Z17448" s="372">
        <v>0.0</v>
      </c>
    </row>
    <row r="17449">
      <c r="Y17449" s="372">
        <v>0.0</v>
      </c>
      <c r="Z17449" s="372">
        <v>0.0</v>
      </c>
    </row>
    <row r="17450">
      <c r="Y17450" s="372">
        <v>0.0</v>
      </c>
      <c r="Z17450" s="372">
        <v>0.0</v>
      </c>
    </row>
    <row r="17451">
      <c r="Y17451" s="372">
        <v>0.0</v>
      </c>
      <c r="Z17451" s="372">
        <v>0.0</v>
      </c>
    </row>
    <row r="17452">
      <c r="Y17452" s="372">
        <v>0.0</v>
      </c>
      <c r="Z17452" s="372">
        <v>0.0</v>
      </c>
    </row>
    <row r="17453">
      <c r="Y17453" s="372">
        <v>0.0</v>
      </c>
      <c r="Z17453" s="372">
        <v>0.0</v>
      </c>
    </row>
    <row r="17454">
      <c r="Y17454" s="372">
        <v>0.0</v>
      </c>
      <c r="Z17454" s="372">
        <v>0.0</v>
      </c>
    </row>
    <row r="17455">
      <c r="Y17455" s="372">
        <v>0.0</v>
      </c>
      <c r="Z17455" s="372">
        <v>0.0</v>
      </c>
    </row>
    <row r="17456">
      <c r="Y17456" s="372">
        <v>0.0</v>
      </c>
      <c r="Z17456" s="372">
        <v>0.0</v>
      </c>
    </row>
    <row r="17457">
      <c r="Y17457" s="372">
        <v>0.0</v>
      </c>
      <c r="Z17457" s="372">
        <v>0.0</v>
      </c>
    </row>
    <row r="17458">
      <c r="Y17458" s="372">
        <v>0.0</v>
      </c>
      <c r="Z17458" s="372">
        <v>0.0</v>
      </c>
    </row>
    <row r="17459">
      <c r="Y17459" s="372">
        <v>0.0</v>
      </c>
      <c r="Z17459" s="372">
        <v>0.0</v>
      </c>
    </row>
    <row r="17460">
      <c r="Y17460" s="372">
        <v>0.0</v>
      </c>
      <c r="Z17460" s="372">
        <v>0.0</v>
      </c>
    </row>
    <row r="17461">
      <c r="Y17461" s="372">
        <v>0.0</v>
      </c>
      <c r="Z17461" s="372">
        <v>0.0</v>
      </c>
    </row>
    <row r="17462">
      <c r="Y17462" s="372">
        <v>0.0</v>
      </c>
      <c r="Z17462" s="372">
        <v>0.0</v>
      </c>
    </row>
    <row r="17463">
      <c r="Y17463" s="372">
        <v>0.0</v>
      </c>
      <c r="Z17463" s="372">
        <v>0.0</v>
      </c>
    </row>
    <row r="17464">
      <c r="Y17464" s="372">
        <v>0.0</v>
      </c>
      <c r="Z17464" s="372">
        <v>0.0</v>
      </c>
    </row>
    <row r="17465">
      <c r="Y17465" s="372">
        <v>0.0</v>
      </c>
      <c r="Z17465" s="372">
        <v>0.0</v>
      </c>
    </row>
    <row r="17466">
      <c r="Y17466" s="372">
        <v>0.0</v>
      </c>
      <c r="Z17466" s="372">
        <v>0.0</v>
      </c>
    </row>
    <row r="17467">
      <c r="Y17467" s="372">
        <v>0.0</v>
      </c>
      <c r="Z17467" s="372">
        <v>0.0</v>
      </c>
    </row>
    <row r="17468">
      <c r="Y17468" s="372">
        <v>0.0</v>
      </c>
      <c r="Z17468" s="372">
        <v>0.0</v>
      </c>
    </row>
    <row r="17469">
      <c r="Y17469" s="372">
        <v>0.0</v>
      </c>
      <c r="Z17469" s="372">
        <v>0.0</v>
      </c>
    </row>
    <row r="17470">
      <c r="Y17470" s="372">
        <v>0.0</v>
      </c>
      <c r="Z17470" s="372">
        <v>0.0</v>
      </c>
    </row>
    <row r="17471">
      <c r="Y17471" s="372">
        <v>0.0</v>
      </c>
      <c r="Z17471" s="372">
        <v>0.0</v>
      </c>
    </row>
    <row r="17472">
      <c r="Y17472" s="372">
        <v>0.0</v>
      </c>
      <c r="Z17472" s="372">
        <v>0.0</v>
      </c>
    </row>
    <row r="17473">
      <c r="Y17473" s="372">
        <v>0.0</v>
      </c>
      <c r="Z17473" s="372">
        <v>0.0</v>
      </c>
    </row>
    <row r="17474">
      <c r="Y17474" s="372">
        <v>0.0</v>
      </c>
      <c r="Z17474" s="372">
        <v>0.0</v>
      </c>
    </row>
    <row r="17475">
      <c r="Y17475" s="372">
        <v>0.0</v>
      </c>
      <c r="Z17475" s="372">
        <v>0.0</v>
      </c>
    </row>
    <row r="17476">
      <c r="Y17476" s="372">
        <v>0.0</v>
      </c>
      <c r="Z17476" s="372">
        <v>0.0</v>
      </c>
    </row>
    <row r="17477">
      <c r="Y17477" s="372">
        <v>0.0</v>
      </c>
      <c r="Z17477" s="372">
        <v>0.0</v>
      </c>
    </row>
    <row r="17478">
      <c r="Y17478" s="372">
        <v>0.0</v>
      </c>
      <c r="Z17478" s="372">
        <v>0.0</v>
      </c>
    </row>
    <row r="17479">
      <c r="Y17479" s="372">
        <v>0.0</v>
      </c>
      <c r="Z17479" s="372">
        <v>0.0</v>
      </c>
    </row>
    <row r="17480">
      <c r="Y17480" s="372">
        <v>0.0</v>
      </c>
      <c r="Z17480" s="372">
        <v>0.0</v>
      </c>
    </row>
    <row r="17481">
      <c r="Y17481" s="372">
        <v>0.0</v>
      </c>
      <c r="Z17481" s="372">
        <v>0.0</v>
      </c>
    </row>
    <row r="17482">
      <c r="Y17482" s="372">
        <v>0.0</v>
      </c>
      <c r="Z17482" s="372">
        <v>0.0</v>
      </c>
    </row>
    <row r="17483">
      <c r="Y17483" s="372">
        <v>0.0</v>
      </c>
      <c r="Z17483" s="372">
        <v>0.0</v>
      </c>
    </row>
    <row r="17484">
      <c r="Y17484" s="372">
        <v>0.0</v>
      </c>
      <c r="Z17484" s="372">
        <v>0.0</v>
      </c>
    </row>
    <row r="17485">
      <c r="Y17485" s="372">
        <v>0.0</v>
      </c>
      <c r="Z17485" s="372">
        <v>0.0</v>
      </c>
    </row>
    <row r="17486">
      <c r="Y17486" s="372">
        <v>0.0</v>
      </c>
      <c r="Z17486" s="372">
        <v>0.0</v>
      </c>
    </row>
    <row r="17487">
      <c r="Y17487" s="372">
        <v>0.0</v>
      </c>
      <c r="Z17487" s="372">
        <v>0.0</v>
      </c>
    </row>
    <row r="17488">
      <c r="Y17488" s="372">
        <v>0.0</v>
      </c>
      <c r="Z17488" s="372">
        <v>0.0</v>
      </c>
    </row>
    <row r="17489">
      <c r="Y17489" s="372">
        <v>0.0</v>
      </c>
      <c r="Z17489" s="372">
        <v>0.0</v>
      </c>
    </row>
    <row r="17490">
      <c r="Y17490" s="372">
        <v>0.0</v>
      </c>
      <c r="Z17490" s="372">
        <v>0.0</v>
      </c>
    </row>
    <row r="17491">
      <c r="Y17491" s="372">
        <v>0.0</v>
      </c>
      <c r="Z17491" s="372">
        <v>0.0</v>
      </c>
    </row>
    <row r="17492">
      <c r="Y17492" s="372">
        <v>0.0</v>
      </c>
      <c r="Z17492" s="372">
        <v>0.0</v>
      </c>
    </row>
    <row r="17493">
      <c r="Y17493" s="372">
        <v>0.0</v>
      </c>
      <c r="Z17493" s="372">
        <v>0.0</v>
      </c>
    </row>
    <row r="17494">
      <c r="Y17494" s="372">
        <v>0.0</v>
      </c>
      <c r="Z17494" s="372">
        <v>0.0</v>
      </c>
    </row>
    <row r="17495">
      <c r="Y17495" s="372">
        <v>0.0</v>
      </c>
      <c r="Z17495" s="372">
        <v>0.0</v>
      </c>
    </row>
    <row r="17496">
      <c r="Y17496" s="372">
        <v>0.0</v>
      </c>
      <c r="Z17496" s="372">
        <v>0.0</v>
      </c>
    </row>
    <row r="17497">
      <c r="Y17497" s="372">
        <v>0.0</v>
      </c>
      <c r="Z17497" s="372">
        <v>0.0</v>
      </c>
    </row>
    <row r="17498">
      <c r="Y17498" s="372">
        <v>0.0</v>
      </c>
      <c r="Z17498" s="372">
        <v>0.0</v>
      </c>
    </row>
    <row r="17499">
      <c r="Y17499" s="372">
        <v>0.0</v>
      </c>
      <c r="Z17499" s="372">
        <v>0.0</v>
      </c>
    </row>
    <row r="17500">
      <c r="Y17500" s="372">
        <v>0.0</v>
      </c>
      <c r="Z17500" s="372">
        <v>0.0</v>
      </c>
    </row>
    <row r="17501">
      <c r="Y17501" s="372">
        <v>0.0</v>
      </c>
      <c r="Z17501" s="372">
        <v>0.0</v>
      </c>
    </row>
    <row r="17502">
      <c r="Y17502" s="372">
        <v>0.0</v>
      </c>
      <c r="Z17502" s="372">
        <v>0.0</v>
      </c>
    </row>
    <row r="17503">
      <c r="Y17503" s="372">
        <v>0.0</v>
      </c>
      <c r="Z17503" s="372">
        <v>0.0</v>
      </c>
    </row>
    <row r="17504">
      <c r="Y17504" s="372">
        <v>0.0</v>
      </c>
      <c r="Z17504" s="372">
        <v>0.0</v>
      </c>
    </row>
    <row r="17505">
      <c r="Y17505" s="372">
        <v>0.0</v>
      </c>
      <c r="Z17505" s="372">
        <v>0.0</v>
      </c>
    </row>
    <row r="17506">
      <c r="Y17506" s="372">
        <v>0.0</v>
      </c>
      <c r="Z17506" s="372">
        <v>0.0</v>
      </c>
    </row>
    <row r="17507">
      <c r="Y17507" s="372">
        <v>0.0</v>
      </c>
      <c r="Z17507" s="372">
        <v>0.0</v>
      </c>
    </row>
    <row r="17508">
      <c r="Y17508" s="372">
        <v>0.0</v>
      </c>
      <c r="Z17508" s="372">
        <v>0.0</v>
      </c>
    </row>
    <row r="17509">
      <c r="Y17509" s="372">
        <v>0.0</v>
      </c>
      <c r="Z17509" s="372">
        <v>0.0</v>
      </c>
    </row>
    <row r="17510">
      <c r="Y17510" s="372">
        <v>0.0</v>
      </c>
      <c r="Z17510" s="372">
        <v>0.0</v>
      </c>
    </row>
    <row r="17511">
      <c r="Y17511" s="372">
        <v>0.0</v>
      </c>
      <c r="Z17511" s="372">
        <v>0.0</v>
      </c>
    </row>
    <row r="17512">
      <c r="Y17512" s="372">
        <v>0.0</v>
      </c>
      <c r="Z17512" s="372">
        <v>0.0</v>
      </c>
    </row>
    <row r="17513">
      <c r="Y17513" s="372">
        <v>0.0</v>
      </c>
      <c r="Z17513" s="372">
        <v>0.0</v>
      </c>
    </row>
    <row r="17514">
      <c r="Y17514" s="372">
        <v>0.0</v>
      </c>
      <c r="Z17514" s="372">
        <v>0.0</v>
      </c>
    </row>
    <row r="17515">
      <c r="Y17515" s="372">
        <v>0.0</v>
      </c>
      <c r="Z17515" s="372">
        <v>0.0</v>
      </c>
    </row>
    <row r="17516">
      <c r="Y17516" s="372">
        <v>0.0</v>
      </c>
      <c r="Z17516" s="372">
        <v>0.0</v>
      </c>
    </row>
    <row r="17517">
      <c r="Y17517" s="372">
        <v>0.0</v>
      </c>
      <c r="Z17517" s="372">
        <v>0.0</v>
      </c>
    </row>
    <row r="17518">
      <c r="Y17518" s="372">
        <v>0.0</v>
      </c>
      <c r="Z17518" s="372">
        <v>0.0</v>
      </c>
    </row>
    <row r="17519">
      <c r="Y17519" s="372">
        <v>0.0</v>
      </c>
      <c r="Z17519" s="372">
        <v>0.0</v>
      </c>
    </row>
    <row r="17520">
      <c r="Y17520" s="372">
        <v>0.0</v>
      </c>
      <c r="Z17520" s="372">
        <v>0.0</v>
      </c>
    </row>
    <row r="17521">
      <c r="Y17521" s="372">
        <v>0.0</v>
      </c>
      <c r="Z17521" s="372">
        <v>0.0</v>
      </c>
    </row>
    <row r="17522">
      <c r="Y17522" s="372">
        <v>0.0</v>
      </c>
      <c r="Z17522" s="372">
        <v>0.0</v>
      </c>
    </row>
    <row r="17523">
      <c r="Y17523" s="372">
        <v>0.0</v>
      </c>
      <c r="Z17523" s="372">
        <v>0.0</v>
      </c>
    </row>
    <row r="17524">
      <c r="Y17524" s="372">
        <v>0.0</v>
      </c>
      <c r="Z17524" s="372">
        <v>0.0</v>
      </c>
    </row>
    <row r="17525">
      <c r="Y17525" s="372">
        <v>0.0</v>
      </c>
      <c r="Z17525" s="372">
        <v>0.0</v>
      </c>
    </row>
    <row r="17526">
      <c r="Y17526" s="372">
        <v>0.0</v>
      </c>
      <c r="Z17526" s="372">
        <v>0.0</v>
      </c>
    </row>
    <row r="17527">
      <c r="Y17527" s="372">
        <v>0.0</v>
      </c>
      <c r="Z17527" s="372">
        <v>0.0</v>
      </c>
    </row>
    <row r="17528">
      <c r="Y17528" s="372">
        <v>0.0</v>
      </c>
      <c r="Z17528" s="372">
        <v>0.0</v>
      </c>
    </row>
    <row r="17529">
      <c r="Y17529" s="372">
        <v>0.0</v>
      </c>
      <c r="Z17529" s="372">
        <v>0.0</v>
      </c>
    </row>
    <row r="17530">
      <c r="Y17530" s="372">
        <v>0.0</v>
      </c>
      <c r="Z17530" s="372">
        <v>0.0</v>
      </c>
    </row>
    <row r="17531">
      <c r="Y17531" s="372">
        <v>0.0</v>
      </c>
      <c r="Z17531" s="372">
        <v>0.0</v>
      </c>
    </row>
    <row r="17532">
      <c r="Y17532" s="372">
        <v>0.0</v>
      </c>
      <c r="Z17532" s="372">
        <v>0.0</v>
      </c>
    </row>
    <row r="17533">
      <c r="Y17533" s="372">
        <v>0.0</v>
      </c>
      <c r="Z17533" s="372">
        <v>0.0</v>
      </c>
    </row>
    <row r="17534">
      <c r="Y17534" s="372">
        <v>0.0</v>
      </c>
      <c r="Z17534" s="372">
        <v>0.0</v>
      </c>
    </row>
    <row r="17535">
      <c r="Y17535" s="372">
        <v>0.0</v>
      </c>
      <c r="Z17535" s="372">
        <v>0.0</v>
      </c>
    </row>
    <row r="17536">
      <c r="Y17536" s="372">
        <v>0.0</v>
      </c>
      <c r="Z17536" s="372">
        <v>0.0</v>
      </c>
    </row>
    <row r="17537">
      <c r="Y17537" s="372">
        <v>0.0</v>
      </c>
      <c r="Z17537" s="372">
        <v>0.0</v>
      </c>
    </row>
    <row r="17538">
      <c r="Y17538" s="372">
        <v>0.0</v>
      </c>
      <c r="Z17538" s="372">
        <v>0.0</v>
      </c>
    </row>
    <row r="17539">
      <c r="Y17539" s="372">
        <v>0.0</v>
      </c>
      <c r="Z17539" s="372">
        <v>0.0</v>
      </c>
    </row>
    <row r="17540">
      <c r="Y17540" s="372">
        <v>0.0</v>
      </c>
      <c r="Z17540" s="372">
        <v>0.0</v>
      </c>
    </row>
    <row r="17541">
      <c r="Y17541" s="372">
        <v>0.0</v>
      </c>
      <c r="Z17541" s="372">
        <v>0.0</v>
      </c>
    </row>
    <row r="17542">
      <c r="Y17542" s="372">
        <v>0.0</v>
      </c>
      <c r="Z17542" s="372">
        <v>0.0</v>
      </c>
    </row>
    <row r="17543">
      <c r="Y17543" s="372">
        <v>0.0</v>
      </c>
      <c r="Z17543" s="372">
        <v>0.0</v>
      </c>
    </row>
    <row r="17544">
      <c r="Y17544" s="372">
        <v>0.0</v>
      </c>
      <c r="Z17544" s="372">
        <v>0.0</v>
      </c>
    </row>
    <row r="17545">
      <c r="Y17545" s="372">
        <v>0.0</v>
      </c>
      <c r="Z17545" s="372">
        <v>0.0</v>
      </c>
    </row>
    <row r="17546">
      <c r="Y17546" s="372">
        <v>0.0</v>
      </c>
      <c r="Z17546" s="372">
        <v>0.0</v>
      </c>
    </row>
    <row r="17547">
      <c r="Y17547" s="372">
        <v>0.0</v>
      </c>
      <c r="Z17547" s="372">
        <v>0.0</v>
      </c>
    </row>
    <row r="17548">
      <c r="Y17548" s="372">
        <v>0.0</v>
      </c>
      <c r="Z17548" s="372">
        <v>0.0</v>
      </c>
    </row>
    <row r="17549">
      <c r="Y17549" s="372">
        <v>0.0</v>
      </c>
      <c r="Z17549" s="372">
        <v>0.0</v>
      </c>
    </row>
    <row r="17550">
      <c r="Y17550" s="372">
        <v>0.0</v>
      </c>
      <c r="Z17550" s="372">
        <v>0.0</v>
      </c>
    </row>
    <row r="17551">
      <c r="Y17551" s="372">
        <v>0.0</v>
      </c>
      <c r="Z17551" s="372">
        <v>0.0</v>
      </c>
    </row>
    <row r="17552">
      <c r="Y17552" s="372">
        <v>0.0</v>
      </c>
      <c r="Z17552" s="372">
        <v>0.0</v>
      </c>
    </row>
    <row r="17553">
      <c r="Y17553" s="372">
        <v>0.0</v>
      </c>
      <c r="Z17553" s="372">
        <v>0.0</v>
      </c>
    </row>
    <row r="17554">
      <c r="Y17554" s="372">
        <v>0.0</v>
      </c>
      <c r="Z17554" s="372">
        <v>0.0</v>
      </c>
    </row>
    <row r="17555">
      <c r="Y17555" s="372">
        <v>0.0</v>
      </c>
      <c r="Z17555" s="372">
        <v>0.0</v>
      </c>
    </row>
    <row r="17556">
      <c r="Y17556" s="372">
        <v>0.0</v>
      </c>
      <c r="Z17556" s="372">
        <v>0.0</v>
      </c>
    </row>
    <row r="17557">
      <c r="Y17557" s="372">
        <v>0.0</v>
      </c>
      <c r="Z17557" s="372">
        <v>0.0</v>
      </c>
    </row>
    <row r="17558">
      <c r="Y17558" s="372">
        <v>0.0</v>
      </c>
      <c r="Z17558" s="372">
        <v>0.0</v>
      </c>
    </row>
    <row r="17559">
      <c r="Y17559" s="372">
        <v>0.0</v>
      </c>
      <c r="Z17559" s="372">
        <v>0.0</v>
      </c>
    </row>
    <row r="17560">
      <c r="Y17560" s="372">
        <v>0.0</v>
      </c>
      <c r="Z17560" s="372">
        <v>0.0</v>
      </c>
    </row>
    <row r="17561">
      <c r="Y17561" s="372">
        <v>0.0</v>
      </c>
      <c r="Z17561" s="372">
        <v>0.0</v>
      </c>
    </row>
    <row r="17562">
      <c r="Y17562" s="372">
        <v>0.0</v>
      </c>
      <c r="Z17562" s="372">
        <v>0.0</v>
      </c>
    </row>
    <row r="17563">
      <c r="Y17563" s="372">
        <v>0.0</v>
      </c>
      <c r="Z17563" s="372">
        <v>0.0</v>
      </c>
    </row>
    <row r="17564">
      <c r="Y17564" s="372">
        <v>0.0</v>
      </c>
      <c r="Z17564" s="372">
        <v>0.0</v>
      </c>
    </row>
    <row r="17565">
      <c r="Y17565" s="372">
        <v>0.0</v>
      </c>
      <c r="Z17565" s="372">
        <v>0.0</v>
      </c>
    </row>
    <row r="17566">
      <c r="Y17566" s="372">
        <v>0.0</v>
      </c>
      <c r="Z17566" s="372">
        <v>0.0</v>
      </c>
    </row>
    <row r="17567">
      <c r="Y17567" s="372">
        <v>0.0</v>
      </c>
      <c r="Z17567" s="372">
        <v>0.0</v>
      </c>
    </row>
    <row r="17568">
      <c r="Y17568" s="372">
        <v>0.0</v>
      </c>
      <c r="Z17568" s="372">
        <v>0.0</v>
      </c>
    </row>
    <row r="17569">
      <c r="Y17569" s="372">
        <v>0.0</v>
      </c>
      <c r="Z17569" s="372">
        <v>0.0</v>
      </c>
    </row>
    <row r="17570">
      <c r="Y17570" s="372">
        <v>0.0</v>
      </c>
      <c r="Z17570" s="372">
        <v>0.0</v>
      </c>
    </row>
    <row r="17571">
      <c r="Y17571" s="372">
        <v>0.0</v>
      </c>
      <c r="Z17571" s="372">
        <v>0.0</v>
      </c>
    </row>
    <row r="17572">
      <c r="Y17572" s="372">
        <v>0.0</v>
      </c>
      <c r="Z17572" s="372">
        <v>0.0</v>
      </c>
    </row>
    <row r="17573">
      <c r="Y17573" s="372">
        <v>0.0</v>
      </c>
      <c r="Z17573" s="372">
        <v>0.0</v>
      </c>
    </row>
    <row r="17574">
      <c r="Y17574" s="372">
        <v>0.0</v>
      </c>
      <c r="Z17574" s="372">
        <v>0.0</v>
      </c>
    </row>
    <row r="17575">
      <c r="Y17575" s="372">
        <v>0.0</v>
      </c>
      <c r="Z17575" s="372">
        <v>0.0</v>
      </c>
    </row>
    <row r="17576">
      <c r="Y17576" s="372">
        <v>0.0</v>
      </c>
      <c r="Z17576" s="372">
        <v>0.0</v>
      </c>
    </row>
    <row r="17577">
      <c r="Y17577" s="372">
        <v>0.0</v>
      </c>
      <c r="Z17577" s="372">
        <v>0.0</v>
      </c>
    </row>
    <row r="17578">
      <c r="Y17578" s="372">
        <v>0.0</v>
      </c>
      <c r="Z17578" s="372">
        <v>0.0</v>
      </c>
    </row>
    <row r="17579">
      <c r="Y17579" s="372">
        <v>0.0</v>
      </c>
      <c r="Z17579" s="372">
        <v>0.0</v>
      </c>
    </row>
    <row r="17580">
      <c r="Y17580" s="372">
        <v>0.0</v>
      </c>
      <c r="Z17580" s="372">
        <v>0.0</v>
      </c>
    </row>
    <row r="17581">
      <c r="Y17581" s="372">
        <v>0.0</v>
      </c>
      <c r="Z17581" s="372">
        <v>0.0</v>
      </c>
    </row>
    <row r="17582">
      <c r="Y17582" s="372">
        <v>0.0</v>
      </c>
      <c r="Z17582" s="372">
        <v>0.0</v>
      </c>
    </row>
    <row r="17583">
      <c r="Y17583" s="372">
        <v>0.0</v>
      </c>
      <c r="Z17583" s="372">
        <v>0.0</v>
      </c>
    </row>
    <row r="17584">
      <c r="Y17584" s="372">
        <v>0.0</v>
      </c>
      <c r="Z17584" s="372">
        <v>0.0</v>
      </c>
    </row>
    <row r="17585">
      <c r="Y17585" s="372">
        <v>0.0</v>
      </c>
      <c r="Z17585" s="372">
        <v>0.0</v>
      </c>
    </row>
    <row r="17586">
      <c r="Y17586" s="372">
        <v>0.0</v>
      </c>
      <c r="Z17586" s="372">
        <v>0.0</v>
      </c>
    </row>
    <row r="17587">
      <c r="Y17587" s="372">
        <v>0.0</v>
      </c>
      <c r="Z17587" s="372">
        <v>0.0</v>
      </c>
    </row>
    <row r="17588">
      <c r="Y17588" s="372">
        <v>0.0</v>
      </c>
      <c r="Z17588" s="372">
        <v>0.0</v>
      </c>
    </row>
    <row r="17589">
      <c r="Y17589" s="372">
        <v>0.0</v>
      </c>
      <c r="Z17589" s="372">
        <v>0.0</v>
      </c>
    </row>
    <row r="17590">
      <c r="Y17590" s="372">
        <v>0.0</v>
      </c>
      <c r="Z17590" s="372">
        <v>0.0</v>
      </c>
    </row>
    <row r="17591">
      <c r="Y17591" s="372">
        <v>0.0</v>
      </c>
      <c r="Z17591" s="372">
        <v>0.0</v>
      </c>
    </row>
    <row r="17592">
      <c r="Y17592" s="372">
        <v>0.0</v>
      </c>
      <c r="Z17592" s="372">
        <v>0.0</v>
      </c>
    </row>
    <row r="17593">
      <c r="Y17593" s="372">
        <v>0.0</v>
      </c>
      <c r="Z17593" s="372">
        <v>0.0</v>
      </c>
    </row>
    <row r="17594">
      <c r="Y17594" s="372">
        <v>0.0</v>
      </c>
      <c r="Z17594" s="372">
        <v>0.0</v>
      </c>
    </row>
    <row r="17595">
      <c r="Y17595" s="372">
        <v>0.0</v>
      </c>
      <c r="Z17595" s="372">
        <v>0.0</v>
      </c>
    </row>
    <row r="17596">
      <c r="Y17596" s="372">
        <v>0.0</v>
      </c>
      <c r="Z17596" s="372">
        <v>0.0</v>
      </c>
    </row>
    <row r="17597">
      <c r="Y17597" s="372">
        <v>0.0</v>
      </c>
      <c r="Z17597" s="372">
        <v>0.0</v>
      </c>
    </row>
    <row r="17598">
      <c r="Y17598" s="372">
        <v>0.0</v>
      </c>
      <c r="Z17598" s="372">
        <v>0.0</v>
      </c>
    </row>
    <row r="17599">
      <c r="Y17599" s="372">
        <v>0.0</v>
      </c>
      <c r="Z17599" s="372">
        <v>0.0</v>
      </c>
    </row>
    <row r="17600">
      <c r="Y17600" s="372">
        <v>0.0</v>
      </c>
      <c r="Z17600" s="372">
        <v>0.0</v>
      </c>
    </row>
    <row r="17601">
      <c r="Y17601" s="372">
        <v>0.0</v>
      </c>
      <c r="Z17601" s="372">
        <v>0.0</v>
      </c>
    </row>
    <row r="17602">
      <c r="Y17602" s="372">
        <v>0.0</v>
      </c>
      <c r="Z17602" s="372">
        <v>0.0</v>
      </c>
    </row>
    <row r="17603">
      <c r="Y17603" s="372">
        <v>0.0</v>
      </c>
      <c r="Z17603" s="372">
        <v>0.0</v>
      </c>
    </row>
    <row r="17604">
      <c r="Y17604" s="372">
        <v>0.0</v>
      </c>
      <c r="Z17604" s="372">
        <v>0.0</v>
      </c>
    </row>
    <row r="17605">
      <c r="Y17605" s="372">
        <v>0.0</v>
      </c>
      <c r="Z17605" s="372">
        <v>0.0</v>
      </c>
    </row>
    <row r="17606">
      <c r="Y17606" s="372">
        <v>0.0</v>
      </c>
      <c r="Z17606" s="372">
        <v>0.0</v>
      </c>
    </row>
    <row r="17607">
      <c r="Y17607" s="372">
        <v>0.0</v>
      </c>
      <c r="Z17607" s="372">
        <v>0.0</v>
      </c>
    </row>
    <row r="17608">
      <c r="Y17608" s="372">
        <v>0.0</v>
      </c>
      <c r="Z17608" s="372">
        <v>0.0</v>
      </c>
    </row>
    <row r="17609">
      <c r="Y17609" s="372">
        <v>0.0</v>
      </c>
      <c r="Z17609" s="372">
        <v>0.0</v>
      </c>
    </row>
    <row r="17610">
      <c r="Y17610" s="372">
        <v>0.0</v>
      </c>
      <c r="Z17610" s="372">
        <v>0.0</v>
      </c>
    </row>
    <row r="17611">
      <c r="Y17611" s="372">
        <v>0.0</v>
      </c>
      <c r="Z17611" s="372">
        <v>0.0</v>
      </c>
    </row>
    <row r="17612">
      <c r="Y17612" s="372">
        <v>0.0</v>
      </c>
      <c r="Z17612" s="372">
        <v>0.0</v>
      </c>
    </row>
    <row r="17613">
      <c r="Y17613" s="372">
        <v>0.0</v>
      </c>
      <c r="Z17613" s="372">
        <v>0.0</v>
      </c>
    </row>
    <row r="17614">
      <c r="Y17614" s="372">
        <v>0.0</v>
      </c>
      <c r="Z17614" s="372">
        <v>0.0</v>
      </c>
    </row>
    <row r="17615">
      <c r="Y17615" s="372">
        <v>0.0</v>
      </c>
      <c r="Z17615" s="372">
        <v>0.0</v>
      </c>
    </row>
    <row r="17616">
      <c r="Y17616" s="372">
        <v>0.0</v>
      </c>
      <c r="Z17616" s="372">
        <v>0.0</v>
      </c>
    </row>
    <row r="17617">
      <c r="Y17617" s="372">
        <v>0.0</v>
      </c>
      <c r="Z17617" s="372">
        <v>0.0</v>
      </c>
    </row>
    <row r="17618">
      <c r="Y17618" s="372">
        <v>0.0</v>
      </c>
      <c r="Z17618" s="372">
        <v>0.0</v>
      </c>
    </row>
    <row r="17619">
      <c r="Y17619" s="372">
        <v>0.0</v>
      </c>
      <c r="Z17619" s="372">
        <v>0.0</v>
      </c>
    </row>
    <row r="17620">
      <c r="Y17620" s="372">
        <v>0.0</v>
      </c>
      <c r="Z17620" s="372">
        <v>0.0</v>
      </c>
    </row>
    <row r="17621">
      <c r="Y17621" s="372">
        <v>0.0</v>
      </c>
      <c r="Z17621" s="372">
        <v>0.0</v>
      </c>
    </row>
    <row r="17622">
      <c r="Y17622" s="372">
        <v>0.0</v>
      </c>
      <c r="Z17622" s="372">
        <v>0.0</v>
      </c>
    </row>
    <row r="17623">
      <c r="Y17623" s="372">
        <v>0.0</v>
      </c>
      <c r="Z17623" s="372">
        <v>0.0</v>
      </c>
    </row>
    <row r="17624">
      <c r="Y17624" s="372">
        <v>0.0</v>
      </c>
      <c r="Z17624" s="372">
        <v>0.0</v>
      </c>
    </row>
    <row r="17625">
      <c r="Y17625" s="372">
        <v>0.0</v>
      </c>
      <c r="Z17625" s="372">
        <v>0.0</v>
      </c>
    </row>
    <row r="17626">
      <c r="Y17626" s="372">
        <v>0.0</v>
      </c>
      <c r="Z17626" s="372">
        <v>0.0</v>
      </c>
    </row>
    <row r="17627">
      <c r="Y17627" s="372">
        <v>0.0</v>
      </c>
      <c r="Z17627" s="372">
        <v>0.0</v>
      </c>
    </row>
    <row r="17628">
      <c r="Y17628" s="372">
        <v>0.0</v>
      </c>
      <c r="Z17628" s="372">
        <v>0.0</v>
      </c>
    </row>
    <row r="17629">
      <c r="Y17629" s="372">
        <v>0.0</v>
      </c>
      <c r="Z17629" s="372">
        <v>0.0</v>
      </c>
    </row>
    <row r="17630">
      <c r="Y17630" s="372">
        <v>0.0</v>
      </c>
      <c r="Z17630" s="372">
        <v>0.0</v>
      </c>
    </row>
    <row r="17631">
      <c r="Y17631" s="372">
        <v>0.0</v>
      </c>
      <c r="Z17631" s="372">
        <v>0.0</v>
      </c>
    </row>
    <row r="17632">
      <c r="Y17632" s="372">
        <v>0.0</v>
      </c>
      <c r="Z17632" s="372">
        <v>0.0</v>
      </c>
    </row>
    <row r="17633">
      <c r="Y17633" s="372">
        <v>0.0</v>
      </c>
      <c r="Z17633" s="372">
        <v>0.0</v>
      </c>
    </row>
    <row r="17634">
      <c r="Y17634" s="372">
        <v>0.0</v>
      </c>
      <c r="Z17634" s="372">
        <v>0.0</v>
      </c>
    </row>
    <row r="17635">
      <c r="Y17635" s="372">
        <v>0.0</v>
      </c>
      <c r="Z17635" s="372">
        <v>0.0</v>
      </c>
    </row>
    <row r="17636">
      <c r="Y17636" s="372">
        <v>0.0</v>
      </c>
      <c r="Z17636" s="372">
        <v>0.0</v>
      </c>
    </row>
    <row r="17637">
      <c r="Y17637" s="372">
        <v>0.0</v>
      </c>
      <c r="Z17637" s="372">
        <v>0.0</v>
      </c>
    </row>
    <row r="17638">
      <c r="Y17638" s="372">
        <v>0.0</v>
      </c>
      <c r="Z17638" s="372">
        <v>0.0</v>
      </c>
    </row>
    <row r="17639">
      <c r="Y17639" s="372">
        <v>0.0</v>
      </c>
      <c r="Z17639" s="372">
        <v>0.0</v>
      </c>
    </row>
    <row r="17640">
      <c r="Y17640" s="372">
        <v>0.0</v>
      </c>
      <c r="Z17640" s="372">
        <v>0.0</v>
      </c>
    </row>
    <row r="17641">
      <c r="Y17641" s="372">
        <v>0.0</v>
      </c>
      <c r="Z17641" s="372">
        <v>0.0</v>
      </c>
    </row>
    <row r="17642">
      <c r="Y17642" s="372">
        <v>0.0</v>
      </c>
      <c r="Z17642" s="372">
        <v>0.0</v>
      </c>
    </row>
    <row r="17643">
      <c r="Y17643" s="372">
        <v>0.0</v>
      </c>
      <c r="Z17643" s="372">
        <v>0.0</v>
      </c>
    </row>
    <row r="17644">
      <c r="Y17644" s="372">
        <v>0.0</v>
      </c>
      <c r="Z17644" s="372">
        <v>0.0</v>
      </c>
    </row>
    <row r="17645">
      <c r="Y17645" s="372">
        <v>0.0</v>
      </c>
      <c r="Z17645" s="372">
        <v>0.0</v>
      </c>
    </row>
    <row r="17646">
      <c r="Y17646" s="372">
        <v>0.0</v>
      </c>
      <c r="Z17646" s="372">
        <v>0.0</v>
      </c>
    </row>
    <row r="17647">
      <c r="Y17647" s="372">
        <v>0.0</v>
      </c>
      <c r="Z17647" s="372">
        <v>0.0</v>
      </c>
    </row>
    <row r="17648">
      <c r="Y17648" s="372">
        <v>0.0</v>
      </c>
      <c r="Z17648" s="372">
        <v>0.0</v>
      </c>
    </row>
    <row r="17649">
      <c r="Y17649" s="372">
        <v>0.0</v>
      </c>
      <c r="Z17649" s="372">
        <v>0.0</v>
      </c>
    </row>
    <row r="17650">
      <c r="Y17650" s="372">
        <v>0.0</v>
      </c>
      <c r="Z17650" s="372">
        <v>0.0</v>
      </c>
    </row>
    <row r="17651">
      <c r="Y17651" s="372">
        <v>0.0</v>
      </c>
      <c r="Z17651" s="372">
        <v>0.0</v>
      </c>
    </row>
    <row r="17652">
      <c r="Y17652" s="372">
        <v>0.0</v>
      </c>
      <c r="Z17652" s="372">
        <v>0.0</v>
      </c>
    </row>
    <row r="17653">
      <c r="Y17653" s="372">
        <v>0.0</v>
      </c>
      <c r="Z17653" s="372">
        <v>0.0</v>
      </c>
    </row>
    <row r="17654">
      <c r="Y17654" s="372">
        <v>0.0</v>
      </c>
      <c r="Z17654" s="372">
        <v>0.0</v>
      </c>
    </row>
    <row r="17655">
      <c r="Y17655" s="372">
        <v>0.0</v>
      </c>
      <c r="Z17655" s="372">
        <v>0.0</v>
      </c>
    </row>
    <row r="17656">
      <c r="Y17656" s="372">
        <v>0.0</v>
      </c>
      <c r="Z17656" s="372">
        <v>0.0</v>
      </c>
    </row>
    <row r="17657">
      <c r="Y17657" s="372">
        <v>0.0</v>
      </c>
      <c r="Z17657" s="372">
        <v>0.0</v>
      </c>
    </row>
    <row r="17658">
      <c r="Y17658" s="372">
        <v>0.0</v>
      </c>
      <c r="Z17658" s="372">
        <v>0.0</v>
      </c>
    </row>
    <row r="17659">
      <c r="Y17659" s="372">
        <v>0.0</v>
      </c>
      <c r="Z17659" s="372">
        <v>0.0</v>
      </c>
    </row>
    <row r="17660">
      <c r="Y17660" s="372">
        <v>0.0</v>
      </c>
      <c r="Z17660" s="372">
        <v>0.0</v>
      </c>
    </row>
    <row r="17661">
      <c r="Y17661" s="372">
        <v>0.0</v>
      </c>
      <c r="Z17661" s="372">
        <v>0.0</v>
      </c>
    </row>
    <row r="17662">
      <c r="Y17662" s="372">
        <v>0.0</v>
      </c>
      <c r="Z17662" s="372">
        <v>0.0</v>
      </c>
    </row>
    <row r="17663">
      <c r="Y17663" s="372">
        <v>0.0</v>
      </c>
      <c r="Z17663" s="372">
        <v>0.0</v>
      </c>
    </row>
    <row r="17664">
      <c r="Y17664" s="372">
        <v>0.0</v>
      </c>
      <c r="Z17664" s="372">
        <v>0.0</v>
      </c>
    </row>
    <row r="17665">
      <c r="Y17665" s="372">
        <v>0.0</v>
      </c>
      <c r="Z17665" s="372">
        <v>0.0</v>
      </c>
    </row>
    <row r="17666">
      <c r="Y17666" s="372">
        <v>0.0</v>
      </c>
      <c r="Z17666" s="372">
        <v>0.0</v>
      </c>
    </row>
    <row r="17667">
      <c r="Y17667" s="372">
        <v>0.0</v>
      </c>
      <c r="Z17667" s="372">
        <v>0.0</v>
      </c>
    </row>
    <row r="17668">
      <c r="Y17668" s="372">
        <v>0.0</v>
      </c>
      <c r="Z17668" s="372">
        <v>0.0</v>
      </c>
    </row>
    <row r="17669">
      <c r="Y17669" s="372">
        <v>0.0</v>
      </c>
      <c r="Z17669" s="372">
        <v>0.0</v>
      </c>
    </row>
    <row r="17670">
      <c r="Y17670" s="372">
        <v>0.0</v>
      </c>
      <c r="Z17670" s="372">
        <v>0.0</v>
      </c>
    </row>
    <row r="17671">
      <c r="Y17671" s="372">
        <v>0.0</v>
      </c>
      <c r="Z17671" s="372">
        <v>0.0</v>
      </c>
    </row>
    <row r="17672">
      <c r="Y17672" s="372">
        <v>0.0</v>
      </c>
      <c r="Z17672" s="372">
        <v>0.0</v>
      </c>
    </row>
    <row r="17673">
      <c r="Y17673" s="372">
        <v>0.0</v>
      </c>
      <c r="Z17673" s="372">
        <v>0.0</v>
      </c>
    </row>
    <row r="17674">
      <c r="Y17674" s="372">
        <v>0.0</v>
      </c>
      <c r="Z17674" s="372">
        <v>0.0</v>
      </c>
    </row>
    <row r="17675">
      <c r="Y17675" s="372">
        <v>0.0</v>
      </c>
      <c r="Z17675" s="372">
        <v>0.0</v>
      </c>
    </row>
    <row r="17676">
      <c r="Y17676" s="372">
        <v>0.0</v>
      </c>
      <c r="Z17676" s="372">
        <v>0.0</v>
      </c>
    </row>
    <row r="17677">
      <c r="Y17677" s="372">
        <v>0.0</v>
      </c>
      <c r="Z17677" s="372">
        <v>0.0</v>
      </c>
    </row>
    <row r="17678">
      <c r="Y17678" s="372">
        <v>0.0</v>
      </c>
      <c r="Z17678" s="372">
        <v>0.0</v>
      </c>
    </row>
    <row r="17679">
      <c r="Y17679" s="372">
        <v>0.0</v>
      </c>
      <c r="Z17679" s="372">
        <v>0.0</v>
      </c>
    </row>
    <row r="17680">
      <c r="Y17680" s="372">
        <v>0.0</v>
      </c>
      <c r="Z17680" s="372">
        <v>0.0</v>
      </c>
    </row>
    <row r="17681">
      <c r="Y17681" s="372">
        <v>0.0</v>
      </c>
      <c r="Z17681" s="372">
        <v>0.0</v>
      </c>
    </row>
    <row r="17682">
      <c r="Y17682" s="372">
        <v>0.0</v>
      </c>
      <c r="Z17682" s="372">
        <v>0.0</v>
      </c>
    </row>
    <row r="17683">
      <c r="Y17683" s="372">
        <v>0.0</v>
      </c>
      <c r="Z17683" s="372">
        <v>0.0</v>
      </c>
    </row>
    <row r="17684">
      <c r="Y17684" s="372">
        <v>0.0</v>
      </c>
      <c r="Z17684" s="372">
        <v>0.0</v>
      </c>
    </row>
    <row r="17685">
      <c r="Y17685" s="372">
        <v>0.0</v>
      </c>
      <c r="Z17685" s="372">
        <v>0.0</v>
      </c>
    </row>
    <row r="17686">
      <c r="Y17686" s="372">
        <v>0.0</v>
      </c>
      <c r="Z17686" s="372">
        <v>0.0</v>
      </c>
    </row>
    <row r="17687">
      <c r="Y17687" s="372">
        <v>0.0</v>
      </c>
      <c r="Z17687" s="372">
        <v>0.0</v>
      </c>
    </row>
    <row r="17688">
      <c r="Y17688" s="372">
        <v>0.0</v>
      </c>
      <c r="Z17688" s="372">
        <v>0.0</v>
      </c>
    </row>
    <row r="17689">
      <c r="Y17689" s="372">
        <v>0.0</v>
      </c>
      <c r="Z17689" s="372">
        <v>0.0</v>
      </c>
    </row>
    <row r="17690">
      <c r="Y17690" s="372">
        <v>0.0</v>
      </c>
      <c r="Z17690" s="372">
        <v>0.0</v>
      </c>
    </row>
    <row r="17691">
      <c r="Y17691" s="372">
        <v>0.0</v>
      </c>
      <c r="Z17691" s="372">
        <v>0.0</v>
      </c>
    </row>
    <row r="17692">
      <c r="Y17692" s="372">
        <v>0.0</v>
      </c>
      <c r="Z17692" s="372">
        <v>0.0</v>
      </c>
    </row>
    <row r="17693">
      <c r="Y17693" s="372">
        <v>0.0</v>
      </c>
      <c r="Z17693" s="372">
        <v>0.0</v>
      </c>
    </row>
    <row r="17694">
      <c r="Y17694" s="372">
        <v>0.0</v>
      </c>
      <c r="Z17694" s="372">
        <v>0.0</v>
      </c>
    </row>
    <row r="17695">
      <c r="Y17695" s="372">
        <v>0.0</v>
      </c>
      <c r="Z17695" s="372">
        <v>0.0</v>
      </c>
    </row>
    <row r="17696">
      <c r="Y17696" s="372">
        <v>0.0</v>
      </c>
      <c r="Z17696" s="372">
        <v>0.0</v>
      </c>
    </row>
    <row r="17697">
      <c r="Y17697" s="372">
        <v>0.0</v>
      </c>
      <c r="Z17697" s="372">
        <v>0.0</v>
      </c>
    </row>
    <row r="17698">
      <c r="Y17698" s="372">
        <v>0.0</v>
      </c>
      <c r="Z17698" s="372">
        <v>0.0</v>
      </c>
    </row>
    <row r="17699">
      <c r="Y17699" s="372">
        <v>0.0</v>
      </c>
      <c r="Z17699" s="372">
        <v>0.0</v>
      </c>
    </row>
    <row r="17700">
      <c r="Y17700" s="372">
        <v>0.0</v>
      </c>
      <c r="Z17700" s="372">
        <v>0.0</v>
      </c>
    </row>
    <row r="17701">
      <c r="Y17701" s="372">
        <v>0.0</v>
      </c>
      <c r="Z17701" s="372">
        <v>0.0</v>
      </c>
    </row>
    <row r="17702">
      <c r="Y17702" s="372">
        <v>0.0</v>
      </c>
      <c r="Z17702" s="372">
        <v>0.0</v>
      </c>
    </row>
    <row r="17703">
      <c r="Y17703" s="372">
        <v>0.0</v>
      </c>
      <c r="Z17703" s="372">
        <v>0.0</v>
      </c>
    </row>
    <row r="17704">
      <c r="Y17704" s="372">
        <v>0.0</v>
      </c>
      <c r="Z17704" s="372">
        <v>0.0</v>
      </c>
    </row>
    <row r="17705">
      <c r="Y17705" s="372">
        <v>0.0</v>
      </c>
      <c r="Z17705" s="372">
        <v>0.0</v>
      </c>
    </row>
    <row r="17706">
      <c r="Y17706" s="372">
        <v>0.0</v>
      </c>
      <c r="Z17706" s="372">
        <v>0.0</v>
      </c>
    </row>
    <row r="17707">
      <c r="Y17707" s="372">
        <v>0.0</v>
      </c>
      <c r="Z17707" s="372">
        <v>0.0</v>
      </c>
    </row>
    <row r="17708">
      <c r="Y17708" s="372">
        <v>0.0</v>
      </c>
      <c r="Z17708" s="372">
        <v>0.0</v>
      </c>
    </row>
    <row r="17709">
      <c r="Y17709" s="372">
        <v>0.0</v>
      </c>
      <c r="Z17709" s="372">
        <v>0.0</v>
      </c>
    </row>
    <row r="17710">
      <c r="Y17710" s="372">
        <v>0.0</v>
      </c>
      <c r="Z17710" s="372">
        <v>0.0</v>
      </c>
    </row>
    <row r="17711">
      <c r="Y17711" s="372">
        <v>0.0</v>
      </c>
      <c r="Z17711" s="372">
        <v>0.0</v>
      </c>
    </row>
    <row r="17712">
      <c r="Y17712" s="372">
        <v>0.0</v>
      </c>
      <c r="Z17712" s="372">
        <v>0.0</v>
      </c>
    </row>
    <row r="17713">
      <c r="Y17713" s="372">
        <v>0.0</v>
      </c>
      <c r="Z17713" s="372">
        <v>0.0</v>
      </c>
    </row>
    <row r="17714">
      <c r="Y17714" s="372">
        <v>0.0</v>
      </c>
      <c r="Z17714" s="372">
        <v>0.0</v>
      </c>
    </row>
    <row r="17715">
      <c r="Y17715" s="372">
        <v>0.0</v>
      </c>
      <c r="Z17715" s="372">
        <v>0.0</v>
      </c>
    </row>
    <row r="17716">
      <c r="Y17716" s="372">
        <v>0.0</v>
      </c>
      <c r="Z17716" s="372">
        <v>0.0</v>
      </c>
    </row>
    <row r="17717">
      <c r="Y17717" s="372">
        <v>0.0</v>
      </c>
      <c r="Z17717" s="372">
        <v>0.0</v>
      </c>
    </row>
    <row r="17718">
      <c r="Y17718" s="372">
        <v>0.0</v>
      </c>
      <c r="Z17718" s="372">
        <v>0.0</v>
      </c>
    </row>
    <row r="17719">
      <c r="Y17719" s="372">
        <v>0.0</v>
      </c>
      <c r="Z17719" s="372">
        <v>0.0</v>
      </c>
    </row>
    <row r="17720">
      <c r="Y17720" s="372">
        <v>0.0</v>
      </c>
      <c r="Z17720" s="372">
        <v>0.0</v>
      </c>
    </row>
    <row r="17721">
      <c r="Y17721" s="372">
        <v>0.0</v>
      </c>
      <c r="Z17721" s="372">
        <v>0.0</v>
      </c>
    </row>
    <row r="17722">
      <c r="Y17722" s="372">
        <v>0.0</v>
      </c>
      <c r="Z17722" s="372">
        <v>0.0</v>
      </c>
    </row>
    <row r="17723">
      <c r="Y17723" s="372">
        <v>0.0</v>
      </c>
      <c r="Z17723" s="372">
        <v>0.0</v>
      </c>
    </row>
    <row r="17724">
      <c r="Y17724" s="372">
        <v>0.0</v>
      </c>
      <c r="Z17724" s="372">
        <v>0.0</v>
      </c>
    </row>
    <row r="17725">
      <c r="Y17725" s="372">
        <v>0.0</v>
      </c>
      <c r="Z17725" s="372">
        <v>0.0</v>
      </c>
    </row>
    <row r="17726">
      <c r="Y17726" s="372">
        <v>0.0</v>
      </c>
      <c r="Z17726" s="372">
        <v>0.0</v>
      </c>
    </row>
    <row r="17727">
      <c r="Y17727" s="372">
        <v>0.0</v>
      </c>
      <c r="Z17727" s="372">
        <v>0.0</v>
      </c>
    </row>
    <row r="17728">
      <c r="Y17728" s="372">
        <v>0.0</v>
      </c>
      <c r="Z17728" s="372">
        <v>0.0</v>
      </c>
    </row>
    <row r="17729">
      <c r="Y17729" s="372">
        <v>0.0</v>
      </c>
      <c r="Z17729" s="372">
        <v>0.0</v>
      </c>
    </row>
    <row r="17730">
      <c r="Y17730" s="372">
        <v>0.0</v>
      </c>
      <c r="Z17730" s="372">
        <v>0.0</v>
      </c>
    </row>
    <row r="17731">
      <c r="Y17731" s="372">
        <v>0.0</v>
      </c>
      <c r="Z17731" s="372">
        <v>0.0</v>
      </c>
    </row>
    <row r="17732">
      <c r="Y17732" s="372">
        <v>0.0</v>
      </c>
      <c r="Z17732" s="372">
        <v>0.0</v>
      </c>
    </row>
    <row r="17733">
      <c r="Y17733" s="372">
        <v>0.0</v>
      </c>
      <c r="Z17733" s="372">
        <v>0.0</v>
      </c>
    </row>
    <row r="17734">
      <c r="Y17734" s="372">
        <v>0.0</v>
      </c>
      <c r="Z17734" s="372">
        <v>0.0</v>
      </c>
    </row>
    <row r="17735">
      <c r="Y17735" s="372">
        <v>0.0</v>
      </c>
      <c r="Z17735" s="372">
        <v>0.0</v>
      </c>
    </row>
    <row r="17736">
      <c r="Y17736" s="372">
        <v>0.0</v>
      </c>
      <c r="Z17736" s="372">
        <v>0.0</v>
      </c>
    </row>
    <row r="17737">
      <c r="Y17737" s="372">
        <v>0.0</v>
      </c>
      <c r="Z17737" s="372">
        <v>0.0</v>
      </c>
    </row>
    <row r="17738">
      <c r="Y17738" s="372">
        <v>0.0</v>
      </c>
      <c r="Z17738" s="372">
        <v>0.0</v>
      </c>
    </row>
    <row r="17739">
      <c r="Y17739" s="372">
        <v>0.0</v>
      </c>
      <c r="Z17739" s="372">
        <v>0.0</v>
      </c>
    </row>
    <row r="17740">
      <c r="Y17740" s="372">
        <v>0.0</v>
      </c>
      <c r="Z17740" s="372">
        <v>0.0</v>
      </c>
    </row>
    <row r="17741">
      <c r="Y17741" s="372">
        <v>0.0</v>
      </c>
      <c r="Z17741" s="372">
        <v>0.0</v>
      </c>
    </row>
    <row r="17742">
      <c r="Y17742" s="372">
        <v>0.0</v>
      </c>
      <c r="Z17742" s="372">
        <v>0.0</v>
      </c>
    </row>
    <row r="17743">
      <c r="Y17743" s="372">
        <v>0.0</v>
      </c>
      <c r="Z17743" s="372">
        <v>0.0</v>
      </c>
    </row>
    <row r="17744">
      <c r="Y17744" s="372">
        <v>0.0</v>
      </c>
      <c r="Z17744" s="372">
        <v>0.0</v>
      </c>
    </row>
    <row r="17745">
      <c r="Y17745" s="372">
        <v>0.0</v>
      </c>
      <c r="Z17745" s="372">
        <v>0.0</v>
      </c>
    </row>
    <row r="17746">
      <c r="Y17746" s="372">
        <v>0.0</v>
      </c>
      <c r="Z17746" s="372">
        <v>0.0</v>
      </c>
    </row>
    <row r="17747">
      <c r="Y17747" s="372">
        <v>0.0</v>
      </c>
      <c r="Z17747" s="372">
        <v>0.0</v>
      </c>
    </row>
    <row r="17748">
      <c r="Y17748" s="372">
        <v>0.0</v>
      </c>
      <c r="Z17748" s="372">
        <v>0.0</v>
      </c>
    </row>
    <row r="17749">
      <c r="Y17749" s="372">
        <v>0.0</v>
      </c>
      <c r="Z17749" s="372">
        <v>0.0</v>
      </c>
    </row>
    <row r="17750">
      <c r="Y17750" s="372">
        <v>0.0</v>
      </c>
      <c r="Z17750" s="372">
        <v>0.0</v>
      </c>
    </row>
    <row r="17751">
      <c r="Y17751" s="372">
        <v>0.0</v>
      </c>
      <c r="Z17751" s="372">
        <v>0.0</v>
      </c>
    </row>
    <row r="17752">
      <c r="Y17752" s="372">
        <v>0.0</v>
      </c>
      <c r="Z17752" s="372">
        <v>0.0</v>
      </c>
    </row>
    <row r="17753">
      <c r="Y17753" s="372">
        <v>0.0</v>
      </c>
      <c r="Z17753" s="372">
        <v>0.0</v>
      </c>
    </row>
    <row r="17754">
      <c r="Y17754" s="372">
        <v>0.0</v>
      </c>
      <c r="Z17754" s="372">
        <v>0.0</v>
      </c>
    </row>
    <row r="17755">
      <c r="Y17755" s="372">
        <v>0.0</v>
      </c>
      <c r="Z17755" s="372">
        <v>0.0</v>
      </c>
    </row>
    <row r="17756">
      <c r="Y17756" s="372">
        <v>0.0</v>
      </c>
      <c r="Z17756" s="372">
        <v>0.0</v>
      </c>
    </row>
    <row r="17757">
      <c r="Y17757" s="372">
        <v>0.0</v>
      </c>
      <c r="Z17757" s="372">
        <v>0.0</v>
      </c>
    </row>
    <row r="17758">
      <c r="Y17758" s="372">
        <v>0.0</v>
      </c>
      <c r="Z17758" s="372">
        <v>0.0</v>
      </c>
    </row>
    <row r="17759">
      <c r="Y17759" s="372">
        <v>0.0</v>
      </c>
      <c r="Z17759" s="372">
        <v>0.0</v>
      </c>
    </row>
    <row r="17760">
      <c r="Y17760" s="372">
        <v>0.0</v>
      </c>
      <c r="Z17760" s="372">
        <v>0.0</v>
      </c>
    </row>
    <row r="17761">
      <c r="Y17761" s="372">
        <v>0.0</v>
      </c>
      <c r="Z17761" s="372">
        <v>0.0</v>
      </c>
    </row>
    <row r="17762">
      <c r="Y17762" s="372">
        <v>0.0</v>
      </c>
      <c r="Z17762" s="372">
        <v>0.0</v>
      </c>
    </row>
    <row r="17763">
      <c r="Y17763" s="372">
        <v>0.0</v>
      </c>
      <c r="Z17763" s="372">
        <v>0.0</v>
      </c>
    </row>
    <row r="17764">
      <c r="Y17764" s="372">
        <v>0.0</v>
      </c>
      <c r="Z17764" s="372">
        <v>0.0</v>
      </c>
    </row>
    <row r="17765">
      <c r="Y17765" s="372">
        <v>0.0</v>
      </c>
      <c r="Z17765" s="372">
        <v>0.0</v>
      </c>
    </row>
    <row r="17766">
      <c r="Y17766" s="372">
        <v>0.0</v>
      </c>
      <c r="Z17766" s="372">
        <v>0.0</v>
      </c>
    </row>
    <row r="17767">
      <c r="Y17767" s="372">
        <v>0.0</v>
      </c>
      <c r="Z17767" s="372">
        <v>0.0</v>
      </c>
    </row>
    <row r="17768">
      <c r="Y17768" s="372">
        <v>0.0</v>
      </c>
      <c r="Z17768" s="372">
        <v>0.0</v>
      </c>
    </row>
    <row r="17769">
      <c r="Y17769" s="372">
        <v>0.0</v>
      </c>
      <c r="Z17769" s="372">
        <v>0.0</v>
      </c>
    </row>
    <row r="17770">
      <c r="Y17770" s="372">
        <v>0.0</v>
      </c>
      <c r="Z17770" s="372">
        <v>0.0</v>
      </c>
    </row>
    <row r="17771">
      <c r="Y17771" s="372">
        <v>0.0</v>
      </c>
      <c r="Z17771" s="372">
        <v>0.0</v>
      </c>
    </row>
    <row r="17772">
      <c r="Y17772" s="372">
        <v>0.0</v>
      </c>
      <c r="Z17772" s="372">
        <v>0.0</v>
      </c>
    </row>
    <row r="17773">
      <c r="Y17773" s="372">
        <v>0.0</v>
      </c>
      <c r="Z17773" s="372">
        <v>0.0</v>
      </c>
    </row>
    <row r="17774">
      <c r="Y17774" s="372">
        <v>0.0</v>
      </c>
      <c r="Z17774" s="372">
        <v>0.0</v>
      </c>
    </row>
    <row r="17775">
      <c r="Y17775" s="372">
        <v>0.0</v>
      </c>
      <c r="Z17775" s="372">
        <v>0.0</v>
      </c>
    </row>
    <row r="17776">
      <c r="Y17776" s="372">
        <v>0.0</v>
      </c>
      <c r="Z17776" s="372">
        <v>0.0</v>
      </c>
    </row>
    <row r="17777">
      <c r="Y17777" s="372">
        <v>0.0</v>
      </c>
      <c r="Z17777" s="372">
        <v>0.0</v>
      </c>
    </row>
    <row r="17778">
      <c r="Y17778" s="372">
        <v>0.0</v>
      </c>
      <c r="Z17778" s="372">
        <v>0.0</v>
      </c>
    </row>
    <row r="17779">
      <c r="Y17779" s="372">
        <v>0.0</v>
      </c>
      <c r="Z17779" s="372">
        <v>0.0</v>
      </c>
    </row>
    <row r="17780">
      <c r="Y17780" s="372">
        <v>0.0</v>
      </c>
      <c r="Z17780" s="372">
        <v>0.0</v>
      </c>
    </row>
    <row r="17781">
      <c r="Y17781" s="372">
        <v>0.0</v>
      </c>
      <c r="Z17781" s="372">
        <v>0.0</v>
      </c>
    </row>
    <row r="17782">
      <c r="Y17782" s="372">
        <v>0.0</v>
      </c>
      <c r="Z17782" s="372">
        <v>0.0</v>
      </c>
    </row>
    <row r="17783">
      <c r="Y17783" s="372">
        <v>0.0</v>
      </c>
      <c r="Z17783" s="372">
        <v>0.0</v>
      </c>
    </row>
    <row r="17784">
      <c r="Y17784" s="372">
        <v>0.0</v>
      </c>
      <c r="Z17784" s="372">
        <v>0.0</v>
      </c>
    </row>
    <row r="17785">
      <c r="Y17785" s="372">
        <v>0.0</v>
      </c>
      <c r="Z17785" s="372">
        <v>0.0</v>
      </c>
    </row>
    <row r="17786">
      <c r="Y17786" s="372">
        <v>0.0</v>
      </c>
      <c r="Z17786" s="372">
        <v>0.0</v>
      </c>
    </row>
    <row r="17787">
      <c r="Y17787" s="372">
        <v>0.0</v>
      </c>
      <c r="Z17787" s="372">
        <v>0.0</v>
      </c>
    </row>
    <row r="17788">
      <c r="Y17788" s="372">
        <v>0.0</v>
      </c>
      <c r="Z17788" s="372">
        <v>0.0</v>
      </c>
    </row>
    <row r="17789">
      <c r="Y17789" s="372">
        <v>0.0</v>
      </c>
      <c r="Z17789" s="372">
        <v>0.0</v>
      </c>
    </row>
    <row r="17790">
      <c r="Y17790" s="372">
        <v>0.0</v>
      </c>
      <c r="Z17790" s="372">
        <v>0.0</v>
      </c>
    </row>
    <row r="17791">
      <c r="Y17791" s="372">
        <v>0.0</v>
      </c>
      <c r="Z17791" s="372">
        <v>0.0</v>
      </c>
    </row>
    <row r="17792">
      <c r="Y17792" s="372">
        <v>0.0</v>
      </c>
      <c r="Z17792" s="372">
        <v>0.0</v>
      </c>
    </row>
    <row r="17793">
      <c r="Y17793" s="372">
        <v>0.0</v>
      </c>
      <c r="Z17793" s="372">
        <v>0.0</v>
      </c>
    </row>
    <row r="17794">
      <c r="Y17794" s="372">
        <v>0.0</v>
      </c>
      <c r="Z17794" s="372">
        <v>0.0</v>
      </c>
    </row>
    <row r="17795">
      <c r="Y17795" s="372">
        <v>0.0</v>
      </c>
      <c r="Z17795" s="372">
        <v>0.0</v>
      </c>
    </row>
    <row r="17796">
      <c r="Y17796" s="372">
        <v>0.0</v>
      </c>
      <c r="Z17796" s="372">
        <v>0.0</v>
      </c>
    </row>
    <row r="17797">
      <c r="Y17797" s="372">
        <v>0.0</v>
      </c>
      <c r="Z17797" s="372">
        <v>0.0</v>
      </c>
    </row>
    <row r="17798">
      <c r="Y17798" s="372">
        <v>0.0</v>
      </c>
      <c r="Z17798" s="372">
        <v>0.0</v>
      </c>
    </row>
    <row r="17799">
      <c r="Y17799" s="372">
        <v>0.0</v>
      </c>
      <c r="Z17799" s="372">
        <v>0.0</v>
      </c>
    </row>
    <row r="17800">
      <c r="Y17800" s="372">
        <v>0.0</v>
      </c>
      <c r="Z17800" s="372">
        <v>0.0</v>
      </c>
    </row>
    <row r="17801">
      <c r="Y17801" s="372">
        <v>0.0</v>
      </c>
      <c r="Z17801" s="372">
        <v>0.0</v>
      </c>
    </row>
    <row r="17802">
      <c r="Y17802" s="372">
        <v>0.0</v>
      </c>
      <c r="Z17802" s="372">
        <v>0.0</v>
      </c>
    </row>
    <row r="17803">
      <c r="Y17803" s="372">
        <v>0.0</v>
      </c>
      <c r="Z17803" s="372">
        <v>0.0</v>
      </c>
    </row>
    <row r="17804">
      <c r="Y17804" s="372">
        <v>0.0</v>
      </c>
      <c r="Z17804" s="372">
        <v>0.0</v>
      </c>
    </row>
    <row r="17805">
      <c r="Y17805" s="372">
        <v>0.0</v>
      </c>
      <c r="Z17805" s="372">
        <v>0.0</v>
      </c>
    </row>
    <row r="17806">
      <c r="Y17806" s="372">
        <v>0.0</v>
      </c>
      <c r="Z17806" s="372">
        <v>0.0</v>
      </c>
    </row>
    <row r="17807">
      <c r="Y17807" s="372">
        <v>0.0</v>
      </c>
      <c r="Z17807" s="372">
        <v>0.0</v>
      </c>
    </row>
    <row r="17808">
      <c r="Y17808" s="372">
        <v>0.0</v>
      </c>
      <c r="Z17808" s="372">
        <v>0.0</v>
      </c>
    </row>
    <row r="17809">
      <c r="Y17809" s="372">
        <v>0.0</v>
      </c>
      <c r="Z17809" s="372">
        <v>0.0</v>
      </c>
    </row>
    <row r="17810">
      <c r="Y17810" s="372">
        <v>0.0</v>
      </c>
      <c r="Z17810" s="372">
        <v>0.0</v>
      </c>
    </row>
    <row r="17811">
      <c r="Y17811" s="372">
        <v>0.0</v>
      </c>
      <c r="Z17811" s="372">
        <v>0.0</v>
      </c>
    </row>
    <row r="17812">
      <c r="Y17812" s="372">
        <v>0.0</v>
      </c>
      <c r="Z17812" s="372">
        <v>0.0</v>
      </c>
    </row>
    <row r="17813">
      <c r="Y17813" s="372">
        <v>0.0</v>
      </c>
      <c r="Z17813" s="372">
        <v>0.0</v>
      </c>
    </row>
    <row r="17814">
      <c r="Y17814" s="372">
        <v>0.0</v>
      </c>
      <c r="Z17814" s="372">
        <v>0.0</v>
      </c>
    </row>
    <row r="17815">
      <c r="Y17815" s="372">
        <v>0.0</v>
      </c>
      <c r="Z17815" s="372">
        <v>0.0</v>
      </c>
    </row>
    <row r="17816">
      <c r="Y17816" s="372">
        <v>0.0</v>
      </c>
      <c r="Z17816" s="372">
        <v>0.0</v>
      </c>
    </row>
    <row r="17817">
      <c r="Y17817" s="372">
        <v>0.0</v>
      </c>
      <c r="Z17817" s="372">
        <v>0.0</v>
      </c>
    </row>
    <row r="17818">
      <c r="Y17818" s="372">
        <v>0.0</v>
      </c>
      <c r="Z17818" s="372">
        <v>0.0</v>
      </c>
    </row>
    <row r="17819">
      <c r="Y17819" s="372">
        <v>0.0</v>
      </c>
      <c r="Z17819" s="372">
        <v>0.0</v>
      </c>
    </row>
    <row r="17820">
      <c r="Y17820" s="372">
        <v>0.0</v>
      </c>
      <c r="Z17820" s="372">
        <v>0.0</v>
      </c>
    </row>
    <row r="17821">
      <c r="Y17821" s="372">
        <v>0.0</v>
      </c>
      <c r="Z17821" s="372">
        <v>0.0</v>
      </c>
    </row>
    <row r="17822">
      <c r="Y17822" s="372">
        <v>0.0</v>
      </c>
      <c r="Z17822" s="372">
        <v>0.0</v>
      </c>
    </row>
    <row r="17823">
      <c r="Y17823" s="372">
        <v>0.0</v>
      </c>
      <c r="Z17823" s="372">
        <v>0.0</v>
      </c>
    </row>
    <row r="17824">
      <c r="Y17824" s="372">
        <v>0.0</v>
      </c>
      <c r="Z17824" s="372">
        <v>0.0</v>
      </c>
    </row>
    <row r="17825">
      <c r="Y17825" s="372">
        <v>0.0</v>
      </c>
      <c r="Z17825" s="372">
        <v>0.0</v>
      </c>
    </row>
    <row r="17826">
      <c r="Y17826" s="372">
        <v>0.0</v>
      </c>
      <c r="Z17826" s="372">
        <v>0.0</v>
      </c>
    </row>
    <row r="17827">
      <c r="Y17827" s="372">
        <v>0.0</v>
      </c>
      <c r="Z17827" s="372">
        <v>0.0</v>
      </c>
    </row>
    <row r="17828">
      <c r="Y17828" s="372">
        <v>0.0</v>
      </c>
      <c r="Z17828" s="372">
        <v>0.0</v>
      </c>
    </row>
    <row r="17829">
      <c r="Y17829" s="372">
        <v>0.0</v>
      </c>
      <c r="Z17829" s="372">
        <v>0.0</v>
      </c>
    </row>
    <row r="17830">
      <c r="Y17830" s="372">
        <v>0.0</v>
      </c>
      <c r="Z17830" s="372">
        <v>0.0</v>
      </c>
    </row>
    <row r="17831">
      <c r="Y17831" s="372">
        <v>0.0</v>
      </c>
      <c r="Z17831" s="372">
        <v>0.0</v>
      </c>
    </row>
    <row r="17832">
      <c r="Y17832" s="372">
        <v>0.0</v>
      </c>
      <c r="Z17832" s="372">
        <v>0.0</v>
      </c>
    </row>
    <row r="17833">
      <c r="Y17833" s="372">
        <v>0.0</v>
      </c>
      <c r="Z17833" s="372">
        <v>0.0</v>
      </c>
    </row>
    <row r="17834">
      <c r="Y17834" s="372">
        <v>0.0</v>
      </c>
      <c r="Z17834" s="372">
        <v>0.0</v>
      </c>
    </row>
    <row r="17835">
      <c r="Y17835" s="372">
        <v>0.0</v>
      </c>
      <c r="Z17835" s="372">
        <v>0.0</v>
      </c>
    </row>
    <row r="17836">
      <c r="Y17836" s="372">
        <v>0.0</v>
      </c>
      <c r="Z17836" s="372">
        <v>0.0</v>
      </c>
    </row>
    <row r="17837">
      <c r="Y17837" s="372">
        <v>0.0</v>
      </c>
      <c r="Z17837" s="372">
        <v>0.0</v>
      </c>
    </row>
    <row r="17838">
      <c r="Y17838" s="372">
        <v>0.0</v>
      </c>
      <c r="Z17838" s="372">
        <v>0.0</v>
      </c>
    </row>
    <row r="17839">
      <c r="Y17839" s="372">
        <v>0.0</v>
      </c>
      <c r="Z17839" s="372">
        <v>0.0</v>
      </c>
    </row>
    <row r="17840">
      <c r="Y17840" s="372">
        <v>0.0</v>
      </c>
      <c r="Z17840" s="372">
        <v>0.0</v>
      </c>
    </row>
    <row r="17841">
      <c r="Y17841" s="372">
        <v>0.0</v>
      </c>
      <c r="Z17841" s="372">
        <v>0.0</v>
      </c>
    </row>
    <row r="17842">
      <c r="Y17842" s="372">
        <v>0.0</v>
      </c>
      <c r="Z17842" s="372">
        <v>0.0</v>
      </c>
    </row>
    <row r="17843">
      <c r="Y17843" s="372">
        <v>0.0</v>
      </c>
      <c r="Z17843" s="372">
        <v>0.0</v>
      </c>
    </row>
    <row r="17844">
      <c r="Y17844" s="372">
        <v>0.0</v>
      </c>
      <c r="Z17844" s="372">
        <v>0.0</v>
      </c>
    </row>
    <row r="17845">
      <c r="Y17845" s="372">
        <v>0.0</v>
      </c>
      <c r="Z17845" s="372">
        <v>0.0</v>
      </c>
    </row>
    <row r="17846">
      <c r="Y17846" s="372">
        <v>0.0</v>
      </c>
      <c r="Z17846" s="372">
        <v>0.0</v>
      </c>
    </row>
    <row r="17847">
      <c r="Y17847" s="372">
        <v>0.0</v>
      </c>
      <c r="Z17847" s="372">
        <v>0.0</v>
      </c>
    </row>
    <row r="17848">
      <c r="Y17848" s="372">
        <v>0.0</v>
      </c>
      <c r="Z17848" s="372">
        <v>0.0</v>
      </c>
    </row>
    <row r="17849">
      <c r="Y17849" s="372">
        <v>0.0</v>
      </c>
      <c r="Z17849" s="372">
        <v>0.0</v>
      </c>
    </row>
    <row r="17850">
      <c r="Y17850" s="372">
        <v>0.0</v>
      </c>
      <c r="Z17850" s="372">
        <v>0.0</v>
      </c>
    </row>
    <row r="17851">
      <c r="Y17851" s="372">
        <v>0.0</v>
      </c>
      <c r="Z17851" s="372">
        <v>0.0</v>
      </c>
    </row>
    <row r="17852">
      <c r="Y17852" s="372">
        <v>0.0</v>
      </c>
      <c r="Z17852" s="372">
        <v>0.0</v>
      </c>
    </row>
    <row r="17853">
      <c r="Y17853" s="372">
        <v>0.0</v>
      </c>
      <c r="Z17853" s="372">
        <v>0.0</v>
      </c>
    </row>
    <row r="17854">
      <c r="Y17854" s="372">
        <v>0.0</v>
      </c>
      <c r="Z17854" s="372">
        <v>0.0</v>
      </c>
    </row>
    <row r="17855">
      <c r="Y17855" s="372">
        <v>0.0</v>
      </c>
      <c r="Z17855" s="372">
        <v>0.0</v>
      </c>
    </row>
    <row r="17856">
      <c r="Y17856" s="372">
        <v>0.0</v>
      </c>
      <c r="Z17856" s="372">
        <v>0.0</v>
      </c>
    </row>
    <row r="17857">
      <c r="Y17857" s="372">
        <v>0.0</v>
      </c>
      <c r="Z17857" s="372">
        <v>0.0</v>
      </c>
    </row>
    <row r="17858">
      <c r="Y17858" s="372">
        <v>0.0</v>
      </c>
      <c r="Z17858" s="372">
        <v>0.0</v>
      </c>
    </row>
    <row r="17859">
      <c r="Y17859" s="372">
        <v>0.0</v>
      </c>
      <c r="Z17859" s="372">
        <v>0.0</v>
      </c>
    </row>
    <row r="17860">
      <c r="Y17860" s="372">
        <v>0.0</v>
      </c>
      <c r="Z17860" s="372">
        <v>0.0</v>
      </c>
    </row>
    <row r="17861">
      <c r="Y17861" s="372">
        <v>0.0</v>
      </c>
      <c r="Z17861" s="372">
        <v>0.0</v>
      </c>
    </row>
    <row r="17862">
      <c r="Y17862" s="372">
        <v>0.0</v>
      </c>
      <c r="Z17862" s="372">
        <v>0.0</v>
      </c>
    </row>
    <row r="17863">
      <c r="Y17863" s="372">
        <v>0.0</v>
      </c>
      <c r="Z17863" s="372">
        <v>0.0</v>
      </c>
    </row>
    <row r="17864">
      <c r="Y17864" s="372">
        <v>0.0</v>
      </c>
      <c r="Z17864" s="372">
        <v>0.0</v>
      </c>
    </row>
    <row r="17865">
      <c r="Y17865" s="372">
        <v>0.0</v>
      </c>
      <c r="Z17865" s="372">
        <v>0.0</v>
      </c>
    </row>
    <row r="17866">
      <c r="Y17866" s="372">
        <v>0.0</v>
      </c>
      <c r="Z17866" s="372">
        <v>0.0</v>
      </c>
    </row>
    <row r="17867">
      <c r="Y17867" s="372">
        <v>0.0</v>
      </c>
      <c r="Z17867" s="372">
        <v>0.0</v>
      </c>
    </row>
    <row r="17868">
      <c r="Y17868" s="372">
        <v>0.0</v>
      </c>
      <c r="Z17868" s="372">
        <v>0.0</v>
      </c>
    </row>
    <row r="17869">
      <c r="Y17869" s="372">
        <v>0.0</v>
      </c>
      <c r="Z17869" s="372">
        <v>0.0</v>
      </c>
    </row>
    <row r="17870">
      <c r="Y17870" s="372">
        <v>0.0</v>
      </c>
      <c r="Z17870" s="372">
        <v>0.0</v>
      </c>
    </row>
    <row r="17871">
      <c r="Y17871" s="372">
        <v>0.0</v>
      </c>
      <c r="Z17871" s="372">
        <v>0.0</v>
      </c>
    </row>
    <row r="17872">
      <c r="Y17872" s="372">
        <v>0.0</v>
      </c>
      <c r="Z17872" s="372">
        <v>0.0</v>
      </c>
    </row>
    <row r="17873">
      <c r="Y17873" s="372">
        <v>0.0</v>
      </c>
      <c r="Z17873" s="372">
        <v>0.0</v>
      </c>
    </row>
    <row r="17874">
      <c r="Y17874" s="372">
        <v>0.0</v>
      </c>
      <c r="Z17874" s="372">
        <v>0.0</v>
      </c>
    </row>
    <row r="17875">
      <c r="Y17875" s="372">
        <v>0.0</v>
      </c>
      <c r="Z17875" s="372">
        <v>0.0</v>
      </c>
    </row>
    <row r="17876">
      <c r="Y17876" s="372">
        <v>0.0</v>
      </c>
      <c r="Z17876" s="372">
        <v>0.0</v>
      </c>
    </row>
    <row r="17877">
      <c r="Y17877" s="372">
        <v>0.0</v>
      </c>
      <c r="Z17877" s="372">
        <v>0.0</v>
      </c>
    </row>
    <row r="17878">
      <c r="Y17878" s="372">
        <v>0.0</v>
      </c>
      <c r="Z17878" s="372">
        <v>0.0</v>
      </c>
    </row>
    <row r="17879">
      <c r="Y17879" s="372">
        <v>0.0</v>
      </c>
      <c r="Z17879" s="372">
        <v>0.0</v>
      </c>
    </row>
    <row r="17880">
      <c r="Y17880" s="372">
        <v>0.0</v>
      </c>
      <c r="Z17880" s="372">
        <v>0.0</v>
      </c>
    </row>
    <row r="17881">
      <c r="Y17881" s="372">
        <v>0.0</v>
      </c>
      <c r="Z17881" s="372">
        <v>0.0</v>
      </c>
    </row>
    <row r="17882">
      <c r="Y17882" s="372">
        <v>0.0</v>
      </c>
      <c r="Z17882" s="372">
        <v>0.0</v>
      </c>
    </row>
    <row r="17883">
      <c r="Y17883" s="372">
        <v>0.0</v>
      </c>
      <c r="Z17883" s="372">
        <v>0.0</v>
      </c>
    </row>
    <row r="17884">
      <c r="Y17884" s="372">
        <v>0.0</v>
      </c>
      <c r="Z17884" s="372">
        <v>0.0</v>
      </c>
    </row>
    <row r="17885">
      <c r="Y17885" s="372">
        <v>0.0</v>
      </c>
      <c r="Z17885" s="372">
        <v>0.0</v>
      </c>
    </row>
    <row r="17886">
      <c r="Y17886" s="372">
        <v>0.0</v>
      </c>
      <c r="Z17886" s="372">
        <v>0.0</v>
      </c>
    </row>
    <row r="17887">
      <c r="Y17887" s="372">
        <v>0.0</v>
      </c>
      <c r="Z17887" s="372">
        <v>0.0</v>
      </c>
    </row>
    <row r="17888">
      <c r="Y17888" s="372">
        <v>0.0</v>
      </c>
      <c r="Z17888" s="372">
        <v>0.0</v>
      </c>
    </row>
    <row r="17889">
      <c r="Y17889" s="372">
        <v>0.0</v>
      </c>
      <c r="Z17889" s="372">
        <v>0.0</v>
      </c>
    </row>
    <row r="17890">
      <c r="Y17890" s="372">
        <v>0.0</v>
      </c>
      <c r="Z17890" s="372">
        <v>0.0</v>
      </c>
    </row>
    <row r="17891">
      <c r="Y17891" s="372">
        <v>0.0</v>
      </c>
      <c r="Z17891" s="372">
        <v>0.0</v>
      </c>
    </row>
    <row r="17892">
      <c r="Y17892" s="372">
        <v>0.0</v>
      </c>
      <c r="Z17892" s="372">
        <v>0.0</v>
      </c>
    </row>
    <row r="17893">
      <c r="Y17893" s="372">
        <v>0.0</v>
      </c>
      <c r="Z17893" s="372">
        <v>0.0</v>
      </c>
    </row>
    <row r="17894">
      <c r="Y17894" s="372">
        <v>0.0</v>
      </c>
      <c r="Z17894" s="372">
        <v>0.0</v>
      </c>
    </row>
    <row r="17895">
      <c r="Y17895" s="372">
        <v>0.0</v>
      </c>
      <c r="Z17895" s="372">
        <v>0.0</v>
      </c>
    </row>
    <row r="17896">
      <c r="Y17896" s="372">
        <v>0.0</v>
      </c>
      <c r="Z17896" s="372">
        <v>0.0</v>
      </c>
    </row>
    <row r="17897">
      <c r="Y17897" s="372">
        <v>0.0</v>
      </c>
      <c r="Z17897" s="372">
        <v>0.0</v>
      </c>
    </row>
    <row r="17898">
      <c r="Y17898" s="372">
        <v>0.0</v>
      </c>
      <c r="Z17898" s="372">
        <v>0.0</v>
      </c>
    </row>
    <row r="17899">
      <c r="Y17899" s="372">
        <v>0.0</v>
      </c>
      <c r="Z17899" s="372">
        <v>0.0</v>
      </c>
    </row>
    <row r="17900">
      <c r="Y17900" s="372">
        <v>0.0</v>
      </c>
      <c r="Z17900" s="372">
        <v>0.0</v>
      </c>
    </row>
    <row r="17901">
      <c r="Y17901" s="372">
        <v>0.0</v>
      </c>
      <c r="Z17901" s="372">
        <v>0.0</v>
      </c>
    </row>
    <row r="17902">
      <c r="Y17902" s="372">
        <v>0.0</v>
      </c>
      <c r="Z17902" s="372">
        <v>0.0</v>
      </c>
    </row>
    <row r="17903">
      <c r="Y17903" s="372">
        <v>0.0</v>
      </c>
      <c r="Z17903" s="372">
        <v>0.0</v>
      </c>
    </row>
    <row r="17904">
      <c r="Y17904" s="372">
        <v>0.0</v>
      </c>
      <c r="Z17904" s="372">
        <v>0.0</v>
      </c>
    </row>
    <row r="17905">
      <c r="Y17905" s="372">
        <v>0.0</v>
      </c>
      <c r="Z17905" s="372">
        <v>0.0</v>
      </c>
    </row>
    <row r="17906">
      <c r="Y17906" s="372">
        <v>0.0</v>
      </c>
      <c r="Z17906" s="372">
        <v>0.0</v>
      </c>
    </row>
    <row r="17907">
      <c r="Y17907" s="372">
        <v>0.0</v>
      </c>
      <c r="Z17907" s="372">
        <v>0.0</v>
      </c>
    </row>
    <row r="17908">
      <c r="Y17908" s="372">
        <v>0.0</v>
      </c>
      <c r="Z17908" s="372">
        <v>0.0</v>
      </c>
    </row>
    <row r="17909">
      <c r="Y17909" s="372">
        <v>0.0</v>
      </c>
      <c r="Z17909" s="372">
        <v>0.0</v>
      </c>
    </row>
    <row r="17910">
      <c r="Y17910" s="372">
        <v>0.0</v>
      </c>
      <c r="Z17910" s="372">
        <v>0.0</v>
      </c>
    </row>
    <row r="17911">
      <c r="Y17911" s="372">
        <v>0.0</v>
      </c>
      <c r="Z17911" s="372">
        <v>0.0</v>
      </c>
    </row>
    <row r="17912">
      <c r="Y17912" s="372">
        <v>0.0</v>
      </c>
      <c r="Z17912" s="372">
        <v>0.0</v>
      </c>
    </row>
    <row r="17913">
      <c r="Y17913" s="372">
        <v>0.0</v>
      </c>
      <c r="Z17913" s="372">
        <v>0.0</v>
      </c>
    </row>
    <row r="17914">
      <c r="Y17914" s="372">
        <v>0.0</v>
      </c>
      <c r="Z17914" s="372">
        <v>0.0</v>
      </c>
    </row>
    <row r="17915">
      <c r="Y17915" s="372">
        <v>0.0</v>
      </c>
      <c r="Z17915" s="372">
        <v>0.0</v>
      </c>
    </row>
    <row r="17916">
      <c r="Y17916" s="372">
        <v>0.0</v>
      </c>
      <c r="Z17916" s="372">
        <v>0.0</v>
      </c>
    </row>
    <row r="17917">
      <c r="Y17917" s="372">
        <v>0.0</v>
      </c>
      <c r="Z17917" s="372">
        <v>0.0</v>
      </c>
    </row>
    <row r="17918">
      <c r="Y17918" s="372">
        <v>0.0</v>
      </c>
      <c r="Z17918" s="372">
        <v>0.0</v>
      </c>
    </row>
    <row r="17919">
      <c r="Y17919" s="372">
        <v>0.0</v>
      </c>
      <c r="Z17919" s="372">
        <v>0.0</v>
      </c>
    </row>
    <row r="17920">
      <c r="Y17920" s="372">
        <v>0.0</v>
      </c>
      <c r="Z17920" s="372">
        <v>0.0</v>
      </c>
    </row>
    <row r="17921">
      <c r="Y17921" s="372">
        <v>0.0</v>
      </c>
      <c r="Z17921" s="372">
        <v>0.0</v>
      </c>
    </row>
    <row r="17922">
      <c r="Y17922" s="372">
        <v>0.0</v>
      </c>
      <c r="Z17922" s="372">
        <v>0.0</v>
      </c>
    </row>
    <row r="17923">
      <c r="Y17923" s="372">
        <v>0.0</v>
      </c>
      <c r="Z17923" s="372">
        <v>0.0</v>
      </c>
    </row>
    <row r="17924">
      <c r="Y17924" s="372">
        <v>0.0</v>
      </c>
      <c r="Z17924" s="372">
        <v>0.0</v>
      </c>
    </row>
    <row r="17925">
      <c r="Y17925" s="372">
        <v>0.0</v>
      </c>
      <c r="Z17925" s="372">
        <v>0.0</v>
      </c>
    </row>
    <row r="17926">
      <c r="Y17926" s="372">
        <v>0.0</v>
      </c>
      <c r="Z17926" s="372">
        <v>0.0</v>
      </c>
    </row>
    <row r="17927">
      <c r="Y17927" s="372">
        <v>0.0</v>
      </c>
      <c r="Z17927" s="372">
        <v>0.0</v>
      </c>
    </row>
    <row r="17928">
      <c r="Y17928" s="372">
        <v>0.0</v>
      </c>
      <c r="Z17928" s="372">
        <v>0.0</v>
      </c>
    </row>
    <row r="17929">
      <c r="Y17929" s="372">
        <v>0.0</v>
      </c>
      <c r="Z17929" s="372">
        <v>0.0</v>
      </c>
    </row>
    <row r="17930">
      <c r="Y17930" s="372">
        <v>0.0</v>
      </c>
      <c r="Z17930" s="372">
        <v>0.0</v>
      </c>
    </row>
    <row r="17931">
      <c r="Y17931" s="372">
        <v>0.0</v>
      </c>
      <c r="Z17931" s="372">
        <v>0.0</v>
      </c>
    </row>
    <row r="17932">
      <c r="Y17932" s="372">
        <v>0.0</v>
      </c>
      <c r="Z17932" s="372">
        <v>0.0</v>
      </c>
    </row>
    <row r="17933">
      <c r="Y17933" s="372">
        <v>0.0</v>
      </c>
      <c r="Z17933" s="372">
        <v>0.0</v>
      </c>
    </row>
    <row r="17934">
      <c r="Y17934" s="372">
        <v>0.0</v>
      </c>
      <c r="Z17934" s="372">
        <v>0.0</v>
      </c>
    </row>
    <row r="17935">
      <c r="Y17935" s="372">
        <v>0.0</v>
      </c>
      <c r="Z17935" s="372">
        <v>0.0</v>
      </c>
    </row>
    <row r="17936">
      <c r="Y17936" s="372">
        <v>0.0</v>
      </c>
      <c r="Z17936" s="372">
        <v>0.0</v>
      </c>
    </row>
    <row r="17937">
      <c r="Y17937" s="372">
        <v>0.0</v>
      </c>
      <c r="Z17937" s="372">
        <v>0.0</v>
      </c>
    </row>
    <row r="17938">
      <c r="Y17938" s="372">
        <v>0.0</v>
      </c>
      <c r="Z17938" s="372">
        <v>0.0</v>
      </c>
    </row>
    <row r="17939">
      <c r="Y17939" s="372">
        <v>0.0</v>
      </c>
      <c r="Z17939" s="372">
        <v>0.0</v>
      </c>
    </row>
    <row r="17940">
      <c r="Y17940" s="372">
        <v>0.0</v>
      </c>
      <c r="Z17940" s="372">
        <v>0.0</v>
      </c>
    </row>
    <row r="17941">
      <c r="Y17941" s="372">
        <v>0.0</v>
      </c>
      <c r="Z17941" s="372">
        <v>0.0</v>
      </c>
    </row>
    <row r="17942">
      <c r="Y17942" s="372">
        <v>0.0</v>
      </c>
      <c r="Z17942" s="372">
        <v>0.0</v>
      </c>
    </row>
    <row r="17943">
      <c r="Y17943" s="372">
        <v>0.0</v>
      </c>
      <c r="Z17943" s="372">
        <v>0.0</v>
      </c>
    </row>
    <row r="17944">
      <c r="Y17944" s="372">
        <v>0.0</v>
      </c>
      <c r="Z17944" s="372">
        <v>0.0</v>
      </c>
    </row>
    <row r="17945">
      <c r="Y17945" s="372">
        <v>0.0</v>
      </c>
      <c r="Z17945" s="372">
        <v>0.0</v>
      </c>
    </row>
    <row r="17946">
      <c r="Y17946" s="372">
        <v>0.0</v>
      </c>
      <c r="Z17946" s="372">
        <v>0.0</v>
      </c>
    </row>
    <row r="17947">
      <c r="Y17947" s="372">
        <v>0.0</v>
      </c>
      <c r="Z17947" s="372">
        <v>0.0</v>
      </c>
    </row>
    <row r="17948">
      <c r="Y17948" s="372">
        <v>0.0</v>
      </c>
      <c r="Z17948" s="372">
        <v>0.0</v>
      </c>
    </row>
    <row r="17949">
      <c r="Y17949" s="372">
        <v>0.0</v>
      </c>
      <c r="Z17949" s="372">
        <v>0.0</v>
      </c>
    </row>
    <row r="17950">
      <c r="Y17950" s="372">
        <v>0.0</v>
      </c>
      <c r="Z17950" s="372">
        <v>0.0</v>
      </c>
    </row>
    <row r="17951">
      <c r="Y17951" s="372">
        <v>0.0</v>
      </c>
      <c r="Z17951" s="372">
        <v>0.0</v>
      </c>
    </row>
    <row r="17952">
      <c r="Y17952" s="372">
        <v>0.0</v>
      </c>
      <c r="Z17952" s="372">
        <v>0.0</v>
      </c>
    </row>
    <row r="17953">
      <c r="Y17953" s="372">
        <v>0.0</v>
      </c>
      <c r="Z17953" s="372">
        <v>0.0</v>
      </c>
    </row>
    <row r="17954">
      <c r="Y17954" s="372">
        <v>0.0</v>
      </c>
      <c r="Z17954" s="372">
        <v>0.0</v>
      </c>
    </row>
    <row r="17955">
      <c r="Y17955" s="372">
        <v>0.0</v>
      </c>
      <c r="Z17955" s="372">
        <v>0.0</v>
      </c>
    </row>
    <row r="17956">
      <c r="Y17956" s="372">
        <v>0.0</v>
      </c>
      <c r="Z17956" s="372">
        <v>0.0</v>
      </c>
    </row>
    <row r="17957">
      <c r="Y17957" s="372">
        <v>0.0</v>
      </c>
      <c r="Z17957" s="372">
        <v>0.0</v>
      </c>
    </row>
    <row r="17958">
      <c r="Y17958" s="372">
        <v>0.0</v>
      </c>
      <c r="Z17958" s="372">
        <v>0.0</v>
      </c>
    </row>
    <row r="17959">
      <c r="Y17959" s="372">
        <v>0.0</v>
      </c>
      <c r="Z17959" s="372">
        <v>0.0</v>
      </c>
    </row>
    <row r="17960">
      <c r="Y17960" s="372">
        <v>0.0</v>
      </c>
      <c r="Z17960" s="372">
        <v>0.0</v>
      </c>
    </row>
    <row r="17961">
      <c r="Y17961" s="372">
        <v>0.0</v>
      </c>
      <c r="Z17961" s="372">
        <v>0.0</v>
      </c>
    </row>
    <row r="17962">
      <c r="Y17962" s="372">
        <v>0.0</v>
      </c>
      <c r="Z17962" s="372">
        <v>0.0</v>
      </c>
    </row>
    <row r="17963">
      <c r="Y17963" s="372">
        <v>0.0</v>
      </c>
      <c r="Z17963" s="372">
        <v>0.0</v>
      </c>
    </row>
    <row r="17964">
      <c r="Y17964" s="372">
        <v>0.0</v>
      </c>
      <c r="Z17964" s="372">
        <v>0.0</v>
      </c>
    </row>
    <row r="17965">
      <c r="Y17965" s="372">
        <v>0.0</v>
      </c>
      <c r="Z17965" s="372">
        <v>0.0</v>
      </c>
    </row>
    <row r="17966">
      <c r="Y17966" s="372">
        <v>0.0</v>
      </c>
      <c r="Z17966" s="372">
        <v>0.0</v>
      </c>
    </row>
    <row r="17967">
      <c r="Y17967" s="372">
        <v>0.0</v>
      </c>
      <c r="Z17967" s="372">
        <v>0.0</v>
      </c>
    </row>
    <row r="17968">
      <c r="Y17968" s="372">
        <v>0.0</v>
      </c>
      <c r="Z17968" s="372">
        <v>0.0</v>
      </c>
    </row>
    <row r="17969">
      <c r="Y17969" s="372">
        <v>0.0</v>
      </c>
      <c r="Z17969" s="372">
        <v>0.0</v>
      </c>
    </row>
    <row r="17970">
      <c r="Y17970" s="372">
        <v>0.0</v>
      </c>
      <c r="Z17970" s="372">
        <v>0.0</v>
      </c>
    </row>
    <row r="17971">
      <c r="Y17971" s="372">
        <v>0.0</v>
      </c>
      <c r="Z17971" s="372">
        <v>0.0</v>
      </c>
    </row>
    <row r="17972">
      <c r="Y17972" s="372">
        <v>0.0</v>
      </c>
      <c r="Z17972" s="372">
        <v>0.0</v>
      </c>
    </row>
    <row r="17973">
      <c r="Y17973" s="372">
        <v>0.0</v>
      </c>
      <c r="Z17973" s="372">
        <v>0.0</v>
      </c>
    </row>
    <row r="17974">
      <c r="Y17974" s="372">
        <v>0.0</v>
      </c>
      <c r="Z17974" s="372">
        <v>0.0</v>
      </c>
    </row>
    <row r="17975">
      <c r="Y17975" s="372">
        <v>0.0</v>
      </c>
      <c r="Z17975" s="372">
        <v>0.0</v>
      </c>
    </row>
    <row r="17976">
      <c r="Y17976" s="372">
        <v>0.0</v>
      </c>
      <c r="Z17976" s="372">
        <v>0.0</v>
      </c>
    </row>
    <row r="17977">
      <c r="Y17977" s="372">
        <v>0.0</v>
      </c>
      <c r="Z17977" s="372">
        <v>0.0</v>
      </c>
    </row>
    <row r="17978">
      <c r="Y17978" s="372">
        <v>0.0</v>
      </c>
      <c r="Z17978" s="372">
        <v>0.0</v>
      </c>
    </row>
    <row r="17979">
      <c r="Y17979" s="372">
        <v>0.0</v>
      </c>
      <c r="Z17979" s="372">
        <v>0.0</v>
      </c>
    </row>
    <row r="17980">
      <c r="Y17980" s="372">
        <v>0.0</v>
      </c>
      <c r="Z17980" s="372">
        <v>0.0</v>
      </c>
    </row>
    <row r="17981">
      <c r="Y17981" s="372">
        <v>0.0</v>
      </c>
      <c r="Z17981" s="372">
        <v>0.0</v>
      </c>
    </row>
    <row r="17982">
      <c r="Y17982" s="372">
        <v>0.0</v>
      </c>
      <c r="Z17982" s="372">
        <v>0.0</v>
      </c>
    </row>
    <row r="17983">
      <c r="Y17983" s="372">
        <v>0.0</v>
      </c>
      <c r="Z17983" s="372">
        <v>0.0</v>
      </c>
    </row>
    <row r="17984">
      <c r="Y17984" s="372">
        <v>0.0</v>
      </c>
      <c r="Z17984" s="372">
        <v>0.0</v>
      </c>
    </row>
    <row r="17985">
      <c r="Y17985" s="372">
        <v>0.0</v>
      </c>
      <c r="Z17985" s="372">
        <v>0.0</v>
      </c>
    </row>
    <row r="17986">
      <c r="Y17986" s="372">
        <v>0.0</v>
      </c>
      <c r="Z17986" s="372">
        <v>0.0</v>
      </c>
    </row>
    <row r="17987">
      <c r="Y17987" s="372">
        <v>0.0</v>
      </c>
      <c r="Z17987" s="372">
        <v>0.0</v>
      </c>
    </row>
    <row r="17988">
      <c r="Y17988" s="372">
        <v>0.0</v>
      </c>
      <c r="Z17988" s="372">
        <v>0.0</v>
      </c>
    </row>
    <row r="17989">
      <c r="Y17989" s="372">
        <v>0.0</v>
      </c>
      <c r="Z17989" s="372">
        <v>0.0</v>
      </c>
    </row>
    <row r="17990">
      <c r="Y17990" s="372">
        <v>0.0</v>
      </c>
      <c r="Z17990" s="372">
        <v>0.0</v>
      </c>
    </row>
    <row r="17991">
      <c r="Y17991" s="372">
        <v>0.0</v>
      </c>
      <c r="Z17991" s="372">
        <v>0.0</v>
      </c>
    </row>
    <row r="17992">
      <c r="Y17992" s="372">
        <v>0.0</v>
      </c>
      <c r="Z17992" s="372">
        <v>0.0</v>
      </c>
    </row>
    <row r="17993">
      <c r="Y17993" s="372">
        <v>0.0</v>
      </c>
      <c r="Z17993" s="372">
        <v>0.0</v>
      </c>
    </row>
    <row r="17994">
      <c r="Y17994" s="372">
        <v>0.0</v>
      </c>
      <c r="Z17994" s="372">
        <v>0.0</v>
      </c>
    </row>
    <row r="17995">
      <c r="Y17995" s="372">
        <v>0.0</v>
      </c>
      <c r="Z17995" s="372">
        <v>0.0</v>
      </c>
    </row>
    <row r="17996">
      <c r="Y17996" s="372">
        <v>0.0</v>
      </c>
      <c r="Z17996" s="372">
        <v>0.0</v>
      </c>
    </row>
    <row r="17997">
      <c r="Y17997" s="372">
        <v>0.0</v>
      </c>
      <c r="Z17997" s="372">
        <v>0.0</v>
      </c>
    </row>
    <row r="17998">
      <c r="Y17998" s="372">
        <v>0.0</v>
      </c>
      <c r="Z17998" s="372">
        <v>0.0</v>
      </c>
    </row>
    <row r="17999">
      <c r="Y17999" s="372">
        <v>0.0</v>
      </c>
      <c r="Z17999" s="372">
        <v>0.0</v>
      </c>
    </row>
    <row r="18000">
      <c r="Y18000" s="372">
        <v>0.0</v>
      </c>
      <c r="Z18000" s="372">
        <v>0.0</v>
      </c>
    </row>
    <row r="18001">
      <c r="Y18001" s="372">
        <v>0.0</v>
      </c>
      <c r="Z18001" s="372">
        <v>0.0</v>
      </c>
    </row>
    <row r="18002">
      <c r="Y18002" s="372">
        <v>0.0</v>
      </c>
      <c r="Z18002" s="372">
        <v>0.0</v>
      </c>
    </row>
    <row r="18003">
      <c r="Y18003" s="372">
        <v>0.0</v>
      </c>
      <c r="Z18003" s="372">
        <v>0.0</v>
      </c>
    </row>
    <row r="18004">
      <c r="Y18004" s="372">
        <v>0.0</v>
      </c>
      <c r="Z18004" s="372">
        <v>0.0</v>
      </c>
    </row>
    <row r="18005">
      <c r="Y18005" s="372">
        <v>0.0</v>
      </c>
      <c r="Z18005" s="372">
        <v>0.0</v>
      </c>
    </row>
    <row r="18006">
      <c r="Y18006" s="372">
        <v>0.0</v>
      </c>
      <c r="Z18006" s="372">
        <v>0.0</v>
      </c>
    </row>
    <row r="18007">
      <c r="Y18007" s="372">
        <v>0.0</v>
      </c>
      <c r="Z18007" s="372">
        <v>0.0</v>
      </c>
    </row>
    <row r="18008">
      <c r="Y18008" s="372">
        <v>0.0</v>
      </c>
      <c r="Z18008" s="372">
        <v>0.0</v>
      </c>
    </row>
    <row r="18009">
      <c r="Y18009" s="372">
        <v>0.0</v>
      </c>
      <c r="Z18009" s="372">
        <v>0.0</v>
      </c>
    </row>
    <row r="18010">
      <c r="Y18010" s="372">
        <v>0.0</v>
      </c>
      <c r="Z18010" s="372">
        <v>0.0</v>
      </c>
    </row>
    <row r="18011">
      <c r="Y18011" s="372">
        <v>0.0</v>
      </c>
      <c r="Z18011" s="372">
        <v>0.0</v>
      </c>
    </row>
    <row r="18012">
      <c r="Y18012" s="372">
        <v>0.0</v>
      </c>
      <c r="Z18012" s="372">
        <v>0.0</v>
      </c>
    </row>
    <row r="18013">
      <c r="Y18013" s="372">
        <v>0.0</v>
      </c>
      <c r="Z18013" s="372">
        <v>0.0</v>
      </c>
    </row>
    <row r="18014">
      <c r="Y18014" s="372">
        <v>0.0</v>
      </c>
      <c r="Z18014" s="372">
        <v>0.0</v>
      </c>
    </row>
    <row r="18015">
      <c r="Y18015" s="372">
        <v>0.0</v>
      </c>
      <c r="Z18015" s="372">
        <v>0.0</v>
      </c>
    </row>
    <row r="18016">
      <c r="Y18016" s="372">
        <v>0.0</v>
      </c>
      <c r="Z18016" s="372">
        <v>0.0</v>
      </c>
    </row>
    <row r="18017">
      <c r="Y18017" s="372">
        <v>0.0</v>
      </c>
      <c r="Z18017" s="372">
        <v>0.0</v>
      </c>
    </row>
    <row r="18018">
      <c r="Y18018" s="372">
        <v>0.0</v>
      </c>
      <c r="Z18018" s="372">
        <v>0.0</v>
      </c>
    </row>
    <row r="18019">
      <c r="Y18019" s="372">
        <v>0.0</v>
      </c>
      <c r="Z18019" s="372">
        <v>0.0</v>
      </c>
    </row>
    <row r="18020">
      <c r="Y18020" s="372">
        <v>0.0</v>
      </c>
      <c r="Z18020" s="372">
        <v>0.0</v>
      </c>
    </row>
    <row r="18021">
      <c r="Y18021" s="372">
        <v>0.0</v>
      </c>
      <c r="Z18021" s="372">
        <v>0.0</v>
      </c>
    </row>
    <row r="18022">
      <c r="Y18022" s="372">
        <v>0.0</v>
      </c>
      <c r="Z18022" s="372">
        <v>0.0</v>
      </c>
    </row>
    <row r="18023">
      <c r="Y18023" s="372">
        <v>0.0</v>
      </c>
      <c r="Z18023" s="372">
        <v>0.0</v>
      </c>
    </row>
    <row r="18024">
      <c r="Y18024" s="372">
        <v>0.0</v>
      </c>
      <c r="Z18024" s="372">
        <v>0.0</v>
      </c>
    </row>
    <row r="18025">
      <c r="Y18025" s="372">
        <v>0.0</v>
      </c>
      <c r="Z18025" s="372">
        <v>0.0</v>
      </c>
    </row>
    <row r="18026">
      <c r="Y18026" s="372">
        <v>0.0</v>
      </c>
      <c r="Z18026" s="372">
        <v>0.0</v>
      </c>
    </row>
    <row r="18027">
      <c r="Y18027" s="372">
        <v>0.0</v>
      </c>
      <c r="Z18027" s="372">
        <v>0.0</v>
      </c>
    </row>
    <row r="18028">
      <c r="Y18028" s="372">
        <v>0.0</v>
      </c>
      <c r="Z18028" s="372">
        <v>0.0</v>
      </c>
    </row>
    <row r="18029">
      <c r="Y18029" s="372">
        <v>0.0</v>
      </c>
      <c r="Z18029" s="372">
        <v>0.0</v>
      </c>
    </row>
    <row r="18030">
      <c r="Y18030" s="372">
        <v>0.0</v>
      </c>
      <c r="Z18030" s="372">
        <v>0.0</v>
      </c>
    </row>
    <row r="18031">
      <c r="Y18031" s="372">
        <v>0.0</v>
      </c>
      <c r="Z18031" s="372">
        <v>0.0</v>
      </c>
    </row>
    <row r="18032">
      <c r="Y18032" s="372">
        <v>0.0</v>
      </c>
      <c r="Z18032" s="372">
        <v>0.0</v>
      </c>
    </row>
    <row r="18033">
      <c r="Y18033" s="372">
        <v>0.0</v>
      </c>
      <c r="Z18033" s="372">
        <v>0.0</v>
      </c>
    </row>
    <row r="18034">
      <c r="Y18034" s="372">
        <v>0.0</v>
      </c>
      <c r="Z18034" s="372">
        <v>0.0</v>
      </c>
    </row>
    <row r="18035">
      <c r="Y18035" s="372">
        <v>0.0</v>
      </c>
      <c r="Z18035" s="372">
        <v>0.0</v>
      </c>
    </row>
    <row r="18036">
      <c r="Y18036" s="372">
        <v>0.0</v>
      </c>
      <c r="Z18036" s="372">
        <v>0.0</v>
      </c>
    </row>
    <row r="18037">
      <c r="Y18037" s="372">
        <v>0.0</v>
      </c>
      <c r="Z18037" s="372">
        <v>0.0</v>
      </c>
    </row>
    <row r="18038">
      <c r="Y18038" s="372">
        <v>0.0</v>
      </c>
      <c r="Z18038" s="372">
        <v>0.0</v>
      </c>
    </row>
    <row r="18039">
      <c r="Y18039" s="372">
        <v>0.0</v>
      </c>
      <c r="Z18039" s="372">
        <v>0.0</v>
      </c>
    </row>
    <row r="18040">
      <c r="Y18040" s="372">
        <v>0.0</v>
      </c>
      <c r="Z18040" s="372">
        <v>0.0</v>
      </c>
    </row>
    <row r="18041">
      <c r="Y18041" s="372">
        <v>0.0</v>
      </c>
      <c r="Z18041" s="372">
        <v>0.0</v>
      </c>
    </row>
    <row r="18042">
      <c r="Y18042" s="372">
        <v>0.0</v>
      </c>
      <c r="Z18042" s="372">
        <v>0.0</v>
      </c>
    </row>
    <row r="18043">
      <c r="Y18043" s="372">
        <v>0.0</v>
      </c>
      <c r="Z18043" s="372">
        <v>0.0</v>
      </c>
    </row>
    <row r="18044">
      <c r="Y18044" s="372">
        <v>0.0</v>
      </c>
      <c r="Z18044" s="372">
        <v>0.0</v>
      </c>
    </row>
    <row r="18045">
      <c r="Y18045" s="372">
        <v>0.0</v>
      </c>
      <c r="Z18045" s="372">
        <v>0.0</v>
      </c>
    </row>
    <row r="18046">
      <c r="Y18046" s="372">
        <v>0.0</v>
      </c>
      <c r="Z18046" s="372">
        <v>0.0</v>
      </c>
    </row>
    <row r="18047">
      <c r="Y18047" s="372">
        <v>0.0</v>
      </c>
      <c r="Z18047" s="372">
        <v>0.0</v>
      </c>
    </row>
    <row r="18048">
      <c r="Y18048" s="372">
        <v>0.0</v>
      </c>
      <c r="Z18048" s="372">
        <v>0.0</v>
      </c>
    </row>
    <row r="18049">
      <c r="Y18049" s="372">
        <v>0.0</v>
      </c>
      <c r="Z18049" s="372">
        <v>0.0</v>
      </c>
    </row>
    <row r="18050">
      <c r="Y18050" s="372">
        <v>0.0</v>
      </c>
      <c r="Z18050" s="372">
        <v>0.0</v>
      </c>
    </row>
    <row r="18051">
      <c r="Y18051" s="372">
        <v>0.0</v>
      </c>
      <c r="Z18051" s="372">
        <v>0.0</v>
      </c>
    </row>
    <row r="18052">
      <c r="Y18052" s="372">
        <v>0.0</v>
      </c>
      <c r="Z18052" s="372">
        <v>0.0</v>
      </c>
    </row>
    <row r="18053">
      <c r="Y18053" s="372">
        <v>0.0</v>
      </c>
      <c r="Z18053" s="372">
        <v>0.0</v>
      </c>
    </row>
    <row r="18054">
      <c r="Y18054" s="372">
        <v>0.0</v>
      </c>
      <c r="Z18054" s="372">
        <v>0.0</v>
      </c>
    </row>
    <row r="18055">
      <c r="Y18055" s="372">
        <v>0.0</v>
      </c>
      <c r="Z18055" s="372">
        <v>0.0</v>
      </c>
    </row>
    <row r="18056">
      <c r="Y18056" s="372">
        <v>0.0</v>
      </c>
      <c r="Z18056" s="372">
        <v>0.0</v>
      </c>
    </row>
    <row r="18057">
      <c r="Y18057" s="372">
        <v>0.0</v>
      </c>
      <c r="Z18057" s="372">
        <v>0.0</v>
      </c>
    </row>
    <row r="18058">
      <c r="Y18058" s="372">
        <v>0.0</v>
      </c>
      <c r="Z18058" s="372">
        <v>0.0</v>
      </c>
    </row>
    <row r="18059">
      <c r="Y18059" s="372">
        <v>0.0</v>
      </c>
      <c r="Z18059" s="372">
        <v>0.0</v>
      </c>
    </row>
    <row r="18060">
      <c r="Y18060" s="372">
        <v>0.0</v>
      </c>
      <c r="Z18060" s="372">
        <v>0.0</v>
      </c>
    </row>
    <row r="18061">
      <c r="Y18061" s="372">
        <v>0.0</v>
      </c>
      <c r="Z18061" s="372">
        <v>0.0</v>
      </c>
    </row>
    <row r="18062">
      <c r="Y18062" s="372">
        <v>0.0</v>
      </c>
      <c r="Z18062" s="372">
        <v>0.0</v>
      </c>
    </row>
    <row r="18063">
      <c r="Y18063" s="372">
        <v>0.0</v>
      </c>
      <c r="Z18063" s="372">
        <v>0.0</v>
      </c>
    </row>
    <row r="18064">
      <c r="Y18064" s="372">
        <v>0.0</v>
      </c>
      <c r="Z18064" s="372">
        <v>0.0</v>
      </c>
    </row>
    <row r="18065">
      <c r="Y18065" s="372">
        <v>0.0</v>
      </c>
      <c r="Z18065" s="372">
        <v>0.0</v>
      </c>
    </row>
    <row r="18066">
      <c r="Y18066" s="372">
        <v>0.0</v>
      </c>
      <c r="Z18066" s="372">
        <v>0.0</v>
      </c>
    </row>
    <row r="18067">
      <c r="Y18067" s="372">
        <v>0.0</v>
      </c>
      <c r="Z18067" s="372">
        <v>0.0</v>
      </c>
    </row>
    <row r="18068">
      <c r="Y18068" s="372">
        <v>0.0</v>
      </c>
      <c r="Z18068" s="372">
        <v>0.0</v>
      </c>
    </row>
    <row r="18069">
      <c r="Y18069" s="372">
        <v>0.0</v>
      </c>
      <c r="Z18069" s="372">
        <v>0.0</v>
      </c>
    </row>
    <row r="18070">
      <c r="Y18070" s="372">
        <v>0.0</v>
      </c>
      <c r="Z18070" s="372">
        <v>0.0</v>
      </c>
    </row>
    <row r="18071">
      <c r="Y18071" s="372">
        <v>0.0</v>
      </c>
      <c r="Z18071" s="372">
        <v>0.0</v>
      </c>
    </row>
    <row r="18072">
      <c r="Y18072" s="372">
        <v>0.0</v>
      </c>
      <c r="Z18072" s="372">
        <v>0.0</v>
      </c>
    </row>
    <row r="18073">
      <c r="Y18073" s="372">
        <v>0.0</v>
      </c>
      <c r="Z18073" s="372">
        <v>0.0</v>
      </c>
    </row>
    <row r="18074">
      <c r="Y18074" s="372">
        <v>0.0</v>
      </c>
      <c r="Z18074" s="372">
        <v>0.0</v>
      </c>
    </row>
    <row r="18075">
      <c r="Y18075" s="372">
        <v>0.0</v>
      </c>
      <c r="Z18075" s="372">
        <v>0.0</v>
      </c>
    </row>
    <row r="18076">
      <c r="Y18076" s="372">
        <v>0.0</v>
      </c>
      <c r="Z18076" s="372">
        <v>0.0</v>
      </c>
    </row>
    <row r="18077">
      <c r="Y18077" s="372">
        <v>0.0</v>
      </c>
      <c r="Z18077" s="372">
        <v>0.0</v>
      </c>
    </row>
    <row r="18078">
      <c r="Y18078" s="372">
        <v>0.0</v>
      </c>
      <c r="Z18078" s="372">
        <v>0.0</v>
      </c>
    </row>
    <row r="18079">
      <c r="Y18079" s="372">
        <v>0.0</v>
      </c>
      <c r="Z18079" s="372">
        <v>0.0</v>
      </c>
    </row>
    <row r="18080">
      <c r="Y18080" s="372">
        <v>0.0</v>
      </c>
      <c r="Z18080" s="372">
        <v>0.0</v>
      </c>
    </row>
    <row r="18081">
      <c r="Y18081" s="372">
        <v>0.0</v>
      </c>
      <c r="Z18081" s="372">
        <v>0.0</v>
      </c>
    </row>
    <row r="18082">
      <c r="Y18082" s="372">
        <v>0.0</v>
      </c>
      <c r="Z18082" s="372">
        <v>0.0</v>
      </c>
    </row>
    <row r="18083">
      <c r="Y18083" s="372">
        <v>0.0</v>
      </c>
      <c r="Z18083" s="372">
        <v>0.0</v>
      </c>
    </row>
    <row r="18084">
      <c r="Y18084" s="372">
        <v>0.0</v>
      </c>
      <c r="Z18084" s="372">
        <v>0.0</v>
      </c>
    </row>
    <row r="18085">
      <c r="Y18085" s="372">
        <v>0.0</v>
      </c>
      <c r="Z18085" s="372">
        <v>0.0</v>
      </c>
    </row>
    <row r="18086">
      <c r="Y18086" s="372">
        <v>0.0</v>
      </c>
      <c r="Z18086" s="372">
        <v>0.0</v>
      </c>
    </row>
    <row r="18087">
      <c r="Y18087" s="372">
        <v>0.0</v>
      </c>
      <c r="Z18087" s="372">
        <v>0.0</v>
      </c>
    </row>
    <row r="18088">
      <c r="Y18088" s="372">
        <v>0.0</v>
      </c>
      <c r="Z18088" s="372">
        <v>0.0</v>
      </c>
    </row>
    <row r="18089">
      <c r="Y18089" s="372">
        <v>0.0</v>
      </c>
      <c r="Z18089" s="372">
        <v>0.0</v>
      </c>
    </row>
    <row r="18090">
      <c r="Y18090" s="372">
        <v>0.0</v>
      </c>
      <c r="Z18090" s="372">
        <v>0.0</v>
      </c>
    </row>
    <row r="18091">
      <c r="Y18091" s="372">
        <v>0.0</v>
      </c>
      <c r="Z18091" s="372">
        <v>0.0</v>
      </c>
    </row>
    <row r="18092">
      <c r="Y18092" s="372">
        <v>0.0</v>
      </c>
      <c r="Z18092" s="372">
        <v>0.0</v>
      </c>
    </row>
    <row r="18093">
      <c r="Y18093" s="372">
        <v>0.0</v>
      </c>
      <c r="Z18093" s="372">
        <v>0.0</v>
      </c>
    </row>
    <row r="18094">
      <c r="Y18094" s="372">
        <v>0.0</v>
      </c>
      <c r="Z18094" s="372">
        <v>0.0</v>
      </c>
    </row>
    <row r="18095">
      <c r="Y18095" s="372">
        <v>0.0</v>
      </c>
      <c r="Z18095" s="372">
        <v>0.0</v>
      </c>
    </row>
    <row r="18096">
      <c r="Y18096" s="372">
        <v>0.0</v>
      </c>
      <c r="Z18096" s="372">
        <v>0.0</v>
      </c>
    </row>
    <row r="18097">
      <c r="Y18097" s="372">
        <v>0.0</v>
      </c>
      <c r="Z18097" s="372">
        <v>0.0</v>
      </c>
    </row>
    <row r="18098">
      <c r="Y18098" s="372">
        <v>0.0</v>
      </c>
      <c r="Z18098" s="372">
        <v>0.0</v>
      </c>
    </row>
    <row r="18099">
      <c r="Y18099" s="372">
        <v>0.0</v>
      </c>
      <c r="Z18099" s="372">
        <v>0.0</v>
      </c>
    </row>
    <row r="18100">
      <c r="Y18100" s="372">
        <v>0.0</v>
      </c>
      <c r="Z18100" s="372">
        <v>0.0</v>
      </c>
    </row>
    <row r="18101">
      <c r="Y18101" s="372">
        <v>0.0</v>
      </c>
      <c r="Z18101" s="372">
        <v>0.0</v>
      </c>
    </row>
    <row r="18102">
      <c r="Y18102" s="372">
        <v>0.0</v>
      </c>
      <c r="Z18102" s="372">
        <v>0.0</v>
      </c>
    </row>
    <row r="18103">
      <c r="Y18103" s="372">
        <v>0.0</v>
      </c>
      <c r="Z18103" s="372">
        <v>0.0</v>
      </c>
    </row>
    <row r="18104">
      <c r="Y18104" s="372">
        <v>0.0</v>
      </c>
      <c r="Z18104" s="372">
        <v>0.0</v>
      </c>
    </row>
    <row r="18105">
      <c r="Y18105" s="372">
        <v>0.0</v>
      </c>
      <c r="Z18105" s="372">
        <v>0.0</v>
      </c>
    </row>
    <row r="18106">
      <c r="Y18106" s="372">
        <v>0.0</v>
      </c>
      <c r="Z18106" s="372">
        <v>0.0</v>
      </c>
    </row>
    <row r="18107">
      <c r="Y18107" s="372">
        <v>0.0</v>
      </c>
      <c r="Z18107" s="372">
        <v>0.0</v>
      </c>
    </row>
    <row r="18108">
      <c r="Y18108" s="372">
        <v>0.0</v>
      </c>
      <c r="Z18108" s="372">
        <v>0.0</v>
      </c>
    </row>
    <row r="18109">
      <c r="Y18109" s="372">
        <v>0.0</v>
      </c>
      <c r="Z18109" s="372">
        <v>0.0</v>
      </c>
    </row>
    <row r="18110">
      <c r="Y18110" s="372">
        <v>0.0</v>
      </c>
      <c r="Z18110" s="372">
        <v>0.0</v>
      </c>
    </row>
    <row r="18111">
      <c r="Y18111" s="372">
        <v>0.0</v>
      </c>
      <c r="Z18111" s="372">
        <v>0.0</v>
      </c>
    </row>
    <row r="18112">
      <c r="Y18112" s="372">
        <v>0.0</v>
      </c>
      <c r="Z18112" s="372">
        <v>0.0</v>
      </c>
    </row>
    <row r="18113">
      <c r="Y18113" s="372">
        <v>0.0</v>
      </c>
      <c r="Z18113" s="372">
        <v>0.0</v>
      </c>
    </row>
    <row r="18114">
      <c r="Y18114" s="372">
        <v>0.0</v>
      </c>
      <c r="Z18114" s="372">
        <v>0.0</v>
      </c>
    </row>
    <row r="18115">
      <c r="Y18115" s="372">
        <v>0.0</v>
      </c>
      <c r="Z18115" s="372">
        <v>0.0</v>
      </c>
    </row>
    <row r="18116">
      <c r="Y18116" s="372">
        <v>0.0</v>
      </c>
      <c r="Z18116" s="372">
        <v>0.0</v>
      </c>
    </row>
    <row r="18117">
      <c r="Y18117" s="372">
        <v>0.0</v>
      </c>
      <c r="Z18117" s="372">
        <v>0.0</v>
      </c>
    </row>
    <row r="18118">
      <c r="Y18118" s="372">
        <v>0.0</v>
      </c>
      <c r="Z18118" s="372">
        <v>0.0</v>
      </c>
    </row>
    <row r="18119">
      <c r="Y18119" s="372">
        <v>0.0</v>
      </c>
      <c r="Z18119" s="372">
        <v>0.0</v>
      </c>
    </row>
    <row r="18120">
      <c r="Y18120" s="372">
        <v>0.0</v>
      </c>
      <c r="Z18120" s="372">
        <v>0.0</v>
      </c>
    </row>
    <row r="18121">
      <c r="Y18121" s="372">
        <v>0.0</v>
      </c>
      <c r="Z18121" s="372">
        <v>0.0</v>
      </c>
    </row>
    <row r="18122">
      <c r="Y18122" s="372">
        <v>0.0</v>
      </c>
      <c r="Z18122" s="372">
        <v>0.0</v>
      </c>
    </row>
    <row r="18123">
      <c r="Y18123" s="372">
        <v>0.0</v>
      </c>
      <c r="Z18123" s="372">
        <v>0.0</v>
      </c>
    </row>
    <row r="18124">
      <c r="Y18124" s="372">
        <v>0.0</v>
      </c>
      <c r="Z18124" s="372">
        <v>0.0</v>
      </c>
    </row>
    <row r="18125">
      <c r="Y18125" s="372">
        <v>0.0</v>
      </c>
      <c r="Z18125" s="372">
        <v>0.0</v>
      </c>
    </row>
    <row r="18126">
      <c r="Y18126" s="372">
        <v>0.0</v>
      </c>
      <c r="Z18126" s="372">
        <v>0.0</v>
      </c>
    </row>
    <row r="18127">
      <c r="Y18127" s="372">
        <v>0.0</v>
      </c>
      <c r="Z18127" s="372">
        <v>0.0</v>
      </c>
    </row>
    <row r="18128">
      <c r="Y18128" s="372">
        <v>0.0</v>
      </c>
      <c r="Z18128" s="372">
        <v>0.0</v>
      </c>
    </row>
    <row r="18129">
      <c r="Y18129" s="372">
        <v>0.0</v>
      </c>
      <c r="Z18129" s="372">
        <v>0.0</v>
      </c>
    </row>
    <row r="18130">
      <c r="Y18130" s="372">
        <v>0.0</v>
      </c>
      <c r="Z18130" s="372">
        <v>0.0</v>
      </c>
    </row>
    <row r="18131">
      <c r="Y18131" s="372">
        <v>0.0</v>
      </c>
      <c r="Z18131" s="372">
        <v>0.0</v>
      </c>
    </row>
    <row r="18132">
      <c r="Y18132" s="372">
        <v>0.0</v>
      </c>
      <c r="Z18132" s="372">
        <v>0.0</v>
      </c>
    </row>
    <row r="18133">
      <c r="Y18133" s="372">
        <v>0.0</v>
      </c>
      <c r="Z18133" s="372">
        <v>0.0</v>
      </c>
    </row>
    <row r="18134">
      <c r="Y18134" s="372">
        <v>0.0</v>
      </c>
      <c r="Z18134" s="372">
        <v>0.0</v>
      </c>
    </row>
    <row r="18135">
      <c r="Y18135" s="372">
        <v>0.0</v>
      </c>
      <c r="Z18135" s="372">
        <v>0.0</v>
      </c>
    </row>
    <row r="18136">
      <c r="Y18136" s="372">
        <v>0.0</v>
      </c>
      <c r="Z18136" s="372">
        <v>0.0</v>
      </c>
    </row>
    <row r="18137">
      <c r="Y18137" s="372">
        <v>0.0</v>
      </c>
      <c r="Z18137" s="372">
        <v>0.0</v>
      </c>
    </row>
    <row r="18138">
      <c r="Y18138" s="372">
        <v>0.0</v>
      </c>
      <c r="Z18138" s="372">
        <v>0.0</v>
      </c>
    </row>
    <row r="18139">
      <c r="Y18139" s="372">
        <v>0.0</v>
      </c>
      <c r="Z18139" s="372">
        <v>0.0</v>
      </c>
    </row>
    <row r="18140">
      <c r="Y18140" s="372">
        <v>0.0</v>
      </c>
      <c r="Z18140" s="372">
        <v>0.0</v>
      </c>
    </row>
    <row r="18141">
      <c r="Y18141" s="372">
        <v>0.0</v>
      </c>
      <c r="Z18141" s="372">
        <v>0.0</v>
      </c>
    </row>
    <row r="18142">
      <c r="Y18142" s="372">
        <v>0.0</v>
      </c>
      <c r="Z18142" s="372">
        <v>0.0</v>
      </c>
    </row>
    <row r="18143">
      <c r="Y18143" s="372">
        <v>0.0</v>
      </c>
      <c r="Z18143" s="372">
        <v>0.0</v>
      </c>
    </row>
    <row r="18144">
      <c r="Y18144" s="372">
        <v>0.0</v>
      </c>
      <c r="Z18144" s="372">
        <v>0.0</v>
      </c>
    </row>
    <row r="18145">
      <c r="Y18145" s="372">
        <v>0.0</v>
      </c>
      <c r="Z18145" s="372">
        <v>0.0</v>
      </c>
    </row>
    <row r="18146">
      <c r="Y18146" s="372">
        <v>0.0</v>
      </c>
      <c r="Z18146" s="372">
        <v>0.0</v>
      </c>
    </row>
    <row r="18147">
      <c r="Y18147" s="372">
        <v>0.0</v>
      </c>
      <c r="Z18147" s="372">
        <v>0.0</v>
      </c>
    </row>
    <row r="18148">
      <c r="Y18148" s="372">
        <v>0.0</v>
      </c>
      <c r="Z18148" s="372">
        <v>0.0</v>
      </c>
    </row>
    <row r="18149">
      <c r="Y18149" s="372">
        <v>0.0</v>
      </c>
      <c r="Z18149" s="372">
        <v>0.0</v>
      </c>
    </row>
    <row r="18150">
      <c r="Y18150" s="372">
        <v>0.0</v>
      </c>
      <c r="Z18150" s="372">
        <v>0.0</v>
      </c>
    </row>
    <row r="18151">
      <c r="Y18151" s="372">
        <v>0.0</v>
      </c>
      <c r="Z18151" s="372">
        <v>0.0</v>
      </c>
    </row>
    <row r="18152">
      <c r="Y18152" s="372">
        <v>0.0</v>
      </c>
      <c r="Z18152" s="372">
        <v>0.0</v>
      </c>
    </row>
    <row r="18153">
      <c r="Y18153" s="372">
        <v>0.0</v>
      </c>
      <c r="Z18153" s="372">
        <v>0.0</v>
      </c>
    </row>
    <row r="18154">
      <c r="Y18154" s="372">
        <v>0.0</v>
      </c>
      <c r="Z18154" s="372">
        <v>0.0</v>
      </c>
    </row>
    <row r="18155">
      <c r="Y18155" s="372">
        <v>0.0</v>
      </c>
      <c r="Z18155" s="372">
        <v>0.0</v>
      </c>
    </row>
    <row r="18156">
      <c r="Y18156" s="372">
        <v>0.0</v>
      </c>
      <c r="Z18156" s="372">
        <v>0.0</v>
      </c>
    </row>
    <row r="18157">
      <c r="Y18157" s="372">
        <v>0.0</v>
      </c>
      <c r="Z18157" s="372">
        <v>0.0</v>
      </c>
    </row>
    <row r="18158">
      <c r="Y18158" s="372">
        <v>0.0</v>
      </c>
      <c r="Z18158" s="372">
        <v>0.0</v>
      </c>
    </row>
    <row r="18159">
      <c r="Y18159" s="372">
        <v>0.0</v>
      </c>
      <c r="Z18159" s="372">
        <v>0.0</v>
      </c>
    </row>
    <row r="18160">
      <c r="Y18160" s="372">
        <v>0.0</v>
      </c>
      <c r="Z18160" s="372">
        <v>0.0</v>
      </c>
    </row>
    <row r="18161">
      <c r="Y18161" s="372">
        <v>0.0</v>
      </c>
      <c r="Z18161" s="372">
        <v>0.0</v>
      </c>
    </row>
    <row r="18162">
      <c r="Y18162" s="372">
        <v>0.0</v>
      </c>
      <c r="Z18162" s="372">
        <v>0.0</v>
      </c>
    </row>
    <row r="18163">
      <c r="Y18163" s="372">
        <v>0.0</v>
      </c>
      <c r="Z18163" s="372">
        <v>0.0</v>
      </c>
    </row>
    <row r="18164">
      <c r="Y18164" s="372">
        <v>0.0</v>
      </c>
      <c r="Z18164" s="372">
        <v>0.0</v>
      </c>
    </row>
    <row r="18165">
      <c r="Y18165" s="372">
        <v>0.0</v>
      </c>
      <c r="Z18165" s="372">
        <v>0.0</v>
      </c>
    </row>
    <row r="18166">
      <c r="Y18166" s="372">
        <v>0.0</v>
      </c>
      <c r="Z18166" s="372">
        <v>0.0</v>
      </c>
    </row>
    <row r="18167">
      <c r="Y18167" s="372">
        <v>0.0</v>
      </c>
      <c r="Z18167" s="372">
        <v>0.0</v>
      </c>
    </row>
    <row r="18168">
      <c r="Y18168" s="372">
        <v>0.0</v>
      </c>
      <c r="Z18168" s="372">
        <v>0.0</v>
      </c>
    </row>
    <row r="18169">
      <c r="Y18169" s="372">
        <v>0.0</v>
      </c>
      <c r="Z18169" s="372">
        <v>0.0</v>
      </c>
    </row>
    <row r="18170">
      <c r="Y18170" s="372">
        <v>0.0</v>
      </c>
      <c r="Z18170" s="372">
        <v>0.0</v>
      </c>
    </row>
    <row r="18171">
      <c r="Y18171" s="372">
        <v>0.0</v>
      </c>
      <c r="Z18171" s="372">
        <v>0.0</v>
      </c>
    </row>
    <row r="18172">
      <c r="Y18172" s="372">
        <v>0.0</v>
      </c>
      <c r="Z18172" s="372">
        <v>0.0</v>
      </c>
    </row>
    <row r="18173">
      <c r="Y18173" s="372">
        <v>0.0</v>
      </c>
      <c r="Z18173" s="372">
        <v>0.0</v>
      </c>
    </row>
    <row r="18174">
      <c r="Y18174" s="372">
        <v>0.0</v>
      </c>
      <c r="Z18174" s="372">
        <v>0.0</v>
      </c>
    </row>
    <row r="18175">
      <c r="Y18175" s="372">
        <v>0.0</v>
      </c>
      <c r="Z18175" s="372">
        <v>0.0</v>
      </c>
    </row>
    <row r="18176">
      <c r="Y18176" s="372">
        <v>0.0</v>
      </c>
      <c r="Z18176" s="372">
        <v>0.0</v>
      </c>
    </row>
    <row r="18177">
      <c r="Y18177" s="372">
        <v>0.0</v>
      </c>
      <c r="Z18177" s="372">
        <v>0.0</v>
      </c>
    </row>
    <row r="18178">
      <c r="Y18178" s="372">
        <v>0.0</v>
      </c>
      <c r="Z18178" s="372">
        <v>0.0</v>
      </c>
    </row>
    <row r="18179">
      <c r="Y18179" s="372">
        <v>0.0</v>
      </c>
      <c r="Z18179" s="372">
        <v>0.0</v>
      </c>
    </row>
    <row r="18180">
      <c r="Y18180" s="372">
        <v>0.0</v>
      </c>
      <c r="Z18180" s="372">
        <v>0.0</v>
      </c>
    </row>
    <row r="18181">
      <c r="Y18181" s="372">
        <v>0.0</v>
      </c>
      <c r="Z18181" s="372">
        <v>0.0</v>
      </c>
    </row>
    <row r="18182">
      <c r="Y18182" s="372">
        <v>0.0</v>
      </c>
      <c r="Z18182" s="372">
        <v>0.0</v>
      </c>
    </row>
    <row r="18183">
      <c r="Y18183" s="372">
        <v>0.0</v>
      </c>
      <c r="Z18183" s="372">
        <v>0.0</v>
      </c>
    </row>
    <row r="18184">
      <c r="Y18184" s="372">
        <v>0.0</v>
      </c>
      <c r="Z18184" s="372">
        <v>0.0</v>
      </c>
    </row>
    <row r="18185">
      <c r="Y18185" s="372">
        <v>0.0</v>
      </c>
      <c r="Z18185" s="372">
        <v>0.0</v>
      </c>
    </row>
    <row r="18186">
      <c r="Y18186" s="372">
        <v>0.0</v>
      </c>
      <c r="Z18186" s="372">
        <v>0.0</v>
      </c>
    </row>
    <row r="18187">
      <c r="Y18187" s="372">
        <v>0.0</v>
      </c>
      <c r="Z18187" s="372">
        <v>0.0</v>
      </c>
    </row>
    <row r="18188">
      <c r="Y18188" s="372">
        <v>0.0</v>
      </c>
      <c r="Z18188" s="372">
        <v>0.0</v>
      </c>
    </row>
    <row r="18189">
      <c r="Y18189" s="372">
        <v>0.0</v>
      </c>
      <c r="Z18189" s="372">
        <v>0.0</v>
      </c>
    </row>
    <row r="18190">
      <c r="Y18190" s="372">
        <v>0.0</v>
      </c>
      <c r="Z18190" s="372">
        <v>0.0</v>
      </c>
    </row>
    <row r="18191">
      <c r="Y18191" s="372">
        <v>0.0</v>
      </c>
      <c r="Z18191" s="372">
        <v>0.0</v>
      </c>
    </row>
    <row r="18192">
      <c r="Y18192" s="372">
        <v>0.0</v>
      </c>
      <c r="Z18192" s="372">
        <v>0.0</v>
      </c>
    </row>
    <row r="18193">
      <c r="Y18193" s="372">
        <v>0.0</v>
      </c>
      <c r="Z18193" s="372">
        <v>0.0</v>
      </c>
    </row>
    <row r="18194">
      <c r="Y18194" s="372">
        <v>0.0</v>
      </c>
      <c r="Z18194" s="372">
        <v>0.0</v>
      </c>
    </row>
    <row r="18195">
      <c r="Y18195" s="372">
        <v>0.0</v>
      </c>
      <c r="Z18195" s="372">
        <v>0.0</v>
      </c>
    </row>
    <row r="18196">
      <c r="Y18196" s="372">
        <v>0.0</v>
      </c>
      <c r="Z18196" s="372">
        <v>0.0</v>
      </c>
    </row>
    <row r="18197">
      <c r="Y18197" s="372">
        <v>0.0</v>
      </c>
      <c r="Z18197" s="372">
        <v>0.0</v>
      </c>
    </row>
    <row r="18198">
      <c r="Y18198" s="372">
        <v>0.0</v>
      </c>
      <c r="Z18198" s="372">
        <v>0.0</v>
      </c>
    </row>
    <row r="18199">
      <c r="Y18199" s="372">
        <v>0.0</v>
      </c>
      <c r="Z18199" s="372">
        <v>0.0</v>
      </c>
    </row>
    <row r="18200">
      <c r="Y18200" s="372">
        <v>0.0</v>
      </c>
      <c r="Z18200" s="372">
        <v>0.0</v>
      </c>
    </row>
    <row r="18201">
      <c r="Y18201" s="372">
        <v>0.0</v>
      </c>
      <c r="Z18201" s="372">
        <v>0.0</v>
      </c>
    </row>
    <row r="18202">
      <c r="Y18202" s="372">
        <v>0.0</v>
      </c>
      <c r="Z18202" s="372">
        <v>0.0</v>
      </c>
    </row>
    <row r="18203">
      <c r="Y18203" s="372">
        <v>0.0</v>
      </c>
      <c r="Z18203" s="372">
        <v>0.0</v>
      </c>
    </row>
    <row r="18204">
      <c r="Y18204" s="372">
        <v>0.0</v>
      </c>
      <c r="Z18204" s="372">
        <v>0.0</v>
      </c>
    </row>
    <row r="18205">
      <c r="Y18205" s="372">
        <v>0.0</v>
      </c>
      <c r="Z18205" s="372">
        <v>0.0</v>
      </c>
    </row>
    <row r="18206">
      <c r="Y18206" s="372">
        <v>0.0</v>
      </c>
      <c r="Z18206" s="372">
        <v>0.0</v>
      </c>
    </row>
    <row r="18207">
      <c r="Y18207" s="372">
        <v>0.0</v>
      </c>
      <c r="Z18207" s="372">
        <v>0.0</v>
      </c>
    </row>
    <row r="18208">
      <c r="Y18208" s="372">
        <v>0.0</v>
      </c>
      <c r="Z18208" s="372">
        <v>0.0</v>
      </c>
    </row>
    <row r="18209">
      <c r="Y18209" s="372">
        <v>0.0</v>
      </c>
      <c r="Z18209" s="372">
        <v>0.0</v>
      </c>
    </row>
    <row r="18210">
      <c r="Y18210" s="372">
        <v>0.0</v>
      </c>
      <c r="Z18210" s="372">
        <v>0.0</v>
      </c>
    </row>
    <row r="18211">
      <c r="Y18211" s="372">
        <v>0.0</v>
      </c>
      <c r="Z18211" s="372">
        <v>0.0</v>
      </c>
    </row>
    <row r="18212">
      <c r="Y18212" s="372">
        <v>0.0</v>
      </c>
      <c r="Z18212" s="372">
        <v>0.0</v>
      </c>
    </row>
    <row r="18213">
      <c r="Y18213" s="372">
        <v>0.0</v>
      </c>
      <c r="Z18213" s="372">
        <v>0.0</v>
      </c>
    </row>
    <row r="18214">
      <c r="Y18214" s="372">
        <v>0.0</v>
      </c>
      <c r="Z18214" s="372">
        <v>0.0</v>
      </c>
    </row>
    <row r="18215">
      <c r="Y18215" s="372">
        <v>0.0</v>
      </c>
      <c r="Z18215" s="372">
        <v>0.0</v>
      </c>
    </row>
    <row r="18216">
      <c r="Y18216" s="372">
        <v>0.0</v>
      </c>
      <c r="Z18216" s="372">
        <v>0.0</v>
      </c>
    </row>
    <row r="18217">
      <c r="Y18217" s="372">
        <v>0.0</v>
      </c>
      <c r="Z18217" s="372">
        <v>0.0</v>
      </c>
    </row>
    <row r="18218">
      <c r="Y18218" s="372">
        <v>0.0</v>
      </c>
      <c r="Z18218" s="372">
        <v>0.0</v>
      </c>
    </row>
    <row r="18219">
      <c r="Y18219" s="372">
        <v>0.0</v>
      </c>
      <c r="Z18219" s="372">
        <v>0.0</v>
      </c>
    </row>
    <row r="18220">
      <c r="Y18220" s="372">
        <v>0.0</v>
      </c>
      <c r="Z18220" s="372">
        <v>0.0</v>
      </c>
    </row>
    <row r="18221">
      <c r="Y18221" s="372">
        <v>0.0</v>
      </c>
      <c r="Z18221" s="372">
        <v>0.0</v>
      </c>
    </row>
    <row r="18222">
      <c r="Y18222" s="372">
        <v>0.0</v>
      </c>
      <c r="Z18222" s="372">
        <v>0.0</v>
      </c>
    </row>
    <row r="18223">
      <c r="Y18223" s="372">
        <v>0.0</v>
      </c>
      <c r="Z18223" s="372">
        <v>0.0</v>
      </c>
    </row>
    <row r="18224">
      <c r="Y18224" s="372">
        <v>0.0</v>
      </c>
      <c r="Z18224" s="372">
        <v>0.0</v>
      </c>
    </row>
    <row r="18225">
      <c r="Y18225" s="372">
        <v>0.0</v>
      </c>
      <c r="Z18225" s="372">
        <v>0.0</v>
      </c>
    </row>
    <row r="18226">
      <c r="Y18226" s="372">
        <v>0.0</v>
      </c>
      <c r="Z18226" s="372">
        <v>0.0</v>
      </c>
    </row>
    <row r="18227">
      <c r="Y18227" s="372">
        <v>0.0</v>
      </c>
      <c r="Z18227" s="372">
        <v>0.0</v>
      </c>
    </row>
    <row r="18228">
      <c r="Y18228" s="372">
        <v>0.0</v>
      </c>
      <c r="Z18228" s="372">
        <v>0.0</v>
      </c>
    </row>
    <row r="18229">
      <c r="Y18229" s="372">
        <v>0.0</v>
      </c>
      <c r="Z18229" s="372">
        <v>0.0</v>
      </c>
    </row>
    <row r="18230">
      <c r="Y18230" s="372">
        <v>0.0</v>
      </c>
      <c r="Z18230" s="372">
        <v>0.0</v>
      </c>
    </row>
    <row r="18231">
      <c r="Y18231" s="372">
        <v>0.0</v>
      </c>
      <c r="Z18231" s="372">
        <v>0.0</v>
      </c>
    </row>
    <row r="18232">
      <c r="Y18232" s="372">
        <v>0.0</v>
      </c>
      <c r="Z18232" s="372">
        <v>0.0</v>
      </c>
    </row>
    <row r="18233">
      <c r="Y18233" s="372">
        <v>0.0</v>
      </c>
      <c r="Z18233" s="372">
        <v>0.0</v>
      </c>
    </row>
    <row r="18234">
      <c r="Y18234" s="372">
        <v>0.0</v>
      </c>
      <c r="Z18234" s="372">
        <v>0.0</v>
      </c>
    </row>
    <row r="18235">
      <c r="Y18235" s="372">
        <v>0.0</v>
      </c>
      <c r="Z18235" s="372">
        <v>0.0</v>
      </c>
    </row>
    <row r="18236">
      <c r="Y18236" s="372">
        <v>0.0</v>
      </c>
      <c r="Z18236" s="372">
        <v>0.0</v>
      </c>
    </row>
    <row r="18237">
      <c r="Y18237" s="372">
        <v>0.0</v>
      </c>
      <c r="Z18237" s="372">
        <v>0.0</v>
      </c>
    </row>
    <row r="18238">
      <c r="Y18238" s="372">
        <v>0.0</v>
      </c>
      <c r="Z18238" s="372">
        <v>0.0</v>
      </c>
    </row>
    <row r="18239">
      <c r="Y18239" s="372">
        <v>0.0</v>
      </c>
      <c r="Z18239" s="372">
        <v>0.0</v>
      </c>
    </row>
    <row r="18240">
      <c r="Y18240" s="372">
        <v>0.0</v>
      </c>
      <c r="Z18240" s="372">
        <v>0.0</v>
      </c>
    </row>
    <row r="18241">
      <c r="Y18241" s="372">
        <v>0.0</v>
      </c>
      <c r="Z18241" s="372">
        <v>0.0</v>
      </c>
    </row>
    <row r="18242">
      <c r="Y18242" s="372">
        <v>0.0</v>
      </c>
      <c r="Z18242" s="372">
        <v>0.0</v>
      </c>
    </row>
    <row r="18243">
      <c r="Y18243" s="372">
        <v>0.0</v>
      </c>
      <c r="Z18243" s="372">
        <v>0.0</v>
      </c>
    </row>
    <row r="18244">
      <c r="Y18244" s="372">
        <v>0.0</v>
      </c>
      <c r="Z18244" s="372">
        <v>0.0</v>
      </c>
    </row>
    <row r="18245">
      <c r="Y18245" s="372">
        <v>0.0</v>
      </c>
      <c r="Z18245" s="372">
        <v>0.0</v>
      </c>
    </row>
    <row r="18246">
      <c r="Y18246" s="372">
        <v>0.0</v>
      </c>
      <c r="Z18246" s="372">
        <v>0.0</v>
      </c>
    </row>
    <row r="18247">
      <c r="Y18247" s="372">
        <v>0.0</v>
      </c>
      <c r="Z18247" s="372">
        <v>0.0</v>
      </c>
    </row>
    <row r="18248">
      <c r="Y18248" s="372">
        <v>0.0</v>
      </c>
      <c r="Z18248" s="372">
        <v>0.0</v>
      </c>
    </row>
    <row r="18249">
      <c r="Y18249" s="372">
        <v>0.0</v>
      </c>
      <c r="Z18249" s="372">
        <v>0.0</v>
      </c>
    </row>
    <row r="18250">
      <c r="Y18250" s="372">
        <v>0.0</v>
      </c>
      <c r="Z18250" s="372">
        <v>0.0</v>
      </c>
    </row>
    <row r="18251">
      <c r="Y18251" s="372">
        <v>0.0</v>
      </c>
      <c r="Z18251" s="372">
        <v>0.0</v>
      </c>
    </row>
    <row r="18252">
      <c r="Y18252" s="372">
        <v>0.0</v>
      </c>
      <c r="Z18252" s="372">
        <v>0.0</v>
      </c>
    </row>
    <row r="18253">
      <c r="Y18253" s="372">
        <v>0.0</v>
      </c>
      <c r="Z18253" s="372">
        <v>0.0</v>
      </c>
    </row>
    <row r="18254">
      <c r="Y18254" s="372">
        <v>0.0</v>
      </c>
      <c r="Z18254" s="372">
        <v>0.0</v>
      </c>
    </row>
    <row r="18255">
      <c r="Y18255" s="372">
        <v>0.0</v>
      </c>
      <c r="Z18255" s="372">
        <v>0.0</v>
      </c>
    </row>
    <row r="18256">
      <c r="Y18256" s="372">
        <v>0.0</v>
      </c>
      <c r="Z18256" s="372">
        <v>0.0</v>
      </c>
    </row>
    <row r="18257">
      <c r="Y18257" s="372">
        <v>0.0</v>
      </c>
      <c r="Z18257" s="372">
        <v>0.0</v>
      </c>
    </row>
    <row r="18258">
      <c r="Y18258" s="372">
        <v>0.0</v>
      </c>
      <c r="Z18258" s="372">
        <v>0.0</v>
      </c>
    </row>
    <row r="18259">
      <c r="Y18259" s="372">
        <v>0.0</v>
      </c>
      <c r="Z18259" s="372">
        <v>0.0</v>
      </c>
    </row>
    <row r="18260">
      <c r="Y18260" s="372">
        <v>0.0</v>
      </c>
      <c r="Z18260" s="372">
        <v>0.0</v>
      </c>
    </row>
    <row r="18261">
      <c r="Y18261" s="372">
        <v>0.0</v>
      </c>
      <c r="Z18261" s="372">
        <v>0.0</v>
      </c>
    </row>
    <row r="18262">
      <c r="Y18262" s="372">
        <v>0.0</v>
      </c>
      <c r="Z18262" s="372">
        <v>0.0</v>
      </c>
    </row>
    <row r="18263">
      <c r="Y18263" s="372">
        <v>0.0</v>
      </c>
      <c r="Z18263" s="372">
        <v>0.0</v>
      </c>
    </row>
    <row r="18264">
      <c r="Y18264" s="372">
        <v>0.0</v>
      </c>
      <c r="Z18264" s="372">
        <v>0.0</v>
      </c>
    </row>
    <row r="18265">
      <c r="Y18265" s="372">
        <v>0.0</v>
      </c>
      <c r="Z18265" s="372">
        <v>0.0</v>
      </c>
    </row>
    <row r="18266">
      <c r="Y18266" s="372">
        <v>0.0</v>
      </c>
      <c r="Z18266" s="372">
        <v>0.0</v>
      </c>
    </row>
    <row r="18267">
      <c r="Y18267" s="372">
        <v>0.0</v>
      </c>
      <c r="Z18267" s="372">
        <v>0.0</v>
      </c>
    </row>
    <row r="18268">
      <c r="Y18268" s="372">
        <v>0.0</v>
      </c>
      <c r="Z18268" s="372">
        <v>0.0</v>
      </c>
    </row>
    <row r="18269">
      <c r="Y18269" s="372">
        <v>0.0</v>
      </c>
      <c r="Z18269" s="372">
        <v>0.0</v>
      </c>
    </row>
    <row r="18270">
      <c r="Y18270" s="372">
        <v>0.0</v>
      </c>
      <c r="Z18270" s="372">
        <v>0.0</v>
      </c>
    </row>
    <row r="18271">
      <c r="Y18271" s="372">
        <v>0.0</v>
      </c>
      <c r="Z18271" s="372">
        <v>0.0</v>
      </c>
    </row>
    <row r="18272">
      <c r="Y18272" s="372">
        <v>0.0</v>
      </c>
      <c r="Z18272" s="372">
        <v>0.0</v>
      </c>
    </row>
    <row r="18273">
      <c r="Y18273" s="372">
        <v>0.0</v>
      </c>
      <c r="Z18273" s="372">
        <v>0.0</v>
      </c>
    </row>
    <row r="18274">
      <c r="Y18274" s="372">
        <v>0.0</v>
      </c>
      <c r="Z18274" s="372">
        <v>0.0</v>
      </c>
    </row>
    <row r="18275">
      <c r="Y18275" s="372">
        <v>0.0</v>
      </c>
      <c r="Z18275" s="372">
        <v>0.0</v>
      </c>
    </row>
    <row r="18276">
      <c r="Y18276" s="372">
        <v>0.0</v>
      </c>
      <c r="Z18276" s="372">
        <v>0.0</v>
      </c>
    </row>
    <row r="18277">
      <c r="Y18277" s="372">
        <v>0.0</v>
      </c>
      <c r="Z18277" s="372">
        <v>0.0</v>
      </c>
    </row>
    <row r="18278">
      <c r="Y18278" s="372">
        <v>0.0</v>
      </c>
      <c r="Z18278" s="372">
        <v>0.0</v>
      </c>
    </row>
    <row r="18279">
      <c r="Y18279" s="372">
        <v>0.0</v>
      </c>
      <c r="Z18279" s="372">
        <v>0.0</v>
      </c>
    </row>
    <row r="18280">
      <c r="Y18280" s="372">
        <v>0.0</v>
      </c>
      <c r="Z18280" s="372">
        <v>0.0</v>
      </c>
    </row>
    <row r="18281">
      <c r="Y18281" s="372">
        <v>0.0</v>
      </c>
      <c r="Z18281" s="372">
        <v>0.0</v>
      </c>
    </row>
    <row r="18282">
      <c r="Y18282" s="372">
        <v>0.0</v>
      </c>
      <c r="Z18282" s="372">
        <v>0.0</v>
      </c>
    </row>
    <row r="18283">
      <c r="Y18283" s="372">
        <v>0.0</v>
      </c>
      <c r="Z18283" s="372">
        <v>0.0</v>
      </c>
    </row>
    <row r="18284">
      <c r="Y18284" s="372">
        <v>0.0</v>
      </c>
      <c r="Z18284" s="372">
        <v>0.0</v>
      </c>
    </row>
    <row r="18285">
      <c r="Y18285" s="372">
        <v>0.0</v>
      </c>
      <c r="Z18285" s="372">
        <v>0.0</v>
      </c>
    </row>
    <row r="18286">
      <c r="Y18286" s="372">
        <v>0.0</v>
      </c>
      <c r="Z18286" s="372">
        <v>0.0</v>
      </c>
    </row>
    <row r="18287">
      <c r="Y18287" s="372">
        <v>0.0</v>
      </c>
      <c r="Z18287" s="372">
        <v>0.0</v>
      </c>
    </row>
    <row r="18288">
      <c r="Y18288" s="372">
        <v>0.0</v>
      </c>
      <c r="Z18288" s="372">
        <v>0.0</v>
      </c>
    </row>
    <row r="18289">
      <c r="Y18289" s="372">
        <v>0.0</v>
      </c>
      <c r="Z18289" s="372">
        <v>0.0</v>
      </c>
    </row>
    <row r="18290">
      <c r="Y18290" s="372">
        <v>0.0</v>
      </c>
      <c r="Z18290" s="372">
        <v>0.0</v>
      </c>
    </row>
    <row r="18291">
      <c r="Y18291" s="372">
        <v>0.0</v>
      </c>
      <c r="Z18291" s="372">
        <v>0.0</v>
      </c>
    </row>
    <row r="18292">
      <c r="Y18292" s="372">
        <v>0.0</v>
      </c>
      <c r="Z18292" s="372">
        <v>0.0</v>
      </c>
    </row>
    <row r="18293">
      <c r="Y18293" s="372">
        <v>0.0</v>
      </c>
      <c r="Z18293" s="372">
        <v>0.0</v>
      </c>
    </row>
    <row r="18294">
      <c r="Y18294" s="372">
        <v>0.0</v>
      </c>
      <c r="Z18294" s="372">
        <v>0.0</v>
      </c>
    </row>
    <row r="18295">
      <c r="Y18295" s="372">
        <v>0.0</v>
      </c>
      <c r="Z18295" s="372">
        <v>0.0</v>
      </c>
    </row>
    <row r="18296">
      <c r="Y18296" s="372">
        <v>0.0</v>
      </c>
      <c r="Z18296" s="372">
        <v>0.0</v>
      </c>
    </row>
    <row r="18297">
      <c r="Y18297" s="372">
        <v>0.0</v>
      </c>
      <c r="Z18297" s="372">
        <v>0.0</v>
      </c>
    </row>
    <row r="18298">
      <c r="Y18298" s="372">
        <v>0.0</v>
      </c>
      <c r="Z18298" s="372">
        <v>0.0</v>
      </c>
    </row>
    <row r="18299">
      <c r="Y18299" s="372">
        <v>0.0</v>
      </c>
      <c r="Z18299" s="372">
        <v>0.0</v>
      </c>
    </row>
    <row r="18300">
      <c r="Y18300" s="372">
        <v>0.0</v>
      </c>
      <c r="Z18300" s="372">
        <v>0.0</v>
      </c>
    </row>
    <row r="18301">
      <c r="Y18301" s="372">
        <v>0.0</v>
      </c>
      <c r="Z18301" s="372">
        <v>0.0</v>
      </c>
    </row>
    <row r="18302">
      <c r="Y18302" s="372">
        <v>0.0</v>
      </c>
      <c r="Z18302" s="372">
        <v>0.0</v>
      </c>
    </row>
    <row r="18303">
      <c r="Y18303" s="372">
        <v>0.0</v>
      </c>
      <c r="Z18303" s="372">
        <v>0.0</v>
      </c>
    </row>
    <row r="18304">
      <c r="Y18304" s="372">
        <v>0.0</v>
      </c>
      <c r="Z18304" s="372">
        <v>0.0</v>
      </c>
    </row>
    <row r="18305">
      <c r="Y18305" s="372">
        <v>0.0</v>
      </c>
      <c r="Z18305" s="372">
        <v>0.0</v>
      </c>
    </row>
    <row r="18306">
      <c r="Y18306" s="372">
        <v>0.0</v>
      </c>
      <c r="Z18306" s="372">
        <v>0.0</v>
      </c>
    </row>
    <row r="18307">
      <c r="Y18307" s="372">
        <v>0.0</v>
      </c>
      <c r="Z18307" s="372">
        <v>0.0</v>
      </c>
    </row>
    <row r="18308">
      <c r="Y18308" s="372">
        <v>0.0</v>
      </c>
      <c r="Z18308" s="372">
        <v>0.0</v>
      </c>
    </row>
    <row r="18309">
      <c r="Y18309" s="372">
        <v>0.0</v>
      </c>
      <c r="Z18309" s="372">
        <v>0.0</v>
      </c>
    </row>
    <row r="18310">
      <c r="Y18310" s="372">
        <v>0.0</v>
      </c>
      <c r="Z18310" s="372">
        <v>0.0</v>
      </c>
    </row>
    <row r="18311">
      <c r="Y18311" s="372">
        <v>0.0</v>
      </c>
      <c r="Z18311" s="372">
        <v>0.0</v>
      </c>
    </row>
    <row r="18312">
      <c r="Y18312" s="372">
        <v>0.0</v>
      </c>
      <c r="Z18312" s="372">
        <v>0.0</v>
      </c>
    </row>
    <row r="18313">
      <c r="Y18313" s="372">
        <v>0.0</v>
      </c>
      <c r="Z18313" s="372">
        <v>0.0</v>
      </c>
    </row>
    <row r="18314">
      <c r="Y18314" s="372">
        <v>0.0</v>
      </c>
      <c r="Z18314" s="372">
        <v>0.0</v>
      </c>
    </row>
    <row r="18315">
      <c r="Y18315" s="372">
        <v>0.0</v>
      </c>
      <c r="Z18315" s="372">
        <v>0.0</v>
      </c>
    </row>
    <row r="18316">
      <c r="Y18316" s="372">
        <v>0.0</v>
      </c>
      <c r="Z18316" s="372">
        <v>0.0</v>
      </c>
    </row>
    <row r="18317">
      <c r="Y18317" s="372">
        <v>0.0</v>
      </c>
      <c r="Z18317" s="372">
        <v>0.0</v>
      </c>
    </row>
    <row r="18318">
      <c r="Y18318" s="372">
        <v>0.0</v>
      </c>
      <c r="Z18318" s="372">
        <v>0.0</v>
      </c>
    </row>
    <row r="18319">
      <c r="Y18319" s="372">
        <v>0.0</v>
      </c>
      <c r="Z18319" s="372">
        <v>0.0</v>
      </c>
    </row>
    <row r="18320">
      <c r="Y18320" s="372">
        <v>0.0</v>
      </c>
      <c r="Z18320" s="372">
        <v>0.0</v>
      </c>
    </row>
    <row r="18321">
      <c r="Y18321" s="372">
        <v>0.0</v>
      </c>
      <c r="Z18321" s="372">
        <v>0.0</v>
      </c>
    </row>
    <row r="18322">
      <c r="Y18322" s="372">
        <v>0.0</v>
      </c>
      <c r="Z18322" s="372">
        <v>0.0</v>
      </c>
    </row>
    <row r="18323">
      <c r="Y18323" s="372">
        <v>0.0</v>
      </c>
      <c r="Z18323" s="372">
        <v>0.0</v>
      </c>
    </row>
    <row r="18324">
      <c r="Y18324" s="372">
        <v>0.0</v>
      </c>
      <c r="Z18324" s="372">
        <v>0.0</v>
      </c>
    </row>
    <row r="18325">
      <c r="Y18325" s="372">
        <v>0.0</v>
      </c>
      <c r="Z18325" s="372">
        <v>0.0</v>
      </c>
    </row>
    <row r="18326">
      <c r="Y18326" s="372">
        <v>0.0</v>
      </c>
      <c r="Z18326" s="372">
        <v>0.0</v>
      </c>
    </row>
    <row r="18327">
      <c r="Y18327" s="372">
        <v>0.0</v>
      </c>
      <c r="Z18327" s="372">
        <v>0.0</v>
      </c>
    </row>
    <row r="18328">
      <c r="Y18328" s="372">
        <v>0.0</v>
      </c>
      <c r="Z18328" s="372">
        <v>0.0</v>
      </c>
    </row>
    <row r="18329">
      <c r="Y18329" s="372">
        <v>0.0</v>
      </c>
      <c r="Z18329" s="372">
        <v>0.0</v>
      </c>
    </row>
    <row r="18330">
      <c r="Y18330" s="372">
        <v>0.0</v>
      </c>
      <c r="Z18330" s="372">
        <v>0.0</v>
      </c>
    </row>
    <row r="18331">
      <c r="Y18331" s="372">
        <v>0.0</v>
      </c>
      <c r="Z18331" s="372">
        <v>0.0</v>
      </c>
    </row>
    <row r="18332">
      <c r="Y18332" s="372">
        <v>0.0</v>
      </c>
      <c r="Z18332" s="372">
        <v>0.0</v>
      </c>
    </row>
    <row r="18333">
      <c r="Y18333" s="372">
        <v>0.0</v>
      </c>
      <c r="Z18333" s="372">
        <v>0.0</v>
      </c>
    </row>
    <row r="18334">
      <c r="Y18334" s="372">
        <v>0.0</v>
      </c>
      <c r="Z18334" s="372">
        <v>0.0</v>
      </c>
    </row>
    <row r="18335">
      <c r="Y18335" s="372">
        <v>0.0</v>
      </c>
      <c r="Z18335" s="372">
        <v>0.0</v>
      </c>
    </row>
    <row r="18336">
      <c r="Y18336" s="372">
        <v>0.0</v>
      </c>
      <c r="Z18336" s="372">
        <v>0.0</v>
      </c>
    </row>
    <row r="18337">
      <c r="Y18337" s="372">
        <v>0.0</v>
      </c>
      <c r="Z18337" s="372">
        <v>0.0</v>
      </c>
    </row>
    <row r="18338">
      <c r="Y18338" s="372">
        <v>0.0</v>
      </c>
      <c r="Z18338" s="372">
        <v>0.0</v>
      </c>
    </row>
    <row r="18339">
      <c r="Y18339" s="372">
        <v>0.0</v>
      </c>
      <c r="Z18339" s="372">
        <v>0.0</v>
      </c>
    </row>
    <row r="18340">
      <c r="Y18340" s="372">
        <v>0.0</v>
      </c>
      <c r="Z18340" s="372">
        <v>0.0</v>
      </c>
    </row>
    <row r="18341">
      <c r="Y18341" s="372">
        <v>0.0</v>
      </c>
      <c r="Z18341" s="372">
        <v>0.0</v>
      </c>
    </row>
    <row r="18342">
      <c r="Y18342" s="372">
        <v>0.0</v>
      </c>
      <c r="Z18342" s="372">
        <v>0.0</v>
      </c>
    </row>
    <row r="18343">
      <c r="Y18343" s="372">
        <v>0.0</v>
      </c>
      <c r="Z18343" s="372">
        <v>0.0</v>
      </c>
    </row>
    <row r="18344">
      <c r="Y18344" s="372">
        <v>0.0</v>
      </c>
      <c r="Z18344" s="372">
        <v>0.0</v>
      </c>
    </row>
    <row r="18345">
      <c r="Y18345" s="372">
        <v>0.0</v>
      </c>
      <c r="Z18345" s="372">
        <v>0.0</v>
      </c>
    </row>
    <row r="18346">
      <c r="Y18346" s="372">
        <v>0.0</v>
      </c>
      <c r="Z18346" s="372">
        <v>0.0</v>
      </c>
    </row>
    <row r="18347">
      <c r="Y18347" s="372">
        <v>0.0</v>
      </c>
      <c r="Z18347" s="372">
        <v>0.0</v>
      </c>
    </row>
    <row r="18348">
      <c r="Y18348" s="372">
        <v>0.0</v>
      </c>
      <c r="Z18348" s="372">
        <v>0.0</v>
      </c>
    </row>
    <row r="18349">
      <c r="Y18349" s="372">
        <v>0.0</v>
      </c>
      <c r="Z18349" s="372">
        <v>0.0</v>
      </c>
    </row>
    <row r="18350">
      <c r="Y18350" s="372">
        <v>0.0</v>
      </c>
      <c r="Z18350" s="372">
        <v>0.0</v>
      </c>
    </row>
    <row r="18351">
      <c r="Y18351" s="372">
        <v>0.0</v>
      </c>
      <c r="Z18351" s="372">
        <v>0.0</v>
      </c>
    </row>
    <row r="18352">
      <c r="Y18352" s="372">
        <v>0.0</v>
      </c>
      <c r="Z18352" s="372">
        <v>0.0</v>
      </c>
    </row>
    <row r="18353">
      <c r="Y18353" s="372">
        <v>0.0</v>
      </c>
      <c r="Z18353" s="372">
        <v>0.0</v>
      </c>
    </row>
    <row r="18354">
      <c r="Y18354" s="372">
        <v>0.0</v>
      </c>
      <c r="Z18354" s="372">
        <v>0.0</v>
      </c>
    </row>
    <row r="18355">
      <c r="Y18355" s="372">
        <v>0.0</v>
      </c>
      <c r="Z18355" s="372">
        <v>0.0</v>
      </c>
    </row>
    <row r="18356">
      <c r="Y18356" s="372">
        <v>0.0</v>
      </c>
      <c r="Z18356" s="372">
        <v>0.0</v>
      </c>
    </row>
    <row r="18357">
      <c r="Y18357" s="372">
        <v>0.0</v>
      </c>
      <c r="Z18357" s="372">
        <v>0.0</v>
      </c>
    </row>
    <row r="18358">
      <c r="Y18358" s="372">
        <v>0.0</v>
      </c>
      <c r="Z18358" s="372">
        <v>0.0</v>
      </c>
    </row>
    <row r="18359">
      <c r="Y18359" s="372">
        <v>0.0</v>
      </c>
      <c r="Z18359" s="372">
        <v>0.0</v>
      </c>
    </row>
    <row r="18360">
      <c r="Y18360" s="372">
        <v>0.0</v>
      </c>
      <c r="Z18360" s="372">
        <v>0.0</v>
      </c>
    </row>
    <row r="18361">
      <c r="Y18361" s="372">
        <v>0.0</v>
      </c>
      <c r="Z18361" s="372">
        <v>0.0</v>
      </c>
    </row>
    <row r="18362">
      <c r="Y18362" s="372">
        <v>0.0</v>
      </c>
      <c r="Z18362" s="372">
        <v>0.0</v>
      </c>
    </row>
    <row r="18363">
      <c r="Y18363" s="372">
        <v>0.0</v>
      </c>
      <c r="Z18363" s="372">
        <v>0.0</v>
      </c>
    </row>
    <row r="18364">
      <c r="Y18364" s="372">
        <v>0.0</v>
      </c>
      <c r="Z18364" s="372">
        <v>0.0</v>
      </c>
    </row>
    <row r="18365">
      <c r="Y18365" s="372">
        <v>0.0</v>
      </c>
      <c r="Z18365" s="372">
        <v>0.0</v>
      </c>
    </row>
    <row r="18366">
      <c r="Y18366" s="372">
        <v>0.0</v>
      </c>
      <c r="Z18366" s="372">
        <v>0.0</v>
      </c>
    </row>
    <row r="18367">
      <c r="Y18367" s="372">
        <v>0.0</v>
      </c>
      <c r="Z18367" s="372">
        <v>0.0</v>
      </c>
    </row>
    <row r="18368">
      <c r="Y18368" s="372">
        <v>0.0</v>
      </c>
      <c r="Z18368" s="372">
        <v>0.0</v>
      </c>
    </row>
    <row r="18369">
      <c r="Y18369" s="372">
        <v>0.0</v>
      </c>
      <c r="Z18369" s="372">
        <v>0.0</v>
      </c>
    </row>
    <row r="18370">
      <c r="Y18370" s="372">
        <v>0.0</v>
      </c>
      <c r="Z18370" s="372">
        <v>0.0</v>
      </c>
    </row>
    <row r="18371">
      <c r="Y18371" s="372">
        <v>0.0</v>
      </c>
      <c r="Z18371" s="372">
        <v>0.0</v>
      </c>
    </row>
    <row r="18372">
      <c r="Y18372" s="372">
        <v>0.0</v>
      </c>
      <c r="Z18372" s="372">
        <v>0.0</v>
      </c>
    </row>
    <row r="18373">
      <c r="Y18373" s="372">
        <v>0.0</v>
      </c>
      <c r="Z18373" s="372">
        <v>0.0</v>
      </c>
    </row>
    <row r="18374">
      <c r="Y18374" s="372">
        <v>0.0</v>
      </c>
      <c r="Z18374" s="372">
        <v>0.0</v>
      </c>
    </row>
    <row r="18375">
      <c r="Y18375" s="372">
        <v>0.0</v>
      </c>
      <c r="Z18375" s="372">
        <v>0.0</v>
      </c>
    </row>
    <row r="18376">
      <c r="Y18376" s="372">
        <v>0.0</v>
      </c>
      <c r="Z18376" s="372">
        <v>0.0</v>
      </c>
    </row>
    <row r="18377">
      <c r="Y18377" s="372">
        <v>0.0</v>
      </c>
      <c r="Z18377" s="372">
        <v>0.0</v>
      </c>
    </row>
    <row r="18378">
      <c r="Y18378" s="372">
        <v>0.0</v>
      </c>
      <c r="Z18378" s="372">
        <v>0.0</v>
      </c>
    </row>
    <row r="18379">
      <c r="Y18379" s="372">
        <v>0.0</v>
      </c>
      <c r="Z18379" s="372">
        <v>0.0</v>
      </c>
    </row>
    <row r="18380">
      <c r="Y18380" s="372">
        <v>0.0</v>
      </c>
      <c r="Z18380" s="372">
        <v>0.0</v>
      </c>
    </row>
    <row r="18381">
      <c r="Y18381" s="372">
        <v>0.0</v>
      </c>
      <c r="Z18381" s="372">
        <v>0.0</v>
      </c>
    </row>
    <row r="18382">
      <c r="Y18382" s="372">
        <v>0.0</v>
      </c>
      <c r="Z18382" s="372">
        <v>0.0</v>
      </c>
    </row>
    <row r="18383">
      <c r="Y18383" s="372">
        <v>0.0</v>
      </c>
      <c r="Z18383" s="372">
        <v>0.0</v>
      </c>
    </row>
    <row r="18384">
      <c r="Y18384" s="372">
        <v>0.0</v>
      </c>
      <c r="Z18384" s="372">
        <v>0.0</v>
      </c>
    </row>
    <row r="18385">
      <c r="Y18385" s="372">
        <v>0.0</v>
      </c>
      <c r="Z18385" s="372">
        <v>0.0</v>
      </c>
    </row>
    <row r="18386">
      <c r="Y18386" s="372">
        <v>0.0</v>
      </c>
      <c r="Z18386" s="372">
        <v>0.0</v>
      </c>
    </row>
    <row r="18387">
      <c r="Y18387" s="372">
        <v>0.0</v>
      </c>
      <c r="Z18387" s="372">
        <v>0.0</v>
      </c>
    </row>
    <row r="18388">
      <c r="Y18388" s="372">
        <v>0.0</v>
      </c>
      <c r="Z18388" s="372">
        <v>0.0</v>
      </c>
    </row>
    <row r="18389">
      <c r="Y18389" s="372">
        <v>0.0</v>
      </c>
      <c r="Z18389" s="372">
        <v>0.0</v>
      </c>
    </row>
    <row r="18390">
      <c r="Y18390" s="372">
        <v>0.0</v>
      </c>
      <c r="Z18390" s="372">
        <v>0.0</v>
      </c>
    </row>
    <row r="18391">
      <c r="Y18391" s="372">
        <v>0.0</v>
      </c>
      <c r="Z18391" s="372">
        <v>0.0</v>
      </c>
    </row>
    <row r="18392">
      <c r="Y18392" s="372">
        <v>0.0</v>
      </c>
      <c r="Z18392" s="372">
        <v>0.0</v>
      </c>
    </row>
    <row r="18393">
      <c r="Y18393" s="372">
        <v>0.0</v>
      </c>
      <c r="Z18393" s="372">
        <v>0.0</v>
      </c>
    </row>
    <row r="18394">
      <c r="Y18394" s="372">
        <v>0.0</v>
      </c>
      <c r="Z18394" s="372">
        <v>0.0</v>
      </c>
    </row>
    <row r="18395">
      <c r="Y18395" s="372">
        <v>0.0</v>
      </c>
      <c r="Z18395" s="372">
        <v>0.0</v>
      </c>
    </row>
    <row r="18396">
      <c r="Y18396" s="372">
        <v>0.0</v>
      </c>
      <c r="Z18396" s="372">
        <v>0.0</v>
      </c>
    </row>
    <row r="18397">
      <c r="Y18397" s="372">
        <v>0.0</v>
      </c>
      <c r="Z18397" s="372">
        <v>0.0</v>
      </c>
    </row>
    <row r="18398">
      <c r="Y18398" s="372">
        <v>0.0</v>
      </c>
      <c r="Z18398" s="372">
        <v>0.0</v>
      </c>
    </row>
    <row r="18399">
      <c r="Y18399" s="372">
        <v>0.0</v>
      </c>
      <c r="Z18399" s="372">
        <v>0.0</v>
      </c>
    </row>
    <row r="18400">
      <c r="Y18400" s="372">
        <v>0.0</v>
      </c>
      <c r="Z18400" s="372">
        <v>0.0</v>
      </c>
    </row>
    <row r="18401">
      <c r="Y18401" s="372">
        <v>0.0</v>
      </c>
      <c r="Z18401" s="372">
        <v>0.0</v>
      </c>
    </row>
    <row r="18402">
      <c r="Y18402" s="372">
        <v>0.0</v>
      </c>
      <c r="Z18402" s="372">
        <v>0.0</v>
      </c>
    </row>
    <row r="18403">
      <c r="Y18403" s="372">
        <v>0.0</v>
      </c>
      <c r="Z18403" s="372">
        <v>0.0</v>
      </c>
    </row>
    <row r="18404">
      <c r="Y18404" s="372">
        <v>0.0</v>
      </c>
      <c r="Z18404" s="372">
        <v>0.0</v>
      </c>
    </row>
    <row r="18405">
      <c r="Y18405" s="372">
        <v>0.0</v>
      </c>
      <c r="Z18405" s="372">
        <v>0.0</v>
      </c>
    </row>
    <row r="18406">
      <c r="Y18406" s="372">
        <v>0.0</v>
      </c>
      <c r="Z18406" s="372">
        <v>0.0</v>
      </c>
    </row>
    <row r="18407">
      <c r="Y18407" s="372">
        <v>0.0</v>
      </c>
      <c r="Z18407" s="372">
        <v>0.0</v>
      </c>
    </row>
    <row r="18408">
      <c r="Y18408" s="372">
        <v>0.0</v>
      </c>
      <c r="Z18408" s="372">
        <v>0.0</v>
      </c>
    </row>
    <row r="18409">
      <c r="Y18409" s="372">
        <v>0.0</v>
      </c>
      <c r="Z18409" s="372">
        <v>0.0</v>
      </c>
    </row>
    <row r="18410">
      <c r="Y18410" s="372">
        <v>0.0</v>
      </c>
      <c r="Z18410" s="372">
        <v>0.0</v>
      </c>
    </row>
    <row r="18411">
      <c r="Y18411" s="372">
        <v>0.0</v>
      </c>
      <c r="Z18411" s="372">
        <v>0.0</v>
      </c>
    </row>
    <row r="18412">
      <c r="Y18412" s="372">
        <v>0.0</v>
      </c>
      <c r="Z18412" s="372">
        <v>0.0</v>
      </c>
    </row>
    <row r="18413">
      <c r="Y18413" s="372">
        <v>0.0</v>
      </c>
      <c r="Z18413" s="372">
        <v>0.0</v>
      </c>
    </row>
    <row r="18414">
      <c r="Y18414" s="372">
        <v>0.0</v>
      </c>
      <c r="Z18414" s="372">
        <v>0.0</v>
      </c>
    </row>
    <row r="18415">
      <c r="Y18415" s="372">
        <v>0.0</v>
      </c>
      <c r="Z18415" s="372">
        <v>0.0</v>
      </c>
    </row>
    <row r="18416">
      <c r="Y18416" s="372">
        <v>0.0</v>
      </c>
      <c r="Z18416" s="372">
        <v>0.0</v>
      </c>
    </row>
    <row r="18417">
      <c r="Y18417" s="372">
        <v>0.0</v>
      </c>
      <c r="Z18417" s="372">
        <v>0.0</v>
      </c>
    </row>
    <row r="18418">
      <c r="Y18418" s="372">
        <v>0.0</v>
      </c>
      <c r="Z18418" s="372">
        <v>0.0</v>
      </c>
    </row>
    <row r="18419">
      <c r="Y18419" s="372">
        <v>0.0</v>
      </c>
      <c r="Z18419" s="372">
        <v>0.0</v>
      </c>
    </row>
    <row r="18420">
      <c r="Y18420" s="372">
        <v>0.0</v>
      </c>
      <c r="Z18420" s="372">
        <v>0.0</v>
      </c>
    </row>
    <row r="18421">
      <c r="Y18421" s="372">
        <v>0.0</v>
      </c>
      <c r="Z18421" s="372">
        <v>0.0</v>
      </c>
    </row>
    <row r="18422">
      <c r="Y18422" s="372">
        <v>0.0</v>
      </c>
      <c r="Z18422" s="372">
        <v>0.0</v>
      </c>
    </row>
    <row r="18423">
      <c r="Y18423" s="372">
        <v>0.0</v>
      </c>
      <c r="Z18423" s="372">
        <v>0.0</v>
      </c>
    </row>
    <row r="18424">
      <c r="Y18424" s="372">
        <v>0.0</v>
      </c>
      <c r="Z18424" s="372">
        <v>0.0</v>
      </c>
    </row>
    <row r="18425">
      <c r="Y18425" s="372">
        <v>0.0</v>
      </c>
      <c r="Z18425" s="372">
        <v>0.0</v>
      </c>
    </row>
    <row r="18426">
      <c r="Y18426" s="372">
        <v>0.0</v>
      </c>
      <c r="Z18426" s="372">
        <v>0.0</v>
      </c>
    </row>
    <row r="18427">
      <c r="Y18427" s="372">
        <v>0.0</v>
      </c>
      <c r="Z18427" s="372">
        <v>0.0</v>
      </c>
    </row>
    <row r="18428">
      <c r="Y18428" s="372">
        <v>0.0</v>
      </c>
      <c r="Z18428" s="372">
        <v>0.0</v>
      </c>
    </row>
    <row r="18429">
      <c r="Y18429" s="372">
        <v>0.0</v>
      </c>
      <c r="Z18429" s="372">
        <v>0.0</v>
      </c>
    </row>
    <row r="18430">
      <c r="Y18430" s="372">
        <v>0.0</v>
      </c>
      <c r="Z18430" s="372">
        <v>0.0</v>
      </c>
    </row>
    <row r="18431">
      <c r="Y18431" s="372">
        <v>0.0</v>
      </c>
      <c r="Z18431" s="372">
        <v>0.0</v>
      </c>
    </row>
    <row r="18432">
      <c r="Y18432" s="372">
        <v>0.0</v>
      </c>
      <c r="Z18432" s="372">
        <v>0.0</v>
      </c>
    </row>
    <row r="18433">
      <c r="Y18433" s="372">
        <v>0.0</v>
      </c>
      <c r="Z18433" s="372">
        <v>0.0</v>
      </c>
    </row>
    <row r="18434">
      <c r="Y18434" s="372">
        <v>0.0</v>
      </c>
      <c r="Z18434" s="372">
        <v>0.0</v>
      </c>
    </row>
    <row r="18435">
      <c r="Y18435" s="372">
        <v>0.0</v>
      </c>
      <c r="Z18435" s="372">
        <v>0.0</v>
      </c>
    </row>
    <row r="18436">
      <c r="Y18436" s="372">
        <v>0.0</v>
      </c>
      <c r="Z18436" s="372">
        <v>0.0</v>
      </c>
    </row>
    <row r="18437">
      <c r="Y18437" s="372">
        <v>0.0</v>
      </c>
      <c r="Z18437" s="372">
        <v>0.0</v>
      </c>
    </row>
    <row r="18438">
      <c r="Y18438" s="372">
        <v>0.0</v>
      </c>
      <c r="Z18438" s="372">
        <v>0.0</v>
      </c>
    </row>
    <row r="18439">
      <c r="Y18439" s="372">
        <v>0.0</v>
      </c>
      <c r="Z18439" s="372">
        <v>0.0</v>
      </c>
    </row>
    <row r="18440">
      <c r="Y18440" s="372">
        <v>0.0</v>
      </c>
      <c r="Z18440" s="372">
        <v>0.0</v>
      </c>
    </row>
    <row r="18441">
      <c r="Y18441" s="372">
        <v>0.0</v>
      </c>
      <c r="Z18441" s="372">
        <v>0.0</v>
      </c>
    </row>
    <row r="18442">
      <c r="Y18442" s="372">
        <v>0.0</v>
      </c>
      <c r="Z18442" s="372">
        <v>0.0</v>
      </c>
    </row>
    <row r="18443">
      <c r="Y18443" s="372">
        <v>0.0</v>
      </c>
      <c r="Z18443" s="372">
        <v>0.0</v>
      </c>
    </row>
    <row r="18444">
      <c r="Y18444" s="372">
        <v>0.0</v>
      </c>
      <c r="Z18444" s="372">
        <v>0.0</v>
      </c>
    </row>
    <row r="18445">
      <c r="Y18445" s="372">
        <v>0.0</v>
      </c>
      <c r="Z18445" s="372">
        <v>0.0</v>
      </c>
    </row>
    <row r="18446">
      <c r="Y18446" s="372">
        <v>0.0</v>
      </c>
      <c r="Z18446" s="372">
        <v>0.0</v>
      </c>
    </row>
    <row r="18447">
      <c r="Y18447" s="372">
        <v>0.0</v>
      </c>
      <c r="Z18447" s="372">
        <v>0.0</v>
      </c>
    </row>
    <row r="18448">
      <c r="Y18448" s="372">
        <v>0.0</v>
      </c>
      <c r="Z18448" s="372">
        <v>0.0</v>
      </c>
    </row>
    <row r="18449">
      <c r="Y18449" s="372">
        <v>0.0</v>
      </c>
      <c r="Z18449" s="372">
        <v>0.0</v>
      </c>
    </row>
    <row r="18450">
      <c r="Y18450" s="372">
        <v>0.0</v>
      </c>
      <c r="Z18450" s="372">
        <v>0.0</v>
      </c>
    </row>
    <row r="18451">
      <c r="Y18451" s="372">
        <v>0.0</v>
      </c>
      <c r="Z18451" s="372">
        <v>0.0</v>
      </c>
    </row>
    <row r="18452">
      <c r="Y18452" s="372">
        <v>0.0</v>
      </c>
      <c r="Z18452" s="372">
        <v>0.0</v>
      </c>
    </row>
    <row r="18453">
      <c r="Y18453" s="372">
        <v>0.0</v>
      </c>
      <c r="Z18453" s="372">
        <v>0.0</v>
      </c>
    </row>
    <row r="18454">
      <c r="Y18454" s="372">
        <v>0.0</v>
      </c>
      <c r="Z18454" s="372">
        <v>0.0</v>
      </c>
    </row>
    <row r="18455">
      <c r="Y18455" s="372">
        <v>0.0</v>
      </c>
      <c r="Z18455" s="372">
        <v>0.0</v>
      </c>
    </row>
    <row r="18456">
      <c r="Y18456" s="372">
        <v>0.0</v>
      </c>
      <c r="Z18456" s="372">
        <v>0.0</v>
      </c>
    </row>
    <row r="18457">
      <c r="Y18457" s="372">
        <v>0.0</v>
      </c>
      <c r="Z18457" s="372">
        <v>0.0</v>
      </c>
    </row>
    <row r="18458">
      <c r="Y18458" s="372">
        <v>0.0</v>
      </c>
      <c r="Z18458" s="372">
        <v>0.0</v>
      </c>
    </row>
    <row r="18459">
      <c r="Y18459" s="372">
        <v>0.0</v>
      </c>
      <c r="Z18459" s="372">
        <v>0.0</v>
      </c>
    </row>
    <row r="18460">
      <c r="Y18460" s="372">
        <v>0.0</v>
      </c>
      <c r="Z18460" s="372">
        <v>0.0</v>
      </c>
    </row>
    <row r="18461">
      <c r="Y18461" s="372">
        <v>0.0</v>
      </c>
      <c r="Z18461" s="372">
        <v>0.0</v>
      </c>
    </row>
    <row r="18462">
      <c r="Y18462" s="372">
        <v>0.0</v>
      </c>
      <c r="Z18462" s="372">
        <v>0.0</v>
      </c>
    </row>
    <row r="18463">
      <c r="Y18463" s="372">
        <v>0.0</v>
      </c>
      <c r="Z18463" s="372">
        <v>0.0</v>
      </c>
    </row>
    <row r="18464">
      <c r="Y18464" s="372">
        <v>0.0</v>
      </c>
      <c r="Z18464" s="372">
        <v>0.0</v>
      </c>
    </row>
    <row r="18465">
      <c r="Y18465" s="372">
        <v>0.0</v>
      </c>
      <c r="Z18465" s="372">
        <v>0.0</v>
      </c>
    </row>
    <row r="18466">
      <c r="Y18466" s="372">
        <v>0.0</v>
      </c>
      <c r="Z18466" s="372">
        <v>0.0</v>
      </c>
    </row>
    <row r="18467">
      <c r="Y18467" s="372">
        <v>0.0</v>
      </c>
      <c r="Z18467" s="372">
        <v>0.0</v>
      </c>
    </row>
    <row r="18468">
      <c r="Y18468" s="372">
        <v>0.0</v>
      </c>
      <c r="Z18468" s="372">
        <v>0.0</v>
      </c>
    </row>
    <row r="18469">
      <c r="Y18469" s="372">
        <v>0.0</v>
      </c>
      <c r="Z18469" s="372">
        <v>0.0</v>
      </c>
    </row>
    <row r="18470">
      <c r="Y18470" s="372">
        <v>0.0</v>
      </c>
      <c r="Z18470" s="372">
        <v>0.0</v>
      </c>
    </row>
    <row r="18471">
      <c r="Y18471" s="372">
        <v>0.0</v>
      </c>
      <c r="Z18471" s="372">
        <v>0.0</v>
      </c>
    </row>
    <row r="18472">
      <c r="Y18472" s="372">
        <v>0.0</v>
      </c>
      <c r="Z18472" s="372">
        <v>0.0</v>
      </c>
    </row>
    <row r="18473">
      <c r="Y18473" s="372">
        <v>0.0</v>
      </c>
      <c r="Z18473" s="372">
        <v>0.0</v>
      </c>
    </row>
    <row r="18474">
      <c r="Y18474" s="372">
        <v>0.0</v>
      </c>
      <c r="Z18474" s="372">
        <v>0.0</v>
      </c>
    </row>
    <row r="18475">
      <c r="Y18475" s="372">
        <v>0.0</v>
      </c>
      <c r="Z18475" s="372">
        <v>0.0</v>
      </c>
    </row>
    <row r="18476">
      <c r="Y18476" s="372">
        <v>0.0</v>
      </c>
      <c r="Z18476" s="372">
        <v>0.0</v>
      </c>
    </row>
    <row r="18477">
      <c r="Y18477" s="372">
        <v>0.0</v>
      </c>
      <c r="Z18477" s="372">
        <v>0.0</v>
      </c>
    </row>
    <row r="18478">
      <c r="Y18478" s="372">
        <v>0.0</v>
      </c>
      <c r="Z18478" s="372">
        <v>0.0</v>
      </c>
    </row>
    <row r="18479">
      <c r="Y18479" s="372">
        <v>0.0</v>
      </c>
      <c r="Z18479" s="372">
        <v>0.0</v>
      </c>
    </row>
    <row r="18480">
      <c r="Y18480" s="372">
        <v>0.0</v>
      </c>
      <c r="Z18480" s="372">
        <v>0.0</v>
      </c>
    </row>
    <row r="18481">
      <c r="Y18481" s="372">
        <v>0.0</v>
      </c>
      <c r="Z18481" s="372">
        <v>0.0</v>
      </c>
    </row>
    <row r="18482">
      <c r="Y18482" s="372">
        <v>0.0</v>
      </c>
      <c r="Z18482" s="372">
        <v>0.0</v>
      </c>
    </row>
    <row r="18483">
      <c r="Y18483" s="372">
        <v>0.0</v>
      </c>
      <c r="Z18483" s="372">
        <v>0.0</v>
      </c>
    </row>
    <row r="18484">
      <c r="Y18484" s="372">
        <v>0.0</v>
      </c>
      <c r="Z18484" s="372">
        <v>0.0</v>
      </c>
    </row>
    <row r="18485">
      <c r="Y18485" s="372">
        <v>0.0</v>
      </c>
      <c r="Z18485" s="372">
        <v>0.0</v>
      </c>
    </row>
    <row r="18486">
      <c r="Y18486" s="372">
        <v>0.0</v>
      </c>
      <c r="Z18486" s="372">
        <v>0.0</v>
      </c>
    </row>
    <row r="18487">
      <c r="Y18487" s="372">
        <v>0.0</v>
      </c>
      <c r="Z18487" s="372">
        <v>0.0</v>
      </c>
    </row>
    <row r="18488">
      <c r="Y18488" s="372">
        <v>0.0</v>
      </c>
      <c r="Z18488" s="372">
        <v>0.0</v>
      </c>
    </row>
    <row r="18489">
      <c r="Y18489" s="372">
        <v>0.0</v>
      </c>
      <c r="Z18489" s="372">
        <v>0.0</v>
      </c>
    </row>
    <row r="18490">
      <c r="Y18490" s="372">
        <v>0.0</v>
      </c>
      <c r="Z18490" s="372">
        <v>0.0</v>
      </c>
    </row>
    <row r="18491">
      <c r="Y18491" s="372">
        <v>0.0</v>
      </c>
      <c r="Z18491" s="372">
        <v>0.0</v>
      </c>
    </row>
    <row r="18492">
      <c r="Y18492" s="372">
        <v>0.0</v>
      </c>
      <c r="Z18492" s="372">
        <v>0.0</v>
      </c>
    </row>
    <row r="18493">
      <c r="Y18493" s="372">
        <v>0.0</v>
      </c>
      <c r="Z18493" s="372">
        <v>0.0</v>
      </c>
    </row>
    <row r="18494">
      <c r="Y18494" s="372">
        <v>0.0</v>
      </c>
      <c r="Z18494" s="372">
        <v>0.0</v>
      </c>
    </row>
    <row r="18495">
      <c r="Y18495" s="372">
        <v>0.0</v>
      </c>
      <c r="Z18495" s="372">
        <v>0.0</v>
      </c>
    </row>
    <row r="18496">
      <c r="Y18496" s="372">
        <v>0.0</v>
      </c>
      <c r="Z18496" s="372">
        <v>0.0</v>
      </c>
    </row>
    <row r="18497">
      <c r="Y18497" s="372">
        <v>0.0</v>
      </c>
      <c r="Z18497" s="372">
        <v>0.0</v>
      </c>
    </row>
    <row r="18498">
      <c r="Y18498" s="372">
        <v>0.0</v>
      </c>
      <c r="Z18498" s="372">
        <v>0.0</v>
      </c>
    </row>
    <row r="18499">
      <c r="Y18499" s="372">
        <v>0.0</v>
      </c>
      <c r="Z18499" s="372">
        <v>0.0</v>
      </c>
    </row>
    <row r="18500">
      <c r="Y18500" s="372">
        <v>0.0</v>
      </c>
      <c r="Z18500" s="372">
        <v>0.0</v>
      </c>
    </row>
    <row r="18501">
      <c r="Y18501" s="372">
        <v>0.0</v>
      </c>
      <c r="Z18501" s="372">
        <v>0.0</v>
      </c>
    </row>
    <row r="18502">
      <c r="Y18502" s="372">
        <v>0.0</v>
      </c>
      <c r="Z18502" s="372">
        <v>0.0</v>
      </c>
    </row>
    <row r="18503">
      <c r="Y18503" s="372">
        <v>0.0</v>
      </c>
      <c r="Z18503" s="372">
        <v>0.0</v>
      </c>
    </row>
    <row r="18504">
      <c r="Y18504" s="372">
        <v>0.0</v>
      </c>
      <c r="Z18504" s="372">
        <v>0.0</v>
      </c>
    </row>
    <row r="18505">
      <c r="Y18505" s="372">
        <v>0.0</v>
      </c>
      <c r="Z18505" s="372">
        <v>0.0</v>
      </c>
    </row>
    <row r="18506">
      <c r="Y18506" s="372">
        <v>0.0</v>
      </c>
      <c r="Z18506" s="372">
        <v>0.0</v>
      </c>
    </row>
    <row r="18507">
      <c r="Y18507" s="372">
        <v>0.0</v>
      </c>
      <c r="Z18507" s="372">
        <v>0.0</v>
      </c>
    </row>
    <row r="18508">
      <c r="Y18508" s="372">
        <v>0.0</v>
      </c>
      <c r="Z18508" s="372">
        <v>0.0</v>
      </c>
    </row>
    <row r="18509">
      <c r="Y18509" s="372">
        <v>0.0</v>
      </c>
      <c r="Z18509" s="372">
        <v>0.0</v>
      </c>
    </row>
    <row r="18510">
      <c r="Y18510" s="372">
        <v>0.0</v>
      </c>
      <c r="Z18510" s="372">
        <v>0.0</v>
      </c>
    </row>
    <row r="18511">
      <c r="Y18511" s="372">
        <v>0.0</v>
      </c>
      <c r="Z18511" s="372">
        <v>0.0</v>
      </c>
    </row>
    <row r="18512">
      <c r="Y18512" s="372">
        <v>0.0</v>
      </c>
      <c r="Z18512" s="372">
        <v>0.0</v>
      </c>
    </row>
    <row r="18513">
      <c r="Y18513" s="372">
        <v>0.0</v>
      </c>
      <c r="Z18513" s="372">
        <v>0.0</v>
      </c>
    </row>
    <row r="18514">
      <c r="Y18514" s="372">
        <v>0.0</v>
      </c>
      <c r="Z18514" s="372">
        <v>0.0</v>
      </c>
    </row>
    <row r="18515">
      <c r="Y18515" s="372">
        <v>0.0</v>
      </c>
      <c r="Z18515" s="372">
        <v>0.0</v>
      </c>
    </row>
    <row r="18516">
      <c r="Y18516" s="372">
        <v>0.0</v>
      </c>
      <c r="Z18516" s="372">
        <v>0.0</v>
      </c>
    </row>
    <row r="18517">
      <c r="Y18517" s="372">
        <v>0.0</v>
      </c>
      <c r="Z18517" s="372">
        <v>0.0</v>
      </c>
    </row>
    <row r="18518">
      <c r="Y18518" s="372">
        <v>0.0</v>
      </c>
      <c r="Z18518" s="372">
        <v>0.0</v>
      </c>
    </row>
    <row r="18519">
      <c r="Y18519" s="372">
        <v>0.0</v>
      </c>
      <c r="Z18519" s="372">
        <v>0.0</v>
      </c>
    </row>
    <row r="18520">
      <c r="Y18520" s="372">
        <v>0.0</v>
      </c>
      <c r="Z18520" s="372">
        <v>0.0</v>
      </c>
    </row>
    <row r="18521">
      <c r="Y18521" s="372">
        <v>0.0</v>
      </c>
      <c r="Z18521" s="372">
        <v>0.0</v>
      </c>
    </row>
    <row r="18522">
      <c r="Y18522" s="372">
        <v>0.0</v>
      </c>
      <c r="Z18522" s="372">
        <v>0.0</v>
      </c>
    </row>
    <row r="18523">
      <c r="Y18523" s="372">
        <v>0.0</v>
      </c>
      <c r="Z18523" s="372">
        <v>0.0</v>
      </c>
    </row>
    <row r="18524">
      <c r="Y18524" s="372">
        <v>0.0</v>
      </c>
      <c r="Z18524" s="372">
        <v>0.0</v>
      </c>
    </row>
    <row r="18525">
      <c r="Y18525" s="372">
        <v>0.0</v>
      </c>
      <c r="Z18525" s="372">
        <v>0.0</v>
      </c>
    </row>
    <row r="18526">
      <c r="Y18526" s="372">
        <v>0.0</v>
      </c>
      <c r="Z18526" s="372">
        <v>0.0</v>
      </c>
    </row>
    <row r="18527">
      <c r="Y18527" s="372">
        <v>0.0</v>
      </c>
      <c r="Z18527" s="372">
        <v>0.0</v>
      </c>
    </row>
    <row r="18528">
      <c r="Y18528" s="372">
        <v>0.0</v>
      </c>
      <c r="Z18528" s="372">
        <v>0.0</v>
      </c>
    </row>
    <row r="18529">
      <c r="Y18529" s="372">
        <v>0.0</v>
      </c>
      <c r="Z18529" s="372">
        <v>0.0</v>
      </c>
    </row>
    <row r="18530">
      <c r="Y18530" s="372">
        <v>0.0</v>
      </c>
      <c r="Z18530" s="372">
        <v>0.0</v>
      </c>
    </row>
    <row r="18531">
      <c r="Y18531" s="372">
        <v>0.0</v>
      </c>
      <c r="Z18531" s="372">
        <v>0.0</v>
      </c>
    </row>
    <row r="18532">
      <c r="Y18532" s="372">
        <v>0.0</v>
      </c>
      <c r="Z18532" s="372">
        <v>0.0</v>
      </c>
    </row>
    <row r="18533">
      <c r="Y18533" s="372">
        <v>0.0</v>
      </c>
      <c r="Z18533" s="372">
        <v>0.0</v>
      </c>
    </row>
    <row r="18534">
      <c r="Y18534" s="372">
        <v>0.0</v>
      </c>
      <c r="Z18534" s="372">
        <v>0.0</v>
      </c>
    </row>
    <row r="18535">
      <c r="Y18535" s="372">
        <v>0.0</v>
      </c>
      <c r="Z18535" s="372">
        <v>0.0</v>
      </c>
    </row>
    <row r="18536">
      <c r="Y18536" s="372">
        <v>0.0</v>
      </c>
      <c r="Z18536" s="372">
        <v>0.0</v>
      </c>
    </row>
    <row r="18537">
      <c r="Y18537" s="372">
        <v>0.0</v>
      </c>
      <c r="Z18537" s="372">
        <v>0.0</v>
      </c>
    </row>
    <row r="18538">
      <c r="Y18538" s="372">
        <v>0.0</v>
      </c>
      <c r="Z18538" s="372">
        <v>0.0</v>
      </c>
    </row>
    <row r="18539">
      <c r="Y18539" s="372">
        <v>0.0</v>
      </c>
      <c r="Z18539" s="372">
        <v>0.0</v>
      </c>
    </row>
    <row r="18540">
      <c r="Y18540" s="372">
        <v>0.0</v>
      </c>
      <c r="Z18540" s="372">
        <v>0.0</v>
      </c>
    </row>
    <row r="18541">
      <c r="Y18541" s="372">
        <v>0.0</v>
      </c>
      <c r="Z18541" s="372">
        <v>0.0</v>
      </c>
    </row>
    <row r="18542">
      <c r="Y18542" s="372">
        <v>0.0</v>
      </c>
      <c r="Z18542" s="372">
        <v>0.0</v>
      </c>
    </row>
    <row r="18543">
      <c r="Y18543" s="372">
        <v>0.0</v>
      </c>
      <c r="Z18543" s="372">
        <v>0.0</v>
      </c>
    </row>
    <row r="18544">
      <c r="Y18544" s="372">
        <v>0.0</v>
      </c>
      <c r="Z18544" s="372">
        <v>0.0</v>
      </c>
    </row>
    <row r="18545">
      <c r="Y18545" s="372">
        <v>0.0</v>
      </c>
      <c r="Z18545" s="372">
        <v>0.0</v>
      </c>
    </row>
    <row r="18546">
      <c r="Y18546" s="372">
        <v>0.0</v>
      </c>
      <c r="Z18546" s="372">
        <v>0.0</v>
      </c>
    </row>
    <row r="18547">
      <c r="Y18547" s="372">
        <v>0.0</v>
      </c>
      <c r="Z18547" s="372">
        <v>0.0</v>
      </c>
    </row>
    <row r="18548">
      <c r="Y18548" s="372">
        <v>0.0</v>
      </c>
      <c r="Z18548" s="372">
        <v>0.0</v>
      </c>
    </row>
    <row r="18549">
      <c r="Y18549" s="372">
        <v>0.0</v>
      </c>
      <c r="Z18549" s="372">
        <v>0.0</v>
      </c>
    </row>
    <row r="18550">
      <c r="Y18550" s="372">
        <v>0.0</v>
      </c>
      <c r="Z18550" s="372">
        <v>0.0</v>
      </c>
    </row>
    <row r="18551">
      <c r="Y18551" s="372">
        <v>0.0</v>
      </c>
      <c r="Z18551" s="372">
        <v>0.0</v>
      </c>
    </row>
    <row r="18552">
      <c r="Y18552" s="372">
        <v>0.0</v>
      </c>
      <c r="Z18552" s="372">
        <v>0.0</v>
      </c>
    </row>
    <row r="18553">
      <c r="Y18553" s="372">
        <v>0.0</v>
      </c>
      <c r="Z18553" s="372">
        <v>0.0</v>
      </c>
    </row>
    <row r="18554">
      <c r="Y18554" s="372">
        <v>0.0</v>
      </c>
      <c r="Z18554" s="372">
        <v>0.0</v>
      </c>
    </row>
    <row r="18555">
      <c r="Y18555" s="372">
        <v>0.0</v>
      </c>
      <c r="Z18555" s="372">
        <v>0.0</v>
      </c>
    </row>
    <row r="18556">
      <c r="Y18556" s="372">
        <v>0.0</v>
      </c>
      <c r="Z18556" s="372">
        <v>0.0</v>
      </c>
    </row>
    <row r="18557">
      <c r="Y18557" s="372">
        <v>0.0</v>
      </c>
      <c r="Z18557" s="372">
        <v>0.0</v>
      </c>
    </row>
    <row r="18558">
      <c r="Y18558" s="372">
        <v>0.0</v>
      </c>
      <c r="Z18558" s="372">
        <v>0.0</v>
      </c>
    </row>
    <row r="18559">
      <c r="Y18559" s="372">
        <v>0.0</v>
      </c>
      <c r="Z18559" s="372">
        <v>0.0</v>
      </c>
    </row>
    <row r="18560">
      <c r="Y18560" s="372">
        <v>0.0</v>
      </c>
      <c r="Z18560" s="372">
        <v>0.0</v>
      </c>
    </row>
    <row r="18561">
      <c r="Y18561" s="372">
        <v>0.0</v>
      </c>
      <c r="Z18561" s="372">
        <v>0.0</v>
      </c>
    </row>
    <row r="18562">
      <c r="Y18562" s="372">
        <v>0.0</v>
      </c>
      <c r="Z18562" s="372">
        <v>0.0</v>
      </c>
    </row>
    <row r="18563">
      <c r="Y18563" s="372">
        <v>0.0</v>
      </c>
      <c r="Z18563" s="372">
        <v>0.0</v>
      </c>
    </row>
    <row r="18564">
      <c r="Y18564" s="372">
        <v>0.0</v>
      </c>
      <c r="Z18564" s="372">
        <v>0.0</v>
      </c>
    </row>
    <row r="18565">
      <c r="Y18565" s="372">
        <v>0.0</v>
      </c>
      <c r="Z18565" s="372">
        <v>0.0</v>
      </c>
    </row>
    <row r="18566">
      <c r="Y18566" s="372">
        <v>0.0</v>
      </c>
      <c r="Z18566" s="372">
        <v>0.0</v>
      </c>
    </row>
    <row r="18567">
      <c r="Y18567" s="372">
        <v>0.0</v>
      </c>
      <c r="Z18567" s="372">
        <v>0.0</v>
      </c>
    </row>
    <row r="18568">
      <c r="Y18568" s="372">
        <v>0.0</v>
      </c>
      <c r="Z18568" s="372">
        <v>0.0</v>
      </c>
    </row>
    <row r="18569">
      <c r="Y18569" s="372">
        <v>0.0</v>
      </c>
      <c r="Z18569" s="372">
        <v>0.0</v>
      </c>
    </row>
    <row r="18570">
      <c r="Y18570" s="372">
        <v>0.0</v>
      </c>
      <c r="Z18570" s="372">
        <v>0.0</v>
      </c>
    </row>
    <row r="18571">
      <c r="Y18571" s="372">
        <v>0.0</v>
      </c>
      <c r="Z18571" s="372">
        <v>0.0</v>
      </c>
    </row>
    <row r="18572">
      <c r="Y18572" s="372">
        <v>0.0</v>
      </c>
      <c r="Z18572" s="372">
        <v>0.0</v>
      </c>
    </row>
    <row r="18573">
      <c r="Y18573" s="372">
        <v>0.0</v>
      </c>
      <c r="Z18573" s="372">
        <v>0.0</v>
      </c>
    </row>
    <row r="18574">
      <c r="Y18574" s="372">
        <v>0.0</v>
      </c>
      <c r="Z18574" s="372">
        <v>0.0</v>
      </c>
    </row>
    <row r="18575">
      <c r="Y18575" s="372">
        <v>0.0</v>
      </c>
      <c r="Z18575" s="372">
        <v>0.0</v>
      </c>
    </row>
    <row r="18576">
      <c r="Y18576" s="372">
        <v>0.0</v>
      </c>
      <c r="Z18576" s="372">
        <v>0.0</v>
      </c>
    </row>
    <row r="18577">
      <c r="Y18577" s="372">
        <v>0.0</v>
      </c>
      <c r="Z18577" s="372">
        <v>0.0</v>
      </c>
    </row>
    <row r="18578">
      <c r="Y18578" s="372">
        <v>0.0</v>
      </c>
      <c r="Z18578" s="372">
        <v>0.0</v>
      </c>
    </row>
    <row r="18579">
      <c r="Y18579" s="372">
        <v>0.0</v>
      </c>
      <c r="Z18579" s="372">
        <v>0.0</v>
      </c>
    </row>
    <row r="18580">
      <c r="Y18580" s="372">
        <v>0.0</v>
      </c>
      <c r="Z18580" s="372">
        <v>0.0</v>
      </c>
    </row>
    <row r="18581">
      <c r="Y18581" s="372">
        <v>0.0</v>
      </c>
      <c r="Z18581" s="372">
        <v>0.0</v>
      </c>
    </row>
    <row r="18582">
      <c r="Y18582" s="372">
        <v>0.0</v>
      </c>
      <c r="Z18582" s="372">
        <v>0.0</v>
      </c>
    </row>
    <row r="18583">
      <c r="Y18583" s="372">
        <v>0.0</v>
      </c>
      <c r="Z18583" s="372">
        <v>0.0</v>
      </c>
    </row>
    <row r="18584">
      <c r="Y18584" s="372">
        <v>0.0</v>
      </c>
      <c r="Z18584" s="372">
        <v>0.0</v>
      </c>
    </row>
    <row r="18585">
      <c r="Y18585" s="372">
        <v>0.0</v>
      </c>
      <c r="Z18585" s="372">
        <v>0.0</v>
      </c>
    </row>
    <row r="18586">
      <c r="Y18586" s="372">
        <v>0.0</v>
      </c>
      <c r="Z18586" s="372">
        <v>0.0</v>
      </c>
    </row>
    <row r="18587">
      <c r="Y18587" s="372">
        <v>0.0</v>
      </c>
      <c r="Z18587" s="372">
        <v>0.0</v>
      </c>
    </row>
    <row r="18588">
      <c r="Y18588" s="372">
        <v>0.0</v>
      </c>
      <c r="Z18588" s="372">
        <v>0.0</v>
      </c>
    </row>
    <row r="18589">
      <c r="Y18589" s="372">
        <v>0.0</v>
      </c>
      <c r="Z18589" s="372">
        <v>0.0</v>
      </c>
    </row>
    <row r="18590">
      <c r="Y18590" s="372">
        <v>0.0</v>
      </c>
      <c r="Z18590" s="372">
        <v>0.0</v>
      </c>
    </row>
    <row r="18591">
      <c r="Y18591" s="372">
        <v>0.0</v>
      </c>
      <c r="Z18591" s="372">
        <v>0.0</v>
      </c>
    </row>
    <row r="18592">
      <c r="Y18592" s="372">
        <v>0.0</v>
      </c>
      <c r="Z18592" s="372">
        <v>0.0</v>
      </c>
    </row>
    <row r="18593">
      <c r="Y18593" s="372">
        <v>0.0</v>
      </c>
      <c r="Z18593" s="372">
        <v>0.0</v>
      </c>
    </row>
    <row r="18594">
      <c r="Y18594" s="372">
        <v>0.0</v>
      </c>
      <c r="Z18594" s="372">
        <v>0.0</v>
      </c>
    </row>
    <row r="18595">
      <c r="Y18595" s="372">
        <v>0.0</v>
      </c>
      <c r="Z18595" s="372">
        <v>0.0</v>
      </c>
    </row>
    <row r="18596">
      <c r="Y18596" s="372">
        <v>0.0</v>
      </c>
      <c r="Z18596" s="372">
        <v>0.0</v>
      </c>
    </row>
    <row r="18597">
      <c r="Y18597" s="372">
        <v>0.0</v>
      </c>
      <c r="Z18597" s="372">
        <v>0.0</v>
      </c>
    </row>
    <row r="18598">
      <c r="Y18598" s="372">
        <v>0.0</v>
      </c>
      <c r="Z18598" s="372">
        <v>0.0</v>
      </c>
    </row>
    <row r="18599">
      <c r="Y18599" s="372">
        <v>0.0</v>
      </c>
      <c r="Z18599" s="372">
        <v>0.0</v>
      </c>
    </row>
    <row r="18600">
      <c r="Y18600" s="372">
        <v>0.0</v>
      </c>
      <c r="Z18600" s="372">
        <v>0.0</v>
      </c>
    </row>
    <row r="18601">
      <c r="Y18601" s="372">
        <v>0.0</v>
      </c>
      <c r="Z18601" s="372">
        <v>0.0</v>
      </c>
    </row>
    <row r="18602">
      <c r="Y18602" s="372">
        <v>0.0</v>
      </c>
      <c r="Z18602" s="372">
        <v>0.0</v>
      </c>
    </row>
    <row r="18603">
      <c r="Y18603" s="372">
        <v>0.0</v>
      </c>
      <c r="Z18603" s="372">
        <v>0.0</v>
      </c>
    </row>
    <row r="18604">
      <c r="Y18604" s="372">
        <v>0.0</v>
      </c>
      <c r="Z18604" s="372">
        <v>0.0</v>
      </c>
    </row>
    <row r="18605">
      <c r="Y18605" s="372">
        <v>0.0</v>
      </c>
      <c r="Z18605" s="372">
        <v>0.0</v>
      </c>
    </row>
    <row r="18606">
      <c r="Y18606" s="372">
        <v>0.0</v>
      </c>
      <c r="Z18606" s="372">
        <v>0.0</v>
      </c>
    </row>
    <row r="18607">
      <c r="Y18607" s="372">
        <v>0.0</v>
      </c>
      <c r="Z18607" s="372">
        <v>0.0</v>
      </c>
    </row>
    <row r="18608">
      <c r="Y18608" s="372">
        <v>0.0</v>
      </c>
      <c r="Z18608" s="372">
        <v>0.0</v>
      </c>
    </row>
    <row r="18609">
      <c r="Y18609" s="372">
        <v>0.0</v>
      </c>
      <c r="Z18609" s="372">
        <v>0.0</v>
      </c>
    </row>
    <row r="18610">
      <c r="Y18610" s="372">
        <v>0.0</v>
      </c>
      <c r="Z18610" s="372">
        <v>0.0</v>
      </c>
    </row>
    <row r="18611">
      <c r="Y18611" s="372">
        <v>0.0</v>
      </c>
      <c r="Z18611" s="372">
        <v>0.0</v>
      </c>
    </row>
    <row r="18612">
      <c r="Y18612" s="372">
        <v>0.0</v>
      </c>
      <c r="Z18612" s="372">
        <v>0.0</v>
      </c>
    </row>
    <row r="18613">
      <c r="Y18613" s="372">
        <v>0.0</v>
      </c>
      <c r="Z18613" s="372">
        <v>0.0</v>
      </c>
    </row>
    <row r="18614">
      <c r="Y18614" s="372">
        <v>0.0</v>
      </c>
      <c r="Z18614" s="372">
        <v>0.0</v>
      </c>
    </row>
    <row r="18615">
      <c r="Y18615" s="372">
        <v>0.0</v>
      </c>
      <c r="Z18615" s="372">
        <v>0.0</v>
      </c>
    </row>
    <row r="18616">
      <c r="Y18616" s="372">
        <v>0.0</v>
      </c>
      <c r="Z18616" s="372">
        <v>0.0</v>
      </c>
    </row>
    <row r="18617">
      <c r="Y18617" s="372">
        <v>0.0</v>
      </c>
      <c r="Z18617" s="372">
        <v>0.0</v>
      </c>
    </row>
    <row r="18618">
      <c r="Y18618" s="372">
        <v>0.0</v>
      </c>
      <c r="Z18618" s="372">
        <v>0.0</v>
      </c>
    </row>
    <row r="18619">
      <c r="Y18619" s="372">
        <v>0.0</v>
      </c>
      <c r="Z18619" s="372">
        <v>0.0</v>
      </c>
    </row>
    <row r="18620">
      <c r="Y18620" s="372">
        <v>0.0</v>
      </c>
      <c r="Z18620" s="372">
        <v>0.0</v>
      </c>
    </row>
    <row r="18621">
      <c r="Y18621" s="372">
        <v>0.0</v>
      </c>
      <c r="Z18621" s="372">
        <v>0.0</v>
      </c>
    </row>
    <row r="18622">
      <c r="Y18622" s="372">
        <v>0.0</v>
      </c>
      <c r="Z18622" s="372">
        <v>0.0</v>
      </c>
    </row>
    <row r="18623">
      <c r="Y18623" s="372">
        <v>0.0</v>
      </c>
      <c r="Z18623" s="372">
        <v>0.0</v>
      </c>
    </row>
    <row r="18624">
      <c r="Y18624" s="372">
        <v>0.0</v>
      </c>
      <c r="Z18624" s="372">
        <v>0.0</v>
      </c>
    </row>
    <row r="18625">
      <c r="Y18625" s="372">
        <v>0.0</v>
      </c>
      <c r="Z18625" s="372">
        <v>0.0</v>
      </c>
    </row>
    <row r="18626">
      <c r="Y18626" s="372">
        <v>0.0</v>
      </c>
      <c r="Z18626" s="372">
        <v>0.0</v>
      </c>
    </row>
    <row r="18627">
      <c r="Y18627" s="372">
        <v>0.0</v>
      </c>
      <c r="Z18627" s="372">
        <v>0.0</v>
      </c>
    </row>
    <row r="18628">
      <c r="Y18628" s="372">
        <v>0.0</v>
      </c>
      <c r="Z18628" s="372">
        <v>0.0</v>
      </c>
    </row>
    <row r="18629">
      <c r="Y18629" s="372">
        <v>0.0</v>
      </c>
      <c r="Z18629" s="372">
        <v>0.0</v>
      </c>
    </row>
    <row r="18630">
      <c r="Y18630" s="372">
        <v>0.0</v>
      </c>
      <c r="Z18630" s="372">
        <v>0.0</v>
      </c>
    </row>
    <row r="18631">
      <c r="Y18631" s="372">
        <v>0.0</v>
      </c>
      <c r="Z18631" s="372">
        <v>0.0</v>
      </c>
    </row>
    <row r="18632">
      <c r="Y18632" s="372">
        <v>0.0</v>
      </c>
      <c r="Z18632" s="372">
        <v>0.0</v>
      </c>
    </row>
    <row r="18633">
      <c r="Y18633" s="372">
        <v>0.0</v>
      </c>
      <c r="Z18633" s="372">
        <v>0.0</v>
      </c>
    </row>
    <row r="18634">
      <c r="Y18634" s="372">
        <v>0.0</v>
      </c>
      <c r="Z18634" s="372">
        <v>0.0</v>
      </c>
    </row>
    <row r="18635">
      <c r="Y18635" s="372">
        <v>0.0</v>
      </c>
      <c r="Z18635" s="372">
        <v>0.0</v>
      </c>
    </row>
    <row r="18636">
      <c r="Y18636" s="372">
        <v>0.0</v>
      </c>
      <c r="Z18636" s="372">
        <v>0.0</v>
      </c>
    </row>
    <row r="18637">
      <c r="Y18637" s="372">
        <v>0.0</v>
      </c>
      <c r="Z18637" s="372">
        <v>0.0</v>
      </c>
    </row>
    <row r="18638">
      <c r="Y18638" s="372">
        <v>0.0</v>
      </c>
      <c r="Z18638" s="372">
        <v>0.0</v>
      </c>
    </row>
    <row r="18639">
      <c r="Y18639" s="372">
        <v>0.0</v>
      </c>
      <c r="Z18639" s="372">
        <v>0.0</v>
      </c>
    </row>
    <row r="18640">
      <c r="Y18640" s="372">
        <v>0.0</v>
      </c>
      <c r="Z18640" s="372">
        <v>0.0</v>
      </c>
    </row>
    <row r="18641">
      <c r="Y18641" s="372">
        <v>0.0</v>
      </c>
      <c r="Z18641" s="372">
        <v>0.0</v>
      </c>
    </row>
    <row r="18642">
      <c r="Y18642" s="372">
        <v>0.0</v>
      </c>
      <c r="Z18642" s="372">
        <v>0.0</v>
      </c>
    </row>
    <row r="18643">
      <c r="Y18643" s="372">
        <v>0.0</v>
      </c>
      <c r="Z18643" s="372">
        <v>0.0</v>
      </c>
    </row>
    <row r="18644">
      <c r="Y18644" s="372">
        <v>0.0</v>
      </c>
      <c r="Z18644" s="372">
        <v>0.0</v>
      </c>
    </row>
    <row r="18645">
      <c r="Y18645" s="372">
        <v>0.0</v>
      </c>
      <c r="Z18645" s="372">
        <v>0.0</v>
      </c>
    </row>
    <row r="18646">
      <c r="Y18646" s="372">
        <v>0.0</v>
      </c>
      <c r="Z18646" s="372">
        <v>0.0</v>
      </c>
    </row>
    <row r="18647">
      <c r="Y18647" s="372">
        <v>0.0</v>
      </c>
      <c r="Z18647" s="372">
        <v>0.0</v>
      </c>
    </row>
    <row r="18648">
      <c r="Y18648" s="372">
        <v>0.0</v>
      </c>
      <c r="Z18648" s="372">
        <v>0.0</v>
      </c>
    </row>
    <row r="18649">
      <c r="Y18649" s="372">
        <v>0.0</v>
      </c>
      <c r="Z18649" s="372">
        <v>0.0</v>
      </c>
    </row>
    <row r="18650">
      <c r="Y18650" s="372">
        <v>0.0</v>
      </c>
      <c r="Z18650" s="372">
        <v>0.0</v>
      </c>
    </row>
    <row r="18651">
      <c r="Y18651" s="372">
        <v>0.0</v>
      </c>
      <c r="Z18651" s="372">
        <v>0.0</v>
      </c>
    </row>
    <row r="18652">
      <c r="Y18652" s="372">
        <v>0.0</v>
      </c>
      <c r="Z18652" s="372">
        <v>0.0</v>
      </c>
    </row>
    <row r="18653">
      <c r="Y18653" s="372">
        <v>0.0</v>
      </c>
      <c r="Z18653" s="372">
        <v>0.0</v>
      </c>
    </row>
    <row r="18654">
      <c r="Y18654" s="372">
        <v>0.0</v>
      </c>
      <c r="Z18654" s="372">
        <v>0.0</v>
      </c>
    </row>
    <row r="18655">
      <c r="Y18655" s="372">
        <v>0.0</v>
      </c>
      <c r="Z18655" s="372">
        <v>0.0</v>
      </c>
    </row>
    <row r="18656">
      <c r="Y18656" s="372">
        <v>0.0</v>
      </c>
      <c r="Z18656" s="372">
        <v>0.0</v>
      </c>
    </row>
    <row r="18657">
      <c r="Y18657" s="372">
        <v>0.0</v>
      </c>
      <c r="Z18657" s="372">
        <v>0.0</v>
      </c>
    </row>
    <row r="18658">
      <c r="Y18658" s="372">
        <v>0.0</v>
      </c>
      <c r="Z18658" s="372">
        <v>0.0</v>
      </c>
    </row>
    <row r="18659">
      <c r="Y18659" s="372">
        <v>0.0</v>
      </c>
      <c r="Z18659" s="372">
        <v>0.0</v>
      </c>
    </row>
    <row r="18660">
      <c r="Y18660" s="372">
        <v>0.0</v>
      </c>
      <c r="Z18660" s="372">
        <v>0.0</v>
      </c>
    </row>
    <row r="18661">
      <c r="Y18661" s="372">
        <v>0.0</v>
      </c>
      <c r="Z18661" s="372">
        <v>0.0</v>
      </c>
    </row>
    <row r="18662">
      <c r="Y18662" s="372">
        <v>0.0</v>
      </c>
      <c r="Z18662" s="372">
        <v>0.0</v>
      </c>
    </row>
    <row r="18663">
      <c r="Y18663" s="372">
        <v>0.0</v>
      </c>
      <c r="Z18663" s="372">
        <v>0.0</v>
      </c>
    </row>
    <row r="18664">
      <c r="Y18664" s="372">
        <v>0.0</v>
      </c>
      <c r="Z18664" s="372">
        <v>0.0</v>
      </c>
    </row>
    <row r="18665">
      <c r="Y18665" s="372">
        <v>0.0</v>
      </c>
      <c r="Z18665" s="372">
        <v>0.0</v>
      </c>
    </row>
    <row r="18666">
      <c r="Y18666" s="372">
        <v>0.0</v>
      </c>
      <c r="Z18666" s="372">
        <v>0.0</v>
      </c>
    </row>
    <row r="18667">
      <c r="Y18667" s="372">
        <v>0.0</v>
      </c>
      <c r="Z18667" s="372">
        <v>0.0</v>
      </c>
    </row>
    <row r="18668">
      <c r="Y18668" s="372">
        <v>0.0</v>
      </c>
      <c r="Z18668" s="372">
        <v>0.0</v>
      </c>
    </row>
    <row r="18669">
      <c r="Y18669" s="372">
        <v>0.0</v>
      </c>
      <c r="Z18669" s="372">
        <v>0.0</v>
      </c>
    </row>
    <row r="18670">
      <c r="Y18670" s="372">
        <v>0.0</v>
      </c>
      <c r="Z18670" s="372">
        <v>0.0</v>
      </c>
    </row>
    <row r="18671">
      <c r="Y18671" s="372">
        <v>0.0</v>
      </c>
      <c r="Z18671" s="372">
        <v>0.0</v>
      </c>
    </row>
    <row r="18672">
      <c r="Y18672" s="372">
        <v>0.0</v>
      </c>
      <c r="Z18672" s="372">
        <v>0.0</v>
      </c>
    </row>
    <row r="18673">
      <c r="Y18673" s="372">
        <v>0.0</v>
      </c>
      <c r="Z18673" s="372">
        <v>0.0</v>
      </c>
    </row>
    <row r="18674">
      <c r="Y18674" s="372">
        <v>0.0</v>
      </c>
      <c r="Z18674" s="372">
        <v>0.0</v>
      </c>
    </row>
    <row r="18675">
      <c r="Y18675" s="372">
        <v>0.0</v>
      </c>
      <c r="Z18675" s="372">
        <v>0.0</v>
      </c>
    </row>
    <row r="18676">
      <c r="Y18676" s="372">
        <v>0.0</v>
      </c>
      <c r="Z18676" s="372">
        <v>0.0</v>
      </c>
    </row>
    <row r="18677">
      <c r="Y18677" s="372">
        <v>0.0</v>
      </c>
      <c r="Z18677" s="372">
        <v>0.0</v>
      </c>
    </row>
    <row r="18678">
      <c r="Y18678" s="372">
        <v>0.0</v>
      </c>
      <c r="Z18678" s="372">
        <v>0.0</v>
      </c>
    </row>
    <row r="18679">
      <c r="Y18679" s="372">
        <v>0.0</v>
      </c>
      <c r="Z18679" s="372">
        <v>0.0</v>
      </c>
    </row>
    <row r="18680">
      <c r="Y18680" s="372">
        <v>0.0</v>
      </c>
      <c r="Z18680" s="372">
        <v>0.0</v>
      </c>
    </row>
    <row r="18681">
      <c r="Y18681" s="372">
        <v>0.0</v>
      </c>
      <c r="Z18681" s="372">
        <v>0.0</v>
      </c>
    </row>
    <row r="18682">
      <c r="Y18682" s="372">
        <v>0.0</v>
      </c>
      <c r="Z18682" s="372">
        <v>0.0</v>
      </c>
    </row>
    <row r="18683">
      <c r="Y18683" s="372">
        <v>0.0</v>
      </c>
      <c r="Z18683" s="372">
        <v>0.0</v>
      </c>
    </row>
    <row r="18684">
      <c r="Y18684" s="372">
        <v>0.0</v>
      </c>
      <c r="Z18684" s="372">
        <v>0.0</v>
      </c>
    </row>
    <row r="18685">
      <c r="Y18685" s="372">
        <v>0.0</v>
      </c>
      <c r="Z18685" s="372">
        <v>0.0</v>
      </c>
    </row>
    <row r="18686">
      <c r="Y18686" s="372">
        <v>0.0</v>
      </c>
      <c r="Z18686" s="372">
        <v>0.0</v>
      </c>
    </row>
    <row r="18687">
      <c r="Y18687" s="372">
        <v>0.0</v>
      </c>
      <c r="Z18687" s="372">
        <v>0.0</v>
      </c>
    </row>
    <row r="18688">
      <c r="Y18688" s="372">
        <v>0.0</v>
      </c>
      <c r="Z18688" s="372">
        <v>0.0</v>
      </c>
    </row>
    <row r="18689">
      <c r="Y18689" s="372">
        <v>0.0</v>
      </c>
      <c r="Z18689" s="372">
        <v>0.0</v>
      </c>
    </row>
    <row r="18690">
      <c r="Y18690" s="372">
        <v>0.0</v>
      </c>
      <c r="Z18690" s="372">
        <v>0.0</v>
      </c>
    </row>
    <row r="18691">
      <c r="Y18691" s="372">
        <v>0.0</v>
      </c>
      <c r="Z18691" s="372">
        <v>0.0</v>
      </c>
    </row>
    <row r="18692">
      <c r="Y18692" s="372">
        <v>0.0</v>
      </c>
      <c r="Z18692" s="372">
        <v>0.0</v>
      </c>
    </row>
    <row r="18693">
      <c r="Y18693" s="372">
        <v>0.0</v>
      </c>
      <c r="Z18693" s="372">
        <v>0.0</v>
      </c>
    </row>
    <row r="18694">
      <c r="Y18694" s="372">
        <v>0.0</v>
      </c>
      <c r="Z18694" s="372">
        <v>0.0</v>
      </c>
    </row>
    <row r="18695">
      <c r="Y18695" s="372">
        <v>0.0</v>
      </c>
      <c r="Z18695" s="372">
        <v>0.0</v>
      </c>
    </row>
    <row r="18696">
      <c r="Y18696" s="372">
        <v>0.0</v>
      </c>
      <c r="Z18696" s="372">
        <v>0.0</v>
      </c>
    </row>
    <row r="18697">
      <c r="Y18697" s="372">
        <v>0.0</v>
      </c>
      <c r="Z18697" s="372">
        <v>0.0</v>
      </c>
    </row>
    <row r="18698">
      <c r="Y18698" s="372">
        <v>0.0</v>
      </c>
      <c r="Z18698" s="372">
        <v>0.0</v>
      </c>
    </row>
    <row r="18699">
      <c r="Y18699" s="372">
        <v>0.0</v>
      </c>
      <c r="Z18699" s="372">
        <v>0.0</v>
      </c>
    </row>
    <row r="18700">
      <c r="Y18700" s="372">
        <v>0.0</v>
      </c>
      <c r="Z18700" s="372">
        <v>0.0</v>
      </c>
    </row>
    <row r="18701">
      <c r="Y18701" s="372">
        <v>0.0</v>
      </c>
      <c r="Z18701" s="372">
        <v>0.0</v>
      </c>
    </row>
    <row r="18702">
      <c r="Y18702" s="372">
        <v>0.0</v>
      </c>
      <c r="Z18702" s="372">
        <v>0.0</v>
      </c>
    </row>
    <row r="18703">
      <c r="Y18703" s="372">
        <v>0.0</v>
      </c>
      <c r="Z18703" s="372">
        <v>0.0</v>
      </c>
    </row>
    <row r="18704">
      <c r="Y18704" s="372">
        <v>0.0</v>
      </c>
      <c r="Z18704" s="372">
        <v>0.0</v>
      </c>
    </row>
    <row r="18705">
      <c r="Y18705" s="372">
        <v>0.0</v>
      </c>
      <c r="Z18705" s="372">
        <v>0.0</v>
      </c>
    </row>
    <row r="18706">
      <c r="Y18706" s="372">
        <v>0.0</v>
      </c>
      <c r="Z18706" s="372">
        <v>0.0</v>
      </c>
    </row>
    <row r="18707">
      <c r="Y18707" s="372">
        <v>0.0</v>
      </c>
      <c r="Z18707" s="372">
        <v>0.0</v>
      </c>
    </row>
    <row r="18708">
      <c r="Y18708" s="372">
        <v>0.0</v>
      </c>
      <c r="Z18708" s="372">
        <v>0.0</v>
      </c>
    </row>
    <row r="18709">
      <c r="Y18709" s="372">
        <v>0.0</v>
      </c>
      <c r="Z18709" s="372">
        <v>0.0</v>
      </c>
    </row>
    <row r="18710">
      <c r="Y18710" s="372">
        <v>0.0</v>
      </c>
      <c r="Z18710" s="372">
        <v>0.0</v>
      </c>
    </row>
    <row r="18711">
      <c r="Y18711" s="372">
        <v>0.0</v>
      </c>
      <c r="Z18711" s="372">
        <v>0.0</v>
      </c>
    </row>
    <row r="18712">
      <c r="Y18712" s="372">
        <v>0.0</v>
      </c>
      <c r="Z18712" s="372">
        <v>0.0</v>
      </c>
    </row>
    <row r="18713">
      <c r="Y18713" s="372">
        <v>0.0</v>
      </c>
      <c r="Z18713" s="372">
        <v>0.0</v>
      </c>
    </row>
    <row r="18714">
      <c r="Y18714" s="372">
        <v>0.0</v>
      </c>
      <c r="Z18714" s="372">
        <v>0.0</v>
      </c>
    </row>
    <row r="18715">
      <c r="Y18715" s="372">
        <v>0.0</v>
      </c>
      <c r="Z18715" s="372">
        <v>0.0</v>
      </c>
    </row>
    <row r="18716">
      <c r="Y18716" s="372">
        <v>0.0</v>
      </c>
      <c r="Z18716" s="372">
        <v>0.0</v>
      </c>
    </row>
    <row r="18717">
      <c r="Y18717" s="372">
        <v>0.0</v>
      </c>
      <c r="Z18717" s="372">
        <v>0.0</v>
      </c>
    </row>
    <row r="18718">
      <c r="Y18718" s="372">
        <v>0.0</v>
      </c>
      <c r="Z18718" s="372">
        <v>0.0</v>
      </c>
    </row>
    <row r="18719">
      <c r="Y18719" s="372">
        <v>0.0</v>
      </c>
      <c r="Z18719" s="372">
        <v>0.0</v>
      </c>
    </row>
    <row r="18720">
      <c r="Y18720" s="372">
        <v>0.0</v>
      </c>
      <c r="Z18720" s="372">
        <v>0.0</v>
      </c>
    </row>
    <row r="18721">
      <c r="Y18721" s="372">
        <v>0.0</v>
      </c>
      <c r="Z18721" s="372">
        <v>0.0</v>
      </c>
    </row>
    <row r="18722">
      <c r="Y18722" s="372">
        <v>0.0</v>
      </c>
      <c r="Z18722" s="372">
        <v>0.0</v>
      </c>
    </row>
    <row r="18723">
      <c r="Y18723" s="372">
        <v>0.0</v>
      </c>
      <c r="Z18723" s="372">
        <v>0.0</v>
      </c>
    </row>
    <row r="18724">
      <c r="Y18724" s="372">
        <v>0.0</v>
      </c>
      <c r="Z18724" s="372">
        <v>0.0</v>
      </c>
    </row>
    <row r="18725">
      <c r="Y18725" s="372">
        <v>0.0</v>
      </c>
      <c r="Z18725" s="372">
        <v>0.0</v>
      </c>
    </row>
    <row r="18726">
      <c r="Y18726" s="372">
        <v>0.0</v>
      </c>
      <c r="Z18726" s="372">
        <v>0.0</v>
      </c>
    </row>
    <row r="18727">
      <c r="Y18727" s="372">
        <v>0.0</v>
      </c>
      <c r="Z18727" s="372">
        <v>0.0</v>
      </c>
    </row>
    <row r="18728">
      <c r="Y18728" s="372">
        <v>0.0</v>
      </c>
      <c r="Z18728" s="372">
        <v>0.0</v>
      </c>
    </row>
    <row r="18729">
      <c r="Y18729" s="372">
        <v>0.0</v>
      </c>
      <c r="Z18729" s="372">
        <v>0.0</v>
      </c>
    </row>
    <row r="18730">
      <c r="Y18730" s="372">
        <v>0.0</v>
      </c>
      <c r="Z18730" s="372">
        <v>0.0</v>
      </c>
    </row>
    <row r="18731">
      <c r="Y18731" s="372">
        <v>0.0</v>
      </c>
      <c r="Z18731" s="372">
        <v>0.0</v>
      </c>
    </row>
    <row r="18732">
      <c r="Y18732" s="372">
        <v>0.0</v>
      </c>
      <c r="Z18732" s="372">
        <v>0.0</v>
      </c>
    </row>
    <row r="18733">
      <c r="Y18733" s="372">
        <v>0.0</v>
      </c>
      <c r="Z18733" s="372">
        <v>0.0</v>
      </c>
    </row>
    <row r="18734">
      <c r="Y18734" s="372">
        <v>0.0</v>
      </c>
      <c r="Z18734" s="372">
        <v>0.0</v>
      </c>
    </row>
    <row r="18735">
      <c r="Y18735" s="372">
        <v>0.0</v>
      </c>
      <c r="Z18735" s="372">
        <v>0.0</v>
      </c>
    </row>
    <row r="18736">
      <c r="Y18736" s="372">
        <v>0.0</v>
      </c>
      <c r="Z18736" s="372">
        <v>0.0</v>
      </c>
    </row>
    <row r="18737">
      <c r="Y18737" s="372">
        <v>0.0</v>
      </c>
      <c r="Z18737" s="372">
        <v>0.0</v>
      </c>
    </row>
    <row r="18738">
      <c r="Y18738" s="372">
        <v>0.0</v>
      </c>
      <c r="Z18738" s="372">
        <v>0.0</v>
      </c>
    </row>
    <row r="18739">
      <c r="Y18739" s="372">
        <v>0.0</v>
      </c>
      <c r="Z18739" s="372">
        <v>0.0</v>
      </c>
    </row>
    <row r="18740">
      <c r="Y18740" s="372">
        <v>0.0</v>
      </c>
      <c r="Z18740" s="372">
        <v>0.0</v>
      </c>
    </row>
    <row r="18741">
      <c r="Y18741" s="372">
        <v>0.0</v>
      </c>
      <c r="Z18741" s="372">
        <v>0.0</v>
      </c>
    </row>
    <row r="18742">
      <c r="Y18742" s="372">
        <v>0.0</v>
      </c>
      <c r="Z18742" s="372">
        <v>0.0</v>
      </c>
    </row>
    <row r="18743">
      <c r="Y18743" s="372">
        <v>0.0</v>
      </c>
      <c r="Z18743" s="372">
        <v>0.0</v>
      </c>
    </row>
    <row r="18744">
      <c r="Y18744" s="372">
        <v>0.0</v>
      </c>
      <c r="Z18744" s="372">
        <v>0.0</v>
      </c>
    </row>
    <row r="18745">
      <c r="Y18745" s="372">
        <v>0.0</v>
      </c>
      <c r="Z18745" s="372">
        <v>0.0</v>
      </c>
    </row>
    <row r="18746">
      <c r="Y18746" s="372">
        <v>0.0</v>
      </c>
      <c r="Z18746" s="372">
        <v>0.0</v>
      </c>
    </row>
    <row r="18747">
      <c r="Y18747" s="372">
        <v>0.0</v>
      </c>
      <c r="Z18747" s="372">
        <v>0.0</v>
      </c>
    </row>
    <row r="18748">
      <c r="Y18748" s="372">
        <v>0.0</v>
      </c>
      <c r="Z18748" s="372">
        <v>0.0</v>
      </c>
    </row>
    <row r="18749">
      <c r="Y18749" s="372">
        <v>0.0</v>
      </c>
      <c r="Z18749" s="372">
        <v>0.0</v>
      </c>
    </row>
    <row r="18750">
      <c r="Y18750" s="372">
        <v>0.0</v>
      </c>
      <c r="Z18750" s="372">
        <v>0.0</v>
      </c>
    </row>
    <row r="18751">
      <c r="Y18751" s="372">
        <v>0.0</v>
      </c>
      <c r="Z18751" s="372">
        <v>0.0</v>
      </c>
    </row>
    <row r="18752">
      <c r="Y18752" s="372">
        <v>0.0</v>
      </c>
      <c r="Z18752" s="372">
        <v>0.0</v>
      </c>
    </row>
    <row r="18753">
      <c r="Y18753" s="372">
        <v>0.0</v>
      </c>
      <c r="Z18753" s="372">
        <v>0.0</v>
      </c>
    </row>
    <row r="18754">
      <c r="Y18754" s="372">
        <v>0.0</v>
      </c>
      <c r="Z18754" s="372">
        <v>0.0</v>
      </c>
    </row>
    <row r="18755">
      <c r="Y18755" s="372">
        <v>0.0</v>
      </c>
      <c r="Z18755" s="372">
        <v>0.0</v>
      </c>
    </row>
    <row r="18756">
      <c r="Y18756" s="372">
        <v>0.0</v>
      </c>
      <c r="Z18756" s="372">
        <v>0.0</v>
      </c>
    </row>
    <row r="18757">
      <c r="Y18757" s="372">
        <v>0.0</v>
      </c>
      <c r="Z18757" s="372">
        <v>0.0</v>
      </c>
    </row>
    <row r="18758">
      <c r="Y18758" s="372">
        <v>0.0</v>
      </c>
      <c r="Z18758" s="372">
        <v>0.0</v>
      </c>
    </row>
    <row r="18759">
      <c r="Y18759" s="372">
        <v>0.0</v>
      </c>
      <c r="Z18759" s="372">
        <v>0.0</v>
      </c>
    </row>
    <row r="18760">
      <c r="Y18760" s="372">
        <v>0.0</v>
      </c>
      <c r="Z18760" s="372">
        <v>0.0</v>
      </c>
    </row>
    <row r="18761">
      <c r="Y18761" s="372">
        <v>0.0</v>
      </c>
      <c r="Z18761" s="372">
        <v>0.0</v>
      </c>
    </row>
    <row r="18762">
      <c r="Y18762" s="372">
        <v>0.0</v>
      </c>
      <c r="Z18762" s="372">
        <v>0.0</v>
      </c>
    </row>
    <row r="18763">
      <c r="Y18763" s="372">
        <v>0.0</v>
      </c>
      <c r="Z18763" s="372">
        <v>0.0</v>
      </c>
    </row>
    <row r="18764">
      <c r="Y18764" s="372">
        <v>0.0</v>
      </c>
      <c r="Z18764" s="372">
        <v>0.0</v>
      </c>
    </row>
    <row r="18765">
      <c r="Y18765" s="372">
        <v>0.0</v>
      </c>
      <c r="Z18765" s="372">
        <v>0.0</v>
      </c>
    </row>
    <row r="18766">
      <c r="Y18766" s="372">
        <v>0.0</v>
      </c>
      <c r="Z18766" s="372">
        <v>0.0</v>
      </c>
    </row>
    <row r="18767">
      <c r="Y18767" s="372">
        <v>0.0</v>
      </c>
      <c r="Z18767" s="372">
        <v>0.0</v>
      </c>
    </row>
    <row r="18768">
      <c r="Y18768" s="372">
        <v>0.0</v>
      </c>
      <c r="Z18768" s="372">
        <v>0.0</v>
      </c>
    </row>
    <row r="18769">
      <c r="Y18769" s="372">
        <v>0.0</v>
      </c>
      <c r="Z18769" s="372">
        <v>0.0</v>
      </c>
    </row>
    <row r="18770">
      <c r="Y18770" s="372">
        <v>0.0</v>
      </c>
      <c r="Z18770" s="372">
        <v>0.0</v>
      </c>
    </row>
    <row r="18771">
      <c r="Y18771" s="372">
        <v>0.0</v>
      </c>
      <c r="Z18771" s="372">
        <v>0.0</v>
      </c>
    </row>
    <row r="18772">
      <c r="Y18772" s="372">
        <v>0.0</v>
      </c>
      <c r="Z18772" s="372">
        <v>0.0</v>
      </c>
    </row>
    <row r="18773">
      <c r="Y18773" s="372">
        <v>0.0</v>
      </c>
      <c r="Z18773" s="372">
        <v>0.0</v>
      </c>
    </row>
    <row r="18774">
      <c r="Y18774" s="372">
        <v>0.0</v>
      </c>
      <c r="Z18774" s="372">
        <v>0.0</v>
      </c>
    </row>
    <row r="18775">
      <c r="Y18775" s="372">
        <v>0.0</v>
      </c>
      <c r="Z18775" s="372">
        <v>0.0</v>
      </c>
    </row>
    <row r="18776">
      <c r="Y18776" s="372">
        <v>0.0</v>
      </c>
      <c r="Z18776" s="372">
        <v>0.0</v>
      </c>
    </row>
    <row r="18777">
      <c r="Y18777" s="372">
        <v>0.0</v>
      </c>
      <c r="Z18777" s="372">
        <v>0.0</v>
      </c>
    </row>
    <row r="18778">
      <c r="Y18778" s="372">
        <v>0.0</v>
      </c>
      <c r="Z18778" s="372">
        <v>0.0</v>
      </c>
    </row>
    <row r="18779">
      <c r="Y18779" s="372">
        <v>0.0</v>
      </c>
      <c r="Z18779" s="372">
        <v>0.0</v>
      </c>
    </row>
    <row r="18780">
      <c r="Y18780" s="372">
        <v>0.0</v>
      </c>
      <c r="Z18780" s="372">
        <v>0.0</v>
      </c>
    </row>
    <row r="18781">
      <c r="Y18781" s="372">
        <v>0.0</v>
      </c>
      <c r="Z18781" s="372">
        <v>0.0</v>
      </c>
    </row>
    <row r="18782">
      <c r="Y18782" s="372">
        <v>0.0</v>
      </c>
      <c r="Z18782" s="372">
        <v>0.0</v>
      </c>
    </row>
    <row r="18783">
      <c r="Y18783" s="372">
        <v>0.0</v>
      </c>
      <c r="Z18783" s="372">
        <v>0.0</v>
      </c>
    </row>
    <row r="18784">
      <c r="Y18784" s="372">
        <v>0.0</v>
      </c>
      <c r="Z18784" s="372">
        <v>0.0</v>
      </c>
    </row>
    <row r="18785">
      <c r="Y18785" s="372">
        <v>0.0</v>
      </c>
      <c r="Z18785" s="372">
        <v>0.0</v>
      </c>
    </row>
    <row r="18786">
      <c r="Y18786" s="372">
        <v>0.0</v>
      </c>
      <c r="Z18786" s="372">
        <v>0.0</v>
      </c>
    </row>
    <row r="18787">
      <c r="Y18787" s="372">
        <v>0.0</v>
      </c>
      <c r="Z18787" s="372">
        <v>0.0</v>
      </c>
    </row>
    <row r="18788">
      <c r="Y18788" s="372">
        <v>0.0</v>
      </c>
      <c r="Z18788" s="372">
        <v>0.0</v>
      </c>
    </row>
    <row r="18789">
      <c r="Y18789" s="372">
        <v>0.0</v>
      </c>
      <c r="Z18789" s="372">
        <v>0.0</v>
      </c>
    </row>
    <row r="18790">
      <c r="Y18790" s="372">
        <v>0.0</v>
      </c>
      <c r="Z18790" s="372">
        <v>0.0</v>
      </c>
    </row>
    <row r="18791">
      <c r="Y18791" s="372">
        <v>0.0</v>
      </c>
      <c r="Z18791" s="372">
        <v>0.0</v>
      </c>
    </row>
    <row r="18792">
      <c r="Y18792" s="372">
        <v>0.0</v>
      </c>
      <c r="Z18792" s="372">
        <v>0.0</v>
      </c>
    </row>
    <row r="18793">
      <c r="Y18793" s="372">
        <v>0.0</v>
      </c>
      <c r="Z18793" s="372">
        <v>0.0</v>
      </c>
    </row>
    <row r="18794">
      <c r="Y18794" s="372">
        <v>0.0</v>
      </c>
      <c r="Z18794" s="372">
        <v>0.0</v>
      </c>
    </row>
    <row r="18795">
      <c r="Y18795" s="372">
        <v>0.0</v>
      </c>
      <c r="Z18795" s="372">
        <v>0.0</v>
      </c>
    </row>
    <row r="18796">
      <c r="Y18796" s="372">
        <v>0.0</v>
      </c>
      <c r="Z18796" s="372">
        <v>0.0</v>
      </c>
    </row>
    <row r="18797">
      <c r="Y18797" s="372">
        <v>0.0</v>
      </c>
      <c r="Z18797" s="372">
        <v>0.0</v>
      </c>
    </row>
    <row r="18798">
      <c r="Y18798" s="372">
        <v>0.0</v>
      </c>
      <c r="Z18798" s="372">
        <v>0.0</v>
      </c>
    </row>
    <row r="18799">
      <c r="Y18799" s="372">
        <v>0.0</v>
      </c>
      <c r="Z18799" s="372">
        <v>0.0</v>
      </c>
    </row>
    <row r="18800">
      <c r="Y18800" s="372">
        <v>0.0</v>
      </c>
      <c r="Z18800" s="372">
        <v>0.0</v>
      </c>
    </row>
    <row r="18801">
      <c r="Y18801" s="372">
        <v>0.0</v>
      </c>
      <c r="Z18801" s="372">
        <v>0.0</v>
      </c>
    </row>
    <row r="18802">
      <c r="Y18802" s="372">
        <v>0.0</v>
      </c>
      <c r="Z18802" s="372">
        <v>0.0</v>
      </c>
    </row>
    <row r="18803">
      <c r="Y18803" s="372">
        <v>0.0</v>
      </c>
      <c r="Z18803" s="372">
        <v>0.0</v>
      </c>
    </row>
    <row r="18804">
      <c r="Y18804" s="372">
        <v>0.0</v>
      </c>
      <c r="Z18804" s="372">
        <v>0.0</v>
      </c>
    </row>
    <row r="18805">
      <c r="Y18805" s="372">
        <v>0.0</v>
      </c>
      <c r="Z18805" s="372">
        <v>0.0</v>
      </c>
    </row>
    <row r="18806">
      <c r="Y18806" s="372">
        <v>0.0</v>
      </c>
      <c r="Z18806" s="372">
        <v>0.0</v>
      </c>
    </row>
    <row r="18807">
      <c r="Y18807" s="372">
        <v>0.0</v>
      </c>
      <c r="Z18807" s="372">
        <v>0.0</v>
      </c>
    </row>
    <row r="18808">
      <c r="Y18808" s="372">
        <v>0.0</v>
      </c>
      <c r="Z18808" s="372">
        <v>0.0</v>
      </c>
    </row>
    <row r="18809">
      <c r="Y18809" s="372">
        <v>0.0</v>
      </c>
      <c r="Z18809" s="372">
        <v>0.0</v>
      </c>
    </row>
    <row r="18810">
      <c r="Y18810" s="372">
        <v>0.0</v>
      </c>
      <c r="Z18810" s="372">
        <v>0.0</v>
      </c>
    </row>
    <row r="18811">
      <c r="Y18811" s="372">
        <v>0.0</v>
      </c>
      <c r="Z18811" s="372">
        <v>0.0</v>
      </c>
    </row>
    <row r="18812">
      <c r="Y18812" s="372">
        <v>0.0</v>
      </c>
      <c r="Z18812" s="372">
        <v>0.0</v>
      </c>
    </row>
    <row r="18813">
      <c r="Y18813" s="372">
        <v>0.0</v>
      </c>
      <c r="Z18813" s="372">
        <v>0.0</v>
      </c>
    </row>
    <row r="18814">
      <c r="Y18814" s="372">
        <v>0.0</v>
      </c>
      <c r="Z18814" s="372">
        <v>0.0</v>
      </c>
    </row>
    <row r="18815">
      <c r="Y18815" s="372">
        <v>0.0</v>
      </c>
      <c r="Z18815" s="372">
        <v>0.0</v>
      </c>
    </row>
    <row r="18816">
      <c r="Y18816" s="372">
        <v>0.0</v>
      </c>
      <c r="Z18816" s="372">
        <v>0.0</v>
      </c>
    </row>
    <row r="18817">
      <c r="Y18817" s="372">
        <v>0.0</v>
      </c>
      <c r="Z18817" s="372">
        <v>0.0</v>
      </c>
    </row>
    <row r="18818">
      <c r="Y18818" s="372">
        <v>0.0</v>
      </c>
      <c r="Z18818" s="372">
        <v>0.0</v>
      </c>
    </row>
    <row r="18819">
      <c r="Y18819" s="372">
        <v>0.0</v>
      </c>
      <c r="Z18819" s="372">
        <v>0.0</v>
      </c>
    </row>
    <row r="18820">
      <c r="Y18820" s="372">
        <v>0.0</v>
      </c>
      <c r="Z18820" s="372">
        <v>0.0</v>
      </c>
    </row>
    <row r="18821">
      <c r="Y18821" s="372">
        <v>0.0</v>
      </c>
      <c r="Z18821" s="372">
        <v>0.0</v>
      </c>
    </row>
    <row r="18822">
      <c r="Y18822" s="372">
        <v>0.0</v>
      </c>
      <c r="Z18822" s="372">
        <v>0.0</v>
      </c>
    </row>
    <row r="18823">
      <c r="Y18823" s="372">
        <v>0.0</v>
      </c>
      <c r="Z18823" s="372">
        <v>0.0</v>
      </c>
    </row>
    <row r="18824">
      <c r="Y18824" s="372">
        <v>0.0</v>
      </c>
      <c r="Z18824" s="372">
        <v>0.0</v>
      </c>
    </row>
    <row r="18825">
      <c r="Y18825" s="372">
        <v>0.0</v>
      </c>
      <c r="Z18825" s="372">
        <v>0.0</v>
      </c>
    </row>
    <row r="18826">
      <c r="Y18826" s="372">
        <v>0.0</v>
      </c>
      <c r="Z18826" s="372">
        <v>0.0</v>
      </c>
    </row>
    <row r="18827">
      <c r="Y18827" s="372">
        <v>0.0</v>
      </c>
      <c r="Z18827" s="372">
        <v>0.0</v>
      </c>
    </row>
    <row r="18828">
      <c r="Y18828" s="372">
        <v>0.0</v>
      </c>
      <c r="Z18828" s="372">
        <v>0.0</v>
      </c>
    </row>
    <row r="18829">
      <c r="Y18829" s="372">
        <v>0.0</v>
      </c>
      <c r="Z18829" s="372">
        <v>0.0</v>
      </c>
    </row>
    <row r="18830">
      <c r="Y18830" s="372">
        <v>0.0</v>
      </c>
      <c r="Z18830" s="372">
        <v>0.0</v>
      </c>
    </row>
    <row r="18831">
      <c r="Y18831" s="372">
        <v>0.0</v>
      </c>
      <c r="Z18831" s="372">
        <v>0.0</v>
      </c>
    </row>
    <row r="18832">
      <c r="Y18832" s="372">
        <v>0.0</v>
      </c>
      <c r="Z18832" s="372">
        <v>0.0</v>
      </c>
    </row>
    <row r="18833">
      <c r="Y18833" s="372">
        <v>0.0</v>
      </c>
      <c r="Z18833" s="372">
        <v>0.0</v>
      </c>
    </row>
    <row r="18834">
      <c r="Y18834" s="372">
        <v>0.0</v>
      </c>
      <c r="Z18834" s="372">
        <v>0.0</v>
      </c>
    </row>
    <row r="18835">
      <c r="Y18835" s="372">
        <v>0.0</v>
      </c>
      <c r="Z18835" s="372">
        <v>0.0</v>
      </c>
    </row>
    <row r="18836">
      <c r="Y18836" s="372">
        <v>0.0</v>
      </c>
      <c r="Z18836" s="372">
        <v>0.0</v>
      </c>
    </row>
    <row r="18837">
      <c r="Y18837" s="372">
        <v>0.0</v>
      </c>
      <c r="Z18837" s="372">
        <v>0.0</v>
      </c>
    </row>
    <row r="18838">
      <c r="Y18838" s="372">
        <v>0.0</v>
      </c>
      <c r="Z18838" s="372">
        <v>0.0</v>
      </c>
    </row>
    <row r="18839">
      <c r="Y18839" s="372">
        <v>0.0</v>
      </c>
      <c r="Z18839" s="372">
        <v>0.0</v>
      </c>
    </row>
    <row r="18840">
      <c r="Y18840" s="372">
        <v>0.0</v>
      </c>
      <c r="Z18840" s="372">
        <v>0.0</v>
      </c>
    </row>
    <row r="18841">
      <c r="Y18841" s="372">
        <v>0.0</v>
      </c>
      <c r="Z18841" s="372">
        <v>0.0</v>
      </c>
    </row>
    <row r="18842">
      <c r="Y18842" s="372">
        <v>0.0</v>
      </c>
      <c r="Z18842" s="372">
        <v>0.0</v>
      </c>
    </row>
    <row r="18843">
      <c r="Y18843" s="372">
        <v>0.0</v>
      </c>
      <c r="Z18843" s="372">
        <v>0.0</v>
      </c>
    </row>
    <row r="18844">
      <c r="Y18844" s="372">
        <v>0.0</v>
      </c>
      <c r="Z18844" s="372">
        <v>0.0</v>
      </c>
    </row>
    <row r="18845">
      <c r="Y18845" s="372">
        <v>0.0</v>
      </c>
      <c r="Z18845" s="372">
        <v>0.0</v>
      </c>
    </row>
    <row r="18846">
      <c r="Y18846" s="372">
        <v>0.0</v>
      </c>
      <c r="Z18846" s="372">
        <v>0.0</v>
      </c>
    </row>
    <row r="18847">
      <c r="Y18847" s="372">
        <v>0.0</v>
      </c>
      <c r="Z18847" s="372">
        <v>0.0</v>
      </c>
    </row>
    <row r="18848">
      <c r="Y18848" s="372">
        <v>0.0</v>
      </c>
      <c r="Z18848" s="372">
        <v>0.0</v>
      </c>
    </row>
    <row r="18849">
      <c r="Y18849" s="372">
        <v>0.0</v>
      </c>
      <c r="Z18849" s="372">
        <v>0.0</v>
      </c>
    </row>
    <row r="18850">
      <c r="Y18850" s="372">
        <v>0.0</v>
      </c>
      <c r="Z18850" s="372">
        <v>0.0</v>
      </c>
    </row>
    <row r="18851">
      <c r="Y18851" s="372">
        <v>0.0</v>
      </c>
      <c r="Z18851" s="372">
        <v>0.0</v>
      </c>
    </row>
    <row r="18852">
      <c r="Y18852" s="372">
        <v>0.0</v>
      </c>
      <c r="Z18852" s="372">
        <v>0.0</v>
      </c>
    </row>
    <row r="18853">
      <c r="Y18853" s="372">
        <v>0.0</v>
      </c>
      <c r="Z18853" s="372">
        <v>0.0</v>
      </c>
    </row>
    <row r="18854">
      <c r="Y18854" s="372">
        <v>0.0</v>
      </c>
      <c r="Z18854" s="372">
        <v>0.0</v>
      </c>
    </row>
    <row r="18855">
      <c r="Y18855" s="372">
        <v>0.0</v>
      </c>
      <c r="Z18855" s="372">
        <v>0.0</v>
      </c>
    </row>
    <row r="18856">
      <c r="Y18856" s="372">
        <v>0.0</v>
      </c>
      <c r="Z18856" s="372">
        <v>0.0</v>
      </c>
    </row>
    <row r="18857">
      <c r="Y18857" s="372">
        <v>0.0</v>
      </c>
      <c r="Z18857" s="372">
        <v>0.0</v>
      </c>
    </row>
    <row r="18858">
      <c r="Y18858" s="372">
        <v>0.0</v>
      </c>
      <c r="Z18858" s="372">
        <v>0.0</v>
      </c>
    </row>
    <row r="18859">
      <c r="Y18859" s="372">
        <v>0.0</v>
      </c>
      <c r="Z18859" s="372">
        <v>0.0</v>
      </c>
    </row>
    <row r="18860">
      <c r="Y18860" s="372">
        <v>0.0</v>
      </c>
      <c r="Z18860" s="372">
        <v>0.0</v>
      </c>
    </row>
    <row r="18861">
      <c r="Y18861" s="372">
        <v>0.0</v>
      </c>
      <c r="Z18861" s="372">
        <v>0.0</v>
      </c>
    </row>
    <row r="18862">
      <c r="Y18862" s="372">
        <v>0.0</v>
      </c>
      <c r="Z18862" s="372">
        <v>0.0</v>
      </c>
    </row>
    <row r="18863">
      <c r="Y18863" s="372">
        <v>0.0</v>
      </c>
      <c r="Z18863" s="372">
        <v>0.0</v>
      </c>
    </row>
    <row r="18864">
      <c r="Y18864" s="372">
        <v>0.0</v>
      </c>
      <c r="Z18864" s="372">
        <v>0.0</v>
      </c>
    </row>
    <row r="18865">
      <c r="Y18865" s="372">
        <v>0.0</v>
      </c>
      <c r="Z18865" s="372">
        <v>0.0</v>
      </c>
    </row>
    <row r="18866">
      <c r="Y18866" s="372">
        <v>0.0</v>
      </c>
      <c r="Z18866" s="372">
        <v>0.0</v>
      </c>
    </row>
    <row r="18867">
      <c r="Y18867" s="372">
        <v>0.0</v>
      </c>
      <c r="Z18867" s="372">
        <v>0.0</v>
      </c>
    </row>
    <row r="18868">
      <c r="Y18868" s="372">
        <v>0.0</v>
      </c>
      <c r="Z18868" s="372">
        <v>0.0</v>
      </c>
    </row>
    <row r="18869">
      <c r="Y18869" s="372">
        <v>0.0</v>
      </c>
      <c r="Z18869" s="372">
        <v>0.0</v>
      </c>
    </row>
    <row r="18870">
      <c r="Y18870" s="372">
        <v>0.0</v>
      </c>
      <c r="Z18870" s="372">
        <v>0.0</v>
      </c>
    </row>
    <row r="18871">
      <c r="Y18871" s="372">
        <v>0.0</v>
      </c>
      <c r="Z18871" s="372">
        <v>0.0</v>
      </c>
    </row>
    <row r="18872">
      <c r="Y18872" s="372">
        <v>0.0</v>
      </c>
      <c r="Z18872" s="372">
        <v>0.0</v>
      </c>
    </row>
    <row r="18873">
      <c r="Y18873" s="372">
        <v>0.0</v>
      </c>
      <c r="Z18873" s="372">
        <v>0.0</v>
      </c>
    </row>
    <row r="18874">
      <c r="Y18874" s="372">
        <v>0.0</v>
      </c>
      <c r="Z18874" s="372">
        <v>0.0</v>
      </c>
    </row>
    <row r="18875">
      <c r="Y18875" s="372">
        <v>0.0</v>
      </c>
      <c r="Z18875" s="372">
        <v>0.0</v>
      </c>
    </row>
    <row r="18876">
      <c r="Y18876" s="372">
        <v>0.0</v>
      </c>
      <c r="Z18876" s="372">
        <v>0.0</v>
      </c>
    </row>
    <row r="18877">
      <c r="Y18877" s="372">
        <v>0.0</v>
      </c>
      <c r="Z18877" s="372">
        <v>0.0</v>
      </c>
    </row>
    <row r="18878">
      <c r="Y18878" s="372">
        <v>0.0</v>
      </c>
      <c r="Z18878" s="372">
        <v>0.0</v>
      </c>
    </row>
    <row r="18879">
      <c r="Y18879" s="372">
        <v>0.0</v>
      </c>
      <c r="Z18879" s="372">
        <v>0.0</v>
      </c>
    </row>
    <row r="18880">
      <c r="Y18880" s="372">
        <v>0.0</v>
      </c>
      <c r="Z18880" s="372">
        <v>0.0</v>
      </c>
    </row>
    <row r="18881">
      <c r="Y18881" s="372">
        <v>0.0</v>
      </c>
      <c r="Z18881" s="372">
        <v>0.0</v>
      </c>
    </row>
    <row r="18882">
      <c r="Y18882" s="372">
        <v>0.0</v>
      </c>
      <c r="Z18882" s="372">
        <v>0.0</v>
      </c>
    </row>
    <row r="18883">
      <c r="Y18883" s="372">
        <v>0.0</v>
      </c>
      <c r="Z18883" s="372">
        <v>0.0</v>
      </c>
    </row>
    <row r="18884">
      <c r="Y18884" s="372">
        <v>0.0</v>
      </c>
      <c r="Z18884" s="372">
        <v>0.0</v>
      </c>
    </row>
    <row r="18885">
      <c r="Y18885" s="372">
        <v>0.0</v>
      </c>
      <c r="Z18885" s="372">
        <v>0.0</v>
      </c>
    </row>
    <row r="18886">
      <c r="Y18886" s="372">
        <v>0.0</v>
      </c>
      <c r="Z18886" s="372">
        <v>0.0</v>
      </c>
    </row>
    <row r="18887">
      <c r="Y18887" s="372">
        <v>0.0</v>
      </c>
      <c r="Z18887" s="372">
        <v>0.0</v>
      </c>
    </row>
    <row r="18888">
      <c r="Y18888" s="372">
        <v>0.0</v>
      </c>
      <c r="Z18888" s="372">
        <v>0.0</v>
      </c>
    </row>
    <row r="18889">
      <c r="Y18889" s="372">
        <v>0.0</v>
      </c>
      <c r="Z18889" s="372">
        <v>0.0</v>
      </c>
    </row>
    <row r="18890">
      <c r="Y18890" s="372">
        <v>0.0</v>
      </c>
      <c r="Z18890" s="372">
        <v>0.0</v>
      </c>
    </row>
    <row r="18891">
      <c r="Y18891" s="372">
        <v>0.0</v>
      </c>
      <c r="Z18891" s="372">
        <v>0.0</v>
      </c>
    </row>
    <row r="18892">
      <c r="Y18892" s="372">
        <v>0.0</v>
      </c>
      <c r="Z18892" s="372">
        <v>0.0</v>
      </c>
    </row>
    <row r="18893">
      <c r="Y18893" s="372">
        <v>0.0</v>
      </c>
      <c r="Z18893" s="372">
        <v>0.0</v>
      </c>
    </row>
    <row r="18894">
      <c r="Y18894" s="372">
        <v>0.0</v>
      </c>
      <c r="Z18894" s="372">
        <v>0.0</v>
      </c>
    </row>
    <row r="18895">
      <c r="Y18895" s="372">
        <v>0.0</v>
      </c>
      <c r="Z18895" s="372">
        <v>0.0</v>
      </c>
    </row>
    <row r="18896">
      <c r="Y18896" s="372">
        <v>0.0</v>
      </c>
      <c r="Z18896" s="372">
        <v>0.0</v>
      </c>
    </row>
    <row r="18897">
      <c r="Y18897" s="372">
        <v>0.0</v>
      </c>
      <c r="Z18897" s="372">
        <v>0.0</v>
      </c>
    </row>
    <row r="18898">
      <c r="Y18898" s="372">
        <v>0.0</v>
      </c>
      <c r="Z18898" s="372">
        <v>0.0</v>
      </c>
    </row>
    <row r="18899">
      <c r="Y18899" s="372">
        <v>0.0</v>
      </c>
      <c r="Z18899" s="372">
        <v>0.0</v>
      </c>
    </row>
    <row r="18900">
      <c r="Y18900" s="372">
        <v>0.0</v>
      </c>
      <c r="Z18900" s="372">
        <v>0.0</v>
      </c>
    </row>
    <row r="18901">
      <c r="Y18901" s="372">
        <v>0.0</v>
      </c>
      <c r="Z18901" s="372">
        <v>0.0</v>
      </c>
    </row>
    <row r="18902">
      <c r="Y18902" s="372">
        <v>0.0</v>
      </c>
      <c r="Z18902" s="372">
        <v>0.0</v>
      </c>
    </row>
    <row r="18903">
      <c r="Y18903" s="372">
        <v>0.0</v>
      </c>
      <c r="Z18903" s="372">
        <v>0.0</v>
      </c>
    </row>
    <row r="18904">
      <c r="Y18904" s="372">
        <v>0.0</v>
      </c>
      <c r="Z18904" s="372">
        <v>0.0</v>
      </c>
    </row>
    <row r="18905">
      <c r="Y18905" s="372">
        <v>0.0</v>
      </c>
      <c r="Z18905" s="372">
        <v>0.0</v>
      </c>
    </row>
    <row r="18906">
      <c r="Y18906" s="372">
        <v>0.0</v>
      </c>
      <c r="Z18906" s="372">
        <v>0.0</v>
      </c>
    </row>
    <row r="18907">
      <c r="Y18907" s="372">
        <v>0.0</v>
      </c>
      <c r="Z18907" s="372">
        <v>0.0</v>
      </c>
    </row>
    <row r="18908">
      <c r="Y18908" s="372">
        <v>0.0</v>
      </c>
      <c r="Z18908" s="372">
        <v>0.0</v>
      </c>
    </row>
    <row r="18909">
      <c r="Y18909" s="372">
        <v>0.0</v>
      </c>
      <c r="Z18909" s="372">
        <v>0.0</v>
      </c>
    </row>
    <row r="18910">
      <c r="Y18910" s="372">
        <v>0.0</v>
      </c>
      <c r="Z18910" s="372">
        <v>0.0</v>
      </c>
    </row>
    <row r="18911">
      <c r="Y18911" s="372">
        <v>0.0</v>
      </c>
      <c r="Z18911" s="372">
        <v>0.0</v>
      </c>
    </row>
    <row r="18912">
      <c r="Y18912" s="372">
        <v>0.0</v>
      </c>
      <c r="Z18912" s="372">
        <v>0.0</v>
      </c>
    </row>
    <row r="18913">
      <c r="Y18913" s="372">
        <v>0.0</v>
      </c>
      <c r="Z18913" s="372">
        <v>0.0</v>
      </c>
    </row>
    <row r="18914">
      <c r="Y18914" s="372">
        <v>0.0</v>
      </c>
      <c r="Z18914" s="372">
        <v>0.0</v>
      </c>
    </row>
    <row r="18915">
      <c r="Y18915" s="372">
        <v>0.0</v>
      </c>
      <c r="Z18915" s="372">
        <v>0.0</v>
      </c>
    </row>
    <row r="18916">
      <c r="Y18916" s="372">
        <v>0.0</v>
      </c>
      <c r="Z18916" s="372">
        <v>0.0</v>
      </c>
    </row>
    <row r="18917">
      <c r="Y18917" s="372">
        <v>0.0</v>
      </c>
      <c r="Z18917" s="372">
        <v>0.0</v>
      </c>
    </row>
    <row r="18918">
      <c r="Y18918" s="372">
        <v>0.0</v>
      </c>
      <c r="Z18918" s="372">
        <v>0.0</v>
      </c>
    </row>
    <row r="18919">
      <c r="Y18919" s="372">
        <v>0.0</v>
      </c>
      <c r="Z18919" s="372">
        <v>0.0</v>
      </c>
    </row>
    <row r="18920">
      <c r="Y18920" s="372">
        <v>0.0</v>
      </c>
      <c r="Z18920" s="372">
        <v>0.0</v>
      </c>
    </row>
    <row r="18921">
      <c r="Y18921" s="372">
        <v>0.0</v>
      </c>
      <c r="Z18921" s="372">
        <v>0.0</v>
      </c>
    </row>
    <row r="18922">
      <c r="Y18922" s="372">
        <v>0.0</v>
      </c>
      <c r="Z18922" s="372">
        <v>0.0</v>
      </c>
    </row>
    <row r="18923">
      <c r="Y18923" s="372">
        <v>0.0</v>
      </c>
      <c r="Z18923" s="372">
        <v>0.0</v>
      </c>
    </row>
    <row r="18924">
      <c r="Y18924" s="372">
        <v>0.0</v>
      </c>
      <c r="Z18924" s="372">
        <v>0.0</v>
      </c>
    </row>
    <row r="18925">
      <c r="Y18925" s="372">
        <v>0.0</v>
      </c>
      <c r="Z18925" s="372">
        <v>0.0</v>
      </c>
    </row>
    <row r="18926">
      <c r="Y18926" s="372">
        <v>0.0</v>
      </c>
      <c r="Z18926" s="372">
        <v>0.0</v>
      </c>
    </row>
    <row r="18927">
      <c r="Y18927" s="372">
        <v>0.0</v>
      </c>
      <c r="Z18927" s="372">
        <v>0.0</v>
      </c>
    </row>
    <row r="18928">
      <c r="Y18928" s="372">
        <v>0.0</v>
      </c>
      <c r="Z18928" s="372">
        <v>0.0</v>
      </c>
    </row>
    <row r="18929">
      <c r="Y18929" s="372">
        <v>0.0</v>
      </c>
      <c r="Z18929" s="372">
        <v>0.0</v>
      </c>
    </row>
    <row r="18930">
      <c r="Y18930" s="372">
        <v>0.0</v>
      </c>
      <c r="Z18930" s="372">
        <v>0.0</v>
      </c>
    </row>
    <row r="18931">
      <c r="Y18931" s="372">
        <v>0.0</v>
      </c>
      <c r="Z18931" s="372">
        <v>0.0</v>
      </c>
    </row>
    <row r="18932">
      <c r="Y18932" s="372">
        <v>0.0</v>
      </c>
      <c r="Z18932" s="372">
        <v>0.0</v>
      </c>
    </row>
    <row r="18933">
      <c r="Y18933" s="372">
        <v>0.0</v>
      </c>
      <c r="Z18933" s="372">
        <v>0.0</v>
      </c>
    </row>
    <row r="18934">
      <c r="Y18934" s="372">
        <v>0.0</v>
      </c>
      <c r="Z18934" s="372">
        <v>0.0</v>
      </c>
    </row>
    <row r="18935">
      <c r="Y18935" s="372">
        <v>0.0</v>
      </c>
      <c r="Z18935" s="372">
        <v>0.0</v>
      </c>
    </row>
    <row r="18936">
      <c r="Y18936" s="372">
        <v>0.0</v>
      </c>
      <c r="Z18936" s="372">
        <v>0.0</v>
      </c>
    </row>
    <row r="18937">
      <c r="Y18937" s="372">
        <v>0.0</v>
      </c>
      <c r="Z18937" s="372">
        <v>0.0</v>
      </c>
    </row>
    <row r="18938">
      <c r="Y18938" s="372">
        <v>0.0</v>
      </c>
      <c r="Z18938" s="372">
        <v>0.0</v>
      </c>
    </row>
    <row r="18939">
      <c r="Y18939" s="372">
        <v>0.0</v>
      </c>
      <c r="Z18939" s="372">
        <v>0.0</v>
      </c>
    </row>
    <row r="18940">
      <c r="Y18940" s="372">
        <v>0.0</v>
      </c>
      <c r="Z18940" s="372">
        <v>0.0</v>
      </c>
    </row>
    <row r="18941">
      <c r="Y18941" s="372">
        <v>0.0</v>
      </c>
      <c r="Z18941" s="372">
        <v>0.0</v>
      </c>
    </row>
    <row r="18942">
      <c r="Y18942" s="372">
        <v>0.0</v>
      </c>
      <c r="Z18942" s="372">
        <v>0.0</v>
      </c>
    </row>
    <row r="18943">
      <c r="Y18943" s="372">
        <v>0.0</v>
      </c>
      <c r="Z18943" s="372">
        <v>0.0</v>
      </c>
    </row>
    <row r="18944">
      <c r="Y18944" s="372">
        <v>0.0</v>
      </c>
      <c r="Z18944" s="372">
        <v>0.0</v>
      </c>
    </row>
    <row r="18945">
      <c r="Y18945" s="372">
        <v>0.0</v>
      </c>
      <c r="Z18945" s="372">
        <v>0.0</v>
      </c>
    </row>
    <row r="18946">
      <c r="Y18946" s="372">
        <v>0.0</v>
      </c>
      <c r="Z18946" s="372">
        <v>0.0</v>
      </c>
    </row>
    <row r="18947">
      <c r="Y18947" s="372">
        <v>0.0</v>
      </c>
      <c r="Z18947" s="372">
        <v>0.0</v>
      </c>
    </row>
    <row r="18948">
      <c r="Y18948" s="372">
        <v>0.0</v>
      </c>
      <c r="Z18948" s="372">
        <v>0.0</v>
      </c>
    </row>
    <row r="18949">
      <c r="Y18949" s="372">
        <v>0.0</v>
      </c>
      <c r="Z18949" s="372">
        <v>0.0</v>
      </c>
    </row>
    <row r="18950">
      <c r="Y18950" s="372">
        <v>0.0</v>
      </c>
      <c r="Z18950" s="372">
        <v>0.0</v>
      </c>
    </row>
    <row r="18951">
      <c r="Y18951" s="372">
        <v>0.0</v>
      </c>
      <c r="Z18951" s="372">
        <v>0.0</v>
      </c>
    </row>
    <row r="18952">
      <c r="Y18952" s="372">
        <v>0.0</v>
      </c>
      <c r="Z18952" s="372">
        <v>0.0</v>
      </c>
    </row>
    <row r="18953">
      <c r="Y18953" s="372">
        <v>0.0</v>
      </c>
      <c r="Z18953" s="372">
        <v>0.0</v>
      </c>
    </row>
    <row r="18954">
      <c r="Y18954" s="372">
        <v>0.0</v>
      </c>
      <c r="Z18954" s="372">
        <v>0.0</v>
      </c>
    </row>
    <row r="18955">
      <c r="Y18955" s="372">
        <v>0.0</v>
      </c>
      <c r="Z18955" s="372">
        <v>0.0</v>
      </c>
    </row>
    <row r="18956">
      <c r="Y18956" s="372">
        <v>0.0</v>
      </c>
      <c r="Z18956" s="372">
        <v>0.0</v>
      </c>
    </row>
    <row r="18957">
      <c r="Y18957" s="372">
        <v>0.0</v>
      </c>
      <c r="Z18957" s="372">
        <v>0.0</v>
      </c>
    </row>
    <row r="18958">
      <c r="Y18958" s="372">
        <v>0.0</v>
      </c>
      <c r="Z18958" s="372">
        <v>0.0</v>
      </c>
    </row>
    <row r="18959">
      <c r="Y18959" s="372">
        <v>0.0</v>
      </c>
      <c r="Z18959" s="372">
        <v>0.0</v>
      </c>
    </row>
    <row r="18960">
      <c r="Y18960" s="372">
        <v>0.0</v>
      </c>
      <c r="Z18960" s="372">
        <v>0.0</v>
      </c>
    </row>
    <row r="18961">
      <c r="Y18961" s="372">
        <v>0.0</v>
      </c>
      <c r="Z18961" s="372">
        <v>0.0</v>
      </c>
    </row>
    <row r="18962">
      <c r="Y18962" s="372">
        <v>0.0</v>
      </c>
      <c r="Z18962" s="372">
        <v>0.0</v>
      </c>
    </row>
    <row r="18963">
      <c r="Y18963" s="372">
        <v>0.0</v>
      </c>
      <c r="Z18963" s="372">
        <v>0.0</v>
      </c>
    </row>
    <row r="18964">
      <c r="Y18964" s="372">
        <v>0.0</v>
      </c>
      <c r="Z18964" s="372">
        <v>0.0</v>
      </c>
    </row>
    <row r="18965">
      <c r="Y18965" s="372">
        <v>0.0</v>
      </c>
      <c r="Z18965" s="372">
        <v>0.0</v>
      </c>
    </row>
    <row r="18966">
      <c r="Y18966" s="372">
        <v>0.0</v>
      </c>
      <c r="Z18966" s="372">
        <v>0.0</v>
      </c>
    </row>
    <row r="18967">
      <c r="Y18967" s="372">
        <v>0.0</v>
      </c>
      <c r="Z18967" s="372">
        <v>0.0</v>
      </c>
    </row>
    <row r="18968">
      <c r="Y18968" s="372">
        <v>0.0</v>
      </c>
      <c r="Z18968" s="372">
        <v>0.0</v>
      </c>
    </row>
    <row r="18969">
      <c r="Y18969" s="372">
        <v>0.0</v>
      </c>
      <c r="Z18969" s="372">
        <v>0.0</v>
      </c>
    </row>
    <row r="18970">
      <c r="Y18970" s="372">
        <v>0.0</v>
      </c>
      <c r="Z18970" s="372">
        <v>0.0</v>
      </c>
    </row>
    <row r="18971">
      <c r="Y18971" s="372">
        <v>0.0</v>
      </c>
      <c r="Z18971" s="372">
        <v>0.0</v>
      </c>
    </row>
    <row r="18972">
      <c r="Y18972" s="372">
        <v>0.0</v>
      </c>
      <c r="Z18972" s="372">
        <v>0.0</v>
      </c>
    </row>
    <row r="18973">
      <c r="Y18973" s="372">
        <v>0.0</v>
      </c>
      <c r="Z18973" s="372">
        <v>0.0</v>
      </c>
    </row>
    <row r="18974">
      <c r="Y18974" s="372">
        <v>0.0</v>
      </c>
      <c r="Z18974" s="372">
        <v>0.0</v>
      </c>
    </row>
    <row r="18975">
      <c r="Y18975" s="372">
        <v>0.0</v>
      </c>
      <c r="Z18975" s="372">
        <v>0.0</v>
      </c>
    </row>
    <row r="18976">
      <c r="Y18976" s="372">
        <v>0.0</v>
      </c>
      <c r="Z18976" s="372">
        <v>0.0</v>
      </c>
    </row>
    <row r="18977">
      <c r="Y18977" s="372">
        <v>0.0</v>
      </c>
      <c r="Z18977" s="372">
        <v>0.0</v>
      </c>
    </row>
    <row r="18978">
      <c r="Y18978" s="372">
        <v>0.0</v>
      </c>
      <c r="Z18978" s="372">
        <v>0.0</v>
      </c>
    </row>
    <row r="18979">
      <c r="Y18979" s="372">
        <v>0.0</v>
      </c>
      <c r="Z18979" s="372">
        <v>0.0</v>
      </c>
    </row>
    <row r="18980">
      <c r="Y18980" s="372">
        <v>0.0</v>
      </c>
      <c r="Z18980" s="372">
        <v>0.0</v>
      </c>
    </row>
    <row r="18981">
      <c r="Y18981" s="372">
        <v>0.0</v>
      </c>
      <c r="Z18981" s="372">
        <v>0.0</v>
      </c>
    </row>
    <row r="18982">
      <c r="Y18982" s="372">
        <v>0.0</v>
      </c>
      <c r="Z18982" s="372">
        <v>0.0</v>
      </c>
    </row>
    <row r="18983">
      <c r="Y18983" s="372">
        <v>0.0</v>
      </c>
      <c r="Z18983" s="372">
        <v>0.0</v>
      </c>
    </row>
    <row r="18984">
      <c r="Y18984" s="372">
        <v>0.0</v>
      </c>
      <c r="Z18984" s="372">
        <v>0.0</v>
      </c>
    </row>
    <row r="18985">
      <c r="Y18985" s="372">
        <v>0.0</v>
      </c>
      <c r="Z18985" s="372">
        <v>0.0</v>
      </c>
    </row>
    <row r="18986">
      <c r="Y18986" s="372">
        <v>0.0</v>
      </c>
      <c r="Z18986" s="372">
        <v>0.0</v>
      </c>
    </row>
    <row r="18987">
      <c r="Y18987" s="372">
        <v>0.0</v>
      </c>
      <c r="Z18987" s="372">
        <v>0.0</v>
      </c>
    </row>
    <row r="18988">
      <c r="Y18988" s="372">
        <v>0.0</v>
      </c>
      <c r="Z18988" s="372">
        <v>0.0</v>
      </c>
    </row>
    <row r="18989">
      <c r="Y18989" s="372">
        <v>0.0</v>
      </c>
      <c r="Z18989" s="372">
        <v>0.0</v>
      </c>
    </row>
    <row r="18990">
      <c r="Y18990" s="372">
        <v>0.0</v>
      </c>
      <c r="Z18990" s="372">
        <v>0.0</v>
      </c>
    </row>
    <row r="18991">
      <c r="Y18991" s="372">
        <v>0.0</v>
      </c>
      <c r="Z18991" s="372">
        <v>0.0</v>
      </c>
    </row>
    <row r="18992">
      <c r="Y18992" s="372">
        <v>0.0</v>
      </c>
      <c r="Z18992" s="372">
        <v>0.0</v>
      </c>
    </row>
    <row r="18993">
      <c r="Y18993" s="372">
        <v>0.0</v>
      </c>
      <c r="Z18993" s="372">
        <v>0.0</v>
      </c>
    </row>
    <row r="18994">
      <c r="Y18994" s="372">
        <v>0.0</v>
      </c>
      <c r="Z18994" s="372">
        <v>0.0</v>
      </c>
    </row>
    <row r="18995">
      <c r="Y18995" s="372">
        <v>0.0</v>
      </c>
      <c r="Z18995" s="372">
        <v>0.0</v>
      </c>
    </row>
    <row r="18996">
      <c r="Y18996" s="372">
        <v>0.0</v>
      </c>
      <c r="Z18996" s="372">
        <v>0.0</v>
      </c>
    </row>
    <row r="18997">
      <c r="Y18997" s="372">
        <v>0.0</v>
      </c>
      <c r="Z18997" s="372">
        <v>0.0</v>
      </c>
    </row>
    <row r="18998">
      <c r="Y18998" s="372">
        <v>0.0</v>
      </c>
      <c r="Z18998" s="372">
        <v>0.0</v>
      </c>
    </row>
    <row r="18999">
      <c r="Y18999" s="372">
        <v>0.0</v>
      </c>
      <c r="Z18999" s="372">
        <v>0.0</v>
      </c>
    </row>
    <row r="19000">
      <c r="Y19000" s="372">
        <v>0.0</v>
      </c>
      <c r="Z19000" s="372">
        <v>0.0</v>
      </c>
    </row>
    <row r="19001">
      <c r="Y19001" s="372">
        <v>0.0</v>
      </c>
      <c r="Z19001" s="372">
        <v>0.0</v>
      </c>
    </row>
    <row r="19002">
      <c r="Y19002" s="372">
        <v>0.0</v>
      </c>
      <c r="Z19002" s="372">
        <v>0.0</v>
      </c>
    </row>
    <row r="19003">
      <c r="Y19003" s="372">
        <v>0.0</v>
      </c>
      <c r="Z19003" s="372">
        <v>0.0</v>
      </c>
    </row>
    <row r="19004">
      <c r="Y19004" s="372">
        <v>0.0</v>
      </c>
      <c r="Z19004" s="372">
        <v>0.0</v>
      </c>
    </row>
    <row r="19005">
      <c r="Y19005" s="372">
        <v>0.0</v>
      </c>
      <c r="Z19005" s="372">
        <v>0.0</v>
      </c>
    </row>
    <row r="19006">
      <c r="Y19006" s="372">
        <v>0.0</v>
      </c>
      <c r="Z19006" s="372">
        <v>0.0</v>
      </c>
    </row>
    <row r="19007">
      <c r="Y19007" s="372">
        <v>0.0</v>
      </c>
      <c r="Z19007" s="372">
        <v>0.0</v>
      </c>
    </row>
    <row r="19008">
      <c r="Y19008" s="372">
        <v>0.0</v>
      </c>
      <c r="Z19008" s="372">
        <v>0.0</v>
      </c>
    </row>
    <row r="19009">
      <c r="Y19009" s="372">
        <v>0.0</v>
      </c>
      <c r="Z19009" s="372">
        <v>0.0</v>
      </c>
    </row>
    <row r="19010">
      <c r="Y19010" s="372">
        <v>0.0</v>
      </c>
      <c r="Z19010" s="372">
        <v>0.0</v>
      </c>
    </row>
    <row r="19011">
      <c r="Y19011" s="372">
        <v>0.0</v>
      </c>
      <c r="Z19011" s="372">
        <v>0.0</v>
      </c>
    </row>
    <row r="19012">
      <c r="Y19012" s="372">
        <v>0.0</v>
      </c>
      <c r="Z19012" s="372">
        <v>0.0</v>
      </c>
    </row>
    <row r="19013">
      <c r="Y19013" s="372">
        <v>0.0</v>
      </c>
      <c r="Z19013" s="372">
        <v>0.0</v>
      </c>
    </row>
    <row r="19014">
      <c r="Y19014" s="372">
        <v>0.0</v>
      </c>
      <c r="Z19014" s="372">
        <v>0.0</v>
      </c>
    </row>
    <row r="19015">
      <c r="Y19015" s="372">
        <v>0.0</v>
      </c>
      <c r="Z19015" s="372">
        <v>0.0</v>
      </c>
    </row>
    <row r="19016">
      <c r="Y19016" s="372">
        <v>0.0</v>
      </c>
      <c r="Z19016" s="372">
        <v>0.0</v>
      </c>
    </row>
    <row r="19017">
      <c r="Y19017" s="372">
        <v>0.0</v>
      </c>
      <c r="Z19017" s="372">
        <v>0.0</v>
      </c>
    </row>
    <row r="19018">
      <c r="Y19018" s="372">
        <v>0.0</v>
      </c>
      <c r="Z19018" s="372">
        <v>0.0</v>
      </c>
    </row>
    <row r="19019">
      <c r="Y19019" s="372">
        <v>0.0</v>
      </c>
      <c r="Z19019" s="372">
        <v>0.0</v>
      </c>
    </row>
    <row r="19020">
      <c r="Y19020" s="372">
        <v>0.0</v>
      </c>
      <c r="Z19020" s="372">
        <v>0.0</v>
      </c>
    </row>
    <row r="19021">
      <c r="Y19021" s="372">
        <v>0.0</v>
      </c>
      <c r="Z19021" s="372">
        <v>0.0</v>
      </c>
    </row>
    <row r="19022">
      <c r="Y19022" s="372">
        <v>0.0</v>
      </c>
      <c r="Z19022" s="372">
        <v>0.0</v>
      </c>
    </row>
    <row r="19023">
      <c r="Y19023" s="372">
        <v>0.0</v>
      </c>
      <c r="Z19023" s="372">
        <v>0.0</v>
      </c>
    </row>
    <row r="19024">
      <c r="Y19024" s="372">
        <v>0.0</v>
      </c>
      <c r="Z19024" s="372">
        <v>0.0</v>
      </c>
    </row>
    <row r="19025">
      <c r="Y19025" s="372">
        <v>0.0</v>
      </c>
      <c r="Z19025" s="372">
        <v>0.0</v>
      </c>
    </row>
    <row r="19026">
      <c r="Y19026" s="372">
        <v>0.0</v>
      </c>
      <c r="Z19026" s="372">
        <v>0.0</v>
      </c>
    </row>
    <row r="19027">
      <c r="Y19027" s="372">
        <v>0.0</v>
      </c>
      <c r="Z19027" s="372">
        <v>0.0</v>
      </c>
    </row>
    <row r="19028">
      <c r="Y19028" s="372">
        <v>0.0</v>
      </c>
      <c r="Z19028" s="372">
        <v>0.0</v>
      </c>
    </row>
    <row r="19029">
      <c r="Y19029" s="372">
        <v>0.0</v>
      </c>
      <c r="Z19029" s="372">
        <v>0.0</v>
      </c>
    </row>
    <row r="19030">
      <c r="Y19030" s="372">
        <v>0.0</v>
      </c>
      <c r="Z19030" s="372">
        <v>0.0</v>
      </c>
    </row>
    <row r="19031">
      <c r="Y19031" s="372">
        <v>0.0</v>
      </c>
      <c r="Z19031" s="372">
        <v>0.0</v>
      </c>
    </row>
    <row r="19032">
      <c r="Y19032" s="372">
        <v>0.0</v>
      </c>
      <c r="Z19032" s="372">
        <v>0.0</v>
      </c>
    </row>
    <row r="19033">
      <c r="Y19033" s="372">
        <v>0.0</v>
      </c>
      <c r="Z19033" s="372">
        <v>0.0</v>
      </c>
    </row>
    <row r="19034">
      <c r="Y19034" s="372">
        <v>0.0</v>
      </c>
      <c r="Z19034" s="372">
        <v>0.0</v>
      </c>
    </row>
    <row r="19035">
      <c r="Y19035" s="372">
        <v>0.0</v>
      </c>
      <c r="Z19035" s="372">
        <v>0.0</v>
      </c>
    </row>
    <row r="19036">
      <c r="Y19036" s="372">
        <v>0.0</v>
      </c>
      <c r="Z19036" s="372">
        <v>0.0</v>
      </c>
    </row>
    <row r="19037">
      <c r="Y19037" s="372">
        <v>0.0</v>
      </c>
      <c r="Z19037" s="372">
        <v>0.0</v>
      </c>
    </row>
    <row r="19038">
      <c r="Y19038" s="372">
        <v>0.0</v>
      </c>
      <c r="Z19038" s="372">
        <v>0.0</v>
      </c>
    </row>
    <row r="19039">
      <c r="Y19039" s="372">
        <v>0.0</v>
      </c>
      <c r="Z19039" s="372">
        <v>0.0</v>
      </c>
    </row>
    <row r="19040">
      <c r="Y19040" s="372">
        <v>0.0</v>
      </c>
      <c r="Z19040" s="372">
        <v>0.0</v>
      </c>
    </row>
    <row r="19041">
      <c r="Y19041" s="372">
        <v>0.0</v>
      </c>
      <c r="Z19041" s="372">
        <v>0.0</v>
      </c>
    </row>
    <row r="19042">
      <c r="Y19042" s="372">
        <v>0.0</v>
      </c>
      <c r="Z19042" s="372">
        <v>0.0</v>
      </c>
    </row>
    <row r="19043">
      <c r="Y19043" s="372">
        <v>0.0</v>
      </c>
      <c r="Z19043" s="372">
        <v>0.0</v>
      </c>
    </row>
    <row r="19044">
      <c r="Y19044" s="372">
        <v>0.0</v>
      </c>
      <c r="Z19044" s="372">
        <v>0.0</v>
      </c>
    </row>
    <row r="19045">
      <c r="Y19045" s="372">
        <v>0.0</v>
      </c>
      <c r="Z19045" s="372">
        <v>0.0</v>
      </c>
    </row>
    <row r="19046">
      <c r="Y19046" s="372">
        <v>0.0</v>
      </c>
      <c r="Z19046" s="372">
        <v>0.0</v>
      </c>
    </row>
    <row r="19047">
      <c r="Y19047" s="372">
        <v>0.0</v>
      </c>
      <c r="Z19047" s="372">
        <v>0.0</v>
      </c>
    </row>
    <row r="19048">
      <c r="Y19048" s="372">
        <v>0.0</v>
      </c>
      <c r="Z19048" s="372">
        <v>0.0</v>
      </c>
    </row>
    <row r="19049">
      <c r="Y19049" s="372">
        <v>0.0</v>
      </c>
      <c r="Z19049" s="372">
        <v>0.0</v>
      </c>
    </row>
    <row r="19050">
      <c r="Y19050" s="372">
        <v>0.0</v>
      </c>
      <c r="Z19050" s="372">
        <v>0.0</v>
      </c>
    </row>
    <row r="19051">
      <c r="Y19051" s="372">
        <v>0.0</v>
      </c>
      <c r="Z19051" s="372">
        <v>0.0</v>
      </c>
    </row>
    <row r="19052">
      <c r="Y19052" s="372">
        <v>0.0</v>
      </c>
      <c r="Z19052" s="372">
        <v>0.0</v>
      </c>
    </row>
    <row r="19053">
      <c r="Y19053" s="372">
        <v>0.0</v>
      </c>
      <c r="Z19053" s="372">
        <v>0.0</v>
      </c>
    </row>
    <row r="19054">
      <c r="Y19054" s="372">
        <v>0.0</v>
      </c>
      <c r="Z19054" s="372">
        <v>0.0</v>
      </c>
    </row>
    <row r="19055">
      <c r="Y19055" s="372">
        <v>0.0</v>
      </c>
      <c r="Z19055" s="372">
        <v>0.0</v>
      </c>
    </row>
    <row r="19056">
      <c r="Y19056" s="372">
        <v>0.0</v>
      </c>
      <c r="Z19056" s="372">
        <v>0.0</v>
      </c>
    </row>
    <row r="19057">
      <c r="Y19057" s="372">
        <v>0.0</v>
      </c>
      <c r="Z19057" s="372">
        <v>0.0</v>
      </c>
    </row>
    <row r="19058">
      <c r="Y19058" s="372">
        <v>0.0</v>
      </c>
      <c r="Z19058" s="372">
        <v>0.0</v>
      </c>
    </row>
    <row r="19059">
      <c r="Y19059" s="372">
        <v>0.0</v>
      </c>
      <c r="Z19059" s="372">
        <v>0.0</v>
      </c>
    </row>
    <row r="19060">
      <c r="Y19060" s="372">
        <v>0.0</v>
      </c>
      <c r="Z19060" s="372">
        <v>0.0</v>
      </c>
    </row>
    <row r="19061">
      <c r="Y19061" s="372">
        <v>0.0</v>
      </c>
      <c r="Z19061" s="372">
        <v>0.0</v>
      </c>
    </row>
    <row r="19062">
      <c r="Y19062" s="372">
        <v>0.0</v>
      </c>
      <c r="Z19062" s="372">
        <v>0.0</v>
      </c>
    </row>
    <row r="19063">
      <c r="Y19063" s="372">
        <v>0.0</v>
      </c>
      <c r="Z19063" s="372">
        <v>0.0</v>
      </c>
    </row>
    <row r="19064">
      <c r="Y19064" s="372">
        <v>0.0</v>
      </c>
      <c r="Z19064" s="372">
        <v>0.0</v>
      </c>
    </row>
    <row r="19065">
      <c r="Y19065" s="372">
        <v>0.0</v>
      </c>
      <c r="Z19065" s="372">
        <v>0.0</v>
      </c>
    </row>
    <row r="19066">
      <c r="Y19066" s="372">
        <v>0.0</v>
      </c>
      <c r="Z19066" s="372">
        <v>0.0</v>
      </c>
    </row>
    <row r="19067">
      <c r="Y19067" s="372">
        <v>0.0</v>
      </c>
      <c r="Z19067" s="372">
        <v>0.0</v>
      </c>
    </row>
    <row r="19068">
      <c r="Y19068" s="372">
        <v>0.0</v>
      </c>
      <c r="Z19068" s="372">
        <v>0.0</v>
      </c>
    </row>
    <row r="19069">
      <c r="Y19069" s="372">
        <v>0.0</v>
      </c>
      <c r="Z19069" s="372">
        <v>0.0</v>
      </c>
    </row>
    <row r="19070">
      <c r="Y19070" s="372">
        <v>0.0</v>
      </c>
      <c r="Z19070" s="372">
        <v>0.0</v>
      </c>
    </row>
    <row r="19071">
      <c r="Y19071" s="372">
        <v>0.0</v>
      </c>
      <c r="Z19071" s="372">
        <v>0.0</v>
      </c>
    </row>
    <row r="19072">
      <c r="Y19072" s="372">
        <v>0.0</v>
      </c>
      <c r="Z19072" s="372">
        <v>0.0</v>
      </c>
    </row>
    <row r="19073">
      <c r="Y19073" s="372">
        <v>0.0</v>
      </c>
      <c r="Z19073" s="372">
        <v>0.0</v>
      </c>
    </row>
    <row r="19074">
      <c r="Y19074" s="372">
        <v>0.0</v>
      </c>
      <c r="Z19074" s="372">
        <v>0.0</v>
      </c>
    </row>
    <row r="19075">
      <c r="Y19075" s="372">
        <v>0.0</v>
      </c>
      <c r="Z19075" s="372">
        <v>0.0</v>
      </c>
    </row>
    <row r="19076">
      <c r="Y19076" s="372">
        <v>0.0</v>
      </c>
      <c r="Z19076" s="372">
        <v>0.0</v>
      </c>
    </row>
    <row r="19077">
      <c r="Y19077" s="372">
        <v>0.0</v>
      </c>
      <c r="Z19077" s="372">
        <v>0.0</v>
      </c>
    </row>
    <row r="19078">
      <c r="Y19078" s="372">
        <v>0.0</v>
      </c>
      <c r="Z19078" s="372">
        <v>0.0</v>
      </c>
    </row>
    <row r="19079">
      <c r="Y19079" s="372">
        <v>0.0</v>
      </c>
      <c r="Z19079" s="372">
        <v>0.0</v>
      </c>
    </row>
    <row r="19080">
      <c r="Y19080" s="372">
        <v>0.0</v>
      </c>
      <c r="Z19080" s="372">
        <v>0.0</v>
      </c>
    </row>
    <row r="19081">
      <c r="Y19081" s="372">
        <v>0.0</v>
      </c>
      <c r="Z19081" s="372">
        <v>0.0</v>
      </c>
    </row>
    <row r="19082">
      <c r="Y19082" s="372">
        <v>0.0</v>
      </c>
      <c r="Z19082" s="372">
        <v>0.0</v>
      </c>
    </row>
    <row r="19083">
      <c r="Y19083" s="372">
        <v>0.0</v>
      </c>
      <c r="Z19083" s="372">
        <v>0.0</v>
      </c>
    </row>
    <row r="19084">
      <c r="Y19084" s="372">
        <v>0.0</v>
      </c>
      <c r="Z19084" s="372">
        <v>0.0</v>
      </c>
    </row>
    <row r="19085">
      <c r="Y19085" s="372">
        <v>0.0</v>
      </c>
      <c r="Z19085" s="372">
        <v>0.0</v>
      </c>
    </row>
    <row r="19086">
      <c r="Y19086" s="372">
        <v>0.0</v>
      </c>
      <c r="Z19086" s="372">
        <v>0.0</v>
      </c>
    </row>
    <row r="19087">
      <c r="Y19087" s="372">
        <v>0.0</v>
      </c>
      <c r="Z19087" s="372">
        <v>0.0</v>
      </c>
    </row>
    <row r="19088">
      <c r="Y19088" s="372">
        <v>0.0</v>
      </c>
      <c r="Z19088" s="372">
        <v>0.0</v>
      </c>
    </row>
    <row r="19089">
      <c r="Y19089" s="372">
        <v>0.0</v>
      </c>
      <c r="Z19089" s="372">
        <v>0.0</v>
      </c>
    </row>
    <row r="19090">
      <c r="Y19090" s="372">
        <v>0.0</v>
      </c>
      <c r="Z19090" s="372">
        <v>0.0</v>
      </c>
    </row>
    <row r="19091">
      <c r="Y19091" s="372">
        <v>0.0</v>
      </c>
      <c r="Z19091" s="372">
        <v>0.0</v>
      </c>
    </row>
    <row r="19092">
      <c r="Y19092" s="372">
        <v>0.0</v>
      </c>
      <c r="Z19092" s="372">
        <v>0.0</v>
      </c>
    </row>
    <row r="19093">
      <c r="Y19093" s="372">
        <v>0.0</v>
      </c>
      <c r="Z19093" s="372">
        <v>0.0</v>
      </c>
    </row>
    <row r="19094">
      <c r="Y19094" s="372">
        <v>0.0</v>
      </c>
      <c r="Z19094" s="372">
        <v>0.0</v>
      </c>
    </row>
    <row r="19095">
      <c r="Y19095" s="372">
        <v>0.0</v>
      </c>
      <c r="Z19095" s="372">
        <v>0.0</v>
      </c>
    </row>
    <row r="19096">
      <c r="Y19096" s="372">
        <v>0.0</v>
      </c>
      <c r="Z19096" s="372">
        <v>0.0</v>
      </c>
    </row>
    <row r="19097">
      <c r="Y19097" s="372">
        <v>0.0</v>
      </c>
      <c r="Z19097" s="372">
        <v>0.0</v>
      </c>
    </row>
    <row r="19098">
      <c r="Y19098" s="372">
        <v>0.0</v>
      </c>
      <c r="Z19098" s="372">
        <v>0.0</v>
      </c>
    </row>
    <row r="19099">
      <c r="Y19099" s="372">
        <v>0.0</v>
      </c>
      <c r="Z19099" s="372">
        <v>0.0</v>
      </c>
    </row>
    <row r="19100">
      <c r="Y19100" s="372">
        <v>0.0</v>
      </c>
      <c r="Z19100" s="372">
        <v>0.0</v>
      </c>
    </row>
    <row r="19101">
      <c r="Y19101" s="372">
        <v>0.0</v>
      </c>
      <c r="Z19101" s="372">
        <v>0.0</v>
      </c>
    </row>
    <row r="19102">
      <c r="Y19102" s="372">
        <v>0.0</v>
      </c>
      <c r="Z19102" s="372">
        <v>0.0</v>
      </c>
    </row>
    <row r="19103">
      <c r="Y19103" s="372">
        <v>0.0</v>
      </c>
      <c r="Z19103" s="372">
        <v>0.0</v>
      </c>
    </row>
    <row r="19104">
      <c r="Y19104" s="372">
        <v>0.0</v>
      </c>
      <c r="Z19104" s="372">
        <v>0.0</v>
      </c>
    </row>
    <row r="19105">
      <c r="Y19105" s="372">
        <v>0.0</v>
      </c>
      <c r="Z19105" s="372">
        <v>0.0</v>
      </c>
    </row>
    <row r="19106">
      <c r="Y19106" s="372">
        <v>0.0</v>
      </c>
      <c r="Z19106" s="372">
        <v>0.0</v>
      </c>
    </row>
    <row r="19107">
      <c r="Y19107" s="372">
        <v>0.0</v>
      </c>
      <c r="Z19107" s="372">
        <v>0.0</v>
      </c>
    </row>
    <row r="19108">
      <c r="Y19108" s="372">
        <v>0.0</v>
      </c>
      <c r="Z19108" s="372">
        <v>0.0</v>
      </c>
    </row>
    <row r="19109">
      <c r="Y19109" s="372">
        <v>0.0</v>
      </c>
      <c r="Z19109" s="372">
        <v>0.0</v>
      </c>
    </row>
    <row r="19110">
      <c r="Y19110" s="372">
        <v>0.0</v>
      </c>
      <c r="Z19110" s="372">
        <v>0.0</v>
      </c>
    </row>
    <row r="19111">
      <c r="Y19111" s="372">
        <v>0.0</v>
      </c>
      <c r="Z19111" s="372">
        <v>0.0</v>
      </c>
    </row>
    <row r="19112">
      <c r="Y19112" s="372">
        <v>0.0</v>
      </c>
      <c r="Z19112" s="372">
        <v>0.0</v>
      </c>
    </row>
    <row r="19113">
      <c r="Y19113" s="372">
        <v>0.0</v>
      </c>
      <c r="Z19113" s="372">
        <v>0.0</v>
      </c>
    </row>
    <row r="19114">
      <c r="Y19114" s="372">
        <v>0.0</v>
      </c>
      <c r="Z19114" s="372">
        <v>0.0</v>
      </c>
    </row>
    <row r="19115">
      <c r="Y19115" s="372">
        <v>0.0</v>
      </c>
      <c r="Z19115" s="372">
        <v>0.0</v>
      </c>
    </row>
    <row r="19116">
      <c r="Y19116" s="372">
        <v>0.0</v>
      </c>
      <c r="Z19116" s="372">
        <v>0.0</v>
      </c>
    </row>
    <row r="19117">
      <c r="Y19117" s="372">
        <v>0.0</v>
      </c>
      <c r="Z19117" s="372">
        <v>0.0</v>
      </c>
    </row>
    <row r="19118">
      <c r="Y19118" s="372">
        <v>0.0</v>
      </c>
      <c r="Z19118" s="372">
        <v>0.0</v>
      </c>
    </row>
    <row r="19119">
      <c r="Y19119" s="372">
        <v>0.0</v>
      </c>
      <c r="Z19119" s="372">
        <v>0.0</v>
      </c>
    </row>
    <row r="19120">
      <c r="Y19120" s="372">
        <v>0.0</v>
      </c>
      <c r="Z19120" s="372">
        <v>0.0</v>
      </c>
    </row>
    <row r="19121">
      <c r="Y19121" s="372">
        <v>0.0</v>
      </c>
      <c r="Z19121" s="372">
        <v>0.0</v>
      </c>
    </row>
    <row r="19122">
      <c r="Y19122" s="372">
        <v>0.0</v>
      </c>
      <c r="Z19122" s="372">
        <v>0.0</v>
      </c>
    </row>
    <row r="19123">
      <c r="Y19123" s="372">
        <v>0.0</v>
      </c>
      <c r="Z19123" s="372">
        <v>0.0</v>
      </c>
    </row>
    <row r="19124">
      <c r="Y19124" s="372">
        <v>0.0</v>
      </c>
      <c r="Z19124" s="372">
        <v>0.0</v>
      </c>
    </row>
    <row r="19125">
      <c r="Y19125" s="372">
        <v>0.0</v>
      </c>
      <c r="Z19125" s="372">
        <v>0.0</v>
      </c>
    </row>
    <row r="19126">
      <c r="Y19126" s="372">
        <v>0.0</v>
      </c>
      <c r="Z19126" s="372">
        <v>0.0</v>
      </c>
    </row>
    <row r="19127">
      <c r="Y19127" s="372">
        <v>0.0</v>
      </c>
      <c r="Z19127" s="372">
        <v>0.0</v>
      </c>
    </row>
    <row r="19128">
      <c r="Y19128" s="372">
        <v>0.0</v>
      </c>
      <c r="Z19128" s="372">
        <v>0.0</v>
      </c>
    </row>
    <row r="19129">
      <c r="Y19129" s="372">
        <v>0.0</v>
      </c>
      <c r="Z19129" s="372">
        <v>0.0</v>
      </c>
    </row>
    <row r="19130">
      <c r="Y19130" s="372">
        <v>0.0</v>
      </c>
      <c r="Z19130" s="372">
        <v>0.0</v>
      </c>
    </row>
    <row r="19131">
      <c r="Y19131" s="372">
        <v>0.0</v>
      </c>
      <c r="Z19131" s="372">
        <v>0.0</v>
      </c>
    </row>
    <row r="19132">
      <c r="Y19132" s="372">
        <v>0.0</v>
      </c>
      <c r="Z19132" s="372">
        <v>0.0</v>
      </c>
    </row>
    <row r="19133">
      <c r="Y19133" s="372">
        <v>0.0</v>
      </c>
      <c r="Z19133" s="372">
        <v>0.0</v>
      </c>
    </row>
    <row r="19134">
      <c r="Y19134" s="372">
        <v>0.0</v>
      </c>
      <c r="Z19134" s="372">
        <v>0.0</v>
      </c>
    </row>
    <row r="19135">
      <c r="Y19135" s="372">
        <v>0.0</v>
      </c>
      <c r="Z19135" s="372">
        <v>0.0</v>
      </c>
    </row>
    <row r="19136">
      <c r="Y19136" s="372">
        <v>0.0</v>
      </c>
      <c r="Z19136" s="372">
        <v>0.0</v>
      </c>
    </row>
    <row r="19137">
      <c r="Y19137" s="372">
        <v>0.0</v>
      </c>
      <c r="Z19137" s="372">
        <v>0.0</v>
      </c>
    </row>
    <row r="19138">
      <c r="Y19138" s="372">
        <v>0.0</v>
      </c>
      <c r="Z19138" s="372">
        <v>0.0</v>
      </c>
    </row>
    <row r="19139">
      <c r="Y19139" s="372">
        <v>0.0</v>
      </c>
      <c r="Z19139" s="372">
        <v>0.0</v>
      </c>
    </row>
    <row r="19140">
      <c r="Y19140" s="372">
        <v>0.0</v>
      </c>
      <c r="Z19140" s="372">
        <v>0.0</v>
      </c>
    </row>
    <row r="19141">
      <c r="Y19141" s="372">
        <v>0.0</v>
      </c>
      <c r="Z19141" s="372">
        <v>0.0</v>
      </c>
    </row>
    <row r="19142">
      <c r="Y19142" s="372">
        <v>0.0</v>
      </c>
      <c r="Z19142" s="372">
        <v>0.0</v>
      </c>
    </row>
    <row r="19143">
      <c r="Y19143" s="372">
        <v>0.0</v>
      </c>
      <c r="Z19143" s="372">
        <v>0.0</v>
      </c>
    </row>
    <row r="19144">
      <c r="Y19144" s="372">
        <v>0.0</v>
      </c>
      <c r="Z19144" s="372">
        <v>0.0</v>
      </c>
    </row>
    <row r="19145">
      <c r="Y19145" s="372">
        <v>0.0</v>
      </c>
      <c r="Z19145" s="372">
        <v>0.0</v>
      </c>
    </row>
    <row r="19146">
      <c r="Y19146" s="372">
        <v>0.0</v>
      </c>
      <c r="Z19146" s="372">
        <v>0.0</v>
      </c>
    </row>
    <row r="19147">
      <c r="Y19147" s="372">
        <v>0.0</v>
      </c>
      <c r="Z19147" s="372">
        <v>0.0</v>
      </c>
    </row>
    <row r="19148">
      <c r="Y19148" s="372">
        <v>0.0</v>
      </c>
      <c r="Z19148" s="372">
        <v>0.0</v>
      </c>
    </row>
    <row r="19149">
      <c r="Y19149" s="372">
        <v>0.0</v>
      </c>
      <c r="Z19149" s="372">
        <v>0.0</v>
      </c>
    </row>
    <row r="19150">
      <c r="Y19150" s="372">
        <v>0.0</v>
      </c>
      <c r="Z19150" s="372">
        <v>0.0</v>
      </c>
    </row>
    <row r="19151">
      <c r="Y19151" s="372">
        <v>0.0</v>
      </c>
      <c r="Z19151" s="372">
        <v>0.0</v>
      </c>
    </row>
    <row r="19152">
      <c r="Y19152" s="372">
        <v>0.0</v>
      </c>
      <c r="Z19152" s="372">
        <v>0.0</v>
      </c>
    </row>
    <row r="19153">
      <c r="Y19153" s="372">
        <v>0.0</v>
      </c>
      <c r="Z19153" s="372">
        <v>0.0</v>
      </c>
    </row>
    <row r="19154">
      <c r="Y19154" s="372">
        <v>0.0</v>
      </c>
      <c r="Z19154" s="372">
        <v>0.0</v>
      </c>
    </row>
    <row r="19155">
      <c r="Y19155" s="372">
        <v>0.0</v>
      </c>
      <c r="Z19155" s="372">
        <v>0.0</v>
      </c>
    </row>
    <row r="19156">
      <c r="Y19156" s="372">
        <v>0.0</v>
      </c>
      <c r="Z19156" s="372">
        <v>0.0</v>
      </c>
    </row>
    <row r="19157">
      <c r="Y19157" s="372">
        <v>0.0</v>
      </c>
      <c r="Z19157" s="372">
        <v>0.0</v>
      </c>
    </row>
    <row r="19158">
      <c r="Y19158" s="372">
        <v>0.0</v>
      </c>
      <c r="Z19158" s="372">
        <v>0.0</v>
      </c>
    </row>
    <row r="19159">
      <c r="Y19159" s="372">
        <v>0.0</v>
      </c>
      <c r="Z19159" s="372">
        <v>0.0</v>
      </c>
    </row>
    <row r="19160">
      <c r="Y19160" s="372">
        <v>0.0</v>
      </c>
      <c r="Z19160" s="372">
        <v>0.0</v>
      </c>
    </row>
    <row r="19161">
      <c r="Y19161" s="372">
        <v>0.0</v>
      </c>
      <c r="Z19161" s="372">
        <v>0.0</v>
      </c>
    </row>
    <row r="19162">
      <c r="Y19162" s="372">
        <v>0.0</v>
      </c>
      <c r="Z19162" s="372">
        <v>0.0</v>
      </c>
    </row>
    <row r="19163">
      <c r="Y19163" s="372">
        <v>0.0</v>
      </c>
      <c r="Z19163" s="372">
        <v>0.0</v>
      </c>
    </row>
    <row r="19164">
      <c r="Y19164" s="372">
        <v>0.0</v>
      </c>
      <c r="Z19164" s="372">
        <v>0.0</v>
      </c>
    </row>
    <row r="19165">
      <c r="Y19165" s="372">
        <v>0.0</v>
      </c>
      <c r="Z19165" s="372">
        <v>0.0</v>
      </c>
    </row>
    <row r="19166">
      <c r="Y19166" s="372">
        <v>0.0</v>
      </c>
      <c r="Z19166" s="372">
        <v>0.0</v>
      </c>
    </row>
    <row r="19167">
      <c r="Y19167" s="372">
        <v>0.0</v>
      </c>
      <c r="Z19167" s="372">
        <v>0.0</v>
      </c>
    </row>
    <row r="19168">
      <c r="Y19168" s="372">
        <v>0.0</v>
      </c>
      <c r="Z19168" s="372">
        <v>0.0</v>
      </c>
    </row>
    <row r="19169">
      <c r="Y19169" s="372">
        <v>0.0</v>
      </c>
      <c r="Z19169" s="372">
        <v>0.0</v>
      </c>
    </row>
    <row r="19170">
      <c r="Y19170" s="372">
        <v>0.0</v>
      </c>
      <c r="Z19170" s="372">
        <v>0.0</v>
      </c>
    </row>
    <row r="19171">
      <c r="Y19171" s="372">
        <v>0.0</v>
      </c>
      <c r="Z19171" s="372">
        <v>0.0</v>
      </c>
    </row>
    <row r="19172">
      <c r="Y19172" s="372">
        <v>0.0</v>
      </c>
      <c r="Z19172" s="372">
        <v>0.0</v>
      </c>
    </row>
    <row r="19173">
      <c r="Y19173" s="372">
        <v>0.0</v>
      </c>
      <c r="Z19173" s="372">
        <v>0.0</v>
      </c>
    </row>
    <row r="19174">
      <c r="Y19174" s="372">
        <v>0.0</v>
      </c>
      <c r="Z19174" s="372">
        <v>0.0</v>
      </c>
    </row>
    <row r="19175">
      <c r="Y19175" s="372">
        <v>0.0</v>
      </c>
      <c r="Z19175" s="372">
        <v>0.0</v>
      </c>
    </row>
    <row r="19176">
      <c r="Y19176" s="372">
        <v>0.0</v>
      </c>
      <c r="Z19176" s="372">
        <v>0.0</v>
      </c>
    </row>
    <row r="19177">
      <c r="Y19177" s="372">
        <v>0.0</v>
      </c>
      <c r="Z19177" s="372">
        <v>0.0</v>
      </c>
    </row>
    <row r="19178">
      <c r="Y19178" s="372">
        <v>0.0</v>
      </c>
      <c r="Z19178" s="372">
        <v>0.0</v>
      </c>
    </row>
    <row r="19179">
      <c r="Y19179" s="372">
        <v>0.0</v>
      </c>
      <c r="Z19179" s="372">
        <v>0.0</v>
      </c>
    </row>
    <row r="19180">
      <c r="Y19180" s="372">
        <v>0.0</v>
      </c>
      <c r="Z19180" s="372">
        <v>0.0</v>
      </c>
    </row>
    <row r="19181">
      <c r="Y19181" s="372">
        <v>0.0</v>
      </c>
      <c r="Z19181" s="372">
        <v>0.0</v>
      </c>
    </row>
    <row r="19182">
      <c r="Y19182" s="372">
        <v>0.0</v>
      </c>
      <c r="Z19182" s="372">
        <v>0.0</v>
      </c>
    </row>
    <row r="19183">
      <c r="Y19183" s="372">
        <v>0.0</v>
      </c>
      <c r="Z19183" s="372">
        <v>0.0</v>
      </c>
    </row>
    <row r="19184">
      <c r="Y19184" s="372">
        <v>0.0</v>
      </c>
      <c r="Z19184" s="372">
        <v>0.0</v>
      </c>
    </row>
    <row r="19185">
      <c r="Y19185" s="372">
        <v>0.0</v>
      </c>
      <c r="Z19185" s="372">
        <v>0.0</v>
      </c>
    </row>
    <row r="19186">
      <c r="Y19186" s="372">
        <v>0.0</v>
      </c>
      <c r="Z19186" s="372">
        <v>0.0</v>
      </c>
    </row>
    <row r="19187">
      <c r="Y19187" s="372">
        <v>0.0</v>
      </c>
      <c r="Z19187" s="372">
        <v>0.0</v>
      </c>
    </row>
    <row r="19188">
      <c r="Y19188" s="372">
        <v>0.0</v>
      </c>
      <c r="Z19188" s="372">
        <v>0.0</v>
      </c>
    </row>
    <row r="19189">
      <c r="Y19189" s="372">
        <v>0.0</v>
      </c>
      <c r="Z19189" s="372">
        <v>0.0</v>
      </c>
    </row>
    <row r="19190">
      <c r="Y19190" s="372">
        <v>0.0</v>
      </c>
      <c r="Z19190" s="372">
        <v>0.0</v>
      </c>
    </row>
    <row r="19191">
      <c r="Y19191" s="372">
        <v>0.0</v>
      </c>
      <c r="Z19191" s="372">
        <v>0.0</v>
      </c>
    </row>
    <row r="19192">
      <c r="Y19192" s="372">
        <v>0.0</v>
      </c>
      <c r="Z19192" s="372">
        <v>0.0</v>
      </c>
    </row>
    <row r="19193">
      <c r="Y19193" s="372">
        <v>0.0</v>
      </c>
      <c r="Z19193" s="372">
        <v>0.0</v>
      </c>
    </row>
    <row r="19194">
      <c r="Y19194" s="372">
        <v>0.0</v>
      </c>
      <c r="Z19194" s="372">
        <v>0.0</v>
      </c>
    </row>
    <row r="19195">
      <c r="Y19195" s="372">
        <v>0.0</v>
      </c>
      <c r="Z19195" s="372">
        <v>0.0</v>
      </c>
    </row>
    <row r="19196">
      <c r="Y19196" s="372">
        <v>0.0</v>
      </c>
      <c r="Z19196" s="372">
        <v>0.0</v>
      </c>
    </row>
    <row r="19197">
      <c r="Y19197" s="372">
        <v>0.0</v>
      </c>
      <c r="Z19197" s="372">
        <v>0.0</v>
      </c>
    </row>
    <row r="19198">
      <c r="Y19198" s="372">
        <v>0.0</v>
      </c>
      <c r="Z19198" s="372">
        <v>0.0</v>
      </c>
    </row>
    <row r="19199">
      <c r="Y19199" s="372">
        <v>0.0</v>
      </c>
      <c r="Z19199" s="372">
        <v>0.0</v>
      </c>
    </row>
    <row r="19200">
      <c r="Y19200" s="372">
        <v>0.0</v>
      </c>
      <c r="Z19200" s="372">
        <v>0.0</v>
      </c>
    </row>
    <row r="19201">
      <c r="Y19201" s="372">
        <v>0.0</v>
      </c>
      <c r="Z19201" s="372">
        <v>0.0</v>
      </c>
    </row>
    <row r="19202">
      <c r="Y19202" s="372">
        <v>0.0</v>
      </c>
      <c r="Z19202" s="372">
        <v>0.0</v>
      </c>
    </row>
    <row r="19203">
      <c r="Y19203" s="372">
        <v>0.0</v>
      </c>
      <c r="Z19203" s="372">
        <v>0.0</v>
      </c>
    </row>
    <row r="19204">
      <c r="Y19204" s="372">
        <v>0.0</v>
      </c>
      <c r="Z19204" s="372">
        <v>0.0</v>
      </c>
    </row>
    <row r="19205">
      <c r="Y19205" s="372">
        <v>0.0</v>
      </c>
      <c r="Z19205" s="372">
        <v>0.0</v>
      </c>
    </row>
    <row r="19206">
      <c r="Y19206" s="372">
        <v>0.0</v>
      </c>
      <c r="Z19206" s="372">
        <v>0.0</v>
      </c>
    </row>
    <row r="19207">
      <c r="Y19207" s="372">
        <v>0.0</v>
      </c>
      <c r="Z19207" s="372">
        <v>0.0</v>
      </c>
    </row>
    <row r="19208">
      <c r="Y19208" s="372">
        <v>0.0</v>
      </c>
      <c r="Z19208" s="372">
        <v>0.0</v>
      </c>
    </row>
    <row r="19209">
      <c r="Y19209" s="372">
        <v>0.0</v>
      </c>
      <c r="Z19209" s="372">
        <v>0.0</v>
      </c>
    </row>
    <row r="19210">
      <c r="Y19210" s="372">
        <v>0.0</v>
      </c>
      <c r="Z19210" s="372">
        <v>0.0</v>
      </c>
    </row>
    <row r="19211">
      <c r="Y19211" s="372">
        <v>0.0</v>
      </c>
      <c r="Z19211" s="372">
        <v>0.0</v>
      </c>
    </row>
    <row r="19212">
      <c r="Y19212" s="372">
        <v>0.0</v>
      </c>
      <c r="Z19212" s="372">
        <v>0.0</v>
      </c>
    </row>
    <row r="19213">
      <c r="Y19213" s="372">
        <v>0.0</v>
      </c>
      <c r="Z19213" s="372">
        <v>0.0</v>
      </c>
    </row>
    <row r="19214">
      <c r="Y19214" s="372">
        <v>0.0</v>
      </c>
      <c r="Z19214" s="372">
        <v>0.0</v>
      </c>
    </row>
    <row r="19215">
      <c r="Y19215" s="372">
        <v>0.0</v>
      </c>
      <c r="Z19215" s="372">
        <v>0.0</v>
      </c>
    </row>
    <row r="19216">
      <c r="Y19216" s="372">
        <v>0.0</v>
      </c>
      <c r="Z19216" s="372">
        <v>0.0</v>
      </c>
    </row>
    <row r="19217">
      <c r="Y19217" s="372">
        <v>0.0</v>
      </c>
      <c r="Z19217" s="372">
        <v>0.0</v>
      </c>
    </row>
    <row r="19218">
      <c r="Y19218" s="372">
        <v>0.0</v>
      </c>
      <c r="Z19218" s="372">
        <v>0.0</v>
      </c>
    </row>
    <row r="19219">
      <c r="Y19219" s="372">
        <v>0.0</v>
      </c>
      <c r="Z19219" s="372">
        <v>0.0</v>
      </c>
    </row>
    <row r="19220">
      <c r="Y19220" s="372">
        <v>0.0</v>
      </c>
      <c r="Z19220" s="372">
        <v>0.0</v>
      </c>
    </row>
    <row r="19221">
      <c r="Y19221" s="372">
        <v>0.0</v>
      </c>
      <c r="Z19221" s="372">
        <v>0.0</v>
      </c>
    </row>
    <row r="19222">
      <c r="Y19222" s="372">
        <v>0.0</v>
      </c>
      <c r="Z19222" s="372">
        <v>0.0</v>
      </c>
    </row>
    <row r="19223">
      <c r="Y19223" s="372">
        <v>0.0</v>
      </c>
      <c r="Z19223" s="372">
        <v>0.0</v>
      </c>
    </row>
    <row r="19224">
      <c r="Y19224" s="372">
        <v>0.0</v>
      </c>
      <c r="Z19224" s="372">
        <v>0.0</v>
      </c>
    </row>
    <row r="19225">
      <c r="Y19225" s="372">
        <v>0.0</v>
      </c>
      <c r="Z19225" s="372">
        <v>0.0</v>
      </c>
    </row>
    <row r="19226">
      <c r="Y19226" s="372">
        <v>0.0</v>
      </c>
      <c r="Z19226" s="372">
        <v>0.0</v>
      </c>
    </row>
    <row r="19227">
      <c r="Y19227" s="372">
        <v>0.0</v>
      </c>
      <c r="Z19227" s="372">
        <v>0.0</v>
      </c>
    </row>
    <row r="19228">
      <c r="Y19228" s="372">
        <v>0.0</v>
      </c>
      <c r="Z19228" s="372">
        <v>0.0</v>
      </c>
    </row>
    <row r="19229">
      <c r="Y19229" s="372">
        <v>0.0</v>
      </c>
      <c r="Z19229" s="372">
        <v>0.0</v>
      </c>
    </row>
    <row r="19230">
      <c r="Y19230" s="372">
        <v>0.0</v>
      </c>
      <c r="Z19230" s="372">
        <v>0.0</v>
      </c>
    </row>
    <row r="19231">
      <c r="Y19231" s="372">
        <v>0.0</v>
      </c>
      <c r="Z19231" s="372">
        <v>0.0</v>
      </c>
    </row>
    <row r="19232">
      <c r="Y19232" s="372">
        <v>0.0</v>
      </c>
      <c r="Z19232" s="372">
        <v>0.0</v>
      </c>
    </row>
    <row r="19233">
      <c r="Y19233" s="372">
        <v>0.0</v>
      </c>
      <c r="Z19233" s="372">
        <v>0.0</v>
      </c>
    </row>
    <row r="19234">
      <c r="Y19234" s="372">
        <v>0.0</v>
      </c>
      <c r="Z19234" s="372">
        <v>0.0</v>
      </c>
    </row>
    <row r="19235">
      <c r="Y19235" s="372">
        <v>0.0</v>
      </c>
      <c r="Z19235" s="372">
        <v>0.0</v>
      </c>
    </row>
    <row r="19236">
      <c r="Y19236" s="372">
        <v>0.0</v>
      </c>
      <c r="Z19236" s="372">
        <v>0.0</v>
      </c>
    </row>
    <row r="19237">
      <c r="Y19237" s="372">
        <v>0.0</v>
      </c>
      <c r="Z19237" s="372">
        <v>0.0</v>
      </c>
    </row>
    <row r="19238">
      <c r="Y19238" s="372">
        <v>0.0</v>
      </c>
      <c r="Z19238" s="372">
        <v>0.0</v>
      </c>
    </row>
    <row r="19239">
      <c r="Y19239" s="372">
        <v>0.0</v>
      </c>
      <c r="Z19239" s="372">
        <v>0.0</v>
      </c>
    </row>
    <row r="19240">
      <c r="Y19240" s="372">
        <v>0.0</v>
      </c>
      <c r="Z19240" s="372">
        <v>0.0</v>
      </c>
    </row>
    <row r="19241">
      <c r="Y19241" s="372">
        <v>0.0</v>
      </c>
      <c r="Z19241" s="372">
        <v>0.0</v>
      </c>
    </row>
    <row r="19242">
      <c r="Y19242" s="372">
        <v>0.0</v>
      </c>
      <c r="Z19242" s="372">
        <v>0.0</v>
      </c>
    </row>
    <row r="19243">
      <c r="Y19243" s="372">
        <v>0.0</v>
      </c>
      <c r="Z19243" s="372">
        <v>0.0</v>
      </c>
    </row>
    <row r="19244">
      <c r="Y19244" s="372">
        <v>0.0</v>
      </c>
      <c r="Z19244" s="372">
        <v>0.0</v>
      </c>
    </row>
    <row r="19245">
      <c r="Y19245" s="372">
        <v>0.0</v>
      </c>
      <c r="Z19245" s="372">
        <v>0.0</v>
      </c>
    </row>
    <row r="19246">
      <c r="Y19246" s="372">
        <v>0.0</v>
      </c>
      <c r="Z19246" s="372">
        <v>0.0</v>
      </c>
    </row>
    <row r="19247">
      <c r="Y19247" s="372">
        <v>0.0</v>
      </c>
      <c r="Z19247" s="372">
        <v>0.0</v>
      </c>
    </row>
    <row r="19248">
      <c r="Y19248" s="372">
        <v>0.0</v>
      </c>
      <c r="Z19248" s="372">
        <v>0.0</v>
      </c>
    </row>
    <row r="19249">
      <c r="Y19249" s="372">
        <v>0.0</v>
      </c>
      <c r="Z19249" s="372">
        <v>0.0</v>
      </c>
    </row>
    <row r="19250">
      <c r="Y19250" s="372">
        <v>0.0</v>
      </c>
      <c r="Z19250" s="372">
        <v>0.0</v>
      </c>
    </row>
    <row r="19251">
      <c r="Y19251" s="372">
        <v>0.0</v>
      </c>
      <c r="Z19251" s="372">
        <v>0.0</v>
      </c>
    </row>
    <row r="19252">
      <c r="Y19252" s="372">
        <v>0.0</v>
      </c>
      <c r="Z19252" s="372">
        <v>0.0</v>
      </c>
    </row>
    <row r="19253">
      <c r="Y19253" s="372">
        <v>0.0</v>
      </c>
      <c r="Z19253" s="372">
        <v>0.0</v>
      </c>
    </row>
    <row r="19254">
      <c r="Y19254" s="372">
        <v>0.0</v>
      </c>
      <c r="Z19254" s="372">
        <v>0.0</v>
      </c>
    </row>
    <row r="19255">
      <c r="Y19255" s="372">
        <v>0.0</v>
      </c>
      <c r="Z19255" s="372">
        <v>0.0</v>
      </c>
    </row>
    <row r="19256">
      <c r="Y19256" s="372">
        <v>0.0</v>
      </c>
      <c r="Z19256" s="372">
        <v>0.0</v>
      </c>
    </row>
    <row r="19257">
      <c r="Y19257" s="372">
        <v>0.0</v>
      </c>
      <c r="Z19257" s="372">
        <v>0.0</v>
      </c>
    </row>
    <row r="19258">
      <c r="Y19258" s="372">
        <v>0.0</v>
      </c>
      <c r="Z19258" s="372">
        <v>0.0</v>
      </c>
    </row>
    <row r="19259">
      <c r="Y19259" s="372">
        <v>0.0</v>
      </c>
      <c r="Z19259" s="372">
        <v>0.0</v>
      </c>
    </row>
    <row r="19260">
      <c r="Y19260" s="372">
        <v>0.0</v>
      </c>
      <c r="Z19260" s="372">
        <v>0.0</v>
      </c>
    </row>
    <row r="19261">
      <c r="Y19261" s="372">
        <v>0.0</v>
      </c>
      <c r="Z19261" s="372">
        <v>0.0</v>
      </c>
    </row>
    <row r="19262">
      <c r="Y19262" s="372">
        <v>0.0</v>
      </c>
      <c r="Z19262" s="372">
        <v>0.0</v>
      </c>
    </row>
    <row r="19263">
      <c r="Y19263" s="372">
        <v>0.0</v>
      </c>
      <c r="Z19263" s="372">
        <v>0.0</v>
      </c>
    </row>
    <row r="19264">
      <c r="Y19264" s="372">
        <v>0.0</v>
      </c>
      <c r="Z19264" s="372">
        <v>0.0</v>
      </c>
    </row>
    <row r="19265">
      <c r="Y19265" s="372">
        <v>0.0</v>
      </c>
      <c r="Z19265" s="372">
        <v>0.0</v>
      </c>
    </row>
    <row r="19266">
      <c r="Y19266" s="372">
        <v>0.0</v>
      </c>
      <c r="Z19266" s="372">
        <v>0.0</v>
      </c>
    </row>
    <row r="19267">
      <c r="Y19267" s="372">
        <v>0.0</v>
      </c>
      <c r="Z19267" s="372">
        <v>0.0</v>
      </c>
    </row>
    <row r="19268">
      <c r="Y19268" s="372">
        <v>0.0</v>
      </c>
      <c r="Z19268" s="372">
        <v>0.0</v>
      </c>
    </row>
    <row r="19269">
      <c r="Y19269" s="372">
        <v>0.0</v>
      </c>
      <c r="Z19269" s="372">
        <v>0.0</v>
      </c>
    </row>
    <row r="19270">
      <c r="Y19270" s="372">
        <v>0.0</v>
      </c>
      <c r="Z19270" s="372">
        <v>0.0</v>
      </c>
    </row>
    <row r="19271">
      <c r="Y19271" s="372">
        <v>0.0</v>
      </c>
      <c r="Z19271" s="372">
        <v>0.0</v>
      </c>
    </row>
    <row r="19272">
      <c r="Y19272" s="372">
        <v>0.0</v>
      </c>
      <c r="Z19272" s="372">
        <v>0.0</v>
      </c>
    </row>
    <row r="19273">
      <c r="Y19273" s="372">
        <v>0.0</v>
      </c>
      <c r="Z19273" s="372">
        <v>0.0</v>
      </c>
    </row>
    <row r="19274">
      <c r="Y19274" s="372">
        <v>0.0</v>
      </c>
      <c r="Z19274" s="372">
        <v>0.0</v>
      </c>
    </row>
    <row r="19275">
      <c r="Y19275" s="372">
        <v>0.0</v>
      </c>
      <c r="Z19275" s="372">
        <v>0.0</v>
      </c>
    </row>
    <row r="19276">
      <c r="Y19276" s="372">
        <v>0.0</v>
      </c>
      <c r="Z19276" s="372">
        <v>0.0</v>
      </c>
    </row>
    <row r="19277">
      <c r="Y19277" s="372">
        <v>0.0</v>
      </c>
      <c r="Z19277" s="372">
        <v>0.0</v>
      </c>
    </row>
    <row r="19278">
      <c r="Y19278" s="372">
        <v>0.0</v>
      </c>
      <c r="Z19278" s="372">
        <v>0.0</v>
      </c>
    </row>
    <row r="19279">
      <c r="Y19279" s="372">
        <v>0.0</v>
      </c>
      <c r="Z19279" s="372">
        <v>0.0</v>
      </c>
    </row>
    <row r="19280">
      <c r="Y19280" s="372">
        <v>0.0</v>
      </c>
      <c r="Z19280" s="372">
        <v>0.0</v>
      </c>
    </row>
    <row r="19281">
      <c r="Y19281" s="372">
        <v>0.0</v>
      </c>
      <c r="Z19281" s="372">
        <v>0.0</v>
      </c>
    </row>
    <row r="19282">
      <c r="Y19282" s="372">
        <v>0.0</v>
      </c>
      <c r="Z19282" s="372">
        <v>0.0</v>
      </c>
    </row>
    <row r="19283">
      <c r="Y19283" s="372">
        <v>0.0</v>
      </c>
      <c r="Z19283" s="372">
        <v>0.0</v>
      </c>
    </row>
    <row r="19284">
      <c r="Y19284" s="372">
        <v>0.0</v>
      </c>
      <c r="Z19284" s="372">
        <v>0.0</v>
      </c>
    </row>
    <row r="19285">
      <c r="Y19285" s="372">
        <v>0.0</v>
      </c>
      <c r="Z19285" s="372">
        <v>0.0</v>
      </c>
    </row>
    <row r="19286">
      <c r="Y19286" s="372">
        <v>0.0</v>
      </c>
      <c r="Z19286" s="372">
        <v>0.0</v>
      </c>
    </row>
    <row r="19287">
      <c r="Y19287" s="372">
        <v>0.0</v>
      </c>
      <c r="Z19287" s="372">
        <v>0.0</v>
      </c>
    </row>
    <row r="19288">
      <c r="Y19288" s="372">
        <v>0.0</v>
      </c>
      <c r="Z19288" s="372">
        <v>0.0</v>
      </c>
    </row>
    <row r="19289">
      <c r="Y19289" s="372">
        <v>0.0</v>
      </c>
      <c r="Z19289" s="372">
        <v>0.0</v>
      </c>
    </row>
    <row r="19290">
      <c r="Y19290" s="372">
        <v>0.0</v>
      </c>
      <c r="Z19290" s="372">
        <v>0.0</v>
      </c>
    </row>
    <row r="19291">
      <c r="Y19291" s="372">
        <v>0.0</v>
      </c>
      <c r="Z19291" s="372">
        <v>0.0</v>
      </c>
    </row>
    <row r="19292">
      <c r="Y19292" s="372">
        <v>0.0</v>
      </c>
      <c r="Z19292" s="372">
        <v>0.0</v>
      </c>
    </row>
    <row r="19293">
      <c r="Y19293" s="372">
        <v>0.0</v>
      </c>
      <c r="Z19293" s="372">
        <v>0.0</v>
      </c>
    </row>
    <row r="19294">
      <c r="Y19294" s="372">
        <v>0.0</v>
      </c>
      <c r="Z19294" s="372">
        <v>0.0</v>
      </c>
    </row>
    <row r="19295">
      <c r="Y19295" s="372">
        <v>0.0</v>
      </c>
      <c r="Z19295" s="372">
        <v>0.0</v>
      </c>
    </row>
    <row r="19296">
      <c r="Y19296" s="372">
        <v>0.0</v>
      </c>
      <c r="Z19296" s="372">
        <v>0.0</v>
      </c>
    </row>
    <row r="19297">
      <c r="Y19297" s="372">
        <v>0.0</v>
      </c>
      <c r="Z19297" s="372">
        <v>0.0</v>
      </c>
    </row>
    <row r="19298">
      <c r="Y19298" s="372">
        <v>0.0</v>
      </c>
      <c r="Z19298" s="372">
        <v>0.0</v>
      </c>
    </row>
    <row r="19299">
      <c r="Y19299" s="372">
        <v>0.0</v>
      </c>
      <c r="Z19299" s="372">
        <v>0.0</v>
      </c>
    </row>
    <row r="19300">
      <c r="Y19300" s="372">
        <v>0.0</v>
      </c>
      <c r="Z19300" s="372">
        <v>0.0</v>
      </c>
    </row>
    <row r="19301">
      <c r="Y19301" s="372">
        <v>0.0</v>
      </c>
      <c r="Z19301" s="372">
        <v>0.0</v>
      </c>
    </row>
    <row r="19302">
      <c r="Y19302" s="372">
        <v>0.0</v>
      </c>
      <c r="Z19302" s="372">
        <v>0.0</v>
      </c>
    </row>
    <row r="19303">
      <c r="Y19303" s="372">
        <v>0.0</v>
      </c>
      <c r="Z19303" s="372">
        <v>0.0</v>
      </c>
    </row>
    <row r="19304">
      <c r="Y19304" s="372">
        <v>0.0</v>
      </c>
      <c r="Z19304" s="372">
        <v>0.0</v>
      </c>
    </row>
    <row r="19305">
      <c r="Y19305" s="372">
        <v>0.0</v>
      </c>
      <c r="Z19305" s="372">
        <v>0.0</v>
      </c>
    </row>
    <row r="19306">
      <c r="Y19306" s="372">
        <v>0.0</v>
      </c>
      <c r="Z19306" s="372">
        <v>0.0</v>
      </c>
    </row>
    <row r="19307">
      <c r="Y19307" s="372">
        <v>0.0</v>
      </c>
      <c r="Z19307" s="372">
        <v>0.0</v>
      </c>
    </row>
    <row r="19308">
      <c r="Y19308" s="372">
        <v>0.0</v>
      </c>
      <c r="Z19308" s="372">
        <v>0.0</v>
      </c>
    </row>
    <row r="19309">
      <c r="Y19309" s="372">
        <v>0.0</v>
      </c>
      <c r="Z19309" s="372">
        <v>0.0</v>
      </c>
    </row>
    <row r="19310">
      <c r="Y19310" s="372">
        <v>0.0</v>
      </c>
      <c r="Z19310" s="372">
        <v>0.0</v>
      </c>
    </row>
    <row r="19311">
      <c r="Y19311" s="372">
        <v>0.0</v>
      </c>
      <c r="Z19311" s="372">
        <v>0.0</v>
      </c>
    </row>
    <row r="19312">
      <c r="Y19312" s="372">
        <v>0.0</v>
      </c>
      <c r="Z19312" s="372">
        <v>0.0</v>
      </c>
    </row>
    <row r="19313">
      <c r="Y19313" s="372">
        <v>0.0</v>
      </c>
      <c r="Z19313" s="372">
        <v>0.0</v>
      </c>
    </row>
    <row r="19314">
      <c r="Y19314" s="372">
        <v>0.0</v>
      </c>
      <c r="Z19314" s="372">
        <v>0.0</v>
      </c>
    </row>
    <row r="19315">
      <c r="Y19315" s="372">
        <v>0.0</v>
      </c>
      <c r="Z19315" s="372">
        <v>0.0</v>
      </c>
    </row>
    <row r="19316">
      <c r="Y19316" s="372">
        <v>0.0</v>
      </c>
      <c r="Z19316" s="372">
        <v>0.0</v>
      </c>
    </row>
    <row r="19317">
      <c r="Y19317" s="372">
        <v>0.0</v>
      </c>
      <c r="Z19317" s="372">
        <v>0.0</v>
      </c>
    </row>
    <row r="19318">
      <c r="Y19318" s="372">
        <v>0.0</v>
      </c>
      <c r="Z19318" s="372">
        <v>0.0</v>
      </c>
    </row>
    <row r="19319">
      <c r="Y19319" s="372">
        <v>0.0</v>
      </c>
      <c r="Z19319" s="372">
        <v>0.0</v>
      </c>
    </row>
    <row r="19320">
      <c r="Y19320" s="372">
        <v>0.0</v>
      </c>
      <c r="Z19320" s="372">
        <v>0.0</v>
      </c>
    </row>
    <row r="19321">
      <c r="Y19321" s="372">
        <v>0.0</v>
      </c>
      <c r="Z19321" s="372">
        <v>0.0</v>
      </c>
    </row>
    <row r="19322">
      <c r="Y19322" s="372">
        <v>0.0</v>
      </c>
      <c r="Z19322" s="372">
        <v>0.0</v>
      </c>
    </row>
    <row r="19323">
      <c r="Y19323" s="372">
        <v>0.0</v>
      </c>
      <c r="Z19323" s="372">
        <v>0.0</v>
      </c>
    </row>
    <row r="19324">
      <c r="Y19324" s="372">
        <v>0.0</v>
      </c>
      <c r="Z19324" s="372">
        <v>0.0</v>
      </c>
    </row>
    <row r="19325">
      <c r="Y19325" s="372">
        <v>0.0</v>
      </c>
      <c r="Z19325" s="372">
        <v>0.0</v>
      </c>
    </row>
    <row r="19326">
      <c r="Y19326" s="372">
        <v>0.0</v>
      </c>
      <c r="Z19326" s="372">
        <v>0.0</v>
      </c>
    </row>
    <row r="19327">
      <c r="Y19327" s="372">
        <v>0.0</v>
      </c>
      <c r="Z19327" s="372">
        <v>0.0</v>
      </c>
    </row>
    <row r="19328">
      <c r="Y19328" s="372">
        <v>0.0</v>
      </c>
      <c r="Z19328" s="372">
        <v>0.0</v>
      </c>
    </row>
    <row r="19329">
      <c r="Y19329" s="372">
        <v>0.0</v>
      </c>
      <c r="Z19329" s="372">
        <v>0.0</v>
      </c>
    </row>
    <row r="19330">
      <c r="Y19330" s="372">
        <v>0.0</v>
      </c>
      <c r="Z19330" s="372">
        <v>0.0</v>
      </c>
    </row>
    <row r="19331">
      <c r="Y19331" s="372">
        <v>0.0</v>
      </c>
      <c r="Z19331" s="372">
        <v>0.0</v>
      </c>
    </row>
    <row r="19332">
      <c r="Y19332" s="372">
        <v>0.0</v>
      </c>
      <c r="Z19332" s="372">
        <v>0.0</v>
      </c>
    </row>
    <row r="19333">
      <c r="Y19333" s="372">
        <v>0.0</v>
      </c>
      <c r="Z19333" s="372">
        <v>0.0</v>
      </c>
    </row>
    <row r="19334">
      <c r="Y19334" s="372">
        <v>0.0</v>
      </c>
      <c r="Z19334" s="372">
        <v>0.0</v>
      </c>
    </row>
    <row r="19335">
      <c r="Y19335" s="372">
        <v>0.0</v>
      </c>
      <c r="Z19335" s="372">
        <v>0.0</v>
      </c>
    </row>
    <row r="19336">
      <c r="Y19336" s="372">
        <v>0.0</v>
      </c>
      <c r="Z19336" s="372">
        <v>0.0</v>
      </c>
    </row>
    <row r="19337">
      <c r="Y19337" s="372">
        <v>0.0</v>
      </c>
      <c r="Z19337" s="372">
        <v>0.0</v>
      </c>
    </row>
    <row r="19338">
      <c r="Y19338" s="372">
        <v>0.0</v>
      </c>
      <c r="Z19338" s="372">
        <v>0.0</v>
      </c>
    </row>
    <row r="19339">
      <c r="Y19339" s="372">
        <v>0.0</v>
      </c>
      <c r="Z19339" s="372">
        <v>0.0</v>
      </c>
    </row>
    <row r="19340">
      <c r="Y19340" s="372">
        <v>0.0</v>
      </c>
      <c r="Z19340" s="372">
        <v>0.0</v>
      </c>
    </row>
    <row r="19341">
      <c r="Y19341" s="372">
        <v>0.0</v>
      </c>
      <c r="Z19341" s="372">
        <v>0.0</v>
      </c>
    </row>
    <row r="19342">
      <c r="Y19342" s="372">
        <v>0.0</v>
      </c>
      <c r="Z19342" s="372">
        <v>0.0</v>
      </c>
    </row>
    <row r="19343">
      <c r="Y19343" s="372">
        <v>0.0</v>
      </c>
      <c r="Z19343" s="372">
        <v>0.0</v>
      </c>
    </row>
    <row r="19344">
      <c r="Y19344" s="372">
        <v>0.0</v>
      </c>
      <c r="Z19344" s="372">
        <v>0.0</v>
      </c>
    </row>
    <row r="19345">
      <c r="Y19345" s="372">
        <v>0.0</v>
      </c>
      <c r="Z19345" s="372">
        <v>0.0</v>
      </c>
    </row>
    <row r="19346">
      <c r="Y19346" s="372">
        <v>0.0</v>
      </c>
      <c r="Z19346" s="372">
        <v>0.0</v>
      </c>
    </row>
    <row r="19347">
      <c r="Y19347" s="372">
        <v>0.0</v>
      </c>
      <c r="Z19347" s="372">
        <v>0.0</v>
      </c>
    </row>
    <row r="19348">
      <c r="Y19348" s="372">
        <v>0.0</v>
      </c>
      <c r="Z19348" s="372">
        <v>0.0</v>
      </c>
    </row>
    <row r="19349">
      <c r="Y19349" s="372">
        <v>0.0</v>
      </c>
      <c r="Z19349" s="372">
        <v>0.0</v>
      </c>
    </row>
    <row r="19350">
      <c r="Y19350" s="372">
        <v>0.0</v>
      </c>
      <c r="Z19350" s="372">
        <v>0.0</v>
      </c>
    </row>
    <row r="19351">
      <c r="Y19351" s="372">
        <v>0.0</v>
      </c>
      <c r="Z19351" s="372">
        <v>0.0</v>
      </c>
    </row>
    <row r="19352">
      <c r="Y19352" s="372">
        <v>0.0</v>
      </c>
      <c r="Z19352" s="372">
        <v>0.0</v>
      </c>
    </row>
    <row r="19353">
      <c r="Y19353" s="372">
        <v>0.0</v>
      </c>
      <c r="Z19353" s="372">
        <v>0.0</v>
      </c>
    </row>
    <row r="19354">
      <c r="Y19354" s="372">
        <v>0.0</v>
      </c>
      <c r="Z19354" s="372">
        <v>0.0</v>
      </c>
    </row>
    <row r="19355">
      <c r="Y19355" s="372">
        <v>0.0</v>
      </c>
      <c r="Z19355" s="372">
        <v>0.0</v>
      </c>
    </row>
    <row r="19356">
      <c r="Y19356" s="372">
        <v>0.0</v>
      </c>
      <c r="Z19356" s="372">
        <v>0.0</v>
      </c>
    </row>
    <row r="19357">
      <c r="Y19357" s="372">
        <v>0.0</v>
      </c>
      <c r="Z19357" s="372">
        <v>0.0</v>
      </c>
    </row>
    <row r="19358">
      <c r="Y19358" s="372">
        <v>0.0</v>
      </c>
      <c r="Z19358" s="372">
        <v>0.0</v>
      </c>
    </row>
    <row r="19359">
      <c r="Y19359" s="372">
        <v>0.0</v>
      </c>
      <c r="Z19359" s="372">
        <v>0.0</v>
      </c>
    </row>
    <row r="19360">
      <c r="Y19360" s="372">
        <v>0.0</v>
      </c>
      <c r="Z19360" s="372">
        <v>0.0</v>
      </c>
    </row>
    <row r="19361">
      <c r="Y19361" s="372">
        <v>0.0</v>
      </c>
      <c r="Z19361" s="372">
        <v>0.0</v>
      </c>
    </row>
    <row r="19362">
      <c r="Y19362" s="372">
        <v>0.0</v>
      </c>
      <c r="Z19362" s="372">
        <v>0.0</v>
      </c>
    </row>
    <row r="19363">
      <c r="Y19363" s="372">
        <v>0.0</v>
      </c>
      <c r="Z19363" s="372">
        <v>0.0</v>
      </c>
    </row>
    <row r="19364">
      <c r="Y19364" s="372">
        <v>0.0</v>
      </c>
      <c r="Z19364" s="372">
        <v>0.0</v>
      </c>
    </row>
    <row r="19365">
      <c r="Y19365" s="372">
        <v>0.0</v>
      </c>
      <c r="Z19365" s="372">
        <v>0.0</v>
      </c>
    </row>
    <row r="19366">
      <c r="Y19366" s="372">
        <v>0.0</v>
      </c>
      <c r="Z19366" s="372">
        <v>0.0</v>
      </c>
    </row>
    <row r="19367">
      <c r="Y19367" s="372">
        <v>0.0</v>
      </c>
      <c r="Z19367" s="372">
        <v>0.0</v>
      </c>
    </row>
    <row r="19368">
      <c r="Y19368" s="372">
        <v>0.0</v>
      </c>
      <c r="Z19368" s="372">
        <v>0.0</v>
      </c>
    </row>
    <row r="19369">
      <c r="Y19369" s="372">
        <v>0.0</v>
      </c>
      <c r="Z19369" s="372">
        <v>0.0</v>
      </c>
    </row>
    <row r="19370">
      <c r="Y19370" s="372">
        <v>0.0</v>
      </c>
      <c r="Z19370" s="372">
        <v>0.0</v>
      </c>
    </row>
    <row r="19371">
      <c r="Y19371" s="372">
        <v>0.0</v>
      </c>
      <c r="Z19371" s="372">
        <v>0.0</v>
      </c>
    </row>
    <row r="19372">
      <c r="Y19372" s="372">
        <v>0.0</v>
      </c>
      <c r="Z19372" s="372">
        <v>0.0</v>
      </c>
    </row>
    <row r="19373">
      <c r="Y19373" s="372">
        <v>0.0</v>
      </c>
      <c r="Z19373" s="372">
        <v>0.0</v>
      </c>
    </row>
    <row r="19374">
      <c r="Y19374" s="372">
        <v>0.0</v>
      </c>
      <c r="Z19374" s="372">
        <v>0.0</v>
      </c>
    </row>
    <row r="19375">
      <c r="Y19375" s="372">
        <v>0.0</v>
      </c>
      <c r="Z19375" s="372">
        <v>0.0</v>
      </c>
    </row>
    <row r="19376">
      <c r="Y19376" s="372">
        <v>0.0</v>
      </c>
      <c r="Z19376" s="372">
        <v>0.0</v>
      </c>
    </row>
    <row r="19377">
      <c r="Y19377" s="372">
        <v>0.0</v>
      </c>
      <c r="Z19377" s="372">
        <v>0.0</v>
      </c>
    </row>
    <row r="19378">
      <c r="Y19378" s="372">
        <v>0.0</v>
      </c>
      <c r="Z19378" s="372">
        <v>0.0</v>
      </c>
    </row>
    <row r="19379">
      <c r="Y19379" s="372">
        <v>0.0</v>
      </c>
      <c r="Z19379" s="372">
        <v>0.0</v>
      </c>
    </row>
    <row r="19380">
      <c r="Y19380" s="372">
        <v>0.0</v>
      </c>
      <c r="Z19380" s="372">
        <v>0.0</v>
      </c>
    </row>
    <row r="19381">
      <c r="Y19381" s="372">
        <v>0.0</v>
      </c>
      <c r="Z19381" s="372">
        <v>0.0</v>
      </c>
    </row>
    <row r="19382">
      <c r="Y19382" s="372">
        <v>0.0</v>
      </c>
      <c r="Z19382" s="372">
        <v>0.0</v>
      </c>
    </row>
    <row r="19383">
      <c r="Y19383" s="372">
        <v>0.0</v>
      </c>
      <c r="Z19383" s="372">
        <v>0.0</v>
      </c>
    </row>
    <row r="19384">
      <c r="Y19384" s="372">
        <v>0.0</v>
      </c>
      <c r="Z19384" s="372">
        <v>0.0</v>
      </c>
    </row>
    <row r="19385">
      <c r="Y19385" s="372">
        <v>0.0</v>
      </c>
      <c r="Z19385" s="372">
        <v>0.0</v>
      </c>
    </row>
    <row r="19386">
      <c r="Y19386" s="372">
        <v>0.0</v>
      </c>
      <c r="Z19386" s="372">
        <v>0.0</v>
      </c>
    </row>
    <row r="19387">
      <c r="Y19387" s="372">
        <v>0.0</v>
      </c>
      <c r="Z19387" s="372">
        <v>0.0</v>
      </c>
    </row>
    <row r="19388">
      <c r="Y19388" s="372">
        <v>0.0</v>
      </c>
      <c r="Z19388" s="372">
        <v>0.0</v>
      </c>
    </row>
    <row r="19389">
      <c r="Y19389" s="372">
        <v>0.0</v>
      </c>
      <c r="Z19389" s="372">
        <v>0.0</v>
      </c>
    </row>
    <row r="19390">
      <c r="Y19390" s="372">
        <v>0.0</v>
      </c>
      <c r="Z19390" s="372">
        <v>0.0</v>
      </c>
    </row>
    <row r="19391">
      <c r="Y19391" s="372">
        <v>0.0</v>
      </c>
      <c r="Z19391" s="372">
        <v>0.0</v>
      </c>
    </row>
    <row r="19392">
      <c r="Y19392" s="372">
        <v>0.0</v>
      </c>
      <c r="Z19392" s="372">
        <v>0.0</v>
      </c>
    </row>
    <row r="19393">
      <c r="Y19393" s="372">
        <v>0.0</v>
      </c>
      <c r="Z19393" s="372">
        <v>0.0</v>
      </c>
    </row>
    <row r="19394">
      <c r="Y19394" s="372">
        <v>0.0</v>
      </c>
      <c r="Z19394" s="372">
        <v>0.0</v>
      </c>
    </row>
    <row r="19395">
      <c r="Y19395" s="372">
        <v>0.0</v>
      </c>
      <c r="Z19395" s="372">
        <v>0.0</v>
      </c>
    </row>
    <row r="19396">
      <c r="Y19396" s="372">
        <v>0.0</v>
      </c>
      <c r="Z19396" s="372">
        <v>0.0</v>
      </c>
    </row>
    <row r="19397">
      <c r="Y19397" s="372">
        <v>0.0</v>
      </c>
      <c r="Z19397" s="372">
        <v>0.0</v>
      </c>
    </row>
    <row r="19398">
      <c r="Y19398" s="372">
        <v>0.0</v>
      </c>
      <c r="Z19398" s="372">
        <v>0.0</v>
      </c>
    </row>
    <row r="19399">
      <c r="Y19399" s="372">
        <v>0.0</v>
      </c>
      <c r="Z19399" s="372">
        <v>0.0</v>
      </c>
    </row>
    <row r="19400">
      <c r="Y19400" s="372">
        <v>0.0</v>
      </c>
      <c r="Z19400" s="372">
        <v>0.0</v>
      </c>
    </row>
    <row r="19401">
      <c r="Y19401" s="372">
        <v>0.0</v>
      </c>
      <c r="Z19401" s="372">
        <v>0.0</v>
      </c>
    </row>
    <row r="19402">
      <c r="Y19402" s="372">
        <v>0.0</v>
      </c>
      <c r="Z19402" s="372">
        <v>0.0</v>
      </c>
    </row>
    <row r="19403">
      <c r="Y19403" s="372">
        <v>0.0</v>
      </c>
      <c r="Z19403" s="372">
        <v>0.0</v>
      </c>
    </row>
    <row r="19404">
      <c r="Y19404" s="372">
        <v>0.0</v>
      </c>
      <c r="Z19404" s="372">
        <v>0.0</v>
      </c>
    </row>
    <row r="19405">
      <c r="Y19405" s="372">
        <v>0.0</v>
      </c>
      <c r="Z19405" s="372">
        <v>0.0</v>
      </c>
    </row>
    <row r="19406">
      <c r="Y19406" s="372">
        <v>0.0</v>
      </c>
      <c r="Z19406" s="372">
        <v>0.0</v>
      </c>
    </row>
    <row r="19407">
      <c r="Y19407" s="372">
        <v>0.0</v>
      </c>
      <c r="Z19407" s="372">
        <v>0.0</v>
      </c>
    </row>
    <row r="19408">
      <c r="Y19408" s="372">
        <v>0.0</v>
      </c>
      <c r="Z19408" s="372">
        <v>0.0</v>
      </c>
    </row>
    <row r="19409">
      <c r="Y19409" s="372">
        <v>0.0</v>
      </c>
      <c r="Z19409" s="372">
        <v>0.0</v>
      </c>
    </row>
    <row r="19410">
      <c r="Y19410" s="372">
        <v>0.0</v>
      </c>
      <c r="Z19410" s="372">
        <v>0.0</v>
      </c>
    </row>
    <row r="19411">
      <c r="Y19411" s="372">
        <v>0.0</v>
      </c>
      <c r="Z19411" s="372">
        <v>0.0</v>
      </c>
    </row>
    <row r="19412">
      <c r="Y19412" s="372">
        <v>0.0</v>
      </c>
      <c r="Z19412" s="372">
        <v>0.0</v>
      </c>
    </row>
    <row r="19413">
      <c r="Y19413" s="372">
        <v>0.0</v>
      </c>
      <c r="Z19413" s="372">
        <v>0.0</v>
      </c>
    </row>
    <row r="19414">
      <c r="Y19414" s="372">
        <v>0.0</v>
      </c>
      <c r="Z19414" s="372">
        <v>0.0</v>
      </c>
    </row>
    <row r="19415">
      <c r="Y19415" s="372">
        <v>0.0</v>
      </c>
      <c r="Z19415" s="372">
        <v>0.0</v>
      </c>
    </row>
    <row r="19416">
      <c r="Y19416" s="372">
        <v>0.0</v>
      </c>
      <c r="Z19416" s="372">
        <v>0.0</v>
      </c>
    </row>
    <row r="19417">
      <c r="Y19417" s="372">
        <v>0.0</v>
      </c>
      <c r="Z19417" s="372">
        <v>0.0</v>
      </c>
    </row>
    <row r="19418">
      <c r="Y19418" s="372">
        <v>0.0</v>
      </c>
      <c r="Z19418" s="372">
        <v>0.0</v>
      </c>
    </row>
    <row r="19419">
      <c r="Y19419" s="372">
        <v>0.0</v>
      </c>
      <c r="Z19419" s="372">
        <v>0.0</v>
      </c>
    </row>
    <row r="19420">
      <c r="Y19420" s="372">
        <v>0.0</v>
      </c>
      <c r="Z19420" s="372">
        <v>0.0</v>
      </c>
    </row>
    <row r="19421">
      <c r="Y19421" s="372">
        <v>0.0</v>
      </c>
      <c r="Z19421" s="372">
        <v>0.0</v>
      </c>
    </row>
    <row r="19422">
      <c r="Y19422" s="372">
        <v>0.0</v>
      </c>
      <c r="Z19422" s="372">
        <v>0.0</v>
      </c>
    </row>
    <row r="19423">
      <c r="Y19423" s="372">
        <v>0.0</v>
      </c>
      <c r="Z19423" s="372">
        <v>0.0</v>
      </c>
    </row>
    <row r="19424">
      <c r="Y19424" s="372">
        <v>0.0</v>
      </c>
      <c r="Z19424" s="372">
        <v>0.0</v>
      </c>
    </row>
    <row r="19425">
      <c r="Y19425" s="372">
        <v>0.0</v>
      </c>
      <c r="Z19425" s="372">
        <v>0.0</v>
      </c>
    </row>
    <row r="19426">
      <c r="Y19426" s="372">
        <v>0.0</v>
      </c>
      <c r="Z19426" s="372">
        <v>0.0</v>
      </c>
    </row>
    <row r="19427">
      <c r="Y19427" s="372">
        <v>0.0</v>
      </c>
      <c r="Z19427" s="372">
        <v>0.0</v>
      </c>
    </row>
    <row r="19428">
      <c r="Y19428" s="372">
        <v>0.0</v>
      </c>
      <c r="Z19428" s="372">
        <v>0.0</v>
      </c>
    </row>
    <row r="19429">
      <c r="Y19429" s="372">
        <v>0.0</v>
      </c>
      <c r="Z19429" s="372">
        <v>0.0</v>
      </c>
    </row>
    <row r="19430">
      <c r="Y19430" s="372">
        <v>0.0</v>
      </c>
      <c r="Z19430" s="372">
        <v>0.0</v>
      </c>
    </row>
    <row r="19431">
      <c r="Y19431" s="372">
        <v>0.0</v>
      </c>
      <c r="Z19431" s="372">
        <v>0.0</v>
      </c>
    </row>
    <row r="19432">
      <c r="Y19432" s="372">
        <v>0.0</v>
      </c>
      <c r="Z19432" s="372">
        <v>0.0</v>
      </c>
    </row>
    <row r="19433">
      <c r="Y19433" s="372">
        <v>0.0</v>
      </c>
      <c r="Z19433" s="372">
        <v>0.0</v>
      </c>
    </row>
    <row r="19434">
      <c r="Y19434" s="372">
        <v>0.0</v>
      </c>
      <c r="Z19434" s="372">
        <v>0.0</v>
      </c>
    </row>
    <row r="19435">
      <c r="Y19435" s="372">
        <v>0.0</v>
      </c>
      <c r="Z19435" s="372">
        <v>0.0</v>
      </c>
    </row>
    <row r="19436">
      <c r="Y19436" s="372">
        <v>0.0</v>
      </c>
      <c r="Z19436" s="372">
        <v>0.0</v>
      </c>
    </row>
    <row r="19437">
      <c r="Y19437" s="372">
        <v>0.0</v>
      </c>
      <c r="Z19437" s="372">
        <v>0.0</v>
      </c>
    </row>
    <row r="19438">
      <c r="Y19438" s="372">
        <v>0.0</v>
      </c>
      <c r="Z19438" s="372">
        <v>0.0</v>
      </c>
    </row>
    <row r="19439">
      <c r="Y19439" s="372">
        <v>0.0</v>
      </c>
      <c r="Z19439" s="372">
        <v>0.0</v>
      </c>
    </row>
    <row r="19440">
      <c r="Y19440" s="372">
        <v>0.0</v>
      </c>
      <c r="Z19440" s="372">
        <v>0.0</v>
      </c>
    </row>
    <row r="19441">
      <c r="Y19441" s="372">
        <v>0.0</v>
      </c>
      <c r="Z19441" s="372">
        <v>0.0</v>
      </c>
    </row>
    <row r="19442">
      <c r="Y19442" s="372">
        <v>0.0</v>
      </c>
      <c r="Z19442" s="372">
        <v>0.0</v>
      </c>
    </row>
    <row r="19443">
      <c r="Y19443" s="372">
        <v>0.0</v>
      </c>
      <c r="Z19443" s="372">
        <v>0.0</v>
      </c>
    </row>
    <row r="19444">
      <c r="Y19444" s="372">
        <v>0.0</v>
      </c>
      <c r="Z19444" s="372">
        <v>0.0</v>
      </c>
    </row>
    <row r="19445">
      <c r="Y19445" s="372">
        <v>0.0</v>
      </c>
      <c r="Z19445" s="372">
        <v>0.0</v>
      </c>
    </row>
    <row r="19446">
      <c r="Y19446" s="372">
        <v>0.0</v>
      </c>
      <c r="Z19446" s="372">
        <v>0.0</v>
      </c>
    </row>
    <row r="19447">
      <c r="Y19447" s="372">
        <v>0.0</v>
      </c>
      <c r="Z19447" s="372">
        <v>0.0</v>
      </c>
    </row>
    <row r="19448">
      <c r="Y19448" s="372">
        <v>0.0</v>
      </c>
      <c r="Z19448" s="372">
        <v>0.0</v>
      </c>
    </row>
    <row r="19449">
      <c r="Y19449" s="372">
        <v>0.0</v>
      </c>
      <c r="Z19449" s="372">
        <v>0.0</v>
      </c>
    </row>
    <row r="19450">
      <c r="Y19450" s="372">
        <v>0.0</v>
      </c>
      <c r="Z19450" s="372">
        <v>0.0</v>
      </c>
    </row>
    <row r="19451">
      <c r="Y19451" s="372">
        <v>0.0</v>
      </c>
      <c r="Z19451" s="372">
        <v>0.0</v>
      </c>
    </row>
    <row r="19452">
      <c r="Y19452" s="372">
        <v>0.0</v>
      </c>
      <c r="Z19452" s="372">
        <v>0.0</v>
      </c>
    </row>
    <row r="19453">
      <c r="Y19453" s="372">
        <v>0.0</v>
      </c>
      <c r="Z19453" s="372">
        <v>0.0</v>
      </c>
    </row>
    <row r="19454">
      <c r="Y19454" s="372">
        <v>0.0</v>
      </c>
      <c r="Z19454" s="372">
        <v>0.0</v>
      </c>
    </row>
    <row r="19455">
      <c r="Y19455" s="372">
        <v>0.0</v>
      </c>
      <c r="Z19455" s="372">
        <v>0.0</v>
      </c>
    </row>
    <row r="19456">
      <c r="Y19456" s="372">
        <v>0.0</v>
      </c>
      <c r="Z19456" s="372">
        <v>0.0</v>
      </c>
    </row>
    <row r="19457">
      <c r="Y19457" s="372">
        <v>0.0</v>
      </c>
      <c r="Z19457" s="372">
        <v>0.0</v>
      </c>
    </row>
    <row r="19458">
      <c r="Y19458" s="372">
        <v>0.0</v>
      </c>
      <c r="Z19458" s="372">
        <v>0.0</v>
      </c>
    </row>
    <row r="19459">
      <c r="Y19459" s="372">
        <v>0.0</v>
      </c>
      <c r="Z19459" s="372">
        <v>0.0</v>
      </c>
    </row>
    <row r="19460">
      <c r="Y19460" s="372">
        <v>0.0</v>
      </c>
      <c r="Z19460" s="372">
        <v>0.0</v>
      </c>
    </row>
    <row r="19461">
      <c r="Y19461" s="372">
        <v>0.0</v>
      </c>
      <c r="Z19461" s="372">
        <v>0.0</v>
      </c>
    </row>
    <row r="19462">
      <c r="Y19462" s="372">
        <v>0.0</v>
      </c>
      <c r="Z19462" s="372">
        <v>0.0</v>
      </c>
    </row>
    <row r="19463">
      <c r="Y19463" s="372">
        <v>0.0</v>
      </c>
      <c r="Z19463" s="372">
        <v>0.0</v>
      </c>
    </row>
    <row r="19464">
      <c r="Y19464" s="372">
        <v>0.0</v>
      </c>
      <c r="Z19464" s="372">
        <v>0.0</v>
      </c>
    </row>
    <row r="19465">
      <c r="Y19465" s="372">
        <v>0.0</v>
      </c>
      <c r="Z19465" s="372">
        <v>0.0</v>
      </c>
    </row>
    <row r="19466">
      <c r="Y19466" s="372">
        <v>0.0</v>
      </c>
      <c r="Z19466" s="372">
        <v>0.0</v>
      </c>
    </row>
    <row r="19467">
      <c r="Y19467" s="372">
        <v>0.0</v>
      </c>
      <c r="Z19467" s="372">
        <v>0.0</v>
      </c>
    </row>
    <row r="19468">
      <c r="Y19468" s="372">
        <v>0.0</v>
      </c>
      <c r="Z19468" s="372">
        <v>0.0</v>
      </c>
    </row>
    <row r="19469">
      <c r="Y19469" s="372">
        <v>0.0</v>
      </c>
      <c r="Z19469" s="372">
        <v>0.0</v>
      </c>
    </row>
    <row r="19470">
      <c r="Y19470" s="372">
        <v>0.0</v>
      </c>
      <c r="Z19470" s="372">
        <v>0.0</v>
      </c>
    </row>
    <row r="19471">
      <c r="Y19471" s="372">
        <v>0.0</v>
      </c>
      <c r="Z19471" s="372">
        <v>0.0</v>
      </c>
    </row>
    <row r="19472">
      <c r="Y19472" s="372">
        <v>0.0</v>
      </c>
      <c r="Z19472" s="372">
        <v>0.0</v>
      </c>
    </row>
    <row r="19473">
      <c r="Y19473" s="372">
        <v>0.0</v>
      </c>
      <c r="Z19473" s="372">
        <v>0.0</v>
      </c>
    </row>
    <row r="19474">
      <c r="Y19474" s="372">
        <v>0.0</v>
      </c>
      <c r="Z19474" s="372">
        <v>0.0</v>
      </c>
    </row>
    <row r="19475">
      <c r="Y19475" s="372">
        <v>0.0</v>
      </c>
      <c r="Z19475" s="372">
        <v>0.0</v>
      </c>
    </row>
    <row r="19476">
      <c r="Y19476" s="372">
        <v>0.0</v>
      </c>
      <c r="Z19476" s="372">
        <v>0.0</v>
      </c>
    </row>
    <row r="19477">
      <c r="Y19477" s="372">
        <v>0.0</v>
      </c>
      <c r="Z19477" s="372">
        <v>0.0</v>
      </c>
    </row>
    <row r="19478">
      <c r="Y19478" s="372">
        <v>0.0</v>
      </c>
      <c r="Z19478" s="372">
        <v>0.0</v>
      </c>
    </row>
    <row r="19479">
      <c r="Y19479" s="372">
        <v>0.0</v>
      </c>
      <c r="Z19479" s="372">
        <v>0.0</v>
      </c>
    </row>
    <row r="19480">
      <c r="Y19480" s="372">
        <v>0.0</v>
      </c>
      <c r="Z19480" s="372">
        <v>0.0</v>
      </c>
    </row>
    <row r="19481">
      <c r="Y19481" s="372">
        <v>0.0</v>
      </c>
      <c r="Z19481" s="372">
        <v>0.0</v>
      </c>
    </row>
    <row r="19482">
      <c r="Y19482" s="372">
        <v>0.0</v>
      </c>
      <c r="Z19482" s="372">
        <v>0.0</v>
      </c>
    </row>
    <row r="19483">
      <c r="Y19483" s="372">
        <v>0.0</v>
      </c>
      <c r="Z19483" s="372">
        <v>0.0</v>
      </c>
    </row>
    <row r="19484">
      <c r="Y19484" s="372">
        <v>0.0</v>
      </c>
      <c r="Z19484" s="372">
        <v>0.0</v>
      </c>
    </row>
    <row r="19485">
      <c r="Y19485" s="372">
        <v>0.0</v>
      </c>
      <c r="Z19485" s="372">
        <v>0.0</v>
      </c>
    </row>
    <row r="19486">
      <c r="Y19486" s="372">
        <v>0.0</v>
      </c>
      <c r="Z19486" s="372">
        <v>0.0</v>
      </c>
    </row>
    <row r="19487">
      <c r="Y19487" s="372">
        <v>0.0</v>
      </c>
      <c r="Z19487" s="372">
        <v>0.0</v>
      </c>
    </row>
    <row r="19488">
      <c r="Y19488" s="372">
        <v>0.0</v>
      </c>
      <c r="Z19488" s="372">
        <v>0.0</v>
      </c>
    </row>
    <row r="19489">
      <c r="Y19489" s="372">
        <v>0.0</v>
      </c>
      <c r="Z19489" s="372">
        <v>0.0</v>
      </c>
    </row>
    <row r="19490">
      <c r="Y19490" s="372">
        <v>0.0</v>
      </c>
      <c r="Z19490" s="372">
        <v>0.0</v>
      </c>
    </row>
    <row r="19491">
      <c r="Y19491" s="372">
        <v>0.0</v>
      </c>
      <c r="Z19491" s="372">
        <v>0.0</v>
      </c>
    </row>
    <row r="19492">
      <c r="Y19492" s="372">
        <v>0.0</v>
      </c>
      <c r="Z19492" s="372">
        <v>0.0</v>
      </c>
    </row>
    <row r="19493">
      <c r="Y19493" s="372">
        <v>0.0</v>
      </c>
      <c r="Z19493" s="372">
        <v>0.0</v>
      </c>
    </row>
    <row r="19494">
      <c r="Y19494" s="372">
        <v>0.0</v>
      </c>
      <c r="Z19494" s="372">
        <v>0.0</v>
      </c>
    </row>
    <row r="19495">
      <c r="Y19495" s="372">
        <v>0.0</v>
      </c>
      <c r="Z19495" s="372">
        <v>0.0</v>
      </c>
    </row>
    <row r="19496">
      <c r="Y19496" s="372">
        <v>0.0</v>
      </c>
      <c r="Z19496" s="372">
        <v>0.0</v>
      </c>
    </row>
    <row r="19497">
      <c r="Y19497" s="372">
        <v>0.0</v>
      </c>
      <c r="Z19497" s="372">
        <v>0.0</v>
      </c>
    </row>
    <row r="19498">
      <c r="Y19498" s="372">
        <v>0.0</v>
      </c>
      <c r="Z19498" s="372">
        <v>0.0</v>
      </c>
    </row>
    <row r="19499">
      <c r="Y19499" s="372">
        <v>0.0</v>
      </c>
      <c r="Z19499" s="372">
        <v>0.0</v>
      </c>
    </row>
    <row r="19500">
      <c r="Y19500" s="372">
        <v>0.0</v>
      </c>
      <c r="Z19500" s="372">
        <v>0.0</v>
      </c>
    </row>
    <row r="19501">
      <c r="Y19501" s="372">
        <v>0.0</v>
      </c>
      <c r="Z19501" s="372">
        <v>0.0</v>
      </c>
    </row>
    <row r="19502">
      <c r="Y19502" s="372">
        <v>0.0</v>
      </c>
      <c r="Z19502" s="372">
        <v>0.0</v>
      </c>
    </row>
    <row r="19503">
      <c r="Y19503" s="372">
        <v>0.0</v>
      </c>
      <c r="Z19503" s="372">
        <v>0.0</v>
      </c>
    </row>
    <row r="19504">
      <c r="Y19504" s="372">
        <v>0.0</v>
      </c>
      <c r="Z19504" s="372">
        <v>0.0</v>
      </c>
    </row>
    <row r="19505">
      <c r="Y19505" s="372">
        <v>0.0</v>
      </c>
      <c r="Z19505" s="372">
        <v>0.0</v>
      </c>
    </row>
    <row r="19506">
      <c r="Y19506" s="372">
        <v>0.0</v>
      </c>
      <c r="Z19506" s="372">
        <v>0.0</v>
      </c>
    </row>
    <row r="19507">
      <c r="Y19507" s="372">
        <v>0.0</v>
      </c>
      <c r="Z19507" s="372">
        <v>0.0</v>
      </c>
    </row>
    <row r="19508">
      <c r="Y19508" s="372">
        <v>0.0</v>
      </c>
      <c r="Z19508" s="372">
        <v>0.0</v>
      </c>
    </row>
    <row r="19509">
      <c r="Y19509" s="372">
        <v>0.0</v>
      </c>
      <c r="Z19509" s="372">
        <v>0.0</v>
      </c>
    </row>
    <row r="19510">
      <c r="Y19510" s="372">
        <v>0.0</v>
      </c>
      <c r="Z19510" s="372">
        <v>0.0</v>
      </c>
    </row>
    <row r="19511">
      <c r="Y19511" s="372">
        <v>0.0</v>
      </c>
      <c r="Z19511" s="372">
        <v>0.0</v>
      </c>
    </row>
    <row r="19512">
      <c r="Y19512" s="372">
        <v>0.0</v>
      </c>
      <c r="Z19512" s="372">
        <v>0.0</v>
      </c>
    </row>
    <row r="19513">
      <c r="Y19513" s="372">
        <v>0.0</v>
      </c>
      <c r="Z19513" s="372">
        <v>0.0</v>
      </c>
    </row>
    <row r="19514">
      <c r="Y19514" s="372">
        <v>0.0</v>
      </c>
      <c r="Z19514" s="372">
        <v>0.0</v>
      </c>
    </row>
    <row r="19515">
      <c r="Y19515" s="372">
        <v>0.0</v>
      </c>
      <c r="Z19515" s="372">
        <v>0.0</v>
      </c>
    </row>
    <row r="19516">
      <c r="Y19516" s="372">
        <v>0.0</v>
      </c>
      <c r="Z19516" s="372">
        <v>0.0</v>
      </c>
    </row>
    <row r="19517">
      <c r="Y19517" s="372">
        <v>0.0</v>
      </c>
      <c r="Z19517" s="372">
        <v>0.0</v>
      </c>
    </row>
    <row r="19518">
      <c r="Y19518" s="372">
        <v>0.0</v>
      </c>
      <c r="Z19518" s="372">
        <v>0.0</v>
      </c>
    </row>
    <row r="19519">
      <c r="Y19519" s="372">
        <v>0.0</v>
      </c>
      <c r="Z19519" s="372">
        <v>0.0</v>
      </c>
    </row>
    <row r="19520">
      <c r="Y19520" s="372">
        <v>0.0</v>
      </c>
      <c r="Z19520" s="372">
        <v>0.0</v>
      </c>
    </row>
    <row r="19521">
      <c r="Y19521" s="372">
        <v>0.0</v>
      </c>
      <c r="Z19521" s="372">
        <v>0.0</v>
      </c>
    </row>
    <row r="19522">
      <c r="Y19522" s="372">
        <v>0.0</v>
      </c>
      <c r="Z19522" s="372">
        <v>0.0</v>
      </c>
    </row>
    <row r="19523">
      <c r="Y19523" s="372">
        <v>0.0</v>
      </c>
      <c r="Z19523" s="372">
        <v>0.0</v>
      </c>
    </row>
    <row r="19524">
      <c r="Y19524" s="372">
        <v>0.0</v>
      </c>
      <c r="Z19524" s="372">
        <v>0.0</v>
      </c>
    </row>
    <row r="19525">
      <c r="Y19525" s="372">
        <v>0.0</v>
      </c>
      <c r="Z19525" s="372">
        <v>0.0</v>
      </c>
    </row>
    <row r="19526">
      <c r="Y19526" s="372">
        <v>0.0</v>
      </c>
      <c r="Z19526" s="372">
        <v>0.0</v>
      </c>
    </row>
    <row r="19527">
      <c r="Y19527" s="372">
        <v>0.0</v>
      </c>
      <c r="Z19527" s="372">
        <v>0.0</v>
      </c>
    </row>
    <row r="19528">
      <c r="Y19528" s="372">
        <v>0.0</v>
      </c>
      <c r="Z19528" s="372">
        <v>0.0</v>
      </c>
    </row>
    <row r="19529">
      <c r="Y19529" s="372">
        <v>0.0</v>
      </c>
      <c r="Z19529" s="372">
        <v>0.0</v>
      </c>
    </row>
    <row r="19530">
      <c r="Y19530" s="372">
        <v>0.0</v>
      </c>
      <c r="Z19530" s="372">
        <v>0.0</v>
      </c>
    </row>
    <row r="19531">
      <c r="Y19531" s="372">
        <v>0.0</v>
      </c>
      <c r="Z19531" s="372">
        <v>0.0</v>
      </c>
    </row>
    <row r="19532">
      <c r="Y19532" s="372">
        <v>0.0</v>
      </c>
      <c r="Z19532" s="372">
        <v>0.0</v>
      </c>
    </row>
    <row r="19533">
      <c r="Y19533" s="372">
        <v>0.0</v>
      </c>
      <c r="Z19533" s="372">
        <v>0.0</v>
      </c>
    </row>
    <row r="19534">
      <c r="Y19534" s="372">
        <v>0.0</v>
      </c>
      <c r="Z19534" s="372">
        <v>0.0</v>
      </c>
    </row>
    <row r="19535">
      <c r="Y19535" s="372">
        <v>0.0</v>
      </c>
      <c r="Z19535" s="372">
        <v>0.0</v>
      </c>
    </row>
    <row r="19536">
      <c r="Y19536" s="372">
        <v>0.0</v>
      </c>
      <c r="Z19536" s="372">
        <v>0.0</v>
      </c>
    </row>
    <row r="19537">
      <c r="Y19537" s="372">
        <v>0.0</v>
      </c>
      <c r="Z19537" s="372">
        <v>0.0</v>
      </c>
    </row>
    <row r="19538">
      <c r="Y19538" s="372">
        <v>0.0</v>
      </c>
      <c r="Z19538" s="372">
        <v>0.0</v>
      </c>
    </row>
    <row r="19539">
      <c r="Y19539" s="372">
        <v>0.0</v>
      </c>
      <c r="Z19539" s="372">
        <v>0.0</v>
      </c>
    </row>
    <row r="19540">
      <c r="Y19540" s="372">
        <v>0.0</v>
      </c>
      <c r="Z19540" s="372">
        <v>0.0</v>
      </c>
    </row>
    <row r="19541">
      <c r="Y19541" s="372">
        <v>0.0</v>
      </c>
      <c r="Z19541" s="372">
        <v>0.0</v>
      </c>
    </row>
    <row r="19542">
      <c r="Y19542" s="372">
        <v>0.0</v>
      </c>
      <c r="Z19542" s="372">
        <v>0.0</v>
      </c>
    </row>
    <row r="19543">
      <c r="Y19543" s="372">
        <v>0.0</v>
      </c>
      <c r="Z19543" s="372">
        <v>0.0</v>
      </c>
    </row>
    <row r="19544">
      <c r="Y19544" s="372">
        <v>0.0</v>
      </c>
      <c r="Z19544" s="372">
        <v>0.0</v>
      </c>
    </row>
    <row r="19545">
      <c r="Y19545" s="372">
        <v>0.0</v>
      </c>
      <c r="Z19545" s="372">
        <v>0.0</v>
      </c>
    </row>
    <row r="19546">
      <c r="Y19546" s="372">
        <v>0.0</v>
      </c>
      <c r="Z19546" s="372">
        <v>0.0</v>
      </c>
    </row>
    <row r="19547">
      <c r="Y19547" s="372">
        <v>0.0</v>
      </c>
      <c r="Z19547" s="372">
        <v>0.0</v>
      </c>
    </row>
    <row r="19548">
      <c r="Y19548" s="372">
        <v>0.0</v>
      </c>
      <c r="Z19548" s="372">
        <v>0.0</v>
      </c>
    </row>
    <row r="19549">
      <c r="Y19549" s="372">
        <v>0.0</v>
      </c>
      <c r="Z19549" s="372">
        <v>0.0</v>
      </c>
    </row>
    <row r="19550">
      <c r="Y19550" s="372">
        <v>0.0</v>
      </c>
      <c r="Z19550" s="372">
        <v>0.0</v>
      </c>
    </row>
    <row r="19551">
      <c r="Y19551" s="372">
        <v>0.0</v>
      </c>
      <c r="Z19551" s="372">
        <v>0.0</v>
      </c>
    </row>
    <row r="19552">
      <c r="Y19552" s="372">
        <v>0.0</v>
      </c>
      <c r="Z19552" s="372">
        <v>0.0</v>
      </c>
    </row>
    <row r="19553">
      <c r="Y19553" s="372">
        <v>0.0</v>
      </c>
      <c r="Z19553" s="372">
        <v>0.0</v>
      </c>
    </row>
    <row r="19554">
      <c r="Y19554" s="372">
        <v>0.0</v>
      </c>
      <c r="Z19554" s="372">
        <v>0.0</v>
      </c>
    </row>
    <row r="19555">
      <c r="Y19555" s="372">
        <v>0.0</v>
      </c>
      <c r="Z19555" s="372">
        <v>0.0</v>
      </c>
    </row>
    <row r="19556">
      <c r="Y19556" s="372">
        <v>0.0</v>
      </c>
      <c r="Z19556" s="372">
        <v>0.0</v>
      </c>
    </row>
    <row r="19557">
      <c r="Y19557" s="372">
        <v>0.0</v>
      </c>
      <c r="Z19557" s="372">
        <v>0.0</v>
      </c>
    </row>
    <row r="19558">
      <c r="Y19558" s="372">
        <v>0.0</v>
      </c>
      <c r="Z19558" s="372">
        <v>0.0</v>
      </c>
    </row>
    <row r="19559">
      <c r="Y19559" s="372">
        <v>0.0</v>
      </c>
      <c r="Z19559" s="372">
        <v>0.0</v>
      </c>
    </row>
    <row r="19560">
      <c r="Y19560" s="372">
        <v>0.0</v>
      </c>
      <c r="Z19560" s="372">
        <v>0.0</v>
      </c>
    </row>
    <row r="19561">
      <c r="Y19561" s="372">
        <v>0.0</v>
      </c>
      <c r="Z19561" s="372">
        <v>0.0</v>
      </c>
    </row>
    <row r="19562">
      <c r="Y19562" s="372">
        <v>0.0</v>
      </c>
      <c r="Z19562" s="372">
        <v>0.0</v>
      </c>
    </row>
    <row r="19563">
      <c r="Y19563" s="372">
        <v>0.0</v>
      </c>
      <c r="Z19563" s="372">
        <v>0.0</v>
      </c>
    </row>
    <row r="19564">
      <c r="Y19564" s="372">
        <v>0.0</v>
      </c>
      <c r="Z19564" s="372">
        <v>0.0</v>
      </c>
    </row>
    <row r="19565">
      <c r="Y19565" s="372">
        <v>0.0</v>
      </c>
      <c r="Z19565" s="372">
        <v>0.0</v>
      </c>
    </row>
    <row r="19566">
      <c r="Y19566" s="372">
        <v>0.0</v>
      </c>
      <c r="Z19566" s="372">
        <v>0.0</v>
      </c>
    </row>
    <row r="19567">
      <c r="Y19567" s="372">
        <v>0.0</v>
      </c>
      <c r="Z19567" s="372">
        <v>0.0</v>
      </c>
    </row>
    <row r="19568">
      <c r="Y19568" s="372">
        <v>0.0</v>
      </c>
      <c r="Z19568" s="372">
        <v>0.0</v>
      </c>
    </row>
    <row r="19569">
      <c r="Y19569" s="372">
        <v>0.0</v>
      </c>
      <c r="Z19569" s="372">
        <v>0.0</v>
      </c>
    </row>
    <row r="19570">
      <c r="Y19570" s="372">
        <v>0.0</v>
      </c>
      <c r="Z19570" s="372">
        <v>0.0</v>
      </c>
    </row>
    <row r="19571">
      <c r="Y19571" s="372">
        <v>0.0</v>
      </c>
      <c r="Z19571" s="372">
        <v>0.0</v>
      </c>
    </row>
    <row r="19572">
      <c r="Y19572" s="372">
        <v>0.0</v>
      </c>
      <c r="Z19572" s="372">
        <v>0.0</v>
      </c>
    </row>
    <row r="19573">
      <c r="Y19573" s="372">
        <v>0.0</v>
      </c>
      <c r="Z19573" s="372">
        <v>0.0</v>
      </c>
    </row>
    <row r="19574">
      <c r="Y19574" s="372">
        <v>0.0</v>
      </c>
      <c r="Z19574" s="372">
        <v>0.0</v>
      </c>
    </row>
    <row r="19575">
      <c r="Y19575" s="372">
        <v>0.0</v>
      </c>
      <c r="Z19575" s="372">
        <v>0.0</v>
      </c>
    </row>
    <row r="19576">
      <c r="Y19576" s="372">
        <v>0.0</v>
      </c>
      <c r="Z19576" s="372">
        <v>0.0</v>
      </c>
    </row>
    <row r="19577">
      <c r="Y19577" s="372">
        <v>0.0</v>
      </c>
      <c r="Z19577" s="372">
        <v>0.0</v>
      </c>
    </row>
    <row r="19578">
      <c r="Y19578" s="372">
        <v>0.0</v>
      </c>
      <c r="Z19578" s="372">
        <v>0.0</v>
      </c>
    </row>
    <row r="19579">
      <c r="Y19579" s="372">
        <v>0.0</v>
      </c>
      <c r="Z19579" s="372">
        <v>0.0</v>
      </c>
    </row>
    <row r="19580">
      <c r="Y19580" s="372">
        <v>0.0</v>
      </c>
      <c r="Z19580" s="372">
        <v>0.0</v>
      </c>
    </row>
    <row r="19581">
      <c r="Y19581" s="372">
        <v>0.0</v>
      </c>
      <c r="Z19581" s="372">
        <v>0.0</v>
      </c>
    </row>
    <row r="19582">
      <c r="Y19582" s="372">
        <v>0.0</v>
      </c>
      <c r="Z19582" s="372">
        <v>0.0</v>
      </c>
    </row>
    <row r="19583">
      <c r="Y19583" s="372">
        <v>0.0</v>
      </c>
      <c r="Z19583" s="372">
        <v>0.0</v>
      </c>
    </row>
    <row r="19584">
      <c r="Y19584" s="372">
        <v>0.0</v>
      </c>
      <c r="Z19584" s="372">
        <v>0.0</v>
      </c>
    </row>
    <row r="19585">
      <c r="Y19585" s="372">
        <v>0.0</v>
      </c>
      <c r="Z19585" s="372">
        <v>0.0</v>
      </c>
    </row>
    <row r="19586">
      <c r="Y19586" s="372">
        <v>0.0</v>
      </c>
      <c r="Z19586" s="372">
        <v>0.0</v>
      </c>
    </row>
    <row r="19587">
      <c r="Y19587" s="372">
        <v>0.0</v>
      </c>
      <c r="Z19587" s="372">
        <v>0.0</v>
      </c>
    </row>
    <row r="19588">
      <c r="Y19588" s="372">
        <v>0.0</v>
      </c>
      <c r="Z19588" s="372">
        <v>0.0</v>
      </c>
    </row>
    <row r="19589">
      <c r="Y19589" s="372">
        <v>0.0</v>
      </c>
      <c r="Z19589" s="372">
        <v>0.0</v>
      </c>
    </row>
    <row r="19590">
      <c r="Y19590" s="372">
        <v>0.0</v>
      </c>
      <c r="Z19590" s="372">
        <v>0.0</v>
      </c>
    </row>
    <row r="19591">
      <c r="Y19591" s="372">
        <v>0.0</v>
      </c>
      <c r="Z19591" s="372">
        <v>0.0</v>
      </c>
    </row>
    <row r="19592">
      <c r="Y19592" s="372">
        <v>0.0</v>
      </c>
      <c r="Z19592" s="372">
        <v>0.0</v>
      </c>
    </row>
    <row r="19593">
      <c r="Y19593" s="372">
        <v>0.0</v>
      </c>
      <c r="Z19593" s="372">
        <v>0.0</v>
      </c>
    </row>
    <row r="19594">
      <c r="Y19594" s="372">
        <v>0.0</v>
      </c>
      <c r="Z19594" s="372">
        <v>0.0</v>
      </c>
    </row>
    <row r="19595">
      <c r="Y19595" s="372">
        <v>0.0</v>
      </c>
      <c r="Z19595" s="372">
        <v>0.0</v>
      </c>
    </row>
    <row r="19596">
      <c r="Y19596" s="372">
        <v>0.0</v>
      </c>
      <c r="Z19596" s="372">
        <v>0.0</v>
      </c>
    </row>
    <row r="19597">
      <c r="Y19597" s="372">
        <v>0.0</v>
      </c>
      <c r="Z19597" s="372">
        <v>0.0</v>
      </c>
    </row>
    <row r="19598">
      <c r="Y19598" s="372">
        <v>0.0</v>
      </c>
      <c r="Z19598" s="372">
        <v>0.0</v>
      </c>
    </row>
    <row r="19599">
      <c r="Y19599" s="372">
        <v>0.0</v>
      </c>
      <c r="Z19599" s="372">
        <v>0.0</v>
      </c>
    </row>
    <row r="19600">
      <c r="Y19600" s="372">
        <v>0.0</v>
      </c>
      <c r="Z19600" s="372">
        <v>0.0</v>
      </c>
    </row>
    <row r="19601">
      <c r="Y19601" s="372">
        <v>0.0</v>
      </c>
      <c r="Z19601" s="372">
        <v>0.0</v>
      </c>
    </row>
    <row r="19602">
      <c r="Y19602" s="372">
        <v>0.0</v>
      </c>
      <c r="Z19602" s="372">
        <v>0.0</v>
      </c>
    </row>
    <row r="19603">
      <c r="Y19603" s="372">
        <v>0.0</v>
      </c>
      <c r="Z19603" s="372">
        <v>0.0</v>
      </c>
    </row>
    <row r="19604">
      <c r="Y19604" s="372">
        <v>0.0</v>
      </c>
      <c r="Z19604" s="372">
        <v>0.0</v>
      </c>
    </row>
    <row r="19605">
      <c r="Y19605" s="372">
        <v>0.0</v>
      </c>
      <c r="Z19605" s="372">
        <v>0.0</v>
      </c>
    </row>
    <row r="19606">
      <c r="Y19606" s="372">
        <v>0.0</v>
      </c>
      <c r="Z19606" s="372">
        <v>0.0</v>
      </c>
    </row>
    <row r="19607">
      <c r="Y19607" s="372">
        <v>0.0</v>
      </c>
      <c r="Z19607" s="372">
        <v>0.0</v>
      </c>
    </row>
    <row r="19608">
      <c r="Y19608" s="372">
        <v>0.0</v>
      </c>
      <c r="Z19608" s="372">
        <v>0.0</v>
      </c>
    </row>
    <row r="19609">
      <c r="Y19609" s="372">
        <v>0.0</v>
      </c>
      <c r="Z19609" s="372">
        <v>0.0</v>
      </c>
    </row>
    <row r="19610">
      <c r="Y19610" s="372">
        <v>0.0</v>
      </c>
      <c r="Z19610" s="372">
        <v>0.0</v>
      </c>
    </row>
    <row r="19611">
      <c r="Y19611" s="372">
        <v>0.0</v>
      </c>
      <c r="Z19611" s="372">
        <v>0.0</v>
      </c>
    </row>
    <row r="19612">
      <c r="Y19612" s="372">
        <v>0.0</v>
      </c>
      <c r="Z19612" s="372">
        <v>0.0</v>
      </c>
    </row>
    <row r="19613">
      <c r="Y19613" s="372">
        <v>0.0</v>
      </c>
      <c r="Z19613" s="372">
        <v>0.0</v>
      </c>
    </row>
    <row r="19614">
      <c r="Y19614" s="372">
        <v>0.0</v>
      </c>
      <c r="Z19614" s="372">
        <v>0.0</v>
      </c>
    </row>
    <row r="19615">
      <c r="Y19615" s="372">
        <v>0.0</v>
      </c>
      <c r="Z19615" s="372">
        <v>0.0</v>
      </c>
    </row>
    <row r="19616">
      <c r="Y19616" s="372">
        <v>0.0</v>
      </c>
      <c r="Z19616" s="372">
        <v>0.0</v>
      </c>
    </row>
    <row r="19617">
      <c r="Y19617" s="372">
        <v>0.0</v>
      </c>
      <c r="Z19617" s="372">
        <v>0.0</v>
      </c>
    </row>
    <row r="19618">
      <c r="Y19618" s="372">
        <v>0.0</v>
      </c>
      <c r="Z19618" s="372">
        <v>0.0</v>
      </c>
    </row>
    <row r="19619">
      <c r="Y19619" s="372">
        <v>0.0</v>
      </c>
      <c r="Z19619" s="372">
        <v>0.0</v>
      </c>
    </row>
    <row r="19620">
      <c r="Y19620" s="372">
        <v>0.0</v>
      </c>
      <c r="Z19620" s="372">
        <v>0.0</v>
      </c>
    </row>
    <row r="19621">
      <c r="Y19621" s="372">
        <v>0.0</v>
      </c>
      <c r="Z19621" s="372">
        <v>0.0</v>
      </c>
    </row>
    <row r="19622">
      <c r="Y19622" s="372">
        <v>0.0</v>
      </c>
      <c r="Z19622" s="372">
        <v>0.0</v>
      </c>
    </row>
    <row r="19623">
      <c r="Y19623" s="372">
        <v>0.0</v>
      </c>
      <c r="Z19623" s="372">
        <v>0.0</v>
      </c>
    </row>
    <row r="19624">
      <c r="Y19624" s="372">
        <v>0.0</v>
      </c>
      <c r="Z19624" s="372">
        <v>0.0</v>
      </c>
    </row>
    <row r="19625">
      <c r="Y19625" s="372">
        <v>0.0</v>
      </c>
      <c r="Z19625" s="372">
        <v>0.0</v>
      </c>
    </row>
    <row r="19626">
      <c r="Y19626" s="372">
        <v>0.0</v>
      </c>
      <c r="Z19626" s="372">
        <v>0.0</v>
      </c>
    </row>
    <row r="19627">
      <c r="Y19627" s="372">
        <v>0.0</v>
      </c>
      <c r="Z19627" s="372">
        <v>0.0</v>
      </c>
    </row>
    <row r="19628">
      <c r="Y19628" s="372">
        <v>0.0</v>
      </c>
      <c r="Z19628" s="372">
        <v>0.0</v>
      </c>
    </row>
    <row r="19629">
      <c r="Y19629" s="372">
        <v>0.0</v>
      </c>
      <c r="Z19629" s="372">
        <v>0.0</v>
      </c>
    </row>
    <row r="19630">
      <c r="Y19630" s="372">
        <v>0.0</v>
      </c>
      <c r="Z19630" s="372">
        <v>0.0</v>
      </c>
    </row>
    <row r="19631">
      <c r="Y19631" s="372">
        <v>0.0</v>
      </c>
      <c r="Z19631" s="372">
        <v>0.0</v>
      </c>
    </row>
    <row r="19632">
      <c r="Y19632" s="372">
        <v>0.0</v>
      </c>
      <c r="Z19632" s="372">
        <v>0.0</v>
      </c>
    </row>
    <row r="19633">
      <c r="Y19633" s="372">
        <v>0.0</v>
      </c>
      <c r="Z19633" s="372">
        <v>0.0</v>
      </c>
    </row>
    <row r="19634">
      <c r="Y19634" s="372">
        <v>0.0</v>
      </c>
      <c r="Z19634" s="372">
        <v>0.0</v>
      </c>
    </row>
    <row r="19635">
      <c r="Y19635" s="372">
        <v>0.0</v>
      </c>
      <c r="Z19635" s="372">
        <v>0.0</v>
      </c>
    </row>
    <row r="19636">
      <c r="Y19636" s="372">
        <v>0.0</v>
      </c>
      <c r="Z19636" s="372">
        <v>0.0</v>
      </c>
    </row>
    <row r="19637">
      <c r="Y19637" s="372">
        <v>0.0</v>
      </c>
      <c r="Z19637" s="372">
        <v>0.0</v>
      </c>
    </row>
    <row r="19638">
      <c r="Y19638" s="372">
        <v>0.0</v>
      </c>
      <c r="Z19638" s="372">
        <v>0.0</v>
      </c>
    </row>
    <row r="19639">
      <c r="Y19639" s="372">
        <v>0.0</v>
      </c>
      <c r="Z19639" s="372">
        <v>0.0</v>
      </c>
    </row>
    <row r="19640">
      <c r="Y19640" s="372">
        <v>0.0</v>
      </c>
      <c r="Z19640" s="372">
        <v>0.0</v>
      </c>
    </row>
    <row r="19641">
      <c r="Y19641" s="372">
        <v>0.0</v>
      </c>
      <c r="Z19641" s="372">
        <v>0.0</v>
      </c>
    </row>
    <row r="19642">
      <c r="Y19642" s="372">
        <v>0.0</v>
      </c>
      <c r="Z19642" s="372">
        <v>0.0</v>
      </c>
    </row>
    <row r="19643">
      <c r="Y19643" s="372">
        <v>0.0</v>
      </c>
      <c r="Z19643" s="372">
        <v>0.0</v>
      </c>
    </row>
    <row r="19644">
      <c r="Y19644" s="372">
        <v>0.0</v>
      </c>
      <c r="Z19644" s="372">
        <v>0.0</v>
      </c>
    </row>
    <row r="19645">
      <c r="Y19645" s="372">
        <v>0.0</v>
      </c>
      <c r="Z19645" s="372">
        <v>0.0</v>
      </c>
    </row>
    <row r="19646">
      <c r="Y19646" s="372">
        <v>0.0</v>
      </c>
      <c r="Z19646" s="372">
        <v>0.0</v>
      </c>
    </row>
    <row r="19647">
      <c r="Y19647" s="372">
        <v>0.0</v>
      </c>
      <c r="Z19647" s="372">
        <v>0.0</v>
      </c>
    </row>
    <row r="19648">
      <c r="Y19648" s="372">
        <v>0.0</v>
      </c>
      <c r="Z19648" s="372">
        <v>0.0</v>
      </c>
    </row>
    <row r="19649">
      <c r="Y19649" s="372">
        <v>0.0</v>
      </c>
      <c r="Z19649" s="372">
        <v>0.0</v>
      </c>
    </row>
    <row r="19650">
      <c r="Y19650" s="372">
        <v>0.0</v>
      </c>
      <c r="Z19650" s="372">
        <v>0.0</v>
      </c>
    </row>
    <row r="19651">
      <c r="Y19651" s="372">
        <v>0.0</v>
      </c>
      <c r="Z19651" s="372">
        <v>0.0</v>
      </c>
    </row>
    <row r="19652">
      <c r="Y19652" s="372">
        <v>0.0</v>
      </c>
      <c r="Z19652" s="372">
        <v>0.0</v>
      </c>
    </row>
    <row r="19653">
      <c r="Y19653" s="372">
        <v>0.0</v>
      </c>
      <c r="Z19653" s="372">
        <v>0.0</v>
      </c>
    </row>
    <row r="19654">
      <c r="Y19654" s="372">
        <v>0.0</v>
      </c>
      <c r="Z19654" s="372">
        <v>0.0</v>
      </c>
    </row>
    <row r="19655">
      <c r="Y19655" s="372">
        <v>0.0</v>
      </c>
      <c r="Z19655" s="372">
        <v>0.0</v>
      </c>
    </row>
    <row r="19656">
      <c r="Y19656" s="372">
        <v>0.0</v>
      </c>
      <c r="Z19656" s="372">
        <v>0.0</v>
      </c>
    </row>
    <row r="19657">
      <c r="Y19657" s="372">
        <v>0.0</v>
      </c>
      <c r="Z19657" s="372">
        <v>0.0</v>
      </c>
    </row>
    <row r="19658">
      <c r="Y19658" s="372">
        <v>0.0</v>
      </c>
      <c r="Z19658" s="372">
        <v>0.0</v>
      </c>
    </row>
    <row r="19659">
      <c r="Y19659" s="372">
        <v>0.0</v>
      </c>
      <c r="Z19659" s="372">
        <v>0.0</v>
      </c>
    </row>
    <row r="19660">
      <c r="Y19660" s="372">
        <v>0.0</v>
      </c>
      <c r="Z19660" s="372">
        <v>0.0</v>
      </c>
    </row>
    <row r="19661">
      <c r="Y19661" s="372">
        <v>0.0</v>
      </c>
      <c r="Z19661" s="372">
        <v>0.0</v>
      </c>
    </row>
    <row r="19662">
      <c r="Y19662" s="372">
        <v>0.0</v>
      </c>
      <c r="Z19662" s="372">
        <v>0.0</v>
      </c>
    </row>
    <row r="19663">
      <c r="Y19663" s="372">
        <v>0.0</v>
      </c>
      <c r="Z19663" s="372">
        <v>0.0</v>
      </c>
    </row>
    <row r="19664">
      <c r="Y19664" s="372">
        <v>0.0</v>
      </c>
      <c r="Z19664" s="372">
        <v>0.0</v>
      </c>
    </row>
    <row r="19665">
      <c r="Y19665" s="372">
        <v>0.0</v>
      </c>
      <c r="Z19665" s="372">
        <v>0.0</v>
      </c>
    </row>
    <row r="19666">
      <c r="Y19666" s="372">
        <v>0.0</v>
      </c>
      <c r="Z19666" s="372">
        <v>0.0</v>
      </c>
    </row>
    <row r="19667">
      <c r="Y19667" s="372">
        <v>0.0</v>
      </c>
      <c r="Z19667" s="372">
        <v>0.0</v>
      </c>
    </row>
    <row r="19668">
      <c r="Y19668" s="372">
        <v>0.0</v>
      </c>
      <c r="Z19668" s="372">
        <v>0.0</v>
      </c>
    </row>
    <row r="19669">
      <c r="Y19669" s="372">
        <v>0.0</v>
      </c>
      <c r="Z19669" s="372">
        <v>0.0</v>
      </c>
    </row>
    <row r="19670">
      <c r="Y19670" s="372">
        <v>0.0</v>
      </c>
      <c r="Z19670" s="372">
        <v>0.0</v>
      </c>
    </row>
    <row r="19671">
      <c r="Y19671" s="372">
        <v>0.0</v>
      </c>
      <c r="Z19671" s="372">
        <v>0.0</v>
      </c>
    </row>
    <row r="19672">
      <c r="Y19672" s="372">
        <v>0.0</v>
      </c>
      <c r="Z19672" s="372">
        <v>0.0</v>
      </c>
    </row>
    <row r="19673">
      <c r="Y19673" s="372">
        <v>0.0</v>
      </c>
      <c r="Z19673" s="372">
        <v>0.0</v>
      </c>
    </row>
    <row r="19674">
      <c r="Y19674" s="372">
        <v>0.0</v>
      </c>
      <c r="Z19674" s="372">
        <v>0.0</v>
      </c>
    </row>
    <row r="19675">
      <c r="Y19675" s="372">
        <v>0.0</v>
      </c>
      <c r="Z19675" s="372">
        <v>0.0</v>
      </c>
    </row>
    <row r="19676">
      <c r="Y19676" s="372">
        <v>0.0</v>
      </c>
      <c r="Z19676" s="372">
        <v>0.0</v>
      </c>
    </row>
    <row r="19677">
      <c r="Y19677" s="372">
        <v>0.0</v>
      </c>
      <c r="Z19677" s="372">
        <v>0.0</v>
      </c>
    </row>
    <row r="19678">
      <c r="Y19678" s="372">
        <v>0.0</v>
      </c>
      <c r="Z19678" s="372">
        <v>0.0</v>
      </c>
    </row>
    <row r="19679">
      <c r="Y19679" s="372">
        <v>0.0</v>
      </c>
      <c r="Z19679" s="372">
        <v>0.0</v>
      </c>
    </row>
    <row r="19680">
      <c r="Y19680" s="372">
        <v>0.0</v>
      </c>
      <c r="Z19680" s="372">
        <v>0.0</v>
      </c>
    </row>
    <row r="19681">
      <c r="Y19681" s="372">
        <v>0.0</v>
      </c>
      <c r="Z19681" s="372">
        <v>0.0</v>
      </c>
    </row>
    <row r="19682">
      <c r="Y19682" s="372">
        <v>0.0</v>
      </c>
      <c r="Z19682" s="372">
        <v>0.0</v>
      </c>
    </row>
    <row r="19683">
      <c r="Y19683" s="372">
        <v>0.0</v>
      </c>
      <c r="Z19683" s="372">
        <v>0.0</v>
      </c>
    </row>
    <row r="19684">
      <c r="Y19684" s="372">
        <v>0.0</v>
      </c>
      <c r="Z19684" s="372">
        <v>0.0</v>
      </c>
    </row>
    <row r="19685">
      <c r="Y19685" s="372">
        <v>0.0</v>
      </c>
      <c r="Z19685" s="372">
        <v>0.0</v>
      </c>
    </row>
    <row r="19686">
      <c r="Y19686" s="372">
        <v>0.0</v>
      </c>
      <c r="Z19686" s="372">
        <v>0.0</v>
      </c>
    </row>
    <row r="19687">
      <c r="Y19687" s="372">
        <v>0.0</v>
      </c>
      <c r="Z19687" s="372">
        <v>0.0</v>
      </c>
    </row>
    <row r="19688">
      <c r="Y19688" s="372">
        <v>0.0</v>
      </c>
      <c r="Z19688" s="372">
        <v>0.0</v>
      </c>
    </row>
    <row r="19689">
      <c r="Y19689" s="372">
        <v>0.0</v>
      </c>
      <c r="Z19689" s="372">
        <v>0.0</v>
      </c>
    </row>
    <row r="19690">
      <c r="Y19690" s="372">
        <v>0.0</v>
      </c>
      <c r="Z19690" s="372">
        <v>0.0</v>
      </c>
    </row>
    <row r="19691">
      <c r="Y19691" s="372">
        <v>0.0</v>
      </c>
      <c r="Z19691" s="372">
        <v>0.0</v>
      </c>
    </row>
    <row r="19692">
      <c r="Y19692" s="372">
        <v>0.0</v>
      </c>
      <c r="Z19692" s="372">
        <v>0.0</v>
      </c>
    </row>
    <row r="19693">
      <c r="Y19693" s="372">
        <v>0.0</v>
      </c>
      <c r="Z19693" s="372">
        <v>0.0</v>
      </c>
    </row>
    <row r="19694">
      <c r="Y19694" s="372">
        <v>0.0</v>
      </c>
      <c r="Z19694" s="372">
        <v>0.0</v>
      </c>
    </row>
    <row r="19695">
      <c r="Y19695" s="372">
        <v>0.0</v>
      </c>
      <c r="Z19695" s="372">
        <v>0.0</v>
      </c>
    </row>
    <row r="19696">
      <c r="Y19696" s="372">
        <v>0.0</v>
      </c>
      <c r="Z19696" s="372">
        <v>0.0</v>
      </c>
    </row>
    <row r="19697">
      <c r="Y19697" s="372">
        <v>0.0</v>
      </c>
      <c r="Z19697" s="372">
        <v>0.0</v>
      </c>
    </row>
    <row r="19698">
      <c r="Y19698" s="372">
        <v>0.0</v>
      </c>
      <c r="Z19698" s="372">
        <v>0.0</v>
      </c>
    </row>
    <row r="19699">
      <c r="Y19699" s="372">
        <v>0.0</v>
      </c>
      <c r="Z19699" s="372">
        <v>0.0</v>
      </c>
    </row>
    <row r="19700">
      <c r="Y19700" s="372">
        <v>0.0</v>
      </c>
      <c r="Z19700" s="372">
        <v>0.0</v>
      </c>
    </row>
    <row r="19701">
      <c r="Y19701" s="372">
        <v>0.0</v>
      </c>
      <c r="Z19701" s="372">
        <v>0.0</v>
      </c>
    </row>
    <row r="19702">
      <c r="Y19702" s="372">
        <v>0.0</v>
      </c>
      <c r="Z19702" s="372">
        <v>0.0</v>
      </c>
    </row>
    <row r="19703">
      <c r="Y19703" s="372">
        <v>0.0</v>
      </c>
      <c r="Z19703" s="372">
        <v>0.0</v>
      </c>
    </row>
    <row r="19704">
      <c r="Y19704" s="372">
        <v>0.0</v>
      </c>
      <c r="Z19704" s="372">
        <v>0.0</v>
      </c>
    </row>
    <row r="19705">
      <c r="Y19705" s="372">
        <v>0.0</v>
      </c>
      <c r="Z19705" s="372">
        <v>0.0</v>
      </c>
    </row>
    <row r="19706">
      <c r="Y19706" s="372">
        <v>0.0</v>
      </c>
      <c r="Z19706" s="372">
        <v>0.0</v>
      </c>
    </row>
    <row r="19707">
      <c r="Y19707" s="372">
        <v>0.0</v>
      </c>
      <c r="Z19707" s="372">
        <v>0.0</v>
      </c>
    </row>
    <row r="19708">
      <c r="Y19708" s="372">
        <v>0.0</v>
      </c>
      <c r="Z19708" s="372">
        <v>0.0</v>
      </c>
    </row>
    <row r="19709">
      <c r="Y19709" s="372">
        <v>0.0</v>
      </c>
      <c r="Z19709" s="372">
        <v>0.0</v>
      </c>
    </row>
    <row r="19710">
      <c r="Y19710" s="372">
        <v>0.0</v>
      </c>
      <c r="Z19710" s="372">
        <v>0.0</v>
      </c>
    </row>
    <row r="19711">
      <c r="Y19711" s="372">
        <v>0.0</v>
      </c>
      <c r="Z19711" s="372">
        <v>0.0</v>
      </c>
    </row>
    <row r="19712">
      <c r="Y19712" s="372">
        <v>0.0</v>
      </c>
      <c r="Z19712" s="372">
        <v>0.0</v>
      </c>
    </row>
    <row r="19713">
      <c r="Y19713" s="372">
        <v>0.0</v>
      </c>
      <c r="Z19713" s="372">
        <v>0.0</v>
      </c>
    </row>
    <row r="19714">
      <c r="Y19714" s="372">
        <v>0.0</v>
      </c>
      <c r="Z19714" s="372">
        <v>0.0</v>
      </c>
    </row>
    <row r="19715">
      <c r="Y19715" s="372">
        <v>0.0</v>
      </c>
      <c r="Z19715" s="372">
        <v>0.0</v>
      </c>
    </row>
    <row r="19716">
      <c r="Y19716" s="372">
        <v>0.0</v>
      </c>
      <c r="Z19716" s="372">
        <v>0.0</v>
      </c>
    </row>
    <row r="19717">
      <c r="Y19717" s="372">
        <v>0.0</v>
      </c>
      <c r="Z19717" s="372">
        <v>0.0</v>
      </c>
    </row>
    <row r="19718">
      <c r="Y19718" s="372">
        <v>0.0</v>
      </c>
      <c r="Z19718" s="372">
        <v>0.0</v>
      </c>
    </row>
    <row r="19719">
      <c r="Y19719" s="372">
        <v>0.0</v>
      </c>
      <c r="Z19719" s="372">
        <v>0.0</v>
      </c>
    </row>
    <row r="19720">
      <c r="Y19720" s="372">
        <v>0.0</v>
      </c>
      <c r="Z19720" s="372">
        <v>0.0</v>
      </c>
    </row>
    <row r="19721">
      <c r="Y19721" s="372">
        <v>0.0</v>
      </c>
      <c r="Z19721" s="372">
        <v>0.0</v>
      </c>
    </row>
    <row r="19722">
      <c r="Y19722" s="372">
        <v>0.0</v>
      </c>
      <c r="Z19722" s="372">
        <v>0.0</v>
      </c>
    </row>
    <row r="19723">
      <c r="Y19723" s="372">
        <v>0.0</v>
      </c>
      <c r="Z19723" s="372">
        <v>0.0</v>
      </c>
    </row>
    <row r="19724">
      <c r="Y19724" s="372">
        <v>0.0</v>
      </c>
      <c r="Z19724" s="372">
        <v>0.0</v>
      </c>
    </row>
    <row r="19725">
      <c r="Y19725" s="372">
        <v>0.0</v>
      </c>
      <c r="Z19725" s="372">
        <v>0.0</v>
      </c>
    </row>
    <row r="19726">
      <c r="Y19726" s="372">
        <v>0.0</v>
      </c>
      <c r="Z19726" s="372">
        <v>0.0</v>
      </c>
    </row>
    <row r="19727">
      <c r="Y19727" s="372">
        <v>0.0</v>
      </c>
      <c r="Z19727" s="372">
        <v>0.0</v>
      </c>
    </row>
    <row r="19728">
      <c r="Y19728" s="372">
        <v>0.0</v>
      </c>
      <c r="Z19728" s="372">
        <v>0.0</v>
      </c>
    </row>
    <row r="19729">
      <c r="Y19729" s="372">
        <v>0.0</v>
      </c>
      <c r="Z19729" s="372">
        <v>0.0</v>
      </c>
    </row>
    <row r="19730">
      <c r="Y19730" s="372">
        <v>0.0</v>
      </c>
      <c r="Z19730" s="372">
        <v>0.0</v>
      </c>
    </row>
    <row r="19731">
      <c r="Y19731" s="372">
        <v>0.0</v>
      </c>
      <c r="Z19731" s="372">
        <v>0.0</v>
      </c>
    </row>
    <row r="19732">
      <c r="Y19732" s="372">
        <v>0.0</v>
      </c>
      <c r="Z19732" s="372">
        <v>0.0</v>
      </c>
    </row>
    <row r="19733">
      <c r="Y19733" s="372">
        <v>0.0</v>
      </c>
      <c r="Z19733" s="372">
        <v>0.0</v>
      </c>
    </row>
    <row r="19734">
      <c r="Y19734" s="372">
        <v>0.0</v>
      </c>
      <c r="Z19734" s="372">
        <v>0.0</v>
      </c>
    </row>
    <row r="19735">
      <c r="Y19735" s="372">
        <v>0.0</v>
      </c>
      <c r="Z19735" s="372">
        <v>0.0</v>
      </c>
    </row>
    <row r="19736">
      <c r="Y19736" s="372">
        <v>0.0</v>
      </c>
      <c r="Z19736" s="372">
        <v>0.0</v>
      </c>
    </row>
    <row r="19737">
      <c r="Y19737" s="372">
        <v>0.0</v>
      </c>
      <c r="Z19737" s="372">
        <v>0.0</v>
      </c>
    </row>
    <row r="19738">
      <c r="Y19738" s="372">
        <v>0.0</v>
      </c>
      <c r="Z19738" s="372">
        <v>0.0</v>
      </c>
    </row>
    <row r="19739">
      <c r="Y19739" s="372">
        <v>0.0</v>
      </c>
      <c r="Z19739" s="372">
        <v>0.0</v>
      </c>
    </row>
    <row r="19740">
      <c r="Y19740" s="372">
        <v>0.0</v>
      </c>
      <c r="Z19740" s="372">
        <v>0.0</v>
      </c>
    </row>
    <row r="19741">
      <c r="Y19741" s="372">
        <v>0.0</v>
      </c>
      <c r="Z19741" s="372">
        <v>0.0</v>
      </c>
    </row>
    <row r="19742">
      <c r="Y19742" s="372">
        <v>0.0</v>
      </c>
      <c r="Z19742" s="372">
        <v>0.0</v>
      </c>
    </row>
    <row r="19743">
      <c r="Y19743" s="372">
        <v>0.0</v>
      </c>
      <c r="Z19743" s="372">
        <v>0.0</v>
      </c>
    </row>
    <row r="19744">
      <c r="Y19744" s="372">
        <v>0.0</v>
      </c>
      <c r="Z19744" s="372">
        <v>0.0</v>
      </c>
    </row>
    <row r="19745">
      <c r="Y19745" s="372">
        <v>0.0</v>
      </c>
      <c r="Z19745" s="372">
        <v>0.0</v>
      </c>
    </row>
    <row r="19746">
      <c r="Y19746" s="372">
        <v>0.0</v>
      </c>
      <c r="Z19746" s="372">
        <v>0.0</v>
      </c>
    </row>
    <row r="19747">
      <c r="Y19747" s="372">
        <v>0.0</v>
      </c>
      <c r="Z19747" s="372">
        <v>0.0</v>
      </c>
    </row>
    <row r="19748">
      <c r="Y19748" s="372">
        <v>0.0</v>
      </c>
      <c r="Z19748" s="372">
        <v>0.0</v>
      </c>
    </row>
    <row r="19749">
      <c r="Y19749" s="372">
        <v>0.0</v>
      </c>
      <c r="Z19749" s="372">
        <v>0.0</v>
      </c>
    </row>
    <row r="19750">
      <c r="Y19750" s="372">
        <v>0.0</v>
      </c>
      <c r="Z19750" s="372">
        <v>0.0</v>
      </c>
    </row>
    <row r="19751">
      <c r="Y19751" s="372">
        <v>0.0</v>
      </c>
      <c r="Z19751" s="372">
        <v>0.0</v>
      </c>
    </row>
    <row r="19752">
      <c r="Y19752" s="372">
        <v>0.0</v>
      </c>
      <c r="Z19752" s="372">
        <v>0.0</v>
      </c>
    </row>
    <row r="19753">
      <c r="Y19753" s="372">
        <v>0.0</v>
      </c>
      <c r="Z19753" s="372">
        <v>0.0</v>
      </c>
    </row>
    <row r="19754">
      <c r="Y19754" s="372">
        <v>0.0</v>
      </c>
      <c r="Z19754" s="372">
        <v>0.0</v>
      </c>
    </row>
    <row r="19755">
      <c r="Y19755" s="372">
        <v>0.0</v>
      </c>
      <c r="Z19755" s="372">
        <v>0.0</v>
      </c>
    </row>
    <row r="19756">
      <c r="Y19756" s="372">
        <v>0.0</v>
      </c>
      <c r="Z19756" s="372">
        <v>0.0</v>
      </c>
    </row>
    <row r="19757">
      <c r="Y19757" s="372">
        <v>0.0</v>
      </c>
      <c r="Z19757" s="372">
        <v>0.0</v>
      </c>
    </row>
    <row r="19758">
      <c r="Y19758" s="372">
        <v>0.0</v>
      </c>
      <c r="Z19758" s="372">
        <v>0.0</v>
      </c>
    </row>
    <row r="19759">
      <c r="Y19759" s="372">
        <v>0.0</v>
      </c>
      <c r="Z19759" s="372">
        <v>0.0</v>
      </c>
    </row>
    <row r="19760">
      <c r="Y19760" s="372">
        <v>0.0</v>
      </c>
      <c r="Z19760" s="372">
        <v>0.0</v>
      </c>
    </row>
    <row r="19761">
      <c r="Y19761" s="372">
        <v>0.0</v>
      </c>
      <c r="Z19761" s="372">
        <v>0.0</v>
      </c>
    </row>
    <row r="19762">
      <c r="Y19762" s="372">
        <v>0.0</v>
      </c>
      <c r="Z19762" s="372">
        <v>0.0</v>
      </c>
    </row>
    <row r="19763">
      <c r="Y19763" s="372">
        <v>0.0</v>
      </c>
      <c r="Z19763" s="372">
        <v>0.0</v>
      </c>
    </row>
    <row r="19764">
      <c r="Y19764" s="372">
        <v>0.0</v>
      </c>
      <c r="Z19764" s="372">
        <v>0.0</v>
      </c>
    </row>
    <row r="19765">
      <c r="Y19765" s="372">
        <v>0.0</v>
      </c>
      <c r="Z19765" s="372">
        <v>0.0</v>
      </c>
    </row>
    <row r="19766">
      <c r="Y19766" s="372">
        <v>0.0</v>
      </c>
      <c r="Z19766" s="372">
        <v>0.0</v>
      </c>
    </row>
    <row r="19767">
      <c r="Y19767" s="372">
        <v>0.0</v>
      </c>
      <c r="Z19767" s="372">
        <v>0.0</v>
      </c>
    </row>
    <row r="19768">
      <c r="Y19768" s="372">
        <v>0.0</v>
      </c>
      <c r="Z19768" s="372">
        <v>0.0</v>
      </c>
    </row>
    <row r="19769">
      <c r="Y19769" s="372">
        <v>0.0</v>
      </c>
      <c r="Z19769" s="372">
        <v>0.0</v>
      </c>
    </row>
    <row r="19770">
      <c r="Y19770" s="372">
        <v>0.0</v>
      </c>
      <c r="Z19770" s="372">
        <v>0.0</v>
      </c>
    </row>
    <row r="19771">
      <c r="Y19771" s="372">
        <v>0.0</v>
      </c>
      <c r="Z19771" s="372">
        <v>0.0</v>
      </c>
    </row>
    <row r="19772">
      <c r="Y19772" s="372">
        <v>0.0</v>
      </c>
      <c r="Z19772" s="372">
        <v>0.0</v>
      </c>
    </row>
    <row r="19773">
      <c r="Y19773" s="372">
        <v>0.0</v>
      </c>
      <c r="Z19773" s="372">
        <v>0.0</v>
      </c>
    </row>
    <row r="19774">
      <c r="Y19774" s="372">
        <v>0.0</v>
      </c>
      <c r="Z19774" s="372">
        <v>0.0</v>
      </c>
    </row>
    <row r="19775">
      <c r="Y19775" s="372">
        <v>0.0</v>
      </c>
      <c r="Z19775" s="372">
        <v>0.0</v>
      </c>
    </row>
    <row r="19776">
      <c r="Y19776" s="372">
        <v>0.0</v>
      </c>
      <c r="Z19776" s="372">
        <v>0.0</v>
      </c>
    </row>
    <row r="19777">
      <c r="Y19777" s="372">
        <v>0.0</v>
      </c>
      <c r="Z19777" s="372">
        <v>0.0</v>
      </c>
    </row>
    <row r="19778">
      <c r="Y19778" s="372">
        <v>0.0</v>
      </c>
      <c r="Z19778" s="372">
        <v>0.0</v>
      </c>
    </row>
    <row r="19779">
      <c r="Y19779" s="372">
        <v>0.0</v>
      </c>
      <c r="Z19779" s="372">
        <v>0.0</v>
      </c>
    </row>
    <row r="19780">
      <c r="Y19780" s="372">
        <v>0.0</v>
      </c>
      <c r="Z19780" s="372">
        <v>0.0</v>
      </c>
    </row>
    <row r="19781">
      <c r="Y19781" s="372">
        <v>0.0</v>
      </c>
      <c r="Z19781" s="372">
        <v>0.0</v>
      </c>
    </row>
    <row r="19782">
      <c r="Y19782" s="372">
        <v>0.0</v>
      </c>
      <c r="Z19782" s="372">
        <v>0.0</v>
      </c>
    </row>
    <row r="19783">
      <c r="Y19783" s="372">
        <v>0.0</v>
      </c>
      <c r="Z19783" s="372">
        <v>0.0</v>
      </c>
    </row>
    <row r="19784">
      <c r="Y19784" s="372">
        <v>0.0</v>
      </c>
      <c r="Z19784" s="372">
        <v>0.0</v>
      </c>
    </row>
    <row r="19785">
      <c r="Y19785" s="372">
        <v>0.0</v>
      </c>
      <c r="Z19785" s="372">
        <v>0.0</v>
      </c>
    </row>
    <row r="19786">
      <c r="Y19786" s="372">
        <v>0.0</v>
      </c>
      <c r="Z19786" s="372">
        <v>0.0</v>
      </c>
    </row>
    <row r="19787">
      <c r="Y19787" s="372">
        <v>0.0</v>
      </c>
      <c r="Z19787" s="372">
        <v>0.0</v>
      </c>
    </row>
    <row r="19788">
      <c r="Y19788" s="372">
        <v>0.0</v>
      </c>
      <c r="Z19788" s="372">
        <v>0.0</v>
      </c>
    </row>
    <row r="19789">
      <c r="Y19789" s="372">
        <v>0.0</v>
      </c>
      <c r="Z19789" s="372">
        <v>0.0</v>
      </c>
    </row>
    <row r="19790">
      <c r="Y19790" s="372">
        <v>0.0</v>
      </c>
      <c r="Z19790" s="372">
        <v>0.0</v>
      </c>
    </row>
    <row r="19791">
      <c r="Y19791" s="372">
        <v>0.0</v>
      </c>
      <c r="Z19791" s="372">
        <v>0.0</v>
      </c>
    </row>
    <row r="19792">
      <c r="Y19792" s="372">
        <v>0.0</v>
      </c>
      <c r="Z19792" s="372">
        <v>0.0</v>
      </c>
    </row>
    <row r="19793">
      <c r="Y19793" s="372">
        <v>0.0</v>
      </c>
      <c r="Z19793" s="372">
        <v>0.0</v>
      </c>
    </row>
    <row r="19794">
      <c r="Y19794" s="372">
        <v>0.0</v>
      </c>
      <c r="Z19794" s="372">
        <v>0.0</v>
      </c>
    </row>
    <row r="19795">
      <c r="Y19795" s="372">
        <v>0.0</v>
      </c>
      <c r="Z19795" s="372">
        <v>0.0</v>
      </c>
    </row>
    <row r="19796">
      <c r="Y19796" s="372">
        <v>0.0</v>
      </c>
      <c r="Z19796" s="372">
        <v>0.0</v>
      </c>
    </row>
    <row r="19797">
      <c r="Y19797" s="372">
        <v>0.0</v>
      </c>
      <c r="Z19797" s="372">
        <v>0.0</v>
      </c>
    </row>
    <row r="19798">
      <c r="Y19798" s="372">
        <v>0.0</v>
      </c>
      <c r="Z19798" s="372">
        <v>0.0</v>
      </c>
    </row>
    <row r="19799">
      <c r="Y19799" s="372">
        <v>0.0</v>
      </c>
      <c r="Z19799" s="372">
        <v>0.0</v>
      </c>
    </row>
    <row r="19800">
      <c r="Y19800" s="372">
        <v>0.0</v>
      </c>
      <c r="Z19800" s="372">
        <v>0.0</v>
      </c>
    </row>
    <row r="19801">
      <c r="Y19801" s="372">
        <v>0.0</v>
      </c>
      <c r="Z19801" s="372">
        <v>0.0</v>
      </c>
    </row>
    <row r="19802">
      <c r="Y19802" s="372">
        <v>0.0</v>
      </c>
      <c r="Z19802" s="372">
        <v>0.0</v>
      </c>
    </row>
    <row r="19803">
      <c r="Y19803" s="372">
        <v>0.0</v>
      </c>
      <c r="Z19803" s="372">
        <v>0.0</v>
      </c>
    </row>
    <row r="19804">
      <c r="Y19804" s="372">
        <v>0.0</v>
      </c>
      <c r="Z19804" s="372">
        <v>0.0</v>
      </c>
    </row>
    <row r="19805">
      <c r="Y19805" s="372">
        <v>0.0</v>
      </c>
      <c r="Z19805" s="372">
        <v>0.0</v>
      </c>
    </row>
    <row r="19806">
      <c r="Y19806" s="372">
        <v>0.0</v>
      </c>
      <c r="Z19806" s="372">
        <v>0.0</v>
      </c>
    </row>
    <row r="19807">
      <c r="Y19807" s="372">
        <v>0.0</v>
      </c>
      <c r="Z19807" s="372">
        <v>0.0</v>
      </c>
    </row>
    <row r="19808">
      <c r="Y19808" s="372">
        <v>0.0</v>
      </c>
      <c r="Z19808" s="372">
        <v>0.0</v>
      </c>
    </row>
    <row r="19809">
      <c r="Y19809" s="372">
        <v>0.0</v>
      </c>
      <c r="Z19809" s="372">
        <v>0.0</v>
      </c>
    </row>
    <row r="19810">
      <c r="Y19810" s="372">
        <v>0.0</v>
      </c>
      <c r="Z19810" s="372">
        <v>0.0</v>
      </c>
    </row>
    <row r="19811">
      <c r="Y19811" s="372">
        <v>0.0</v>
      </c>
      <c r="Z19811" s="372">
        <v>0.0</v>
      </c>
    </row>
    <row r="19812">
      <c r="Y19812" s="372">
        <v>0.0</v>
      </c>
      <c r="Z19812" s="372">
        <v>0.0</v>
      </c>
    </row>
    <row r="19813">
      <c r="Y19813" s="372">
        <v>0.0</v>
      </c>
      <c r="Z19813" s="372">
        <v>0.0</v>
      </c>
    </row>
    <row r="19814">
      <c r="Y19814" s="372">
        <v>0.0</v>
      </c>
      <c r="Z19814" s="372">
        <v>0.0</v>
      </c>
    </row>
    <row r="19815">
      <c r="Y19815" s="372">
        <v>0.0</v>
      </c>
      <c r="Z19815" s="372">
        <v>0.0</v>
      </c>
    </row>
    <row r="19816">
      <c r="Y19816" s="372">
        <v>0.0</v>
      </c>
      <c r="Z19816" s="372">
        <v>0.0</v>
      </c>
    </row>
    <row r="19817">
      <c r="Y19817" s="372">
        <v>0.0</v>
      </c>
      <c r="Z19817" s="372">
        <v>0.0</v>
      </c>
    </row>
    <row r="19818">
      <c r="Y19818" s="372">
        <v>0.0</v>
      </c>
      <c r="Z19818" s="372">
        <v>0.0</v>
      </c>
    </row>
    <row r="19819">
      <c r="Y19819" s="372">
        <v>0.0</v>
      </c>
      <c r="Z19819" s="372">
        <v>0.0</v>
      </c>
    </row>
    <row r="19820">
      <c r="Y19820" s="372">
        <v>0.0</v>
      </c>
      <c r="Z19820" s="372">
        <v>0.0</v>
      </c>
    </row>
    <row r="19821">
      <c r="Y19821" s="372">
        <v>0.0</v>
      </c>
      <c r="Z19821" s="372">
        <v>0.0</v>
      </c>
    </row>
    <row r="19822">
      <c r="Y19822" s="372">
        <v>0.0</v>
      </c>
      <c r="Z19822" s="372">
        <v>0.0</v>
      </c>
    </row>
    <row r="19823">
      <c r="Y19823" s="372">
        <v>0.0</v>
      </c>
      <c r="Z19823" s="372">
        <v>0.0</v>
      </c>
    </row>
    <row r="19824">
      <c r="Y19824" s="372">
        <v>0.0</v>
      </c>
      <c r="Z19824" s="372">
        <v>0.0</v>
      </c>
    </row>
    <row r="19825">
      <c r="Y19825" s="372">
        <v>0.0</v>
      </c>
      <c r="Z19825" s="372">
        <v>0.0</v>
      </c>
    </row>
    <row r="19826">
      <c r="Y19826" s="372">
        <v>0.0</v>
      </c>
      <c r="Z19826" s="372">
        <v>0.0</v>
      </c>
    </row>
    <row r="19827">
      <c r="Y19827" s="372">
        <v>0.0</v>
      </c>
      <c r="Z19827" s="372">
        <v>0.0</v>
      </c>
    </row>
    <row r="19828">
      <c r="Y19828" s="372">
        <v>0.0</v>
      </c>
      <c r="Z19828" s="372">
        <v>0.0</v>
      </c>
    </row>
    <row r="19829">
      <c r="Y19829" s="372">
        <v>0.0</v>
      </c>
      <c r="Z19829" s="372">
        <v>0.0</v>
      </c>
    </row>
    <row r="19830">
      <c r="Y19830" s="372">
        <v>0.0</v>
      </c>
      <c r="Z19830" s="372">
        <v>0.0</v>
      </c>
    </row>
    <row r="19831">
      <c r="Y19831" s="372">
        <v>0.0</v>
      </c>
      <c r="Z19831" s="372">
        <v>0.0</v>
      </c>
    </row>
    <row r="19832">
      <c r="Y19832" s="372">
        <v>0.0</v>
      </c>
      <c r="Z19832" s="372">
        <v>0.0</v>
      </c>
    </row>
    <row r="19833">
      <c r="Y19833" s="372">
        <v>0.0</v>
      </c>
      <c r="Z19833" s="372">
        <v>0.0</v>
      </c>
    </row>
    <row r="19834">
      <c r="Y19834" s="372">
        <v>0.0</v>
      </c>
      <c r="Z19834" s="372">
        <v>0.0</v>
      </c>
    </row>
    <row r="19835">
      <c r="Y19835" s="372">
        <v>0.0</v>
      </c>
      <c r="Z19835" s="372">
        <v>0.0</v>
      </c>
    </row>
    <row r="19836">
      <c r="Y19836" s="372">
        <v>0.0</v>
      </c>
      <c r="Z19836" s="372">
        <v>0.0</v>
      </c>
    </row>
    <row r="19837">
      <c r="Y19837" s="372">
        <v>0.0</v>
      </c>
      <c r="Z19837" s="372">
        <v>0.0</v>
      </c>
    </row>
    <row r="19838">
      <c r="Y19838" s="372">
        <v>0.0</v>
      </c>
      <c r="Z19838" s="372">
        <v>0.0</v>
      </c>
    </row>
    <row r="19839">
      <c r="Y19839" s="372">
        <v>0.0</v>
      </c>
      <c r="Z19839" s="372">
        <v>0.0</v>
      </c>
    </row>
    <row r="19840">
      <c r="Y19840" s="372">
        <v>0.0</v>
      </c>
      <c r="Z19840" s="372">
        <v>0.0</v>
      </c>
    </row>
    <row r="19841">
      <c r="Y19841" s="372">
        <v>0.0</v>
      </c>
      <c r="Z19841" s="372">
        <v>0.0</v>
      </c>
    </row>
    <row r="19842">
      <c r="Y19842" s="372">
        <v>0.0</v>
      </c>
      <c r="Z19842" s="372">
        <v>0.0</v>
      </c>
    </row>
    <row r="19843">
      <c r="Y19843" s="372">
        <v>0.0</v>
      </c>
      <c r="Z19843" s="372">
        <v>0.0</v>
      </c>
    </row>
    <row r="19844">
      <c r="Y19844" s="372">
        <v>0.0</v>
      </c>
      <c r="Z19844" s="372">
        <v>0.0</v>
      </c>
    </row>
    <row r="19845">
      <c r="Y19845" s="372">
        <v>0.0</v>
      </c>
      <c r="Z19845" s="372">
        <v>0.0</v>
      </c>
    </row>
    <row r="19846">
      <c r="Y19846" s="372">
        <v>0.0</v>
      </c>
      <c r="Z19846" s="372">
        <v>0.0</v>
      </c>
    </row>
    <row r="19847">
      <c r="Y19847" s="372">
        <v>0.0</v>
      </c>
      <c r="Z19847" s="372">
        <v>0.0</v>
      </c>
    </row>
    <row r="19848">
      <c r="Y19848" s="372">
        <v>0.0</v>
      </c>
      <c r="Z19848" s="372">
        <v>0.0</v>
      </c>
    </row>
    <row r="19849">
      <c r="Y19849" s="372">
        <v>0.0</v>
      </c>
      <c r="Z19849" s="372">
        <v>0.0</v>
      </c>
    </row>
    <row r="19850">
      <c r="Y19850" s="372">
        <v>0.0</v>
      </c>
      <c r="Z19850" s="372">
        <v>0.0</v>
      </c>
    </row>
    <row r="19851">
      <c r="Y19851" s="372">
        <v>0.0</v>
      </c>
      <c r="Z19851" s="372">
        <v>0.0</v>
      </c>
    </row>
    <row r="19852">
      <c r="Y19852" s="372">
        <v>0.0</v>
      </c>
      <c r="Z19852" s="372">
        <v>0.0</v>
      </c>
    </row>
    <row r="19853">
      <c r="Y19853" s="372">
        <v>0.0</v>
      </c>
      <c r="Z19853" s="372">
        <v>0.0</v>
      </c>
    </row>
    <row r="19854">
      <c r="Y19854" s="372">
        <v>0.0</v>
      </c>
      <c r="Z19854" s="372">
        <v>0.0</v>
      </c>
    </row>
    <row r="19855">
      <c r="Y19855" s="372">
        <v>0.0</v>
      </c>
      <c r="Z19855" s="372">
        <v>0.0</v>
      </c>
    </row>
    <row r="19856">
      <c r="Y19856" s="372">
        <v>0.0</v>
      </c>
      <c r="Z19856" s="372">
        <v>0.0</v>
      </c>
    </row>
    <row r="19857">
      <c r="Y19857" s="372">
        <v>0.0</v>
      </c>
      <c r="Z19857" s="372">
        <v>0.0</v>
      </c>
    </row>
    <row r="19858">
      <c r="Y19858" s="372">
        <v>0.0</v>
      </c>
      <c r="Z19858" s="372">
        <v>0.0</v>
      </c>
    </row>
    <row r="19859">
      <c r="Y19859" s="372">
        <v>0.0</v>
      </c>
      <c r="Z19859" s="372">
        <v>0.0</v>
      </c>
    </row>
    <row r="19860">
      <c r="Y19860" s="372">
        <v>0.0</v>
      </c>
      <c r="Z19860" s="372">
        <v>0.0</v>
      </c>
    </row>
    <row r="19861">
      <c r="Y19861" s="372">
        <v>0.0</v>
      </c>
      <c r="Z19861" s="372">
        <v>0.0</v>
      </c>
    </row>
    <row r="19862">
      <c r="Y19862" s="372">
        <v>0.0</v>
      </c>
      <c r="Z19862" s="372">
        <v>0.0</v>
      </c>
    </row>
    <row r="19863">
      <c r="Y19863" s="372">
        <v>0.0</v>
      </c>
      <c r="Z19863" s="372">
        <v>0.0</v>
      </c>
    </row>
    <row r="19864">
      <c r="Y19864" s="372">
        <v>0.0</v>
      </c>
      <c r="Z19864" s="372">
        <v>0.0</v>
      </c>
    </row>
    <row r="19865">
      <c r="Y19865" s="372">
        <v>0.0</v>
      </c>
      <c r="Z19865" s="372">
        <v>0.0</v>
      </c>
    </row>
    <row r="19866">
      <c r="Y19866" s="372">
        <v>0.0</v>
      </c>
      <c r="Z19866" s="372">
        <v>0.0</v>
      </c>
    </row>
    <row r="19867">
      <c r="Y19867" s="372">
        <v>0.0</v>
      </c>
      <c r="Z19867" s="372">
        <v>0.0</v>
      </c>
    </row>
    <row r="19868">
      <c r="Y19868" s="372">
        <v>0.0</v>
      </c>
      <c r="Z19868" s="372">
        <v>0.0</v>
      </c>
    </row>
    <row r="19869">
      <c r="Y19869" s="372">
        <v>0.0</v>
      </c>
      <c r="Z19869" s="372">
        <v>0.0</v>
      </c>
    </row>
    <row r="19870">
      <c r="Y19870" s="372">
        <v>0.0</v>
      </c>
      <c r="Z19870" s="372">
        <v>0.0</v>
      </c>
    </row>
    <row r="19871">
      <c r="Y19871" s="372">
        <v>0.0</v>
      </c>
      <c r="Z19871" s="372">
        <v>0.0</v>
      </c>
    </row>
    <row r="19872">
      <c r="Y19872" s="372">
        <v>0.0</v>
      </c>
      <c r="Z19872" s="372">
        <v>0.0</v>
      </c>
    </row>
    <row r="19873">
      <c r="Y19873" s="372">
        <v>0.0</v>
      </c>
      <c r="Z19873" s="372">
        <v>0.0</v>
      </c>
    </row>
    <row r="19874">
      <c r="Y19874" s="372">
        <v>0.0</v>
      </c>
      <c r="Z19874" s="372">
        <v>0.0</v>
      </c>
    </row>
    <row r="19875">
      <c r="Y19875" s="372">
        <v>0.0</v>
      </c>
      <c r="Z19875" s="372">
        <v>0.0</v>
      </c>
    </row>
    <row r="19876">
      <c r="Y19876" s="372">
        <v>0.0</v>
      </c>
      <c r="Z19876" s="372">
        <v>0.0</v>
      </c>
    </row>
    <row r="19877">
      <c r="Y19877" s="372">
        <v>0.0</v>
      </c>
      <c r="Z19877" s="372">
        <v>0.0</v>
      </c>
    </row>
    <row r="19878">
      <c r="Y19878" s="372">
        <v>0.0</v>
      </c>
      <c r="Z19878" s="372">
        <v>0.0</v>
      </c>
    </row>
    <row r="19879">
      <c r="Y19879" s="372">
        <v>0.0</v>
      </c>
      <c r="Z19879" s="372">
        <v>0.0</v>
      </c>
    </row>
    <row r="19880">
      <c r="Y19880" s="372">
        <v>0.0</v>
      </c>
      <c r="Z19880" s="372">
        <v>0.0</v>
      </c>
    </row>
    <row r="19881">
      <c r="Y19881" s="372">
        <v>0.0</v>
      </c>
      <c r="Z19881" s="372">
        <v>0.0</v>
      </c>
    </row>
    <row r="19882">
      <c r="Y19882" s="372">
        <v>0.0</v>
      </c>
      <c r="Z19882" s="372">
        <v>0.0</v>
      </c>
    </row>
    <row r="19883">
      <c r="Y19883" s="372">
        <v>0.0</v>
      </c>
      <c r="Z19883" s="372">
        <v>0.0</v>
      </c>
    </row>
    <row r="19884">
      <c r="Y19884" s="372">
        <v>0.0</v>
      </c>
      <c r="Z19884" s="372">
        <v>0.0</v>
      </c>
    </row>
    <row r="19885">
      <c r="Y19885" s="372">
        <v>0.0</v>
      </c>
      <c r="Z19885" s="372">
        <v>0.0</v>
      </c>
    </row>
    <row r="19886">
      <c r="Y19886" s="372">
        <v>0.0</v>
      </c>
      <c r="Z19886" s="372">
        <v>0.0</v>
      </c>
    </row>
    <row r="19887">
      <c r="Y19887" s="372">
        <v>0.0</v>
      </c>
      <c r="Z19887" s="372">
        <v>0.0</v>
      </c>
    </row>
    <row r="19888">
      <c r="Y19888" s="372">
        <v>0.0</v>
      </c>
      <c r="Z19888" s="372">
        <v>0.0</v>
      </c>
    </row>
    <row r="19889">
      <c r="Y19889" s="372">
        <v>0.0</v>
      </c>
      <c r="Z19889" s="372">
        <v>0.0</v>
      </c>
    </row>
    <row r="19890">
      <c r="Y19890" s="372">
        <v>0.0</v>
      </c>
      <c r="Z19890" s="372">
        <v>0.0</v>
      </c>
    </row>
    <row r="19891">
      <c r="Y19891" s="372">
        <v>0.0</v>
      </c>
      <c r="Z19891" s="372">
        <v>0.0</v>
      </c>
    </row>
    <row r="19892">
      <c r="Y19892" s="372">
        <v>0.0</v>
      </c>
      <c r="Z19892" s="372">
        <v>0.0</v>
      </c>
    </row>
    <row r="19893">
      <c r="Y19893" s="372">
        <v>0.0</v>
      </c>
      <c r="Z19893" s="372">
        <v>0.0</v>
      </c>
    </row>
    <row r="19894">
      <c r="Y19894" s="372">
        <v>0.0</v>
      </c>
      <c r="Z19894" s="372">
        <v>0.0</v>
      </c>
    </row>
    <row r="19895">
      <c r="Y19895" s="372">
        <v>0.0</v>
      </c>
      <c r="Z19895" s="372">
        <v>0.0</v>
      </c>
    </row>
    <row r="19896">
      <c r="Y19896" s="372">
        <v>0.0</v>
      </c>
      <c r="Z19896" s="372">
        <v>0.0</v>
      </c>
    </row>
    <row r="19897">
      <c r="Y19897" s="372">
        <v>0.0</v>
      </c>
      <c r="Z19897" s="372">
        <v>0.0</v>
      </c>
    </row>
    <row r="19898">
      <c r="Y19898" s="372">
        <v>0.0</v>
      </c>
      <c r="Z19898" s="372">
        <v>0.0</v>
      </c>
    </row>
    <row r="19899">
      <c r="Y19899" s="372">
        <v>0.0</v>
      </c>
      <c r="Z19899" s="372">
        <v>0.0</v>
      </c>
    </row>
    <row r="19900">
      <c r="Y19900" s="372">
        <v>0.0</v>
      </c>
      <c r="Z19900" s="372">
        <v>0.0</v>
      </c>
    </row>
    <row r="19901">
      <c r="Y19901" s="372">
        <v>0.0</v>
      </c>
      <c r="Z19901" s="372">
        <v>0.0</v>
      </c>
    </row>
    <row r="19902">
      <c r="Y19902" s="372">
        <v>0.0</v>
      </c>
      <c r="Z19902" s="372">
        <v>0.0</v>
      </c>
    </row>
    <row r="19903">
      <c r="Y19903" s="372">
        <v>0.0</v>
      </c>
      <c r="Z19903" s="372">
        <v>0.0</v>
      </c>
    </row>
    <row r="19904">
      <c r="Y19904" s="372">
        <v>0.0</v>
      </c>
      <c r="Z19904" s="372">
        <v>0.0</v>
      </c>
    </row>
    <row r="19905">
      <c r="Y19905" s="372">
        <v>0.0</v>
      </c>
      <c r="Z19905" s="372">
        <v>0.0</v>
      </c>
    </row>
    <row r="19906">
      <c r="Y19906" s="372">
        <v>0.0</v>
      </c>
      <c r="Z19906" s="372">
        <v>0.0</v>
      </c>
    </row>
    <row r="19907">
      <c r="Y19907" s="372">
        <v>0.0</v>
      </c>
      <c r="Z19907" s="372">
        <v>0.0</v>
      </c>
    </row>
    <row r="19908">
      <c r="Y19908" s="372">
        <v>0.0</v>
      </c>
      <c r="Z19908" s="372">
        <v>0.0</v>
      </c>
    </row>
    <row r="19909">
      <c r="Y19909" s="372">
        <v>0.0</v>
      </c>
      <c r="Z19909" s="372">
        <v>0.0</v>
      </c>
    </row>
    <row r="19910">
      <c r="Y19910" s="372">
        <v>0.0</v>
      </c>
      <c r="Z19910" s="372">
        <v>0.0</v>
      </c>
    </row>
    <row r="19911">
      <c r="Y19911" s="372">
        <v>0.0</v>
      </c>
      <c r="Z19911" s="372">
        <v>0.0</v>
      </c>
    </row>
    <row r="19912">
      <c r="Y19912" s="372">
        <v>0.0</v>
      </c>
      <c r="Z19912" s="372">
        <v>0.0</v>
      </c>
    </row>
    <row r="19913">
      <c r="Y19913" s="372">
        <v>0.0</v>
      </c>
      <c r="Z19913" s="372">
        <v>0.0</v>
      </c>
    </row>
    <row r="19914">
      <c r="Y19914" s="372">
        <v>0.0</v>
      </c>
      <c r="Z19914" s="372">
        <v>0.0</v>
      </c>
    </row>
    <row r="19915">
      <c r="Y19915" s="372">
        <v>0.0</v>
      </c>
      <c r="Z19915" s="372">
        <v>0.0</v>
      </c>
    </row>
    <row r="19916">
      <c r="Y19916" s="372">
        <v>0.0</v>
      </c>
      <c r="Z19916" s="372">
        <v>0.0</v>
      </c>
    </row>
    <row r="19917">
      <c r="Y19917" s="372">
        <v>0.0</v>
      </c>
      <c r="Z19917" s="372">
        <v>0.0</v>
      </c>
    </row>
    <row r="19918">
      <c r="Y19918" s="372">
        <v>0.0</v>
      </c>
      <c r="Z19918" s="372">
        <v>0.0</v>
      </c>
    </row>
    <row r="19919">
      <c r="Y19919" s="372">
        <v>0.0</v>
      </c>
      <c r="Z19919" s="372">
        <v>0.0</v>
      </c>
    </row>
    <row r="19920">
      <c r="Y19920" s="372">
        <v>0.0</v>
      </c>
      <c r="Z19920" s="372">
        <v>0.0</v>
      </c>
    </row>
    <row r="19921">
      <c r="Y19921" s="372">
        <v>0.0</v>
      </c>
      <c r="Z19921" s="372">
        <v>0.0</v>
      </c>
    </row>
    <row r="19922">
      <c r="Y19922" s="372">
        <v>0.0</v>
      </c>
      <c r="Z19922" s="372">
        <v>0.0</v>
      </c>
    </row>
    <row r="19923">
      <c r="Y19923" s="372">
        <v>0.0</v>
      </c>
      <c r="Z19923" s="372">
        <v>0.0</v>
      </c>
    </row>
    <row r="19924">
      <c r="Y19924" s="372">
        <v>0.0</v>
      </c>
      <c r="Z19924" s="372">
        <v>0.0</v>
      </c>
    </row>
    <row r="19925">
      <c r="Y19925" s="372">
        <v>0.0</v>
      </c>
      <c r="Z19925" s="372">
        <v>0.0</v>
      </c>
    </row>
    <row r="19926">
      <c r="Y19926" s="372">
        <v>0.0</v>
      </c>
      <c r="Z19926" s="372">
        <v>0.0</v>
      </c>
    </row>
    <row r="19927">
      <c r="Y19927" s="372">
        <v>0.0</v>
      </c>
      <c r="Z19927" s="372">
        <v>0.0</v>
      </c>
    </row>
    <row r="19928">
      <c r="Y19928" s="372">
        <v>0.0</v>
      </c>
      <c r="Z19928" s="372">
        <v>0.0</v>
      </c>
    </row>
    <row r="19929">
      <c r="Y19929" s="372">
        <v>0.0</v>
      </c>
      <c r="Z19929" s="372">
        <v>0.0</v>
      </c>
    </row>
    <row r="19930">
      <c r="Y19930" s="372">
        <v>0.0</v>
      </c>
      <c r="Z19930" s="372">
        <v>0.0</v>
      </c>
    </row>
    <row r="19931">
      <c r="Y19931" s="372">
        <v>0.0</v>
      </c>
      <c r="Z19931" s="372">
        <v>0.0</v>
      </c>
    </row>
    <row r="19932">
      <c r="Y19932" s="372">
        <v>0.0</v>
      </c>
      <c r="Z19932" s="372">
        <v>0.0</v>
      </c>
    </row>
    <row r="19933">
      <c r="Y19933" s="372">
        <v>0.0</v>
      </c>
      <c r="Z19933" s="372">
        <v>0.0</v>
      </c>
    </row>
    <row r="19934">
      <c r="Y19934" s="372">
        <v>0.0</v>
      </c>
      <c r="Z19934" s="372">
        <v>0.0</v>
      </c>
    </row>
    <row r="19935">
      <c r="Y19935" s="372">
        <v>0.0</v>
      </c>
      <c r="Z19935" s="372">
        <v>0.0</v>
      </c>
    </row>
    <row r="19936">
      <c r="Y19936" s="372">
        <v>0.0</v>
      </c>
      <c r="Z19936" s="372">
        <v>0.0</v>
      </c>
    </row>
    <row r="19937">
      <c r="Y19937" s="372">
        <v>0.0</v>
      </c>
      <c r="Z19937" s="372">
        <v>0.0</v>
      </c>
    </row>
    <row r="19938">
      <c r="Y19938" s="372">
        <v>0.0</v>
      </c>
      <c r="Z19938" s="372">
        <v>0.0</v>
      </c>
    </row>
    <row r="19939">
      <c r="Y19939" s="372">
        <v>0.0</v>
      </c>
      <c r="Z19939" s="372">
        <v>0.0</v>
      </c>
    </row>
    <row r="19940">
      <c r="Y19940" s="372">
        <v>0.0</v>
      </c>
      <c r="Z19940" s="372">
        <v>0.0</v>
      </c>
    </row>
    <row r="19941">
      <c r="Y19941" s="372">
        <v>0.0</v>
      </c>
      <c r="Z19941" s="372">
        <v>0.0</v>
      </c>
    </row>
    <row r="19942">
      <c r="Y19942" s="372">
        <v>0.0</v>
      </c>
      <c r="Z19942" s="372">
        <v>0.0</v>
      </c>
    </row>
    <row r="19943">
      <c r="Y19943" s="372">
        <v>0.0</v>
      </c>
      <c r="Z19943" s="372">
        <v>0.0</v>
      </c>
    </row>
    <row r="19944">
      <c r="Y19944" s="372">
        <v>0.0</v>
      </c>
      <c r="Z19944" s="372">
        <v>0.0</v>
      </c>
    </row>
    <row r="19945">
      <c r="Y19945" s="372">
        <v>0.0</v>
      </c>
      <c r="Z19945" s="372">
        <v>0.0</v>
      </c>
    </row>
    <row r="19946">
      <c r="Y19946" s="372">
        <v>0.0</v>
      </c>
      <c r="Z19946" s="372">
        <v>0.0</v>
      </c>
    </row>
    <row r="19947">
      <c r="Y19947" s="372">
        <v>0.0</v>
      </c>
      <c r="Z19947" s="372">
        <v>0.0</v>
      </c>
    </row>
    <row r="19948">
      <c r="Y19948" s="372">
        <v>0.0</v>
      </c>
      <c r="Z19948" s="372">
        <v>0.0</v>
      </c>
    </row>
    <row r="19949">
      <c r="Y19949" s="372">
        <v>0.0</v>
      </c>
      <c r="Z19949" s="372">
        <v>0.0</v>
      </c>
    </row>
    <row r="19950">
      <c r="Y19950" s="372">
        <v>0.0</v>
      </c>
      <c r="Z19950" s="372">
        <v>0.0</v>
      </c>
    </row>
    <row r="19951">
      <c r="Y19951" s="372">
        <v>0.0</v>
      </c>
      <c r="Z19951" s="372">
        <v>0.0</v>
      </c>
    </row>
    <row r="19952">
      <c r="Y19952" s="372">
        <v>0.0</v>
      </c>
      <c r="Z19952" s="372">
        <v>0.0</v>
      </c>
    </row>
    <row r="19953">
      <c r="Y19953" s="372">
        <v>0.0</v>
      </c>
      <c r="Z19953" s="372">
        <v>0.0</v>
      </c>
    </row>
    <row r="19954">
      <c r="Y19954" s="372">
        <v>0.0</v>
      </c>
      <c r="Z19954" s="372">
        <v>0.0</v>
      </c>
    </row>
    <row r="19955">
      <c r="Y19955" s="372">
        <v>0.0</v>
      </c>
      <c r="Z19955" s="372">
        <v>0.0</v>
      </c>
    </row>
    <row r="19956">
      <c r="Y19956" s="372">
        <v>0.0</v>
      </c>
      <c r="Z19956" s="372">
        <v>0.0</v>
      </c>
    </row>
    <row r="19957">
      <c r="Y19957" s="372">
        <v>0.0</v>
      </c>
      <c r="Z19957" s="372">
        <v>0.0</v>
      </c>
    </row>
    <row r="19958">
      <c r="Y19958" s="372">
        <v>0.0</v>
      </c>
      <c r="Z19958" s="372">
        <v>0.0</v>
      </c>
    </row>
    <row r="19959">
      <c r="Y19959" s="372">
        <v>0.0</v>
      </c>
      <c r="Z19959" s="372">
        <v>0.0</v>
      </c>
    </row>
    <row r="19960">
      <c r="Y19960" s="372">
        <v>0.0</v>
      </c>
      <c r="Z19960" s="372">
        <v>0.0</v>
      </c>
    </row>
    <row r="19961">
      <c r="Y19961" s="372">
        <v>0.0</v>
      </c>
      <c r="Z19961" s="372">
        <v>0.0</v>
      </c>
    </row>
    <row r="19962">
      <c r="Y19962" s="372">
        <v>0.0</v>
      </c>
      <c r="Z19962" s="372">
        <v>0.0</v>
      </c>
    </row>
    <row r="19963">
      <c r="Y19963" s="372">
        <v>0.0</v>
      </c>
      <c r="Z19963" s="372">
        <v>0.0</v>
      </c>
    </row>
    <row r="19964">
      <c r="Y19964" s="372">
        <v>0.0</v>
      </c>
      <c r="Z19964" s="372">
        <v>0.0</v>
      </c>
    </row>
    <row r="19965">
      <c r="Y19965" s="372">
        <v>0.0</v>
      </c>
      <c r="Z19965" s="372">
        <v>0.0</v>
      </c>
    </row>
    <row r="19966">
      <c r="Y19966" s="372">
        <v>0.0</v>
      </c>
      <c r="Z19966" s="372">
        <v>0.0</v>
      </c>
    </row>
    <row r="19967">
      <c r="Y19967" s="372">
        <v>0.0</v>
      </c>
      <c r="Z19967" s="372">
        <v>0.0</v>
      </c>
    </row>
    <row r="19968">
      <c r="Y19968" s="372">
        <v>0.0</v>
      </c>
      <c r="Z19968" s="372">
        <v>0.0</v>
      </c>
    </row>
    <row r="19969">
      <c r="Y19969" s="372">
        <v>0.0</v>
      </c>
      <c r="Z19969" s="372">
        <v>0.0</v>
      </c>
    </row>
    <row r="19970">
      <c r="Y19970" s="372">
        <v>0.0</v>
      </c>
      <c r="Z19970" s="372">
        <v>0.0</v>
      </c>
    </row>
    <row r="19971">
      <c r="Y19971" s="372">
        <v>0.0</v>
      </c>
      <c r="Z19971" s="372">
        <v>0.0</v>
      </c>
    </row>
    <row r="19972">
      <c r="Y19972" s="372">
        <v>0.0</v>
      </c>
      <c r="Z19972" s="372">
        <v>0.0</v>
      </c>
    </row>
    <row r="19973">
      <c r="Y19973" s="372">
        <v>0.0</v>
      </c>
      <c r="Z19973" s="372">
        <v>0.0</v>
      </c>
    </row>
    <row r="19974">
      <c r="Y19974" s="372">
        <v>0.0</v>
      </c>
      <c r="Z19974" s="372">
        <v>0.0</v>
      </c>
    </row>
    <row r="19975">
      <c r="Y19975" s="372">
        <v>0.0</v>
      </c>
      <c r="Z19975" s="372">
        <v>0.0</v>
      </c>
    </row>
    <row r="19976">
      <c r="Y19976" s="372">
        <v>0.0</v>
      </c>
      <c r="Z19976" s="372">
        <v>0.0</v>
      </c>
    </row>
    <row r="19977">
      <c r="Y19977" s="372">
        <v>0.0</v>
      </c>
      <c r="Z19977" s="372">
        <v>0.0</v>
      </c>
    </row>
    <row r="19978">
      <c r="Y19978" s="372">
        <v>0.0</v>
      </c>
      <c r="Z19978" s="372">
        <v>0.0</v>
      </c>
    </row>
    <row r="19979">
      <c r="Y19979" s="372">
        <v>0.0</v>
      </c>
      <c r="Z19979" s="372">
        <v>0.0</v>
      </c>
    </row>
    <row r="19980">
      <c r="Y19980" s="372">
        <v>0.0</v>
      </c>
      <c r="Z19980" s="372">
        <v>0.0</v>
      </c>
    </row>
    <row r="19981">
      <c r="Y19981" s="372">
        <v>0.0</v>
      </c>
      <c r="Z19981" s="372">
        <v>0.0</v>
      </c>
    </row>
    <row r="19982">
      <c r="Y19982" s="372">
        <v>0.0</v>
      </c>
      <c r="Z19982" s="372">
        <v>0.0</v>
      </c>
    </row>
    <row r="19983">
      <c r="Y19983" s="372">
        <v>0.0</v>
      </c>
      <c r="Z19983" s="372">
        <v>0.0</v>
      </c>
    </row>
    <row r="19984">
      <c r="Y19984" s="372">
        <v>0.0</v>
      </c>
      <c r="Z19984" s="372">
        <v>0.0</v>
      </c>
    </row>
    <row r="19985">
      <c r="Y19985" s="372">
        <v>0.0</v>
      </c>
      <c r="Z19985" s="372">
        <v>0.0</v>
      </c>
    </row>
    <row r="19986">
      <c r="Y19986" s="372">
        <v>0.0</v>
      </c>
      <c r="Z19986" s="372">
        <v>0.0</v>
      </c>
    </row>
    <row r="19987">
      <c r="Y19987" s="372">
        <v>0.0</v>
      </c>
      <c r="Z19987" s="372">
        <v>0.0</v>
      </c>
    </row>
    <row r="19988">
      <c r="Y19988" s="372">
        <v>0.0</v>
      </c>
      <c r="Z19988" s="372">
        <v>0.0</v>
      </c>
    </row>
    <row r="19989">
      <c r="Y19989" s="372">
        <v>0.0</v>
      </c>
      <c r="Z19989" s="372">
        <v>0.0</v>
      </c>
    </row>
    <row r="19990">
      <c r="Y19990" s="372">
        <v>0.0</v>
      </c>
      <c r="Z19990" s="372">
        <v>0.0</v>
      </c>
    </row>
    <row r="19991">
      <c r="Y19991" s="372">
        <v>0.0</v>
      </c>
      <c r="Z19991" s="372">
        <v>0.0</v>
      </c>
    </row>
    <row r="19992">
      <c r="Y19992" s="372">
        <v>0.0</v>
      </c>
      <c r="Z19992" s="372">
        <v>0.0</v>
      </c>
    </row>
    <row r="19993">
      <c r="Y19993" s="372">
        <v>0.0</v>
      </c>
      <c r="Z19993" s="372">
        <v>0.0</v>
      </c>
    </row>
    <row r="19994">
      <c r="Y19994" s="372">
        <v>0.0</v>
      </c>
      <c r="Z19994" s="372">
        <v>0.0</v>
      </c>
    </row>
    <row r="19995">
      <c r="Y19995" s="372">
        <v>0.0</v>
      </c>
      <c r="Z19995" s="372">
        <v>0.0</v>
      </c>
    </row>
    <row r="19996">
      <c r="Y19996" s="372">
        <v>0.0</v>
      </c>
      <c r="Z19996" s="372">
        <v>0.0</v>
      </c>
    </row>
    <row r="19997">
      <c r="Y19997" s="372">
        <v>0.0</v>
      </c>
      <c r="Z19997" s="372">
        <v>0.0</v>
      </c>
    </row>
    <row r="19998">
      <c r="Y19998" s="372">
        <v>0.0</v>
      </c>
      <c r="Z19998" s="372">
        <v>0.0</v>
      </c>
    </row>
    <row r="19999">
      <c r="Y19999" s="372">
        <v>0.0</v>
      </c>
      <c r="Z19999" s="372">
        <v>0.0</v>
      </c>
    </row>
    <row r="20000">
      <c r="Y20000" s="372">
        <v>0.0</v>
      </c>
      <c r="Z20000" s="372">
        <v>0.0</v>
      </c>
    </row>
    <row r="20001">
      <c r="Y20001" s="372">
        <v>0.0</v>
      </c>
      <c r="Z20001" s="372">
        <v>0.0</v>
      </c>
    </row>
    <row r="20002">
      <c r="Y20002" s="372">
        <v>0.0</v>
      </c>
      <c r="Z20002" s="372">
        <v>0.0</v>
      </c>
    </row>
    <row r="20003">
      <c r="Y20003" s="372">
        <v>0.0</v>
      </c>
      <c r="Z20003" s="372">
        <v>0.0</v>
      </c>
    </row>
    <row r="20004">
      <c r="Y20004" s="372">
        <v>0.0</v>
      </c>
      <c r="Z20004" s="372">
        <v>0.0</v>
      </c>
    </row>
    <row r="20005">
      <c r="Y20005" s="372">
        <v>0.0</v>
      </c>
      <c r="Z20005" s="372">
        <v>0.0</v>
      </c>
    </row>
    <row r="20006">
      <c r="Y20006" s="372">
        <v>0.0</v>
      </c>
      <c r="Z20006" s="372">
        <v>0.0</v>
      </c>
    </row>
    <row r="20007">
      <c r="Y20007" s="372">
        <v>0.0</v>
      </c>
      <c r="Z20007" s="372">
        <v>0.0</v>
      </c>
    </row>
    <row r="20008">
      <c r="Y20008" s="372">
        <v>0.0</v>
      </c>
      <c r="Z20008" s="372">
        <v>0.0</v>
      </c>
    </row>
    <row r="20009">
      <c r="Y20009" s="372">
        <v>0.0</v>
      </c>
      <c r="Z20009" s="372">
        <v>0.0</v>
      </c>
    </row>
    <row r="20010">
      <c r="Y20010" s="372">
        <v>0.0</v>
      </c>
      <c r="Z20010" s="372">
        <v>0.0</v>
      </c>
    </row>
    <row r="20011">
      <c r="Y20011" s="372">
        <v>0.0</v>
      </c>
      <c r="Z20011" s="372">
        <v>0.0</v>
      </c>
    </row>
    <row r="20012">
      <c r="Y20012" s="372">
        <v>0.0</v>
      </c>
      <c r="Z20012" s="372">
        <v>0.0</v>
      </c>
    </row>
    <row r="20013">
      <c r="Y20013" s="372">
        <v>0.0</v>
      </c>
      <c r="Z20013" s="372">
        <v>0.0</v>
      </c>
    </row>
    <row r="20014">
      <c r="Y20014" s="372">
        <v>0.0</v>
      </c>
      <c r="Z20014" s="372">
        <v>0.0</v>
      </c>
    </row>
    <row r="20015">
      <c r="Y20015" s="372">
        <v>0.0</v>
      </c>
      <c r="Z20015" s="372">
        <v>0.0</v>
      </c>
    </row>
    <row r="20016">
      <c r="Y20016" s="372">
        <v>0.0</v>
      </c>
      <c r="Z20016" s="372">
        <v>0.0</v>
      </c>
    </row>
    <row r="20017">
      <c r="Y20017" s="372">
        <v>0.0</v>
      </c>
      <c r="Z20017" s="372">
        <v>0.0</v>
      </c>
    </row>
    <row r="20018">
      <c r="Y20018" s="372">
        <v>0.0</v>
      </c>
      <c r="Z20018" s="372">
        <v>0.0</v>
      </c>
    </row>
    <row r="20019">
      <c r="Y20019" s="372">
        <v>0.0</v>
      </c>
      <c r="Z20019" s="372">
        <v>0.0</v>
      </c>
    </row>
    <row r="20020">
      <c r="Y20020" s="372">
        <v>0.0</v>
      </c>
      <c r="Z20020" s="372">
        <v>0.0</v>
      </c>
    </row>
    <row r="20021">
      <c r="Y20021" s="372">
        <v>0.0</v>
      </c>
      <c r="Z20021" s="372">
        <v>0.0</v>
      </c>
    </row>
    <row r="20022">
      <c r="Y20022" s="372">
        <v>0.0</v>
      </c>
      <c r="Z20022" s="372">
        <v>0.0</v>
      </c>
    </row>
    <row r="20023">
      <c r="Y20023" s="372">
        <v>0.0</v>
      </c>
      <c r="Z20023" s="372">
        <v>0.0</v>
      </c>
    </row>
    <row r="20024">
      <c r="Y20024" s="372">
        <v>0.0</v>
      </c>
      <c r="Z20024" s="372">
        <v>0.0</v>
      </c>
    </row>
    <row r="20025">
      <c r="Y20025" s="372">
        <v>0.0</v>
      </c>
      <c r="Z20025" s="372">
        <v>0.0</v>
      </c>
    </row>
    <row r="20026">
      <c r="Y20026" s="372">
        <v>0.0</v>
      </c>
      <c r="Z20026" s="372">
        <v>0.0</v>
      </c>
    </row>
    <row r="20027">
      <c r="Y20027" s="372">
        <v>0.0</v>
      </c>
      <c r="Z20027" s="372">
        <v>0.0</v>
      </c>
    </row>
    <row r="20028">
      <c r="Y20028" s="372">
        <v>0.0</v>
      </c>
      <c r="Z20028" s="372">
        <v>0.0</v>
      </c>
    </row>
    <row r="20029">
      <c r="Y20029" s="372">
        <v>0.0</v>
      </c>
      <c r="Z20029" s="372">
        <v>0.0</v>
      </c>
    </row>
    <row r="20030">
      <c r="Y20030" s="372">
        <v>0.0</v>
      </c>
      <c r="Z20030" s="372">
        <v>0.0</v>
      </c>
    </row>
    <row r="20031">
      <c r="Y20031" s="372">
        <v>0.0</v>
      </c>
      <c r="Z20031" s="372">
        <v>0.0</v>
      </c>
    </row>
    <row r="20032">
      <c r="Y20032" s="372">
        <v>0.0</v>
      </c>
      <c r="Z20032" s="372">
        <v>0.0</v>
      </c>
    </row>
    <row r="20033">
      <c r="Y20033" s="372">
        <v>0.0</v>
      </c>
      <c r="Z20033" s="372">
        <v>0.0</v>
      </c>
    </row>
    <row r="20034">
      <c r="Y20034" s="372">
        <v>0.0</v>
      </c>
      <c r="Z20034" s="372">
        <v>0.0</v>
      </c>
    </row>
    <row r="20035">
      <c r="Y20035" s="372">
        <v>0.0</v>
      </c>
      <c r="Z20035" s="372">
        <v>0.0</v>
      </c>
    </row>
    <row r="20036">
      <c r="Y20036" s="372">
        <v>0.0</v>
      </c>
      <c r="Z20036" s="372">
        <v>0.0</v>
      </c>
    </row>
    <row r="20037">
      <c r="Y20037" s="372">
        <v>0.0</v>
      </c>
      <c r="Z20037" s="372">
        <v>0.0</v>
      </c>
    </row>
    <row r="20038">
      <c r="Y20038" s="372">
        <v>0.0</v>
      </c>
      <c r="Z20038" s="372">
        <v>0.0</v>
      </c>
    </row>
    <row r="20039">
      <c r="Y20039" s="372">
        <v>0.0</v>
      </c>
      <c r="Z20039" s="372">
        <v>0.0</v>
      </c>
    </row>
    <row r="20040">
      <c r="Y20040" s="372">
        <v>0.0</v>
      </c>
      <c r="Z20040" s="372">
        <v>0.0</v>
      </c>
    </row>
    <row r="20041">
      <c r="Y20041" s="372">
        <v>0.0</v>
      </c>
      <c r="Z20041" s="372">
        <v>0.0</v>
      </c>
    </row>
    <row r="20042">
      <c r="Y20042" s="372">
        <v>0.0</v>
      </c>
      <c r="Z20042" s="372">
        <v>0.0</v>
      </c>
    </row>
    <row r="20043">
      <c r="Y20043" s="372">
        <v>0.0</v>
      </c>
      <c r="Z20043" s="372">
        <v>0.0</v>
      </c>
    </row>
    <row r="20044">
      <c r="Y20044" s="372">
        <v>0.0</v>
      </c>
      <c r="Z20044" s="372">
        <v>0.0</v>
      </c>
    </row>
    <row r="20045">
      <c r="Y20045" s="372">
        <v>0.0</v>
      </c>
      <c r="Z20045" s="372">
        <v>0.0</v>
      </c>
    </row>
    <row r="20046">
      <c r="Y20046" s="372">
        <v>0.0</v>
      </c>
      <c r="Z20046" s="372">
        <v>0.0</v>
      </c>
    </row>
    <row r="20047">
      <c r="Y20047" s="372">
        <v>0.0</v>
      </c>
      <c r="Z20047" s="372">
        <v>0.0</v>
      </c>
    </row>
    <row r="20048">
      <c r="Y20048" s="372">
        <v>0.0</v>
      </c>
      <c r="Z20048" s="372">
        <v>0.0</v>
      </c>
    </row>
    <row r="20049">
      <c r="Y20049" s="372">
        <v>0.0</v>
      </c>
      <c r="Z20049" s="372">
        <v>0.0</v>
      </c>
    </row>
    <row r="20050">
      <c r="Y20050" s="372">
        <v>0.0</v>
      </c>
      <c r="Z20050" s="372">
        <v>0.0</v>
      </c>
    </row>
    <row r="20051">
      <c r="Y20051" s="372">
        <v>0.0</v>
      </c>
      <c r="Z20051" s="372">
        <v>0.0</v>
      </c>
    </row>
    <row r="20052">
      <c r="Y20052" s="372">
        <v>0.0</v>
      </c>
      <c r="Z20052" s="372">
        <v>0.0</v>
      </c>
    </row>
    <row r="20053">
      <c r="Y20053" s="372">
        <v>0.0</v>
      </c>
      <c r="Z20053" s="372">
        <v>0.0</v>
      </c>
    </row>
    <row r="20054">
      <c r="Y20054" s="372">
        <v>0.0</v>
      </c>
      <c r="Z20054" s="372">
        <v>0.0</v>
      </c>
    </row>
    <row r="20055">
      <c r="Y20055" s="372">
        <v>0.0</v>
      </c>
      <c r="Z20055" s="372">
        <v>0.0</v>
      </c>
    </row>
    <row r="20056">
      <c r="Y20056" s="372">
        <v>0.0</v>
      </c>
      <c r="Z20056" s="372">
        <v>0.0</v>
      </c>
    </row>
    <row r="20057">
      <c r="Y20057" s="372">
        <v>0.0</v>
      </c>
      <c r="Z20057" s="372">
        <v>0.0</v>
      </c>
    </row>
    <row r="20058">
      <c r="Y20058" s="372">
        <v>0.0</v>
      </c>
      <c r="Z20058" s="372">
        <v>0.0</v>
      </c>
    </row>
    <row r="20059">
      <c r="Y20059" s="372">
        <v>0.0</v>
      </c>
      <c r="Z20059" s="372">
        <v>0.0</v>
      </c>
    </row>
    <row r="20060">
      <c r="Y20060" s="372">
        <v>0.0</v>
      </c>
      <c r="Z20060" s="372">
        <v>0.0</v>
      </c>
    </row>
    <row r="20061">
      <c r="Y20061" s="372">
        <v>0.0</v>
      </c>
      <c r="Z20061" s="372">
        <v>0.0</v>
      </c>
    </row>
    <row r="20062">
      <c r="Y20062" s="372">
        <v>0.0</v>
      </c>
      <c r="Z20062" s="372">
        <v>0.0</v>
      </c>
    </row>
    <row r="20063">
      <c r="Y20063" s="372">
        <v>0.0</v>
      </c>
      <c r="Z20063" s="372">
        <v>0.0</v>
      </c>
    </row>
    <row r="20064">
      <c r="Y20064" s="372">
        <v>0.0</v>
      </c>
      <c r="Z20064" s="372">
        <v>0.0</v>
      </c>
    </row>
    <row r="20065">
      <c r="Y20065" s="372">
        <v>0.0</v>
      </c>
      <c r="Z20065" s="372">
        <v>0.0</v>
      </c>
    </row>
    <row r="20066">
      <c r="Y20066" s="372">
        <v>0.0</v>
      </c>
      <c r="Z20066" s="372">
        <v>0.0</v>
      </c>
    </row>
    <row r="20067">
      <c r="Y20067" s="372">
        <v>0.0</v>
      </c>
      <c r="Z20067" s="372">
        <v>0.0</v>
      </c>
    </row>
    <row r="20068">
      <c r="Y20068" s="372">
        <v>0.0</v>
      </c>
      <c r="Z20068" s="372">
        <v>0.0</v>
      </c>
    </row>
    <row r="20069">
      <c r="Y20069" s="372">
        <v>0.0</v>
      </c>
      <c r="Z20069" s="372">
        <v>0.0</v>
      </c>
    </row>
    <row r="20070">
      <c r="Y20070" s="372">
        <v>0.0</v>
      </c>
      <c r="Z20070" s="372">
        <v>0.0</v>
      </c>
    </row>
    <row r="20071">
      <c r="Y20071" s="372">
        <v>0.0</v>
      </c>
      <c r="Z20071" s="372">
        <v>0.0</v>
      </c>
    </row>
    <row r="20072">
      <c r="Y20072" s="372">
        <v>0.0</v>
      </c>
      <c r="Z20072" s="372">
        <v>0.0</v>
      </c>
    </row>
    <row r="20073">
      <c r="Y20073" s="372">
        <v>0.0</v>
      </c>
      <c r="Z20073" s="372">
        <v>0.0</v>
      </c>
    </row>
    <row r="20074">
      <c r="Y20074" s="372">
        <v>0.0</v>
      </c>
      <c r="Z20074" s="372">
        <v>0.0</v>
      </c>
    </row>
    <row r="20075">
      <c r="Y20075" s="372">
        <v>0.0</v>
      </c>
      <c r="Z20075" s="372">
        <v>0.0</v>
      </c>
    </row>
    <row r="20076">
      <c r="Y20076" s="372">
        <v>0.0</v>
      </c>
      <c r="Z20076" s="372">
        <v>0.0</v>
      </c>
    </row>
    <row r="20077">
      <c r="Y20077" s="372">
        <v>0.0</v>
      </c>
      <c r="Z20077" s="372">
        <v>0.0</v>
      </c>
    </row>
    <row r="20078">
      <c r="Y20078" s="372">
        <v>0.0</v>
      </c>
      <c r="Z20078" s="372">
        <v>0.0</v>
      </c>
    </row>
    <row r="20079">
      <c r="Y20079" s="372">
        <v>0.0</v>
      </c>
      <c r="Z20079" s="372">
        <v>0.0</v>
      </c>
    </row>
    <row r="20080">
      <c r="Y20080" s="372">
        <v>0.0</v>
      </c>
      <c r="Z20080" s="372">
        <v>0.0</v>
      </c>
    </row>
    <row r="20081">
      <c r="Y20081" s="372">
        <v>0.0</v>
      </c>
      <c r="Z20081" s="372">
        <v>0.0</v>
      </c>
    </row>
    <row r="20082">
      <c r="Y20082" s="372">
        <v>0.0</v>
      </c>
      <c r="Z20082" s="372">
        <v>0.0</v>
      </c>
    </row>
    <row r="20083">
      <c r="Y20083" s="372">
        <v>0.0</v>
      </c>
      <c r="Z20083" s="372">
        <v>0.0</v>
      </c>
    </row>
    <row r="20084">
      <c r="Y20084" s="372">
        <v>0.0</v>
      </c>
      <c r="Z20084" s="372">
        <v>0.0</v>
      </c>
    </row>
    <row r="20085">
      <c r="Y20085" s="372">
        <v>0.0</v>
      </c>
      <c r="Z20085" s="372">
        <v>0.0</v>
      </c>
    </row>
    <row r="20086">
      <c r="Y20086" s="372">
        <v>0.0</v>
      </c>
      <c r="Z20086" s="372">
        <v>0.0</v>
      </c>
    </row>
    <row r="20087">
      <c r="Y20087" s="372">
        <v>0.0</v>
      </c>
      <c r="Z20087" s="372">
        <v>0.0</v>
      </c>
    </row>
    <row r="20088">
      <c r="Y20088" s="372">
        <v>0.0</v>
      </c>
      <c r="Z20088" s="372">
        <v>0.0</v>
      </c>
    </row>
    <row r="20089">
      <c r="Y20089" s="372">
        <v>0.0</v>
      </c>
      <c r="Z20089" s="372">
        <v>0.0</v>
      </c>
    </row>
    <row r="20090">
      <c r="Y20090" s="372">
        <v>0.0</v>
      </c>
      <c r="Z20090" s="372">
        <v>0.0</v>
      </c>
    </row>
    <row r="20091">
      <c r="Y20091" s="372">
        <v>0.0</v>
      </c>
      <c r="Z20091" s="372">
        <v>0.0</v>
      </c>
    </row>
    <row r="20092">
      <c r="Y20092" s="372">
        <v>0.0</v>
      </c>
      <c r="Z20092" s="372">
        <v>0.0</v>
      </c>
    </row>
    <row r="20093">
      <c r="Y20093" s="372">
        <v>0.0</v>
      </c>
      <c r="Z20093" s="372">
        <v>0.0</v>
      </c>
    </row>
    <row r="20094">
      <c r="Y20094" s="372">
        <v>0.0</v>
      </c>
      <c r="Z20094" s="372">
        <v>0.0</v>
      </c>
    </row>
    <row r="20095">
      <c r="Y20095" s="372">
        <v>0.0</v>
      </c>
      <c r="Z20095" s="372">
        <v>0.0</v>
      </c>
    </row>
    <row r="20096">
      <c r="Y20096" s="372">
        <v>0.0</v>
      </c>
      <c r="Z20096" s="372">
        <v>0.0</v>
      </c>
    </row>
    <row r="20097">
      <c r="Y20097" s="372">
        <v>0.0</v>
      </c>
      <c r="Z20097" s="372">
        <v>0.0</v>
      </c>
    </row>
    <row r="20098">
      <c r="Y20098" s="372">
        <v>0.0</v>
      </c>
      <c r="Z20098" s="372">
        <v>0.0</v>
      </c>
    </row>
    <row r="20099">
      <c r="Y20099" s="372">
        <v>0.0</v>
      </c>
      <c r="Z20099" s="372">
        <v>0.0</v>
      </c>
    </row>
    <row r="20100">
      <c r="Y20100" s="372">
        <v>0.0</v>
      </c>
      <c r="Z20100" s="372">
        <v>0.0</v>
      </c>
    </row>
    <row r="20101">
      <c r="Y20101" s="372">
        <v>0.0</v>
      </c>
      <c r="Z20101" s="372">
        <v>0.0</v>
      </c>
    </row>
    <row r="20102">
      <c r="Y20102" s="372">
        <v>0.0</v>
      </c>
      <c r="Z20102" s="372">
        <v>0.0</v>
      </c>
    </row>
    <row r="20103">
      <c r="Y20103" s="372">
        <v>0.0</v>
      </c>
      <c r="Z20103" s="372">
        <v>0.0</v>
      </c>
    </row>
    <row r="20104">
      <c r="Y20104" s="372">
        <v>0.0</v>
      </c>
      <c r="Z20104" s="372">
        <v>0.0</v>
      </c>
    </row>
    <row r="20105">
      <c r="Y20105" s="372">
        <v>0.0</v>
      </c>
      <c r="Z20105" s="372">
        <v>0.0</v>
      </c>
    </row>
    <row r="20106">
      <c r="Y20106" s="372">
        <v>0.0</v>
      </c>
      <c r="Z20106" s="372">
        <v>0.0</v>
      </c>
    </row>
    <row r="20107">
      <c r="Y20107" s="372">
        <v>0.0</v>
      </c>
      <c r="Z20107" s="372">
        <v>0.0</v>
      </c>
    </row>
    <row r="20108">
      <c r="Y20108" s="372">
        <v>0.0</v>
      </c>
      <c r="Z20108" s="372">
        <v>0.0</v>
      </c>
    </row>
    <row r="20109">
      <c r="Y20109" s="372">
        <v>0.0</v>
      </c>
      <c r="Z20109" s="372">
        <v>0.0</v>
      </c>
    </row>
    <row r="20110">
      <c r="Y20110" s="372">
        <v>0.0</v>
      </c>
      <c r="Z20110" s="372">
        <v>0.0</v>
      </c>
    </row>
    <row r="20111">
      <c r="Y20111" s="372">
        <v>0.0</v>
      </c>
      <c r="Z20111" s="372">
        <v>0.0</v>
      </c>
    </row>
    <row r="20112">
      <c r="Y20112" s="372">
        <v>0.0</v>
      </c>
      <c r="Z20112" s="372">
        <v>0.0</v>
      </c>
    </row>
    <row r="20113">
      <c r="Y20113" s="372">
        <v>0.0</v>
      </c>
      <c r="Z20113" s="372">
        <v>0.0</v>
      </c>
    </row>
    <row r="20114">
      <c r="Y20114" s="372">
        <v>0.0</v>
      </c>
      <c r="Z20114" s="372">
        <v>0.0</v>
      </c>
    </row>
    <row r="20115">
      <c r="Y20115" s="372">
        <v>0.0</v>
      </c>
      <c r="Z20115" s="372">
        <v>0.0</v>
      </c>
    </row>
    <row r="20116">
      <c r="Y20116" s="372">
        <v>0.0</v>
      </c>
      <c r="Z20116" s="372">
        <v>0.0</v>
      </c>
    </row>
    <row r="20117">
      <c r="Y20117" s="372">
        <v>0.0</v>
      </c>
      <c r="Z20117" s="372">
        <v>0.0</v>
      </c>
    </row>
    <row r="20118">
      <c r="Y20118" s="372">
        <v>0.0</v>
      </c>
      <c r="Z20118" s="372">
        <v>0.0</v>
      </c>
    </row>
    <row r="20119">
      <c r="Y20119" s="372">
        <v>0.0</v>
      </c>
      <c r="Z20119" s="372">
        <v>0.0</v>
      </c>
    </row>
    <row r="20120">
      <c r="Y20120" s="372">
        <v>0.0</v>
      </c>
      <c r="Z20120" s="372">
        <v>0.0</v>
      </c>
    </row>
    <row r="20121">
      <c r="Y20121" s="372">
        <v>0.0</v>
      </c>
      <c r="Z20121" s="372">
        <v>0.0</v>
      </c>
    </row>
    <row r="20122">
      <c r="Y20122" s="372">
        <v>0.0</v>
      </c>
      <c r="Z20122" s="372">
        <v>0.0</v>
      </c>
    </row>
    <row r="20123">
      <c r="Y20123" s="372">
        <v>0.0</v>
      </c>
      <c r="Z20123" s="372">
        <v>0.0</v>
      </c>
    </row>
    <row r="20124">
      <c r="Y20124" s="372">
        <v>0.0</v>
      </c>
      <c r="Z20124" s="372">
        <v>0.0</v>
      </c>
    </row>
    <row r="20125">
      <c r="Y20125" s="372">
        <v>0.0</v>
      </c>
      <c r="Z20125" s="372">
        <v>0.0</v>
      </c>
    </row>
    <row r="20126">
      <c r="Y20126" s="372">
        <v>0.0</v>
      </c>
      <c r="Z20126" s="372">
        <v>0.0</v>
      </c>
    </row>
    <row r="20127">
      <c r="Y20127" s="372">
        <v>0.0</v>
      </c>
      <c r="Z20127" s="372">
        <v>0.0</v>
      </c>
    </row>
    <row r="20128">
      <c r="Y20128" s="372">
        <v>0.0</v>
      </c>
      <c r="Z20128" s="372">
        <v>0.0</v>
      </c>
    </row>
    <row r="20129">
      <c r="Y20129" s="372">
        <v>0.0</v>
      </c>
      <c r="Z20129" s="372">
        <v>0.0</v>
      </c>
    </row>
    <row r="20130">
      <c r="Y20130" s="372">
        <v>0.0</v>
      </c>
      <c r="Z20130" s="372">
        <v>0.0</v>
      </c>
    </row>
    <row r="20131">
      <c r="Y20131" s="372">
        <v>0.0</v>
      </c>
      <c r="Z20131" s="372">
        <v>0.0</v>
      </c>
    </row>
    <row r="20132">
      <c r="Y20132" s="372">
        <v>0.0</v>
      </c>
      <c r="Z20132" s="372">
        <v>0.0</v>
      </c>
    </row>
    <row r="20133">
      <c r="Y20133" s="372">
        <v>0.0</v>
      </c>
      <c r="Z20133" s="372">
        <v>0.0</v>
      </c>
    </row>
    <row r="20134">
      <c r="Y20134" s="372">
        <v>0.0</v>
      </c>
      <c r="Z20134" s="372">
        <v>0.0</v>
      </c>
    </row>
    <row r="20135">
      <c r="Y20135" s="372">
        <v>0.0</v>
      </c>
      <c r="Z20135" s="372">
        <v>0.0</v>
      </c>
    </row>
    <row r="20136">
      <c r="Y20136" s="372">
        <v>0.0</v>
      </c>
      <c r="Z20136" s="372">
        <v>0.0</v>
      </c>
    </row>
    <row r="20137">
      <c r="Y20137" s="372">
        <v>0.0</v>
      </c>
      <c r="Z20137" s="372">
        <v>0.0</v>
      </c>
    </row>
    <row r="20138">
      <c r="Y20138" s="372">
        <v>0.0</v>
      </c>
      <c r="Z20138" s="372">
        <v>0.0</v>
      </c>
    </row>
    <row r="20139">
      <c r="Y20139" s="372">
        <v>0.0</v>
      </c>
      <c r="Z20139" s="372">
        <v>0.0</v>
      </c>
    </row>
    <row r="20140">
      <c r="Y20140" s="372">
        <v>0.0</v>
      </c>
      <c r="Z20140" s="372">
        <v>0.0</v>
      </c>
    </row>
    <row r="20141">
      <c r="Y20141" s="372">
        <v>0.0</v>
      </c>
      <c r="Z20141" s="372">
        <v>0.0</v>
      </c>
    </row>
    <row r="20142">
      <c r="Y20142" s="372">
        <v>0.0</v>
      </c>
      <c r="Z20142" s="372">
        <v>0.0</v>
      </c>
    </row>
    <row r="20143">
      <c r="Y20143" s="372">
        <v>0.0</v>
      </c>
      <c r="Z20143" s="372">
        <v>0.0</v>
      </c>
    </row>
    <row r="20144">
      <c r="Y20144" s="372">
        <v>0.0</v>
      </c>
      <c r="Z20144" s="372">
        <v>0.0</v>
      </c>
    </row>
    <row r="20145">
      <c r="Y20145" s="372">
        <v>0.0</v>
      </c>
      <c r="Z20145" s="372">
        <v>0.0</v>
      </c>
    </row>
    <row r="20146">
      <c r="Y20146" s="372">
        <v>0.0</v>
      </c>
      <c r="Z20146" s="372">
        <v>0.0</v>
      </c>
    </row>
    <row r="20147">
      <c r="Y20147" s="372">
        <v>0.0</v>
      </c>
      <c r="Z20147" s="372">
        <v>0.0</v>
      </c>
    </row>
    <row r="20148">
      <c r="Y20148" s="372">
        <v>0.0</v>
      </c>
      <c r="Z20148" s="372">
        <v>0.0</v>
      </c>
    </row>
    <row r="20149">
      <c r="Y20149" s="372">
        <v>0.0</v>
      </c>
      <c r="Z20149" s="372">
        <v>0.0</v>
      </c>
    </row>
    <row r="20150">
      <c r="Y20150" s="372">
        <v>0.0</v>
      </c>
      <c r="Z20150" s="372">
        <v>0.0</v>
      </c>
    </row>
    <row r="20151">
      <c r="Y20151" s="372">
        <v>0.0</v>
      </c>
      <c r="Z20151" s="372">
        <v>0.0</v>
      </c>
    </row>
    <row r="20152">
      <c r="Y20152" s="372">
        <v>0.0</v>
      </c>
      <c r="Z20152" s="372">
        <v>0.0</v>
      </c>
    </row>
    <row r="20153">
      <c r="Y20153" s="372">
        <v>0.0</v>
      </c>
      <c r="Z20153" s="372">
        <v>0.0</v>
      </c>
    </row>
    <row r="20154">
      <c r="Y20154" s="372">
        <v>0.0</v>
      </c>
      <c r="Z20154" s="372">
        <v>0.0</v>
      </c>
    </row>
    <row r="20155">
      <c r="Y20155" s="372">
        <v>0.0</v>
      </c>
      <c r="Z20155" s="372">
        <v>0.0</v>
      </c>
    </row>
    <row r="20156">
      <c r="Y20156" s="372">
        <v>0.0</v>
      </c>
      <c r="Z20156" s="372">
        <v>0.0</v>
      </c>
    </row>
    <row r="20157">
      <c r="Y20157" s="372">
        <v>0.0</v>
      </c>
      <c r="Z20157" s="372">
        <v>0.0</v>
      </c>
    </row>
    <row r="20158">
      <c r="Y20158" s="372">
        <v>0.0</v>
      </c>
      <c r="Z20158" s="372">
        <v>0.0</v>
      </c>
    </row>
    <row r="20159">
      <c r="Y20159" s="372">
        <v>0.0</v>
      </c>
      <c r="Z20159" s="372">
        <v>0.0</v>
      </c>
    </row>
    <row r="20160">
      <c r="Y20160" s="372">
        <v>0.0</v>
      </c>
      <c r="Z20160" s="372">
        <v>0.0</v>
      </c>
    </row>
    <row r="20161">
      <c r="Y20161" s="372">
        <v>0.0</v>
      </c>
      <c r="Z20161" s="372">
        <v>0.0</v>
      </c>
    </row>
    <row r="20162">
      <c r="Y20162" s="372">
        <v>0.0</v>
      </c>
      <c r="Z20162" s="372">
        <v>0.0</v>
      </c>
    </row>
    <row r="20163">
      <c r="Y20163" s="372">
        <v>0.0</v>
      </c>
      <c r="Z20163" s="372">
        <v>0.0</v>
      </c>
    </row>
    <row r="20164">
      <c r="Y20164" s="372">
        <v>0.0</v>
      </c>
      <c r="Z20164" s="372">
        <v>0.0</v>
      </c>
    </row>
    <row r="20165">
      <c r="Y20165" s="372">
        <v>0.0</v>
      </c>
      <c r="Z20165" s="372">
        <v>0.0</v>
      </c>
    </row>
    <row r="20166">
      <c r="Y20166" s="372">
        <v>0.0</v>
      </c>
      <c r="Z20166" s="372">
        <v>0.0</v>
      </c>
    </row>
    <row r="20167">
      <c r="Y20167" s="372">
        <v>0.0</v>
      </c>
      <c r="Z20167" s="372">
        <v>0.0</v>
      </c>
    </row>
    <row r="20168">
      <c r="Y20168" s="372">
        <v>0.0</v>
      </c>
      <c r="Z20168" s="372">
        <v>0.0</v>
      </c>
    </row>
    <row r="20169">
      <c r="Y20169" s="372">
        <v>0.0</v>
      </c>
      <c r="Z20169" s="372">
        <v>0.0</v>
      </c>
    </row>
    <row r="20170">
      <c r="Y20170" s="372">
        <v>0.0</v>
      </c>
      <c r="Z20170" s="372">
        <v>0.0</v>
      </c>
    </row>
    <row r="20171">
      <c r="Y20171" s="372">
        <v>0.0</v>
      </c>
      <c r="Z20171" s="372">
        <v>0.0</v>
      </c>
    </row>
    <row r="20172">
      <c r="Y20172" s="372">
        <v>0.0</v>
      </c>
      <c r="Z20172" s="372">
        <v>0.0</v>
      </c>
    </row>
    <row r="20173">
      <c r="Y20173" s="372">
        <v>0.0</v>
      </c>
      <c r="Z20173" s="372">
        <v>0.0</v>
      </c>
    </row>
    <row r="20174">
      <c r="Y20174" s="372">
        <v>0.0</v>
      </c>
      <c r="Z20174" s="372">
        <v>0.0</v>
      </c>
    </row>
    <row r="20175">
      <c r="Y20175" s="372">
        <v>0.0</v>
      </c>
      <c r="Z20175" s="372">
        <v>0.0</v>
      </c>
    </row>
    <row r="20176">
      <c r="Y20176" s="372">
        <v>0.0</v>
      </c>
      <c r="Z20176" s="372">
        <v>0.0</v>
      </c>
    </row>
    <row r="20177">
      <c r="Y20177" s="372">
        <v>0.0</v>
      </c>
      <c r="Z20177" s="372">
        <v>0.0</v>
      </c>
    </row>
    <row r="20178">
      <c r="Y20178" s="372">
        <v>0.0</v>
      </c>
      <c r="Z20178" s="372">
        <v>0.0</v>
      </c>
    </row>
    <row r="20179">
      <c r="Y20179" s="372">
        <v>0.0</v>
      </c>
      <c r="Z20179" s="372">
        <v>0.0</v>
      </c>
    </row>
    <row r="20180">
      <c r="Y20180" s="372">
        <v>0.0</v>
      </c>
      <c r="Z20180" s="372">
        <v>0.0</v>
      </c>
    </row>
    <row r="20181">
      <c r="Y20181" s="372">
        <v>0.0</v>
      </c>
      <c r="Z20181" s="372">
        <v>0.0</v>
      </c>
    </row>
    <row r="20182">
      <c r="Y20182" s="372">
        <v>0.0</v>
      </c>
      <c r="Z20182" s="372">
        <v>0.0</v>
      </c>
    </row>
    <row r="20183">
      <c r="Y20183" s="372">
        <v>0.0</v>
      </c>
      <c r="Z20183" s="372">
        <v>0.0</v>
      </c>
    </row>
    <row r="20184">
      <c r="Y20184" s="372">
        <v>0.0</v>
      </c>
      <c r="Z20184" s="372">
        <v>0.0</v>
      </c>
    </row>
    <row r="20185">
      <c r="Y20185" s="372">
        <v>0.0</v>
      </c>
      <c r="Z20185" s="372">
        <v>0.0</v>
      </c>
    </row>
    <row r="20186">
      <c r="Y20186" s="372">
        <v>0.0</v>
      </c>
      <c r="Z20186" s="372">
        <v>0.0</v>
      </c>
    </row>
    <row r="20187">
      <c r="Y20187" s="372">
        <v>0.0</v>
      </c>
      <c r="Z20187" s="372">
        <v>0.0</v>
      </c>
    </row>
    <row r="20188">
      <c r="Y20188" s="372">
        <v>0.0</v>
      </c>
      <c r="Z20188" s="372">
        <v>0.0</v>
      </c>
    </row>
    <row r="20189">
      <c r="Y20189" s="372">
        <v>0.0</v>
      </c>
      <c r="Z20189" s="372">
        <v>0.0</v>
      </c>
    </row>
    <row r="20190">
      <c r="Y20190" s="372">
        <v>0.0</v>
      </c>
      <c r="Z20190" s="372">
        <v>0.0</v>
      </c>
    </row>
    <row r="20191">
      <c r="Y20191" s="372">
        <v>0.0</v>
      </c>
      <c r="Z20191" s="372">
        <v>0.0</v>
      </c>
    </row>
    <row r="20192">
      <c r="Y20192" s="372">
        <v>0.0</v>
      </c>
      <c r="Z20192" s="372">
        <v>0.0</v>
      </c>
    </row>
    <row r="20193">
      <c r="Y20193" s="372">
        <v>0.0</v>
      </c>
      <c r="Z20193" s="372">
        <v>0.0</v>
      </c>
    </row>
    <row r="20194">
      <c r="Y20194" s="372">
        <v>0.0</v>
      </c>
      <c r="Z20194" s="372">
        <v>0.0</v>
      </c>
    </row>
    <row r="20195">
      <c r="Y20195" s="372">
        <v>0.0</v>
      </c>
      <c r="Z20195" s="372">
        <v>0.0</v>
      </c>
    </row>
    <row r="20196">
      <c r="Y20196" s="372">
        <v>0.0</v>
      </c>
      <c r="Z20196" s="372">
        <v>0.0</v>
      </c>
    </row>
    <row r="20197">
      <c r="Y20197" s="372">
        <v>0.0</v>
      </c>
      <c r="Z20197" s="372">
        <v>0.0</v>
      </c>
    </row>
    <row r="20198">
      <c r="Y20198" s="372">
        <v>0.0</v>
      </c>
      <c r="Z20198" s="372">
        <v>0.0</v>
      </c>
    </row>
    <row r="20199">
      <c r="Y20199" s="372">
        <v>0.0</v>
      </c>
      <c r="Z20199" s="372">
        <v>0.0</v>
      </c>
    </row>
    <row r="20200">
      <c r="Y20200" s="372">
        <v>0.0</v>
      </c>
      <c r="Z20200" s="372">
        <v>0.0</v>
      </c>
    </row>
    <row r="20201">
      <c r="Y20201" s="372">
        <v>0.0</v>
      </c>
      <c r="Z20201" s="372">
        <v>0.0</v>
      </c>
    </row>
    <row r="20202">
      <c r="Y20202" s="372">
        <v>0.0</v>
      </c>
      <c r="Z20202" s="372">
        <v>0.0</v>
      </c>
    </row>
    <row r="20203">
      <c r="Y20203" s="372">
        <v>0.0</v>
      </c>
      <c r="Z20203" s="372">
        <v>0.0</v>
      </c>
    </row>
    <row r="20204">
      <c r="Y20204" s="372">
        <v>0.0</v>
      </c>
      <c r="Z20204" s="372">
        <v>0.0</v>
      </c>
    </row>
    <row r="20205">
      <c r="Y20205" s="372">
        <v>0.0</v>
      </c>
      <c r="Z20205" s="372">
        <v>0.0</v>
      </c>
    </row>
    <row r="20206">
      <c r="Y20206" s="372">
        <v>0.0</v>
      </c>
      <c r="Z20206" s="372">
        <v>0.0</v>
      </c>
    </row>
    <row r="20207">
      <c r="Y20207" s="372">
        <v>0.0</v>
      </c>
      <c r="Z20207" s="372">
        <v>0.0</v>
      </c>
    </row>
    <row r="20208">
      <c r="Y20208" s="372">
        <v>0.0</v>
      </c>
      <c r="Z20208" s="372">
        <v>0.0</v>
      </c>
    </row>
    <row r="20209">
      <c r="Y20209" s="372">
        <v>0.0</v>
      </c>
      <c r="Z20209" s="372">
        <v>0.0</v>
      </c>
    </row>
    <row r="20210">
      <c r="Y20210" s="372">
        <v>0.0</v>
      </c>
      <c r="Z20210" s="372">
        <v>0.0</v>
      </c>
    </row>
    <row r="20211">
      <c r="Y20211" s="372">
        <v>0.0</v>
      </c>
      <c r="Z20211" s="372">
        <v>0.0</v>
      </c>
    </row>
    <row r="20212">
      <c r="Y20212" s="372">
        <v>0.0</v>
      </c>
      <c r="Z20212" s="372">
        <v>0.0</v>
      </c>
    </row>
    <row r="20213">
      <c r="Y20213" s="372">
        <v>0.0</v>
      </c>
      <c r="Z20213" s="372">
        <v>0.0</v>
      </c>
    </row>
    <row r="20214">
      <c r="Y20214" s="372">
        <v>0.0</v>
      </c>
      <c r="Z20214" s="372">
        <v>0.0</v>
      </c>
    </row>
    <row r="20215">
      <c r="Y20215" s="372">
        <v>0.0</v>
      </c>
      <c r="Z20215" s="372">
        <v>0.0</v>
      </c>
    </row>
    <row r="20216">
      <c r="Y20216" s="372">
        <v>0.0</v>
      </c>
      <c r="Z20216" s="372">
        <v>0.0</v>
      </c>
    </row>
    <row r="20217">
      <c r="Y20217" s="372">
        <v>0.0</v>
      </c>
      <c r="Z20217" s="372">
        <v>0.0</v>
      </c>
    </row>
    <row r="20218">
      <c r="Y20218" s="372">
        <v>0.0</v>
      </c>
      <c r="Z20218" s="372">
        <v>0.0</v>
      </c>
    </row>
    <row r="20219">
      <c r="Y20219" s="372">
        <v>0.0</v>
      </c>
      <c r="Z20219" s="372">
        <v>0.0</v>
      </c>
    </row>
    <row r="20220">
      <c r="Y20220" s="372">
        <v>0.0</v>
      </c>
      <c r="Z20220" s="372">
        <v>0.0</v>
      </c>
    </row>
    <row r="20221">
      <c r="Y20221" s="372">
        <v>0.0</v>
      </c>
      <c r="Z20221" s="372">
        <v>0.0</v>
      </c>
    </row>
    <row r="20222">
      <c r="Y20222" s="372">
        <v>0.0</v>
      </c>
      <c r="Z20222" s="372">
        <v>0.0</v>
      </c>
    </row>
    <row r="20223">
      <c r="Y20223" s="372">
        <v>0.0</v>
      </c>
      <c r="Z20223" s="372">
        <v>0.0</v>
      </c>
    </row>
    <row r="20224">
      <c r="Y20224" s="372">
        <v>0.0</v>
      </c>
      <c r="Z20224" s="372">
        <v>0.0</v>
      </c>
    </row>
    <row r="20225">
      <c r="Y20225" s="372">
        <v>0.0</v>
      </c>
      <c r="Z20225" s="372">
        <v>0.0</v>
      </c>
    </row>
    <row r="20226">
      <c r="Y20226" s="372">
        <v>0.0</v>
      </c>
      <c r="Z20226" s="372">
        <v>0.0</v>
      </c>
    </row>
    <row r="20227">
      <c r="Y20227" s="372">
        <v>0.0</v>
      </c>
      <c r="Z20227" s="372">
        <v>0.0</v>
      </c>
    </row>
    <row r="20228">
      <c r="Y20228" s="372">
        <v>0.0</v>
      </c>
      <c r="Z20228" s="372">
        <v>0.0</v>
      </c>
    </row>
    <row r="20229">
      <c r="Y20229" s="372">
        <v>0.0</v>
      </c>
      <c r="Z20229" s="372">
        <v>0.0</v>
      </c>
    </row>
    <row r="20230">
      <c r="Y20230" s="372">
        <v>0.0</v>
      </c>
      <c r="Z20230" s="372">
        <v>0.0</v>
      </c>
    </row>
    <row r="20231">
      <c r="Y20231" s="372">
        <v>0.0</v>
      </c>
      <c r="Z20231" s="372">
        <v>0.0</v>
      </c>
    </row>
    <row r="20232">
      <c r="Y20232" s="372">
        <v>0.0</v>
      </c>
      <c r="Z20232" s="372">
        <v>0.0</v>
      </c>
    </row>
    <row r="20233">
      <c r="Y20233" s="372">
        <v>0.0</v>
      </c>
      <c r="Z20233" s="372">
        <v>0.0</v>
      </c>
    </row>
    <row r="20234">
      <c r="Y20234" s="372">
        <v>0.0</v>
      </c>
      <c r="Z20234" s="372">
        <v>0.0</v>
      </c>
    </row>
    <row r="20235">
      <c r="Y20235" s="372">
        <v>0.0</v>
      </c>
      <c r="Z20235" s="372">
        <v>0.0</v>
      </c>
    </row>
    <row r="20236">
      <c r="Y20236" s="372">
        <v>0.0</v>
      </c>
      <c r="Z20236" s="372">
        <v>0.0</v>
      </c>
    </row>
    <row r="20237">
      <c r="Y20237" s="372">
        <v>0.0</v>
      </c>
      <c r="Z20237" s="372">
        <v>0.0</v>
      </c>
    </row>
    <row r="20238">
      <c r="Y20238" s="372">
        <v>0.0</v>
      </c>
      <c r="Z20238" s="372">
        <v>0.0</v>
      </c>
    </row>
    <row r="20239">
      <c r="Y20239" s="372">
        <v>0.0</v>
      </c>
      <c r="Z20239" s="372">
        <v>0.0</v>
      </c>
    </row>
    <row r="20240">
      <c r="Y20240" s="372">
        <v>0.0</v>
      </c>
      <c r="Z20240" s="372">
        <v>0.0</v>
      </c>
    </row>
    <row r="20241">
      <c r="Y20241" s="372">
        <v>0.0</v>
      </c>
      <c r="Z20241" s="372">
        <v>0.0</v>
      </c>
    </row>
    <row r="20242">
      <c r="Y20242" s="372">
        <v>0.0</v>
      </c>
      <c r="Z20242" s="372">
        <v>0.0</v>
      </c>
    </row>
    <row r="20243">
      <c r="Y20243" s="372">
        <v>0.0</v>
      </c>
      <c r="Z20243" s="372">
        <v>0.0</v>
      </c>
    </row>
    <row r="20244">
      <c r="Y20244" s="372">
        <v>0.0</v>
      </c>
      <c r="Z20244" s="372">
        <v>0.0</v>
      </c>
    </row>
    <row r="20245">
      <c r="Y20245" s="372">
        <v>0.0</v>
      </c>
      <c r="Z20245" s="372">
        <v>0.0</v>
      </c>
    </row>
    <row r="20246">
      <c r="Y20246" s="372">
        <v>0.0</v>
      </c>
      <c r="Z20246" s="372">
        <v>0.0</v>
      </c>
    </row>
    <row r="20247">
      <c r="Y20247" s="372">
        <v>0.0</v>
      </c>
      <c r="Z20247" s="372">
        <v>0.0</v>
      </c>
    </row>
    <row r="20248">
      <c r="Y20248" s="372">
        <v>0.0</v>
      </c>
      <c r="Z20248" s="372">
        <v>0.0</v>
      </c>
    </row>
    <row r="20249">
      <c r="Y20249" s="372">
        <v>0.0</v>
      </c>
      <c r="Z20249" s="372">
        <v>0.0</v>
      </c>
    </row>
    <row r="20250">
      <c r="Y20250" s="372">
        <v>0.0</v>
      </c>
      <c r="Z20250" s="372">
        <v>0.0</v>
      </c>
    </row>
    <row r="20251">
      <c r="Y20251" s="372">
        <v>0.0</v>
      </c>
      <c r="Z20251" s="372">
        <v>0.0</v>
      </c>
    </row>
    <row r="20252">
      <c r="Y20252" s="372">
        <v>0.0</v>
      </c>
      <c r="Z20252" s="372">
        <v>0.0</v>
      </c>
    </row>
    <row r="20253">
      <c r="Y20253" s="372">
        <v>0.0</v>
      </c>
      <c r="Z20253" s="372">
        <v>0.0</v>
      </c>
    </row>
    <row r="20254">
      <c r="Y20254" s="372">
        <v>0.0</v>
      </c>
      <c r="Z20254" s="372">
        <v>0.0</v>
      </c>
    </row>
    <row r="20255">
      <c r="Y20255" s="372">
        <v>0.0</v>
      </c>
      <c r="Z20255" s="372">
        <v>0.0</v>
      </c>
    </row>
    <row r="20256">
      <c r="Y20256" s="372">
        <v>0.0</v>
      </c>
      <c r="Z20256" s="372">
        <v>0.0</v>
      </c>
    </row>
    <row r="20257">
      <c r="Y20257" s="372">
        <v>0.0</v>
      </c>
      <c r="Z20257" s="372">
        <v>0.0</v>
      </c>
    </row>
    <row r="20258">
      <c r="Y20258" s="372">
        <v>0.0</v>
      </c>
      <c r="Z20258" s="372">
        <v>0.0</v>
      </c>
    </row>
    <row r="20259">
      <c r="Y20259" s="372">
        <v>0.0</v>
      </c>
      <c r="Z20259" s="372">
        <v>0.0</v>
      </c>
    </row>
    <row r="20260">
      <c r="Y20260" s="372">
        <v>0.0</v>
      </c>
      <c r="Z20260" s="372">
        <v>0.0</v>
      </c>
    </row>
    <row r="20261">
      <c r="Y20261" s="372">
        <v>0.0</v>
      </c>
      <c r="Z20261" s="372">
        <v>0.0</v>
      </c>
    </row>
    <row r="20262">
      <c r="Y20262" s="372">
        <v>0.0</v>
      </c>
      <c r="Z20262" s="372">
        <v>0.0</v>
      </c>
    </row>
    <row r="20263">
      <c r="Y20263" s="372">
        <v>0.0</v>
      </c>
      <c r="Z20263" s="372">
        <v>0.0</v>
      </c>
    </row>
    <row r="20264">
      <c r="Y20264" s="372">
        <v>0.0</v>
      </c>
      <c r="Z20264" s="372">
        <v>0.0</v>
      </c>
    </row>
    <row r="20265">
      <c r="Y20265" s="372">
        <v>0.0</v>
      </c>
      <c r="Z20265" s="372">
        <v>0.0</v>
      </c>
    </row>
    <row r="20266">
      <c r="Y20266" s="372">
        <v>0.0</v>
      </c>
      <c r="Z20266" s="372">
        <v>0.0</v>
      </c>
    </row>
    <row r="20267">
      <c r="Y20267" s="372">
        <v>0.0</v>
      </c>
      <c r="Z20267" s="372">
        <v>0.0</v>
      </c>
    </row>
    <row r="20268">
      <c r="Y20268" s="372">
        <v>0.0</v>
      </c>
      <c r="Z20268" s="372">
        <v>0.0</v>
      </c>
    </row>
    <row r="20269">
      <c r="Y20269" s="372">
        <v>0.0</v>
      </c>
      <c r="Z20269" s="372">
        <v>0.0</v>
      </c>
    </row>
    <row r="20270">
      <c r="Y20270" s="372">
        <v>0.0</v>
      </c>
      <c r="Z20270" s="372">
        <v>0.0</v>
      </c>
    </row>
    <row r="20271">
      <c r="Y20271" s="372">
        <v>0.0</v>
      </c>
      <c r="Z20271" s="372">
        <v>0.0</v>
      </c>
    </row>
    <row r="20272">
      <c r="Y20272" s="372">
        <v>0.0</v>
      </c>
      <c r="Z20272" s="372">
        <v>0.0</v>
      </c>
    </row>
    <row r="20273">
      <c r="Y20273" s="372">
        <v>0.0</v>
      </c>
      <c r="Z20273" s="372">
        <v>0.0</v>
      </c>
    </row>
    <row r="20274">
      <c r="Y20274" s="372">
        <v>0.0</v>
      </c>
      <c r="Z20274" s="372">
        <v>0.0</v>
      </c>
    </row>
    <row r="20275">
      <c r="Y20275" s="372">
        <v>0.0</v>
      </c>
      <c r="Z20275" s="372">
        <v>0.0</v>
      </c>
    </row>
    <row r="20276">
      <c r="Y20276" s="372">
        <v>0.0</v>
      </c>
      <c r="Z20276" s="372">
        <v>0.0</v>
      </c>
    </row>
    <row r="20277">
      <c r="Y20277" s="372">
        <v>0.0</v>
      </c>
      <c r="Z20277" s="372">
        <v>0.0</v>
      </c>
    </row>
    <row r="20278">
      <c r="Y20278" s="372">
        <v>0.0</v>
      </c>
      <c r="Z20278" s="372">
        <v>0.0</v>
      </c>
    </row>
    <row r="20279">
      <c r="Y20279" s="372">
        <v>0.0</v>
      </c>
      <c r="Z20279" s="372">
        <v>0.0</v>
      </c>
    </row>
    <row r="20280">
      <c r="Y20280" s="372">
        <v>0.0</v>
      </c>
      <c r="Z20280" s="372">
        <v>0.0</v>
      </c>
    </row>
    <row r="20281">
      <c r="Y20281" s="372">
        <v>0.0</v>
      </c>
      <c r="Z20281" s="372">
        <v>0.0</v>
      </c>
    </row>
    <row r="20282">
      <c r="Y20282" s="372">
        <v>0.0</v>
      </c>
      <c r="Z20282" s="372">
        <v>0.0</v>
      </c>
    </row>
    <row r="20283">
      <c r="Y20283" s="372">
        <v>0.0</v>
      </c>
      <c r="Z20283" s="372">
        <v>0.0</v>
      </c>
    </row>
    <row r="20284">
      <c r="Y20284" s="372">
        <v>0.0</v>
      </c>
      <c r="Z20284" s="372">
        <v>0.0</v>
      </c>
    </row>
    <row r="20285">
      <c r="Y20285" s="372">
        <v>0.0</v>
      </c>
      <c r="Z20285" s="372">
        <v>0.0</v>
      </c>
    </row>
    <row r="20286">
      <c r="Y20286" s="372">
        <v>0.0</v>
      </c>
      <c r="Z20286" s="372">
        <v>0.0</v>
      </c>
    </row>
    <row r="20287">
      <c r="Y20287" s="372">
        <v>0.0</v>
      </c>
      <c r="Z20287" s="372">
        <v>0.0</v>
      </c>
    </row>
    <row r="20288">
      <c r="Y20288" s="372">
        <v>0.0</v>
      </c>
      <c r="Z20288" s="372">
        <v>0.0</v>
      </c>
    </row>
    <row r="20289">
      <c r="Y20289" s="372">
        <v>0.0</v>
      </c>
      <c r="Z20289" s="372">
        <v>0.0</v>
      </c>
    </row>
    <row r="20290">
      <c r="Y20290" s="372">
        <v>0.0</v>
      </c>
      <c r="Z20290" s="372">
        <v>0.0</v>
      </c>
    </row>
    <row r="20291">
      <c r="Y20291" s="372">
        <v>0.0</v>
      </c>
      <c r="Z20291" s="372">
        <v>0.0</v>
      </c>
    </row>
    <row r="20292">
      <c r="Y20292" s="372">
        <v>0.0</v>
      </c>
      <c r="Z20292" s="372">
        <v>0.0</v>
      </c>
    </row>
    <row r="20293">
      <c r="Y20293" s="372">
        <v>0.0</v>
      </c>
      <c r="Z20293" s="372">
        <v>0.0</v>
      </c>
    </row>
    <row r="20294">
      <c r="Y20294" s="372">
        <v>0.0</v>
      </c>
      <c r="Z20294" s="372">
        <v>0.0</v>
      </c>
    </row>
    <row r="20295">
      <c r="Y20295" s="372">
        <v>0.0</v>
      </c>
      <c r="Z20295" s="372">
        <v>0.0</v>
      </c>
    </row>
    <row r="20296">
      <c r="Y20296" s="372">
        <v>0.0</v>
      </c>
      <c r="Z20296" s="372">
        <v>0.0</v>
      </c>
    </row>
    <row r="20297">
      <c r="Y20297" s="372">
        <v>0.0</v>
      </c>
      <c r="Z20297" s="372">
        <v>0.0</v>
      </c>
    </row>
    <row r="20298">
      <c r="Y20298" s="372">
        <v>0.0</v>
      </c>
      <c r="Z20298" s="372">
        <v>0.0</v>
      </c>
    </row>
    <row r="20299">
      <c r="Y20299" s="372">
        <v>0.0</v>
      </c>
      <c r="Z20299" s="372">
        <v>0.0</v>
      </c>
    </row>
    <row r="20300">
      <c r="Y20300" s="372">
        <v>0.0</v>
      </c>
      <c r="Z20300" s="372">
        <v>0.0</v>
      </c>
    </row>
    <row r="20301">
      <c r="Y20301" s="372">
        <v>0.0</v>
      </c>
      <c r="Z20301" s="372">
        <v>0.0</v>
      </c>
    </row>
    <row r="20302">
      <c r="Y20302" s="372">
        <v>0.0</v>
      </c>
      <c r="Z20302" s="372">
        <v>0.0</v>
      </c>
    </row>
    <row r="20303">
      <c r="Y20303" s="372">
        <v>0.0</v>
      </c>
      <c r="Z20303" s="372">
        <v>0.0</v>
      </c>
    </row>
    <row r="20304">
      <c r="Y20304" s="372">
        <v>0.0</v>
      </c>
      <c r="Z20304" s="372">
        <v>0.0</v>
      </c>
    </row>
    <row r="20305">
      <c r="Y20305" s="372">
        <v>0.0</v>
      </c>
      <c r="Z20305" s="372">
        <v>0.0</v>
      </c>
    </row>
    <row r="20306">
      <c r="Y20306" s="372">
        <v>0.0</v>
      </c>
      <c r="Z20306" s="372">
        <v>0.0</v>
      </c>
    </row>
    <row r="20307">
      <c r="Y20307" s="372">
        <v>0.0</v>
      </c>
      <c r="Z20307" s="372">
        <v>0.0</v>
      </c>
    </row>
    <row r="20308">
      <c r="Y20308" s="372">
        <v>0.0</v>
      </c>
      <c r="Z20308" s="372">
        <v>0.0</v>
      </c>
    </row>
    <row r="20309">
      <c r="Y20309" s="372">
        <v>0.0</v>
      </c>
      <c r="Z20309" s="372">
        <v>0.0</v>
      </c>
    </row>
    <row r="20310">
      <c r="Y20310" s="372">
        <v>0.0</v>
      </c>
      <c r="Z20310" s="372">
        <v>0.0</v>
      </c>
    </row>
    <row r="20311">
      <c r="Y20311" s="372">
        <v>0.0</v>
      </c>
      <c r="Z20311" s="372">
        <v>0.0</v>
      </c>
    </row>
    <row r="20312">
      <c r="Y20312" s="372">
        <v>0.0</v>
      </c>
      <c r="Z20312" s="372">
        <v>0.0</v>
      </c>
    </row>
    <row r="20313">
      <c r="Y20313" s="372">
        <v>0.0</v>
      </c>
      <c r="Z20313" s="372">
        <v>0.0</v>
      </c>
    </row>
    <row r="20314">
      <c r="Y20314" s="372">
        <v>0.0</v>
      </c>
      <c r="Z20314" s="372">
        <v>0.0</v>
      </c>
    </row>
    <row r="20315">
      <c r="Y20315" s="372">
        <v>0.0</v>
      </c>
      <c r="Z20315" s="372">
        <v>0.0</v>
      </c>
    </row>
    <row r="20316">
      <c r="Y20316" s="372">
        <v>0.0</v>
      </c>
      <c r="Z20316" s="372">
        <v>0.0</v>
      </c>
    </row>
    <row r="20317">
      <c r="Y20317" s="372">
        <v>0.0</v>
      </c>
      <c r="Z20317" s="372">
        <v>0.0</v>
      </c>
    </row>
    <row r="20318">
      <c r="Y20318" s="372">
        <v>0.0</v>
      </c>
      <c r="Z20318" s="372">
        <v>0.0</v>
      </c>
    </row>
    <row r="20319">
      <c r="Y20319" s="372">
        <v>0.0</v>
      </c>
      <c r="Z20319" s="372">
        <v>0.0</v>
      </c>
    </row>
    <row r="20320">
      <c r="Y20320" s="372">
        <v>0.0</v>
      </c>
      <c r="Z20320" s="372">
        <v>0.0</v>
      </c>
    </row>
    <row r="20321">
      <c r="Y20321" s="372">
        <v>0.0</v>
      </c>
      <c r="Z20321" s="372">
        <v>0.0</v>
      </c>
    </row>
    <row r="20322">
      <c r="Y20322" s="372">
        <v>0.0</v>
      </c>
      <c r="Z20322" s="372">
        <v>0.0</v>
      </c>
    </row>
    <row r="20323">
      <c r="Y20323" s="372">
        <v>0.0</v>
      </c>
      <c r="Z20323" s="372">
        <v>0.0</v>
      </c>
    </row>
    <row r="20324">
      <c r="Y20324" s="372">
        <v>0.0</v>
      </c>
      <c r="Z20324" s="372">
        <v>0.0</v>
      </c>
    </row>
    <row r="20325">
      <c r="Y20325" s="372">
        <v>0.0</v>
      </c>
      <c r="Z20325" s="372">
        <v>0.0</v>
      </c>
    </row>
    <row r="20326">
      <c r="Y20326" s="372">
        <v>0.0</v>
      </c>
      <c r="Z20326" s="372">
        <v>0.0</v>
      </c>
    </row>
    <row r="20327">
      <c r="Y20327" s="372">
        <v>0.0</v>
      </c>
      <c r="Z20327" s="372">
        <v>0.0</v>
      </c>
    </row>
    <row r="20328">
      <c r="Y20328" s="372">
        <v>0.0</v>
      </c>
      <c r="Z20328" s="372">
        <v>0.0</v>
      </c>
    </row>
    <row r="20329">
      <c r="Y20329" s="372">
        <v>0.0</v>
      </c>
      <c r="Z20329" s="372">
        <v>0.0</v>
      </c>
    </row>
    <row r="20330">
      <c r="Y20330" s="372">
        <v>0.0</v>
      </c>
      <c r="Z20330" s="372">
        <v>0.0</v>
      </c>
    </row>
    <row r="20331">
      <c r="Y20331" s="372">
        <v>0.0</v>
      </c>
      <c r="Z20331" s="372">
        <v>0.0</v>
      </c>
    </row>
    <row r="20332">
      <c r="Y20332" s="372">
        <v>0.0</v>
      </c>
      <c r="Z20332" s="372">
        <v>0.0</v>
      </c>
    </row>
    <row r="20333">
      <c r="Y20333" s="372">
        <v>0.0</v>
      </c>
      <c r="Z20333" s="372">
        <v>0.0</v>
      </c>
    </row>
    <row r="20334">
      <c r="Y20334" s="372">
        <v>0.0</v>
      </c>
      <c r="Z20334" s="372">
        <v>0.0</v>
      </c>
    </row>
    <row r="20335">
      <c r="Y20335" s="372">
        <v>0.0</v>
      </c>
      <c r="Z20335" s="372">
        <v>0.0</v>
      </c>
    </row>
    <row r="20336">
      <c r="Y20336" s="372">
        <v>0.0</v>
      </c>
      <c r="Z20336" s="372">
        <v>0.0</v>
      </c>
    </row>
    <row r="20337">
      <c r="Y20337" s="372">
        <v>0.0</v>
      </c>
      <c r="Z20337" s="372">
        <v>0.0</v>
      </c>
    </row>
    <row r="20338">
      <c r="Y20338" s="372">
        <v>0.0</v>
      </c>
      <c r="Z20338" s="372">
        <v>0.0</v>
      </c>
    </row>
    <row r="20339">
      <c r="Y20339" s="372">
        <v>0.0</v>
      </c>
      <c r="Z20339" s="372">
        <v>0.0</v>
      </c>
    </row>
    <row r="20340">
      <c r="Y20340" s="372">
        <v>0.0</v>
      </c>
      <c r="Z20340" s="372">
        <v>0.0</v>
      </c>
    </row>
    <row r="20341">
      <c r="Y20341" s="372">
        <v>0.0</v>
      </c>
      <c r="Z20341" s="372">
        <v>0.0</v>
      </c>
    </row>
    <row r="20342">
      <c r="Y20342" s="372">
        <v>0.0</v>
      </c>
      <c r="Z20342" s="372">
        <v>0.0</v>
      </c>
    </row>
    <row r="20343">
      <c r="Y20343" s="372">
        <v>0.0</v>
      </c>
      <c r="Z20343" s="372">
        <v>0.0</v>
      </c>
    </row>
    <row r="20344">
      <c r="Y20344" s="372">
        <v>0.0</v>
      </c>
      <c r="Z20344" s="372">
        <v>0.0</v>
      </c>
    </row>
    <row r="20345">
      <c r="Y20345" s="372">
        <v>0.0</v>
      </c>
      <c r="Z20345" s="372">
        <v>0.0</v>
      </c>
    </row>
    <row r="20346">
      <c r="Y20346" s="372">
        <v>0.0</v>
      </c>
      <c r="Z20346" s="372">
        <v>0.0</v>
      </c>
    </row>
    <row r="20347">
      <c r="Y20347" s="372">
        <v>0.0</v>
      </c>
      <c r="Z20347" s="372">
        <v>0.0</v>
      </c>
    </row>
    <row r="20348">
      <c r="Y20348" s="372">
        <v>0.0</v>
      </c>
      <c r="Z20348" s="372">
        <v>0.0</v>
      </c>
    </row>
    <row r="20349">
      <c r="Y20349" s="372">
        <v>0.0</v>
      </c>
      <c r="Z20349" s="372">
        <v>0.0</v>
      </c>
    </row>
    <row r="20350">
      <c r="Y20350" s="372">
        <v>0.0</v>
      </c>
      <c r="Z20350" s="372">
        <v>0.0</v>
      </c>
    </row>
    <row r="20351">
      <c r="Y20351" s="372">
        <v>0.0</v>
      </c>
      <c r="Z20351" s="372">
        <v>0.0</v>
      </c>
    </row>
    <row r="20352">
      <c r="Y20352" s="372">
        <v>0.0</v>
      </c>
      <c r="Z20352" s="372">
        <v>0.0</v>
      </c>
    </row>
    <row r="20353">
      <c r="Y20353" s="372">
        <v>0.0</v>
      </c>
      <c r="Z20353" s="372">
        <v>0.0</v>
      </c>
    </row>
    <row r="20354">
      <c r="Y20354" s="372">
        <v>0.0</v>
      </c>
      <c r="Z20354" s="372">
        <v>0.0</v>
      </c>
    </row>
    <row r="20355">
      <c r="Y20355" s="372">
        <v>0.0</v>
      </c>
      <c r="Z20355" s="372">
        <v>0.0</v>
      </c>
    </row>
    <row r="20356">
      <c r="Y20356" s="372">
        <v>0.0</v>
      </c>
      <c r="Z20356" s="372">
        <v>0.0</v>
      </c>
    </row>
    <row r="20357">
      <c r="Y20357" s="372">
        <v>0.0</v>
      </c>
      <c r="Z20357" s="372">
        <v>0.0</v>
      </c>
    </row>
    <row r="20358">
      <c r="Y20358" s="372">
        <v>0.0</v>
      </c>
      <c r="Z20358" s="372">
        <v>0.0</v>
      </c>
    </row>
    <row r="20359">
      <c r="Y20359" s="372">
        <v>0.0</v>
      </c>
      <c r="Z20359" s="372">
        <v>0.0</v>
      </c>
    </row>
    <row r="20360">
      <c r="Y20360" s="372">
        <v>0.0</v>
      </c>
      <c r="Z20360" s="372">
        <v>0.0</v>
      </c>
    </row>
    <row r="20361">
      <c r="Y20361" s="372">
        <v>0.0</v>
      </c>
      <c r="Z20361" s="372">
        <v>0.0</v>
      </c>
    </row>
    <row r="20362">
      <c r="Y20362" s="372">
        <v>0.0</v>
      </c>
      <c r="Z20362" s="372">
        <v>0.0</v>
      </c>
    </row>
    <row r="20363">
      <c r="Y20363" s="372">
        <v>0.0</v>
      </c>
      <c r="Z20363" s="372">
        <v>0.0</v>
      </c>
    </row>
    <row r="20364">
      <c r="Y20364" s="372">
        <v>0.0</v>
      </c>
      <c r="Z20364" s="372">
        <v>0.0</v>
      </c>
    </row>
    <row r="20365">
      <c r="Y20365" s="372">
        <v>0.0</v>
      </c>
      <c r="Z20365" s="372">
        <v>0.0</v>
      </c>
    </row>
    <row r="20366">
      <c r="Y20366" s="372">
        <v>0.0</v>
      </c>
      <c r="Z20366" s="372">
        <v>0.0</v>
      </c>
    </row>
    <row r="20367">
      <c r="Y20367" s="372">
        <v>0.0</v>
      </c>
      <c r="Z20367" s="372">
        <v>0.0</v>
      </c>
    </row>
    <row r="20368">
      <c r="Y20368" s="372">
        <v>0.0</v>
      </c>
      <c r="Z20368" s="372">
        <v>0.0</v>
      </c>
    </row>
    <row r="20369">
      <c r="Y20369" s="372">
        <v>0.0</v>
      </c>
      <c r="Z20369" s="372">
        <v>0.0</v>
      </c>
    </row>
    <row r="20370">
      <c r="Y20370" s="372">
        <v>0.0</v>
      </c>
      <c r="Z20370" s="372">
        <v>0.0</v>
      </c>
    </row>
    <row r="20371">
      <c r="Y20371" s="372">
        <v>0.0</v>
      </c>
      <c r="Z20371" s="372">
        <v>0.0</v>
      </c>
    </row>
    <row r="20372">
      <c r="Y20372" s="372">
        <v>0.0</v>
      </c>
      <c r="Z20372" s="372">
        <v>0.0</v>
      </c>
    </row>
    <row r="20373">
      <c r="Y20373" s="372">
        <v>0.0</v>
      </c>
      <c r="Z20373" s="372">
        <v>0.0</v>
      </c>
    </row>
    <row r="20374">
      <c r="Y20374" s="372">
        <v>0.0</v>
      </c>
      <c r="Z20374" s="372">
        <v>0.0</v>
      </c>
    </row>
    <row r="20375">
      <c r="Y20375" s="372">
        <v>0.0</v>
      </c>
      <c r="Z20375" s="372">
        <v>0.0</v>
      </c>
    </row>
    <row r="20376">
      <c r="Y20376" s="372">
        <v>0.0</v>
      </c>
      <c r="Z20376" s="372">
        <v>0.0</v>
      </c>
    </row>
    <row r="20377">
      <c r="Y20377" s="372">
        <v>0.0</v>
      </c>
      <c r="Z20377" s="372">
        <v>0.0</v>
      </c>
    </row>
    <row r="20378">
      <c r="Y20378" s="372">
        <v>0.0</v>
      </c>
      <c r="Z20378" s="372">
        <v>0.0</v>
      </c>
    </row>
    <row r="20379">
      <c r="Y20379" s="372">
        <v>0.0</v>
      </c>
      <c r="Z20379" s="372">
        <v>0.0</v>
      </c>
    </row>
    <row r="20380">
      <c r="Y20380" s="372">
        <v>0.0</v>
      </c>
      <c r="Z20380" s="372">
        <v>0.0</v>
      </c>
    </row>
    <row r="20381">
      <c r="Y20381" s="372">
        <v>0.0</v>
      </c>
      <c r="Z20381" s="372">
        <v>0.0</v>
      </c>
    </row>
    <row r="20382">
      <c r="Y20382" s="372">
        <v>0.0</v>
      </c>
      <c r="Z20382" s="372">
        <v>0.0</v>
      </c>
    </row>
    <row r="20383">
      <c r="Y20383" s="372">
        <v>0.0</v>
      </c>
      <c r="Z20383" s="372">
        <v>0.0</v>
      </c>
    </row>
    <row r="20384">
      <c r="Y20384" s="372">
        <v>0.0</v>
      </c>
      <c r="Z20384" s="372">
        <v>0.0</v>
      </c>
    </row>
    <row r="20385">
      <c r="Y20385" s="372">
        <v>0.0</v>
      </c>
      <c r="Z20385" s="372">
        <v>0.0</v>
      </c>
    </row>
    <row r="20386">
      <c r="Y20386" s="372">
        <v>0.0</v>
      </c>
      <c r="Z20386" s="372">
        <v>0.0</v>
      </c>
    </row>
    <row r="20387">
      <c r="Y20387" s="372">
        <v>0.0</v>
      </c>
      <c r="Z20387" s="372">
        <v>0.0</v>
      </c>
    </row>
    <row r="20388">
      <c r="Y20388" s="372">
        <v>0.0</v>
      </c>
      <c r="Z20388" s="372">
        <v>0.0</v>
      </c>
    </row>
    <row r="20389">
      <c r="Y20389" s="372">
        <v>0.0</v>
      </c>
      <c r="Z20389" s="372">
        <v>0.0</v>
      </c>
    </row>
    <row r="20390">
      <c r="Y20390" s="372">
        <v>0.0</v>
      </c>
      <c r="Z20390" s="372">
        <v>0.0</v>
      </c>
    </row>
    <row r="20391">
      <c r="Y20391" s="372">
        <v>0.0</v>
      </c>
      <c r="Z20391" s="372">
        <v>0.0</v>
      </c>
    </row>
    <row r="20392">
      <c r="Y20392" s="372">
        <v>0.0</v>
      </c>
      <c r="Z20392" s="372">
        <v>0.0</v>
      </c>
    </row>
    <row r="20393">
      <c r="Y20393" s="372">
        <v>0.0</v>
      </c>
      <c r="Z20393" s="372">
        <v>0.0</v>
      </c>
    </row>
    <row r="20394">
      <c r="Y20394" s="372">
        <v>0.0</v>
      </c>
      <c r="Z20394" s="372">
        <v>0.0</v>
      </c>
    </row>
    <row r="20395">
      <c r="Y20395" s="372">
        <v>0.0</v>
      </c>
      <c r="Z20395" s="372">
        <v>0.0</v>
      </c>
    </row>
    <row r="20396">
      <c r="Y20396" s="372">
        <v>0.0</v>
      </c>
      <c r="Z20396" s="372">
        <v>0.0</v>
      </c>
    </row>
    <row r="20397">
      <c r="Y20397" s="372">
        <v>0.0</v>
      </c>
      <c r="Z20397" s="372">
        <v>0.0</v>
      </c>
    </row>
    <row r="20398">
      <c r="Y20398" s="372">
        <v>0.0</v>
      </c>
      <c r="Z20398" s="372">
        <v>0.0</v>
      </c>
    </row>
    <row r="20399">
      <c r="Y20399" s="372">
        <v>0.0</v>
      </c>
      <c r="Z20399" s="372">
        <v>0.0</v>
      </c>
    </row>
    <row r="20400">
      <c r="Y20400" s="372">
        <v>0.0</v>
      </c>
      <c r="Z20400" s="372">
        <v>0.0</v>
      </c>
    </row>
    <row r="20401">
      <c r="Y20401" s="372">
        <v>0.0</v>
      </c>
      <c r="Z20401" s="372">
        <v>0.0</v>
      </c>
    </row>
    <row r="20402">
      <c r="Y20402" s="372">
        <v>0.0</v>
      </c>
      <c r="Z20402" s="372">
        <v>0.0</v>
      </c>
    </row>
    <row r="20403">
      <c r="Y20403" s="372">
        <v>0.0</v>
      </c>
      <c r="Z20403" s="372">
        <v>0.0</v>
      </c>
    </row>
    <row r="20404">
      <c r="Y20404" s="372">
        <v>0.0</v>
      </c>
      <c r="Z20404" s="372">
        <v>0.0</v>
      </c>
    </row>
    <row r="20405">
      <c r="Y20405" s="372">
        <v>0.0</v>
      </c>
      <c r="Z20405" s="372">
        <v>0.0</v>
      </c>
    </row>
    <row r="20406">
      <c r="Y20406" s="372">
        <v>0.0</v>
      </c>
      <c r="Z20406" s="372">
        <v>0.0</v>
      </c>
    </row>
    <row r="20407">
      <c r="Y20407" s="372">
        <v>0.0</v>
      </c>
      <c r="Z20407" s="372">
        <v>0.0</v>
      </c>
    </row>
    <row r="20408">
      <c r="Y20408" s="372">
        <v>0.0</v>
      </c>
      <c r="Z20408" s="372">
        <v>0.0</v>
      </c>
    </row>
    <row r="20409">
      <c r="Y20409" s="372">
        <v>0.0</v>
      </c>
      <c r="Z20409" s="372">
        <v>0.0</v>
      </c>
    </row>
    <row r="20410">
      <c r="Y20410" s="372">
        <v>0.0</v>
      </c>
      <c r="Z20410" s="372">
        <v>0.0</v>
      </c>
    </row>
    <row r="20411">
      <c r="Y20411" s="372">
        <v>0.0</v>
      </c>
      <c r="Z20411" s="372">
        <v>0.0</v>
      </c>
    </row>
    <row r="20412">
      <c r="Y20412" s="372">
        <v>0.0</v>
      </c>
      <c r="Z20412" s="372">
        <v>0.0</v>
      </c>
    </row>
    <row r="20413">
      <c r="Y20413" s="372">
        <v>0.0</v>
      </c>
      <c r="Z20413" s="372">
        <v>0.0</v>
      </c>
    </row>
    <row r="20414">
      <c r="Y20414" s="372">
        <v>0.0</v>
      </c>
      <c r="Z20414" s="372">
        <v>0.0</v>
      </c>
    </row>
    <row r="20415">
      <c r="Y20415" s="372">
        <v>0.0</v>
      </c>
      <c r="Z20415" s="372">
        <v>0.0</v>
      </c>
    </row>
    <row r="20416">
      <c r="Y20416" s="372">
        <v>0.0</v>
      </c>
      <c r="Z20416" s="372">
        <v>0.0</v>
      </c>
    </row>
    <row r="20417">
      <c r="Y20417" s="372">
        <v>0.0</v>
      </c>
      <c r="Z20417" s="372">
        <v>0.0</v>
      </c>
    </row>
    <row r="20418">
      <c r="Y20418" s="372">
        <v>0.0</v>
      </c>
      <c r="Z20418" s="372">
        <v>0.0</v>
      </c>
    </row>
    <row r="20419">
      <c r="Y20419" s="372">
        <v>0.0</v>
      </c>
      <c r="Z20419" s="372">
        <v>0.0</v>
      </c>
    </row>
    <row r="20420">
      <c r="Y20420" s="372">
        <v>0.0</v>
      </c>
      <c r="Z20420" s="372">
        <v>0.0</v>
      </c>
    </row>
    <row r="20421">
      <c r="Y20421" s="372">
        <v>0.0</v>
      </c>
      <c r="Z20421" s="372">
        <v>0.0</v>
      </c>
    </row>
    <row r="20422">
      <c r="Y20422" s="372">
        <v>0.0</v>
      </c>
      <c r="Z20422" s="372">
        <v>0.0</v>
      </c>
    </row>
    <row r="20423">
      <c r="Y20423" s="372">
        <v>0.0</v>
      </c>
      <c r="Z20423" s="372">
        <v>0.0</v>
      </c>
    </row>
    <row r="20424">
      <c r="Y20424" s="372">
        <v>0.0</v>
      </c>
      <c r="Z20424" s="372">
        <v>0.0</v>
      </c>
    </row>
    <row r="20425">
      <c r="Y20425" s="372">
        <v>0.0</v>
      </c>
      <c r="Z20425" s="372">
        <v>0.0</v>
      </c>
    </row>
    <row r="20426">
      <c r="Y20426" s="372">
        <v>0.0</v>
      </c>
      <c r="Z20426" s="372">
        <v>0.0</v>
      </c>
    </row>
    <row r="20427">
      <c r="Y20427" s="372">
        <v>0.0</v>
      </c>
      <c r="Z20427" s="372">
        <v>0.0</v>
      </c>
    </row>
    <row r="20428">
      <c r="Y20428" s="372">
        <v>0.0</v>
      </c>
      <c r="Z20428" s="372">
        <v>0.0</v>
      </c>
    </row>
    <row r="20429">
      <c r="Y20429" s="372">
        <v>0.0</v>
      </c>
      <c r="Z20429" s="372">
        <v>0.0</v>
      </c>
    </row>
    <row r="20430">
      <c r="Y20430" s="372">
        <v>0.0</v>
      </c>
      <c r="Z20430" s="372">
        <v>0.0</v>
      </c>
    </row>
    <row r="20431">
      <c r="Y20431" s="372">
        <v>0.0</v>
      </c>
      <c r="Z20431" s="372">
        <v>0.0</v>
      </c>
    </row>
    <row r="20432">
      <c r="Y20432" s="372">
        <v>0.0</v>
      </c>
      <c r="Z20432" s="372">
        <v>0.0</v>
      </c>
    </row>
    <row r="20433">
      <c r="Y20433" s="372">
        <v>0.0</v>
      </c>
      <c r="Z20433" s="372">
        <v>0.0</v>
      </c>
    </row>
    <row r="20434">
      <c r="Y20434" s="372">
        <v>0.0</v>
      </c>
      <c r="Z20434" s="372">
        <v>0.0</v>
      </c>
    </row>
    <row r="20435">
      <c r="Y20435" s="372">
        <v>0.0</v>
      </c>
      <c r="Z20435" s="372">
        <v>0.0</v>
      </c>
    </row>
    <row r="20436">
      <c r="Y20436" s="372">
        <v>0.0</v>
      </c>
      <c r="Z20436" s="372">
        <v>0.0</v>
      </c>
    </row>
    <row r="20437">
      <c r="Y20437" s="372">
        <v>0.0</v>
      </c>
      <c r="Z20437" s="372">
        <v>0.0</v>
      </c>
    </row>
    <row r="20438">
      <c r="Y20438" s="372">
        <v>0.0</v>
      </c>
      <c r="Z20438" s="372">
        <v>0.0</v>
      </c>
    </row>
    <row r="20439">
      <c r="Y20439" s="372">
        <v>0.0</v>
      </c>
      <c r="Z20439" s="372">
        <v>0.0</v>
      </c>
    </row>
    <row r="20440">
      <c r="Y20440" s="372">
        <v>0.0</v>
      </c>
      <c r="Z20440" s="372">
        <v>0.0</v>
      </c>
    </row>
    <row r="20441">
      <c r="Y20441" s="372">
        <v>0.0</v>
      </c>
      <c r="Z20441" s="372">
        <v>0.0</v>
      </c>
    </row>
    <row r="20442">
      <c r="Y20442" s="372">
        <v>0.0</v>
      </c>
      <c r="Z20442" s="372">
        <v>0.0</v>
      </c>
    </row>
    <row r="20443">
      <c r="Y20443" s="372">
        <v>0.0</v>
      </c>
      <c r="Z20443" s="372">
        <v>0.0</v>
      </c>
    </row>
    <row r="20444">
      <c r="Y20444" s="372">
        <v>0.0</v>
      </c>
      <c r="Z20444" s="372">
        <v>0.0</v>
      </c>
    </row>
    <row r="20445">
      <c r="Y20445" s="372">
        <v>0.0</v>
      </c>
      <c r="Z20445" s="372">
        <v>0.0</v>
      </c>
    </row>
    <row r="20446">
      <c r="Y20446" s="372">
        <v>0.0</v>
      </c>
      <c r="Z20446" s="372">
        <v>0.0</v>
      </c>
    </row>
    <row r="20447">
      <c r="Y20447" s="372">
        <v>0.0</v>
      </c>
      <c r="Z20447" s="372">
        <v>0.0</v>
      </c>
    </row>
    <row r="20448">
      <c r="Y20448" s="372">
        <v>0.0</v>
      </c>
      <c r="Z20448" s="372">
        <v>0.0</v>
      </c>
    </row>
    <row r="20449">
      <c r="Y20449" s="372">
        <v>0.0</v>
      </c>
      <c r="Z20449" s="372">
        <v>0.0</v>
      </c>
    </row>
    <row r="20450">
      <c r="Y20450" s="372">
        <v>0.0</v>
      </c>
      <c r="Z20450" s="372">
        <v>0.0</v>
      </c>
    </row>
    <row r="20451">
      <c r="Y20451" s="372">
        <v>0.0</v>
      </c>
      <c r="Z20451" s="372">
        <v>0.0</v>
      </c>
    </row>
    <row r="20452">
      <c r="Y20452" s="372">
        <v>0.0</v>
      </c>
      <c r="Z20452" s="372">
        <v>0.0</v>
      </c>
    </row>
    <row r="20453">
      <c r="Y20453" s="372">
        <v>0.0</v>
      </c>
      <c r="Z20453" s="372">
        <v>0.0</v>
      </c>
    </row>
    <row r="20454">
      <c r="Y20454" s="372">
        <v>0.0</v>
      </c>
      <c r="Z20454" s="372">
        <v>0.0</v>
      </c>
    </row>
    <row r="20455">
      <c r="Y20455" s="372">
        <v>0.0</v>
      </c>
      <c r="Z20455" s="372">
        <v>0.0</v>
      </c>
    </row>
    <row r="20456">
      <c r="Y20456" s="372">
        <v>0.0</v>
      </c>
      <c r="Z20456" s="372">
        <v>0.0</v>
      </c>
    </row>
    <row r="20457">
      <c r="Y20457" s="372">
        <v>0.0</v>
      </c>
      <c r="Z20457" s="372">
        <v>0.0</v>
      </c>
    </row>
    <row r="20458">
      <c r="Y20458" s="372">
        <v>0.0</v>
      </c>
      <c r="Z20458" s="372">
        <v>0.0</v>
      </c>
    </row>
    <row r="20459">
      <c r="Y20459" s="372">
        <v>0.0</v>
      </c>
      <c r="Z20459" s="372">
        <v>0.0</v>
      </c>
    </row>
    <row r="20460">
      <c r="Y20460" s="372">
        <v>0.0</v>
      </c>
      <c r="Z20460" s="372">
        <v>0.0</v>
      </c>
    </row>
    <row r="20461">
      <c r="Y20461" s="372">
        <v>0.0</v>
      </c>
      <c r="Z20461" s="372">
        <v>0.0</v>
      </c>
    </row>
    <row r="20462">
      <c r="Y20462" s="372">
        <v>0.0</v>
      </c>
      <c r="Z20462" s="372">
        <v>0.0</v>
      </c>
    </row>
    <row r="20463">
      <c r="Y20463" s="372">
        <v>0.0</v>
      </c>
      <c r="Z20463" s="372">
        <v>0.0</v>
      </c>
    </row>
    <row r="20464">
      <c r="Y20464" s="372">
        <v>0.0</v>
      </c>
      <c r="Z20464" s="372">
        <v>0.0</v>
      </c>
    </row>
    <row r="20465">
      <c r="Y20465" s="372">
        <v>0.0</v>
      </c>
      <c r="Z20465" s="372">
        <v>0.0</v>
      </c>
    </row>
    <row r="20466">
      <c r="Y20466" s="372">
        <v>0.0</v>
      </c>
      <c r="Z20466" s="372">
        <v>0.0</v>
      </c>
    </row>
    <row r="20467">
      <c r="Y20467" s="372">
        <v>0.0</v>
      </c>
      <c r="Z20467" s="372">
        <v>0.0</v>
      </c>
    </row>
    <row r="20468">
      <c r="Y20468" s="372">
        <v>0.0</v>
      </c>
      <c r="Z20468" s="372">
        <v>0.0</v>
      </c>
    </row>
    <row r="20469">
      <c r="Y20469" s="372">
        <v>0.0</v>
      </c>
      <c r="Z20469" s="372">
        <v>0.0</v>
      </c>
    </row>
    <row r="20470">
      <c r="Y20470" s="372">
        <v>0.0</v>
      </c>
      <c r="Z20470" s="372">
        <v>0.0</v>
      </c>
    </row>
    <row r="20471">
      <c r="Y20471" s="372">
        <v>0.0</v>
      </c>
      <c r="Z20471" s="372">
        <v>0.0</v>
      </c>
    </row>
    <row r="20472">
      <c r="Y20472" s="372">
        <v>0.0</v>
      </c>
      <c r="Z20472" s="372">
        <v>0.0</v>
      </c>
    </row>
    <row r="20473">
      <c r="Y20473" s="372">
        <v>0.0</v>
      </c>
      <c r="Z20473" s="372">
        <v>0.0</v>
      </c>
    </row>
    <row r="20474">
      <c r="Y20474" s="372">
        <v>0.0</v>
      </c>
      <c r="Z20474" s="372">
        <v>0.0</v>
      </c>
    </row>
    <row r="20475">
      <c r="Y20475" s="372">
        <v>0.0</v>
      </c>
      <c r="Z20475" s="372">
        <v>0.0</v>
      </c>
    </row>
    <row r="20476">
      <c r="Y20476" s="372">
        <v>0.0</v>
      </c>
      <c r="Z20476" s="372">
        <v>0.0</v>
      </c>
    </row>
    <row r="20477">
      <c r="Y20477" s="372">
        <v>0.0</v>
      </c>
      <c r="Z20477" s="372">
        <v>0.0</v>
      </c>
    </row>
    <row r="20478">
      <c r="Y20478" s="372">
        <v>0.0</v>
      </c>
      <c r="Z20478" s="372">
        <v>0.0</v>
      </c>
    </row>
    <row r="20479">
      <c r="Y20479" s="372">
        <v>0.0</v>
      </c>
      <c r="Z20479" s="372">
        <v>0.0</v>
      </c>
    </row>
    <row r="20480">
      <c r="Y20480" s="372">
        <v>0.0</v>
      </c>
      <c r="Z20480" s="372">
        <v>0.0</v>
      </c>
    </row>
    <row r="20481">
      <c r="Y20481" s="372">
        <v>0.0</v>
      </c>
      <c r="Z20481" s="372">
        <v>0.0</v>
      </c>
    </row>
    <row r="20482">
      <c r="Y20482" s="372">
        <v>0.0</v>
      </c>
      <c r="Z20482" s="372">
        <v>0.0</v>
      </c>
    </row>
    <row r="20483">
      <c r="Y20483" s="372">
        <v>0.0</v>
      </c>
      <c r="Z20483" s="372">
        <v>0.0</v>
      </c>
    </row>
    <row r="20484">
      <c r="Y20484" s="372">
        <v>0.0</v>
      </c>
      <c r="Z20484" s="372">
        <v>0.0</v>
      </c>
    </row>
    <row r="20485">
      <c r="Y20485" s="372">
        <v>0.0</v>
      </c>
      <c r="Z20485" s="372">
        <v>0.0</v>
      </c>
    </row>
    <row r="20486">
      <c r="Y20486" s="372">
        <v>0.0</v>
      </c>
      <c r="Z20486" s="372">
        <v>0.0</v>
      </c>
    </row>
    <row r="20487">
      <c r="Y20487" s="372">
        <v>0.0</v>
      </c>
      <c r="Z20487" s="372">
        <v>0.0</v>
      </c>
    </row>
    <row r="20488">
      <c r="Y20488" s="372">
        <v>0.0</v>
      </c>
      <c r="Z20488" s="372">
        <v>0.0</v>
      </c>
    </row>
    <row r="20489">
      <c r="Y20489" s="372">
        <v>0.0</v>
      </c>
      <c r="Z20489" s="372">
        <v>0.0</v>
      </c>
    </row>
    <row r="20490">
      <c r="Y20490" s="372">
        <v>0.0</v>
      </c>
      <c r="Z20490" s="372">
        <v>0.0</v>
      </c>
    </row>
    <row r="20491">
      <c r="Y20491" s="372">
        <v>0.0</v>
      </c>
      <c r="Z20491" s="372">
        <v>0.0</v>
      </c>
    </row>
    <row r="20492">
      <c r="Y20492" s="372">
        <v>0.0</v>
      </c>
      <c r="Z20492" s="372">
        <v>0.0</v>
      </c>
    </row>
    <row r="20493">
      <c r="Y20493" s="372">
        <v>0.0</v>
      </c>
      <c r="Z20493" s="372">
        <v>0.0</v>
      </c>
    </row>
    <row r="20494">
      <c r="Y20494" s="372">
        <v>0.0</v>
      </c>
      <c r="Z20494" s="372">
        <v>0.0</v>
      </c>
    </row>
    <row r="20495">
      <c r="Y20495" s="372">
        <v>0.0</v>
      </c>
      <c r="Z20495" s="372">
        <v>0.0</v>
      </c>
    </row>
    <row r="20496">
      <c r="Y20496" s="372">
        <v>0.0</v>
      </c>
      <c r="Z20496" s="372">
        <v>0.0</v>
      </c>
    </row>
    <row r="20497">
      <c r="Y20497" s="372">
        <v>0.0</v>
      </c>
      <c r="Z20497" s="372">
        <v>0.0</v>
      </c>
    </row>
    <row r="20498">
      <c r="Y20498" s="372">
        <v>0.0</v>
      </c>
      <c r="Z20498" s="372">
        <v>0.0</v>
      </c>
    </row>
    <row r="20499">
      <c r="Y20499" s="372">
        <v>0.0</v>
      </c>
      <c r="Z20499" s="372">
        <v>0.0</v>
      </c>
    </row>
    <row r="20500">
      <c r="Y20500" s="372">
        <v>0.0</v>
      </c>
      <c r="Z20500" s="372">
        <v>0.0</v>
      </c>
    </row>
    <row r="20501">
      <c r="Y20501" s="372">
        <v>0.0</v>
      </c>
      <c r="Z20501" s="372">
        <v>0.0</v>
      </c>
    </row>
    <row r="20502">
      <c r="Y20502" s="372">
        <v>0.0</v>
      </c>
      <c r="Z20502" s="372">
        <v>0.0</v>
      </c>
    </row>
    <row r="20503">
      <c r="Y20503" s="372">
        <v>0.0</v>
      </c>
      <c r="Z20503" s="372">
        <v>0.0</v>
      </c>
    </row>
    <row r="20504">
      <c r="Y20504" s="372">
        <v>0.0</v>
      </c>
      <c r="Z20504" s="372">
        <v>0.0</v>
      </c>
    </row>
    <row r="20505">
      <c r="Y20505" s="372">
        <v>0.0</v>
      </c>
      <c r="Z20505" s="372">
        <v>0.0</v>
      </c>
    </row>
    <row r="20506">
      <c r="Y20506" s="372">
        <v>0.0</v>
      </c>
      <c r="Z20506" s="372">
        <v>0.0</v>
      </c>
    </row>
    <row r="20507">
      <c r="Y20507" s="372">
        <v>0.0</v>
      </c>
      <c r="Z20507" s="372">
        <v>0.0</v>
      </c>
    </row>
    <row r="20508">
      <c r="Y20508" s="372">
        <v>0.0</v>
      </c>
      <c r="Z20508" s="372">
        <v>0.0</v>
      </c>
    </row>
    <row r="20509">
      <c r="Y20509" s="372">
        <v>0.0</v>
      </c>
      <c r="Z20509" s="372">
        <v>0.0</v>
      </c>
    </row>
    <row r="20510">
      <c r="Y20510" s="372">
        <v>0.0</v>
      </c>
      <c r="Z20510" s="372">
        <v>0.0</v>
      </c>
    </row>
    <row r="20511">
      <c r="Y20511" s="372">
        <v>0.0</v>
      </c>
      <c r="Z20511" s="372">
        <v>0.0</v>
      </c>
    </row>
    <row r="20512">
      <c r="Y20512" s="372">
        <v>0.0</v>
      </c>
      <c r="Z20512" s="372">
        <v>0.0</v>
      </c>
    </row>
    <row r="20513">
      <c r="Y20513" s="372">
        <v>0.0</v>
      </c>
      <c r="Z20513" s="372">
        <v>0.0</v>
      </c>
    </row>
    <row r="20514">
      <c r="Y20514" s="372">
        <v>0.0</v>
      </c>
      <c r="Z20514" s="372">
        <v>0.0</v>
      </c>
    </row>
    <row r="20515">
      <c r="Y20515" s="372">
        <v>0.0</v>
      </c>
      <c r="Z20515" s="372">
        <v>0.0</v>
      </c>
    </row>
    <row r="20516">
      <c r="Y20516" s="372">
        <v>0.0</v>
      </c>
      <c r="Z20516" s="372">
        <v>0.0</v>
      </c>
    </row>
    <row r="20517">
      <c r="Y20517" s="372">
        <v>0.0</v>
      </c>
      <c r="Z20517" s="372">
        <v>0.0</v>
      </c>
    </row>
    <row r="20518">
      <c r="Y20518" s="372">
        <v>0.0</v>
      </c>
      <c r="Z20518" s="372">
        <v>0.0</v>
      </c>
    </row>
    <row r="20519">
      <c r="Y20519" s="372">
        <v>0.0</v>
      </c>
      <c r="Z20519" s="372">
        <v>0.0</v>
      </c>
    </row>
    <row r="20520">
      <c r="Y20520" s="372">
        <v>0.0</v>
      </c>
      <c r="Z20520" s="372">
        <v>0.0</v>
      </c>
    </row>
    <row r="20521">
      <c r="Y20521" s="372">
        <v>0.0</v>
      </c>
      <c r="Z20521" s="372">
        <v>0.0</v>
      </c>
    </row>
    <row r="20522">
      <c r="Y20522" s="372">
        <v>0.0</v>
      </c>
      <c r="Z20522" s="372">
        <v>0.0</v>
      </c>
    </row>
    <row r="20523">
      <c r="Y20523" s="372">
        <v>0.0</v>
      </c>
      <c r="Z20523" s="372">
        <v>0.0</v>
      </c>
    </row>
    <row r="20524">
      <c r="Y20524" s="372">
        <v>0.0</v>
      </c>
      <c r="Z20524" s="372">
        <v>0.0</v>
      </c>
    </row>
    <row r="20525">
      <c r="Y20525" s="372">
        <v>0.0</v>
      </c>
      <c r="Z20525" s="372">
        <v>0.0</v>
      </c>
    </row>
    <row r="20526">
      <c r="Y20526" s="372">
        <v>0.0</v>
      </c>
      <c r="Z20526" s="372">
        <v>0.0</v>
      </c>
    </row>
    <row r="20527">
      <c r="Y20527" s="372">
        <v>0.0</v>
      </c>
      <c r="Z20527" s="372">
        <v>0.0</v>
      </c>
    </row>
    <row r="20528">
      <c r="Y20528" s="372">
        <v>0.0</v>
      </c>
      <c r="Z20528" s="372">
        <v>0.0</v>
      </c>
    </row>
    <row r="20529">
      <c r="Y20529" s="372">
        <v>0.0</v>
      </c>
      <c r="Z20529" s="372">
        <v>0.0</v>
      </c>
    </row>
    <row r="20530">
      <c r="Y20530" s="372">
        <v>0.0</v>
      </c>
      <c r="Z20530" s="372">
        <v>0.0</v>
      </c>
    </row>
    <row r="20531">
      <c r="Y20531" s="372">
        <v>0.0</v>
      </c>
      <c r="Z20531" s="372">
        <v>0.0</v>
      </c>
    </row>
    <row r="20532">
      <c r="Y20532" s="372">
        <v>0.0</v>
      </c>
      <c r="Z20532" s="372">
        <v>0.0</v>
      </c>
    </row>
    <row r="20533">
      <c r="Y20533" s="372">
        <v>0.0</v>
      </c>
      <c r="Z20533" s="372">
        <v>0.0</v>
      </c>
    </row>
    <row r="20534">
      <c r="Y20534" s="372">
        <v>0.0</v>
      </c>
      <c r="Z20534" s="372">
        <v>0.0</v>
      </c>
    </row>
    <row r="20535">
      <c r="Y20535" s="372">
        <v>0.0</v>
      </c>
      <c r="Z20535" s="372">
        <v>0.0</v>
      </c>
    </row>
    <row r="20536">
      <c r="Y20536" s="372">
        <v>0.0</v>
      </c>
      <c r="Z20536" s="372">
        <v>0.0</v>
      </c>
    </row>
    <row r="20537">
      <c r="Y20537" s="372">
        <v>0.0</v>
      </c>
      <c r="Z20537" s="372">
        <v>0.0</v>
      </c>
    </row>
    <row r="20538">
      <c r="Y20538" s="372">
        <v>0.0</v>
      </c>
      <c r="Z20538" s="372">
        <v>0.0</v>
      </c>
    </row>
    <row r="20539">
      <c r="Y20539" s="372">
        <v>0.0</v>
      </c>
      <c r="Z20539" s="372">
        <v>0.0</v>
      </c>
    </row>
    <row r="20540">
      <c r="Y20540" s="372">
        <v>0.0</v>
      </c>
      <c r="Z20540" s="372">
        <v>0.0</v>
      </c>
    </row>
    <row r="20541">
      <c r="Y20541" s="372">
        <v>0.0</v>
      </c>
      <c r="Z20541" s="372">
        <v>0.0</v>
      </c>
    </row>
    <row r="20542">
      <c r="Y20542" s="372">
        <v>0.0</v>
      </c>
      <c r="Z20542" s="372">
        <v>0.0</v>
      </c>
    </row>
    <row r="20543">
      <c r="Y20543" s="372">
        <v>0.0</v>
      </c>
      <c r="Z20543" s="372">
        <v>0.0</v>
      </c>
    </row>
    <row r="20544">
      <c r="Y20544" s="372">
        <v>0.0</v>
      </c>
      <c r="Z20544" s="372">
        <v>0.0</v>
      </c>
    </row>
    <row r="20545">
      <c r="Y20545" s="372">
        <v>0.0</v>
      </c>
      <c r="Z20545" s="372">
        <v>0.0</v>
      </c>
    </row>
    <row r="20546">
      <c r="Y20546" s="372">
        <v>0.0</v>
      </c>
      <c r="Z20546" s="372">
        <v>0.0</v>
      </c>
    </row>
    <row r="20547">
      <c r="Y20547" s="372">
        <v>0.0</v>
      </c>
      <c r="Z20547" s="372">
        <v>0.0</v>
      </c>
    </row>
    <row r="20548">
      <c r="Y20548" s="372">
        <v>0.0</v>
      </c>
      <c r="Z20548" s="372">
        <v>0.0</v>
      </c>
    </row>
    <row r="20549">
      <c r="Y20549" s="372">
        <v>0.0</v>
      </c>
      <c r="Z20549" s="372">
        <v>0.0</v>
      </c>
    </row>
    <row r="20550">
      <c r="Y20550" s="372">
        <v>0.0</v>
      </c>
      <c r="Z20550" s="372">
        <v>0.0</v>
      </c>
    </row>
    <row r="20551">
      <c r="Y20551" s="372">
        <v>0.0</v>
      </c>
      <c r="Z20551" s="372">
        <v>0.0</v>
      </c>
    </row>
    <row r="20552">
      <c r="Y20552" s="372">
        <v>0.0</v>
      </c>
      <c r="Z20552" s="372">
        <v>0.0</v>
      </c>
    </row>
    <row r="20553">
      <c r="Y20553" s="372">
        <v>0.0</v>
      </c>
      <c r="Z20553" s="372">
        <v>0.0</v>
      </c>
    </row>
    <row r="20554">
      <c r="Y20554" s="372">
        <v>0.0</v>
      </c>
      <c r="Z20554" s="372">
        <v>0.0</v>
      </c>
    </row>
    <row r="20555">
      <c r="Y20555" s="372">
        <v>0.0</v>
      </c>
      <c r="Z20555" s="372">
        <v>0.0</v>
      </c>
    </row>
    <row r="20556">
      <c r="Y20556" s="372">
        <v>0.0</v>
      </c>
      <c r="Z20556" s="372">
        <v>0.0</v>
      </c>
    </row>
    <row r="20557">
      <c r="Y20557" s="372">
        <v>0.0</v>
      </c>
      <c r="Z20557" s="372">
        <v>0.0</v>
      </c>
    </row>
    <row r="20558">
      <c r="Y20558" s="372">
        <v>0.0</v>
      </c>
      <c r="Z20558" s="372">
        <v>0.0</v>
      </c>
    </row>
    <row r="20559">
      <c r="Y20559" s="372">
        <v>0.0</v>
      </c>
      <c r="Z20559" s="372">
        <v>0.0</v>
      </c>
    </row>
    <row r="20560">
      <c r="Y20560" s="372">
        <v>0.0</v>
      </c>
      <c r="Z20560" s="372">
        <v>0.0</v>
      </c>
    </row>
    <row r="20561">
      <c r="Y20561" s="372">
        <v>0.0</v>
      </c>
      <c r="Z20561" s="372">
        <v>0.0</v>
      </c>
    </row>
    <row r="20562">
      <c r="Y20562" s="372">
        <v>0.0</v>
      </c>
      <c r="Z20562" s="372">
        <v>0.0</v>
      </c>
    </row>
    <row r="20563">
      <c r="Y20563" s="372">
        <v>0.0</v>
      </c>
      <c r="Z20563" s="372">
        <v>0.0</v>
      </c>
    </row>
    <row r="20564">
      <c r="Y20564" s="372">
        <v>0.0</v>
      </c>
      <c r="Z20564" s="372">
        <v>0.0</v>
      </c>
    </row>
    <row r="20565">
      <c r="Y20565" s="372">
        <v>0.0</v>
      </c>
      <c r="Z20565" s="372">
        <v>0.0</v>
      </c>
    </row>
    <row r="20566">
      <c r="Y20566" s="372">
        <v>0.0</v>
      </c>
      <c r="Z20566" s="372">
        <v>0.0</v>
      </c>
    </row>
    <row r="20567">
      <c r="Y20567" s="372">
        <v>0.0</v>
      </c>
      <c r="Z20567" s="372">
        <v>0.0</v>
      </c>
    </row>
    <row r="20568">
      <c r="Y20568" s="372">
        <v>0.0</v>
      </c>
      <c r="Z20568" s="372">
        <v>0.0</v>
      </c>
    </row>
    <row r="20569">
      <c r="Y20569" s="372">
        <v>0.0</v>
      </c>
      <c r="Z20569" s="372">
        <v>0.0</v>
      </c>
    </row>
    <row r="20570">
      <c r="Y20570" s="372">
        <v>0.0</v>
      </c>
      <c r="Z20570" s="372">
        <v>0.0</v>
      </c>
    </row>
    <row r="20571">
      <c r="Y20571" s="372">
        <v>0.0</v>
      </c>
      <c r="Z20571" s="372">
        <v>0.0</v>
      </c>
    </row>
    <row r="20572">
      <c r="Y20572" s="372">
        <v>0.0</v>
      </c>
      <c r="Z20572" s="372">
        <v>0.0</v>
      </c>
    </row>
    <row r="20573">
      <c r="Y20573" s="372">
        <v>0.0</v>
      </c>
      <c r="Z20573" s="372">
        <v>0.0</v>
      </c>
    </row>
    <row r="20574">
      <c r="Y20574" s="372">
        <v>0.0</v>
      </c>
      <c r="Z20574" s="372">
        <v>0.0</v>
      </c>
    </row>
    <row r="20575">
      <c r="Y20575" s="372">
        <v>0.0</v>
      </c>
      <c r="Z20575" s="372">
        <v>0.0</v>
      </c>
    </row>
    <row r="20576">
      <c r="Y20576" s="372">
        <v>0.0</v>
      </c>
      <c r="Z20576" s="372">
        <v>0.0</v>
      </c>
    </row>
    <row r="20577">
      <c r="Y20577" s="372">
        <v>0.0</v>
      </c>
      <c r="Z20577" s="372">
        <v>0.0</v>
      </c>
    </row>
    <row r="20578">
      <c r="Y20578" s="372">
        <v>0.0</v>
      </c>
      <c r="Z20578" s="372">
        <v>0.0</v>
      </c>
    </row>
    <row r="20579">
      <c r="Y20579" s="372">
        <v>0.0</v>
      </c>
      <c r="Z20579" s="372">
        <v>0.0</v>
      </c>
    </row>
    <row r="20580">
      <c r="Y20580" s="372">
        <v>0.0</v>
      </c>
      <c r="Z20580" s="372">
        <v>0.0</v>
      </c>
    </row>
    <row r="20581">
      <c r="Y20581" s="372">
        <v>0.0</v>
      </c>
      <c r="Z20581" s="372">
        <v>0.0</v>
      </c>
    </row>
    <row r="20582">
      <c r="Y20582" s="372">
        <v>0.0</v>
      </c>
      <c r="Z20582" s="372">
        <v>0.0</v>
      </c>
    </row>
    <row r="20583">
      <c r="Y20583" s="372">
        <v>0.0</v>
      </c>
      <c r="Z20583" s="372">
        <v>0.0</v>
      </c>
    </row>
    <row r="20584">
      <c r="Y20584" s="372">
        <v>0.0</v>
      </c>
      <c r="Z20584" s="372">
        <v>0.0</v>
      </c>
    </row>
    <row r="20585">
      <c r="Y20585" s="372">
        <v>0.0</v>
      </c>
      <c r="Z20585" s="372">
        <v>0.0</v>
      </c>
    </row>
    <row r="20586">
      <c r="Y20586" s="372">
        <v>0.0</v>
      </c>
      <c r="Z20586" s="372">
        <v>0.0</v>
      </c>
    </row>
    <row r="20587">
      <c r="Y20587" s="372">
        <v>0.0</v>
      </c>
      <c r="Z20587" s="372">
        <v>0.0</v>
      </c>
    </row>
    <row r="20588">
      <c r="Y20588" s="372">
        <v>0.0</v>
      </c>
      <c r="Z20588" s="372">
        <v>0.0</v>
      </c>
    </row>
    <row r="20589">
      <c r="Y20589" s="372">
        <v>0.0</v>
      </c>
      <c r="Z20589" s="372">
        <v>0.0</v>
      </c>
    </row>
    <row r="20590">
      <c r="Y20590" s="372">
        <v>0.0</v>
      </c>
      <c r="Z20590" s="372">
        <v>0.0</v>
      </c>
    </row>
    <row r="20591">
      <c r="Y20591" s="372">
        <v>0.0</v>
      </c>
      <c r="Z20591" s="372">
        <v>0.0</v>
      </c>
    </row>
    <row r="20592">
      <c r="Y20592" s="372">
        <v>0.0</v>
      </c>
      <c r="Z20592" s="372">
        <v>0.0</v>
      </c>
    </row>
    <row r="20593">
      <c r="Y20593" s="372">
        <v>0.0</v>
      </c>
      <c r="Z20593" s="372">
        <v>0.0</v>
      </c>
    </row>
    <row r="20594">
      <c r="Y20594" s="372">
        <v>0.0</v>
      </c>
      <c r="Z20594" s="372">
        <v>0.0</v>
      </c>
    </row>
    <row r="20595">
      <c r="Y20595" s="372">
        <v>0.0</v>
      </c>
      <c r="Z20595" s="372">
        <v>0.0</v>
      </c>
    </row>
    <row r="20596">
      <c r="Y20596" s="372">
        <v>0.0</v>
      </c>
      <c r="Z20596" s="372">
        <v>0.0</v>
      </c>
    </row>
    <row r="20597">
      <c r="Y20597" s="372">
        <v>0.0</v>
      </c>
      <c r="Z20597" s="372">
        <v>0.0</v>
      </c>
    </row>
    <row r="20598">
      <c r="Y20598" s="372">
        <v>0.0</v>
      </c>
      <c r="Z20598" s="372">
        <v>0.0</v>
      </c>
    </row>
    <row r="20599">
      <c r="Y20599" s="372">
        <v>0.0</v>
      </c>
      <c r="Z20599" s="372">
        <v>0.0</v>
      </c>
    </row>
    <row r="20600">
      <c r="Y20600" s="372">
        <v>0.0</v>
      </c>
      <c r="Z20600" s="372">
        <v>0.0</v>
      </c>
    </row>
    <row r="20601">
      <c r="Y20601" s="372">
        <v>0.0</v>
      </c>
      <c r="Z20601" s="372">
        <v>0.0</v>
      </c>
    </row>
    <row r="20602">
      <c r="Y20602" s="372">
        <v>0.0</v>
      </c>
      <c r="Z20602" s="372">
        <v>0.0</v>
      </c>
    </row>
    <row r="20603">
      <c r="Y20603" s="372">
        <v>0.0</v>
      </c>
      <c r="Z20603" s="372">
        <v>0.0</v>
      </c>
    </row>
    <row r="20604">
      <c r="Y20604" s="372">
        <v>0.0</v>
      </c>
      <c r="Z20604" s="372">
        <v>0.0</v>
      </c>
    </row>
    <row r="20605">
      <c r="Y20605" s="372">
        <v>0.0</v>
      </c>
      <c r="Z20605" s="372">
        <v>0.0</v>
      </c>
    </row>
    <row r="20606">
      <c r="Y20606" s="372">
        <v>0.0</v>
      </c>
      <c r="Z20606" s="372">
        <v>0.0</v>
      </c>
    </row>
    <row r="20607">
      <c r="Y20607" s="372">
        <v>0.0</v>
      </c>
      <c r="Z20607" s="372">
        <v>0.0</v>
      </c>
    </row>
    <row r="20608">
      <c r="Y20608" s="372">
        <v>0.0</v>
      </c>
      <c r="Z20608" s="372">
        <v>0.0</v>
      </c>
    </row>
    <row r="20609">
      <c r="Y20609" s="372">
        <v>0.0</v>
      </c>
      <c r="Z20609" s="372">
        <v>0.0</v>
      </c>
    </row>
    <row r="20610">
      <c r="Y20610" s="372">
        <v>0.0</v>
      </c>
      <c r="Z20610" s="372">
        <v>0.0</v>
      </c>
    </row>
    <row r="20611">
      <c r="Y20611" s="372">
        <v>0.0</v>
      </c>
      <c r="Z20611" s="372">
        <v>0.0</v>
      </c>
    </row>
    <row r="20612">
      <c r="Y20612" s="372">
        <v>0.0</v>
      </c>
      <c r="Z20612" s="372">
        <v>0.0</v>
      </c>
    </row>
    <row r="20613">
      <c r="Y20613" s="372">
        <v>0.0</v>
      </c>
      <c r="Z20613" s="372">
        <v>0.0</v>
      </c>
    </row>
    <row r="20614">
      <c r="Y20614" s="372">
        <v>0.0</v>
      </c>
      <c r="Z20614" s="372">
        <v>0.0</v>
      </c>
    </row>
    <row r="20615">
      <c r="Y20615" s="372">
        <v>0.0</v>
      </c>
      <c r="Z20615" s="372">
        <v>0.0</v>
      </c>
    </row>
    <row r="20616">
      <c r="Y20616" s="372">
        <v>0.0</v>
      </c>
      <c r="Z20616" s="372">
        <v>0.0</v>
      </c>
    </row>
    <row r="20617">
      <c r="Y20617" s="372">
        <v>0.0</v>
      </c>
      <c r="Z20617" s="372">
        <v>0.0</v>
      </c>
    </row>
    <row r="20618">
      <c r="Y20618" s="372">
        <v>0.0</v>
      </c>
      <c r="Z20618" s="372">
        <v>0.0</v>
      </c>
    </row>
    <row r="20619">
      <c r="Y20619" s="372">
        <v>0.0</v>
      </c>
      <c r="Z20619" s="372">
        <v>0.0</v>
      </c>
    </row>
    <row r="20620">
      <c r="Y20620" s="372">
        <v>0.0</v>
      </c>
      <c r="Z20620" s="372">
        <v>0.0</v>
      </c>
    </row>
    <row r="20621">
      <c r="Y20621" s="372">
        <v>0.0</v>
      </c>
      <c r="Z20621" s="372">
        <v>0.0</v>
      </c>
    </row>
    <row r="20622">
      <c r="Y20622" s="372">
        <v>0.0</v>
      </c>
      <c r="Z20622" s="372">
        <v>0.0</v>
      </c>
    </row>
    <row r="20623">
      <c r="Y20623" s="372">
        <v>0.0</v>
      </c>
      <c r="Z20623" s="372">
        <v>0.0</v>
      </c>
    </row>
    <row r="20624">
      <c r="Y20624" s="372">
        <v>0.0</v>
      </c>
      <c r="Z20624" s="372">
        <v>0.0</v>
      </c>
    </row>
    <row r="20625">
      <c r="Y20625" s="372">
        <v>0.0</v>
      </c>
      <c r="Z20625" s="372">
        <v>0.0</v>
      </c>
    </row>
    <row r="20626">
      <c r="Y20626" s="372">
        <v>0.0</v>
      </c>
      <c r="Z20626" s="372">
        <v>0.0</v>
      </c>
    </row>
    <row r="20627">
      <c r="Y20627" s="372">
        <v>0.0</v>
      </c>
      <c r="Z20627" s="372">
        <v>0.0</v>
      </c>
    </row>
    <row r="20628">
      <c r="Y20628" s="372">
        <v>0.0</v>
      </c>
      <c r="Z20628" s="372">
        <v>0.0</v>
      </c>
    </row>
    <row r="20629">
      <c r="Y20629" s="372">
        <v>0.0</v>
      </c>
      <c r="Z20629" s="372">
        <v>0.0</v>
      </c>
    </row>
    <row r="20630">
      <c r="Y20630" s="372">
        <v>0.0</v>
      </c>
      <c r="Z20630" s="372">
        <v>0.0</v>
      </c>
    </row>
    <row r="20631">
      <c r="Y20631" s="372">
        <v>0.0</v>
      </c>
      <c r="Z20631" s="372">
        <v>0.0</v>
      </c>
    </row>
    <row r="20632">
      <c r="Y20632" s="372">
        <v>0.0</v>
      </c>
      <c r="Z20632" s="372">
        <v>0.0</v>
      </c>
    </row>
    <row r="20633">
      <c r="Y20633" s="372">
        <v>0.0</v>
      </c>
      <c r="Z20633" s="372">
        <v>0.0</v>
      </c>
    </row>
    <row r="20634">
      <c r="Y20634" s="372">
        <v>0.0</v>
      </c>
      <c r="Z20634" s="372">
        <v>0.0</v>
      </c>
    </row>
    <row r="20635">
      <c r="Y20635" s="372">
        <v>0.0</v>
      </c>
      <c r="Z20635" s="372">
        <v>0.0</v>
      </c>
    </row>
    <row r="20636">
      <c r="Y20636" s="372">
        <v>0.0</v>
      </c>
      <c r="Z20636" s="372">
        <v>0.0</v>
      </c>
    </row>
    <row r="20637">
      <c r="Y20637" s="372">
        <v>0.0</v>
      </c>
      <c r="Z20637" s="372">
        <v>0.0</v>
      </c>
    </row>
    <row r="20638">
      <c r="Y20638" s="372">
        <v>0.0</v>
      </c>
      <c r="Z20638" s="372">
        <v>0.0</v>
      </c>
    </row>
    <row r="20639">
      <c r="Y20639" s="372">
        <v>0.0</v>
      </c>
      <c r="Z20639" s="372">
        <v>0.0</v>
      </c>
    </row>
    <row r="20640">
      <c r="Y20640" s="372">
        <v>0.0</v>
      </c>
      <c r="Z20640" s="372">
        <v>0.0</v>
      </c>
    </row>
    <row r="20641">
      <c r="Y20641" s="372">
        <v>0.0</v>
      </c>
      <c r="Z20641" s="372">
        <v>0.0</v>
      </c>
    </row>
    <row r="20642">
      <c r="Y20642" s="372">
        <v>0.0</v>
      </c>
      <c r="Z20642" s="372">
        <v>0.0</v>
      </c>
    </row>
    <row r="20643">
      <c r="Y20643" s="372">
        <v>0.0</v>
      </c>
      <c r="Z20643" s="372">
        <v>0.0</v>
      </c>
    </row>
    <row r="20644">
      <c r="Y20644" s="372">
        <v>0.0</v>
      </c>
      <c r="Z20644" s="372">
        <v>0.0</v>
      </c>
    </row>
    <row r="20645">
      <c r="Y20645" s="372">
        <v>0.0</v>
      </c>
      <c r="Z20645" s="372">
        <v>0.0</v>
      </c>
    </row>
    <row r="20646">
      <c r="Y20646" s="372">
        <v>0.0</v>
      </c>
      <c r="Z20646" s="372">
        <v>0.0</v>
      </c>
    </row>
    <row r="20647">
      <c r="Y20647" s="372">
        <v>0.0</v>
      </c>
      <c r="Z20647" s="372">
        <v>0.0</v>
      </c>
    </row>
    <row r="20648">
      <c r="Y20648" s="372">
        <v>0.0</v>
      </c>
      <c r="Z20648" s="372">
        <v>0.0</v>
      </c>
    </row>
    <row r="20649">
      <c r="Y20649" s="372">
        <v>0.0</v>
      </c>
      <c r="Z20649" s="372">
        <v>0.0</v>
      </c>
    </row>
    <row r="20650">
      <c r="Y20650" s="372">
        <v>0.0</v>
      </c>
      <c r="Z20650" s="372">
        <v>0.0</v>
      </c>
    </row>
    <row r="20651">
      <c r="Y20651" s="372">
        <v>0.0</v>
      </c>
      <c r="Z20651" s="372">
        <v>0.0</v>
      </c>
    </row>
    <row r="20652">
      <c r="Y20652" s="372">
        <v>0.0</v>
      </c>
      <c r="Z20652" s="372">
        <v>0.0</v>
      </c>
    </row>
    <row r="20653">
      <c r="Y20653" s="372">
        <v>0.0</v>
      </c>
      <c r="Z20653" s="372">
        <v>0.0</v>
      </c>
    </row>
    <row r="20654">
      <c r="Y20654" s="372">
        <v>0.0</v>
      </c>
      <c r="Z20654" s="372">
        <v>0.0</v>
      </c>
    </row>
    <row r="20655">
      <c r="Y20655" s="372">
        <v>0.0</v>
      </c>
      <c r="Z20655" s="372">
        <v>0.0</v>
      </c>
    </row>
    <row r="20656">
      <c r="Y20656" s="372">
        <v>0.0</v>
      </c>
      <c r="Z20656" s="372">
        <v>0.0</v>
      </c>
    </row>
    <row r="20657">
      <c r="Y20657" s="372">
        <v>0.0</v>
      </c>
      <c r="Z20657" s="372">
        <v>0.0</v>
      </c>
    </row>
    <row r="20658">
      <c r="Y20658" s="372">
        <v>0.0</v>
      </c>
      <c r="Z20658" s="372">
        <v>0.0</v>
      </c>
    </row>
    <row r="20659">
      <c r="Y20659" s="372">
        <v>0.0</v>
      </c>
      <c r="Z20659" s="372">
        <v>0.0</v>
      </c>
    </row>
    <row r="20660">
      <c r="Y20660" s="372">
        <v>0.0</v>
      </c>
      <c r="Z20660" s="372">
        <v>0.0</v>
      </c>
    </row>
    <row r="20661">
      <c r="Y20661" s="372">
        <v>0.0</v>
      </c>
      <c r="Z20661" s="372">
        <v>0.0</v>
      </c>
    </row>
    <row r="20662">
      <c r="Y20662" s="372">
        <v>0.0</v>
      </c>
      <c r="Z20662" s="372">
        <v>0.0</v>
      </c>
    </row>
    <row r="20663">
      <c r="Y20663" s="372">
        <v>0.0</v>
      </c>
      <c r="Z20663" s="372">
        <v>0.0</v>
      </c>
    </row>
    <row r="20664">
      <c r="Y20664" s="372">
        <v>0.0</v>
      </c>
      <c r="Z20664" s="372">
        <v>0.0</v>
      </c>
    </row>
    <row r="20665">
      <c r="Y20665" s="372">
        <v>0.0</v>
      </c>
      <c r="Z20665" s="372">
        <v>0.0</v>
      </c>
    </row>
    <row r="20666">
      <c r="Y20666" s="372">
        <v>0.0</v>
      </c>
      <c r="Z20666" s="372">
        <v>0.0</v>
      </c>
    </row>
    <row r="20667">
      <c r="Y20667" s="372">
        <v>0.0</v>
      </c>
      <c r="Z20667" s="372">
        <v>0.0</v>
      </c>
    </row>
    <row r="20668">
      <c r="Y20668" s="372">
        <v>0.0</v>
      </c>
      <c r="Z20668" s="372">
        <v>0.0</v>
      </c>
    </row>
    <row r="20669">
      <c r="Y20669" s="372">
        <v>0.0</v>
      </c>
      <c r="Z20669" s="372">
        <v>0.0</v>
      </c>
    </row>
    <row r="20670">
      <c r="Y20670" s="372">
        <v>0.0</v>
      </c>
      <c r="Z20670" s="372">
        <v>0.0</v>
      </c>
    </row>
    <row r="20671">
      <c r="Y20671" s="372">
        <v>0.0</v>
      </c>
      <c r="Z20671" s="372">
        <v>0.0</v>
      </c>
    </row>
    <row r="20672">
      <c r="Y20672" s="372">
        <v>0.0</v>
      </c>
      <c r="Z20672" s="372">
        <v>0.0</v>
      </c>
    </row>
    <row r="20673">
      <c r="Y20673" s="372">
        <v>0.0</v>
      </c>
      <c r="Z20673" s="372">
        <v>0.0</v>
      </c>
    </row>
    <row r="20674">
      <c r="Y20674" s="372">
        <v>0.0</v>
      </c>
      <c r="Z20674" s="372">
        <v>0.0</v>
      </c>
    </row>
    <row r="20675">
      <c r="Y20675" s="372">
        <v>0.0</v>
      </c>
      <c r="Z20675" s="372">
        <v>0.0</v>
      </c>
    </row>
    <row r="20676">
      <c r="Y20676" s="372">
        <v>0.0</v>
      </c>
      <c r="Z20676" s="372">
        <v>0.0</v>
      </c>
    </row>
    <row r="20677">
      <c r="Y20677" s="372">
        <v>0.0</v>
      </c>
      <c r="Z20677" s="372">
        <v>0.0</v>
      </c>
    </row>
    <row r="20678">
      <c r="Y20678" s="372">
        <v>0.0</v>
      </c>
      <c r="Z20678" s="372">
        <v>0.0</v>
      </c>
    </row>
    <row r="20679">
      <c r="Y20679" s="372">
        <v>0.0</v>
      </c>
      <c r="Z20679" s="372">
        <v>0.0</v>
      </c>
    </row>
    <row r="20680">
      <c r="Y20680" s="372">
        <v>0.0</v>
      </c>
      <c r="Z20680" s="372">
        <v>0.0</v>
      </c>
    </row>
    <row r="20681">
      <c r="Y20681" s="372">
        <v>0.0</v>
      </c>
      <c r="Z20681" s="372">
        <v>0.0</v>
      </c>
    </row>
    <row r="20682">
      <c r="Y20682" s="372">
        <v>0.0</v>
      </c>
      <c r="Z20682" s="372">
        <v>0.0</v>
      </c>
    </row>
    <row r="20683">
      <c r="Y20683" s="372">
        <v>0.0</v>
      </c>
      <c r="Z20683" s="372">
        <v>0.0</v>
      </c>
    </row>
    <row r="20684">
      <c r="Y20684" s="372">
        <v>0.0</v>
      </c>
      <c r="Z20684" s="372">
        <v>0.0</v>
      </c>
    </row>
    <row r="20685">
      <c r="Y20685" s="372">
        <v>0.0</v>
      </c>
      <c r="Z20685" s="372">
        <v>0.0</v>
      </c>
    </row>
    <row r="20686">
      <c r="Y20686" s="372">
        <v>0.0</v>
      </c>
      <c r="Z20686" s="372">
        <v>0.0</v>
      </c>
    </row>
    <row r="20687">
      <c r="Y20687" s="372">
        <v>0.0</v>
      </c>
      <c r="Z20687" s="372">
        <v>0.0</v>
      </c>
    </row>
    <row r="20688">
      <c r="Y20688" s="372">
        <v>0.0</v>
      </c>
      <c r="Z20688" s="372">
        <v>0.0</v>
      </c>
    </row>
    <row r="20689">
      <c r="Y20689" s="372">
        <v>0.0</v>
      </c>
      <c r="Z20689" s="372">
        <v>0.0</v>
      </c>
    </row>
    <row r="20690">
      <c r="Y20690" s="372">
        <v>0.0</v>
      </c>
      <c r="Z20690" s="372">
        <v>0.0</v>
      </c>
    </row>
    <row r="20691">
      <c r="Y20691" s="372">
        <v>0.0</v>
      </c>
      <c r="Z20691" s="372">
        <v>0.0</v>
      </c>
    </row>
    <row r="20692">
      <c r="Y20692" s="372">
        <v>0.0</v>
      </c>
      <c r="Z20692" s="372">
        <v>0.0</v>
      </c>
    </row>
    <row r="20693">
      <c r="Y20693" s="372">
        <v>0.0</v>
      </c>
      <c r="Z20693" s="372">
        <v>0.0</v>
      </c>
    </row>
    <row r="20694">
      <c r="Y20694" s="372">
        <v>0.0</v>
      </c>
      <c r="Z20694" s="372">
        <v>0.0</v>
      </c>
    </row>
    <row r="20695">
      <c r="Y20695" s="372">
        <v>0.0</v>
      </c>
      <c r="Z20695" s="372">
        <v>0.0</v>
      </c>
    </row>
    <row r="20696">
      <c r="Y20696" s="372">
        <v>0.0</v>
      </c>
      <c r="Z20696" s="372">
        <v>0.0</v>
      </c>
    </row>
    <row r="20697">
      <c r="Y20697" s="372">
        <v>0.0</v>
      </c>
      <c r="Z20697" s="372">
        <v>0.0</v>
      </c>
    </row>
    <row r="20698">
      <c r="Y20698" s="372">
        <v>0.0</v>
      </c>
      <c r="Z20698" s="372">
        <v>0.0</v>
      </c>
    </row>
    <row r="20699">
      <c r="Y20699" s="372">
        <v>0.0</v>
      </c>
      <c r="Z20699" s="372">
        <v>0.0</v>
      </c>
    </row>
    <row r="20700">
      <c r="Y20700" s="372">
        <v>0.0</v>
      </c>
      <c r="Z20700" s="372">
        <v>0.0</v>
      </c>
    </row>
    <row r="20701">
      <c r="Y20701" s="372">
        <v>0.0</v>
      </c>
      <c r="Z20701" s="372">
        <v>0.0</v>
      </c>
    </row>
    <row r="20702">
      <c r="Y20702" s="372">
        <v>0.0</v>
      </c>
      <c r="Z20702" s="372">
        <v>0.0</v>
      </c>
    </row>
    <row r="20703">
      <c r="Y20703" s="372">
        <v>0.0</v>
      </c>
      <c r="Z20703" s="372">
        <v>0.0</v>
      </c>
    </row>
    <row r="20704">
      <c r="Y20704" s="372">
        <v>0.0</v>
      </c>
      <c r="Z20704" s="372">
        <v>0.0</v>
      </c>
    </row>
    <row r="20705">
      <c r="Y20705" s="372">
        <v>0.0</v>
      </c>
      <c r="Z20705" s="372">
        <v>0.0</v>
      </c>
    </row>
    <row r="20706">
      <c r="Y20706" s="372">
        <v>0.0</v>
      </c>
      <c r="Z20706" s="372">
        <v>0.0</v>
      </c>
    </row>
    <row r="20707">
      <c r="Y20707" s="372">
        <v>0.0</v>
      </c>
      <c r="Z20707" s="372">
        <v>0.0</v>
      </c>
    </row>
    <row r="20708">
      <c r="Y20708" s="372">
        <v>0.0</v>
      </c>
      <c r="Z20708" s="372">
        <v>0.0</v>
      </c>
    </row>
    <row r="20709">
      <c r="Y20709" s="372">
        <v>0.0</v>
      </c>
      <c r="Z20709" s="372">
        <v>0.0</v>
      </c>
    </row>
    <row r="20710">
      <c r="Y20710" s="372">
        <v>0.0</v>
      </c>
      <c r="Z20710" s="372">
        <v>0.0</v>
      </c>
    </row>
    <row r="20711">
      <c r="Y20711" s="372">
        <v>0.0</v>
      </c>
      <c r="Z20711" s="372">
        <v>0.0</v>
      </c>
    </row>
    <row r="20712">
      <c r="Y20712" s="372">
        <v>0.0</v>
      </c>
      <c r="Z20712" s="372">
        <v>0.0</v>
      </c>
    </row>
    <row r="20713">
      <c r="Y20713" s="372">
        <v>0.0</v>
      </c>
      <c r="Z20713" s="372">
        <v>0.0</v>
      </c>
    </row>
    <row r="20714">
      <c r="Y20714" s="372">
        <v>0.0</v>
      </c>
      <c r="Z20714" s="372">
        <v>0.0</v>
      </c>
    </row>
    <row r="20715">
      <c r="Y20715" s="372">
        <v>0.0</v>
      </c>
      <c r="Z20715" s="372">
        <v>0.0</v>
      </c>
    </row>
    <row r="20716">
      <c r="Y20716" s="372">
        <v>0.0</v>
      </c>
      <c r="Z20716" s="372">
        <v>0.0</v>
      </c>
    </row>
    <row r="20717">
      <c r="Y20717" s="372">
        <v>0.0</v>
      </c>
      <c r="Z20717" s="372">
        <v>0.0</v>
      </c>
    </row>
    <row r="20718">
      <c r="Y20718" s="372">
        <v>0.0</v>
      </c>
      <c r="Z20718" s="372">
        <v>0.0</v>
      </c>
    </row>
    <row r="20719">
      <c r="Y20719" s="372">
        <v>0.0</v>
      </c>
      <c r="Z20719" s="372">
        <v>0.0</v>
      </c>
    </row>
    <row r="20720">
      <c r="Y20720" s="372">
        <v>0.0</v>
      </c>
      <c r="Z20720" s="372">
        <v>0.0</v>
      </c>
    </row>
    <row r="20721">
      <c r="Y20721" s="372">
        <v>0.0</v>
      </c>
      <c r="Z20721" s="372">
        <v>0.0</v>
      </c>
    </row>
    <row r="20722">
      <c r="Y20722" s="372">
        <v>0.0</v>
      </c>
      <c r="Z20722" s="372">
        <v>0.0</v>
      </c>
    </row>
    <row r="20723">
      <c r="Y20723" s="372">
        <v>0.0</v>
      </c>
      <c r="Z20723" s="372">
        <v>0.0</v>
      </c>
    </row>
    <row r="20724">
      <c r="Y20724" s="372">
        <v>0.0</v>
      </c>
      <c r="Z20724" s="372">
        <v>0.0</v>
      </c>
    </row>
    <row r="20725">
      <c r="Y20725" s="372">
        <v>0.0</v>
      </c>
      <c r="Z20725" s="372">
        <v>0.0</v>
      </c>
    </row>
    <row r="20726">
      <c r="Y20726" s="372">
        <v>0.0</v>
      </c>
      <c r="Z20726" s="372">
        <v>0.0</v>
      </c>
    </row>
    <row r="20727">
      <c r="Y20727" s="372">
        <v>0.0</v>
      </c>
      <c r="Z20727" s="372">
        <v>0.0</v>
      </c>
    </row>
    <row r="20728">
      <c r="Y20728" s="372">
        <v>0.0</v>
      </c>
      <c r="Z20728" s="372">
        <v>0.0</v>
      </c>
    </row>
    <row r="20729">
      <c r="Y20729" s="372">
        <v>0.0</v>
      </c>
      <c r="Z20729" s="372">
        <v>0.0</v>
      </c>
    </row>
    <row r="20730">
      <c r="Y20730" s="372">
        <v>0.0</v>
      </c>
      <c r="Z20730" s="372">
        <v>0.0</v>
      </c>
    </row>
    <row r="20731">
      <c r="Y20731" s="372">
        <v>0.0</v>
      </c>
      <c r="Z20731" s="372">
        <v>0.0</v>
      </c>
    </row>
    <row r="20732">
      <c r="Y20732" s="372">
        <v>0.0</v>
      </c>
      <c r="Z20732" s="372">
        <v>0.0</v>
      </c>
    </row>
    <row r="20733">
      <c r="Y20733" s="372">
        <v>0.0</v>
      </c>
      <c r="Z20733" s="372">
        <v>0.0</v>
      </c>
    </row>
    <row r="20734">
      <c r="Y20734" s="372">
        <v>0.0</v>
      </c>
      <c r="Z20734" s="372">
        <v>0.0</v>
      </c>
    </row>
    <row r="20735">
      <c r="Y20735" s="372">
        <v>0.0</v>
      </c>
      <c r="Z20735" s="372">
        <v>0.0</v>
      </c>
    </row>
    <row r="20736">
      <c r="Y20736" s="372">
        <v>0.0</v>
      </c>
      <c r="Z20736" s="372">
        <v>0.0</v>
      </c>
    </row>
    <row r="20737">
      <c r="Y20737" s="372">
        <v>0.0</v>
      </c>
      <c r="Z20737" s="372">
        <v>0.0</v>
      </c>
    </row>
    <row r="20738">
      <c r="Y20738" s="372">
        <v>0.0</v>
      </c>
      <c r="Z20738" s="372">
        <v>0.0</v>
      </c>
    </row>
    <row r="20739">
      <c r="Y20739" s="372">
        <v>0.0</v>
      </c>
      <c r="Z20739" s="372">
        <v>0.0</v>
      </c>
    </row>
    <row r="20740">
      <c r="Y20740" s="372">
        <v>0.0</v>
      </c>
      <c r="Z20740" s="372">
        <v>0.0</v>
      </c>
    </row>
    <row r="20741">
      <c r="Y20741" s="372">
        <v>0.0</v>
      </c>
      <c r="Z20741" s="372">
        <v>0.0</v>
      </c>
    </row>
    <row r="20742">
      <c r="Y20742" s="372">
        <v>0.0</v>
      </c>
      <c r="Z20742" s="372">
        <v>0.0</v>
      </c>
    </row>
    <row r="20743">
      <c r="Y20743" s="372">
        <v>0.0</v>
      </c>
      <c r="Z20743" s="372">
        <v>0.0</v>
      </c>
    </row>
    <row r="20744">
      <c r="Y20744" s="372">
        <v>0.0</v>
      </c>
      <c r="Z20744" s="372">
        <v>0.0</v>
      </c>
    </row>
    <row r="20745">
      <c r="Y20745" s="372">
        <v>0.0</v>
      </c>
      <c r="Z20745" s="372">
        <v>0.0</v>
      </c>
    </row>
    <row r="20746">
      <c r="Y20746" s="372">
        <v>0.0</v>
      </c>
      <c r="Z20746" s="372">
        <v>0.0</v>
      </c>
    </row>
    <row r="20747">
      <c r="Y20747" s="372">
        <v>0.0</v>
      </c>
      <c r="Z20747" s="372">
        <v>0.0</v>
      </c>
    </row>
    <row r="20748">
      <c r="Y20748" s="372">
        <v>0.0</v>
      </c>
      <c r="Z20748" s="372">
        <v>0.0</v>
      </c>
    </row>
    <row r="20749">
      <c r="Y20749" s="372">
        <v>0.0</v>
      </c>
      <c r="Z20749" s="372">
        <v>0.0</v>
      </c>
    </row>
    <row r="20750">
      <c r="Y20750" s="372">
        <v>0.0</v>
      </c>
      <c r="Z20750" s="372">
        <v>0.0</v>
      </c>
    </row>
    <row r="20751">
      <c r="Y20751" s="372">
        <v>0.0</v>
      </c>
      <c r="Z20751" s="372">
        <v>0.0</v>
      </c>
    </row>
    <row r="20752">
      <c r="Y20752" s="372">
        <v>0.0</v>
      </c>
      <c r="Z20752" s="372">
        <v>0.0</v>
      </c>
    </row>
    <row r="20753">
      <c r="Y20753" s="372">
        <v>0.0</v>
      </c>
      <c r="Z20753" s="372">
        <v>0.0</v>
      </c>
    </row>
    <row r="20754">
      <c r="Y20754" s="372">
        <v>0.0</v>
      </c>
      <c r="Z20754" s="372">
        <v>0.0</v>
      </c>
    </row>
    <row r="20755">
      <c r="Y20755" s="372">
        <v>0.0</v>
      </c>
      <c r="Z20755" s="372">
        <v>0.0</v>
      </c>
    </row>
    <row r="20756">
      <c r="Y20756" s="372">
        <v>0.0</v>
      </c>
      <c r="Z20756" s="372">
        <v>0.0</v>
      </c>
    </row>
    <row r="20757">
      <c r="Y20757" s="372">
        <v>0.0</v>
      </c>
      <c r="Z20757" s="372">
        <v>0.0</v>
      </c>
    </row>
    <row r="20758">
      <c r="Y20758" s="372">
        <v>0.0</v>
      </c>
      <c r="Z20758" s="372">
        <v>0.0</v>
      </c>
    </row>
    <row r="20759">
      <c r="Y20759" s="372">
        <v>0.0</v>
      </c>
      <c r="Z20759" s="372">
        <v>0.0</v>
      </c>
    </row>
    <row r="20760">
      <c r="Y20760" s="372">
        <v>0.0</v>
      </c>
      <c r="Z20760" s="372">
        <v>0.0</v>
      </c>
    </row>
    <row r="20761">
      <c r="Y20761" s="372">
        <v>0.0</v>
      </c>
      <c r="Z20761" s="372">
        <v>0.0</v>
      </c>
    </row>
    <row r="20762">
      <c r="Y20762" s="372">
        <v>0.0</v>
      </c>
      <c r="Z20762" s="372">
        <v>0.0</v>
      </c>
    </row>
    <row r="20763">
      <c r="Y20763" s="372">
        <v>0.0</v>
      </c>
      <c r="Z20763" s="372">
        <v>0.0</v>
      </c>
    </row>
    <row r="20764">
      <c r="Y20764" s="372">
        <v>0.0</v>
      </c>
      <c r="Z20764" s="372">
        <v>0.0</v>
      </c>
    </row>
    <row r="20765">
      <c r="Y20765" s="372">
        <v>0.0</v>
      </c>
      <c r="Z20765" s="372">
        <v>0.0</v>
      </c>
    </row>
    <row r="20766">
      <c r="Y20766" s="372">
        <v>0.0</v>
      </c>
      <c r="Z20766" s="372">
        <v>0.0</v>
      </c>
    </row>
    <row r="20767">
      <c r="Y20767" s="372">
        <v>0.0</v>
      </c>
      <c r="Z20767" s="372">
        <v>0.0</v>
      </c>
    </row>
    <row r="20768">
      <c r="Y20768" s="372">
        <v>0.0</v>
      </c>
      <c r="Z20768" s="372">
        <v>0.0</v>
      </c>
    </row>
    <row r="20769">
      <c r="Y20769" s="372">
        <v>0.0</v>
      </c>
      <c r="Z20769" s="372">
        <v>0.0</v>
      </c>
    </row>
    <row r="20770">
      <c r="Y20770" s="372">
        <v>0.0</v>
      </c>
      <c r="Z20770" s="372">
        <v>0.0</v>
      </c>
    </row>
    <row r="20771">
      <c r="Y20771" s="372">
        <v>0.0</v>
      </c>
      <c r="Z20771" s="372">
        <v>0.0</v>
      </c>
    </row>
    <row r="20772">
      <c r="Y20772" s="372">
        <v>0.0</v>
      </c>
      <c r="Z20772" s="372">
        <v>0.0</v>
      </c>
    </row>
    <row r="20773">
      <c r="Y20773" s="372">
        <v>0.0</v>
      </c>
      <c r="Z20773" s="372">
        <v>0.0</v>
      </c>
    </row>
    <row r="20774">
      <c r="Y20774" s="372">
        <v>0.0</v>
      </c>
      <c r="Z20774" s="372">
        <v>0.0</v>
      </c>
    </row>
    <row r="20775">
      <c r="Y20775" s="372">
        <v>0.0</v>
      </c>
      <c r="Z20775" s="372">
        <v>0.0</v>
      </c>
    </row>
    <row r="20776">
      <c r="Y20776" s="372">
        <v>0.0</v>
      </c>
      <c r="Z20776" s="372">
        <v>0.0</v>
      </c>
    </row>
    <row r="20777">
      <c r="Y20777" s="372">
        <v>0.0</v>
      </c>
      <c r="Z20777" s="372">
        <v>0.0</v>
      </c>
    </row>
    <row r="20778">
      <c r="Y20778" s="372">
        <v>0.0</v>
      </c>
      <c r="Z20778" s="372">
        <v>0.0</v>
      </c>
    </row>
    <row r="20779">
      <c r="Y20779" s="372">
        <v>0.0</v>
      </c>
      <c r="Z20779" s="372">
        <v>0.0</v>
      </c>
    </row>
    <row r="20780">
      <c r="Y20780" s="372">
        <v>0.0</v>
      </c>
      <c r="Z20780" s="372">
        <v>0.0</v>
      </c>
    </row>
    <row r="20781">
      <c r="Y20781" s="372">
        <v>0.0</v>
      </c>
      <c r="Z20781" s="372">
        <v>0.0</v>
      </c>
    </row>
    <row r="20782">
      <c r="Y20782" s="372">
        <v>0.0</v>
      </c>
      <c r="Z20782" s="372">
        <v>0.0</v>
      </c>
    </row>
    <row r="20783">
      <c r="Y20783" s="372">
        <v>0.0</v>
      </c>
      <c r="Z20783" s="372">
        <v>0.0</v>
      </c>
    </row>
    <row r="20784">
      <c r="Y20784" s="372">
        <v>0.0</v>
      </c>
      <c r="Z20784" s="372">
        <v>0.0</v>
      </c>
    </row>
    <row r="20785">
      <c r="Y20785" s="372">
        <v>0.0</v>
      </c>
      <c r="Z20785" s="372">
        <v>0.0</v>
      </c>
    </row>
    <row r="20786">
      <c r="Y20786" s="372">
        <v>0.0</v>
      </c>
      <c r="Z20786" s="372">
        <v>0.0</v>
      </c>
    </row>
    <row r="20787">
      <c r="Y20787" s="372">
        <v>0.0</v>
      </c>
      <c r="Z20787" s="372">
        <v>0.0</v>
      </c>
    </row>
    <row r="20788">
      <c r="Y20788" s="372">
        <v>0.0</v>
      </c>
      <c r="Z20788" s="372">
        <v>0.0</v>
      </c>
    </row>
    <row r="20789">
      <c r="Y20789" s="372">
        <v>0.0</v>
      </c>
      <c r="Z20789" s="372">
        <v>0.0</v>
      </c>
    </row>
    <row r="20790">
      <c r="Y20790" s="372">
        <v>0.0</v>
      </c>
      <c r="Z20790" s="372">
        <v>0.0</v>
      </c>
    </row>
    <row r="20791">
      <c r="Y20791" s="372">
        <v>0.0</v>
      </c>
      <c r="Z20791" s="372">
        <v>0.0</v>
      </c>
    </row>
    <row r="20792">
      <c r="Y20792" s="372">
        <v>0.0</v>
      </c>
      <c r="Z20792" s="372">
        <v>0.0</v>
      </c>
    </row>
    <row r="20793">
      <c r="Y20793" s="372">
        <v>0.0</v>
      </c>
      <c r="Z20793" s="372">
        <v>0.0</v>
      </c>
    </row>
    <row r="20794">
      <c r="Y20794" s="372">
        <v>0.0</v>
      </c>
      <c r="Z20794" s="372">
        <v>0.0</v>
      </c>
    </row>
    <row r="20795">
      <c r="Y20795" s="372">
        <v>0.0</v>
      </c>
      <c r="Z20795" s="372">
        <v>0.0</v>
      </c>
    </row>
    <row r="20796">
      <c r="Y20796" s="372">
        <v>0.0</v>
      </c>
      <c r="Z20796" s="372">
        <v>0.0</v>
      </c>
    </row>
    <row r="20797">
      <c r="Y20797" s="372">
        <v>0.0</v>
      </c>
      <c r="Z20797" s="372">
        <v>0.0</v>
      </c>
    </row>
    <row r="20798">
      <c r="Y20798" s="372">
        <v>0.0</v>
      </c>
      <c r="Z20798" s="372">
        <v>0.0</v>
      </c>
    </row>
    <row r="20799">
      <c r="Y20799" s="372">
        <v>0.0</v>
      </c>
      <c r="Z20799" s="372">
        <v>0.0</v>
      </c>
    </row>
    <row r="20800">
      <c r="Y20800" s="372">
        <v>0.0</v>
      </c>
      <c r="Z20800" s="372">
        <v>0.0</v>
      </c>
    </row>
    <row r="20801">
      <c r="Y20801" s="372">
        <v>0.0</v>
      </c>
      <c r="Z20801" s="372">
        <v>0.0</v>
      </c>
    </row>
    <row r="20802">
      <c r="Y20802" s="372">
        <v>0.0</v>
      </c>
      <c r="Z20802" s="372">
        <v>0.0</v>
      </c>
    </row>
    <row r="20803">
      <c r="Y20803" s="372">
        <v>0.0</v>
      </c>
      <c r="Z20803" s="372">
        <v>0.0</v>
      </c>
    </row>
    <row r="20804">
      <c r="Y20804" s="372">
        <v>0.0</v>
      </c>
      <c r="Z20804" s="372">
        <v>0.0</v>
      </c>
    </row>
    <row r="20805">
      <c r="Y20805" s="372">
        <v>0.0</v>
      </c>
      <c r="Z20805" s="372">
        <v>0.0</v>
      </c>
    </row>
    <row r="20806">
      <c r="Y20806" s="372">
        <v>0.0</v>
      </c>
      <c r="Z20806" s="372">
        <v>0.0</v>
      </c>
    </row>
    <row r="20807">
      <c r="Y20807" s="372">
        <v>0.0</v>
      </c>
      <c r="Z20807" s="372">
        <v>0.0</v>
      </c>
    </row>
    <row r="20808">
      <c r="Y20808" s="372">
        <v>0.0</v>
      </c>
      <c r="Z20808" s="372">
        <v>0.0</v>
      </c>
    </row>
    <row r="20809">
      <c r="Y20809" s="372">
        <v>0.0</v>
      </c>
      <c r="Z20809" s="372">
        <v>0.0</v>
      </c>
    </row>
    <row r="20810">
      <c r="Y20810" s="372">
        <v>0.0</v>
      </c>
      <c r="Z20810" s="372">
        <v>0.0</v>
      </c>
    </row>
    <row r="20811">
      <c r="Y20811" s="372">
        <v>0.0</v>
      </c>
      <c r="Z20811" s="372">
        <v>0.0</v>
      </c>
    </row>
    <row r="20812">
      <c r="Y20812" s="372">
        <v>0.0</v>
      </c>
      <c r="Z20812" s="372">
        <v>0.0</v>
      </c>
    </row>
    <row r="20813">
      <c r="Y20813" s="372">
        <v>0.0</v>
      </c>
      <c r="Z20813" s="372">
        <v>0.0</v>
      </c>
    </row>
    <row r="20814">
      <c r="Y20814" s="372">
        <v>0.0</v>
      </c>
      <c r="Z20814" s="372">
        <v>0.0</v>
      </c>
    </row>
    <row r="20815">
      <c r="Y20815" s="372">
        <v>0.0</v>
      </c>
      <c r="Z20815" s="372">
        <v>0.0</v>
      </c>
    </row>
    <row r="20816">
      <c r="Y20816" s="372">
        <v>0.0</v>
      </c>
      <c r="Z20816" s="372">
        <v>0.0</v>
      </c>
    </row>
    <row r="20817">
      <c r="Y20817" s="372">
        <v>0.0</v>
      </c>
      <c r="Z20817" s="372">
        <v>0.0</v>
      </c>
    </row>
    <row r="20818">
      <c r="Y20818" s="372">
        <v>0.0</v>
      </c>
      <c r="Z20818" s="372">
        <v>0.0</v>
      </c>
    </row>
    <row r="20819">
      <c r="Y20819" s="372">
        <v>0.0</v>
      </c>
      <c r="Z20819" s="372">
        <v>0.0</v>
      </c>
    </row>
    <row r="20820">
      <c r="Y20820" s="372">
        <v>0.0</v>
      </c>
      <c r="Z20820" s="372">
        <v>0.0</v>
      </c>
    </row>
    <row r="20821">
      <c r="Y20821" s="372">
        <v>0.0</v>
      </c>
      <c r="Z20821" s="372">
        <v>0.0</v>
      </c>
    </row>
    <row r="20822">
      <c r="Y20822" s="372">
        <v>0.0</v>
      </c>
      <c r="Z20822" s="372">
        <v>0.0</v>
      </c>
    </row>
    <row r="20823">
      <c r="Y20823" s="372">
        <v>0.0</v>
      </c>
      <c r="Z20823" s="372">
        <v>0.0</v>
      </c>
    </row>
    <row r="20824">
      <c r="Y20824" s="372">
        <v>0.0</v>
      </c>
      <c r="Z20824" s="372">
        <v>0.0</v>
      </c>
    </row>
    <row r="20825">
      <c r="Y20825" s="372">
        <v>0.0</v>
      </c>
      <c r="Z20825" s="372">
        <v>0.0</v>
      </c>
    </row>
    <row r="20826">
      <c r="Y20826" s="372">
        <v>0.0</v>
      </c>
      <c r="Z20826" s="372">
        <v>0.0</v>
      </c>
    </row>
    <row r="20827">
      <c r="Y20827" s="372">
        <v>0.0</v>
      </c>
      <c r="Z20827" s="372">
        <v>0.0</v>
      </c>
    </row>
    <row r="20828">
      <c r="Y20828" s="372">
        <v>0.0</v>
      </c>
      <c r="Z20828" s="372">
        <v>0.0</v>
      </c>
    </row>
    <row r="20829">
      <c r="Y20829" s="372">
        <v>0.0</v>
      </c>
      <c r="Z20829" s="372">
        <v>0.0</v>
      </c>
    </row>
    <row r="20830">
      <c r="Y20830" s="372">
        <v>0.0</v>
      </c>
      <c r="Z20830" s="372">
        <v>0.0</v>
      </c>
    </row>
    <row r="20831">
      <c r="Y20831" s="372">
        <v>0.0</v>
      </c>
      <c r="Z20831" s="372">
        <v>0.0</v>
      </c>
    </row>
    <row r="20832">
      <c r="Y20832" s="372">
        <v>0.0</v>
      </c>
      <c r="Z20832" s="372">
        <v>0.0</v>
      </c>
    </row>
    <row r="20833">
      <c r="Y20833" s="372">
        <v>0.0</v>
      </c>
      <c r="Z20833" s="372">
        <v>0.0</v>
      </c>
    </row>
    <row r="20834">
      <c r="Y20834" s="372">
        <v>0.0</v>
      </c>
      <c r="Z20834" s="372">
        <v>0.0</v>
      </c>
    </row>
    <row r="20835">
      <c r="Y20835" s="372">
        <v>0.0</v>
      </c>
      <c r="Z20835" s="372">
        <v>0.0</v>
      </c>
    </row>
    <row r="20836">
      <c r="Y20836" s="372">
        <v>0.0</v>
      </c>
      <c r="Z20836" s="372">
        <v>0.0</v>
      </c>
    </row>
    <row r="20837">
      <c r="Y20837" s="372">
        <v>0.0</v>
      </c>
      <c r="Z20837" s="372">
        <v>0.0</v>
      </c>
    </row>
    <row r="20838">
      <c r="Y20838" s="372">
        <v>0.0</v>
      </c>
      <c r="Z20838" s="372">
        <v>0.0</v>
      </c>
    </row>
    <row r="20839">
      <c r="Y20839" s="372">
        <v>0.0</v>
      </c>
      <c r="Z20839" s="372">
        <v>0.0</v>
      </c>
    </row>
    <row r="20840">
      <c r="Y20840" s="372">
        <v>0.0</v>
      </c>
      <c r="Z20840" s="372">
        <v>0.0</v>
      </c>
    </row>
    <row r="20841">
      <c r="Y20841" s="372">
        <v>0.0</v>
      </c>
      <c r="Z20841" s="372">
        <v>0.0</v>
      </c>
    </row>
    <row r="20842">
      <c r="Y20842" s="372">
        <v>0.0</v>
      </c>
      <c r="Z20842" s="372">
        <v>0.0</v>
      </c>
    </row>
    <row r="20843">
      <c r="Y20843" s="372">
        <v>0.0</v>
      </c>
      <c r="Z20843" s="372">
        <v>0.0</v>
      </c>
    </row>
    <row r="20844">
      <c r="Y20844" s="372">
        <v>0.0</v>
      </c>
      <c r="Z20844" s="372">
        <v>0.0</v>
      </c>
    </row>
    <row r="20845">
      <c r="Y20845" s="372">
        <v>0.0</v>
      </c>
      <c r="Z20845" s="372">
        <v>0.0</v>
      </c>
    </row>
    <row r="20846">
      <c r="Y20846" s="372">
        <v>0.0</v>
      </c>
      <c r="Z20846" s="372">
        <v>0.0</v>
      </c>
    </row>
    <row r="20847">
      <c r="Y20847" s="372">
        <v>0.0</v>
      </c>
      <c r="Z20847" s="372">
        <v>0.0</v>
      </c>
    </row>
    <row r="20848">
      <c r="Y20848" s="372">
        <v>0.0</v>
      </c>
      <c r="Z20848" s="372">
        <v>0.0</v>
      </c>
    </row>
    <row r="20849">
      <c r="Y20849" s="372">
        <v>0.0</v>
      </c>
      <c r="Z20849" s="372">
        <v>0.0</v>
      </c>
    </row>
    <row r="20850">
      <c r="Y20850" s="372">
        <v>0.0</v>
      </c>
      <c r="Z20850" s="372">
        <v>0.0</v>
      </c>
    </row>
    <row r="20851">
      <c r="Y20851" s="372">
        <v>0.0</v>
      </c>
      <c r="Z20851" s="372">
        <v>0.0</v>
      </c>
    </row>
    <row r="20852">
      <c r="Y20852" s="372">
        <v>0.0</v>
      </c>
      <c r="Z20852" s="372">
        <v>0.0</v>
      </c>
    </row>
    <row r="20853">
      <c r="Y20853" s="372">
        <v>0.0</v>
      </c>
      <c r="Z20853" s="372">
        <v>0.0</v>
      </c>
    </row>
    <row r="20854">
      <c r="Y20854" s="372">
        <v>0.0</v>
      </c>
      <c r="Z20854" s="372">
        <v>0.0</v>
      </c>
    </row>
    <row r="20855">
      <c r="Y20855" s="372">
        <v>0.0</v>
      </c>
      <c r="Z20855" s="372">
        <v>0.0</v>
      </c>
    </row>
    <row r="20856">
      <c r="Y20856" s="372">
        <v>0.0</v>
      </c>
      <c r="Z20856" s="372">
        <v>0.0</v>
      </c>
    </row>
    <row r="20857">
      <c r="Y20857" s="372">
        <v>0.0</v>
      </c>
      <c r="Z20857" s="372">
        <v>0.0</v>
      </c>
    </row>
    <row r="20858">
      <c r="Y20858" s="372">
        <v>0.0</v>
      </c>
      <c r="Z20858" s="372">
        <v>0.0</v>
      </c>
    </row>
    <row r="20859">
      <c r="Y20859" s="372">
        <v>0.0</v>
      </c>
      <c r="Z20859" s="372">
        <v>0.0</v>
      </c>
    </row>
    <row r="20860">
      <c r="Y20860" s="372">
        <v>0.0</v>
      </c>
      <c r="Z20860" s="372">
        <v>0.0</v>
      </c>
    </row>
    <row r="20861">
      <c r="Y20861" s="372">
        <v>0.0</v>
      </c>
      <c r="Z20861" s="372">
        <v>0.0</v>
      </c>
    </row>
    <row r="20862">
      <c r="Y20862" s="372">
        <v>0.0</v>
      </c>
      <c r="Z20862" s="372">
        <v>0.0</v>
      </c>
    </row>
    <row r="20863">
      <c r="Y20863" s="372">
        <v>0.0</v>
      </c>
      <c r="Z20863" s="372">
        <v>0.0</v>
      </c>
    </row>
    <row r="20864">
      <c r="Y20864" s="372">
        <v>0.0</v>
      </c>
      <c r="Z20864" s="372">
        <v>0.0</v>
      </c>
    </row>
    <row r="20865">
      <c r="Y20865" s="372">
        <v>0.0</v>
      </c>
      <c r="Z20865" s="372">
        <v>0.0</v>
      </c>
    </row>
    <row r="20866">
      <c r="Y20866" s="372">
        <v>0.0</v>
      </c>
      <c r="Z20866" s="372">
        <v>0.0</v>
      </c>
    </row>
    <row r="20867">
      <c r="Y20867" s="372">
        <v>0.0</v>
      </c>
      <c r="Z20867" s="372">
        <v>0.0</v>
      </c>
    </row>
    <row r="20868">
      <c r="Y20868" s="372">
        <v>0.0</v>
      </c>
      <c r="Z20868" s="372">
        <v>0.0</v>
      </c>
    </row>
    <row r="20869">
      <c r="Y20869" s="372">
        <v>0.0</v>
      </c>
      <c r="Z20869" s="372">
        <v>0.0</v>
      </c>
    </row>
    <row r="20870">
      <c r="Y20870" s="372">
        <v>0.0</v>
      </c>
      <c r="Z20870" s="372">
        <v>0.0</v>
      </c>
    </row>
    <row r="20871">
      <c r="Y20871" s="372">
        <v>0.0</v>
      </c>
      <c r="Z20871" s="372">
        <v>0.0</v>
      </c>
    </row>
    <row r="20872">
      <c r="Y20872" s="372">
        <v>0.0</v>
      </c>
      <c r="Z20872" s="372">
        <v>0.0</v>
      </c>
    </row>
    <row r="20873">
      <c r="Y20873" s="372">
        <v>0.0</v>
      </c>
      <c r="Z20873" s="372">
        <v>0.0</v>
      </c>
    </row>
    <row r="20874">
      <c r="Y20874" s="372">
        <v>0.0</v>
      </c>
      <c r="Z20874" s="372">
        <v>0.0</v>
      </c>
    </row>
    <row r="20875">
      <c r="Y20875" s="372">
        <v>0.0</v>
      </c>
      <c r="Z20875" s="372">
        <v>0.0</v>
      </c>
    </row>
    <row r="20876">
      <c r="Y20876" s="372">
        <v>0.0</v>
      </c>
      <c r="Z20876" s="372">
        <v>0.0</v>
      </c>
    </row>
    <row r="20877">
      <c r="Y20877" s="372">
        <v>0.0</v>
      </c>
      <c r="Z20877" s="372">
        <v>0.0</v>
      </c>
    </row>
    <row r="20878">
      <c r="Y20878" s="372">
        <v>0.0</v>
      </c>
      <c r="Z20878" s="372">
        <v>0.0</v>
      </c>
    </row>
    <row r="20879">
      <c r="Y20879" s="372">
        <v>0.0</v>
      </c>
      <c r="Z20879" s="372">
        <v>0.0</v>
      </c>
    </row>
    <row r="20880">
      <c r="Y20880" s="372">
        <v>0.0</v>
      </c>
      <c r="Z20880" s="372">
        <v>0.0</v>
      </c>
    </row>
    <row r="20881">
      <c r="Y20881" s="372">
        <v>0.0</v>
      </c>
      <c r="Z20881" s="372">
        <v>0.0</v>
      </c>
    </row>
    <row r="20882">
      <c r="Y20882" s="372">
        <v>0.0</v>
      </c>
      <c r="Z20882" s="372">
        <v>0.0</v>
      </c>
    </row>
    <row r="20883">
      <c r="Y20883" s="372">
        <v>0.0</v>
      </c>
      <c r="Z20883" s="372">
        <v>0.0</v>
      </c>
    </row>
    <row r="20884">
      <c r="Y20884" s="372">
        <v>0.0</v>
      </c>
      <c r="Z20884" s="372">
        <v>0.0</v>
      </c>
    </row>
    <row r="20885">
      <c r="Y20885" s="372">
        <v>0.0</v>
      </c>
      <c r="Z20885" s="372">
        <v>0.0</v>
      </c>
    </row>
    <row r="20886">
      <c r="Y20886" s="372">
        <v>0.0</v>
      </c>
      <c r="Z20886" s="372">
        <v>0.0</v>
      </c>
    </row>
    <row r="20887">
      <c r="Y20887" s="372">
        <v>0.0</v>
      </c>
      <c r="Z20887" s="372">
        <v>0.0</v>
      </c>
    </row>
    <row r="20888">
      <c r="Y20888" s="372">
        <v>0.0</v>
      </c>
      <c r="Z20888" s="372">
        <v>0.0</v>
      </c>
    </row>
    <row r="20889">
      <c r="Y20889" s="372">
        <v>0.0</v>
      </c>
      <c r="Z20889" s="372">
        <v>0.0</v>
      </c>
    </row>
    <row r="20890">
      <c r="Y20890" s="372">
        <v>0.0</v>
      </c>
      <c r="Z20890" s="372">
        <v>0.0</v>
      </c>
    </row>
    <row r="20891">
      <c r="Y20891" s="372">
        <v>0.0</v>
      </c>
      <c r="Z20891" s="372">
        <v>0.0</v>
      </c>
    </row>
    <row r="20892">
      <c r="Y20892" s="372">
        <v>0.0</v>
      </c>
      <c r="Z20892" s="372">
        <v>0.0</v>
      </c>
    </row>
    <row r="20893">
      <c r="Y20893" s="372">
        <v>0.0</v>
      </c>
      <c r="Z20893" s="372">
        <v>0.0</v>
      </c>
    </row>
    <row r="20894">
      <c r="Y20894" s="372">
        <v>0.0</v>
      </c>
      <c r="Z20894" s="372">
        <v>0.0</v>
      </c>
    </row>
    <row r="20895">
      <c r="Y20895" s="372">
        <v>0.0</v>
      </c>
      <c r="Z20895" s="372">
        <v>0.0</v>
      </c>
    </row>
    <row r="20896">
      <c r="Y20896" s="372">
        <v>0.0</v>
      </c>
      <c r="Z20896" s="372">
        <v>0.0</v>
      </c>
    </row>
    <row r="20897">
      <c r="Y20897" s="372">
        <v>0.0</v>
      </c>
      <c r="Z20897" s="372">
        <v>0.0</v>
      </c>
    </row>
    <row r="20898">
      <c r="Y20898" s="372">
        <v>0.0</v>
      </c>
      <c r="Z20898" s="372">
        <v>0.0</v>
      </c>
    </row>
    <row r="20899">
      <c r="Y20899" s="372">
        <v>0.0</v>
      </c>
      <c r="Z20899" s="372">
        <v>0.0</v>
      </c>
    </row>
    <row r="20900">
      <c r="Y20900" s="372">
        <v>0.0</v>
      </c>
      <c r="Z20900" s="372">
        <v>0.0</v>
      </c>
    </row>
    <row r="20901">
      <c r="Y20901" s="372">
        <v>0.0</v>
      </c>
      <c r="Z20901" s="372">
        <v>0.0</v>
      </c>
    </row>
    <row r="20902">
      <c r="Y20902" s="372">
        <v>0.0</v>
      </c>
      <c r="Z20902" s="372">
        <v>0.0</v>
      </c>
    </row>
    <row r="20903">
      <c r="Y20903" s="372">
        <v>0.0</v>
      </c>
      <c r="Z20903" s="372">
        <v>0.0</v>
      </c>
    </row>
    <row r="20904">
      <c r="Y20904" s="372">
        <v>0.0</v>
      </c>
      <c r="Z20904" s="372">
        <v>0.0</v>
      </c>
    </row>
    <row r="20905">
      <c r="Y20905" s="372">
        <v>0.0</v>
      </c>
      <c r="Z20905" s="372">
        <v>0.0</v>
      </c>
    </row>
    <row r="20906">
      <c r="Y20906" s="372">
        <v>0.0</v>
      </c>
      <c r="Z20906" s="372">
        <v>0.0</v>
      </c>
    </row>
    <row r="20907">
      <c r="Y20907" s="372">
        <v>0.0</v>
      </c>
      <c r="Z20907" s="372">
        <v>0.0</v>
      </c>
    </row>
    <row r="20908">
      <c r="Y20908" s="372">
        <v>0.0</v>
      </c>
      <c r="Z20908" s="372">
        <v>0.0</v>
      </c>
    </row>
    <row r="20909">
      <c r="Y20909" s="372">
        <v>0.0</v>
      </c>
      <c r="Z20909" s="372">
        <v>0.0</v>
      </c>
    </row>
    <row r="20910">
      <c r="Y20910" s="372">
        <v>0.0</v>
      </c>
      <c r="Z20910" s="372">
        <v>0.0</v>
      </c>
    </row>
    <row r="20911">
      <c r="Y20911" s="372">
        <v>0.0</v>
      </c>
      <c r="Z20911" s="372">
        <v>0.0</v>
      </c>
    </row>
    <row r="20912">
      <c r="Y20912" s="372">
        <v>0.0</v>
      </c>
      <c r="Z20912" s="372">
        <v>0.0</v>
      </c>
    </row>
    <row r="20913">
      <c r="Y20913" s="372">
        <v>0.0</v>
      </c>
      <c r="Z20913" s="372">
        <v>0.0</v>
      </c>
    </row>
    <row r="20914">
      <c r="Y20914" s="372">
        <v>0.0</v>
      </c>
      <c r="Z20914" s="372">
        <v>0.0</v>
      </c>
    </row>
    <row r="20915">
      <c r="Y20915" s="372">
        <v>0.0</v>
      </c>
      <c r="Z20915" s="372">
        <v>0.0</v>
      </c>
    </row>
    <row r="20916">
      <c r="Y20916" s="372">
        <v>0.0</v>
      </c>
      <c r="Z20916" s="372">
        <v>0.0</v>
      </c>
    </row>
    <row r="20917">
      <c r="Y20917" s="372">
        <v>0.0</v>
      </c>
      <c r="Z20917" s="372">
        <v>0.0</v>
      </c>
    </row>
    <row r="20918">
      <c r="Y20918" s="372">
        <v>0.0</v>
      </c>
      <c r="Z20918" s="372">
        <v>0.0</v>
      </c>
    </row>
    <row r="20919">
      <c r="Y20919" s="372">
        <v>0.0</v>
      </c>
      <c r="Z20919" s="372">
        <v>0.0</v>
      </c>
    </row>
    <row r="20920">
      <c r="Y20920" s="372">
        <v>0.0</v>
      </c>
      <c r="Z20920" s="372">
        <v>0.0</v>
      </c>
    </row>
    <row r="20921">
      <c r="Y20921" s="372">
        <v>0.0</v>
      </c>
      <c r="Z20921" s="372">
        <v>0.0</v>
      </c>
    </row>
    <row r="20922">
      <c r="Y20922" s="372">
        <v>0.0</v>
      </c>
      <c r="Z20922" s="372">
        <v>0.0</v>
      </c>
    </row>
    <row r="20923">
      <c r="Y20923" s="372">
        <v>0.0</v>
      </c>
      <c r="Z20923" s="372">
        <v>0.0</v>
      </c>
    </row>
    <row r="20924">
      <c r="Y20924" s="372">
        <v>0.0</v>
      </c>
      <c r="Z20924" s="372">
        <v>0.0</v>
      </c>
    </row>
    <row r="20925">
      <c r="Y20925" s="372">
        <v>0.0</v>
      </c>
      <c r="Z20925" s="372">
        <v>0.0</v>
      </c>
    </row>
    <row r="20926">
      <c r="Y20926" s="372">
        <v>0.0</v>
      </c>
      <c r="Z20926" s="372">
        <v>0.0</v>
      </c>
    </row>
    <row r="20927">
      <c r="Y20927" s="372">
        <v>0.0</v>
      </c>
      <c r="Z20927" s="372">
        <v>0.0</v>
      </c>
    </row>
    <row r="20928">
      <c r="Y20928" s="372">
        <v>0.0</v>
      </c>
      <c r="Z20928" s="372">
        <v>0.0</v>
      </c>
    </row>
    <row r="20929">
      <c r="Y20929" s="372">
        <v>0.0</v>
      </c>
      <c r="Z20929" s="372">
        <v>0.0</v>
      </c>
    </row>
    <row r="20930">
      <c r="Y20930" s="372">
        <v>0.0</v>
      </c>
      <c r="Z20930" s="372">
        <v>0.0</v>
      </c>
    </row>
    <row r="20931">
      <c r="Y20931" s="372">
        <v>0.0</v>
      </c>
      <c r="Z20931" s="372">
        <v>0.0</v>
      </c>
    </row>
    <row r="20932">
      <c r="Y20932" s="372">
        <v>0.0</v>
      </c>
      <c r="Z20932" s="372">
        <v>0.0</v>
      </c>
    </row>
    <row r="20933">
      <c r="Y20933" s="372">
        <v>0.0</v>
      </c>
      <c r="Z20933" s="372">
        <v>0.0</v>
      </c>
    </row>
    <row r="20934">
      <c r="Y20934" s="372">
        <v>0.0</v>
      </c>
      <c r="Z20934" s="372">
        <v>0.0</v>
      </c>
    </row>
    <row r="20935">
      <c r="Y20935" s="372">
        <v>0.0</v>
      </c>
      <c r="Z20935" s="372">
        <v>0.0</v>
      </c>
    </row>
    <row r="20936">
      <c r="Y20936" s="372">
        <v>0.0</v>
      </c>
      <c r="Z20936" s="372">
        <v>0.0</v>
      </c>
    </row>
    <row r="20937">
      <c r="Y20937" s="372">
        <v>0.0</v>
      </c>
      <c r="Z20937" s="372">
        <v>0.0</v>
      </c>
    </row>
    <row r="20938">
      <c r="Y20938" s="372">
        <v>0.0</v>
      </c>
      <c r="Z20938" s="372">
        <v>0.0</v>
      </c>
    </row>
    <row r="20939">
      <c r="Y20939" s="372">
        <v>0.0</v>
      </c>
      <c r="Z20939" s="372">
        <v>0.0</v>
      </c>
    </row>
    <row r="20940">
      <c r="Y20940" s="372">
        <v>0.0</v>
      </c>
      <c r="Z20940" s="372">
        <v>0.0</v>
      </c>
    </row>
    <row r="20941">
      <c r="Y20941" s="372">
        <v>0.0</v>
      </c>
      <c r="Z20941" s="372">
        <v>0.0</v>
      </c>
    </row>
    <row r="20942">
      <c r="Y20942" s="372">
        <v>0.0</v>
      </c>
      <c r="Z20942" s="372">
        <v>0.0</v>
      </c>
    </row>
    <row r="20943">
      <c r="Y20943" s="372">
        <v>0.0</v>
      </c>
      <c r="Z20943" s="372">
        <v>0.0</v>
      </c>
    </row>
    <row r="20944">
      <c r="Y20944" s="372">
        <v>0.0</v>
      </c>
      <c r="Z20944" s="372">
        <v>0.0</v>
      </c>
    </row>
    <row r="20945">
      <c r="Y20945" s="372">
        <v>0.0</v>
      </c>
      <c r="Z20945" s="372">
        <v>0.0</v>
      </c>
    </row>
    <row r="20946">
      <c r="Y20946" s="372">
        <v>0.0</v>
      </c>
      <c r="Z20946" s="372">
        <v>0.0</v>
      </c>
    </row>
    <row r="20947">
      <c r="Y20947" s="372">
        <v>0.0</v>
      </c>
      <c r="Z20947" s="372">
        <v>0.0</v>
      </c>
    </row>
    <row r="20948">
      <c r="Y20948" s="372">
        <v>0.0</v>
      </c>
      <c r="Z20948" s="372">
        <v>0.0</v>
      </c>
    </row>
    <row r="20949">
      <c r="Y20949" s="372">
        <v>0.0</v>
      </c>
      <c r="Z20949" s="372">
        <v>0.0</v>
      </c>
    </row>
    <row r="20950">
      <c r="Y20950" s="372">
        <v>0.0</v>
      </c>
      <c r="Z20950" s="372">
        <v>0.0</v>
      </c>
    </row>
    <row r="20951">
      <c r="Y20951" s="372">
        <v>0.0</v>
      </c>
      <c r="Z20951" s="372">
        <v>0.0</v>
      </c>
    </row>
    <row r="20952">
      <c r="Y20952" s="372">
        <v>0.0</v>
      </c>
      <c r="Z20952" s="372">
        <v>0.0</v>
      </c>
    </row>
    <row r="20953">
      <c r="Y20953" s="372">
        <v>0.0</v>
      </c>
      <c r="Z20953" s="372">
        <v>0.0</v>
      </c>
    </row>
    <row r="20954">
      <c r="Y20954" s="372">
        <v>0.0</v>
      </c>
      <c r="Z20954" s="372">
        <v>0.0</v>
      </c>
    </row>
    <row r="20955">
      <c r="Y20955" s="372">
        <v>0.0</v>
      </c>
      <c r="Z20955" s="372">
        <v>0.0</v>
      </c>
    </row>
    <row r="20956">
      <c r="Y20956" s="372">
        <v>0.0</v>
      </c>
      <c r="Z20956" s="372">
        <v>0.0</v>
      </c>
    </row>
    <row r="20957">
      <c r="Y20957" s="372">
        <v>0.0</v>
      </c>
      <c r="Z20957" s="372">
        <v>0.0</v>
      </c>
    </row>
    <row r="20958">
      <c r="Y20958" s="372">
        <v>0.0</v>
      </c>
      <c r="Z20958" s="372">
        <v>0.0</v>
      </c>
    </row>
    <row r="20959">
      <c r="Y20959" s="372">
        <v>0.0</v>
      </c>
      <c r="Z20959" s="372">
        <v>0.0</v>
      </c>
    </row>
    <row r="20960">
      <c r="Y20960" s="372">
        <v>0.0</v>
      </c>
      <c r="Z20960" s="372">
        <v>0.0</v>
      </c>
    </row>
    <row r="20961">
      <c r="Y20961" s="372">
        <v>0.0</v>
      </c>
      <c r="Z20961" s="372">
        <v>0.0</v>
      </c>
    </row>
    <row r="20962">
      <c r="Y20962" s="372">
        <v>0.0</v>
      </c>
      <c r="Z20962" s="372">
        <v>0.0</v>
      </c>
    </row>
    <row r="20963">
      <c r="Y20963" s="372">
        <v>0.0</v>
      </c>
      <c r="Z20963" s="372">
        <v>0.0</v>
      </c>
    </row>
    <row r="20964">
      <c r="Y20964" s="372">
        <v>0.0</v>
      </c>
      <c r="Z20964" s="372">
        <v>0.0</v>
      </c>
    </row>
    <row r="20965">
      <c r="Y20965" s="372">
        <v>0.0</v>
      </c>
      <c r="Z20965" s="372">
        <v>0.0</v>
      </c>
    </row>
    <row r="20966">
      <c r="Y20966" s="372">
        <v>0.0</v>
      </c>
      <c r="Z20966" s="372">
        <v>0.0</v>
      </c>
    </row>
    <row r="20967">
      <c r="Y20967" s="372">
        <v>0.0</v>
      </c>
      <c r="Z20967" s="372">
        <v>0.0</v>
      </c>
    </row>
    <row r="20968">
      <c r="Y20968" s="372">
        <v>0.0</v>
      </c>
      <c r="Z20968" s="372">
        <v>0.0</v>
      </c>
    </row>
    <row r="20969">
      <c r="Y20969" s="372">
        <v>0.0</v>
      </c>
      <c r="Z20969" s="372">
        <v>0.0</v>
      </c>
    </row>
    <row r="20970">
      <c r="Y20970" s="372">
        <v>0.0</v>
      </c>
      <c r="Z20970" s="372">
        <v>0.0</v>
      </c>
    </row>
    <row r="20971">
      <c r="Y20971" s="372">
        <v>0.0</v>
      </c>
      <c r="Z20971" s="372">
        <v>0.0</v>
      </c>
    </row>
    <row r="20972">
      <c r="Y20972" s="372">
        <v>0.0</v>
      </c>
      <c r="Z20972" s="372">
        <v>0.0</v>
      </c>
    </row>
    <row r="20973">
      <c r="Y20973" s="372">
        <v>0.0</v>
      </c>
      <c r="Z20973" s="372">
        <v>0.0</v>
      </c>
    </row>
    <row r="20974">
      <c r="Y20974" s="372">
        <v>0.0</v>
      </c>
      <c r="Z20974" s="372">
        <v>0.0</v>
      </c>
    </row>
    <row r="20975">
      <c r="Y20975" s="372">
        <v>0.0</v>
      </c>
      <c r="Z20975" s="372">
        <v>0.0</v>
      </c>
    </row>
    <row r="20976">
      <c r="Y20976" s="372">
        <v>0.0</v>
      </c>
      <c r="Z20976" s="372">
        <v>0.0</v>
      </c>
    </row>
    <row r="20977">
      <c r="Y20977" s="372">
        <v>0.0</v>
      </c>
      <c r="Z20977" s="372">
        <v>0.0</v>
      </c>
    </row>
    <row r="20978">
      <c r="Y20978" s="372">
        <v>0.0</v>
      </c>
      <c r="Z20978" s="372">
        <v>0.0</v>
      </c>
    </row>
    <row r="20979">
      <c r="Y20979" s="372">
        <v>0.0</v>
      </c>
      <c r="Z20979" s="372">
        <v>0.0</v>
      </c>
    </row>
    <row r="20980">
      <c r="Y20980" s="372">
        <v>0.0</v>
      </c>
      <c r="Z20980" s="372">
        <v>0.0</v>
      </c>
    </row>
    <row r="20981">
      <c r="Y20981" s="372">
        <v>0.0</v>
      </c>
      <c r="Z20981" s="372">
        <v>0.0</v>
      </c>
    </row>
    <row r="20982">
      <c r="Y20982" s="372">
        <v>0.0</v>
      </c>
      <c r="Z20982" s="372">
        <v>0.0</v>
      </c>
    </row>
    <row r="20983">
      <c r="Y20983" s="372">
        <v>0.0</v>
      </c>
      <c r="Z20983" s="372">
        <v>0.0</v>
      </c>
    </row>
    <row r="20984">
      <c r="Y20984" s="372">
        <v>0.0</v>
      </c>
      <c r="Z20984" s="372">
        <v>0.0</v>
      </c>
    </row>
    <row r="20985">
      <c r="Y20985" s="372">
        <v>0.0</v>
      </c>
      <c r="Z20985" s="372">
        <v>0.0</v>
      </c>
    </row>
    <row r="20986">
      <c r="Y20986" s="372">
        <v>0.0</v>
      </c>
      <c r="Z20986" s="372">
        <v>0.0</v>
      </c>
    </row>
    <row r="20987">
      <c r="Y20987" s="372">
        <v>0.0</v>
      </c>
      <c r="Z20987" s="372">
        <v>0.0</v>
      </c>
    </row>
    <row r="20988">
      <c r="Y20988" s="372">
        <v>0.0</v>
      </c>
      <c r="Z20988" s="372">
        <v>0.0</v>
      </c>
    </row>
    <row r="20989">
      <c r="Y20989" s="372">
        <v>0.0</v>
      </c>
      <c r="Z20989" s="372">
        <v>0.0</v>
      </c>
    </row>
    <row r="20990">
      <c r="Y20990" s="372">
        <v>0.0</v>
      </c>
      <c r="Z20990" s="372">
        <v>0.0</v>
      </c>
    </row>
    <row r="20991">
      <c r="Y20991" s="372">
        <v>0.0</v>
      </c>
      <c r="Z20991" s="372">
        <v>0.0</v>
      </c>
    </row>
    <row r="20992">
      <c r="Y20992" s="372">
        <v>0.0</v>
      </c>
      <c r="Z20992" s="372">
        <v>0.0</v>
      </c>
    </row>
    <row r="20993">
      <c r="Y20993" s="372">
        <v>0.0</v>
      </c>
      <c r="Z20993" s="372">
        <v>0.0</v>
      </c>
    </row>
    <row r="20994">
      <c r="Y20994" s="372">
        <v>0.0</v>
      </c>
      <c r="Z20994" s="372">
        <v>0.0</v>
      </c>
    </row>
    <row r="20995">
      <c r="Y20995" s="372">
        <v>0.0</v>
      </c>
      <c r="Z20995" s="372">
        <v>0.0</v>
      </c>
    </row>
    <row r="20996">
      <c r="Y20996" s="372">
        <v>0.0</v>
      </c>
      <c r="Z20996" s="372">
        <v>0.0</v>
      </c>
    </row>
    <row r="20997">
      <c r="Y20997" s="372">
        <v>0.0</v>
      </c>
      <c r="Z20997" s="372">
        <v>0.0</v>
      </c>
    </row>
    <row r="20998">
      <c r="Y20998" s="372">
        <v>0.0</v>
      </c>
      <c r="Z20998" s="372">
        <v>0.0</v>
      </c>
    </row>
    <row r="20999">
      <c r="Y20999" s="372">
        <v>0.0</v>
      </c>
      <c r="Z20999" s="372">
        <v>0.0</v>
      </c>
    </row>
    <row r="21000">
      <c r="Y21000" s="372">
        <v>0.0</v>
      </c>
      <c r="Z21000" s="372">
        <v>0.0</v>
      </c>
    </row>
    <row r="21001">
      <c r="Y21001" s="372">
        <v>0.0</v>
      </c>
      <c r="Z21001" s="372">
        <v>0.0</v>
      </c>
    </row>
    <row r="21002">
      <c r="Y21002" s="372">
        <v>0.0</v>
      </c>
      <c r="Z21002" s="372">
        <v>0.0</v>
      </c>
    </row>
    <row r="21003">
      <c r="Y21003" s="372">
        <v>0.0</v>
      </c>
      <c r="Z21003" s="372">
        <v>0.0</v>
      </c>
    </row>
    <row r="21004">
      <c r="Y21004" s="372">
        <v>0.0</v>
      </c>
      <c r="Z21004" s="372">
        <v>0.0</v>
      </c>
    </row>
    <row r="21005">
      <c r="Y21005" s="372">
        <v>0.0</v>
      </c>
      <c r="Z21005" s="372">
        <v>0.0</v>
      </c>
    </row>
    <row r="21006">
      <c r="Y21006" s="372">
        <v>0.0</v>
      </c>
      <c r="Z21006" s="372">
        <v>0.0</v>
      </c>
    </row>
    <row r="21007">
      <c r="Y21007" s="372">
        <v>0.0</v>
      </c>
      <c r="Z21007" s="372">
        <v>0.0</v>
      </c>
    </row>
    <row r="21008">
      <c r="Y21008" s="372">
        <v>0.0</v>
      </c>
      <c r="Z21008" s="372">
        <v>0.0</v>
      </c>
    </row>
    <row r="21009">
      <c r="Y21009" s="372">
        <v>0.0</v>
      </c>
      <c r="Z21009" s="372">
        <v>0.0</v>
      </c>
    </row>
    <row r="21010">
      <c r="Y21010" s="372">
        <v>0.0</v>
      </c>
      <c r="Z21010" s="372">
        <v>0.0</v>
      </c>
    </row>
    <row r="21011">
      <c r="Y21011" s="372">
        <v>0.0</v>
      </c>
      <c r="Z21011" s="372">
        <v>0.0</v>
      </c>
    </row>
    <row r="21012">
      <c r="Y21012" s="372">
        <v>0.0</v>
      </c>
      <c r="Z21012" s="372">
        <v>0.0</v>
      </c>
    </row>
    <row r="21013">
      <c r="Y21013" s="372">
        <v>0.0</v>
      </c>
      <c r="Z21013" s="372">
        <v>0.0</v>
      </c>
    </row>
    <row r="21014">
      <c r="Y21014" s="372">
        <v>0.0</v>
      </c>
      <c r="Z21014" s="372">
        <v>0.0</v>
      </c>
    </row>
    <row r="21015">
      <c r="Y21015" s="372">
        <v>0.0</v>
      </c>
      <c r="Z21015" s="372">
        <v>0.0</v>
      </c>
    </row>
    <row r="21016">
      <c r="Y21016" s="372">
        <v>0.0</v>
      </c>
      <c r="Z21016" s="372">
        <v>0.0</v>
      </c>
    </row>
    <row r="21017">
      <c r="Y21017" s="372">
        <v>0.0</v>
      </c>
      <c r="Z21017" s="372">
        <v>0.0</v>
      </c>
    </row>
    <row r="21018">
      <c r="Y21018" s="372">
        <v>0.0</v>
      </c>
      <c r="Z21018" s="372">
        <v>0.0</v>
      </c>
    </row>
    <row r="21019">
      <c r="Y21019" s="372">
        <v>0.0</v>
      </c>
      <c r="Z21019" s="372">
        <v>0.0</v>
      </c>
    </row>
    <row r="21020">
      <c r="Y21020" s="372">
        <v>0.0</v>
      </c>
      <c r="Z21020" s="372">
        <v>0.0</v>
      </c>
    </row>
    <row r="21021">
      <c r="Y21021" s="372">
        <v>0.0</v>
      </c>
      <c r="Z21021" s="372">
        <v>0.0</v>
      </c>
    </row>
    <row r="21022">
      <c r="Y21022" s="372">
        <v>0.0</v>
      </c>
      <c r="Z21022" s="372">
        <v>0.0</v>
      </c>
    </row>
    <row r="21023">
      <c r="Y21023" s="372">
        <v>0.0</v>
      </c>
      <c r="Z21023" s="372">
        <v>0.0</v>
      </c>
    </row>
    <row r="21024">
      <c r="Y21024" s="372">
        <v>0.0</v>
      </c>
      <c r="Z21024" s="372">
        <v>0.0</v>
      </c>
    </row>
    <row r="21025">
      <c r="Y21025" s="372">
        <v>0.0</v>
      </c>
      <c r="Z21025" s="372">
        <v>0.0</v>
      </c>
    </row>
    <row r="21026">
      <c r="Y21026" s="372">
        <v>0.0</v>
      </c>
      <c r="Z21026" s="372">
        <v>0.0</v>
      </c>
    </row>
    <row r="21027">
      <c r="Y21027" s="372">
        <v>0.0</v>
      </c>
      <c r="Z21027" s="372">
        <v>0.0</v>
      </c>
    </row>
    <row r="21028">
      <c r="Y21028" s="372">
        <v>0.0</v>
      </c>
      <c r="Z21028" s="372">
        <v>0.0</v>
      </c>
    </row>
    <row r="21029">
      <c r="Y21029" s="372">
        <v>0.0</v>
      </c>
      <c r="Z21029" s="372">
        <v>0.0</v>
      </c>
    </row>
    <row r="21030">
      <c r="Y21030" s="372">
        <v>0.0</v>
      </c>
      <c r="Z21030" s="372">
        <v>0.0</v>
      </c>
    </row>
    <row r="21031">
      <c r="Y21031" s="372">
        <v>0.0</v>
      </c>
      <c r="Z21031" s="372">
        <v>0.0</v>
      </c>
    </row>
    <row r="21032">
      <c r="Y21032" s="372">
        <v>0.0</v>
      </c>
      <c r="Z21032" s="372">
        <v>0.0</v>
      </c>
    </row>
    <row r="21033">
      <c r="Y21033" s="372">
        <v>0.0</v>
      </c>
      <c r="Z21033" s="372">
        <v>0.0</v>
      </c>
    </row>
    <row r="21034">
      <c r="Y21034" s="372">
        <v>0.0</v>
      </c>
      <c r="Z21034" s="372">
        <v>0.0</v>
      </c>
    </row>
    <row r="21035">
      <c r="Y21035" s="372">
        <v>0.0</v>
      </c>
      <c r="Z21035" s="372">
        <v>0.0</v>
      </c>
    </row>
    <row r="21036">
      <c r="Y21036" s="372">
        <v>0.0</v>
      </c>
      <c r="Z21036" s="372">
        <v>0.0</v>
      </c>
    </row>
    <row r="21037">
      <c r="Y21037" s="372">
        <v>0.0</v>
      </c>
      <c r="Z21037" s="372">
        <v>0.0</v>
      </c>
    </row>
    <row r="21038">
      <c r="Y21038" s="372">
        <v>0.0</v>
      </c>
      <c r="Z21038" s="372">
        <v>0.0</v>
      </c>
    </row>
    <row r="21039">
      <c r="Y21039" s="372">
        <v>0.0</v>
      </c>
      <c r="Z21039" s="372">
        <v>0.0</v>
      </c>
    </row>
    <row r="21040">
      <c r="Y21040" s="372">
        <v>0.0</v>
      </c>
      <c r="Z21040" s="372">
        <v>0.0</v>
      </c>
    </row>
    <row r="21041">
      <c r="Y21041" s="372">
        <v>0.0</v>
      </c>
      <c r="Z21041" s="372">
        <v>0.0</v>
      </c>
    </row>
    <row r="21042">
      <c r="Y21042" s="372">
        <v>0.0</v>
      </c>
      <c r="Z21042" s="372">
        <v>0.0</v>
      </c>
    </row>
    <row r="21043">
      <c r="Y21043" s="372">
        <v>0.0</v>
      </c>
      <c r="Z21043" s="372">
        <v>0.0</v>
      </c>
    </row>
    <row r="21044">
      <c r="Y21044" s="372">
        <v>0.0</v>
      </c>
      <c r="Z21044" s="372">
        <v>0.0</v>
      </c>
    </row>
    <row r="21045">
      <c r="Y21045" s="372">
        <v>0.0</v>
      </c>
      <c r="Z21045" s="372">
        <v>0.0</v>
      </c>
    </row>
    <row r="21046">
      <c r="Y21046" s="372">
        <v>0.0</v>
      </c>
      <c r="Z21046" s="372">
        <v>0.0</v>
      </c>
    </row>
    <row r="21047">
      <c r="Y21047" s="372">
        <v>0.0</v>
      </c>
      <c r="Z21047" s="372">
        <v>0.0</v>
      </c>
    </row>
    <row r="21048">
      <c r="Y21048" s="372">
        <v>0.0</v>
      </c>
      <c r="Z21048" s="372">
        <v>0.0</v>
      </c>
    </row>
    <row r="21049">
      <c r="Y21049" s="372">
        <v>0.0</v>
      </c>
      <c r="Z21049" s="372">
        <v>0.0</v>
      </c>
    </row>
    <row r="21050">
      <c r="Y21050" s="372">
        <v>0.0</v>
      </c>
      <c r="Z21050" s="372">
        <v>0.0</v>
      </c>
    </row>
    <row r="21051">
      <c r="Y21051" s="372">
        <v>0.0</v>
      </c>
      <c r="Z21051" s="372">
        <v>0.0</v>
      </c>
    </row>
    <row r="21052">
      <c r="Y21052" s="372">
        <v>0.0</v>
      </c>
      <c r="Z21052" s="372">
        <v>0.0</v>
      </c>
    </row>
    <row r="21053">
      <c r="Y21053" s="372">
        <v>0.0</v>
      </c>
      <c r="Z21053" s="372">
        <v>0.0</v>
      </c>
    </row>
    <row r="21054">
      <c r="Y21054" s="372">
        <v>0.0</v>
      </c>
      <c r="Z21054" s="372">
        <v>0.0</v>
      </c>
    </row>
    <row r="21055">
      <c r="Y21055" s="372">
        <v>0.0</v>
      </c>
      <c r="Z21055" s="372">
        <v>0.0</v>
      </c>
    </row>
    <row r="21056">
      <c r="Y21056" s="372">
        <v>0.0</v>
      </c>
      <c r="Z21056" s="372">
        <v>0.0</v>
      </c>
    </row>
    <row r="21057">
      <c r="Y21057" s="372">
        <v>0.0</v>
      </c>
      <c r="Z21057" s="372">
        <v>0.0</v>
      </c>
    </row>
    <row r="21058">
      <c r="Y21058" s="372">
        <v>0.0</v>
      </c>
      <c r="Z21058" s="372">
        <v>0.0</v>
      </c>
    </row>
    <row r="21059">
      <c r="Y21059" s="372">
        <v>0.0</v>
      </c>
      <c r="Z21059" s="372">
        <v>0.0</v>
      </c>
    </row>
    <row r="21060">
      <c r="Y21060" s="372">
        <v>0.0</v>
      </c>
      <c r="Z21060" s="372">
        <v>0.0</v>
      </c>
    </row>
    <row r="21061">
      <c r="Y21061" s="372">
        <v>0.0</v>
      </c>
      <c r="Z21061" s="372">
        <v>0.0</v>
      </c>
    </row>
    <row r="21062">
      <c r="Y21062" s="372">
        <v>0.0</v>
      </c>
      <c r="Z21062" s="372">
        <v>0.0</v>
      </c>
    </row>
    <row r="21063">
      <c r="Y21063" s="372">
        <v>0.0</v>
      </c>
      <c r="Z21063" s="372">
        <v>0.0</v>
      </c>
    </row>
    <row r="21064">
      <c r="Y21064" s="372">
        <v>0.0</v>
      </c>
      <c r="Z21064" s="372">
        <v>0.0</v>
      </c>
    </row>
    <row r="21065">
      <c r="Y21065" s="372">
        <v>0.0</v>
      </c>
      <c r="Z21065" s="372">
        <v>0.0</v>
      </c>
    </row>
    <row r="21066">
      <c r="Y21066" s="372">
        <v>0.0</v>
      </c>
      <c r="Z21066" s="372">
        <v>0.0</v>
      </c>
    </row>
    <row r="21067">
      <c r="Y21067" s="372">
        <v>0.0</v>
      </c>
      <c r="Z21067" s="372">
        <v>0.0</v>
      </c>
    </row>
    <row r="21068">
      <c r="Y21068" s="372">
        <v>0.0</v>
      </c>
      <c r="Z21068" s="372">
        <v>0.0</v>
      </c>
    </row>
    <row r="21069">
      <c r="Y21069" s="372">
        <v>0.0</v>
      </c>
      <c r="Z21069" s="372">
        <v>0.0</v>
      </c>
    </row>
    <row r="21070">
      <c r="Y21070" s="372">
        <v>0.0</v>
      </c>
      <c r="Z21070" s="372">
        <v>0.0</v>
      </c>
    </row>
    <row r="21071">
      <c r="Y21071" s="372">
        <v>0.0</v>
      </c>
      <c r="Z21071" s="372">
        <v>0.0</v>
      </c>
    </row>
    <row r="21072">
      <c r="Y21072" s="372">
        <v>0.0</v>
      </c>
      <c r="Z21072" s="372">
        <v>0.0</v>
      </c>
    </row>
    <row r="21073">
      <c r="Y21073" s="372">
        <v>0.0</v>
      </c>
      <c r="Z21073" s="372">
        <v>0.0</v>
      </c>
    </row>
    <row r="21074">
      <c r="Y21074" s="372">
        <v>0.0</v>
      </c>
      <c r="Z21074" s="372">
        <v>0.0</v>
      </c>
    </row>
    <row r="21075">
      <c r="Y21075" s="372">
        <v>0.0</v>
      </c>
      <c r="Z21075" s="372">
        <v>0.0</v>
      </c>
    </row>
    <row r="21076">
      <c r="Y21076" s="372">
        <v>0.0</v>
      </c>
      <c r="Z21076" s="372">
        <v>0.0</v>
      </c>
    </row>
    <row r="21077">
      <c r="Y21077" s="372">
        <v>0.0</v>
      </c>
      <c r="Z21077" s="372">
        <v>0.0</v>
      </c>
    </row>
    <row r="21078">
      <c r="Y21078" s="372">
        <v>0.0</v>
      </c>
      <c r="Z21078" s="372">
        <v>0.0</v>
      </c>
    </row>
    <row r="21079">
      <c r="Y21079" s="372">
        <v>0.0</v>
      </c>
      <c r="Z21079" s="372">
        <v>0.0</v>
      </c>
    </row>
    <row r="21080">
      <c r="Y21080" s="372">
        <v>0.0</v>
      </c>
      <c r="Z21080" s="372">
        <v>0.0</v>
      </c>
    </row>
    <row r="21081">
      <c r="Y21081" s="372">
        <v>0.0</v>
      </c>
      <c r="Z21081" s="372">
        <v>0.0</v>
      </c>
    </row>
    <row r="21082">
      <c r="Y21082" s="372">
        <v>0.0</v>
      </c>
      <c r="Z21082" s="372">
        <v>0.0</v>
      </c>
    </row>
    <row r="21083">
      <c r="Y21083" s="372">
        <v>0.0</v>
      </c>
      <c r="Z21083" s="372">
        <v>0.0</v>
      </c>
    </row>
    <row r="21084">
      <c r="Y21084" s="372">
        <v>0.0</v>
      </c>
      <c r="Z21084" s="372">
        <v>0.0</v>
      </c>
    </row>
    <row r="21085">
      <c r="Y21085" s="372">
        <v>0.0</v>
      </c>
      <c r="Z21085" s="372">
        <v>0.0</v>
      </c>
    </row>
    <row r="21086">
      <c r="Y21086" s="372">
        <v>0.0</v>
      </c>
      <c r="Z21086" s="372">
        <v>0.0</v>
      </c>
    </row>
    <row r="21087">
      <c r="Y21087" s="372">
        <v>0.0</v>
      </c>
      <c r="Z21087" s="372">
        <v>0.0</v>
      </c>
    </row>
    <row r="21088">
      <c r="Y21088" s="372">
        <v>0.0</v>
      </c>
      <c r="Z21088" s="372">
        <v>0.0</v>
      </c>
    </row>
    <row r="21089">
      <c r="Y21089" s="372">
        <v>0.0</v>
      </c>
      <c r="Z21089" s="372">
        <v>0.0</v>
      </c>
    </row>
    <row r="21090">
      <c r="Y21090" s="372">
        <v>0.0</v>
      </c>
      <c r="Z21090" s="372">
        <v>0.0</v>
      </c>
    </row>
    <row r="21091">
      <c r="Y21091" s="372">
        <v>0.0</v>
      </c>
      <c r="Z21091" s="372">
        <v>0.0</v>
      </c>
    </row>
    <row r="21092">
      <c r="Y21092" s="372">
        <v>0.0</v>
      </c>
      <c r="Z21092" s="372">
        <v>0.0</v>
      </c>
    </row>
    <row r="21093">
      <c r="Y21093" s="372">
        <v>0.0</v>
      </c>
      <c r="Z21093" s="372">
        <v>0.0</v>
      </c>
    </row>
    <row r="21094">
      <c r="Y21094" s="372">
        <v>0.0</v>
      </c>
      <c r="Z21094" s="372">
        <v>0.0</v>
      </c>
    </row>
    <row r="21095">
      <c r="Y21095" s="372">
        <v>0.0</v>
      </c>
      <c r="Z21095" s="372">
        <v>0.0</v>
      </c>
    </row>
    <row r="21096">
      <c r="Y21096" s="372">
        <v>0.0</v>
      </c>
      <c r="Z21096" s="372">
        <v>0.0</v>
      </c>
    </row>
    <row r="21097">
      <c r="Y21097" s="372">
        <v>0.0</v>
      </c>
      <c r="Z21097" s="372">
        <v>0.0</v>
      </c>
    </row>
    <row r="21098">
      <c r="Y21098" s="372">
        <v>0.0</v>
      </c>
      <c r="Z21098" s="372">
        <v>0.0</v>
      </c>
    </row>
    <row r="21099">
      <c r="Y21099" s="372">
        <v>0.0</v>
      </c>
      <c r="Z21099" s="372">
        <v>0.0</v>
      </c>
    </row>
    <row r="21100">
      <c r="Y21100" s="372">
        <v>0.0</v>
      </c>
      <c r="Z21100" s="372">
        <v>0.0</v>
      </c>
    </row>
    <row r="21101">
      <c r="Y21101" s="372">
        <v>0.0</v>
      </c>
      <c r="Z21101" s="372">
        <v>0.0</v>
      </c>
    </row>
    <row r="21102">
      <c r="Y21102" s="372">
        <v>0.0</v>
      </c>
      <c r="Z21102" s="372">
        <v>0.0</v>
      </c>
    </row>
    <row r="21103">
      <c r="Y21103" s="372">
        <v>0.0</v>
      </c>
      <c r="Z21103" s="372">
        <v>0.0</v>
      </c>
    </row>
    <row r="21104">
      <c r="Y21104" s="372">
        <v>0.0</v>
      </c>
      <c r="Z21104" s="372">
        <v>0.0</v>
      </c>
    </row>
    <row r="21105">
      <c r="Y21105" s="372">
        <v>0.0</v>
      </c>
      <c r="Z21105" s="372">
        <v>0.0</v>
      </c>
    </row>
    <row r="21106">
      <c r="Y21106" s="372">
        <v>0.0</v>
      </c>
      <c r="Z21106" s="372">
        <v>0.0</v>
      </c>
    </row>
    <row r="21107">
      <c r="Y21107" s="372">
        <v>0.0</v>
      </c>
      <c r="Z21107" s="372">
        <v>0.0</v>
      </c>
    </row>
    <row r="21108">
      <c r="Y21108" s="372">
        <v>0.0</v>
      </c>
      <c r="Z21108" s="372">
        <v>0.0</v>
      </c>
    </row>
    <row r="21109">
      <c r="Y21109" s="372">
        <v>0.0</v>
      </c>
      <c r="Z21109" s="372">
        <v>0.0</v>
      </c>
    </row>
    <row r="21110">
      <c r="Y21110" s="372">
        <v>0.0</v>
      </c>
      <c r="Z21110" s="372">
        <v>0.0</v>
      </c>
    </row>
    <row r="21111">
      <c r="Y21111" s="372">
        <v>0.0</v>
      </c>
      <c r="Z21111" s="372">
        <v>0.0</v>
      </c>
    </row>
    <row r="21112">
      <c r="Y21112" s="372">
        <v>0.0</v>
      </c>
      <c r="Z21112" s="372">
        <v>0.0</v>
      </c>
    </row>
    <row r="21113">
      <c r="Y21113" s="372">
        <v>0.0</v>
      </c>
      <c r="Z21113" s="372">
        <v>0.0</v>
      </c>
    </row>
    <row r="21114">
      <c r="Y21114" s="372">
        <v>0.0</v>
      </c>
      <c r="Z21114" s="372">
        <v>0.0</v>
      </c>
    </row>
    <row r="21115">
      <c r="Y21115" s="372">
        <v>0.0</v>
      </c>
      <c r="Z21115" s="372">
        <v>0.0</v>
      </c>
    </row>
    <row r="21116">
      <c r="Y21116" s="372">
        <v>0.0</v>
      </c>
      <c r="Z21116" s="372">
        <v>0.0</v>
      </c>
    </row>
    <row r="21117">
      <c r="Y21117" s="372">
        <v>0.0</v>
      </c>
      <c r="Z21117" s="372">
        <v>0.0</v>
      </c>
    </row>
    <row r="21118">
      <c r="Y21118" s="372">
        <v>0.0</v>
      </c>
      <c r="Z21118" s="372">
        <v>0.0</v>
      </c>
    </row>
    <row r="21119">
      <c r="Y21119" s="372">
        <v>0.0</v>
      </c>
      <c r="Z21119" s="372">
        <v>0.0</v>
      </c>
    </row>
    <row r="21120">
      <c r="Y21120" s="372">
        <v>0.0</v>
      </c>
      <c r="Z21120" s="372">
        <v>0.0</v>
      </c>
    </row>
    <row r="21121">
      <c r="Y21121" s="372">
        <v>0.0</v>
      </c>
      <c r="Z21121" s="372">
        <v>0.0</v>
      </c>
    </row>
    <row r="21122">
      <c r="Y21122" s="372">
        <v>0.0</v>
      </c>
      <c r="Z21122" s="372">
        <v>0.0</v>
      </c>
    </row>
    <row r="21123">
      <c r="Y21123" s="372">
        <v>0.0</v>
      </c>
      <c r="Z21123" s="372">
        <v>0.0</v>
      </c>
    </row>
    <row r="21124">
      <c r="Y21124" s="372">
        <v>0.0</v>
      </c>
      <c r="Z21124" s="372">
        <v>0.0</v>
      </c>
    </row>
    <row r="21125">
      <c r="Y21125" s="372">
        <v>0.0</v>
      </c>
      <c r="Z21125" s="372">
        <v>0.0</v>
      </c>
    </row>
    <row r="21126">
      <c r="Y21126" s="372">
        <v>0.0</v>
      </c>
      <c r="Z21126" s="372">
        <v>0.0</v>
      </c>
    </row>
    <row r="21127">
      <c r="Y21127" s="372">
        <v>0.0</v>
      </c>
      <c r="Z21127" s="372">
        <v>0.0</v>
      </c>
    </row>
    <row r="21128">
      <c r="Y21128" s="372">
        <v>0.0</v>
      </c>
      <c r="Z21128" s="372">
        <v>0.0</v>
      </c>
    </row>
    <row r="21129">
      <c r="Y21129" s="372">
        <v>0.0</v>
      </c>
      <c r="Z21129" s="372">
        <v>0.0</v>
      </c>
    </row>
    <row r="21130">
      <c r="Y21130" s="372">
        <v>0.0</v>
      </c>
      <c r="Z21130" s="372">
        <v>0.0</v>
      </c>
    </row>
    <row r="21131">
      <c r="Y21131" s="372">
        <v>0.0</v>
      </c>
      <c r="Z21131" s="372">
        <v>0.0</v>
      </c>
    </row>
    <row r="21132">
      <c r="Y21132" s="372">
        <v>0.0</v>
      </c>
      <c r="Z21132" s="372">
        <v>0.0</v>
      </c>
    </row>
    <row r="21133">
      <c r="Y21133" s="372">
        <v>0.0</v>
      </c>
      <c r="Z21133" s="372">
        <v>0.0</v>
      </c>
    </row>
    <row r="21134">
      <c r="Y21134" s="372">
        <v>0.0</v>
      </c>
      <c r="Z21134" s="372">
        <v>0.0</v>
      </c>
    </row>
    <row r="21135">
      <c r="Y21135" s="372">
        <v>0.0</v>
      </c>
      <c r="Z21135" s="372">
        <v>0.0</v>
      </c>
    </row>
    <row r="21136">
      <c r="Y21136" s="372">
        <v>0.0</v>
      </c>
      <c r="Z21136" s="372">
        <v>0.0</v>
      </c>
    </row>
    <row r="21137">
      <c r="Y21137" s="372">
        <v>0.0</v>
      </c>
      <c r="Z21137" s="372">
        <v>0.0</v>
      </c>
    </row>
    <row r="21138">
      <c r="Y21138" s="372">
        <v>0.0</v>
      </c>
      <c r="Z21138" s="372">
        <v>0.0</v>
      </c>
    </row>
    <row r="21139">
      <c r="Y21139" s="372">
        <v>0.0</v>
      </c>
      <c r="Z21139" s="372">
        <v>0.0</v>
      </c>
    </row>
    <row r="21140">
      <c r="Y21140" s="372">
        <v>0.0</v>
      </c>
      <c r="Z21140" s="372">
        <v>0.0</v>
      </c>
    </row>
    <row r="21141">
      <c r="Y21141" s="372">
        <v>0.0</v>
      </c>
      <c r="Z21141" s="372">
        <v>0.0</v>
      </c>
    </row>
    <row r="21142">
      <c r="Y21142" s="372">
        <v>0.0</v>
      </c>
      <c r="Z21142" s="372">
        <v>0.0</v>
      </c>
    </row>
    <row r="21143">
      <c r="Y21143" s="372">
        <v>0.0</v>
      </c>
      <c r="Z21143" s="372">
        <v>0.0</v>
      </c>
    </row>
    <row r="21144">
      <c r="Y21144" s="372">
        <v>0.0</v>
      </c>
      <c r="Z21144" s="372">
        <v>0.0</v>
      </c>
    </row>
    <row r="21145">
      <c r="Y21145" s="372">
        <v>0.0</v>
      </c>
      <c r="Z21145" s="372">
        <v>0.0</v>
      </c>
    </row>
    <row r="21146">
      <c r="Y21146" s="372">
        <v>0.0</v>
      </c>
      <c r="Z21146" s="372">
        <v>0.0</v>
      </c>
    </row>
    <row r="21147">
      <c r="Y21147" s="372">
        <v>0.0</v>
      </c>
      <c r="Z21147" s="372">
        <v>0.0</v>
      </c>
    </row>
    <row r="21148">
      <c r="Y21148" s="372">
        <v>0.0</v>
      </c>
      <c r="Z21148" s="372">
        <v>0.0</v>
      </c>
    </row>
    <row r="21149">
      <c r="Y21149" s="372">
        <v>0.0</v>
      </c>
      <c r="Z21149" s="372">
        <v>0.0</v>
      </c>
    </row>
    <row r="21150">
      <c r="Y21150" s="372">
        <v>0.0</v>
      </c>
      <c r="Z21150" s="372">
        <v>0.0</v>
      </c>
    </row>
    <row r="21151">
      <c r="Y21151" s="372">
        <v>0.0</v>
      </c>
      <c r="Z21151" s="372">
        <v>0.0</v>
      </c>
    </row>
    <row r="21152">
      <c r="Y21152" s="372">
        <v>0.0</v>
      </c>
      <c r="Z21152" s="372">
        <v>0.0</v>
      </c>
    </row>
    <row r="21153">
      <c r="Y21153" s="372">
        <v>0.0</v>
      </c>
      <c r="Z21153" s="372">
        <v>0.0</v>
      </c>
    </row>
    <row r="21154">
      <c r="Y21154" s="372">
        <v>0.0</v>
      </c>
      <c r="Z21154" s="372">
        <v>0.0</v>
      </c>
    </row>
    <row r="21155">
      <c r="Y21155" s="372">
        <v>0.0</v>
      </c>
      <c r="Z21155" s="372">
        <v>0.0</v>
      </c>
    </row>
    <row r="21156">
      <c r="Y21156" s="372">
        <v>0.0</v>
      </c>
      <c r="Z21156" s="372">
        <v>0.0</v>
      </c>
    </row>
    <row r="21157">
      <c r="Y21157" s="372">
        <v>0.0</v>
      </c>
      <c r="Z21157" s="372">
        <v>0.0</v>
      </c>
    </row>
    <row r="21158">
      <c r="Y21158" s="372">
        <v>0.0</v>
      </c>
      <c r="Z21158" s="372">
        <v>0.0</v>
      </c>
    </row>
    <row r="21159">
      <c r="Y21159" s="372">
        <v>0.0</v>
      </c>
      <c r="Z21159" s="372">
        <v>0.0</v>
      </c>
    </row>
    <row r="21160">
      <c r="Y21160" s="372">
        <v>0.0</v>
      </c>
      <c r="Z21160" s="372">
        <v>0.0</v>
      </c>
    </row>
    <row r="21161">
      <c r="Y21161" s="372">
        <v>0.0</v>
      </c>
      <c r="Z21161" s="372">
        <v>0.0</v>
      </c>
    </row>
    <row r="21162">
      <c r="Y21162" s="372">
        <v>0.0</v>
      </c>
      <c r="Z21162" s="372">
        <v>0.0</v>
      </c>
    </row>
    <row r="21163">
      <c r="Y21163" s="372">
        <v>0.0</v>
      </c>
      <c r="Z21163" s="372">
        <v>0.0</v>
      </c>
    </row>
    <row r="21164">
      <c r="Y21164" s="372">
        <v>0.0</v>
      </c>
      <c r="Z21164" s="372">
        <v>0.0</v>
      </c>
    </row>
    <row r="21165">
      <c r="Y21165" s="372">
        <v>0.0</v>
      </c>
      <c r="Z21165" s="372">
        <v>0.0</v>
      </c>
    </row>
    <row r="21166">
      <c r="Y21166" s="372">
        <v>0.0</v>
      </c>
      <c r="Z21166" s="372">
        <v>0.0</v>
      </c>
    </row>
    <row r="21167">
      <c r="Y21167" s="372">
        <v>0.0</v>
      </c>
      <c r="Z21167" s="372">
        <v>0.0</v>
      </c>
    </row>
    <row r="21168">
      <c r="Y21168" s="372">
        <v>0.0</v>
      </c>
      <c r="Z21168" s="372">
        <v>0.0</v>
      </c>
    </row>
    <row r="21169">
      <c r="Y21169" s="372">
        <v>0.0</v>
      </c>
      <c r="Z21169" s="372">
        <v>0.0</v>
      </c>
    </row>
    <row r="21170">
      <c r="Y21170" s="372">
        <v>0.0</v>
      </c>
      <c r="Z21170" s="372">
        <v>0.0</v>
      </c>
    </row>
    <row r="21171">
      <c r="Y21171" s="372">
        <v>0.0</v>
      </c>
      <c r="Z21171" s="372">
        <v>0.0</v>
      </c>
    </row>
    <row r="21172">
      <c r="Y21172" s="372">
        <v>0.0</v>
      </c>
      <c r="Z21172" s="372">
        <v>0.0</v>
      </c>
    </row>
    <row r="21173">
      <c r="Y21173" s="372">
        <v>0.0</v>
      </c>
      <c r="Z21173" s="372">
        <v>0.0</v>
      </c>
    </row>
    <row r="21174">
      <c r="Y21174" s="372">
        <v>0.0</v>
      </c>
      <c r="Z21174" s="372">
        <v>0.0</v>
      </c>
    </row>
    <row r="21175">
      <c r="Y21175" s="372">
        <v>0.0</v>
      </c>
      <c r="Z21175" s="372">
        <v>0.0</v>
      </c>
    </row>
    <row r="21176">
      <c r="Y21176" s="372">
        <v>0.0</v>
      </c>
      <c r="Z21176" s="372">
        <v>0.0</v>
      </c>
    </row>
    <row r="21177">
      <c r="Y21177" s="372">
        <v>0.0</v>
      </c>
      <c r="Z21177" s="372">
        <v>0.0</v>
      </c>
    </row>
    <row r="21178">
      <c r="Y21178" s="372">
        <v>0.0</v>
      </c>
      <c r="Z21178" s="372">
        <v>0.0</v>
      </c>
    </row>
    <row r="21179">
      <c r="Y21179" s="372">
        <v>0.0</v>
      </c>
      <c r="Z21179" s="372">
        <v>0.0</v>
      </c>
    </row>
    <row r="21180">
      <c r="Y21180" s="372">
        <v>0.0</v>
      </c>
      <c r="Z21180" s="372">
        <v>0.0</v>
      </c>
    </row>
    <row r="21181">
      <c r="Y21181" s="372">
        <v>0.0</v>
      </c>
      <c r="Z21181" s="372">
        <v>0.0</v>
      </c>
    </row>
    <row r="21182">
      <c r="Y21182" s="372">
        <v>0.0</v>
      </c>
      <c r="Z21182" s="372">
        <v>0.0</v>
      </c>
    </row>
    <row r="21183">
      <c r="Y21183" s="372">
        <v>0.0</v>
      </c>
      <c r="Z21183" s="372">
        <v>0.0</v>
      </c>
    </row>
    <row r="21184">
      <c r="Y21184" s="372">
        <v>0.0</v>
      </c>
      <c r="Z21184" s="372">
        <v>0.0</v>
      </c>
    </row>
    <row r="21185">
      <c r="Y21185" s="372">
        <v>0.0</v>
      </c>
      <c r="Z21185" s="372">
        <v>0.0</v>
      </c>
    </row>
    <row r="21186">
      <c r="Y21186" s="372">
        <v>0.0</v>
      </c>
      <c r="Z21186" s="372">
        <v>0.0</v>
      </c>
    </row>
    <row r="21187">
      <c r="Y21187" s="372">
        <v>0.0</v>
      </c>
      <c r="Z21187" s="372">
        <v>0.0</v>
      </c>
    </row>
    <row r="21188">
      <c r="Y21188" s="372">
        <v>0.0</v>
      </c>
      <c r="Z21188" s="372">
        <v>0.0</v>
      </c>
    </row>
    <row r="21189">
      <c r="Y21189" s="372">
        <v>0.0</v>
      </c>
      <c r="Z21189" s="372">
        <v>0.0</v>
      </c>
    </row>
    <row r="21190">
      <c r="Y21190" s="372">
        <v>0.0</v>
      </c>
      <c r="Z21190" s="372">
        <v>0.0</v>
      </c>
    </row>
    <row r="21191">
      <c r="Y21191" s="372">
        <v>0.0</v>
      </c>
      <c r="Z21191" s="372">
        <v>0.0</v>
      </c>
    </row>
    <row r="21192">
      <c r="Y21192" s="372">
        <v>0.0</v>
      </c>
      <c r="Z21192" s="372">
        <v>0.0</v>
      </c>
    </row>
    <row r="21193">
      <c r="Y21193" s="372">
        <v>0.0</v>
      </c>
      <c r="Z21193" s="372">
        <v>0.0</v>
      </c>
    </row>
    <row r="21194">
      <c r="Y21194" s="372">
        <v>0.0</v>
      </c>
      <c r="Z21194" s="372">
        <v>0.0</v>
      </c>
    </row>
    <row r="21195">
      <c r="Y21195" s="372">
        <v>0.0</v>
      </c>
      <c r="Z21195" s="372">
        <v>0.0</v>
      </c>
    </row>
    <row r="21196">
      <c r="Y21196" s="372">
        <v>0.0</v>
      </c>
      <c r="Z21196" s="372">
        <v>0.0</v>
      </c>
    </row>
    <row r="21197">
      <c r="Y21197" s="372">
        <v>0.0</v>
      </c>
      <c r="Z21197" s="372">
        <v>0.0</v>
      </c>
    </row>
    <row r="21198">
      <c r="Y21198" s="372">
        <v>0.0</v>
      </c>
      <c r="Z21198" s="372">
        <v>0.0</v>
      </c>
    </row>
    <row r="21199">
      <c r="Y21199" s="372">
        <v>0.0</v>
      </c>
      <c r="Z21199" s="372">
        <v>0.0</v>
      </c>
    </row>
    <row r="21200">
      <c r="Y21200" s="372">
        <v>0.0</v>
      </c>
      <c r="Z21200" s="372">
        <v>0.0</v>
      </c>
    </row>
    <row r="21201">
      <c r="Y21201" s="372">
        <v>0.0</v>
      </c>
      <c r="Z21201" s="372">
        <v>0.0</v>
      </c>
    </row>
    <row r="21202">
      <c r="Y21202" s="372">
        <v>0.0</v>
      </c>
      <c r="Z21202" s="372">
        <v>0.0</v>
      </c>
    </row>
    <row r="21203">
      <c r="Y21203" s="372">
        <v>0.0</v>
      </c>
      <c r="Z21203" s="372">
        <v>0.0</v>
      </c>
    </row>
    <row r="21204">
      <c r="Y21204" s="372">
        <v>0.0</v>
      </c>
      <c r="Z21204" s="372">
        <v>0.0</v>
      </c>
    </row>
    <row r="21205">
      <c r="Y21205" s="372">
        <v>0.0</v>
      </c>
      <c r="Z21205" s="372">
        <v>0.0</v>
      </c>
    </row>
    <row r="21206">
      <c r="Y21206" s="372">
        <v>0.0</v>
      </c>
      <c r="Z21206" s="372">
        <v>0.0</v>
      </c>
    </row>
    <row r="21207">
      <c r="Y21207" s="372">
        <v>0.0</v>
      </c>
      <c r="Z21207" s="372">
        <v>0.0</v>
      </c>
    </row>
    <row r="21208">
      <c r="Y21208" s="372">
        <v>0.0</v>
      </c>
      <c r="Z21208" s="372">
        <v>0.0</v>
      </c>
    </row>
    <row r="21209">
      <c r="Y21209" s="372">
        <v>0.0</v>
      </c>
      <c r="Z21209" s="372">
        <v>0.0</v>
      </c>
    </row>
    <row r="21210">
      <c r="Y21210" s="372">
        <v>0.0</v>
      </c>
      <c r="Z21210" s="372">
        <v>0.0</v>
      </c>
    </row>
    <row r="21211">
      <c r="Y21211" s="372">
        <v>0.0</v>
      </c>
      <c r="Z21211" s="372">
        <v>0.0</v>
      </c>
    </row>
    <row r="21212">
      <c r="Y21212" s="372">
        <v>0.0</v>
      </c>
      <c r="Z21212" s="372">
        <v>0.0</v>
      </c>
    </row>
    <row r="21213">
      <c r="Y21213" s="372">
        <v>0.0</v>
      </c>
      <c r="Z21213" s="372">
        <v>0.0</v>
      </c>
    </row>
    <row r="21214">
      <c r="Y21214" s="372">
        <v>0.0</v>
      </c>
      <c r="Z21214" s="372">
        <v>0.0</v>
      </c>
    </row>
    <row r="21215">
      <c r="Y21215" s="372">
        <v>0.0</v>
      </c>
      <c r="Z21215" s="372">
        <v>0.0</v>
      </c>
    </row>
    <row r="21216">
      <c r="Y21216" s="372">
        <v>0.0</v>
      </c>
      <c r="Z21216" s="372">
        <v>0.0</v>
      </c>
    </row>
    <row r="21217">
      <c r="Y21217" s="372">
        <v>0.0</v>
      </c>
      <c r="Z21217" s="372">
        <v>0.0</v>
      </c>
    </row>
    <row r="21218">
      <c r="Y21218" s="372">
        <v>0.0</v>
      </c>
      <c r="Z21218" s="372">
        <v>0.0</v>
      </c>
    </row>
    <row r="21219">
      <c r="Y21219" s="372">
        <v>0.0</v>
      </c>
      <c r="Z21219" s="372">
        <v>0.0</v>
      </c>
    </row>
    <row r="21220">
      <c r="Y21220" s="372">
        <v>0.0</v>
      </c>
      <c r="Z21220" s="372">
        <v>0.0</v>
      </c>
    </row>
    <row r="21221">
      <c r="Y21221" s="372">
        <v>0.0</v>
      </c>
      <c r="Z21221" s="372">
        <v>0.0</v>
      </c>
    </row>
    <row r="21222">
      <c r="Y21222" s="372">
        <v>0.0</v>
      </c>
      <c r="Z21222" s="372">
        <v>0.0</v>
      </c>
    </row>
    <row r="21223">
      <c r="Y21223" s="372">
        <v>0.0</v>
      </c>
      <c r="Z21223" s="372">
        <v>0.0</v>
      </c>
    </row>
    <row r="21224">
      <c r="Y21224" s="372">
        <v>0.0</v>
      </c>
      <c r="Z21224" s="372">
        <v>0.0</v>
      </c>
    </row>
    <row r="21225">
      <c r="Y21225" s="372">
        <v>0.0</v>
      </c>
      <c r="Z21225" s="372">
        <v>0.0</v>
      </c>
    </row>
    <row r="21226">
      <c r="Y21226" s="372">
        <v>0.0</v>
      </c>
      <c r="Z21226" s="372">
        <v>0.0</v>
      </c>
    </row>
    <row r="21227">
      <c r="Y21227" s="372">
        <v>0.0</v>
      </c>
      <c r="Z21227" s="372">
        <v>0.0</v>
      </c>
    </row>
    <row r="21228">
      <c r="Y21228" s="372">
        <v>0.0</v>
      </c>
      <c r="Z21228" s="372">
        <v>0.0</v>
      </c>
    </row>
    <row r="21229">
      <c r="Y21229" s="372">
        <v>0.0</v>
      </c>
      <c r="Z21229" s="372">
        <v>0.0</v>
      </c>
    </row>
    <row r="21230">
      <c r="Y21230" s="372">
        <v>0.0</v>
      </c>
      <c r="Z21230" s="372">
        <v>0.0</v>
      </c>
    </row>
    <row r="21231">
      <c r="Y21231" s="372">
        <v>0.0</v>
      </c>
      <c r="Z21231" s="372">
        <v>0.0</v>
      </c>
    </row>
    <row r="21232">
      <c r="Y21232" s="372">
        <v>0.0</v>
      </c>
      <c r="Z21232" s="372">
        <v>0.0</v>
      </c>
    </row>
    <row r="21233">
      <c r="Y21233" s="372">
        <v>0.0</v>
      </c>
      <c r="Z21233" s="372">
        <v>0.0</v>
      </c>
    </row>
    <row r="21234">
      <c r="Y21234" s="372">
        <v>0.0</v>
      </c>
      <c r="Z21234" s="372">
        <v>0.0</v>
      </c>
    </row>
    <row r="21235">
      <c r="Y21235" s="372">
        <v>0.0</v>
      </c>
      <c r="Z21235" s="372">
        <v>0.0</v>
      </c>
    </row>
    <row r="21236">
      <c r="Y21236" s="372">
        <v>0.0</v>
      </c>
      <c r="Z21236" s="372">
        <v>0.0</v>
      </c>
    </row>
    <row r="21237">
      <c r="Y21237" s="372">
        <v>0.0</v>
      </c>
      <c r="Z21237" s="372">
        <v>0.0</v>
      </c>
    </row>
    <row r="21238">
      <c r="Y21238" s="372">
        <v>0.0</v>
      </c>
      <c r="Z21238" s="372">
        <v>0.0</v>
      </c>
    </row>
    <row r="21239">
      <c r="Y21239" s="372">
        <v>0.0</v>
      </c>
      <c r="Z21239" s="372">
        <v>0.0</v>
      </c>
    </row>
    <row r="21240">
      <c r="Y21240" s="372">
        <v>0.0</v>
      </c>
      <c r="Z21240" s="372">
        <v>0.0</v>
      </c>
    </row>
    <row r="21241">
      <c r="Y21241" s="372">
        <v>0.0</v>
      </c>
      <c r="Z21241" s="372">
        <v>0.0</v>
      </c>
    </row>
    <row r="21242">
      <c r="Y21242" s="372">
        <v>0.0</v>
      </c>
      <c r="Z21242" s="372">
        <v>0.0</v>
      </c>
    </row>
    <row r="21243">
      <c r="Y21243" s="372">
        <v>0.0</v>
      </c>
      <c r="Z21243" s="372">
        <v>0.0</v>
      </c>
    </row>
    <row r="21244">
      <c r="Y21244" s="372">
        <v>0.0</v>
      </c>
      <c r="Z21244" s="372">
        <v>0.0</v>
      </c>
    </row>
    <row r="21245">
      <c r="Y21245" s="372">
        <v>0.0</v>
      </c>
      <c r="Z21245" s="372">
        <v>0.0</v>
      </c>
    </row>
    <row r="21246">
      <c r="Y21246" s="372">
        <v>0.0</v>
      </c>
      <c r="Z21246" s="372">
        <v>0.0</v>
      </c>
    </row>
    <row r="21247">
      <c r="Y21247" s="372">
        <v>0.0</v>
      </c>
      <c r="Z21247" s="372">
        <v>0.0</v>
      </c>
    </row>
    <row r="21248">
      <c r="Y21248" s="372">
        <v>0.0</v>
      </c>
      <c r="Z21248" s="372">
        <v>0.0</v>
      </c>
    </row>
    <row r="21249">
      <c r="Y21249" s="372">
        <v>0.0</v>
      </c>
      <c r="Z21249" s="372">
        <v>0.0</v>
      </c>
    </row>
    <row r="21250">
      <c r="Y21250" s="372">
        <v>0.0</v>
      </c>
      <c r="Z21250" s="372">
        <v>0.0</v>
      </c>
    </row>
    <row r="21251">
      <c r="Y21251" s="372">
        <v>0.0</v>
      </c>
      <c r="Z21251" s="372">
        <v>0.0</v>
      </c>
    </row>
    <row r="21252">
      <c r="Y21252" s="372">
        <v>0.0</v>
      </c>
      <c r="Z21252" s="372">
        <v>0.0</v>
      </c>
    </row>
    <row r="21253">
      <c r="Y21253" s="372">
        <v>0.0</v>
      </c>
      <c r="Z21253" s="372">
        <v>0.0</v>
      </c>
    </row>
    <row r="21254">
      <c r="Y21254" s="372">
        <v>0.0</v>
      </c>
      <c r="Z21254" s="372">
        <v>0.0</v>
      </c>
    </row>
    <row r="21255">
      <c r="Y21255" s="372">
        <v>0.0</v>
      </c>
      <c r="Z21255" s="372">
        <v>0.0</v>
      </c>
    </row>
    <row r="21256">
      <c r="Y21256" s="372">
        <v>0.0</v>
      </c>
      <c r="Z21256" s="372">
        <v>0.0</v>
      </c>
    </row>
    <row r="21257">
      <c r="Y21257" s="372">
        <v>0.0</v>
      </c>
      <c r="Z21257" s="372">
        <v>0.0</v>
      </c>
    </row>
    <row r="21258">
      <c r="Y21258" s="372">
        <v>0.0</v>
      </c>
      <c r="Z21258" s="372">
        <v>0.0</v>
      </c>
    </row>
    <row r="21259">
      <c r="Y21259" s="372">
        <v>0.0</v>
      </c>
      <c r="Z21259" s="372">
        <v>0.0</v>
      </c>
    </row>
    <row r="21260">
      <c r="Y21260" s="372">
        <v>0.0</v>
      </c>
      <c r="Z21260" s="372">
        <v>0.0</v>
      </c>
    </row>
    <row r="21261">
      <c r="Y21261" s="372">
        <v>0.0</v>
      </c>
      <c r="Z21261" s="372">
        <v>0.0</v>
      </c>
    </row>
    <row r="21262">
      <c r="Y21262" s="372">
        <v>0.0</v>
      </c>
      <c r="Z21262" s="372">
        <v>0.0</v>
      </c>
    </row>
    <row r="21263">
      <c r="Y21263" s="372">
        <v>0.0</v>
      </c>
      <c r="Z21263" s="372">
        <v>0.0</v>
      </c>
    </row>
    <row r="21264">
      <c r="Y21264" s="372">
        <v>0.0</v>
      </c>
      <c r="Z21264" s="372">
        <v>0.0</v>
      </c>
    </row>
    <row r="21265">
      <c r="Y21265" s="372">
        <v>0.0</v>
      </c>
      <c r="Z21265" s="372">
        <v>0.0</v>
      </c>
    </row>
    <row r="21266">
      <c r="Y21266" s="372">
        <v>0.0</v>
      </c>
      <c r="Z21266" s="372">
        <v>0.0</v>
      </c>
    </row>
    <row r="21267">
      <c r="Y21267" s="372">
        <v>0.0</v>
      </c>
      <c r="Z21267" s="372">
        <v>0.0</v>
      </c>
    </row>
    <row r="21268">
      <c r="Y21268" s="372">
        <v>0.0</v>
      </c>
      <c r="Z21268" s="372">
        <v>0.0</v>
      </c>
    </row>
    <row r="21269">
      <c r="Y21269" s="372">
        <v>0.0</v>
      </c>
      <c r="Z21269" s="372">
        <v>0.0</v>
      </c>
    </row>
    <row r="21270">
      <c r="Y21270" s="372">
        <v>0.0</v>
      </c>
      <c r="Z21270" s="372">
        <v>0.0</v>
      </c>
    </row>
    <row r="21271">
      <c r="Y21271" s="372">
        <v>0.0</v>
      </c>
      <c r="Z21271" s="372">
        <v>0.0</v>
      </c>
    </row>
    <row r="21272">
      <c r="Y21272" s="372">
        <v>0.0</v>
      </c>
      <c r="Z21272" s="372">
        <v>0.0</v>
      </c>
    </row>
    <row r="21273">
      <c r="Y21273" s="372">
        <v>0.0</v>
      </c>
      <c r="Z21273" s="372">
        <v>0.0</v>
      </c>
    </row>
    <row r="21274">
      <c r="Y21274" s="372">
        <v>0.0</v>
      </c>
      <c r="Z21274" s="372">
        <v>0.0</v>
      </c>
    </row>
    <row r="21275">
      <c r="Y21275" s="372">
        <v>0.0</v>
      </c>
      <c r="Z21275" s="372">
        <v>0.0</v>
      </c>
    </row>
    <row r="21276">
      <c r="Y21276" s="372">
        <v>0.0</v>
      </c>
      <c r="Z21276" s="372">
        <v>0.0</v>
      </c>
    </row>
    <row r="21277">
      <c r="Y21277" s="372">
        <v>0.0</v>
      </c>
      <c r="Z21277" s="372">
        <v>0.0</v>
      </c>
    </row>
    <row r="21278">
      <c r="Y21278" s="372">
        <v>0.0</v>
      </c>
      <c r="Z21278" s="372">
        <v>0.0</v>
      </c>
    </row>
    <row r="21279">
      <c r="Y21279" s="372">
        <v>0.0</v>
      </c>
      <c r="Z21279" s="372">
        <v>0.0</v>
      </c>
    </row>
    <row r="21280">
      <c r="Y21280" s="372">
        <v>0.0</v>
      </c>
      <c r="Z21280" s="372">
        <v>0.0</v>
      </c>
    </row>
    <row r="21281">
      <c r="Y21281" s="372">
        <v>0.0</v>
      </c>
      <c r="Z21281" s="372">
        <v>0.0</v>
      </c>
    </row>
    <row r="21282">
      <c r="Y21282" s="372">
        <v>0.0</v>
      </c>
      <c r="Z21282" s="372">
        <v>0.0</v>
      </c>
    </row>
    <row r="21283">
      <c r="Y21283" s="372">
        <v>0.0</v>
      </c>
      <c r="Z21283" s="372">
        <v>0.0</v>
      </c>
    </row>
    <row r="21284">
      <c r="Y21284" s="372">
        <v>0.0</v>
      </c>
      <c r="Z21284" s="372">
        <v>0.0</v>
      </c>
    </row>
    <row r="21285">
      <c r="Y21285" s="372">
        <v>0.0</v>
      </c>
      <c r="Z21285" s="372">
        <v>0.0</v>
      </c>
    </row>
    <row r="21286">
      <c r="Y21286" s="372">
        <v>0.0</v>
      </c>
      <c r="Z21286" s="372">
        <v>0.0</v>
      </c>
    </row>
    <row r="21287">
      <c r="Y21287" s="372">
        <v>0.0</v>
      </c>
      <c r="Z21287" s="372">
        <v>0.0</v>
      </c>
    </row>
    <row r="21288">
      <c r="Y21288" s="372">
        <v>0.0</v>
      </c>
      <c r="Z21288" s="372">
        <v>0.0</v>
      </c>
    </row>
    <row r="21289">
      <c r="Y21289" s="372">
        <v>0.0</v>
      </c>
      <c r="Z21289" s="372">
        <v>0.0</v>
      </c>
    </row>
    <row r="21290">
      <c r="Y21290" s="372">
        <v>0.0</v>
      </c>
      <c r="Z21290" s="372">
        <v>0.0</v>
      </c>
    </row>
    <row r="21291">
      <c r="Y21291" s="372">
        <v>0.0</v>
      </c>
      <c r="Z21291" s="372">
        <v>0.0</v>
      </c>
    </row>
    <row r="21292">
      <c r="Y21292" s="372">
        <v>0.0</v>
      </c>
      <c r="Z21292" s="372">
        <v>0.0</v>
      </c>
    </row>
    <row r="21293">
      <c r="Y21293" s="372">
        <v>0.0</v>
      </c>
      <c r="Z21293" s="372">
        <v>0.0</v>
      </c>
    </row>
    <row r="21294">
      <c r="Y21294" s="372">
        <v>0.0</v>
      </c>
      <c r="Z21294" s="372">
        <v>0.0</v>
      </c>
    </row>
    <row r="21295">
      <c r="Y21295" s="372">
        <v>0.0</v>
      </c>
      <c r="Z21295" s="372">
        <v>0.0</v>
      </c>
    </row>
    <row r="21296">
      <c r="Y21296" s="372">
        <v>0.0</v>
      </c>
      <c r="Z21296" s="372">
        <v>0.0</v>
      </c>
    </row>
    <row r="21297">
      <c r="Y21297" s="372">
        <v>0.0</v>
      </c>
      <c r="Z21297" s="372">
        <v>0.0</v>
      </c>
    </row>
    <row r="21298">
      <c r="Y21298" s="372">
        <v>0.0</v>
      </c>
      <c r="Z21298" s="372">
        <v>0.0</v>
      </c>
    </row>
    <row r="21299">
      <c r="Y21299" s="372">
        <v>0.0</v>
      </c>
      <c r="Z21299" s="372">
        <v>0.0</v>
      </c>
    </row>
    <row r="21300">
      <c r="Y21300" s="372">
        <v>0.0</v>
      </c>
      <c r="Z21300" s="372">
        <v>0.0</v>
      </c>
    </row>
    <row r="21301">
      <c r="Y21301" s="372">
        <v>0.0</v>
      </c>
      <c r="Z21301" s="372">
        <v>0.0</v>
      </c>
    </row>
    <row r="21302">
      <c r="Y21302" s="372">
        <v>0.0</v>
      </c>
      <c r="Z21302" s="372">
        <v>0.0</v>
      </c>
    </row>
    <row r="21303">
      <c r="Y21303" s="372">
        <v>0.0</v>
      </c>
      <c r="Z21303" s="372">
        <v>0.0</v>
      </c>
    </row>
    <row r="21304">
      <c r="Y21304" s="372">
        <v>0.0</v>
      </c>
      <c r="Z21304" s="372">
        <v>0.0</v>
      </c>
    </row>
    <row r="21305">
      <c r="Y21305" s="372">
        <v>0.0</v>
      </c>
      <c r="Z21305" s="372">
        <v>0.0</v>
      </c>
    </row>
    <row r="21306">
      <c r="Y21306" s="372">
        <v>0.0</v>
      </c>
      <c r="Z21306" s="372">
        <v>0.0</v>
      </c>
    </row>
    <row r="21307">
      <c r="Y21307" s="372">
        <v>0.0</v>
      </c>
      <c r="Z21307" s="372">
        <v>0.0</v>
      </c>
    </row>
    <row r="21308">
      <c r="Y21308" s="372">
        <v>0.0</v>
      </c>
      <c r="Z21308" s="372">
        <v>0.0</v>
      </c>
    </row>
    <row r="21309">
      <c r="Y21309" s="372">
        <v>0.0</v>
      </c>
      <c r="Z21309" s="372">
        <v>0.0</v>
      </c>
    </row>
    <row r="21310">
      <c r="Y21310" s="372">
        <v>0.0</v>
      </c>
      <c r="Z21310" s="372">
        <v>0.0</v>
      </c>
    </row>
    <row r="21311">
      <c r="Y21311" s="372">
        <v>0.0</v>
      </c>
      <c r="Z21311" s="372">
        <v>0.0</v>
      </c>
    </row>
    <row r="21312">
      <c r="Y21312" s="372">
        <v>0.0</v>
      </c>
      <c r="Z21312" s="372">
        <v>0.0</v>
      </c>
    </row>
    <row r="21313">
      <c r="Y21313" s="372">
        <v>0.0</v>
      </c>
      <c r="Z21313" s="372">
        <v>0.0</v>
      </c>
    </row>
    <row r="21314">
      <c r="Y21314" s="372">
        <v>0.0</v>
      </c>
      <c r="Z21314" s="372">
        <v>0.0</v>
      </c>
    </row>
    <row r="21315">
      <c r="Y21315" s="372">
        <v>0.0</v>
      </c>
      <c r="Z21315" s="372">
        <v>0.0</v>
      </c>
    </row>
    <row r="21316">
      <c r="Y21316" s="372">
        <v>0.0</v>
      </c>
      <c r="Z21316" s="372">
        <v>0.0</v>
      </c>
    </row>
    <row r="21317">
      <c r="Y21317" s="372">
        <v>0.0</v>
      </c>
      <c r="Z21317" s="372">
        <v>0.0</v>
      </c>
    </row>
    <row r="21318">
      <c r="Y21318" s="372">
        <v>0.0</v>
      </c>
      <c r="Z21318" s="372">
        <v>0.0</v>
      </c>
    </row>
    <row r="21319">
      <c r="Y21319" s="372">
        <v>0.0</v>
      </c>
      <c r="Z21319" s="372">
        <v>0.0</v>
      </c>
    </row>
    <row r="21320">
      <c r="Y21320" s="372">
        <v>0.0</v>
      </c>
      <c r="Z21320" s="372">
        <v>0.0</v>
      </c>
    </row>
    <row r="21321">
      <c r="Y21321" s="372">
        <v>0.0</v>
      </c>
      <c r="Z21321" s="372">
        <v>0.0</v>
      </c>
    </row>
    <row r="21322">
      <c r="Y21322" s="372">
        <v>0.0</v>
      </c>
      <c r="Z21322" s="372">
        <v>0.0</v>
      </c>
    </row>
    <row r="21323">
      <c r="Y21323" s="372">
        <v>0.0</v>
      </c>
      <c r="Z21323" s="372">
        <v>0.0</v>
      </c>
    </row>
    <row r="21324">
      <c r="Y21324" s="372">
        <v>0.0</v>
      </c>
      <c r="Z21324" s="372">
        <v>0.0</v>
      </c>
    </row>
    <row r="21325">
      <c r="Y21325" s="372">
        <v>0.0</v>
      </c>
      <c r="Z21325" s="372">
        <v>0.0</v>
      </c>
    </row>
    <row r="21326">
      <c r="Y21326" s="372">
        <v>0.0</v>
      </c>
      <c r="Z21326" s="372">
        <v>0.0</v>
      </c>
    </row>
    <row r="21327">
      <c r="Y21327" s="372">
        <v>0.0</v>
      </c>
      <c r="Z21327" s="372">
        <v>0.0</v>
      </c>
    </row>
    <row r="21328">
      <c r="Y21328" s="372">
        <v>0.0</v>
      </c>
      <c r="Z21328" s="372">
        <v>0.0</v>
      </c>
    </row>
    <row r="21329">
      <c r="Y21329" s="372">
        <v>0.0</v>
      </c>
      <c r="Z21329" s="372">
        <v>0.0</v>
      </c>
    </row>
    <row r="21330">
      <c r="Y21330" s="372">
        <v>0.0</v>
      </c>
      <c r="Z21330" s="372">
        <v>0.0</v>
      </c>
    </row>
    <row r="21331">
      <c r="Y21331" s="372">
        <v>0.0</v>
      </c>
      <c r="Z21331" s="372">
        <v>0.0</v>
      </c>
    </row>
    <row r="21332">
      <c r="Y21332" s="372">
        <v>0.0</v>
      </c>
      <c r="Z21332" s="372">
        <v>0.0</v>
      </c>
    </row>
    <row r="21333">
      <c r="Y21333" s="372">
        <v>0.0</v>
      </c>
      <c r="Z21333" s="372">
        <v>0.0</v>
      </c>
    </row>
    <row r="21334">
      <c r="Y21334" s="372">
        <v>0.0</v>
      </c>
      <c r="Z21334" s="372">
        <v>0.0</v>
      </c>
    </row>
    <row r="21335">
      <c r="Y21335" s="372">
        <v>0.0</v>
      </c>
      <c r="Z21335" s="372">
        <v>0.0</v>
      </c>
    </row>
    <row r="21336">
      <c r="Y21336" s="372">
        <v>0.0</v>
      </c>
      <c r="Z21336" s="372">
        <v>0.0</v>
      </c>
    </row>
    <row r="21337">
      <c r="Y21337" s="372">
        <v>0.0</v>
      </c>
      <c r="Z21337" s="372">
        <v>0.0</v>
      </c>
    </row>
    <row r="21338">
      <c r="Y21338" s="372">
        <v>0.0</v>
      </c>
      <c r="Z21338" s="372">
        <v>0.0</v>
      </c>
    </row>
    <row r="21339">
      <c r="Y21339" s="372">
        <v>0.0</v>
      </c>
      <c r="Z21339" s="372">
        <v>0.0</v>
      </c>
    </row>
    <row r="21340">
      <c r="Y21340" s="372">
        <v>0.0</v>
      </c>
      <c r="Z21340" s="372">
        <v>0.0</v>
      </c>
    </row>
    <row r="21341">
      <c r="Y21341" s="372">
        <v>0.0</v>
      </c>
      <c r="Z21341" s="372">
        <v>0.0</v>
      </c>
    </row>
    <row r="21342">
      <c r="Y21342" s="372">
        <v>0.0</v>
      </c>
      <c r="Z21342" s="372">
        <v>0.0</v>
      </c>
    </row>
    <row r="21343">
      <c r="Y21343" s="372">
        <v>0.0</v>
      </c>
      <c r="Z21343" s="372">
        <v>0.0</v>
      </c>
    </row>
    <row r="21344">
      <c r="Y21344" s="372">
        <v>0.0</v>
      </c>
      <c r="Z21344" s="372">
        <v>0.0</v>
      </c>
    </row>
    <row r="21345">
      <c r="Y21345" s="372">
        <v>0.0</v>
      </c>
      <c r="Z21345" s="372">
        <v>0.0</v>
      </c>
    </row>
    <row r="21346">
      <c r="Y21346" s="372">
        <v>0.0</v>
      </c>
      <c r="Z21346" s="372">
        <v>0.0</v>
      </c>
    </row>
    <row r="21347">
      <c r="Y21347" s="372">
        <v>0.0</v>
      </c>
      <c r="Z21347" s="372">
        <v>0.0</v>
      </c>
    </row>
    <row r="21348">
      <c r="Y21348" s="372">
        <v>0.0</v>
      </c>
      <c r="Z21348" s="372">
        <v>0.0</v>
      </c>
    </row>
    <row r="21349">
      <c r="Y21349" s="372">
        <v>0.0</v>
      </c>
      <c r="Z21349" s="372">
        <v>0.0</v>
      </c>
    </row>
    <row r="21350">
      <c r="Y21350" s="372">
        <v>0.0</v>
      </c>
      <c r="Z21350" s="372">
        <v>0.0</v>
      </c>
    </row>
    <row r="21351">
      <c r="Y21351" s="372">
        <v>0.0</v>
      </c>
      <c r="Z21351" s="372">
        <v>0.0</v>
      </c>
    </row>
    <row r="21352">
      <c r="Y21352" s="372">
        <v>0.0</v>
      </c>
      <c r="Z21352" s="372">
        <v>0.0</v>
      </c>
    </row>
    <row r="21353">
      <c r="Y21353" s="372">
        <v>0.0</v>
      </c>
      <c r="Z21353" s="372">
        <v>0.0</v>
      </c>
    </row>
    <row r="21354">
      <c r="Y21354" s="372">
        <v>0.0</v>
      </c>
      <c r="Z21354" s="372">
        <v>0.0</v>
      </c>
    </row>
    <row r="21355">
      <c r="Y21355" s="372">
        <v>0.0</v>
      </c>
      <c r="Z21355" s="372">
        <v>0.0</v>
      </c>
    </row>
    <row r="21356">
      <c r="Y21356" s="372">
        <v>0.0</v>
      </c>
      <c r="Z21356" s="372">
        <v>0.0</v>
      </c>
    </row>
    <row r="21357">
      <c r="Y21357" s="372">
        <v>0.0</v>
      </c>
      <c r="Z21357" s="372">
        <v>0.0</v>
      </c>
    </row>
    <row r="21358">
      <c r="Y21358" s="372">
        <v>0.0</v>
      </c>
      <c r="Z21358" s="372">
        <v>0.0</v>
      </c>
    </row>
    <row r="21359">
      <c r="Y21359" s="372">
        <v>0.0</v>
      </c>
      <c r="Z21359" s="372">
        <v>0.0</v>
      </c>
    </row>
    <row r="21360">
      <c r="Y21360" s="372">
        <v>0.0</v>
      </c>
      <c r="Z21360" s="372">
        <v>0.0</v>
      </c>
    </row>
    <row r="21361">
      <c r="Y21361" s="372">
        <v>0.0</v>
      </c>
      <c r="Z21361" s="372">
        <v>0.0</v>
      </c>
    </row>
    <row r="21362">
      <c r="Y21362" s="372">
        <v>0.0</v>
      </c>
      <c r="Z21362" s="372">
        <v>0.0</v>
      </c>
    </row>
    <row r="21363">
      <c r="Y21363" s="372">
        <v>0.0</v>
      </c>
      <c r="Z21363" s="372">
        <v>0.0</v>
      </c>
    </row>
    <row r="21364">
      <c r="Y21364" s="372">
        <v>0.0</v>
      </c>
      <c r="Z21364" s="372">
        <v>0.0</v>
      </c>
    </row>
    <row r="21365">
      <c r="Y21365" s="372">
        <v>0.0</v>
      </c>
      <c r="Z21365" s="372">
        <v>0.0</v>
      </c>
    </row>
    <row r="21366">
      <c r="Y21366" s="372">
        <v>0.0</v>
      </c>
      <c r="Z21366" s="372">
        <v>0.0</v>
      </c>
    </row>
    <row r="21367">
      <c r="Y21367" s="372">
        <v>0.0</v>
      </c>
      <c r="Z21367" s="372">
        <v>0.0</v>
      </c>
    </row>
    <row r="21368">
      <c r="Y21368" s="372">
        <v>0.0</v>
      </c>
      <c r="Z21368" s="372">
        <v>0.0</v>
      </c>
    </row>
    <row r="21369">
      <c r="Y21369" s="372">
        <v>0.0</v>
      </c>
      <c r="Z21369" s="372">
        <v>0.0</v>
      </c>
    </row>
    <row r="21370">
      <c r="Y21370" s="372">
        <v>0.0</v>
      </c>
      <c r="Z21370" s="372">
        <v>0.0</v>
      </c>
    </row>
    <row r="21371">
      <c r="Y21371" s="372">
        <v>0.0</v>
      </c>
      <c r="Z21371" s="372">
        <v>0.0</v>
      </c>
    </row>
    <row r="21372">
      <c r="Y21372" s="372">
        <v>0.0</v>
      </c>
      <c r="Z21372" s="372">
        <v>0.0</v>
      </c>
    </row>
    <row r="21373">
      <c r="Y21373" s="372">
        <v>0.0</v>
      </c>
      <c r="Z21373" s="372">
        <v>0.0</v>
      </c>
    </row>
    <row r="21374">
      <c r="Y21374" s="372">
        <v>0.0</v>
      </c>
      <c r="Z21374" s="372">
        <v>0.0</v>
      </c>
    </row>
    <row r="21375">
      <c r="Y21375" s="372">
        <v>0.0</v>
      </c>
      <c r="Z21375" s="372">
        <v>0.0</v>
      </c>
    </row>
    <row r="21376">
      <c r="Y21376" s="372">
        <v>0.0</v>
      </c>
      <c r="Z21376" s="372">
        <v>0.0</v>
      </c>
    </row>
    <row r="21377">
      <c r="Y21377" s="372">
        <v>0.0</v>
      </c>
      <c r="Z21377" s="372">
        <v>0.0</v>
      </c>
    </row>
    <row r="21378">
      <c r="Y21378" s="372">
        <v>0.0</v>
      </c>
      <c r="Z21378" s="372">
        <v>0.0</v>
      </c>
    </row>
    <row r="21379">
      <c r="Y21379" s="372">
        <v>0.0</v>
      </c>
      <c r="Z21379" s="372">
        <v>0.0</v>
      </c>
    </row>
    <row r="21380">
      <c r="Y21380" s="372">
        <v>0.0</v>
      </c>
      <c r="Z21380" s="372">
        <v>0.0</v>
      </c>
    </row>
    <row r="21381">
      <c r="Y21381" s="372">
        <v>0.0</v>
      </c>
      <c r="Z21381" s="372">
        <v>0.0</v>
      </c>
    </row>
    <row r="21382">
      <c r="Y21382" s="372">
        <v>0.0</v>
      </c>
      <c r="Z21382" s="372">
        <v>0.0</v>
      </c>
    </row>
    <row r="21383">
      <c r="Y21383" s="372">
        <v>0.0</v>
      </c>
      <c r="Z21383" s="372">
        <v>0.0</v>
      </c>
    </row>
    <row r="21384">
      <c r="Y21384" s="372">
        <v>0.0</v>
      </c>
      <c r="Z21384" s="372">
        <v>0.0</v>
      </c>
    </row>
    <row r="21385">
      <c r="Y21385" s="372">
        <v>0.0</v>
      </c>
      <c r="Z21385" s="372">
        <v>0.0</v>
      </c>
    </row>
    <row r="21386">
      <c r="Y21386" s="372">
        <v>0.0</v>
      </c>
      <c r="Z21386" s="372">
        <v>0.0</v>
      </c>
    </row>
    <row r="21387">
      <c r="Y21387" s="372">
        <v>0.0</v>
      </c>
      <c r="Z21387" s="372">
        <v>0.0</v>
      </c>
    </row>
    <row r="21388">
      <c r="Y21388" s="372">
        <v>0.0</v>
      </c>
      <c r="Z21388" s="372">
        <v>0.0</v>
      </c>
    </row>
    <row r="21389">
      <c r="Y21389" s="372">
        <v>0.0</v>
      </c>
      <c r="Z21389" s="372">
        <v>0.0</v>
      </c>
    </row>
    <row r="21390">
      <c r="Y21390" s="372">
        <v>0.0</v>
      </c>
      <c r="Z21390" s="372">
        <v>0.0</v>
      </c>
    </row>
    <row r="21391">
      <c r="Y21391" s="372">
        <v>0.0</v>
      </c>
      <c r="Z21391" s="372">
        <v>0.0</v>
      </c>
    </row>
    <row r="21392">
      <c r="Y21392" s="372">
        <v>0.0</v>
      </c>
      <c r="Z21392" s="372">
        <v>0.0</v>
      </c>
    </row>
    <row r="21393">
      <c r="Y21393" s="372">
        <v>0.0</v>
      </c>
      <c r="Z21393" s="372">
        <v>0.0</v>
      </c>
    </row>
    <row r="21394">
      <c r="Y21394" s="372">
        <v>0.0</v>
      </c>
      <c r="Z21394" s="372">
        <v>0.0</v>
      </c>
    </row>
    <row r="21395">
      <c r="Y21395" s="372">
        <v>0.0</v>
      </c>
      <c r="Z21395" s="372">
        <v>0.0</v>
      </c>
    </row>
    <row r="21396">
      <c r="Y21396" s="372">
        <v>0.0</v>
      </c>
      <c r="Z21396" s="372">
        <v>0.0</v>
      </c>
    </row>
    <row r="21397">
      <c r="Y21397" s="372">
        <v>0.0</v>
      </c>
      <c r="Z21397" s="372">
        <v>0.0</v>
      </c>
    </row>
    <row r="21398">
      <c r="Y21398" s="372">
        <v>0.0</v>
      </c>
      <c r="Z21398" s="372">
        <v>0.0</v>
      </c>
    </row>
    <row r="21399">
      <c r="Y21399" s="372">
        <v>0.0</v>
      </c>
      <c r="Z21399" s="372">
        <v>0.0</v>
      </c>
    </row>
    <row r="21400">
      <c r="Y21400" s="372">
        <v>0.0</v>
      </c>
      <c r="Z21400" s="372">
        <v>0.0</v>
      </c>
    </row>
    <row r="21401">
      <c r="Y21401" s="372">
        <v>0.0</v>
      </c>
      <c r="Z21401" s="372">
        <v>0.0</v>
      </c>
    </row>
    <row r="21402">
      <c r="Y21402" s="372">
        <v>0.0</v>
      </c>
      <c r="Z21402" s="372">
        <v>0.0</v>
      </c>
    </row>
    <row r="21403">
      <c r="Y21403" s="372">
        <v>0.0</v>
      </c>
      <c r="Z21403" s="372">
        <v>0.0</v>
      </c>
    </row>
    <row r="21404">
      <c r="Y21404" s="372">
        <v>0.0</v>
      </c>
      <c r="Z21404" s="372">
        <v>0.0</v>
      </c>
    </row>
    <row r="21405">
      <c r="Y21405" s="372">
        <v>0.0</v>
      </c>
      <c r="Z21405" s="372">
        <v>0.0</v>
      </c>
    </row>
    <row r="21406">
      <c r="Y21406" s="372">
        <v>0.0</v>
      </c>
      <c r="Z21406" s="372">
        <v>0.0</v>
      </c>
    </row>
    <row r="21407">
      <c r="Y21407" s="372">
        <v>0.0</v>
      </c>
      <c r="Z21407" s="372">
        <v>0.0</v>
      </c>
    </row>
    <row r="21408">
      <c r="Y21408" s="372">
        <v>0.0</v>
      </c>
      <c r="Z21408" s="372">
        <v>0.0</v>
      </c>
    </row>
    <row r="21409">
      <c r="Y21409" s="372">
        <v>0.0</v>
      </c>
      <c r="Z21409" s="372">
        <v>0.0</v>
      </c>
    </row>
    <row r="21410">
      <c r="Y21410" s="372">
        <v>0.0</v>
      </c>
      <c r="Z21410" s="372">
        <v>0.0</v>
      </c>
    </row>
    <row r="21411">
      <c r="Y21411" s="372">
        <v>0.0</v>
      </c>
      <c r="Z21411" s="372">
        <v>0.0</v>
      </c>
    </row>
    <row r="21412">
      <c r="Y21412" s="372">
        <v>0.0</v>
      </c>
      <c r="Z21412" s="372">
        <v>0.0</v>
      </c>
    </row>
    <row r="21413">
      <c r="Y21413" s="372">
        <v>0.0</v>
      </c>
      <c r="Z21413" s="372">
        <v>0.0</v>
      </c>
    </row>
    <row r="21414">
      <c r="Y21414" s="372">
        <v>0.0</v>
      </c>
      <c r="Z21414" s="372">
        <v>0.0</v>
      </c>
    </row>
    <row r="21415">
      <c r="Y21415" s="372">
        <v>0.0</v>
      </c>
      <c r="Z21415" s="372">
        <v>0.0</v>
      </c>
    </row>
    <row r="21416">
      <c r="Y21416" s="372">
        <v>0.0</v>
      </c>
      <c r="Z21416" s="372">
        <v>0.0</v>
      </c>
    </row>
    <row r="21417">
      <c r="Y21417" s="372">
        <v>0.0</v>
      </c>
      <c r="Z21417" s="372">
        <v>0.0</v>
      </c>
    </row>
    <row r="21418">
      <c r="Y21418" s="372">
        <v>0.0</v>
      </c>
      <c r="Z21418" s="372">
        <v>0.0</v>
      </c>
    </row>
    <row r="21419">
      <c r="Y21419" s="372">
        <v>0.0</v>
      </c>
      <c r="Z21419" s="372">
        <v>0.0</v>
      </c>
    </row>
    <row r="21420">
      <c r="Y21420" s="372">
        <v>0.0</v>
      </c>
      <c r="Z21420" s="372">
        <v>0.0</v>
      </c>
    </row>
    <row r="21421">
      <c r="Y21421" s="372">
        <v>0.0</v>
      </c>
      <c r="Z21421" s="372">
        <v>0.0</v>
      </c>
    </row>
    <row r="21422">
      <c r="Y21422" s="372">
        <v>0.0</v>
      </c>
      <c r="Z21422" s="372">
        <v>0.0</v>
      </c>
    </row>
    <row r="21423">
      <c r="Y21423" s="372">
        <v>0.0</v>
      </c>
      <c r="Z21423" s="372">
        <v>0.0</v>
      </c>
    </row>
    <row r="21424">
      <c r="Y21424" s="372">
        <v>0.0</v>
      </c>
      <c r="Z21424" s="372">
        <v>0.0</v>
      </c>
    </row>
    <row r="21425">
      <c r="Y21425" s="372">
        <v>0.0</v>
      </c>
      <c r="Z21425" s="372">
        <v>0.0</v>
      </c>
    </row>
    <row r="21426">
      <c r="Y21426" s="372">
        <v>0.0</v>
      </c>
      <c r="Z21426" s="372">
        <v>0.0</v>
      </c>
    </row>
    <row r="21427">
      <c r="Y21427" s="372">
        <v>0.0</v>
      </c>
      <c r="Z21427" s="372">
        <v>0.0</v>
      </c>
    </row>
    <row r="21428">
      <c r="Y21428" s="372">
        <v>0.0</v>
      </c>
      <c r="Z21428" s="372">
        <v>0.0</v>
      </c>
    </row>
    <row r="21429">
      <c r="Y21429" s="372">
        <v>0.0</v>
      </c>
      <c r="Z21429" s="372">
        <v>0.0</v>
      </c>
    </row>
    <row r="21430">
      <c r="Y21430" s="372">
        <v>0.0</v>
      </c>
      <c r="Z21430" s="372">
        <v>0.0</v>
      </c>
    </row>
    <row r="21431">
      <c r="Y21431" s="372">
        <v>0.0</v>
      </c>
      <c r="Z21431" s="372">
        <v>0.0</v>
      </c>
    </row>
    <row r="21432">
      <c r="Y21432" s="372">
        <v>0.0</v>
      </c>
      <c r="Z21432" s="372">
        <v>0.0</v>
      </c>
    </row>
    <row r="21433">
      <c r="Y21433" s="372">
        <v>0.0</v>
      </c>
      <c r="Z21433" s="372">
        <v>0.0</v>
      </c>
    </row>
    <row r="21434">
      <c r="Y21434" s="372">
        <v>0.0</v>
      </c>
      <c r="Z21434" s="372">
        <v>0.0</v>
      </c>
    </row>
    <row r="21435">
      <c r="Y21435" s="372">
        <v>0.0</v>
      </c>
      <c r="Z21435" s="372">
        <v>0.0</v>
      </c>
    </row>
    <row r="21436">
      <c r="Y21436" s="372">
        <v>0.0</v>
      </c>
      <c r="Z21436" s="372">
        <v>0.0</v>
      </c>
    </row>
    <row r="21437">
      <c r="Y21437" s="372">
        <v>0.0</v>
      </c>
      <c r="Z21437" s="372">
        <v>0.0</v>
      </c>
    </row>
    <row r="21438">
      <c r="Y21438" s="372">
        <v>0.0</v>
      </c>
      <c r="Z21438" s="372">
        <v>0.0</v>
      </c>
    </row>
    <row r="21439">
      <c r="Y21439" s="372">
        <v>0.0</v>
      </c>
      <c r="Z21439" s="372">
        <v>0.0</v>
      </c>
    </row>
    <row r="21440">
      <c r="Y21440" s="372">
        <v>0.0</v>
      </c>
      <c r="Z21440" s="372">
        <v>0.0</v>
      </c>
    </row>
    <row r="21441">
      <c r="Y21441" s="372">
        <v>0.0</v>
      </c>
      <c r="Z21441" s="372">
        <v>0.0</v>
      </c>
    </row>
    <row r="21442">
      <c r="Y21442" s="372">
        <v>0.0</v>
      </c>
      <c r="Z21442" s="372">
        <v>0.0</v>
      </c>
    </row>
    <row r="21443">
      <c r="Y21443" s="372">
        <v>0.0</v>
      </c>
      <c r="Z21443" s="372">
        <v>0.0</v>
      </c>
    </row>
    <row r="21444">
      <c r="Y21444" s="372">
        <v>0.0</v>
      </c>
      <c r="Z21444" s="372">
        <v>0.0</v>
      </c>
    </row>
    <row r="21445">
      <c r="Y21445" s="372">
        <v>0.0</v>
      </c>
      <c r="Z21445" s="372">
        <v>0.0</v>
      </c>
    </row>
    <row r="21446">
      <c r="Y21446" s="372">
        <v>0.0</v>
      </c>
      <c r="Z21446" s="372">
        <v>0.0</v>
      </c>
    </row>
    <row r="21447">
      <c r="Y21447" s="372">
        <v>0.0</v>
      </c>
      <c r="Z21447" s="372">
        <v>0.0</v>
      </c>
    </row>
    <row r="21448">
      <c r="Y21448" s="372">
        <v>0.0</v>
      </c>
      <c r="Z21448" s="372">
        <v>0.0</v>
      </c>
    </row>
    <row r="21449">
      <c r="Y21449" s="372">
        <v>0.0</v>
      </c>
      <c r="Z21449" s="372">
        <v>0.0</v>
      </c>
    </row>
    <row r="21450">
      <c r="Y21450" s="372">
        <v>0.0</v>
      </c>
      <c r="Z21450" s="372">
        <v>0.0</v>
      </c>
    </row>
    <row r="21451">
      <c r="Y21451" s="372">
        <v>0.0</v>
      </c>
      <c r="Z21451" s="372">
        <v>0.0</v>
      </c>
    </row>
    <row r="21452">
      <c r="Y21452" s="372">
        <v>0.0</v>
      </c>
      <c r="Z21452" s="372">
        <v>0.0</v>
      </c>
    </row>
    <row r="21453">
      <c r="Y21453" s="372">
        <v>0.0</v>
      </c>
      <c r="Z21453" s="372">
        <v>0.0</v>
      </c>
    </row>
    <row r="21454">
      <c r="Y21454" s="372">
        <v>0.0</v>
      </c>
      <c r="Z21454" s="372">
        <v>0.0</v>
      </c>
    </row>
    <row r="21455">
      <c r="Y21455" s="372">
        <v>0.0</v>
      </c>
      <c r="Z21455" s="372">
        <v>0.0</v>
      </c>
    </row>
    <row r="21456">
      <c r="Y21456" s="372">
        <v>0.0</v>
      </c>
      <c r="Z21456" s="372">
        <v>0.0</v>
      </c>
    </row>
    <row r="21457">
      <c r="Y21457" s="372">
        <v>0.0</v>
      </c>
      <c r="Z21457" s="372">
        <v>0.0</v>
      </c>
    </row>
    <row r="21458">
      <c r="Y21458" s="372">
        <v>0.0</v>
      </c>
      <c r="Z21458" s="372">
        <v>0.0</v>
      </c>
    </row>
    <row r="21459">
      <c r="Y21459" s="372">
        <v>0.0</v>
      </c>
      <c r="Z21459" s="372">
        <v>0.0</v>
      </c>
    </row>
    <row r="21460">
      <c r="Y21460" s="372">
        <v>0.0</v>
      </c>
      <c r="Z21460" s="372">
        <v>0.0</v>
      </c>
    </row>
    <row r="21461">
      <c r="Y21461" s="372">
        <v>0.0</v>
      </c>
      <c r="Z21461" s="372">
        <v>0.0</v>
      </c>
    </row>
    <row r="21462">
      <c r="Y21462" s="372">
        <v>0.0</v>
      </c>
      <c r="Z21462" s="372">
        <v>0.0</v>
      </c>
    </row>
    <row r="21463">
      <c r="Y21463" s="372">
        <v>0.0</v>
      </c>
      <c r="Z21463" s="372">
        <v>0.0</v>
      </c>
    </row>
    <row r="21464">
      <c r="Y21464" s="372">
        <v>0.0</v>
      </c>
      <c r="Z21464" s="372">
        <v>0.0</v>
      </c>
    </row>
    <row r="21465">
      <c r="Y21465" s="372">
        <v>0.0</v>
      </c>
      <c r="Z21465" s="372">
        <v>0.0</v>
      </c>
    </row>
    <row r="21466">
      <c r="Y21466" s="372">
        <v>0.0</v>
      </c>
      <c r="Z21466" s="372">
        <v>0.0</v>
      </c>
    </row>
    <row r="21467">
      <c r="Y21467" s="372">
        <v>0.0</v>
      </c>
      <c r="Z21467" s="372">
        <v>0.0</v>
      </c>
    </row>
    <row r="21468">
      <c r="Y21468" s="372">
        <v>0.0</v>
      </c>
      <c r="Z21468" s="372">
        <v>0.0</v>
      </c>
    </row>
    <row r="21469">
      <c r="Y21469" s="372">
        <v>0.0</v>
      </c>
      <c r="Z21469" s="372">
        <v>0.0</v>
      </c>
    </row>
    <row r="21470">
      <c r="Y21470" s="372">
        <v>0.0</v>
      </c>
      <c r="Z21470" s="372">
        <v>0.0</v>
      </c>
    </row>
    <row r="21471">
      <c r="Y21471" s="372">
        <v>0.0</v>
      </c>
      <c r="Z21471" s="372">
        <v>0.0</v>
      </c>
    </row>
    <row r="21472">
      <c r="Y21472" s="372">
        <v>0.0</v>
      </c>
      <c r="Z21472" s="372">
        <v>0.0</v>
      </c>
    </row>
    <row r="21473">
      <c r="Y21473" s="372">
        <v>0.0</v>
      </c>
      <c r="Z21473" s="372">
        <v>0.0</v>
      </c>
    </row>
    <row r="21474">
      <c r="Y21474" s="372">
        <v>0.0</v>
      </c>
      <c r="Z21474" s="372">
        <v>0.0</v>
      </c>
    </row>
    <row r="21475">
      <c r="Y21475" s="372">
        <v>0.0</v>
      </c>
      <c r="Z21475" s="372">
        <v>0.0</v>
      </c>
    </row>
    <row r="21476">
      <c r="Y21476" s="372">
        <v>0.0</v>
      </c>
      <c r="Z21476" s="372">
        <v>0.0</v>
      </c>
    </row>
    <row r="21477">
      <c r="Y21477" s="372">
        <v>0.0</v>
      </c>
      <c r="Z21477" s="372">
        <v>0.0</v>
      </c>
    </row>
    <row r="21478">
      <c r="Y21478" s="372">
        <v>0.0</v>
      </c>
      <c r="Z21478" s="372">
        <v>0.0</v>
      </c>
    </row>
    <row r="21479">
      <c r="Y21479" s="372">
        <v>0.0</v>
      </c>
      <c r="Z21479" s="372">
        <v>0.0</v>
      </c>
    </row>
    <row r="21480">
      <c r="Y21480" s="372">
        <v>0.0</v>
      </c>
      <c r="Z21480" s="372">
        <v>0.0</v>
      </c>
    </row>
    <row r="21481">
      <c r="Y21481" s="372">
        <v>0.0</v>
      </c>
      <c r="Z21481" s="372">
        <v>0.0</v>
      </c>
    </row>
    <row r="21482">
      <c r="Y21482" s="372">
        <v>0.0</v>
      </c>
      <c r="Z21482" s="372">
        <v>0.0</v>
      </c>
    </row>
    <row r="21483">
      <c r="Y21483" s="372">
        <v>0.0</v>
      </c>
      <c r="Z21483" s="372">
        <v>0.0</v>
      </c>
    </row>
    <row r="21484">
      <c r="Y21484" s="372">
        <v>0.0</v>
      </c>
      <c r="Z21484" s="372">
        <v>0.0</v>
      </c>
    </row>
    <row r="21485">
      <c r="Y21485" s="372">
        <v>0.0</v>
      </c>
      <c r="Z21485" s="372">
        <v>0.0</v>
      </c>
    </row>
    <row r="21486">
      <c r="Y21486" s="372">
        <v>0.0</v>
      </c>
      <c r="Z21486" s="372">
        <v>0.0</v>
      </c>
    </row>
    <row r="21487">
      <c r="Y21487" s="372">
        <v>0.0</v>
      </c>
      <c r="Z21487" s="372">
        <v>0.0</v>
      </c>
    </row>
    <row r="21488">
      <c r="Y21488" s="372">
        <v>0.0</v>
      </c>
      <c r="Z21488" s="372">
        <v>0.0</v>
      </c>
    </row>
    <row r="21489">
      <c r="Y21489" s="372">
        <v>0.0</v>
      </c>
      <c r="Z21489" s="372">
        <v>0.0</v>
      </c>
    </row>
    <row r="21490">
      <c r="Y21490" s="372">
        <v>0.0</v>
      </c>
      <c r="Z21490" s="372">
        <v>0.0</v>
      </c>
    </row>
    <row r="21491">
      <c r="Y21491" s="372">
        <v>0.0</v>
      </c>
      <c r="Z21491" s="372">
        <v>0.0</v>
      </c>
    </row>
    <row r="21492">
      <c r="Y21492" s="372">
        <v>0.0</v>
      </c>
      <c r="Z21492" s="372">
        <v>0.0</v>
      </c>
    </row>
    <row r="21493">
      <c r="Y21493" s="372">
        <v>0.0</v>
      </c>
      <c r="Z21493" s="372">
        <v>0.0</v>
      </c>
    </row>
    <row r="21494">
      <c r="Y21494" s="372">
        <v>0.0</v>
      </c>
      <c r="Z21494" s="372">
        <v>0.0</v>
      </c>
    </row>
    <row r="21495">
      <c r="Y21495" s="372">
        <v>0.0</v>
      </c>
      <c r="Z21495" s="372">
        <v>0.0</v>
      </c>
    </row>
    <row r="21496">
      <c r="Y21496" s="372">
        <v>0.0</v>
      </c>
      <c r="Z21496" s="372">
        <v>0.0</v>
      </c>
    </row>
    <row r="21497">
      <c r="Y21497" s="372">
        <v>0.0</v>
      </c>
      <c r="Z21497" s="372">
        <v>0.0</v>
      </c>
    </row>
    <row r="21498">
      <c r="Y21498" s="372">
        <v>0.0</v>
      </c>
      <c r="Z21498" s="372">
        <v>0.0</v>
      </c>
    </row>
    <row r="21499">
      <c r="Y21499" s="372">
        <v>0.0</v>
      </c>
      <c r="Z21499" s="372">
        <v>0.0</v>
      </c>
    </row>
    <row r="21500">
      <c r="Y21500" s="372">
        <v>0.0</v>
      </c>
      <c r="Z21500" s="372">
        <v>0.0</v>
      </c>
    </row>
    <row r="21501">
      <c r="Y21501" s="372">
        <v>0.0</v>
      </c>
      <c r="Z21501" s="372">
        <v>0.0</v>
      </c>
    </row>
    <row r="21502">
      <c r="Y21502" s="372">
        <v>0.0</v>
      </c>
      <c r="Z21502" s="372">
        <v>0.0</v>
      </c>
    </row>
    <row r="21503">
      <c r="Y21503" s="372">
        <v>0.0</v>
      </c>
      <c r="Z21503" s="372">
        <v>0.0</v>
      </c>
    </row>
    <row r="21504">
      <c r="Y21504" s="372">
        <v>0.0</v>
      </c>
      <c r="Z21504" s="372">
        <v>0.0</v>
      </c>
    </row>
    <row r="21505">
      <c r="Y21505" s="372">
        <v>0.0</v>
      </c>
      <c r="Z21505" s="372">
        <v>0.0</v>
      </c>
    </row>
    <row r="21506">
      <c r="Y21506" s="372">
        <v>0.0</v>
      </c>
      <c r="Z21506" s="372">
        <v>0.0</v>
      </c>
    </row>
    <row r="21507">
      <c r="Y21507" s="372">
        <v>0.0</v>
      </c>
      <c r="Z21507" s="372">
        <v>0.0</v>
      </c>
    </row>
    <row r="21508">
      <c r="Y21508" s="372">
        <v>0.0</v>
      </c>
      <c r="Z21508" s="372">
        <v>0.0</v>
      </c>
    </row>
    <row r="21509">
      <c r="Y21509" s="372">
        <v>0.0</v>
      </c>
      <c r="Z21509" s="372">
        <v>0.0</v>
      </c>
    </row>
    <row r="21510">
      <c r="Y21510" s="372">
        <v>0.0</v>
      </c>
      <c r="Z21510" s="372">
        <v>0.0</v>
      </c>
    </row>
    <row r="21511">
      <c r="Y21511" s="372">
        <v>0.0</v>
      </c>
      <c r="Z21511" s="372">
        <v>0.0</v>
      </c>
    </row>
    <row r="21512">
      <c r="Y21512" s="372">
        <v>0.0</v>
      </c>
      <c r="Z21512" s="372">
        <v>0.0</v>
      </c>
    </row>
    <row r="21513">
      <c r="Y21513" s="372">
        <v>0.0</v>
      </c>
      <c r="Z21513" s="372">
        <v>0.0</v>
      </c>
    </row>
    <row r="21514">
      <c r="Y21514" s="372">
        <v>0.0</v>
      </c>
      <c r="Z21514" s="372">
        <v>0.0</v>
      </c>
    </row>
    <row r="21515">
      <c r="Y21515" s="372">
        <v>0.0</v>
      </c>
      <c r="Z21515" s="372">
        <v>0.0</v>
      </c>
    </row>
    <row r="21516">
      <c r="Y21516" s="372">
        <v>0.0</v>
      </c>
      <c r="Z21516" s="372">
        <v>0.0</v>
      </c>
    </row>
    <row r="21517">
      <c r="Y21517" s="372">
        <v>0.0</v>
      </c>
      <c r="Z21517" s="372">
        <v>0.0</v>
      </c>
    </row>
    <row r="21518">
      <c r="Y21518" s="372">
        <v>0.0</v>
      </c>
      <c r="Z21518" s="372">
        <v>0.0</v>
      </c>
    </row>
    <row r="21519">
      <c r="Y21519" s="372">
        <v>0.0</v>
      </c>
      <c r="Z21519" s="372">
        <v>0.0</v>
      </c>
    </row>
    <row r="21520">
      <c r="Y21520" s="372">
        <v>0.0</v>
      </c>
      <c r="Z21520" s="372">
        <v>0.0</v>
      </c>
    </row>
    <row r="21521">
      <c r="Y21521" s="372">
        <v>0.0</v>
      </c>
      <c r="Z21521" s="372">
        <v>0.0</v>
      </c>
    </row>
    <row r="21522">
      <c r="Y21522" s="372">
        <v>0.0</v>
      </c>
      <c r="Z21522" s="372">
        <v>0.0</v>
      </c>
    </row>
    <row r="21523">
      <c r="Y21523" s="372">
        <v>0.0</v>
      </c>
      <c r="Z21523" s="372">
        <v>0.0</v>
      </c>
    </row>
    <row r="21524">
      <c r="Y21524" s="372">
        <v>0.0</v>
      </c>
      <c r="Z21524" s="372">
        <v>0.0</v>
      </c>
    </row>
    <row r="21525">
      <c r="Y21525" s="372">
        <v>0.0</v>
      </c>
      <c r="Z21525" s="372">
        <v>0.0</v>
      </c>
    </row>
    <row r="21526">
      <c r="Y21526" s="372">
        <v>0.0</v>
      </c>
      <c r="Z21526" s="372">
        <v>0.0</v>
      </c>
    </row>
    <row r="21527">
      <c r="Y21527" s="372">
        <v>0.0</v>
      </c>
      <c r="Z21527" s="372">
        <v>0.0</v>
      </c>
    </row>
    <row r="21528">
      <c r="Y21528" s="372">
        <v>0.0</v>
      </c>
      <c r="Z21528" s="372">
        <v>0.0</v>
      </c>
    </row>
    <row r="21529">
      <c r="Y21529" s="372">
        <v>0.0</v>
      </c>
      <c r="Z21529" s="372">
        <v>0.0</v>
      </c>
    </row>
    <row r="21530">
      <c r="Y21530" s="372">
        <v>0.0</v>
      </c>
      <c r="Z21530" s="372">
        <v>0.0</v>
      </c>
    </row>
    <row r="21531">
      <c r="Y21531" s="372">
        <v>0.0</v>
      </c>
      <c r="Z21531" s="372">
        <v>0.0</v>
      </c>
    </row>
    <row r="21532">
      <c r="Y21532" s="372">
        <v>0.0</v>
      </c>
      <c r="Z21532" s="372">
        <v>0.0</v>
      </c>
    </row>
    <row r="21533">
      <c r="Y21533" s="372">
        <v>0.0</v>
      </c>
      <c r="Z21533" s="372">
        <v>0.0</v>
      </c>
    </row>
    <row r="21534">
      <c r="Y21534" s="372">
        <v>0.0</v>
      </c>
      <c r="Z21534" s="372">
        <v>0.0</v>
      </c>
    </row>
    <row r="21535">
      <c r="Y21535" s="372">
        <v>0.0</v>
      </c>
      <c r="Z21535" s="372">
        <v>0.0</v>
      </c>
    </row>
    <row r="21536">
      <c r="Y21536" s="372">
        <v>0.0</v>
      </c>
      <c r="Z21536" s="372">
        <v>0.0</v>
      </c>
    </row>
    <row r="21537">
      <c r="Y21537" s="372">
        <v>0.0</v>
      </c>
      <c r="Z21537" s="372">
        <v>0.0</v>
      </c>
    </row>
    <row r="21538">
      <c r="Y21538" s="372">
        <v>0.0</v>
      </c>
      <c r="Z21538" s="372">
        <v>0.0</v>
      </c>
    </row>
    <row r="21539">
      <c r="Y21539" s="372">
        <v>0.0</v>
      </c>
      <c r="Z21539" s="372">
        <v>0.0</v>
      </c>
    </row>
    <row r="21540">
      <c r="Y21540" s="372">
        <v>0.0</v>
      </c>
      <c r="Z21540" s="372">
        <v>0.0</v>
      </c>
    </row>
    <row r="21541">
      <c r="Y21541" s="372">
        <v>0.0</v>
      </c>
      <c r="Z21541" s="372">
        <v>0.0</v>
      </c>
    </row>
    <row r="21542">
      <c r="Y21542" s="372">
        <v>0.0</v>
      </c>
      <c r="Z21542" s="372">
        <v>0.0</v>
      </c>
    </row>
    <row r="21543">
      <c r="Y21543" s="372">
        <v>0.0</v>
      </c>
      <c r="Z21543" s="372">
        <v>0.0</v>
      </c>
    </row>
    <row r="21544">
      <c r="Y21544" s="372">
        <v>0.0</v>
      </c>
      <c r="Z21544" s="372">
        <v>0.0</v>
      </c>
    </row>
    <row r="21545">
      <c r="Y21545" s="372">
        <v>0.0</v>
      </c>
      <c r="Z21545" s="372">
        <v>0.0</v>
      </c>
    </row>
    <row r="21546">
      <c r="Y21546" s="372">
        <v>0.0</v>
      </c>
      <c r="Z21546" s="372">
        <v>0.0</v>
      </c>
    </row>
    <row r="21547">
      <c r="Y21547" s="372">
        <v>0.0</v>
      </c>
      <c r="Z21547" s="372">
        <v>0.0</v>
      </c>
    </row>
    <row r="21548">
      <c r="Y21548" s="372">
        <v>0.0</v>
      </c>
      <c r="Z21548" s="372">
        <v>0.0</v>
      </c>
    </row>
    <row r="21549">
      <c r="Y21549" s="372">
        <v>0.0</v>
      </c>
      <c r="Z21549" s="372">
        <v>0.0</v>
      </c>
    </row>
    <row r="21550">
      <c r="Y21550" s="372">
        <v>0.0</v>
      </c>
      <c r="Z21550" s="372">
        <v>0.0</v>
      </c>
    </row>
    <row r="21551">
      <c r="Y21551" s="372">
        <v>0.0</v>
      </c>
      <c r="Z21551" s="372">
        <v>0.0</v>
      </c>
    </row>
    <row r="21552">
      <c r="Y21552" s="372">
        <v>0.0</v>
      </c>
      <c r="Z21552" s="372">
        <v>0.0</v>
      </c>
    </row>
    <row r="21553">
      <c r="Y21553" s="372">
        <v>0.0</v>
      </c>
      <c r="Z21553" s="372">
        <v>0.0</v>
      </c>
    </row>
    <row r="21554">
      <c r="Y21554" s="372">
        <v>0.0</v>
      </c>
      <c r="Z21554" s="372">
        <v>0.0</v>
      </c>
    </row>
    <row r="21555">
      <c r="Y21555" s="372">
        <v>0.0</v>
      </c>
      <c r="Z21555" s="372">
        <v>0.0</v>
      </c>
    </row>
    <row r="21556">
      <c r="Y21556" s="372">
        <v>0.0</v>
      </c>
      <c r="Z21556" s="372">
        <v>0.0</v>
      </c>
    </row>
    <row r="21557">
      <c r="Y21557" s="372">
        <v>0.0</v>
      </c>
      <c r="Z21557" s="372">
        <v>0.0</v>
      </c>
    </row>
    <row r="21558">
      <c r="Y21558" s="372">
        <v>0.0</v>
      </c>
      <c r="Z21558" s="372">
        <v>0.0</v>
      </c>
    </row>
    <row r="21559">
      <c r="Y21559" s="372">
        <v>0.0</v>
      </c>
      <c r="Z21559" s="372">
        <v>0.0</v>
      </c>
    </row>
    <row r="21560">
      <c r="Y21560" s="372">
        <v>0.0</v>
      </c>
      <c r="Z21560" s="372">
        <v>0.0</v>
      </c>
    </row>
    <row r="21561">
      <c r="Y21561" s="372">
        <v>0.0</v>
      </c>
      <c r="Z21561" s="372">
        <v>0.0</v>
      </c>
    </row>
    <row r="21562">
      <c r="Y21562" s="372">
        <v>0.0</v>
      </c>
      <c r="Z21562" s="372">
        <v>0.0</v>
      </c>
    </row>
    <row r="21563">
      <c r="Y21563" s="372">
        <v>0.0</v>
      </c>
      <c r="Z21563" s="372">
        <v>0.0</v>
      </c>
    </row>
    <row r="21564">
      <c r="Y21564" s="372">
        <v>0.0</v>
      </c>
      <c r="Z21564" s="372">
        <v>0.0</v>
      </c>
    </row>
    <row r="21565">
      <c r="Y21565" s="372">
        <v>0.0</v>
      </c>
      <c r="Z21565" s="372">
        <v>0.0</v>
      </c>
    </row>
    <row r="21566">
      <c r="Y21566" s="372">
        <v>0.0</v>
      </c>
      <c r="Z21566" s="372">
        <v>0.0</v>
      </c>
    </row>
    <row r="21567">
      <c r="Y21567" s="372">
        <v>0.0</v>
      </c>
      <c r="Z21567" s="372">
        <v>0.0</v>
      </c>
    </row>
    <row r="21568">
      <c r="Y21568" s="372">
        <v>0.0</v>
      </c>
      <c r="Z21568" s="372">
        <v>0.0</v>
      </c>
    </row>
    <row r="21569">
      <c r="Y21569" s="372">
        <v>0.0</v>
      </c>
      <c r="Z21569" s="372">
        <v>0.0</v>
      </c>
    </row>
    <row r="21570">
      <c r="Y21570" s="372">
        <v>0.0</v>
      </c>
      <c r="Z21570" s="372">
        <v>0.0</v>
      </c>
    </row>
    <row r="21571">
      <c r="Y21571" s="372">
        <v>0.0</v>
      </c>
      <c r="Z21571" s="372">
        <v>0.0</v>
      </c>
    </row>
    <row r="21572">
      <c r="Y21572" s="372">
        <v>0.0</v>
      </c>
      <c r="Z21572" s="372">
        <v>0.0</v>
      </c>
    </row>
    <row r="21573">
      <c r="Y21573" s="372">
        <v>0.0</v>
      </c>
      <c r="Z21573" s="372">
        <v>0.0</v>
      </c>
    </row>
    <row r="21574">
      <c r="Y21574" s="372">
        <v>0.0</v>
      </c>
      <c r="Z21574" s="372">
        <v>0.0</v>
      </c>
    </row>
    <row r="21575">
      <c r="Y21575" s="372">
        <v>0.0</v>
      </c>
      <c r="Z21575" s="372">
        <v>0.0</v>
      </c>
    </row>
    <row r="21576">
      <c r="Y21576" s="372">
        <v>0.0</v>
      </c>
      <c r="Z21576" s="372">
        <v>0.0</v>
      </c>
    </row>
    <row r="21577">
      <c r="Y21577" s="372">
        <v>0.0</v>
      </c>
      <c r="Z21577" s="372">
        <v>0.0</v>
      </c>
    </row>
    <row r="21578">
      <c r="Y21578" s="372">
        <v>0.0</v>
      </c>
      <c r="Z21578" s="372">
        <v>0.0</v>
      </c>
    </row>
    <row r="21579">
      <c r="Y21579" s="372">
        <v>0.0</v>
      </c>
      <c r="Z21579" s="372">
        <v>0.0</v>
      </c>
    </row>
    <row r="21580">
      <c r="Y21580" s="372">
        <v>0.0</v>
      </c>
      <c r="Z21580" s="372">
        <v>0.0</v>
      </c>
    </row>
    <row r="21581">
      <c r="Y21581" s="372">
        <v>0.0</v>
      </c>
      <c r="Z21581" s="372">
        <v>0.0</v>
      </c>
    </row>
    <row r="21582">
      <c r="Y21582" s="372">
        <v>0.0</v>
      </c>
      <c r="Z21582" s="372">
        <v>0.0</v>
      </c>
    </row>
    <row r="21583">
      <c r="Y21583" s="372">
        <v>0.0</v>
      </c>
      <c r="Z21583" s="372">
        <v>0.0</v>
      </c>
    </row>
    <row r="21584">
      <c r="Y21584" s="372">
        <v>0.0</v>
      </c>
      <c r="Z21584" s="372">
        <v>0.0</v>
      </c>
    </row>
    <row r="21585">
      <c r="Y21585" s="372">
        <v>0.0</v>
      </c>
      <c r="Z21585" s="372">
        <v>0.0</v>
      </c>
    </row>
    <row r="21586">
      <c r="Y21586" s="372">
        <v>0.0</v>
      </c>
      <c r="Z21586" s="372">
        <v>0.0</v>
      </c>
    </row>
    <row r="21587">
      <c r="Y21587" s="372">
        <v>0.0</v>
      </c>
      <c r="Z21587" s="372">
        <v>0.0</v>
      </c>
    </row>
    <row r="21588">
      <c r="Y21588" s="372">
        <v>0.0</v>
      </c>
      <c r="Z21588" s="372">
        <v>0.0</v>
      </c>
    </row>
    <row r="21589">
      <c r="Y21589" s="372">
        <v>0.0</v>
      </c>
      <c r="Z21589" s="372">
        <v>0.0</v>
      </c>
    </row>
    <row r="21590">
      <c r="Y21590" s="372">
        <v>0.0</v>
      </c>
      <c r="Z21590" s="372">
        <v>0.0</v>
      </c>
    </row>
    <row r="21591">
      <c r="Y21591" s="372">
        <v>0.0</v>
      </c>
      <c r="Z21591" s="372">
        <v>0.0</v>
      </c>
    </row>
    <row r="21592">
      <c r="Y21592" s="372">
        <v>0.0</v>
      </c>
      <c r="Z21592" s="372">
        <v>0.0</v>
      </c>
    </row>
    <row r="21593">
      <c r="Y21593" s="372">
        <v>0.0</v>
      </c>
      <c r="Z21593" s="372">
        <v>0.0</v>
      </c>
    </row>
    <row r="21594">
      <c r="Y21594" s="372">
        <v>0.0</v>
      </c>
      <c r="Z21594" s="372">
        <v>0.0</v>
      </c>
    </row>
    <row r="21595">
      <c r="Y21595" s="372">
        <v>0.0</v>
      </c>
      <c r="Z21595" s="372">
        <v>0.0</v>
      </c>
    </row>
    <row r="21596">
      <c r="Y21596" s="372">
        <v>0.0</v>
      </c>
      <c r="Z21596" s="372">
        <v>0.0</v>
      </c>
    </row>
    <row r="21597">
      <c r="Y21597" s="372">
        <v>0.0</v>
      </c>
      <c r="Z21597" s="372">
        <v>0.0</v>
      </c>
    </row>
    <row r="21598">
      <c r="Y21598" s="372">
        <v>0.0</v>
      </c>
      <c r="Z21598" s="372">
        <v>0.0</v>
      </c>
    </row>
    <row r="21599">
      <c r="Y21599" s="372">
        <v>0.0</v>
      </c>
      <c r="Z21599" s="372">
        <v>0.0</v>
      </c>
    </row>
    <row r="21600">
      <c r="Y21600" s="372">
        <v>0.0</v>
      </c>
      <c r="Z21600" s="372">
        <v>0.0</v>
      </c>
    </row>
    <row r="21601">
      <c r="Y21601" s="372">
        <v>0.0</v>
      </c>
      <c r="Z21601" s="372">
        <v>0.0</v>
      </c>
    </row>
    <row r="21602">
      <c r="Y21602" s="372">
        <v>0.0</v>
      </c>
      <c r="Z21602" s="372">
        <v>0.0</v>
      </c>
    </row>
    <row r="21603">
      <c r="Y21603" s="372">
        <v>0.0</v>
      </c>
      <c r="Z21603" s="372">
        <v>0.0</v>
      </c>
    </row>
    <row r="21604">
      <c r="Y21604" s="372">
        <v>0.0</v>
      </c>
      <c r="Z21604" s="372">
        <v>0.0</v>
      </c>
    </row>
    <row r="21605">
      <c r="Y21605" s="372">
        <v>0.0</v>
      </c>
      <c r="Z21605" s="372">
        <v>0.0</v>
      </c>
    </row>
    <row r="21606">
      <c r="Y21606" s="372">
        <v>0.0</v>
      </c>
      <c r="Z21606" s="372">
        <v>0.0</v>
      </c>
    </row>
    <row r="21607">
      <c r="Y21607" s="372">
        <v>0.0</v>
      </c>
      <c r="Z21607" s="372">
        <v>0.0</v>
      </c>
    </row>
    <row r="21608">
      <c r="Y21608" s="372">
        <v>0.0</v>
      </c>
      <c r="Z21608" s="372">
        <v>0.0</v>
      </c>
    </row>
    <row r="21609">
      <c r="Y21609" s="372">
        <v>0.0</v>
      </c>
      <c r="Z21609" s="372">
        <v>0.0</v>
      </c>
    </row>
    <row r="21610">
      <c r="Y21610" s="372">
        <v>0.0</v>
      </c>
      <c r="Z21610" s="372">
        <v>0.0</v>
      </c>
    </row>
    <row r="21611">
      <c r="Y21611" s="372">
        <v>0.0</v>
      </c>
      <c r="Z21611" s="372">
        <v>0.0</v>
      </c>
    </row>
    <row r="21612">
      <c r="Y21612" s="372">
        <v>0.0</v>
      </c>
      <c r="Z21612" s="372">
        <v>0.0</v>
      </c>
    </row>
    <row r="21613">
      <c r="Y21613" s="372">
        <v>0.0</v>
      </c>
      <c r="Z21613" s="372">
        <v>0.0</v>
      </c>
    </row>
    <row r="21614">
      <c r="Y21614" s="372">
        <v>0.0</v>
      </c>
      <c r="Z21614" s="372">
        <v>0.0</v>
      </c>
    </row>
    <row r="21615">
      <c r="Y21615" s="372">
        <v>0.0</v>
      </c>
      <c r="Z21615" s="372">
        <v>0.0</v>
      </c>
    </row>
    <row r="21616">
      <c r="Y21616" s="372">
        <v>0.0</v>
      </c>
      <c r="Z21616" s="372">
        <v>0.0</v>
      </c>
    </row>
    <row r="21617">
      <c r="Y21617" s="372">
        <v>0.0</v>
      </c>
      <c r="Z21617" s="372">
        <v>0.0</v>
      </c>
    </row>
    <row r="21618">
      <c r="Y21618" s="372">
        <v>0.0</v>
      </c>
      <c r="Z21618" s="372">
        <v>0.0</v>
      </c>
    </row>
    <row r="21619">
      <c r="Y21619" s="372">
        <v>0.0</v>
      </c>
      <c r="Z21619" s="372">
        <v>0.0</v>
      </c>
    </row>
    <row r="21620">
      <c r="Y21620" s="372">
        <v>0.0</v>
      </c>
      <c r="Z21620" s="372">
        <v>0.0</v>
      </c>
    </row>
    <row r="21621">
      <c r="Y21621" s="372">
        <v>0.0</v>
      </c>
      <c r="Z21621" s="372">
        <v>0.0</v>
      </c>
    </row>
    <row r="21622">
      <c r="Y21622" s="372">
        <v>0.0</v>
      </c>
      <c r="Z21622" s="372">
        <v>0.0</v>
      </c>
    </row>
    <row r="21623">
      <c r="Y21623" s="372">
        <v>0.0</v>
      </c>
      <c r="Z21623" s="372">
        <v>0.0</v>
      </c>
    </row>
    <row r="21624">
      <c r="Y21624" s="372">
        <v>0.0</v>
      </c>
      <c r="Z21624" s="372">
        <v>0.0</v>
      </c>
    </row>
    <row r="21625">
      <c r="Y21625" s="372">
        <v>0.0</v>
      </c>
      <c r="Z21625" s="372">
        <v>0.0</v>
      </c>
    </row>
    <row r="21626">
      <c r="Y21626" s="372">
        <v>0.0</v>
      </c>
      <c r="Z21626" s="372">
        <v>0.0</v>
      </c>
    </row>
    <row r="21627">
      <c r="Y21627" s="372">
        <v>0.0</v>
      </c>
      <c r="Z21627" s="372">
        <v>0.0</v>
      </c>
    </row>
    <row r="21628">
      <c r="Y21628" s="372">
        <v>0.0</v>
      </c>
      <c r="Z21628" s="372">
        <v>0.0</v>
      </c>
    </row>
    <row r="21629">
      <c r="Y21629" s="372">
        <v>0.0</v>
      </c>
      <c r="Z21629" s="372">
        <v>0.0</v>
      </c>
    </row>
    <row r="21630">
      <c r="Y21630" s="372">
        <v>0.0</v>
      </c>
      <c r="Z21630" s="372">
        <v>0.0</v>
      </c>
    </row>
    <row r="21631">
      <c r="Y21631" s="372">
        <v>0.0</v>
      </c>
      <c r="Z21631" s="372">
        <v>0.0</v>
      </c>
    </row>
    <row r="21632">
      <c r="Y21632" s="372">
        <v>0.0</v>
      </c>
      <c r="Z21632" s="372">
        <v>0.0</v>
      </c>
    </row>
    <row r="21633">
      <c r="Y21633" s="372">
        <v>0.0</v>
      </c>
      <c r="Z21633" s="372">
        <v>0.0</v>
      </c>
    </row>
    <row r="21634">
      <c r="Y21634" s="372">
        <v>0.0</v>
      </c>
      <c r="Z21634" s="372">
        <v>0.0</v>
      </c>
    </row>
    <row r="21635">
      <c r="Y21635" s="372">
        <v>0.0</v>
      </c>
      <c r="Z21635" s="372">
        <v>0.0</v>
      </c>
    </row>
    <row r="21636">
      <c r="Y21636" s="372">
        <v>0.0</v>
      </c>
      <c r="Z21636" s="372">
        <v>0.0</v>
      </c>
    </row>
    <row r="21637">
      <c r="Y21637" s="372">
        <v>0.0</v>
      </c>
      <c r="Z21637" s="372">
        <v>0.0</v>
      </c>
    </row>
    <row r="21638">
      <c r="Y21638" s="372">
        <v>0.0</v>
      </c>
      <c r="Z21638" s="372">
        <v>0.0</v>
      </c>
    </row>
    <row r="21639">
      <c r="Y21639" s="372">
        <v>0.0</v>
      </c>
      <c r="Z21639" s="372">
        <v>0.0</v>
      </c>
    </row>
    <row r="21640">
      <c r="Y21640" s="372">
        <v>0.0</v>
      </c>
      <c r="Z21640" s="372">
        <v>0.0</v>
      </c>
    </row>
    <row r="21641">
      <c r="Y21641" s="372">
        <v>0.0</v>
      </c>
      <c r="Z21641" s="372">
        <v>0.0</v>
      </c>
    </row>
    <row r="21642">
      <c r="Y21642" s="372">
        <v>0.0</v>
      </c>
      <c r="Z21642" s="372">
        <v>0.0</v>
      </c>
    </row>
    <row r="21643">
      <c r="Y21643" s="372">
        <v>0.0</v>
      </c>
      <c r="Z21643" s="372">
        <v>0.0</v>
      </c>
    </row>
    <row r="21644">
      <c r="Y21644" s="372">
        <v>0.0</v>
      </c>
      <c r="Z21644" s="372">
        <v>0.0</v>
      </c>
    </row>
    <row r="21645">
      <c r="Y21645" s="372">
        <v>0.0</v>
      </c>
      <c r="Z21645" s="372">
        <v>0.0</v>
      </c>
    </row>
    <row r="21646">
      <c r="Y21646" s="372">
        <v>0.0</v>
      </c>
      <c r="Z21646" s="372">
        <v>0.0</v>
      </c>
    </row>
    <row r="21647">
      <c r="Y21647" s="372">
        <v>0.0</v>
      </c>
      <c r="Z21647" s="372">
        <v>0.0</v>
      </c>
    </row>
    <row r="21648">
      <c r="Y21648" s="372">
        <v>0.0</v>
      </c>
      <c r="Z21648" s="372">
        <v>0.0</v>
      </c>
    </row>
    <row r="21649">
      <c r="Y21649" s="372">
        <v>0.0</v>
      </c>
      <c r="Z21649" s="372">
        <v>0.0</v>
      </c>
    </row>
    <row r="21650">
      <c r="Y21650" s="372">
        <v>0.0</v>
      </c>
      <c r="Z21650" s="372">
        <v>0.0</v>
      </c>
    </row>
    <row r="21651">
      <c r="Y21651" s="372">
        <v>0.0</v>
      </c>
      <c r="Z21651" s="372">
        <v>0.0</v>
      </c>
    </row>
    <row r="21652">
      <c r="Y21652" s="372">
        <v>0.0</v>
      </c>
      <c r="Z21652" s="372">
        <v>0.0</v>
      </c>
    </row>
    <row r="21653">
      <c r="Y21653" s="372">
        <v>0.0</v>
      </c>
      <c r="Z21653" s="372">
        <v>0.0</v>
      </c>
    </row>
    <row r="21654">
      <c r="Y21654" s="372">
        <v>0.0</v>
      </c>
      <c r="Z21654" s="372">
        <v>0.0</v>
      </c>
    </row>
    <row r="21655">
      <c r="Y21655" s="372">
        <v>0.0</v>
      </c>
      <c r="Z21655" s="372">
        <v>0.0</v>
      </c>
    </row>
    <row r="21656">
      <c r="Y21656" s="372">
        <v>0.0</v>
      </c>
      <c r="Z21656" s="372">
        <v>0.0</v>
      </c>
    </row>
    <row r="21657">
      <c r="Y21657" s="372">
        <v>0.0</v>
      </c>
      <c r="Z21657" s="372">
        <v>0.0</v>
      </c>
    </row>
    <row r="21658">
      <c r="Y21658" s="372">
        <v>0.0</v>
      </c>
      <c r="Z21658" s="372">
        <v>0.0</v>
      </c>
    </row>
    <row r="21659">
      <c r="Y21659" s="372">
        <v>0.0</v>
      </c>
      <c r="Z21659" s="372">
        <v>0.0</v>
      </c>
    </row>
    <row r="21660">
      <c r="Y21660" s="372">
        <v>0.0</v>
      </c>
      <c r="Z21660" s="372">
        <v>0.0</v>
      </c>
    </row>
    <row r="21661">
      <c r="Y21661" s="372">
        <v>0.0</v>
      </c>
      <c r="Z21661" s="372">
        <v>0.0</v>
      </c>
    </row>
    <row r="21662">
      <c r="Y21662" s="372">
        <v>0.0</v>
      </c>
      <c r="Z21662" s="372">
        <v>0.0</v>
      </c>
    </row>
    <row r="21663">
      <c r="Y21663" s="372">
        <v>0.0</v>
      </c>
      <c r="Z21663" s="372">
        <v>0.0</v>
      </c>
    </row>
    <row r="21664">
      <c r="Y21664" s="372">
        <v>0.0</v>
      </c>
      <c r="Z21664" s="372">
        <v>0.0</v>
      </c>
    </row>
    <row r="21665">
      <c r="Y21665" s="372">
        <v>0.0</v>
      </c>
      <c r="Z21665" s="372">
        <v>0.0</v>
      </c>
    </row>
    <row r="21666">
      <c r="Y21666" s="372">
        <v>0.0</v>
      </c>
      <c r="Z21666" s="372">
        <v>0.0</v>
      </c>
    </row>
    <row r="21667">
      <c r="Y21667" s="372">
        <v>0.0</v>
      </c>
      <c r="Z21667" s="372">
        <v>0.0</v>
      </c>
    </row>
    <row r="21668">
      <c r="Y21668" s="372">
        <v>0.0</v>
      </c>
      <c r="Z21668" s="372">
        <v>0.0</v>
      </c>
    </row>
    <row r="21669">
      <c r="Y21669" s="372">
        <v>0.0</v>
      </c>
      <c r="Z21669" s="372">
        <v>0.0</v>
      </c>
    </row>
    <row r="21670">
      <c r="Y21670" s="372">
        <v>0.0</v>
      </c>
      <c r="Z21670" s="372">
        <v>0.0</v>
      </c>
    </row>
    <row r="21671">
      <c r="Y21671" s="372">
        <v>0.0</v>
      </c>
      <c r="Z21671" s="372">
        <v>0.0</v>
      </c>
    </row>
    <row r="21672">
      <c r="Y21672" s="372">
        <v>0.0</v>
      </c>
      <c r="Z21672" s="372">
        <v>0.0</v>
      </c>
    </row>
    <row r="21673">
      <c r="Y21673" s="372">
        <v>0.0</v>
      </c>
      <c r="Z21673" s="372">
        <v>0.0</v>
      </c>
    </row>
    <row r="21674">
      <c r="Y21674" s="372">
        <v>0.0</v>
      </c>
      <c r="Z21674" s="372">
        <v>0.0</v>
      </c>
    </row>
    <row r="21675">
      <c r="Y21675" s="372">
        <v>0.0</v>
      </c>
      <c r="Z21675" s="372">
        <v>0.0</v>
      </c>
    </row>
    <row r="21676">
      <c r="Y21676" s="372">
        <v>0.0</v>
      </c>
      <c r="Z21676" s="372">
        <v>0.0</v>
      </c>
    </row>
    <row r="21677">
      <c r="Y21677" s="372">
        <v>0.0</v>
      </c>
      <c r="Z21677" s="372">
        <v>0.0</v>
      </c>
    </row>
    <row r="21678">
      <c r="Y21678" s="372">
        <v>0.0</v>
      </c>
      <c r="Z21678" s="372">
        <v>0.0</v>
      </c>
    </row>
    <row r="21679">
      <c r="Y21679" s="372">
        <v>0.0</v>
      </c>
      <c r="Z21679" s="372">
        <v>0.0</v>
      </c>
    </row>
    <row r="21680">
      <c r="Y21680" s="372">
        <v>0.0</v>
      </c>
      <c r="Z21680" s="372">
        <v>0.0</v>
      </c>
    </row>
    <row r="21681">
      <c r="Y21681" s="372">
        <v>0.0</v>
      </c>
      <c r="Z21681" s="372">
        <v>0.0</v>
      </c>
    </row>
    <row r="21682">
      <c r="Y21682" s="372">
        <v>0.0</v>
      </c>
      <c r="Z21682" s="372">
        <v>0.0</v>
      </c>
    </row>
    <row r="21683">
      <c r="Y21683" s="372">
        <v>0.0</v>
      </c>
      <c r="Z21683" s="372">
        <v>0.0</v>
      </c>
    </row>
    <row r="21684">
      <c r="Y21684" s="372">
        <v>0.0</v>
      </c>
      <c r="Z21684" s="372">
        <v>0.0</v>
      </c>
    </row>
    <row r="21685">
      <c r="Y21685" s="372">
        <v>0.0</v>
      </c>
      <c r="Z21685" s="372">
        <v>0.0</v>
      </c>
    </row>
    <row r="21686">
      <c r="Y21686" s="372">
        <v>0.0</v>
      </c>
      <c r="Z21686" s="372">
        <v>0.0</v>
      </c>
    </row>
    <row r="21687">
      <c r="Y21687" s="372">
        <v>0.0</v>
      </c>
      <c r="Z21687" s="372">
        <v>0.0</v>
      </c>
    </row>
    <row r="21688">
      <c r="Y21688" s="372">
        <v>0.0</v>
      </c>
      <c r="Z21688" s="372">
        <v>0.0</v>
      </c>
    </row>
    <row r="21689">
      <c r="Y21689" s="372">
        <v>0.0</v>
      </c>
      <c r="Z21689" s="372">
        <v>0.0</v>
      </c>
    </row>
    <row r="21690">
      <c r="Y21690" s="372">
        <v>0.0</v>
      </c>
      <c r="Z21690" s="372">
        <v>0.0</v>
      </c>
    </row>
    <row r="21691">
      <c r="Y21691" s="372">
        <v>0.0</v>
      </c>
      <c r="Z21691" s="372">
        <v>0.0</v>
      </c>
    </row>
    <row r="21692">
      <c r="Y21692" s="372">
        <v>0.0</v>
      </c>
      <c r="Z21692" s="372">
        <v>0.0</v>
      </c>
    </row>
    <row r="21693">
      <c r="Y21693" s="372">
        <v>0.0</v>
      </c>
      <c r="Z21693" s="372">
        <v>0.0</v>
      </c>
    </row>
    <row r="21694">
      <c r="Y21694" s="372">
        <v>0.0</v>
      </c>
      <c r="Z21694" s="372">
        <v>0.0</v>
      </c>
    </row>
    <row r="21695">
      <c r="Y21695" s="372">
        <v>0.0</v>
      </c>
      <c r="Z21695" s="372">
        <v>0.0</v>
      </c>
    </row>
    <row r="21696">
      <c r="Y21696" s="372">
        <v>0.0</v>
      </c>
      <c r="Z21696" s="372">
        <v>0.0</v>
      </c>
    </row>
    <row r="21697">
      <c r="Y21697" s="372">
        <v>0.0</v>
      </c>
      <c r="Z21697" s="372">
        <v>0.0</v>
      </c>
    </row>
    <row r="21698">
      <c r="Y21698" s="372">
        <v>0.0</v>
      </c>
      <c r="Z21698" s="372">
        <v>0.0</v>
      </c>
    </row>
    <row r="21699">
      <c r="Y21699" s="372">
        <v>0.0</v>
      </c>
      <c r="Z21699" s="372">
        <v>0.0</v>
      </c>
    </row>
    <row r="21700">
      <c r="Y21700" s="372">
        <v>0.0</v>
      </c>
      <c r="Z21700" s="372">
        <v>0.0</v>
      </c>
    </row>
    <row r="21701">
      <c r="Y21701" s="372">
        <v>0.0</v>
      </c>
      <c r="Z21701" s="372">
        <v>0.0</v>
      </c>
    </row>
    <row r="21702">
      <c r="Y21702" s="372">
        <v>0.0</v>
      </c>
      <c r="Z21702" s="372">
        <v>0.0</v>
      </c>
    </row>
    <row r="21703">
      <c r="Y21703" s="372">
        <v>0.0</v>
      </c>
      <c r="Z21703" s="372">
        <v>0.0</v>
      </c>
    </row>
    <row r="21704">
      <c r="Y21704" s="372">
        <v>0.0</v>
      </c>
      <c r="Z21704" s="372">
        <v>0.0</v>
      </c>
    </row>
    <row r="21705">
      <c r="Y21705" s="372">
        <v>0.0</v>
      </c>
      <c r="Z21705" s="372">
        <v>0.0</v>
      </c>
    </row>
    <row r="21706">
      <c r="Y21706" s="372">
        <v>0.0</v>
      </c>
      <c r="Z21706" s="372">
        <v>0.0</v>
      </c>
    </row>
    <row r="21707">
      <c r="Y21707" s="372">
        <v>0.0</v>
      </c>
      <c r="Z21707" s="372">
        <v>0.0</v>
      </c>
    </row>
    <row r="21708">
      <c r="Y21708" s="372">
        <v>0.0</v>
      </c>
      <c r="Z21708" s="372">
        <v>0.0</v>
      </c>
    </row>
    <row r="21709">
      <c r="Y21709" s="372">
        <v>0.0</v>
      </c>
      <c r="Z21709" s="372">
        <v>0.0</v>
      </c>
    </row>
    <row r="21710">
      <c r="Y21710" s="372">
        <v>0.0</v>
      </c>
      <c r="Z21710" s="372">
        <v>0.0</v>
      </c>
    </row>
    <row r="21711">
      <c r="Y21711" s="372">
        <v>0.0</v>
      </c>
      <c r="Z21711" s="372">
        <v>0.0</v>
      </c>
    </row>
    <row r="21712">
      <c r="Y21712" s="372">
        <v>0.0</v>
      </c>
      <c r="Z21712" s="372">
        <v>0.0</v>
      </c>
    </row>
    <row r="21713">
      <c r="Y21713" s="372">
        <v>0.0</v>
      </c>
      <c r="Z21713" s="372">
        <v>0.0</v>
      </c>
    </row>
    <row r="21714">
      <c r="Y21714" s="372">
        <v>0.0</v>
      </c>
      <c r="Z21714" s="372">
        <v>0.0</v>
      </c>
    </row>
    <row r="21715">
      <c r="Y21715" s="372">
        <v>0.0</v>
      </c>
      <c r="Z21715" s="372">
        <v>0.0</v>
      </c>
    </row>
    <row r="21716">
      <c r="Y21716" s="372">
        <v>0.0</v>
      </c>
      <c r="Z21716" s="372">
        <v>0.0</v>
      </c>
    </row>
    <row r="21717">
      <c r="Y21717" s="372">
        <v>0.0</v>
      </c>
      <c r="Z21717" s="372">
        <v>0.0</v>
      </c>
    </row>
    <row r="21718">
      <c r="Y21718" s="372">
        <v>0.0</v>
      </c>
      <c r="Z21718" s="372">
        <v>0.0</v>
      </c>
    </row>
    <row r="21719">
      <c r="Y21719" s="372">
        <v>0.0</v>
      </c>
      <c r="Z21719" s="372">
        <v>0.0</v>
      </c>
    </row>
    <row r="21720">
      <c r="Y21720" s="372">
        <v>0.0</v>
      </c>
      <c r="Z21720" s="372">
        <v>0.0</v>
      </c>
    </row>
    <row r="21721">
      <c r="Y21721" s="372">
        <v>0.0</v>
      </c>
      <c r="Z21721" s="372">
        <v>0.0</v>
      </c>
    </row>
    <row r="21722">
      <c r="Y21722" s="372">
        <v>0.0</v>
      </c>
      <c r="Z21722" s="372">
        <v>0.0</v>
      </c>
    </row>
    <row r="21723">
      <c r="Y21723" s="372">
        <v>0.0</v>
      </c>
      <c r="Z21723" s="372">
        <v>0.0</v>
      </c>
    </row>
    <row r="21724">
      <c r="Y21724" s="372">
        <v>0.0</v>
      </c>
      <c r="Z21724" s="372">
        <v>0.0</v>
      </c>
    </row>
    <row r="21725">
      <c r="Y21725" s="372">
        <v>0.0</v>
      </c>
      <c r="Z21725" s="372">
        <v>0.0</v>
      </c>
    </row>
    <row r="21726">
      <c r="Y21726" s="372">
        <v>0.0</v>
      </c>
      <c r="Z21726" s="372">
        <v>0.0</v>
      </c>
    </row>
    <row r="21727">
      <c r="Y21727" s="372">
        <v>0.0</v>
      </c>
      <c r="Z21727" s="372">
        <v>0.0</v>
      </c>
    </row>
    <row r="21728">
      <c r="Y21728" s="372">
        <v>0.0</v>
      </c>
      <c r="Z21728" s="372">
        <v>0.0</v>
      </c>
    </row>
    <row r="21729">
      <c r="Y21729" s="372">
        <v>0.0</v>
      </c>
      <c r="Z21729" s="372">
        <v>0.0</v>
      </c>
    </row>
    <row r="21730">
      <c r="Y21730" s="372">
        <v>0.0</v>
      </c>
      <c r="Z21730" s="372">
        <v>0.0</v>
      </c>
    </row>
    <row r="21731">
      <c r="Y21731" s="372">
        <v>0.0</v>
      </c>
      <c r="Z21731" s="372">
        <v>0.0</v>
      </c>
    </row>
    <row r="21732">
      <c r="Y21732" s="372">
        <v>0.0</v>
      </c>
      <c r="Z21732" s="372">
        <v>0.0</v>
      </c>
    </row>
    <row r="21733">
      <c r="Y21733" s="372">
        <v>0.0</v>
      </c>
      <c r="Z21733" s="372">
        <v>0.0</v>
      </c>
    </row>
    <row r="21734">
      <c r="Y21734" s="372">
        <v>0.0</v>
      </c>
      <c r="Z21734" s="372">
        <v>0.0</v>
      </c>
    </row>
    <row r="21735">
      <c r="Y21735" s="372">
        <v>0.0</v>
      </c>
      <c r="Z21735" s="372">
        <v>0.0</v>
      </c>
    </row>
    <row r="21736">
      <c r="Y21736" s="372">
        <v>0.0</v>
      </c>
      <c r="Z21736" s="372">
        <v>0.0</v>
      </c>
    </row>
    <row r="21737">
      <c r="Y21737" s="372">
        <v>0.0</v>
      </c>
      <c r="Z21737" s="372">
        <v>0.0</v>
      </c>
    </row>
    <row r="21738">
      <c r="Y21738" s="372">
        <v>0.0</v>
      </c>
      <c r="Z21738" s="372">
        <v>0.0</v>
      </c>
    </row>
    <row r="21739">
      <c r="Y21739" s="372">
        <v>0.0</v>
      </c>
      <c r="Z21739" s="372">
        <v>0.0</v>
      </c>
    </row>
    <row r="21740">
      <c r="Y21740" s="372">
        <v>0.0</v>
      </c>
      <c r="Z21740" s="372">
        <v>0.0</v>
      </c>
    </row>
    <row r="21741">
      <c r="Y21741" s="372">
        <v>0.0</v>
      </c>
      <c r="Z21741" s="372">
        <v>0.0</v>
      </c>
    </row>
    <row r="21742">
      <c r="Y21742" s="372">
        <v>0.0</v>
      </c>
      <c r="Z21742" s="372">
        <v>0.0</v>
      </c>
    </row>
    <row r="21743">
      <c r="Y21743" s="372">
        <v>0.0</v>
      </c>
      <c r="Z21743" s="372">
        <v>0.0</v>
      </c>
    </row>
    <row r="21744">
      <c r="Y21744" s="372">
        <v>0.0</v>
      </c>
      <c r="Z21744" s="372">
        <v>0.0</v>
      </c>
    </row>
    <row r="21745">
      <c r="Y21745" s="372">
        <v>0.0</v>
      </c>
      <c r="Z21745" s="372">
        <v>0.0</v>
      </c>
    </row>
    <row r="21746">
      <c r="Y21746" s="372">
        <v>0.0</v>
      </c>
      <c r="Z21746" s="372">
        <v>0.0</v>
      </c>
    </row>
    <row r="21747">
      <c r="Y21747" s="372">
        <v>0.0</v>
      </c>
      <c r="Z21747" s="372">
        <v>0.0</v>
      </c>
    </row>
    <row r="21748">
      <c r="Y21748" s="372">
        <v>0.0</v>
      </c>
      <c r="Z21748" s="372">
        <v>0.0</v>
      </c>
    </row>
    <row r="21749">
      <c r="Y21749" s="372">
        <v>0.0</v>
      </c>
      <c r="Z21749" s="372">
        <v>0.0</v>
      </c>
    </row>
    <row r="21750">
      <c r="Y21750" s="372">
        <v>0.0</v>
      </c>
      <c r="Z21750" s="372">
        <v>0.0</v>
      </c>
    </row>
    <row r="21751">
      <c r="Y21751" s="372">
        <v>0.0</v>
      </c>
      <c r="Z21751" s="372">
        <v>0.0</v>
      </c>
    </row>
    <row r="21752">
      <c r="Y21752" s="372">
        <v>0.0</v>
      </c>
      <c r="Z21752" s="372">
        <v>0.0</v>
      </c>
    </row>
    <row r="21753">
      <c r="Y21753" s="372">
        <v>0.0</v>
      </c>
      <c r="Z21753" s="372">
        <v>0.0</v>
      </c>
    </row>
    <row r="21754">
      <c r="Y21754" s="372">
        <v>0.0</v>
      </c>
      <c r="Z21754" s="372">
        <v>0.0</v>
      </c>
    </row>
    <row r="21755">
      <c r="Y21755" s="372">
        <v>0.0</v>
      </c>
      <c r="Z21755" s="372">
        <v>0.0</v>
      </c>
    </row>
    <row r="21756">
      <c r="Y21756" s="372">
        <v>0.0</v>
      </c>
      <c r="Z21756" s="372">
        <v>0.0</v>
      </c>
    </row>
    <row r="21757">
      <c r="Y21757" s="372">
        <v>0.0</v>
      </c>
      <c r="Z21757" s="372">
        <v>0.0</v>
      </c>
    </row>
    <row r="21758">
      <c r="Y21758" s="372">
        <v>0.0</v>
      </c>
      <c r="Z21758" s="372">
        <v>0.0</v>
      </c>
    </row>
    <row r="21759">
      <c r="Y21759" s="372">
        <v>0.0</v>
      </c>
      <c r="Z21759" s="372">
        <v>0.0</v>
      </c>
    </row>
    <row r="21760">
      <c r="Y21760" s="372">
        <v>0.0</v>
      </c>
      <c r="Z21760" s="372">
        <v>0.0</v>
      </c>
    </row>
    <row r="21761">
      <c r="Y21761" s="372">
        <v>0.0</v>
      </c>
      <c r="Z21761" s="372">
        <v>0.0</v>
      </c>
    </row>
    <row r="21762">
      <c r="Y21762" s="372">
        <v>0.0</v>
      </c>
      <c r="Z21762" s="372">
        <v>0.0</v>
      </c>
    </row>
    <row r="21763">
      <c r="Y21763" s="372">
        <v>0.0</v>
      </c>
      <c r="Z21763" s="372">
        <v>0.0</v>
      </c>
    </row>
    <row r="21764">
      <c r="Y21764" s="372">
        <v>0.0</v>
      </c>
      <c r="Z21764" s="372">
        <v>0.0</v>
      </c>
    </row>
    <row r="21765">
      <c r="Y21765" s="372">
        <v>0.0</v>
      </c>
      <c r="Z21765" s="372">
        <v>0.0</v>
      </c>
    </row>
    <row r="21766">
      <c r="Y21766" s="372">
        <v>0.0</v>
      </c>
      <c r="Z21766" s="372">
        <v>0.0</v>
      </c>
    </row>
    <row r="21767">
      <c r="Y21767" s="372">
        <v>0.0</v>
      </c>
      <c r="Z21767" s="372">
        <v>0.0</v>
      </c>
    </row>
    <row r="21768">
      <c r="Y21768" s="372">
        <v>0.0</v>
      </c>
      <c r="Z21768" s="372">
        <v>0.0</v>
      </c>
    </row>
    <row r="21769">
      <c r="Y21769" s="372">
        <v>0.0</v>
      </c>
      <c r="Z21769" s="372">
        <v>0.0</v>
      </c>
    </row>
    <row r="21770">
      <c r="Y21770" s="372">
        <v>0.0</v>
      </c>
      <c r="Z21770" s="372">
        <v>0.0</v>
      </c>
    </row>
    <row r="21771">
      <c r="Y21771" s="372">
        <v>0.0</v>
      </c>
      <c r="Z21771" s="372">
        <v>0.0</v>
      </c>
    </row>
    <row r="21772">
      <c r="Y21772" s="372">
        <v>0.0</v>
      </c>
      <c r="Z21772" s="372">
        <v>0.0</v>
      </c>
    </row>
    <row r="21773">
      <c r="Y21773" s="372">
        <v>0.0</v>
      </c>
      <c r="Z21773" s="372">
        <v>0.0</v>
      </c>
    </row>
    <row r="21774">
      <c r="Y21774" s="372">
        <v>0.0</v>
      </c>
      <c r="Z21774" s="372">
        <v>0.0</v>
      </c>
    </row>
    <row r="21775">
      <c r="Y21775" s="372">
        <v>0.0</v>
      </c>
      <c r="Z21775" s="372">
        <v>0.0</v>
      </c>
    </row>
    <row r="21776">
      <c r="Y21776" s="372">
        <v>0.0</v>
      </c>
      <c r="Z21776" s="372">
        <v>0.0</v>
      </c>
    </row>
    <row r="21777">
      <c r="Y21777" s="372">
        <v>0.0</v>
      </c>
      <c r="Z21777" s="372">
        <v>0.0</v>
      </c>
    </row>
    <row r="21778">
      <c r="Y21778" s="372">
        <v>0.0</v>
      </c>
      <c r="Z21778" s="372">
        <v>0.0</v>
      </c>
    </row>
    <row r="21779">
      <c r="Y21779" s="372">
        <v>0.0</v>
      </c>
      <c r="Z21779" s="372">
        <v>0.0</v>
      </c>
    </row>
    <row r="21780">
      <c r="Y21780" s="372">
        <v>0.0</v>
      </c>
      <c r="Z21780" s="372">
        <v>0.0</v>
      </c>
    </row>
    <row r="21781">
      <c r="Y21781" s="372">
        <v>0.0</v>
      </c>
      <c r="Z21781" s="372">
        <v>0.0</v>
      </c>
    </row>
    <row r="21782">
      <c r="Y21782" s="372">
        <v>0.0</v>
      </c>
      <c r="Z21782" s="372">
        <v>0.0</v>
      </c>
    </row>
    <row r="21783">
      <c r="Y21783" s="372">
        <v>0.0</v>
      </c>
      <c r="Z21783" s="372">
        <v>0.0</v>
      </c>
    </row>
    <row r="21784">
      <c r="Y21784" s="372">
        <v>0.0</v>
      </c>
      <c r="Z21784" s="372">
        <v>0.0</v>
      </c>
    </row>
    <row r="21785">
      <c r="Y21785" s="372">
        <v>0.0</v>
      </c>
      <c r="Z21785" s="372">
        <v>0.0</v>
      </c>
    </row>
    <row r="21786">
      <c r="Y21786" s="372">
        <v>0.0</v>
      </c>
      <c r="Z21786" s="372">
        <v>0.0</v>
      </c>
    </row>
    <row r="21787">
      <c r="Y21787" s="372">
        <v>0.0</v>
      </c>
      <c r="Z21787" s="372">
        <v>0.0</v>
      </c>
    </row>
    <row r="21788">
      <c r="Y21788" s="372">
        <v>0.0</v>
      </c>
      <c r="Z21788" s="372">
        <v>0.0</v>
      </c>
    </row>
    <row r="21789">
      <c r="Y21789" s="372">
        <v>0.0</v>
      </c>
      <c r="Z21789" s="372">
        <v>0.0</v>
      </c>
    </row>
    <row r="21790">
      <c r="Y21790" s="372">
        <v>0.0</v>
      </c>
      <c r="Z21790" s="372">
        <v>0.0</v>
      </c>
    </row>
    <row r="21791">
      <c r="Y21791" s="372">
        <v>0.0</v>
      </c>
      <c r="Z21791" s="372">
        <v>0.0</v>
      </c>
    </row>
    <row r="21792">
      <c r="Y21792" s="372">
        <v>0.0</v>
      </c>
      <c r="Z21792" s="372">
        <v>0.0</v>
      </c>
    </row>
    <row r="21793">
      <c r="Y21793" s="372">
        <v>0.0</v>
      </c>
      <c r="Z21793" s="372">
        <v>0.0</v>
      </c>
    </row>
    <row r="21794">
      <c r="Y21794" s="372">
        <v>0.0</v>
      </c>
      <c r="Z21794" s="372">
        <v>0.0</v>
      </c>
    </row>
    <row r="21795">
      <c r="Y21795" s="372">
        <v>0.0</v>
      </c>
      <c r="Z21795" s="372">
        <v>0.0</v>
      </c>
    </row>
    <row r="21796">
      <c r="Y21796" s="372">
        <v>0.0</v>
      </c>
      <c r="Z21796" s="372">
        <v>0.0</v>
      </c>
    </row>
    <row r="21797">
      <c r="Y21797" s="372">
        <v>0.0</v>
      </c>
      <c r="Z21797" s="372">
        <v>0.0</v>
      </c>
    </row>
    <row r="21798">
      <c r="Y21798" s="372">
        <v>0.0</v>
      </c>
      <c r="Z21798" s="372">
        <v>0.0</v>
      </c>
    </row>
    <row r="21799">
      <c r="Y21799" s="372">
        <v>0.0</v>
      </c>
      <c r="Z21799" s="372">
        <v>0.0</v>
      </c>
    </row>
    <row r="21800">
      <c r="Y21800" s="372">
        <v>0.0</v>
      </c>
      <c r="Z21800" s="372">
        <v>0.0</v>
      </c>
    </row>
    <row r="21801">
      <c r="Y21801" s="372">
        <v>0.0</v>
      </c>
      <c r="Z21801" s="372">
        <v>0.0</v>
      </c>
    </row>
    <row r="21802">
      <c r="Y21802" s="372">
        <v>0.0</v>
      </c>
      <c r="Z21802" s="372">
        <v>0.0</v>
      </c>
    </row>
    <row r="21803">
      <c r="Y21803" s="372">
        <v>0.0</v>
      </c>
      <c r="Z21803" s="372">
        <v>0.0</v>
      </c>
    </row>
    <row r="21804">
      <c r="Y21804" s="372">
        <v>0.0</v>
      </c>
      <c r="Z21804" s="372">
        <v>0.0</v>
      </c>
    </row>
    <row r="21805">
      <c r="Y21805" s="372">
        <v>0.0</v>
      </c>
      <c r="Z21805" s="372">
        <v>0.0</v>
      </c>
    </row>
    <row r="21806">
      <c r="Y21806" s="372">
        <v>0.0</v>
      </c>
      <c r="Z21806" s="372">
        <v>0.0</v>
      </c>
    </row>
    <row r="21807">
      <c r="Y21807" s="372">
        <v>0.0</v>
      </c>
      <c r="Z21807" s="372">
        <v>0.0</v>
      </c>
    </row>
    <row r="21808">
      <c r="Y21808" s="372">
        <v>0.0</v>
      </c>
      <c r="Z21808" s="372">
        <v>0.0</v>
      </c>
    </row>
    <row r="21809">
      <c r="Y21809" s="372">
        <v>0.0</v>
      </c>
      <c r="Z21809" s="372">
        <v>0.0</v>
      </c>
    </row>
    <row r="21810">
      <c r="Y21810" s="372">
        <v>0.0</v>
      </c>
      <c r="Z21810" s="372">
        <v>0.0</v>
      </c>
    </row>
    <row r="21811">
      <c r="Y21811" s="372">
        <v>0.0</v>
      </c>
      <c r="Z21811" s="372">
        <v>0.0</v>
      </c>
    </row>
    <row r="21812">
      <c r="Y21812" s="372">
        <v>0.0</v>
      </c>
      <c r="Z21812" s="372">
        <v>0.0</v>
      </c>
    </row>
    <row r="21813">
      <c r="Y21813" s="372">
        <v>0.0</v>
      </c>
      <c r="Z21813" s="372">
        <v>0.0</v>
      </c>
    </row>
    <row r="21814">
      <c r="Y21814" s="372">
        <v>0.0</v>
      </c>
      <c r="Z21814" s="372">
        <v>0.0</v>
      </c>
    </row>
    <row r="21815">
      <c r="Y21815" s="372">
        <v>0.0</v>
      </c>
      <c r="Z21815" s="372">
        <v>0.0</v>
      </c>
    </row>
    <row r="21816">
      <c r="Y21816" s="372">
        <v>0.0</v>
      </c>
      <c r="Z21816" s="372">
        <v>0.0</v>
      </c>
    </row>
    <row r="21817">
      <c r="Y21817" s="372">
        <v>0.0</v>
      </c>
      <c r="Z21817" s="372">
        <v>0.0</v>
      </c>
    </row>
    <row r="21818">
      <c r="Y21818" s="372">
        <v>0.0</v>
      </c>
      <c r="Z21818" s="372">
        <v>0.0</v>
      </c>
    </row>
    <row r="21819">
      <c r="Y21819" s="372">
        <v>0.0</v>
      </c>
      <c r="Z21819" s="372">
        <v>0.0</v>
      </c>
    </row>
    <row r="21820">
      <c r="Y21820" s="372">
        <v>0.0</v>
      </c>
      <c r="Z21820" s="372">
        <v>0.0</v>
      </c>
    </row>
    <row r="21821">
      <c r="Y21821" s="372">
        <v>0.0</v>
      </c>
      <c r="Z21821" s="372">
        <v>0.0</v>
      </c>
    </row>
    <row r="21822">
      <c r="Y21822" s="372">
        <v>0.0</v>
      </c>
      <c r="Z21822" s="372">
        <v>0.0</v>
      </c>
    </row>
    <row r="21823">
      <c r="Y21823" s="372">
        <v>0.0</v>
      </c>
      <c r="Z21823" s="372">
        <v>0.0</v>
      </c>
    </row>
    <row r="21824">
      <c r="Y21824" s="372">
        <v>0.0</v>
      </c>
      <c r="Z21824" s="372">
        <v>0.0</v>
      </c>
    </row>
    <row r="21825">
      <c r="Y21825" s="372">
        <v>0.0</v>
      </c>
      <c r="Z21825" s="372">
        <v>0.0</v>
      </c>
    </row>
    <row r="21826">
      <c r="Y21826" s="372">
        <v>0.0</v>
      </c>
      <c r="Z21826" s="372">
        <v>0.0</v>
      </c>
    </row>
    <row r="21827">
      <c r="Y21827" s="372">
        <v>0.0</v>
      </c>
      <c r="Z21827" s="372">
        <v>0.0</v>
      </c>
    </row>
    <row r="21828">
      <c r="Y21828" s="372">
        <v>0.0</v>
      </c>
      <c r="Z21828" s="372">
        <v>0.0</v>
      </c>
    </row>
    <row r="21829">
      <c r="Y21829" s="372">
        <v>0.0</v>
      </c>
      <c r="Z21829" s="372">
        <v>0.0</v>
      </c>
    </row>
    <row r="21830">
      <c r="Y21830" s="372">
        <v>0.0</v>
      </c>
      <c r="Z21830" s="372">
        <v>0.0</v>
      </c>
    </row>
    <row r="21831">
      <c r="Y21831" s="372">
        <v>0.0</v>
      </c>
      <c r="Z21831" s="372">
        <v>0.0</v>
      </c>
    </row>
    <row r="21832">
      <c r="Y21832" s="372">
        <v>0.0</v>
      </c>
      <c r="Z21832" s="372">
        <v>0.0</v>
      </c>
    </row>
    <row r="21833">
      <c r="Y21833" s="372">
        <v>0.0</v>
      </c>
      <c r="Z21833" s="372">
        <v>0.0</v>
      </c>
    </row>
    <row r="21834">
      <c r="Y21834" s="372">
        <v>0.0</v>
      </c>
      <c r="Z21834" s="372">
        <v>0.0</v>
      </c>
    </row>
    <row r="21835">
      <c r="Y21835" s="372">
        <v>0.0</v>
      </c>
      <c r="Z21835" s="372">
        <v>0.0</v>
      </c>
    </row>
    <row r="21836">
      <c r="Y21836" s="372">
        <v>0.0</v>
      </c>
      <c r="Z21836" s="372">
        <v>0.0</v>
      </c>
    </row>
    <row r="21837">
      <c r="Y21837" s="372">
        <v>0.0</v>
      </c>
      <c r="Z21837" s="372">
        <v>0.0</v>
      </c>
    </row>
    <row r="21838">
      <c r="Y21838" s="372">
        <v>0.0</v>
      </c>
      <c r="Z21838" s="372">
        <v>0.0</v>
      </c>
    </row>
    <row r="21839">
      <c r="Y21839" s="372">
        <v>0.0</v>
      </c>
      <c r="Z21839" s="372">
        <v>0.0</v>
      </c>
    </row>
    <row r="21840">
      <c r="Y21840" s="372">
        <v>0.0</v>
      </c>
      <c r="Z21840" s="372">
        <v>0.0</v>
      </c>
    </row>
    <row r="21841">
      <c r="Y21841" s="372">
        <v>0.0</v>
      </c>
      <c r="Z21841" s="372">
        <v>0.0</v>
      </c>
    </row>
    <row r="21842">
      <c r="Y21842" s="372">
        <v>0.0</v>
      </c>
      <c r="Z21842" s="372">
        <v>0.0</v>
      </c>
    </row>
    <row r="21843">
      <c r="Y21843" s="372">
        <v>0.0</v>
      </c>
      <c r="Z21843" s="372">
        <v>0.0</v>
      </c>
    </row>
    <row r="21844">
      <c r="Y21844" s="372">
        <v>0.0</v>
      </c>
      <c r="Z21844" s="372">
        <v>0.0</v>
      </c>
    </row>
    <row r="21845">
      <c r="Y21845" s="372">
        <v>0.0</v>
      </c>
      <c r="Z21845" s="372">
        <v>0.0</v>
      </c>
    </row>
    <row r="21846">
      <c r="Y21846" s="372">
        <v>0.0</v>
      </c>
      <c r="Z21846" s="372">
        <v>0.0</v>
      </c>
    </row>
    <row r="21847">
      <c r="Y21847" s="372">
        <v>0.0</v>
      </c>
      <c r="Z21847" s="372">
        <v>0.0</v>
      </c>
    </row>
    <row r="21848">
      <c r="Y21848" s="372">
        <v>0.0</v>
      </c>
      <c r="Z21848" s="372">
        <v>0.0</v>
      </c>
    </row>
    <row r="21849">
      <c r="Y21849" s="372">
        <v>0.0</v>
      </c>
      <c r="Z21849" s="372">
        <v>0.0</v>
      </c>
    </row>
    <row r="21850">
      <c r="Y21850" s="372">
        <v>0.0</v>
      </c>
      <c r="Z21850" s="372">
        <v>0.0</v>
      </c>
    </row>
    <row r="21851">
      <c r="Y21851" s="372">
        <v>0.0</v>
      </c>
      <c r="Z21851" s="372">
        <v>0.0</v>
      </c>
    </row>
    <row r="21852">
      <c r="Y21852" s="372">
        <v>0.0</v>
      </c>
      <c r="Z21852" s="372">
        <v>0.0</v>
      </c>
    </row>
    <row r="21853">
      <c r="Y21853" s="372">
        <v>0.0</v>
      </c>
      <c r="Z21853" s="372">
        <v>0.0</v>
      </c>
    </row>
    <row r="21854">
      <c r="Y21854" s="372">
        <v>0.0</v>
      </c>
      <c r="Z21854" s="372">
        <v>0.0</v>
      </c>
    </row>
    <row r="21855">
      <c r="Y21855" s="372">
        <v>0.0</v>
      </c>
      <c r="Z21855" s="372">
        <v>0.0</v>
      </c>
    </row>
    <row r="21856">
      <c r="Y21856" s="372">
        <v>0.0</v>
      </c>
      <c r="Z21856" s="372">
        <v>0.0</v>
      </c>
    </row>
    <row r="21857">
      <c r="Y21857" s="372">
        <v>0.0</v>
      </c>
      <c r="Z21857" s="372">
        <v>0.0</v>
      </c>
    </row>
    <row r="21858">
      <c r="Y21858" s="372">
        <v>0.0</v>
      </c>
      <c r="Z21858" s="372">
        <v>0.0</v>
      </c>
    </row>
    <row r="21859">
      <c r="Y21859" s="372">
        <v>0.0</v>
      </c>
      <c r="Z21859" s="372">
        <v>0.0</v>
      </c>
    </row>
    <row r="21860">
      <c r="Y21860" s="372">
        <v>0.0</v>
      </c>
      <c r="Z21860" s="372">
        <v>0.0</v>
      </c>
    </row>
    <row r="21861">
      <c r="Y21861" s="372">
        <v>0.0</v>
      </c>
      <c r="Z21861" s="372">
        <v>0.0</v>
      </c>
    </row>
    <row r="21862">
      <c r="Y21862" s="372">
        <v>0.0</v>
      </c>
      <c r="Z21862" s="372">
        <v>0.0</v>
      </c>
    </row>
    <row r="21863">
      <c r="Y21863" s="372">
        <v>0.0</v>
      </c>
      <c r="Z21863" s="372">
        <v>0.0</v>
      </c>
    </row>
    <row r="21864">
      <c r="Y21864" s="372">
        <v>0.0</v>
      </c>
      <c r="Z21864" s="372">
        <v>0.0</v>
      </c>
    </row>
    <row r="21865">
      <c r="Y21865" s="372">
        <v>0.0</v>
      </c>
      <c r="Z21865" s="372">
        <v>0.0</v>
      </c>
    </row>
    <row r="21866">
      <c r="Y21866" s="372">
        <v>0.0</v>
      </c>
      <c r="Z21866" s="372">
        <v>0.0</v>
      </c>
    </row>
    <row r="21867">
      <c r="Y21867" s="372">
        <v>0.0</v>
      </c>
      <c r="Z21867" s="372">
        <v>0.0</v>
      </c>
    </row>
    <row r="21868">
      <c r="Y21868" s="372">
        <v>0.0</v>
      </c>
      <c r="Z21868" s="372">
        <v>0.0</v>
      </c>
    </row>
    <row r="21869">
      <c r="Y21869" s="372">
        <v>0.0</v>
      </c>
      <c r="Z21869" s="372">
        <v>0.0</v>
      </c>
    </row>
    <row r="21870">
      <c r="Y21870" s="372">
        <v>0.0</v>
      </c>
      <c r="Z21870" s="372">
        <v>0.0</v>
      </c>
    </row>
    <row r="21871">
      <c r="Y21871" s="372">
        <v>0.0</v>
      </c>
      <c r="Z21871" s="372">
        <v>0.0</v>
      </c>
    </row>
    <row r="21872">
      <c r="Y21872" s="372">
        <v>0.0</v>
      </c>
      <c r="Z21872" s="372">
        <v>0.0</v>
      </c>
    </row>
    <row r="21873">
      <c r="Y21873" s="372">
        <v>0.0</v>
      </c>
      <c r="Z21873" s="372">
        <v>0.0</v>
      </c>
    </row>
    <row r="21874">
      <c r="Y21874" s="372">
        <v>0.0</v>
      </c>
      <c r="Z21874" s="372">
        <v>0.0</v>
      </c>
    </row>
    <row r="21875">
      <c r="Y21875" s="372">
        <v>0.0</v>
      </c>
      <c r="Z21875" s="372">
        <v>0.0</v>
      </c>
    </row>
    <row r="21876">
      <c r="Y21876" s="372">
        <v>0.0</v>
      </c>
      <c r="Z21876" s="372">
        <v>0.0</v>
      </c>
    </row>
    <row r="21877">
      <c r="Y21877" s="372">
        <v>0.0</v>
      </c>
      <c r="Z21877" s="372">
        <v>0.0</v>
      </c>
    </row>
    <row r="21878">
      <c r="Y21878" s="372">
        <v>0.0</v>
      </c>
      <c r="Z21878" s="372">
        <v>0.0</v>
      </c>
    </row>
    <row r="21879">
      <c r="Y21879" s="372">
        <v>0.0</v>
      </c>
      <c r="Z21879" s="372">
        <v>0.0</v>
      </c>
    </row>
    <row r="21880">
      <c r="Y21880" s="372">
        <v>0.0</v>
      </c>
      <c r="Z21880" s="372">
        <v>0.0</v>
      </c>
    </row>
    <row r="21881">
      <c r="Y21881" s="372">
        <v>0.0</v>
      </c>
      <c r="Z21881" s="372">
        <v>0.0</v>
      </c>
    </row>
    <row r="21882">
      <c r="Y21882" s="372">
        <v>0.0</v>
      </c>
      <c r="Z21882" s="372">
        <v>0.0</v>
      </c>
    </row>
    <row r="21883">
      <c r="Y21883" s="372">
        <v>0.0</v>
      </c>
      <c r="Z21883" s="372">
        <v>0.0</v>
      </c>
    </row>
    <row r="21884">
      <c r="Y21884" s="372">
        <v>0.0</v>
      </c>
      <c r="Z21884" s="372">
        <v>0.0</v>
      </c>
    </row>
    <row r="21885">
      <c r="Y21885" s="372">
        <v>0.0</v>
      </c>
      <c r="Z21885" s="372">
        <v>0.0</v>
      </c>
    </row>
    <row r="21886">
      <c r="Y21886" s="372">
        <v>0.0</v>
      </c>
      <c r="Z21886" s="372">
        <v>0.0</v>
      </c>
    </row>
    <row r="21887">
      <c r="Y21887" s="372">
        <v>0.0</v>
      </c>
      <c r="Z21887" s="372">
        <v>0.0</v>
      </c>
    </row>
    <row r="21888">
      <c r="Y21888" s="372">
        <v>0.0</v>
      </c>
      <c r="Z21888" s="372">
        <v>0.0</v>
      </c>
    </row>
    <row r="21889">
      <c r="Y21889" s="372">
        <v>0.0</v>
      </c>
      <c r="Z21889" s="372">
        <v>0.0</v>
      </c>
    </row>
    <row r="21890">
      <c r="Y21890" s="372">
        <v>0.0</v>
      </c>
      <c r="Z21890" s="372">
        <v>0.0</v>
      </c>
    </row>
    <row r="21891">
      <c r="Y21891" s="372">
        <v>0.0</v>
      </c>
      <c r="Z21891" s="372">
        <v>0.0</v>
      </c>
    </row>
    <row r="21892">
      <c r="Y21892" s="372">
        <v>0.0</v>
      </c>
      <c r="Z21892" s="372">
        <v>0.0</v>
      </c>
    </row>
    <row r="21893">
      <c r="Y21893" s="372">
        <v>0.0</v>
      </c>
      <c r="Z21893" s="372">
        <v>0.0</v>
      </c>
    </row>
    <row r="21894">
      <c r="Y21894" s="372">
        <v>0.0</v>
      </c>
      <c r="Z21894" s="372">
        <v>0.0</v>
      </c>
    </row>
    <row r="21895">
      <c r="Y21895" s="372">
        <v>0.0</v>
      </c>
      <c r="Z21895" s="372">
        <v>0.0</v>
      </c>
    </row>
    <row r="21896">
      <c r="Y21896" s="372">
        <v>0.0</v>
      </c>
      <c r="Z21896" s="372">
        <v>0.0</v>
      </c>
    </row>
    <row r="21897">
      <c r="Y21897" s="372">
        <v>0.0</v>
      </c>
      <c r="Z21897" s="372">
        <v>0.0</v>
      </c>
    </row>
    <row r="21898">
      <c r="Y21898" s="372">
        <v>0.0</v>
      </c>
      <c r="Z21898" s="372">
        <v>0.0</v>
      </c>
    </row>
    <row r="21899">
      <c r="Y21899" s="372">
        <v>0.0</v>
      </c>
      <c r="Z21899" s="372">
        <v>0.0</v>
      </c>
    </row>
    <row r="21900">
      <c r="Y21900" s="372">
        <v>0.0</v>
      </c>
      <c r="Z21900" s="372">
        <v>0.0</v>
      </c>
    </row>
    <row r="21901">
      <c r="Y21901" s="372">
        <v>0.0</v>
      </c>
      <c r="Z21901" s="372">
        <v>0.0</v>
      </c>
    </row>
    <row r="21902">
      <c r="Y21902" s="372">
        <v>0.0</v>
      </c>
      <c r="Z21902" s="372">
        <v>0.0</v>
      </c>
    </row>
    <row r="21903">
      <c r="Y21903" s="372">
        <v>0.0</v>
      </c>
      <c r="Z21903" s="372">
        <v>0.0</v>
      </c>
    </row>
    <row r="21904">
      <c r="Y21904" s="372">
        <v>0.0</v>
      </c>
      <c r="Z21904" s="372">
        <v>0.0</v>
      </c>
    </row>
    <row r="21905">
      <c r="Y21905" s="372">
        <v>0.0</v>
      </c>
      <c r="Z21905" s="372">
        <v>0.0</v>
      </c>
    </row>
    <row r="21906">
      <c r="Y21906" s="372">
        <v>0.0</v>
      </c>
      <c r="Z21906" s="372">
        <v>0.0</v>
      </c>
    </row>
    <row r="21907">
      <c r="Y21907" s="372">
        <v>0.0</v>
      </c>
      <c r="Z21907" s="372">
        <v>0.0</v>
      </c>
    </row>
    <row r="21908">
      <c r="Y21908" s="372">
        <v>0.0</v>
      </c>
      <c r="Z21908" s="372">
        <v>0.0</v>
      </c>
    </row>
    <row r="21909">
      <c r="Y21909" s="372">
        <v>0.0</v>
      </c>
      <c r="Z21909" s="372">
        <v>0.0</v>
      </c>
    </row>
    <row r="21910">
      <c r="Y21910" s="372">
        <v>0.0</v>
      </c>
      <c r="Z21910" s="372">
        <v>0.0</v>
      </c>
    </row>
    <row r="21911">
      <c r="Y21911" s="372">
        <v>0.0</v>
      </c>
      <c r="Z21911" s="372">
        <v>0.0</v>
      </c>
    </row>
    <row r="21912">
      <c r="Y21912" s="372">
        <v>0.0</v>
      </c>
      <c r="Z21912" s="372">
        <v>0.0</v>
      </c>
    </row>
    <row r="21913">
      <c r="Y21913" s="372">
        <v>0.0</v>
      </c>
      <c r="Z21913" s="372">
        <v>0.0</v>
      </c>
    </row>
    <row r="21914">
      <c r="Y21914" s="372">
        <v>0.0</v>
      </c>
      <c r="Z21914" s="372">
        <v>0.0</v>
      </c>
    </row>
    <row r="21915">
      <c r="Y21915" s="372">
        <v>0.0</v>
      </c>
      <c r="Z21915" s="372">
        <v>0.0</v>
      </c>
    </row>
    <row r="21916">
      <c r="Y21916" s="372">
        <v>0.0</v>
      </c>
      <c r="Z21916" s="372">
        <v>0.0</v>
      </c>
    </row>
    <row r="21917">
      <c r="Y21917" s="372">
        <v>0.0</v>
      </c>
      <c r="Z21917" s="372">
        <v>0.0</v>
      </c>
    </row>
    <row r="21918">
      <c r="Y21918" s="372">
        <v>0.0</v>
      </c>
      <c r="Z21918" s="372">
        <v>0.0</v>
      </c>
    </row>
    <row r="21919">
      <c r="Y21919" s="372">
        <v>0.0</v>
      </c>
      <c r="Z21919" s="372">
        <v>0.0</v>
      </c>
    </row>
    <row r="21920">
      <c r="Y21920" s="372">
        <v>0.0</v>
      </c>
      <c r="Z21920" s="372">
        <v>0.0</v>
      </c>
    </row>
    <row r="21921">
      <c r="Y21921" s="372">
        <v>0.0</v>
      </c>
      <c r="Z21921" s="372">
        <v>0.0</v>
      </c>
    </row>
    <row r="21922">
      <c r="Y21922" s="372">
        <v>0.0</v>
      </c>
      <c r="Z21922" s="372">
        <v>0.0</v>
      </c>
    </row>
    <row r="21923">
      <c r="Y21923" s="372">
        <v>0.0</v>
      </c>
      <c r="Z21923" s="372">
        <v>0.0</v>
      </c>
    </row>
    <row r="21924">
      <c r="Y21924" s="372">
        <v>0.0</v>
      </c>
      <c r="Z21924" s="372">
        <v>0.0</v>
      </c>
    </row>
    <row r="21925">
      <c r="Y21925" s="372">
        <v>0.0</v>
      </c>
      <c r="Z21925" s="372">
        <v>0.0</v>
      </c>
    </row>
    <row r="21926">
      <c r="Y21926" s="372">
        <v>0.0</v>
      </c>
      <c r="Z21926" s="372">
        <v>0.0</v>
      </c>
    </row>
    <row r="21927">
      <c r="Y21927" s="372">
        <v>0.0</v>
      </c>
      <c r="Z21927" s="372">
        <v>0.0</v>
      </c>
    </row>
    <row r="21928">
      <c r="Y21928" s="372">
        <v>0.0</v>
      </c>
      <c r="Z21928" s="372">
        <v>0.0</v>
      </c>
    </row>
    <row r="21929">
      <c r="Y21929" s="372">
        <v>0.0</v>
      </c>
      <c r="Z21929" s="372">
        <v>0.0</v>
      </c>
    </row>
    <row r="21930">
      <c r="Y21930" s="372">
        <v>0.0</v>
      </c>
      <c r="Z21930" s="372">
        <v>0.0</v>
      </c>
    </row>
    <row r="21931">
      <c r="Y21931" s="372">
        <v>0.0</v>
      </c>
      <c r="Z21931" s="372">
        <v>0.0</v>
      </c>
    </row>
    <row r="21932">
      <c r="Y21932" s="372">
        <v>0.0</v>
      </c>
      <c r="Z21932" s="372">
        <v>0.0</v>
      </c>
    </row>
    <row r="21933">
      <c r="Y21933" s="372">
        <v>0.0</v>
      </c>
      <c r="Z21933" s="372">
        <v>0.0</v>
      </c>
    </row>
    <row r="21934">
      <c r="Y21934" s="372">
        <v>0.0</v>
      </c>
      <c r="Z21934" s="372">
        <v>0.0</v>
      </c>
    </row>
    <row r="21935">
      <c r="Y21935" s="372">
        <v>0.0</v>
      </c>
      <c r="Z21935" s="372">
        <v>0.0</v>
      </c>
    </row>
    <row r="21936">
      <c r="Y21936" s="372">
        <v>0.0</v>
      </c>
      <c r="Z21936" s="372">
        <v>0.0</v>
      </c>
    </row>
    <row r="21937">
      <c r="Y21937" s="372">
        <v>0.0</v>
      </c>
      <c r="Z21937" s="372">
        <v>0.0</v>
      </c>
    </row>
    <row r="21938">
      <c r="Y21938" s="372">
        <v>0.0</v>
      </c>
      <c r="Z21938" s="372">
        <v>0.0</v>
      </c>
    </row>
    <row r="21939">
      <c r="Y21939" s="372">
        <v>0.0</v>
      </c>
      <c r="Z21939" s="372">
        <v>0.0</v>
      </c>
    </row>
    <row r="21940">
      <c r="Y21940" s="372">
        <v>0.0</v>
      </c>
      <c r="Z21940" s="372">
        <v>0.0</v>
      </c>
    </row>
    <row r="21941">
      <c r="Y21941" s="372">
        <v>0.0</v>
      </c>
      <c r="Z21941" s="372">
        <v>0.0</v>
      </c>
    </row>
    <row r="21942">
      <c r="Y21942" s="372">
        <v>0.0</v>
      </c>
      <c r="Z21942" s="372">
        <v>0.0</v>
      </c>
    </row>
    <row r="21943">
      <c r="Y21943" s="372">
        <v>0.0</v>
      </c>
      <c r="Z21943" s="372">
        <v>0.0</v>
      </c>
    </row>
    <row r="21944">
      <c r="Y21944" s="372">
        <v>0.0</v>
      </c>
      <c r="Z21944" s="372">
        <v>0.0</v>
      </c>
    </row>
    <row r="21945">
      <c r="Y21945" s="372">
        <v>0.0</v>
      </c>
      <c r="Z21945" s="372">
        <v>0.0</v>
      </c>
    </row>
    <row r="21946">
      <c r="Y21946" s="372">
        <v>0.0</v>
      </c>
      <c r="Z21946" s="372">
        <v>0.0</v>
      </c>
    </row>
    <row r="21947">
      <c r="Y21947" s="372">
        <v>0.0</v>
      </c>
      <c r="Z21947" s="372">
        <v>0.0</v>
      </c>
    </row>
    <row r="21948">
      <c r="Y21948" s="372">
        <v>0.0</v>
      </c>
      <c r="Z21948" s="372">
        <v>0.0</v>
      </c>
    </row>
    <row r="21949">
      <c r="Y21949" s="372">
        <v>0.0</v>
      </c>
      <c r="Z21949" s="372">
        <v>0.0</v>
      </c>
    </row>
    <row r="21950">
      <c r="Y21950" s="372">
        <v>0.0</v>
      </c>
      <c r="Z21950" s="372">
        <v>0.0</v>
      </c>
    </row>
    <row r="21951">
      <c r="Y21951" s="372">
        <v>0.0</v>
      </c>
      <c r="Z21951" s="372">
        <v>0.0</v>
      </c>
    </row>
    <row r="21952">
      <c r="Y21952" s="372">
        <v>0.0</v>
      </c>
      <c r="Z21952" s="372">
        <v>0.0</v>
      </c>
    </row>
    <row r="21953">
      <c r="Y21953" s="372">
        <v>0.0</v>
      </c>
      <c r="Z21953" s="372">
        <v>0.0</v>
      </c>
    </row>
    <row r="21954">
      <c r="Y21954" s="372">
        <v>0.0</v>
      </c>
      <c r="Z21954" s="372">
        <v>0.0</v>
      </c>
    </row>
    <row r="21955">
      <c r="Y21955" s="372">
        <v>0.0</v>
      </c>
      <c r="Z21955" s="372">
        <v>0.0</v>
      </c>
    </row>
    <row r="21956">
      <c r="Y21956" s="372">
        <v>0.0</v>
      </c>
      <c r="Z21956" s="372">
        <v>0.0</v>
      </c>
    </row>
    <row r="21957">
      <c r="Y21957" s="372">
        <v>0.0</v>
      </c>
      <c r="Z21957" s="372">
        <v>0.0</v>
      </c>
    </row>
    <row r="21958">
      <c r="Y21958" s="372">
        <v>0.0</v>
      </c>
      <c r="Z21958" s="372">
        <v>0.0</v>
      </c>
    </row>
    <row r="21959">
      <c r="Y21959" s="372">
        <v>0.0</v>
      </c>
      <c r="Z21959" s="372">
        <v>0.0</v>
      </c>
    </row>
    <row r="21960">
      <c r="Y21960" s="372">
        <v>0.0</v>
      </c>
      <c r="Z21960" s="372">
        <v>0.0</v>
      </c>
    </row>
    <row r="21961">
      <c r="Y21961" s="372">
        <v>0.0</v>
      </c>
      <c r="Z21961" s="372">
        <v>0.0</v>
      </c>
    </row>
    <row r="21962">
      <c r="Y21962" s="372">
        <v>0.0</v>
      </c>
      <c r="Z21962" s="372">
        <v>0.0</v>
      </c>
    </row>
    <row r="21963">
      <c r="Y21963" s="372">
        <v>0.0</v>
      </c>
      <c r="Z21963" s="372">
        <v>0.0</v>
      </c>
    </row>
    <row r="21964">
      <c r="Y21964" s="372">
        <v>0.0</v>
      </c>
      <c r="Z21964" s="372">
        <v>0.0</v>
      </c>
    </row>
    <row r="21965">
      <c r="Y21965" s="372">
        <v>0.0</v>
      </c>
      <c r="Z21965" s="372">
        <v>0.0</v>
      </c>
    </row>
    <row r="21966">
      <c r="Y21966" s="372">
        <v>0.0</v>
      </c>
      <c r="Z21966" s="372">
        <v>0.0</v>
      </c>
    </row>
    <row r="21967">
      <c r="Y21967" s="372">
        <v>0.0</v>
      </c>
      <c r="Z21967" s="372">
        <v>0.0</v>
      </c>
    </row>
    <row r="21968">
      <c r="Y21968" s="372">
        <v>0.0</v>
      </c>
      <c r="Z21968" s="372">
        <v>0.0</v>
      </c>
    </row>
    <row r="21969">
      <c r="Y21969" s="372">
        <v>0.0</v>
      </c>
      <c r="Z21969" s="372">
        <v>0.0</v>
      </c>
    </row>
    <row r="21970">
      <c r="Y21970" s="372">
        <v>0.0</v>
      </c>
      <c r="Z21970" s="372">
        <v>0.0</v>
      </c>
    </row>
    <row r="21971">
      <c r="Y21971" s="372">
        <v>0.0</v>
      </c>
      <c r="Z21971" s="372">
        <v>0.0</v>
      </c>
    </row>
    <row r="21972">
      <c r="Y21972" s="372">
        <v>0.0</v>
      </c>
      <c r="Z21972" s="372">
        <v>0.0</v>
      </c>
    </row>
    <row r="21973">
      <c r="Y21973" s="372">
        <v>0.0</v>
      </c>
      <c r="Z21973" s="372">
        <v>0.0</v>
      </c>
    </row>
    <row r="21974">
      <c r="Y21974" s="372">
        <v>0.0</v>
      </c>
      <c r="Z21974" s="372">
        <v>0.0</v>
      </c>
    </row>
    <row r="21975">
      <c r="Y21975" s="372">
        <v>0.0</v>
      </c>
      <c r="Z21975" s="372">
        <v>0.0</v>
      </c>
    </row>
    <row r="21976">
      <c r="Y21976" s="372">
        <v>0.0</v>
      </c>
      <c r="Z21976" s="372">
        <v>0.0</v>
      </c>
    </row>
    <row r="21977">
      <c r="Y21977" s="372">
        <v>0.0</v>
      </c>
      <c r="Z21977" s="372">
        <v>0.0</v>
      </c>
    </row>
    <row r="21978">
      <c r="Y21978" s="372">
        <v>0.0</v>
      </c>
      <c r="Z21978" s="372">
        <v>0.0</v>
      </c>
    </row>
    <row r="21979">
      <c r="Y21979" s="372">
        <v>0.0</v>
      </c>
      <c r="Z21979" s="372">
        <v>0.0</v>
      </c>
    </row>
    <row r="21980">
      <c r="Y21980" s="372">
        <v>0.0</v>
      </c>
      <c r="Z21980" s="372">
        <v>0.0</v>
      </c>
    </row>
    <row r="21981">
      <c r="Y21981" s="372">
        <v>0.0</v>
      </c>
      <c r="Z21981" s="372">
        <v>0.0</v>
      </c>
    </row>
    <row r="21982">
      <c r="Y21982" s="372">
        <v>0.0</v>
      </c>
      <c r="Z21982" s="372">
        <v>0.0</v>
      </c>
    </row>
    <row r="21983">
      <c r="Y21983" s="372">
        <v>0.0</v>
      </c>
      <c r="Z21983" s="372">
        <v>0.0</v>
      </c>
    </row>
    <row r="21984">
      <c r="Y21984" s="372">
        <v>0.0</v>
      </c>
      <c r="Z21984" s="372">
        <v>0.0</v>
      </c>
    </row>
    <row r="21985">
      <c r="Y21985" s="372">
        <v>0.0</v>
      </c>
      <c r="Z21985" s="372">
        <v>0.0</v>
      </c>
    </row>
    <row r="21986">
      <c r="Y21986" s="372">
        <v>0.0</v>
      </c>
      <c r="Z21986" s="372">
        <v>0.0</v>
      </c>
    </row>
    <row r="21987">
      <c r="Y21987" s="372">
        <v>0.0</v>
      </c>
      <c r="Z21987" s="372">
        <v>0.0</v>
      </c>
    </row>
    <row r="21988">
      <c r="Y21988" s="372">
        <v>0.0</v>
      </c>
      <c r="Z21988" s="372">
        <v>0.0</v>
      </c>
    </row>
    <row r="21989">
      <c r="Y21989" s="372">
        <v>0.0</v>
      </c>
      <c r="Z21989" s="372">
        <v>0.0</v>
      </c>
    </row>
    <row r="21990">
      <c r="Y21990" s="372">
        <v>0.0</v>
      </c>
      <c r="Z21990" s="372">
        <v>0.0</v>
      </c>
    </row>
    <row r="21991">
      <c r="Y21991" s="372">
        <v>0.0</v>
      </c>
      <c r="Z21991" s="372">
        <v>0.0</v>
      </c>
    </row>
    <row r="21992">
      <c r="Y21992" s="372">
        <v>0.0</v>
      </c>
      <c r="Z21992" s="372">
        <v>0.0</v>
      </c>
    </row>
    <row r="21993">
      <c r="Y21993" s="372">
        <v>0.0</v>
      </c>
      <c r="Z21993" s="372">
        <v>0.0</v>
      </c>
    </row>
    <row r="21994">
      <c r="Y21994" s="372">
        <v>0.0</v>
      </c>
      <c r="Z21994" s="372">
        <v>0.0</v>
      </c>
    </row>
    <row r="21995">
      <c r="Y21995" s="372">
        <v>0.0</v>
      </c>
      <c r="Z21995" s="372">
        <v>0.0</v>
      </c>
    </row>
    <row r="21996">
      <c r="Y21996" s="372">
        <v>0.0</v>
      </c>
      <c r="Z21996" s="372">
        <v>0.0</v>
      </c>
    </row>
    <row r="21997">
      <c r="Y21997" s="372">
        <v>0.0</v>
      </c>
      <c r="Z21997" s="372">
        <v>0.0</v>
      </c>
    </row>
    <row r="21998">
      <c r="Y21998" s="372">
        <v>0.0</v>
      </c>
      <c r="Z21998" s="372">
        <v>0.0</v>
      </c>
    </row>
    <row r="21999">
      <c r="Y21999" s="372">
        <v>0.0</v>
      </c>
      <c r="Z21999" s="372">
        <v>0.0</v>
      </c>
    </row>
    <row r="22000">
      <c r="Y22000" s="372">
        <v>0.0</v>
      </c>
      <c r="Z22000" s="372">
        <v>0.0</v>
      </c>
    </row>
    <row r="22001">
      <c r="Y22001" s="372">
        <v>0.0</v>
      </c>
      <c r="Z22001" s="372">
        <v>0.0</v>
      </c>
    </row>
    <row r="22002">
      <c r="Y22002" s="372">
        <v>0.0</v>
      </c>
      <c r="Z22002" s="372">
        <v>0.0</v>
      </c>
    </row>
    <row r="22003">
      <c r="Y22003" s="372">
        <v>0.0</v>
      </c>
      <c r="Z22003" s="372">
        <v>0.0</v>
      </c>
    </row>
    <row r="22004">
      <c r="Y22004" s="372">
        <v>0.0</v>
      </c>
      <c r="Z22004" s="372">
        <v>0.0</v>
      </c>
    </row>
    <row r="22005">
      <c r="Y22005" s="372">
        <v>0.0</v>
      </c>
      <c r="Z22005" s="372">
        <v>0.0</v>
      </c>
    </row>
    <row r="22006">
      <c r="Y22006" s="372">
        <v>0.0</v>
      </c>
      <c r="Z22006" s="372">
        <v>0.0</v>
      </c>
    </row>
    <row r="22007">
      <c r="Y22007" s="372">
        <v>0.0</v>
      </c>
      <c r="Z22007" s="372">
        <v>0.0</v>
      </c>
    </row>
    <row r="22008">
      <c r="Y22008" s="372">
        <v>0.0</v>
      </c>
      <c r="Z22008" s="372">
        <v>0.0</v>
      </c>
    </row>
    <row r="22009">
      <c r="Y22009" s="372">
        <v>0.0</v>
      </c>
      <c r="Z22009" s="372">
        <v>0.0</v>
      </c>
    </row>
    <row r="22010">
      <c r="Y22010" s="372">
        <v>0.0</v>
      </c>
      <c r="Z22010" s="372">
        <v>0.0</v>
      </c>
    </row>
    <row r="22011">
      <c r="Y22011" s="372">
        <v>0.0</v>
      </c>
      <c r="Z22011" s="372">
        <v>0.0</v>
      </c>
    </row>
    <row r="22012">
      <c r="Y22012" s="372">
        <v>0.0</v>
      </c>
      <c r="Z22012" s="372">
        <v>0.0</v>
      </c>
    </row>
    <row r="22013">
      <c r="Y22013" s="372">
        <v>0.0</v>
      </c>
      <c r="Z22013" s="372">
        <v>0.0</v>
      </c>
    </row>
    <row r="22014">
      <c r="Y22014" s="372">
        <v>0.0</v>
      </c>
      <c r="Z22014" s="372">
        <v>0.0</v>
      </c>
    </row>
    <row r="22015">
      <c r="Y22015" s="372">
        <v>0.0</v>
      </c>
      <c r="Z22015" s="372">
        <v>0.0</v>
      </c>
    </row>
    <row r="22016">
      <c r="Y22016" s="372">
        <v>0.0</v>
      </c>
      <c r="Z22016" s="372">
        <v>0.0</v>
      </c>
    </row>
    <row r="22017">
      <c r="Y22017" s="372">
        <v>0.0</v>
      </c>
      <c r="Z22017" s="372">
        <v>0.0</v>
      </c>
    </row>
    <row r="22018">
      <c r="Y22018" s="372">
        <v>0.0</v>
      </c>
      <c r="Z22018" s="372">
        <v>0.0</v>
      </c>
    </row>
    <row r="22019">
      <c r="Y22019" s="372">
        <v>0.0</v>
      </c>
      <c r="Z22019" s="372">
        <v>0.0</v>
      </c>
    </row>
    <row r="22020">
      <c r="Y22020" s="372">
        <v>0.0</v>
      </c>
      <c r="Z22020" s="372">
        <v>0.0</v>
      </c>
    </row>
    <row r="22021">
      <c r="Y22021" s="372">
        <v>0.0</v>
      </c>
      <c r="Z22021" s="372">
        <v>0.0</v>
      </c>
    </row>
    <row r="22022">
      <c r="Y22022" s="372">
        <v>0.0</v>
      </c>
      <c r="Z22022" s="372">
        <v>0.0</v>
      </c>
    </row>
    <row r="22023">
      <c r="Y22023" s="372">
        <v>0.0</v>
      </c>
      <c r="Z22023" s="372">
        <v>0.0</v>
      </c>
    </row>
    <row r="22024">
      <c r="Y22024" s="372">
        <v>0.0</v>
      </c>
      <c r="Z22024" s="372">
        <v>0.0</v>
      </c>
    </row>
    <row r="22025">
      <c r="Y22025" s="372">
        <v>0.0</v>
      </c>
      <c r="Z22025" s="372">
        <v>0.0</v>
      </c>
    </row>
    <row r="22026">
      <c r="Y22026" s="372">
        <v>0.0</v>
      </c>
      <c r="Z22026" s="372">
        <v>0.0</v>
      </c>
    </row>
    <row r="22027">
      <c r="Y22027" s="372">
        <v>0.0</v>
      </c>
      <c r="Z22027" s="372">
        <v>0.0</v>
      </c>
    </row>
    <row r="22028">
      <c r="Y22028" s="372">
        <v>0.0</v>
      </c>
      <c r="Z22028" s="372">
        <v>0.0</v>
      </c>
    </row>
    <row r="22029">
      <c r="Y22029" s="372">
        <v>0.0</v>
      </c>
      <c r="Z22029" s="372">
        <v>0.0</v>
      </c>
    </row>
    <row r="22030">
      <c r="Y22030" s="372">
        <v>0.0</v>
      </c>
      <c r="Z22030" s="372">
        <v>0.0</v>
      </c>
    </row>
    <row r="22031">
      <c r="Y22031" s="372">
        <v>0.0</v>
      </c>
      <c r="Z22031" s="372">
        <v>0.0</v>
      </c>
    </row>
    <row r="22032">
      <c r="Y22032" s="372">
        <v>0.0</v>
      </c>
      <c r="Z22032" s="372">
        <v>0.0</v>
      </c>
    </row>
    <row r="22033">
      <c r="Y22033" s="372">
        <v>0.0</v>
      </c>
      <c r="Z22033" s="372">
        <v>0.0</v>
      </c>
    </row>
    <row r="22034">
      <c r="Y22034" s="372">
        <v>0.0</v>
      </c>
      <c r="Z22034" s="372">
        <v>0.0</v>
      </c>
    </row>
    <row r="22035">
      <c r="Y22035" s="372">
        <v>0.0</v>
      </c>
      <c r="Z22035" s="372">
        <v>0.0</v>
      </c>
    </row>
    <row r="22036">
      <c r="Y22036" s="372">
        <v>0.0</v>
      </c>
      <c r="Z22036" s="372">
        <v>0.0</v>
      </c>
    </row>
    <row r="22037">
      <c r="Y22037" s="372">
        <v>0.0</v>
      </c>
      <c r="Z22037" s="372">
        <v>0.0</v>
      </c>
    </row>
    <row r="22038">
      <c r="Y22038" s="372">
        <v>0.0</v>
      </c>
      <c r="Z22038" s="372">
        <v>0.0</v>
      </c>
    </row>
    <row r="22039">
      <c r="Y22039" s="372">
        <v>0.0</v>
      </c>
      <c r="Z22039" s="372">
        <v>0.0</v>
      </c>
    </row>
    <row r="22040">
      <c r="Y22040" s="372">
        <v>0.0</v>
      </c>
      <c r="Z22040" s="372">
        <v>0.0</v>
      </c>
    </row>
    <row r="22041">
      <c r="Y22041" s="372">
        <v>0.0</v>
      </c>
      <c r="Z22041" s="372">
        <v>0.0</v>
      </c>
    </row>
    <row r="22042">
      <c r="Y22042" s="372">
        <v>0.0</v>
      </c>
      <c r="Z22042" s="372">
        <v>0.0</v>
      </c>
    </row>
    <row r="22043">
      <c r="Y22043" s="372">
        <v>0.0</v>
      </c>
      <c r="Z22043" s="372">
        <v>0.0</v>
      </c>
    </row>
    <row r="22044">
      <c r="Y22044" s="372">
        <v>0.0</v>
      </c>
      <c r="Z22044" s="372">
        <v>0.0</v>
      </c>
    </row>
    <row r="22045">
      <c r="Y22045" s="372">
        <v>0.0</v>
      </c>
      <c r="Z22045" s="372">
        <v>0.0</v>
      </c>
    </row>
    <row r="22046">
      <c r="Y22046" s="372">
        <v>0.0</v>
      </c>
      <c r="Z22046" s="372">
        <v>0.0</v>
      </c>
    </row>
    <row r="22047">
      <c r="Y22047" s="372">
        <v>0.0</v>
      </c>
      <c r="Z22047" s="372">
        <v>0.0</v>
      </c>
    </row>
    <row r="22048">
      <c r="Y22048" s="372">
        <v>0.0</v>
      </c>
      <c r="Z22048" s="372">
        <v>0.0</v>
      </c>
    </row>
    <row r="22049">
      <c r="Y22049" s="372">
        <v>0.0</v>
      </c>
      <c r="Z22049" s="372">
        <v>0.0</v>
      </c>
    </row>
    <row r="22050">
      <c r="Y22050" s="372">
        <v>0.0</v>
      </c>
      <c r="Z22050" s="372">
        <v>0.0</v>
      </c>
    </row>
    <row r="22051">
      <c r="Y22051" s="372">
        <v>0.0</v>
      </c>
      <c r="Z22051" s="372">
        <v>0.0</v>
      </c>
    </row>
    <row r="22052">
      <c r="Y22052" s="372">
        <v>0.0</v>
      </c>
      <c r="Z22052" s="372">
        <v>0.0</v>
      </c>
    </row>
    <row r="22053">
      <c r="Y22053" s="372">
        <v>0.0</v>
      </c>
      <c r="Z22053" s="372">
        <v>0.0</v>
      </c>
    </row>
    <row r="22054">
      <c r="Y22054" s="372">
        <v>0.0</v>
      </c>
      <c r="Z22054" s="372">
        <v>0.0</v>
      </c>
    </row>
    <row r="22055">
      <c r="Y22055" s="372">
        <v>0.0</v>
      </c>
      <c r="Z22055" s="372">
        <v>0.0</v>
      </c>
    </row>
    <row r="22056">
      <c r="Y22056" s="372">
        <v>0.0</v>
      </c>
      <c r="Z22056" s="372">
        <v>0.0</v>
      </c>
    </row>
    <row r="22057">
      <c r="Y22057" s="372">
        <v>0.0</v>
      </c>
      <c r="Z22057" s="372">
        <v>0.0</v>
      </c>
    </row>
    <row r="22058">
      <c r="Y22058" s="372">
        <v>0.0</v>
      </c>
      <c r="Z22058" s="372">
        <v>0.0</v>
      </c>
    </row>
    <row r="22059">
      <c r="Y22059" s="372">
        <v>0.0</v>
      </c>
      <c r="Z22059" s="372">
        <v>0.0</v>
      </c>
    </row>
    <row r="22060">
      <c r="Y22060" s="372">
        <v>0.0</v>
      </c>
      <c r="Z22060" s="372">
        <v>0.0</v>
      </c>
    </row>
    <row r="22061">
      <c r="Y22061" s="372">
        <v>0.0</v>
      </c>
      <c r="Z22061" s="372">
        <v>0.0</v>
      </c>
    </row>
    <row r="22062">
      <c r="Y22062" s="372">
        <v>0.0</v>
      </c>
      <c r="Z22062" s="372">
        <v>0.0</v>
      </c>
    </row>
    <row r="22063">
      <c r="Y22063" s="372">
        <v>0.0</v>
      </c>
      <c r="Z22063" s="372">
        <v>0.0</v>
      </c>
    </row>
    <row r="22064">
      <c r="Y22064" s="372">
        <v>0.0</v>
      </c>
      <c r="Z22064" s="372">
        <v>0.0</v>
      </c>
    </row>
    <row r="22065">
      <c r="Y22065" s="372">
        <v>0.0</v>
      </c>
      <c r="Z22065" s="372">
        <v>0.0</v>
      </c>
    </row>
    <row r="22066">
      <c r="Y22066" s="372">
        <v>0.0</v>
      </c>
      <c r="Z22066" s="372">
        <v>0.0</v>
      </c>
    </row>
    <row r="22067">
      <c r="Y22067" s="372">
        <v>0.0</v>
      </c>
      <c r="Z22067" s="372">
        <v>0.0</v>
      </c>
    </row>
    <row r="22068">
      <c r="Y22068" s="372">
        <v>0.0</v>
      </c>
      <c r="Z22068" s="372">
        <v>0.0</v>
      </c>
    </row>
    <row r="22069">
      <c r="Y22069" s="372">
        <v>0.0</v>
      </c>
      <c r="Z22069" s="372">
        <v>0.0</v>
      </c>
    </row>
    <row r="22070">
      <c r="Y22070" s="372">
        <v>0.0</v>
      </c>
      <c r="Z22070" s="372">
        <v>0.0</v>
      </c>
    </row>
    <row r="22071">
      <c r="Y22071" s="372">
        <v>0.0</v>
      </c>
      <c r="Z22071" s="372">
        <v>0.0</v>
      </c>
    </row>
    <row r="22072">
      <c r="Y22072" s="372">
        <v>0.0</v>
      </c>
      <c r="Z22072" s="372">
        <v>0.0</v>
      </c>
    </row>
    <row r="22073">
      <c r="Y22073" s="372">
        <v>0.0</v>
      </c>
      <c r="Z22073" s="372">
        <v>0.0</v>
      </c>
    </row>
    <row r="22074">
      <c r="Y22074" s="372">
        <v>0.0</v>
      </c>
      <c r="Z22074" s="372">
        <v>0.0</v>
      </c>
    </row>
    <row r="22075">
      <c r="Y22075" s="372">
        <v>0.0</v>
      </c>
      <c r="Z22075" s="372">
        <v>0.0</v>
      </c>
    </row>
    <row r="22076">
      <c r="Y22076" s="372">
        <v>0.0</v>
      </c>
      <c r="Z22076" s="372">
        <v>0.0</v>
      </c>
    </row>
    <row r="22077">
      <c r="Y22077" s="372">
        <v>0.0</v>
      </c>
      <c r="Z22077" s="372">
        <v>0.0</v>
      </c>
    </row>
    <row r="22078">
      <c r="Y22078" s="372">
        <v>0.0</v>
      </c>
      <c r="Z22078" s="372">
        <v>0.0</v>
      </c>
    </row>
    <row r="22079">
      <c r="Y22079" s="372">
        <v>0.0</v>
      </c>
      <c r="Z22079" s="372">
        <v>0.0</v>
      </c>
    </row>
    <row r="22080">
      <c r="Y22080" s="372">
        <v>0.0</v>
      </c>
      <c r="Z22080" s="372">
        <v>0.0</v>
      </c>
    </row>
    <row r="22081">
      <c r="Y22081" s="372">
        <v>0.0</v>
      </c>
      <c r="Z22081" s="372">
        <v>0.0</v>
      </c>
    </row>
    <row r="22082">
      <c r="Y22082" s="372">
        <v>0.0</v>
      </c>
      <c r="Z22082" s="372">
        <v>0.0</v>
      </c>
    </row>
    <row r="22083">
      <c r="Y22083" s="372">
        <v>0.0</v>
      </c>
      <c r="Z22083" s="372">
        <v>0.0</v>
      </c>
    </row>
    <row r="22084">
      <c r="Y22084" s="372">
        <v>0.0</v>
      </c>
      <c r="Z22084" s="372">
        <v>0.0</v>
      </c>
    </row>
    <row r="22085">
      <c r="Y22085" s="372">
        <v>0.0</v>
      </c>
      <c r="Z22085" s="372">
        <v>0.0</v>
      </c>
    </row>
    <row r="22086">
      <c r="Y22086" s="372">
        <v>0.0</v>
      </c>
      <c r="Z22086" s="372">
        <v>0.0</v>
      </c>
    </row>
    <row r="22087">
      <c r="Y22087" s="372">
        <v>0.0</v>
      </c>
      <c r="Z22087" s="372">
        <v>0.0</v>
      </c>
    </row>
    <row r="22088">
      <c r="Y22088" s="372">
        <v>0.0</v>
      </c>
      <c r="Z22088" s="372">
        <v>0.0</v>
      </c>
    </row>
    <row r="22089">
      <c r="Y22089" s="372">
        <v>0.0</v>
      </c>
      <c r="Z22089" s="372">
        <v>0.0</v>
      </c>
    </row>
    <row r="22090">
      <c r="Y22090" s="372">
        <v>0.0</v>
      </c>
      <c r="Z22090" s="372">
        <v>0.0</v>
      </c>
    </row>
    <row r="22091">
      <c r="Y22091" s="372">
        <v>0.0</v>
      </c>
      <c r="Z22091" s="372">
        <v>0.0</v>
      </c>
    </row>
    <row r="22092">
      <c r="Y22092" s="372">
        <v>0.0</v>
      </c>
      <c r="Z22092" s="372">
        <v>0.0</v>
      </c>
    </row>
    <row r="22093">
      <c r="Y22093" s="372">
        <v>0.0</v>
      </c>
      <c r="Z22093" s="372">
        <v>0.0</v>
      </c>
    </row>
    <row r="22094">
      <c r="Y22094" s="372">
        <v>0.0</v>
      </c>
      <c r="Z22094" s="372">
        <v>0.0</v>
      </c>
    </row>
    <row r="22095">
      <c r="Y22095" s="372">
        <v>0.0</v>
      </c>
      <c r="Z22095" s="372">
        <v>0.0</v>
      </c>
    </row>
    <row r="22096">
      <c r="Y22096" s="372">
        <v>0.0</v>
      </c>
      <c r="Z22096" s="372">
        <v>0.0</v>
      </c>
    </row>
    <row r="22097">
      <c r="Y22097" s="372">
        <v>0.0</v>
      </c>
      <c r="Z22097" s="372">
        <v>0.0</v>
      </c>
    </row>
    <row r="22098">
      <c r="Y22098" s="372">
        <v>0.0</v>
      </c>
      <c r="Z22098" s="372">
        <v>0.0</v>
      </c>
    </row>
    <row r="22099">
      <c r="Y22099" s="372">
        <v>0.0</v>
      </c>
      <c r="Z22099" s="372">
        <v>0.0</v>
      </c>
    </row>
    <row r="22100">
      <c r="Y22100" s="372">
        <v>0.0</v>
      </c>
      <c r="Z22100" s="372">
        <v>0.0</v>
      </c>
    </row>
    <row r="22101">
      <c r="Y22101" s="372">
        <v>0.0</v>
      </c>
      <c r="Z22101" s="372">
        <v>0.0</v>
      </c>
    </row>
    <row r="22102">
      <c r="Y22102" s="372">
        <v>0.0</v>
      </c>
      <c r="Z22102" s="372">
        <v>0.0</v>
      </c>
    </row>
    <row r="22103">
      <c r="Y22103" s="372">
        <v>0.0</v>
      </c>
      <c r="Z22103" s="372">
        <v>0.0</v>
      </c>
    </row>
    <row r="22104">
      <c r="Y22104" s="372">
        <v>0.0</v>
      </c>
      <c r="Z22104" s="372">
        <v>0.0</v>
      </c>
    </row>
    <row r="22105">
      <c r="Y22105" s="372">
        <v>0.0</v>
      </c>
      <c r="Z22105" s="372">
        <v>0.0</v>
      </c>
    </row>
    <row r="22106">
      <c r="Y22106" s="372">
        <v>0.0</v>
      </c>
      <c r="Z22106" s="372">
        <v>0.0</v>
      </c>
    </row>
    <row r="22107">
      <c r="Y22107" s="372">
        <v>0.0</v>
      </c>
      <c r="Z22107" s="372">
        <v>0.0</v>
      </c>
    </row>
    <row r="22108">
      <c r="Y22108" s="372">
        <v>0.0</v>
      </c>
      <c r="Z22108" s="372">
        <v>0.0</v>
      </c>
    </row>
    <row r="22109">
      <c r="Y22109" s="372">
        <v>0.0</v>
      </c>
      <c r="Z22109" s="372">
        <v>0.0</v>
      </c>
    </row>
    <row r="22110">
      <c r="Y22110" s="372">
        <v>0.0</v>
      </c>
      <c r="Z22110" s="372">
        <v>0.0</v>
      </c>
    </row>
    <row r="22111">
      <c r="Y22111" s="372">
        <v>0.0</v>
      </c>
      <c r="Z22111" s="372">
        <v>0.0</v>
      </c>
    </row>
    <row r="22112">
      <c r="Y22112" s="372">
        <v>0.0</v>
      </c>
      <c r="Z22112" s="372">
        <v>0.0</v>
      </c>
    </row>
    <row r="22113">
      <c r="Y22113" s="372">
        <v>0.0</v>
      </c>
      <c r="Z22113" s="372">
        <v>0.0</v>
      </c>
    </row>
    <row r="22114">
      <c r="Y22114" s="372">
        <v>0.0</v>
      </c>
      <c r="Z22114" s="372">
        <v>0.0</v>
      </c>
    </row>
    <row r="22115">
      <c r="Y22115" s="372">
        <v>0.0</v>
      </c>
      <c r="Z22115" s="372">
        <v>0.0</v>
      </c>
    </row>
    <row r="22116">
      <c r="Y22116" s="372">
        <v>0.0</v>
      </c>
      <c r="Z22116" s="372">
        <v>0.0</v>
      </c>
    </row>
    <row r="22117">
      <c r="Y22117" s="372">
        <v>0.0</v>
      </c>
      <c r="Z22117" s="372">
        <v>0.0</v>
      </c>
    </row>
    <row r="22118">
      <c r="Y22118" s="372">
        <v>0.0</v>
      </c>
      <c r="Z22118" s="372">
        <v>0.0</v>
      </c>
    </row>
    <row r="22119">
      <c r="Y22119" s="372">
        <v>0.0</v>
      </c>
      <c r="Z22119" s="372">
        <v>0.0</v>
      </c>
    </row>
    <row r="22120">
      <c r="Y22120" s="372">
        <v>0.0</v>
      </c>
      <c r="Z22120" s="372">
        <v>0.0</v>
      </c>
    </row>
    <row r="22121">
      <c r="Y22121" s="372">
        <v>0.0</v>
      </c>
      <c r="Z22121" s="372">
        <v>0.0</v>
      </c>
    </row>
    <row r="22122">
      <c r="Y22122" s="372">
        <v>0.0</v>
      </c>
      <c r="Z22122" s="372">
        <v>0.0</v>
      </c>
    </row>
    <row r="22123">
      <c r="Y22123" s="372">
        <v>0.0</v>
      </c>
      <c r="Z22123" s="372">
        <v>0.0</v>
      </c>
    </row>
    <row r="22124">
      <c r="Y22124" s="372">
        <v>0.0</v>
      </c>
      <c r="Z22124" s="372">
        <v>0.0</v>
      </c>
    </row>
    <row r="22125">
      <c r="Y22125" s="372">
        <v>0.0</v>
      </c>
      <c r="Z22125" s="372">
        <v>0.0</v>
      </c>
    </row>
    <row r="22126">
      <c r="Y22126" s="372">
        <v>0.0</v>
      </c>
      <c r="Z22126" s="372">
        <v>0.0</v>
      </c>
    </row>
    <row r="22127">
      <c r="Y22127" s="372">
        <v>0.0</v>
      </c>
      <c r="Z22127" s="372">
        <v>0.0</v>
      </c>
    </row>
    <row r="22128">
      <c r="Y22128" s="372">
        <v>0.0</v>
      </c>
      <c r="Z22128" s="372">
        <v>0.0</v>
      </c>
    </row>
    <row r="22129">
      <c r="Y22129" s="372">
        <v>0.0</v>
      </c>
      <c r="Z22129" s="372">
        <v>0.0</v>
      </c>
    </row>
    <row r="22130">
      <c r="Y22130" s="372">
        <v>0.0</v>
      </c>
      <c r="Z22130" s="372">
        <v>0.0</v>
      </c>
    </row>
    <row r="22131">
      <c r="Y22131" s="372">
        <v>0.0</v>
      </c>
      <c r="Z22131" s="372">
        <v>0.0</v>
      </c>
    </row>
    <row r="22132">
      <c r="Y22132" s="372">
        <v>0.0</v>
      </c>
      <c r="Z22132" s="372">
        <v>0.0</v>
      </c>
    </row>
    <row r="22133">
      <c r="Y22133" s="372">
        <v>0.0</v>
      </c>
      <c r="Z22133" s="372">
        <v>0.0</v>
      </c>
    </row>
    <row r="22134">
      <c r="Y22134" s="372">
        <v>0.0</v>
      </c>
      <c r="Z22134" s="372">
        <v>0.0</v>
      </c>
    </row>
    <row r="22135">
      <c r="Y22135" s="372">
        <v>0.0</v>
      </c>
      <c r="Z22135" s="372">
        <v>0.0</v>
      </c>
    </row>
    <row r="22136">
      <c r="Y22136" s="372">
        <v>0.0</v>
      </c>
      <c r="Z22136" s="372">
        <v>0.0</v>
      </c>
    </row>
    <row r="22137">
      <c r="Y22137" s="372">
        <v>0.0</v>
      </c>
      <c r="Z22137" s="372">
        <v>0.0</v>
      </c>
    </row>
    <row r="22138">
      <c r="Y22138" s="372">
        <v>0.0</v>
      </c>
      <c r="Z22138" s="372">
        <v>0.0</v>
      </c>
    </row>
    <row r="22139">
      <c r="Y22139" s="372">
        <v>0.0</v>
      </c>
      <c r="Z22139" s="372">
        <v>0.0</v>
      </c>
    </row>
    <row r="22140">
      <c r="Y22140" s="372">
        <v>0.0</v>
      </c>
      <c r="Z22140" s="372">
        <v>0.0</v>
      </c>
    </row>
    <row r="22141">
      <c r="Y22141" s="372">
        <v>0.0</v>
      </c>
      <c r="Z22141" s="372">
        <v>0.0</v>
      </c>
    </row>
    <row r="22142">
      <c r="Y22142" s="372">
        <v>0.0</v>
      </c>
      <c r="Z22142" s="372">
        <v>0.0</v>
      </c>
    </row>
    <row r="22143">
      <c r="Y22143" s="372">
        <v>0.0</v>
      </c>
      <c r="Z22143" s="372">
        <v>0.0</v>
      </c>
    </row>
    <row r="22144">
      <c r="Y22144" s="372">
        <v>0.0</v>
      </c>
      <c r="Z22144" s="372">
        <v>0.0</v>
      </c>
    </row>
    <row r="22145">
      <c r="Y22145" s="372">
        <v>0.0</v>
      </c>
      <c r="Z22145" s="372">
        <v>0.0</v>
      </c>
    </row>
    <row r="22146">
      <c r="Y22146" s="372">
        <v>0.0</v>
      </c>
      <c r="Z22146" s="372">
        <v>0.0</v>
      </c>
    </row>
    <row r="22147">
      <c r="Y22147" s="372">
        <v>0.0</v>
      </c>
      <c r="Z22147" s="372">
        <v>0.0</v>
      </c>
    </row>
    <row r="22148">
      <c r="Y22148" s="372">
        <v>0.0</v>
      </c>
      <c r="Z22148" s="372">
        <v>0.0</v>
      </c>
    </row>
    <row r="22149">
      <c r="Y22149" s="372">
        <v>0.0</v>
      </c>
      <c r="Z22149" s="372">
        <v>0.0</v>
      </c>
    </row>
    <row r="22150">
      <c r="Y22150" s="372">
        <v>0.0</v>
      </c>
      <c r="Z22150" s="372">
        <v>0.0</v>
      </c>
    </row>
    <row r="22151">
      <c r="Y22151" s="372">
        <v>0.0</v>
      </c>
      <c r="Z22151" s="372">
        <v>0.0</v>
      </c>
    </row>
    <row r="22152">
      <c r="Y22152" s="372">
        <v>0.0</v>
      </c>
      <c r="Z22152" s="372">
        <v>0.0</v>
      </c>
    </row>
    <row r="22153">
      <c r="Y22153" s="372">
        <v>0.0</v>
      </c>
      <c r="Z22153" s="372">
        <v>0.0</v>
      </c>
    </row>
    <row r="22154">
      <c r="Y22154" s="372">
        <v>0.0</v>
      </c>
      <c r="Z22154" s="372">
        <v>0.0</v>
      </c>
    </row>
    <row r="22155">
      <c r="Y22155" s="372">
        <v>0.0</v>
      </c>
      <c r="Z22155" s="372">
        <v>0.0</v>
      </c>
    </row>
    <row r="22156">
      <c r="Y22156" s="372">
        <v>0.0</v>
      </c>
      <c r="Z22156" s="372">
        <v>0.0</v>
      </c>
    </row>
    <row r="22157">
      <c r="Y22157" s="372">
        <v>0.0</v>
      </c>
      <c r="Z22157" s="372">
        <v>0.0</v>
      </c>
    </row>
    <row r="22158">
      <c r="Y22158" s="372">
        <v>0.0</v>
      </c>
      <c r="Z22158" s="372">
        <v>0.0</v>
      </c>
    </row>
    <row r="22159">
      <c r="Y22159" s="372">
        <v>0.0</v>
      </c>
      <c r="Z22159" s="372">
        <v>0.0</v>
      </c>
    </row>
    <row r="22160">
      <c r="Y22160" s="372">
        <v>0.0</v>
      </c>
      <c r="Z22160" s="372">
        <v>0.0</v>
      </c>
    </row>
    <row r="22161">
      <c r="Y22161" s="372">
        <v>0.0</v>
      </c>
      <c r="Z22161" s="372">
        <v>0.0</v>
      </c>
    </row>
    <row r="22162">
      <c r="Y22162" s="372">
        <v>0.0</v>
      </c>
      <c r="Z22162" s="372">
        <v>0.0</v>
      </c>
    </row>
    <row r="22163">
      <c r="Y22163" s="372">
        <v>0.0</v>
      </c>
      <c r="Z22163" s="372">
        <v>0.0</v>
      </c>
    </row>
    <row r="22164">
      <c r="Y22164" s="372">
        <v>0.0</v>
      </c>
      <c r="Z22164" s="372">
        <v>0.0</v>
      </c>
    </row>
    <row r="22165">
      <c r="Y22165" s="372">
        <v>0.0</v>
      </c>
      <c r="Z22165" s="372">
        <v>0.0</v>
      </c>
    </row>
    <row r="22166">
      <c r="Y22166" s="372">
        <v>0.0</v>
      </c>
      <c r="Z22166" s="372">
        <v>0.0</v>
      </c>
    </row>
    <row r="22167">
      <c r="Y22167" s="372">
        <v>0.0</v>
      </c>
      <c r="Z22167" s="372">
        <v>0.0</v>
      </c>
    </row>
    <row r="22168">
      <c r="Y22168" s="372">
        <v>0.0</v>
      </c>
      <c r="Z22168" s="372">
        <v>0.0</v>
      </c>
    </row>
    <row r="22169">
      <c r="Y22169" s="372">
        <v>0.0</v>
      </c>
      <c r="Z22169" s="372">
        <v>0.0</v>
      </c>
    </row>
    <row r="22170">
      <c r="Y22170" s="372">
        <v>0.0</v>
      </c>
      <c r="Z22170" s="372">
        <v>0.0</v>
      </c>
    </row>
    <row r="22171">
      <c r="Y22171" s="372">
        <v>0.0</v>
      </c>
      <c r="Z22171" s="372">
        <v>0.0</v>
      </c>
    </row>
    <row r="22172">
      <c r="Y22172" s="372">
        <v>0.0</v>
      </c>
      <c r="Z22172" s="372">
        <v>0.0</v>
      </c>
    </row>
    <row r="22173">
      <c r="Y22173" s="372">
        <v>0.0</v>
      </c>
      <c r="Z22173" s="372">
        <v>0.0</v>
      </c>
    </row>
    <row r="22174">
      <c r="Y22174" s="372">
        <v>0.0</v>
      </c>
      <c r="Z22174" s="372">
        <v>0.0</v>
      </c>
    </row>
    <row r="22175">
      <c r="Y22175" s="372">
        <v>0.0</v>
      </c>
      <c r="Z22175" s="372">
        <v>0.0</v>
      </c>
    </row>
    <row r="22176">
      <c r="Y22176" s="372">
        <v>0.0</v>
      </c>
      <c r="Z22176" s="372">
        <v>0.0</v>
      </c>
    </row>
    <row r="22177">
      <c r="Y22177" s="372">
        <v>0.0</v>
      </c>
      <c r="Z22177" s="372">
        <v>0.0</v>
      </c>
    </row>
    <row r="22178">
      <c r="Y22178" s="372">
        <v>0.0</v>
      </c>
      <c r="Z22178" s="372">
        <v>0.0</v>
      </c>
    </row>
    <row r="22179">
      <c r="Y22179" s="372">
        <v>0.0</v>
      </c>
      <c r="Z22179" s="372">
        <v>0.0</v>
      </c>
    </row>
    <row r="22180">
      <c r="Y22180" s="372">
        <v>0.0</v>
      </c>
      <c r="Z22180" s="372">
        <v>0.0</v>
      </c>
    </row>
    <row r="22181">
      <c r="Y22181" s="372">
        <v>0.0</v>
      </c>
      <c r="Z22181" s="372">
        <v>0.0</v>
      </c>
    </row>
    <row r="22182">
      <c r="Y22182" s="372">
        <v>0.0</v>
      </c>
      <c r="Z22182" s="372">
        <v>0.0</v>
      </c>
    </row>
    <row r="22183">
      <c r="Y22183" s="372">
        <v>0.0</v>
      </c>
      <c r="Z22183" s="372">
        <v>0.0</v>
      </c>
    </row>
    <row r="22184">
      <c r="Y22184" s="372">
        <v>0.0</v>
      </c>
      <c r="Z22184" s="372">
        <v>0.0</v>
      </c>
    </row>
    <row r="22185">
      <c r="Y22185" s="372">
        <v>0.0</v>
      </c>
      <c r="Z22185" s="372">
        <v>0.0</v>
      </c>
    </row>
    <row r="22186">
      <c r="Y22186" s="372">
        <v>0.0</v>
      </c>
      <c r="Z22186" s="372">
        <v>0.0</v>
      </c>
    </row>
    <row r="22187">
      <c r="Y22187" s="372">
        <v>0.0</v>
      </c>
      <c r="Z22187" s="372">
        <v>0.0</v>
      </c>
    </row>
    <row r="22188">
      <c r="Y22188" s="372">
        <v>0.0</v>
      </c>
      <c r="Z22188" s="372">
        <v>0.0</v>
      </c>
    </row>
    <row r="22189">
      <c r="Y22189" s="372">
        <v>0.0</v>
      </c>
      <c r="Z22189" s="372">
        <v>0.0</v>
      </c>
    </row>
    <row r="22190">
      <c r="Y22190" s="372">
        <v>0.0</v>
      </c>
      <c r="Z22190" s="372">
        <v>0.0</v>
      </c>
    </row>
    <row r="22191">
      <c r="Y22191" s="372">
        <v>0.0</v>
      </c>
      <c r="Z22191" s="372">
        <v>0.0</v>
      </c>
    </row>
    <row r="22192">
      <c r="Y22192" s="372">
        <v>0.0</v>
      </c>
      <c r="Z22192" s="372">
        <v>0.0</v>
      </c>
    </row>
    <row r="22193">
      <c r="Y22193" s="372">
        <v>0.0</v>
      </c>
      <c r="Z22193" s="372">
        <v>0.0</v>
      </c>
    </row>
    <row r="22194">
      <c r="Y22194" s="372">
        <v>0.0</v>
      </c>
      <c r="Z22194" s="372">
        <v>0.0</v>
      </c>
    </row>
    <row r="22195">
      <c r="Y22195" s="372">
        <v>0.0</v>
      </c>
      <c r="Z22195" s="372">
        <v>0.0</v>
      </c>
    </row>
    <row r="22196">
      <c r="Y22196" s="372">
        <v>0.0</v>
      </c>
      <c r="Z22196" s="372">
        <v>0.0</v>
      </c>
    </row>
    <row r="22197">
      <c r="Y22197" s="372">
        <v>0.0</v>
      </c>
      <c r="Z22197" s="372">
        <v>0.0</v>
      </c>
    </row>
    <row r="22198">
      <c r="Y22198" s="372">
        <v>0.0</v>
      </c>
      <c r="Z22198" s="372">
        <v>0.0</v>
      </c>
    </row>
    <row r="22199">
      <c r="Y22199" s="372">
        <v>0.0</v>
      </c>
      <c r="Z22199" s="372">
        <v>0.0</v>
      </c>
    </row>
    <row r="22200">
      <c r="Y22200" s="372">
        <v>0.0</v>
      </c>
      <c r="Z22200" s="372">
        <v>0.0</v>
      </c>
    </row>
    <row r="22201">
      <c r="Y22201" s="372">
        <v>0.0</v>
      </c>
      <c r="Z22201" s="372">
        <v>0.0</v>
      </c>
    </row>
    <row r="22202">
      <c r="Y22202" s="372">
        <v>0.0</v>
      </c>
      <c r="Z22202" s="372">
        <v>0.0</v>
      </c>
    </row>
    <row r="22203">
      <c r="Y22203" s="372">
        <v>0.0</v>
      </c>
      <c r="Z22203" s="372">
        <v>0.0</v>
      </c>
    </row>
    <row r="22204">
      <c r="Y22204" s="372">
        <v>0.0</v>
      </c>
      <c r="Z22204" s="372">
        <v>0.0</v>
      </c>
    </row>
    <row r="22205">
      <c r="Y22205" s="372">
        <v>0.0</v>
      </c>
      <c r="Z22205" s="372">
        <v>0.0</v>
      </c>
    </row>
    <row r="22206">
      <c r="Y22206" s="372">
        <v>0.0</v>
      </c>
      <c r="Z22206" s="372">
        <v>0.0</v>
      </c>
    </row>
    <row r="22207">
      <c r="Y22207" s="372">
        <v>0.0</v>
      </c>
      <c r="Z22207" s="372">
        <v>0.0</v>
      </c>
    </row>
    <row r="22208">
      <c r="Y22208" s="372">
        <v>0.0</v>
      </c>
      <c r="Z22208" s="372">
        <v>0.0</v>
      </c>
    </row>
    <row r="22209">
      <c r="Y22209" s="372">
        <v>0.0</v>
      </c>
      <c r="Z22209" s="372">
        <v>0.0</v>
      </c>
    </row>
    <row r="22210">
      <c r="Y22210" s="372">
        <v>0.0</v>
      </c>
      <c r="Z22210" s="372">
        <v>0.0</v>
      </c>
    </row>
    <row r="22211">
      <c r="Y22211" s="372">
        <v>0.0</v>
      </c>
      <c r="Z22211" s="372">
        <v>0.0</v>
      </c>
    </row>
    <row r="22212">
      <c r="Y22212" s="372">
        <v>0.0</v>
      </c>
      <c r="Z22212" s="372">
        <v>0.0</v>
      </c>
    </row>
    <row r="22213">
      <c r="Y22213" s="372">
        <v>0.0</v>
      </c>
      <c r="Z22213" s="372">
        <v>0.0</v>
      </c>
    </row>
    <row r="22214">
      <c r="Y22214" s="372">
        <v>0.0</v>
      </c>
      <c r="Z22214" s="372">
        <v>0.0</v>
      </c>
    </row>
    <row r="22215">
      <c r="Y22215" s="372">
        <v>0.0</v>
      </c>
      <c r="Z22215" s="372">
        <v>0.0</v>
      </c>
    </row>
    <row r="22216">
      <c r="Y22216" s="372">
        <v>0.0</v>
      </c>
      <c r="Z22216" s="372">
        <v>0.0</v>
      </c>
    </row>
    <row r="22217">
      <c r="Y22217" s="372">
        <v>0.0</v>
      </c>
      <c r="Z22217" s="372">
        <v>0.0</v>
      </c>
    </row>
    <row r="22218">
      <c r="Y22218" s="372">
        <v>0.0</v>
      </c>
      <c r="Z22218" s="372">
        <v>0.0</v>
      </c>
    </row>
    <row r="22219">
      <c r="Y22219" s="372">
        <v>0.0</v>
      </c>
      <c r="Z22219" s="372">
        <v>0.0</v>
      </c>
    </row>
    <row r="22220">
      <c r="Y22220" s="372">
        <v>0.0</v>
      </c>
      <c r="Z22220" s="372">
        <v>0.0</v>
      </c>
    </row>
    <row r="22221">
      <c r="Y22221" s="372">
        <v>0.0</v>
      </c>
      <c r="Z22221" s="372">
        <v>0.0</v>
      </c>
    </row>
    <row r="22222">
      <c r="Y22222" s="372">
        <v>0.0</v>
      </c>
      <c r="Z22222" s="372">
        <v>0.0</v>
      </c>
    </row>
    <row r="22223">
      <c r="Y22223" s="372">
        <v>0.0</v>
      </c>
      <c r="Z22223" s="372">
        <v>0.0</v>
      </c>
    </row>
    <row r="22224">
      <c r="Y22224" s="372">
        <v>0.0</v>
      </c>
      <c r="Z22224" s="372">
        <v>0.0</v>
      </c>
    </row>
    <row r="22225">
      <c r="Y22225" s="372">
        <v>0.0</v>
      </c>
      <c r="Z22225" s="372">
        <v>0.0</v>
      </c>
    </row>
    <row r="22226">
      <c r="Y22226" s="372">
        <v>0.0</v>
      </c>
      <c r="Z22226" s="372">
        <v>0.0</v>
      </c>
    </row>
    <row r="22227">
      <c r="Y22227" s="372">
        <v>0.0</v>
      </c>
      <c r="Z22227" s="372">
        <v>0.0</v>
      </c>
    </row>
    <row r="22228">
      <c r="Y22228" s="372">
        <v>0.0</v>
      </c>
      <c r="Z22228" s="372">
        <v>0.0</v>
      </c>
    </row>
    <row r="22229">
      <c r="Y22229" s="372">
        <v>0.0</v>
      </c>
      <c r="Z22229" s="372">
        <v>0.0</v>
      </c>
    </row>
    <row r="22230">
      <c r="Y22230" s="372">
        <v>0.0</v>
      </c>
      <c r="Z22230" s="372">
        <v>0.0</v>
      </c>
    </row>
    <row r="22231">
      <c r="Y22231" s="372">
        <v>0.0</v>
      </c>
      <c r="Z22231" s="372">
        <v>0.0</v>
      </c>
    </row>
    <row r="22232">
      <c r="Y22232" s="372">
        <v>0.0</v>
      </c>
      <c r="Z22232" s="372">
        <v>0.0</v>
      </c>
    </row>
    <row r="22233">
      <c r="Y22233" s="372">
        <v>0.0</v>
      </c>
      <c r="Z22233" s="372">
        <v>0.0</v>
      </c>
    </row>
    <row r="22234">
      <c r="Y22234" s="372">
        <v>0.0</v>
      </c>
      <c r="Z22234" s="372">
        <v>0.0</v>
      </c>
    </row>
    <row r="22235">
      <c r="Y22235" s="372">
        <v>0.0</v>
      </c>
      <c r="Z22235" s="372">
        <v>0.0</v>
      </c>
    </row>
    <row r="22236">
      <c r="Y22236" s="372">
        <v>0.0</v>
      </c>
      <c r="Z22236" s="372">
        <v>0.0</v>
      </c>
    </row>
    <row r="22237">
      <c r="Y22237" s="372">
        <v>0.0</v>
      </c>
      <c r="Z22237" s="372">
        <v>0.0</v>
      </c>
    </row>
    <row r="22238">
      <c r="Y22238" s="372">
        <v>0.0</v>
      </c>
      <c r="Z22238" s="372">
        <v>0.0</v>
      </c>
    </row>
    <row r="22239">
      <c r="Y22239" s="372">
        <v>0.0</v>
      </c>
      <c r="Z22239" s="372">
        <v>0.0</v>
      </c>
    </row>
    <row r="22240">
      <c r="Y22240" s="372">
        <v>0.0</v>
      </c>
      <c r="Z22240" s="372">
        <v>0.0</v>
      </c>
    </row>
    <row r="22241">
      <c r="Y22241" s="372">
        <v>0.0</v>
      </c>
      <c r="Z22241" s="372">
        <v>0.0</v>
      </c>
    </row>
    <row r="22242">
      <c r="Y22242" s="372">
        <v>0.0</v>
      </c>
      <c r="Z22242" s="372">
        <v>0.0</v>
      </c>
    </row>
    <row r="22243">
      <c r="Y22243" s="372">
        <v>0.0</v>
      </c>
      <c r="Z22243" s="372">
        <v>0.0</v>
      </c>
    </row>
    <row r="22244">
      <c r="Y22244" s="372">
        <v>0.0</v>
      </c>
      <c r="Z22244" s="372">
        <v>0.0</v>
      </c>
    </row>
    <row r="22245">
      <c r="Y22245" s="372">
        <v>0.0</v>
      </c>
      <c r="Z22245" s="372">
        <v>0.0</v>
      </c>
    </row>
    <row r="22246">
      <c r="Y22246" s="372">
        <v>0.0</v>
      </c>
      <c r="Z22246" s="372">
        <v>0.0</v>
      </c>
    </row>
    <row r="22247">
      <c r="Y22247" s="372">
        <v>0.0</v>
      </c>
      <c r="Z22247" s="372">
        <v>0.0</v>
      </c>
    </row>
    <row r="22248">
      <c r="Y22248" s="372">
        <v>0.0</v>
      </c>
      <c r="Z22248" s="372">
        <v>0.0</v>
      </c>
    </row>
    <row r="22249">
      <c r="Y22249" s="372">
        <v>0.0</v>
      </c>
      <c r="Z22249" s="372">
        <v>0.0</v>
      </c>
    </row>
    <row r="22250">
      <c r="Y22250" s="372">
        <v>0.0</v>
      </c>
      <c r="Z22250" s="372">
        <v>0.0</v>
      </c>
    </row>
    <row r="22251">
      <c r="Y22251" s="372">
        <v>0.0</v>
      </c>
      <c r="Z22251" s="372">
        <v>0.0</v>
      </c>
    </row>
    <row r="22252">
      <c r="Y22252" s="372">
        <v>0.0</v>
      </c>
      <c r="Z22252" s="372">
        <v>0.0</v>
      </c>
    </row>
    <row r="22253">
      <c r="Y22253" s="372">
        <v>0.0</v>
      </c>
      <c r="Z22253" s="372">
        <v>0.0</v>
      </c>
    </row>
    <row r="22254">
      <c r="Y22254" s="372">
        <v>0.0</v>
      </c>
      <c r="Z22254" s="372">
        <v>0.0</v>
      </c>
    </row>
    <row r="22255">
      <c r="Y22255" s="372">
        <v>0.0</v>
      </c>
      <c r="Z22255" s="372">
        <v>0.0</v>
      </c>
    </row>
    <row r="22256">
      <c r="Y22256" s="372">
        <v>0.0</v>
      </c>
      <c r="Z22256" s="372">
        <v>0.0</v>
      </c>
    </row>
    <row r="22257">
      <c r="Y22257" s="372">
        <v>0.0</v>
      </c>
      <c r="Z22257" s="372">
        <v>0.0</v>
      </c>
    </row>
    <row r="22258">
      <c r="Y22258" s="372">
        <v>0.0</v>
      </c>
      <c r="Z22258" s="372">
        <v>0.0</v>
      </c>
    </row>
    <row r="22259">
      <c r="Y22259" s="372">
        <v>0.0</v>
      </c>
      <c r="Z22259" s="372">
        <v>0.0</v>
      </c>
    </row>
    <row r="22260">
      <c r="Y22260" s="372">
        <v>0.0</v>
      </c>
      <c r="Z22260" s="372">
        <v>0.0</v>
      </c>
    </row>
    <row r="22261">
      <c r="Y22261" s="372">
        <v>0.0</v>
      </c>
      <c r="Z22261" s="372">
        <v>0.0</v>
      </c>
    </row>
    <row r="22262">
      <c r="Y22262" s="372">
        <v>0.0</v>
      </c>
      <c r="Z22262" s="372">
        <v>0.0</v>
      </c>
    </row>
    <row r="22263">
      <c r="Y22263" s="372">
        <v>0.0</v>
      </c>
      <c r="Z22263" s="372">
        <v>0.0</v>
      </c>
    </row>
    <row r="22264">
      <c r="Y22264" s="372">
        <v>0.0</v>
      </c>
      <c r="Z22264" s="372">
        <v>0.0</v>
      </c>
    </row>
    <row r="22265">
      <c r="Y22265" s="372">
        <v>0.0</v>
      </c>
      <c r="Z22265" s="372">
        <v>0.0</v>
      </c>
    </row>
    <row r="22266">
      <c r="Y22266" s="372">
        <v>0.0</v>
      </c>
      <c r="Z22266" s="372">
        <v>0.0</v>
      </c>
    </row>
    <row r="22267">
      <c r="Y22267" s="372">
        <v>0.0</v>
      </c>
      <c r="Z22267" s="372">
        <v>0.0</v>
      </c>
    </row>
    <row r="22268">
      <c r="Y22268" s="372">
        <v>0.0</v>
      </c>
      <c r="Z22268" s="372">
        <v>0.0</v>
      </c>
    </row>
    <row r="22269">
      <c r="Y22269" s="372">
        <v>0.0</v>
      </c>
      <c r="Z22269" s="372">
        <v>0.0</v>
      </c>
    </row>
    <row r="22270">
      <c r="Y22270" s="372">
        <v>0.0</v>
      </c>
      <c r="Z22270" s="372">
        <v>0.0</v>
      </c>
    </row>
    <row r="22271">
      <c r="Y22271" s="372">
        <v>0.0</v>
      </c>
      <c r="Z22271" s="372">
        <v>0.0</v>
      </c>
    </row>
    <row r="22272">
      <c r="Y22272" s="372">
        <v>0.0</v>
      </c>
      <c r="Z22272" s="372">
        <v>0.0</v>
      </c>
    </row>
    <row r="22273">
      <c r="Y22273" s="372">
        <v>0.0</v>
      </c>
      <c r="Z22273" s="372">
        <v>0.0</v>
      </c>
    </row>
    <row r="22274">
      <c r="Y22274" s="372">
        <v>0.0</v>
      </c>
      <c r="Z22274" s="372">
        <v>0.0</v>
      </c>
    </row>
    <row r="22275">
      <c r="Y22275" s="372">
        <v>0.0</v>
      </c>
      <c r="Z22275" s="372">
        <v>0.0</v>
      </c>
    </row>
    <row r="22276">
      <c r="Y22276" s="372">
        <v>0.0</v>
      </c>
      <c r="Z22276" s="372">
        <v>0.0</v>
      </c>
    </row>
    <row r="22277">
      <c r="Y22277" s="372">
        <v>0.0</v>
      </c>
      <c r="Z22277" s="372">
        <v>0.0</v>
      </c>
    </row>
    <row r="22278">
      <c r="Y22278" s="372">
        <v>0.0</v>
      </c>
      <c r="Z22278" s="372">
        <v>0.0</v>
      </c>
    </row>
    <row r="22279">
      <c r="Y22279" s="372">
        <v>0.0</v>
      </c>
      <c r="Z22279" s="372">
        <v>0.0</v>
      </c>
    </row>
    <row r="22280">
      <c r="Y22280" s="372">
        <v>0.0</v>
      </c>
      <c r="Z22280" s="372">
        <v>0.0</v>
      </c>
    </row>
    <row r="22281">
      <c r="Y22281" s="372">
        <v>0.0</v>
      </c>
      <c r="Z22281" s="372">
        <v>0.0</v>
      </c>
    </row>
    <row r="22282">
      <c r="Y22282" s="372">
        <v>0.0</v>
      </c>
      <c r="Z22282" s="372">
        <v>0.0</v>
      </c>
    </row>
    <row r="22283">
      <c r="Y22283" s="372">
        <v>0.0</v>
      </c>
      <c r="Z22283" s="372">
        <v>0.0</v>
      </c>
    </row>
    <row r="22284">
      <c r="Y22284" s="372">
        <v>0.0</v>
      </c>
      <c r="Z22284" s="372">
        <v>0.0</v>
      </c>
    </row>
    <row r="22285">
      <c r="Y22285" s="372">
        <v>0.0</v>
      </c>
      <c r="Z22285" s="372">
        <v>0.0</v>
      </c>
    </row>
    <row r="22286">
      <c r="Y22286" s="372">
        <v>0.0</v>
      </c>
      <c r="Z22286" s="372">
        <v>0.0</v>
      </c>
    </row>
    <row r="22287">
      <c r="Y22287" s="372">
        <v>0.0</v>
      </c>
      <c r="Z22287" s="372">
        <v>0.0</v>
      </c>
    </row>
    <row r="22288">
      <c r="Y22288" s="372">
        <v>0.0</v>
      </c>
      <c r="Z22288" s="372">
        <v>0.0</v>
      </c>
    </row>
    <row r="22289">
      <c r="Y22289" s="372">
        <v>0.0</v>
      </c>
      <c r="Z22289" s="372">
        <v>0.0</v>
      </c>
    </row>
    <row r="22290">
      <c r="Y22290" s="372">
        <v>0.0</v>
      </c>
      <c r="Z22290" s="372">
        <v>0.0</v>
      </c>
    </row>
    <row r="22291">
      <c r="Y22291" s="372">
        <v>0.0</v>
      </c>
      <c r="Z22291" s="372">
        <v>0.0</v>
      </c>
    </row>
    <row r="22292">
      <c r="Y22292" s="372">
        <v>0.0</v>
      </c>
      <c r="Z22292" s="372">
        <v>0.0</v>
      </c>
    </row>
    <row r="22293">
      <c r="Y22293" s="372">
        <v>0.0</v>
      </c>
      <c r="Z22293" s="372">
        <v>0.0</v>
      </c>
    </row>
    <row r="22294">
      <c r="Y22294" s="372">
        <v>0.0</v>
      </c>
      <c r="Z22294" s="372">
        <v>0.0</v>
      </c>
    </row>
    <row r="22295">
      <c r="Y22295" s="372">
        <v>0.0</v>
      </c>
      <c r="Z22295" s="372">
        <v>0.0</v>
      </c>
    </row>
    <row r="22296">
      <c r="Y22296" s="372">
        <v>0.0</v>
      </c>
      <c r="Z22296" s="372">
        <v>0.0</v>
      </c>
    </row>
    <row r="22297">
      <c r="Y22297" s="372">
        <v>0.0</v>
      </c>
      <c r="Z22297" s="372">
        <v>0.0</v>
      </c>
    </row>
    <row r="22298">
      <c r="Y22298" s="372">
        <v>0.0</v>
      </c>
      <c r="Z22298" s="372">
        <v>0.0</v>
      </c>
    </row>
    <row r="22299">
      <c r="Y22299" s="372">
        <v>0.0</v>
      </c>
      <c r="Z22299" s="372">
        <v>0.0</v>
      </c>
    </row>
    <row r="22300">
      <c r="Y22300" s="372">
        <v>0.0</v>
      </c>
      <c r="Z22300" s="372">
        <v>0.0</v>
      </c>
    </row>
    <row r="22301">
      <c r="Y22301" s="372">
        <v>0.0</v>
      </c>
      <c r="Z22301" s="372">
        <v>0.0</v>
      </c>
    </row>
    <row r="22302">
      <c r="Y22302" s="372">
        <v>0.0</v>
      </c>
      <c r="Z22302" s="372">
        <v>0.0</v>
      </c>
    </row>
    <row r="22303">
      <c r="Y22303" s="372">
        <v>0.0</v>
      </c>
      <c r="Z22303" s="372">
        <v>0.0</v>
      </c>
    </row>
    <row r="22304">
      <c r="Y22304" s="372">
        <v>0.0</v>
      </c>
      <c r="Z22304" s="372">
        <v>0.0</v>
      </c>
    </row>
    <row r="22305">
      <c r="Y22305" s="372">
        <v>0.0</v>
      </c>
      <c r="Z22305" s="372">
        <v>0.0</v>
      </c>
    </row>
    <row r="22306">
      <c r="Y22306" s="372">
        <v>0.0</v>
      </c>
      <c r="Z22306" s="372">
        <v>0.0</v>
      </c>
    </row>
    <row r="22307">
      <c r="Y22307" s="372">
        <v>0.0</v>
      </c>
      <c r="Z22307" s="372">
        <v>0.0</v>
      </c>
    </row>
    <row r="22308">
      <c r="Y22308" s="372">
        <v>0.0</v>
      </c>
      <c r="Z22308" s="372">
        <v>0.0</v>
      </c>
    </row>
    <row r="22309">
      <c r="Y22309" s="372">
        <v>0.0</v>
      </c>
      <c r="Z22309" s="372">
        <v>0.0</v>
      </c>
    </row>
    <row r="22310">
      <c r="Y22310" s="372">
        <v>0.0</v>
      </c>
      <c r="Z22310" s="372">
        <v>0.0</v>
      </c>
    </row>
    <row r="22311">
      <c r="Y22311" s="372">
        <v>0.0</v>
      </c>
      <c r="Z22311" s="372">
        <v>0.0</v>
      </c>
    </row>
    <row r="22312">
      <c r="Y22312" s="372">
        <v>0.0</v>
      </c>
      <c r="Z22312" s="372">
        <v>0.0</v>
      </c>
    </row>
    <row r="22313">
      <c r="Y22313" s="372">
        <v>0.0</v>
      </c>
      <c r="Z22313" s="372">
        <v>0.0</v>
      </c>
    </row>
    <row r="22314">
      <c r="Y22314" s="372">
        <v>0.0</v>
      </c>
      <c r="Z22314" s="372">
        <v>0.0</v>
      </c>
    </row>
    <row r="22315">
      <c r="Y22315" s="372">
        <v>0.0</v>
      </c>
      <c r="Z22315" s="372">
        <v>0.0</v>
      </c>
    </row>
    <row r="22316">
      <c r="Y22316" s="372">
        <v>0.0</v>
      </c>
      <c r="Z22316" s="372">
        <v>0.0</v>
      </c>
    </row>
    <row r="22317">
      <c r="Y22317" s="372">
        <v>0.0</v>
      </c>
      <c r="Z22317" s="372">
        <v>0.0</v>
      </c>
    </row>
    <row r="22318">
      <c r="Y22318" s="372">
        <v>0.0</v>
      </c>
      <c r="Z22318" s="372">
        <v>0.0</v>
      </c>
    </row>
    <row r="22319">
      <c r="Y22319" s="372">
        <v>0.0</v>
      </c>
      <c r="Z22319" s="372">
        <v>0.0</v>
      </c>
    </row>
    <row r="22320">
      <c r="Y22320" s="372">
        <v>0.0</v>
      </c>
      <c r="Z22320" s="372">
        <v>0.0</v>
      </c>
    </row>
    <row r="22321">
      <c r="Y22321" s="372">
        <v>0.0</v>
      </c>
      <c r="Z22321" s="372">
        <v>0.0</v>
      </c>
    </row>
    <row r="22322">
      <c r="Y22322" s="372">
        <v>0.0</v>
      </c>
      <c r="Z22322" s="372">
        <v>0.0</v>
      </c>
    </row>
    <row r="22323">
      <c r="Y22323" s="372">
        <v>0.0</v>
      </c>
      <c r="Z22323" s="372">
        <v>0.0</v>
      </c>
    </row>
    <row r="22324">
      <c r="Y22324" s="372">
        <v>0.0</v>
      </c>
      <c r="Z22324" s="372">
        <v>0.0</v>
      </c>
    </row>
    <row r="22325">
      <c r="Y22325" s="372">
        <v>0.0</v>
      </c>
      <c r="Z22325" s="372">
        <v>0.0</v>
      </c>
    </row>
    <row r="22326">
      <c r="Y22326" s="372">
        <v>0.0</v>
      </c>
      <c r="Z22326" s="372">
        <v>0.0</v>
      </c>
    </row>
    <row r="22327">
      <c r="Y22327" s="372">
        <v>0.0</v>
      </c>
      <c r="Z22327" s="372">
        <v>0.0</v>
      </c>
    </row>
    <row r="22328">
      <c r="Y22328" s="372">
        <v>0.0</v>
      </c>
      <c r="Z22328" s="372">
        <v>0.0</v>
      </c>
    </row>
    <row r="22329">
      <c r="Y22329" s="372">
        <v>0.0</v>
      </c>
      <c r="Z22329" s="372">
        <v>0.0</v>
      </c>
    </row>
    <row r="22330">
      <c r="Y22330" s="372">
        <v>0.0</v>
      </c>
      <c r="Z22330" s="372">
        <v>0.0</v>
      </c>
    </row>
    <row r="22331">
      <c r="Y22331" s="372">
        <v>0.0</v>
      </c>
      <c r="Z22331" s="372">
        <v>0.0</v>
      </c>
    </row>
    <row r="22332">
      <c r="Y22332" s="372">
        <v>0.0</v>
      </c>
      <c r="Z22332" s="372">
        <v>0.0</v>
      </c>
    </row>
    <row r="22333">
      <c r="Y22333" s="372">
        <v>0.0</v>
      </c>
      <c r="Z22333" s="372">
        <v>0.0</v>
      </c>
    </row>
    <row r="22334">
      <c r="Y22334" s="372">
        <v>0.0</v>
      </c>
      <c r="Z22334" s="372">
        <v>0.0</v>
      </c>
    </row>
    <row r="22335">
      <c r="Y22335" s="372">
        <v>0.0</v>
      </c>
      <c r="Z22335" s="372">
        <v>0.0</v>
      </c>
    </row>
    <row r="22336">
      <c r="Y22336" s="372">
        <v>0.0</v>
      </c>
      <c r="Z22336" s="372">
        <v>0.0</v>
      </c>
    </row>
    <row r="22337">
      <c r="Y22337" s="372">
        <v>0.0</v>
      </c>
      <c r="Z22337" s="372">
        <v>0.0</v>
      </c>
    </row>
    <row r="22338">
      <c r="Y22338" s="372">
        <v>0.0</v>
      </c>
      <c r="Z22338" s="372">
        <v>0.0</v>
      </c>
    </row>
    <row r="22339">
      <c r="Y22339" s="372">
        <v>0.0</v>
      </c>
      <c r="Z22339" s="372">
        <v>0.0</v>
      </c>
    </row>
    <row r="22340">
      <c r="Y22340" s="372">
        <v>0.0</v>
      </c>
      <c r="Z22340" s="372">
        <v>0.0</v>
      </c>
    </row>
    <row r="22341">
      <c r="Y22341" s="372">
        <v>0.0</v>
      </c>
      <c r="Z22341" s="372">
        <v>0.0</v>
      </c>
    </row>
    <row r="22342">
      <c r="Y22342" s="372">
        <v>0.0</v>
      </c>
      <c r="Z22342" s="372">
        <v>0.0</v>
      </c>
    </row>
    <row r="22343">
      <c r="Y22343" s="372">
        <v>0.0</v>
      </c>
      <c r="Z22343" s="372">
        <v>0.0</v>
      </c>
    </row>
    <row r="22344">
      <c r="Y22344" s="372">
        <v>0.0</v>
      </c>
      <c r="Z22344" s="372">
        <v>0.0</v>
      </c>
    </row>
    <row r="22345">
      <c r="Y22345" s="372">
        <v>0.0</v>
      </c>
      <c r="Z22345" s="372">
        <v>0.0</v>
      </c>
    </row>
    <row r="22346">
      <c r="Y22346" s="372">
        <v>0.0</v>
      </c>
      <c r="Z22346" s="372">
        <v>0.0</v>
      </c>
    </row>
    <row r="22347">
      <c r="Y22347" s="372">
        <v>0.0</v>
      </c>
      <c r="Z22347" s="372">
        <v>0.0</v>
      </c>
    </row>
    <row r="22348">
      <c r="Y22348" s="372">
        <v>0.0</v>
      </c>
      <c r="Z22348" s="372">
        <v>0.0</v>
      </c>
    </row>
    <row r="22349">
      <c r="Y22349" s="372">
        <v>0.0</v>
      </c>
      <c r="Z22349" s="372">
        <v>0.0</v>
      </c>
    </row>
    <row r="22350">
      <c r="Y22350" s="372">
        <v>0.0</v>
      </c>
      <c r="Z22350" s="372">
        <v>0.0</v>
      </c>
    </row>
    <row r="22351">
      <c r="Y22351" s="372">
        <v>0.0</v>
      </c>
      <c r="Z22351" s="372">
        <v>0.0</v>
      </c>
    </row>
    <row r="22352">
      <c r="Y22352" s="372">
        <v>0.0</v>
      </c>
      <c r="Z22352" s="372">
        <v>0.0</v>
      </c>
    </row>
    <row r="22353">
      <c r="Y22353" s="372">
        <v>0.0</v>
      </c>
      <c r="Z22353" s="372">
        <v>0.0</v>
      </c>
    </row>
    <row r="22354">
      <c r="Y22354" s="372">
        <v>0.0</v>
      </c>
      <c r="Z22354" s="372">
        <v>0.0</v>
      </c>
    </row>
    <row r="22355">
      <c r="Y22355" s="372">
        <v>0.0</v>
      </c>
      <c r="Z22355" s="372">
        <v>0.0</v>
      </c>
    </row>
    <row r="22356">
      <c r="Y22356" s="372">
        <v>0.0</v>
      </c>
      <c r="Z22356" s="372">
        <v>0.0</v>
      </c>
    </row>
    <row r="22357">
      <c r="Y22357" s="372">
        <v>0.0</v>
      </c>
      <c r="Z22357" s="372">
        <v>0.0</v>
      </c>
    </row>
    <row r="22358">
      <c r="Y22358" s="372">
        <v>0.0</v>
      </c>
      <c r="Z22358" s="372">
        <v>0.0</v>
      </c>
    </row>
    <row r="22359">
      <c r="Y22359" s="372">
        <v>0.0</v>
      </c>
      <c r="Z22359" s="372">
        <v>0.0</v>
      </c>
    </row>
    <row r="22360">
      <c r="Y22360" s="372">
        <v>0.0</v>
      </c>
      <c r="Z22360" s="372">
        <v>0.0</v>
      </c>
    </row>
    <row r="22361">
      <c r="Y22361" s="372">
        <v>0.0</v>
      </c>
      <c r="Z22361" s="372">
        <v>0.0</v>
      </c>
    </row>
    <row r="22362">
      <c r="Y22362" s="372">
        <v>0.0</v>
      </c>
      <c r="Z22362" s="372">
        <v>0.0</v>
      </c>
    </row>
    <row r="22363">
      <c r="Y22363" s="372">
        <v>0.0</v>
      </c>
      <c r="Z22363" s="372">
        <v>0.0</v>
      </c>
    </row>
    <row r="22364">
      <c r="Y22364" s="372">
        <v>0.0</v>
      </c>
      <c r="Z22364" s="372">
        <v>0.0</v>
      </c>
    </row>
    <row r="22365">
      <c r="Y22365" s="372">
        <v>0.0</v>
      </c>
      <c r="Z22365" s="372">
        <v>0.0</v>
      </c>
    </row>
    <row r="22366">
      <c r="Y22366" s="372">
        <v>0.0</v>
      </c>
      <c r="Z22366" s="372">
        <v>0.0</v>
      </c>
    </row>
    <row r="22367">
      <c r="Y22367" s="372">
        <v>0.0</v>
      </c>
      <c r="Z22367" s="372">
        <v>0.0</v>
      </c>
    </row>
    <row r="22368">
      <c r="Y22368" s="372">
        <v>0.0</v>
      </c>
      <c r="Z22368" s="372">
        <v>0.0</v>
      </c>
    </row>
    <row r="22369">
      <c r="Y22369" s="372">
        <v>0.0</v>
      </c>
      <c r="Z22369" s="372">
        <v>0.0</v>
      </c>
    </row>
    <row r="22370">
      <c r="Y22370" s="372">
        <v>0.0</v>
      </c>
      <c r="Z22370" s="372">
        <v>0.0</v>
      </c>
    </row>
    <row r="22371">
      <c r="Y22371" s="372">
        <v>0.0</v>
      </c>
      <c r="Z22371" s="372">
        <v>0.0</v>
      </c>
    </row>
    <row r="22372">
      <c r="Y22372" s="372">
        <v>0.0</v>
      </c>
      <c r="Z22372" s="372">
        <v>0.0</v>
      </c>
    </row>
    <row r="22373">
      <c r="Y22373" s="372">
        <v>0.0</v>
      </c>
      <c r="Z22373" s="372">
        <v>0.0</v>
      </c>
    </row>
    <row r="22374">
      <c r="Y22374" s="372">
        <v>0.0</v>
      </c>
      <c r="Z22374" s="372">
        <v>0.0</v>
      </c>
    </row>
    <row r="22375">
      <c r="Y22375" s="372">
        <v>0.0</v>
      </c>
      <c r="Z22375" s="372">
        <v>0.0</v>
      </c>
    </row>
    <row r="22376">
      <c r="Y22376" s="372">
        <v>0.0</v>
      </c>
      <c r="Z22376" s="372">
        <v>0.0</v>
      </c>
    </row>
    <row r="22377">
      <c r="Y22377" s="372">
        <v>0.0</v>
      </c>
      <c r="Z22377" s="372">
        <v>0.0</v>
      </c>
    </row>
    <row r="22378">
      <c r="Y22378" s="372">
        <v>0.0</v>
      </c>
      <c r="Z22378" s="372">
        <v>0.0</v>
      </c>
    </row>
    <row r="22379">
      <c r="Y22379" s="372">
        <v>0.0</v>
      </c>
      <c r="Z22379" s="372">
        <v>0.0</v>
      </c>
    </row>
    <row r="22380">
      <c r="Y22380" s="372">
        <v>0.0</v>
      </c>
      <c r="Z22380" s="372">
        <v>0.0</v>
      </c>
    </row>
    <row r="22381">
      <c r="Y22381" s="372">
        <v>0.0</v>
      </c>
      <c r="Z22381" s="372">
        <v>0.0</v>
      </c>
    </row>
    <row r="22382">
      <c r="Y22382" s="372">
        <v>0.0</v>
      </c>
      <c r="Z22382" s="372">
        <v>0.0</v>
      </c>
    </row>
    <row r="22383">
      <c r="Y22383" s="372">
        <v>0.0</v>
      </c>
      <c r="Z22383" s="372">
        <v>0.0</v>
      </c>
    </row>
    <row r="22384">
      <c r="Y22384" s="372">
        <v>0.0</v>
      </c>
      <c r="Z22384" s="372">
        <v>0.0</v>
      </c>
    </row>
    <row r="22385">
      <c r="Y22385" s="372">
        <v>0.0</v>
      </c>
      <c r="Z22385" s="372">
        <v>0.0</v>
      </c>
    </row>
    <row r="22386">
      <c r="Y22386" s="372">
        <v>0.0</v>
      </c>
      <c r="Z22386" s="372">
        <v>0.0</v>
      </c>
    </row>
    <row r="22387">
      <c r="Y22387" s="372">
        <v>0.0</v>
      </c>
      <c r="Z22387" s="372">
        <v>0.0</v>
      </c>
    </row>
    <row r="22388">
      <c r="Y22388" s="372">
        <v>0.0</v>
      </c>
      <c r="Z22388" s="372">
        <v>0.0</v>
      </c>
    </row>
    <row r="22389">
      <c r="Y22389" s="372">
        <v>0.0</v>
      </c>
      <c r="Z22389" s="372">
        <v>0.0</v>
      </c>
    </row>
    <row r="22390">
      <c r="Y22390" s="372">
        <v>0.0</v>
      </c>
      <c r="Z22390" s="372">
        <v>0.0</v>
      </c>
    </row>
    <row r="22391">
      <c r="Y22391" s="372">
        <v>0.0</v>
      </c>
      <c r="Z22391" s="372">
        <v>0.0</v>
      </c>
    </row>
    <row r="22392">
      <c r="Y22392" s="372">
        <v>0.0</v>
      </c>
      <c r="Z22392" s="372">
        <v>0.0</v>
      </c>
    </row>
    <row r="22393">
      <c r="Y22393" s="372">
        <v>0.0</v>
      </c>
      <c r="Z22393" s="372">
        <v>0.0</v>
      </c>
    </row>
    <row r="22394">
      <c r="Y22394" s="372">
        <v>0.0</v>
      </c>
      <c r="Z22394" s="372">
        <v>0.0</v>
      </c>
    </row>
    <row r="22395">
      <c r="Y22395" s="372">
        <v>0.0</v>
      </c>
      <c r="Z22395" s="372">
        <v>0.0</v>
      </c>
    </row>
    <row r="22396">
      <c r="Y22396" s="372">
        <v>0.0</v>
      </c>
      <c r="Z22396" s="372">
        <v>0.0</v>
      </c>
    </row>
    <row r="22397">
      <c r="Y22397" s="372">
        <v>0.0</v>
      </c>
      <c r="Z22397" s="372">
        <v>0.0</v>
      </c>
    </row>
    <row r="22398">
      <c r="Y22398" s="372">
        <v>0.0</v>
      </c>
      <c r="Z22398" s="372">
        <v>0.0</v>
      </c>
    </row>
    <row r="22399">
      <c r="Y22399" s="372">
        <v>0.0</v>
      </c>
      <c r="Z22399" s="372">
        <v>0.0</v>
      </c>
    </row>
    <row r="22400">
      <c r="Y22400" s="372">
        <v>0.0</v>
      </c>
      <c r="Z22400" s="372">
        <v>0.0</v>
      </c>
    </row>
    <row r="22401">
      <c r="Y22401" s="372">
        <v>0.0</v>
      </c>
      <c r="Z22401" s="372">
        <v>0.0</v>
      </c>
    </row>
    <row r="22402">
      <c r="Y22402" s="372">
        <v>0.0</v>
      </c>
      <c r="Z22402" s="372">
        <v>0.0</v>
      </c>
    </row>
    <row r="22403">
      <c r="Y22403" s="372">
        <v>0.0</v>
      </c>
      <c r="Z22403" s="372">
        <v>0.0</v>
      </c>
    </row>
    <row r="22404">
      <c r="Y22404" s="372">
        <v>0.0</v>
      </c>
      <c r="Z22404" s="372">
        <v>0.0</v>
      </c>
    </row>
    <row r="22405">
      <c r="Y22405" s="372">
        <v>0.0</v>
      </c>
      <c r="Z22405" s="372">
        <v>0.0</v>
      </c>
    </row>
    <row r="22406">
      <c r="Y22406" s="372">
        <v>0.0</v>
      </c>
      <c r="Z22406" s="372">
        <v>0.0</v>
      </c>
    </row>
    <row r="22407">
      <c r="Y22407" s="372">
        <v>0.0</v>
      </c>
      <c r="Z22407" s="372">
        <v>0.0</v>
      </c>
    </row>
    <row r="22408">
      <c r="Y22408" s="372">
        <v>0.0</v>
      </c>
      <c r="Z22408" s="372">
        <v>0.0</v>
      </c>
    </row>
    <row r="22409">
      <c r="Y22409" s="372">
        <v>0.0</v>
      </c>
      <c r="Z22409" s="372">
        <v>0.0</v>
      </c>
    </row>
    <row r="22410">
      <c r="Y22410" s="372">
        <v>0.0</v>
      </c>
      <c r="Z22410" s="372">
        <v>0.0</v>
      </c>
    </row>
    <row r="22411">
      <c r="Y22411" s="372">
        <v>0.0</v>
      </c>
      <c r="Z22411" s="372">
        <v>0.0</v>
      </c>
    </row>
    <row r="22412">
      <c r="Y22412" s="372">
        <v>0.0</v>
      </c>
      <c r="Z22412" s="372">
        <v>0.0</v>
      </c>
    </row>
    <row r="22413">
      <c r="Y22413" s="372">
        <v>0.0</v>
      </c>
      <c r="Z22413" s="372">
        <v>0.0</v>
      </c>
    </row>
    <row r="22414">
      <c r="Y22414" s="372">
        <v>0.0</v>
      </c>
      <c r="Z22414" s="372">
        <v>0.0</v>
      </c>
    </row>
    <row r="22415">
      <c r="Y22415" s="372">
        <v>0.0</v>
      </c>
      <c r="Z22415" s="372">
        <v>0.0</v>
      </c>
    </row>
    <row r="22416">
      <c r="Y22416" s="372">
        <v>0.0</v>
      </c>
      <c r="Z22416" s="372">
        <v>0.0</v>
      </c>
    </row>
    <row r="22417">
      <c r="Y22417" s="372">
        <v>0.0</v>
      </c>
      <c r="Z22417" s="372">
        <v>0.0</v>
      </c>
    </row>
    <row r="22418">
      <c r="Y22418" s="372">
        <v>0.0</v>
      </c>
      <c r="Z22418" s="372">
        <v>0.0</v>
      </c>
    </row>
    <row r="22419">
      <c r="Y22419" s="372">
        <v>0.0</v>
      </c>
      <c r="Z22419" s="372">
        <v>0.0</v>
      </c>
    </row>
    <row r="22420">
      <c r="Y22420" s="372">
        <v>0.0</v>
      </c>
      <c r="Z22420" s="372">
        <v>0.0</v>
      </c>
    </row>
    <row r="22421">
      <c r="Y22421" s="372">
        <v>0.0</v>
      </c>
      <c r="Z22421" s="372">
        <v>0.0</v>
      </c>
    </row>
    <row r="22422">
      <c r="Y22422" s="372">
        <v>0.0</v>
      </c>
      <c r="Z22422" s="372">
        <v>0.0</v>
      </c>
    </row>
    <row r="22423">
      <c r="Y22423" s="372">
        <v>0.0</v>
      </c>
      <c r="Z22423" s="372">
        <v>0.0</v>
      </c>
    </row>
    <row r="22424">
      <c r="Y22424" s="372">
        <v>0.0</v>
      </c>
      <c r="Z22424" s="372">
        <v>0.0</v>
      </c>
    </row>
    <row r="22425">
      <c r="Y22425" s="372">
        <v>0.0</v>
      </c>
      <c r="Z22425" s="372">
        <v>0.0</v>
      </c>
    </row>
    <row r="22426">
      <c r="Y22426" s="372">
        <v>0.0</v>
      </c>
      <c r="Z22426" s="372">
        <v>0.0</v>
      </c>
    </row>
    <row r="22427">
      <c r="Y22427" s="372">
        <v>0.0</v>
      </c>
      <c r="Z22427" s="372">
        <v>0.0</v>
      </c>
    </row>
    <row r="22428">
      <c r="Y22428" s="372">
        <v>0.0</v>
      </c>
      <c r="Z22428" s="372">
        <v>0.0</v>
      </c>
    </row>
    <row r="22429">
      <c r="Y22429" s="372">
        <v>0.0</v>
      </c>
      <c r="Z22429" s="372">
        <v>0.0</v>
      </c>
    </row>
    <row r="22430">
      <c r="Y22430" s="372">
        <v>0.0</v>
      </c>
      <c r="Z22430" s="372">
        <v>0.0</v>
      </c>
    </row>
    <row r="22431">
      <c r="Y22431" s="372">
        <v>0.0</v>
      </c>
      <c r="Z22431" s="372">
        <v>0.0</v>
      </c>
    </row>
    <row r="22432">
      <c r="Y22432" s="372">
        <v>0.0</v>
      </c>
      <c r="Z22432" s="372">
        <v>0.0</v>
      </c>
    </row>
    <row r="22433">
      <c r="Y22433" s="372">
        <v>0.0</v>
      </c>
      <c r="Z22433" s="372">
        <v>0.0</v>
      </c>
    </row>
    <row r="22434">
      <c r="Y22434" s="372">
        <v>0.0</v>
      </c>
      <c r="Z22434" s="372">
        <v>0.0</v>
      </c>
    </row>
    <row r="22435">
      <c r="Y22435" s="372">
        <v>0.0</v>
      </c>
      <c r="Z22435" s="372">
        <v>0.0</v>
      </c>
    </row>
    <row r="22436">
      <c r="Y22436" s="372">
        <v>0.0</v>
      </c>
      <c r="Z22436" s="372">
        <v>0.0</v>
      </c>
    </row>
    <row r="22437">
      <c r="Y22437" s="372">
        <v>0.0</v>
      </c>
      <c r="Z22437" s="372">
        <v>0.0</v>
      </c>
    </row>
    <row r="22438">
      <c r="Y22438" s="372">
        <v>0.0</v>
      </c>
      <c r="Z22438" s="372">
        <v>0.0</v>
      </c>
    </row>
    <row r="22439">
      <c r="Y22439" s="372">
        <v>0.0</v>
      </c>
      <c r="Z22439" s="372">
        <v>0.0</v>
      </c>
    </row>
    <row r="22440">
      <c r="Y22440" s="372">
        <v>0.0</v>
      </c>
      <c r="Z22440" s="372">
        <v>0.0</v>
      </c>
    </row>
    <row r="22441">
      <c r="Y22441" s="372">
        <v>0.0</v>
      </c>
      <c r="Z22441" s="372">
        <v>0.0</v>
      </c>
    </row>
    <row r="22442">
      <c r="Y22442" s="372">
        <v>0.0</v>
      </c>
      <c r="Z22442" s="372">
        <v>0.0</v>
      </c>
    </row>
    <row r="22443">
      <c r="Y22443" s="372">
        <v>0.0</v>
      </c>
      <c r="Z22443" s="372">
        <v>0.0</v>
      </c>
    </row>
    <row r="22444">
      <c r="Y22444" s="372">
        <v>0.0</v>
      </c>
      <c r="Z22444" s="372">
        <v>0.0</v>
      </c>
    </row>
    <row r="22445">
      <c r="Y22445" s="372">
        <v>0.0</v>
      </c>
      <c r="Z22445" s="372">
        <v>0.0</v>
      </c>
    </row>
    <row r="22446">
      <c r="Y22446" s="372">
        <v>0.0</v>
      </c>
      <c r="Z22446" s="372">
        <v>0.0</v>
      </c>
    </row>
    <row r="22447">
      <c r="Y22447" s="372">
        <v>0.0</v>
      </c>
      <c r="Z22447" s="372">
        <v>0.0</v>
      </c>
    </row>
    <row r="22448">
      <c r="Y22448" s="372">
        <v>0.0</v>
      </c>
      <c r="Z22448" s="372">
        <v>0.0</v>
      </c>
    </row>
    <row r="22449">
      <c r="Y22449" s="372">
        <v>0.0</v>
      </c>
      <c r="Z22449" s="372">
        <v>0.0</v>
      </c>
    </row>
    <row r="22450">
      <c r="Y22450" s="372">
        <v>0.0</v>
      </c>
      <c r="Z22450" s="372">
        <v>0.0</v>
      </c>
    </row>
    <row r="22451">
      <c r="Y22451" s="372">
        <v>0.0</v>
      </c>
      <c r="Z22451" s="372">
        <v>0.0</v>
      </c>
    </row>
    <row r="22452">
      <c r="Y22452" s="372">
        <v>0.0</v>
      </c>
      <c r="Z22452" s="372">
        <v>0.0</v>
      </c>
    </row>
    <row r="22453">
      <c r="Y22453" s="372">
        <v>0.0</v>
      </c>
      <c r="Z22453" s="372">
        <v>0.0</v>
      </c>
    </row>
    <row r="22454">
      <c r="Y22454" s="372">
        <v>0.0</v>
      </c>
      <c r="Z22454" s="372">
        <v>0.0</v>
      </c>
    </row>
    <row r="22455">
      <c r="Y22455" s="372">
        <v>0.0</v>
      </c>
      <c r="Z22455" s="372">
        <v>0.0</v>
      </c>
    </row>
    <row r="22456">
      <c r="Y22456" s="372">
        <v>0.0</v>
      </c>
      <c r="Z22456" s="372">
        <v>0.0</v>
      </c>
    </row>
    <row r="22457">
      <c r="Y22457" s="372">
        <v>0.0</v>
      </c>
      <c r="Z22457" s="372">
        <v>0.0</v>
      </c>
    </row>
    <row r="22458">
      <c r="Y22458" s="372">
        <v>0.0</v>
      </c>
      <c r="Z22458" s="372">
        <v>0.0</v>
      </c>
    </row>
    <row r="22459">
      <c r="Y22459" s="372">
        <v>0.0</v>
      </c>
      <c r="Z22459" s="372">
        <v>0.0</v>
      </c>
    </row>
    <row r="22460">
      <c r="Y22460" s="372">
        <v>0.0</v>
      </c>
      <c r="Z22460" s="372">
        <v>0.0</v>
      </c>
    </row>
    <row r="22461">
      <c r="Y22461" s="372">
        <v>0.0</v>
      </c>
      <c r="Z22461" s="372">
        <v>0.0</v>
      </c>
    </row>
    <row r="22462">
      <c r="Y22462" s="372">
        <v>0.0</v>
      </c>
      <c r="Z22462" s="372">
        <v>0.0</v>
      </c>
    </row>
    <row r="22463">
      <c r="Y22463" s="372">
        <v>0.0</v>
      </c>
      <c r="Z22463" s="372">
        <v>0.0</v>
      </c>
    </row>
    <row r="22464">
      <c r="Y22464" s="372">
        <v>0.0</v>
      </c>
      <c r="Z22464" s="372">
        <v>0.0</v>
      </c>
    </row>
    <row r="22465">
      <c r="Y22465" s="372">
        <v>0.0</v>
      </c>
      <c r="Z22465" s="372">
        <v>0.0</v>
      </c>
    </row>
    <row r="22466">
      <c r="Y22466" s="372">
        <v>0.0</v>
      </c>
      <c r="Z22466" s="372">
        <v>0.0</v>
      </c>
    </row>
    <row r="22467">
      <c r="Y22467" s="372">
        <v>0.0</v>
      </c>
      <c r="Z22467" s="372">
        <v>0.0</v>
      </c>
    </row>
    <row r="22468">
      <c r="Y22468" s="372">
        <v>0.0</v>
      </c>
      <c r="Z22468" s="372">
        <v>0.0</v>
      </c>
    </row>
    <row r="22469">
      <c r="Y22469" s="372">
        <v>0.0</v>
      </c>
      <c r="Z22469" s="372">
        <v>0.0</v>
      </c>
    </row>
    <row r="22470">
      <c r="Y22470" s="372">
        <v>0.0</v>
      </c>
      <c r="Z22470" s="372">
        <v>0.0</v>
      </c>
    </row>
    <row r="22471">
      <c r="Y22471" s="372">
        <v>0.0</v>
      </c>
      <c r="Z22471" s="372">
        <v>0.0</v>
      </c>
    </row>
    <row r="22472">
      <c r="Y22472" s="372">
        <v>0.0</v>
      </c>
      <c r="Z22472" s="372">
        <v>0.0</v>
      </c>
    </row>
    <row r="22473">
      <c r="Y22473" s="372">
        <v>0.0</v>
      </c>
      <c r="Z22473" s="372">
        <v>0.0</v>
      </c>
    </row>
    <row r="22474">
      <c r="Y22474" s="372">
        <v>0.0</v>
      </c>
      <c r="Z22474" s="372">
        <v>0.0</v>
      </c>
    </row>
    <row r="22475">
      <c r="Y22475" s="372">
        <v>0.0</v>
      </c>
      <c r="Z22475" s="372">
        <v>0.0</v>
      </c>
    </row>
    <row r="22476">
      <c r="Y22476" s="372">
        <v>0.0</v>
      </c>
      <c r="Z22476" s="372">
        <v>0.0</v>
      </c>
    </row>
    <row r="22477">
      <c r="Y22477" s="372">
        <v>0.0</v>
      </c>
      <c r="Z22477" s="372">
        <v>0.0</v>
      </c>
    </row>
    <row r="22478">
      <c r="Y22478" s="372">
        <v>0.0</v>
      </c>
      <c r="Z22478" s="372">
        <v>0.0</v>
      </c>
    </row>
    <row r="22479">
      <c r="Y22479" s="372">
        <v>0.0</v>
      </c>
      <c r="Z22479" s="372">
        <v>0.0</v>
      </c>
    </row>
    <row r="22480">
      <c r="Y22480" s="372">
        <v>0.0</v>
      </c>
      <c r="Z22480" s="372">
        <v>0.0</v>
      </c>
    </row>
    <row r="22481">
      <c r="Y22481" s="372">
        <v>0.0</v>
      </c>
      <c r="Z22481" s="372">
        <v>0.0</v>
      </c>
    </row>
    <row r="22482">
      <c r="Y22482" s="372">
        <v>0.0</v>
      </c>
      <c r="Z22482" s="372">
        <v>0.0</v>
      </c>
    </row>
    <row r="22483">
      <c r="Y22483" s="372">
        <v>0.0</v>
      </c>
      <c r="Z22483" s="372">
        <v>0.0</v>
      </c>
    </row>
    <row r="22484">
      <c r="Y22484" s="372">
        <v>0.0</v>
      </c>
      <c r="Z22484" s="372">
        <v>0.0</v>
      </c>
    </row>
    <row r="22485">
      <c r="Y22485" s="372">
        <v>0.0</v>
      </c>
      <c r="Z22485" s="372">
        <v>0.0</v>
      </c>
    </row>
    <row r="22486">
      <c r="Y22486" s="372">
        <v>0.0</v>
      </c>
      <c r="Z22486" s="372">
        <v>0.0</v>
      </c>
    </row>
    <row r="22487">
      <c r="Y22487" s="372">
        <v>0.0</v>
      </c>
      <c r="Z22487" s="372">
        <v>0.0</v>
      </c>
    </row>
    <row r="22488">
      <c r="Y22488" s="372">
        <v>0.0</v>
      </c>
      <c r="Z22488" s="372">
        <v>0.0</v>
      </c>
    </row>
    <row r="22489">
      <c r="Y22489" s="372">
        <v>0.0</v>
      </c>
      <c r="Z22489" s="372">
        <v>0.0</v>
      </c>
    </row>
    <row r="22490">
      <c r="Y22490" s="372">
        <v>0.0</v>
      </c>
      <c r="Z22490" s="372">
        <v>0.0</v>
      </c>
    </row>
    <row r="22491">
      <c r="Y22491" s="372">
        <v>0.0</v>
      </c>
      <c r="Z22491" s="372">
        <v>0.0</v>
      </c>
    </row>
    <row r="22492">
      <c r="Y22492" s="372">
        <v>0.0</v>
      </c>
      <c r="Z22492" s="372">
        <v>0.0</v>
      </c>
    </row>
    <row r="22493">
      <c r="Y22493" s="372">
        <v>0.0</v>
      </c>
      <c r="Z22493" s="372">
        <v>0.0</v>
      </c>
    </row>
    <row r="22494">
      <c r="Y22494" s="372">
        <v>0.0</v>
      </c>
      <c r="Z22494" s="372">
        <v>0.0</v>
      </c>
    </row>
    <row r="22495">
      <c r="Y22495" s="372">
        <v>0.0</v>
      </c>
      <c r="Z22495" s="372">
        <v>0.0</v>
      </c>
    </row>
    <row r="22496">
      <c r="Y22496" s="372">
        <v>0.0</v>
      </c>
      <c r="Z22496" s="372">
        <v>0.0</v>
      </c>
    </row>
    <row r="22497">
      <c r="Y22497" s="372">
        <v>0.0</v>
      </c>
      <c r="Z22497" s="372">
        <v>0.0</v>
      </c>
    </row>
    <row r="22498">
      <c r="Y22498" s="372">
        <v>0.0</v>
      </c>
      <c r="Z22498" s="372">
        <v>0.0</v>
      </c>
    </row>
    <row r="22499">
      <c r="Y22499" s="372">
        <v>0.0</v>
      </c>
      <c r="Z22499" s="372">
        <v>0.0</v>
      </c>
    </row>
    <row r="22500">
      <c r="Y22500" s="372">
        <v>0.0</v>
      </c>
      <c r="Z22500" s="372">
        <v>0.0</v>
      </c>
    </row>
    <row r="22501">
      <c r="Y22501" s="372">
        <v>0.0</v>
      </c>
      <c r="Z22501" s="372">
        <v>0.0</v>
      </c>
    </row>
    <row r="22502">
      <c r="Y22502" s="372">
        <v>0.0</v>
      </c>
      <c r="Z22502" s="372">
        <v>0.0</v>
      </c>
    </row>
    <row r="22503">
      <c r="Y22503" s="372">
        <v>0.0</v>
      </c>
      <c r="Z22503" s="372">
        <v>0.0</v>
      </c>
    </row>
    <row r="22504">
      <c r="Y22504" s="372">
        <v>0.0</v>
      </c>
      <c r="Z22504" s="372">
        <v>0.0</v>
      </c>
    </row>
    <row r="22505">
      <c r="Y22505" s="372">
        <v>0.0</v>
      </c>
      <c r="Z22505" s="372">
        <v>0.0</v>
      </c>
    </row>
    <row r="22506">
      <c r="Y22506" s="372">
        <v>0.0</v>
      </c>
      <c r="Z22506" s="372">
        <v>0.0</v>
      </c>
    </row>
    <row r="22507">
      <c r="Y22507" s="372">
        <v>0.0</v>
      </c>
      <c r="Z22507" s="372">
        <v>0.0</v>
      </c>
    </row>
    <row r="22508">
      <c r="Y22508" s="372">
        <v>0.0</v>
      </c>
      <c r="Z22508" s="372">
        <v>0.0</v>
      </c>
    </row>
    <row r="22509">
      <c r="Y22509" s="372">
        <v>0.0</v>
      </c>
      <c r="Z22509" s="372">
        <v>0.0</v>
      </c>
    </row>
    <row r="22510">
      <c r="Y22510" s="372">
        <v>0.0</v>
      </c>
      <c r="Z22510" s="372">
        <v>0.0</v>
      </c>
    </row>
    <row r="22511">
      <c r="Y22511" s="372">
        <v>0.0</v>
      </c>
      <c r="Z22511" s="372">
        <v>0.0</v>
      </c>
    </row>
    <row r="22512">
      <c r="Y22512" s="372">
        <v>0.0</v>
      </c>
      <c r="Z22512" s="372">
        <v>0.0</v>
      </c>
    </row>
    <row r="22513">
      <c r="Y22513" s="372">
        <v>0.0</v>
      </c>
      <c r="Z22513" s="372">
        <v>0.0</v>
      </c>
    </row>
    <row r="22514">
      <c r="Y22514" s="372">
        <v>0.0</v>
      </c>
      <c r="Z22514" s="372">
        <v>0.0</v>
      </c>
    </row>
    <row r="22515">
      <c r="Y22515" s="372">
        <v>0.0</v>
      </c>
      <c r="Z22515" s="372">
        <v>0.0</v>
      </c>
    </row>
    <row r="22516">
      <c r="Y22516" s="372">
        <v>0.0</v>
      </c>
      <c r="Z22516" s="372">
        <v>0.0</v>
      </c>
    </row>
    <row r="22517">
      <c r="Y22517" s="372">
        <v>0.0</v>
      </c>
      <c r="Z22517" s="372">
        <v>0.0</v>
      </c>
    </row>
    <row r="22518">
      <c r="Y22518" s="372">
        <v>0.0</v>
      </c>
      <c r="Z22518" s="372">
        <v>0.0</v>
      </c>
    </row>
    <row r="22519">
      <c r="Y22519" s="372">
        <v>0.0</v>
      </c>
      <c r="Z22519" s="372">
        <v>0.0</v>
      </c>
    </row>
    <row r="22520">
      <c r="Y22520" s="372">
        <v>0.0</v>
      </c>
      <c r="Z22520" s="372">
        <v>0.0</v>
      </c>
    </row>
    <row r="22521">
      <c r="Y22521" s="372">
        <v>0.0</v>
      </c>
      <c r="Z22521" s="372">
        <v>0.0</v>
      </c>
    </row>
    <row r="22522">
      <c r="Y22522" s="372">
        <v>0.0</v>
      </c>
      <c r="Z22522" s="372">
        <v>0.0</v>
      </c>
    </row>
    <row r="22523">
      <c r="Y22523" s="372">
        <v>0.0</v>
      </c>
      <c r="Z22523" s="372">
        <v>0.0</v>
      </c>
    </row>
    <row r="22524">
      <c r="Y22524" s="372">
        <v>0.0</v>
      </c>
      <c r="Z22524" s="372">
        <v>0.0</v>
      </c>
    </row>
    <row r="22525">
      <c r="Y22525" s="372">
        <v>0.0</v>
      </c>
      <c r="Z22525" s="372">
        <v>0.0</v>
      </c>
    </row>
    <row r="22526">
      <c r="Y22526" s="372">
        <v>0.0</v>
      </c>
      <c r="Z22526" s="372">
        <v>0.0</v>
      </c>
    </row>
    <row r="22527">
      <c r="Y22527" s="372">
        <v>0.0</v>
      </c>
      <c r="Z22527" s="372">
        <v>0.0</v>
      </c>
    </row>
    <row r="22528">
      <c r="Y22528" s="372">
        <v>0.0</v>
      </c>
      <c r="Z22528" s="372">
        <v>0.0</v>
      </c>
    </row>
    <row r="22529">
      <c r="Y22529" s="372">
        <v>0.0</v>
      </c>
      <c r="Z22529" s="372">
        <v>0.0</v>
      </c>
    </row>
    <row r="22530">
      <c r="Y22530" s="372">
        <v>0.0</v>
      </c>
      <c r="Z22530" s="372">
        <v>0.0</v>
      </c>
    </row>
    <row r="22531">
      <c r="Y22531" s="372">
        <v>0.0</v>
      </c>
      <c r="Z22531" s="372">
        <v>0.0</v>
      </c>
    </row>
    <row r="22532">
      <c r="Y22532" s="372">
        <v>0.0</v>
      </c>
      <c r="Z22532" s="372">
        <v>0.0</v>
      </c>
    </row>
    <row r="22533">
      <c r="Y22533" s="372">
        <v>0.0</v>
      </c>
      <c r="Z22533" s="372">
        <v>0.0</v>
      </c>
    </row>
    <row r="22534">
      <c r="Y22534" s="372">
        <v>0.0</v>
      </c>
      <c r="Z22534" s="372">
        <v>0.0</v>
      </c>
    </row>
    <row r="22535">
      <c r="Y22535" s="372">
        <v>0.0</v>
      </c>
      <c r="Z22535" s="372">
        <v>0.0</v>
      </c>
    </row>
    <row r="22536">
      <c r="Y22536" s="372">
        <v>0.0</v>
      </c>
      <c r="Z22536" s="372">
        <v>0.0</v>
      </c>
    </row>
    <row r="22537">
      <c r="Y22537" s="372">
        <v>0.0</v>
      </c>
      <c r="Z22537" s="372">
        <v>0.0</v>
      </c>
    </row>
    <row r="22538">
      <c r="Y22538" s="372">
        <v>0.0</v>
      </c>
      <c r="Z22538" s="372">
        <v>0.0</v>
      </c>
    </row>
    <row r="22539">
      <c r="Y22539" s="372">
        <v>0.0</v>
      </c>
      <c r="Z22539" s="372">
        <v>0.0</v>
      </c>
    </row>
    <row r="22540">
      <c r="Y22540" s="372">
        <v>0.0</v>
      </c>
      <c r="Z22540" s="372">
        <v>0.0</v>
      </c>
    </row>
    <row r="22541">
      <c r="Y22541" s="372">
        <v>0.0</v>
      </c>
      <c r="Z22541" s="372">
        <v>0.0</v>
      </c>
    </row>
    <row r="22542">
      <c r="Y22542" s="372">
        <v>0.0</v>
      </c>
      <c r="Z22542" s="372">
        <v>0.0</v>
      </c>
    </row>
    <row r="22543">
      <c r="Y22543" s="372">
        <v>0.0</v>
      </c>
      <c r="Z22543" s="372">
        <v>0.0</v>
      </c>
    </row>
    <row r="22544">
      <c r="Y22544" s="372">
        <v>0.0</v>
      </c>
      <c r="Z22544" s="372">
        <v>0.0</v>
      </c>
    </row>
    <row r="22545">
      <c r="Y22545" s="372">
        <v>0.0</v>
      </c>
      <c r="Z22545" s="372">
        <v>0.0</v>
      </c>
    </row>
    <row r="22546">
      <c r="Y22546" s="372">
        <v>0.0</v>
      </c>
      <c r="Z22546" s="372">
        <v>0.0</v>
      </c>
    </row>
    <row r="22547">
      <c r="Y22547" s="372">
        <v>0.0</v>
      </c>
      <c r="Z22547" s="372">
        <v>0.0</v>
      </c>
    </row>
    <row r="22548">
      <c r="Y22548" s="372">
        <v>0.0</v>
      </c>
      <c r="Z22548" s="372">
        <v>0.0</v>
      </c>
    </row>
    <row r="22549">
      <c r="Y22549" s="372">
        <v>0.0</v>
      </c>
      <c r="Z22549" s="372">
        <v>0.0</v>
      </c>
    </row>
    <row r="22550">
      <c r="Y22550" s="372">
        <v>0.0</v>
      </c>
      <c r="Z22550" s="372">
        <v>0.0</v>
      </c>
    </row>
    <row r="22551">
      <c r="Y22551" s="372">
        <v>0.0</v>
      </c>
      <c r="Z22551" s="372">
        <v>0.0</v>
      </c>
    </row>
    <row r="22552">
      <c r="Y22552" s="372">
        <v>0.0</v>
      </c>
      <c r="Z22552" s="372">
        <v>0.0</v>
      </c>
    </row>
    <row r="22553">
      <c r="Y22553" s="372">
        <v>0.0</v>
      </c>
      <c r="Z22553" s="372">
        <v>0.0</v>
      </c>
    </row>
    <row r="22554">
      <c r="Y22554" s="372">
        <v>0.0</v>
      </c>
      <c r="Z22554" s="372">
        <v>0.0</v>
      </c>
    </row>
    <row r="22555">
      <c r="Y22555" s="372">
        <v>0.0</v>
      </c>
      <c r="Z22555" s="372">
        <v>0.0</v>
      </c>
    </row>
    <row r="22556">
      <c r="Y22556" s="372">
        <v>0.0</v>
      </c>
      <c r="Z22556" s="372">
        <v>0.0</v>
      </c>
    </row>
    <row r="22557">
      <c r="Y22557" s="372">
        <v>0.0</v>
      </c>
      <c r="Z22557" s="372">
        <v>0.0</v>
      </c>
    </row>
    <row r="22558">
      <c r="Y22558" s="372">
        <v>0.0</v>
      </c>
      <c r="Z22558" s="372">
        <v>0.0</v>
      </c>
    </row>
    <row r="22559">
      <c r="Y22559" s="372">
        <v>0.0</v>
      </c>
      <c r="Z22559" s="372">
        <v>0.0</v>
      </c>
    </row>
    <row r="22560">
      <c r="Y22560" s="372">
        <v>0.0</v>
      </c>
      <c r="Z22560" s="372">
        <v>0.0</v>
      </c>
    </row>
    <row r="22561">
      <c r="Y22561" s="372">
        <v>0.0</v>
      </c>
      <c r="Z22561" s="372">
        <v>0.0</v>
      </c>
    </row>
    <row r="22562">
      <c r="Y22562" s="372">
        <v>0.0</v>
      </c>
      <c r="Z22562" s="372">
        <v>0.0</v>
      </c>
    </row>
    <row r="22563">
      <c r="Y22563" s="372">
        <v>0.0</v>
      </c>
      <c r="Z22563" s="372">
        <v>0.0</v>
      </c>
    </row>
    <row r="22564">
      <c r="Y22564" s="372">
        <v>0.0</v>
      </c>
      <c r="Z22564" s="372">
        <v>0.0</v>
      </c>
    </row>
    <row r="22565">
      <c r="Y22565" s="372">
        <v>0.0</v>
      </c>
      <c r="Z22565" s="372">
        <v>0.0</v>
      </c>
    </row>
    <row r="22566">
      <c r="Y22566" s="372">
        <v>0.0</v>
      </c>
      <c r="Z22566" s="372">
        <v>0.0</v>
      </c>
    </row>
    <row r="22567">
      <c r="Y22567" s="372">
        <v>0.0</v>
      </c>
      <c r="Z22567" s="372">
        <v>0.0</v>
      </c>
    </row>
    <row r="22568">
      <c r="Y22568" s="372">
        <v>0.0</v>
      </c>
      <c r="Z22568" s="372">
        <v>0.0</v>
      </c>
    </row>
    <row r="22569">
      <c r="Y22569" s="372">
        <v>0.0</v>
      </c>
      <c r="Z22569" s="372">
        <v>0.0</v>
      </c>
    </row>
    <row r="22570">
      <c r="Y22570" s="372">
        <v>0.0</v>
      </c>
      <c r="Z22570" s="372">
        <v>0.0</v>
      </c>
    </row>
    <row r="22571">
      <c r="Y22571" s="372">
        <v>0.0</v>
      </c>
      <c r="Z22571" s="372">
        <v>0.0</v>
      </c>
    </row>
    <row r="22572">
      <c r="Y22572" s="372">
        <v>0.0</v>
      </c>
      <c r="Z22572" s="372">
        <v>0.0</v>
      </c>
    </row>
    <row r="22573">
      <c r="Y22573" s="372">
        <v>0.0</v>
      </c>
      <c r="Z22573" s="372">
        <v>0.0</v>
      </c>
    </row>
    <row r="22574">
      <c r="Y22574" s="372">
        <v>0.0</v>
      </c>
      <c r="Z22574" s="372">
        <v>0.0</v>
      </c>
    </row>
    <row r="22575">
      <c r="Y22575" s="372">
        <v>0.0</v>
      </c>
      <c r="Z22575" s="372">
        <v>0.0</v>
      </c>
    </row>
    <row r="22576">
      <c r="Y22576" s="372">
        <v>0.0</v>
      </c>
      <c r="Z22576" s="372">
        <v>0.0</v>
      </c>
    </row>
    <row r="22577">
      <c r="Y22577" s="372">
        <v>0.0</v>
      </c>
      <c r="Z22577" s="372">
        <v>0.0</v>
      </c>
    </row>
    <row r="22578">
      <c r="Y22578" s="372">
        <v>0.0</v>
      </c>
      <c r="Z22578" s="372">
        <v>0.0</v>
      </c>
    </row>
    <row r="22579">
      <c r="Y22579" s="372">
        <v>0.0</v>
      </c>
      <c r="Z22579" s="372">
        <v>0.0</v>
      </c>
    </row>
    <row r="22580">
      <c r="Y22580" s="372">
        <v>0.0</v>
      </c>
      <c r="Z22580" s="372">
        <v>0.0</v>
      </c>
    </row>
    <row r="22581">
      <c r="Y22581" s="372">
        <v>0.0</v>
      </c>
      <c r="Z22581" s="372">
        <v>0.0</v>
      </c>
    </row>
    <row r="22582">
      <c r="Y22582" s="372">
        <v>0.0</v>
      </c>
      <c r="Z22582" s="372">
        <v>0.0</v>
      </c>
    </row>
    <row r="22583">
      <c r="Y22583" s="372">
        <v>0.0</v>
      </c>
      <c r="Z22583" s="372">
        <v>0.0</v>
      </c>
    </row>
    <row r="22584">
      <c r="Y22584" s="372">
        <v>0.0</v>
      </c>
      <c r="Z22584" s="372">
        <v>0.0</v>
      </c>
    </row>
    <row r="22585">
      <c r="Y22585" s="372">
        <v>0.0</v>
      </c>
      <c r="Z22585" s="372">
        <v>0.0</v>
      </c>
    </row>
    <row r="22586">
      <c r="Y22586" s="372">
        <v>0.0</v>
      </c>
      <c r="Z22586" s="372">
        <v>0.0</v>
      </c>
    </row>
    <row r="22587">
      <c r="Y22587" s="372">
        <v>0.0</v>
      </c>
      <c r="Z22587" s="372">
        <v>0.0</v>
      </c>
    </row>
    <row r="22588">
      <c r="Y22588" s="372">
        <v>0.0</v>
      </c>
      <c r="Z22588" s="372">
        <v>0.0</v>
      </c>
    </row>
    <row r="22589">
      <c r="Y22589" s="372">
        <v>0.0</v>
      </c>
      <c r="Z22589" s="372">
        <v>0.0</v>
      </c>
    </row>
    <row r="22590">
      <c r="Y22590" s="372">
        <v>0.0</v>
      </c>
      <c r="Z22590" s="372">
        <v>0.0</v>
      </c>
    </row>
    <row r="22591">
      <c r="Y22591" s="372">
        <v>0.0</v>
      </c>
      <c r="Z22591" s="372">
        <v>0.0</v>
      </c>
    </row>
    <row r="22592">
      <c r="Y22592" s="372">
        <v>0.0</v>
      </c>
      <c r="Z22592" s="372">
        <v>0.0</v>
      </c>
    </row>
    <row r="22593">
      <c r="Y22593" s="372">
        <v>0.0</v>
      </c>
      <c r="Z22593" s="372">
        <v>0.0</v>
      </c>
    </row>
    <row r="22594">
      <c r="Y22594" s="372">
        <v>0.0</v>
      </c>
      <c r="Z22594" s="372">
        <v>0.0</v>
      </c>
    </row>
    <row r="22595">
      <c r="Y22595" s="372">
        <v>0.0</v>
      </c>
      <c r="Z22595" s="372">
        <v>0.0</v>
      </c>
    </row>
    <row r="22596">
      <c r="Y22596" s="372">
        <v>0.0</v>
      </c>
      <c r="Z22596" s="372">
        <v>0.0</v>
      </c>
    </row>
    <row r="22597">
      <c r="Y22597" s="372">
        <v>0.0</v>
      </c>
      <c r="Z22597" s="372">
        <v>0.0</v>
      </c>
    </row>
    <row r="22598">
      <c r="Y22598" s="372">
        <v>0.0</v>
      </c>
      <c r="Z22598" s="372">
        <v>0.0</v>
      </c>
    </row>
    <row r="22599">
      <c r="Y22599" s="372">
        <v>0.0</v>
      </c>
      <c r="Z22599" s="372">
        <v>0.0</v>
      </c>
    </row>
    <row r="22600">
      <c r="Y22600" s="372">
        <v>0.0</v>
      </c>
      <c r="Z22600" s="372">
        <v>0.0</v>
      </c>
    </row>
    <row r="22601">
      <c r="Y22601" s="372">
        <v>0.0</v>
      </c>
      <c r="Z22601" s="372">
        <v>0.0</v>
      </c>
    </row>
    <row r="22602">
      <c r="Y22602" s="372">
        <v>0.0</v>
      </c>
      <c r="Z22602" s="372">
        <v>0.0</v>
      </c>
    </row>
    <row r="22603">
      <c r="Y22603" s="372">
        <v>0.0</v>
      </c>
      <c r="Z22603" s="372">
        <v>0.0</v>
      </c>
    </row>
    <row r="22604">
      <c r="Y22604" s="372">
        <v>0.0</v>
      </c>
      <c r="Z22604" s="372">
        <v>0.0</v>
      </c>
    </row>
    <row r="22605">
      <c r="Y22605" s="372">
        <v>0.0</v>
      </c>
      <c r="Z22605" s="372">
        <v>0.0</v>
      </c>
    </row>
    <row r="22606">
      <c r="Y22606" s="372">
        <v>0.0</v>
      </c>
      <c r="Z22606" s="372">
        <v>0.0</v>
      </c>
    </row>
    <row r="22607">
      <c r="Y22607" s="372">
        <v>0.0</v>
      </c>
      <c r="Z22607" s="372">
        <v>0.0</v>
      </c>
    </row>
    <row r="22608">
      <c r="Y22608" s="372">
        <v>0.0</v>
      </c>
      <c r="Z22608" s="372">
        <v>0.0</v>
      </c>
    </row>
    <row r="22609">
      <c r="Y22609" s="372">
        <v>0.0</v>
      </c>
      <c r="Z22609" s="372">
        <v>0.0</v>
      </c>
    </row>
    <row r="22610">
      <c r="Y22610" s="372">
        <v>0.0</v>
      </c>
      <c r="Z22610" s="372">
        <v>0.0</v>
      </c>
    </row>
    <row r="22611">
      <c r="Y22611" s="372">
        <v>0.0</v>
      </c>
      <c r="Z22611" s="372">
        <v>0.0</v>
      </c>
    </row>
    <row r="22612">
      <c r="Y22612" s="372">
        <v>0.0</v>
      </c>
      <c r="Z22612" s="372">
        <v>0.0</v>
      </c>
    </row>
    <row r="22613">
      <c r="Y22613" s="372">
        <v>0.0</v>
      </c>
      <c r="Z22613" s="372">
        <v>0.0</v>
      </c>
    </row>
    <row r="22614">
      <c r="Y22614" s="372">
        <v>0.0</v>
      </c>
      <c r="Z22614" s="372">
        <v>0.0</v>
      </c>
    </row>
    <row r="22615">
      <c r="Y22615" s="372">
        <v>0.0</v>
      </c>
      <c r="Z22615" s="372">
        <v>0.0</v>
      </c>
    </row>
    <row r="22616">
      <c r="Y22616" s="372">
        <v>0.0</v>
      </c>
      <c r="Z22616" s="372">
        <v>0.0</v>
      </c>
    </row>
    <row r="22617">
      <c r="Y22617" s="372">
        <v>0.0</v>
      </c>
      <c r="Z22617" s="372">
        <v>0.0</v>
      </c>
    </row>
    <row r="22618">
      <c r="Y22618" s="372">
        <v>0.0</v>
      </c>
      <c r="Z22618" s="372">
        <v>0.0</v>
      </c>
    </row>
    <row r="22619">
      <c r="Y22619" s="372">
        <v>0.0</v>
      </c>
      <c r="Z22619" s="372">
        <v>0.0</v>
      </c>
    </row>
    <row r="22620">
      <c r="Y22620" s="372">
        <v>0.0</v>
      </c>
      <c r="Z22620" s="372">
        <v>0.0</v>
      </c>
    </row>
    <row r="22621">
      <c r="Y22621" s="372">
        <v>0.0</v>
      </c>
      <c r="Z22621" s="372">
        <v>0.0</v>
      </c>
    </row>
    <row r="22622">
      <c r="Y22622" s="372">
        <v>0.0</v>
      </c>
      <c r="Z22622" s="372">
        <v>0.0</v>
      </c>
    </row>
    <row r="22623">
      <c r="Y22623" s="372">
        <v>0.0</v>
      </c>
      <c r="Z22623" s="372">
        <v>0.0</v>
      </c>
    </row>
    <row r="22624">
      <c r="Y22624" s="372">
        <v>0.0</v>
      </c>
      <c r="Z22624" s="372">
        <v>0.0</v>
      </c>
    </row>
    <row r="22625">
      <c r="Y22625" s="372">
        <v>0.0</v>
      </c>
      <c r="Z22625" s="372">
        <v>0.0</v>
      </c>
    </row>
    <row r="22626">
      <c r="Y22626" s="372">
        <v>0.0</v>
      </c>
      <c r="Z22626" s="372">
        <v>0.0</v>
      </c>
    </row>
    <row r="22627">
      <c r="Y22627" s="372">
        <v>0.0</v>
      </c>
      <c r="Z22627" s="372">
        <v>0.0</v>
      </c>
    </row>
    <row r="22628">
      <c r="Y22628" s="372">
        <v>0.0</v>
      </c>
      <c r="Z22628" s="372">
        <v>0.0</v>
      </c>
    </row>
    <row r="22629">
      <c r="Y22629" s="372">
        <v>0.0</v>
      </c>
      <c r="Z22629" s="372">
        <v>0.0</v>
      </c>
    </row>
    <row r="22630">
      <c r="Y22630" s="372">
        <v>0.0</v>
      </c>
      <c r="Z22630" s="372">
        <v>0.0</v>
      </c>
    </row>
    <row r="22631">
      <c r="Y22631" s="372">
        <v>0.0</v>
      </c>
      <c r="Z22631" s="372">
        <v>0.0</v>
      </c>
    </row>
    <row r="22632">
      <c r="Y22632" s="372">
        <v>0.0</v>
      </c>
      <c r="Z22632" s="372">
        <v>0.0</v>
      </c>
    </row>
    <row r="22633">
      <c r="Y22633" s="372">
        <v>0.0</v>
      </c>
      <c r="Z22633" s="372">
        <v>0.0</v>
      </c>
    </row>
    <row r="22634">
      <c r="Y22634" s="372">
        <v>0.0</v>
      </c>
      <c r="Z22634" s="372">
        <v>0.0</v>
      </c>
    </row>
    <row r="22635">
      <c r="Y22635" s="372">
        <v>0.0</v>
      </c>
      <c r="Z22635" s="372">
        <v>0.0</v>
      </c>
    </row>
    <row r="22636">
      <c r="Y22636" s="372">
        <v>0.0</v>
      </c>
      <c r="Z22636" s="372">
        <v>0.0</v>
      </c>
    </row>
    <row r="22637">
      <c r="Y22637" s="372">
        <v>0.0</v>
      </c>
      <c r="Z22637" s="372">
        <v>0.0</v>
      </c>
    </row>
    <row r="22638">
      <c r="Y22638" s="372">
        <v>0.0</v>
      </c>
      <c r="Z22638" s="372">
        <v>0.0</v>
      </c>
    </row>
    <row r="22639">
      <c r="Y22639" s="372">
        <v>0.0</v>
      </c>
      <c r="Z22639" s="372">
        <v>0.0</v>
      </c>
    </row>
    <row r="22640">
      <c r="Y22640" s="372">
        <v>0.0</v>
      </c>
      <c r="Z22640" s="372">
        <v>0.0</v>
      </c>
    </row>
    <row r="22641">
      <c r="Y22641" s="372">
        <v>0.0</v>
      </c>
      <c r="Z22641" s="372">
        <v>0.0</v>
      </c>
    </row>
    <row r="22642">
      <c r="Y22642" s="372">
        <v>0.0</v>
      </c>
      <c r="Z22642" s="372">
        <v>0.0</v>
      </c>
    </row>
    <row r="22643">
      <c r="Y22643" s="372">
        <v>0.0</v>
      </c>
      <c r="Z22643" s="372">
        <v>0.0</v>
      </c>
    </row>
    <row r="22644">
      <c r="Y22644" s="372">
        <v>0.0</v>
      </c>
      <c r="Z22644" s="372">
        <v>0.0</v>
      </c>
    </row>
    <row r="22645">
      <c r="Y22645" s="372">
        <v>0.0</v>
      </c>
      <c r="Z22645" s="372">
        <v>0.0</v>
      </c>
    </row>
    <row r="22646">
      <c r="Y22646" s="372">
        <v>0.0</v>
      </c>
      <c r="Z22646" s="372">
        <v>0.0</v>
      </c>
    </row>
    <row r="22647">
      <c r="Y22647" s="372">
        <v>0.0</v>
      </c>
      <c r="Z22647" s="372">
        <v>0.0</v>
      </c>
    </row>
    <row r="22648">
      <c r="Y22648" s="372">
        <v>0.0</v>
      </c>
      <c r="Z22648" s="372">
        <v>0.0</v>
      </c>
    </row>
    <row r="22649">
      <c r="Y22649" s="372">
        <v>0.0</v>
      </c>
      <c r="Z22649" s="372">
        <v>0.0</v>
      </c>
    </row>
    <row r="22650">
      <c r="Y22650" s="372">
        <v>0.0</v>
      </c>
      <c r="Z22650" s="372">
        <v>0.0</v>
      </c>
    </row>
    <row r="22651">
      <c r="Y22651" s="372">
        <v>0.0</v>
      </c>
      <c r="Z22651" s="372">
        <v>0.0</v>
      </c>
    </row>
    <row r="22652">
      <c r="Y22652" s="372">
        <v>0.0</v>
      </c>
      <c r="Z22652" s="372">
        <v>0.0</v>
      </c>
    </row>
    <row r="22653">
      <c r="Y22653" s="372">
        <v>0.0</v>
      </c>
      <c r="Z22653" s="372">
        <v>0.0</v>
      </c>
    </row>
    <row r="22654">
      <c r="Y22654" s="372">
        <v>0.0</v>
      </c>
      <c r="Z22654" s="372">
        <v>0.0</v>
      </c>
    </row>
    <row r="22655">
      <c r="Y22655" s="372">
        <v>0.0</v>
      </c>
      <c r="Z22655" s="372">
        <v>0.0</v>
      </c>
    </row>
    <row r="22656">
      <c r="Y22656" s="372">
        <v>0.0</v>
      </c>
      <c r="Z22656" s="372">
        <v>0.0</v>
      </c>
    </row>
    <row r="22657">
      <c r="Y22657" s="372">
        <v>0.0</v>
      </c>
      <c r="Z22657" s="372">
        <v>0.0</v>
      </c>
    </row>
    <row r="22658">
      <c r="Y22658" s="372">
        <v>0.0</v>
      </c>
      <c r="Z22658" s="372">
        <v>0.0</v>
      </c>
    </row>
    <row r="22659">
      <c r="Y22659" s="372">
        <v>0.0</v>
      </c>
      <c r="Z22659" s="372">
        <v>0.0</v>
      </c>
    </row>
    <row r="22660">
      <c r="Y22660" s="372">
        <v>0.0</v>
      </c>
      <c r="Z22660" s="372">
        <v>0.0</v>
      </c>
    </row>
    <row r="22661">
      <c r="Y22661" s="372">
        <v>0.0</v>
      </c>
      <c r="Z22661" s="372">
        <v>0.0</v>
      </c>
    </row>
    <row r="22662">
      <c r="Y22662" s="372">
        <v>0.0</v>
      </c>
      <c r="Z22662" s="372">
        <v>0.0</v>
      </c>
    </row>
    <row r="22663">
      <c r="Y22663" s="372">
        <v>0.0</v>
      </c>
      <c r="Z22663" s="372">
        <v>0.0</v>
      </c>
    </row>
    <row r="22664">
      <c r="Y22664" s="372">
        <v>0.0</v>
      </c>
      <c r="Z22664" s="372">
        <v>0.0</v>
      </c>
    </row>
    <row r="22665">
      <c r="Y22665" s="372">
        <v>0.0</v>
      </c>
      <c r="Z22665" s="372">
        <v>0.0</v>
      </c>
    </row>
    <row r="22666">
      <c r="Y22666" s="372">
        <v>0.0</v>
      </c>
      <c r="Z22666" s="372">
        <v>0.0</v>
      </c>
    </row>
    <row r="22667">
      <c r="Y22667" s="372">
        <v>0.0</v>
      </c>
      <c r="Z22667" s="372">
        <v>0.0</v>
      </c>
    </row>
    <row r="22668">
      <c r="Y22668" s="372">
        <v>0.0</v>
      </c>
      <c r="Z22668" s="372">
        <v>0.0</v>
      </c>
    </row>
    <row r="22669">
      <c r="Y22669" s="372">
        <v>0.0</v>
      </c>
      <c r="Z22669" s="372">
        <v>0.0</v>
      </c>
    </row>
    <row r="22670">
      <c r="Y22670" s="372">
        <v>0.0</v>
      </c>
      <c r="Z22670" s="372">
        <v>0.0</v>
      </c>
    </row>
    <row r="22671">
      <c r="Y22671" s="372">
        <v>0.0</v>
      </c>
      <c r="Z22671" s="372">
        <v>0.0</v>
      </c>
    </row>
    <row r="22672">
      <c r="Y22672" s="372">
        <v>0.0</v>
      </c>
      <c r="Z22672" s="372">
        <v>0.0</v>
      </c>
    </row>
    <row r="22673">
      <c r="Y22673" s="372">
        <v>0.0</v>
      </c>
      <c r="Z22673" s="372">
        <v>0.0</v>
      </c>
    </row>
    <row r="22674">
      <c r="Y22674" s="372">
        <v>0.0</v>
      </c>
      <c r="Z22674" s="372">
        <v>0.0</v>
      </c>
    </row>
    <row r="22675">
      <c r="Y22675" s="372">
        <v>0.0</v>
      </c>
      <c r="Z22675" s="372">
        <v>0.0</v>
      </c>
    </row>
    <row r="22676">
      <c r="Y22676" s="372">
        <v>0.0</v>
      </c>
      <c r="Z22676" s="372">
        <v>0.0</v>
      </c>
    </row>
    <row r="22677">
      <c r="Y22677" s="372">
        <v>0.0</v>
      </c>
      <c r="Z22677" s="372">
        <v>0.0</v>
      </c>
    </row>
    <row r="22678">
      <c r="Y22678" s="372">
        <v>0.0</v>
      </c>
      <c r="Z22678" s="372">
        <v>0.0</v>
      </c>
    </row>
    <row r="22679">
      <c r="Y22679" s="372">
        <v>0.0</v>
      </c>
      <c r="Z22679" s="372">
        <v>0.0</v>
      </c>
    </row>
    <row r="22680">
      <c r="Y22680" s="372">
        <v>0.0</v>
      </c>
      <c r="Z22680" s="372">
        <v>0.0</v>
      </c>
    </row>
    <row r="22681">
      <c r="Y22681" s="372">
        <v>0.0</v>
      </c>
      <c r="Z22681" s="372">
        <v>0.0</v>
      </c>
    </row>
    <row r="22682">
      <c r="Y22682" s="372">
        <v>0.0</v>
      </c>
      <c r="Z22682" s="372">
        <v>0.0</v>
      </c>
    </row>
    <row r="22683">
      <c r="Y22683" s="372">
        <v>0.0</v>
      </c>
      <c r="Z22683" s="372">
        <v>0.0</v>
      </c>
    </row>
    <row r="22684">
      <c r="Y22684" s="372">
        <v>0.0</v>
      </c>
      <c r="Z22684" s="372">
        <v>0.0</v>
      </c>
    </row>
    <row r="22685">
      <c r="Y22685" s="372">
        <v>0.0</v>
      </c>
      <c r="Z22685" s="372">
        <v>0.0</v>
      </c>
    </row>
    <row r="22686">
      <c r="Y22686" s="372">
        <v>0.0</v>
      </c>
      <c r="Z22686" s="372">
        <v>0.0</v>
      </c>
    </row>
    <row r="22687">
      <c r="Y22687" s="372">
        <v>0.0</v>
      </c>
      <c r="Z22687" s="372">
        <v>0.0</v>
      </c>
    </row>
    <row r="22688">
      <c r="Y22688" s="372">
        <v>0.0</v>
      </c>
      <c r="Z22688" s="372">
        <v>0.0</v>
      </c>
    </row>
    <row r="22689">
      <c r="Y22689" s="372">
        <v>0.0</v>
      </c>
      <c r="Z22689" s="372">
        <v>0.0</v>
      </c>
    </row>
    <row r="22690">
      <c r="Y22690" s="372">
        <v>0.0</v>
      </c>
      <c r="Z22690" s="372">
        <v>0.0</v>
      </c>
    </row>
    <row r="22691">
      <c r="Y22691" s="372">
        <v>0.0</v>
      </c>
      <c r="Z22691" s="372">
        <v>0.0</v>
      </c>
    </row>
    <row r="22692">
      <c r="Y22692" s="372">
        <v>0.0</v>
      </c>
      <c r="Z22692" s="372">
        <v>0.0</v>
      </c>
    </row>
    <row r="22693">
      <c r="Y22693" s="372">
        <v>0.0</v>
      </c>
      <c r="Z22693" s="372">
        <v>0.0</v>
      </c>
    </row>
    <row r="22694">
      <c r="Y22694" s="372">
        <v>0.0</v>
      </c>
      <c r="Z22694" s="372">
        <v>0.0</v>
      </c>
    </row>
    <row r="22695">
      <c r="Y22695" s="372">
        <v>0.0</v>
      </c>
      <c r="Z22695" s="372">
        <v>0.0</v>
      </c>
    </row>
    <row r="22696">
      <c r="Y22696" s="372">
        <v>0.0</v>
      </c>
      <c r="Z22696" s="372">
        <v>0.0</v>
      </c>
    </row>
    <row r="22697">
      <c r="Y22697" s="372">
        <v>0.0</v>
      </c>
      <c r="Z22697" s="372">
        <v>0.0</v>
      </c>
    </row>
    <row r="22698">
      <c r="Y22698" s="372">
        <v>0.0</v>
      </c>
      <c r="Z22698" s="372">
        <v>0.0</v>
      </c>
    </row>
    <row r="22699">
      <c r="Y22699" s="372">
        <v>0.0</v>
      </c>
      <c r="Z22699" s="372">
        <v>0.0</v>
      </c>
    </row>
    <row r="22700">
      <c r="Y22700" s="372">
        <v>0.0</v>
      </c>
      <c r="Z22700" s="372">
        <v>0.0</v>
      </c>
    </row>
    <row r="22701">
      <c r="Y22701" s="372">
        <v>0.0</v>
      </c>
      <c r="Z22701" s="372">
        <v>0.0</v>
      </c>
    </row>
    <row r="22702">
      <c r="Y22702" s="372">
        <v>0.0</v>
      </c>
      <c r="Z22702" s="372">
        <v>0.0</v>
      </c>
    </row>
    <row r="22703">
      <c r="Y22703" s="372">
        <v>0.0</v>
      </c>
      <c r="Z22703" s="372">
        <v>0.0</v>
      </c>
    </row>
    <row r="22704">
      <c r="Y22704" s="372">
        <v>0.0</v>
      </c>
      <c r="Z22704" s="372">
        <v>0.0</v>
      </c>
    </row>
    <row r="22705">
      <c r="Y22705" s="372">
        <v>0.0</v>
      </c>
      <c r="Z22705" s="372">
        <v>0.0</v>
      </c>
    </row>
    <row r="22706">
      <c r="Y22706" s="372">
        <v>0.0</v>
      </c>
      <c r="Z22706" s="372">
        <v>0.0</v>
      </c>
    </row>
    <row r="22707">
      <c r="Y22707" s="372">
        <v>0.0</v>
      </c>
      <c r="Z22707" s="372">
        <v>0.0</v>
      </c>
    </row>
    <row r="22708">
      <c r="Y22708" s="372">
        <v>0.0</v>
      </c>
      <c r="Z22708" s="372">
        <v>0.0</v>
      </c>
    </row>
    <row r="22709">
      <c r="Y22709" s="372">
        <v>0.0</v>
      </c>
      <c r="Z22709" s="372">
        <v>0.0</v>
      </c>
    </row>
    <row r="22710">
      <c r="Y22710" s="372">
        <v>0.0</v>
      </c>
      <c r="Z22710" s="372">
        <v>0.0</v>
      </c>
    </row>
    <row r="22711">
      <c r="Y22711" s="372">
        <v>0.0</v>
      </c>
      <c r="Z22711" s="372">
        <v>0.0</v>
      </c>
    </row>
    <row r="22712">
      <c r="Y22712" s="372">
        <v>0.0</v>
      </c>
      <c r="Z22712" s="372">
        <v>0.0</v>
      </c>
    </row>
    <row r="22713">
      <c r="Y22713" s="372">
        <v>0.0</v>
      </c>
      <c r="Z22713" s="372">
        <v>0.0</v>
      </c>
    </row>
    <row r="22714">
      <c r="Y22714" s="372">
        <v>0.0</v>
      </c>
      <c r="Z22714" s="372">
        <v>0.0</v>
      </c>
    </row>
    <row r="22715">
      <c r="Y22715" s="372">
        <v>0.0</v>
      </c>
      <c r="Z22715" s="372">
        <v>0.0</v>
      </c>
    </row>
    <row r="22716">
      <c r="Y22716" s="372">
        <v>0.0</v>
      </c>
      <c r="Z22716" s="372">
        <v>0.0</v>
      </c>
    </row>
    <row r="22717">
      <c r="Y22717" s="372">
        <v>0.0</v>
      </c>
      <c r="Z22717" s="372">
        <v>0.0</v>
      </c>
    </row>
    <row r="22718">
      <c r="Y22718" s="372">
        <v>0.0</v>
      </c>
      <c r="Z22718" s="372">
        <v>0.0</v>
      </c>
    </row>
    <row r="22719">
      <c r="Y22719" s="372">
        <v>0.0</v>
      </c>
      <c r="Z22719" s="372">
        <v>0.0</v>
      </c>
    </row>
    <row r="22720">
      <c r="Y22720" s="372">
        <v>0.0</v>
      </c>
      <c r="Z22720" s="372">
        <v>0.0</v>
      </c>
    </row>
    <row r="22721">
      <c r="Y22721" s="372">
        <v>0.0</v>
      </c>
      <c r="Z22721" s="372">
        <v>0.0</v>
      </c>
    </row>
    <row r="22722">
      <c r="Y22722" s="372">
        <v>0.0</v>
      </c>
      <c r="Z22722" s="372">
        <v>0.0</v>
      </c>
    </row>
    <row r="22723">
      <c r="Y22723" s="372">
        <v>0.0</v>
      </c>
      <c r="Z22723" s="372">
        <v>0.0</v>
      </c>
    </row>
    <row r="22724">
      <c r="Y22724" s="372">
        <v>0.0</v>
      </c>
      <c r="Z22724" s="372">
        <v>0.0</v>
      </c>
    </row>
    <row r="22725">
      <c r="Y22725" s="372">
        <v>0.0</v>
      </c>
      <c r="Z22725" s="372">
        <v>0.0</v>
      </c>
    </row>
    <row r="22726">
      <c r="Y22726" s="372">
        <v>0.0</v>
      </c>
      <c r="Z22726" s="372">
        <v>0.0</v>
      </c>
    </row>
    <row r="22727">
      <c r="Y22727" s="372">
        <v>0.0</v>
      </c>
      <c r="Z22727" s="372">
        <v>0.0</v>
      </c>
    </row>
    <row r="22728">
      <c r="Y22728" s="372">
        <v>0.0</v>
      </c>
      <c r="Z22728" s="372">
        <v>0.0</v>
      </c>
    </row>
    <row r="22729">
      <c r="Y22729" s="372">
        <v>0.0</v>
      </c>
      <c r="Z22729" s="372">
        <v>0.0</v>
      </c>
    </row>
    <row r="22730">
      <c r="Y22730" s="372">
        <v>0.0</v>
      </c>
      <c r="Z22730" s="372">
        <v>0.0</v>
      </c>
    </row>
    <row r="22731">
      <c r="Y22731" s="372">
        <v>0.0</v>
      </c>
      <c r="Z22731" s="372">
        <v>0.0</v>
      </c>
    </row>
    <row r="22732">
      <c r="Y22732" s="372">
        <v>0.0</v>
      </c>
      <c r="Z22732" s="372">
        <v>0.0</v>
      </c>
    </row>
    <row r="22733">
      <c r="Y22733" s="372">
        <v>0.0</v>
      </c>
      <c r="Z22733" s="372">
        <v>0.0</v>
      </c>
    </row>
    <row r="22734">
      <c r="Y22734" s="372">
        <v>0.0</v>
      </c>
      <c r="Z22734" s="372">
        <v>0.0</v>
      </c>
    </row>
    <row r="22735">
      <c r="Y22735" s="372">
        <v>0.0</v>
      </c>
      <c r="Z22735" s="372">
        <v>0.0</v>
      </c>
    </row>
    <row r="22736">
      <c r="Y22736" s="372">
        <v>0.0</v>
      </c>
      <c r="Z22736" s="372">
        <v>0.0</v>
      </c>
    </row>
    <row r="22737">
      <c r="Y22737" s="372">
        <v>0.0</v>
      </c>
      <c r="Z22737" s="372">
        <v>0.0</v>
      </c>
    </row>
    <row r="22738">
      <c r="Y22738" s="372">
        <v>0.0</v>
      </c>
      <c r="Z22738" s="372">
        <v>0.0</v>
      </c>
    </row>
    <row r="22739">
      <c r="Y22739" s="372">
        <v>0.0</v>
      </c>
      <c r="Z22739" s="372">
        <v>0.0</v>
      </c>
    </row>
    <row r="22740">
      <c r="Y22740" s="372">
        <v>0.0</v>
      </c>
      <c r="Z22740" s="372">
        <v>0.0</v>
      </c>
    </row>
    <row r="22741">
      <c r="Y22741" s="372">
        <v>0.0</v>
      </c>
      <c r="Z22741" s="372">
        <v>0.0</v>
      </c>
    </row>
    <row r="22742">
      <c r="Y22742" s="372">
        <v>0.0</v>
      </c>
      <c r="Z22742" s="372">
        <v>0.0</v>
      </c>
    </row>
    <row r="22743">
      <c r="Y22743" s="372">
        <v>0.0</v>
      </c>
      <c r="Z22743" s="372">
        <v>0.0</v>
      </c>
    </row>
    <row r="22744">
      <c r="Y22744" s="372">
        <v>0.0</v>
      </c>
      <c r="Z22744" s="372">
        <v>0.0</v>
      </c>
    </row>
    <row r="22745">
      <c r="Y22745" s="372">
        <v>0.0</v>
      </c>
      <c r="Z22745" s="372">
        <v>0.0</v>
      </c>
    </row>
    <row r="22746">
      <c r="Y22746" s="372">
        <v>0.0</v>
      </c>
      <c r="Z22746" s="372">
        <v>0.0</v>
      </c>
    </row>
    <row r="22747">
      <c r="Y22747" s="372">
        <v>0.0</v>
      </c>
      <c r="Z22747" s="372">
        <v>0.0</v>
      </c>
    </row>
    <row r="22748">
      <c r="Y22748" s="372">
        <v>0.0</v>
      </c>
      <c r="Z22748" s="372">
        <v>0.0</v>
      </c>
    </row>
    <row r="22749">
      <c r="Y22749" s="372">
        <v>0.0</v>
      </c>
      <c r="Z22749" s="372">
        <v>0.0</v>
      </c>
    </row>
    <row r="22750">
      <c r="Y22750" s="372">
        <v>0.0</v>
      </c>
      <c r="Z22750" s="372">
        <v>0.0</v>
      </c>
    </row>
    <row r="22751">
      <c r="Y22751" s="372">
        <v>0.0</v>
      </c>
      <c r="Z22751" s="372">
        <v>0.0</v>
      </c>
    </row>
    <row r="22752">
      <c r="Y22752" s="372">
        <v>0.0</v>
      </c>
      <c r="Z22752" s="372">
        <v>0.0</v>
      </c>
    </row>
    <row r="22753">
      <c r="Y22753" s="372">
        <v>0.0</v>
      </c>
      <c r="Z22753" s="372">
        <v>0.0</v>
      </c>
    </row>
    <row r="22754">
      <c r="Y22754" s="372">
        <v>0.0</v>
      </c>
      <c r="Z22754" s="372">
        <v>0.0</v>
      </c>
    </row>
    <row r="22755">
      <c r="Y22755" s="372">
        <v>0.0</v>
      </c>
      <c r="Z22755" s="372">
        <v>0.0</v>
      </c>
    </row>
    <row r="22756">
      <c r="Y22756" s="372">
        <v>0.0</v>
      </c>
      <c r="Z22756" s="372">
        <v>0.0</v>
      </c>
    </row>
    <row r="22757">
      <c r="Y22757" s="372">
        <v>0.0</v>
      </c>
      <c r="Z22757" s="372">
        <v>0.0</v>
      </c>
    </row>
    <row r="22758">
      <c r="Y22758" s="372">
        <v>0.0</v>
      </c>
      <c r="Z22758" s="372">
        <v>0.0</v>
      </c>
    </row>
    <row r="22759">
      <c r="Y22759" s="372">
        <v>0.0</v>
      </c>
      <c r="Z22759" s="372">
        <v>0.0</v>
      </c>
    </row>
    <row r="22760">
      <c r="Y22760" s="372">
        <v>0.0</v>
      </c>
      <c r="Z22760" s="372">
        <v>0.0</v>
      </c>
    </row>
    <row r="22761">
      <c r="Y22761" s="372">
        <v>0.0</v>
      </c>
      <c r="Z22761" s="372">
        <v>0.0</v>
      </c>
    </row>
    <row r="22762">
      <c r="Y22762" s="372">
        <v>0.0</v>
      </c>
      <c r="Z22762" s="372">
        <v>0.0</v>
      </c>
    </row>
    <row r="22763">
      <c r="Y22763" s="372">
        <v>0.0</v>
      </c>
      <c r="Z22763" s="372">
        <v>0.0</v>
      </c>
    </row>
    <row r="22764">
      <c r="Y22764" s="372">
        <v>0.0</v>
      </c>
      <c r="Z22764" s="372">
        <v>0.0</v>
      </c>
    </row>
    <row r="22765">
      <c r="Y22765" s="372">
        <v>0.0</v>
      </c>
      <c r="Z22765" s="372">
        <v>0.0</v>
      </c>
    </row>
    <row r="22766">
      <c r="Y22766" s="372">
        <v>0.0</v>
      </c>
      <c r="Z22766" s="372">
        <v>0.0</v>
      </c>
    </row>
    <row r="22767">
      <c r="Y22767" s="372">
        <v>0.0</v>
      </c>
      <c r="Z22767" s="372">
        <v>0.0</v>
      </c>
    </row>
    <row r="22768">
      <c r="Y22768" s="372">
        <v>0.0</v>
      </c>
      <c r="Z22768" s="372">
        <v>0.0</v>
      </c>
    </row>
    <row r="22769">
      <c r="Y22769" s="372">
        <v>0.0</v>
      </c>
      <c r="Z22769" s="372">
        <v>0.0</v>
      </c>
    </row>
    <row r="22770">
      <c r="Y22770" s="372">
        <v>0.0</v>
      </c>
      <c r="Z22770" s="372">
        <v>0.0</v>
      </c>
    </row>
    <row r="22771">
      <c r="Y22771" s="372">
        <v>0.0</v>
      </c>
      <c r="Z22771" s="372">
        <v>0.0</v>
      </c>
    </row>
    <row r="22772">
      <c r="Y22772" s="372">
        <v>0.0</v>
      </c>
      <c r="Z22772" s="372">
        <v>0.0</v>
      </c>
    </row>
    <row r="22773">
      <c r="Y22773" s="372">
        <v>0.0</v>
      </c>
      <c r="Z22773" s="372">
        <v>0.0</v>
      </c>
    </row>
    <row r="22774">
      <c r="Y22774" s="372">
        <v>0.0</v>
      </c>
      <c r="Z22774" s="372">
        <v>0.0</v>
      </c>
    </row>
    <row r="22775">
      <c r="Y22775" s="372">
        <v>0.0</v>
      </c>
      <c r="Z22775" s="372">
        <v>0.0</v>
      </c>
    </row>
    <row r="22776">
      <c r="Y22776" s="372">
        <v>0.0</v>
      </c>
      <c r="Z22776" s="372">
        <v>0.0</v>
      </c>
    </row>
    <row r="22777">
      <c r="Y22777" s="372">
        <v>0.0</v>
      </c>
      <c r="Z22777" s="372">
        <v>0.0</v>
      </c>
    </row>
    <row r="22778">
      <c r="Y22778" s="372">
        <v>0.0</v>
      </c>
      <c r="Z22778" s="372">
        <v>0.0</v>
      </c>
    </row>
    <row r="22779">
      <c r="Y22779" s="372">
        <v>0.0</v>
      </c>
      <c r="Z22779" s="372">
        <v>0.0</v>
      </c>
    </row>
    <row r="22780">
      <c r="Y22780" s="372">
        <v>0.0</v>
      </c>
      <c r="Z22780" s="372">
        <v>0.0</v>
      </c>
    </row>
    <row r="22781">
      <c r="Y22781" s="372">
        <v>0.0</v>
      </c>
      <c r="Z22781" s="372">
        <v>0.0</v>
      </c>
    </row>
    <row r="22782">
      <c r="Y22782" s="372">
        <v>0.0</v>
      </c>
      <c r="Z22782" s="372">
        <v>0.0</v>
      </c>
    </row>
    <row r="22783">
      <c r="Y22783" s="372">
        <v>0.0</v>
      </c>
      <c r="Z22783" s="372">
        <v>0.0</v>
      </c>
    </row>
    <row r="22784">
      <c r="Y22784" s="372">
        <v>0.0</v>
      </c>
      <c r="Z22784" s="372">
        <v>0.0</v>
      </c>
    </row>
    <row r="22785">
      <c r="Y22785" s="372">
        <v>0.0</v>
      </c>
      <c r="Z22785" s="372">
        <v>0.0</v>
      </c>
    </row>
    <row r="22786">
      <c r="Y22786" s="372">
        <v>0.0</v>
      </c>
      <c r="Z22786" s="372">
        <v>0.0</v>
      </c>
    </row>
    <row r="22787">
      <c r="Y22787" s="372">
        <v>0.0</v>
      </c>
      <c r="Z22787" s="372">
        <v>0.0</v>
      </c>
    </row>
    <row r="22788">
      <c r="Y22788" s="372">
        <v>0.0</v>
      </c>
      <c r="Z22788" s="372">
        <v>0.0</v>
      </c>
    </row>
    <row r="22789">
      <c r="Y22789" s="372">
        <v>0.0</v>
      </c>
      <c r="Z22789" s="372">
        <v>0.0</v>
      </c>
    </row>
    <row r="22790">
      <c r="Y22790" s="372">
        <v>0.0</v>
      </c>
      <c r="Z22790" s="372">
        <v>0.0</v>
      </c>
    </row>
    <row r="22791">
      <c r="Y22791" s="372">
        <v>0.0</v>
      </c>
      <c r="Z22791" s="372">
        <v>0.0</v>
      </c>
    </row>
    <row r="22792">
      <c r="Y22792" s="372">
        <v>0.0</v>
      </c>
      <c r="Z22792" s="372">
        <v>0.0</v>
      </c>
    </row>
    <row r="22793">
      <c r="Y22793" s="372">
        <v>0.0</v>
      </c>
      <c r="Z22793" s="372">
        <v>0.0</v>
      </c>
    </row>
    <row r="22794">
      <c r="Y22794" s="372">
        <v>0.0</v>
      </c>
      <c r="Z22794" s="372">
        <v>0.0</v>
      </c>
    </row>
    <row r="22795">
      <c r="Y22795" s="372">
        <v>0.0</v>
      </c>
      <c r="Z22795" s="372">
        <v>0.0</v>
      </c>
    </row>
    <row r="22796">
      <c r="Y22796" s="372">
        <v>0.0</v>
      </c>
      <c r="Z22796" s="372">
        <v>0.0</v>
      </c>
    </row>
    <row r="22797">
      <c r="Y22797" s="372">
        <v>0.0</v>
      </c>
      <c r="Z22797" s="372">
        <v>0.0</v>
      </c>
    </row>
    <row r="22798">
      <c r="Y22798" s="372">
        <v>0.0</v>
      </c>
      <c r="Z22798" s="372">
        <v>0.0</v>
      </c>
    </row>
    <row r="22799">
      <c r="Y22799" s="372">
        <v>0.0</v>
      </c>
      <c r="Z22799" s="372">
        <v>0.0</v>
      </c>
    </row>
    <row r="22800">
      <c r="Y22800" s="372">
        <v>0.0</v>
      </c>
      <c r="Z22800" s="372">
        <v>0.0</v>
      </c>
    </row>
    <row r="22801">
      <c r="Y22801" s="372">
        <v>0.0</v>
      </c>
      <c r="Z22801" s="372">
        <v>0.0</v>
      </c>
    </row>
    <row r="22802">
      <c r="Y22802" s="372">
        <v>0.0</v>
      </c>
      <c r="Z22802" s="372">
        <v>0.0</v>
      </c>
    </row>
    <row r="22803">
      <c r="Y22803" s="372">
        <v>0.0</v>
      </c>
      <c r="Z22803" s="372">
        <v>0.0</v>
      </c>
    </row>
    <row r="22804">
      <c r="Y22804" s="372">
        <v>0.0</v>
      </c>
      <c r="Z22804" s="372">
        <v>0.0</v>
      </c>
    </row>
    <row r="22805">
      <c r="Y22805" s="372">
        <v>0.0</v>
      </c>
      <c r="Z22805" s="372">
        <v>0.0</v>
      </c>
    </row>
    <row r="22806">
      <c r="Y22806" s="372">
        <v>0.0</v>
      </c>
      <c r="Z22806" s="372">
        <v>0.0</v>
      </c>
    </row>
    <row r="22807">
      <c r="Y22807" s="372">
        <v>0.0</v>
      </c>
      <c r="Z22807" s="372">
        <v>0.0</v>
      </c>
    </row>
    <row r="22808">
      <c r="Y22808" s="372">
        <v>0.0</v>
      </c>
      <c r="Z22808" s="372">
        <v>0.0</v>
      </c>
    </row>
    <row r="22809">
      <c r="Y22809" s="372">
        <v>0.0</v>
      </c>
      <c r="Z22809" s="372">
        <v>0.0</v>
      </c>
    </row>
    <row r="22810">
      <c r="Y22810" s="372">
        <v>0.0</v>
      </c>
      <c r="Z22810" s="372">
        <v>0.0</v>
      </c>
    </row>
    <row r="22811">
      <c r="Y22811" s="372">
        <v>0.0</v>
      </c>
      <c r="Z22811" s="372">
        <v>0.0</v>
      </c>
    </row>
    <row r="22812">
      <c r="Y22812" s="372">
        <v>0.0</v>
      </c>
      <c r="Z22812" s="372">
        <v>0.0</v>
      </c>
    </row>
    <row r="22813">
      <c r="Y22813" s="372">
        <v>0.0</v>
      </c>
      <c r="Z22813" s="372">
        <v>0.0</v>
      </c>
    </row>
    <row r="22814">
      <c r="Y22814" s="372">
        <v>0.0</v>
      </c>
      <c r="Z22814" s="372">
        <v>0.0</v>
      </c>
    </row>
    <row r="22815">
      <c r="Y22815" s="372">
        <v>0.0</v>
      </c>
      <c r="Z22815" s="372">
        <v>0.0</v>
      </c>
    </row>
    <row r="22816">
      <c r="Y22816" s="372">
        <v>0.0</v>
      </c>
      <c r="Z22816" s="372">
        <v>0.0</v>
      </c>
    </row>
    <row r="22817">
      <c r="Y22817" s="372">
        <v>0.0</v>
      </c>
      <c r="Z22817" s="372">
        <v>0.0</v>
      </c>
    </row>
    <row r="22818">
      <c r="Y22818" s="372">
        <v>0.0</v>
      </c>
      <c r="Z22818" s="372">
        <v>0.0</v>
      </c>
    </row>
    <row r="22819">
      <c r="Y22819" s="372">
        <v>0.0</v>
      </c>
      <c r="Z22819" s="372">
        <v>0.0</v>
      </c>
    </row>
    <row r="22820">
      <c r="Y22820" s="372">
        <v>0.0</v>
      </c>
      <c r="Z22820" s="372">
        <v>0.0</v>
      </c>
    </row>
    <row r="22821">
      <c r="Y22821" s="372">
        <v>0.0</v>
      </c>
      <c r="Z22821" s="372">
        <v>0.0</v>
      </c>
    </row>
    <row r="22822">
      <c r="Y22822" s="372">
        <v>0.0</v>
      </c>
      <c r="Z22822" s="372">
        <v>0.0</v>
      </c>
    </row>
    <row r="22823">
      <c r="Y22823" s="372">
        <v>0.0</v>
      </c>
      <c r="Z22823" s="372">
        <v>0.0</v>
      </c>
    </row>
    <row r="22824">
      <c r="Y22824" s="372">
        <v>0.0</v>
      </c>
      <c r="Z22824" s="372">
        <v>0.0</v>
      </c>
    </row>
    <row r="22825">
      <c r="Y22825" s="372">
        <v>0.0</v>
      </c>
      <c r="Z22825" s="372">
        <v>0.0</v>
      </c>
    </row>
    <row r="22826">
      <c r="Y22826" s="372">
        <v>0.0</v>
      </c>
      <c r="Z22826" s="372">
        <v>0.0</v>
      </c>
    </row>
    <row r="22827">
      <c r="Y22827" s="372">
        <v>0.0</v>
      </c>
      <c r="Z22827" s="372">
        <v>0.0</v>
      </c>
    </row>
    <row r="22828">
      <c r="Y22828" s="372">
        <v>0.0</v>
      </c>
      <c r="Z22828" s="372">
        <v>0.0</v>
      </c>
    </row>
    <row r="22829">
      <c r="Y22829" s="372">
        <v>0.0</v>
      </c>
      <c r="Z22829" s="372">
        <v>0.0</v>
      </c>
    </row>
    <row r="22830">
      <c r="Y22830" s="372">
        <v>0.0</v>
      </c>
      <c r="Z22830" s="372">
        <v>0.0</v>
      </c>
    </row>
    <row r="22831">
      <c r="Y22831" s="372">
        <v>0.0</v>
      </c>
      <c r="Z22831" s="372">
        <v>0.0</v>
      </c>
    </row>
    <row r="22832">
      <c r="Y22832" s="372">
        <v>0.0</v>
      </c>
      <c r="Z22832" s="372">
        <v>0.0</v>
      </c>
    </row>
    <row r="22833">
      <c r="Y22833" s="372">
        <v>0.0</v>
      </c>
      <c r="Z22833" s="372">
        <v>0.0</v>
      </c>
    </row>
    <row r="22834">
      <c r="Y22834" s="372">
        <v>0.0</v>
      </c>
      <c r="Z22834" s="372">
        <v>0.0</v>
      </c>
    </row>
    <row r="22835">
      <c r="Y22835" s="372">
        <v>0.0</v>
      </c>
      <c r="Z22835" s="372">
        <v>0.0</v>
      </c>
    </row>
    <row r="22836">
      <c r="Y22836" s="372">
        <v>0.0</v>
      </c>
      <c r="Z22836" s="372">
        <v>0.0</v>
      </c>
    </row>
    <row r="22837">
      <c r="Y22837" s="372">
        <v>0.0</v>
      </c>
      <c r="Z22837" s="372">
        <v>0.0</v>
      </c>
    </row>
    <row r="22838">
      <c r="Y22838" s="372">
        <v>0.0</v>
      </c>
      <c r="Z22838" s="372">
        <v>0.0</v>
      </c>
    </row>
    <row r="22839">
      <c r="Y22839" s="372">
        <v>0.0</v>
      </c>
      <c r="Z22839" s="372">
        <v>0.0</v>
      </c>
    </row>
    <row r="22840">
      <c r="Y22840" s="372">
        <v>0.0</v>
      </c>
      <c r="Z22840" s="372">
        <v>0.0</v>
      </c>
    </row>
    <row r="22841">
      <c r="Y22841" s="372">
        <v>0.0</v>
      </c>
      <c r="Z22841" s="372">
        <v>0.0</v>
      </c>
    </row>
    <row r="22842">
      <c r="Y22842" s="372">
        <v>0.0</v>
      </c>
      <c r="Z22842" s="372">
        <v>0.0</v>
      </c>
    </row>
    <row r="22843">
      <c r="Y22843" s="372">
        <v>0.0</v>
      </c>
      <c r="Z22843" s="372">
        <v>0.0</v>
      </c>
    </row>
    <row r="22844">
      <c r="Y22844" s="372">
        <v>0.0</v>
      </c>
      <c r="Z22844" s="372">
        <v>0.0</v>
      </c>
    </row>
    <row r="22845">
      <c r="Y22845" s="372">
        <v>0.0</v>
      </c>
      <c r="Z22845" s="372">
        <v>0.0</v>
      </c>
    </row>
    <row r="22846">
      <c r="Y22846" s="372">
        <v>0.0</v>
      </c>
      <c r="Z22846" s="372">
        <v>0.0</v>
      </c>
    </row>
    <row r="22847">
      <c r="Y22847" s="372">
        <v>0.0</v>
      </c>
      <c r="Z22847" s="372">
        <v>0.0</v>
      </c>
    </row>
    <row r="22848">
      <c r="Y22848" s="372">
        <v>0.0</v>
      </c>
      <c r="Z22848" s="372">
        <v>0.0</v>
      </c>
    </row>
    <row r="22849">
      <c r="Y22849" s="372">
        <v>0.0</v>
      </c>
      <c r="Z22849" s="372">
        <v>0.0</v>
      </c>
    </row>
    <row r="22850">
      <c r="Y22850" s="372">
        <v>0.0</v>
      </c>
      <c r="Z22850" s="372">
        <v>0.0</v>
      </c>
    </row>
    <row r="22851">
      <c r="Y22851" s="372">
        <v>0.0</v>
      </c>
      <c r="Z22851" s="372">
        <v>0.0</v>
      </c>
    </row>
    <row r="22852">
      <c r="Y22852" s="372">
        <v>0.0</v>
      </c>
      <c r="Z22852" s="372">
        <v>0.0</v>
      </c>
    </row>
    <row r="22853">
      <c r="Y22853" s="372">
        <v>0.0</v>
      </c>
      <c r="Z22853" s="372">
        <v>0.0</v>
      </c>
    </row>
    <row r="22854">
      <c r="Y22854" s="372">
        <v>0.0</v>
      </c>
      <c r="Z22854" s="372">
        <v>0.0</v>
      </c>
    </row>
    <row r="22855">
      <c r="Y22855" s="372">
        <v>0.0</v>
      </c>
      <c r="Z22855" s="372">
        <v>0.0</v>
      </c>
    </row>
    <row r="22856">
      <c r="Y22856" s="372">
        <v>0.0</v>
      </c>
      <c r="Z22856" s="372">
        <v>0.0</v>
      </c>
    </row>
    <row r="22857">
      <c r="Y22857" s="372">
        <v>0.0</v>
      </c>
      <c r="Z22857" s="372">
        <v>0.0</v>
      </c>
    </row>
    <row r="22858">
      <c r="Y22858" s="372">
        <v>0.0</v>
      </c>
      <c r="Z22858" s="372">
        <v>0.0</v>
      </c>
    </row>
    <row r="22859">
      <c r="Y22859" s="372">
        <v>0.0</v>
      </c>
      <c r="Z22859" s="372">
        <v>0.0</v>
      </c>
    </row>
    <row r="22860">
      <c r="Y22860" s="372">
        <v>0.0</v>
      </c>
      <c r="Z22860" s="372">
        <v>0.0</v>
      </c>
    </row>
    <row r="22861">
      <c r="Y22861" s="372">
        <v>0.0</v>
      </c>
      <c r="Z22861" s="372">
        <v>0.0</v>
      </c>
    </row>
    <row r="22862">
      <c r="Y22862" s="372">
        <v>0.0</v>
      </c>
      <c r="Z22862" s="372">
        <v>0.0</v>
      </c>
    </row>
    <row r="22863">
      <c r="Y22863" s="372">
        <v>0.0</v>
      </c>
      <c r="Z22863" s="372">
        <v>0.0</v>
      </c>
    </row>
    <row r="22864">
      <c r="Y22864" s="372">
        <v>0.0</v>
      </c>
      <c r="Z22864" s="372">
        <v>0.0</v>
      </c>
    </row>
    <row r="22865">
      <c r="Y22865" s="372">
        <v>0.0</v>
      </c>
      <c r="Z22865" s="372">
        <v>0.0</v>
      </c>
    </row>
    <row r="22866">
      <c r="Y22866" s="372">
        <v>0.0</v>
      </c>
      <c r="Z22866" s="372">
        <v>0.0</v>
      </c>
    </row>
    <row r="22867">
      <c r="Y22867" s="372">
        <v>0.0</v>
      </c>
      <c r="Z22867" s="372">
        <v>0.0</v>
      </c>
    </row>
    <row r="22868">
      <c r="Y22868" s="372">
        <v>0.0</v>
      </c>
      <c r="Z22868" s="372">
        <v>0.0</v>
      </c>
    </row>
    <row r="22869">
      <c r="Y22869" s="372">
        <v>0.0</v>
      </c>
      <c r="Z22869" s="372">
        <v>0.0</v>
      </c>
    </row>
    <row r="22870">
      <c r="Y22870" s="372">
        <v>0.0</v>
      </c>
      <c r="Z22870" s="372">
        <v>0.0</v>
      </c>
    </row>
    <row r="22871">
      <c r="Y22871" s="372">
        <v>0.0</v>
      </c>
      <c r="Z22871" s="372">
        <v>0.0</v>
      </c>
    </row>
    <row r="22872">
      <c r="Y22872" s="372">
        <v>0.0</v>
      </c>
      <c r="Z22872" s="372">
        <v>0.0</v>
      </c>
    </row>
    <row r="22873">
      <c r="Y22873" s="372">
        <v>0.0</v>
      </c>
      <c r="Z22873" s="372">
        <v>0.0</v>
      </c>
    </row>
    <row r="22874">
      <c r="Y22874" s="372">
        <v>0.0</v>
      </c>
      <c r="Z22874" s="372">
        <v>0.0</v>
      </c>
    </row>
    <row r="22875">
      <c r="Y22875" s="372">
        <v>0.0</v>
      </c>
      <c r="Z22875" s="372">
        <v>0.0</v>
      </c>
    </row>
    <row r="22876">
      <c r="Y22876" s="372">
        <v>0.0</v>
      </c>
      <c r="Z22876" s="372">
        <v>0.0</v>
      </c>
    </row>
    <row r="22877">
      <c r="Y22877" s="372">
        <v>0.0</v>
      </c>
      <c r="Z22877" s="372">
        <v>0.0</v>
      </c>
    </row>
    <row r="22878">
      <c r="Y22878" s="372">
        <v>0.0</v>
      </c>
      <c r="Z22878" s="372">
        <v>0.0</v>
      </c>
    </row>
    <row r="22879">
      <c r="Y22879" s="372">
        <v>0.0</v>
      </c>
      <c r="Z22879" s="372">
        <v>0.0</v>
      </c>
    </row>
    <row r="22880">
      <c r="Y22880" s="372">
        <v>0.0</v>
      </c>
      <c r="Z22880" s="372">
        <v>0.0</v>
      </c>
    </row>
    <row r="22881">
      <c r="Y22881" s="372">
        <v>0.0</v>
      </c>
      <c r="Z22881" s="372">
        <v>0.0</v>
      </c>
    </row>
    <row r="22882">
      <c r="Y22882" s="372">
        <v>0.0</v>
      </c>
      <c r="Z22882" s="372">
        <v>0.0</v>
      </c>
    </row>
    <row r="22883">
      <c r="Y22883" s="372">
        <v>0.0</v>
      </c>
      <c r="Z22883" s="372">
        <v>0.0</v>
      </c>
    </row>
    <row r="22884">
      <c r="Y22884" s="372">
        <v>0.0</v>
      </c>
      <c r="Z22884" s="372">
        <v>0.0</v>
      </c>
    </row>
    <row r="22885">
      <c r="Y22885" s="372">
        <v>0.0</v>
      </c>
      <c r="Z22885" s="372">
        <v>0.0</v>
      </c>
    </row>
    <row r="22886">
      <c r="Y22886" s="372">
        <v>0.0</v>
      </c>
      <c r="Z22886" s="372">
        <v>0.0</v>
      </c>
    </row>
    <row r="22887">
      <c r="Y22887" s="372">
        <v>0.0</v>
      </c>
      <c r="Z22887" s="372">
        <v>0.0</v>
      </c>
    </row>
    <row r="22888">
      <c r="Y22888" s="372">
        <v>0.0</v>
      </c>
      <c r="Z22888" s="372">
        <v>0.0</v>
      </c>
    </row>
    <row r="22889">
      <c r="Y22889" s="372">
        <v>0.0</v>
      </c>
      <c r="Z22889" s="372">
        <v>0.0</v>
      </c>
    </row>
    <row r="22890">
      <c r="Y22890" s="372">
        <v>0.0</v>
      </c>
      <c r="Z22890" s="372">
        <v>0.0</v>
      </c>
    </row>
    <row r="22891">
      <c r="Y22891" s="372">
        <v>0.0</v>
      </c>
      <c r="Z22891" s="372">
        <v>0.0</v>
      </c>
    </row>
    <row r="22892">
      <c r="Y22892" s="372">
        <v>0.0</v>
      </c>
      <c r="Z22892" s="372">
        <v>0.0</v>
      </c>
    </row>
    <row r="22893">
      <c r="Y22893" s="372">
        <v>0.0</v>
      </c>
      <c r="Z22893" s="372">
        <v>0.0</v>
      </c>
    </row>
    <row r="22894">
      <c r="Y22894" s="372">
        <v>0.0</v>
      </c>
      <c r="Z22894" s="372">
        <v>0.0</v>
      </c>
    </row>
    <row r="22895">
      <c r="Y22895" s="372">
        <v>0.0</v>
      </c>
      <c r="Z22895" s="372">
        <v>0.0</v>
      </c>
    </row>
    <row r="22896">
      <c r="Y22896" s="372">
        <v>0.0</v>
      </c>
      <c r="Z22896" s="372">
        <v>0.0</v>
      </c>
    </row>
    <row r="22897">
      <c r="Y22897" s="372">
        <v>0.0</v>
      </c>
      <c r="Z22897" s="372">
        <v>0.0</v>
      </c>
    </row>
    <row r="22898">
      <c r="Y22898" s="372">
        <v>0.0</v>
      </c>
      <c r="Z22898" s="372">
        <v>0.0</v>
      </c>
    </row>
    <row r="22899">
      <c r="Y22899" s="372">
        <v>0.0</v>
      </c>
      <c r="Z22899" s="372">
        <v>0.0</v>
      </c>
    </row>
    <row r="22900">
      <c r="Y22900" s="372">
        <v>0.0</v>
      </c>
      <c r="Z22900" s="372">
        <v>0.0</v>
      </c>
    </row>
    <row r="22901">
      <c r="Y22901" s="372">
        <v>0.0</v>
      </c>
      <c r="Z22901" s="372">
        <v>0.0</v>
      </c>
    </row>
    <row r="22902">
      <c r="Y22902" s="372">
        <v>0.0</v>
      </c>
      <c r="Z22902" s="372">
        <v>0.0</v>
      </c>
    </row>
    <row r="22903">
      <c r="Y22903" s="372">
        <v>0.0</v>
      </c>
      <c r="Z22903" s="372">
        <v>0.0</v>
      </c>
    </row>
    <row r="22904">
      <c r="Y22904" s="372">
        <v>0.0</v>
      </c>
      <c r="Z22904" s="372">
        <v>0.0</v>
      </c>
    </row>
    <row r="22905">
      <c r="Y22905" s="372">
        <v>0.0</v>
      </c>
      <c r="Z22905" s="372">
        <v>0.0</v>
      </c>
    </row>
    <row r="22906">
      <c r="Y22906" s="372">
        <v>0.0</v>
      </c>
      <c r="Z22906" s="372">
        <v>0.0</v>
      </c>
    </row>
    <row r="22907">
      <c r="Y22907" s="372">
        <v>0.0</v>
      </c>
      <c r="Z22907" s="372">
        <v>0.0</v>
      </c>
    </row>
    <row r="22908">
      <c r="Y22908" s="372">
        <v>0.0</v>
      </c>
      <c r="Z22908" s="372">
        <v>0.0</v>
      </c>
    </row>
    <row r="22909">
      <c r="Y22909" s="372">
        <v>0.0</v>
      </c>
      <c r="Z22909" s="372">
        <v>0.0</v>
      </c>
    </row>
    <row r="22910">
      <c r="Y22910" s="372">
        <v>0.0</v>
      </c>
      <c r="Z22910" s="372">
        <v>0.0</v>
      </c>
    </row>
    <row r="22911">
      <c r="Y22911" s="372">
        <v>0.0</v>
      </c>
      <c r="Z22911" s="372">
        <v>0.0</v>
      </c>
    </row>
    <row r="22912">
      <c r="Y22912" s="372">
        <v>0.0</v>
      </c>
      <c r="Z22912" s="372">
        <v>0.0</v>
      </c>
    </row>
    <row r="22913">
      <c r="Y22913" s="372">
        <v>0.0</v>
      </c>
      <c r="Z22913" s="372">
        <v>0.0</v>
      </c>
    </row>
    <row r="22914">
      <c r="Y22914" s="372">
        <v>0.0</v>
      </c>
      <c r="Z22914" s="372">
        <v>0.0</v>
      </c>
    </row>
    <row r="22915">
      <c r="Y22915" s="372">
        <v>0.0</v>
      </c>
      <c r="Z22915" s="372">
        <v>0.0</v>
      </c>
    </row>
    <row r="22916">
      <c r="Y22916" s="372">
        <v>0.0</v>
      </c>
      <c r="Z22916" s="372">
        <v>0.0</v>
      </c>
    </row>
    <row r="22917">
      <c r="Y22917" s="372">
        <v>0.0</v>
      </c>
      <c r="Z22917" s="372">
        <v>0.0</v>
      </c>
    </row>
    <row r="22918">
      <c r="Y22918" s="372">
        <v>0.0</v>
      </c>
      <c r="Z22918" s="372">
        <v>0.0</v>
      </c>
    </row>
    <row r="22919">
      <c r="Y22919" s="372">
        <v>0.0</v>
      </c>
      <c r="Z22919" s="372">
        <v>0.0</v>
      </c>
    </row>
    <row r="22920">
      <c r="Y22920" s="372">
        <v>0.0</v>
      </c>
      <c r="Z22920" s="372">
        <v>0.0</v>
      </c>
    </row>
    <row r="22921">
      <c r="Y22921" s="372">
        <v>0.0</v>
      </c>
      <c r="Z22921" s="372">
        <v>0.0</v>
      </c>
    </row>
    <row r="22922">
      <c r="Y22922" s="372">
        <v>0.0</v>
      </c>
      <c r="Z22922" s="372">
        <v>0.0</v>
      </c>
    </row>
    <row r="22923">
      <c r="Y22923" s="372">
        <v>0.0</v>
      </c>
      <c r="Z22923" s="372">
        <v>0.0</v>
      </c>
    </row>
    <row r="22924">
      <c r="Y22924" s="372">
        <v>0.0</v>
      </c>
      <c r="Z22924" s="372">
        <v>0.0</v>
      </c>
    </row>
    <row r="22925">
      <c r="Y22925" s="372">
        <v>0.0</v>
      </c>
      <c r="Z22925" s="372">
        <v>0.0</v>
      </c>
    </row>
    <row r="22926">
      <c r="Y22926" s="372">
        <v>0.0</v>
      </c>
      <c r="Z22926" s="372">
        <v>0.0</v>
      </c>
    </row>
    <row r="22927">
      <c r="Y22927" s="372">
        <v>0.0</v>
      </c>
      <c r="Z22927" s="372">
        <v>0.0</v>
      </c>
    </row>
    <row r="22928">
      <c r="Y22928" s="372">
        <v>0.0</v>
      </c>
      <c r="Z22928" s="372">
        <v>0.0</v>
      </c>
    </row>
    <row r="22929">
      <c r="Y22929" s="372">
        <v>0.0</v>
      </c>
      <c r="Z22929" s="372">
        <v>0.0</v>
      </c>
    </row>
    <row r="22930">
      <c r="Y22930" s="372">
        <v>0.0</v>
      </c>
      <c r="Z22930" s="372">
        <v>0.0</v>
      </c>
    </row>
    <row r="22931">
      <c r="Y22931" s="372">
        <v>0.0</v>
      </c>
      <c r="Z22931" s="372">
        <v>0.0</v>
      </c>
    </row>
    <row r="22932">
      <c r="Y22932" s="372">
        <v>0.0</v>
      </c>
      <c r="Z22932" s="372">
        <v>0.0</v>
      </c>
    </row>
    <row r="22933">
      <c r="Y22933" s="372">
        <v>0.0</v>
      </c>
      <c r="Z22933" s="372">
        <v>0.0</v>
      </c>
    </row>
    <row r="22934">
      <c r="Y22934" s="372">
        <v>0.0</v>
      </c>
      <c r="Z22934" s="372">
        <v>0.0</v>
      </c>
    </row>
    <row r="22935">
      <c r="Y22935" s="372">
        <v>0.0</v>
      </c>
      <c r="Z22935" s="372">
        <v>0.0</v>
      </c>
    </row>
    <row r="22936">
      <c r="Y22936" s="372">
        <v>0.0</v>
      </c>
      <c r="Z22936" s="372">
        <v>0.0</v>
      </c>
    </row>
    <row r="22937">
      <c r="Y22937" s="372">
        <v>0.0</v>
      </c>
      <c r="Z22937" s="372">
        <v>0.0</v>
      </c>
    </row>
    <row r="22938">
      <c r="Y22938" s="372">
        <v>0.0</v>
      </c>
      <c r="Z22938" s="372">
        <v>0.0</v>
      </c>
    </row>
    <row r="22939">
      <c r="Y22939" s="372">
        <v>0.0</v>
      </c>
      <c r="Z22939" s="372">
        <v>0.0</v>
      </c>
    </row>
    <row r="22940">
      <c r="Y22940" s="372">
        <v>0.0</v>
      </c>
      <c r="Z22940" s="372">
        <v>0.0</v>
      </c>
    </row>
    <row r="22941">
      <c r="Y22941" s="372">
        <v>0.0</v>
      </c>
      <c r="Z22941" s="372">
        <v>0.0</v>
      </c>
    </row>
    <row r="22942">
      <c r="Y22942" s="372">
        <v>0.0</v>
      </c>
      <c r="Z22942" s="372">
        <v>0.0</v>
      </c>
    </row>
    <row r="22943">
      <c r="Y22943" s="372">
        <v>0.0</v>
      </c>
      <c r="Z22943" s="372">
        <v>0.0</v>
      </c>
    </row>
    <row r="22944">
      <c r="Y22944" s="372">
        <v>0.0</v>
      </c>
      <c r="Z22944" s="372">
        <v>0.0</v>
      </c>
    </row>
    <row r="22945">
      <c r="Y22945" s="372">
        <v>0.0</v>
      </c>
      <c r="Z22945" s="372">
        <v>0.0</v>
      </c>
    </row>
    <row r="22946">
      <c r="Y22946" s="372">
        <v>0.0</v>
      </c>
      <c r="Z22946" s="372">
        <v>0.0</v>
      </c>
    </row>
    <row r="22947">
      <c r="Y22947" s="372">
        <v>0.0</v>
      </c>
      <c r="Z22947" s="372">
        <v>0.0</v>
      </c>
    </row>
    <row r="22948">
      <c r="Y22948" s="372">
        <v>0.0</v>
      </c>
      <c r="Z22948" s="372">
        <v>0.0</v>
      </c>
    </row>
    <row r="22949">
      <c r="Y22949" s="372">
        <v>0.0</v>
      </c>
      <c r="Z22949" s="372">
        <v>0.0</v>
      </c>
    </row>
    <row r="22950">
      <c r="Y22950" s="372">
        <v>0.0</v>
      </c>
      <c r="Z22950" s="372">
        <v>0.0</v>
      </c>
    </row>
    <row r="22951">
      <c r="Y22951" s="372">
        <v>0.0</v>
      </c>
      <c r="Z22951" s="372">
        <v>0.0</v>
      </c>
    </row>
    <row r="22952">
      <c r="Y22952" s="372">
        <v>0.0</v>
      </c>
      <c r="Z22952" s="372">
        <v>0.0</v>
      </c>
    </row>
    <row r="22953">
      <c r="Y22953" s="372">
        <v>0.0</v>
      </c>
      <c r="Z22953" s="372">
        <v>0.0</v>
      </c>
    </row>
    <row r="22954">
      <c r="Y22954" s="372">
        <v>0.0</v>
      </c>
      <c r="Z22954" s="372">
        <v>0.0</v>
      </c>
    </row>
    <row r="22955">
      <c r="Y22955" s="372">
        <v>0.0</v>
      </c>
      <c r="Z22955" s="372">
        <v>0.0</v>
      </c>
    </row>
    <row r="22956">
      <c r="Y22956" s="372">
        <v>0.0</v>
      </c>
      <c r="Z22956" s="372">
        <v>0.0</v>
      </c>
    </row>
    <row r="22957">
      <c r="Y22957" s="372">
        <v>0.0</v>
      </c>
      <c r="Z22957" s="372">
        <v>0.0</v>
      </c>
    </row>
    <row r="22958">
      <c r="Y22958" s="372">
        <v>0.0</v>
      </c>
      <c r="Z22958" s="372">
        <v>0.0</v>
      </c>
    </row>
    <row r="22959">
      <c r="Y22959" s="372">
        <v>0.0</v>
      </c>
      <c r="Z22959" s="372">
        <v>0.0</v>
      </c>
    </row>
    <row r="22960">
      <c r="Y22960" s="372">
        <v>0.0</v>
      </c>
      <c r="Z22960" s="372">
        <v>0.0</v>
      </c>
    </row>
    <row r="22961">
      <c r="Y22961" s="372">
        <v>0.0</v>
      </c>
      <c r="Z22961" s="372">
        <v>0.0</v>
      </c>
    </row>
    <row r="22962">
      <c r="Y22962" s="372">
        <v>0.0</v>
      </c>
      <c r="Z22962" s="372">
        <v>0.0</v>
      </c>
    </row>
    <row r="22963">
      <c r="Y22963" s="372">
        <v>0.0</v>
      </c>
      <c r="Z22963" s="372">
        <v>0.0</v>
      </c>
    </row>
    <row r="22964">
      <c r="Y22964" s="372">
        <v>0.0</v>
      </c>
      <c r="Z22964" s="372">
        <v>0.0</v>
      </c>
    </row>
    <row r="22965">
      <c r="Y22965" s="372">
        <v>0.0</v>
      </c>
      <c r="Z22965" s="372">
        <v>0.0</v>
      </c>
    </row>
    <row r="22966">
      <c r="Y22966" s="372">
        <v>0.0</v>
      </c>
      <c r="Z22966" s="372">
        <v>0.0</v>
      </c>
    </row>
    <row r="22967">
      <c r="Y22967" s="372">
        <v>0.0</v>
      </c>
      <c r="Z22967" s="372">
        <v>0.0</v>
      </c>
    </row>
    <row r="22968">
      <c r="Y22968" s="372">
        <v>0.0</v>
      </c>
      <c r="Z22968" s="372">
        <v>0.0</v>
      </c>
    </row>
    <row r="22969">
      <c r="Y22969" s="372">
        <v>0.0</v>
      </c>
      <c r="Z22969" s="372">
        <v>0.0</v>
      </c>
    </row>
    <row r="22970">
      <c r="Y22970" s="372">
        <v>0.0</v>
      </c>
      <c r="Z22970" s="372">
        <v>0.0</v>
      </c>
    </row>
    <row r="22971">
      <c r="Y22971" s="372">
        <v>0.0</v>
      </c>
      <c r="Z22971" s="372">
        <v>0.0</v>
      </c>
    </row>
    <row r="22972">
      <c r="Y22972" s="372">
        <v>0.0</v>
      </c>
      <c r="Z22972" s="372">
        <v>0.0</v>
      </c>
    </row>
    <row r="22973">
      <c r="Y22973" s="372">
        <v>0.0</v>
      </c>
      <c r="Z22973" s="372">
        <v>0.0</v>
      </c>
    </row>
    <row r="22974">
      <c r="Y22974" s="372">
        <v>0.0</v>
      </c>
      <c r="Z22974" s="372">
        <v>0.0</v>
      </c>
    </row>
    <row r="22975">
      <c r="Y22975" s="372">
        <v>0.0</v>
      </c>
      <c r="Z22975" s="372">
        <v>0.0</v>
      </c>
    </row>
    <row r="22976">
      <c r="Y22976" s="372">
        <v>0.0</v>
      </c>
      <c r="Z22976" s="372">
        <v>0.0</v>
      </c>
    </row>
    <row r="22977">
      <c r="Y22977" s="372">
        <v>0.0</v>
      </c>
      <c r="Z22977" s="372">
        <v>0.0</v>
      </c>
    </row>
    <row r="22978">
      <c r="Y22978" s="372">
        <v>0.0</v>
      </c>
      <c r="Z22978" s="372">
        <v>0.0</v>
      </c>
    </row>
    <row r="22979">
      <c r="Y22979" s="372">
        <v>0.0</v>
      </c>
      <c r="Z22979" s="372">
        <v>0.0</v>
      </c>
    </row>
    <row r="22980">
      <c r="Y22980" s="372">
        <v>0.0</v>
      </c>
      <c r="Z22980" s="372">
        <v>0.0</v>
      </c>
    </row>
    <row r="22981">
      <c r="Y22981" s="372">
        <v>0.0</v>
      </c>
      <c r="Z22981" s="372">
        <v>0.0</v>
      </c>
    </row>
    <row r="22982">
      <c r="Y22982" s="372">
        <v>0.0</v>
      </c>
      <c r="Z22982" s="372">
        <v>0.0</v>
      </c>
    </row>
    <row r="22983">
      <c r="Y22983" s="372">
        <v>0.0</v>
      </c>
      <c r="Z22983" s="372">
        <v>0.0</v>
      </c>
    </row>
    <row r="22984">
      <c r="Y22984" s="372">
        <v>0.0</v>
      </c>
      <c r="Z22984" s="372">
        <v>0.0</v>
      </c>
    </row>
    <row r="22985">
      <c r="Y22985" s="372">
        <v>0.0</v>
      </c>
      <c r="Z22985" s="372">
        <v>0.0</v>
      </c>
    </row>
    <row r="22986">
      <c r="Y22986" s="372">
        <v>0.0</v>
      </c>
      <c r="Z22986" s="372">
        <v>0.0</v>
      </c>
    </row>
    <row r="22987">
      <c r="Y22987" s="372">
        <v>0.0</v>
      </c>
      <c r="Z22987" s="372">
        <v>0.0</v>
      </c>
    </row>
    <row r="22988">
      <c r="Y22988" s="372">
        <v>0.0</v>
      </c>
      <c r="Z22988" s="372">
        <v>0.0</v>
      </c>
    </row>
    <row r="22989">
      <c r="Y22989" s="372">
        <v>0.0</v>
      </c>
      <c r="Z22989" s="372">
        <v>0.0</v>
      </c>
    </row>
    <row r="22990">
      <c r="Y22990" s="372">
        <v>0.0</v>
      </c>
      <c r="Z22990" s="372">
        <v>0.0</v>
      </c>
    </row>
    <row r="22991">
      <c r="Y22991" s="372">
        <v>0.0</v>
      </c>
      <c r="Z22991" s="372">
        <v>0.0</v>
      </c>
    </row>
    <row r="22992">
      <c r="Y22992" s="372">
        <v>0.0</v>
      </c>
      <c r="Z22992" s="372">
        <v>0.0</v>
      </c>
    </row>
    <row r="22993">
      <c r="Y22993" s="372">
        <v>0.0</v>
      </c>
      <c r="Z22993" s="372">
        <v>0.0</v>
      </c>
    </row>
    <row r="22994">
      <c r="Y22994" s="372">
        <v>0.0</v>
      </c>
      <c r="Z22994" s="372">
        <v>0.0</v>
      </c>
    </row>
    <row r="22995">
      <c r="Y22995" s="372">
        <v>0.0</v>
      </c>
      <c r="Z22995" s="372">
        <v>0.0</v>
      </c>
    </row>
    <row r="22996">
      <c r="Y22996" s="372">
        <v>0.0</v>
      </c>
      <c r="Z22996" s="372">
        <v>0.0</v>
      </c>
    </row>
    <row r="22997">
      <c r="Y22997" s="372">
        <v>0.0</v>
      </c>
      <c r="Z22997" s="372">
        <v>0.0</v>
      </c>
    </row>
    <row r="22998">
      <c r="Y22998" s="372">
        <v>0.0</v>
      </c>
      <c r="Z22998" s="372">
        <v>0.0</v>
      </c>
    </row>
    <row r="22999">
      <c r="Y22999" s="372">
        <v>0.0</v>
      </c>
      <c r="Z22999" s="372">
        <v>0.0</v>
      </c>
    </row>
    <row r="23000">
      <c r="Y23000" s="372">
        <v>0.0</v>
      </c>
      <c r="Z23000" s="372">
        <v>0.0</v>
      </c>
    </row>
    <row r="23001">
      <c r="Y23001" s="372">
        <v>0.0</v>
      </c>
      <c r="Z23001" s="372">
        <v>0.0</v>
      </c>
    </row>
    <row r="23002">
      <c r="Y23002" s="372">
        <v>0.0</v>
      </c>
      <c r="Z23002" s="372">
        <v>0.0</v>
      </c>
    </row>
    <row r="23003">
      <c r="Y23003" s="372">
        <v>0.0</v>
      </c>
      <c r="Z23003" s="372">
        <v>0.0</v>
      </c>
    </row>
    <row r="23004">
      <c r="Y23004" s="372">
        <v>0.0</v>
      </c>
      <c r="Z23004" s="372">
        <v>0.0</v>
      </c>
    </row>
    <row r="23005">
      <c r="Y23005" s="372">
        <v>0.0</v>
      </c>
      <c r="Z23005" s="372">
        <v>0.0</v>
      </c>
    </row>
    <row r="23006">
      <c r="Y23006" s="372">
        <v>0.0</v>
      </c>
      <c r="Z23006" s="372">
        <v>0.0</v>
      </c>
    </row>
    <row r="23007">
      <c r="Y23007" s="372">
        <v>0.0</v>
      </c>
      <c r="Z23007" s="372">
        <v>0.0</v>
      </c>
    </row>
    <row r="23008">
      <c r="Y23008" s="372">
        <v>0.0</v>
      </c>
      <c r="Z23008" s="372">
        <v>0.0</v>
      </c>
    </row>
    <row r="23009">
      <c r="Y23009" s="372">
        <v>0.0</v>
      </c>
      <c r="Z23009" s="372">
        <v>0.0</v>
      </c>
    </row>
    <row r="23010">
      <c r="Y23010" s="372">
        <v>0.0</v>
      </c>
      <c r="Z23010" s="372">
        <v>0.0</v>
      </c>
    </row>
    <row r="23011">
      <c r="Y23011" s="372">
        <v>0.0</v>
      </c>
      <c r="Z23011" s="372">
        <v>0.0</v>
      </c>
    </row>
    <row r="23012">
      <c r="Y23012" s="372">
        <v>0.0</v>
      </c>
      <c r="Z23012" s="372">
        <v>0.0</v>
      </c>
    </row>
    <row r="23013">
      <c r="Y23013" s="372">
        <v>0.0</v>
      </c>
      <c r="Z23013" s="372">
        <v>0.0</v>
      </c>
    </row>
    <row r="23014">
      <c r="Y23014" s="372">
        <v>0.0</v>
      </c>
      <c r="Z23014" s="372">
        <v>0.0</v>
      </c>
    </row>
    <row r="23015">
      <c r="Y23015" s="372">
        <v>0.0</v>
      </c>
      <c r="Z23015" s="372">
        <v>0.0</v>
      </c>
    </row>
    <row r="23016">
      <c r="Y23016" s="372">
        <v>0.0</v>
      </c>
      <c r="Z23016" s="372">
        <v>0.0</v>
      </c>
    </row>
    <row r="23017">
      <c r="Y23017" s="372">
        <v>0.0</v>
      </c>
      <c r="Z23017" s="372">
        <v>0.0</v>
      </c>
    </row>
    <row r="23018">
      <c r="Y23018" s="372">
        <v>0.0</v>
      </c>
      <c r="Z23018" s="372">
        <v>0.0</v>
      </c>
    </row>
    <row r="23019">
      <c r="Y23019" s="372">
        <v>0.0</v>
      </c>
      <c r="Z23019" s="372">
        <v>0.0</v>
      </c>
    </row>
    <row r="23020">
      <c r="Y23020" s="372">
        <v>0.0</v>
      </c>
      <c r="Z23020" s="372">
        <v>0.0</v>
      </c>
    </row>
    <row r="23021">
      <c r="Y23021" s="372">
        <v>0.0</v>
      </c>
      <c r="Z23021" s="372">
        <v>0.0</v>
      </c>
    </row>
    <row r="23022">
      <c r="Y23022" s="372">
        <v>0.0</v>
      </c>
      <c r="Z23022" s="372">
        <v>0.0</v>
      </c>
    </row>
    <row r="23023">
      <c r="Y23023" s="372">
        <v>0.0</v>
      </c>
      <c r="Z23023" s="372">
        <v>0.0</v>
      </c>
    </row>
    <row r="23024">
      <c r="Y23024" s="372">
        <v>0.0</v>
      </c>
      <c r="Z23024" s="372">
        <v>0.0</v>
      </c>
    </row>
    <row r="23025">
      <c r="Y23025" s="372">
        <v>0.0</v>
      </c>
      <c r="Z23025" s="372">
        <v>0.0</v>
      </c>
    </row>
    <row r="23026">
      <c r="Y23026" s="372">
        <v>0.0</v>
      </c>
      <c r="Z23026" s="372">
        <v>0.0</v>
      </c>
    </row>
    <row r="23027">
      <c r="Y23027" s="372">
        <v>0.0</v>
      </c>
      <c r="Z23027" s="372">
        <v>0.0</v>
      </c>
    </row>
    <row r="23028">
      <c r="Y23028" s="372">
        <v>0.0</v>
      </c>
      <c r="Z23028" s="372">
        <v>0.0</v>
      </c>
    </row>
    <row r="23029">
      <c r="Y23029" s="372">
        <v>0.0</v>
      </c>
      <c r="Z23029" s="372">
        <v>0.0</v>
      </c>
    </row>
    <row r="23030">
      <c r="Y23030" s="372">
        <v>0.0</v>
      </c>
      <c r="Z23030" s="372">
        <v>0.0</v>
      </c>
    </row>
    <row r="23031">
      <c r="Y23031" s="372">
        <v>0.0</v>
      </c>
      <c r="Z23031" s="372">
        <v>0.0</v>
      </c>
    </row>
    <row r="23032">
      <c r="Y23032" s="372">
        <v>0.0</v>
      </c>
      <c r="Z23032" s="372">
        <v>0.0</v>
      </c>
    </row>
    <row r="23033">
      <c r="Y23033" s="372">
        <v>0.0</v>
      </c>
      <c r="Z23033" s="372">
        <v>0.0</v>
      </c>
    </row>
    <row r="23034">
      <c r="Y23034" s="372">
        <v>0.0</v>
      </c>
      <c r="Z23034" s="372">
        <v>0.0</v>
      </c>
    </row>
    <row r="23035">
      <c r="Y23035" s="372">
        <v>0.0</v>
      </c>
      <c r="Z23035" s="372">
        <v>0.0</v>
      </c>
    </row>
    <row r="23036">
      <c r="Y23036" s="372">
        <v>0.0</v>
      </c>
      <c r="Z23036" s="372">
        <v>0.0</v>
      </c>
    </row>
    <row r="23037">
      <c r="Y23037" s="372">
        <v>0.0</v>
      </c>
      <c r="Z23037" s="372">
        <v>0.0</v>
      </c>
    </row>
    <row r="23038">
      <c r="Y23038" s="372">
        <v>0.0</v>
      </c>
      <c r="Z23038" s="372">
        <v>0.0</v>
      </c>
    </row>
    <row r="23039">
      <c r="Y23039" s="372">
        <v>0.0</v>
      </c>
      <c r="Z23039" s="372">
        <v>0.0</v>
      </c>
    </row>
    <row r="23040">
      <c r="Y23040" s="372">
        <v>0.0</v>
      </c>
      <c r="Z23040" s="372">
        <v>0.0</v>
      </c>
    </row>
    <row r="23041">
      <c r="Y23041" s="372">
        <v>0.0</v>
      </c>
      <c r="Z23041" s="372">
        <v>0.0</v>
      </c>
    </row>
    <row r="23042">
      <c r="Y23042" s="372">
        <v>0.0</v>
      </c>
      <c r="Z23042" s="372">
        <v>0.0</v>
      </c>
    </row>
    <row r="23043">
      <c r="Y23043" s="372">
        <v>0.0</v>
      </c>
      <c r="Z23043" s="372">
        <v>0.0</v>
      </c>
    </row>
    <row r="23044">
      <c r="Y23044" s="372">
        <v>0.0</v>
      </c>
      <c r="Z23044" s="372">
        <v>0.0</v>
      </c>
    </row>
    <row r="23045">
      <c r="Y23045" s="372">
        <v>0.0</v>
      </c>
      <c r="Z23045" s="372">
        <v>0.0</v>
      </c>
    </row>
    <row r="23046">
      <c r="Y23046" s="372">
        <v>0.0</v>
      </c>
      <c r="Z23046" s="372">
        <v>0.0</v>
      </c>
    </row>
    <row r="23047">
      <c r="Y23047" s="372">
        <v>0.0</v>
      </c>
      <c r="Z23047" s="372">
        <v>0.0</v>
      </c>
    </row>
    <row r="23048">
      <c r="Y23048" s="372">
        <v>0.0</v>
      </c>
      <c r="Z23048" s="372">
        <v>0.0</v>
      </c>
    </row>
    <row r="23049">
      <c r="Y23049" s="372">
        <v>0.0</v>
      </c>
      <c r="Z23049" s="372">
        <v>0.0</v>
      </c>
    </row>
    <row r="23050">
      <c r="Y23050" s="372">
        <v>0.0</v>
      </c>
      <c r="Z23050" s="372">
        <v>0.0</v>
      </c>
    </row>
    <row r="23051">
      <c r="Y23051" s="372">
        <v>0.0</v>
      </c>
      <c r="Z23051" s="372">
        <v>0.0</v>
      </c>
    </row>
    <row r="23052">
      <c r="Y23052" s="372">
        <v>0.0</v>
      </c>
      <c r="Z23052" s="372">
        <v>0.0</v>
      </c>
    </row>
    <row r="23053">
      <c r="Y23053" s="372">
        <v>0.0</v>
      </c>
      <c r="Z23053" s="372">
        <v>0.0</v>
      </c>
    </row>
    <row r="23054">
      <c r="Y23054" s="372">
        <v>0.0</v>
      </c>
      <c r="Z23054" s="372">
        <v>0.0</v>
      </c>
    </row>
    <row r="23055">
      <c r="Y23055" s="372">
        <v>0.0</v>
      </c>
      <c r="Z23055" s="372">
        <v>0.0</v>
      </c>
    </row>
    <row r="23056">
      <c r="Y23056" s="372">
        <v>0.0</v>
      </c>
      <c r="Z23056" s="372">
        <v>0.0</v>
      </c>
    </row>
    <row r="23057">
      <c r="Y23057" s="372">
        <v>0.0</v>
      </c>
      <c r="Z23057" s="372">
        <v>0.0</v>
      </c>
    </row>
    <row r="23058">
      <c r="Y23058" s="372">
        <v>0.0</v>
      </c>
      <c r="Z23058" s="372">
        <v>0.0</v>
      </c>
    </row>
    <row r="23059">
      <c r="Y23059" s="372">
        <v>0.0</v>
      </c>
      <c r="Z23059" s="372">
        <v>0.0</v>
      </c>
    </row>
    <row r="23060">
      <c r="Y23060" s="372">
        <v>0.0</v>
      </c>
      <c r="Z23060" s="372">
        <v>0.0</v>
      </c>
    </row>
    <row r="23061">
      <c r="Y23061" s="372">
        <v>0.0</v>
      </c>
      <c r="Z23061" s="372">
        <v>0.0</v>
      </c>
    </row>
    <row r="23062">
      <c r="Y23062" s="372">
        <v>0.0</v>
      </c>
      <c r="Z23062" s="372">
        <v>0.0</v>
      </c>
    </row>
    <row r="23063">
      <c r="Y23063" s="372">
        <v>0.0</v>
      </c>
      <c r="Z23063" s="372">
        <v>0.0</v>
      </c>
    </row>
    <row r="23064">
      <c r="Y23064" s="372">
        <v>0.0</v>
      </c>
      <c r="Z23064" s="372">
        <v>0.0</v>
      </c>
    </row>
    <row r="23065">
      <c r="Y23065" s="372">
        <v>0.0</v>
      </c>
      <c r="Z23065" s="372">
        <v>0.0</v>
      </c>
    </row>
    <row r="23066">
      <c r="Y23066" s="372">
        <v>0.0</v>
      </c>
      <c r="Z23066" s="372">
        <v>0.0</v>
      </c>
    </row>
    <row r="23067">
      <c r="Y23067" s="372">
        <v>0.0</v>
      </c>
      <c r="Z23067" s="372">
        <v>0.0</v>
      </c>
    </row>
    <row r="23068">
      <c r="Y23068" s="372">
        <v>0.0</v>
      </c>
      <c r="Z23068" s="372">
        <v>0.0</v>
      </c>
    </row>
    <row r="23069">
      <c r="Y23069" s="372">
        <v>0.0</v>
      </c>
      <c r="Z23069" s="372">
        <v>0.0</v>
      </c>
    </row>
    <row r="23070">
      <c r="Y23070" s="372">
        <v>0.0</v>
      </c>
      <c r="Z23070" s="372">
        <v>0.0</v>
      </c>
    </row>
    <row r="23071">
      <c r="Y23071" s="372">
        <v>0.0</v>
      </c>
      <c r="Z23071" s="372">
        <v>0.0</v>
      </c>
    </row>
    <row r="23072">
      <c r="Y23072" s="372">
        <v>0.0</v>
      </c>
      <c r="Z23072" s="372">
        <v>0.0</v>
      </c>
    </row>
    <row r="23073">
      <c r="Y23073" s="372">
        <v>0.0</v>
      </c>
      <c r="Z23073" s="372">
        <v>0.0</v>
      </c>
    </row>
    <row r="23074">
      <c r="Y23074" s="372">
        <v>0.0</v>
      </c>
      <c r="Z23074" s="372">
        <v>0.0</v>
      </c>
    </row>
    <row r="23075">
      <c r="Y23075" s="372">
        <v>0.0</v>
      </c>
      <c r="Z23075" s="372">
        <v>0.0</v>
      </c>
    </row>
    <row r="23076">
      <c r="Y23076" s="372">
        <v>0.0</v>
      </c>
      <c r="Z23076" s="372">
        <v>0.0</v>
      </c>
    </row>
    <row r="23077">
      <c r="Y23077" s="372">
        <v>0.0</v>
      </c>
      <c r="Z23077" s="372">
        <v>0.0</v>
      </c>
    </row>
    <row r="23078">
      <c r="Y23078" s="372">
        <v>0.0</v>
      </c>
      <c r="Z23078" s="372">
        <v>0.0</v>
      </c>
    </row>
    <row r="23079">
      <c r="Y23079" s="372">
        <v>0.0</v>
      </c>
      <c r="Z23079" s="372">
        <v>0.0</v>
      </c>
    </row>
    <row r="23080">
      <c r="Y23080" s="372">
        <v>0.0</v>
      </c>
      <c r="Z23080" s="372">
        <v>0.0</v>
      </c>
    </row>
    <row r="23081">
      <c r="Y23081" s="372">
        <v>0.0</v>
      </c>
      <c r="Z23081" s="372">
        <v>0.0</v>
      </c>
    </row>
    <row r="23082">
      <c r="Y23082" s="372">
        <v>0.0</v>
      </c>
      <c r="Z23082" s="372">
        <v>0.0</v>
      </c>
    </row>
    <row r="23083">
      <c r="Y23083" s="372">
        <v>0.0</v>
      </c>
      <c r="Z23083" s="372">
        <v>0.0</v>
      </c>
    </row>
    <row r="23084">
      <c r="Y23084" s="372">
        <v>0.0</v>
      </c>
      <c r="Z23084" s="372">
        <v>0.0</v>
      </c>
    </row>
    <row r="23085">
      <c r="Y23085" s="372">
        <v>0.0</v>
      </c>
      <c r="Z23085" s="372">
        <v>0.0</v>
      </c>
    </row>
    <row r="23086">
      <c r="Y23086" s="372">
        <v>0.0</v>
      </c>
      <c r="Z23086" s="372">
        <v>0.0</v>
      </c>
    </row>
    <row r="23087">
      <c r="Y23087" s="372">
        <v>0.0</v>
      </c>
      <c r="Z23087" s="372">
        <v>0.0</v>
      </c>
    </row>
    <row r="23088">
      <c r="Y23088" s="372">
        <v>0.0</v>
      </c>
      <c r="Z23088" s="372">
        <v>0.0</v>
      </c>
    </row>
    <row r="23089">
      <c r="Y23089" s="372">
        <v>0.0</v>
      </c>
      <c r="Z23089" s="372">
        <v>0.0</v>
      </c>
    </row>
    <row r="23090">
      <c r="Y23090" s="372">
        <v>0.0</v>
      </c>
      <c r="Z23090" s="372">
        <v>0.0</v>
      </c>
    </row>
    <row r="23091">
      <c r="Y23091" s="372">
        <v>0.0</v>
      </c>
      <c r="Z23091" s="372">
        <v>0.0</v>
      </c>
    </row>
    <row r="23092">
      <c r="Y23092" s="372">
        <v>0.0</v>
      </c>
      <c r="Z23092" s="372">
        <v>0.0</v>
      </c>
    </row>
    <row r="23093">
      <c r="Y23093" s="372">
        <v>0.0</v>
      </c>
      <c r="Z23093" s="372">
        <v>0.0</v>
      </c>
    </row>
    <row r="23094">
      <c r="Y23094" s="372">
        <v>0.0</v>
      </c>
      <c r="Z23094" s="372">
        <v>0.0</v>
      </c>
    </row>
    <row r="23095">
      <c r="Y23095" s="372">
        <v>0.0</v>
      </c>
      <c r="Z23095" s="372">
        <v>0.0</v>
      </c>
    </row>
    <row r="23096">
      <c r="Y23096" s="372">
        <v>0.0</v>
      </c>
      <c r="Z23096" s="372">
        <v>0.0</v>
      </c>
    </row>
    <row r="23097">
      <c r="Y23097" s="372">
        <v>0.0</v>
      </c>
      <c r="Z23097" s="372">
        <v>0.0</v>
      </c>
    </row>
    <row r="23098">
      <c r="Y23098" s="372">
        <v>0.0</v>
      </c>
      <c r="Z23098" s="372">
        <v>0.0</v>
      </c>
    </row>
    <row r="23099">
      <c r="Y23099" s="372">
        <v>0.0</v>
      </c>
      <c r="Z23099" s="372">
        <v>0.0</v>
      </c>
    </row>
    <row r="23100">
      <c r="Y23100" s="372">
        <v>0.0</v>
      </c>
      <c r="Z23100" s="372">
        <v>0.0</v>
      </c>
    </row>
    <row r="23101">
      <c r="Y23101" s="372">
        <v>0.0</v>
      </c>
      <c r="Z23101" s="372">
        <v>0.0</v>
      </c>
    </row>
    <row r="23102">
      <c r="Y23102" s="372">
        <v>0.0</v>
      </c>
      <c r="Z23102" s="372">
        <v>0.0</v>
      </c>
    </row>
    <row r="23103">
      <c r="Y23103" s="372">
        <v>0.0</v>
      </c>
      <c r="Z23103" s="372">
        <v>0.0</v>
      </c>
    </row>
    <row r="23104">
      <c r="Y23104" s="372">
        <v>0.0</v>
      </c>
      <c r="Z23104" s="372">
        <v>0.0</v>
      </c>
    </row>
    <row r="23105">
      <c r="Y23105" s="372">
        <v>0.0</v>
      </c>
      <c r="Z23105" s="372">
        <v>0.0</v>
      </c>
    </row>
    <row r="23106">
      <c r="Y23106" s="372">
        <v>0.0</v>
      </c>
      <c r="Z23106" s="372">
        <v>0.0</v>
      </c>
    </row>
    <row r="23107">
      <c r="Y23107" s="372">
        <v>0.0</v>
      </c>
      <c r="Z23107" s="372">
        <v>0.0</v>
      </c>
    </row>
    <row r="23108">
      <c r="Y23108" s="372">
        <v>0.0</v>
      </c>
      <c r="Z23108" s="372">
        <v>0.0</v>
      </c>
    </row>
    <row r="23109">
      <c r="Y23109" s="372">
        <v>0.0</v>
      </c>
      <c r="Z23109" s="372">
        <v>0.0</v>
      </c>
    </row>
    <row r="23110">
      <c r="Y23110" s="372">
        <v>0.0</v>
      </c>
      <c r="Z23110" s="372">
        <v>0.0</v>
      </c>
    </row>
    <row r="23111">
      <c r="Y23111" s="372">
        <v>0.0</v>
      </c>
      <c r="Z23111" s="372">
        <v>0.0</v>
      </c>
    </row>
    <row r="23112">
      <c r="Y23112" s="372">
        <v>0.0</v>
      </c>
      <c r="Z23112" s="372">
        <v>0.0</v>
      </c>
    </row>
    <row r="23113">
      <c r="Y23113" s="372">
        <v>0.0</v>
      </c>
      <c r="Z23113" s="372">
        <v>0.0</v>
      </c>
    </row>
    <row r="23114">
      <c r="Y23114" s="372">
        <v>0.0</v>
      </c>
      <c r="Z23114" s="372">
        <v>0.0</v>
      </c>
    </row>
    <row r="23115">
      <c r="Y23115" s="372">
        <v>0.0</v>
      </c>
      <c r="Z23115" s="372">
        <v>0.0</v>
      </c>
    </row>
    <row r="23116">
      <c r="Y23116" s="372">
        <v>0.0</v>
      </c>
      <c r="Z23116" s="372">
        <v>0.0</v>
      </c>
    </row>
    <row r="23117">
      <c r="Y23117" s="372">
        <v>0.0</v>
      </c>
      <c r="Z23117" s="372">
        <v>0.0</v>
      </c>
    </row>
    <row r="23118">
      <c r="Y23118" s="372">
        <v>0.0</v>
      </c>
      <c r="Z23118" s="372">
        <v>0.0</v>
      </c>
    </row>
    <row r="23119">
      <c r="Y23119" s="372">
        <v>0.0</v>
      </c>
      <c r="Z23119" s="372">
        <v>0.0</v>
      </c>
    </row>
    <row r="23120">
      <c r="Y23120" s="372">
        <v>0.0</v>
      </c>
      <c r="Z23120" s="372">
        <v>0.0</v>
      </c>
    </row>
    <row r="23121">
      <c r="Y23121" s="372">
        <v>0.0</v>
      </c>
      <c r="Z23121" s="372">
        <v>0.0</v>
      </c>
    </row>
    <row r="23122">
      <c r="Y23122" s="372">
        <v>0.0</v>
      </c>
      <c r="Z23122" s="372">
        <v>0.0</v>
      </c>
    </row>
    <row r="23123">
      <c r="Y23123" s="372">
        <v>0.0</v>
      </c>
      <c r="Z23123" s="372">
        <v>0.0</v>
      </c>
    </row>
    <row r="23124">
      <c r="Y23124" s="372">
        <v>0.0</v>
      </c>
      <c r="Z23124" s="372">
        <v>0.0</v>
      </c>
    </row>
    <row r="23125">
      <c r="Y23125" s="372">
        <v>0.0</v>
      </c>
      <c r="Z23125" s="372">
        <v>0.0</v>
      </c>
    </row>
    <row r="23126">
      <c r="Y23126" s="372">
        <v>0.0</v>
      </c>
      <c r="Z23126" s="372">
        <v>0.0</v>
      </c>
    </row>
    <row r="23127">
      <c r="Y23127" s="372">
        <v>0.0</v>
      </c>
      <c r="Z23127" s="372">
        <v>0.0</v>
      </c>
    </row>
    <row r="23128">
      <c r="Y23128" s="372">
        <v>0.0</v>
      </c>
      <c r="Z23128" s="372">
        <v>0.0</v>
      </c>
    </row>
    <row r="23129">
      <c r="Y23129" s="372">
        <v>0.0</v>
      </c>
      <c r="Z23129" s="372">
        <v>0.0</v>
      </c>
    </row>
    <row r="23130">
      <c r="Y23130" s="372">
        <v>0.0</v>
      </c>
      <c r="Z23130" s="372">
        <v>0.0</v>
      </c>
    </row>
    <row r="23131">
      <c r="Y23131" s="372">
        <v>0.0</v>
      </c>
      <c r="Z23131" s="372">
        <v>0.0</v>
      </c>
    </row>
    <row r="23132">
      <c r="Y23132" s="372">
        <v>0.0</v>
      </c>
      <c r="Z23132" s="372">
        <v>0.0</v>
      </c>
    </row>
    <row r="23133">
      <c r="Y23133" s="372">
        <v>0.0</v>
      </c>
      <c r="Z23133" s="372">
        <v>0.0</v>
      </c>
    </row>
    <row r="23134">
      <c r="Y23134" s="372">
        <v>0.0</v>
      </c>
      <c r="Z23134" s="372">
        <v>0.0</v>
      </c>
    </row>
    <row r="23135">
      <c r="Y23135" s="372">
        <v>0.0</v>
      </c>
      <c r="Z23135" s="372">
        <v>0.0</v>
      </c>
    </row>
    <row r="23136">
      <c r="Y23136" s="372">
        <v>0.0</v>
      </c>
      <c r="Z23136" s="372">
        <v>0.0</v>
      </c>
    </row>
    <row r="23137">
      <c r="Y23137" s="372">
        <v>0.0</v>
      </c>
      <c r="Z23137" s="372">
        <v>0.0</v>
      </c>
    </row>
    <row r="23138">
      <c r="Y23138" s="372">
        <v>0.0</v>
      </c>
      <c r="Z23138" s="372">
        <v>0.0</v>
      </c>
    </row>
    <row r="23139">
      <c r="Y23139" s="372">
        <v>0.0</v>
      </c>
      <c r="Z23139" s="372">
        <v>0.0</v>
      </c>
    </row>
    <row r="23140">
      <c r="Y23140" s="372">
        <v>0.0</v>
      </c>
      <c r="Z23140" s="372">
        <v>0.0</v>
      </c>
    </row>
    <row r="23141">
      <c r="Y23141" s="372">
        <v>0.0</v>
      </c>
      <c r="Z23141" s="372">
        <v>0.0</v>
      </c>
    </row>
    <row r="23142">
      <c r="Y23142" s="372">
        <v>0.0</v>
      </c>
      <c r="Z23142" s="372">
        <v>0.0</v>
      </c>
    </row>
    <row r="23143">
      <c r="Y23143" s="372">
        <v>0.0</v>
      </c>
      <c r="Z23143" s="372">
        <v>0.0</v>
      </c>
    </row>
    <row r="23144">
      <c r="Y23144" s="372">
        <v>0.0</v>
      </c>
      <c r="Z23144" s="372">
        <v>0.0</v>
      </c>
    </row>
    <row r="23145">
      <c r="Y23145" s="372">
        <v>0.0</v>
      </c>
      <c r="Z23145" s="372">
        <v>0.0</v>
      </c>
    </row>
    <row r="23146">
      <c r="Y23146" s="372">
        <v>0.0</v>
      </c>
      <c r="Z23146" s="372">
        <v>0.0</v>
      </c>
    </row>
    <row r="23147">
      <c r="Y23147" s="372">
        <v>0.0</v>
      </c>
      <c r="Z23147" s="372">
        <v>0.0</v>
      </c>
    </row>
    <row r="23148">
      <c r="Y23148" s="372">
        <v>0.0</v>
      </c>
      <c r="Z23148" s="372">
        <v>0.0</v>
      </c>
    </row>
    <row r="23149">
      <c r="Y23149" s="372">
        <v>0.0</v>
      </c>
      <c r="Z23149" s="372">
        <v>0.0</v>
      </c>
    </row>
    <row r="23150">
      <c r="Y23150" s="372">
        <v>0.0</v>
      </c>
      <c r="Z23150" s="372">
        <v>0.0</v>
      </c>
    </row>
    <row r="23151">
      <c r="Y23151" s="372">
        <v>0.0</v>
      </c>
      <c r="Z23151" s="372">
        <v>0.0</v>
      </c>
    </row>
    <row r="23152">
      <c r="Y23152" s="372">
        <v>0.0</v>
      </c>
      <c r="Z23152" s="372">
        <v>0.0</v>
      </c>
    </row>
    <row r="23153">
      <c r="Y23153" s="372">
        <v>0.0</v>
      </c>
      <c r="Z23153" s="372">
        <v>0.0</v>
      </c>
    </row>
    <row r="23154">
      <c r="Y23154" s="372">
        <v>0.0</v>
      </c>
      <c r="Z23154" s="372">
        <v>0.0</v>
      </c>
    </row>
    <row r="23155">
      <c r="Y23155" s="372">
        <v>0.0</v>
      </c>
      <c r="Z23155" s="372">
        <v>0.0</v>
      </c>
    </row>
    <row r="23156">
      <c r="Y23156" s="372">
        <v>0.0</v>
      </c>
      <c r="Z23156" s="372">
        <v>0.0</v>
      </c>
    </row>
    <row r="23157">
      <c r="Y23157" s="372">
        <v>0.0</v>
      </c>
      <c r="Z23157" s="372">
        <v>0.0</v>
      </c>
    </row>
    <row r="23158">
      <c r="Y23158" s="372">
        <v>0.0</v>
      </c>
      <c r="Z23158" s="372">
        <v>0.0</v>
      </c>
    </row>
    <row r="23159">
      <c r="Y23159" s="372">
        <v>0.0</v>
      </c>
      <c r="Z23159" s="372">
        <v>0.0</v>
      </c>
    </row>
    <row r="23160">
      <c r="Y23160" s="372">
        <v>0.0</v>
      </c>
      <c r="Z23160" s="372">
        <v>0.0</v>
      </c>
    </row>
    <row r="23161">
      <c r="Y23161" s="372">
        <v>0.0</v>
      </c>
      <c r="Z23161" s="372">
        <v>0.0</v>
      </c>
    </row>
    <row r="23162">
      <c r="Y23162" s="372">
        <v>0.0</v>
      </c>
      <c r="Z23162" s="372">
        <v>0.0</v>
      </c>
    </row>
    <row r="23163">
      <c r="Y23163" s="372">
        <v>0.0</v>
      </c>
      <c r="Z23163" s="372">
        <v>0.0</v>
      </c>
    </row>
    <row r="23164">
      <c r="Y23164" s="372">
        <v>0.0</v>
      </c>
      <c r="Z23164" s="372">
        <v>0.0</v>
      </c>
    </row>
    <row r="23165">
      <c r="Y23165" s="372">
        <v>0.0</v>
      </c>
      <c r="Z23165" s="372">
        <v>0.0</v>
      </c>
    </row>
    <row r="23166">
      <c r="Y23166" s="372">
        <v>0.0</v>
      </c>
      <c r="Z23166" s="372">
        <v>0.0</v>
      </c>
    </row>
    <row r="23167">
      <c r="Y23167" s="372">
        <v>0.0</v>
      </c>
      <c r="Z23167" s="372">
        <v>0.0</v>
      </c>
    </row>
    <row r="23168">
      <c r="Y23168" s="372">
        <v>0.0</v>
      </c>
      <c r="Z23168" s="372">
        <v>0.0</v>
      </c>
    </row>
    <row r="23169">
      <c r="Y23169" s="372">
        <v>0.0</v>
      </c>
      <c r="Z23169" s="372">
        <v>0.0</v>
      </c>
    </row>
    <row r="23170">
      <c r="Y23170" s="372">
        <v>0.0</v>
      </c>
      <c r="Z23170" s="372">
        <v>0.0</v>
      </c>
    </row>
    <row r="23171">
      <c r="Y23171" s="372">
        <v>0.0</v>
      </c>
      <c r="Z23171" s="372">
        <v>0.0</v>
      </c>
    </row>
    <row r="23172">
      <c r="Y23172" s="372">
        <v>0.0</v>
      </c>
      <c r="Z23172" s="372">
        <v>0.0</v>
      </c>
    </row>
    <row r="23173">
      <c r="Y23173" s="372">
        <v>0.0</v>
      </c>
      <c r="Z23173" s="372">
        <v>0.0</v>
      </c>
    </row>
    <row r="23174">
      <c r="Y23174" s="372">
        <v>0.0</v>
      </c>
      <c r="Z23174" s="372">
        <v>0.0</v>
      </c>
    </row>
    <row r="23175">
      <c r="Y23175" s="372">
        <v>0.0</v>
      </c>
      <c r="Z23175" s="372">
        <v>0.0</v>
      </c>
    </row>
    <row r="23176">
      <c r="Y23176" s="372">
        <v>0.0</v>
      </c>
      <c r="Z23176" s="372">
        <v>0.0</v>
      </c>
    </row>
    <row r="23177">
      <c r="Y23177" s="372">
        <v>0.0</v>
      </c>
      <c r="Z23177" s="372">
        <v>0.0</v>
      </c>
    </row>
    <row r="23178">
      <c r="Y23178" s="372">
        <v>0.0</v>
      </c>
      <c r="Z23178" s="372">
        <v>0.0</v>
      </c>
    </row>
    <row r="23179">
      <c r="Y23179" s="372">
        <v>0.0</v>
      </c>
      <c r="Z23179" s="372">
        <v>0.0</v>
      </c>
    </row>
    <row r="23180">
      <c r="Y23180" s="372">
        <v>0.0</v>
      </c>
      <c r="Z23180" s="372">
        <v>0.0</v>
      </c>
    </row>
    <row r="23181">
      <c r="Y23181" s="372">
        <v>0.0</v>
      </c>
      <c r="Z23181" s="372">
        <v>0.0</v>
      </c>
    </row>
    <row r="23182">
      <c r="Y23182" s="372">
        <v>0.0</v>
      </c>
      <c r="Z23182" s="372">
        <v>0.0</v>
      </c>
    </row>
    <row r="23183">
      <c r="Y23183" s="372">
        <v>0.0</v>
      </c>
      <c r="Z23183" s="372">
        <v>0.0</v>
      </c>
    </row>
    <row r="23184">
      <c r="Y23184" s="372">
        <v>0.0</v>
      </c>
      <c r="Z23184" s="372">
        <v>0.0</v>
      </c>
    </row>
    <row r="23185">
      <c r="Y23185" s="372">
        <v>0.0</v>
      </c>
      <c r="Z23185" s="372">
        <v>0.0</v>
      </c>
    </row>
    <row r="23186">
      <c r="Y23186" s="372">
        <v>0.0</v>
      </c>
      <c r="Z23186" s="372">
        <v>0.0</v>
      </c>
    </row>
    <row r="23187">
      <c r="Y23187" s="372">
        <v>0.0</v>
      </c>
      <c r="Z23187" s="372">
        <v>0.0</v>
      </c>
    </row>
    <row r="23188">
      <c r="Y23188" s="372">
        <v>0.0</v>
      </c>
      <c r="Z23188" s="372">
        <v>0.0</v>
      </c>
    </row>
    <row r="23189">
      <c r="Y23189" s="372">
        <v>0.0</v>
      </c>
      <c r="Z23189" s="372">
        <v>0.0</v>
      </c>
    </row>
    <row r="23190">
      <c r="Y23190" s="372">
        <v>0.0</v>
      </c>
      <c r="Z23190" s="372">
        <v>0.0</v>
      </c>
    </row>
    <row r="23191">
      <c r="Y23191" s="372">
        <v>0.0</v>
      </c>
      <c r="Z23191" s="372">
        <v>0.0</v>
      </c>
    </row>
    <row r="23192">
      <c r="Y23192" s="372">
        <v>0.0</v>
      </c>
      <c r="Z23192" s="372">
        <v>0.0</v>
      </c>
    </row>
    <row r="23193">
      <c r="Y23193" s="372">
        <v>0.0</v>
      </c>
      <c r="Z23193" s="372">
        <v>0.0</v>
      </c>
    </row>
    <row r="23194">
      <c r="Y23194" s="372">
        <v>0.0</v>
      </c>
      <c r="Z23194" s="372">
        <v>0.0</v>
      </c>
    </row>
    <row r="23195">
      <c r="Y23195" s="372">
        <v>0.0</v>
      </c>
      <c r="Z23195" s="372">
        <v>0.0</v>
      </c>
    </row>
    <row r="23196">
      <c r="Y23196" s="372">
        <v>0.0</v>
      </c>
      <c r="Z23196" s="372">
        <v>0.0</v>
      </c>
    </row>
    <row r="23197">
      <c r="Y23197" s="372">
        <v>0.0</v>
      </c>
      <c r="Z23197" s="372">
        <v>0.0</v>
      </c>
    </row>
    <row r="23198">
      <c r="Y23198" s="372">
        <v>0.0</v>
      </c>
      <c r="Z23198" s="372">
        <v>0.0</v>
      </c>
    </row>
    <row r="23199">
      <c r="Y23199" s="372">
        <v>0.0</v>
      </c>
      <c r="Z23199" s="372">
        <v>0.0</v>
      </c>
    </row>
    <row r="23200">
      <c r="Y23200" s="372">
        <v>0.0</v>
      </c>
      <c r="Z23200" s="372">
        <v>0.0</v>
      </c>
    </row>
    <row r="23201">
      <c r="Y23201" s="372">
        <v>0.0</v>
      </c>
      <c r="Z23201" s="372">
        <v>0.0</v>
      </c>
    </row>
    <row r="23202">
      <c r="Y23202" s="372">
        <v>0.0</v>
      </c>
      <c r="Z23202" s="372">
        <v>0.0</v>
      </c>
    </row>
    <row r="23203">
      <c r="Y23203" s="372">
        <v>0.0</v>
      </c>
      <c r="Z23203" s="372">
        <v>0.0</v>
      </c>
    </row>
    <row r="23204">
      <c r="Y23204" s="372">
        <v>0.0</v>
      </c>
      <c r="Z23204" s="372">
        <v>0.0</v>
      </c>
    </row>
    <row r="23205">
      <c r="Y23205" s="372">
        <v>0.0</v>
      </c>
      <c r="Z23205" s="372">
        <v>0.0</v>
      </c>
    </row>
    <row r="23206">
      <c r="Y23206" s="372">
        <v>0.0</v>
      </c>
      <c r="Z23206" s="372">
        <v>0.0</v>
      </c>
    </row>
    <row r="23207">
      <c r="Y23207" s="372">
        <v>0.0</v>
      </c>
      <c r="Z23207" s="372">
        <v>0.0</v>
      </c>
    </row>
    <row r="23208">
      <c r="Y23208" s="372">
        <v>0.0</v>
      </c>
      <c r="Z23208" s="372">
        <v>0.0</v>
      </c>
    </row>
    <row r="23209">
      <c r="Y23209" s="372">
        <v>0.0</v>
      </c>
      <c r="Z23209" s="372">
        <v>0.0</v>
      </c>
    </row>
    <row r="23210">
      <c r="Y23210" s="372">
        <v>0.0</v>
      </c>
      <c r="Z23210" s="372">
        <v>0.0</v>
      </c>
    </row>
    <row r="23211">
      <c r="Y23211" s="372">
        <v>0.0</v>
      </c>
      <c r="Z23211" s="372">
        <v>0.0</v>
      </c>
    </row>
    <row r="23212">
      <c r="Y23212" s="372">
        <v>0.0</v>
      </c>
      <c r="Z23212" s="372">
        <v>0.0</v>
      </c>
    </row>
    <row r="23213">
      <c r="Y23213" s="372">
        <v>0.0</v>
      </c>
      <c r="Z23213" s="372">
        <v>0.0</v>
      </c>
    </row>
    <row r="23214">
      <c r="Y23214" s="372">
        <v>0.0</v>
      </c>
      <c r="Z23214" s="372">
        <v>0.0</v>
      </c>
    </row>
    <row r="23215">
      <c r="Y23215" s="372">
        <v>0.0</v>
      </c>
      <c r="Z23215" s="372">
        <v>0.0</v>
      </c>
    </row>
    <row r="23216">
      <c r="Y23216" s="372">
        <v>0.0</v>
      </c>
      <c r="Z23216" s="372">
        <v>0.0</v>
      </c>
    </row>
    <row r="23217">
      <c r="Y23217" s="372">
        <v>0.0</v>
      </c>
      <c r="Z23217" s="372">
        <v>0.0</v>
      </c>
    </row>
    <row r="23218">
      <c r="Y23218" s="372">
        <v>0.0</v>
      </c>
      <c r="Z23218" s="372">
        <v>0.0</v>
      </c>
    </row>
    <row r="23219">
      <c r="Y23219" s="372">
        <v>0.0</v>
      </c>
      <c r="Z23219" s="372">
        <v>0.0</v>
      </c>
    </row>
    <row r="23220">
      <c r="Y23220" s="372">
        <v>0.0</v>
      </c>
      <c r="Z23220" s="372">
        <v>0.0</v>
      </c>
    </row>
    <row r="23221">
      <c r="Y23221" s="372">
        <v>0.0</v>
      </c>
      <c r="Z23221" s="372">
        <v>0.0</v>
      </c>
    </row>
    <row r="23222">
      <c r="Y23222" s="372">
        <v>0.0</v>
      </c>
      <c r="Z23222" s="372">
        <v>0.0</v>
      </c>
    </row>
    <row r="23223">
      <c r="Y23223" s="372">
        <v>0.0</v>
      </c>
      <c r="Z23223" s="372">
        <v>0.0</v>
      </c>
    </row>
    <row r="23224">
      <c r="Y23224" s="372">
        <v>0.0</v>
      </c>
      <c r="Z23224" s="372">
        <v>0.0</v>
      </c>
    </row>
    <row r="23225">
      <c r="Y23225" s="372">
        <v>0.0</v>
      </c>
      <c r="Z23225" s="372">
        <v>0.0</v>
      </c>
    </row>
    <row r="23226">
      <c r="Y23226" s="372">
        <v>0.0</v>
      </c>
      <c r="Z23226" s="372">
        <v>0.0</v>
      </c>
    </row>
    <row r="23227">
      <c r="Y23227" s="372">
        <v>0.0</v>
      </c>
      <c r="Z23227" s="372">
        <v>0.0</v>
      </c>
    </row>
    <row r="23228">
      <c r="Y23228" s="372">
        <v>0.0</v>
      </c>
      <c r="Z23228" s="372">
        <v>0.0</v>
      </c>
    </row>
    <row r="23229">
      <c r="Y23229" s="372">
        <v>0.0</v>
      </c>
      <c r="Z23229" s="372">
        <v>0.0</v>
      </c>
    </row>
    <row r="23230">
      <c r="Y23230" s="372">
        <v>0.0</v>
      </c>
      <c r="Z23230" s="372">
        <v>0.0</v>
      </c>
    </row>
    <row r="23231">
      <c r="Y23231" s="372">
        <v>0.0</v>
      </c>
      <c r="Z23231" s="372">
        <v>0.0</v>
      </c>
    </row>
    <row r="23232">
      <c r="Y23232" s="372">
        <v>0.0</v>
      </c>
      <c r="Z23232" s="372">
        <v>0.0</v>
      </c>
    </row>
    <row r="23233">
      <c r="Y23233" s="372">
        <v>0.0</v>
      </c>
      <c r="Z23233" s="372">
        <v>0.0</v>
      </c>
    </row>
    <row r="23234">
      <c r="Y23234" s="372">
        <v>0.0</v>
      </c>
      <c r="Z23234" s="372">
        <v>0.0</v>
      </c>
    </row>
    <row r="23235">
      <c r="Y23235" s="372">
        <v>0.0</v>
      </c>
      <c r="Z23235" s="372">
        <v>0.0</v>
      </c>
    </row>
    <row r="23236">
      <c r="Y23236" s="372">
        <v>0.0</v>
      </c>
      <c r="Z23236" s="372">
        <v>0.0</v>
      </c>
    </row>
    <row r="23237">
      <c r="Y23237" s="372">
        <v>0.0</v>
      </c>
      <c r="Z23237" s="372">
        <v>0.0</v>
      </c>
    </row>
    <row r="23238">
      <c r="Y23238" s="372">
        <v>0.0</v>
      </c>
      <c r="Z23238" s="372">
        <v>0.0</v>
      </c>
    </row>
    <row r="23239">
      <c r="Y23239" s="372">
        <v>0.0</v>
      </c>
      <c r="Z23239" s="372">
        <v>0.0</v>
      </c>
    </row>
    <row r="23240">
      <c r="Y23240" s="372">
        <v>0.0</v>
      </c>
      <c r="Z23240" s="372">
        <v>0.0</v>
      </c>
    </row>
    <row r="23241">
      <c r="Y23241" s="372">
        <v>0.0</v>
      </c>
      <c r="Z23241" s="372">
        <v>0.0</v>
      </c>
    </row>
    <row r="23242">
      <c r="Y23242" s="372">
        <v>0.0</v>
      </c>
      <c r="Z23242" s="372">
        <v>0.0</v>
      </c>
    </row>
    <row r="23243">
      <c r="Y23243" s="372">
        <v>0.0</v>
      </c>
      <c r="Z23243" s="372">
        <v>0.0</v>
      </c>
    </row>
    <row r="23244">
      <c r="Y23244" s="372">
        <v>0.0</v>
      </c>
      <c r="Z23244" s="372">
        <v>0.0</v>
      </c>
    </row>
    <row r="23245">
      <c r="Y23245" s="372">
        <v>0.0</v>
      </c>
      <c r="Z23245" s="372">
        <v>0.0</v>
      </c>
    </row>
    <row r="23246">
      <c r="Y23246" s="372">
        <v>0.0</v>
      </c>
      <c r="Z23246" s="372">
        <v>0.0</v>
      </c>
    </row>
    <row r="23247">
      <c r="Y23247" s="372">
        <v>0.0</v>
      </c>
      <c r="Z23247" s="372">
        <v>0.0</v>
      </c>
    </row>
    <row r="23248">
      <c r="Y23248" s="372">
        <v>0.0</v>
      </c>
      <c r="Z23248" s="372">
        <v>0.0</v>
      </c>
    </row>
    <row r="23249">
      <c r="Y23249" s="372">
        <v>0.0</v>
      </c>
      <c r="Z23249" s="372">
        <v>0.0</v>
      </c>
    </row>
    <row r="23250">
      <c r="Y23250" s="372">
        <v>0.0</v>
      </c>
      <c r="Z23250" s="372">
        <v>0.0</v>
      </c>
    </row>
    <row r="23251">
      <c r="Y23251" s="372">
        <v>0.0</v>
      </c>
      <c r="Z23251" s="372">
        <v>0.0</v>
      </c>
    </row>
    <row r="23252">
      <c r="Y23252" s="372">
        <v>0.0</v>
      </c>
      <c r="Z23252" s="372">
        <v>0.0</v>
      </c>
    </row>
    <row r="23253">
      <c r="Y23253" s="372">
        <v>0.0</v>
      </c>
      <c r="Z23253" s="372">
        <v>0.0</v>
      </c>
    </row>
    <row r="23254">
      <c r="Y23254" s="372">
        <v>0.0</v>
      </c>
      <c r="Z23254" s="372">
        <v>0.0</v>
      </c>
    </row>
    <row r="23255">
      <c r="Y23255" s="372">
        <v>0.0</v>
      </c>
      <c r="Z23255" s="372">
        <v>0.0</v>
      </c>
    </row>
    <row r="23256">
      <c r="Y23256" s="372">
        <v>0.0</v>
      </c>
      <c r="Z23256" s="372">
        <v>0.0</v>
      </c>
    </row>
    <row r="23257">
      <c r="Y23257" s="372">
        <v>0.0</v>
      </c>
      <c r="Z23257" s="372">
        <v>0.0</v>
      </c>
    </row>
    <row r="23258">
      <c r="Y23258" s="372">
        <v>0.0</v>
      </c>
      <c r="Z23258" s="372">
        <v>0.0</v>
      </c>
    </row>
    <row r="23259">
      <c r="Y23259" s="372">
        <v>0.0</v>
      </c>
      <c r="Z23259" s="372">
        <v>0.0</v>
      </c>
    </row>
    <row r="23260">
      <c r="Y23260" s="372">
        <v>0.0</v>
      </c>
      <c r="Z23260" s="372">
        <v>0.0</v>
      </c>
    </row>
    <row r="23261">
      <c r="Y23261" s="372">
        <v>0.0</v>
      </c>
      <c r="Z23261" s="372">
        <v>0.0</v>
      </c>
    </row>
    <row r="23262">
      <c r="Y23262" s="372">
        <v>0.0</v>
      </c>
      <c r="Z23262" s="372">
        <v>0.0</v>
      </c>
    </row>
    <row r="23263">
      <c r="Y23263" s="372">
        <v>0.0</v>
      </c>
      <c r="Z23263" s="372">
        <v>0.0</v>
      </c>
    </row>
    <row r="23264">
      <c r="Y23264" s="372">
        <v>0.0</v>
      </c>
      <c r="Z23264" s="372">
        <v>0.0</v>
      </c>
    </row>
    <row r="23265">
      <c r="Y23265" s="372">
        <v>0.0</v>
      </c>
      <c r="Z23265" s="372">
        <v>0.0</v>
      </c>
    </row>
    <row r="23266">
      <c r="Y23266" s="372">
        <v>0.0</v>
      </c>
      <c r="Z23266" s="372">
        <v>0.0</v>
      </c>
    </row>
    <row r="23267">
      <c r="Y23267" s="372">
        <v>0.0</v>
      </c>
      <c r="Z23267" s="372">
        <v>0.0</v>
      </c>
    </row>
    <row r="23268">
      <c r="Y23268" s="372">
        <v>0.0</v>
      </c>
      <c r="Z23268" s="372">
        <v>0.0</v>
      </c>
    </row>
    <row r="23269">
      <c r="Y23269" s="372">
        <v>0.0</v>
      </c>
      <c r="Z23269" s="372">
        <v>0.0</v>
      </c>
    </row>
    <row r="23270">
      <c r="Y23270" s="372">
        <v>0.0</v>
      </c>
      <c r="Z23270" s="372">
        <v>0.0</v>
      </c>
    </row>
    <row r="23271">
      <c r="Y23271" s="372">
        <v>0.0</v>
      </c>
      <c r="Z23271" s="372">
        <v>0.0</v>
      </c>
    </row>
    <row r="23272">
      <c r="Y23272" s="372">
        <v>0.0</v>
      </c>
      <c r="Z23272" s="372">
        <v>0.0</v>
      </c>
    </row>
    <row r="23273">
      <c r="Y23273" s="372">
        <v>0.0</v>
      </c>
      <c r="Z23273" s="372">
        <v>0.0</v>
      </c>
    </row>
    <row r="23274">
      <c r="Y23274" s="372">
        <v>0.0</v>
      </c>
      <c r="Z23274" s="372">
        <v>0.0</v>
      </c>
    </row>
    <row r="23275">
      <c r="Y23275" s="372">
        <v>0.0</v>
      </c>
      <c r="Z23275" s="372">
        <v>0.0</v>
      </c>
    </row>
    <row r="23276">
      <c r="Y23276" s="372">
        <v>0.0</v>
      </c>
      <c r="Z23276" s="372">
        <v>0.0</v>
      </c>
    </row>
    <row r="23277">
      <c r="Y23277" s="372">
        <v>0.0</v>
      </c>
      <c r="Z23277" s="372">
        <v>0.0</v>
      </c>
    </row>
    <row r="23278">
      <c r="Y23278" s="372">
        <v>0.0</v>
      </c>
      <c r="Z23278" s="372">
        <v>0.0</v>
      </c>
    </row>
    <row r="23279">
      <c r="Y23279" s="372">
        <v>0.0</v>
      </c>
      <c r="Z23279" s="372">
        <v>0.0</v>
      </c>
    </row>
    <row r="23280">
      <c r="Y23280" s="372">
        <v>0.0</v>
      </c>
      <c r="Z23280" s="372">
        <v>0.0</v>
      </c>
    </row>
    <row r="23281">
      <c r="Y23281" s="372">
        <v>0.0</v>
      </c>
      <c r="Z23281" s="372">
        <v>0.0</v>
      </c>
    </row>
    <row r="23282">
      <c r="Y23282" s="372">
        <v>0.0</v>
      </c>
      <c r="Z23282" s="372">
        <v>0.0</v>
      </c>
    </row>
    <row r="23283">
      <c r="Y23283" s="372">
        <v>0.0</v>
      </c>
      <c r="Z23283" s="372">
        <v>0.0</v>
      </c>
    </row>
    <row r="23284">
      <c r="Y23284" s="372">
        <v>0.0</v>
      </c>
      <c r="Z23284" s="372">
        <v>0.0</v>
      </c>
    </row>
    <row r="23285">
      <c r="Y23285" s="372">
        <v>0.0</v>
      </c>
      <c r="Z23285" s="372">
        <v>0.0</v>
      </c>
    </row>
    <row r="23286">
      <c r="Y23286" s="372">
        <v>0.0</v>
      </c>
      <c r="Z23286" s="372">
        <v>0.0</v>
      </c>
    </row>
    <row r="23287">
      <c r="Y23287" s="372">
        <v>0.0</v>
      </c>
      <c r="Z23287" s="372">
        <v>0.0</v>
      </c>
    </row>
    <row r="23288">
      <c r="Y23288" s="372">
        <v>0.0</v>
      </c>
      <c r="Z23288" s="372">
        <v>0.0</v>
      </c>
    </row>
    <row r="23289">
      <c r="Y23289" s="372">
        <v>0.0</v>
      </c>
      <c r="Z23289" s="372">
        <v>0.0</v>
      </c>
    </row>
    <row r="23290">
      <c r="Y23290" s="372">
        <v>0.0</v>
      </c>
      <c r="Z23290" s="372">
        <v>0.0</v>
      </c>
    </row>
    <row r="23291">
      <c r="Y23291" s="372">
        <v>0.0</v>
      </c>
      <c r="Z23291" s="372">
        <v>0.0</v>
      </c>
    </row>
    <row r="23292">
      <c r="Y23292" s="372">
        <v>0.0</v>
      </c>
      <c r="Z23292" s="372">
        <v>0.0</v>
      </c>
    </row>
    <row r="23293">
      <c r="Y23293" s="372">
        <v>0.0</v>
      </c>
      <c r="Z23293" s="372">
        <v>0.0</v>
      </c>
    </row>
    <row r="23294">
      <c r="Y23294" s="372">
        <v>0.0</v>
      </c>
      <c r="Z23294" s="372">
        <v>0.0</v>
      </c>
    </row>
    <row r="23295">
      <c r="Y23295" s="372">
        <v>0.0</v>
      </c>
      <c r="Z23295" s="372">
        <v>0.0</v>
      </c>
    </row>
    <row r="23296">
      <c r="Y23296" s="372">
        <v>0.0</v>
      </c>
      <c r="Z23296" s="372">
        <v>0.0</v>
      </c>
    </row>
    <row r="23297">
      <c r="Y23297" s="372">
        <v>0.0</v>
      </c>
      <c r="Z23297" s="372">
        <v>0.0</v>
      </c>
    </row>
    <row r="23298">
      <c r="Y23298" s="372">
        <v>0.0</v>
      </c>
      <c r="Z23298" s="372">
        <v>0.0</v>
      </c>
    </row>
    <row r="23299">
      <c r="Y23299" s="372">
        <v>0.0</v>
      </c>
      <c r="Z23299" s="372">
        <v>0.0</v>
      </c>
    </row>
    <row r="23300">
      <c r="Y23300" s="372">
        <v>0.0</v>
      </c>
      <c r="Z23300" s="372">
        <v>0.0</v>
      </c>
    </row>
    <row r="23301">
      <c r="Y23301" s="372">
        <v>0.0</v>
      </c>
      <c r="Z23301" s="372">
        <v>0.0</v>
      </c>
    </row>
    <row r="23302">
      <c r="Y23302" s="372">
        <v>0.0</v>
      </c>
      <c r="Z23302" s="372">
        <v>0.0</v>
      </c>
    </row>
    <row r="23303">
      <c r="Y23303" s="372">
        <v>0.0</v>
      </c>
      <c r="Z23303" s="372">
        <v>0.0</v>
      </c>
    </row>
    <row r="23304">
      <c r="Y23304" s="372">
        <v>0.0</v>
      </c>
      <c r="Z23304" s="372">
        <v>0.0</v>
      </c>
    </row>
    <row r="23305">
      <c r="Y23305" s="372">
        <v>0.0</v>
      </c>
      <c r="Z23305" s="372">
        <v>0.0</v>
      </c>
    </row>
    <row r="23306">
      <c r="Y23306" s="372">
        <v>0.0</v>
      </c>
      <c r="Z23306" s="372">
        <v>0.0</v>
      </c>
    </row>
    <row r="23307">
      <c r="Y23307" s="372">
        <v>0.0</v>
      </c>
      <c r="Z23307" s="372">
        <v>0.0</v>
      </c>
    </row>
    <row r="23308">
      <c r="Y23308" s="372">
        <v>0.0</v>
      </c>
      <c r="Z23308" s="372">
        <v>0.0</v>
      </c>
    </row>
    <row r="23309">
      <c r="Y23309" s="372">
        <v>0.0</v>
      </c>
      <c r="Z23309" s="372">
        <v>0.0</v>
      </c>
    </row>
    <row r="23310">
      <c r="Y23310" s="372">
        <v>0.0</v>
      </c>
      <c r="Z23310" s="372">
        <v>0.0</v>
      </c>
    </row>
    <row r="23311">
      <c r="Y23311" s="372">
        <v>0.0</v>
      </c>
      <c r="Z23311" s="372">
        <v>0.0</v>
      </c>
    </row>
    <row r="23312">
      <c r="Y23312" s="372">
        <v>0.0</v>
      </c>
      <c r="Z23312" s="372">
        <v>0.0</v>
      </c>
    </row>
    <row r="23313">
      <c r="Y23313" s="372">
        <v>0.0</v>
      </c>
      <c r="Z23313" s="372">
        <v>0.0</v>
      </c>
    </row>
    <row r="23314">
      <c r="Y23314" s="372">
        <v>0.0</v>
      </c>
      <c r="Z23314" s="372">
        <v>0.0</v>
      </c>
    </row>
    <row r="23315">
      <c r="Y23315" s="372">
        <v>0.0</v>
      </c>
      <c r="Z23315" s="372">
        <v>0.0</v>
      </c>
    </row>
    <row r="23316">
      <c r="Y23316" s="372">
        <v>0.0</v>
      </c>
      <c r="Z23316" s="372">
        <v>0.0</v>
      </c>
    </row>
    <row r="23317">
      <c r="Y23317" s="372">
        <v>0.0</v>
      </c>
      <c r="Z23317" s="372">
        <v>0.0</v>
      </c>
    </row>
    <row r="23318">
      <c r="Y23318" s="372">
        <v>0.0</v>
      </c>
      <c r="Z23318" s="372">
        <v>0.0</v>
      </c>
    </row>
    <row r="23319">
      <c r="Y23319" s="372">
        <v>0.0</v>
      </c>
      <c r="Z23319" s="372">
        <v>0.0</v>
      </c>
    </row>
    <row r="23320">
      <c r="Y23320" s="372">
        <v>0.0</v>
      </c>
      <c r="Z23320" s="372">
        <v>0.0</v>
      </c>
    </row>
    <row r="23321">
      <c r="Y23321" s="372">
        <v>0.0</v>
      </c>
      <c r="Z23321" s="372">
        <v>0.0</v>
      </c>
    </row>
    <row r="23322">
      <c r="Y23322" s="372">
        <v>0.0</v>
      </c>
      <c r="Z23322" s="372">
        <v>0.0</v>
      </c>
    </row>
    <row r="23323">
      <c r="Y23323" s="372">
        <v>0.0</v>
      </c>
      <c r="Z23323" s="372">
        <v>0.0</v>
      </c>
    </row>
    <row r="23324">
      <c r="Y23324" s="372">
        <v>0.0</v>
      </c>
      <c r="Z23324" s="372">
        <v>0.0</v>
      </c>
    </row>
    <row r="23325">
      <c r="Y23325" s="372">
        <v>0.0</v>
      </c>
      <c r="Z23325" s="372">
        <v>0.0</v>
      </c>
    </row>
    <row r="23326">
      <c r="Y23326" s="372">
        <v>0.0</v>
      </c>
      <c r="Z23326" s="372">
        <v>0.0</v>
      </c>
    </row>
    <row r="23327">
      <c r="Y23327" s="372">
        <v>0.0</v>
      </c>
      <c r="Z23327" s="372">
        <v>0.0</v>
      </c>
    </row>
    <row r="23328">
      <c r="Y23328" s="372">
        <v>0.0</v>
      </c>
      <c r="Z23328" s="372">
        <v>0.0</v>
      </c>
    </row>
    <row r="23329">
      <c r="Y23329" s="372">
        <v>0.0</v>
      </c>
      <c r="Z23329" s="372">
        <v>0.0</v>
      </c>
    </row>
    <row r="23330">
      <c r="Y23330" s="372">
        <v>0.0</v>
      </c>
      <c r="Z23330" s="372">
        <v>0.0</v>
      </c>
    </row>
    <row r="23331">
      <c r="Y23331" s="372">
        <v>0.0</v>
      </c>
      <c r="Z23331" s="372">
        <v>0.0</v>
      </c>
    </row>
    <row r="23332">
      <c r="Y23332" s="372">
        <v>0.0</v>
      </c>
      <c r="Z23332" s="372">
        <v>0.0</v>
      </c>
    </row>
    <row r="23333">
      <c r="Y23333" s="372">
        <v>0.0</v>
      </c>
      <c r="Z23333" s="372">
        <v>0.0</v>
      </c>
    </row>
    <row r="23334">
      <c r="Y23334" s="372">
        <v>0.0</v>
      </c>
      <c r="Z23334" s="372">
        <v>0.0</v>
      </c>
    </row>
    <row r="23335">
      <c r="Y23335" s="372">
        <v>0.0</v>
      </c>
      <c r="Z23335" s="372">
        <v>0.0</v>
      </c>
    </row>
    <row r="23336">
      <c r="Y23336" s="372">
        <v>0.0</v>
      </c>
      <c r="Z23336" s="372">
        <v>0.0</v>
      </c>
    </row>
    <row r="23337">
      <c r="Y23337" s="372">
        <v>0.0</v>
      </c>
      <c r="Z23337" s="372">
        <v>0.0</v>
      </c>
    </row>
    <row r="23338">
      <c r="Y23338" s="372">
        <v>0.0</v>
      </c>
      <c r="Z23338" s="372">
        <v>0.0</v>
      </c>
    </row>
    <row r="23339">
      <c r="Y23339" s="372">
        <v>0.0</v>
      </c>
      <c r="Z23339" s="372">
        <v>0.0</v>
      </c>
    </row>
    <row r="23340">
      <c r="Y23340" s="372">
        <v>0.0</v>
      </c>
      <c r="Z23340" s="372">
        <v>0.0</v>
      </c>
    </row>
    <row r="23341">
      <c r="Y23341" s="372">
        <v>0.0</v>
      </c>
      <c r="Z23341" s="372">
        <v>0.0</v>
      </c>
    </row>
    <row r="23342">
      <c r="Y23342" s="372">
        <v>0.0</v>
      </c>
      <c r="Z23342" s="372">
        <v>0.0</v>
      </c>
    </row>
    <row r="23343">
      <c r="Y23343" s="372">
        <v>0.0</v>
      </c>
      <c r="Z23343" s="372">
        <v>0.0</v>
      </c>
    </row>
    <row r="23344">
      <c r="Y23344" s="372">
        <v>0.0</v>
      </c>
      <c r="Z23344" s="372">
        <v>0.0</v>
      </c>
    </row>
    <row r="23345">
      <c r="Y23345" s="372">
        <v>0.0</v>
      </c>
      <c r="Z23345" s="372">
        <v>0.0</v>
      </c>
    </row>
    <row r="23346">
      <c r="Y23346" s="372">
        <v>0.0</v>
      </c>
      <c r="Z23346" s="372">
        <v>0.0</v>
      </c>
    </row>
    <row r="23347">
      <c r="Y23347" s="372">
        <v>0.0</v>
      </c>
      <c r="Z23347" s="372">
        <v>0.0</v>
      </c>
    </row>
    <row r="23348">
      <c r="Y23348" s="372">
        <v>0.0</v>
      </c>
      <c r="Z23348" s="372">
        <v>0.0</v>
      </c>
    </row>
    <row r="23349">
      <c r="Y23349" s="372">
        <v>0.0</v>
      </c>
      <c r="Z23349" s="372">
        <v>0.0</v>
      </c>
    </row>
    <row r="23350">
      <c r="Y23350" s="372">
        <v>0.0</v>
      </c>
      <c r="Z23350" s="372">
        <v>0.0</v>
      </c>
    </row>
    <row r="23351">
      <c r="Y23351" s="372">
        <v>0.0</v>
      </c>
      <c r="Z23351" s="372">
        <v>0.0</v>
      </c>
    </row>
    <row r="23352">
      <c r="Y23352" s="372">
        <v>0.0</v>
      </c>
      <c r="Z23352" s="372">
        <v>0.0</v>
      </c>
    </row>
    <row r="23353">
      <c r="Y23353" s="372">
        <v>0.0</v>
      </c>
      <c r="Z23353" s="372">
        <v>0.0</v>
      </c>
    </row>
    <row r="23354">
      <c r="Y23354" s="372">
        <v>0.0</v>
      </c>
      <c r="Z23354" s="372">
        <v>0.0</v>
      </c>
    </row>
    <row r="23355">
      <c r="Y23355" s="372">
        <v>0.0</v>
      </c>
      <c r="Z23355" s="372">
        <v>0.0</v>
      </c>
    </row>
    <row r="23356">
      <c r="Y23356" s="372">
        <v>0.0</v>
      </c>
      <c r="Z23356" s="372">
        <v>0.0</v>
      </c>
    </row>
    <row r="23357">
      <c r="Y23357" s="372">
        <v>0.0</v>
      </c>
      <c r="Z23357" s="372">
        <v>0.0</v>
      </c>
    </row>
    <row r="23358">
      <c r="Y23358" s="372">
        <v>0.0</v>
      </c>
      <c r="Z23358" s="372">
        <v>0.0</v>
      </c>
    </row>
    <row r="23359">
      <c r="Y23359" s="372">
        <v>0.0</v>
      </c>
      <c r="Z23359" s="372">
        <v>0.0</v>
      </c>
    </row>
    <row r="23360">
      <c r="Y23360" s="372">
        <v>0.0</v>
      </c>
      <c r="Z23360" s="372">
        <v>0.0</v>
      </c>
    </row>
    <row r="23361">
      <c r="Y23361" s="372">
        <v>0.0</v>
      </c>
      <c r="Z23361" s="372">
        <v>0.0</v>
      </c>
    </row>
    <row r="23362">
      <c r="Y23362" s="372">
        <v>0.0</v>
      </c>
      <c r="Z23362" s="372">
        <v>0.0</v>
      </c>
    </row>
    <row r="23363">
      <c r="Y23363" s="372">
        <v>0.0</v>
      </c>
      <c r="Z23363" s="372">
        <v>0.0</v>
      </c>
    </row>
    <row r="23364">
      <c r="Y23364" s="372">
        <v>0.0</v>
      </c>
      <c r="Z23364" s="372">
        <v>0.0</v>
      </c>
    </row>
    <row r="23365">
      <c r="Y23365" s="372">
        <v>0.0</v>
      </c>
      <c r="Z23365" s="372">
        <v>0.0</v>
      </c>
    </row>
    <row r="23366">
      <c r="Y23366" s="372">
        <v>0.0</v>
      </c>
      <c r="Z23366" s="372">
        <v>0.0</v>
      </c>
    </row>
    <row r="23367">
      <c r="Y23367" s="372">
        <v>0.0</v>
      </c>
      <c r="Z23367" s="372">
        <v>0.0</v>
      </c>
    </row>
    <row r="23368">
      <c r="Y23368" s="372">
        <v>0.0</v>
      </c>
      <c r="Z23368" s="372">
        <v>0.0</v>
      </c>
    </row>
    <row r="23369">
      <c r="Y23369" s="372">
        <v>0.0</v>
      </c>
      <c r="Z23369" s="372">
        <v>0.0</v>
      </c>
    </row>
    <row r="23370">
      <c r="Y23370" s="372">
        <v>0.0</v>
      </c>
      <c r="Z23370" s="372">
        <v>0.0</v>
      </c>
    </row>
    <row r="23371">
      <c r="Y23371" s="372">
        <v>0.0</v>
      </c>
      <c r="Z23371" s="372">
        <v>0.0</v>
      </c>
    </row>
    <row r="23372">
      <c r="Y23372" s="372">
        <v>0.0</v>
      </c>
      <c r="Z23372" s="372">
        <v>0.0</v>
      </c>
    </row>
    <row r="23373">
      <c r="Y23373" s="372">
        <v>0.0</v>
      </c>
      <c r="Z23373" s="372">
        <v>0.0</v>
      </c>
    </row>
    <row r="23374">
      <c r="Y23374" s="372">
        <v>0.0</v>
      </c>
      <c r="Z23374" s="372">
        <v>0.0</v>
      </c>
    </row>
    <row r="23375">
      <c r="Y23375" s="372">
        <v>0.0</v>
      </c>
      <c r="Z23375" s="372">
        <v>0.0</v>
      </c>
    </row>
    <row r="23376">
      <c r="Y23376" s="372">
        <v>0.0</v>
      </c>
      <c r="Z23376" s="372">
        <v>0.0</v>
      </c>
    </row>
    <row r="23377">
      <c r="Y23377" s="372">
        <v>0.0</v>
      </c>
      <c r="Z23377" s="372">
        <v>0.0</v>
      </c>
    </row>
    <row r="23378">
      <c r="Y23378" s="372">
        <v>0.0</v>
      </c>
      <c r="Z23378" s="372">
        <v>0.0</v>
      </c>
    </row>
    <row r="23379">
      <c r="Y23379" s="372">
        <v>0.0</v>
      </c>
      <c r="Z23379" s="372">
        <v>0.0</v>
      </c>
    </row>
    <row r="23380">
      <c r="Y23380" s="372">
        <v>0.0</v>
      </c>
      <c r="Z23380" s="372">
        <v>0.0</v>
      </c>
    </row>
    <row r="23381">
      <c r="Y23381" s="372">
        <v>0.0</v>
      </c>
      <c r="Z23381" s="372">
        <v>0.0</v>
      </c>
    </row>
    <row r="23382">
      <c r="Y23382" s="372">
        <v>0.0</v>
      </c>
      <c r="Z23382" s="372">
        <v>0.0</v>
      </c>
    </row>
    <row r="23383">
      <c r="Y23383" s="372">
        <v>0.0</v>
      </c>
      <c r="Z23383" s="372">
        <v>0.0</v>
      </c>
    </row>
    <row r="23384">
      <c r="Y23384" s="372">
        <v>0.0</v>
      </c>
      <c r="Z23384" s="372">
        <v>0.0</v>
      </c>
    </row>
    <row r="23385">
      <c r="Y23385" s="372">
        <v>0.0</v>
      </c>
      <c r="Z23385" s="372">
        <v>0.0</v>
      </c>
    </row>
    <row r="23386">
      <c r="Y23386" s="372">
        <v>0.0</v>
      </c>
      <c r="Z23386" s="372">
        <v>0.0</v>
      </c>
    </row>
    <row r="23387">
      <c r="Y23387" s="372">
        <v>0.0</v>
      </c>
      <c r="Z23387" s="372">
        <v>0.0</v>
      </c>
    </row>
    <row r="23388">
      <c r="Y23388" s="372">
        <v>0.0</v>
      </c>
      <c r="Z23388" s="372">
        <v>0.0</v>
      </c>
    </row>
    <row r="23389">
      <c r="Y23389" s="372">
        <v>0.0</v>
      </c>
      <c r="Z23389" s="372">
        <v>0.0</v>
      </c>
    </row>
    <row r="23390">
      <c r="Y23390" s="372">
        <v>0.0</v>
      </c>
      <c r="Z23390" s="372">
        <v>0.0</v>
      </c>
    </row>
    <row r="23391">
      <c r="Y23391" s="372">
        <v>0.0</v>
      </c>
      <c r="Z23391" s="372">
        <v>0.0</v>
      </c>
    </row>
    <row r="23392">
      <c r="Y23392" s="372">
        <v>0.0</v>
      </c>
      <c r="Z23392" s="372">
        <v>0.0</v>
      </c>
    </row>
    <row r="23393">
      <c r="Y23393" s="372">
        <v>0.0</v>
      </c>
      <c r="Z23393" s="372">
        <v>0.0</v>
      </c>
    </row>
    <row r="23394">
      <c r="Y23394" s="372">
        <v>0.0</v>
      </c>
      <c r="Z23394" s="372">
        <v>0.0</v>
      </c>
    </row>
    <row r="23395">
      <c r="Y23395" s="372">
        <v>0.0</v>
      </c>
      <c r="Z23395" s="372">
        <v>0.0</v>
      </c>
    </row>
    <row r="23396">
      <c r="Y23396" s="372">
        <v>0.0</v>
      </c>
      <c r="Z23396" s="372">
        <v>0.0</v>
      </c>
    </row>
    <row r="23397">
      <c r="Y23397" s="372">
        <v>0.0</v>
      </c>
      <c r="Z23397" s="372">
        <v>0.0</v>
      </c>
    </row>
    <row r="23398">
      <c r="Y23398" s="372">
        <v>0.0</v>
      </c>
      <c r="Z23398" s="372">
        <v>0.0</v>
      </c>
    </row>
    <row r="23399">
      <c r="Y23399" s="372">
        <v>0.0</v>
      </c>
      <c r="Z23399" s="372">
        <v>0.0</v>
      </c>
    </row>
    <row r="23400">
      <c r="Y23400" s="372">
        <v>0.0</v>
      </c>
      <c r="Z23400" s="372">
        <v>0.0</v>
      </c>
    </row>
    <row r="23401">
      <c r="Y23401" s="372">
        <v>0.0</v>
      </c>
      <c r="Z23401" s="372">
        <v>0.0</v>
      </c>
    </row>
    <row r="23402">
      <c r="Y23402" s="372">
        <v>0.0</v>
      </c>
      <c r="Z23402" s="372">
        <v>0.0</v>
      </c>
    </row>
    <row r="23403">
      <c r="Y23403" s="372">
        <v>0.0</v>
      </c>
      <c r="Z23403" s="372">
        <v>0.0</v>
      </c>
    </row>
    <row r="23404">
      <c r="Y23404" s="372">
        <v>0.0</v>
      </c>
      <c r="Z23404" s="372">
        <v>0.0</v>
      </c>
    </row>
    <row r="23405">
      <c r="Y23405" s="372">
        <v>0.0</v>
      </c>
      <c r="Z23405" s="372">
        <v>0.0</v>
      </c>
    </row>
    <row r="23406">
      <c r="Y23406" s="372">
        <v>0.0</v>
      </c>
      <c r="Z23406" s="372">
        <v>0.0</v>
      </c>
    </row>
    <row r="23407">
      <c r="Y23407" s="372">
        <v>0.0</v>
      </c>
      <c r="Z23407" s="372">
        <v>0.0</v>
      </c>
    </row>
    <row r="23408">
      <c r="Y23408" s="372">
        <v>0.0</v>
      </c>
      <c r="Z23408" s="372">
        <v>0.0</v>
      </c>
    </row>
    <row r="23409">
      <c r="Y23409" s="372">
        <v>0.0</v>
      </c>
      <c r="Z23409" s="372">
        <v>0.0</v>
      </c>
    </row>
    <row r="23410">
      <c r="Y23410" s="372">
        <v>0.0</v>
      </c>
      <c r="Z23410" s="372">
        <v>0.0</v>
      </c>
    </row>
    <row r="23411">
      <c r="Y23411" s="372">
        <v>0.0</v>
      </c>
      <c r="Z23411" s="372">
        <v>0.0</v>
      </c>
    </row>
    <row r="23412">
      <c r="Y23412" s="372">
        <v>0.0</v>
      </c>
      <c r="Z23412" s="372">
        <v>0.0</v>
      </c>
    </row>
    <row r="23413">
      <c r="Y23413" s="372">
        <v>0.0</v>
      </c>
      <c r="Z23413" s="372">
        <v>0.0</v>
      </c>
    </row>
    <row r="23414">
      <c r="Y23414" s="372">
        <v>0.0</v>
      </c>
      <c r="Z23414" s="372">
        <v>0.0</v>
      </c>
    </row>
    <row r="23415">
      <c r="Y23415" s="372">
        <v>0.0</v>
      </c>
      <c r="Z23415" s="372">
        <v>0.0</v>
      </c>
    </row>
    <row r="23416">
      <c r="Y23416" s="372">
        <v>0.0</v>
      </c>
      <c r="Z23416" s="372">
        <v>0.0</v>
      </c>
    </row>
    <row r="23417">
      <c r="Y23417" s="372">
        <v>0.0</v>
      </c>
      <c r="Z23417" s="372">
        <v>0.0</v>
      </c>
    </row>
    <row r="23418">
      <c r="Y23418" s="372">
        <v>0.0</v>
      </c>
      <c r="Z23418" s="372">
        <v>0.0</v>
      </c>
    </row>
    <row r="23419">
      <c r="Y23419" s="372">
        <v>0.0</v>
      </c>
      <c r="Z23419" s="372">
        <v>0.0</v>
      </c>
    </row>
    <row r="23420">
      <c r="Y23420" s="372">
        <v>0.0</v>
      </c>
      <c r="Z23420" s="372">
        <v>0.0</v>
      </c>
    </row>
    <row r="23421">
      <c r="Y23421" s="372">
        <v>0.0</v>
      </c>
      <c r="Z23421" s="372">
        <v>0.0</v>
      </c>
    </row>
    <row r="23422">
      <c r="Y23422" s="372">
        <v>0.0</v>
      </c>
      <c r="Z23422" s="372">
        <v>0.0</v>
      </c>
    </row>
    <row r="23423">
      <c r="Y23423" s="372">
        <v>0.0</v>
      </c>
      <c r="Z23423" s="372">
        <v>0.0</v>
      </c>
    </row>
    <row r="23424">
      <c r="Y23424" s="372">
        <v>0.0</v>
      </c>
      <c r="Z23424" s="372">
        <v>0.0</v>
      </c>
    </row>
    <row r="23425">
      <c r="Y23425" s="372">
        <v>0.0</v>
      </c>
      <c r="Z23425" s="372">
        <v>0.0</v>
      </c>
    </row>
    <row r="23426">
      <c r="Y23426" s="372">
        <v>0.0</v>
      </c>
      <c r="Z23426" s="372">
        <v>0.0</v>
      </c>
    </row>
    <row r="23427">
      <c r="Y23427" s="372">
        <v>0.0</v>
      </c>
      <c r="Z23427" s="372">
        <v>0.0</v>
      </c>
    </row>
    <row r="23428">
      <c r="Y23428" s="372">
        <v>0.0</v>
      </c>
      <c r="Z23428" s="372">
        <v>0.0</v>
      </c>
    </row>
    <row r="23429">
      <c r="Y23429" s="372">
        <v>0.0</v>
      </c>
      <c r="Z23429" s="372">
        <v>0.0</v>
      </c>
    </row>
    <row r="23430">
      <c r="Y23430" s="372">
        <v>0.0</v>
      </c>
      <c r="Z23430" s="372">
        <v>0.0</v>
      </c>
    </row>
    <row r="23431">
      <c r="Y23431" s="372">
        <v>0.0</v>
      </c>
      <c r="Z23431" s="372">
        <v>0.0</v>
      </c>
    </row>
    <row r="23432">
      <c r="Y23432" s="372">
        <v>0.0</v>
      </c>
      <c r="Z23432" s="372">
        <v>0.0</v>
      </c>
    </row>
    <row r="23433">
      <c r="Y23433" s="372">
        <v>0.0</v>
      </c>
      <c r="Z23433" s="372">
        <v>0.0</v>
      </c>
    </row>
    <row r="23434">
      <c r="Y23434" s="372">
        <v>0.0</v>
      </c>
      <c r="Z23434" s="372">
        <v>0.0</v>
      </c>
    </row>
    <row r="23435">
      <c r="Y23435" s="372">
        <v>0.0</v>
      </c>
      <c r="Z23435" s="372">
        <v>0.0</v>
      </c>
    </row>
    <row r="23436">
      <c r="Y23436" s="372">
        <v>0.0</v>
      </c>
      <c r="Z23436" s="372">
        <v>0.0</v>
      </c>
    </row>
    <row r="23437">
      <c r="Y23437" s="372">
        <v>0.0</v>
      </c>
      <c r="Z23437" s="372">
        <v>0.0</v>
      </c>
    </row>
    <row r="23438">
      <c r="Y23438" s="372">
        <v>0.0</v>
      </c>
      <c r="Z23438" s="372">
        <v>0.0</v>
      </c>
    </row>
    <row r="23439">
      <c r="Y23439" s="372">
        <v>0.0</v>
      </c>
      <c r="Z23439" s="372">
        <v>0.0</v>
      </c>
    </row>
    <row r="23440">
      <c r="Y23440" s="372">
        <v>0.0</v>
      </c>
      <c r="Z23440" s="372">
        <v>0.0</v>
      </c>
    </row>
    <row r="23441">
      <c r="Y23441" s="372">
        <v>0.0</v>
      </c>
      <c r="Z23441" s="372">
        <v>0.0</v>
      </c>
    </row>
    <row r="23442">
      <c r="Y23442" s="372">
        <v>0.0</v>
      </c>
      <c r="Z23442" s="372">
        <v>0.0</v>
      </c>
    </row>
    <row r="23443">
      <c r="Y23443" s="372">
        <v>0.0</v>
      </c>
      <c r="Z23443" s="372">
        <v>0.0</v>
      </c>
    </row>
    <row r="23444">
      <c r="Y23444" s="372">
        <v>0.0</v>
      </c>
      <c r="Z23444" s="372">
        <v>0.0</v>
      </c>
    </row>
    <row r="23445">
      <c r="Y23445" s="372">
        <v>0.0</v>
      </c>
      <c r="Z23445" s="372">
        <v>0.0</v>
      </c>
    </row>
    <row r="23446">
      <c r="Y23446" s="372">
        <v>0.0</v>
      </c>
      <c r="Z23446" s="372">
        <v>0.0</v>
      </c>
    </row>
    <row r="23447">
      <c r="Y23447" s="372">
        <v>0.0</v>
      </c>
      <c r="Z23447" s="372">
        <v>0.0</v>
      </c>
    </row>
    <row r="23448">
      <c r="Y23448" s="372">
        <v>0.0</v>
      </c>
      <c r="Z23448" s="372">
        <v>0.0</v>
      </c>
    </row>
    <row r="23449">
      <c r="Y23449" s="372">
        <v>0.0</v>
      </c>
      <c r="Z23449" s="372">
        <v>0.0</v>
      </c>
    </row>
    <row r="23450">
      <c r="Y23450" s="372">
        <v>0.0</v>
      </c>
      <c r="Z23450" s="372">
        <v>0.0</v>
      </c>
    </row>
    <row r="23451">
      <c r="Y23451" s="372">
        <v>0.0</v>
      </c>
      <c r="Z23451" s="372">
        <v>0.0</v>
      </c>
    </row>
    <row r="23452">
      <c r="Y23452" s="372">
        <v>0.0</v>
      </c>
      <c r="Z23452" s="372">
        <v>0.0</v>
      </c>
    </row>
    <row r="23453">
      <c r="Y23453" s="372">
        <v>0.0</v>
      </c>
      <c r="Z23453" s="372">
        <v>0.0</v>
      </c>
    </row>
    <row r="23454">
      <c r="Y23454" s="372">
        <v>0.0</v>
      </c>
      <c r="Z23454" s="372">
        <v>0.0</v>
      </c>
    </row>
    <row r="23455">
      <c r="Y23455" s="372">
        <v>0.0</v>
      </c>
      <c r="Z23455" s="372">
        <v>0.0</v>
      </c>
    </row>
    <row r="23456">
      <c r="Y23456" s="372">
        <v>0.0</v>
      </c>
      <c r="Z23456" s="372">
        <v>0.0</v>
      </c>
    </row>
    <row r="23457">
      <c r="Y23457" s="372">
        <v>0.0</v>
      </c>
      <c r="Z23457" s="372">
        <v>0.0</v>
      </c>
    </row>
    <row r="23458">
      <c r="Y23458" s="372">
        <v>0.0</v>
      </c>
      <c r="Z23458" s="372">
        <v>0.0</v>
      </c>
    </row>
    <row r="23459">
      <c r="Y23459" s="372">
        <v>0.0</v>
      </c>
      <c r="Z23459" s="372">
        <v>0.0</v>
      </c>
    </row>
    <row r="23460">
      <c r="Y23460" s="372">
        <v>0.0</v>
      </c>
      <c r="Z23460" s="372">
        <v>0.0</v>
      </c>
    </row>
    <row r="23461">
      <c r="Y23461" s="372">
        <v>0.0</v>
      </c>
      <c r="Z23461" s="372">
        <v>0.0</v>
      </c>
    </row>
    <row r="23462">
      <c r="Y23462" s="372">
        <v>0.0</v>
      </c>
      <c r="Z23462" s="372">
        <v>0.0</v>
      </c>
    </row>
    <row r="23463">
      <c r="Y23463" s="372">
        <v>0.0</v>
      </c>
      <c r="Z23463" s="372">
        <v>0.0</v>
      </c>
    </row>
    <row r="23464">
      <c r="Y23464" s="372">
        <v>0.0</v>
      </c>
      <c r="Z23464" s="372">
        <v>0.0</v>
      </c>
    </row>
    <row r="23465">
      <c r="Y23465" s="372">
        <v>0.0</v>
      </c>
      <c r="Z23465" s="372">
        <v>0.0</v>
      </c>
    </row>
    <row r="23466">
      <c r="Y23466" s="372">
        <v>0.0</v>
      </c>
      <c r="Z23466" s="372">
        <v>0.0</v>
      </c>
    </row>
    <row r="23467">
      <c r="Y23467" s="372">
        <v>0.0</v>
      </c>
      <c r="Z23467" s="372">
        <v>0.0</v>
      </c>
    </row>
    <row r="23468">
      <c r="Y23468" s="372">
        <v>0.0</v>
      </c>
      <c r="Z23468" s="372">
        <v>0.0</v>
      </c>
    </row>
    <row r="23469">
      <c r="Y23469" s="372">
        <v>0.0</v>
      </c>
      <c r="Z23469" s="372">
        <v>0.0</v>
      </c>
    </row>
    <row r="23470">
      <c r="Y23470" s="372">
        <v>0.0</v>
      </c>
      <c r="Z23470" s="372">
        <v>0.0</v>
      </c>
    </row>
    <row r="23471">
      <c r="Y23471" s="372">
        <v>0.0</v>
      </c>
      <c r="Z23471" s="372">
        <v>0.0</v>
      </c>
    </row>
    <row r="23472">
      <c r="Y23472" s="372">
        <v>0.0</v>
      </c>
      <c r="Z23472" s="372">
        <v>0.0</v>
      </c>
    </row>
    <row r="23473">
      <c r="Y23473" s="372">
        <v>0.0</v>
      </c>
      <c r="Z23473" s="372">
        <v>0.0</v>
      </c>
    </row>
    <row r="23474">
      <c r="Y23474" s="372">
        <v>0.0</v>
      </c>
      <c r="Z23474" s="372">
        <v>0.0</v>
      </c>
    </row>
    <row r="23475">
      <c r="Y23475" s="372">
        <v>0.0</v>
      </c>
      <c r="Z23475" s="372">
        <v>0.0</v>
      </c>
    </row>
    <row r="23476">
      <c r="Y23476" s="372">
        <v>0.0</v>
      </c>
      <c r="Z23476" s="372">
        <v>0.0</v>
      </c>
    </row>
    <row r="23477">
      <c r="Y23477" s="372">
        <v>0.0</v>
      </c>
      <c r="Z23477" s="372">
        <v>0.0</v>
      </c>
    </row>
    <row r="23478">
      <c r="Y23478" s="372">
        <v>0.0</v>
      </c>
      <c r="Z23478" s="372">
        <v>0.0</v>
      </c>
    </row>
    <row r="23479">
      <c r="Y23479" s="372">
        <v>0.0</v>
      </c>
      <c r="Z23479" s="372">
        <v>0.0</v>
      </c>
    </row>
    <row r="23480">
      <c r="Y23480" s="372">
        <v>0.0</v>
      </c>
      <c r="Z23480" s="372">
        <v>0.0</v>
      </c>
    </row>
    <row r="23481">
      <c r="Y23481" s="372">
        <v>0.0</v>
      </c>
      <c r="Z23481" s="372">
        <v>0.0</v>
      </c>
    </row>
    <row r="23482">
      <c r="Y23482" s="372">
        <v>0.0</v>
      </c>
      <c r="Z23482" s="372">
        <v>0.0</v>
      </c>
    </row>
    <row r="23483">
      <c r="Y23483" s="372">
        <v>0.0</v>
      </c>
      <c r="Z23483" s="372">
        <v>0.0</v>
      </c>
    </row>
    <row r="23484">
      <c r="Y23484" s="372">
        <v>0.0</v>
      </c>
      <c r="Z23484" s="372">
        <v>0.0</v>
      </c>
    </row>
    <row r="23485">
      <c r="Y23485" s="372">
        <v>0.0</v>
      </c>
      <c r="Z23485" s="372">
        <v>0.0</v>
      </c>
    </row>
    <row r="23486">
      <c r="Y23486" s="372">
        <v>0.0</v>
      </c>
      <c r="Z23486" s="372">
        <v>0.0</v>
      </c>
    </row>
    <row r="23487">
      <c r="Y23487" s="372">
        <v>0.0</v>
      </c>
      <c r="Z23487" s="372">
        <v>0.0</v>
      </c>
    </row>
    <row r="23488">
      <c r="Y23488" s="372">
        <v>0.0</v>
      </c>
      <c r="Z23488" s="372">
        <v>0.0</v>
      </c>
    </row>
    <row r="23489">
      <c r="Y23489" s="372">
        <v>0.0</v>
      </c>
      <c r="Z23489" s="372">
        <v>0.0</v>
      </c>
    </row>
    <row r="23490">
      <c r="Y23490" s="372">
        <v>0.0</v>
      </c>
      <c r="Z23490" s="372">
        <v>0.0</v>
      </c>
    </row>
    <row r="23491">
      <c r="Y23491" s="372">
        <v>0.0</v>
      </c>
      <c r="Z23491" s="372">
        <v>0.0</v>
      </c>
    </row>
    <row r="23492">
      <c r="Y23492" s="372">
        <v>0.0</v>
      </c>
      <c r="Z23492" s="372">
        <v>0.0</v>
      </c>
    </row>
    <row r="23493">
      <c r="Y23493" s="372">
        <v>0.0</v>
      </c>
      <c r="Z23493" s="372">
        <v>0.0</v>
      </c>
    </row>
    <row r="23494">
      <c r="Y23494" s="372">
        <v>0.0</v>
      </c>
      <c r="Z23494" s="372">
        <v>0.0</v>
      </c>
    </row>
    <row r="23495">
      <c r="Y23495" s="372">
        <v>0.0</v>
      </c>
      <c r="Z23495" s="372">
        <v>0.0</v>
      </c>
    </row>
    <row r="23496">
      <c r="Y23496" s="372">
        <v>0.0</v>
      </c>
      <c r="Z23496" s="372">
        <v>0.0</v>
      </c>
    </row>
    <row r="23497">
      <c r="Y23497" s="372">
        <v>0.0</v>
      </c>
      <c r="Z23497" s="372">
        <v>0.0</v>
      </c>
    </row>
    <row r="23498">
      <c r="Y23498" s="372">
        <v>0.0</v>
      </c>
      <c r="Z23498" s="372">
        <v>0.0</v>
      </c>
    </row>
    <row r="23499">
      <c r="Y23499" s="372">
        <v>0.0</v>
      </c>
      <c r="Z23499" s="372">
        <v>0.0</v>
      </c>
    </row>
    <row r="23500">
      <c r="Y23500" s="372">
        <v>0.0</v>
      </c>
      <c r="Z23500" s="372">
        <v>0.0</v>
      </c>
    </row>
    <row r="23501">
      <c r="Y23501" s="372">
        <v>0.0</v>
      </c>
      <c r="Z23501" s="372">
        <v>0.0</v>
      </c>
    </row>
    <row r="23502">
      <c r="Y23502" s="372">
        <v>0.0</v>
      </c>
      <c r="Z23502" s="372">
        <v>0.0</v>
      </c>
    </row>
    <row r="23503">
      <c r="Y23503" s="372">
        <v>0.0</v>
      </c>
      <c r="Z23503" s="372">
        <v>0.0</v>
      </c>
    </row>
    <row r="23504">
      <c r="Y23504" s="372">
        <v>0.0</v>
      </c>
      <c r="Z23504" s="372">
        <v>0.0</v>
      </c>
    </row>
    <row r="23505">
      <c r="Y23505" s="372">
        <v>0.0</v>
      </c>
      <c r="Z23505" s="372">
        <v>0.0</v>
      </c>
    </row>
    <row r="23506">
      <c r="Y23506" s="372">
        <v>0.0</v>
      </c>
      <c r="Z23506" s="372">
        <v>0.0</v>
      </c>
    </row>
    <row r="23507">
      <c r="Y23507" s="372">
        <v>0.0</v>
      </c>
      <c r="Z23507" s="372">
        <v>0.0</v>
      </c>
    </row>
    <row r="23508">
      <c r="Y23508" s="372">
        <v>0.0</v>
      </c>
      <c r="Z23508" s="372">
        <v>0.0</v>
      </c>
    </row>
    <row r="23509">
      <c r="Y23509" s="372">
        <v>0.0</v>
      </c>
      <c r="Z23509" s="372">
        <v>0.0</v>
      </c>
    </row>
    <row r="23510">
      <c r="Y23510" s="372">
        <v>0.0</v>
      </c>
      <c r="Z23510" s="372">
        <v>0.0</v>
      </c>
    </row>
    <row r="23511">
      <c r="Y23511" s="372">
        <v>0.0</v>
      </c>
      <c r="Z23511" s="372">
        <v>0.0</v>
      </c>
    </row>
    <row r="23512">
      <c r="Y23512" s="372">
        <v>0.0</v>
      </c>
      <c r="Z23512" s="372">
        <v>0.0</v>
      </c>
    </row>
    <row r="23513">
      <c r="Y23513" s="372">
        <v>0.0</v>
      </c>
      <c r="Z23513" s="372">
        <v>0.0</v>
      </c>
    </row>
    <row r="23514">
      <c r="Y23514" s="372">
        <v>0.0</v>
      </c>
      <c r="Z23514" s="372">
        <v>0.0</v>
      </c>
    </row>
    <row r="23515">
      <c r="Y23515" s="372">
        <v>0.0</v>
      </c>
      <c r="Z23515" s="372">
        <v>0.0</v>
      </c>
    </row>
    <row r="23516">
      <c r="Y23516" s="372">
        <v>0.0</v>
      </c>
      <c r="Z23516" s="372">
        <v>0.0</v>
      </c>
    </row>
    <row r="23517">
      <c r="Y23517" s="372">
        <v>0.0</v>
      </c>
      <c r="Z23517" s="372">
        <v>0.0</v>
      </c>
    </row>
    <row r="23518">
      <c r="Y23518" s="372">
        <v>0.0</v>
      </c>
      <c r="Z23518" s="372">
        <v>0.0</v>
      </c>
    </row>
    <row r="23519">
      <c r="Y23519" s="372">
        <v>0.0</v>
      </c>
      <c r="Z23519" s="372">
        <v>0.0</v>
      </c>
    </row>
    <row r="23520">
      <c r="Y23520" s="372">
        <v>0.0</v>
      </c>
      <c r="Z23520" s="372">
        <v>0.0</v>
      </c>
    </row>
    <row r="23521">
      <c r="Y23521" s="372">
        <v>0.0</v>
      </c>
      <c r="Z23521" s="372">
        <v>0.0</v>
      </c>
    </row>
    <row r="23522">
      <c r="Y23522" s="372">
        <v>0.0</v>
      </c>
      <c r="Z23522" s="372">
        <v>0.0</v>
      </c>
    </row>
    <row r="23523">
      <c r="Y23523" s="372">
        <v>0.0</v>
      </c>
      <c r="Z23523" s="372">
        <v>0.0</v>
      </c>
    </row>
    <row r="23524">
      <c r="Y23524" s="372">
        <v>0.0</v>
      </c>
      <c r="Z23524" s="372">
        <v>0.0</v>
      </c>
    </row>
    <row r="23525">
      <c r="Y23525" s="372">
        <v>0.0</v>
      </c>
      <c r="Z23525" s="372">
        <v>0.0</v>
      </c>
    </row>
    <row r="23526">
      <c r="Y23526" s="372">
        <v>0.0</v>
      </c>
      <c r="Z23526" s="372">
        <v>0.0</v>
      </c>
    </row>
    <row r="23527">
      <c r="Y23527" s="372">
        <v>0.0</v>
      </c>
      <c r="Z23527" s="372">
        <v>0.0</v>
      </c>
    </row>
    <row r="23528">
      <c r="Y23528" s="372">
        <v>0.0</v>
      </c>
      <c r="Z23528" s="372">
        <v>0.0</v>
      </c>
    </row>
    <row r="23529">
      <c r="Y23529" s="372">
        <v>0.0</v>
      </c>
      <c r="Z23529" s="372">
        <v>0.0</v>
      </c>
    </row>
    <row r="23530">
      <c r="Y23530" s="372">
        <v>0.0</v>
      </c>
      <c r="Z23530" s="372">
        <v>0.0</v>
      </c>
    </row>
    <row r="23531">
      <c r="Y23531" s="372">
        <v>0.0</v>
      </c>
      <c r="Z23531" s="372">
        <v>0.0</v>
      </c>
    </row>
    <row r="23532">
      <c r="Y23532" s="372">
        <v>0.0</v>
      </c>
      <c r="Z23532" s="372">
        <v>0.0</v>
      </c>
    </row>
    <row r="23533">
      <c r="Y23533" s="372">
        <v>0.0</v>
      </c>
      <c r="Z23533" s="372">
        <v>0.0</v>
      </c>
    </row>
    <row r="23534">
      <c r="Y23534" s="372">
        <v>0.0</v>
      </c>
      <c r="Z23534" s="372">
        <v>0.0</v>
      </c>
    </row>
    <row r="23535">
      <c r="Y23535" s="372">
        <v>0.0</v>
      </c>
      <c r="Z23535" s="372">
        <v>0.0</v>
      </c>
    </row>
    <row r="23536">
      <c r="Y23536" s="372">
        <v>0.0</v>
      </c>
      <c r="Z23536" s="372">
        <v>0.0</v>
      </c>
    </row>
    <row r="23537">
      <c r="Y23537" s="372">
        <v>0.0</v>
      </c>
      <c r="Z23537" s="372">
        <v>0.0</v>
      </c>
    </row>
    <row r="23538">
      <c r="Y23538" s="372">
        <v>0.0</v>
      </c>
      <c r="Z23538" s="372">
        <v>0.0</v>
      </c>
    </row>
    <row r="23539">
      <c r="Y23539" s="372">
        <v>0.0</v>
      </c>
      <c r="Z23539" s="372">
        <v>0.0</v>
      </c>
    </row>
    <row r="23540">
      <c r="Y23540" s="372">
        <v>0.0</v>
      </c>
      <c r="Z23540" s="372">
        <v>0.0</v>
      </c>
    </row>
    <row r="23541">
      <c r="Y23541" s="372">
        <v>0.0</v>
      </c>
      <c r="Z23541" s="372">
        <v>0.0</v>
      </c>
    </row>
    <row r="23542">
      <c r="Y23542" s="372">
        <v>0.0</v>
      </c>
      <c r="Z23542" s="372">
        <v>0.0</v>
      </c>
    </row>
    <row r="23543">
      <c r="Y23543" s="372">
        <v>0.0</v>
      </c>
      <c r="Z23543" s="372">
        <v>0.0</v>
      </c>
    </row>
    <row r="23544">
      <c r="Y23544" s="372">
        <v>0.0</v>
      </c>
      <c r="Z23544" s="372">
        <v>0.0</v>
      </c>
    </row>
    <row r="23545">
      <c r="Y23545" s="372">
        <v>0.0</v>
      </c>
      <c r="Z23545" s="372">
        <v>0.0</v>
      </c>
    </row>
    <row r="23546">
      <c r="Y23546" s="372">
        <v>0.0</v>
      </c>
      <c r="Z23546" s="372">
        <v>0.0</v>
      </c>
    </row>
    <row r="23547">
      <c r="Y23547" s="372">
        <v>0.0</v>
      </c>
      <c r="Z23547" s="372">
        <v>0.0</v>
      </c>
    </row>
    <row r="23548">
      <c r="Y23548" s="372">
        <v>0.0</v>
      </c>
      <c r="Z23548" s="372">
        <v>0.0</v>
      </c>
    </row>
    <row r="23549">
      <c r="Y23549" s="372">
        <v>0.0</v>
      </c>
      <c r="Z23549" s="372">
        <v>0.0</v>
      </c>
    </row>
    <row r="23550">
      <c r="Y23550" s="372">
        <v>0.0</v>
      </c>
      <c r="Z23550" s="372">
        <v>0.0</v>
      </c>
    </row>
    <row r="23551">
      <c r="Y23551" s="372">
        <v>0.0</v>
      </c>
      <c r="Z23551" s="372">
        <v>0.0</v>
      </c>
    </row>
    <row r="23552">
      <c r="Y23552" s="372">
        <v>0.0</v>
      </c>
      <c r="Z23552" s="372">
        <v>0.0</v>
      </c>
    </row>
    <row r="23553">
      <c r="Y23553" s="372">
        <v>0.0</v>
      </c>
      <c r="Z23553" s="372">
        <v>0.0</v>
      </c>
    </row>
    <row r="23554">
      <c r="Y23554" s="372">
        <v>0.0</v>
      </c>
      <c r="Z23554" s="372">
        <v>0.0</v>
      </c>
    </row>
    <row r="23555">
      <c r="Y23555" s="372">
        <v>0.0</v>
      </c>
      <c r="Z23555" s="372">
        <v>0.0</v>
      </c>
    </row>
    <row r="23556">
      <c r="Y23556" s="372">
        <v>0.0</v>
      </c>
      <c r="Z23556" s="372">
        <v>0.0</v>
      </c>
    </row>
    <row r="23557">
      <c r="Y23557" s="372">
        <v>0.0</v>
      </c>
      <c r="Z23557" s="372">
        <v>0.0</v>
      </c>
    </row>
    <row r="23558">
      <c r="Y23558" s="372">
        <v>0.0</v>
      </c>
      <c r="Z23558" s="372">
        <v>0.0</v>
      </c>
    </row>
    <row r="23559">
      <c r="Y23559" s="372">
        <v>0.0</v>
      </c>
      <c r="Z23559" s="372">
        <v>0.0</v>
      </c>
    </row>
    <row r="23560">
      <c r="Y23560" s="372">
        <v>0.0</v>
      </c>
      <c r="Z23560" s="372">
        <v>0.0</v>
      </c>
    </row>
    <row r="23561">
      <c r="Y23561" s="372">
        <v>0.0</v>
      </c>
      <c r="Z23561" s="372">
        <v>0.0</v>
      </c>
    </row>
    <row r="23562">
      <c r="Y23562" s="372">
        <v>0.0</v>
      </c>
      <c r="Z23562" s="372">
        <v>0.0</v>
      </c>
    </row>
    <row r="23563">
      <c r="Y23563" s="372">
        <v>0.0</v>
      </c>
      <c r="Z23563" s="372">
        <v>0.0</v>
      </c>
    </row>
    <row r="23564">
      <c r="Y23564" s="372">
        <v>0.0</v>
      </c>
      <c r="Z23564" s="372">
        <v>0.0</v>
      </c>
    </row>
    <row r="23565">
      <c r="Y23565" s="372">
        <v>0.0</v>
      </c>
      <c r="Z23565" s="372">
        <v>0.0</v>
      </c>
    </row>
    <row r="23566">
      <c r="Y23566" s="372">
        <v>0.0</v>
      </c>
      <c r="Z23566" s="372">
        <v>0.0</v>
      </c>
    </row>
    <row r="23567">
      <c r="Y23567" s="372">
        <v>0.0</v>
      </c>
      <c r="Z23567" s="372">
        <v>0.0</v>
      </c>
    </row>
    <row r="23568">
      <c r="Y23568" s="372">
        <v>0.0</v>
      </c>
      <c r="Z23568" s="372">
        <v>0.0</v>
      </c>
    </row>
    <row r="23569">
      <c r="Y23569" s="372">
        <v>0.0</v>
      </c>
      <c r="Z23569" s="372">
        <v>0.0</v>
      </c>
    </row>
    <row r="23570">
      <c r="Y23570" s="372">
        <v>0.0</v>
      </c>
      <c r="Z23570" s="372">
        <v>0.0</v>
      </c>
    </row>
    <row r="23571">
      <c r="Y23571" s="372">
        <v>0.0</v>
      </c>
      <c r="Z23571" s="372">
        <v>0.0</v>
      </c>
    </row>
    <row r="23572">
      <c r="Y23572" s="372">
        <v>0.0</v>
      </c>
      <c r="Z23572" s="372">
        <v>0.0</v>
      </c>
    </row>
    <row r="23573">
      <c r="Y23573" s="372">
        <v>0.0</v>
      </c>
      <c r="Z23573" s="372">
        <v>0.0</v>
      </c>
    </row>
    <row r="23574">
      <c r="Y23574" s="372">
        <v>0.0</v>
      </c>
      <c r="Z23574" s="372">
        <v>0.0</v>
      </c>
    </row>
    <row r="23575">
      <c r="Y23575" s="372">
        <v>0.0</v>
      </c>
      <c r="Z23575" s="372">
        <v>0.0</v>
      </c>
    </row>
    <row r="23576">
      <c r="Y23576" s="372">
        <v>0.0</v>
      </c>
      <c r="Z23576" s="372">
        <v>0.0</v>
      </c>
    </row>
    <row r="23577">
      <c r="Y23577" s="372">
        <v>0.0</v>
      </c>
      <c r="Z23577" s="372">
        <v>0.0</v>
      </c>
    </row>
    <row r="23578">
      <c r="Y23578" s="372">
        <v>0.0</v>
      </c>
      <c r="Z23578" s="372">
        <v>0.0</v>
      </c>
    </row>
    <row r="23579">
      <c r="Y23579" s="372">
        <v>0.0</v>
      </c>
      <c r="Z23579" s="372">
        <v>0.0</v>
      </c>
    </row>
    <row r="23580">
      <c r="Y23580" s="372">
        <v>0.0</v>
      </c>
      <c r="Z23580" s="372">
        <v>0.0</v>
      </c>
    </row>
    <row r="23581">
      <c r="Y23581" s="372">
        <v>0.0</v>
      </c>
      <c r="Z23581" s="372">
        <v>0.0</v>
      </c>
    </row>
    <row r="23582">
      <c r="Y23582" s="372">
        <v>0.0</v>
      </c>
      <c r="Z23582" s="372">
        <v>0.0</v>
      </c>
    </row>
    <row r="23583">
      <c r="Y23583" s="372">
        <v>0.0</v>
      </c>
      <c r="Z23583" s="372">
        <v>0.0</v>
      </c>
    </row>
    <row r="23584">
      <c r="Y23584" s="372">
        <v>0.0</v>
      </c>
      <c r="Z23584" s="372">
        <v>0.0</v>
      </c>
    </row>
    <row r="23585">
      <c r="Y23585" s="372">
        <v>0.0</v>
      </c>
      <c r="Z23585" s="372">
        <v>0.0</v>
      </c>
    </row>
    <row r="23586">
      <c r="Y23586" s="372">
        <v>0.0</v>
      </c>
      <c r="Z23586" s="372">
        <v>0.0</v>
      </c>
    </row>
    <row r="23587">
      <c r="Y23587" s="372">
        <v>0.0</v>
      </c>
      <c r="Z23587" s="372">
        <v>0.0</v>
      </c>
    </row>
    <row r="23588">
      <c r="Y23588" s="372">
        <v>0.0</v>
      </c>
      <c r="Z23588" s="372">
        <v>0.0</v>
      </c>
    </row>
    <row r="23589">
      <c r="Y23589" s="372">
        <v>0.0</v>
      </c>
      <c r="Z23589" s="372">
        <v>0.0</v>
      </c>
    </row>
    <row r="23590">
      <c r="Y23590" s="372">
        <v>0.0</v>
      </c>
      <c r="Z23590" s="372">
        <v>0.0</v>
      </c>
    </row>
    <row r="23591">
      <c r="Y23591" s="372">
        <v>0.0</v>
      </c>
      <c r="Z23591" s="372">
        <v>0.0</v>
      </c>
    </row>
    <row r="23592">
      <c r="Y23592" s="372">
        <v>0.0</v>
      </c>
      <c r="Z23592" s="372">
        <v>0.0</v>
      </c>
    </row>
    <row r="23593">
      <c r="Y23593" s="372">
        <v>0.0</v>
      </c>
      <c r="Z23593" s="372">
        <v>0.0</v>
      </c>
    </row>
    <row r="23594">
      <c r="Y23594" s="372">
        <v>0.0</v>
      </c>
      <c r="Z23594" s="372">
        <v>0.0</v>
      </c>
    </row>
    <row r="23595">
      <c r="Y23595" s="372">
        <v>0.0</v>
      </c>
      <c r="Z23595" s="372">
        <v>0.0</v>
      </c>
    </row>
    <row r="23596">
      <c r="Y23596" s="372">
        <v>0.0</v>
      </c>
      <c r="Z23596" s="372">
        <v>0.0</v>
      </c>
    </row>
    <row r="23597">
      <c r="Y23597" s="372">
        <v>0.0</v>
      </c>
      <c r="Z23597" s="372">
        <v>0.0</v>
      </c>
    </row>
    <row r="23598">
      <c r="Y23598" s="372">
        <v>0.0</v>
      </c>
      <c r="Z23598" s="372">
        <v>0.0</v>
      </c>
    </row>
    <row r="23599">
      <c r="Y23599" s="372">
        <v>0.0</v>
      </c>
      <c r="Z23599" s="372">
        <v>0.0</v>
      </c>
    </row>
    <row r="23600">
      <c r="Y23600" s="372">
        <v>0.0</v>
      </c>
      <c r="Z23600" s="372">
        <v>0.0</v>
      </c>
    </row>
    <row r="23601">
      <c r="Y23601" s="372">
        <v>0.0</v>
      </c>
      <c r="Z23601" s="372">
        <v>0.0</v>
      </c>
    </row>
    <row r="23602">
      <c r="Y23602" s="372">
        <v>0.0</v>
      </c>
      <c r="Z23602" s="372">
        <v>0.0</v>
      </c>
    </row>
    <row r="23603">
      <c r="Y23603" s="372">
        <v>0.0</v>
      </c>
      <c r="Z23603" s="372">
        <v>0.0</v>
      </c>
    </row>
    <row r="23604">
      <c r="Y23604" s="372">
        <v>0.0</v>
      </c>
      <c r="Z23604" s="372">
        <v>0.0</v>
      </c>
    </row>
    <row r="23605">
      <c r="Y23605" s="372">
        <v>0.0</v>
      </c>
      <c r="Z23605" s="372">
        <v>0.0</v>
      </c>
    </row>
    <row r="23606">
      <c r="Y23606" s="372">
        <v>0.0</v>
      </c>
      <c r="Z23606" s="372">
        <v>0.0</v>
      </c>
    </row>
    <row r="23607">
      <c r="Y23607" s="372">
        <v>0.0</v>
      </c>
      <c r="Z23607" s="372">
        <v>0.0</v>
      </c>
    </row>
    <row r="23608">
      <c r="Y23608" s="372">
        <v>0.0</v>
      </c>
      <c r="Z23608" s="372">
        <v>0.0</v>
      </c>
    </row>
    <row r="23609">
      <c r="Y23609" s="372">
        <v>0.0</v>
      </c>
      <c r="Z23609" s="372">
        <v>0.0</v>
      </c>
    </row>
    <row r="23610">
      <c r="Y23610" s="372">
        <v>0.0</v>
      </c>
      <c r="Z23610" s="372">
        <v>0.0</v>
      </c>
    </row>
    <row r="23611">
      <c r="Y23611" s="372">
        <v>0.0</v>
      </c>
      <c r="Z23611" s="372">
        <v>0.0</v>
      </c>
    </row>
    <row r="23612">
      <c r="Y23612" s="372">
        <v>0.0</v>
      </c>
      <c r="Z23612" s="372">
        <v>0.0</v>
      </c>
    </row>
    <row r="23613">
      <c r="Y23613" s="372">
        <v>0.0</v>
      </c>
      <c r="Z23613" s="372">
        <v>0.0</v>
      </c>
    </row>
    <row r="23614">
      <c r="Y23614" s="372">
        <v>0.0</v>
      </c>
      <c r="Z23614" s="372">
        <v>0.0</v>
      </c>
    </row>
    <row r="23615">
      <c r="Y23615" s="372">
        <v>0.0</v>
      </c>
      <c r="Z23615" s="372">
        <v>0.0</v>
      </c>
    </row>
    <row r="23616">
      <c r="Y23616" s="372">
        <v>0.0</v>
      </c>
      <c r="Z23616" s="372">
        <v>0.0</v>
      </c>
    </row>
    <row r="23617">
      <c r="Y23617" s="372">
        <v>0.0</v>
      </c>
      <c r="Z23617" s="372">
        <v>0.0</v>
      </c>
    </row>
    <row r="23618">
      <c r="Y23618" s="372">
        <v>0.0</v>
      </c>
      <c r="Z23618" s="372">
        <v>0.0</v>
      </c>
    </row>
    <row r="23619">
      <c r="Y23619" s="372">
        <v>0.0</v>
      </c>
      <c r="Z23619" s="372">
        <v>0.0</v>
      </c>
    </row>
    <row r="23620">
      <c r="Y23620" s="372">
        <v>0.0</v>
      </c>
      <c r="Z23620" s="372">
        <v>0.0</v>
      </c>
    </row>
    <row r="23621">
      <c r="Y23621" s="372">
        <v>0.0</v>
      </c>
      <c r="Z23621" s="372">
        <v>0.0</v>
      </c>
    </row>
    <row r="23622">
      <c r="Y23622" s="372">
        <v>0.0</v>
      </c>
      <c r="Z23622" s="372">
        <v>0.0</v>
      </c>
    </row>
    <row r="23623">
      <c r="Y23623" s="372">
        <v>0.0</v>
      </c>
      <c r="Z23623" s="372">
        <v>0.0</v>
      </c>
    </row>
    <row r="23624">
      <c r="Y23624" s="372">
        <v>0.0</v>
      </c>
      <c r="Z23624" s="372">
        <v>0.0</v>
      </c>
    </row>
    <row r="23625">
      <c r="Y23625" s="372">
        <v>0.0</v>
      </c>
      <c r="Z23625" s="372">
        <v>0.0</v>
      </c>
    </row>
    <row r="23626">
      <c r="Y23626" s="372">
        <v>0.0</v>
      </c>
      <c r="Z23626" s="372">
        <v>0.0</v>
      </c>
    </row>
    <row r="23627">
      <c r="Y23627" s="372">
        <v>0.0</v>
      </c>
      <c r="Z23627" s="372">
        <v>0.0</v>
      </c>
    </row>
    <row r="23628">
      <c r="Y23628" s="372">
        <v>0.0</v>
      </c>
      <c r="Z23628" s="372">
        <v>0.0</v>
      </c>
    </row>
    <row r="23629">
      <c r="Y23629" s="372">
        <v>0.0</v>
      </c>
      <c r="Z23629" s="372">
        <v>0.0</v>
      </c>
    </row>
    <row r="23630">
      <c r="Y23630" s="372">
        <v>0.0</v>
      </c>
      <c r="Z23630" s="372">
        <v>0.0</v>
      </c>
    </row>
    <row r="23631">
      <c r="Y23631" s="372">
        <v>0.0</v>
      </c>
      <c r="Z23631" s="372">
        <v>0.0</v>
      </c>
    </row>
    <row r="23632">
      <c r="Y23632" s="372">
        <v>0.0</v>
      </c>
      <c r="Z23632" s="372">
        <v>0.0</v>
      </c>
    </row>
    <row r="23633">
      <c r="Y23633" s="372">
        <v>0.0</v>
      </c>
      <c r="Z23633" s="372">
        <v>0.0</v>
      </c>
    </row>
    <row r="23634">
      <c r="Y23634" s="372">
        <v>0.0</v>
      </c>
      <c r="Z23634" s="372">
        <v>0.0</v>
      </c>
    </row>
    <row r="23635">
      <c r="Y23635" s="372">
        <v>0.0</v>
      </c>
      <c r="Z23635" s="372">
        <v>0.0</v>
      </c>
    </row>
    <row r="23636">
      <c r="Y23636" s="372">
        <v>0.0</v>
      </c>
      <c r="Z23636" s="372">
        <v>0.0</v>
      </c>
    </row>
    <row r="23637">
      <c r="Y23637" s="372">
        <v>0.0</v>
      </c>
      <c r="Z23637" s="372">
        <v>0.0</v>
      </c>
    </row>
    <row r="23638">
      <c r="Y23638" s="372">
        <v>0.0</v>
      </c>
      <c r="Z23638" s="372">
        <v>0.0</v>
      </c>
    </row>
    <row r="23639">
      <c r="Y23639" s="372">
        <v>0.0</v>
      </c>
      <c r="Z23639" s="372">
        <v>0.0</v>
      </c>
    </row>
    <row r="23640">
      <c r="Y23640" s="372">
        <v>0.0</v>
      </c>
      <c r="Z23640" s="372">
        <v>0.0</v>
      </c>
    </row>
    <row r="23641">
      <c r="Y23641" s="372">
        <v>0.0</v>
      </c>
      <c r="Z23641" s="372">
        <v>0.0</v>
      </c>
    </row>
    <row r="23642">
      <c r="Y23642" s="372">
        <v>0.0</v>
      </c>
      <c r="Z23642" s="372">
        <v>0.0</v>
      </c>
    </row>
    <row r="23643">
      <c r="Y23643" s="372">
        <v>0.0</v>
      </c>
      <c r="Z23643" s="372">
        <v>0.0</v>
      </c>
    </row>
    <row r="23644">
      <c r="Y23644" s="372">
        <v>0.0</v>
      </c>
      <c r="Z23644" s="372">
        <v>0.0</v>
      </c>
    </row>
    <row r="23645">
      <c r="Y23645" s="372">
        <v>0.0</v>
      </c>
      <c r="Z23645" s="372">
        <v>0.0</v>
      </c>
    </row>
    <row r="23646">
      <c r="Y23646" s="372">
        <v>0.0</v>
      </c>
      <c r="Z23646" s="372">
        <v>0.0</v>
      </c>
    </row>
    <row r="23647">
      <c r="Y23647" s="372">
        <v>0.0</v>
      </c>
      <c r="Z23647" s="372">
        <v>0.0</v>
      </c>
    </row>
    <row r="23648">
      <c r="Y23648" s="372">
        <v>0.0</v>
      </c>
      <c r="Z23648" s="372">
        <v>0.0</v>
      </c>
    </row>
    <row r="23649">
      <c r="Y23649" s="372">
        <v>0.0</v>
      </c>
      <c r="Z23649" s="372">
        <v>0.0</v>
      </c>
    </row>
    <row r="23650">
      <c r="Y23650" s="372">
        <v>0.0</v>
      </c>
      <c r="Z23650" s="372">
        <v>0.0</v>
      </c>
    </row>
    <row r="23651">
      <c r="Y23651" s="372">
        <v>0.0</v>
      </c>
      <c r="Z23651" s="372">
        <v>0.0</v>
      </c>
    </row>
    <row r="23652">
      <c r="Y23652" s="372">
        <v>0.0</v>
      </c>
      <c r="Z23652" s="372">
        <v>0.0</v>
      </c>
    </row>
    <row r="23653">
      <c r="Y23653" s="372">
        <v>0.0</v>
      </c>
      <c r="Z23653" s="372">
        <v>0.0</v>
      </c>
    </row>
    <row r="23654">
      <c r="Y23654" s="372">
        <v>0.0</v>
      </c>
      <c r="Z23654" s="372">
        <v>0.0</v>
      </c>
    </row>
    <row r="23655">
      <c r="Y23655" s="372">
        <v>0.0</v>
      </c>
      <c r="Z23655" s="372">
        <v>0.0</v>
      </c>
    </row>
    <row r="23656">
      <c r="Y23656" s="372">
        <v>0.0</v>
      </c>
      <c r="Z23656" s="372">
        <v>0.0</v>
      </c>
    </row>
    <row r="23657">
      <c r="Y23657" s="372">
        <v>0.0</v>
      </c>
      <c r="Z23657" s="372">
        <v>0.0</v>
      </c>
    </row>
    <row r="23658">
      <c r="Y23658" s="372">
        <v>0.0</v>
      </c>
      <c r="Z23658" s="372">
        <v>0.0</v>
      </c>
    </row>
    <row r="23659">
      <c r="Y23659" s="372">
        <v>0.0</v>
      </c>
      <c r="Z23659" s="372">
        <v>0.0</v>
      </c>
    </row>
    <row r="23660">
      <c r="Y23660" s="372">
        <v>0.0</v>
      </c>
      <c r="Z23660" s="372">
        <v>0.0</v>
      </c>
    </row>
    <row r="23661">
      <c r="Y23661" s="372">
        <v>0.0</v>
      </c>
      <c r="Z23661" s="372">
        <v>0.0</v>
      </c>
    </row>
    <row r="23662">
      <c r="Y23662" s="372">
        <v>0.0</v>
      </c>
      <c r="Z23662" s="372">
        <v>0.0</v>
      </c>
    </row>
    <row r="23663">
      <c r="Y23663" s="372">
        <v>0.0</v>
      </c>
      <c r="Z23663" s="372">
        <v>0.0</v>
      </c>
    </row>
    <row r="23664">
      <c r="Y23664" s="372">
        <v>0.0</v>
      </c>
      <c r="Z23664" s="372">
        <v>0.0</v>
      </c>
    </row>
    <row r="23665">
      <c r="Y23665" s="372">
        <v>0.0</v>
      </c>
      <c r="Z23665" s="372">
        <v>0.0</v>
      </c>
    </row>
    <row r="23666">
      <c r="Y23666" s="372">
        <v>0.0</v>
      </c>
      <c r="Z23666" s="372">
        <v>0.0</v>
      </c>
    </row>
    <row r="23667">
      <c r="Y23667" s="372">
        <v>0.0</v>
      </c>
      <c r="Z23667" s="372">
        <v>0.0</v>
      </c>
    </row>
    <row r="23668">
      <c r="Y23668" s="372">
        <v>0.0</v>
      </c>
      <c r="Z23668" s="372">
        <v>0.0</v>
      </c>
    </row>
    <row r="23669">
      <c r="Y23669" s="372">
        <v>0.0</v>
      </c>
      <c r="Z23669" s="372">
        <v>0.0</v>
      </c>
    </row>
    <row r="23670">
      <c r="Y23670" s="372">
        <v>0.0</v>
      </c>
      <c r="Z23670" s="372">
        <v>0.0</v>
      </c>
    </row>
    <row r="23671">
      <c r="Y23671" s="372">
        <v>0.0</v>
      </c>
      <c r="Z23671" s="372">
        <v>0.0</v>
      </c>
    </row>
    <row r="23672">
      <c r="Y23672" s="372">
        <v>0.0</v>
      </c>
      <c r="Z23672" s="372">
        <v>0.0</v>
      </c>
    </row>
    <row r="23673">
      <c r="Y23673" s="372">
        <v>0.0</v>
      </c>
      <c r="Z23673" s="372">
        <v>0.0</v>
      </c>
    </row>
    <row r="23674">
      <c r="Y23674" s="372">
        <v>0.0</v>
      </c>
      <c r="Z23674" s="372">
        <v>0.0</v>
      </c>
    </row>
    <row r="23675">
      <c r="Y23675" s="372">
        <v>0.0</v>
      </c>
      <c r="Z23675" s="372">
        <v>0.0</v>
      </c>
    </row>
    <row r="23676">
      <c r="Y23676" s="372">
        <v>0.0</v>
      </c>
      <c r="Z23676" s="372">
        <v>0.0</v>
      </c>
    </row>
    <row r="23677">
      <c r="Y23677" s="372">
        <v>0.0</v>
      </c>
      <c r="Z23677" s="372">
        <v>0.0</v>
      </c>
    </row>
    <row r="23678">
      <c r="Y23678" s="372">
        <v>0.0</v>
      </c>
      <c r="Z23678" s="372">
        <v>0.0</v>
      </c>
    </row>
    <row r="23679">
      <c r="Y23679" s="372">
        <v>0.0</v>
      </c>
      <c r="Z23679" s="372">
        <v>0.0</v>
      </c>
    </row>
    <row r="23680">
      <c r="Y23680" s="372">
        <v>0.0</v>
      </c>
      <c r="Z23680" s="372">
        <v>0.0</v>
      </c>
    </row>
    <row r="23681">
      <c r="Y23681" s="372">
        <v>0.0</v>
      </c>
      <c r="Z23681" s="372">
        <v>0.0</v>
      </c>
    </row>
    <row r="23682">
      <c r="Y23682" s="372">
        <v>0.0</v>
      </c>
      <c r="Z23682" s="372">
        <v>0.0</v>
      </c>
    </row>
    <row r="23683">
      <c r="Y23683" s="372">
        <v>0.0</v>
      </c>
      <c r="Z23683" s="372">
        <v>0.0</v>
      </c>
    </row>
    <row r="23684">
      <c r="Y23684" s="372">
        <v>0.0</v>
      </c>
      <c r="Z23684" s="372">
        <v>0.0</v>
      </c>
    </row>
    <row r="23685">
      <c r="Y23685" s="372">
        <v>0.0</v>
      </c>
      <c r="Z23685" s="372">
        <v>0.0</v>
      </c>
    </row>
    <row r="23686">
      <c r="Y23686" s="372">
        <v>0.0</v>
      </c>
      <c r="Z23686" s="372">
        <v>0.0</v>
      </c>
    </row>
    <row r="23687">
      <c r="Y23687" s="372">
        <v>0.0</v>
      </c>
      <c r="Z23687" s="372">
        <v>0.0</v>
      </c>
    </row>
    <row r="23688">
      <c r="Y23688" s="372">
        <v>0.0</v>
      </c>
      <c r="Z23688" s="372">
        <v>0.0</v>
      </c>
    </row>
    <row r="23689">
      <c r="Y23689" s="372">
        <v>0.0</v>
      </c>
      <c r="Z23689" s="372">
        <v>0.0</v>
      </c>
    </row>
    <row r="23690">
      <c r="Y23690" s="372">
        <v>0.0</v>
      </c>
      <c r="Z23690" s="372">
        <v>0.0</v>
      </c>
    </row>
    <row r="23691">
      <c r="Y23691" s="372">
        <v>0.0</v>
      </c>
      <c r="Z23691" s="372">
        <v>0.0</v>
      </c>
    </row>
    <row r="23692">
      <c r="Y23692" s="372">
        <v>0.0</v>
      </c>
      <c r="Z23692" s="372">
        <v>0.0</v>
      </c>
    </row>
    <row r="23693">
      <c r="Y23693" s="372">
        <v>0.0</v>
      </c>
      <c r="Z23693" s="372">
        <v>0.0</v>
      </c>
    </row>
    <row r="23694">
      <c r="Y23694" s="372">
        <v>0.0</v>
      </c>
      <c r="Z23694" s="372">
        <v>0.0</v>
      </c>
    </row>
    <row r="23695">
      <c r="Y23695" s="372">
        <v>0.0</v>
      </c>
      <c r="Z23695" s="372">
        <v>0.0</v>
      </c>
    </row>
    <row r="23696">
      <c r="Y23696" s="372">
        <v>0.0</v>
      </c>
      <c r="Z23696" s="372">
        <v>0.0</v>
      </c>
    </row>
    <row r="23697">
      <c r="Y23697" s="372">
        <v>0.0</v>
      </c>
      <c r="Z23697" s="372">
        <v>0.0</v>
      </c>
    </row>
    <row r="23698">
      <c r="Y23698" s="372">
        <v>0.0</v>
      </c>
      <c r="Z23698" s="372">
        <v>0.0</v>
      </c>
    </row>
    <row r="23699">
      <c r="Y23699" s="372">
        <v>0.0</v>
      </c>
      <c r="Z23699" s="372">
        <v>0.0</v>
      </c>
    </row>
    <row r="23700">
      <c r="Y23700" s="372">
        <v>0.0</v>
      </c>
      <c r="Z23700" s="372">
        <v>0.0</v>
      </c>
    </row>
    <row r="23701">
      <c r="Y23701" s="372">
        <v>0.0</v>
      </c>
      <c r="Z23701" s="372">
        <v>0.0</v>
      </c>
    </row>
    <row r="23702">
      <c r="Y23702" s="372">
        <v>0.0</v>
      </c>
      <c r="Z23702" s="372">
        <v>0.0</v>
      </c>
    </row>
    <row r="23703">
      <c r="Y23703" s="372">
        <v>0.0</v>
      </c>
      <c r="Z23703" s="372">
        <v>0.0</v>
      </c>
    </row>
    <row r="23704">
      <c r="Y23704" s="372">
        <v>0.0</v>
      </c>
      <c r="Z23704" s="372">
        <v>0.0</v>
      </c>
    </row>
    <row r="23705">
      <c r="Y23705" s="372">
        <v>0.0</v>
      </c>
      <c r="Z23705" s="372">
        <v>0.0</v>
      </c>
    </row>
    <row r="23706">
      <c r="Y23706" s="372">
        <v>0.0</v>
      </c>
      <c r="Z23706" s="372">
        <v>0.0</v>
      </c>
    </row>
    <row r="23707">
      <c r="Y23707" s="372">
        <v>0.0</v>
      </c>
      <c r="Z23707" s="372">
        <v>0.0</v>
      </c>
    </row>
    <row r="23708">
      <c r="Y23708" s="372">
        <v>0.0</v>
      </c>
      <c r="Z23708" s="372">
        <v>0.0</v>
      </c>
    </row>
    <row r="23709">
      <c r="Y23709" s="372">
        <v>0.0</v>
      </c>
      <c r="Z23709" s="372">
        <v>0.0</v>
      </c>
    </row>
    <row r="23710">
      <c r="Y23710" s="372">
        <v>0.0</v>
      </c>
      <c r="Z23710" s="372">
        <v>0.0</v>
      </c>
    </row>
    <row r="23711">
      <c r="Y23711" s="372">
        <v>0.0</v>
      </c>
      <c r="Z23711" s="372">
        <v>0.0</v>
      </c>
    </row>
    <row r="23712">
      <c r="Y23712" s="372">
        <v>0.0</v>
      </c>
      <c r="Z23712" s="372">
        <v>0.0</v>
      </c>
    </row>
    <row r="23713">
      <c r="Y23713" s="372">
        <v>0.0</v>
      </c>
      <c r="Z23713" s="372">
        <v>0.0</v>
      </c>
    </row>
    <row r="23714">
      <c r="Y23714" s="372">
        <v>0.0</v>
      </c>
      <c r="Z23714" s="372">
        <v>0.0</v>
      </c>
    </row>
    <row r="23715">
      <c r="Y23715" s="372">
        <v>0.0</v>
      </c>
      <c r="Z23715" s="372">
        <v>0.0</v>
      </c>
    </row>
    <row r="23716">
      <c r="Y23716" s="372">
        <v>0.0</v>
      </c>
      <c r="Z23716" s="372">
        <v>0.0</v>
      </c>
    </row>
    <row r="23717">
      <c r="Y23717" s="372">
        <v>0.0</v>
      </c>
      <c r="Z23717" s="372">
        <v>0.0</v>
      </c>
    </row>
    <row r="23718">
      <c r="Y23718" s="372">
        <v>0.0</v>
      </c>
      <c r="Z23718" s="372">
        <v>0.0</v>
      </c>
    </row>
    <row r="23719">
      <c r="Y23719" s="372">
        <v>0.0</v>
      </c>
      <c r="Z23719" s="372">
        <v>0.0</v>
      </c>
    </row>
    <row r="23720">
      <c r="Y23720" s="372">
        <v>0.0</v>
      </c>
      <c r="Z23720" s="372">
        <v>0.0</v>
      </c>
    </row>
    <row r="23721">
      <c r="Y23721" s="372">
        <v>0.0</v>
      </c>
      <c r="Z23721" s="372">
        <v>0.0</v>
      </c>
    </row>
    <row r="23722">
      <c r="Y23722" s="372">
        <v>0.0</v>
      </c>
      <c r="Z23722" s="372">
        <v>0.0</v>
      </c>
    </row>
    <row r="23723">
      <c r="Y23723" s="372">
        <v>0.0</v>
      </c>
      <c r="Z23723" s="372">
        <v>0.0</v>
      </c>
    </row>
    <row r="23724">
      <c r="Y23724" s="372">
        <v>0.0</v>
      </c>
      <c r="Z23724" s="372">
        <v>0.0</v>
      </c>
    </row>
    <row r="23725">
      <c r="Y23725" s="372">
        <v>0.0</v>
      </c>
      <c r="Z23725" s="372">
        <v>0.0</v>
      </c>
    </row>
    <row r="23726">
      <c r="Y23726" s="372">
        <v>0.0</v>
      </c>
      <c r="Z23726" s="372">
        <v>0.0</v>
      </c>
    </row>
    <row r="23727">
      <c r="Y23727" s="372">
        <v>0.0</v>
      </c>
      <c r="Z23727" s="372">
        <v>0.0</v>
      </c>
    </row>
    <row r="23728">
      <c r="Y23728" s="372">
        <v>0.0</v>
      </c>
      <c r="Z23728" s="372">
        <v>0.0</v>
      </c>
    </row>
    <row r="23729">
      <c r="Y23729" s="372">
        <v>0.0</v>
      </c>
      <c r="Z23729" s="372">
        <v>0.0</v>
      </c>
    </row>
    <row r="23730">
      <c r="Y23730" s="372">
        <v>0.0</v>
      </c>
      <c r="Z23730" s="372">
        <v>0.0</v>
      </c>
    </row>
    <row r="23731">
      <c r="Y23731" s="372">
        <v>0.0</v>
      </c>
      <c r="Z23731" s="372">
        <v>0.0</v>
      </c>
    </row>
    <row r="23732">
      <c r="Y23732" s="372">
        <v>0.0</v>
      </c>
      <c r="Z23732" s="372">
        <v>0.0</v>
      </c>
    </row>
    <row r="23733">
      <c r="Y23733" s="372">
        <v>0.0</v>
      </c>
      <c r="Z23733" s="372">
        <v>0.0</v>
      </c>
    </row>
    <row r="23734">
      <c r="Y23734" s="372">
        <v>0.0</v>
      </c>
      <c r="Z23734" s="372">
        <v>0.0</v>
      </c>
    </row>
    <row r="23735">
      <c r="Y23735" s="372">
        <v>0.0</v>
      </c>
      <c r="Z23735" s="372">
        <v>0.0</v>
      </c>
    </row>
    <row r="23736">
      <c r="Y23736" s="372">
        <v>0.0</v>
      </c>
      <c r="Z23736" s="372">
        <v>0.0</v>
      </c>
    </row>
    <row r="23737">
      <c r="Y23737" s="372">
        <v>0.0</v>
      </c>
      <c r="Z23737" s="372">
        <v>0.0</v>
      </c>
    </row>
    <row r="23738">
      <c r="Y23738" s="372">
        <v>0.0</v>
      </c>
      <c r="Z23738" s="372">
        <v>0.0</v>
      </c>
    </row>
    <row r="23739">
      <c r="Y23739" s="372">
        <v>0.0</v>
      </c>
      <c r="Z23739" s="372">
        <v>0.0</v>
      </c>
    </row>
    <row r="23740">
      <c r="Y23740" s="372">
        <v>0.0</v>
      </c>
      <c r="Z23740" s="372">
        <v>0.0</v>
      </c>
    </row>
    <row r="23741">
      <c r="Y23741" s="372">
        <v>0.0</v>
      </c>
      <c r="Z23741" s="372">
        <v>0.0</v>
      </c>
    </row>
    <row r="23742">
      <c r="Y23742" s="372">
        <v>0.0</v>
      </c>
      <c r="Z23742" s="372">
        <v>0.0</v>
      </c>
    </row>
    <row r="23743">
      <c r="Y23743" s="372">
        <v>0.0</v>
      </c>
      <c r="Z23743" s="372">
        <v>0.0</v>
      </c>
    </row>
    <row r="23744">
      <c r="Y23744" s="372">
        <v>0.0</v>
      </c>
      <c r="Z23744" s="372">
        <v>0.0</v>
      </c>
    </row>
    <row r="23745">
      <c r="Y23745" s="372">
        <v>0.0</v>
      </c>
      <c r="Z23745" s="372">
        <v>0.0</v>
      </c>
    </row>
    <row r="23746">
      <c r="Y23746" s="372">
        <v>0.0</v>
      </c>
      <c r="Z23746" s="372">
        <v>0.0</v>
      </c>
    </row>
    <row r="23747">
      <c r="Y23747" s="372">
        <v>0.0</v>
      </c>
      <c r="Z23747" s="372">
        <v>0.0</v>
      </c>
    </row>
    <row r="23748">
      <c r="Y23748" s="372">
        <v>0.0</v>
      </c>
      <c r="Z23748" s="372">
        <v>0.0</v>
      </c>
    </row>
    <row r="23749">
      <c r="Y23749" s="372">
        <v>0.0</v>
      </c>
      <c r="Z23749" s="372">
        <v>0.0</v>
      </c>
    </row>
    <row r="23750">
      <c r="Y23750" s="372">
        <v>0.0</v>
      </c>
      <c r="Z23750" s="372">
        <v>0.0</v>
      </c>
    </row>
    <row r="23751">
      <c r="Y23751" s="372">
        <v>0.0</v>
      </c>
      <c r="Z23751" s="372">
        <v>0.0</v>
      </c>
    </row>
    <row r="23752">
      <c r="Y23752" s="372">
        <v>0.0</v>
      </c>
      <c r="Z23752" s="372">
        <v>0.0</v>
      </c>
    </row>
    <row r="23753">
      <c r="Y23753" s="372">
        <v>0.0</v>
      </c>
      <c r="Z23753" s="372">
        <v>0.0</v>
      </c>
    </row>
    <row r="23754">
      <c r="Y23754" s="372">
        <v>0.0</v>
      </c>
      <c r="Z23754" s="372">
        <v>0.0</v>
      </c>
    </row>
    <row r="23755">
      <c r="Y23755" s="372">
        <v>0.0</v>
      </c>
      <c r="Z23755" s="372">
        <v>0.0</v>
      </c>
    </row>
    <row r="23756">
      <c r="Y23756" s="372">
        <v>0.0</v>
      </c>
      <c r="Z23756" s="372">
        <v>0.0</v>
      </c>
    </row>
    <row r="23757">
      <c r="Y23757" s="372">
        <v>0.0</v>
      </c>
      <c r="Z23757" s="372">
        <v>0.0</v>
      </c>
    </row>
    <row r="23758">
      <c r="Y23758" s="372">
        <v>0.0</v>
      </c>
      <c r="Z23758" s="372">
        <v>0.0</v>
      </c>
    </row>
    <row r="23759">
      <c r="Y23759" s="372">
        <v>0.0</v>
      </c>
      <c r="Z23759" s="372">
        <v>0.0</v>
      </c>
    </row>
    <row r="23760">
      <c r="Y23760" s="372">
        <v>0.0</v>
      </c>
      <c r="Z23760" s="372">
        <v>0.0</v>
      </c>
    </row>
    <row r="23761">
      <c r="Y23761" s="372">
        <v>0.0</v>
      </c>
      <c r="Z23761" s="372">
        <v>0.0</v>
      </c>
    </row>
    <row r="23762">
      <c r="Y23762" s="372">
        <v>0.0</v>
      </c>
      <c r="Z23762" s="372">
        <v>0.0</v>
      </c>
    </row>
    <row r="23763">
      <c r="Y23763" s="372">
        <v>0.0</v>
      </c>
      <c r="Z23763" s="372">
        <v>0.0</v>
      </c>
    </row>
    <row r="23764">
      <c r="Y23764" s="372">
        <v>0.0</v>
      </c>
      <c r="Z23764" s="372">
        <v>0.0</v>
      </c>
    </row>
    <row r="23765">
      <c r="Y23765" s="372">
        <v>0.0</v>
      </c>
      <c r="Z23765" s="372">
        <v>0.0</v>
      </c>
    </row>
    <row r="23766">
      <c r="Y23766" s="372">
        <v>0.0</v>
      </c>
      <c r="Z23766" s="372">
        <v>0.0</v>
      </c>
    </row>
    <row r="23767">
      <c r="Y23767" s="372">
        <v>0.0</v>
      </c>
      <c r="Z23767" s="372">
        <v>0.0</v>
      </c>
    </row>
    <row r="23768">
      <c r="Y23768" s="372">
        <v>0.0</v>
      </c>
      <c r="Z23768" s="372">
        <v>0.0</v>
      </c>
    </row>
    <row r="23769">
      <c r="Y23769" s="372">
        <v>0.0</v>
      </c>
      <c r="Z23769" s="372">
        <v>0.0</v>
      </c>
    </row>
    <row r="23770">
      <c r="Y23770" s="372">
        <v>0.0</v>
      </c>
      <c r="Z23770" s="372">
        <v>0.0</v>
      </c>
    </row>
    <row r="23771">
      <c r="Y23771" s="372">
        <v>0.0</v>
      </c>
      <c r="Z23771" s="372">
        <v>0.0</v>
      </c>
    </row>
    <row r="23772">
      <c r="Y23772" s="372">
        <v>0.0</v>
      </c>
      <c r="Z23772" s="372">
        <v>0.0</v>
      </c>
    </row>
    <row r="23773">
      <c r="Y23773" s="372">
        <v>0.0</v>
      </c>
      <c r="Z23773" s="372">
        <v>0.0</v>
      </c>
    </row>
    <row r="23774">
      <c r="Y23774" s="372">
        <v>0.0</v>
      </c>
      <c r="Z23774" s="372">
        <v>0.0</v>
      </c>
    </row>
    <row r="23775">
      <c r="Y23775" s="372">
        <v>0.0</v>
      </c>
      <c r="Z23775" s="372">
        <v>0.0</v>
      </c>
    </row>
    <row r="23776">
      <c r="Y23776" s="372">
        <v>0.0</v>
      </c>
      <c r="Z23776" s="372">
        <v>0.0</v>
      </c>
    </row>
    <row r="23777">
      <c r="Y23777" s="372">
        <v>0.0</v>
      </c>
      <c r="Z23777" s="372">
        <v>0.0</v>
      </c>
    </row>
    <row r="23778">
      <c r="Y23778" s="372">
        <v>0.0</v>
      </c>
      <c r="Z23778" s="372">
        <v>0.0</v>
      </c>
    </row>
    <row r="23779">
      <c r="Y23779" s="372">
        <v>0.0</v>
      </c>
      <c r="Z23779" s="372">
        <v>0.0</v>
      </c>
    </row>
    <row r="23780">
      <c r="Y23780" s="372">
        <v>0.0</v>
      </c>
      <c r="Z23780" s="372">
        <v>0.0</v>
      </c>
    </row>
    <row r="23781">
      <c r="Y23781" s="372">
        <v>0.0</v>
      </c>
      <c r="Z23781" s="372">
        <v>0.0</v>
      </c>
    </row>
    <row r="23782">
      <c r="Y23782" s="372">
        <v>0.0</v>
      </c>
      <c r="Z23782" s="372">
        <v>0.0</v>
      </c>
    </row>
    <row r="23783">
      <c r="Y23783" s="372">
        <v>0.0</v>
      </c>
      <c r="Z23783" s="372">
        <v>0.0</v>
      </c>
    </row>
    <row r="23784">
      <c r="Y23784" s="372">
        <v>0.0</v>
      </c>
      <c r="Z23784" s="372">
        <v>0.0</v>
      </c>
    </row>
    <row r="23785">
      <c r="Y23785" s="372">
        <v>0.0</v>
      </c>
      <c r="Z23785" s="372">
        <v>0.0</v>
      </c>
    </row>
    <row r="23786">
      <c r="Y23786" s="372">
        <v>0.0</v>
      </c>
      <c r="Z23786" s="372">
        <v>0.0</v>
      </c>
    </row>
    <row r="23787">
      <c r="Y23787" s="372">
        <v>0.0</v>
      </c>
      <c r="Z23787" s="372">
        <v>0.0</v>
      </c>
    </row>
    <row r="23788">
      <c r="Y23788" s="372">
        <v>0.0</v>
      </c>
      <c r="Z23788" s="372">
        <v>0.0</v>
      </c>
    </row>
    <row r="23789">
      <c r="Y23789" s="372">
        <v>0.0</v>
      </c>
      <c r="Z23789" s="372">
        <v>0.0</v>
      </c>
    </row>
    <row r="23790">
      <c r="Y23790" s="372">
        <v>0.0</v>
      </c>
      <c r="Z23790" s="372">
        <v>0.0</v>
      </c>
    </row>
    <row r="23791">
      <c r="Y23791" s="372">
        <v>0.0</v>
      </c>
      <c r="Z23791" s="372">
        <v>0.0</v>
      </c>
    </row>
    <row r="23792">
      <c r="Y23792" s="372">
        <v>0.0</v>
      </c>
      <c r="Z23792" s="372">
        <v>0.0</v>
      </c>
    </row>
    <row r="23793">
      <c r="Y23793" s="372">
        <v>0.0</v>
      </c>
      <c r="Z23793" s="372">
        <v>0.0</v>
      </c>
    </row>
    <row r="23794">
      <c r="Y23794" s="372">
        <v>0.0</v>
      </c>
      <c r="Z23794" s="372">
        <v>0.0</v>
      </c>
    </row>
    <row r="23795">
      <c r="Y23795" s="372">
        <v>0.0</v>
      </c>
      <c r="Z23795" s="372">
        <v>0.0</v>
      </c>
    </row>
    <row r="23796">
      <c r="Y23796" s="372">
        <v>0.0</v>
      </c>
      <c r="Z23796" s="372">
        <v>0.0</v>
      </c>
    </row>
    <row r="23797">
      <c r="Y23797" s="372">
        <v>0.0</v>
      </c>
      <c r="Z23797" s="372">
        <v>0.0</v>
      </c>
    </row>
    <row r="23798">
      <c r="Y23798" s="372">
        <v>0.0</v>
      </c>
      <c r="Z23798" s="372">
        <v>0.0</v>
      </c>
    </row>
    <row r="23799">
      <c r="Y23799" s="372">
        <v>0.0</v>
      </c>
      <c r="Z23799" s="372">
        <v>0.0</v>
      </c>
    </row>
    <row r="23800">
      <c r="Y23800" s="372">
        <v>0.0</v>
      </c>
      <c r="Z23800" s="372">
        <v>0.0</v>
      </c>
    </row>
    <row r="23801">
      <c r="Y23801" s="372">
        <v>0.0</v>
      </c>
      <c r="Z23801" s="372">
        <v>0.0</v>
      </c>
    </row>
    <row r="23802">
      <c r="Y23802" s="372">
        <v>0.0</v>
      </c>
      <c r="Z23802" s="372">
        <v>0.0</v>
      </c>
    </row>
    <row r="23803">
      <c r="Y23803" s="372">
        <v>0.0</v>
      </c>
      <c r="Z23803" s="372">
        <v>0.0</v>
      </c>
    </row>
    <row r="23804">
      <c r="Y23804" s="372">
        <v>0.0</v>
      </c>
      <c r="Z23804" s="372">
        <v>0.0</v>
      </c>
    </row>
    <row r="23805">
      <c r="Y23805" s="372">
        <v>0.0</v>
      </c>
      <c r="Z23805" s="372">
        <v>0.0</v>
      </c>
    </row>
    <row r="23806">
      <c r="Y23806" s="372">
        <v>0.0</v>
      </c>
      <c r="Z23806" s="372">
        <v>0.0</v>
      </c>
    </row>
    <row r="23807">
      <c r="Y23807" s="372">
        <v>0.0</v>
      </c>
      <c r="Z23807" s="372">
        <v>0.0</v>
      </c>
    </row>
    <row r="23808">
      <c r="Y23808" s="372">
        <v>0.0</v>
      </c>
      <c r="Z23808" s="372">
        <v>0.0</v>
      </c>
    </row>
    <row r="23809">
      <c r="Y23809" s="372">
        <v>0.0</v>
      </c>
      <c r="Z23809" s="372">
        <v>0.0</v>
      </c>
    </row>
    <row r="23810">
      <c r="Y23810" s="372">
        <v>0.0</v>
      </c>
      <c r="Z23810" s="372">
        <v>0.0</v>
      </c>
    </row>
    <row r="23811">
      <c r="Y23811" s="372">
        <v>0.0</v>
      </c>
      <c r="Z23811" s="372">
        <v>0.0</v>
      </c>
    </row>
    <row r="23812">
      <c r="Y23812" s="372">
        <v>0.0</v>
      </c>
      <c r="Z23812" s="372">
        <v>0.0</v>
      </c>
    </row>
    <row r="23813">
      <c r="Y23813" s="372">
        <v>0.0</v>
      </c>
      <c r="Z23813" s="372">
        <v>0.0</v>
      </c>
    </row>
    <row r="23814">
      <c r="Y23814" s="372">
        <v>0.0</v>
      </c>
      <c r="Z23814" s="372">
        <v>0.0</v>
      </c>
    </row>
    <row r="23815">
      <c r="Y23815" s="372">
        <v>0.0</v>
      </c>
      <c r="Z23815" s="372">
        <v>0.0</v>
      </c>
    </row>
    <row r="23816">
      <c r="Y23816" s="372">
        <v>0.0</v>
      </c>
      <c r="Z23816" s="372">
        <v>0.0</v>
      </c>
    </row>
    <row r="23817">
      <c r="Y23817" s="372">
        <v>0.0</v>
      </c>
      <c r="Z23817" s="372">
        <v>0.0</v>
      </c>
    </row>
    <row r="23818">
      <c r="Y23818" s="372">
        <v>0.0</v>
      </c>
      <c r="Z23818" s="372">
        <v>0.0</v>
      </c>
    </row>
    <row r="23819">
      <c r="Y23819" s="372">
        <v>0.0</v>
      </c>
      <c r="Z23819" s="372">
        <v>0.0</v>
      </c>
    </row>
    <row r="23820">
      <c r="Y23820" s="372">
        <v>0.0</v>
      </c>
      <c r="Z23820" s="372">
        <v>0.0</v>
      </c>
    </row>
    <row r="23821">
      <c r="Y23821" s="372">
        <v>0.0</v>
      </c>
      <c r="Z23821" s="372">
        <v>0.0</v>
      </c>
    </row>
    <row r="23822">
      <c r="Y23822" s="372">
        <v>0.0</v>
      </c>
      <c r="Z23822" s="372">
        <v>0.0</v>
      </c>
    </row>
    <row r="23823">
      <c r="Y23823" s="372">
        <v>0.0</v>
      </c>
      <c r="Z23823" s="372">
        <v>0.0</v>
      </c>
    </row>
    <row r="23824">
      <c r="Y23824" s="372">
        <v>0.0</v>
      </c>
      <c r="Z23824" s="372">
        <v>0.0</v>
      </c>
    </row>
    <row r="23825">
      <c r="Y23825" s="372">
        <v>0.0</v>
      </c>
      <c r="Z23825" s="372">
        <v>0.0</v>
      </c>
    </row>
    <row r="23826">
      <c r="Y23826" s="372">
        <v>0.0</v>
      </c>
      <c r="Z23826" s="372">
        <v>0.0</v>
      </c>
    </row>
    <row r="23827">
      <c r="Y23827" s="372">
        <v>0.0</v>
      </c>
      <c r="Z23827" s="372">
        <v>0.0</v>
      </c>
    </row>
    <row r="23828">
      <c r="Y23828" s="372">
        <v>0.0</v>
      </c>
      <c r="Z23828" s="372">
        <v>0.0</v>
      </c>
    </row>
    <row r="23829">
      <c r="Y23829" s="372">
        <v>0.0</v>
      </c>
      <c r="Z23829" s="372">
        <v>0.0</v>
      </c>
    </row>
    <row r="23830">
      <c r="Y23830" s="372">
        <v>0.0</v>
      </c>
      <c r="Z23830" s="372">
        <v>0.0</v>
      </c>
    </row>
    <row r="23831">
      <c r="Y23831" s="372">
        <v>0.0</v>
      </c>
      <c r="Z23831" s="372">
        <v>0.0</v>
      </c>
    </row>
    <row r="23832">
      <c r="Y23832" s="372">
        <v>0.0</v>
      </c>
      <c r="Z23832" s="372">
        <v>0.0</v>
      </c>
    </row>
    <row r="23833">
      <c r="Y23833" s="372">
        <v>0.0</v>
      </c>
      <c r="Z23833" s="372">
        <v>0.0</v>
      </c>
    </row>
    <row r="23834">
      <c r="Y23834" s="372">
        <v>0.0</v>
      </c>
      <c r="Z23834" s="372">
        <v>0.0</v>
      </c>
    </row>
    <row r="23835">
      <c r="Y23835" s="372">
        <v>0.0</v>
      </c>
      <c r="Z23835" s="372">
        <v>0.0</v>
      </c>
    </row>
    <row r="23836">
      <c r="Y23836" s="372">
        <v>0.0</v>
      </c>
      <c r="Z23836" s="372">
        <v>0.0</v>
      </c>
    </row>
    <row r="23837">
      <c r="Y23837" s="372">
        <v>0.0</v>
      </c>
      <c r="Z23837" s="372">
        <v>0.0</v>
      </c>
    </row>
    <row r="23838">
      <c r="Y23838" s="372">
        <v>0.0</v>
      </c>
      <c r="Z23838" s="372">
        <v>0.0</v>
      </c>
    </row>
    <row r="23839">
      <c r="Y23839" s="372">
        <v>0.0</v>
      </c>
      <c r="Z23839" s="372">
        <v>0.0</v>
      </c>
    </row>
    <row r="23840">
      <c r="Y23840" s="372">
        <v>0.0</v>
      </c>
      <c r="Z23840" s="372">
        <v>0.0</v>
      </c>
    </row>
    <row r="23841">
      <c r="Y23841" s="372">
        <v>0.0</v>
      </c>
      <c r="Z23841" s="372">
        <v>0.0</v>
      </c>
    </row>
    <row r="23842">
      <c r="Y23842" s="372">
        <v>0.0</v>
      </c>
      <c r="Z23842" s="372">
        <v>0.0</v>
      </c>
    </row>
    <row r="23843">
      <c r="Y23843" s="372">
        <v>0.0</v>
      </c>
      <c r="Z23843" s="372">
        <v>0.0</v>
      </c>
    </row>
    <row r="23844">
      <c r="Y23844" s="372">
        <v>0.0</v>
      </c>
      <c r="Z23844" s="372">
        <v>0.0</v>
      </c>
    </row>
    <row r="23845">
      <c r="Y23845" s="372">
        <v>0.0</v>
      </c>
      <c r="Z23845" s="372">
        <v>0.0</v>
      </c>
    </row>
    <row r="23846">
      <c r="Y23846" s="372">
        <v>0.0</v>
      </c>
      <c r="Z23846" s="372">
        <v>0.0</v>
      </c>
    </row>
    <row r="23847">
      <c r="Y23847" s="372">
        <v>0.0</v>
      </c>
      <c r="Z23847" s="372">
        <v>0.0</v>
      </c>
    </row>
    <row r="23848">
      <c r="Y23848" s="372">
        <v>0.0</v>
      </c>
      <c r="Z23848" s="372">
        <v>0.0</v>
      </c>
    </row>
    <row r="23849">
      <c r="Y23849" s="372">
        <v>0.0</v>
      </c>
      <c r="Z23849" s="372">
        <v>0.0</v>
      </c>
    </row>
    <row r="23850">
      <c r="Y23850" s="372">
        <v>0.0</v>
      </c>
      <c r="Z23850" s="372">
        <v>0.0</v>
      </c>
    </row>
    <row r="23851">
      <c r="Y23851" s="372">
        <v>0.0</v>
      </c>
      <c r="Z23851" s="372">
        <v>0.0</v>
      </c>
    </row>
    <row r="23852">
      <c r="Y23852" s="372">
        <v>0.0</v>
      </c>
      <c r="Z23852" s="372">
        <v>0.0</v>
      </c>
    </row>
    <row r="23853">
      <c r="Y23853" s="372">
        <v>0.0</v>
      </c>
      <c r="Z23853" s="372">
        <v>0.0</v>
      </c>
    </row>
    <row r="23854">
      <c r="Y23854" s="372">
        <v>0.0</v>
      </c>
      <c r="Z23854" s="372">
        <v>0.0</v>
      </c>
    </row>
    <row r="23855">
      <c r="Y23855" s="372">
        <v>0.0</v>
      </c>
      <c r="Z23855" s="372">
        <v>0.0</v>
      </c>
    </row>
    <row r="23856">
      <c r="Y23856" s="372">
        <v>0.0</v>
      </c>
      <c r="Z23856" s="372">
        <v>0.0</v>
      </c>
    </row>
    <row r="23857">
      <c r="Y23857" s="372">
        <v>0.0</v>
      </c>
      <c r="Z23857" s="372">
        <v>0.0</v>
      </c>
    </row>
    <row r="23858">
      <c r="Y23858" s="372">
        <v>0.0</v>
      </c>
      <c r="Z23858" s="372">
        <v>0.0</v>
      </c>
    </row>
    <row r="23859">
      <c r="Y23859" s="372">
        <v>0.0</v>
      </c>
      <c r="Z23859" s="372">
        <v>0.0</v>
      </c>
    </row>
    <row r="23860">
      <c r="Y23860" s="372">
        <v>0.0</v>
      </c>
      <c r="Z23860" s="372">
        <v>0.0</v>
      </c>
    </row>
    <row r="23861">
      <c r="Y23861" s="372">
        <v>0.0</v>
      </c>
      <c r="Z23861" s="372">
        <v>0.0</v>
      </c>
    </row>
    <row r="23862">
      <c r="Y23862" s="372">
        <v>0.0</v>
      </c>
      <c r="Z23862" s="372">
        <v>0.0</v>
      </c>
    </row>
    <row r="23863">
      <c r="Y23863" s="372">
        <v>0.0</v>
      </c>
      <c r="Z23863" s="372">
        <v>0.0</v>
      </c>
    </row>
    <row r="23864">
      <c r="Y23864" s="372">
        <v>0.0</v>
      </c>
      <c r="Z23864" s="372">
        <v>0.0</v>
      </c>
    </row>
    <row r="23865">
      <c r="Y23865" s="372">
        <v>0.0</v>
      </c>
      <c r="Z23865" s="372">
        <v>0.0</v>
      </c>
    </row>
    <row r="23866">
      <c r="Y23866" s="372">
        <v>0.0</v>
      </c>
      <c r="Z23866" s="372">
        <v>0.0</v>
      </c>
    </row>
    <row r="23867">
      <c r="Y23867" s="372">
        <v>0.0</v>
      </c>
      <c r="Z23867" s="372">
        <v>0.0</v>
      </c>
    </row>
    <row r="23868">
      <c r="Y23868" s="372">
        <v>0.0</v>
      </c>
      <c r="Z23868" s="372">
        <v>0.0</v>
      </c>
    </row>
    <row r="23869">
      <c r="Y23869" s="372">
        <v>0.0</v>
      </c>
      <c r="Z23869" s="372">
        <v>0.0</v>
      </c>
    </row>
    <row r="23870">
      <c r="Y23870" s="372">
        <v>0.0</v>
      </c>
      <c r="Z23870" s="372">
        <v>0.0</v>
      </c>
    </row>
    <row r="23871">
      <c r="Y23871" s="372">
        <v>0.0</v>
      </c>
      <c r="Z23871" s="372">
        <v>0.0</v>
      </c>
    </row>
    <row r="23872">
      <c r="Y23872" s="372">
        <v>0.0</v>
      </c>
      <c r="Z23872" s="372">
        <v>0.0</v>
      </c>
    </row>
    <row r="23873">
      <c r="Y23873" s="372">
        <v>0.0</v>
      </c>
      <c r="Z23873" s="372">
        <v>0.0</v>
      </c>
    </row>
    <row r="23874">
      <c r="Y23874" s="372">
        <v>0.0</v>
      </c>
      <c r="Z23874" s="372">
        <v>0.0</v>
      </c>
    </row>
    <row r="23875">
      <c r="Y23875" s="372">
        <v>0.0</v>
      </c>
      <c r="Z23875" s="372">
        <v>0.0</v>
      </c>
    </row>
    <row r="23876">
      <c r="Y23876" s="372">
        <v>0.0</v>
      </c>
      <c r="Z23876" s="372">
        <v>0.0</v>
      </c>
    </row>
    <row r="23877">
      <c r="Y23877" s="372">
        <v>0.0</v>
      </c>
      <c r="Z23877" s="372">
        <v>0.0</v>
      </c>
    </row>
    <row r="23878">
      <c r="Y23878" s="372">
        <v>0.0</v>
      </c>
      <c r="Z23878" s="372">
        <v>0.0</v>
      </c>
    </row>
    <row r="23879">
      <c r="Y23879" s="372">
        <v>0.0</v>
      </c>
      <c r="Z23879" s="372">
        <v>0.0</v>
      </c>
    </row>
    <row r="23880">
      <c r="Y23880" s="372">
        <v>0.0</v>
      </c>
      <c r="Z23880" s="372">
        <v>0.0</v>
      </c>
    </row>
    <row r="23881">
      <c r="Y23881" s="372">
        <v>0.0</v>
      </c>
      <c r="Z23881" s="372">
        <v>0.0</v>
      </c>
    </row>
    <row r="23882">
      <c r="Y23882" s="372">
        <v>0.0</v>
      </c>
      <c r="Z23882" s="372">
        <v>0.0</v>
      </c>
    </row>
    <row r="23883">
      <c r="Y23883" s="372">
        <v>0.0</v>
      </c>
      <c r="Z23883" s="372">
        <v>0.0</v>
      </c>
    </row>
    <row r="23884">
      <c r="Y23884" s="372">
        <v>0.0</v>
      </c>
      <c r="Z23884" s="372">
        <v>0.0</v>
      </c>
    </row>
    <row r="23885">
      <c r="Y23885" s="372">
        <v>0.0</v>
      </c>
      <c r="Z23885" s="372">
        <v>0.0</v>
      </c>
    </row>
    <row r="23886">
      <c r="Y23886" s="372">
        <v>0.0</v>
      </c>
      <c r="Z23886" s="372">
        <v>0.0</v>
      </c>
    </row>
    <row r="23887">
      <c r="Y23887" s="372">
        <v>0.0</v>
      </c>
      <c r="Z23887" s="372">
        <v>0.0</v>
      </c>
    </row>
    <row r="23888">
      <c r="Y23888" s="372">
        <v>0.0</v>
      </c>
      <c r="Z23888" s="372">
        <v>0.0</v>
      </c>
    </row>
    <row r="23889">
      <c r="Y23889" s="372">
        <v>0.0</v>
      </c>
      <c r="Z23889" s="372">
        <v>0.0</v>
      </c>
    </row>
    <row r="23890">
      <c r="Y23890" s="372">
        <v>0.0</v>
      </c>
      <c r="Z23890" s="372">
        <v>0.0</v>
      </c>
    </row>
    <row r="23891">
      <c r="Y23891" s="372">
        <v>0.0</v>
      </c>
      <c r="Z23891" s="372">
        <v>0.0</v>
      </c>
    </row>
    <row r="23892">
      <c r="Y23892" s="372">
        <v>0.0</v>
      </c>
      <c r="Z23892" s="372">
        <v>0.0</v>
      </c>
    </row>
    <row r="23893">
      <c r="Y23893" s="372">
        <v>0.0</v>
      </c>
      <c r="Z23893" s="372">
        <v>0.0</v>
      </c>
    </row>
    <row r="23894">
      <c r="Y23894" s="372">
        <v>0.0</v>
      </c>
      <c r="Z23894" s="372">
        <v>0.0</v>
      </c>
    </row>
    <row r="23895">
      <c r="Y23895" s="372">
        <v>0.0</v>
      </c>
      <c r="Z23895" s="372">
        <v>0.0</v>
      </c>
    </row>
    <row r="23896">
      <c r="Y23896" s="372">
        <v>0.0</v>
      </c>
      <c r="Z23896" s="372">
        <v>0.0</v>
      </c>
    </row>
    <row r="23897">
      <c r="Y23897" s="372">
        <v>0.0</v>
      </c>
      <c r="Z23897" s="372">
        <v>0.0</v>
      </c>
    </row>
    <row r="23898">
      <c r="Y23898" s="372">
        <v>0.0</v>
      </c>
      <c r="Z23898" s="372">
        <v>0.0</v>
      </c>
    </row>
    <row r="23899">
      <c r="Y23899" s="372">
        <v>0.0</v>
      </c>
      <c r="Z23899" s="372">
        <v>0.0</v>
      </c>
    </row>
    <row r="23900">
      <c r="Y23900" s="372">
        <v>0.0</v>
      </c>
      <c r="Z23900" s="372">
        <v>0.0</v>
      </c>
    </row>
    <row r="23901">
      <c r="Y23901" s="372">
        <v>0.0</v>
      </c>
      <c r="Z23901" s="372">
        <v>0.0</v>
      </c>
    </row>
    <row r="23902">
      <c r="Y23902" s="372">
        <v>0.0</v>
      </c>
      <c r="Z23902" s="372">
        <v>0.0</v>
      </c>
    </row>
    <row r="23903">
      <c r="Y23903" s="372">
        <v>0.0</v>
      </c>
      <c r="Z23903" s="372">
        <v>0.0</v>
      </c>
    </row>
    <row r="23904">
      <c r="Y23904" s="372">
        <v>0.0</v>
      </c>
      <c r="Z23904" s="372">
        <v>0.0</v>
      </c>
    </row>
    <row r="23905">
      <c r="Y23905" s="372">
        <v>0.0</v>
      </c>
      <c r="Z23905" s="372">
        <v>0.0</v>
      </c>
    </row>
    <row r="23906">
      <c r="Y23906" s="372">
        <v>0.0</v>
      </c>
      <c r="Z23906" s="372">
        <v>0.0</v>
      </c>
    </row>
    <row r="23907">
      <c r="Y23907" s="372">
        <v>0.0</v>
      </c>
      <c r="Z23907" s="372">
        <v>0.0</v>
      </c>
    </row>
    <row r="23908">
      <c r="Y23908" s="372">
        <v>0.0</v>
      </c>
      <c r="Z23908" s="372">
        <v>0.0</v>
      </c>
    </row>
    <row r="23909">
      <c r="Y23909" s="372">
        <v>0.0</v>
      </c>
      <c r="Z23909" s="372">
        <v>0.0</v>
      </c>
    </row>
    <row r="23910">
      <c r="Y23910" s="372">
        <v>0.0</v>
      </c>
      <c r="Z23910" s="372">
        <v>0.0</v>
      </c>
    </row>
    <row r="23911">
      <c r="Y23911" s="372">
        <v>0.0</v>
      </c>
      <c r="Z23911" s="372">
        <v>0.0</v>
      </c>
    </row>
    <row r="23912">
      <c r="Y23912" s="372">
        <v>0.0</v>
      </c>
      <c r="Z23912" s="372">
        <v>0.0</v>
      </c>
    </row>
    <row r="23913">
      <c r="Y23913" s="372">
        <v>0.0</v>
      </c>
      <c r="Z23913" s="372">
        <v>0.0</v>
      </c>
    </row>
    <row r="23914">
      <c r="Y23914" s="372">
        <v>0.0</v>
      </c>
      <c r="Z23914" s="372">
        <v>0.0</v>
      </c>
    </row>
    <row r="23915">
      <c r="Y23915" s="372">
        <v>0.0</v>
      </c>
      <c r="Z23915" s="372">
        <v>0.0</v>
      </c>
    </row>
    <row r="23916">
      <c r="Y23916" s="372">
        <v>0.0</v>
      </c>
      <c r="Z23916" s="372">
        <v>0.0</v>
      </c>
    </row>
    <row r="23917">
      <c r="Y23917" s="372">
        <v>0.0</v>
      </c>
      <c r="Z23917" s="372">
        <v>0.0</v>
      </c>
    </row>
    <row r="23918">
      <c r="Y23918" s="372">
        <v>0.0</v>
      </c>
      <c r="Z23918" s="372">
        <v>0.0</v>
      </c>
    </row>
    <row r="23919">
      <c r="Y23919" s="372">
        <v>0.0</v>
      </c>
      <c r="Z23919" s="372">
        <v>0.0</v>
      </c>
    </row>
    <row r="23920">
      <c r="Y23920" s="372">
        <v>0.0</v>
      </c>
      <c r="Z23920" s="372">
        <v>0.0</v>
      </c>
    </row>
    <row r="23921">
      <c r="Y23921" s="372">
        <v>0.0</v>
      </c>
      <c r="Z23921" s="372">
        <v>0.0</v>
      </c>
    </row>
    <row r="23922">
      <c r="Y23922" s="372">
        <v>0.0</v>
      </c>
      <c r="Z23922" s="372">
        <v>0.0</v>
      </c>
    </row>
    <row r="23923">
      <c r="Y23923" s="372">
        <v>0.0</v>
      </c>
      <c r="Z23923" s="372">
        <v>0.0</v>
      </c>
    </row>
    <row r="23924">
      <c r="Y23924" s="372">
        <v>0.0</v>
      </c>
      <c r="Z23924" s="372">
        <v>0.0</v>
      </c>
    </row>
    <row r="23925">
      <c r="Y23925" s="372">
        <v>0.0</v>
      </c>
      <c r="Z23925" s="372">
        <v>0.0</v>
      </c>
    </row>
    <row r="23926">
      <c r="Y23926" s="372">
        <v>0.0</v>
      </c>
      <c r="Z23926" s="372">
        <v>0.0</v>
      </c>
    </row>
    <row r="23927">
      <c r="Y23927" s="372">
        <v>0.0</v>
      </c>
      <c r="Z23927" s="372">
        <v>0.0</v>
      </c>
    </row>
    <row r="23928">
      <c r="Y23928" s="372">
        <v>0.0</v>
      </c>
      <c r="Z23928" s="372">
        <v>0.0</v>
      </c>
    </row>
    <row r="23929">
      <c r="Y23929" s="372">
        <v>0.0</v>
      </c>
      <c r="Z23929" s="372">
        <v>0.0</v>
      </c>
    </row>
    <row r="23930">
      <c r="Y23930" s="372">
        <v>0.0</v>
      </c>
      <c r="Z23930" s="372">
        <v>0.0</v>
      </c>
    </row>
    <row r="23931">
      <c r="Y23931" s="372">
        <v>0.0</v>
      </c>
      <c r="Z23931" s="372">
        <v>0.0</v>
      </c>
    </row>
    <row r="23932">
      <c r="Y23932" s="372">
        <v>0.0</v>
      </c>
      <c r="Z23932" s="372">
        <v>0.0</v>
      </c>
    </row>
    <row r="23933">
      <c r="Y23933" s="372">
        <v>0.0</v>
      </c>
      <c r="Z23933" s="372">
        <v>0.0</v>
      </c>
    </row>
    <row r="23934">
      <c r="Y23934" s="372">
        <v>0.0</v>
      </c>
      <c r="Z23934" s="372">
        <v>0.0</v>
      </c>
    </row>
    <row r="23935">
      <c r="Y23935" s="372">
        <v>0.0</v>
      </c>
      <c r="Z23935" s="372">
        <v>0.0</v>
      </c>
    </row>
    <row r="23936">
      <c r="Y23936" s="372">
        <v>0.0</v>
      </c>
      <c r="Z23936" s="372">
        <v>0.0</v>
      </c>
    </row>
    <row r="23937">
      <c r="Y23937" s="372">
        <v>0.0</v>
      </c>
      <c r="Z23937" s="372">
        <v>0.0</v>
      </c>
    </row>
    <row r="23938">
      <c r="Y23938" s="372">
        <v>0.0</v>
      </c>
      <c r="Z23938" s="372">
        <v>0.0</v>
      </c>
    </row>
    <row r="23939">
      <c r="Y23939" s="372">
        <v>0.0</v>
      </c>
      <c r="Z23939" s="372">
        <v>0.0</v>
      </c>
    </row>
    <row r="23940">
      <c r="Y23940" s="372">
        <v>0.0</v>
      </c>
      <c r="Z23940" s="372">
        <v>0.0</v>
      </c>
    </row>
    <row r="23941">
      <c r="Y23941" s="372">
        <v>0.0</v>
      </c>
      <c r="Z23941" s="372">
        <v>0.0</v>
      </c>
    </row>
    <row r="23942">
      <c r="Y23942" s="372">
        <v>0.0</v>
      </c>
      <c r="Z23942" s="372">
        <v>0.0</v>
      </c>
    </row>
    <row r="23943">
      <c r="Y23943" s="372">
        <v>0.0</v>
      </c>
      <c r="Z23943" s="372">
        <v>0.0</v>
      </c>
    </row>
    <row r="23944">
      <c r="Y23944" s="372">
        <v>0.0</v>
      </c>
      <c r="Z23944" s="372">
        <v>0.0</v>
      </c>
    </row>
    <row r="23945">
      <c r="Y23945" s="372">
        <v>0.0</v>
      </c>
      <c r="Z23945" s="372">
        <v>0.0</v>
      </c>
    </row>
    <row r="23946">
      <c r="Y23946" s="372">
        <v>0.0</v>
      </c>
      <c r="Z23946" s="372">
        <v>0.0</v>
      </c>
    </row>
    <row r="23947">
      <c r="Y23947" s="372">
        <v>0.0</v>
      </c>
      <c r="Z23947" s="372">
        <v>0.0</v>
      </c>
    </row>
    <row r="23948">
      <c r="Y23948" s="372">
        <v>0.0</v>
      </c>
      <c r="Z23948" s="372">
        <v>0.0</v>
      </c>
    </row>
    <row r="23949">
      <c r="Y23949" s="372">
        <v>0.0</v>
      </c>
      <c r="Z23949" s="372">
        <v>0.0</v>
      </c>
    </row>
    <row r="23950">
      <c r="Y23950" s="372">
        <v>0.0</v>
      </c>
      <c r="Z23950" s="372">
        <v>0.0</v>
      </c>
    </row>
    <row r="23951">
      <c r="Y23951" s="372">
        <v>0.0</v>
      </c>
      <c r="Z23951" s="372">
        <v>0.0</v>
      </c>
    </row>
    <row r="23952">
      <c r="Y23952" s="372">
        <v>0.0</v>
      </c>
      <c r="Z23952" s="372">
        <v>0.0</v>
      </c>
    </row>
    <row r="23953">
      <c r="Y23953" s="372">
        <v>0.0</v>
      </c>
      <c r="Z23953" s="372">
        <v>0.0</v>
      </c>
    </row>
    <row r="23954">
      <c r="Y23954" s="372">
        <v>0.0</v>
      </c>
      <c r="Z23954" s="372">
        <v>0.0</v>
      </c>
    </row>
    <row r="23955">
      <c r="Y23955" s="372">
        <v>0.0</v>
      </c>
      <c r="Z23955" s="372">
        <v>0.0</v>
      </c>
    </row>
    <row r="23956">
      <c r="Y23956" s="372">
        <v>0.0</v>
      </c>
      <c r="Z23956" s="372">
        <v>0.0</v>
      </c>
    </row>
    <row r="23957">
      <c r="Y23957" s="372">
        <v>0.0</v>
      </c>
      <c r="Z23957" s="372">
        <v>0.0</v>
      </c>
    </row>
    <row r="23958">
      <c r="Y23958" s="372">
        <v>0.0</v>
      </c>
      <c r="Z23958" s="372">
        <v>0.0</v>
      </c>
    </row>
    <row r="23959">
      <c r="Y23959" s="372">
        <v>0.0</v>
      </c>
      <c r="Z23959" s="372">
        <v>0.0</v>
      </c>
    </row>
    <row r="23960">
      <c r="Y23960" s="372">
        <v>0.0</v>
      </c>
      <c r="Z23960" s="372">
        <v>0.0</v>
      </c>
    </row>
    <row r="23961">
      <c r="Y23961" s="372">
        <v>0.0</v>
      </c>
      <c r="Z23961" s="372">
        <v>0.0</v>
      </c>
    </row>
    <row r="23962">
      <c r="Y23962" s="372">
        <v>0.0</v>
      </c>
      <c r="Z23962" s="372">
        <v>0.0</v>
      </c>
    </row>
    <row r="23963">
      <c r="Y23963" s="372">
        <v>0.0</v>
      </c>
      <c r="Z23963" s="372">
        <v>0.0</v>
      </c>
    </row>
    <row r="23964">
      <c r="Y23964" s="372">
        <v>0.0</v>
      </c>
      <c r="Z23964" s="372">
        <v>0.0</v>
      </c>
    </row>
    <row r="23965">
      <c r="Y23965" s="372">
        <v>0.0</v>
      </c>
      <c r="Z23965" s="372">
        <v>0.0</v>
      </c>
    </row>
    <row r="23966">
      <c r="Y23966" s="372">
        <v>0.0</v>
      </c>
      <c r="Z23966" s="372">
        <v>0.0</v>
      </c>
    </row>
    <row r="23967">
      <c r="Y23967" s="372">
        <v>0.0</v>
      </c>
      <c r="Z23967" s="372">
        <v>0.0</v>
      </c>
    </row>
    <row r="23968">
      <c r="Y23968" s="372">
        <v>0.0</v>
      </c>
      <c r="Z23968" s="372">
        <v>0.0</v>
      </c>
    </row>
    <row r="23969">
      <c r="Y23969" s="372">
        <v>0.0</v>
      </c>
      <c r="Z23969" s="372">
        <v>0.0</v>
      </c>
    </row>
    <row r="23970">
      <c r="Y23970" s="372">
        <v>0.0</v>
      </c>
      <c r="Z23970" s="372">
        <v>0.0</v>
      </c>
    </row>
    <row r="23971">
      <c r="Y23971" s="372">
        <v>0.0</v>
      </c>
      <c r="Z23971" s="372">
        <v>0.0</v>
      </c>
    </row>
    <row r="23972">
      <c r="Y23972" s="372">
        <v>0.0</v>
      </c>
      <c r="Z23972" s="372">
        <v>0.0</v>
      </c>
    </row>
    <row r="23973">
      <c r="Y23973" s="372">
        <v>0.0</v>
      </c>
      <c r="Z23973" s="372">
        <v>0.0</v>
      </c>
    </row>
    <row r="23974">
      <c r="Y23974" s="372">
        <v>0.0</v>
      </c>
      <c r="Z23974" s="372">
        <v>0.0</v>
      </c>
    </row>
    <row r="23975">
      <c r="Y23975" s="372">
        <v>0.0</v>
      </c>
      <c r="Z23975" s="372">
        <v>0.0</v>
      </c>
    </row>
    <row r="23976">
      <c r="Y23976" s="372">
        <v>0.0</v>
      </c>
      <c r="Z23976" s="372">
        <v>0.0</v>
      </c>
    </row>
    <row r="23977">
      <c r="Y23977" s="372">
        <v>0.0</v>
      </c>
      <c r="Z23977" s="372">
        <v>0.0</v>
      </c>
    </row>
    <row r="23978">
      <c r="Y23978" s="372">
        <v>0.0</v>
      </c>
      <c r="Z23978" s="372">
        <v>0.0</v>
      </c>
    </row>
    <row r="23979">
      <c r="Y23979" s="372">
        <v>0.0</v>
      </c>
      <c r="Z23979" s="372">
        <v>0.0</v>
      </c>
    </row>
    <row r="23980">
      <c r="Y23980" s="372">
        <v>0.0</v>
      </c>
      <c r="Z23980" s="372">
        <v>0.0</v>
      </c>
    </row>
    <row r="23981">
      <c r="Y23981" s="372">
        <v>0.0</v>
      </c>
      <c r="Z23981" s="372">
        <v>0.0</v>
      </c>
    </row>
    <row r="23982">
      <c r="Y23982" s="372">
        <v>0.0</v>
      </c>
      <c r="Z23982" s="372">
        <v>0.0</v>
      </c>
    </row>
    <row r="23983">
      <c r="Y23983" s="372">
        <v>0.0</v>
      </c>
      <c r="Z23983" s="372">
        <v>0.0</v>
      </c>
    </row>
    <row r="23984">
      <c r="Y23984" s="372">
        <v>0.0</v>
      </c>
      <c r="Z23984" s="372">
        <v>0.0</v>
      </c>
    </row>
    <row r="23985">
      <c r="Y23985" s="372">
        <v>0.0</v>
      </c>
      <c r="Z23985" s="372">
        <v>0.0</v>
      </c>
    </row>
    <row r="23986">
      <c r="Y23986" s="372">
        <v>0.0</v>
      </c>
      <c r="Z23986" s="372">
        <v>0.0</v>
      </c>
    </row>
    <row r="23987">
      <c r="Y23987" s="372">
        <v>0.0</v>
      </c>
      <c r="Z23987" s="372">
        <v>0.0</v>
      </c>
    </row>
    <row r="23988">
      <c r="Y23988" s="372">
        <v>0.0</v>
      </c>
      <c r="Z23988" s="372">
        <v>0.0</v>
      </c>
    </row>
    <row r="23989">
      <c r="Y23989" s="372">
        <v>0.0</v>
      </c>
      <c r="Z23989" s="372">
        <v>0.0</v>
      </c>
    </row>
    <row r="23990">
      <c r="Y23990" s="372">
        <v>0.0</v>
      </c>
      <c r="Z23990" s="372">
        <v>0.0</v>
      </c>
    </row>
    <row r="23991">
      <c r="Y23991" s="372">
        <v>0.0</v>
      </c>
      <c r="Z23991" s="372">
        <v>0.0</v>
      </c>
    </row>
    <row r="23992">
      <c r="Y23992" s="372">
        <v>0.0</v>
      </c>
      <c r="Z23992" s="372">
        <v>0.0</v>
      </c>
    </row>
    <row r="23993">
      <c r="Y23993" s="372">
        <v>0.0</v>
      </c>
      <c r="Z23993" s="372">
        <v>0.0</v>
      </c>
    </row>
    <row r="23994">
      <c r="Y23994" s="372">
        <v>0.0</v>
      </c>
      <c r="Z23994" s="372">
        <v>0.0</v>
      </c>
    </row>
    <row r="23995">
      <c r="Y23995" s="372">
        <v>0.0</v>
      </c>
      <c r="Z23995" s="372">
        <v>0.0</v>
      </c>
    </row>
    <row r="23996">
      <c r="Y23996" s="372">
        <v>0.0</v>
      </c>
      <c r="Z23996" s="372">
        <v>0.0</v>
      </c>
    </row>
    <row r="23997">
      <c r="Y23997" s="372">
        <v>0.0</v>
      </c>
      <c r="Z23997" s="372">
        <v>0.0</v>
      </c>
    </row>
    <row r="23998">
      <c r="Y23998" s="372">
        <v>0.0</v>
      </c>
      <c r="Z23998" s="372">
        <v>0.0</v>
      </c>
    </row>
    <row r="23999">
      <c r="Y23999" s="372">
        <v>0.0</v>
      </c>
      <c r="Z23999" s="372">
        <v>0.0</v>
      </c>
    </row>
    <row r="24000">
      <c r="Y24000" s="372">
        <v>0.0</v>
      </c>
      <c r="Z24000" s="372">
        <v>0.0</v>
      </c>
    </row>
    <row r="24001">
      <c r="Y24001" s="372">
        <v>0.0</v>
      </c>
      <c r="Z24001" s="372">
        <v>0.0</v>
      </c>
    </row>
    <row r="24002">
      <c r="Y24002" s="372">
        <v>0.0</v>
      </c>
      <c r="Z24002" s="372">
        <v>0.0</v>
      </c>
    </row>
    <row r="24003">
      <c r="Y24003" s="372">
        <v>0.0</v>
      </c>
      <c r="Z24003" s="372">
        <v>0.0</v>
      </c>
    </row>
    <row r="24004">
      <c r="Y24004" s="372">
        <v>0.0</v>
      </c>
      <c r="Z24004" s="372">
        <v>0.0</v>
      </c>
    </row>
    <row r="24005">
      <c r="Y24005" s="372">
        <v>0.0</v>
      </c>
      <c r="Z24005" s="372">
        <v>0.0</v>
      </c>
    </row>
    <row r="24006">
      <c r="Y24006" s="372">
        <v>0.0</v>
      </c>
      <c r="Z24006" s="372">
        <v>0.0</v>
      </c>
    </row>
    <row r="24007">
      <c r="Y24007" s="372">
        <v>0.0</v>
      </c>
      <c r="Z24007" s="372">
        <v>0.0</v>
      </c>
    </row>
    <row r="24008">
      <c r="Y24008" s="372">
        <v>0.0</v>
      </c>
      <c r="Z24008" s="372">
        <v>0.0</v>
      </c>
    </row>
    <row r="24009">
      <c r="Y24009" s="372">
        <v>0.0</v>
      </c>
      <c r="Z24009" s="372">
        <v>0.0</v>
      </c>
    </row>
    <row r="24010">
      <c r="Y24010" s="372">
        <v>0.0</v>
      </c>
      <c r="Z24010" s="372">
        <v>0.0</v>
      </c>
    </row>
    <row r="24011">
      <c r="Y24011" s="372">
        <v>0.0</v>
      </c>
      <c r="Z24011" s="372">
        <v>0.0</v>
      </c>
    </row>
    <row r="24012">
      <c r="Y24012" s="372">
        <v>0.0</v>
      </c>
      <c r="Z24012" s="372">
        <v>0.0</v>
      </c>
    </row>
    <row r="24013">
      <c r="Y24013" s="372">
        <v>0.0</v>
      </c>
      <c r="Z24013" s="372">
        <v>0.0</v>
      </c>
    </row>
    <row r="24014">
      <c r="Y24014" s="372">
        <v>0.0</v>
      </c>
      <c r="Z24014" s="372">
        <v>0.0</v>
      </c>
    </row>
    <row r="24015">
      <c r="Y24015" s="372">
        <v>0.0</v>
      </c>
      <c r="Z24015" s="372">
        <v>0.0</v>
      </c>
    </row>
    <row r="24016">
      <c r="Y24016" s="372">
        <v>0.0</v>
      </c>
      <c r="Z24016" s="372">
        <v>0.0</v>
      </c>
    </row>
    <row r="24017">
      <c r="Y24017" s="372">
        <v>0.0</v>
      </c>
      <c r="Z24017" s="372">
        <v>0.0</v>
      </c>
    </row>
    <row r="24018">
      <c r="Y24018" s="372">
        <v>0.0</v>
      </c>
      <c r="Z24018" s="372">
        <v>0.0</v>
      </c>
    </row>
    <row r="24019">
      <c r="Y24019" s="372">
        <v>0.0</v>
      </c>
      <c r="Z24019" s="372">
        <v>0.0</v>
      </c>
    </row>
    <row r="24020">
      <c r="Y24020" s="372">
        <v>0.0</v>
      </c>
      <c r="Z24020" s="372">
        <v>0.0</v>
      </c>
    </row>
    <row r="24021">
      <c r="Y24021" s="372">
        <v>0.0</v>
      </c>
      <c r="Z24021" s="372">
        <v>0.0</v>
      </c>
    </row>
    <row r="24022">
      <c r="Y24022" s="372">
        <v>0.0</v>
      </c>
      <c r="Z24022" s="372">
        <v>0.0</v>
      </c>
    </row>
    <row r="24023">
      <c r="Y24023" s="372">
        <v>0.0</v>
      </c>
      <c r="Z24023" s="372">
        <v>0.0</v>
      </c>
    </row>
    <row r="24024">
      <c r="Y24024" s="372">
        <v>0.0</v>
      </c>
      <c r="Z24024" s="372">
        <v>0.0</v>
      </c>
    </row>
    <row r="24025">
      <c r="Y24025" s="372">
        <v>0.0</v>
      </c>
      <c r="Z24025" s="372">
        <v>0.0</v>
      </c>
    </row>
    <row r="24026">
      <c r="Y24026" s="372">
        <v>0.0</v>
      </c>
      <c r="Z24026" s="372">
        <v>0.0</v>
      </c>
    </row>
    <row r="24027">
      <c r="Y24027" s="372">
        <v>0.0</v>
      </c>
      <c r="Z24027" s="372">
        <v>0.0</v>
      </c>
    </row>
    <row r="24028">
      <c r="Y24028" s="372">
        <v>0.0</v>
      </c>
      <c r="Z24028" s="372">
        <v>0.0</v>
      </c>
    </row>
    <row r="24029">
      <c r="Y24029" s="372">
        <v>0.0</v>
      </c>
      <c r="Z24029" s="372">
        <v>0.0</v>
      </c>
    </row>
    <row r="24030">
      <c r="Y24030" s="372">
        <v>0.0</v>
      </c>
      <c r="Z24030" s="372">
        <v>0.0</v>
      </c>
    </row>
    <row r="24031">
      <c r="Y24031" s="372">
        <v>0.0</v>
      </c>
      <c r="Z24031" s="372">
        <v>0.0</v>
      </c>
    </row>
    <row r="24032">
      <c r="Y24032" s="372">
        <v>0.0</v>
      </c>
      <c r="Z24032" s="372">
        <v>0.0</v>
      </c>
    </row>
    <row r="24033">
      <c r="Y24033" s="372">
        <v>0.0</v>
      </c>
      <c r="Z24033" s="372">
        <v>0.0</v>
      </c>
    </row>
    <row r="24034">
      <c r="Y24034" s="372">
        <v>0.0</v>
      </c>
      <c r="Z24034" s="372">
        <v>0.0</v>
      </c>
    </row>
    <row r="24035">
      <c r="Y24035" s="372">
        <v>0.0</v>
      </c>
      <c r="Z24035" s="372">
        <v>0.0</v>
      </c>
    </row>
    <row r="24036">
      <c r="Y24036" s="372">
        <v>0.0</v>
      </c>
      <c r="Z24036" s="372">
        <v>0.0</v>
      </c>
    </row>
    <row r="24037">
      <c r="Y24037" s="372">
        <v>0.0</v>
      </c>
      <c r="Z24037" s="372">
        <v>0.0</v>
      </c>
    </row>
    <row r="24038">
      <c r="Y24038" s="372">
        <v>0.0</v>
      </c>
      <c r="Z24038" s="372">
        <v>0.0</v>
      </c>
    </row>
    <row r="24039">
      <c r="Y24039" s="372">
        <v>0.0</v>
      </c>
      <c r="Z24039" s="372">
        <v>0.0</v>
      </c>
    </row>
    <row r="24040">
      <c r="Y24040" s="372">
        <v>0.0</v>
      </c>
      <c r="Z24040" s="372">
        <v>0.0</v>
      </c>
    </row>
    <row r="24041">
      <c r="Y24041" s="372">
        <v>0.0</v>
      </c>
      <c r="Z24041" s="372">
        <v>0.0</v>
      </c>
    </row>
    <row r="24042">
      <c r="Y24042" s="372">
        <v>0.0</v>
      </c>
      <c r="Z24042" s="372">
        <v>0.0</v>
      </c>
    </row>
    <row r="24043">
      <c r="Y24043" s="372">
        <v>0.0</v>
      </c>
      <c r="Z24043" s="372">
        <v>0.0</v>
      </c>
    </row>
    <row r="24044">
      <c r="Y24044" s="372">
        <v>0.0</v>
      </c>
      <c r="Z24044" s="372">
        <v>0.0</v>
      </c>
    </row>
    <row r="24045">
      <c r="Y24045" s="372">
        <v>0.0</v>
      </c>
      <c r="Z24045" s="372">
        <v>0.0</v>
      </c>
    </row>
    <row r="24046">
      <c r="Y24046" s="372">
        <v>0.0</v>
      </c>
      <c r="Z24046" s="372">
        <v>0.0</v>
      </c>
    </row>
    <row r="24047">
      <c r="Y24047" s="372">
        <v>0.0</v>
      </c>
      <c r="Z24047" s="372">
        <v>0.0</v>
      </c>
    </row>
    <row r="24048">
      <c r="Y24048" s="372">
        <v>0.0</v>
      </c>
      <c r="Z24048" s="372">
        <v>0.0</v>
      </c>
    </row>
    <row r="24049">
      <c r="Y24049" s="372">
        <v>0.0</v>
      </c>
      <c r="Z24049" s="372">
        <v>0.0</v>
      </c>
    </row>
    <row r="24050">
      <c r="Y24050" s="372">
        <v>0.0</v>
      </c>
      <c r="Z24050" s="372">
        <v>0.0</v>
      </c>
    </row>
    <row r="24051">
      <c r="Y24051" s="372">
        <v>0.0</v>
      </c>
      <c r="Z24051" s="372">
        <v>0.0</v>
      </c>
    </row>
    <row r="24052">
      <c r="Y24052" s="372">
        <v>0.0</v>
      </c>
      <c r="Z24052" s="372">
        <v>0.0</v>
      </c>
    </row>
    <row r="24053">
      <c r="Y24053" s="372">
        <v>0.0</v>
      </c>
      <c r="Z24053" s="372">
        <v>0.0</v>
      </c>
    </row>
    <row r="24054">
      <c r="Y24054" s="372">
        <v>0.0</v>
      </c>
      <c r="Z24054" s="372">
        <v>0.0</v>
      </c>
    </row>
    <row r="24055">
      <c r="Y24055" s="372">
        <v>0.0</v>
      </c>
      <c r="Z24055" s="372">
        <v>0.0</v>
      </c>
    </row>
    <row r="24056">
      <c r="Y24056" s="372">
        <v>0.0</v>
      </c>
      <c r="Z24056" s="372">
        <v>0.0</v>
      </c>
    </row>
    <row r="24057">
      <c r="Y24057" s="372">
        <v>0.0</v>
      </c>
      <c r="Z24057" s="372">
        <v>0.0</v>
      </c>
    </row>
    <row r="24058">
      <c r="Y24058" s="372">
        <v>0.0</v>
      </c>
      <c r="Z24058" s="372">
        <v>0.0</v>
      </c>
    </row>
    <row r="24059">
      <c r="Y24059" s="372">
        <v>0.0</v>
      </c>
      <c r="Z24059" s="372">
        <v>0.0</v>
      </c>
    </row>
    <row r="24060">
      <c r="Y24060" s="372">
        <v>0.0</v>
      </c>
      <c r="Z24060" s="372">
        <v>0.0</v>
      </c>
    </row>
    <row r="24061">
      <c r="Y24061" s="372">
        <v>0.0</v>
      </c>
      <c r="Z24061" s="372">
        <v>0.0</v>
      </c>
    </row>
    <row r="24062">
      <c r="Y24062" s="372">
        <v>0.0</v>
      </c>
      <c r="Z24062" s="372">
        <v>0.0</v>
      </c>
    </row>
    <row r="24063">
      <c r="Y24063" s="372">
        <v>0.0</v>
      </c>
      <c r="Z24063" s="372">
        <v>0.0</v>
      </c>
    </row>
    <row r="24064">
      <c r="Y24064" s="372">
        <v>0.0</v>
      </c>
      <c r="Z24064" s="372">
        <v>0.0</v>
      </c>
    </row>
    <row r="24065">
      <c r="Y24065" s="372">
        <v>0.0</v>
      </c>
      <c r="Z24065" s="372">
        <v>0.0</v>
      </c>
    </row>
    <row r="24066">
      <c r="Y24066" s="372">
        <v>0.0</v>
      </c>
      <c r="Z24066" s="372">
        <v>0.0</v>
      </c>
    </row>
    <row r="24067">
      <c r="Y24067" s="372">
        <v>0.0</v>
      </c>
      <c r="Z24067" s="372">
        <v>0.0</v>
      </c>
    </row>
    <row r="24068">
      <c r="Y24068" s="372">
        <v>0.0</v>
      </c>
      <c r="Z24068" s="372">
        <v>0.0</v>
      </c>
    </row>
    <row r="24069">
      <c r="Y24069" s="372">
        <v>0.0</v>
      </c>
      <c r="Z24069" s="372">
        <v>0.0</v>
      </c>
    </row>
    <row r="24070">
      <c r="Y24070" s="372">
        <v>0.0</v>
      </c>
      <c r="Z24070" s="372">
        <v>0.0</v>
      </c>
    </row>
    <row r="24071">
      <c r="Y24071" s="372">
        <v>0.0</v>
      </c>
      <c r="Z24071" s="372">
        <v>0.0</v>
      </c>
    </row>
    <row r="24072">
      <c r="Y24072" s="372">
        <v>0.0</v>
      </c>
      <c r="Z24072" s="372">
        <v>0.0</v>
      </c>
    </row>
    <row r="24073">
      <c r="Y24073" s="372">
        <v>0.0</v>
      </c>
      <c r="Z24073" s="372">
        <v>0.0</v>
      </c>
    </row>
    <row r="24074">
      <c r="Y24074" s="372">
        <v>0.0</v>
      </c>
      <c r="Z24074" s="372">
        <v>0.0</v>
      </c>
    </row>
    <row r="24075">
      <c r="Y24075" s="372">
        <v>0.0</v>
      </c>
      <c r="Z24075" s="372">
        <v>0.0</v>
      </c>
    </row>
    <row r="24076">
      <c r="Y24076" s="372">
        <v>0.0</v>
      </c>
      <c r="Z24076" s="372">
        <v>0.0</v>
      </c>
    </row>
    <row r="24077">
      <c r="Y24077" s="372">
        <v>0.0</v>
      </c>
      <c r="Z24077" s="372">
        <v>0.0</v>
      </c>
    </row>
    <row r="24078">
      <c r="Y24078" s="372">
        <v>0.0</v>
      </c>
      <c r="Z24078" s="372">
        <v>0.0</v>
      </c>
    </row>
    <row r="24079">
      <c r="Y24079" s="372">
        <v>0.0</v>
      </c>
      <c r="Z24079" s="372">
        <v>0.0</v>
      </c>
    </row>
    <row r="24080">
      <c r="Y24080" s="372">
        <v>0.0</v>
      </c>
      <c r="Z24080" s="372">
        <v>0.0</v>
      </c>
    </row>
    <row r="24081">
      <c r="Y24081" s="372">
        <v>0.0</v>
      </c>
      <c r="Z24081" s="372">
        <v>0.0</v>
      </c>
    </row>
    <row r="24082">
      <c r="Y24082" s="372">
        <v>0.0</v>
      </c>
      <c r="Z24082" s="372">
        <v>0.0</v>
      </c>
    </row>
    <row r="24083">
      <c r="Y24083" s="372">
        <v>0.0</v>
      </c>
      <c r="Z24083" s="372">
        <v>0.0</v>
      </c>
    </row>
    <row r="24084">
      <c r="Y24084" s="372">
        <v>0.0</v>
      </c>
      <c r="Z24084" s="372">
        <v>0.0</v>
      </c>
    </row>
    <row r="24085">
      <c r="Y24085" s="372">
        <v>0.0</v>
      </c>
      <c r="Z24085" s="372">
        <v>0.0</v>
      </c>
    </row>
    <row r="24086">
      <c r="Y24086" s="372">
        <v>0.0</v>
      </c>
      <c r="Z24086" s="372">
        <v>0.0</v>
      </c>
    </row>
    <row r="24087">
      <c r="Y24087" s="372">
        <v>0.0</v>
      </c>
      <c r="Z24087" s="372">
        <v>0.0</v>
      </c>
    </row>
    <row r="24088">
      <c r="Y24088" s="372">
        <v>0.0</v>
      </c>
      <c r="Z24088" s="372">
        <v>0.0</v>
      </c>
    </row>
    <row r="24089">
      <c r="Y24089" s="372">
        <v>0.0</v>
      </c>
      <c r="Z24089" s="372">
        <v>0.0</v>
      </c>
    </row>
    <row r="24090">
      <c r="Y24090" s="372">
        <v>0.0</v>
      </c>
      <c r="Z24090" s="372">
        <v>0.0</v>
      </c>
    </row>
    <row r="24091">
      <c r="Y24091" s="372">
        <v>0.0</v>
      </c>
      <c r="Z24091" s="372">
        <v>0.0</v>
      </c>
    </row>
    <row r="24092">
      <c r="Y24092" s="372">
        <v>0.0</v>
      </c>
      <c r="Z24092" s="372">
        <v>0.0</v>
      </c>
    </row>
    <row r="24093">
      <c r="Y24093" s="372">
        <v>0.0</v>
      </c>
      <c r="Z24093" s="372">
        <v>0.0</v>
      </c>
    </row>
    <row r="24094">
      <c r="Y24094" s="372">
        <v>0.0</v>
      </c>
      <c r="Z24094" s="372">
        <v>0.0</v>
      </c>
    </row>
    <row r="24095">
      <c r="Y24095" s="372">
        <v>0.0</v>
      </c>
      <c r="Z24095" s="372">
        <v>0.0</v>
      </c>
    </row>
    <row r="24096">
      <c r="Y24096" s="372">
        <v>0.0</v>
      </c>
      <c r="Z24096" s="372">
        <v>0.0</v>
      </c>
    </row>
    <row r="24097">
      <c r="Y24097" s="372">
        <v>0.0</v>
      </c>
      <c r="Z24097" s="372">
        <v>0.0</v>
      </c>
    </row>
    <row r="24098">
      <c r="Y24098" s="372">
        <v>0.0</v>
      </c>
      <c r="Z24098" s="372">
        <v>0.0</v>
      </c>
    </row>
    <row r="24099">
      <c r="Y24099" s="372">
        <v>0.0</v>
      </c>
      <c r="Z24099" s="372">
        <v>0.0</v>
      </c>
    </row>
    <row r="24100">
      <c r="Y24100" s="372">
        <v>0.0</v>
      </c>
      <c r="Z24100" s="372">
        <v>0.0</v>
      </c>
    </row>
    <row r="24101">
      <c r="Y24101" s="372">
        <v>0.0</v>
      </c>
      <c r="Z24101" s="372">
        <v>0.0</v>
      </c>
    </row>
    <row r="24102">
      <c r="Y24102" s="372">
        <v>0.0</v>
      </c>
      <c r="Z24102" s="372">
        <v>0.0</v>
      </c>
    </row>
    <row r="24103">
      <c r="Y24103" s="372">
        <v>0.0</v>
      </c>
      <c r="Z24103" s="372">
        <v>0.0</v>
      </c>
    </row>
    <row r="24104">
      <c r="Y24104" s="372">
        <v>0.0</v>
      </c>
      <c r="Z24104" s="372">
        <v>0.0</v>
      </c>
    </row>
    <row r="24105">
      <c r="Y24105" s="372">
        <v>0.0</v>
      </c>
      <c r="Z24105" s="372">
        <v>0.0</v>
      </c>
    </row>
    <row r="24106">
      <c r="Y24106" s="372">
        <v>0.0</v>
      </c>
      <c r="Z24106" s="372">
        <v>0.0</v>
      </c>
    </row>
    <row r="24107">
      <c r="Y24107" s="372">
        <v>0.0</v>
      </c>
      <c r="Z24107" s="372">
        <v>0.0</v>
      </c>
    </row>
    <row r="24108">
      <c r="Y24108" s="372">
        <v>0.0</v>
      </c>
      <c r="Z24108" s="372">
        <v>0.0</v>
      </c>
    </row>
    <row r="24109">
      <c r="Y24109" s="372">
        <v>0.0</v>
      </c>
      <c r="Z24109" s="372">
        <v>0.0</v>
      </c>
    </row>
    <row r="24110">
      <c r="Y24110" s="372">
        <v>0.0</v>
      </c>
      <c r="Z24110" s="372">
        <v>0.0</v>
      </c>
    </row>
    <row r="24111">
      <c r="Y24111" s="372">
        <v>0.0</v>
      </c>
      <c r="Z24111" s="372">
        <v>0.0</v>
      </c>
    </row>
    <row r="24112">
      <c r="Y24112" s="372">
        <v>0.0</v>
      </c>
      <c r="Z24112" s="372">
        <v>0.0</v>
      </c>
    </row>
    <row r="24113">
      <c r="Y24113" s="372">
        <v>0.0</v>
      </c>
      <c r="Z24113" s="372">
        <v>0.0</v>
      </c>
    </row>
    <row r="24114">
      <c r="Y24114" s="372">
        <v>0.0</v>
      </c>
      <c r="Z24114" s="372">
        <v>0.0</v>
      </c>
    </row>
    <row r="24115">
      <c r="Y24115" s="372">
        <v>0.0</v>
      </c>
      <c r="Z24115" s="372">
        <v>0.0</v>
      </c>
    </row>
    <row r="24116">
      <c r="Y24116" s="372">
        <v>0.0</v>
      </c>
      <c r="Z24116" s="372">
        <v>0.0</v>
      </c>
    </row>
    <row r="24117">
      <c r="Y24117" s="372">
        <v>0.0</v>
      </c>
      <c r="Z24117" s="372">
        <v>0.0</v>
      </c>
    </row>
    <row r="24118">
      <c r="Y24118" s="372">
        <v>0.0</v>
      </c>
      <c r="Z24118" s="372">
        <v>0.0</v>
      </c>
    </row>
    <row r="24119">
      <c r="Y24119" s="372">
        <v>0.0</v>
      </c>
      <c r="Z24119" s="372">
        <v>0.0</v>
      </c>
    </row>
    <row r="24120">
      <c r="Y24120" s="372">
        <v>0.0</v>
      </c>
      <c r="Z24120" s="372">
        <v>0.0</v>
      </c>
    </row>
    <row r="24121">
      <c r="Y24121" s="372">
        <v>0.0</v>
      </c>
      <c r="Z24121" s="372">
        <v>0.0</v>
      </c>
    </row>
    <row r="24122">
      <c r="Y24122" s="372">
        <v>0.0</v>
      </c>
      <c r="Z24122" s="372">
        <v>0.0</v>
      </c>
    </row>
    <row r="24123">
      <c r="Y24123" s="372">
        <v>0.0</v>
      </c>
      <c r="Z24123" s="372">
        <v>0.0</v>
      </c>
    </row>
    <row r="24124">
      <c r="Y24124" s="372">
        <v>0.0</v>
      </c>
      <c r="Z24124" s="372">
        <v>0.0</v>
      </c>
    </row>
    <row r="24125">
      <c r="Y24125" s="372">
        <v>0.0</v>
      </c>
      <c r="Z24125" s="372">
        <v>0.0</v>
      </c>
    </row>
    <row r="24126">
      <c r="Y24126" s="372">
        <v>0.0</v>
      </c>
      <c r="Z24126" s="372">
        <v>0.0</v>
      </c>
    </row>
    <row r="24127">
      <c r="Y24127" s="372">
        <v>0.0</v>
      </c>
      <c r="Z24127" s="372">
        <v>0.0</v>
      </c>
    </row>
    <row r="24128">
      <c r="Y24128" s="372">
        <v>0.0</v>
      </c>
      <c r="Z24128" s="372">
        <v>0.0</v>
      </c>
    </row>
    <row r="24129">
      <c r="Y24129" s="372">
        <v>0.0</v>
      </c>
      <c r="Z24129" s="372">
        <v>0.0</v>
      </c>
    </row>
    <row r="24130">
      <c r="Y24130" s="372">
        <v>0.0</v>
      </c>
      <c r="Z24130" s="372">
        <v>0.0</v>
      </c>
    </row>
    <row r="24131">
      <c r="Y24131" s="372">
        <v>0.0</v>
      </c>
      <c r="Z24131" s="372">
        <v>0.0</v>
      </c>
    </row>
    <row r="24132">
      <c r="Y24132" s="372">
        <v>0.0</v>
      </c>
      <c r="Z24132" s="372">
        <v>0.0</v>
      </c>
    </row>
    <row r="24133">
      <c r="Y24133" s="372">
        <v>0.0</v>
      </c>
      <c r="Z24133" s="372">
        <v>0.0</v>
      </c>
    </row>
    <row r="24134">
      <c r="Y24134" s="372">
        <v>0.0</v>
      </c>
      <c r="Z24134" s="372">
        <v>0.0</v>
      </c>
    </row>
    <row r="24135">
      <c r="Y24135" s="372">
        <v>0.0</v>
      </c>
      <c r="Z24135" s="372">
        <v>0.0</v>
      </c>
    </row>
    <row r="24136">
      <c r="Y24136" s="372">
        <v>0.0</v>
      </c>
      <c r="Z24136" s="372">
        <v>0.0</v>
      </c>
    </row>
    <row r="24137">
      <c r="Y24137" s="372">
        <v>0.0</v>
      </c>
      <c r="Z24137" s="372">
        <v>0.0</v>
      </c>
    </row>
    <row r="24138">
      <c r="Y24138" s="372">
        <v>0.0</v>
      </c>
      <c r="Z24138" s="372">
        <v>0.0</v>
      </c>
    </row>
    <row r="24139">
      <c r="Y24139" s="372">
        <v>0.0</v>
      </c>
      <c r="Z24139" s="372">
        <v>0.0</v>
      </c>
    </row>
    <row r="24140">
      <c r="Y24140" s="372">
        <v>0.0</v>
      </c>
      <c r="Z24140" s="372">
        <v>0.0</v>
      </c>
    </row>
    <row r="24141">
      <c r="Y24141" s="372">
        <v>0.0</v>
      </c>
      <c r="Z24141" s="372">
        <v>0.0</v>
      </c>
    </row>
    <row r="24142">
      <c r="Y24142" s="372">
        <v>0.0</v>
      </c>
      <c r="Z24142" s="372">
        <v>0.0</v>
      </c>
    </row>
    <row r="24143">
      <c r="Y24143" s="372">
        <v>0.0</v>
      </c>
      <c r="Z24143" s="372">
        <v>0.0</v>
      </c>
    </row>
    <row r="24144">
      <c r="Y24144" s="372">
        <v>0.0</v>
      </c>
      <c r="Z24144" s="372">
        <v>0.0</v>
      </c>
    </row>
    <row r="24145">
      <c r="Y24145" s="372">
        <v>0.0</v>
      </c>
      <c r="Z24145" s="372">
        <v>0.0</v>
      </c>
    </row>
    <row r="24146">
      <c r="Y24146" s="372">
        <v>0.0</v>
      </c>
      <c r="Z24146" s="372">
        <v>0.0</v>
      </c>
    </row>
    <row r="24147">
      <c r="Y24147" s="372">
        <v>0.0</v>
      </c>
      <c r="Z24147" s="372">
        <v>0.0</v>
      </c>
    </row>
    <row r="24148">
      <c r="Y24148" s="372">
        <v>0.0</v>
      </c>
      <c r="Z24148" s="372">
        <v>0.0</v>
      </c>
    </row>
    <row r="24149">
      <c r="Y24149" s="372">
        <v>0.0</v>
      </c>
      <c r="Z24149" s="372">
        <v>0.0</v>
      </c>
    </row>
    <row r="24150">
      <c r="Y24150" s="372">
        <v>0.0</v>
      </c>
      <c r="Z24150" s="372">
        <v>0.0</v>
      </c>
    </row>
    <row r="24151">
      <c r="Y24151" s="372">
        <v>0.0</v>
      </c>
      <c r="Z24151" s="372">
        <v>0.0</v>
      </c>
    </row>
    <row r="24152">
      <c r="Y24152" s="372">
        <v>0.0</v>
      </c>
      <c r="Z24152" s="372">
        <v>0.0</v>
      </c>
    </row>
    <row r="24153">
      <c r="Y24153" s="372">
        <v>0.0</v>
      </c>
      <c r="Z24153" s="372">
        <v>0.0</v>
      </c>
    </row>
    <row r="24154">
      <c r="Y24154" s="372">
        <v>0.0</v>
      </c>
      <c r="Z24154" s="372">
        <v>0.0</v>
      </c>
    </row>
    <row r="24155">
      <c r="Y24155" s="372">
        <v>0.0</v>
      </c>
      <c r="Z24155" s="372">
        <v>0.0</v>
      </c>
    </row>
    <row r="24156">
      <c r="Y24156" s="372">
        <v>0.0</v>
      </c>
      <c r="Z24156" s="372">
        <v>0.0</v>
      </c>
    </row>
    <row r="24157">
      <c r="Y24157" s="372">
        <v>0.0</v>
      </c>
      <c r="Z24157" s="372">
        <v>0.0</v>
      </c>
    </row>
    <row r="24158">
      <c r="Y24158" s="372">
        <v>0.0</v>
      </c>
      <c r="Z24158" s="372">
        <v>0.0</v>
      </c>
    </row>
    <row r="24159">
      <c r="Y24159" s="372">
        <v>0.0</v>
      </c>
      <c r="Z24159" s="372">
        <v>0.0</v>
      </c>
    </row>
    <row r="24160">
      <c r="Y24160" s="372">
        <v>0.0</v>
      </c>
      <c r="Z24160" s="372">
        <v>0.0</v>
      </c>
    </row>
    <row r="24161">
      <c r="Y24161" s="372">
        <v>0.0</v>
      </c>
      <c r="Z24161" s="372">
        <v>0.0</v>
      </c>
    </row>
    <row r="24162">
      <c r="Y24162" s="372">
        <v>0.0</v>
      </c>
      <c r="Z24162" s="372">
        <v>0.0</v>
      </c>
    </row>
    <row r="24163">
      <c r="Y24163" s="372">
        <v>0.0</v>
      </c>
      <c r="Z24163" s="372">
        <v>0.0</v>
      </c>
    </row>
    <row r="24164">
      <c r="Y24164" s="372">
        <v>0.0</v>
      </c>
      <c r="Z24164" s="372">
        <v>0.0</v>
      </c>
    </row>
    <row r="24165">
      <c r="Y24165" s="372">
        <v>0.0</v>
      </c>
      <c r="Z24165" s="372">
        <v>0.0</v>
      </c>
    </row>
    <row r="24166">
      <c r="Y24166" s="372">
        <v>0.0</v>
      </c>
      <c r="Z24166" s="372">
        <v>0.0</v>
      </c>
    </row>
    <row r="24167">
      <c r="Y24167" s="372">
        <v>0.0</v>
      </c>
      <c r="Z24167" s="372">
        <v>0.0</v>
      </c>
    </row>
    <row r="24168">
      <c r="Y24168" s="372">
        <v>0.0</v>
      </c>
      <c r="Z24168" s="372">
        <v>0.0</v>
      </c>
    </row>
    <row r="24169">
      <c r="Y24169" s="372">
        <v>0.0</v>
      </c>
      <c r="Z24169" s="372">
        <v>0.0</v>
      </c>
    </row>
    <row r="24170">
      <c r="Y24170" s="372">
        <v>0.0</v>
      </c>
      <c r="Z24170" s="372">
        <v>0.0</v>
      </c>
    </row>
    <row r="24171">
      <c r="Y24171" s="372">
        <v>0.0</v>
      </c>
      <c r="Z24171" s="372">
        <v>0.0</v>
      </c>
    </row>
    <row r="24172">
      <c r="Y24172" s="372">
        <v>0.0</v>
      </c>
      <c r="Z24172" s="372">
        <v>0.0</v>
      </c>
    </row>
    <row r="24173">
      <c r="Y24173" s="372">
        <v>0.0</v>
      </c>
      <c r="Z24173" s="372">
        <v>0.0</v>
      </c>
    </row>
    <row r="24174">
      <c r="Y24174" s="372">
        <v>0.0</v>
      </c>
      <c r="Z24174" s="372">
        <v>0.0</v>
      </c>
    </row>
    <row r="24175">
      <c r="Y24175" s="372">
        <v>0.0</v>
      </c>
      <c r="Z24175" s="372">
        <v>0.0</v>
      </c>
    </row>
    <row r="24176">
      <c r="Y24176" s="372">
        <v>0.0</v>
      </c>
      <c r="Z24176" s="372">
        <v>0.0</v>
      </c>
    </row>
    <row r="24177">
      <c r="Y24177" s="372">
        <v>0.0</v>
      </c>
      <c r="Z24177" s="372">
        <v>0.0</v>
      </c>
    </row>
    <row r="24178">
      <c r="Y24178" s="372">
        <v>0.0</v>
      </c>
      <c r="Z24178" s="372">
        <v>0.0</v>
      </c>
    </row>
    <row r="24179">
      <c r="Y24179" s="372">
        <v>0.0</v>
      </c>
      <c r="Z24179" s="372">
        <v>0.0</v>
      </c>
    </row>
    <row r="24180">
      <c r="Y24180" s="372">
        <v>0.0</v>
      </c>
      <c r="Z24180" s="372">
        <v>0.0</v>
      </c>
    </row>
    <row r="24181">
      <c r="Y24181" s="372">
        <v>0.0</v>
      </c>
      <c r="Z24181" s="372">
        <v>0.0</v>
      </c>
    </row>
    <row r="24182">
      <c r="Y24182" s="372">
        <v>0.0</v>
      </c>
      <c r="Z24182" s="372">
        <v>0.0</v>
      </c>
    </row>
    <row r="24183">
      <c r="Y24183" s="372">
        <v>0.0</v>
      </c>
      <c r="Z24183" s="372">
        <v>0.0</v>
      </c>
    </row>
    <row r="24184">
      <c r="Y24184" s="372">
        <v>0.0</v>
      </c>
      <c r="Z24184" s="372">
        <v>0.0</v>
      </c>
    </row>
    <row r="24185">
      <c r="Y24185" s="372">
        <v>0.0</v>
      </c>
      <c r="Z24185" s="372">
        <v>0.0</v>
      </c>
    </row>
    <row r="24186">
      <c r="Y24186" s="372">
        <v>0.0</v>
      </c>
      <c r="Z24186" s="372">
        <v>0.0</v>
      </c>
    </row>
    <row r="24187">
      <c r="Y24187" s="372">
        <v>0.0</v>
      </c>
      <c r="Z24187" s="372">
        <v>0.0</v>
      </c>
    </row>
    <row r="24188">
      <c r="Y24188" s="372">
        <v>0.0</v>
      </c>
      <c r="Z24188" s="372">
        <v>0.0</v>
      </c>
    </row>
    <row r="24189">
      <c r="Y24189" s="372">
        <v>0.0</v>
      </c>
      <c r="Z24189" s="372">
        <v>0.0</v>
      </c>
    </row>
    <row r="24190">
      <c r="Y24190" s="372">
        <v>0.0</v>
      </c>
      <c r="Z24190" s="372">
        <v>0.0</v>
      </c>
    </row>
    <row r="24191">
      <c r="Y24191" s="372">
        <v>0.0</v>
      </c>
      <c r="Z24191" s="372">
        <v>0.0</v>
      </c>
    </row>
    <row r="24192">
      <c r="Y24192" s="372">
        <v>0.0</v>
      </c>
      <c r="Z24192" s="372">
        <v>0.0</v>
      </c>
    </row>
    <row r="24193">
      <c r="Y24193" s="372">
        <v>0.0</v>
      </c>
      <c r="Z24193" s="372">
        <v>0.0</v>
      </c>
    </row>
    <row r="24194">
      <c r="Y24194" s="372">
        <v>0.0</v>
      </c>
      <c r="Z24194" s="372">
        <v>0.0</v>
      </c>
    </row>
    <row r="24195">
      <c r="Y24195" s="372">
        <v>0.0</v>
      </c>
      <c r="Z24195" s="372">
        <v>0.0</v>
      </c>
    </row>
    <row r="24196">
      <c r="Y24196" s="372">
        <v>0.0</v>
      </c>
      <c r="Z24196" s="372">
        <v>0.0</v>
      </c>
    </row>
    <row r="24197">
      <c r="Y24197" s="372">
        <v>0.0</v>
      </c>
      <c r="Z24197" s="372">
        <v>0.0</v>
      </c>
    </row>
    <row r="24198">
      <c r="Y24198" s="372">
        <v>0.0</v>
      </c>
      <c r="Z24198" s="372">
        <v>0.0</v>
      </c>
    </row>
    <row r="24199">
      <c r="Y24199" s="372">
        <v>0.0</v>
      </c>
      <c r="Z24199" s="372">
        <v>0.0</v>
      </c>
    </row>
    <row r="24200">
      <c r="Y24200" s="372">
        <v>0.0</v>
      </c>
      <c r="Z24200" s="372">
        <v>0.0</v>
      </c>
    </row>
    <row r="24201">
      <c r="Y24201" s="372">
        <v>0.0</v>
      </c>
      <c r="Z24201" s="372">
        <v>0.0</v>
      </c>
    </row>
    <row r="24202">
      <c r="Y24202" s="372">
        <v>0.0</v>
      </c>
      <c r="Z24202" s="372">
        <v>0.0</v>
      </c>
    </row>
    <row r="24203">
      <c r="Y24203" s="372">
        <v>0.0</v>
      </c>
      <c r="Z24203" s="372">
        <v>0.0</v>
      </c>
    </row>
    <row r="24204">
      <c r="Y24204" s="372">
        <v>0.0</v>
      </c>
      <c r="Z24204" s="372">
        <v>0.0</v>
      </c>
    </row>
    <row r="24205">
      <c r="Y24205" s="372">
        <v>0.0</v>
      </c>
      <c r="Z24205" s="372">
        <v>0.0</v>
      </c>
    </row>
    <row r="24206">
      <c r="Y24206" s="372">
        <v>0.0</v>
      </c>
      <c r="Z24206" s="372">
        <v>0.0</v>
      </c>
    </row>
    <row r="24207">
      <c r="Y24207" s="372">
        <v>0.0</v>
      </c>
      <c r="Z24207" s="372">
        <v>0.0</v>
      </c>
    </row>
    <row r="24208">
      <c r="Y24208" s="372">
        <v>0.0</v>
      </c>
      <c r="Z24208" s="372">
        <v>0.0</v>
      </c>
    </row>
    <row r="24209">
      <c r="Y24209" s="372">
        <v>0.0</v>
      </c>
      <c r="Z24209" s="372">
        <v>0.0</v>
      </c>
    </row>
    <row r="24210">
      <c r="Y24210" s="372">
        <v>0.0</v>
      </c>
      <c r="Z24210" s="372">
        <v>0.0</v>
      </c>
    </row>
    <row r="24211">
      <c r="Y24211" s="372">
        <v>0.0</v>
      </c>
      <c r="Z24211" s="372">
        <v>0.0</v>
      </c>
    </row>
    <row r="24212">
      <c r="Y24212" s="372">
        <v>0.0</v>
      </c>
      <c r="Z24212" s="372">
        <v>0.0</v>
      </c>
    </row>
    <row r="24213">
      <c r="Y24213" s="372">
        <v>0.0</v>
      </c>
      <c r="Z24213" s="372">
        <v>0.0</v>
      </c>
    </row>
    <row r="24214">
      <c r="Y24214" s="372">
        <v>0.0</v>
      </c>
      <c r="Z24214" s="372">
        <v>0.0</v>
      </c>
    </row>
    <row r="24215">
      <c r="Y24215" s="372">
        <v>0.0</v>
      </c>
      <c r="Z24215" s="372">
        <v>0.0</v>
      </c>
    </row>
    <row r="24216">
      <c r="Y24216" s="372">
        <v>0.0</v>
      </c>
      <c r="Z24216" s="372">
        <v>0.0</v>
      </c>
    </row>
    <row r="24217">
      <c r="Y24217" s="372">
        <v>0.0</v>
      </c>
      <c r="Z24217" s="372">
        <v>0.0</v>
      </c>
    </row>
    <row r="24218">
      <c r="Y24218" s="372">
        <v>0.0</v>
      </c>
      <c r="Z24218" s="372">
        <v>0.0</v>
      </c>
    </row>
    <row r="24219">
      <c r="Y24219" s="372">
        <v>0.0</v>
      </c>
      <c r="Z24219" s="372">
        <v>0.0</v>
      </c>
    </row>
    <row r="24220">
      <c r="Y24220" s="372">
        <v>0.0</v>
      </c>
      <c r="Z24220" s="372">
        <v>0.0</v>
      </c>
    </row>
    <row r="24221">
      <c r="Y24221" s="372">
        <v>0.0</v>
      </c>
      <c r="Z24221" s="372">
        <v>0.0</v>
      </c>
    </row>
    <row r="24222">
      <c r="Y24222" s="372">
        <v>0.0</v>
      </c>
      <c r="Z24222" s="372">
        <v>0.0</v>
      </c>
    </row>
    <row r="24223">
      <c r="Y24223" s="372">
        <v>0.0</v>
      </c>
      <c r="Z24223" s="372">
        <v>0.0</v>
      </c>
    </row>
    <row r="24224">
      <c r="Y24224" s="372">
        <v>0.0</v>
      </c>
      <c r="Z24224" s="372">
        <v>0.0</v>
      </c>
    </row>
    <row r="24225">
      <c r="Y24225" s="372">
        <v>0.0</v>
      </c>
      <c r="Z24225" s="372">
        <v>0.0</v>
      </c>
    </row>
    <row r="24226">
      <c r="Y24226" s="372">
        <v>0.0</v>
      </c>
      <c r="Z24226" s="372">
        <v>0.0</v>
      </c>
    </row>
    <row r="24227">
      <c r="Y24227" s="372">
        <v>0.0</v>
      </c>
      <c r="Z24227" s="372">
        <v>0.0</v>
      </c>
    </row>
    <row r="24228">
      <c r="Y24228" s="372">
        <v>0.0</v>
      </c>
      <c r="Z24228" s="372">
        <v>0.0</v>
      </c>
    </row>
    <row r="24229">
      <c r="Y24229" s="372">
        <v>0.0</v>
      </c>
      <c r="Z24229" s="372">
        <v>0.0</v>
      </c>
    </row>
    <row r="24230">
      <c r="Y24230" s="372">
        <v>0.0</v>
      </c>
      <c r="Z24230" s="372">
        <v>0.0</v>
      </c>
    </row>
    <row r="24231">
      <c r="Y24231" s="372">
        <v>0.0</v>
      </c>
      <c r="Z24231" s="372">
        <v>0.0</v>
      </c>
    </row>
    <row r="24232">
      <c r="Y24232" s="372">
        <v>0.0</v>
      </c>
      <c r="Z24232" s="372">
        <v>0.0</v>
      </c>
    </row>
    <row r="24233">
      <c r="Y24233" s="372">
        <v>0.0</v>
      </c>
      <c r="Z24233" s="372">
        <v>0.0</v>
      </c>
    </row>
    <row r="24234">
      <c r="Y24234" s="372">
        <v>0.0</v>
      </c>
      <c r="Z24234" s="372">
        <v>0.0</v>
      </c>
    </row>
    <row r="24235">
      <c r="Y24235" s="372">
        <v>0.0</v>
      </c>
      <c r="Z24235" s="372">
        <v>0.0</v>
      </c>
    </row>
    <row r="24236">
      <c r="Y24236" s="372">
        <v>0.0</v>
      </c>
      <c r="Z24236" s="372">
        <v>0.0</v>
      </c>
    </row>
    <row r="24237">
      <c r="Y24237" s="372">
        <v>0.0</v>
      </c>
      <c r="Z24237" s="372">
        <v>0.0</v>
      </c>
    </row>
    <row r="24238">
      <c r="Y24238" s="372">
        <v>0.0</v>
      </c>
      <c r="Z24238" s="372">
        <v>0.0</v>
      </c>
    </row>
    <row r="24239">
      <c r="Y24239" s="372">
        <v>0.0</v>
      </c>
      <c r="Z24239" s="372">
        <v>0.0</v>
      </c>
    </row>
    <row r="24240">
      <c r="Y24240" s="372">
        <v>0.0</v>
      </c>
      <c r="Z24240" s="372">
        <v>0.0</v>
      </c>
    </row>
    <row r="24241">
      <c r="Y24241" s="372">
        <v>0.0</v>
      </c>
      <c r="Z24241" s="372">
        <v>0.0</v>
      </c>
    </row>
    <row r="24242">
      <c r="Y24242" s="372">
        <v>0.0</v>
      </c>
      <c r="Z24242" s="372">
        <v>0.0</v>
      </c>
    </row>
    <row r="24243">
      <c r="Y24243" s="372">
        <v>0.0</v>
      </c>
      <c r="Z24243" s="372">
        <v>0.0</v>
      </c>
    </row>
    <row r="24244">
      <c r="Y24244" s="372">
        <v>0.0</v>
      </c>
      <c r="Z24244" s="372">
        <v>0.0</v>
      </c>
    </row>
    <row r="24245">
      <c r="Y24245" s="372">
        <v>0.0</v>
      </c>
      <c r="Z24245" s="372">
        <v>0.0</v>
      </c>
    </row>
    <row r="24246">
      <c r="Y24246" s="372">
        <v>0.0</v>
      </c>
      <c r="Z24246" s="372">
        <v>0.0</v>
      </c>
    </row>
    <row r="24247">
      <c r="Y24247" s="372">
        <v>0.0</v>
      </c>
      <c r="Z24247" s="372">
        <v>0.0</v>
      </c>
    </row>
    <row r="24248">
      <c r="Y24248" s="372">
        <v>0.0</v>
      </c>
      <c r="Z24248" s="372">
        <v>0.0</v>
      </c>
    </row>
    <row r="24249">
      <c r="Y24249" s="372">
        <v>0.0</v>
      </c>
      <c r="Z24249" s="372">
        <v>0.0</v>
      </c>
    </row>
    <row r="24250">
      <c r="Y24250" s="372">
        <v>0.0</v>
      </c>
      <c r="Z24250" s="372">
        <v>0.0</v>
      </c>
    </row>
    <row r="24251">
      <c r="Y24251" s="372">
        <v>0.0</v>
      </c>
      <c r="Z24251" s="372">
        <v>0.0</v>
      </c>
    </row>
    <row r="24252">
      <c r="Y24252" s="372">
        <v>0.0</v>
      </c>
      <c r="Z24252" s="372">
        <v>0.0</v>
      </c>
    </row>
    <row r="24253">
      <c r="Y24253" s="372">
        <v>0.0</v>
      </c>
      <c r="Z24253" s="372">
        <v>0.0</v>
      </c>
    </row>
    <row r="24254">
      <c r="Y24254" s="372">
        <v>0.0</v>
      </c>
      <c r="Z24254" s="372">
        <v>0.0</v>
      </c>
    </row>
    <row r="24255">
      <c r="Y24255" s="372">
        <v>0.0</v>
      </c>
      <c r="Z24255" s="372">
        <v>0.0</v>
      </c>
    </row>
    <row r="24256">
      <c r="Y24256" s="372">
        <v>0.0</v>
      </c>
      <c r="Z24256" s="372">
        <v>0.0</v>
      </c>
    </row>
    <row r="24257">
      <c r="Y24257" s="372">
        <v>0.0</v>
      </c>
      <c r="Z24257" s="372">
        <v>0.0</v>
      </c>
    </row>
    <row r="24258">
      <c r="Y24258" s="372">
        <v>0.0</v>
      </c>
      <c r="Z24258" s="372">
        <v>0.0</v>
      </c>
    </row>
    <row r="24259">
      <c r="Y24259" s="372">
        <v>0.0</v>
      </c>
      <c r="Z24259" s="372">
        <v>0.0</v>
      </c>
    </row>
    <row r="24260">
      <c r="Y24260" s="372">
        <v>0.0</v>
      </c>
      <c r="Z24260" s="372">
        <v>0.0</v>
      </c>
    </row>
    <row r="24261">
      <c r="Y24261" s="372">
        <v>0.0</v>
      </c>
      <c r="Z24261" s="372">
        <v>0.0</v>
      </c>
    </row>
    <row r="24262">
      <c r="Y24262" s="372">
        <v>0.0</v>
      </c>
      <c r="Z24262" s="372">
        <v>0.0</v>
      </c>
    </row>
    <row r="24263">
      <c r="Y24263" s="372">
        <v>0.0</v>
      </c>
      <c r="Z24263" s="372">
        <v>0.0</v>
      </c>
    </row>
    <row r="24264">
      <c r="Y24264" s="372">
        <v>0.0</v>
      </c>
      <c r="Z24264" s="372">
        <v>0.0</v>
      </c>
    </row>
    <row r="24265">
      <c r="Y24265" s="372">
        <v>0.0</v>
      </c>
      <c r="Z24265" s="372">
        <v>0.0</v>
      </c>
    </row>
    <row r="24266">
      <c r="Y24266" s="372">
        <v>0.0</v>
      </c>
      <c r="Z24266" s="372">
        <v>0.0</v>
      </c>
    </row>
    <row r="24267">
      <c r="Y24267" s="372">
        <v>0.0</v>
      </c>
      <c r="Z24267" s="372">
        <v>0.0</v>
      </c>
    </row>
    <row r="24268">
      <c r="Y24268" s="372">
        <v>0.0</v>
      </c>
      <c r="Z24268" s="372">
        <v>0.0</v>
      </c>
    </row>
    <row r="24269">
      <c r="Y24269" s="372">
        <v>0.0</v>
      </c>
      <c r="Z24269" s="372">
        <v>0.0</v>
      </c>
    </row>
    <row r="24270">
      <c r="Y24270" s="372">
        <v>0.0</v>
      </c>
      <c r="Z24270" s="372">
        <v>0.0</v>
      </c>
    </row>
    <row r="24271">
      <c r="Y24271" s="372">
        <v>0.0</v>
      </c>
      <c r="Z24271" s="372">
        <v>0.0</v>
      </c>
    </row>
    <row r="24272">
      <c r="Y24272" s="372">
        <v>0.0</v>
      </c>
      <c r="Z24272" s="372">
        <v>0.0</v>
      </c>
    </row>
    <row r="24273">
      <c r="Y24273" s="372">
        <v>0.0</v>
      </c>
      <c r="Z24273" s="372">
        <v>0.0</v>
      </c>
    </row>
    <row r="24274">
      <c r="Y24274" s="372">
        <v>0.0</v>
      </c>
      <c r="Z24274" s="372">
        <v>0.0</v>
      </c>
    </row>
    <row r="24275">
      <c r="Y24275" s="372">
        <v>0.0</v>
      </c>
      <c r="Z24275" s="372">
        <v>0.0</v>
      </c>
    </row>
    <row r="24276">
      <c r="Y24276" s="372">
        <v>0.0</v>
      </c>
      <c r="Z24276" s="372">
        <v>0.0</v>
      </c>
    </row>
    <row r="24277">
      <c r="Y24277" s="372">
        <v>0.0</v>
      </c>
      <c r="Z24277" s="372">
        <v>0.0</v>
      </c>
    </row>
    <row r="24278">
      <c r="Y24278" s="372">
        <v>0.0</v>
      </c>
      <c r="Z24278" s="372">
        <v>0.0</v>
      </c>
    </row>
    <row r="24279">
      <c r="Y24279" s="372">
        <v>0.0</v>
      </c>
      <c r="Z24279" s="372">
        <v>0.0</v>
      </c>
    </row>
    <row r="24280">
      <c r="Y24280" s="372">
        <v>0.0</v>
      </c>
      <c r="Z24280" s="372">
        <v>0.0</v>
      </c>
    </row>
    <row r="24281">
      <c r="Y24281" s="372">
        <v>0.0</v>
      </c>
      <c r="Z24281" s="372">
        <v>0.0</v>
      </c>
    </row>
    <row r="24282">
      <c r="Y24282" s="372">
        <v>0.0</v>
      </c>
      <c r="Z24282" s="372">
        <v>0.0</v>
      </c>
    </row>
    <row r="24283">
      <c r="Y24283" s="372">
        <v>0.0</v>
      </c>
      <c r="Z24283" s="372">
        <v>0.0</v>
      </c>
    </row>
    <row r="24284">
      <c r="Y24284" s="372">
        <v>0.0</v>
      </c>
      <c r="Z24284" s="372">
        <v>0.0</v>
      </c>
    </row>
    <row r="24285">
      <c r="Y24285" s="372">
        <v>0.0</v>
      </c>
      <c r="Z24285" s="372">
        <v>0.0</v>
      </c>
    </row>
    <row r="24286">
      <c r="Y24286" s="372">
        <v>0.0</v>
      </c>
      <c r="Z24286" s="372">
        <v>0.0</v>
      </c>
    </row>
    <row r="24287">
      <c r="Y24287" s="372">
        <v>0.0</v>
      </c>
      <c r="Z24287" s="372">
        <v>0.0</v>
      </c>
    </row>
    <row r="24288">
      <c r="Y24288" s="372">
        <v>0.0</v>
      </c>
      <c r="Z24288" s="372">
        <v>0.0</v>
      </c>
    </row>
    <row r="24289">
      <c r="Y24289" s="372">
        <v>0.0</v>
      </c>
      <c r="Z24289" s="372">
        <v>0.0</v>
      </c>
    </row>
    <row r="24290">
      <c r="Y24290" s="372">
        <v>0.0</v>
      </c>
      <c r="Z24290" s="372">
        <v>0.0</v>
      </c>
    </row>
    <row r="24291">
      <c r="Y24291" s="372">
        <v>0.0</v>
      </c>
      <c r="Z24291" s="372">
        <v>0.0</v>
      </c>
    </row>
    <row r="24292">
      <c r="Y24292" s="372">
        <v>0.0</v>
      </c>
      <c r="Z24292" s="372">
        <v>0.0</v>
      </c>
    </row>
    <row r="24293">
      <c r="Y24293" s="372">
        <v>0.0</v>
      </c>
      <c r="Z24293" s="372">
        <v>0.0</v>
      </c>
    </row>
    <row r="24294">
      <c r="Y24294" s="372">
        <v>0.0</v>
      </c>
      <c r="Z24294" s="372">
        <v>0.0</v>
      </c>
    </row>
    <row r="24295">
      <c r="Y24295" s="372">
        <v>0.0</v>
      </c>
      <c r="Z24295" s="372">
        <v>0.0</v>
      </c>
    </row>
    <row r="24296">
      <c r="Y24296" s="372">
        <v>0.0</v>
      </c>
      <c r="Z24296" s="372">
        <v>0.0</v>
      </c>
    </row>
    <row r="24297">
      <c r="Y24297" s="372">
        <v>0.0</v>
      </c>
      <c r="Z24297" s="372">
        <v>0.0</v>
      </c>
    </row>
    <row r="24298">
      <c r="Y24298" s="372">
        <v>0.0</v>
      </c>
      <c r="Z24298" s="372">
        <v>0.0</v>
      </c>
    </row>
    <row r="24299">
      <c r="Y24299" s="372">
        <v>0.0</v>
      </c>
      <c r="Z24299" s="372">
        <v>0.0</v>
      </c>
    </row>
    <row r="24300">
      <c r="Y24300" s="372">
        <v>0.0</v>
      </c>
      <c r="Z24300" s="372">
        <v>0.0</v>
      </c>
    </row>
    <row r="24301">
      <c r="Y24301" s="372">
        <v>0.0</v>
      </c>
      <c r="Z24301" s="372">
        <v>0.0</v>
      </c>
    </row>
    <row r="24302">
      <c r="Y24302" s="372">
        <v>0.0</v>
      </c>
      <c r="Z24302" s="372">
        <v>0.0</v>
      </c>
    </row>
    <row r="24303">
      <c r="Y24303" s="372">
        <v>0.0</v>
      </c>
      <c r="Z24303" s="372">
        <v>0.0</v>
      </c>
    </row>
    <row r="24304">
      <c r="Y24304" s="372">
        <v>0.0</v>
      </c>
      <c r="Z24304" s="372">
        <v>0.0</v>
      </c>
    </row>
    <row r="24305">
      <c r="Y24305" s="372">
        <v>0.0</v>
      </c>
      <c r="Z24305" s="372">
        <v>0.0</v>
      </c>
    </row>
    <row r="24306">
      <c r="Y24306" s="372">
        <v>0.0</v>
      </c>
      <c r="Z24306" s="372">
        <v>0.0</v>
      </c>
    </row>
    <row r="24307">
      <c r="Y24307" s="372">
        <v>0.0</v>
      </c>
      <c r="Z24307" s="372">
        <v>0.0</v>
      </c>
    </row>
    <row r="24308">
      <c r="Y24308" s="372">
        <v>0.0</v>
      </c>
      <c r="Z24308" s="372">
        <v>0.0</v>
      </c>
    </row>
    <row r="24309">
      <c r="Y24309" s="372">
        <v>0.0</v>
      </c>
      <c r="Z24309" s="372">
        <v>0.0</v>
      </c>
    </row>
    <row r="24310">
      <c r="Y24310" s="372">
        <v>0.0</v>
      </c>
      <c r="Z24310" s="372">
        <v>0.0</v>
      </c>
    </row>
    <row r="24311">
      <c r="Y24311" s="372">
        <v>0.0</v>
      </c>
      <c r="Z24311" s="372">
        <v>0.0</v>
      </c>
    </row>
    <row r="24312">
      <c r="Y24312" s="372">
        <v>0.0</v>
      </c>
      <c r="Z24312" s="372">
        <v>0.0</v>
      </c>
    </row>
    <row r="24313">
      <c r="Y24313" s="372">
        <v>0.0</v>
      </c>
      <c r="Z24313" s="372">
        <v>0.0</v>
      </c>
    </row>
    <row r="24314">
      <c r="Y24314" s="372">
        <v>0.0</v>
      </c>
      <c r="Z24314" s="372">
        <v>0.0</v>
      </c>
    </row>
    <row r="24315">
      <c r="Y24315" s="372">
        <v>0.0</v>
      </c>
      <c r="Z24315" s="372">
        <v>0.0</v>
      </c>
    </row>
    <row r="24316">
      <c r="Y24316" s="372">
        <v>0.0</v>
      </c>
      <c r="Z24316" s="372">
        <v>0.0</v>
      </c>
    </row>
    <row r="24317">
      <c r="Y24317" s="372">
        <v>0.0</v>
      </c>
      <c r="Z24317" s="372">
        <v>0.0</v>
      </c>
    </row>
    <row r="24318">
      <c r="Y24318" s="372">
        <v>0.0</v>
      </c>
      <c r="Z24318" s="372">
        <v>0.0</v>
      </c>
    </row>
    <row r="24319">
      <c r="Y24319" s="372">
        <v>0.0</v>
      </c>
      <c r="Z24319" s="372">
        <v>0.0</v>
      </c>
    </row>
    <row r="24320">
      <c r="Y24320" s="372">
        <v>0.0</v>
      </c>
      <c r="Z24320" s="372">
        <v>0.0</v>
      </c>
    </row>
    <row r="24321">
      <c r="Y24321" s="372">
        <v>0.0</v>
      </c>
      <c r="Z24321" s="372">
        <v>0.0</v>
      </c>
    </row>
    <row r="24322">
      <c r="Y24322" s="372">
        <v>0.0</v>
      </c>
      <c r="Z24322" s="372">
        <v>0.0</v>
      </c>
    </row>
    <row r="24323">
      <c r="Y24323" s="372">
        <v>0.0</v>
      </c>
      <c r="Z24323" s="372">
        <v>0.0</v>
      </c>
    </row>
    <row r="24324">
      <c r="Y24324" s="372">
        <v>0.0</v>
      </c>
      <c r="Z24324" s="372">
        <v>0.0</v>
      </c>
    </row>
    <row r="24325">
      <c r="Y24325" s="372">
        <v>0.0</v>
      </c>
      <c r="Z24325" s="372">
        <v>0.0</v>
      </c>
    </row>
    <row r="24326">
      <c r="Y24326" s="372">
        <v>0.0</v>
      </c>
      <c r="Z24326" s="372">
        <v>0.0</v>
      </c>
    </row>
    <row r="24327">
      <c r="Y24327" s="372">
        <v>0.0</v>
      </c>
      <c r="Z24327" s="372">
        <v>0.0</v>
      </c>
    </row>
    <row r="24328">
      <c r="Y24328" s="372">
        <v>0.0</v>
      </c>
      <c r="Z24328" s="372">
        <v>0.0</v>
      </c>
    </row>
    <row r="24329">
      <c r="Y24329" s="372">
        <v>0.0</v>
      </c>
      <c r="Z24329" s="372">
        <v>0.0</v>
      </c>
    </row>
    <row r="24330">
      <c r="Y24330" s="372">
        <v>0.0</v>
      </c>
      <c r="Z24330" s="372">
        <v>0.0</v>
      </c>
    </row>
    <row r="24331">
      <c r="Y24331" s="372">
        <v>0.0</v>
      </c>
      <c r="Z24331" s="372">
        <v>0.0</v>
      </c>
    </row>
    <row r="24332">
      <c r="Y24332" s="372">
        <v>0.0</v>
      </c>
      <c r="Z24332" s="372">
        <v>0.0</v>
      </c>
    </row>
    <row r="24333">
      <c r="Y24333" s="372">
        <v>0.0</v>
      </c>
      <c r="Z24333" s="372">
        <v>0.0</v>
      </c>
    </row>
    <row r="24334">
      <c r="Y24334" s="372">
        <v>0.0</v>
      </c>
      <c r="Z24334" s="372">
        <v>0.0</v>
      </c>
    </row>
    <row r="24335">
      <c r="Y24335" s="372">
        <v>0.0</v>
      </c>
      <c r="Z24335" s="372">
        <v>0.0</v>
      </c>
    </row>
    <row r="24336">
      <c r="Y24336" s="372">
        <v>0.0</v>
      </c>
      <c r="Z24336" s="372">
        <v>0.0</v>
      </c>
    </row>
    <row r="24337">
      <c r="Y24337" s="372">
        <v>0.0</v>
      </c>
      <c r="Z24337" s="372">
        <v>0.0</v>
      </c>
    </row>
    <row r="24338">
      <c r="Y24338" s="372">
        <v>0.0</v>
      </c>
      <c r="Z24338" s="372">
        <v>0.0</v>
      </c>
    </row>
    <row r="24339">
      <c r="Y24339" s="372">
        <v>0.0</v>
      </c>
      <c r="Z24339" s="372">
        <v>0.0</v>
      </c>
    </row>
    <row r="24340">
      <c r="Y24340" s="372">
        <v>0.0</v>
      </c>
      <c r="Z24340" s="372">
        <v>0.0</v>
      </c>
    </row>
    <row r="24341">
      <c r="Y24341" s="372">
        <v>0.0</v>
      </c>
      <c r="Z24341" s="372">
        <v>0.0</v>
      </c>
    </row>
    <row r="24342">
      <c r="Y24342" s="372">
        <v>0.0</v>
      </c>
      <c r="Z24342" s="372">
        <v>0.0</v>
      </c>
    </row>
    <row r="24343">
      <c r="Y24343" s="372">
        <v>0.0</v>
      </c>
      <c r="Z24343" s="372">
        <v>0.0</v>
      </c>
    </row>
    <row r="24344">
      <c r="Y24344" s="372">
        <v>0.0</v>
      </c>
      <c r="Z24344" s="372">
        <v>0.0</v>
      </c>
    </row>
    <row r="24345">
      <c r="Y24345" s="372">
        <v>0.0</v>
      </c>
      <c r="Z24345" s="372">
        <v>0.0</v>
      </c>
    </row>
    <row r="24346">
      <c r="Y24346" s="372">
        <v>0.0</v>
      </c>
      <c r="Z24346" s="372">
        <v>0.0</v>
      </c>
    </row>
    <row r="24347">
      <c r="Y24347" s="372">
        <v>0.0</v>
      </c>
      <c r="Z24347" s="372">
        <v>0.0</v>
      </c>
    </row>
    <row r="24348">
      <c r="Y24348" s="372">
        <v>0.0</v>
      </c>
      <c r="Z24348" s="372">
        <v>0.0</v>
      </c>
    </row>
    <row r="24349">
      <c r="Y24349" s="372">
        <v>0.0</v>
      </c>
      <c r="Z24349" s="372">
        <v>0.0</v>
      </c>
    </row>
    <row r="24350">
      <c r="Y24350" s="372">
        <v>0.0</v>
      </c>
      <c r="Z24350" s="372">
        <v>0.0</v>
      </c>
    </row>
    <row r="24351">
      <c r="Y24351" s="372">
        <v>0.0</v>
      </c>
      <c r="Z24351" s="372">
        <v>0.0</v>
      </c>
    </row>
    <row r="24352">
      <c r="Y24352" s="372">
        <v>0.0</v>
      </c>
      <c r="Z24352" s="372">
        <v>0.0</v>
      </c>
    </row>
    <row r="24353">
      <c r="Y24353" s="372">
        <v>0.0</v>
      </c>
      <c r="Z24353" s="372">
        <v>0.0</v>
      </c>
    </row>
    <row r="24354">
      <c r="Y24354" s="372">
        <v>0.0</v>
      </c>
      <c r="Z24354" s="372">
        <v>0.0</v>
      </c>
    </row>
    <row r="24355">
      <c r="Y24355" s="372">
        <v>0.0</v>
      </c>
      <c r="Z24355" s="372">
        <v>0.0</v>
      </c>
    </row>
    <row r="24356">
      <c r="Y24356" s="372">
        <v>0.0</v>
      </c>
      <c r="Z24356" s="372">
        <v>0.0</v>
      </c>
    </row>
    <row r="24357">
      <c r="Y24357" s="372">
        <v>0.0</v>
      </c>
      <c r="Z24357" s="372">
        <v>0.0</v>
      </c>
    </row>
    <row r="24358">
      <c r="Y24358" s="372">
        <v>0.0</v>
      </c>
      <c r="Z24358" s="372">
        <v>0.0</v>
      </c>
    </row>
    <row r="24359">
      <c r="Y24359" s="372">
        <v>0.0</v>
      </c>
      <c r="Z24359" s="372">
        <v>0.0</v>
      </c>
    </row>
    <row r="24360">
      <c r="Y24360" s="372">
        <v>0.0</v>
      </c>
      <c r="Z24360" s="372">
        <v>0.0</v>
      </c>
    </row>
    <row r="24361">
      <c r="Y24361" s="372">
        <v>0.0</v>
      </c>
      <c r="Z24361" s="372">
        <v>0.0</v>
      </c>
    </row>
    <row r="24362">
      <c r="Y24362" s="372">
        <v>0.0</v>
      </c>
      <c r="Z24362" s="372">
        <v>0.0</v>
      </c>
    </row>
    <row r="24363">
      <c r="Y24363" s="372">
        <v>0.0</v>
      </c>
      <c r="Z24363" s="372">
        <v>0.0</v>
      </c>
    </row>
    <row r="24364">
      <c r="Y24364" s="372">
        <v>0.0</v>
      </c>
      <c r="Z24364" s="372">
        <v>0.0</v>
      </c>
    </row>
    <row r="24365">
      <c r="Y24365" s="372">
        <v>0.0</v>
      </c>
      <c r="Z24365" s="372">
        <v>0.0</v>
      </c>
    </row>
    <row r="24366">
      <c r="Y24366" s="372">
        <v>0.0</v>
      </c>
      <c r="Z24366" s="372">
        <v>0.0</v>
      </c>
    </row>
    <row r="24367">
      <c r="Y24367" s="372">
        <v>0.0</v>
      </c>
      <c r="Z24367" s="372">
        <v>0.0</v>
      </c>
    </row>
    <row r="24368">
      <c r="Y24368" s="372">
        <v>0.0</v>
      </c>
      <c r="Z24368" s="372">
        <v>0.0</v>
      </c>
    </row>
    <row r="24369">
      <c r="Y24369" s="372">
        <v>0.0</v>
      </c>
      <c r="Z24369" s="372">
        <v>0.0</v>
      </c>
    </row>
    <row r="24370">
      <c r="Y24370" s="372">
        <v>0.0</v>
      </c>
      <c r="Z24370" s="372">
        <v>0.0</v>
      </c>
    </row>
    <row r="24371">
      <c r="Y24371" s="372">
        <v>0.0</v>
      </c>
      <c r="Z24371" s="372">
        <v>0.0</v>
      </c>
    </row>
    <row r="24372">
      <c r="Y24372" s="372">
        <v>0.0</v>
      </c>
      <c r="Z24372" s="372">
        <v>0.0</v>
      </c>
    </row>
    <row r="24373">
      <c r="Y24373" s="372">
        <v>0.0</v>
      </c>
      <c r="Z24373" s="372">
        <v>0.0</v>
      </c>
    </row>
    <row r="24374">
      <c r="Y24374" s="372">
        <v>0.0</v>
      </c>
      <c r="Z24374" s="372">
        <v>0.0</v>
      </c>
    </row>
    <row r="24375">
      <c r="Y24375" s="372">
        <v>0.0</v>
      </c>
      <c r="Z24375" s="372">
        <v>0.0</v>
      </c>
    </row>
    <row r="24376">
      <c r="Y24376" s="372">
        <v>0.0</v>
      </c>
      <c r="Z24376" s="372">
        <v>0.0</v>
      </c>
    </row>
    <row r="24377">
      <c r="Y24377" s="372">
        <v>0.0</v>
      </c>
      <c r="Z24377" s="372">
        <v>0.0</v>
      </c>
    </row>
    <row r="24378">
      <c r="Y24378" s="372">
        <v>0.0</v>
      </c>
      <c r="Z24378" s="372">
        <v>0.0</v>
      </c>
    </row>
    <row r="24379">
      <c r="Y24379" s="372">
        <v>0.0</v>
      </c>
      <c r="Z24379" s="372">
        <v>0.0</v>
      </c>
    </row>
    <row r="24380">
      <c r="Y24380" s="372">
        <v>0.0</v>
      </c>
      <c r="Z24380" s="372">
        <v>0.0</v>
      </c>
    </row>
    <row r="24381">
      <c r="Y24381" s="372">
        <v>0.0</v>
      </c>
      <c r="Z24381" s="372">
        <v>0.0</v>
      </c>
    </row>
    <row r="24382">
      <c r="Y24382" s="372">
        <v>0.0</v>
      </c>
      <c r="Z24382" s="372">
        <v>0.0</v>
      </c>
    </row>
    <row r="24383">
      <c r="Y24383" s="372">
        <v>0.0</v>
      </c>
      <c r="Z24383" s="372">
        <v>0.0</v>
      </c>
    </row>
    <row r="24384">
      <c r="Y24384" s="372">
        <v>0.0</v>
      </c>
      <c r="Z24384" s="372">
        <v>0.0</v>
      </c>
    </row>
    <row r="24385">
      <c r="Y24385" s="372">
        <v>0.0</v>
      </c>
      <c r="Z24385" s="372">
        <v>0.0</v>
      </c>
    </row>
    <row r="24386">
      <c r="Y24386" s="372">
        <v>0.0</v>
      </c>
      <c r="Z24386" s="372">
        <v>0.0</v>
      </c>
    </row>
    <row r="24387">
      <c r="Y24387" s="372">
        <v>0.0</v>
      </c>
      <c r="Z24387" s="372">
        <v>0.0</v>
      </c>
    </row>
    <row r="24388">
      <c r="Y24388" s="372">
        <v>0.0</v>
      </c>
      <c r="Z24388" s="372">
        <v>0.0</v>
      </c>
    </row>
    <row r="24389">
      <c r="Y24389" s="372">
        <v>0.0</v>
      </c>
      <c r="Z24389" s="372">
        <v>0.0</v>
      </c>
    </row>
    <row r="24390">
      <c r="Y24390" s="372">
        <v>0.0</v>
      </c>
      <c r="Z24390" s="372">
        <v>0.0</v>
      </c>
    </row>
    <row r="24391">
      <c r="Y24391" s="372">
        <v>0.0</v>
      </c>
      <c r="Z24391" s="372">
        <v>0.0</v>
      </c>
    </row>
    <row r="24392">
      <c r="Y24392" s="372">
        <v>0.0</v>
      </c>
      <c r="Z24392" s="372">
        <v>0.0</v>
      </c>
    </row>
    <row r="24393">
      <c r="Y24393" s="372">
        <v>0.0</v>
      </c>
      <c r="Z24393" s="372">
        <v>0.0</v>
      </c>
    </row>
    <row r="24394">
      <c r="Y24394" s="372">
        <v>0.0</v>
      </c>
      <c r="Z24394" s="372">
        <v>0.0</v>
      </c>
    </row>
    <row r="24395">
      <c r="Y24395" s="372">
        <v>0.0</v>
      </c>
      <c r="Z24395" s="372">
        <v>0.0</v>
      </c>
    </row>
    <row r="24396">
      <c r="Y24396" s="372">
        <v>0.0</v>
      </c>
      <c r="Z24396" s="372">
        <v>0.0</v>
      </c>
    </row>
    <row r="24397">
      <c r="Y24397" s="372">
        <v>0.0</v>
      </c>
      <c r="Z24397" s="372">
        <v>0.0</v>
      </c>
    </row>
    <row r="24398">
      <c r="Y24398" s="372">
        <v>0.0</v>
      </c>
      <c r="Z24398" s="372">
        <v>0.0</v>
      </c>
    </row>
    <row r="24399">
      <c r="Y24399" s="372">
        <v>0.0</v>
      </c>
      <c r="Z24399" s="372">
        <v>0.0</v>
      </c>
    </row>
    <row r="24400">
      <c r="Y24400" s="372">
        <v>0.0</v>
      </c>
      <c r="Z24400" s="372">
        <v>0.0</v>
      </c>
    </row>
    <row r="24401">
      <c r="Y24401" s="372">
        <v>0.0</v>
      </c>
      <c r="Z24401" s="372">
        <v>0.0</v>
      </c>
    </row>
    <row r="24402">
      <c r="Y24402" s="372">
        <v>0.0</v>
      </c>
      <c r="Z24402" s="372">
        <v>0.0</v>
      </c>
    </row>
    <row r="24403">
      <c r="Y24403" s="372">
        <v>0.0</v>
      </c>
      <c r="Z24403" s="372">
        <v>0.0</v>
      </c>
    </row>
    <row r="24404">
      <c r="Y24404" s="372">
        <v>0.0</v>
      </c>
      <c r="Z24404" s="372">
        <v>0.0</v>
      </c>
    </row>
    <row r="24405">
      <c r="Y24405" s="372">
        <v>0.0</v>
      </c>
      <c r="Z24405" s="372">
        <v>0.0</v>
      </c>
    </row>
    <row r="24406">
      <c r="Y24406" s="372">
        <v>0.0</v>
      </c>
      <c r="Z24406" s="372">
        <v>0.0</v>
      </c>
    </row>
    <row r="24407">
      <c r="Y24407" s="372">
        <v>0.0</v>
      </c>
      <c r="Z24407" s="372">
        <v>0.0</v>
      </c>
    </row>
    <row r="24408">
      <c r="Y24408" s="372">
        <v>0.0</v>
      </c>
      <c r="Z24408" s="372">
        <v>0.0</v>
      </c>
    </row>
    <row r="24409">
      <c r="Y24409" s="372">
        <v>0.0</v>
      </c>
      <c r="Z24409" s="372">
        <v>0.0</v>
      </c>
    </row>
    <row r="24410">
      <c r="Y24410" s="372">
        <v>0.0</v>
      </c>
      <c r="Z24410" s="372">
        <v>0.0</v>
      </c>
    </row>
    <row r="24411">
      <c r="Y24411" s="372">
        <v>0.0</v>
      </c>
      <c r="Z24411" s="372">
        <v>0.0</v>
      </c>
    </row>
    <row r="24412">
      <c r="Y24412" s="372">
        <v>0.0</v>
      </c>
      <c r="Z24412" s="372">
        <v>0.0</v>
      </c>
    </row>
    <row r="24413">
      <c r="Y24413" s="372">
        <v>0.0</v>
      </c>
      <c r="Z24413" s="372">
        <v>0.0</v>
      </c>
    </row>
    <row r="24414">
      <c r="Y24414" s="372">
        <v>0.0</v>
      </c>
      <c r="Z24414" s="372">
        <v>0.0</v>
      </c>
    </row>
    <row r="24415">
      <c r="Y24415" s="372">
        <v>0.0</v>
      </c>
      <c r="Z24415" s="372">
        <v>0.0</v>
      </c>
    </row>
    <row r="24416">
      <c r="Y24416" s="372">
        <v>0.0</v>
      </c>
      <c r="Z24416" s="372">
        <v>0.0</v>
      </c>
    </row>
    <row r="24417">
      <c r="Y24417" s="372">
        <v>0.0</v>
      </c>
      <c r="Z24417" s="372">
        <v>0.0</v>
      </c>
    </row>
    <row r="24418">
      <c r="Y24418" s="372">
        <v>0.0</v>
      </c>
      <c r="Z24418" s="372">
        <v>0.0</v>
      </c>
    </row>
    <row r="24419">
      <c r="Y24419" s="372">
        <v>0.0</v>
      </c>
      <c r="Z24419" s="372">
        <v>0.0</v>
      </c>
    </row>
    <row r="24420">
      <c r="Y24420" s="372">
        <v>0.0</v>
      </c>
      <c r="Z24420" s="372">
        <v>0.0</v>
      </c>
    </row>
    <row r="24421">
      <c r="Y24421" s="372">
        <v>0.0</v>
      </c>
      <c r="Z24421" s="372">
        <v>0.0</v>
      </c>
    </row>
    <row r="24422">
      <c r="Y24422" s="372">
        <v>0.0</v>
      </c>
      <c r="Z24422" s="372">
        <v>0.0</v>
      </c>
    </row>
    <row r="24423">
      <c r="Y24423" s="372">
        <v>0.0</v>
      </c>
      <c r="Z24423" s="372">
        <v>0.0</v>
      </c>
    </row>
    <row r="24424">
      <c r="Y24424" s="372">
        <v>0.0</v>
      </c>
      <c r="Z24424" s="372">
        <v>0.0</v>
      </c>
    </row>
    <row r="24425">
      <c r="Y24425" s="372">
        <v>0.0</v>
      </c>
      <c r="Z24425" s="372">
        <v>0.0</v>
      </c>
    </row>
    <row r="24426">
      <c r="Y24426" s="372">
        <v>0.0</v>
      </c>
      <c r="Z24426" s="372">
        <v>0.0</v>
      </c>
    </row>
    <row r="24427">
      <c r="Y24427" s="372">
        <v>0.0</v>
      </c>
      <c r="Z24427" s="372">
        <v>0.0</v>
      </c>
    </row>
    <row r="24428">
      <c r="Y24428" s="372">
        <v>0.0</v>
      </c>
      <c r="Z24428" s="372">
        <v>0.0</v>
      </c>
    </row>
    <row r="24429">
      <c r="Y24429" s="372">
        <v>0.0</v>
      </c>
      <c r="Z24429" s="372">
        <v>0.0</v>
      </c>
    </row>
    <row r="24430">
      <c r="Y24430" s="372">
        <v>0.0</v>
      </c>
      <c r="Z24430" s="372">
        <v>0.0</v>
      </c>
    </row>
    <row r="24431">
      <c r="Y24431" s="372">
        <v>0.0</v>
      </c>
      <c r="Z24431" s="372">
        <v>0.0</v>
      </c>
    </row>
    <row r="24432">
      <c r="Y24432" s="372">
        <v>0.0</v>
      </c>
      <c r="Z24432" s="372">
        <v>0.0</v>
      </c>
    </row>
    <row r="24433">
      <c r="Y24433" s="372">
        <v>0.0</v>
      </c>
      <c r="Z24433" s="372">
        <v>0.0</v>
      </c>
    </row>
    <row r="24434">
      <c r="Y24434" s="372">
        <v>0.0</v>
      </c>
      <c r="Z24434" s="372">
        <v>0.0</v>
      </c>
    </row>
    <row r="24435">
      <c r="Y24435" s="372">
        <v>0.0</v>
      </c>
      <c r="Z24435" s="372">
        <v>0.0</v>
      </c>
    </row>
    <row r="24436">
      <c r="Y24436" s="372">
        <v>0.0</v>
      </c>
      <c r="Z24436" s="372">
        <v>0.0</v>
      </c>
    </row>
    <row r="24437">
      <c r="Y24437" s="372">
        <v>0.0</v>
      </c>
      <c r="Z24437" s="372">
        <v>0.0</v>
      </c>
    </row>
    <row r="24438">
      <c r="Y24438" s="372">
        <v>0.0</v>
      </c>
      <c r="Z24438" s="372">
        <v>0.0</v>
      </c>
    </row>
    <row r="24439">
      <c r="Y24439" s="372">
        <v>0.0</v>
      </c>
      <c r="Z24439" s="372">
        <v>0.0</v>
      </c>
    </row>
    <row r="24440">
      <c r="Y24440" s="372">
        <v>0.0</v>
      </c>
      <c r="Z24440" s="372">
        <v>0.0</v>
      </c>
    </row>
    <row r="24441">
      <c r="Y24441" s="372">
        <v>0.0</v>
      </c>
      <c r="Z24441" s="372">
        <v>0.0</v>
      </c>
    </row>
    <row r="24442">
      <c r="Y24442" s="372">
        <v>0.0</v>
      </c>
      <c r="Z24442" s="372">
        <v>0.0</v>
      </c>
    </row>
    <row r="24443">
      <c r="Y24443" s="372">
        <v>0.0</v>
      </c>
      <c r="Z24443" s="372">
        <v>0.0</v>
      </c>
    </row>
    <row r="24444">
      <c r="Y24444" s="372">
        <v>0.0</v>
      </c>
      <c r="Z24444" s="372">
        <v>0.0</v>
      </c>
    </row>
    <row r="24445">
      <c r="Y24445" s="372">
        <v>0.0</v>
      </c>
      <c r="Z24445" s="372">
        <v>0.0</v>
      </c>
    </row>
    <row r="24446">
      <c r="Y24446" s="372">
        <v>0.0</v>
      </c>
      <c r="Z24446" s="372">
        <v>0.0</v>
      </c>
    </row>
    <row r="24447">
      <c r="Y24447" s="372">
        <v>0.0</v>
      </c>
      <c r="Z24447" s="372">
        <v>0.0</v>
      </c>
    </row>
    <row r="24448">
      <c r="Y24448" s="372">
        <v>0.0</v>
      </c>
      <c r="Z24448" s="372">
        <v>0.0</v>
      </c>
    </row>
    <row r="24449">
      <c r="Y24449" s="372">
        <v>0.0</v>
      </c>
      <c r="Z24449" s="372">
        <v>0.0</v>
      </c>
    </row>
    <row r="24450">
      <c r="Y24450" s="372">
        <v>0.0</v>
      </c>
      <c r="Z24450" s="372">
        <v>0.0</v>
      </c>
    </row>
    <row r="24451">
      <c r="Y24451" s="372">
        <v>0.0</v>
      </c>
      <c r="Z24451" s="372">
        <v>0.0</v>
      </c>
    </row>
    <row r="24452">
      <c r="Y24452" s="372">
        <v>0.0</v>
      </c>
      <c r="Z24452" s="372">
        <v>0.0</v>
      </c>
    </row>
    <row r="24453">
      <c r="Y24453" s="372">
        <v>0.0</v>
      </c>
      <c r="Z24453" s="372">
        <v>0.0</v>
      </c>
    </row>
    <row r="24454">
      <c r="Y24454" s="372">
        <v>0.0</v>
      </c>
      <c r="Z24454" s="372">
        <v>0.0</v>
      </c>
    </row>
    <row r="24455">
      <c r="Y24455" s="372">
        <v>0.0</v>
      </c>
      <c r="Z24455" s="372">
        <v>0.0</v>
      </c>
    </row>
    <row r="24456">
      <c r="Y24456" s="372">
        <v>0.0</v>
      </c>
      <c r="Z24456" s="372">
        <v>0.0</v>
      </c>
    </row>
    <row r="24457">
      <c r="Y24457" s="372">
        <v>0.0</v>
      </c>
      <c r="Z24457" s="372">
        <v>0.0</v>
      </c>
    </row>
    <row r="24458">
      <c r="Y24458" s="372">
        <v>0.0</v>
      </c>
      <c r="Z24458" s="372">
        <v>0.0</v>
      </c>
    </row>
    <row r="24459">
      <c r="Y24459" s="372">
        <v>0.0</v>
      </c>
      <c r="Z24459" s="372">
        <v>0.0</v>
      </c>
    </row>
    <row r="24460">
      <c r="Y24460" s="372">
        <v>0.0</v>
      </c>
      <c r="Z24460" s="372">
        <v>0.0</v>
      </c>
    </row>
    <row r="24461">
      <c r="Y24461" s="372">
        <v>0.0</v>
      </c>
      <c r="Z24461" s="372">
        <v>0.0</v>
      </c>
    </row>
    <row r="24462">
      <c r="Y24462" s="372">
        <v>0.0</v>
      </c>
      <c r="Z24462" s="372">
        <v>0.0</v>
      </c>
    </row>
    <row r="24463">
      <c r="Y24463" s="372">
        <v>0.0</v>
      </c>
      <c r="Z24463" s="372">
        <v>0.0</v>
      </c>
    </row>
    <row r="24464">
      <c r="Y24464" s="372">
        <v>0.0</v>
      </c>
      <c r="Z24464" s="372">
        <v>0.0</v>
      </c>
    </row>
    <row r="24465">
      <c r="Y24465" s="372">
        <v>0.0</v>
      </c>
      <c r="Z24465" s="372">
        <v>0.0</v>
      </c>
    </row>
    <row r="24466">
      <c r="Y24466" s="372">
        <v>0.0</v>
      </c>
      <c r="Z24466" s="372">
        <v>0.0</v>
      </c>
    </row>
    <row r="24467">
      <c r="Y24467" s="372">
        <v>0.0</v>
      </c>
      <c r="Z24467" s="372">
        <v>0.0</v>
      </c>
    </row>
    <row r="24468">
      <c r="Y24468" s="372">
        <v>0.0</v>
      </c>
      <c r="Z24468" s="372">
        <v>0.0</v>
      </c>
    </row>
    <row r="24469">
      <c r="Y24469" s="372">
        <v>0.0</v>
      </c>
      <c r="Z24469" s="372">
        <v>0.0</v>
      </c>
    </row>
    <row r="24470">
      <c r="Y24470" s="372">
        <v>0.0</v>
      </c>
      <c r="Z24470" s="372">
        <v>0.0</v>
      </c>
    </row>
    <row r="24471">
      <c r="Y24471" s="372">
        <v>0.0</v>
      </c>
      <c r="Z24471" s="372">
        <v>0.0</v>
      </c>
    </row>
    <row r="24472">
      <c r="Y24472" s="372">
        <v>0.0</v>
      </c>
      <c r="Z24472" s="372">
        <v>0.0</v>
      </c>
    </row>
    <row r="24473">
      <c r="Y24473" s="372">
        <v>0.0</v>
      </c>
      <c r="Z24473" s="372">
        <v>0.0</v>
      </c>
    </row>
    <row r="24474">
      <c r="Y24474" s="372">
        <v>0.0</v>
      </c>
      <c r="Z24474" s="372">
        <v>0.0</v>
      </c>
    </row>
    <row r="24475">
      <c r="Y24475" s="372">
        <v>0.0</v>
      </c>
      <c r="Z24475" s="372">
        <v>0.0</v>
      </c>
    </row>
    <row r="24476">
      <c r="Y24476" s="372">
        <v>0.0</v>
      </c>
      <c r="Z24476" s="372">
        <v>0.0</v>
      </c>
    </row>
    <row r="24477">
      <c r="Y24477" s="372">
        <v>0.0</v>
      </c>
      <c r="Z24477" s="372">
        <v>0.0</v>
      </c>
    </row>
    <row r="24478">
      <c r="Y24478" s="372">
        <v>0.0</v>
      </c>
      <c r="Z24478" s="372">
        <v>0.0</v>
      </c>
    </row>
    <row r="24479">
      <c r="Y24479" s="372">
        <v>0.0</v>
      </c>
      <c r="Z24479" s="372">
        <v>0.0</v>
      </c>
    </row>
    <row r="24480">
      <c r="Y24480" s="372">
        <v>0.0</v>
      </c>
      <c r="Z24480" s="372">
        <v>0.0</v>
      </c>
    </row>
    <row r="24481">
      <c r="Y24481" s="372">
        <v>0.0</v>
      </c>
      <c r="Z24481" s="372">
        <v>0.0</v>
      </c>
    </row>
    <row r="24482">
      <c r="Y24482" s="372">
        <v>0.0</v>
      </c>
      <c r="Z24482" s="372">
        <v>0.0</v>
      </c>
    </row>
    <row r="24483">
      <c r="Y24483" s="372">
        <v>0.0</v>
      </c>
      <c r="Z24483" s="372">
        <v>0.0</v>
      </c>
    </row>
    <row r="24484">
      <c r="Y24484" s="372">
        <v>0.0</v>
      </c>
      <c r="Z24484" s="372">
        <v>0.0</v>
      </c>
    </row>
    <row r="24485">
      <c r="Y24485" s="372">
        <v>0.0</v>
      </c>
      <c r="Z24485" s="372">
        <v>0.0</v>
      </c>
    </row>
    <row r="24486">
      <c r="Y24486" s="372">
        <v>0.0</v>
      </c>
      <c r="Z24486" s="372">
        <v>0.0</v>
      </c>
    </row>
    <row r="24487">
      <c r="Y24487" s="372">
        <v>0.0</v>
      </c>
      <c r="Z24487" s="372">
        <v>0.0</v>
      </c>
    </row>
    <row r="24488">
      <c r="Y24488" s="372">
        <v>0.0</v>
      </c>
      <c r="Z24488" s="372">
        <v>0.0</v>
      </c>
    </row>
    <row r="24489">
      <c r="Y24489" s="372">
        <v>0.0</v>
      </c>
      <c r="Z24489" s="372">
        <v>0.0</v>
      </c>
    </row>
    <row r="24490">
      <c r="Y24490" s="372">
        <v>0.0</v>
      </c>
      <c r="Z24490" s="372">
        <v>0.0</v>
      </c>
    </row>
    <row r="24491">
      <c r="Y24491" s="372">
        <v>0.0</v>
      </c>
      <c r="Z24491" s="372">
        <v>0.0</v>
      </c>
    </row>
    <row r="24492">
      <c r="Y24492" s="372">
        <v>0.0</v>
      </c>
      <c r="Z24492" s="372">
        <v>0.0</v>
      </c>
    </row>
    <row r="24493">
      <c r="Y24493" s="372">
        <v>0.0</v>
      </c>
      <c r="Z24493" s="372">
        <v>0.0</v>
      </c>
    </row>
    <row r="24494">
      <c r="Y24494" s="372">
        <v>0.0</v>
      </c>
      <c r="Z24494" s="372">
        <v>0.0</v>
      </c>
    </row>
    <row r="24495">
      <c r="Y24495" s="372">
        <v>0.0</v>
      </c>
      <c r="Z24495" s="372">
        <v>0.0</v>
      </c>
    </row>
    <row r="24496">
      <c r="Y24496" s="372">
        <v>0.0</v>
      </c>
      <c r="Z24496" s="372">
        <v>0.0</v>
      </c>
    </row>
    <row r="24497">
      <c r="Y24497" s="372">
        <v>0.0</v>
      </c>
      <c r="Z24497" s="372">
        <v>0.0</v>
      </c>
    </row>
    <row r="24498">
      <c r="Y24498" s="372">
        <v>0.0</v>
      </c>
      <c r="Z24498" s="372">
        <v>0.0</v>
      </c>
    </row>
    <row r="24499">
      <c r="Y24499" s="372">
        <v>0.0</v>
      </c>
      <c r="Z24499" s="372">
        <v>0.0</v>
      </c>
    </row>
    <row r="24500">
      <c r="Y24500" s="372">
        <v>0.0</v>
      </c>
      <c r="Z24500" s="372">
        <v>0.0</v>
      </c>
    </row>
    <row r="24501">
      <c r="Y24501" s="372">
        <v>0.0</v>
      </c>
      <c r="Z24501" s="372">
        <v>0.0</v>
      </c>
    </row>
    <row r="24502">
      <c r="Y24502" s="372">
        <v>0.0</v>
      </c>
      <c r="Z24502" s="372">
        <v>0.0</v>
      </c>
    </row>
    <row r="24503">
      <c r="Y24503" s="372">
        <v>0.0</v>
      </c>
      <c r="Z24503" s="372">
        <v>0.0</v>
      </c>
    </row>
    <row r="24504">
      <c r="Y24504" s="372">
        <v>0.0</v>
      </c>
      <c r="Z24504" s="372">
        <v>0.0</v>
      </c>
    </row>
    <row r="24505">
      <c r="Y24505" s="372">
        <v>0.0</v>
      </c>
      <c r="Z24505" s="372">
        <v>0.0</v>
      </c>
    </row>
    <row r="24506">
      <c r="Y24506" s="372">
        <v>0.0</v>
      </c>
      <c r="Z24506" s="372">
        <v>0.0</v>
      </c>
    </row>
    <row r="24507">
      <c r="Y24507" s="372">
        <v>0.0</v>
      </c>
      <c r="Z24507" s="372">
        <v>0.0</v>
      </c>
    </row>
    <row r="24508">
      <c r="Y24508" s="372">
        <v>0.0</v>
      </c>
      <c r="Z24508" s="372">
        <v>0.0</v>
      </c>
    </row>
    <row r="24509">
      <c r="Y24509" s="372">
        <v>0.0</v>
      </c>
      <c r="Z24509" s="372">
        <v>0.0</v>
      </c>
    </row>
    <row r="24510">
      <c r="Y24510" s="372">
        <v>0.0</v>
      </c>
      <c r="Z24510" s="372">
        <v>0.0</v>
      </c>
    </row>
    <row r="24511">
      <c r="Y24511" s="372">
        <v>0.0</v>
      </c>
      <c r="Z24511" s="372">
        <v>0.0</v>
      </c>
    </row>
    <row r="24512">
      <c r="Y24512" s="372">
        <v>0.0</v>
      </c>
      <c r="Z24512" s="372">
        <v>0.0</v>
      </c>
    </row>
    <row r="24513">
      <c r="Y24513" s="372">
        <v>0.0</v>
      </c>
      <c r="Z24513" s="372">
        <v>0.0</v>
      </c>
    </row>
    <row r="24514">
      <c r="Y24514" s="372">
        <v>0.0</v>
      </c>
      <c r="Z24514" s="372">
        <v>0.0</v>
      </c>
    </row>
    <row r="24515">
      <c r="Y24515" s="372">
        <v>0.0</v>
      </c>
      <c r="Z24515" s="372">
        <v>0.0</v>
      </c>
    </row>
    <row r="24516">
      <c r="Y24516" s="372">
        <v>0.0</v>
      </c>
      <c r="Z24516" s="372">
        <v>0.0</v>
      </c>
    </row>
    <row r="24517">
      <c r="Y24517" s="372">
        <v>0.0</v>
      </c>
      <c r="Z24517" s="372">
        <v>0.0</v>
      </c>
    </row>
    <row r="24518">
      <c r="Y24518" s="372">
        <v>0.0</v>
      </c>
      <c r="Z24518" s="372">
        <v>0.0</v>
      </c>
    </row>
    <row r="24519">
      <c r="Y24519" s="372">
        <v>0.0</v>
      </c>
      <c r="Z24519" s="372">
        <v>0.0</v>
      </c>
    </row>
    <row r="24520">
      <c r="Y24520" s="372">
        <v>0.0</v>
      </c>
      <c r="Z24520" s="372">
        <v>0.0</v>
      </c>
    </row>
    <row r="24521">
      <c r="Y24521" s="372">
        <v>0.0</v>
      </c>
      <c r="Z24521" s="372">
        <v>0.0</v>
      </c>
    </row>
    <row r="24522">
      <c r="Y24522" s="372">
        <v>0.0</v>
      </c>
      <c r="Z24522" s="372">
        <v>0.0</v>
      </c>
    </row>
    <row r="24523">
      <c r="Y24523" s="372">
        <v>0.0</v>
      </c>
      <c r="Z24523" s="372">
        <v>0.0</v>
      </c>
    </row>
    <row r="24524">
      <c r="Y24524" s="372">
        <v>0.0</v>
      </c>
      <c r="Z24524" s="372">
        <v>0.0</v>
      </c>
    </row>
    <row r="24525">
      <c r="Y24525" s="372">
        <v>0.0</v>
      </c>
      <c r="Z24525" s="372">
        <v>0.0</v>
      </c>
    </row>
    <row r="24526">
      <c r="Y24526" s="372">
        <v>0.0</v>
      </c>
      <c r="Z24526" s="372">
        <v>0.0</v>
      </c>
    </row>
    <row r="24527">
      <c r="Y24527" s="372">
        <v>0.0</v>
      </c>
      <c r="Z24527" s="372">
        <v>0.0</v>
      </c>
    </row>
    <row r="24528">
      <c r="Y24528" s="372">
        <v>0.0</v>
      </c>
      <c r="Z24528" s="372">
        <v>0.0</v>
      </c>
    </row>
    <row r="24529">
      <c r="Y24529" s="372">
        <v>0.0</v>
      </c>
      <c r="Z24529" s="372">
        <v>0.0</v>
      </c>
    </row>
    <row r="24530">
      <c r="Y24530" s="372">
        <v>0.0</v>
      </c>
      <c r="Z24530" s="372">
        <v>0.0</v>
      </c>
    </row>
    <row r="24531">
      <c r="Y24531" s="372">
        <v>0.0</v>
      </c>
      <c r="Z24531" s="372">
        <v>0.0</v>
      </c>
    </row>
    <row r="24532">
      <c r="Y24532" s="372">
        <v>0.0</v>
      </c>
      <c r="Z24532" s="372">
        <v>0.0</v>
      </c>
    </row>
    <row r="24533">
      <c r="Y24533" s="372">
        <v>0.0</v>
      </c>
      <c r="Z24533" s="372">
        <v>0.0</v>
      </c>
    </row>
    <row r="24534">
      <c r="Y24534" s="372">
        <v>0.0</v>
      </c>
      <c r="Z24534" s="372">
        <v>0.0</v>
      </c>
    </row>
    <row r="24535">
      <c r="Y24535" s="372">
        <v>0.0</v>
      </c>
      <c r="Z24535" s="372">
        <v>0.0</v>
      </c>
    </row>
    <row r="24536">
      <c r="Y24536" s="372">
        <v>0.0</v>
      </c>
      <c r="Z24536" s="372">
        <v>0.0</v>
      </c>
    </row>
    <row r="24537">
      <c r="Y24537" s="372">
        <v>0.0</v>
      </c>
      <c r="Z24537" s="372">
        <v>0.0</v>
      </c>
    </row>
    <row r="24538">
      <c r="Y24538" s="372">
        <v>0.0</v>
      </c>
      <c r="Z24538" s="372">
        <v>0.0</v>
      </c>
    </row>
    <row r="24539">
      <c r="Y24539" s="372">
        <v>0.0</v>
      </c>
      <c r="Z24539" s="372">
        <v>0.0</v>
      </c>
    </row>
    <row r="24540">
      <c r="Y24540" s="372">
        <v>0.0</v>
      </c>
      <c r="Z24540" s="372">
        <v>0.0</v>
      </c>
    </row>
    <row r="24541">
      <c r="Y24541" s="372">
        <v>0.0</v>
      </c>
      <c r="Z24541" s="372">
        <v>0.0</v>
      </c>
    </row>
    <row r="24542">
      <c r="Y24542" s="372">
        <v>0.0</v>
      </c>
      <c r="Z24542" s="372">
        <v>0.0</v>
      </c>
    </row>
    <row r="24543">
      <c r="Y24543" s="372">
        <v>0.0</v>
      </c>
      <c r="Z24543" s="372">
        <v>0.0</v>
      </c>
    </row>
    <row r="24544">
      <c r="Y24544" s="372">
        <v>0.0</v>
      </c>
      <c r="Z24544" s="372">
        <v>0.0</v>
      </c>
    </row>
    <row r="24545">
      <c r="Y24545" s="372">
        <v>0.0</v>
      </c>
      <c r="Z24545" s="372">
        <v>0.0</v>
      </c>
    </row>
    <row r="24546">
      <c r="Y24546" s="372">
        <v>0.0</v>
      </c>
      <c r="Z24546" s="372">
        <v>0.0</v>
      </c>
    </row>
    <row r="24547">
      <c r="Y24547" s="372">
        <v>0.0</v>
      </c>
      <c r="Z24547" s="372">
        <v>0.0</v>
      </c>
    </row>
    <row r="24548">
      <c r="Y24548" s="372">
        <v>0.0</v>
      </c>
      <c r="Z24548" s="372">
        <v>0.0</v>
      </c>
    </row>
    <row r="24549">
      <c r="Y24549" s="372">
        <v>0.0</v>
      </c>
      <c r="Z24549" s="372">
        <v>0.0</v>
      </c>
    </row>
    <row r="24550">
      <c r="Y24550" s="372">
        <v>0.0</v>
      </c>
      <c r="Z24550" s="372">
        <v>0.0</v>
      </c>
    </row>
    <row r="24551">
      <c r="Y24551" s="372">
        <v>0.0</v>
      </c>
      <c r="Z24551" s="372">
        <v>0.0</v>
      </c>
    </row>
    <row r="24552">
      <c r="Y24552" s="372">
        <v>0.0</v>
      </c>
      <c r="Z24552" s="372">
        <v>0.0</v>
      </c>
    </row>
    <row r="24553">
      <c r="Y24553" s="372">
        <v>0.0</v>
      </c>
      <c r="Z24553" s="372">
        <v>0.0</v>
      </c>
    </row>
    <row r="24554">
      <c r="Y24554" s="372">
        <v>0.0</v>
      </c>
      <c r="Z24554" s="372">
        <v>0.0</v>
      </c>
    </row>
    <row r="24555">
      <c r="Y24555" s="372">
        <v>0.0</v>
      </c>
      <c r="Z24555" s="372">
        <v>0.0</v>
      </c>
    </row>
    <row r="24556">
      <c r="Y24556" s="372">
        <v>0.0</v>
      </c>
      <c r="Z24556" s="372">
        <v>0.0</v>
      </c>
    </row>
    <row r="24557">
      <c r="Y24557" s="372">
        <v>0.0</v>
      </c>
      <c r="Z24557" s="372">
        <v>0.0</v>
      </c>
    </row>
    <row r="24558">
      <c r="Y24558" s="372">
        <v>0.0</v>
      </c>
      <c r="Z24558" s="372">
        <v>0.0</v>
      </c>
    </row>
    <row r="24559">
      <c r="Y24559" s="372">
        <v>0.0</v>
      </c>
      <c r="Z24559" s="372">
        <v>0.0</v>
      </c>
    </row>
    <row r="24560">
      <c r="Y24560" s="372">
        <v>0.0</v>
      </c>
      <c r="Z24560" s="372">
        <v>0.0</v>
      </c>
    </row>
    <row r="24561">
      <c r="Y24561" s="372">
        <v>0.0</v>
      </c>
      <c r="Z24561" s="372">
        <v>0.0</v>
      </c>
    </row>
    <row r="24562">
      <c r="Y24562" s="372">
        <v>0.0</v>
      </c>
      <c r="Z24562" s="372">
        <v>0.0</v>
      </c>
    </row>
    <row r="24563">
      <c r="Y24563" s="372">
        <v>0.0</v>
      </c>
      <c r="Z24563" s="372">
        <v>0.0</v>
      </c>
    </row>
    <row r="24564">
      <c r="Y24564" s="372">
        <v>0.0</v>
      </c>
      <c r="Z24564" s="372">
        <v>0.0</v>
      </c>
    </row>
    <row r="24565">
      <c r="Y24565" s="372">
        <v>0.0</v>
      </c>
      <c r="Z24565" s="372">
        <v>0.0</v>
      </c>
    </row>
    <row r="24566">
      <c r="Y24566" s="372">
        <v>0.0</v>
      </c>
      <c r="Z24566" s="372">
        <v>0.0</v>
      </c>
    </row>
    <row r="24567">
      <c r="Y24567" s="372">
        <v>0.0</v>
      </c>
      <c r="Z24567" s="372">
        <v>0.0</v>
      </c>
    </row>
    <row r="24568">
      <c r="Y24568" s="372">
        <v>0.0</v>
      </c>
      <c r="Z24568" s="372">
        <v>0.0</v>
      </c>
    </row>
    <row r="24569">
      <c r="Y24569" s="372">
        <v>0.0</v>
      </c>
      <c r="Z24569" s="372">
        <v>0.0</v>
      </c>
    </row>
    <row r="24570">
      <c r="Y24570" s="372">
        <v>0.0</v>
      </c>
      <c r="Z24570" s="372">
        <v>0.0</v>
      </c>
    </row>
    <row r="24571">
      <c r="Y24571" s="372">
        <v>0.0</v>
      </c>
      <c r="Z24571" s="372">
        <v>0.0</v>
      </c>
    </row>
    <row r="24572">
      <c r="Y24572" s="372">
        <v>0.0</v>
      </c>
      <c r="Z24572" s="372">
        <v>0.0</v>
      </c>
    </row>
    <row r="24573">
      <c r="Y24573" s="372">
        <v>0.0</v>
      </c>
      <c r="Z24573" s="372">
        <v>0.0</v>
      </c>
    </row>
    <row r="24574">
      <c r="Y24574" s="372">
        <v>0.0</v>
      </c>
      <c r="Z24574" s="372">
        <v>0.0</v>
      </c>
    </row>
    <row r="24575">
      <c r="Y24575" s="372">
        <v>0.0</v>
      </c>
      <c r="Z24575" s="372">
        <v>0.0</v>
      </c>
    </row>
    <row r="24576">
      <c r="Y24576" s="372">
        <v>0.0</v>
      </c>
      <c r="Z24576" s="372">
        <v>0.0</v>
      </c>
    </row>
    <row r="24577">
      <c r="Y24577" s="372">
        <v>0.0</v>
      </c>
      <c r="Z24577" s="372">
        <v>0.0</v>
      </c>
    </row>
    <row r="24578">
      <c r="Y24578" s="372">
        <v>0.0</v>
      </c>
      <c r="Z24578" s="372">
        <v>0.0</v>
      </c>
    </row>
    <row r="24579">
      <c r="Y24579" s="372">
        <v>0.0</v>
      </c>
      <c r="Z24579" s="372">
        <v>0.0</v>
      </c>
    </row>
    <row r="24580">
      <c r="Y24580" s="372">
        <v>0.0</v>
      </c>
      <c r="Z24580" s="372">
        <v>0.0</v>
      </c>
    </row>
    <row r="24581">
      <c r="Y24581" s="372">
        <v>0.0</v>
      </c>
      <c r="Z24581" s="372">
        <v>0.0</v>
      </c>
    </row>
    <row r="24582">
      <c r="Y24582" s="372">
        <v>0.0</v>
      </c>
      <c r="Z24582" s="372">
        <v>0.0</v>
      </c>
    </row>
    <row r="24583">
      <c r="Y24583" s="372">
        <v>0.0</v>
      </c>
      <c r="Z24583" s="372">
        <v>0.0</v>
      </c>
    </row>
    <row r="24584">
      <c r="Y24584" s="372">
        <v>0.0</v>
      </c>
      <c r="Z24584" s="372">
        <v>0.0</v>
      </c>
    </row>
    <row r="24585">
      <c r="Y24585" s="372">
        <v>0.0</v>
      </c>
      <c r="Z24585" s="372">
        <v>0.0</v>
      </c>
    </row>
    <row r="24586">
      <c r="Y24586" s="372">
        <v>0.0</v>
      </c>
      <c r="Z24586" s="372">
        <v>0.0</v>
      </c>
    </row>
    <row r="24587">
      <c r="Y24587" s="372">
        <v>0.0</v>
      </c>
      <c r="Z24587" s="372">
        <v>0.0</v>
      </c>
    </row>
    <row r="24588">
      <c r="Y24588" s="372">
        <v>0.0</v>
      </c>
      <c r="Z24588" s="372">
        <v>0.0</v>
      </c>
    </row>
    <row r="24589">
      <c r="Y24589" s="372">
        <v>0.0</v>
      </c>
      <c r="Z24589" s="372">
        <v>0.0</v>
      </c>
    </row>
    <row r="24590">
      <c r="Y24590" s="372">
        <v>0.0</v>
      </c>
      <c r="Z24590" s="372">
        <v>0.0</v>
      </c>
    </row>
    <row r="24591">
      <c r="Y24591" s="372">
        <v>0.0</v>
      </c>
      <c r="Z24591" s="372">
        <v>0.0</v>
      </c>
    </row>
    <row r="24592">
      <c r="Y24592" s="372">
        <v>0.0</v>
      </c>
      <c r="Z24592" s="372">
        <v>0.0</v>
      </c>
    </row>
    <row r="24593">
      <c r="Y24593" s="372">
        <v>0.0</v>
      </c>
      <c r="Z24593" s="372">
        <v>0.0</v>
      </c>
    </row>
    <row r="24594">
      <c r="Y24594" s="372">
        <v>0.0</v>
      </c>
      <c r="Z24594" s="372">
        <v>0.0</v>
      </c>
    </row>
    <row r="24595">
      <c r="Y24595" s="372">
        <v>0.0</v>
      </c>
      <c r="Z24595" s="372">
        <v>0.0</v>
      </c>
    </row>
    <row r="24596">
      <c r="Y24596" s="372">
        <v>0.0</v>
      </c>
      <c r="Z24596" s="372">
        <v>0.0</v>
      </c>
    </row>
    <row r="24597">
      <c r="Y24597" s="372">
        <v>0.0</v>
      </c>
      <c r="Z24597" s="372">
        <v>0.0</v>
      </c>
    </row>
    <row r="24598">
      <c r="Y24598" s="372">
        <v>0.0</v>
      </c>
      <c r="Z24598" s="372">
        <v>0.0</v>
      </c>
    </row>
    <row r="24599">
      <c r="Y24599" s="372">
        <v>0.0</v>
      </c>
      <c r="Z24599" s="372">
        <v>0.0</v>
      </c>
    </row>
    <row r="24600">
      <c r="Y24600" s="372">
        <v>0.0</v>
      </c>
      <c r="Z24600" s="372">
        <v>0.0</v>
      </c>
    </row>
    <row r="24601">
      <c r="Y24601" s="372">
        <v>0.0</v>
      </c>
      <c r="Z24601" s="372">
        <v>0.0</v>
      </c>
    </row>
    <row r="24602">
      <c r="Y24602" s="372">
        <v>0.0</v>
      </c>
      <c r="Z24602" s="372">
        <v>0.0</v>
      </c>
    </row>
    <row r="24603">
      <c r="Y24603" s="372">
        <v>0.0</v>
      </c>
      <c r="Z24603" s="372">
        <v>0.0</v>
      </c>
    </row>
    <row r="24604">
      <c r="Y24604" s="372">
        <v>0.0</v>
      </c>
      <c r="Z24604" s="372">
        <v>0.0</v>
      </c>
    </row>
    <row r="24605">
      <c r="Y24605" s="372">
        <v>0.0</v>
      </c>
      <c r="Z24605" s="372">
        <v>0.0</v>
      </c>
    </row>
    <row r="24606">
      <c r="Y24606" s="372">
        <v>0.0</v>
      </c>
      <c r="Z24606" s="372">
        <v>0.0</v>
      </c>
    </row>
    <row r="24607">
      <c r="Y24607" s="372">
        <v>0.0</v>
      </c>
      <c r="Z24607" s="372">
        <v>0.0</v>
      </c>
    </row>
    <row r="24608">
      <c r="Y24608" s="372">
        <v>0.0</v>
      </c>
      <c r="Z24608" s="372">
        <v>0.0</v>
      </c>
    </row>
    <row r="24609">
      <c r="Y24609" s="372">
        <v>0.0</v>
      </c>
      <c r="Z24609" s="372">
        <v>0.0</v>
      </c>
    </row>
    <row r="24610">
      <c r="Y24610" s="372">
        <v>0.0</v>
      </c>
      <c r="Z24610" s="372">
        <v>0.0</v>
      </c>
    </row>
    <row r="24611">
      <c r="Y24611" s="372">
        <v>0.0</v>
      </c>
      <c r="Z24611" s="372">
        <v>0.0</v>
      </c>
    </row>
    <row r="24612">
      <c r="Y24612" s="372">
        <v>0.0</v>
      </c>
      <c r="Z24612" s="372">
        <v>0.0</v>
      </c>
    </row>
    <row r="24613">
      <c r="Y24613" s="372">
        <v>0.0</v>
      </c>
      <c r="Z24613" s="372">
        <v>0.0</v>
      </c>
    </row>
    <row r="24614">
      <c r="Y24614" s="372">
        <v>0.0</v>
      </c>
      <c r="Z24614" s="372">
        <v>0.0</v>
      </c>
    </row>
    <row r="24615">
      <c r="Y24615" s="372">
        <v>0.0</v>
      </c>
      <c r="Z24615" s="372">
        <v>0.0</v>
      </c>
    </row>
    <row r="24616">
      <c r="Y24616" s="372">
        <v>0.0</v>
      </c>
      <c r="Z24616" s="372">
        <v>0.0</v>
      </c>
    </row>
    <row r="24617">
      <c r="Y24617" s="372">
        <v>0.0</v>
      </c>
      <c r="Z24617" s="372">
        <v>0.0</v>
      </c>
    </row>
    <row r="24618">
      <c r="Y24618" s="372">
        <v>0.0</v>
      </c>
      <c r="Z24618" s="372">
        <v>0.0</v>
      </c>
    </row>
    <row r="24619">
      <c r="Y24619" s="372">
        <v>0.0</v>
      </c>
      <c r="Z24619" s="372">
        <v>0.0</v>
      </c>
    </row>
    <row r="24620">
      <c r="Y24620" s="372">
        <v>0.0</v>
      </c>
      <c r="Z24620" s="372">
        <v>0.0</v>
      </c>
    </row>
    <row r="24621">
      <c r="Y24621" s="372">
        <v>0.0</v>
      </c>
      <c r="Z24621" s="372">
        <v>0.0</v>
      </c>
    </row>
    <row r="24622">
      <c r="Y24622" s="372">
        <v>0.0</v>
      </c>
      <c r="Z24622" s="372">
        <v>0.0</v>
      </c>
    </row>
    <row r="24623">
      <c r="Y24623" s="372">
        <v>0.0</v>
      </c>
      <c r="Z24623" s="372">
        <v>0.0</v>
      </c>
    </row>
    <row r="24624">
      <c r="Y24624" s="372">
        <v>0.0</v>
      </c>
      <c r="Z24624" s="372">
        <v>0.0</v>
      </c>
    </row>
    <row r="24625">
      <c r="Y24625" s="372">
        <v>0.0</v>
      </c>
      <c r="Z24625" s="372">
        <v>0.0</v>
      </c>
    </row>
    <row r="24626">
      <c r="Y24626" s="372">
        <v>0.0</v>
      </c>
      <c r="Z24626" s="372">
        <v>0.0</v>
      </c>
    </row>
    <row r="24627">
      <c r="Y24627" s="372">
        <v>0.0</v>
      </c>
      <c r="Z24627" s="372">
        <v>0.0</v>
      </c>
    </row>
    <row r="24628">
      <c r="Y24628" s="372">
        <v>0.0</v>
      </c>
      <c r="Z24628" s="372">
        <v>0.0</v>
      </c>
    </row>
    <row r="24629">
      <c r="Y24629" s="372">
        <v>0.0</v>
      </c>
      <c r="Z24629" s="372">
        <v>0.0</v>
      </c>
    </row>
    <row r="24630">
      <c r="Y24630" s="372">
        <v>0.0</v>
      </c>
      <c r="Z24630" s="372">
        <v>0.0</v>
      </c>
    </row>
    <row r="24631">
      <c r="Y24631" s="372">
        <v>0.0</v>
      </c>
      <c r="Z24631" s="372">
        <v>0.0</v>
      </c>
    </row>
    <row r="24632">
      <c r="Y24632" s="372">
        <v>0.0</v>
      </c>
      <c r="Z24632" s="372">
        <v>0.0</v>
      </c>
    </row>
    <row r="24633">
      <c r="Y24633" s="372">
        <v>0.0</v>
      </c>
      <c r="Z24633" s="372">
        <v>0.0</v>
      </c>
    </row>
    <row r="24634">
      <c r="Y24634" s="372">
        <v>0.0</v>
      </c>
      <c r="Z24634" s="372">
        <v>0.0</v>
      </c>
    </row>
    <row r="24635">
      <c r="Y24635" s="372">
        <v>0.0</v>
      </c>
      <c r="Z24635" s="372">
        <v>0.0</v>
      </c>
    </row>
    <row r="24636">
      <c r="Y24636" s="372">
        <v>0.0</v>
      </c>
      <c r="Z24636" s="372">
        <v>0.0</v>
      </c>
    </row>
    <row r="24637">
      <c r="Y24637" s="372">
        <v>0.0</v>
      </c>
      <c r="Z24637" s="372">
        <v>0.0</v>
      </c>
    </row>
    <row r="24638">
      <c r="Y24638" s="372">
        <v>0.0</v>
      </c>
      <c r="Z24638" s="372">
        <v>0.0</v>
      </c>
    </row>
    <row r="24639">
      <c r="Y24639" s="372">
        <v>0.0</v>
      </c>
      <c r="Z24639" s="372">
        <v>0.0</v>
      </c>
    </row>
    <row r="24640">
      <c r="Y24640" s="372">
        <v>0.0</v>
      </c>
      <c r="Z24640" s="372">
        <v>0.0</v>
      </c>
    </row>
    <row r="24641">
      <c r="Y24641" s="372">
        <v>0.0</v>
      </c>
      <c r="Z24641" s="372">
        <v>0.0</v>
      </c>
    </row>
    <row r="24642">
      <c r="Y24642" s="372">
        <v>0.0</v>
      </c>
      <c r="Z24642" s="372">
        <v>0.0</v>
      </c>
    </row>
    <row r="24643">
      <c r="Y24643" s="372">
        <v>0.0</v>
      </c>
      <c r="Z24643" s="372">
        <v>0.0</v>
      </c>
    </row>
    <row r="24644">
      <c r="Y24644" s="372">
        <v>0.0</v>
      </c>
      <c r="Z24644" s="372">
        <v>0.0</v>
      </c>
    </row>
    <row r="24645">
      <c r="Y24645" s="372">
        <v>0.0</v>
      </c>
      <c r="Z24645" s="372">
        <v>0.0</v>
      </c>
    </row>
    <row r="24646">
      <c r="Y24646" s="372">
        <v>0.0</v>
      </c>
      <c r="Z24646" s="372">
        <v>0.0</v>
      </c>
    </row>
    <row r="24647">
      <c r="Y24647" s="372">
        <v>0.0</v>
      </c>
      <c r="Z24647" s="372">
        <v>0.0</v>
      </c>
    </row>
    <row r="24648">
      <c r="Y24648" s="372">
        <v>0.0</v>
      </c>
      <c r="Z24648" s="372">
        <v>0.0</v>
      </c>
    </row>
    <row r="24649">
      <c r="Y24649" s="372">
        <v>0.0</v>
      </c>
      <c r="Z24649" s="372">
        <v>0.0</v>
      </c>
    </row>
    <row r="24650">
      <c r="Y24650" s="372">
        <v>0.0</v>
      </c>
      <c r="Z24650" s="372">
        <v>0.0</v>
      </c>
    </row>
    <row r="24651">
      <c r="Y24651" s="372">
        <v>0.0</v>
      </c>
      <c r="Z24651" s="372">
        <v>0.0</v>
      </c>
    </row>
    <row r="24652">
      <c r="Y24652" s="372">
        <v>0.0</v>
      </c>
      <c r="Z24652" s="372">
        <v>0.0</v>
      </c>
    </row>
    <row r="24653">
      <c r="Y24653" s="372">
        <v>0.0</v>
      </c>
      <c r="Z24653" s="372">
        <v>0.0</v>
      </c>
    </row>
    <row r="24654">
      <c r="Y24654" s="372">
        <v>0.0</v>
      </c>
      <c r="Z24654" s="372">
        <v>0.0</v>
      </c>
    </row>
    <row r="24655">
      <c r="Y24655" s="372">
        <v>0.0</v>
      </c>
      <c r="Z24655" s="372">
        <v>0.0</v>
      </c>
    </row>
    <row r="24656">
      <c r="Y24656" s="372">
        <v>0.0</v>
      </c>
      <c r="Z24656" s="372">
        <v>0.0</v>
      </c>
    </row>
    <row r="24657">
      <c r="Y24657" s="372">
        <v>0.0</v>
      </c>
      <c r="Z24657" s="372">
        <v>0.0</v>
      </c>
    </row>
    <row r="24658">
      <c r="Y24658" s="372">
        <v>0.0</v>
      </c>
      <c r="Z24658" s="372">
        <v>0.0</v>
      </c>
    </row>
    <row r="24659">
      <c r="Y24659" s="372">
        <v>0.0</v>
      </c>
      <c r="Z24659" s="372">
        <v>0.0</v>
      </c>
    </row>
    <row r="24660">
      <c r="Y24660" s="372">
        <v>0.0</v>
      </c>
      <c r="Z24660" s="372">
        <v>0.0</v>
      </c>
    </row>
    <row r="24661">
      <c r="Y24661" s="372">
        <v>0.0</v>
      </c>
      <c r="Z24661" s="372">
        <v>0.0</v>
      </c>
    </row>
    <row r="24662">
      <c r="Y24662" s="372">
        <v>0.0</v>
      </c>
      <c r="Z24662" s="372">
        <v>0.0</v>
      </c>
    </row>
    <row r="24663">
      <c r="Y24663" s="372">
        <v>0.0</v>
      </c>
      <c r="Z24663" s="372">
        <v>0.0</v>
      </c>
    </row>
    <row r="24664">
      <c r="Y24664" s="372">
        <v>0.0</v>
      </c>
      <c r="Z24664" s="372">
        <v>0.0</v>
      </c>
    </row>
    <row r="24665">
      <c r="Y24665" s="372">
        <v>0.0</v>
      </c>
      <c r="Z24665" s="372">
        <v>0.0</v>
      </c>
    </row>
    <row r="24666">
      <c r="Y24666" s="372">
        <v>0.0</v>
      </c>
      <c r="Z24666" s="372">
        <v>0.0</v>
      </c>
    </row>
    <row r="24667">
      <c r="Y24667" s="372">
        <v>0.0</v>
      </c>
      <c r="Z24667" s="372">
        <v>0.0</v>
      </c>
    </row>
    <row r="24668">
      <c r="Y24668" s="372">
        <v>0.0</v>
      </c>
      <c r="Z24668" s="372">
        <v>0.0</v>
      </c>
    </row>
    <row r="24669">
      <c r="Y24669" s="372">
        <v>0.0</v>
      </c>
      <c r="Z24669" s="372">
        <v>0.0</v>
      </c>
    </row>
    <row r="24670">
      <c r="Y24670" s="372">
        <v>0.0</v>
      </c>
      <c r="Z24670" s="372">
        <v>0.0</v>
      </c>
    </row>
    <row r="24671">
      <c r="Y24671" s="372">
        <v>0.0</v>
      </c>
      <c r="Z24671" s="372">
        <v>0.0</v>
      </c>
    </row>
    <row r="24672">
      <c r="Y24672" s="372">
        <v>0.0</v>
      </c>
      <c r="Z24672" s="372">
        <v>0.0</v>
      </c>
    </row>
    <row r="24673">
      <c r="Y24673" s="372">
        <v>0.0</v>
      </c>
      <c r="Z24673" s="372">
        <v>0.0</v>
      </c>
    </row>
    <row r="24674">
      <c r="Y24674" s="372">
        <v>0.0</v>
      </c>
      <c r="Z24674" s="372">
        <v>0.0</v>
      </c>
    </row>
    <row r="24675">
      <c r="Y24675" s="372">
        <v>0.0</v>
      </c>
      <c r="Z24675" s="372">
        <v>0.0</v>
      </c>
    </row>
    <row r="24676">
      <c r="Y24676" s="372">
        <v>0.0</v>
      </c>
      <c r="Z24676" s="372">
        <v>0.0</v>
      </c>
    </row>
    <row r="24677">
      <c r="Y24677" s="372">
        <v>0.0</v>
      </c>
      <c r="Z24677" s="372">
        <v>0.0</v>
      </c>
    </row>
    <row r="24678">
      <c r="Y24678" s="372">
        <v>0.0</v>
      </c>
      <c r="Z24678" s="372">
        <v>0.0</v>
      </c>
    </row>
    <row r="24679">
      <c r="Y24679" s="372">
        <v>0.0</v>
      </c>
      <c r="Z24679" s="372">
        <v>0.0</v>
      </c>
    </row>
    <row r="24680">
      <c r="Y24680" s="372">
        <v>0.0</v>
      </c>
      <c r="Z24680" s="372">
        <v>0.0</v>
      </c>
    </row>
    <row r="24681">
      <c r="Y24681" s="372">
        <v>0.0</v>
      </c>
      <c r="Z24681" s="372">
        <v>0.0</v>
      </c>
    </row>
    <row r="24682">
      <c r="Y24682" s="372">
        <v>0.0</v>
      </c>
      <c r="Z24682" s="372">
        <v>0.0</v>
      </c>
    </row>
    <row r="24683">
      <c r="Y24683" s="372">
        <v>0.0</v>
      </c>
      <c r="Z24683" s="372">
        <v>0.0</v>
      </c>
    </row>
    <row r="24684">
      <c r="Y24684" s="372">
        <v>0.0</v>
      </c>
      <c r="Z24684" s="372">
        <v>0.0</v>
      </c>
    </row>
    <row r="24685">
      <c r="Y24685" s="372">
        <v>0.0</v>
      </c>
      <c r="Z24685" s="372">
        <v>0.0</v>
      </c>
    </row>
    <row r="24686">
      <c r="Y24686" s="372">
        <v>0.0</v>
      </c>
      <c r="Z24686" s="372">
        <v>0.0</v>
      </c>
    </row>
    <row r="24687">
      <c r="Y24687" s="372">
        <v>0.0</v>
      </c>
      <c r="Z24687" s="372">
        <v>0.0</v>
      </c>
    </row>
    <row r="24688">
      <c r="Y24688" s="372">
        <v>0.0</v>
      </c>
      <c r="Z24688" s="372">
        <v>0.0</v>
      </c>
    </row>
    <row r="24689">
      <c r="Y24689" s="372">
        <v>0.0</v>
      </c>
      <c r="Z24689" s="372">
        <v>0.0</v>
      </c>
    </row>
    <row r="24690">
      <c r="Y24690" s="372">
        <v>0.0</v>
      </c>
      <c r="Z24690" s="372">
        <v>0.0</v>
      </c>
    </row>
    <row r="24691">
      <c r="Y24691" s="372">
        <v>0.0</v>
      </c>
      <c r="Z24691" s="372">
        <v>0.0</v>
      </c>
    </row>
    <row r="24692">
      <c r="Y24692" s="372">
        <v>0.0</v>
      </c>
      <c r="Z24692" s="372">
        <v>0.0</v>
      </c>
    </row>
    <row r="24693">
      <c r="Y24693" s="372">
        <v>0.0</v>
      </c>
      <c r="Z24693" s="372">
        <v>0.0</v>
      </c>
    </row>
    <row r="24694">
      <c r="Y24694" s="372">
        <v>0.0</v>
      </c>
      <c r="Z24694" s="372">
        <v>0.0</v>
      </c>
    </row>
    <row r="24695">
      <c r="Y24695" s="372">
        <v>0.0</v>
      </c>
      <c r="Z24695" s="372">
        <v>0.0</v>
      </c>
    </row>
    <row r="24696">
      <c r="Y24696" s="372">
        <v>0.0</v>
      </c>
      <c r="Z24696" s="372">
        <v>0.0</v>
      </c>
    </row>
    <row r="24697">
      <c r="Y24697" s="372">
        <v>0.0</v>
      </c>
      <c r="Z24697" s="372">
        <v>0.0</v>
      </c>
    </row>
    <row r="24698">
      <c r="Y24698" s="372">
        <v>0.0</v>
      </c>
      <c r="Z24698" s="372">
        <v>0.0</v>
      </c>
    </row>
    <row r="24699">
      <c r="Y24699" s="372">
        <v>0.0</v>
      </c>
      <c r="Z24699" s="372">
        <v>0.0</v>
      </c>
    </row>
    <row r="24700">
      <c r="Y24700" s="372">
        <v>0.0</v>
      </c>
      <c r="Z24700" s="372">
        <v>0.0</v>
      </c>
    </row>
    <row r="24701">
      <c r="Y24701" s="372">
        <v>0.0</v>
      </c>
      <c r="Z24701" s="372">
        <v>0.0</v>
      </c>
    </row>
    <row r="24702">
      <c r="Y24702" s="372">
        <v>0.0</v>
      </c>
      <c r="Z24702" s="372">
        <v>0.0</v>
      </c>
    </row>
    <row r="24703">
      <c r="Y24703" s="372">
        <v>0.0</v>
      </c>
      <c r="Z24703" s="372">
        <v>0.0</v>
      </c>
    </row>
    <row r="24704">
      <c r="Y24704" s="372">
        <v>0.0</v>
      </c>
      <c r="Z24704" s="372">
        <v>0.0</v>
      </c>
    </row>
    <row r="24705">
      <c r="Y24705" s="372">
        <v>0.0</v>
      </c>
      <c r="Z24705" s="372">
        <v>0.0</v>
      </c>
    </row>
    <row r="24706">
      <c r="Y24706" s="372">
        <v>0.0</v>
      </c>
      <c r="Z24706" s="372">
        <v>0.0</v>
      </c>
    </row>
    <row r="24707">
      <c r="Y24707" s="372">
        <v>0.0</v>
      </c>
      <c r="Z24707" s="372">
        <v>0.0</v>
      </c>
    </row>
    <row r="24708">
      <c r="Y24708" s="372">
        <v>0.0</v>
      </c>
      <c r="Z24708" s="372">
        <v>0.0</v>
      </c>
    </row>
    <row r="24709">
      <c r="Y24709" s="372">
        <v>0.0</v>
      </c>
      <c r="Z24709" s="372">
        <v>0.0</v>
      </c>
    </row>
    <row r="24710">
      <c r="Y24710" s="372">
        <v>0.0</v>
      </c>
      <c r="Z24710" s="372">
        <v>0.0</v>
      </c>
    </row>
    <row r="24711">
      <c r="Y24711" s="372">
        <v>0.0</v>
      </c>
      <c r="Z24711" s="372">
        <v>0.0</v>
      </c>
    </row>
    <row r="24712">
      <c r="Y24712" s="372">
        <v>0.0</v>
      </c>
      <c r="Z24712" s="372">
        <v>0.0</v>
      </c>
    </row>
    <row r="24713">
      <c r="Y24713" s="372">
        <v>0.0</v>
      </c>
      <c r="Z24713" s="372">
        <v>0.0</v>
      </c>
    </row>
    <row r="24714">
      <c r="Y24714" s="372">
        <v>0.0</v>
      </c>
      <c r="Z24714" s="372">
        <v>0.0</v>
      </c>
    </row>
    <row r="24715">
      <c r="Y24715" s="372">
        <v>0.0</v>
      </c>
      <c r="Z24715" s="372">
        <v>0.0</v>
      </c>
    </row>
    <row r="24716">
      <c r="Y24716" s="372">
        <v>0.0</v>
      </c>
      <c r="Z24716" s="372">
        <v>0.0</v>
      </c>
    </row>
    <row r="24717">
      <c r="Y24717" s="372">
        <v>0.0</v>
      </c>
      <c r="Z24717" s="372">
        <v>0.0</v>
      </c>
    </row>
    <row r="24718">
      <c r="Y24718" s="372">
        <v>0.0</v>
      </c>
      <c r="Z24718" s="372">
        <v>0.0</v>
      </c>
    </row>
    <row r="24719">
      <c r="Y24719" s="372">
        <v>0.0</v>
      </c>
      <c r="Z24719" s="372">
        <v>0.0</v>
      </c>
    </row>
    <row r="24720">
      <c r="Y24720" s="372">
        <v>0.0</v>
      </c>
      <c r="Z24720" s="372">
        <v>0.0</v>
      </c>
    </row>
    <row r="24721">
      <c r="Y24721" s="372">
        <v>0.0</v>
      </c>
      <c r="Z24721" s="372">
        <v>0.0</v>
      </c>
    </row>
    <row r="24722">
      <c r="Y24722" s="372">
        <v>0.0</v>
      </c>
      <c r="Z24722" s="372">
        <v>0.0</v>
      </c>
    </row>
    <row r="24723">
      <c r="Y24723" s="372">
        <v>0.0</v>
      </c>
      <c r="Z24723" s="372">
        <v>0.0</v>
      </c>
    </row>
    <row r="24724">
      <c r="Y24724" s="372">
        <v>0.0</v>
      </c>
      <c r="Z24724" s="372">
        <v>0.0</v>
      </c>
    </row>
    <row r="24725">
      <c r="Y24725" s="372">
        <v>0.0</v>
      </c>
      <c r="Z24725" s="372">
        <v>0.0</v>
      </c>
    </row>
    <row r="24726">
      <c r="Y24726" s="372">
        <v>0.0</v>
      </c>
      <c r="Z24726" s="372">
        <v>0.0</v>
      </c>
    </row>
    <row r="24727">
      <c r="Y24727" s="372">
        <v>0.0</v>
      </c>
      <c r="Z24727" s="372">
        <v>0.0</v>
      </c>
    </row>
    <row r="24728">
      <c r="Y24728" s="372">
        <v>0.0</v>
      </c>
      <c r="Z24728" s="372">
        <v>0.0</v>
      </c>
    </row>
    <row r="24729">
      <c r="Y24729" s="372">
        <v>0.0</v>
      </c>
      <c r="Z24729" s="372">
        <v>0.0</v>
      </c>
    </row>
    <row r="24730">
      <c r="Y24730" s="372">
        <v>0.0</v>
      </c>
      <c r="Z24730" s="372">
        <v>0.0</v>
      </c>
    </row>
    <row r="24731">
      <c r="Y24731" s="372">
        <v>0.0</v>
      </c>
      <c r="Z24731" s="372">
        <v>0.0</v>
      </c>
    </row>
    <row r="24732">
      <c r="Y24732" s="372">
        <v>0.0</v>
      </c>
      <c r="Z24732" s="372">
        <v>0.0</v>
      </c>
    </row>
    <row r="24733">
      <c r="Y24733" s="372">
        <v>0.0</v>
      </c>
      <c r="Z24733" s="372">
        <v>0.0</v>
      </c>
    </row>
    <row r="24734">
      <c r="Y24734" s="372">
        <v>0.0</v>
      </c>
      <c r="Z24734" s="372">
        <v>0.0</v>
      </c>
    </row>
    <row r="24735">
      <c r="Y24735" s="372">
        <v>0.0</v>
      </c>
      <c r="Z24735" s="372">
        <v>0.0</v>
      </c>
    </row>
    <row r="24736">
      <c r="Y24736" s="372">
        <v>0.0</v>
      </c>
      <c r="Z24736" s="372">
        <v>0.0</v>
      </c>
    </row>
    <row r="24737">
      <c r="Y24737" s="372">
        <v>0.0</v>
      </c>
      <c r="Z24737" s="372">
        <v>0.0</v>
      </c>
    </row>
    <row r="24738">
      <c r="Y24738" s="372">
        <v>0.0</v>
      </c>
      <c r="Z24738" s="372">
        <v>0.0</v>
      </c>
    </row>
    <row r="24739">
      <c r="Y24739" s="372">
        <v>0.0</v>
      </c>
      <c r="Z24739" s="372">
        <v>0.0</v>
      </c>
    </row>
    <row r="24740">
      <c r="Y24740" s="372">
        <v>0.0</v>
      </c>
      <c r="Z24740" s="372">
        <v>0.0</v>
      </c>
    </row>
    <row r="24741">
      <c r="Y24741" s="372">
        <v>0.0</v>
      </c>
      <c r="Z24741" s="372">
        <v>0.0</v>
      </c>
    </row>
    <row r="24742">
      <c r="Y24742" s="372">
        <v>0.0</v>
      </c>
      <c r="Z24742" s="372">
        <v>0.0</v>
      </c>
    </row>
    <row r="24743">
      <c r="Y24743" s="372">
        <v>0.0</v>
      </c>
      <c r="Z24743" s="372">
        <v>0.0</v>
      </c>
    </row>
    <row r="24744">
      <c r="Y24744" s="372">
        <v>0.0</v>
      </c>
      <c r="Z24744" s="372">
        <v>0.0</v>
      </c>
    </row>
    <row r="24745">
      <c r="Y24745" s="372">
        <v>0.0</v>
      </c>
      <c r="Z24745" s="372">
        <v>0.0</v>
      </c>
    </row>
    <row r="24746">
      <c r="Y24746" s="372">
        <v>0.0</v>
      </c>
      <c r="Z24746" s="372">
        <v>0.0</v>
      </c>
    </row>
    <row r="24747">
      <c r="Y24747" s="372">
        <v>0.0</v>
      </c>
      <c r="Z24747" s="372">
        <v>0.0</v>
      </c>
    </row>
    <row r="24748">
      <c r="Y24748" s="372">
        <v>0.0</v>
      </c>
      <c r="Z24748" s="372">
        <v>0.0</v>
      </c>
    </row>
    <row r="24749">
      <c r="Y24749" s="372">
        <v>0.0</v>
      </c>
      <c r="Z24749" s="372">
        <v>0.0</v>
      </c>
    </row>
    <row r="24750">
      <c r="Y24750" s="372">
        <v>0.0</v>
      </c>
      <c r="Z24750" s="372">
        <v>0.0</v>
      </c>
    </row>
    <row r="24751">
      <c r="Y24751" s="372">
        <v>0.0</v>
      </c>
      <c r="Z24751" s="372">
        <v>0.0</v>
      </c>
    </row>
    <row r="24752">
      <c r="Y24752" s="372">
        <v>0.0</v>
      </c>
      <c r="Z24752" s="372">
        <v>0.0</v>
      </c>
    </row>
    <row r="24753">
      <c r="Y24753" s="372">
        <v>0.0</v>
      </c>
      <c r="Z24753" s="372">
        <v>0.0</v>
      </c>
    </row>
    <row r="24754">
      <c r="Y24754" s="372">
        <v>0.0</v>
      </c>
      <c r="Z24754" s="372">
        <v>0.0</v>
      </c>
    </row>
    <row r="24755">
      <c r="Y24755" s="372">
        <v>0.0</v>
      </c>
      <c r="Z24755" s="372">
        <v>0.0</v>
      </c>
    </row>
    <row r="24756">
      <c r="Y24756" s="372">
        <v>0.0</v>
      </c>
      <c r="Z24756" s="372">
        <v>0.0</v>
      </c>
    </row>
    <row r="24757">
      <c r="Y24757" s="372">
        <v>0.0</v>
      </c>
      <c r="Z24757" s="372">
        <v>0.0</v>
      </c>
    </row>
    <row r="24758">
      <c r="Y24758" s="372">
        <v>0.0</v>
      </c>
      <c r="Z24758" s="372">
        <v>0.0</v>
      </c>
    </row>
    <row r="24759">
      <c r="Y24759" s="372">
        <v>0.0</v>
      </c>
      <c r="Z24759" s="372">
        <v>0.0</v>
      </c>
    </row>
    <row r="24760">
      <c r="Y24760" s="372">
        <v>0.0</v>
      </c>
      <c r="Z24760" s="372">
        <v>0.0</v>
      </c>
    </row>
    <row r="24761">
      <c r="Y24761" s="372">
        <v>0.0</v>
      </c>
      <c r="Z24761" s="372">
        <v>0.0</v>
      </c>
    </row>
    <row r="24762">
      <c r="Y24762" s="372">
        <v>0.0</v>
      </c>
      <c r="Z24762" s="372">
        <v>0.0</v>
      </c>
    </row>
    <row r="24763">
      <c r="Y24763" s="372">
        <v>0.0</v>
      </c>
      <c r="Z24763" s="372">
        <v>0.0</v>
      </c>
    </row>
    <row r="24764">
      <c r="Y24764" s="372">
        <v>0.0</v>
      </c>
      <c r="Z24764" s="372">
        <v>0.0</v>
      </c>
    </row>
    <row r="24765">
      <c r="Y24765" s="372">
        <v>0.0</v>
      </c>
      <c r="Z24765" s="372">
        <v>0.0</v>
      </c>
    </row>
    <row r="24766">
      <c r="Y24766" s="372">
        <v>0.0</v>
      </c>
      <c r="Z24766" s="372">
        <v>0.0</v>
      </c>
    </row>
    <row r="24767">
      <c r="Y24767" s="372">
        <v>0.0</v>
      </c>
      <c r="Z24767" s="372">
        <v>0.0</v>
      </c>
    </row>
    <row r="24768">
      <c r="Y24768" s="372">
        <v>0.0</v>
      </c>
      <c r="Z24768" s="372">
        <v>0.0</v>
      </c>
    </row>
    <row r="24769">
      <c r="Y24769" s="372">
        <v>0.0</v>
      </c>
      <c r="Z24769" s="372">
        <v>0.0</v>
      </c>
    </row>
    <row r="24770">
      <c r="Y24770" s="372">
        <v>0.0</v>
      </c>
      <c r="Z24770" s="372">
        <v>0.0</v>
      </c>
    </row>
    <row r="24771">
      <c r="Y24771" s="372">
        <v>0.0</v>
      </c>
      <c r="Z24771" s="372">
        <v>0.0</v>
      </c>
    </row>
    <row r="24772">
      <c r="Y24772" s="372">
        <v>0.0</v>
      </c>
      <c r="Z24772" s="372">
        <v>0.0</v>
      </c>
    </row>
    <row r="24773">
      <c r="Y24773" s="372">
        <v>0.0</v>
      </c>
      <c r="Z24773" s="372">
        <v>0.0</v>
      </c>
    </row>
    <row r="24774">
      <c r="Y24774" s="372">
        <v>0.0</v>
      </c>
      <c r="Z24774" s="372">
        <v>0.0</v>
      </c>
    </row>
    <row r="24775">
      <c r="Y24775" s="372">
        <v>0.0</v>
      </c>
      <c r="Z24775" s="372">
        <v>0.0</v>
      </c>
    </row>
    <row r="24776">
      <c r="Y24776" s="372">
        <v>0.0</v>
      </c>
      <c r="Z24776" s="372">
        <v>0.0</v>
      </c>
    </row>
    <row r="24777">
      <c r="Y24777" s="372">
        <v>0.0</v>
      </c>
      <c r="Z24777" s="372">
        <v>0.0</v>
      </c>
    </row>
    <row r="24778">
      <c r="Y24778" s="372">
        <v>0.0</v>
      </c>
      <c r="Z24778" s="372">
        <v>0.0</v>
      </c>
    </row>
    <row r="24779">
      <c r="Y24779" s="372">
        <v>0.0</v>
      </c>
      <c r="Z24779" s="372">
        <v>0.0</v>
      </c>
    </row>
    <row r="24780">
      <c r="Y24780" s="372">
        <v>0.0</v>
      </c>
      <c r="Z24780" s="372">
        <v>0.0</v>
      </c>
    </row>
    <row r="24781">
      <c r="Y24781" s="372">
        <v>0.0</v>
      </c>
      <c r="Z24781" s="372">
        <v>0.0</v>
      </c>
    </row>
    <row r="24782">
      <c r="Y24782" s="372">
        <v>0.0</v>
      </c>
      <c r="Z24782" s="372">
        <v>0.0</v>
      </c>
    </row>
    <row r="24783">
      <c r="Y24783" s="372">
        <v>0.0</v>
      </c>
      <c r="Z24783" s="372">
        <v>0.0</v>
      </c>
    </row>
    <row r="24784">
      <c r="Y24784" s="372">
        <v>0.0</v>
      </c>
      <c r="Z24784" s="372">
        <v>0.0</v>
      </c>
    </row>
    <row r="24785">
      <c r="Y24785" s="372">
        <v>0.0</v>
      </c>
      <c r="Z24785" s="372">
        <v>0.0</v>
      </c>
    </row>
    <row r="24786">
      <c r="Y24786" s="372">
        <v>0.0</v>
      </c>
      <c r="Z24786" s="372">
        <v>0.0</v>
      </c>
    </row>
    <row r="24787">
      <c r="Y24787" s="372">
        <v>0.0</v>
      </c>
      <c r="Z24787" s="372">
        <v>0.0</v>
      </c>
    </row>
    <row r="24788">
      <c r="Y24788" s="372">
        <v>0.0</v>
      </c>
      <c r="Z24788" s="372">
        <v>0.0</v>
      </c>
    </row>
    <row r="24789">
      <c r="Y24789" s="372">
        <v>0.0</v>
      </c>
      <c r="Z24789" s="372">
        <v>0.0</v>
      </c>
    </row>
    <row r="24790">
      <c r="Y24790" s="372">
        <v>0.0</v>
      </c>
      <c r="Z24790" s="372">
        <v>0.0</v>
      </c>
    </row>
    <row r="24791">
      <c r="Y24791" s="372">
        <v>0.0</v>
      </c>
      <c r="Z24791" s="372">
        <v>0.0</v>
      </c>
    </row>
    <row r="24792">
      <c r="Y24792" s="372">
        <v>0.0</v>
      </c>
      <c r="Z24792" s="372">
        <v>0.0</v>
      </c>
    </row>
    <row r="24793">
      <c r="Y24793" s="372">
        <v>0.0</v>
      </c>
      <c r="Z24793" s="372">
        <v>0.0</v>
      </c>
    </row>
    <row r="24794">
      <c r="Y24794" s="372">
        <v>0.0</v>
      </c>
      <c r="Z24794" s="372">
        <v>0.0</v>
      </c>
    </row>
    <row r="24795">
      <c r="Y24795" s="372">
        <v>0.0</v>
      </c>
      <c r="Z24795" s="372">
        <v>0.0</v>
      </c>
    </row>
    <row r="24796">
      <c r="Y24796" s="372">
        <v>0.0</v>
      </c>
      <c r="Z24796" s="372">
        <v>0.0</v>
      </c>
    </row>
    <row r="24797">
      <c r="Y24797" s="372">
        <v>0.0</v>
      </c>
      <c r="Z24797" s="372">
        <v>0.0</v>
      </c>
    </row>
    <row r="24798">
      <c r="Y24798" s="372">
        <v>0.0</v>
      </c>
      <c r="Z24798" s="372">
        <v>0.0</v>
      </c>
    </row>
    <row r="24799">
      <c r="Y24799" s="372">
        <v>0.0</v>
      </c>
      <c r="Z24799" s="372">
        <v>0.0</v>
      </c>
    </row>
    <row r="24800">
      <c r="Y24800" s="372">
        <v>0.0</v>
      </c>
      <c r="Z24800" s="372">
        <v>0.0</v>
      </c>
    </row>
    <row r="24801">
      <c r="Y24801" s="372">
        <v>0.0</v>
      </c>
      <c r="Z24801" s="372">
        <v>0.0</v>
      </c>
    </row>
    <row r="24802">
      <c r="Y24802" s="372">
        <v>0.0</v>
      </c>
      <c r="Z24802" s="372">
        <v>0.0</v>
      </c>
    </row>
    <row r="24803">
      <c r="Y24803" s="372">
        <v>0.0</v>
      </c>
      <c r="Z24803" s="372">
        <v>0.0</v>
      </c>
    </row>
    <row r="24804">
      <c r="Y24804" s="372">
        <v>0.0</v>
      </c>
      <c r="Z24804" s="372">
        <v>0.0</v>
      </c>
    </row>
    <row r="24805">
      <c r="Y24805" s="372">
        <v>0.0</v>
      </c>
      <c r="Z24805" s="372">
        <v>0.0</v>
      </c>
    </row>
    <row r="24806">
      <c r="Y24806" s="372">
        <v>0.0</v>
      </c>
      <c r="Z24806" s="372">
        <v>0.0</v>
      </c>
    </row>
    <row r="24807">
      <c r="Y24807" s="372">
        <v>0.0</v>
      </c>
      <c r="Z24807" s="372">
        <v>0.0</v>
      </c>
    </row>
    <row r="24808">
      <c r="Y24808" s="372">
        <v>0.0</v>
      </c>
      <c r="Z24808" s="372">
        <v>0.0</v>
      </c>
    </row>
    <row r="24809">
      <c r="Y24809" s="372">
        <v>0.0</v>
      </c>
      <c r="Z24809" s="372">
        <v>0.0</v>
      </c>
    </row>
    <row r="24810">
      <c r="Y24810" s="372">
        <v>0.0</v>
      </c>
      <c r="Z24810" s="372">
        <v>0.0</v>
      </c>
    </row>
    <row r="24811">
      <c r="Y24811" s="372">
        <v>0.0</v>
      </c>
      <c r="Z24811" s="372">
        <v>0.0</v>
      </c>
    </row>
    <row r="24812">
      <c r="Y24812" s="372">
        <v>0.0</v>
      </c>
      <c r="Z24812" s="372">
        <v>0.0</v>
      </c>
    </row>
    <row r="24813">
      <c r="Y24813" s="372">
        <v>0.0</v>
      </c>
      <c r="Z24813" s="372">
        <v>0.0</v>
      </c>
    </row>
    <row r="24814">
      <c r="Y24814" s="372">
        <v>0.0</v>
      </c>
      <c r="Z24814" s="372">
        <v>0.0</v>
      </c>
    </row>
    <row r="24815">
      <c r="Y24815" s="372">
        <v>0.0</v>
      </c>
      <c r="Z24815" s="372">
        <v>0.0</v>
      </c>
    </row>
    <row r="24816">
      <c r="Y24816" s="372">
        <v>0.0</v>
      </c>
      <c r="Z24816" s="372">
        <v>0.0</v>
      </c>
    </row>
    <row r="24817">
      <c r="Y24817" s="372">
        <v>0.0</v>
      </c>
      <c r="Z24817" s="372">
        <v>0.0</v>
      </c>
    </row>
    <row r="24818">
      <c r="Y24818" s="372">
        <v>0.0</v>
      </c>
      <c r="Z24818" s="372">
        <v>0.0</v>
      </c>
    </row>
    <row r="24819">
      <c r="Y24819" s="372">
        <v>0.0</v>
      </c>
      <c r="Z24819" s="372">
        <v>0.0</v>
      </c>
    </row>
    <row r="24820">
      <c r="Y24820" s="372">
        <v>0.0</v>
      </c>
      <c r="Z24820" s="372">
        <v>0.0</v>
      </c>
    </row>
    <row r="24821">
      <c r="Y24821" s="372">
        <v>0.0</v>
      </c>
      <c r="Z24821" s="372">
        <v>0.0</v>
      </c>
    </row>
    <row r="24822">
      <c r="Y24822" s="372">
        <v>0.0</v>
      </c>
      <c r="Z24822" s="372">
        <v>0.0</v>
      </c>
    </row>
    <row r="24823">
      <c r="Y24823" s="372">
        <v>0.0</v>
      </c>
      <c r="Z24823" s="372">
        <v>0.0</v>
      </c>
    </row>
    <row r="24824">
      <c r="Y24824" s="372">
        <v>0.0</v>
      </c>
      <c r="Z24824" s="372">
        <v>0.0</v>
      </c>
    </row>
    <row r="24825">
      <c r="Y24825" s="372">
        <v>0.0</v>
      </c>
      <c r="Z24825" s="372">
        <v>0.0</v>
      </c>
    </row>
    <row r="24826">
      <c r="Y24826" s="372">
        <v>0.0</v>
      </c>
      <c r="Z24826" s="372">
        <v>0.0</v>
      </c>
    </row>
    <row r="24827">
      <c r="Y24827" s="372">
        <v>0.0</v>
      </c>
      <c r="Z24827" s="372">
        <v>0.0</v>
      </c>
    </row>
    <row r="24828">
      <c r="Y24828" s="372">
        <v>0.0</v>
      </c>
      <c r="Z24828" s="372">
        <v>0.0</v>
      </c>
    </row>
    <row r="24829">
      <c r="Y24829" s="372">
        <v>0.0</v>
      </c>
      <c r="Z24829" s="372">
        <v>0.0</v>
      </c>
    </row>
    <row r="24830">
      <c r="Y24830" s="372">
        <v>0.0</v>
      </c>
      <c r="Z24830" s="372">
        <v>0.0</v>
      </c>
    </row>
    <row r="24831">
      <c r="Y24831" s="372">
        <v>0.0</v>
      </c>
      <c r="Z24831" s="372">
        <v>0.0</v>
      </c>
    </row>
    <row r="24832">
      <c r="Y24832" s="372">
        <v>0.0</v>
      </c>
      <c r="Z24832" s="372">
        <v>0.0</v>
      </c>
    </row>
    <row r="24833">
      <c r="Y24833" s="372">
        <v>0.0</v>
      </c>
      <c r="Z24833" s="372">
        <v>0.0</v>
      </c>
    </row>
    <row r="24834">
      <c r="Y24834" s="372">
        <v>0.0</v>
      </c>
      <c r="Z24834" s="372">
        <v>0.0</v>
      </c>
    </row>
    <row r="24835">
      <c r="Y24835" s="372">
        <v>0.0</v>
      </c>
      <c r="Z24835" s="372">
        <v>0.0</v>
      </c>
    </row>
    <row r="24836">
      <c r="Y24836" s="372">
        <v>0.0</v>
      </c>
      <c r="Z24836" s="372">
        <v>0.0</v>
      </c>
    </row>
    <row r="24837">
      <c r="Y24837" s="372">
        <v>0.0</v>
      </c>
      <c r="Z24837" s="372">
        <v>0.0</v>
      </c>
    </row>
    <row r="24838">
      <c r="Y24838" s="372">
        <v>0.0</v>
      </c>
      <c r="Z24838" s="372">
        <v>0.0</v>
      </c>
    </row>
    <row r="24839">
      <c r="Y24839" s="372">
        <v>0.0</v>
      </c>
      <c r="Z24839" s="372">
        <v>0.0</v>
      </c>
    </row>
    <row r="24840">
      <c r="Y24840" s="372">
        <v>0.0</v>
      </c>
      <c r="Z24840" s="372">
        <v>0.0</v>
      </c>
    </row>
    <row r="24841">
      <c r="Y24841" s="372">
        <v>0.0</v>
      </c>
      <c r="Z24841" s="372">
        <v>0.0</v>
      </c>
    </row>
    <row r="24842">
      <c r="Y24842" s="372">
        <v>0.0</v>
      </c>
      <c r="Z24842" s="372">
        <v>0.0</v>
      </c>
    </row>
    <row r="24843">
      <c r="Y24843" s="372">
        <v>0.0</v>
      </c>
      <c r="Z24843" s="372">
        <v>0.0</v>
      </c>
    </row>
    <row r="24844">
      <c r="Y24844" s="372">
        <v>0.0</v>
      </c>
      <c r="Z24844" s="372">
        <v>0.0</v>
      </c>
    </row>
    <row r="24845">
      <c r="Y24845" s="372">
        <v>0.0</v>
      </c>
      <c r="Z24845" s="372">
        <v>0.0</v>
      </c>
    </row>
    <row r="24846">
      <c r="Y24846" s="372">
        <v>0.0</v>
      </c>
      <c r="Z24846" s="372">
        <v>0.0</v>
      </c>
    </row>
    <row r="24847">
      <c r="Y24847" s="372">
        <v>0.0</v>
      </c>
      <c r="Z24847" s="372">
        <v>0.0</v>
      </c>
    </row>
    <row r="24848">
      <c r="Y24848" s="372">
        <v>0.0</v>
      </c>
      <c r="Z24848" s="372">
        <v>0.0</v>
      </c>
    </row>
    <row r="24849">
      <c r="Y24849" s="372">
        <v>0.0</v>
      </c>
      <c r="Z24849" s="372">
        <v>0.0</v>
      </c>
    </row>
    <row r="24850">
      <c r="Y24850" s="372">
        <v>0.0</v>
      </c>
      <c r="Z24850" s="372">
        <v>0.0</v>
      </c>
    </row>
    <row r="24851">
      <c r="Y24851" s="372">
        <v>0.0</v>
      </c>
      <c r="Z24851" s="372">
        <v>0.0</v>
      </c>
    </row>
    <row r="24852">
      <c r="Y24852" s="372">
        <v>0.0</v>
      </c>
      <c r="Z24852" s="372">
        <v>0.0</v>
      </c>
    </row>
    <row r="24853">
      <c r="Y24853" s="372">
        <v>0.0</v>
      </c>
      <c r="Z24853" s="372">
        <v>0.0</v>
      </c>
    </row>
    <row r="24854">
      <c r="Y24854" s="372">
        <v>0.0</v>
      </c>
      <c r="Z24854" s="372">
        <v>0.0</v>
      </c>
    </row>
    <row r="24855">
      <c r="Y24855" s="372">
        <v>0.0</v>
      </c>
      <c r="Z24855" s="372">
        <v>0.0</v>
      </c>
    </row>
    <row r="24856">
      <c r="Y24856" s="372">
        <v>0.0</v>
      </c>
      <c r="Z24856" s="372">
        <v>0.0</v>
      </c>
    </row>
    <row r="24857">
      <c r="Y24857" s="372">
        <v>0.0</v>
      </c>
      <c r="Z24857" s="372">
        <v>0.0</v>
      </c>
    </row>
    <row r="24858">
      <c r="Y24858" s="372">
        <v>0.0</v>
      </c>
      <c r="Z24858" s="372">
        <v>0.0</v>
      </c>
    </row>
    <row r="24859">
      <c r="Y24859" s="372">
        <v>0.0</v>
      </c>
      <c r="Z24859" s="372">
        <v>0.0</v>
      </c>
    </row>
    <row r="24860">
      <c r="Y24860" s="372">
        <v>0.0</v>
      </c>
      <c r="Z24860" s="372">
        <v>0.0</v>
      </c>
    </row>
    <row r="24861">
      <c r="Y24861" s="372">
        <v>0.0</v>
      </c>
      <c r="Z24861" s="372">
        <v>0.0</v>
      </c>
    </row>
    <row r="24862">
      <c r="Y24862" s="372">
        <v>0.0</v>
      </c>
      <c r="Z24862" s="372">
        <v>0.0</v>
      </c>
    </row>
    <row r="24863">
      <c r="Y24863" s="372">
        <v>0.0</v>
      </c>
      <c r="Z24863" s="372">
        <v>0.0</v>
      </c>
    </row>
    <row r="24864">
      <c r="Y24864" s="372">
        <v>0.0</v>
      </c>
      <c r="Z24864" s="372">
        <v>0.0</v>
      </c>
    </row>
    <row r="24865">
      <c r="Y24865" s="372">
        <v>0.0</v>
      </c>
      <c r="Z24865" s="372">
        <v>0.0</v>
      </c>
    </row>
    <row r="24866">
      <c r="Y24866" s="372">
        <v>0.0</v>
      </c>
      <c r="Z24866" s="372">
        <v>0.0</v>
      </c>
    </row>
    <row r="24867">
      <c r="Y24867" s="372">
        <v>0.0</v>
      </c>
      <c r="Z24867" s="372">
        <v>0.0</v>
      </c>
    </row>
    <row r="24868">
      <c r="Y24868" s="372">
        <v>0.0</v>
      </c>
      <c r="Z24868" s="372">
        <v>0.0</v>
      </c>
    </row>
    <row r="24869">
      <c r="Y24869" s="372">
        <v>0.0</v>
      </c>
      <c r="Z24869" s="372">
        <v>0.0</v>
      </c>
    </row>
    <row r="24870">
      <c r="Y24870" s="372">
        <v>0.0</v>
      </c>
      <c r="Z24870" s="372">
        <v>0.0</v>
      </c>
    </row>
    <row r="24871">
      <c r="Y24871" s="372">
        <v>0.0</v>
      </c>
      <c r="Z24871" s="372">
        <v>0.0</v>
      </c>
    </row>
    <row r="24872">
      <c r="Y24872" s="372">
        <v>0.0</v>
      </c>
      <c r="Z24872" s="372">
        <v>0.0</v>
      </c>
    </row>
    <row r="24873">
      <c r="Y24873" s="372">
        <v>0.0</v>
      </c>
      <c r="Z24873" s="372">
        <v>0.0</v>
      </c>
    </row>
    <row r="24874">
      <c r="Y24874" s="372">
        <v>0.0</v>
      </c>
      <c r="Z24874" s="372">
        <v>0.0</v>
      </c>
    </row>
    <row r="24875">
      <c r="Y24875" s="372">
        <v>0.0</v>
      </c>
      <c r="Z24875" s="372">
        <v>0.0</v>
      </c>
    </row>
    <row r="24876">
      <c r="Y24876" s="372">
        <v>0.0</v>
      </c>
      <c r="Z24876" s="372">
        <v>0.0</v>
      </c>
    </row>
    <row r="24877">
      <c r="Y24877" s="372">
        <v>0.0</v>
      </c>
      <c r="Z24877" s="372">
        <v>0.0</v>
      </c>
    </row>
    <row r="24878">
      <c r="Y24878" s="372">
        <v>0.0</v>
      </c>
      <c r="Z24878" s="372">
        <v>0.0</v>
      </c>
    </row>
    <row r="24879">
      <c r="Y24879" s="372">
        <v>0.0</v>
      </c>
      <c r="Z24879" s="372">
        <v>0.0</v>
      </c>
    </row>
    <row r="24880">
      <c r="Y24880" s="372">
        <v>0.0</v>
      </c>
      <c r="Z24880" s="372">
        <v>0.0</v>
      </c>
    </row>
    <row r="24881">
      <c r="Y24881" s="372">
        <v>0.0</v>
      </c>
      <c r="Z24881" s="372">
        <v>0.0</v>
      </c>
    </row>
    <row r="24882">
      <c r="Y24882" s="372">
        <v>0.0</v>
      </c>
      <c r="Z24882" s="372">
        <v>0.0</v>
      </c>
    </row>
    <row r="24883">
      <c r="Y24883" s="372">
        <v>0.0</v>
      </c>
      <c r="Z24883" s="372">
        <v>0.0</v>
      </c>
    </row>
    <row r="24884">
      <c r="Y24884" s="372">
        <v>0.0</v>
      </c>
      <c r="Z24884" s="372">
        <v>0.0</v>
      </c>
    </row>
    <row r="24885">
      <c r="Y24885" s="372">
        <v>0.0</v>
      </c>
      <c r="Z24885" s="372">
        <v>0.0</v>
      </c>
    </row>
    <row r="24886">
      <c r="Y24886" s="372">
        <v>0.0</v>
      </c>
      <c r="Z24886" s="372">
        <v>0.0</v>
      </c>
    </row>
    <row r="24887">
      <c r="Y24887" s="372">
        <v>0.0</v>
      </c>
      <c r="Z24887" s="372">
        <v>0.0</v>
      </c>
    </row>
    <row r="24888">
      <c r="Y24888" s="372">
        <v>0.0</v>
      </c>
      <c r="Z24888" s="372">
        <v>0.0</v>
      </c>
    </row>
    <row r="24889">
      <c r="Y24889" s="372">
        <v>0.0</v>
      </c>
      <c r="Z24889" s="372">
        <v>0.0</v>
      </c>
    </row>
    <row r="24890">
      <c r="Y24890" s="372">
        <v>0.0</v>
      </c>
      <c r="Z24890" s="372">
        <v>0.0</v>
      </c>
    </row>
    <row r="24891">
      <c r="Y24891" s="372">
        <v>0.0</v>
      </c>
      <c r="Z24891" s="372">
        <v>0.0</v>
      </c>
    </row>
    <row r="24892">
      <c r="Y24892" s="372">
        <v>0.0</v>
      </c>
      <c r="Z24892" s="372">
        <v>0.0</v>
      </c>
    </row>
    <row r="24893">
      <c r="Y24893" s="372">
        <v>0.0</v>
      </c>
      <c r="Z24893" s="372">
        <v>0.0</v>
      </c>
    </row>
    <row r="24894">
      <c r="Y24894" s="372">
        <v>0.0</v>
      </c>
      <c r="Z24894" s="372">
        <v>0.0</v>
      </c>
    </row>
    <row r="24895">
      <c r="Y24895" s="372">
        <v>0.0</v>
      </c>
      <c r="Z24895" s="372">
        <v>0.0</v>
      </c>
    </row>
    <row r="24896">
      <c r="Y24896" s="372">
        <v>0.0</v>
      </c>
      <c r="Z24896" s="372">
        <v>0.0</v>
      </c>
    </row>
    <row r="24897">
      <c r="Y24897" s="372">
        <v>0.0</v>
      </c>
      <c r="Z24897" s="372">
        <v>0.0</v>
      </c>
    </row>
    <row r="24898">
      <c r="Y24898" s="372">
        <v>0.0</v>
      </c>
      <c r="Z24898" s="372">
        <v>0.0</v>
      </c>
    </row>
    <row r="24899">
      <c r="Y24899" s="372">
        <v>0.0</v>
      </c>
      <c r="Z24899" s="372">
        <v>0.0</v>
      </c>
    </row>
    <row r="24900">
      <c r="Y24900" s="372">
        <v>0.0</v>
      </c>
      <c r="Z24900" s="372">
        <v>0.0</v>
      </c>
    </row>
    <row r="24901">
      <c r="Y24901" s="372">
        <v>0.0</v>
      </c>
      <c r="Z24901" s="372">
        <v>0.0</v>
      </c>
    </row>
    <row r="24902">
      <c r="Y24902" s="372">
        <v>0.0</v>
      </c>
      <c r="Z24902" s="372">
        <v>0.0</v>
      </c>
    </row>
    <row r="24903">
      <c r="Y24903" s="372">
        <v>0.0</v>
      </c>
      <c r="Z24903" s="372">
        <v>0.0</v>
      </c>
    </row>
    <row r="24904">
      <c r="Y24904" s="372">
        <v>0.0</v>
      </c>
      <c r="Z24904" s="372">
        <v>0.0</v>
      </c>
    </row>
    <row r="24905">
      <c r="Y24905" s="372">
        <v>0.0</v>
      </c>
      <c r="Z24905" s="372">
        <v>0.0</v>
      </c>
    </row>
    <row r="24906">
      <c r="Y24906" s="372">
        <v>0.0</v>
      </c>
      <c r="Z24906" s="372">
        <v>0.0</v>
      </c>
    </row>
    <row r="24907">
      <c r="Y24907" s="372">
        <v>0.0</v>
      </c>
      <c r="Z24907" s="372">
        <v>0.0</v>
      </c>
    </row>
    <row r="24908">
      <c r="Y24908" s="372">
        <v>0.0</v>
      </c>
      <c r="Z24908" s="372">
        <v>0.0</v>
      </c>
    </row>
    <row r="24909">
      <c r="Y24909" s="372">
        <v>0.0</v>
      </c>
      <c r="Z24909" s="372">
        <v>0.0</v>
      </c>
    </row>
    <row r="24910">
      <c r="Y24910" s="372">
        <v>0.0</v>
      </c>
      <c r="Z24910" s="372">
        <v>0.0</v>
      </c>
    </row>
    <row r="24911">
      <c r="Y24911" s="372">
        <v>0.0</v>
      </c>
      <c r="Z24911" s="372">
        <v>0.0</v>
      </c>
    </row>
    <row r="24912">
      <c r="Y24912" s="372">
        <v>0.0</v>
      </c>
      <c r="Z24912" s="372">
        <v>0.0</v>
      </c>
    </row>
    <row r="24913">
      <c r="Y24913" s="372">
        <v>0.0</v>
      </c>
      <c r="Z24913" s="372">
        <v>0.0</v>
      </c>
    </row>
    <row r="24914">
      <c r="Y24914" s="372">
        <v>0.0</v>
      </c>
      <c r="Z24914" s="372">
        <v>0.0</v>
      </c>
    </row>
    <row r="24915">
      <c r="Y24915" s="372">
        <v>0.0</v>
      </c>
      <c r="Z24915" s="372">
        <v>0.0</v>
      </c>
    </row>
    <row r="24916">
      <c r="Y24916" s="372">
        <v>0.0</v>
      </c>
      <c r="Z24916" s="372">
        <v>0.0</v>
      </c>
    </row>
    <row r="24917">
      <c r="Y24917" s="372">
        <v>0.0</v>
      </c>
      <c r="Z24917" s="372">
        <v>0.0</v>
      </c>
    </row>
    <row r="24918">
      <c r="Y24918" s="372">
        <v>0.0</v>
      </c>
      <c r="Z24918" s="372">
        <v>0.0</v>
      </c>
    </row>
    <row r="24919">
      <c r="Y24919" s="372">
        <v>0.0</v>
      </c>
      <c r="Z24919" s="372">
        <v>0.0</v>
      </c>
    </row>
    <row r="24920">
      <c r="Y24920" s="372">
        <v>0.0</v>
      </c>
      <c r="Z24920" s="372">
        <v>0.0</v>
      </c>
    </row>
    <row r="24921">
      <c r="Y24921" s="372">
        <v>0.0</v>
      </c>
      <c r="Z24921" s="372">
        <v>0.0</v>
      </c>
    </row>
    <row r="24922">
      <c r="Y24922" s="372">
        <v>0.0</v>
      </c>
      <c r="Z24922" s="372">
        <v>0.0</v>
      </c>
    </row>
    <row r="24923">
      <c r="Y24923" s="372">
        <v>0.0</v>
      </c>
      <c r="Z24923" s="372">
        <v>0.0</v>
      </c>
    </row>
    <row r="24924">
      <c r="Y24924" s="372">
        <v>0.0</v>
      </c>
      <c r="Z24924" s="372">
        <v>0.0</v>
      </c>
    </row>
    <row r="24925">
      <c r="Y24925" s="372">
        <v>0.0</v>
      </c>
      <c r="Z24925" s="372">
        <v>0.0</v>
      </c>
    </row>
    <row r="24926">
      <c r="Y24926" s="372">
        <v>0.0</v>
      </c>
      <c r="Z24926" s="372">
        <v>0.0</v>
      </c>
    </row>
    <row r="24927">
      <c r="Y24927" s="372">
        <v>0.0</v>
      </c>
      <c r="Z24927" s="372">
        <v>0.0</v>
      </c>
    </row>
    <row r="24928">
      <c r="Y24928" s="372">
        <v>0.0</v>
      </c>
      <c r="Z24928" s="372">
        <v>0.0</v>
      </c>
    </row>
    <row r="24929">
      <c r="Y24929" s="372">
        <v>0.0</v>
      </c>
      <c r="Z24929" s="372">
        <v>0.0</v>
      </c>
    </row>
    <row r="24930">
      <c r="Y24930" s="372">
        <v>0.0</v>
      </c>
      <c r="Z24930" s="372">
        <v>0.0</v>
      </c>
    </row>
    <row r="24931">
      <c r="Y24931" s="372">
        <v>0.0</v>
      </c>
      <c r="Z24931" s="372">
        <v>0.0</v>
      </c>
    </row>
    <row r="24932">
      <c r="Y24932" s="372">
        <v>0.0</v>
      </c>
      <c r="Z24932" s="372">
        <v>0.0</v>
      </c>
    </row>
    <row r="24933">
      <c r="Y24933" s="372">
        <v>0.0</v>
      </c>
      <c r="Z24933" s="372">
        <v>0.0</v>
      </c>
    </row>
    <row r="24934">
      <c r="Y24934" s="372">
        <v>0.0</v>
      </c>
      <c r="Z24934" s="372">
        <v>0.0</v>
      </c>
    </row>
    <row r="24935">
      <c r="Y24935" s="372">
        <v>0.0</v>
      </c>
      <c r="Z24935" s="372">
        <v>0.0</v>
      </c>
    </row>
    <row r="24936">
      <c r="Y24936" s="372">
        <v>0.0</v>
      </c>
      <c r="Z24936" s="372">
        <v>0.0</v>
      </c>
    </row>
    <row r="24937">
      <c r="Y24937" s="372">
        <v>0.0</v>
      </c>
      <c r="Z24937" s="372">
        <v>0.0</v>
      </c>
    </row>
    <row r="24938">
      <c r="Y24938" s="372">
        <v>0.0</v>
      </c>
      <c r="Z24938" s="372">
        <v>0.0</v>
      </c>
    </row>
    <row r="24939">
      <c r="Y24939" s="372">
        <v>0.0</v>
      </c>
      <c r="Z24939" s="372">
        <v>0.0</v>
      </c>
    </row>
    <row r="24940">
      <c r="Y24940" s="372">
        <v>0.0</v>
      </c>
      <c r="Z24940" s="372">
        <v>0.0</v>
      </c>
    </row>
    <row r="24941">
      <c r="Y24941" s="372">
        <v>0.0</v>
      </c>
      <c r="Z24941" s="372">
        <v>0.0</v>
      </c>
    </row>
    <row r="24942">
      <c r="Y24942" s="372">
        <v>0.0</v>
      </c>
      <c r="Z24942" s="372">
        <v>0.0</v>
      </c>
    </row>
    <row r="24943">
      <c r="Y24943" s="372">
        <v>0.0</v>
      </c>
      <c r="Z24943" s="372">
        <v>0.0</v>
      </c>
    </row>
    <row r="24944">
      <c r="Y24944" s="372">
        <v>0.0</v>
      </c>
      <c r="Z24944" s="372">
        <v>0.0</v>
      </c>
    </row>
    <row r="24945">
      <c r="Y24945" s="372">
        <v>0.0</v>
      </c>
      <c r="Z24945" s="372">
        <v>0.0</v>
      </c>
    </row>
    <row r="24946">
      <c r="Y24946" s="372">
        <v>0.0</v>
      </c>
      <c r="Z24946" s="372">
        <v>0.0</v>
      </c>
    </row>
    <row r="24947">
      <c r="Y24947" s="372">
        <v>0.0</v>
      </c>
      <c r="Z24947" s="372">
        <v>0.0</v>
      </c>
    </row>
    <row r="24948">
      <c r="Y24948" s="372">
        <v>0.0</v>
      </c>
      <c r="Z24948" s="372">
        <v>0.0</v>
      </c>
    </row>
    <row r="24949">
      <c r="Y24949" s="372">
        <v>0.0</v>
      </c>
      <c r="Z24949" s="372">
        <v>0.0</v>
      </c>
    </row>
    <row r="24950">
      <c r="Y24950" s="372">
        <v>0.0</v>
      </c>
      <c r="Z24950" s="372">
        <v>0.0</v>
      </c>
    </row>
    <row r="24951">
      <c r="Y24951" s="372">
        <v>0.0</v>
      </c>
      <c r="Z24951" s="372">
        <v>0.0</v>
      </c>
    </row>
    <row r="24952">
      <c r="Y24952" s="372">
        <v>0.0</v>
      </c>
      <c r="Z24952" s="372">
        <v>0.0</v>
      </c>
    </row>
    <row r="24953">
      <c r="Y24953" s="372">
        <v>0.0</v>
      </c>
      <c r="Z24953" s="372">
        <v>0.0</v>
      </c>
    </row>
    <row r="24954">
      <c r="Y24954" s="372">
        <v>0.0</v>
      </c>
      <c r="Z24954" s="372">
        <v>0.0</v>
      </c>
    </row>
    <row r="24955">
      <c r="Y24955" s="372">
        <v>0.0</v>
      </c>
      <c r="Z24955" s="372">
        <v>0.0</v>
      </c>
    </row>
    <row r="24956">
      <c r="Y24956" s="372">
        <v>0.0</v>
      </c>
      <c r="Z24956" s="372">
        <v>0.0</v>
      </c>
    </row>
    <row r="24957">
      <c r="Y24957" s="372">
        <v>0.0</v>
      </c>
      <c r="Z24957" s="372">
        <v>0.0</v>
      </c>
    </row>
    <row r="24958">
      <c r="Y24958" s="372">
        <v>0.0</v>
      </c>
      <c r="Z24958" s="372">
        <v>0.0</v>
      </c>
    </row>
    <row r="24959">
      <c r="Y24959" s="372">
        <v>0.0</v>
      </c>
      <c r="Z24959" s="372">
        <v>0.0</v>
      </c>
    </row>
    <row r="24960">
      <c r="Y24960" s="372">
        <v>0.0</v>
      </c>
      <c r="Z24960" s="372">
        <v>0.0</v>
      </c>
    </row>
    <row r="24961">
      <c r="Y24961" s="372">
        <v>0.0</v>
      </c>
      <c r="Z24961" s="372">
        <v>0.0</v>
      </c>
    </row>
    <row r="24962">
      <c r="Y24962" s="372">
        <v>0.0</v>
      </c>
      <c r="Z24962" s="372">
        <v>0.0</v>
      </c>
    </row>
    <row r="24963">
      <c r="Y24963" s="372">
        <v>0.0</v>
      </c>
      <c r="Z24963" s="372">
        <v>0.0</v>
      </c>
    </row>
    <row r="24964">
      <c r="Y24964" s="372">
        <v>0.0</v>
      </c>
      <c r="Z24964" s="372">
        <v>0.0</v>
      </c>
    </row>
    <row r="24965">
      <c r="Y24965" s="372">
        <v>0.0</v>
      </c>
      <c r="Z24965" s="372">
        <v>0.0</v>
      </c>
    </row>
    <row r="24966">
      <c r="Y24966" s="372">
        <v>0.0</v>
      </c>
      <c r="Z24966" s="372">
        <v>0.0</v>
      </c>
    </row>
    <row r="24967">
      <c r="Y24967" s="372">
        <v>0.0</v>
      </c>
      <c r="Z24967" s="372">
        <v>0.0</v>
      </c>
    </row>
    <row r="24968">
      <c r="Y24968" s="372">
        <v>0.0</v>
      </c>
      <c r="Z24968" s="372">
        <v>0.0</v>
      </c>
    </row>
    <row r="24969">
      <c r="Y24969" s="372">
        <v>0.0</v>
      </c>
      <c r="Z24969" s="372">
        <v>0.0</v>
      </c>
    </row>
    <row r="24970">
      <c r="Y24970" s="372">
        <v>0.0</v>
      </c>
      <c r="Z24970" s="372">
        <v>0.0</v>
      </c>
    </row>
    <row r="24971">
      <c r="Y24971" s="372">
        <v>0.0</v>
      </c>
      <c r="Z24971" s="372">
        <v>0.0</v>
      </c>
    </row>
    <row r="24972">
      <c r="Y24972" s="372">
        <v>0.0</v>
      </c>
      <c r="Z24972" s="372">
        <v>0.0</v>
      </c>
    </row>
    <row r="24973">
      <c r="Y24973" s="372">
        <v>0.0</v>
      </c>
      <c r="Z24973" s="372">
        <v>0.0</v>
      </c>
    </row>
    <row r="24974">
      <c r="Y24974" s="372">
        <v>0.0</v>
      </c>
      <c r="Z24974" s="372">
        <v>0.0</v>
      </c>
    </row>
    <row r="24975">
      <c r="Y24975" s="372">
        <v>0.0</v>
      </c>
      <c r="Z24975" s="372">
        <v>0.0</v>
      </c>
    </row>
    <row r="24976">
      <c r="Y24976" s="372">
        <v>0.0</v>
      </c>
      <c r="Z24976" s="372">
        <v>0.0</v>
      </c>
    </row>
    <row r="24977">
      <c r="Y24977" s="372">
        <v>0.0</v>
      </c>
      <c r="Z24977" s="372">
        <v>0.0</v>
      </c>
    </row>
    <row r="24978">
      <c r="Y24978" s="372">
        <v>0.0</v>
      </c>
      <c r="Z24978" s="372">
        <v>0.0</v>
      </c>
    </row>
    <row r="24979">
      <c r="Y24979" s="372">
        <v>0.0</v>
      </c>
      <c r="Z24979" s="372">
        <v>0.0</v>
      </c>
    </row>
    <row r="24980">
      <c r="Y24980" s="372">
        <v>0.0</v>
      </c>
      <c r="Z24980" s="372">
        <v>0.0</v>
      </c>
    </row>
    <row r="24981">
      <c r="Y24981" s="372">
        <v>0.0</v>
      </c>
      <c r="Z24981" s="372">
        <v>0.0</v>
      </c>
    </row>
    <row r="24982">
      <c r="Y24982" s="372">
        <v>0.0</v>
      </c>
      <c r="Z24982" s="372">
        <v>0.0</v>
      </c>
    </row>
    <row r="24983">
      <c r="Y24983" s="372">
        <v>0.0</v>
      </c>
      <c r="Z24983" s="372">
        <v>0.0</v>
      </c>
    </row>
    <row r="24984">
      <c r="Y24984" s="372">
        <v>0.0</v>
      </c>
      <c r="Z24984" s="372">
        <v>0.0</v>
      </c>
    </row>
    <row r="24985">
      <c r="Y24985" s="372">
        <v>0.0</v>
      </c>
      <c r="Z24985" s="372">
        <v>0.0</v>
      </c>
    </row>
    <row r="24986">
      <c r="Y24986" s="372">
        <v>0.0</v>
      </c>
      <c r="Z24986" s="372">
        <v>0.0</v>
      </c>
    </row>
    <row r="24987">
      <c r="Y24987" s="372">
        <v>0.0</v>
      </c>
      <c r="Z24987" s="372">
        <v>0.0</v>
      </c>
    </row>
    <row r="24988">
      <c r="Y24988" s="372">
        <v>0.0</v>
      </c>
      <c r="Z24988" s="372">
        <v>0.0</v>
      </c>
    </row>
    <row r="24989">
      <c r="Y24989" s="372">
        <v>0.0</v>
      </c>
      <c r="Z24989" s="372">
        <v>0.0</v>
      </c>
    </row>
    <row r="24990">
      <c r="Y24990" s="372">
        <v>0.0</v>
      </c>
      <c r="Z24990" s="372">
        <v>0.0</v>
      </c>
    </row>
    <row r="24991">
      <c r="Y24991" s="372">
        <v>0.0</v>
      </c>
      <c r="Z24991" s="372">
        <v>0.0</v>
      </c>
    </row>
    <row r="24992">
      <c r="Y24992" s="372">
        <v>0.0</v>
      </c>
      <c r="Z24992" s="372">
        <v>0.0</v>
      </c>
    </row>
    <row r="24993">
      <c r="Y24993" s="372">
        <v>0.0</v>
      </c>
      <c r="Z24993" s="372">
        <v>0.0</v>
      </c>
    </row>
    <row r="24994">
      <c r="Y24994" s="372">
        <v>0.0</v>
      </c>
      <c r="Z24994" s="372">
        <v>0.0</v>
      </c>
    </row>
    <row r="24995">
      <c r="Y24995" s="372">
        <v>0.0</v>
      </c>
      <c r="Z24995" s="372">
        <v>0.0</v>
      </c>
    </row>
    <row r="24996">
      <c r="Y24996" s="372">
        <v>0.0</v>
      </c>
      <c r="Z24996" s="372">
        <v>0.0</v>
      </c>
    </row>
    <row r="24997">
      <c r="Y24997" s="372">
        <v>0.0</v>
      </c>
      <c r="Z24997" s="372">
        <v>0.0</v>
      </c>
    </row>
    <row r="24998">
      <c r="Y24998" s="372">
        <v>0.0</v>
      </c>
      <c r="Z24998" s="372">
        <v>0.0</v>
      </c>
    </row>
    <row r="24999">
      <c r="Y24999" s="372">
        <v>0.0</v>
      </c>
      <c r="Z24999" s="372">
        <v>0.0</v>
      </c>
    </row>
    <row r="25000">
      <c r="Y25000" s="372">
        <v>0.0</v>
      </c>
      <c r="Z25000" s="372">
        <v>0.0</v>
      </c>
    </row>
    <row r="25001">
      <c r="Y25001" s="372">
        <v>0.0</v>
      </c>
      <c r="Z25001" s="372">
        <v>0.0</v>
      </c>
    </row>
    <row r="25002">
      <c r="Y25002" s="372">
        <v>0.0</v>
      </c>
      <c r="Z25002" s="372">
        <v>0.0</v>
      </c>
    </row>
    <row r="25003">
      <c r="Y25003" s="372">
        <v>0.0</v>
      </c>
      <c r="Z25003" s="372">
        <v>0.0</v>
      </c>
    </row>
    <row r="25004">
      <c r="Y25004" s="372">
        <v>0.0</v>
      </c>
      <c r="Z25004" s="372">
        <v>0.0</v>
      </c>
    </row>
    <row r="25005">
      <c r="Y25005" s="372">
        <v>0.0</v>
      </c>
      <c r="Z25005" s="372">
        <v>0.0</v>
      </c>
    </row>
    <row r="25006">
      <c r="Y25006" s="372">
        <v>0.0</v>
      </c>
      <c r="Z25006" s="372">
        <v>0.0</v>
      </c>
    </row>
    <row r="25007">
      <c r="Y25007" s="372">
        <v>0.0</v>
      </c>
      <c r="Z25007" s="372">
        <v>0.0</v>
      </c>
    </row>
    <row r="25008">
      <c r="Y25008" s="372">
        <v>0.0</v>
      </c>
      <c r="Z25008" s="372">
        <v>0.0</v>
      </c>
    </row>
    <row r="25009">
      <c r="Y25009" s="372">
        <v>0.0</v>
      </c>
      <c r="Z25009" s="372">
        <v>0.0</v>
      </c>
    </row>
    <row r="25010">
      <c r="Y25010" s="372">
        <v>0.0</v>
      </c>
      <c r="Z25010" s="372">
        <v>0.0</v>
      </c>
    </row>
    <row r="25011">
      <c r="Y25011" s="372">
        <v>0.0</v>
      </c>
      <c r="Z25011" s="372">
        <v>0.0</v>
      </c>
    </row>
    <row r="25012">
      <c r="Y25012" s="372">
        <v>0.0</v>
      </c>
      <c r="Z25012" s="372">
        <v>0.0</v>
      </c>
    </row>
    <row r="25013">
      <c r="Y25013" s="372">
        <v>0.0</v>
      </c>
      <c r="Z25013" s="372">
        <v>0.0</v>
      </c>
    </row>
    <row r="25014">
      <c r="Y25014" s="372">
        <v>0.0</v>
      </c>
      <c r="Z25014" s="372">
        <v>0.0</v>
      </c>
    </row>
    <row r="25015">
      <c r="Y25015" s="372">
        <v>0.0</v>
      </c>
      <c r="Z25015" s="372">
        <v>0.0</v>
      </c>
    </row>
    <row r="25016">
      <c r="Y25016" s="372">
        <v>0.0</v>
      </c>
      <c r="Z25016" s="372">
        <v>0.0</v>
      </c>
    </row>
    <row r="25017">
      <c r="Y25017" s="372">
        <v>0.0</v>
      </c>
      <c r="Z25017" s="372">
        <v>0.0</v>
      </c>
    </row>
    <row r="25018">
      <c r="Y25018" s="372">
        <v>0.0</v>
      </c>
      <c r="Z25018" s="372">
        <v>0.0</v>
      </c>
    </row>
    <row r="25019">
      <c r="Y25019" s="372">
        <v>0.0</v>
      </c>
      <c r="Z25019" s="372">
        <v>0.0</v>
      </c>
    </row>
    <row r="25020">
      <c r="Y25020" s="372">
        <v>0.0</v>
      </c>
      <c r="Z25020" s="372">
        <v>0.0</v>
      </c>
    </row>
    <row r="25021">
      <c r="Y25021" s="372">
        <v>0.0</v>
      </c>
      <c r="Z25021" s="372">
        <v>0.0</v>
      </c>
    </row>
    <row r="25022">
      <c r="Y25022" s="372">
        <v>0.0</v>
      </c>
      <c r="Z25022" s="372">
        <v>0.0</v>
      </c>
    </row>
    <row r="25023">
      <c r="Y25023" s="372">
        <v>0.0</v>
      </c>
      <c r="Z25023" s="372">
        <v>0.0</v>
      </c>
    </row>
    <row r="25024">
      <c r="Y25024" s="372">
        <v>0.0</v>
      </c>
      <c r="Z25024" s="372">
        <v>0.0</v>
      </c>
    </row>
    <row r="25025">
      <c r="Y25025" s="372">
        <v>0.0</v>
      </c>
      <c r="Z25025" s="372">
        <v>0.0</v>
      </c>
    </row>
    <row r="25026">
      <c r="Y25026" s="372">
        <v>0.0</v>
      </c>
      <c r="Z25026" s="372">
        <v>0.0</v>
      </c>
    </row>
    <row r="25027">
      <c r="Y25027" s="372">
        <v>0.0</v>
      </c>
      <c r="Z25027" s="372">
        <v>0.0</v>
      </c>
    </row>
    <row r="25028">
      <c r="Y25028" s="372">
        <v>0.0</v>
      </c>
      <c r="Z25028" s="372">
        <v>0.0</v>
      </c>
    </row>
    <row r="25029">
      <c r="Y25029" s="372">
        <v>0.0</v>
      </c>
      <c r="Z25029" s="372">
        <v>0.0</v>
      </c>
    </row>
    <row r="25030">
      <c r="Y25030" s="372">
        <v>0.0</v>
      </c>
      <c r="Z25030" s="372">
        <v>0.0</v>
      </c>
    </row>
    <row r="25031">
      <c r="Y25031" s="372">
        <v>0.0</v>
      </c>
      <c r="Z25031" s="372">
        <v>0.0</v>
      </c>
    </row>
    <row r="25032">
      <c r="Y25032" s="372">
        <v>0.0</v>
      </c>
      <c r="Z25032" s="372">
        <v>0.0</v>
      </c>
    </row>
    <row r="25033">
      <c r="Y25033" s="372">
        <v>0.0</v>
      </c>
      <c r="Z25033" s="372">
        <v>0.0</v>
      </c>
    </row>
    <row r="25034">
      <c r="Y25034" s="372">
        <v>0.0</v>
      </c>
      <c r="Z25034" s="372">
        <v>0.0</v>
      </c>
    </row>
    <row r="25035">
      <c r="Y25035" s="372">
        <v>0.0</v>
      </c>
      <c r="Z25035" s="372">
        <v>0.0</v>
      </c>
    </row>
    <row r="25036">
      <c r="Y25036" s="372">
        <v>0.0</v>
      </c>
      <c r="Z25036" s="372">
        <v>0.0</v>
      </c>
    </row>
    <row r="25037">
      <c r="Y25037" s="372">
        <v>0.0</v>
      </c>
      <c r="Z25037" s="372">
        <v>0.0</v>
      </c>
    </row>
    <row r="25038">
      <c r="Y25038" s="372">
        <v>0.0</v>
      </c>
      <c r="Z25038" s="372">
        <v>0.0</v>
      </c>
    </row>
    <row r="25039">
      <c r="Y25039" s="372">
        <v>0.0</v>
      </c>
      <c r="Z25039" s="372">
        <v>0.0</v>
      </c>
    </row>
    <row r="25040">
      <c r="Y25040" s="372">
        <v>0.0</v>
      </c>
      <c r="Z25040" s="372">
        <v>0.0</v>
      </c>
    </row>
    <row r="25041">
      <c r="Y25041" s="372">
        <v>0.0</v>
      </c>
      <c r="Z25041" s="372">
        <v>0.0</v>
      </c>
    </row>
    <row r="25042">
      <c r="Y25042" s="372">
        <v>0.0</v>
      </c>
      <c r="Z25042" s="372">
        <v>0.0</v>
      </c>
    </row>
    <row r="25043">
      <c r="Y25043" s="372">
        <v>0.0</v>
      </c>
      <c r="Z25043" s="372">
        <v>0.0</v>
      </c>
    </row>
    <row r="25044">
      <c r="Y25044" s="372">
        <v>0.0</v>
      </c>
      <c r="Z25044" s="372">
        <v>0.0</v>
      </c>
    </row>
    <row r="25045">
      <c r="Y25045" s="372">
        <v>0.0</v>
      </c>
      <c r="Z25045" s="372">
        <v>0.0</v>
      </c>
    </row>
    <row r="25046">
      <c r="Y25046" s="372">
        <v>0.0</v>
      </c>
      <c r="Z25046" s="372">
        <v>0.0</v>
      </c>
    </row>
    <row r="25047">
      <c r="Y25047" s="372">
        <v>0.0</v>
      </c>
      <c r="Z25047" s="372">
        <v>0.0</v>
      </c>
    </row>
    <row r="25048">
      <c r="Y25048" s="372">
        <v>0.0</v>
      </c>
      <c r="Z25048" s="372">
        <v>0.0</v>
      </c>
    </row>
    <row r="25049">
      <c r="Y25049" s="372">
        <v>0.0</v>
      </c>
      <c r="Z25049" s="372">
        <v>0.0</v>
      </c>
    </row>
    <row r="25050">
      <c r="Y25050" s="372">
        <v>0.0</v>
      </c>
      <c r="Z25050" s="372">
        <v>0.0</v>
      </c>
    </row>
    <row r="25051">
      <c r="Y25051" s="372">
        <v>0.0</v>
      </c>
      <c r="Z25051" s="372">
        <v>0.0</v>
      </c>
    </row>
    <row r="25052">
      <c r="Y25052" s="372">
        <v>0.0</v>
      </c>
      <c r="Z25052" s="372">
        <v>0.0</v>
      </c>
    </row>
    <row r="25053">
      <c r="Y25053" s="372">
        <v>0.0</v>
      </c>
      <c r="Z25053" s="372">
        <v>0.0</v>
      </c>
    </row>
    <row r="25054">
      <c r="Y25054" s="372">
        <v>0.0</v>
      </c>
      <c r="Z25054" s="372">
        <v>0.0</v>
      </c>
    </row>
    <row r="25055">
      <c r="Y25055" s="372">
        <v>0.0</v>
      </c>
      <c r="Z25055" s="372">
        <v>0.0</v>
      </c>
    </row>
    <row r="25056">
      <c r="Y25056" s="372">
        <v>0.0</v>
      </c>
      <c r="Z25056" s="372">
        <v>0.0</v>
      </c>
    </row>
    <row r="25057">
      <c r="Y25057" s="372">
        <v>0.0</v>
      </c>
      <c r="Z25057" s="372">
        <v>0.0</v>
      </c>
    </row>
    <row r="25058">
      <c r="Y25058" s="372">
        <v>0.0</v>
      </c>
      <c r="Z25058" s="372">
        <v>0.0</v>
      </c>
    </row>
    <row r="25059">
      <c r="Y25059" s="372">
        <v>0.0</v>
      </c>
      <c r="Z25059" s="372">
        <v>0.0</v>
      </c>
    </row>
    <row r="25060">
      <c r="Y25060" s="372">
        <v>0.0</v>
      </c>
      <c r="Z25060" s="372">
        <v>0.0</v>
      </c>
    </row>
    <row r="25061">
      <c r="Y25061" s="372">
        <v>0.0</v>
      </c>
      <c r="Z25061" s="372">
        <v>0.0</v>
      </c>
    </row>
    <row r="25062">
      <c r="Y25062" s="372">
        <v>0.0</v>
      </c>
      <c r="Z25062" s="372">
        <v>0.0</v>
      </c>
    </row>
    <row r="25063">
      <c r="Y25063" s="372">
        <v>0.0</v>
      </c>
      <c r="Z25063" s="372">
        <v>0.0</v>
      </c>
    </row>
    <row r="25064">
      <c r="Y25064" s="372">
        <v>0.0</v>
      </c>
      <c r="Z25064" s="372">
        <v>0.0</v>
      </c>
    </row>
    <row r="25065">
      <c r="Y25065" s="372">
        <v>0.0</v>
      </c>
      <c r="Z25065" s="372">
        <v>0.0</v>
      </c>
    </row>
    <row r="25066">
      <c r="Y25066" s="372">
        <v>0.0</v>
      </c>
      <c r="Z25066" s="372">
        <v>0.0</v>
      </c>
    </row>
    <row r="25067">
      <c r="Y25067" s="372">
        <v>0.0</v>
      </c>
      <c r="Z25067" s="372">
        <v>0.0</v>
      </c>
    </row>
    <row r="25068">
      <c r="Y25068" s="372">
        <v>0.0</v>
      </c>
      <c r="Z25068" s="372">
        <v>0.0</v>
      </c>
    </row>
    <row r="25069">
      <c r="Y25069" s="372">
        <v>0.0</v>
      </c>
      <c r="Z25069" s="372">
        <v>0.0</v>
      </c>
    </row>
    <row r="25070">
      <c r="Y25070" s="372">
        <v>0.0</v>
      </c>
      <c r="Z25070" s="372">
        <v>0.0</v>
      </c>
    </row>
    <row r="25071">
      <c r="Y25071" s="372">
        <v>0.0</v>
      </c>
      <c r="Z25071" s="372">
        <v>0.0</v>
      </c>
    </row>
    <row r="25072">
      <c r="Y25072" s="372">
        <v>0.0</v>
      </c>
      <c r="Z25072" s="372">
        <v>0.0</v>
      </c>
    </row>
    <row r="25073">
      <c r="Y25073" s="372">
        <v>0.0</v>
      </c>
      <c r="Z25073" s="372">
        <v>0.0</v>
      </c>
    </row>
    <row r="25074">
      <c r="Y25074" s="372">
        <v>0.0</v>
      </c>
      <c r="Z25074" s="372">
        <v>0.0</v>
      </c>
    </row>
    <row r="25075">
      <c r="Y25075" s="372">
        <v>0.0</v>
      </c>
      <c r="Z25075" s="372">
        <v>0.0</v>
      </c>
    </row>
    <row r="25076">
      <c r="Y25076" s="372">
        <v>0.0</v>
      </c>
      <c r="Z25076" s="372">
        <v>0.0</v>
      </c>
    </row>
    <row r="25077">
      <c r="Y25077" s="372">
        <v>0.0</v>
      </c>
      <c r="Z25077" s="372">
        <v>0.0</v>
      </c>
    </row>
    <row r="25078">
      <c r="Y25078" s="372">
        <v>0.0</v>
      </c>
      <c r="Z25078" s="372">
        <v>0.0</v>
      </c>
    </row>
    <row r="25079">
      <c r="Y25079" s="372">
        <v>0.0</v>
      </c>
      <c r="Z25079" s="372">
        <v>0.0</v>
      </c>
    </row>
    <row r="25080">
      <c r="Y25080" s="372">
        <v>0.0</v>
      </c>
      <c r="Z25080" s="372">
        <v>0.0</v>
      </c>
    </row>
    <row r="25081">
      <c r="Y25081" s="372">
        <v>0.0</v>
      </c>
      <c r="Z25081" s="372">
        <v>0.0</v>
      </c>
    </row>
    <row r="25082">
      <c r="Y25082" s="372">
        <v>0.0</v>
      </c>
      <c r="Z25082" s="372">
        <v>0.0</v>
      </c>
    </row>
    <row r="25083">
      <c r="Y25083" s="372">
        <v>0.0</v>
      </c>
      <c r="Z25083" s="372">
        <v>0.0</v>
      </c>
    </row>
    <row r="25084">
      <c r="Y25084" s="372">
        <v>0.0</v>
      </c>
      <c r="Z25084" s="372">
        <v>0.0</v>
      </c>
    </row>
    <row r="25085">
      <c r="Y25085" s="372">
        <v>0.0</v>
      </c>
      <c r="Z25085" s="372">
        <v>0.0</v>
      </c>
    </row>
    <row r="25086">
      <c r="Y25086" s="372">
        <v>0.0</v>
      </c>
      <c r="Z25086" s="372">
        <v>0.0</v>
      </c>
    </row>
    <row r="25087">
      <c r="Y25087" s="372">
        <v>0.0</v>
      </c>
      <c r="Z25087" s="372">
        <v>0.0</v>
      </c>
    </row>
    <row r="25088">
      <c r="Y25088" s="372">
        <v>0.0</v>
      </c>
      <c r="Z25088" s="372">
        <v>0.0</v>
      </c>
    </row>
    <row r="25089">
      <c r="Y25089" s="372">
        <v>0.0</v>
      </c>
      <c r="Z25089" s="372">
        <v>0.0</v>
      </c>
    </row>
    <row r="25090">
      <c r="Y25090" s="372">
        <v>0.0</v>
      </c>
      <c r="Z25090" s="372">
        <v>0.0</v>
      </c>
    </row>
    <row r="25091">
      <c r="Y25091" s="372">
        <v>0.0</v>
      </c>
      <c r="Z25091" s="372">
        <v>0.0</v>
      </c>
    </row>
    <row r="25092">
      <c r="Y25092" s="372">
        <v>0.0</v>
      </c>
      <c r="Z25092" s="372">
        <v>0.0</v>
      </c>
    </row>
    <row r="25093">
      <c r="Y25093" s="372">
        <v>0.0</v>
      </c>
      <c r="Z25093" s="372">
        <v>0.0</v>
      </c>
    </row>
    <row r="25094">
      <c r="Y25094" s="372">
        <v>0.0</v>
      </c>
      <c r="Z25094" s="372">
        <v>0.0</v>
      </c>
    </row>
    <row r="25095">
      <c r="Y25095" s="372">
        <v>0.0</v>
      </c>
      <c r="Z25095" s="372">
        <v>0.0</v>
      </c>
    </row>
    <row r="25096">
      <c r="Y25096" s="372">
        <v>0.0</v>
      </c>
      <c r="Z25096" s="372">
        <v>0.0</v>
      </c>
    </row>
    <row r="25097">
      <c r="Y25097" s="372">
        <v>0.0</v>
      </c>
      <c r="Z25097" s="372">
        <v>0.0</v>
      </c>
    </row>
    <row r="25098">
      <c r="Y25098" s="372">
        <v>0.0</v>
      </c>
      <c r="Z25098" s="372">
        <v>0.0</v>
      </c>
    </row>
    <row r="25099">
      <c r="Y25099" s="372">
        <v>0.0</v>
      </c>
      <c r="Z25099" s="372">
        <v>0.0</v>
      </c>
    </row>
    <row r="25100">
      <c r="Y25100" s="372">
        <v>0.0</v>
      </c>
      <c r="Z25100" s="372">
        <v>0.0</v>
      </c>
    </row>
    <row r="25101">
      <c r="Y25101" s="372">
        <v>0.0</v>
      </c>
      <c r="Z25101" s="372">
        <v>0.0</v>
      </c>
    </row>
    <row r="25102">
      <c r="Y25102" s="372">
        <v>0.0</v>
      </c>
      <c r="Z25102" s="372">
        <v>0.0</v>
      </c>
    </row>
    <row r="25103">
      <c r="Y25103" s="372">
        <v>0.0</v>
      </c>
      <c r="Z25103" s="372">
        <v>0.0</v>
      </c>
    </row>
    <row r="25104">
      <c r="Y25104" s="372">
        <v>0.0</v>
      </c>
      <c r="Z25104" s="372">
        <v>0.0</v>
      </c>
    </row>
    <row r="25105">
      <c r="Y25105" s="372">
        <v>0.0</v>
      </c>
      <c r="Z25105" s="372">
        <v>0.0</v>
      </c>
    </row>
    <row r="25106">
      <c r="Y25106" s="372">
        <v>0.0</v>
      </c>
      <c r="Z25106" s="372">
        <v>0.0</v>
      </c>
    </row>
    <row r="25107">
      <c r="Y25107" s="372">
        <v>0.0</v>
      </c>
      <c r="Z25107" s="372">
        <v>0.0</v>
      </c>
    </row>
    <row r="25108">
      <c r="Y25108" s="372">
        <v>0.0</v>
      </c>
      <c r="Z25108" s="372">
        <v>0.0</v>
      </c>
    </row>
    <row r="25109">
      <c r="Y25109" s="372">
        <v>0.0</v>
      </c>
      <c r="Z25109" s="372">
        <v>0.0</v>
      </c>
    </row>
    <row r="25110">
      <c r="Y25110" s="372">
        <v>0.0</v>
      </c>
      <c r="Z25110" s="372">
        <v>0.0</v>
      </c>
    </row>
    <row r="25111">
      <c r="Y25111" s="372">
        <v>0.0</v>
      </c>
      <c r="Z25111" s="372">
        <v>0.0</v>
      </c>
    </row>
    <row r="25112">
      <c r="Y25112" s="372">
        <v>0.0</v>
      </c>
      <c r="Z25112" s="372">
        <v>0.0</v>
      </c>
    </row>
    <row r="25113">
      <c r="Y25113" s="372">
        <v>0.0</v>
      </c>
      <c r="Z25113" s="372">
        <v>0.0</v>
      </c>
    </row>
    <row r="25114">
      <c r="Y25114" s="372">
        <v>0.0</v>
      </c>
      <c r="Z25114" s="372">
        <v>0.0</v>
      </c>
    </row>
    <row r="25115">
      <c r="Y25115" s="372">
        <v>0.0</v>
      </c>
      <c r="Z25115" s="372">
        <v>0.0</v>
      </c>
    </row>
    <row r="25116">
      <c r="Y25116" s="372">
        <v>0.0</v>
      </c>
      <c r="Z25116" s="372">
        <v>0.0</v>
      </c>
    </row>
    <row r="25117">
      <c r="Y25117" s="372">
        <v>0.0</v>
      </c>
      <c r="Z25117" s="372">
        <v>0.0</v>
      </c>
    </row>
    <row r="25118">
      <c r="Y25118" s="372">
        <v>0.0</v>
      </c>
      <c r="Z25118" s="372">
        <v>0.0</v>
      </c>
    </row>
    <row r="25119">
      <c r="Y25119" s="372">
        <v>0.0</v>
      </c>
      <c r="Z25119" s="372">
        <v>0.0</v>
      </c>
    </row>
    <row r="25120">
      <c r="Y25120" s="372">
        <v>0.0</v>
      </c>
      <c r="Z25120" s="372">
        <v>0.0</v>
      </c>
    </row>
    <row r="25121">
      <c r="Y25121" s="372">
        <v>0.0</v>
      </c>
      <c r="Z25121" s="372">
        <v>0.0</v>
      </c>
    </row>
    <row r="25122">
      <c r="Y25122" s="372">
        <v>0.0</v>
      </c>
      <c r="Z25122" s="372">
        <v>0.0</v>
      </c>
    </row>
    <row r="25123">
      <c r="Y25123" s="372">
        <v>0.0</v>
      </c>
      <c r="Z25123" s="372">
        <v>0.0</v>
      </c>
    </row>
    <row r="25124">
      <c r="Y25124" s="372">
        <v>0.0</v>
      </c>
      <c r="Z25124" s="372">
        <v>0.0</v>
      </c>
    </row>
    <row r="25125">
      <c r="Y25125" s="372">
        <v>0.0</v>
      </c>
      <c r="Z25125" s="372">
        <v>0.0</v>
      </c>
    </row>
    <row r="25126">
      <c r="Y25126" s="372">
        <v>0.0</v>
      </c>
      <c r="Z25126" s="372">
        <v>0.0</v>
      </c>
    </row>
    <row r="25127">
      <c r="Y25127" s="372">
        <v>0.0</v>
      </c>
      <c r="Z25127" s="372">
        <v>0.0</v>
      </c>
    </row>
    <row r="25128">
      <c r="Y25128" s="372">
        <v>0.0</v>
      </c>
      <c r="Z25128" s="372">
        <v>0.0</v>
      </c>
    </row>
    <row r="25129">
      <c r="Y25129" s="372">
        <v>0.0</v>
      </c>
      <c r="Z25129" s="372">
        <v>0.0</v>
      </c>
    </row>
    <row r="25130">
      <c r="Y25130" s="372">
        <v>0.0</v>
      </c>
      <c r="Z25130" s="372">
        <v>0.0</v>
      </c>
    </row>
    <row r="25131">
      <c r="Y25131" s="372">
        <v>0.0</v>
      </c>
      <c r="Z25131" s="372">
        <v>0.0</v>
      </c>
    </row>
    <row r="25132">
      <c r="Y25132" s="372">
        <v>0.0</v>
      </c>
      <c r="Z25132" s="372">
        <v>0.0</v>
      </c>
    </row>
    <row r="25133">
      <c r="Y25133" s="372">
        <v>0.0</v>
      </c>
      <c r="Z25133" s="372">
        <v>0.0</v>
      </c>
    </row>
    <row r="25134">
      <c r="Y25134" s="372">
        <v>0.0</v>
      </c>
      <c r="Z25134" s="372">
        <v>0.0</v>
      </c>
    </row>
    <row r="25135">
      <c r="Y25135" s="372">
        <v>0.0</v>
      </c>
      <c r="Z25135" s="372">
        <v>0.0</v>
      </c>
    </row>
    <row r="25136">
      <c r="Y25136" s="372">
        <v>0.0</v>
      </c>
      <c r="Z25136" s="372">
        <v>0.0</v>
      </c>
    </row>
    <row r="25137">
      <c r="Y25137" s="372">
        <v>0.0</v>
      </c>
      <c r="Z25137" s="372">
        <v>0.0</v>
      </c>
    </row>
    <row r="25138">
      <c r="Y25138" s="372">
        <v>0.0</v>
      </c>
      <c r="Z25138" s="372">
        <v>0.0</v>
      </c>
    </row>
    <row r="25139">
      <c r="Y25139" s="372">
        <v>0.0</v>
      </c>
      <c r="Z25139" s="372">
        <v>0.0</v>
      </c>
    </row>
    <row r="25140">
      <c r="Y25140" s="372">
        <v>0.0</v>
      </c>
      <c r="Z25140" s="372">
        <v>0.0</v>
      </c>
    </row>
    <row r="25141">
      <c r="Y25141" s="372">
        <v>0.0</v>
      </c>
      <c r="Z25141" s="372">
        <v>0.0</v>
      </c>
    </row>
    <row r="25142">
      <c r="Y25142" s="372">
        <v>0.0</v>
      </c>
      <c r="Z25142" s="372">
        <v>0.0</v>
      </c>
    </row>
    <row r="25143">
      <c r="Y25143" s="372">
        <v>0.0</v>
      </c>
      <c r="Z25143" s="372">
        <v>0.0</v>
      </c>
    </row>
    <row r="25144">
      <c r="Y25144" s="372">
        <v>0.0</v>
      </c>
      <c r="Z25144" s="372">
        <v>0.0</v>
      </c>
    </row>
    <row r="25145">
      <c r="Y25145" s="372">
        <v>0.0</v>
      </c>
      <c r="Z25145" s="372">
        <v>0.0</v>
      </c>
    </row>
    <row r="25146">
      <c r="Y25146" s="372">
        <v>0.0</v>
      </c>
      <c r="Z25146" s="372">
        <v>0.0</v>
      </c>
    </row>
    <row r="25147">
      <c r="Y25147" s="372">
        <v>0.0</v>
      </c>
      <c r="Z25147" s="372">
        <v>0.0</v>
      </c>
    </row>
    <row r="25148">
      <c r="Y25148" s="372">
        <v>0.0</v>
      </c>
      <c r="Z25148" s="372">
        <v>0.0</v>
      </c>
    </row>
    <row r="25149">
      <c r="Y25149" s="372">
        <v>0.0</v>
      </c>
      <c r="Z25149" s="372">
        <v>0.0</v>
      </c>
    </row>
    <row r="25150">
      <c r="Y25150" s="372">
        <v>0.0</v>
      </c>
      <c r="Z25150" s="372">
        <v>0.0</v>
      </c>
    </row>
    <row r="25151">
      <c r="Y25151" s="372">
        <v>0.0</v>
      </c>
      <c r="Z25151" s="372">
        <v>0.0</v>
      </c>
    </row>
    <row r="25152">
      <c r="Y25152" s="372">
        <v>0.0</v>
      </c>
      <c r="Z25152" s="372">
        <v>0.0</v>
      </c>
    </row>
    <row r="25153">
      <c r="Y25153" s="372">
        <v>0.0</v>
      </c>
      <c r="Z25153" s="372">
        <v>0.0</v>
      </c>
    </row>
    <row r="25154">
      <c r="Y25154" s="372">
        <v>0.0</v>
      </c>
      <c r="Z25154" s="372">
        <v>0.0</v>
      </c>
    </row>
    <row r="25155">
      <c r="Y25155" s="372">
        <v>0.0</v>
      </c>
      <c r="Z25155" s="372">
        <v>0.0</v>
      </c>
    </row>
    <row r="25156">
      <c r="Y25156" s="372">
        <v>0.0</v>
      </c>
      <c r="Z25156" s="372">
        <v>0.0</v>
      </c>
    </row>
    <row r="25157">
      <c r="Y25157" s="372">
        <v>0.0</v>
      </c>
      <c r="Z25157" s="372">
        <v>0.0</v>
      </c>
    </row>
    <row r="25158">
      <c r="Y25158" s="372">
        <v>0.0</v>
      </c>
      <c r="Z25158" s="372">
        <v>0.0</v>
      </c>
    </row>
    <row r="25159">
      <c r="Y25159" s="372">
        <v>0.0</v>
      </c>
      <c r="Z25159" s="372">
        <v>0.0</v>
      </c>
    </row>
    <row r="25160">
      <c r="Y25160" s="372">
        <v>0.0</v>
      </c>
      <c r="Z25160" s="372">
        <v>0.0</v>
      </c>
    </row>
    <row r="25161">
      <c r="Y25161" s="372">
        <v>0.0</v>
      </c>
      <c r="Z25161" s="372">
        <v>0.0</v>
      </c>
    </row>
    <row r="25162">
      <c r="Y25162" s="372">
        <v>0.0</v>
      </c>
      <c r="Z25162" s="372">
        <v>0.0</v>
      </c>
    </row>
    <row r="25163">
      <c r="Y25163" s="372">
        <v>0.0</v>
      </c>
      <c r="Z25163" s="372">
        <v>0.0</v>
      </c>
    </row>
    <row r="25164">
      <c r="Y25164" s="372">
        <v>0.0</v>
      </c>
      <c r="Z25164" s="372">
        <v>0.0</v>
      </c>
    </row>
    <row r="25165">
      <c r="Y25165" s="372">
        <v>0.0</v>
      </c>
      <c r="Z25165" s="372">
        <v>0.0</v>
      </c>
    </row>
    <row r="25166">
      <c r="Y25166" s="372">
        <v>0.0</v>
      </c>
      <c r="Z25166" s="372">
        <v>0.0</v>
      </c>
    </row>
    <row r="25167">
      <c r="Y25167" s="372">
        <v>0.0</v>
      </c>
      <c r="Z25167" s="372">
        <v>0.0</v>
      </c>
    </row>
    <row r="25168">
      <c r="Y25168" s="372">
        <v>0.0</v>
      </c>
      <c r="Z25168" s="372">
        <v>0.0</v>
      </c>
    </row>
    <row r="25169">
      <c r="Y25169" s="372">
        <v>0.0</v>
      </c>
      <c r="Z25169" s="372">
        <v>0.0</v>
      </c>
    </row>
    <row r="25170">
      <c r="Y25170" s="372">
        <v>0.0</v>
      </c>
      <c r="Z25170" s="372">
        <v>0.0</v>
      </c>
    </row>
    <row r="25171">
      <c r="Y25171" s="372">
        <v>0.0</v>
      </c>
      <c r="Z25171" s="372">
        <v>0.0</v>
      </c>
    </row>
    <row r="25172">
      <c r="Y25172" s="372">
        <v>0.0</v>
      </c>
      <c r="Z25172" s="372">
        <v>0.0</v>
      </c>
    </row>
    <row r="25173">
      <c r="Y25173" s="372">
        <v>0.0</v>
      </c>
      <c r="Z25173" s="372">
        <v>0.0</v>
      </c>
    </row>
    <row r="25174">
      <c r="Y25174" s="372">
        <v>0.0</v>
      </c>
      <c r="Z25174" s="372">
        <v>0.0</v>
      </c>
    </row>
    <row r="25175">
      <c r="Y25175" s="372">
        <v>0.0</v>
      </c>
      <c r="Z25175" s="372">
        <v>0.0</v>
      </c>
    </row>
    <row r="25176">
      <c r="Y25176" s="372">
        <v>0.0</v>
      </c>
      <c r="Z25176" s="372">
        <v>0.0</v>
      </c>
    </row>
    <row r="25177">
      <c r="Y25177" s="372">
        <v>0.0</v>
      </c>
      <c r="Z25177" s="372">
        <v>0.0</v>
      </c>
    </row>
    <row r="25178">
      <c r="Y25178" s="372">
        <v>0.0</v>
      </c>
      <c r="Z25178" s="372">
        <v>0.0</v>
      </c>
    </row>
    <row r="25179">
      <c r="Y25179" s="372">
        <v>0.0</v>
      </c>
      <c r="Z25179" s="372">
        <v>0.0</v>
      </c>
    </row>
    <row r="25180">
      <c r="Y25180" s="372">
        <v>0.0</v>
      </c>
      <c r="Z25180" s="372">
        <v>0.0</v>
      </c>
    </row>
    <row r="25181">
      <c r="Y25181" s="372">
        <v>0.0</v>
      </c>
      <c r="Z25181" s="372">
        <v>0.0</v>
      </c>
    </row>
    <row r="25182">
      <c r="Y25182" s="372">
        <v>0.0</v>
      </c>
      <c r="Z25182" s="372">
        <v>0.0</v>
      </c>
    </row>
    <row r="25183">
      <c r="Y25183" s="372">
        <v>0.0</v>
      </c>
      <c r="Z25183" s="372">
        <v>0.0</v>
      </c>
    </row>
    <row r="25184">
      <c r="Y25184" s="372">
        <v>0.0</v>
      </c>
      <c r="Z25184" s="372">
        <v>0.0</v>
      </c>
    </row>
    <row r="25185">
      <c r="Y25185" s="372">
        <v>0.0</v>
      </c>
      <c r="Z25185" s="372">
        <v>0.0</v>
      </c>
    </row>
    <row r="25186">
      <c r="Y25186" s="372">
        <v>0.0</v>
      </c>
      <c r="Z25186" s="372">
        <v>0.0</v>
      </c>
    </row>
    <row r="25187">
      <c r="Y25187" s="372">
        <v>0.0</v>
      </c>
      <c r="Z25187" s="372">
        <v>0.0</v>
      </c>
    </row>
    <row r="25188">
      <c r="Y25188" s="372">
        <v>0.0</v>
      </c>
      <c r="Z25188" s="372">
        <v>0.0</v>
      </c>
    </row>
    <row r="25189">
      <c r="Y25189" s="372">
        <v>0.0</v>
      </c>
      <c r="Z25189" s="372">
        <v>0.0</v>
      </c>
    </row>
    <row r="25190">
      <c r="Y25190" s="372">
        <v>0.0</v>
      </c>
      <c r="Z25190" s="372">
        <v>0.0</v>
      </c>
    </row>
    <row r="25191">
      <c r="Y25191" s="372">
        <v>0.0</v>
      </c>
      <c r="Z25191" s="372">
        <v>0.0</v>
      </c>
    </row>
    <row r="25192">
      <c r="Y25192" s="372">
        <v>0.0</v>
      </c>
      <c r="Z25192" s="372">
        <v>0.0</v>
      </c>
    </row>
    <row r="25193">
      <c r="Y25193" s="372">
        <v>0.0</v>
      </c>
      <c r="Z25193" s="372">
        <v>0.0</v>
      </c>
    </row>
    <row r="25194">
      <c r="Y25194" s="372">
        <v>0.0</v>
      </c>
      <c r="Z25194" s="372">
        <v>0.0</v>
      </c>
    </row>
    <row r="25195">
      <c r="Y25195" s="372">
        <v>0.0</v>
      </c>
      <c r="Z25195" s="372">
        <v>0.0</v>
      </c>
    </row>
    <row r="25196">
      <c r="Y25196" s="372">
        <v>0.0</v>
      </c>
      <c r="Z25196" s="372">
        <v>0.0</v>
      </c>
    </row>
    <row r="25197">
      <c r="Y25197" s="372">
        <v>0.0</v>
      </c>
      <c r="Z25197" s="372">
        <v>0.0</v>
      </c>
    </row>
    <row r="25198">
      <c r="Y25198" s="372">
        <v>0.0</v>
      </c>
      <c r="Z25198" s="372">
        <v>0.0</v>
      </c>
    </row>
    <row r="25199">
      <c r="Y25199" s="372">
        <v>0.0</v>
      </c>
      <c r="Z25199" s="372">
        <v>0.0</v>
      </c>
    </row>
    <row r="25200">
      <c r="Y25200" s="372">
        <v>0.0</v>
      </c>
      <c r="Z25200" s="372">
        <v>0.0</v>
      </c>
    </row>
    <row r="25201">
      <c r="Y25201" s="372">
        <v>0.0</v>
      </c>
      <c r="Z25201" s="372">
        <v>0.0</v>
      </c>
    </row>
    <row r="25202">
      <c r="Y25202" s="372">
        <v>0.0</v>
      </c>
      <c r="Z25202" s="372">
        <v>0.0</v>
      </c>
    </row>
    <row r="25203">
      <c r="Y25203" s="372">
        <v>0.0</v>
      </c>
      <c r="Z25203" s="372">
        <v>0.0</v>
      </c>
    </row>
    <row r="25204">
      <c r="Y25204" s="372">
        <v>0.0</v>
      </c>
      <c r="Z25204" s="372">
        <v>0.0</v>
      </c>
    </row>
    <row r="25205">
      <c r="Y25205" s="372">
        <v>0.0</v>
      </c>
      <c r="Z25205" s="372">
        <v>0.0</v>
      </c>
    </row>
    <row r="25206">
      <c r="Y25206" s="372">
        <v>0.0</v>
      </c>
      <c r="Z25206" s="372">
        <v>0.0</v>
      </c>
    </row>
    <row r="25207">
      <c r="Y25207" s="372">
        <v>0.0</v>
      </c>
      <c r="Z25207" s="372">
        <v>0.0</v>
      </c>
    </row>
    <row r="25208">
      <c r="Y25208" s="372">
        <v>0.0</v>
      </c>
      <c r="Z25208" s="372">
        <v>0.0</v>
      </c>
    </row>
    <row r="25209">
      <c r="Y25209" s="372">
        <v>0.0</v>
      </c>
      <c r="Z25209" s="372">
        <v>0.0</v>
      </c>
    </row>
    <row r="25210">
      <c r="Y25210" s="372">
        <v>0.0</v>
      </c>
      <c r="Z25210" s="372">
        <v>0.0</v>
      </c>
    </row>
    <row r="25211">
      <c r="Y25211" s="372">
        <v>0.0</v>
      </c>
      <c r="Z25211" s="372">
        <v>0.0</v>
      </c>
    </row>
    <row r="25212">
      <c r="Y25212" s="372">
        <v>0.0</v>
      </c>
      <c r="Z25212" s="372">
        <v>0.0</v>
      </c>
    </row>
    <row r="25213">
      <c r="Y25213" s="372">
        <v>0.0</v>
      </c>
      <c r="Z25213" s="372">
        <v>0.0</v>
      </c>
    </row>
    <row r="25214">
      <c r="Y25214" s="372">
        <v>0.0</v>
      </c>
      <c r="Z25214" s="372">
        <v>0.0</v>
      </c>
    </row>
    <row r="25215">
      <c r="Y25215" s="372">
        <v>0.0</v>
      </c>
      <c r="Z25215" s="372">
        <v>0.0</v>
      </c>
    </row>
    <row r="25216">
      <c r="Y25216" s="372">
        <v>0.0</v>
      </c>
      <c r="Z25216" s="372">
        <v>0.0</v>
      </c>
    </row>
    <row r="25217">
      <c r="Y25217" s="372">
        <v>0.0</v>
      </c>
      <c r="Z25217" s="372">
        <v>0.0</v>
      </c>
    </row>
    <row r="25218">
      <c r="Y25218" s="372">
        <v>0.0</v>
      </c>
      <c r="Z25218" s="372">
        <v>0.0</v>
      </c>
    </row>
    <row r="25219">
      <c r="Y25219" s="372">
        <v>0.0</v>
      </c>
      <c r="Z25219" s="372">
        <v>0.0</v>
      </c>
    </row>
    <row r="25220">
      <c r="Y25220" s="372">
        <v>0.0</v>
      </c>
      <c r="Z25220" s="372">
        <v>0.0</v>
      </c>
    </row>
    <row r="25221">
      <c r="Y25221" s="372">
        <v>0.0</v>
      </c>
      <c r="Z25221" s="372">
        <v>0.0</v>
      </c>
    </row>
    <row r="25222">
      <c r="Y25222" s="372">
        <v>0.0</v>
      </c>
      <c r="Z25222" s="372">
        <v>0.0</v>
      </c>
    </row>
    <row r="25223">
      <c r="Y25223" s="372">
        <v>0.0</v>
      </c>
      <c r="Z25223" s="372">
        <v>0.0</v>
      </c>
    </row>
    <row r="25224">
      <c r="Y25224" s="372">
        <v>0.0</v>
      </c>
      <c r="Z25224" s="372">
        <v>0.0</v>
      </c>
    </row>
    <row r="25225">
      <c r="Y25225" s="372">
        <v>0.0</v>
      </c>
      <c r="Z25225" s="372">
        <v>0.0</v>
      </c>
    </row>
    <row r="25226">
      <c r="Y25226" s="372">
        <v>0.0</v>
      </c>
      <c r="Z25226" s="372">
        <v>0.0</v>
      </c>
    </row>
    <row r="25227">
      <c r="Y25227" s="372">
        <v>0.0</v>
      </c>
      <c r="Z25227" s="372">
        <v>0.0</v>
      </c>
    </row>
    <row r="25228">
      <c r="Y25228" s="372">
        <v>0.0</v>
      </c>
      <c r="Z25228" s="372">
        <v>0.0</v>
      </c>
    </row>
    <row r="25229">
      <c r="Y25229" s="372">
        <v>0.0</v>
      </c>
      <c r="Z25229" s="372">
        <v>0.0</v>
      </c>
    </row>
    <row r="25230">
      <c r="Y25230" s="372">
        <v>0.0</v>
      </c>
      <c r="Z25230" s="372">
        <v>0.0</v>
      </c>
    </row>
    <row r="25231">
      <c r="Y25231" s="372">
        <v>0.0</v>
      </c>
      <c r="Z25231" s="372">
        <v>0.0</v>
      </c>
    </row>
    <row r="25232">
      <c r="Y25232" s="372">
        <v>0.0</v>
      </c>
      <c r="Z25232" s="372">
        <v>0.0</v>
      </c>
    </row>
    <row r="25233">
      <c r="Y25233" s="372">
        <v>0.0</v>
      </c>
      <c r="Z25233" s="372">
        <v>0.0</v>
      </c>
    </row>
    <row r="25234">
      <c r="Y25234" s="372">
        <v>0.0</v>
      </c>
      <c r="Z25234" s="372">
        <v>0.0</v>
      </c>
    </row>
    <row r="25235">
      <c r="Y25235" s="372">
        <v>0.0</v>
      </c>
      <c r="Z25235" s="372">
        <v>0.0</v>
      </c>
    </row>
    <row r="25236">
      <c r="Y25236" s="372">
        <v>0.0</v>
      </c>
      <c r="Z25236" s="372">
        <v>0.0</v>
      </c>
    </row>
    <row r="25237">
      <c r="Y25237" s="372">
        <v>0.0</v>
      </c>
      <c r="Z25237" s="372">
        <v>0.0</v>
      </c>
    </row>
    <row r="25238">
      <c r="Y25238" s="372">
        <v>0.0</v>
      </c>
      <c r="Z25238" s="372">
        <v>0.0</v>
      </c>
    </row>
    <row r="25239">
      <c r="Y25239" s="372">
        <v>0.0</v>
      </c>
      <c r="Z25239" s="372">
        <v>0.0</v>
      </c>
    </row>
    <row r="25240">
      <c r="Y25240" s="372">
        <v>0.0</v>
      </c>
      <c r="Z25240" s="372">
        <v>0.0</v>
      </c>
    </row>
    <row r="25241">
      <c r="Y25241" s="372">
        <v>0.0</v>
      </c>
      <c r="Z25241" s="372">
        <v>0.0</v>
      </c>
    </row>
    <row r="25242">
      <c r="Y25242" s="372">
        <v>0.0</v>
      </c>
      <c r="Z25242" s="372">
        <v>0.0</v>
      </c>
    </row>
    <row r="25243">
      <c r="Y25243" s="372">
        <v>0.0</v>
      </c>
      <c r="Z25243" s="372">
        <v>0.0</v>
      </c>
    </row>
    <row r="25244">
      <c r="Y25244" s="372">
        <v>0.0</v>
      </c>
      <c r="Z25244" s="372">
        <v>0.0</v>
      </c>
    </row>
    <row r="25245">
      <c r="Y25245" s="372">
        <v>0.0</v>
      </c>
      <c r="Z25245" s="372">
        <v>0.0</v>
      </c>
    </row>
    <row r="25246">
      <c r="Y25246" s="372">
        <v>0.0</v>
      </c>
      <c r="Z25246" s="372">
        <v>0.0</v>
      </c>
    </row>
    <row r="25247">
      <c r="Y25247" s="372">
        <v>0.0</v>
      </c>
      <c r="Z25247" s="372">
        <v>0.0</v>
      </c>
    </row>
    <row r="25248">
      <c r="Y25248" s="372">
        <v>0.0</v>
      </c>
      <c r="Z25248" s="372">
        <v>0.0</v>
      </c>
    </row>
    <row r="25249">
      <c r="Y25249" s="372">
        <v>0.0</v>
      </c>
      <c r="Z25249" s="372">
        <v>0.0</v>
      </c>
    </row>
    <row r="25250">
      <c r="Y25250" s="372">
        <v>0.0</v>
      </c>
      <c r="Z25250" s="372">
        <v>0.0</v>
      </c>
    </row>
    <row r="25251">
      <c r="Y25251" s="372">
        <v>0.0</v>
      </c>
      <c r="Z25251" s="372">
        <v>0.0</v>
      </c>
    </row>
    <row r="25252">
      <c r="Y25252" s="372">
        <v>0.0</v>
      </c>
      <c r="Z25252" s="372">
        <v>0.0</v>
      </c>
    </row>
    <row r="25253">
      <c r="Y25253" s="372">
        <v>0.0</v>
      </c>
      <c r="Z25253" s="372">
        <v>0.0</v>
      </c>
    </row>
    <row r="25254">
      <c r="Y25254" s="372">
        <v>0.0</v>
      </c>
      <c r="Z25254" s="372">
        <v>0.0</v>
      </c>
    </row>
    <row r="25255">
      <c r="Y25255" s="372">
        <v>0.0</v>
      </c>
      <c r="Z25255" s="372">
        <v>0.0</v>
      </c>
    </row>
    <row r="25256">
      <c r="Y25256" s="372">
        <v>0.0</v>
      </c>
      <c r="Z25256" s="372">
        <v>0.0</v>
      </c>
    </row>
    <row r="25257">
      <c r="Y25257" s="372">
        <v>0.0</v>
      </c>
      <c r="Z25257" s="372">
        <v>0.0</v>
      </c>
    </row>
    <row r="25258">
      <c r="Y25258" s="372">
        <v>0.0</v>
      </c>
      <c r="Z25258" s="372">
        <v>0.0</v>
      </c>
    </row>
    <row r="25259">
      <c r="Y25259" s="372">
        <v>0.0</v>
      </c>
      <c r="Z25259" s="372">
        <v>0.0</v>
      </c>
    </row>
    <row r="25260">
      <c r="Y25260" s="372">
        <v>0.0</v>
      </c>
      <c r="Z25260" s="372">
        <v>0.0</v>
      </c>
    </row>
    <row r="25261">
      <c r="Y25261" s="372">
        <v>0.0</v>
      </c>
      <c r="Z25261" s="372">
        <v>0.0</v>
      </c>
    </row>
    <row r="25262">
      <c r="Y25262" s="372">
        <v>0.0</v>
      </c>
      <c r="Z25262" s="372">
        <v>0.0</v>
      </c>
    </row>
    <row r="25263">
      <c r="Y25263" s="372">
        <v>0.0</v>
      </c>
      <c r="Z25263" s="372">
        <v>0.0</v>
      </c>
    </row>
    <row r="25264">
      <c r="Y25264" s="372">
        <v>0.0</v>
      </c>
      <c r="Z25264" s="372">
        <v>0.0</v>
      </c>
    </row>
    <row r="25265">
      <c r="Y25265" s="372">
        <v>0.0</v>
      </c>
      <c r="Z25265" s="372">
        <v>0.0</v>
      </c>
    </row>
    <row r="25266">
      <c r="Y25266" s="372">
        <v>0.0</v>
      </c>
      <c r="Z25266" s="372">
        <v>0.0</v>
      </c>
    </row>
    <row r="25267">
      <c r="Y25267" s="372">
        <v>0.0</v>
      </c>
      <c r="Z25267" s="372">
        <v>0.0</v>
      </c>
    </row>
    <row r="25268">
      <c r="Y25268" s="372">
        <v>0.0</v>
      </c>
      <c r="Z25268" s="372">
        <v>0.0</v>
      </c>
    </row>
    <row r="25269">
      <c r="Y25269" s="372">
        <v>0.0</v>
      </c>
      <c r="Z25269" s="372">
        <v>0.0</v>
      </c>
    </row>
    <row r="25270">
      <c r="Y25270" s="372">
        <v>0.0</v>
      </c>
      <c r="Z25270" s="372">
        <v>0.0</v>
      </c>
    </row>
    <row r="25271">
      <c r="Y25271" s="372">
        <v>0.0</v>
      </c>
      <c r="Z25271" s="372">
        <v>0.0</v>
      </c>
    </row>
    <row r="25272">
      <c r="Y25272" s="372">
        <v>0.0</v>
      </c>
      <c r="Z25272" s="372">
        <v>0.0</v>
      </c>
    </row>
    <row r="25273">
      <c r="Y25273" s="372">
        <v>0.0</v>
      </c>
      <c r="Z25273" s="372">
        <v>0.0</v>
      </c>
    </row>
    <row r="25274">
      <c r="Y25274" s="372">
        <v>0.0</v>
      </c>
      <c r="Z25274" s="372">
        <v>0.0</v>
      </c>
    </row>
    <row r="25275">
      <c r="Y25275" s="372">
        <v>0.0</v>
      </c>
      <c r="Z25275" s="372">
        <v>0.0</v>
      </c>
    </row>
    <row r="25276">
      <c r="Y25276" s="372">
        <v>0.0</v>
      </c>
      <c r="Z25276" s="372">
        <v>0.0</v>
      </c>
    </row>
    <row r="25277">
      <c r="Y25277" s="372">
        <v>0.0</v>
      </c>
      <c r="Z25277" s="372">
        <v>0.0</v>
      </c>
    </row>
    <row r="25278">
      <c r="Y25278" s="372">
        <v>0.0</v>
      </c>
      <c r="Z25278" s="372">
        <v>0.0</v>
      </c>
    </row>
    <row r="25279">
      <c r="Y25279" s="372">
        <v>0.0</v>
      </c>
      <c r="Z25279" s="372">
        <v>0.0</v>
      </c>
    </row>
    <row r="25280">
      <c r="Y25280" s="372">
        <v>0.0</v>
      </c>
      <c r="Z25280" s="372">
        <v>0.0</v>
      </c>
    </row>
    <row r="25281">
      <c r="Y25281" s="372">
        <v>0.0</v>
      </c>
      <c r="Z25281" s="372">
        <v>0.0</v>
      </c>
    </row>
    <row r="25282">
      <c r="Y25282" s="372">
        <v>0.0</v>
      </c>
      <c r="Z25282" s="372">
        <v>0.0</v>
      </c>
    </row>
    <row r="25283">
      <c r="Y25283" s="372">
        <v>0.0</v>
      </c>
      <c r="Z25283" s="372">
        <v>0.0</v>
      </c>
    </row>
    <row r="25284">
      <c r="Y25284" s="372">
        <v>0.0</v>
      </c>
      <c r="Z25284" s="372">
        <v>0.0</v>
      </c>
    </row>
    <row r="25285">
      <c r="Y25285" s="372">
        <v>0.0</v>
      </c>
      <c r="Z25285" s="372">
        <v>0.0</v>
      </c>
    </row>
    <row r="25286">
      <c r="Y25286" s="372">
        <v>0.0</v>
      </c>
      <c r="Z25286" s="372">
        <v>0.0</v>
      </c>
    </row>
    <row r="25287">
      <c r="Y25287" s="372">
        <v>0.0</v>
      </c>
      <c r="Z25287" s="372">
        <v>0.0</v>
      </c>
    </row>
    <row r="25288">
      <c r="Y25288" s="372">
        <v>0.0</v>
      </c>
      <c r="Z25288" s="372">
        <v>0.0</v>
      </c>
    </row>
    <row r="25289">
      <c r="Y25289" s="372">
        <v>0.0</v>
      </c>
      <c r="Z25289" s="372">
        <v>0.0</v>
      </c>
    </row>
    <row r="25290">
      <c r="Y25290" s="372">
        <v>0.0</v>
      </c>
      <c r="Z25290" s="372">
        <v>0.0</v>
      </c>
    </row>
    <row r="25291">
      <c r="Y25291" s="372">
        <v>0.0</v>
      </c>
      <c r="Z25291" s="372">
        <v>0.0</v>
      </c>
    </row>
    <row r="25292">
      <c r="Y25292" s="372">
        <v>0.0</v>
      </c>
      <c r="Z25292" s="372">
        <v>0.0</v>
      </c>
    </row>
    <row r="25293">
      <c r="Y25293" s="372">
        <v>0.0</v>
      </c>
      <c r="Z25293" s="372">
        <v>0.0</v>
      </c>
    </row>
    <row r="25294">
      <c r="Y25294" s="372">
        <v>0.0</v>
      </c>
      <c r="Z25294" s="372">
        <v>0.0</v>
      </c>
    </row>
    <row r="25295">
      <c r="Y25295" s="372">
        <v>0.0</v>
      </c>
      <c r="Z25295" s="372">
        <v>0.0</v>
      </c>
    </row>
    <row r="25296">
      <c r="Y25296" s="372">
        <v>0.0</v>
      </c>
      <c r="Z25296" s="372">
        <v>0.0</v>
      </c>
    </row>
    <row r="25297">
      <c r="Y25297" s="372">
        <v>0.0</v>
      </c>
      <c r="Z25297" s="372">
        <v>0.0</v>
      </c>
    </row>
    <row r="25298">
      <c r="Y25298" s="372">
        <v>0.0</v>
      </c>
      <c r="Z25298" s="372">
        <v>0.0</v>
      </c>
    </row>
    <row r="25299">
      <c r="Y25299" s="372">
        <v>0.0</v>
      </c>
      <c r="Z25299" s="372">
        <v>0.0</v>
      </c>
    </row>
    <row r="25300">
      <c r="Y25300" s="372">
        <v>0.0</v>
      </c>
      <c r="Z25300" s="372">
        <v>0.0</v>
      </c>
    </row>
    <row r="25301">
      <c r="Y25301" s="372">
        <v>0.0</v>
      </c>
      <c r="Z25301" s="372">
        <v>0.0</v>
      </c>
    </row>
    <row r="25302">
      <c r="Y25302" s="372">
        <v>0.0</v>
      </c>
      <c r="Z25302" s="372">
        <v>0.0</v>
      </c>
    </row>
    <row r="25303">
      <c r="Y25303" s="372">
        <v>0.0</v>
      </c>
      <c r="Z25303" s="372">
        <v>0.0</v>
      </c>
    </row>
    <row r="25304">
      <c r="Y25304" s="372">
        <v>0.0</v>
      </c>
      <c r="Z25304" s="372">
        <v>0.0</v>
      </c>
    </row>
    <row r="25305">
      <c r="Y25305" s="372">
        <v>0.0</v>
      </c>
      <c r="Z25305" s="372">
        <v>0.0</v>
      </c>
    </row>
    <row r="25306">
      <c r="Y25306" s="372">
        <v>0.0</v>
      </c>
      <c r="Z25306" s="372">
        <v>0.0</v>
      </c>
    </row>
    <row r="25307">
      <c r="Y25307" s="372">
        <v>0.0</v>
      </c>
      <c r="Z25307" s="372">
        <v>0.0</v>
      </c>
    </row>
    <row r="25308">
      <c r="Y25308" s="372">
        <v>0.0</v>
      </c>
      <c r="Z25308" s="372">
        <v>0.0</v>
      </c>
    </row>
    <row r="25309">
      <c r="Y25309" s="372">
        <v>0.0</v>
      </c>
      <c r="Z25309" s="372">
        <v>0.0</v>
      </c>
    </row>
    <row r="25310">
      <c r="Y25310" s="372">
        <v>0.0</v>
      </c>
      <c r="Z25310" s="372">
        <v>0.0</v>
      </c>
    </row>
    <row r="25311">
      <c r="Y25311" s="372">
        <v>0.0</v>
      </c>
      <c r="Z25311" s="372">
        <v>0.0</v>
      </c>
    </row>
    <row r="25312">
      <c r="Y25312" s="372">
        <v>0.0</v>
      </c>
      <c r="Z25312" s="372">
        <v>0.0</v>
      </c>
    </row>
    <row r="25313">
      <c r="Y25313" s="372">
        <v>0.0</v>
      </c>
      <c r="Z25313" s="372">
        <v>0.0</v>
      </c>
    </row>
    <row r="25314">
      <c r="Y25314" s="372">
        <v>0.0</v>
      </c>
      <c r="Z25314" s="372">
        <v>0.0</v>
      </c>
    </row>
    <row r="25315">
      <c r="Y25315" s="372">
        <v>0.0</v>
      </c>
      <c r="Z25315" s="372">
        <v>0.0</v>
      </c>
    </row>
    <row r="25316">
      <c r="Y25316" s="372">
        <v>0.0</v>
      </c>
      <c r="Z25316" s="372">
        <v>0.0</v>
      </c>
    </row>
    <row r="25317">
      <c r="Y25317" s="372">
        <v>0.0</v>
      </c>
      <c r="Z25317" s="372">
        <v>0.0</v>
      </c>
    </row>
    <row r="25318">
      <c r="Y25318" s="372">
        <v>0.0</v>
      </c>
      <c r="Z25318" s="372">
        <v>0.0</v>
      </c>
    </row>
    <row r="25319">
      <c r="Y25319" s="372">
        <v>0.0</v>
      </c>
      <c r="Z25319" s="372">
        <v>0.0</v>
      </c>
    </row>
    <row r="25320">
      <c r="Y25320" s="372">
        <v>0.0</v>
      </c>
      <c r="Z25320" s="372">
        <v>0.0</v>
      </c>
    </row>
    <row r="25321">
      <c r="Y25321" s="372">
        <v>0.0</v>
      </c>
      <c r="Z25321" s="372">
        <v>0.0</v>
      </c>
    </row>
    <row r="25322">
      <c r="Y25322" s="372">
        <v>0.0</v>
      </c>
      <c r="Z25322" s="372">
        <v>0.0</v>
      </c>
    </row>
    <row r="25323">
      <c r="Y25323" s="372">
        <v>0.0</v>
      </c>
      <c r="Z25323" s="372">
        <v>0.0</v>
      </c>
    </row>
    <row r="25324">
      <c r="Y25324" s="372">
        <v>0.0</v>
      </c>
      <c r="Z25324" s="372">
        <v>0.0</v>
      </c>
    </row>
    <row r="25325">
      <c r="Y25325" s="372">
        <v>0.0</v>
      </c>
      <c r="Z25325" s="372">
        <v>0.0</v>
      </c>
    </row>
    <row r="25326">
      <c r="Y25326" s="372">
        <v>0.0</v>
      </c>
      <c r="Z25326" s="372">
        <v>0.0</v>
      </c>
    </row>
    <row r="25327">
      <c r="Y25327" s="372">
        <v>0.0</v>
      </c>
      <c r="Z25327" s="372">
        <v>0.0</v>
      </c>
    </row>
    <row r="25328">
      <c r="Y25328" s="372">
        <v>0.0</v>
      </c>
      <c r="Z25328" s="372">
        <v>0.0</v>
      </c>
    </row>
    <row r="25329">
      <c r="Y25329" s="372">
        <v>0.0</v>
      </c>
      <c r="Z25329" s="372">
        <v>0.0</v>
      </c>
    </row>
    <row r="25330">
      <c r="Y25330" s="372">
        <v>0.0</v>
      </c>
      <c r="Z25330" s="372">
        <v>0.0</v>
      </c>
    </row>
    <row r="25331">
      <c r="Y25331" s="372">
        <v>0.0</v>
      </c>
      <c r="Z25331" s="372">
        <v>0.0</v>
      </c>
    </row>
    <row r="25332">
      <c r="Y25332" s="372">
        <v>0.0</v>
      </c>
      <c r="Z25332" s="372">
        <v>0.0</v>
      </c>
    </row>
    <row r="25333">
      <c r="Y25333" s="372">
        <v>0.0</v>
      </c>
      <c r="Z25333" s="372">
        <v>0.0</v>
      </c>
    </row>
    <row r="25334">
      <c r="Y25334" s="372">
        <v>0.0</v>
      </c>
      <c r="Z25334" s="372">
        <v>0.0</v>
      </c>
    </row>
    <row r="25335">
      <c r="Y25335" s="372">
        <v>0.0</v>
      </c>
      <c r="Z25335" s="372">
        <v>0.0</v>
      </c>
    </row>
    <row r="25336">
      <c r="Y25336" s="372">
        <v>0.0</v>
      </c>
      <c r="Z25336" s="372">
        <v>0.0</v>
      </c>
    </row>
    <row r="25337">
      <c r="Y25337" s="372">
        <v>0.0</v>
      </c>
      <c r="Z25337" s="372">
        <v>0.0</v>
      </c>
    </row>
    <row r="25338">
      <c r="Y25338" s="372">
        <v>0.0</v>
      </c>
      <c r="Z25338" s="372">
        <v>0.0</v>
      </c>
    </row>
    <row r="25339">
      <c r="Y25339" s="372">
        <v>0.0</v>
      </c>
      <c r="Z25339" s="372">
        <v>0.0</v>
      </c>
    </row>
    <row r="25340">
      <c r="Y25340" s="372">
        <v>0.0</v>
      </c>
      <c r="Z25340" s="372">
        <v>0.0</v>
      </c>
    </row>
    <row r="25341">
      <c r="Y25341" s="372">
        <v>0.0</v>
      </c>
      <c r="Z25341" s="372">
        <v>0.0</v>
      </c>
    </row>
    <row r="25342">
      <c r="Y25342" s="372">
        <v>0.0</v>
      </c>
      <c r="Z25342" s="372">
        <v>0.0</v>
      </c>
    </row>
    <row r="25343">
      <c r="Y25343" s="372">
        <v>0.0</v>
      </c>
      <c r="Z25343" s="372">
        <v>0.0</v>
      </c>
    </row>
    <row r="25344">
      <c r="Y25344" s="372">
        <v>0.0</v>
      </c>
      <c r="Z25344" s="372">
        <v>0.0</v>
      </c>
    </row>
    <row r="25345">
      <c r="Y25345" s="372">
        <v>0.0</v>
      </c>
      <c r="Z25345" s="372">
        <v>0.0</v>
      </c>
    </row>
    <row r="25346">
      <c r="Y25346" s="372">
        <v>0.0</v>
      </c>
      <c r="Z25346" s="372">
        <v>0.0</v>
      </c>
    </row>
    <row r="25347">
      <c r="Y25347" s="372">
        <v>0.0</v>
      </c>
      <c r="Z25347" s="372">
        <v>0.0</v>
      </c>
    </row>
    <row r="25348">
      <c r="Y25348" s="372">
        <v>0.0</v>
      </c>
      <c r="Z25348" s="372">
        <v>0.0</v>
      </c>
    </row>
    <row r="25349">
      <c r="Y25349" s="372">
        <v>0.0</v>
      </c>
      <c r="Z25349" s="372">
        <v>0.0</v>
      </c>
    </row>
    <row r="25350">
      <c r="Y25350" s="372">
        <v>0.0</v>
      </c>
      <c r="Z25350" s="372">
        <v>0.0</v>
      </c>
    </row>
    <row r="25351">
      <c r="Y25351" s="372">
        <v>0.0</v>
      </c>
      <c r="Z25351" s="372">
        <v>0.0</v>
      </c>
    </row>
    <row r="25352">
      <c r="Y25352" s="372">
        <v>0.0</v>
      </c>
      <c r="Z25352" s="372">
        <v>0.0</v>
      </c>
    </row>
    <row r="25353">
      <c r="Y25353" s="372">
        <v>0.0</v>
      </c>
      <c r="Z25353" s="372">
        <v>0.0</v>
      </c>
    </row>
    <row r="25354">
      <c r="Y25354" s="372">
        <v>0.0</v>
      </c>
      <c r="Z25354" s="372">
        <v>0.0</v>
      </c>
    </row>
    <row r="25355">
      <c r="Y25355" s="372">
        <v>0.0</v>
      </c>
      <c r="Z25355" s="372">
        <v>0.0</v>
      </c>
    </row>
    <row r="25356">
      <c r="Y25356" s="372">
        <v>0.0</v>
      </c>
      <c r="Z25356" s="372">
        <v>0.0</v>
      </c>
    </row>
    <row r="25357">
      <c r="Y25357" s="372">
        <v>0.0</v>
      </c>
      <c r="Z25357" s="372">
        <v>0.0</v>
      </c>
    </row>
    <row r="25358">
      <c r="Y25358" s="372">
        <v>0.0</v>
      </c>
      <c r="Z25358" s="372">
        <v>0.0</v>
      </c>
    </row>
    <row r="25359">
      <c r="Y25359" s="372">
        <v>0.0</v>
      </c>
      <c r="Z25359" s="372">
        <v>0.0</v>
      </c>
    </row>
    <row r="25360">
      <c r="Y25360" s="372">
        <v>0.0</v>
      </c>
      <c r="Z25360" s="372">
        <v>0.0</v>
      </c>
    </row>
    <row r="25361">
      <c r="Y25361" s="372">
        <v>0.0</v>
      </c>
      <c r="Z25361" s="372">
        <v>0.0</v>
      </c>
    </row>
    <row r="25362">
      <c r="Y25362" s="372">
        <v>0.0</v>
      </c>
      <c r="Z25362" s="372">
        <v>0.0</v>
      </c>
    </row>
    <row r="25363">
      <c r="Y25363" s="372">
        <v>0.0</v>
      </c>
      <c r="Z25363" s="372">
        <v>0.0</v>
      </c>
    </row>
    <row r="25364">
      <c r="Y25364" s="372">
        <v>0.0</v>
      </c>
      <c r="Z25364" s="372">
        <v>0.0</v>
      </c>
    </row>
    <row r="25365">
      <c r="Y25365" s="372">
        <v>0.0</v>
      </c>
      <c r="Z25365" s="372">
        <v>0.0</v>
      </c>
    </row>
    <row r="25366">
      <c r="Y25366" s="372">
        <v>0.0</v>
      </c>
      <c r="Z25366" s="372">
        <v>0.0</v>
      </c>
    </row>
    <row r="25367">
      <c r="Y25367" s="372">
        <v>0.0</v>
      </c>
      <c r="Z25367" s="372">
        <v>0.0</v>
      </c>
    </row>
    <row r="25368">
      <c r="Y25368" s="372">
        <v>0.0</v>
      </c>
      <c r="Z25368" s="372">
        <v>0.0</v>
      </c>
    </row>
    <row r="25369">
      <c r="Y25369" s="372">
        <v>0.0</v>
      </c>
      <c r="Z25369" s="372">
        <v>0.0</v>
      </c>
    </row>
    <row r="25370">
      <c r="Y25370" s="372">
        <v>0.0</v>
      </c>
      <c r="Z25370" s="372">
        <v>0.0</v>
      </c>
    </row>
    <row r="25371">
      <c r="Y25371" s="372">
        <v>0.0</v>
      </c>
      <c r="Z25371" s="372">
        <v>0.0</v>
      </c>
    </row>
    <row r="25372">
      <c r="Y25372" s="372">
        <v>0.0</v>
      </c>
      <c r="Z25372" s="372">
        <v>0.0</v>
      </c>
    </row>
    <row r="25373">
      <c r="Y25373" s="372">
        <v>0.0</v>
      </c>
      <c r="Z25373" s="372">
        <v>0.0</v>
      </c>
    </row>
    <row r="25374">
      <c r="Y25374" s="372">
        <v>0.0</v>
      </c>
      <c r="Z25374" s="372">
        <v>0.0</v>
      </c>
    </row>
    <row r="25375">
      <c r="Y25375" s="372">
        <v>0.0</v>
      </c>
      <c r="Z25375" s="372">
        <v>0.0</v>
      </c>
    </row>
    <row r="25376">
      <c r="Y25376" s="372">
        <v>0.0</v>
      </c>
      <c r="Z25376" s="372">
        <v>0.0</v>
      </c>
    </row>
    <row r="25377">
      <c r="Y25377" s="372">
        <v>0.0</v>
      </c>
      <c r="Z25377" s="372">
        <v>0.0</v>
      </c>
    </row>
    <row r="25378">
      <c r="Y25378" s="372">
        <v>0.0</v>
      </c>
      <c r="Z25378" s="372">
        <v>0.0</v>
      </c>
    </row>
    <row r="25379">
      <c r="Y25379" s="372">
        <v>0.0</v>
      </c>
      <c r="Z25379" s="372">
        <v>0.0</v>
      </c>
    </row>
    <row r="25380">
      <c r="Y25380" s="372">
        <v>0.0</v>
      </c>
      <c r="Z25380" s="372">
        <v>0.0</v>
      </c>
    </row>
    <row r="25381">
      <c r="Y25381" s="372">
        <v>0.0</v>
      </c>
      <c r="Z25381" s="372">
        <v>0.0</v>
      </c>
    </row>
    <row r="25382">
      <c r="Y25382" s="372">
        <v>0.0</v>
      </c>
      <c r="Z25382" s="372">
        <v>0.0</v>
      </c>
    </row>
    <row r="25383">
      <c r="Y25383" s="372">
        <v>0.0</v>
      </c>
      <c r="Z25383" s="372">
        <v>0.0</v>
      </c>
    </row>
    <row r="25384">
      <c r="Y25384" s="372">
        <v>0.0</v>
      </c>
      <c r="Z25384" s="372">
        <v>0.0</v>
      </c>
    </row>
    <row r="25385">
      <c r="Y25385" s="372">
        <v>0.0</v>
      </c>
      <c r="Z25385" s="372">
        <v>0.0</v>
      </c>
    </row>
    <row r="25386">
      <c r="Y25386" s="372">
        <v>0.0</v>
      </c>
      <c r="Z25386" s="372">
        <v>0.0</v>
      </c>
    </row>
    <row r="25387">
      <c r="Y25387" s="372">
        <v>0.0</v>
      </c>
      <c r="Z25387" s="372">
        <v>0.0</v>
      </c>
    </row>
    <row r="25388">
      <c r="Y25388" s="372">
        <v>0.0</v>
      </c>
      <c r="Z25388" s="372">
        <v>0.0</v>
      </c>
    </row>
    <row r="25389">
      <c r="Y25389" s="372">
        <v>0.0</v>
      </c>
      <c r="Z25389" s="372">
        <v>0.0</v>
      </c>
    </row>
    <row r="25390">
      <c r="Y25390" s="372">
        <v>0.0</v>
      </c>
      <c r="Z25390" s="372">
        <v>0.0</v>
      </c>
    </row>
    <row r="25391">
      <c r="Y25391" s="372">
        <v>0.0</v>
      </c>
      <c r="Z25391" s="372">
        <v>0.0</v>
      </c>
    </row>
    <row r="25392">
      <c r="Y25392" s="372">
        <v>0.0</v>
      </c>
      <c r="Z25392" s="372">
        <v>0.0</v>
      </c>
    </row>
    <row r="25393">
      <c r="Y25393" s="372">
        <v>0.0</v>
      </c>
      <c r="Z25393" s="372">
        <v>0.0</v>
      </c>
    </row>
    <row r="25394">
      <c r="Y25394" s="372">
        <v>0.0</v>
      </c>
      <c r="Z25394" s="372">
        <v>0.0</v>
      </c>
    </row>
    <row r="25395">
      <c r="Y25395" s="372">
        <v>0.0</v>
      </c>
      <c r="Z25395" s="372">
        <v>0.0</v>
      </c>
    </row>
    <row r="25396">
      <c r="Y25396" s="372">
        <v>0.0</v>
      </c>
      <c r="Z25396" s="372">
        <v>0.0</v>
      </c>
    </row>
    <row r="25397">
      <c r="Y25397" s="372">
        <v>0.0</v>
      </c>
      <c r="Z25397" s="372">
        <v>0.0</v>
      </c>
    </row>
    <row r="25398">
      <c r="Y25398" s="372">
        <v>0.0</v>
      </c>
      <c r="Z25398" s="372">
        <v>0.0</v>
      </c>
    </row>
    <row r="25399">
      <c r="Y25399" s="372">
        <v>0.0</v>
      </c>
      <c r="Z25399" s="372">
        <v>0.0</v>
      </c>
    </row>
    <row r="25400">
      <c r="Y25400" s="372">
        <v>0.0</v>
      </c>
      <c r="Z25400" s="372">
        <v>0.0</v>
      </c>
    </row>
    <row r="25401">
      <c r="Y25401" s="372">
        <v>0.0</v>
      </c>
      <c r="Z25401" s="372">
        <v>0.0</v>
      </c>
    </row>
    <row r="25402">
      <c r="Y25402" s="372">
        <v>0.0</v>
      </c>
      <c r="Z25402" s="372">
        <v>0.0</v>
      </c>
    </row>
    <row r="25403">
      <c r="Y25403" s="372">
        <v>0.0</v>
      </c>
      <c r="Z25403" s="372">
        <v>0.0</v>
      </c>
    </row>
    <row r="25404">
      <c r="Y25404" s="372">
        <v>0.0</v>
      </c>
      <c r="Z25404" s="372">
        <v>0.0</v>
      </c>
    </row>
    <row r="25405">
      <c r="Y25405" s="372">
        <v>0.0</v>
      </c>
      <c r="Z25405" s="372">
        <v>0.0</v>
      </c>
    </row>
    <row r="25406">
      <c r="Y25406" s="372">
        <v>0.0</v>
      </c>
      <c r="Z25406" s="372">
        <v>0.0</v>
      </c>
    </row>
    <row r="25407">
      <c r="Y25407" s="372">
        <v>0.0</v>
      </c>
      <c r="Z25407" s="372">
        <v>0.0</v>
      </c>
    </row>
    <row r="25408">
      <c r="Y25408" s="372">
        <v>0.0</v>
      </c>
      <c r="Z25408" s="372">
        <v>0.0</v>
      </c>
    </row>
    <row r="25409">
      <c r="Y25409" s="372">
        <v>0.0</v>
      </c>
      <c r="Z25409" s="372">
        <v>0.0</v>
      </c>
    </row>
    <row r="25410">
      <c r="Y25410" s="372">
        <v>0.0</v>
      </c>
      <c r="Z25410" s="372">
        <v>0.0</v>
      </c>
    </row>
    <row r="25411">
      <c r="Y25411" s="372">
        <v>0.0</v>
      </c>
      <c r="Z25411" s="372">
        <v>0.0</v>
      </c>
    </row>
    <row r="25412">
      <c r="Y25412" s="372">
        <v>0.0</v>
      </c>
      <c r="Z25412" s="372">
        <v>0.0</v>
      </c>
    </row>
    <row r="25413">
      <c r="Y25413" s="372">
        <v>0.0</v>
      </c>
      <c r="Z25413" s="372">
        <v>0.0</v>
      </c>
    </row>
    <row r="25414">
      <c r="Y25414" s="372">
        <v>0.0</v>
      </c>
      <c r="Z25414" s="372">
        <v>0.0</v>
      </c>
    </row>
    <row r="25415">
      <c r="Y25415" s="372">
        <v>0.0</v>
      </c>
      <c r="Z25415" s="372">
        <v>0.0</v>
      </c>
    </row>
    <row r="25416">
      <c r="Y25416" s="372">
        <v>0.0</v>
      </c>
      <c r="Z25416" s="372">
        <v>0.0</v>
      </c>
    </row>
    <row r="25417">
      <c r="Y25417" s="372">
        <v>0.0</v>
      </c>
      <c r="Z25417" s="372">
        <v>0.0</v>
      </c>
    </row>
    <row r="25418">
      <c r="Y25418" s="372">
        <v>0.0</v>
      </c>
      <c r="Z25418" s="372">
        <v>0.0</v>
      </c>
    </row>
    <row r="25419">
      <c r="Y25419" s="372">
        <v>0.0</v>
      </c>
      <c r="Z25419" s="372">
        <v>0.0</v>
      </c>
    </row>
    <row r="25420">
      <c r="Y25420" s="372">
        <v>0.0</v>
      </c>
      <c r="Z25420" s="372">
        <v>0.0</v>
      </c>
    </row>
    <row r="25421">
      <c r="Y25421" s="372">
        <v>0.0</v>
      </c>
      <c r="Z25421" s="372">
        <v>0.0</v>
      </c>
    </row>
    <row r="25422">
      <c r="Y25422" s="372">
        <v>0.0</v>
      </c>
      <c r="Z25422" s="372">
        <v>0.0</v>
      </c>
    </row>
    <row r="25423">
      <c r="Y25423" s="372">
        <v>0.0</v>
      </c>
      <c r="Z25423" s="372">
        <v>0.0</v>
      </c>
    </row>
    <row r="25424">
      <c r="Y25424" s="372">
        <v>0.0</v>
      </c>
      <c r="Z25424" s="372">
        <v>0.0</v>
      </c>
    </row>
    <row r="25425">
      <c r="Y25425" s="372">
        <v>0.0</v>
      </c>
      <c r="Z25425" s="372">
        <v>0.0</v>
      </c>
    </row>
    <row r="25426">
      <c r="Y25426" s="372">
        <v>0.0</v>
      </c>
      <c r="Z25426" s="372">
        <v>0.0</v>
      </c>
    </row>
    <row r="25427">
      <c r="Y25427" s="372">
        <v>0.0</v>
      </c>
      <c r="Z25427" s="372">
        <v>0.0</v>
      </c>
    </row>
    <row r="25428">
      <c r="Y25428" s="372">
        <v>0.0</v>
      </c>
      <c r="Z25428" s="372">
        <v>0.0</v>
      </c>
    </row>
    <row r="25429">
      <c r="Y25429" s="372">
        <v>0.0</v>
      </c>
      <c r="Z25429" s="372">
        <v>0.0</v>
      </c>
    </row>
    <row r="25430">
      <c r="Y25430" s="372">
        <v>0.0</v>
      </c>
      <c r="Z25430" s="372">
        <v>0.0</v>
      </c>
    </row>
    <row r="25431">
      <c r="Y25431" s="372">
        <v>0.0</v>
      </c>
      <c r="Z25431" s="372">
        <v>0.0</v>
      </c>
    </row>
    <row r="25432">
      <c r="Y25432" s="372">
        <v>0.0</v>
      </c>
      <c r="Z25432" s="372">
        <v>0.0</v>
      </c>
    </row>
    <row r="25433">
      <c r="Y25433" s="372">
        <v>0.0</v>
      </c>
      <c r="Z25433" s="372">
        <v>0.0</v>
      </c>
    </row>
    <row r="25434">
      <c r="Y25434" s="372">
        <v>0.0</v>
      </c>
      <c r="Z25434" s="372">
        <v>0.0</v>
      </c>
    </row>
    <row r="25435">
      <c r="Y25435" s="372">
        <v>0.0</v>
      </c>
      <c r="Z25435" s="372">
        <v>0.0</v>
      </c>
    </row>
    <row r="25436">
      <c r="Y25436" s="372">
        <v>0.0</v>
      </c>
      <c r="Z25436" s="372">
        <v>0.0</v>
      </c>
    </row>
    <row r="25437">
      <c r="Y25437" s="372">
        <v>0.0</v>
      </c>
      <c r="Z25437" s="372">
        <v>0.0</v>
      </c>
    </row>
    <row r="25438">
      <c r="Y25438" s="372">
        <v>0.0</v>
      </c>
      <c r="Z25438" s="372">
        <v>0.0</v>
      </c>
    </row>
    <row r="25439">
      <c r="Y25439" s="372">
        <v>0.0</v>
      </c>
      <c r="Z25439" s="372">
        <v>0.0</v>
      </c>
    </row>
    <row r="25440">
      <c r="Y25440" s="372">
        <v>0.0</v>
      </c>
      <c r="Z25440" s="372">
        <v>0.0</v>
      </c>
    </row>
    <row r="25441">
      <c r="Y25441" s="372">
        <v>0.0</v>
      </c>
      <c r="Z25441" s="372">
        <v>0.0</v>
      </c>
    </row>
    <row r="25442">
      <c r="Y25442" s="372">
        <v>0.0</v>
      </c>
      <c r="Z25442" s="372">
        <v>0.0</v>
      </c>
    </row>
    <row r="25443">
      <c r="Y25443" s="372">
        <v>0.0</v>
      </c>
      <c r="Z25443" s="372">
        <v>0.0</v>
      </c>
    </row>
    <row r="25444">
      <c r="Y25444" s="372">
        <v>0.0</v>
      </c>
      <c r="Z25444" s="372">
        <v>0.0</v>
      </c>
    </row>
    <row r="25445">
      <c r="Y25445" s="372">
        <v>0.0</v>
      </c>
      <c r="Z25445" s="372">
        <v>0.0</v>
      </c>
    </row>
    <row r="25446">
      <c r="Y25446" s="372">
        <v>0.0</v>
      </c>
      <c r="Z25446" s="372">
        <v>0.0</v>
      </c>
    </row>
    <row r="25447">
      <c r="Y25447" s="372">
        <v>0.0</v>
      </c>
      <c r="Z25447" s="372">
        <v>0.0</v>
      </c>
    </row>
    <row r="25448">
      <c r="Y25448" s="372">
        <v>0.0</v>
      </c>
      <c r="Z25448" s="372">
        <v>0.0</v>
      </c>
    </row>
    <row r="25449">
      <c r="Y25449" s="372">
        <v>0.0</v>
      </c>
      <c r="Z25449" s="372">
        <v>0.0</v>
      </c>
    </row>
    <row r="25450">
      <c r="Y25450" s="372">
        <v>0.0</v>
      </c>
      <c r="Z25450" s="372">
        <v>0.0</v>
      </c>
    </row>
    <row r="25451">
      <c r="Y25451" s="372">
        <v>0.0</v>
      </c>
      <c r="Z25451" s="372">
        <v>0.0</v>
      </c>
    </row>
    <row r="25452">
      <c r="Y25452" s="372">
        <v>0.0</v>
      </c>
      <c r="Z25452" s="372">
        <v>0.0</v>
      </c>
    </row>
    <row r="25453">
      <c r="Y25453" s="372">
        <v>0.0</v>
      </c>
      <c r="Z25453" s="372">
        <v>0.0</v>
      </c>
    </row>
    <row r="25454">
      <c r="Y25454" s="372">
        <v>0.0</v>
      </c>
      <c r="Z25454" s="372">
        <v>0.0</v>
      </c>
    </row>
    <row r="25455">
      <c r="Y25455" s="372">
        <v>0.0</v>
      </c>
      <c r="Z25455" s="372">
        <v>0.0</v>
      </c>
    </row>
    <row r="25456">
      <c r="Y25456" s="372">
        <v>0.0</v>
      </c>
      <c r="Z25456" s="372">
        <v>0.0</v>
      </c>
    </row>
    <row r="25457">
      <c r="Y25457" s="372">
        <v>0.0</v>
      </c>
      <c r="Z25457" s="372">
        <v>0.0</v>
      </c>
    </row>
    <row r="25458">
      <c r="Y25458" s="372">
        <v>0.0</v>
      </c>
      <c r="Z25458" s="372">
        <v>0.0</v>
      </c>
    </row>
    <row r="25459">
      <c r="Y25459" s="372">
        <v>0.0</v>
      </c>
      <c r="Z25459" s="372">
        <v>0.0</v>
      </c>
    </row>
    <row r="25460">
      <c r="Y25460" s="372">
        <v>0.0</v>
      </c>
      <c r="Z25460" s="372">
        <v>0.0</v>
      </c>
    </row>
    <row r="25461">
      <c r="Y25461" s="372">
        <v>0.0</v>
      </c>
      <c r="Z25461" s="372">
        <v>0.0</v>
      </c>
    </row>
    <row r="25462">
      <c r="Y25462" s="372">
        <v>0.0</v>
      </c>
      <c r="Z25462" s="372">
        <v>0.0</v>
      </c>
    </row>
    <row r="25463">
      <c r="Y25463" s="372">
        <v>0.0</v>
      </c>
      <c r="Z25463" s="372">
        <v>0.0</v>
      </c>
    </row>
    <row r="25464">
      <c r="Y25464" s="372">
        <v>0.0</v>
      </c>
      <c r="Z25464" s="372">
        <v>0.0</v>
      </c>
    </row>
    <row r="25465">
      <c r="Y25465" s="372">
        <v>0.0</v>
      </c>
      <c r="Z25465" s="372">
        <v>0.0</v>
      </c>
    </row>
    <row r="25466">
      <c r="Y25466" s="372">
        <v>0.0</v>
      </c>
      <c r="Z25466" s="372">
        <v>0.0</v>
      </c>
    </row>
    <row r="25467">
      <c r="Y25467" s="372">
        <v>0.0</v>
      </c>
      <c r="Z25467" s="372">
        <v>0.0</v>
      </c>
    </row>
    <row r="25468">
      <c r="Y25468" s="372">
        <v>0.0</v>
      </c>
      <c r="Z25468" s="372">
        <v>0.0</v>
      </c>
    </row>
    <row r="25469">
      <c r="Y25469" s="372">
        <v>0.0</v>
      </c>
      <c r="Z25469" s="372">
        <v>0.0</v>
      </c>
    </row>
    <row r="25470">
      <c r="Y25470" s="372">
        <v>0.0</v>
      </c>
      <c r="Z25470" s="372">
        <v>0.0</v>
      </c>
    </row>
    <row r="25471">
      <c r="Y25471" s="372">
        <v>0.0</v>
      </c>
      <c r="Z25471" s="372">
        <v>0.0</v>
      </c>
    </row>
    <row r="25472">
      <c r="Y25472" s="372">
        <v>0.0</v>
      </c>
      <c r="Z25472" s="372">
        <v>0.0</v>
      </c>
    </row>
    <row r="25473">
      <c r="Y25473" s="372">
        <v>0.0</v>
      </c>
      <c r="Z25473" s="372">
        <v>0.0</v>
      </c>
    </row>
    <row r="25474">
      <c r="Y25474" s="372">
        <v>0.0</v>
      </c>
      <c r="Z25474" s="372">
        <v>0.0</v>
      </c>
    </row>
    <row r="25475">
      <c r="Y25475" s="372">
        <v>0.0</v>
      </c>
      <c r="Z25475" s="372">
        <v>0.0</v>
      </c>
    </row>
    <row r="25476">
      <c r="Y25476" s="372">
        <v>0.0</v>
      </c>
      <c r="Z25476" s="372">
        <v>0.0</v>
      </c>
    </row>
    <row r="25477">
      <c r="Y25477" s="372">
        <v>0.0</v>
      </c>
      <c r="Z25477" s="372">
        <v>0.0</v>
      </c>
    </row>
    <row r="25478">
      <c r="Y25478" s="372">
        <v>0.0</v>
      </c>
      <c r="Z25478" s="372">
        <v>0.0</v>
      </c>
    </row>
    <row r="25479">
      <c r="Y25479" s="372">
        <v>0.0</v>
      </c>
      <c r="Z25479" s="372">
        <v>0.0</v>
      </c>
    </row>
    <row r="25480">
      <c r="Y25480" s="372">
        <v>0.0</v>
      </c>
      <c r="Z25480" s="372">
        <v>0.0</v>
      </c>
    </row>
    <row r="25481">
      <c r="Y25481" s="372">
        <v>0.0</v>
      </c>
      <c r="Z25481" s="372">
        <v>0.0</v>
      </c>
    </row>
    <row r="25482">
      <c r="Y25482" s="372">
        <v>0.0</v>
      </c>
      <c r="Z25482" s="372">
        <v>0.0</v>
      </c>
    </row>
    <row r="25483">
      <c r="Y25483" s="372">
        <v>0.0</v>
      </c>
      <c r="Z25483" s="372">
        <v>0.0</v>
      </c>
    </row>
    <row r="25484">
      <c r="Y25484" s="372">
        <v>0.0</v>
      </c>
      <c r="Z25484" s="372">
        <v>0.0</v>
      </c>
    </row>
    <row r="25485">
      <c r="Y25485" s="372">
        <v>0.0</v>
      </c>
      <c r="Z25485" s="372">
        <v>0.0</v>
      </c>
    </row>
    <row r="25486">
      <c r="Y25486" s="372">
        <v>0.0</v>
      </c>
      <c r="Z25486" s="372">
        <v>0.0</v>
      </c>
    </row>
    <row r="25487">
      <c r="Y25487" s="372">
        <v>0.0</v>
      </c>
      <c r="Z25487" s="372">
        <v>0.0</v>
      </c>
    </row>
    <row r="25488">
      <c r="Y25488" s="372">
        <v>0.0</v>
      </c>
      <c r="Z25488" s="372">
        <v>0.0</v>
      </c>
    </row>
    <row r="25489">
      <c r="Y25489" s="372">
        <v>0.0</v>
      </c>
      <c r="Z25489" s="372">
        <v>0.0</v>
      </c>
    </row>
    <row r="25490">
      <c r="Y25490" s="372">
        <v>0.0</v>
      </c>
      <c r="Z25490" s="372">
        <v>0.0</v>
      </c>
    </row>
    <row r="25491">
      <c r="Y25491" s="372">
        <v>0.0</v>
      </c>
      <c r="Z25491" s="372">
        <v>0.0</v>
      </c>
    </row>
    <row r="25492">
      <c r="Y25492" s="372">
        <v>0.0</v>
      </c>
      <c r="Z25492" s="372">
        <v>0.0</v>
      </c>
    </row>
    <row r="25493">
      <c r="Y25493" s="372">
        <v>0.0</v>
      </c>
      <c r="Z25493" s="372">
        <v>0.0</v>
      </c>
    </row>
    <row r="25494">
      <c r="Y25494" s="372">
        <v>0.0</v>
      </c>
      <c r="Z25494" s="372">
        <v>0.0</v>
      </c>
    </row>
    <row r="25495">
      <c r="Y25495" s="372">
        <v>0.0</v>
      </c>
      <c r="Z25495" s="372">
        <v>0.0</v>
      </c>
    </row>
    <row r="25496">
      <c r="Y25496" s="372">
        <v>0.0</v>
      </c>
      <c r="Z25496" s="372">
        <v>0.0</v>
      </c>
    </row>
    <row r="25497">
      <c r="Y25497" s="372">
        <v>0.0</v>
      </c>
      <c r="Z25497" s="372">
        <v>0.0</v>
      </c>
    </row>
    <row r="25498">
      <c r="Y25498" s="372">
        <v>0.0</v>
      </c>
      <c r="Z25498" s="372">
        <v>0.0</v>
      </c>
    </row>
    <row r="25499">
      <c r="Y25499" s="372">
        <v>0.0</v>
      </c>
      <c r="Z25499" s="372">
        <v>0.0</v>
      </c>
    </row>
    <row r="25500">
      <c r="Y25500" s="372">
        <v>0.0</v>
      </c>
      <c r="Z25500" s="372">
        <v>0.0</v>
      </c>
    </row>
    <row r="25501">
      <c r="Y25501" s="372">
        <v>0.0</v>
      </c>
      <c r="Z25501" s="372">
        <v>0.0</v>
      </c>
    </row>
    <row r="25502">
      <c r="Y25502" s="372">
        <v>0.0</v>
      </c>
      <c r="Z25502" s="372">
        <v>0.0</v>
      </c>
    </row>
    <row r="25503">
      <c r="Y25503" s="372">
        <v>0.0</v>
      </c>
      <c r="Z25503" s="372">
        <v>0.0</v>
      </c>
    </row>
    <row r="25504">
      <c r="Y25504" s="372">
        <v>0.0</v>
      </c>
      <c r="Z25504" s="372">
        <v>0.0</v>
      </c>
    </row>
    <row r="25505">
      <c r="Y25505" s="372">
        <v>0.0</v>
      </c>
      <c r="Z25505" s="372">
        <v>0.0</v>
      </c>
    </row>
    <row r="25506">
      <c r="Y25506" s="372">
        <v>0.0</v>
      </c>
      <c r="Z25506" s="372">
        <v>0.0</v>
      </c>
    </row>
    <row r="25507">
      <c r="Y25507" s="372">
        <v>0.0</v>
      </c>
      <c r="Z25507" s="372">
        <v>0.0</v>
      </c>
    </row>
    <row r="25508">
      <c r="Y25508" s="372">
        <v>0.0</v>
      </c>
      <c r="Z25508" s="372">
        <v>0.0</v>
      </c>
    </row>
    <row r="25509">
      <c r="Y25509" s="372">
        <v>0.0</v>
      </c>
      <c r="Z25509" s="372">
        <v>0.0</v>
      </c>
    </row>
    <row r="25510">
      <c r="Y25510" s="372">
        <v>0.0</v>
      </c>
      <c r="Z25510" s="372">
        <v>0.0</v>
      </c>
    </row>
    <row r="25511">
      <c r="Y25511" s="372">
        <v>0.0</v>
      </c>
      <c r="Z25511" s="372">
        <v>0.0</v>
      </c>
    </row>
    <row r="25512">
      <c r="Y25512" s="372">
        <v>0.0</v>
      </c>
      <c r="Z25512" s="372">
        <v>0.0</v>
      </c>
    </row>
    <row r="25513">
      <c r="Y25513" s="372">
        <v>0.0</v>
      </c>
      <c r="Z25513" s="372">
        <v>0.0</v>
      </c>
    </row>
    <row r="25514">
      <c r="Y25514" s="372">
        <v>0.0</v>
      </c>
      <c r="Z25514" s="372">
        <v>0.0</v>
      </c>
    </row>
    <row r="25515">
      <c r="Y25515" s="372">
        <v>0.0</v>
      </c>
      <c r="Z25515" s="372">
        <v>0.0</v>
      </c>
    </row>
    <row r="25516">
      <c r="Y25516" s="372">
        <v>0.0</v>
      </c>
      <c r="Z25516" s="372">
        <v>0.0</v>
      </c>
    </row>
    <row r="25517">
      <c r="Y25517" s="372">
        <v>0.0</v>
      </c>
      <c r="Z25517" s="372">
        <v>0.0</v>
      </c>
    </row>
    <row r="25518">
      <c r="Y25518" s="372">
        <v>0.0</v>
      </c>
      <c r="Z25518" s="372">
        <v>0.0</v>
      </c>
    </row>
    <row r="25519">
      <c r="Y25519" s="372">
        <v>0.0</v>
      </c>
      <c r="Z25519" s="372">
        <v>0.0</v>
      </c>
    </row>
    <row r="25520">
      <c r="Y25520" s="372">
        <v>0.0</v>
      </c>
      <c r="Z25520" s="372">
        <v>0.0</v>
      </c>
    </row>
    <row r="25521">
      <c r="Y25521" s="372">
        <v>0.0</v>
      </c>
      <c r="Z25521" s="372">
        <v>0.0</v>
      </c>
    </row>
    <row r="25522">
      <c r="Y25522" s="372">
        <v>0.0</v>
      </c>
      <c r="Z25522" s="372">
        <v>0.0</v>
      </c>
    </row>
    <row r="25523">
      <c r="Y25523" s="372">
        <v>0.0</v>
      </c>
      <c r="Z25523" s="372">
        <v>0.0</v>
      </c>
    </row>
    <row r="25524">
      <c r="Y25524" s="372">
        <v>0.0</v>
      </c>
      <c r="Z25524" s="372">
        <v>0.0</v>
      </c>
    </row>
    <row r="25525">
      <c r="Y25525" s="372">
        <v>0.0</v>
      </c>
      <c r="Z25525" s="372">
        <v>0.0</v>
      </c>
    </row>
    <row r="25526">
      <c r="Y25526" s="372">
        <v>0.0</v>
      </c>
      <c r="Z25526" s="372">
        <v>0.0</v>
      </c>
    </row>
    <row r="25527">
      <c r="Y25527" s="372">
        <v>0.0</v>
      </c>
      <c r="Z25527" s="372">
        <v>0.0</v>
      </c>
    </row>
    <row r="25528">
      <c r="Y25528" s="372">
        <v>0.0</v>
      </c>
      <c r="Z25528" s="372">
        <v>0.0</v>
      </c>
    </row>
    <row r="25529">
      <c r="Y25529" s="372">
        <v>0.0</v>
      </c>
      <c r="Z25529" s="372">
        <v>0.0</v>
      </c>
    </row>
    <row r="25530">
      <c r="Y25530" s="372">
        <v>0.0</v>
      </c>
      <c r="Z25530" s="372">
        <v>0.0</v>
      </c>
    </row>
    <row r="25531">
      <c r="Y25531" s="372">
        <v>0.0</v>
      </c>
      <c r="Z25531" s="372">
        <v>0.0</v>
      </c>
    </row>
    <row r="25532">
      <c r="Y25532" s="372">
        <v>0.0</v>
      </c>
      <c r="Z25532" s="372">
        <v>0.0</v>
      </c>
    </row>
    <row r="25533">
      <c r="Y25533" s="372">
        <v>0.0</v>
      </c>
      <c r="Z25533" s="372">
        <v>0.0</v>
      </c>
    </row>
    <row r="25534">
      <c r="Y25534" s="372">
        <v>0.0</v>
      </c>
      <c r="Z25534" s="372">
        <v>0.0</v>
      </c>
    </row>
    <row r="25535">
      <c r="Y25535" s="372">
        <v>0.0</v>
      </c>
      <c r="Z25535" s="372">
        <v>0.0</v>
      </c>
    </row>
    <row r="25536">
      <c r="Y25536" s="372">
        <v>0.0</v>
      </c>
      <c r="Z25536" s="372">
        <v>0.0</v>
      </c>
    </row>
    <row r="25537">
      <c r="Y25537" s="372">
        <v>0.0</v>
      </c>
      <c r="Z25537" s="372">
        <v>0.0</v>
      </c>
    </row>
    <row r="25538">
      <c r="Y25538" s="372">
        <v>0.0</v>
      </c>
      <c r="Z25538" s="372">
        <v>0.0</v>
      </c>
    </row>
    <row r="25539">
      <c r="Y25539" s="372">
        <v>0.0</v>
      </c>
      <c r="Z25539" s="372">
        <v>0.0</v>
      </c>
    </row>
    <row r="25540">
      <c r="Y25540" s="372">
        <v>0.0</v>
      </c>
      <c r="Z25540" s="372">
        <v>0.0</v>
      </c>
    </row>
    <row r="25541">
      <c r="Y25541" s="372">
        <v>0.0</v>
      </c>
      <c r="Z25541" s="372">
        <v>0.0</v>
      </c>
    </row>
    <row r="25542">
      <c r="Y25542" s="372">
        <v>0.0</v>
      </c>
      <c r="Z25542" s="372">
        <v>0.0</v>
      </c>
    </row>
    <row r="25543">
      <c r="Y25543" s="372">
        <v>0.0</v>
      </c>
      <c r="Z25543" s="372">
        <v>0.0</v>
      </c>
    </row>
    <row r="25544">
      <c r="Y25544" s="372">
        <v>0.0</v>
      </c>
      <c r="Z25544" s="372">
        <v>0.0</v>
      </c>
    </row>
    <row r="25545">
      <c r="Y25545" s="372">
        <v>0.0</v>
      </c>
      <c r="Z25545" s="372">
        <v>0.0</v>
      </c>
    </row>
    <row r="25546">
      <c r="Y25546" s="372">
        <v>0.0</v>
      </c>
      <c r="Z25546" s="372">
        <v>0.0</v>
      </c>
    </row>
    <row r="25547">
      <c r="Y25547" s="372">
        <v>0.0</v>
      </c>
      <c r="Z25547" s="372">
        <v>0.0</v>
      </c>
    </row>
    <row r="25548">
      <c r="Y25548" s="372">
        <v>0.0</v>
      </c>
      <c r="Z25548" s="372">
        <v>0.0</v>
      </c>
    </row>
    <row r="25549">
      <c r="Y25549" s="372">
        <v>0.0</v>
      </c>
      <c r="Z25549" s="372">
        <v>0.0</v>
      </c>
    </row>
    <row r="25550">
      <c r="Y25550" s="372">
        <v>0.0</v>
      </c>
      <c r="Z25550" s="372">
        <v>0.0</v>
      </c>
    </row>
    <row r="25551">
      <c r="Y25551" s="372">
        <v>0.0</v>
      </c>
      <c r="Z25551" s="372">
        <v>0.0</v>
      </c>
    </row>
    <row r="25552">
      <c r="Y25552" s="372">
        <v>0.0</v>
      </c>
      <c r="Z25552" s="372">
        <v>0.0</v>
      </c>
    </row>
    <row r="25553">
      <c r="Y25553" s="372">
        <v>0.0</v>
      </c>
      <c r="Z25553" s="372">
        <v>0.0</v>
      </c>
    </row>
    <row r="25554">
      <c r="Y25554" s="372">
        <v>0.0</v>
      </c>
      <c r="Z25554" s="372">
        <v>0.0</v>
      </c>
    </row>
    <row r="25555">
      <c r="Y25555" s="372">
        <v>0.0</v>
      </c>
      <c r="Z25555" s="372">
        <v>0.0</v>
      </c>
    </row>
    <row r="25556">
      <c r="Y25556" s="372">
        <v>0.0</v>
      </c>
      <c r="Z25556" s="372">
        <v>0.0</v>
      </c>
    </row>
    <row r="25557">
      <c r="Y25557" s="372">
        <v>0.0</v>
      </c>
      <c r="Z25557" s="372">
        <v>0.0</v>
      </c>
    </row>
    <row r="25558">
      <c r="Y25558" s="372">
        <v>0.0</v>
      </c>
      <c r="Z25558" s="372">
        <v>0.0</v>
      </c>
    </row>
    <row r="25559">
      <c r="Y25559" s="372">
        <v>0.0</v>
      </c>
      <c r="Z25559" s="372">
        <v>0.0</v>
      </c>
    </row>
    <row r="25560">
      <c r="Y25560" s="372">
        <v>0.0</v>
      </c>
      <c r="Z25560" s="372">
        <v>0.0</v>
      </c>
    </row>
    <row r="25561">
      <c r="Y25561" s="372">
        <v>0.0</v>
      </c>
      <c r="Z25561" s="372">
        <v>0.0</v>
      </c>
    </row>
    <row r="25562">
      <c r="Y25562" s="372">
        <v>0.0</v>
      </c>
      <c r="Z25562" s="372">
        <v>0.0</v>
      </c>
    </row>
    <row r="25563">
      <c r="Y25563" s="372">
        <v>0.0</v>
      </c>
      <c r="Z25563" s="372">
        <v>0.0</v>
      </c>
    </row>
    <row r="25564">
      <c r="Y25564" s="372">
        <v>0.0</v>
      </c>
      <c r="Z25564" s="372">
        <v>0.0</v>
      </c>
    </row>
    <row r="25565">
      <c r="Y25565" s="372">
        <v>0.0</v>
      </c>
      <c r="Z25565" s="372">
        <v>0.0</v>
      </c>
    </row>
    <row r="25566">
      <c r="Y25566" s="372">
        <v>0.0</v>
      </c>
      <c r="Z25566" s="372">
        <v>0.0</v>
      </c>
    </row>
    <row r="25567">
      <c r="Y25567" s="372">
        <v>0.0</v>
      </c>
      <c r="Z25567" s="372">
        <v>0.0</v>
      </c>
    </row>
    <row r="25568">
      <c r="Y25568" s="372">
        <v>0.0</v>
      </c>
      <c r="Z25568" s="372">
        <v>0.0</v>
      </c>
    </row>
    <row r="25569">
      <c r="Y25569" s="372">
        <v>0.0</v>
      </c>
      <c r="Z25569" s="372">
        <v>0.0</v>
      </c>
    </row>
    <row r="25570">
      <c r="Y25570" s="372">
        <v>0.0</v>
      </c>
      <c r="Z25570" s="372">
        <v>0.0</v>
      </c>
    </row>
    <row r="25571">
      <c r="Y25571" s="372">
        <v>0.0</v>
      </c>
      <c r="Z25571" s="372">
        <v>0.0</v>
      </c>
    </row>
    <row r="25572">
      <c r="Y25572" s="372">
        <v>0.0</v>
      </c>
      <c r="Z25572" s="372">
        <v>0.0</v>
      </c>
    </row>
    <row r="25573">
      <c r="Y25573" s="372">
        <v>0.0</v>
      </c>
      <c r="Z25573" s="372">
        <v>0.0</v>
      </c>
    </row>
    <row r="25574">
      <c r="Y25574" s="372">
        <v>0.0</v>
      </c>
      <c r="Z25574" s="372">
        <v>0.0</v>
      </c>
    </row>
    <row r="25575">
      <c r="Y25575" s="372">
        <v>0.0</v>
      </c>
      <c r="Z25575" s="372">
        <v>0.0</v>
      </c>
    </row>
    <row r="25576">
      <c r="Y25576" s="372">
        <v>0.0</v>
      </c>
      <c r="Z25576" s="372">
        <v>0.0</v>
      </c>
    </row>
    <row r="25577">
      <c r="Y25577" s="372">
        <v>0.0</v>
      </c>
      <c r="Z25577" s="372">
        <v>0.0</v>
      </c>
    </row>
    <row r="25578">
      <c r="Y25578" s="372">
        <v>0.0</v>
      </c>
      <c r="Z25578" s="372">
        <v>0.0</v>
      </c>
    </row>
    <row r="25579">
      <c r="Y25579" s="372">
        <v>0.0</v>
      </c>
      <c r="Z25579" s="372">
        <v>0.0</v>
      </c>
    </row>
    <row r="25580">
      <c r="Y25580" s="372">
        <v>0.0</v>
      </c>
      <c r="Z25580" s="372">
        <v>0.0</v>
      </c>
    </row>
    <row r="25581">
      <c r="Y25581" s="372">
        <v>0.0</v>
      </c>
      <c r="Z25581" s="372">
        <v>0.0</v>
      </c>
    </row>
    <row r="25582">
      <c r="Y25582" s="372">
        <v>0.0</v>
      </c>
      <c r="Z25582" s="372">
        <v>0.0</v>
      </c>
    </row>
    <row r="25583">
      <c r="Y25583" s="372">
        <v>0.0</v>
      </c>
      <c r="Z25583" s="372">
        <v>0.0</v>
      </c>
    </row>
    <row r="25584">
      <c r="Y25584" s="372">
        <v>0.0</v>
      </c>
      <c r="Z25584" s="372">
        <v>0.0</v>
      </c>
    </row>
    <row r="25585">
      <c r="Y25585" s="372">
        <v>0.0</v>
      </c>
      <c r="Z25585" s="372">
        <v>0.0</v>
      </c>
    </row>
    <row r="25586">
      <c r="Y25586" s="372">
        <v>0.0</v>
      </c>
      <c r="Z25586" s="372">
        <v>0.0</v>
      </c>
    </row>
    <row r="25587">
      <c r="Y25587" s="372">
        <v>0.0</v>
      </c>
      <c r="Z25587" s="372">
        <v>0.0</v>
      </c>
    </row>
    <row r="25588">
      <c r="Y25588" s="372">
        <v>0.0</v>
      </c>
      <c r="Z25588" s="372">
        <v>0.0</v>
      </c>
    </row>
    <row r="25589">
      <c r="Y25589" s="372">
        <v>0.0</v>
      </c>
      <c r="Z25589" s="372">
        <v>0.0</v>
      </c>
    </row>
    <row r="25590">
      <c r="Y25590" s="372">
        <v>0.0</v>
      </c>
      <c r="Z25590" s="372">
        <v>0.0</v>
      </c>
    </row>
    <row r="25591">
      <c r="Y25591" s="372">
        <v>0.0</v>
      </c>
      <c r="Z25591" s="372">
        <v>0.0</v>
      </c>
    </row>
    <row r="25592">
      <c r="Y25592" s="372">
        <v>0.0</v>
      </c>
      <c r="Z25592" s="372">
        <v>0.0</v>
      </c>
    </row>
    <row r="25593">
      <c r="Y25593" s="372">
        <v>0.0</v>
      </c>
      <c r="Z25593" s="372">
        <v>0.0</v>
      </c>
    </row>
    <row r="25594">
      <c r="Y25594" s="372">
        <v>0.0</v>
      </c>
      <c r="Z25594" s="372">
        <v>0.0</v>
      </c>
    </row>
    <row r="25595">
      <c r="Y25595" s="372">
        <v>0.0</v>
      </c>
      <c r="Z25595" s="372">
        <v>0.0</v>
      </c>
    </row>
    <row r="25596">
      <c r="Y25596" s="372">
        <v>0.0</v>
      </c>
      <c r="Z25596" s="372">
        <v>0.0</v>
      </c>
    </row>
    <row r="25597">
      <c r="Y25597" s="372">
        <v>0.0</v>
      </c>
      <c r="Z25597" s="372">
        <v>0.0</v>
      </c>
    </row>
    <row r="25598">
      <c r="Y25598" s="372">
        <v>0.0</v>
      </c>
      <c r="Z25598" s="372">
        <v>0.0</v>
      </c>
    </row>
    <row r="25599">
      <c r="Y25599" s="372">
        <v>0.0</v>
      </c>
      <c r="Z25599" s="372">
        <v>0.0</v>
      </c>
    </row>
    <row r="25600">
      <c r="Y25600" s="372">
        <v>0.0</v>
      </c>
      <c r="Z25600" s="372">
        <v>0.0</v>
      </c>
    </row>
    <row r="25601">
      <c r="Y25601" s="372">
        <v>0.0</v>
      </c>
      <c r="Z25601" s="372">
        <v>0.0</v>
      </c>
    </row>
    <row r="25602">
      <c r="Y25602" s="372">
        <v>0.0</v>
      </c>
      <c r="Z25602" s="372">
        <v>0.0</v>
      </c>
    </row>
    <row r="25603">
      <c r="Y25603" s="372">
        <v>0.0</v>
      </c>
      <c r="Z25603" s="372">
        <v>0.0</v>
      </c>
    </row>
    <row r="25604">
      <c r="Y25604" s="372">
        <v>0.0</v>
      </c>
      <c r="Z25604" s="372">
        <v>0.0</v>
      </c>
    </row>
    <row r="25605">
      <c r="Y25605" s="372">
        <v>0.0</v>
      </c>
      <c r="Z25605" s="372">
        <v>0.0</v>
      </c>
    </row>
    <row r="25606">
      <c r="Y25606" s="372">
        <v>0.0</v>
      </c>
      <c r="Z25606" s="372">
        <v>0.0</v>
      </c>
    </row>
    <row r="25607">
      <c r="Y25607" s="372">
        <v>0.0</v>
      </c>
      <c r="Z25607" s="372">
        <v>0.0</v>
      </c>
    </row>
    <row r="25608">
      <c r="Y25608" s="372">
        <v>0.0</v>
      </c>
      <c r="Z25608" s="372">
        <v>0.0</v>
      </c>
    </row>
    <row r="25609">
      <c r="Y25609" s="372">
        <v>0.0</v>
      </c>
      <c r="Z25609" s="372">
        <v>0.0</v>
      </c>
    </row>
    <row r="25610">
      <c r="Y25610" s="372">
        <v>0.0</v>
      </c>
      <c r="Z25610" s="372">
        <v>0.0</v>
      </c>
    </row>
    <row r="25611">
      <c r="Y25611" s="372">
        <v>0.0</v>
      </c>
      <c r="Z25611" s="372">
        <v>0.0</v>
      </c>
    </row>
    <row r="25612">
      <c r="Y25612" s="372">
        <v>0.0</v>
      </c>
      <c r="Z25612" s="372">
        <v>0.0</v>
      </c>
    </row>
    <row r="25613">
      <c r="Y25613" s="372">
        <v>0.0</v>
      </c>
      <c r="Z25613" s="372">
        <v>0.0</v>
      </c>
    </row>
    <row r="25614">
      <c r="Y25614" s="372">
        <v>0.0</v>
      </c>
      <c r="Z25614" s="372">
        <v>0.0</v>
      </c>
    </row>
    <row r="25615">
      <c r="Y25615" s="372">
        <v>0.0</v>
      </c>
      <c r="Z25615" s="372">
        <v>0.0</v>
      </c>
    </row>
    <row r="25616">
      <c r="Y25616" s="372">
        <v>0.0</v>
      </c>
      <c r="Z25616" s="372">
        <v>0.0</v>
      </c>
    </row>
    <row r="25617">
      <c r="Y25617" s="372">
        <v>0.0</v>
      </c>
      <c r="Z25617" s="372">
        <v>0.0</v>
      </c>
    </row>
    <row r="25618">
      <c r="Y25618" s="372">
        <v>0.0</v>
      </c>
      <c r="Z25618" s="372">
        <v>0.0</v>
      </c>
    </row>
    <row r="25619">
      <c r="Y25619" s="372">
        <v>0.0</v>
      </c>
      <c r="Z25619" s="372">
        <v>0.0</v>
      </c>
    </row>
    <row r="25620">
      <c r="Y25620" s="372">
        <v>0.0</v>
      </c>
      <c r="Z25620" s="372">
        <v>0.0</v>
      </c>
    </row>
    <row r="25621">
      <c r="Y25621" s="372">
        <v>0.0</v>
      </c>
      <c r="Z25621" s="372">
        <v>0.0</v>
      </c>
    </row>
    <row r="25622">
      <c r="Y25622" s="372">
        <v>0.0</v>
      </c>
      <c r="Z25622" s="372">
        <v>0.0</v>
      </c>
    </row>
    <row r="25623">
      <c r="Y25623" s="372">
        <v>0.0</v>
      </c>
      <c r="Z25623" s="372">
        <v>0.0</v>
      </c>
    </row>
    <row r="25624">
      <c r="Y25624" s="372">
        <v>0.0</v>
      </c>
      <c r="Z25624" s="372">
        <v>0.0</v>
      </c>
    </row>
    <row r="25625">
      <c r="Y25625" s="372">
        <v>0.0</v>
      </c>
      <c r="Z25625" s="372">
        <v>0.0</v>
      </c>
    </row>
    <row r="25626">
      <c r="Y25626" s="372">
        <v>0.0</v>
      </c>
      <c r="Z25626" s="372">
        <v>0.0</v>
      </c>
    </row>
    <row r="25627">
      <c r="Y25627" s="372">
        <v>0.0</v>
      </c>
      <c r="Z25627" s="372">
        <v>0.0</v>
      </c>
    </row>
    <row r="25628">
      <c r="Y25628" s="372">
        <v>0.0</v>
      </c>
      <c r="Z25628" s="372">
        <v>0.0</v>
      </c>
    </row>
    <row r="25629">
      <c r="Y25629" s="372">
        <v>0.0</v>
      </c>
      <c r="Z25629" s="372">
        <v>0.0</v>
      </c>
    </row>
    <row r="25630">
      <c r="Y25630" s="372">
        <v>0.0</v>
      </c>
      <c r="Z25630" s="372">
        <v>0.0</v>
      </c>
    </row>
    <row r="25631">
      <c r="Y25631" s="372">
        <v>0.0</v>
      </c>
      <c r="Z25631" s="372">
        <v>0.0</v>
      </c>
    </row>
    <row r="25632">
      <c r="Y25632" s="372">
        <v>0.0</v>
      </c>
      <c r="Z25632" s="372">
        <v>0.0</v>
      </c>
    </row>
    <row r="25633">
      <c r="Y25633" s="372">
        <v>0.0</v>
      </c>
      <c r="Z25633" s="372">
        <v>0.0</v>
      </c>
    </row>
    <row r="25634">
      <c r="Y25634" s="372">
        <v>0.0</v>
      </c>
      <c r="Z25634" s="372">
        <v>0.0</v>
      </c>
    </row>
    <row r="25635">
      <c r="Y25635" s="372">
        <v>0.0</v>
      </c>
      <c r="Z25635" s="372">
        <v>0.0</v>
      </c>
    </row>
    <row r="25636">
      <c r="Y25636" s="372">
        <v>0.0</v>
      </c>
      <c r="Z25636" s="372">
        <v>0.0</v>
      </c>
    </row>
    <row r="25637">
      <c r="Y25637" s="372">
        <v>0.0</v>
      </c>
      <c r="Z25637" s="372">
        <v>0.0</v>
      </c>
    </row>
    <row r="25638">
      <c r="Y25638" s="372">
        <v>0.0</v>
      </c>
      <c r="Z25638" s="372">
        <v>0.0</v>
      </c>
    </row>
    <row r="25639">
      <c r="Y25639" s="372">
        <v>0.0</v>
      </c>
      <c r="Z25639" s="372">
        <v>0.0</v>
      </c>
    </row>
    <row r="25640">
      <c r="Y25640" s="372">
        <v>0.0</v>
      </c>
      <c r="Z25640" s="372">
        <v>0.0</v>
      </c>
    </row>
    <row r="25641">
      <c r="Y25641" s="372">
        <v>0.0</v>
      </c>
      <c r="Z25641" s="372">
        <v>0.0</v>
      </c>
    </row>
    <row r="25642">
      <c r="Y25642" s="372">
        <v>0.0</v>
      </c>
      <c r="Z25642" s="372">
        <v>0.0</v>
      </c>
    </row>
    <row r="25643">
      <c r="Y25643" s="372">
        <v>0.0</v>
      </c>
      <c r="Z25643" s="372">
        <v>0.0</v>
      </c>
    </row>
    <row r="25644">
      <c r="Y25644" s="372">
        <v>0.0</v>
      </c>
      <c r="Z25644" s="372">
        <v>0.0</v>
      </c>
    </row>
    <row r="25645">
      <c r="Y25645" s="372">
        <v>0.0</v>
      </c>
      <c r="Z25645" s="372">
        <v>0.0</v>
      </c>
    </row>
    <row r="25646">
      <c r="Y25646" s="372">
        <v>0.0</v>
      </c>
      <c r="Z25646" s="372">
        <v>0.0</v>
      </c>
    </row>
    <row r="25647">
      <c r="Y25647" s="372">
        <v>0.0</v>
      </c>
      <c r="Z25647" s="372">
        <v>0.0</v>
      </c>
    </row>
    <row r="25648">
      <c r="Y25648" s="372">
        <v>0.0</v>
      </c>
      <c r="Z25648" s="372">
        <v>0.0</v>
      </c>
    </row>
    <row r="25649">
      <c r="Y25649" s="372">
        <v>0.0</v>
      </c>
      <c r="Z25649" s="372">
        <v>0.0</v>
      </c>
    </row>
    <row r="25650">
      <c r="Y25650" s="372">
        <v>0.0</v>
      </c>
      <c r="Z25650" s="372">
        <v>0.0</v>
      </c>
    </row>
    <row r="25651">
      <c r="Y25651" s="372">
        <v>0.0</v>
      </c>
      <c r="Z25651" s="372">
        <v>0.0</v>
      </c>
    </row>
    <row r="25652">
      <c r="Y25652" s="372">
        <v>0.0</v>
      </c>
      <c r="Z25652" s="372">
        <v>0.0</v>
      </c>
    </row>
    <row r="25653">
      <c r="Y25653" s="372">
        <v>0.0</v>
      </c>
      <c r="Z25653" s="372">
        <v>0.0</v>
      </c>
    </row>
    <row r="25654">
      <c r="Y25654" s="372">
        <v>0.0</v>
      </c>
      <c r="Z25654" s="372">
        <v>0.0</v>
      </c>
    </row>
    <row r="25655">
      <c r="Y25655" s="372">
        <v>0.0</v>
      </c>
      <c r="Z25655" s="372">
        <v>0.0</v>
      </c>
    </row>
    <row r="25656">
      <c r="Y25656" s="372">
        <v>0.0</v>
      </c>
      <c r="Z25656" s="372">
        <v>0.0</v>
      </c>
    </row>
    <row r="25657">
      <c r="Y25657" s="372">
        <v>0.0</v>
      </c>
      <c r="Z25657" s="372">
        <v>0.0</v>
      </c>
    </row>
    <row r="25658">
      <c r="Y25658" s="372">
        <v>0.0</v>
      </c>
      <c r="Z25658" s="372">
        <v>0.0</v>
      </c>
    </row>
    <row r="25659">
      <c r="Y25659" s="372">
        <v>0.0</v>
      </c>
      <c r="Z25659" s="372">
        <v>0.0</v>
      </c>
    </row>
    <row r="25660">
      <c r="Y25660" s="372">
        <v>0.0</v>
      </c>
      <c r="Z25660" s="372">
        <v>0.0</v>
      </c>
    </row>
    <row r="25661">
      <c r="Y25661" s="372">
        <v>0.0</v>
      </c>
      <c r="Z25661" s="372">
        <v>0.0</v>
      </c>
    </row>
    <row r="25662">
      <c r="Y25662" s="372">
        <v>0.0</v>
      </c>
      <c r="Z25662" s="372">
        <v>0.0</v>
      </c>
    </row>
    <row r="25663">
      <c r="Y25663" s="372">
        <v>0.0</v>
      </c>
      <c r="Z25663" s="372">
        <v>0.0</v>
      </c>
    </row>
    <row r="25664">
      <c r="Y25664" s="372">
        <v>0.0</v>
      </c>
      <c r="Z25664" s="372">
        <v>0.0</v>
      </c>
    </row>
    <row r="25665">
      <c r="Y25665" s="372">
        <v>0.0</v>
      </c>
      <c r="Z25665" s="372">
        <v>0.0</v>
      </c>
    </row>
    <row r="25666">
      <c r="Y25666" s="372">
        <v>0.0</v>
      </c>
      <c r="Z25666" s="372">
        <v>0.0</v>
      </c>
    </row>
    <row r="25667">
      <c r="Y25667" s="372">
        <v>0.0</v>
      </c>
      <c r="Z25667" s="372">
        <v>0.0</v>
      </c>
    </row>
    <row r="25668">
      <c r="Y25668" s="372">
        <v>0.0</v>
      </c>
      <c r="Z25668" s="372">
        <v>0.0</v>
      </c>
    </row>
    <row r="25669">
      <c r="Y25669" s="372">
        <v>0.0</v>
      </c>
      <c r="Z25669" s="372">
        <v>0.0</v>
      </c>
    </row>
    <row r="25670">
      <c r="Y25670" s="372">
        <v>0.0</v>
      </c>
      <c r="Z25670" s="372">
        <v>0.0</v>
      </c>
    </row>
    <row r="25671">
      <c r="Y25671" s="372">
        <v>0.0</v>
      </c>
      <c r="Z25671" s="372">
        <v>0.0</v>
      </c>
    </row>
    <row r="25672">
      <c r="Y25672" s="372">
        <v>0.0</v>
      </c>
      <c r="Z25672" s="372">
        <v>0.0</v>
      </c>
    </row>
    <row r="25673">
      <c r="Y25673" s="372">
        <v>0.0</v>
      </c>
      <c r="Z25673" s="372">
        <v>0.0</v>
      </c>
    </row>
    <row r="25674">
      <c r="Y25674" s="372">
        <v>0.0</v>
      </c>
      <c r="Z25674" s="372">
        <v>0.0</v>
      </c>
    </row>
    <row r="25675">
      <c r="Y25675" s="372">
        <v>0.0</v>
      </c>
      <c r="Z25675" s="372">
        <v>0.0</v>
      </c>
    </row>
    <row r="25676">
      <c r="Y25676" s="372">
        <v>0.0</v>
      </c>
      <c r="Z25676" s="372">
        <v>0.0</v>
      </c>
    </row>
    <row r="25677">
      <c r="Y25677" s="372">
        <v>0.0</v>
      </c>
      <c r="Z25677" s="372">
        <v>0.0</v>
      </c>
    </row>
    <row r="25678">
      <c r="Y25678" s="372">
        <v>0.0</v>
      </c>
      <c r="Z25678" s="372">
        <v>0.0</v>
      </c>
    </row>
    <row r="25679">
      <c r="Y25679" s="372">
        <v>0.0</v>
      </c>
      <c r="Z25679" s="372">
        <v>0.0</v>
      </c>
    </row>
    <row r="25680">
      <c r="Y25680" s="372">
        <v>0.0</v>
      </c>
      <c r="Z25680" s="372">
        <v>0.0</v>
      </c>
    </row>
    <row r="25681">
      <c r="Y25681" s="372">
        <v>0.0</v>
      </c>
      <c r="Z25681" s="372">
        <v>0.0</v>
      </c>
    </row>
    <row r="25682">
      <c r="Y25682" s="372">
        <v>0.0</v>
      </c>
      <c r="Z25682" s="372">
        <v>0.0</v>
      </c>
    </row>
    <row r="25683">
      <c r="Y25683" s="372">
        <v>0.0</v>
      </c>
      <c r="Z25683" s="372">
        <v>0.0</v>
      </c>
    </row>
    <row r="25684">
      <c r="Y25684" s="372">
        <v>0.0</v>
      </c>
      <c r="Z25684" s="372">
        <v>0.0</v>
      </c>
    </row>
    <row r="25685">
      <c r="Y25685" s="372">
        <v>0.0</v>
      </c>
      <c r="Z25685" s="372">
        <v>0.0</v>
      </c>
    </row>
    <row r="25686">
      <c r="Y25686" s="372">
        <v>0.0</v>
      </c>
      <c r="Z25686" s="372">
        <v>0.0</v>
      </c>
    </row>
    <row r="25687">
      <c r="Y25687" s="372">
        <v>0.0</v>
      </c>
      <c r="Z25687" s="372">
        <v>0.0</v>
      </c>
    </row>
    <row r="25688">
      <c r="Y25688" s="372">
        <v>0.0</v>
      </c>
      <c r="Z25688" s="372">
        <v>0.0</v>
      </c>
    </row>
    <row r="25689">
      <c r="Y25689" s="372">
        <v>0.0</v>
      </c>
      <c r="Z25689" s="372">
        <v>0.0</v>
      </c>
    </row>
    <row r="25690">
      <c r="Y25690" s="372">
        <v>0.0</v>
      </c>
      <c r="Z25690" s="372">
        <v>0.0</v>
      </c>
    </row>
    <row r="25691">
      <c r="Y25691" s="372">
        <v>0.0</v>
      </c>
      <c r="Z25691" s="372">
        <v>0.0</v>
      </c>
    </row>
    <row r="25692">
      <c r="Y25692" s="372">
        <v>0.0</v>
      </c>
      <c r="Z25692" s="372">
        <v>0.0</v>
      </c>
    </row>
    <row r="25693">
      <c r="Y25693" s="372">
        <v>0.0</v>
      </c>
      <c r="Z25693" s="372">
        <v>0.0</v>
      </c>
    </row>
    <row r="25694">
      <c r="Y25694" s="372">
        <v>0.0</v>
      </c>
      <c r="Z25694" s="372">
        <v>0.0</v>
      </c>
    </row>
    <row r="25695">
      <c r="Y25695" s="372">
        <v>0.0</v>
      </c>
      <c r="Z25695" s="372">
        <v>0.0</v>
      </c>
    </row>
    <row r="25696">
      <c r="Y25696" s="372">
        <v>0.0</v>
      </c>
      <c r="Z25696" s="372">
        <v>0.0</v>
      </c>
    </row>
    <row r="25697">
      <c r="Y25697" s="372">
        <v>0.0</v>
      </c>
      <c r="Z25697" s="372">
        <v>0.0</v>
      </c>
    </row>
    <row r="25698">
      <c r="Y25698" s="372">
        <v>0.0</v>
      </c>
      <c r="Z25698" s="372">
        <v>0.0</v>
      </c>
    </row>
    <row r="25699">
      <c r="Y25699" s="372">
        <v>0.0</v>
      </c>
      <c r="Z25699" s="372">
        <v>0.0</v>
      </c>
    </row>
    <row r="25700">
      <c r="Y25700" s="372">
        <v>0.0</v>
      </c>
      <c r="Z25700" s="372">
        <v>0.0</v>
      </c>
    </row>
    <row r="25701">
      <c r="Y25701" s="372">
        <v>0.0</v>
      </c>
      <c r="Z25701" s="372">
        <v>0.0</v>
      </c>
    </row>
    <row r="25702">
      <c r="Y25702" s="372">
        <v>0.0</v>
      </c>
      <c r="Z25702" s="372">
        <v>0.0</v>
      </c>
    </row>
    <row r="25703">
      <c r="Y25703" s="372">
        <v>0.0</v>
      </c>
      <c r="Z25703" s="372">
        <v>0.0</v>
      </c>
    </row>
    <row r="25704">
      <c r="Y25704" s="372">
        <v>0.0</v>
      </c>
      <c r="Z25704" s="372">
        <v>0.0</v>
      </c>
    </row>
    <row r="25705">
      <c r="Y25705" s="372">
        <v>0.0</v>
      </c>
      <c r="Z25705" s="372">
        <v>0.0</v>
      </c>
    </row>
    <row r="25706">
      <c r="Y25706" s="372">
        <v>0.0</v>
      </c>
      <c r="Z25706" s="372">
        <v>0.0</v>
      </c>
    </row>
    <row r="25707">
      <c r="Y25707" s="372">
        <v>0.0</v>
      </c>
      <c r="Z25707" s="372">
        <v>0.0</v>
      </c>
    </row>
    <row r="25708">
      <c r="Y25708" s="372">
        <v>0.0</v>
      </c>
      <c r="Z25708" s="372">
        <v>0.0</v>
      </c>
    </row>
    <row r="25709">
      <c r="Y25709" s="372">
        <v>0.0</v>
      </c>
      <c r="Z25709" s="372">
        <v>0.0</v>
      </c>
    </row>
    <row r="25710">
      <c r="Y25710" s="372">
        <v>0.0</v>
      </c>
      <c r="Z25710" s="372">
        <v>0.0</v>
      </c>
    </row>
    <row r="25711">
      <c r="Y25711" s="372">
        <v>0.0</v>
      </c>
      <c r="Z25711" s="372">
        <v>0.0</v>
      </c>
    </row>
    <row r="25712">
      <c r="Y25712" s="372">
        <v>0.0</v>
      </c>
      <c r="Z25712" s="372">
        <v>0.0</v>
      </c>
    </row>
    <row r="25713">
      <c r="Y25713" s="372">
        <v>0.0</v>
      </c>
      <c r="Z25713" s="372">
        <v>0.0</v>
      </c>
    </row>
    <row r="25714">
      <c r="Y25714" s="372">
        <v>0.0</v>
      </c>
      <c r="Z25714" s="372">
        <v>0.0</v>
      </c>
    </row>
    <row r="25715">
      <c r="Y25715" s="372">
        <v>0.0</v>
      </c>
      <c r="Z25715" s="372">
        <v>0.0</v>
      </c>
    </row>
    <row r="25716">
      <c r="Y25716" s="372">
        <v>0.0</v>
      </c>
      <c r="Z25716" s="372">
        <v>0.0</v>
      </c>
    </row>
    <row r="25717">
      <c r="Y25717" s="372">
        <v>0.0</v>
      </c>
      <c r="Z25717" s="372">
        <v>0.0</v>
      </c>
    </row>
    <row r="25718">
      <c r="Y25718" s="372">
        <v>0.0</v>
      </c>
      <c r="Z25718" s="372">
        <v>0.0</v>
      </c>
    </row>
    <row r="25719">
      <c r="Y25719" s="372">
        <v>0.0</v>
      </c>
      <c r="Z25719" s="372">
        <v>0.0</v>
      </c>
    </row>
    <row r="25720">
      <c r="Y25720" s="372">
        <v>0.0</v>
      </c>
      <c r="Z25720" s="372">
        <v>0.0</v>
      </c>
    </row>
    <row r="25721">
      <c r="Y25721" s="372">
        <v>0.0</v>
      </c>
      <c r="Z25721" s="372">
        <v>0.0</v>
      </c>
    </row>
    <row r="25722">
      <c r="Y25722" s="372">
        <v>0.0</v>
      </c>
      <c r="Z25722" s="372">
        <v>0.0</v>
      </c>
    </row>
    <row r="25723">
      <c r="Y25723" s="372">
        <v>0.0</v>
      </c>
      <c r="Z25723" s="372">
        <v>0.0</v>
      </c>
    </row>
    <row r="25724">
      <c r="Y25724" s="372">
        <v>0.0</v>
      </c>
      <c r="Z25724" s="372">
        <v>0.0</v>
      </c>
    </row>
    <row r="25725">
      <c r="Y25725" s="372">
        <v>0.0</v>
      </c>
      <c r="Z25725" s="372">
        <v>0.0</v>
      </c>
    </row>
    <row r="25726">
      <c r="Y25726" s="372">
        <v>0.0</v>
      </c>
      <c r="Z25726" s="372">
        <v>0.0</v>
      </c>
    </row>
    <row r="25727">
      <c r="Y25727" s="372">
        <v>0.0</v>
      </c>
      <c r="Z25727" s="372">
        <v>0.0</v>
      </c>
    </row>
    <row r="25728">
      <c r="Y25728" s="372">
        <v>0.0</v>
      </c>
      <c r="Z25728" s="372">
        <v>0.0</v>
      </c>
    </row>
    <row r="25729">
      <c r="Y25729" s="372">
        <v>0.0</v>
      </c>
      <c r="Z25729" s="372">
        <v>0.0</v>
      </c>
    </row>
    <row r="25730">
      <c r="Y25730" s="372">
        <v>0.0</v>
      </c>
      <c r="Z25730" s="372">
        <v>0.0</v>
      </c>
    </row>
    <row r="25731">
      <c r="Y25731" s="372">
        <v>0.0</v>
      </c>
      <c r="Z25731" s="372">
        <v>0.0</v>
      </c>
    </row>
    <row r="25732">
      <c r="Y25732" s="372">
        <v>0.0</v>
      </c>
      <c r="Z25732" s="372">
        <v>0.0</v>
      </c>
    </row>
    <row r="25733">
      <c r="Y25733" s="372">
        <v>0.0</v>
      </c>
      <c r="Z25733" s="372">
        <v>0.0</v>
      </c>
    </row>
    <row r="25734">
      <c r="Y25734" s="372">
        <v>0.0</v>
      </c>
      <c r="Z25734" s="372">
        <v>0.0</v>
      </c>
    </row>
    <row r="25735">
      <c r="Y25735" s="372">
        <v>0.0</v>
      </c>
      <c r="Z25735" s="372">
        <v>0.0</v>
      </c>
    </row>
    <row r="25736">
      <c r="Y25736" s="372">
        <v>0.0</v>
      </c>
      <c r="Z25736" s="372">
        <v>0.0</v>
      </c>
    </row>
    <row r="25737">
      <c r="Y25737" s="372">
        <v>0.0</v>
      </c>
      <c r="Z25737" s="372">
        <v>0.0</v>
      </c>
    </row>
    <row r="25738">
      <c r="Y25738" s="372">
        <v>0.0</v>
      </c>
      <c r="Z25738" s="372">
        <v>0.0</v>
      </c>
    </row>
    <row r="25739">
      <c r="Y25739" s="372">
        <v>0.0</v>
      </c>
      <c r="Z25739" s="372">
        <v>0.0</v>
      </c>
    </row>
    <row r="25740">
      <c r="Y25740" s="372">
        <v>0.0</v>
      </c>
      <c r="Z25740" s="372">
        <v>0.0</v>
      </c>
    </row>
    <row r="25741">
      <c r="Y25741" s="372">
        <v>0.0</v>
      </c>
      <c r="Z25741" s="372">
        <v>0.0</v>
      </c>
    </row>
    <row r="25742">
      <c r="Y25742" s="372">
        <v>0.0</v>
      </c>
      <c r="Z25742" s="372">
        <v>0.0</v>
      </c>
    </row>
    <row r="25743">
      <c r="Y25743" s="372">
        <v>0.0</v>
      </c>
      <c r="Z25743" s="372">
        <v>0.0</v>
      </c>
    </row>
    <row r="25744">
      <c r="Y25744" s="372">
        <v>0.0</v>
      </c>
      <c r="Z25744" s="372">
        <v>0.0</v>
      </c>
    </row>
    <row r="25745">
      <c r="Y25745" s="372">
        <v>0.0</v>
      </c>
      <c r="Z25745" s="372">
        <v>0.0</v>
      </c>
    </row>
    <row r="25746">
      <c r="Y25746" s="372">
        <v>0.0</v>
      </c>
      <c r="Z25746" s="372">
        <v>0.0</v>
      </c>
    </row>
    <row r="25747">
      <c r="Y25747" s="372">
        <v>0.0</v>
      </c>
      <c r="Z25747" s="372">
        <v>0.0</v>
      </c>
    </row>
    <row r="25748">
      <c r="Y25748" s="372">
        <v>0.0</v>
      </c>
      <c r="Z25748" s="372">
        <v>0.0</v>
      </c>
    </row>
    <row r="25749">
      <c r="Y25749" s="372">
        <v>0.0</v>
      </c>
      <c r="Z25749" s="372">
        <v>0.0</v>
      </c>
    </row>
    <row r="25750">
      <c r="Y25750" s="372">
        <v>0.0</v>
      </c>
      <c r="Z25750" s="372">
        <v>0.0</v>
      </c>
    </row>
    <row r="25751">
      <c r="Y25751" s="372">
        <v>0.0</v>
      </c>
      <c r="Z25751" s="372">
        <v>0.0</v>
      </c>
    </row>
    <row r="25752">
      <c r="Y25752" s="372">
        <v>0.0</v>
      </c>
      <c r="Z25752" s="372">
        <v>0.0</v>
      </c>
    </row>
    <row r="25753">
      <c r="Y25753" s="372">
        <v>0.0</v>
      </c>
      <c r="Z25753" s="372">
        <v>0.0</v>
      </c>
    </row>
    <row r="25754">
      <c r="Y25754" s="372">
        <v>0.0</v>
      </c>
      <c r="Z25754" s="372">
        <v>0.0</v>
      </c>
    </row>
    <row r="25755">
      <c r="Y25755" s="372">
        <v>0.0</v>
      </c>
      <c r="Z25755" s="372">
        <v>0.0</v>
      </c>
    </row>
    <row r="25756">
      <c r="Y25756" s="372">
        <v>0.0</v>
      </c>
      <c r="Z25756" s="372">
        <v>0.0</v>
      </c>
    </row>
    <row r="25757">
      <c r="Y25757" s="372">
        <v>0.0</v>
      </c>
      <c r="Z25757" s="372">
        <v>0.0</v>
      </c>
    </row>
    <row r="25758">
      <c r="Y25758" s="372">
        <v>0.0</v>
      </c>
      <c r="Z25758" s="372">
        <v>0.0</v>
      </c>
    </row>
    <row r="25759">
      <c r="Y25759" s="372">
        <v>0.0</v>
      </c>
      <c r="Z25759" s="372">
        <v>0.0</v>
      </c>
    </row>
    <row r="25760">
      <c r="Y25760" s="372">
        <v>0.0</v>
      </c>
      <c r="Z25760" s="372">
        <v>0.0</v>
      </c>
    </row>
    <row r="25761">
      <c r="Y25761" s="372">
        <v>0.0</v>
      </c>
      <c r="Z25761" s="372">
        <v>0.0</v>
      </c>
    </row>
    <row r="25762">
      <c r="Y25762" s="372">
        <v>0.0</v>
      </c>
      <c r="Z25762" s="372">
        <v>0.0</v>
      </c>
    </row>
    <row r="25763">
      <c r="Y25763" s="372">
        <v>0.0</v>
      </c>
      <c r="Z25763" s="372">
        <v>0.0</v>
      </c>
    </row>
    <row r="25764">
      <c r="Y25764" s="372">
        <v>0.0</v>
      </c>
      <c r="Z25764" s="372">
        <v>0.0</v>
      </c>
    </row>
    <row r="25765">
      <c r="Y25765" s="372">
        <v>0.0</v>
      </c>
      <c r="Z25765" s="372">
        <v>0.0</v>
      </c>
    </row>
    <row r="25766">
      <c r="Y25766" s="372">
        <v>0.0</v>
      </c>
      <c r="Z25766" s="372">
        <v>0.0</v>
      </c>
    </row>
    <row r="25767">
      <c r="Y25767" s="372">
        <v>0.0</v>
      </c>
      <c r="Z25767" s="372">
        <v>0.0</v>
      </c>
    </row>
    <row r="25768">
      <c r="Y25768" s="372">
        <v>0.0</v>
      </c>
      <c r="Z25768" s="372">
        <v>0.0</v>
      </c>
    </row>
    <row r="25769">
      <c r="Y25769" s="372">
        <v>0.0</v>
      </c>
      <c r="Z25769" s="372">
        <v>0.0</v>
      </c>
    </row>
    <row r="25770">
      <c r="Y25770" s="372">
        <v>0.0</v>
      </c>
      <c r="Z25770" s="372">
        <v>0.0</v>
      </c>
    </row>
    <row r="25771">
      <c r="Y25771" s="372">
        <v>0.0</v>
      </c>
      <c r="Z25771" s="372">
        <v>0.0</v>
      </c>
    </row>
    <row r="25772">
      <c r="Y25772" s="372">
        <v>0.0</v>
      </c>
      <c r="Z25772" s="372">
        <v>0.0</v>
      </c>
    </row>
    <row r="25773">
      <c r="Y25773" s="372">
        <v>0.0</v>
      </c>
      <c r="Z25773" s="372">
        <v>0.0</v>
      </c>
    </row>
    <row r="25774">
      <c r="Y25774" s="372">
        <v>0.0</v>
      </c>
      <c r="Z25774" s="372">
        <v>0.0</v>
      </c>
    </row>
    <row r="25775">
      <c r="Y25775" s="372">
        <v>0.0</v>
      </c>
      <c r="Z25775" s="372">
        <v>0.0</v>
      </c>
    </row>
    <row r="25776">
      <c r="Y25776" s="372">
        <v>0.0</v>
      </c>
      <c r="Z25776" s="372">
        <v>0.0</v>
      </c>
    </row>
    <row r="25777">
      <c r="Y25777" s="372">
        <v>0.0</v>
      </c>
      <c r="Z25777" s="372">
        <v>0.0</v>
      </c>
    </row>
    <row r="25778">
      <c r="Y25778" s="372">
        <v>0.0</v>
      </c>
      <c r="Z25778" s="372">
        <v>0.0</v>
      </c>
    </row>
    <row r="25779">
      <c r="Y25779" s="372">
        <v>0.0</v>
      </c>
      <c r="Z25779" s="372">
        <v>0.0</v>
      </c>
    </row>
    <row r="25780">
      <c r="Y25780" s="372">
        <v>0.0</v>
      </c>
      <c r="Z25780" s="372">
        <v>0.0</v>
      </c>
    </row>
    <row r="25781">
      <c r="Y25781" s="372">
        <v>0.0</v>
      </c>
      <c r="Z25781" s="372">
        <v>0.0</v>
      </c>
    </row>
    <row r="25782">
      <c r="Y25782" s="372">
        <v>0.0</v>
      </c>
      <c r="Z25782" s="372">
        <v>0.0</v>
      </c>
    </row>
    <row r="25783">
      <c r="Y25783" s="372">
        <v>0.0</v>
      </c>
      <c r="Z25783" s="372">
        <v>0.0</v>
      </c>
    </row>
    <row r="25784">
      <c r="Y25784" s="372">
        <v>0.0</v>
      </c>
      <c r="Z25784" s="372">
        <v>0.0</v>
      </c>
    </row>
    <row r="25785">
      <c r="Y25785" s="372">
        <v>0.0</v>
      </c>
      <c r="Z25785" s="372">
        <v>0.0</v>
      </c>
    </row>
    <row r="25786">
      <c r="Y25786" s="372">
        <v>0.0</v>
      </c>
      <c r="Z25786" s="372">
        <v>0.0</v>
      </c>
    </row>
    <row r="25787">
      <c r="Y25787" s="372">
        <v>0.0</v>
      </c>
      <c r="Z25787" s="372">
        <v>0.0</v>
      </c>
    </row>
    <row r="25788">
      <c r="Y25788" s="372">
        <v>0.0</v>
      </c>
      <c r="Z25788" s="372">
        <v>0.0</v>
      </c>
    </row>
    <row r="25789">
      <c r="Y25789" s="372">
        <v>0.0</v>
      </c>
      <c r="Z25789" s="372">
        <v>0.0</v>
      </c>
    </row>
    <row r="25790">
      <c r="Y25790" s="372">
        <v>0.0</v>
      </c>
      <c r="Z25790" s="372">
        <v>0.0</v>
      </c>
    </row>
    <row r="25791">
      <c r="Y25791" s="372">
        <v>0.0</v>
      </c>
      <c r="Z25791" s="372">
        <v>0.0</v>
      </c>
    </row>
    <row r="25792">
      <c r="Y25792" s="372">
        <v>0.0</v>
      </c>
      <c r="Z25792" s="372">
        <v>0.0</v>
      </c>
    </row>
    <row r="25793">
      <c r="Y25793" s="372">
        <v>0.0</v>
      </c>
      <c r="Z25793" s="372">
        <v>0.0</v>
      </c>
    </row>
    <row r="25794">
      <c r="Y25794" s="372">
        <v>0.0</v>
      </c>
      <c r="Z25794" s="372">
        <v>0.0</v>
      </c>
    </row>
    <row r="25795">
      <c r="Y25795" s="372">
        <v>0.0</v>
      </c>
      <c r="Z25795" s="372">
        <v>0.0</v>
      </c>
    </row>
    <row r="25796">
      <c r="Y25796" s="372">
        <v>0.0</v>
      </c>
      <c r="Z25796" s="372">
        <v>0.0</v>
      </c>
    </row>
    <row r="25797">
      <c r="Y25797" s="372">
        <v>0.0</v>
      </c>
      <c r="Z25797" s="372">
        <v>0.0</v>
      </c>
    </row>
    <row r="25798">
      <c r="Y25798" s="372">
        <v>0.0</v>
      </c>
      <c r="Z25798" s="372">
        <v>0.0</v>
      </c>
    </row>
    <row r="25799">
      <c r="Y25799" s="372">
        <v>0.0</v>
      </c>
      <c r="Z25799" s="372">
        <v>0.0</v>
      </c>
    </row>
    <row r="25800">
      <c r="Y25800" s="372">
        <v>0.0</v>
      </c>
      <c r="Z25800" s="372">
        <v>0.0</v>
      </c>
    </row>
    <row r="25801">
      <c r="Y25801" s="372">
        <v>0.0</v>
      </c>
      <c r="Z25801" s="372">
        <v>0.0</v>
      </c>
    </row>
    <row r="25802">
      <c r="Y25802" s="372">
        <v>0.0</v>
      </c>
      <c r="Z25802" s="372">
        <v>0.0</v>
      </c>
    </row>
    <row r="25803">
      <c r="Y25803" s="372">
        <v>0.0</v>
      </c>
      <c r="Z25803" s="372">
        <v>0.0</v>
      </c>
    </row>
    <row r="25804">
      <c r="Y25804" s="372">
        <v>0.0</v>
      </c>
      <c r="Z25804" s="372">
        <v>0.0</v>
      </c>
    </row>
    <row r="25805">
      <c r="Y25805" s="372">
        <v>0.0</v>
      </c>
      <c r="Z25805" s="372">
        <v>0.0</v>
      </c>
    </row>
    <row r="25806">
      <c r="Y25806" s="372">
        <v>0.0</v>
      </c>
      <c r="Z25806" s="372">
        <v>0.0</v>
      </c>
    </row>
    <row r="25807">
      <c r="Y25807" s="372">
        <v>0.0</v>
      </c>
      <c r="Z25807" s="372">
        <v>0.0</v>
      </c>
    </row>
    <row r="25808">
      <c r="Y25808" s="372">
        <v>0.0</v>
      </c>
      <c r="Z25808" s="372">
        <v>0.0</v>
      </c>
    </row>
    <row r="25809">
      <c r="Y25809" s="372">
        <v>0.0</v>
      </c>
      <c r="Z25809" s="372">
        <v>0.0</v>
      </c>
    </row>
    <row r="25810">
      <c r="Y25810" s="372">
        <v>0.0</v>
      </c>
      <c r="Z25810" s="372">
        <v>0.0</v>
      </c>
    </row>
    <row r="25811">
      <c r="Y25811" s="372">
        <v>0.0</v>
      </c>
      <c r="Z25811" s="372">
        <v>0.0</v>
      </c>
    </row>
    <row r="25812">
      <c r="Y25812" s="372">
        <v>0.0</v>
      </c>
      <c r="Z25812" s="372">
        <v>0.0</v>
      </c>
    </row>
    <row r="25813">
      <c r="Y25813" s="372">
        <v>0.0</v>
      </c>
      <c r="Z25813" s="372">
        <v>0.0</v>
      </c>
    </row>
    <row r="25814">
      <c r="Y25814" s="372">
        <v>0.0</v>
      </c>
      <c r="Z25814" s="372">
        <v>0.0</v>
      </c>
    </row>
    <row r="25815">
      <c r="Y25815" s="372">
        <v>0.0</v>
      </c>
      <c r="Z25815" s="372">
        <v>0.0</v>
      </c>
    </row>
    <row r="25816">
      <c r="Y25816" s="372">
        <v>0.0</v>
      </c>
      <c r="Z25816" s="372">
        <v>0.0</v>
      </c>
    </row>
    <row r="25817">
      <c r="Y25817" s="372">
        <v>0.0</v>
      </c>
      <c r="Z25817" s="372">
        <v>0.0</v>
      </c>
    </row>
    <row r="25818">
      <c r="Y25818" s="372">
        <v>0.0</v>
      </c>
      <c r="Z25818" s="372">
        <v>0.0</v>
      </c>
    </row>
    <row r="25819">
      <c r="Y25819" s="372">
        <v>0.0</v>
      </c>
      <c r="Z25819" s="372">
        <v>0.0</v>
      </c>
    </row>
    <row r="25820">
      <c r="Y25820" s="372">
        <v>0.0</v>
      </c>
      <c r="Z25820" s="372">
        <v>0.0</v>
      </c>
    </row>
    <row r="25821">
      <c r="Y25821" s="372">
        <v>0.0</v>
      </c>
      <c r="Z25821" s="372">
        <v>0.0</v>
      </c>
    </row>
    <row r="25822">
      <c r="Y25822" s="372">
        <v>0.0</v>
      </c>
      <c r="Z25822" s="372">
        <v>0.0</v>
      </c>
    </row>
    <row r="25823">
      <c r="Y25823" s="372">
        <v>0.0</v>
      </c>
      <c r="Z25823" s="372">
        <v>0.0</v>
      </c>
    </row>
    <row r="25824">
      <c r="Y25824" s="372">
        <v>0.0</v>
      </c>
      <c r="Z25824" s="372">
        <v>0.0</v>
      </c>
    </row>
    <row r="25825">
      <c r="Y25825" s="372">
        <v>0.0</v>
      </c>
      <c r="Z25825" s="372">
        <v>0.0</v>
      </c>
    </row>
    <row r="25826">
      <c r="Y25826" s="372">
        <v>0.0</v>
      </c>
      <c r="Z25826" s="372">
        <v>0.0</v>
      </c>
    </row>
    <row r="25827">
      <c r="Y25827" s="372">
        <v>0.0</v>
      </c>
      <c r="Z25827" s="372">
        <v>0.0</v>
      </c>
    </row>
    <row r="25828">
      <c r="Y25828" s="372">
        <v>0.0</v>
      </c>
      <c r="Z25828" s="372">
        <v>0.0</v>
      </c>
    </row>
    <row r="25829">
      <c r="Y25829" s="372">
        <v>0.0</v>
      </c>
      <c r="Z25829" s="372">
        <v>0.0</v>
      </c>
    </row>
    <row r="25830">
      <c r="Y25830" s="372">
        <v>0.0</v>
      </c>
      <c r="Z25830" s="372">
        <v>0.0</v>
      </c>
    </row>
    <row r="25831">
      <c r="Y25831" s="372">
        <v>0.0</v>
      </c>
      <c r="Z25831" s="372">
        <v>0.0</v>
      </c>
    </row>
    <row r="25832">
      <c r="Y25832" s="372">
        <v>0.0</v>
      </c>
      <c r="Z25832" s="372">
        <v>0.0</v>
      </c>
    </row>
    <row r="25833">
      <c r="Y25833" s="372">
        <v>0.0</v>
      </c>
      <c r="Z25833" s="372">
        <v>0.0</v>
      </c>
    </row>
    <row r="25834">
      <c r="Y25834" s="372">
        <v>0.0</v>
      </c>
      <c r="Z25834" s="372">
        <v>0.0</v>
      </c>
    </row>
    <row r="25835">
      <c r="Y25835" s="372">
        <v>0.0</v>
      </c>
      <c r="Z25835" s="372">
        <v>0.0</v>
      </c>
    </row>
    <row r="25836">
      <c r="Y25836" s="372">
        <v>0.0</v>
      </c>
      <c r="Z25836" s="372">
        <v>0.0</v>
      </c>
    </row>
    <row r="25837">
      <c r="Y25837" s="372">
        <v>0.0</v>
      </c>
      <c r="Z25837" s="372">
        <v>0.0</v>
      </c>
    </row>
    <row r="25838">
      <c r="Y25838" s="372">
        <v>0.0</v>
      </c>
      <c r="Z25838" s="372">
        <v>0.0</v>
      </c>
    </row>
    <row r="25839">
      <c r="Y25839" s="372">
        <v>0.0</v>
      </c>
      <c r="Z25839" s="372">
        <v>0.0</v>
      </c>
    </row>
    <row r="25840">
      <c r="Y25840" s="372">
        <v>0.0</v>
      </c>
      <c r="Z25840" s="372">
        <v>0.0</v>
      </c>
    </row>
    <row r="25841">
      <c r="Y25841" s="372">
        <v>0.0</v>
      </c>
      <c r="Z25841" s="372">
        <v>0.0</v>
      </c>
    </row>
    <row r="25842">
      <c r="Y25842" s="372">
        <v>0.0</v>
      </c>
      <c r="Z25842" s="372">
        <v>0.0</v>
      </c>
    </row>
    <row r="25843">
      <c r="Y25843" s="372">
        <v>0.0</v>
      </c>
      <c r="Z25843" s="372">
        <v>0.0</v>
      </c>
    </row>
    <row r="25844">
      <c r="Y25844" s="372">
        <v>0.0</v>
      </c>
      <c r="Z25844" s="372">
        <v>0.0</v>
      </c>
    </row>
    <row r="25845">
      <c r="Y25845" s="372">
        <v>0.0</v>
      </c>
      <c r="Z25845" s="372">
        <v>0.0</v>
      </c>
    </row>
    <row r="25846">
      <c r="Y25846" s="372">
        <v>0.0</v>
      </c>
      <c r="Z25846" s="372">
        <v>0.0</v>
      </c>
    </row>
    <row r="25847">
      <c r="Y25847" s="372">
        <v>0.0</v>
      </c>
      <c r="Z25847" s="372">
        <v>0.0</v>
      </c>
    </row>
    <row r="25848">
      <c r="Y25848" s="372">
        <v>0.0</v>
      </c>
      <c r="Z25848" s="372">
        <v>0.0</v>
      </c>
    </row>
    <row r="25849">
      <c r="Y25849" s="372">
        <v>0.0</v>
      </c>
      <c r="Z25849" s="372">
        <v>0.0</v>
      </c>
    </row>
    <row r="25850">
      <c r="Y25850" s="372">
        <v>0.0</v>
      </c>
      <c r="Z25850" s="372">
        <v>0.0</v>
      </c>
    </row>
    <row r="25851">
      <c r="Y25851" s="372">
        <v>0.0</v>
      </c>
      <c r="Z25851" s="372">
        <v>0.0</v>
      </c>
    </row>
    <row r="25852">
      <c r="Y25852" s="372">
        <v>0.0</v>
      </c>
      <c r="Z25852" s="372">
        <v>0.0</v>
      </c>
    </row>
    <row r="25853">
      <c r="Y25853" s="372">
        <v>0.0</v>
      </c>
      <c r="Z25853" s="372">
        <v>0.0</v>
      </c>
    </row>
    <row r="25854">
      <c r="Y25854" s="372">
        <v>0.0</v>
      </c>
      <c r="Z25854" s="372">
        <v>0.0</v>
      </c>
    </row>
    <row r="25855">
      <c r="Y25855" s="372">
        <v>0.0</v>
      </c>
      <c r="Z25855" s="372">
        <v>0.0</v>
      </c>
    </row>
    <row r="25856">
      <c r="Y25856" s="372">
        <v>0.0</v>
      </c>
      <c r="Z25856" s="372">
        <v>0.0</v>
      </c>
    </row>
    <row r="25857">
      <c r="Y25857" s="372">
        <v>0.0</v>
      </c>
      <c r="Z25857" s="372">
        <v>0.0</v>
      </c>
    </row>
    <row r="25858">
      <c r="Y25858" s="372">
        <v>0.0</v>
      </c>
      <c r="Z25858" s="372">
        <v>0.0</v>
      </c>
    </row>
    <row r="25859">
      <c r="Y25859" s="372">
        <v>0.0</v>
      </c>
      <c r="Z25859" s="372">
        <v>0.0</v>
      </c>
    </row>
    <row r="25860">
      <c r="Y25860" s="372">
        <v>0.0</v>
      </c>
      <c r="Z25860" s="372">
        <v>0.0</v>
      </c>
    </row>
    <row r="25861">
      <c r="Y25861" s="372">
        <v>0.0</v>
      </c>
      <c r="Z25861" s="372">
        <v>0.0</v>
      </c>
    </row>
    <row r="25862">
      <c r="Y25862" s="372">
        <v>0.0</v>
      </c>
      <c r="Z25862" s="372">
        <v>0.0</v>
      </c>
    </row>
    <row r="25863">
      <c r="Y25863" s="372">
        <v>0.0</v>
      </c>
      <c r="Z25863" s="372">
        <v>0.0</v>
      </c>
    </row>
    <row r="25864">
      <c r="Y25864" s="372">
        <v>0.0</v>
      </c>
      <c r="Z25864" s="372">
        <v>0.0</v>
      </c>
    </row>
    <row r="25865">
      <c r="Y25865" s="372">
        <v>0.0</v>
      </c>
      <c r="Z25865" s="372">
        <v>0.0</v>
      </c>
    </row>
    <row r="25866">
      <c r="Y25866" s="372">
        <v>0.0</v>
      </c>
      <c r="Z25866" s="372">
        <v>0.0</v>
      </c>
    </row>
    <row r="25867">
      <c r="Y25867" s="372">
        <v>0.0</v>
      </c>
      <c r="Z25867" s="372">
        <v>0.0</v>
      </c>
    </row>
    <row r="25868">
      <c r="Y25868" s="372">
        <v>0.0</v>
      </c>
      <c r="Z25868" s="372">
        <v>0.0</v>
      </c>
    </row>
    <row r="25869">
      <c r="Y25869" s="372">
        <v>0.0</v>
      </c>
      <c r="Z25869" s="372">
        <v>0.0</v>
      </c>
    </row>
    <row r="25870">
      <c r="Y25870" s="372">
        <v>0.0</v>
      </c>
      <c r="Z25870" s="372">
        <v>0.0</v>
      </c>
    </row>
    <row r="25871">
      <c r="Y25871" s="372">
        <v>0.0</v>
      </c>
      <c r="Z25871" s="372">
        <v>0.0</v>
      </c>
    </row>
    <row r="25872">
      <c r="Y25872" s="372">
        <v>0.0</v>
      </c>
      <c r="Z25872" s="372">
        <v>0.0</v>
      </c>
    </row>
    <row r="25873">
      <c r="Y25873" s="372">
        <v>0.0</v>
      </c>
      <c r="Z25873" s="372">
        <v>0.0</v>
      </c>
    </row>
    <row r="25874">
      <c r="Y25874" s="372">
        <v>0.0</v>
      </c>
      <c r="Z25874" s="372">
        <v>0.0</v>
      </c>
    </row>
    <row r="25875">
      <c r="Y25875" s="372">
        <v>0.0</v>
      </c>
      <c r="Z25875" s="372">
        <v>0.0</v>
      </c>
    </row>
    <row r="25876">
      <c r="Y25876" s="372">
        <v>0.0</v>
      </c>
      <c r="Z25876" s="372">
        <v>0.0</v>
      </c>
    </row>
    <row r="25877">
      <c r="Y25877" s="372">
        <v>0.0</v>
      </c>
      <c r="Z25877" s="372">
        <v>0.0</v>
      </c>
    </row>
    <row r="25878">
      <c r="Y25878" s="372">
        <v>0.0</v>
      </c>
      <c r="Z25878" s="372">
        <v>0.0</v>
      </c>
    </row>
    <row r="25879">
      <c r="Y25879" s="372">
        <v>0.0</v>
      </c>
      <c r="Z25879" s="372">
        <v>0.0</v>
      </c>
    </row>
    <row r="25880">
      <c r="Y25880" s="372">
        <v>0.0</v>
      </c>
      <c r="Z25880" s="372">
        <v>0.0</v>
      </c>
    </row>
    <row r="25881">
      <c r="Y25881" s="372">
        <v>0.0</v>
      </c>
      <c r="Z25881" s="372">
        <v>0.0</v>
      </c>
    </row>
    <row r="25882">
      <c r="Y25882" s="372">
        <v>0.0</v>
      </c>
      <c r="Z25882" s="372">
        <v>0.0</v>
      </c>
    </row>
    <row r="25883">
      <c r="Y25883" s="372">
        <v>0.0</v>
      </c>
      <c r="Z25883" s="372">
        <v>0.0</v>
      </c>
    </row>
    <row r="25884">
      <c r="Y25884" s="372">
        <v>0.0</v>
      </c>
      <c r="Z25884" s="372">
        <v>0.0</v>
      </c>
    </row>
    <row r="25885">
      <c r="Y25885" s="372">
        <v>0.0</v>
      </c>
      <c r="Z25885" s="372">
        <v>0.0</v>
      </c>
    </row>
    <row r="25886">
      <c r="Y25886" s="372">
        <v>0.0</v>
      </c>
      <c r="Z25886" s="372">
        <v>0.0</v>
      </c>
    </row>
    <row r="25887">
      <c r="Y25887" s="372">
        <v>0.0</v>
      </c>
      <c r="Z25887" s="372">
        <v>0.0</v>
      </c>
    </row>
    <row r="25888">
      <c r="Y25888" s="372">
        <v>0.0</v>
      </c>
      <c r="Z25888" s="372">
        <v>0.0</v>
      </c>
    </row>
    <row r="25889">
      <c r="Y25889" s="372">
        <v>0.0</v>
      </c>
      <c r="Z25889" s="372">
        <v>0.0</v>
      </c>
    </row>
    <row r="25890">
      <c r="Y25890" s="372">
        <v>0.0</v>
      </c>
      <c r="Z25890" s="372">
        <v>0.0</v>
      </c>
    </row>
    <row r="25891">
      <c r="Y25891" s="372">
        <v>0.0</v>
      </c>
      <c r="Z25891" s="372">
        <v>0.0</v>
      </c>
    </row>
    <row r="25892">
      <c r="Y25892" s="372">
        <v>0.0</v>
      </c>
      <c r="Z25892" s="372">
        <v>0.0</v>
      </c>
    </row>
    <row r="25893">
      <c r="Y25893" s="372">
        <v>0.0</v>
      </c>
      <c r="Z25893" s="372">
        <v>0.0</v>
      </c>
    </row>
    <row r="25894">
      <c r="Y25894" s="372">
        <v>0.0</v>
      </c>
      <c r="Z25894" s="372">
        <v>0.0</v>
      </c>
    </row>
    <row r="25895">
      <c r="Y25895" s="372">
        <v>0.0</v>
      </c>
      <c r="Z25895" s="372">
        <v>0.0</v>
      </c>
    </row>
    <row r="25896">
      <c r="Y25896" s="372">
        <v>0.0</v>
      </c>
      <c r="Z25896" s="372">
        <v>0.0</v>
      </c>
    </row>
    <row r="25897">
      <c r="Y25897" s="372">
        <v>0.0</v>
      </c>
      <c r="Z25897" s="372">
        <v>0.0</v>
      </c>
    </row>
    <row r="25898">
      <c r="Y25898" s="372">
        <v>0.0</v>
      </c>
      <c r="Z25898" s="372">
        <v>0.0</v>
      </c>
    </row>
    <row r="25899">
      <c r="Y25899" s="372">
        <v>0.0</v>
      </c>
      <c r="Z25899" s="372">
        <v>0.0</v>
      </c>
    </row>
    <row r="25900">
      <c r="Y25900" s="372">
        <v>0.0</v>
      </c>
      <c r="Z25900" s="372">
        <v>0.0</v>
      </c>
    </row>
    <row r="25901">
      <c r="Y25901" s="372">
        <v>0.0</v>
      </c>
      <c r="Z25901" s="372">
        <v>0.0</v>
      </c>
    </row>
    <row r="25902">
      <c r="Y25902" s="372">
        <v>0.0</v>
      </c>
      <c r="Z25902" s="372">
        <v>0.0</v>
      </c>
    </row>
    <row r="25903">
      <c r="Y25903" s="372">
        <v>0.0</v>
      </c>
      <c r="Z25903" s="372">
        <v>0.0</v>
      </c>
    </row>
    <row r="25904">
      <c r="Y25904" s="372">
        <v>0.0</v>
      </c>
      <c r="Z25904" s="372">
        <v>0.0</v>
      </c>
    </row>
    <row r="25905">
      <c r="Y25905" s="372">
        <v>0.0</v>
      </c>
      <c r="Z25905" s="372">
        <v>0.0</v>
      </c>
    </row>
    <row r="25906">
      <c r="Y25906" s="372">
        <v>0.0</v>
      </c>
      <c r="Z25906" s="372">
        <v>0.0</v>
      </c>
    </row>
    <row r="25907">
      <c r="Y25907" s="372">
        <v>0.0</v>
      </c>
      <c r="Z25907" s="372">
        <v>0.0</v>
      </c>
    </row>
    <row r="25908">
      <c r="Y25908" s="372">
        <v>0.0</v>
      </c>
      <c r="Z25908" s="372">
        <v>0.0</v>
      </c>
    </row>
    <row r="25909">
      <c r="Y25909" s="372">
        <v>0.0</v>
      </c>
      <c r="Z25909" s="372">
        <v>0.0</v>
      </c>
    </row>
    <row r="25910">
      <c r="Y25910" s="372">
        <v>0.0</v>
      </c>
      <c r="Z25910" s="372">
        <v>0.0</v>
      </c>
    </row>
    <row r="25911">
      <c r="Y25911" s="372">
        <v>0.0</v>
      </c>
      <c r="Z25911" s="372">
        <v>0.0</v>
      </c>
    </row>
    <row r="25912">
      <c r="Y25912" s="372">
        <v>0.0</v>
      </c>
      <c r="Z25912" s="372">
        <v>0.0</v>
      </c>
    </row>
    <row r="25913">
      <c r="Y25913" s="372">
        <v>0.0</v>
      </c>
      <c r="Z25913" s="372">
        <v>0.0</v>
      </c>
    </row>
    <row r="25914">
      <c r="Y25914" s="372">
        <v>0.0</v>
      </c>
      <c r="Z25914" s="372">
        <v>0.0</v>
      </c>
    </row>
    <row r="25915">
      <c r="Y25915" s="372">
        <v>0.0</v>
      </c>
      <c r="Z25915" s="372">
        <v>0.0</v>
      </c>
    </row>
    <row r="25916">
      <c r="Y25916" s="372">
        <v>0.0</v>
      </c>
      <c r="Z25916" s="372">
        <v>0.0</v>
      </c>
    </row>
    <row r="25917">
      <c r="Y25917" s="372">
        <v>0.0</v>
      </c>
      <c r="Z25917" s="372">
        <v>0.0</v>
      </c>
    </row>
    <row r="25918">
      <c r="Y25918" s="372">
        <v>0.0</v>
      </c>
      <c r="Z25918" s="372">
        <v>0.0</v>
      </c>
    </row>
    <row r="25919">
      <c r="Y25919" s="372">
        <v>0.0</v>
      </c>
      <c r="Z25919" s="372">
        <v>0.0</v>
      </c>
    </row>
    <row r="25920">
      <c r="Y25920" s="372">
        <v>0.0</v>
      </c>
      <c r="Z25920" s="372">
        <v>0.0</v>
      </c>
    </row>
    <row r="25921">
      <c r="Y25921" s="372">
        <v>0.0</v>
      </c>
      <c r="Z25921" s="372">
        <v>0.0</v>
      </c>
    </row>
    <row r="25922">
      <c r="Y25922" s="372">
        <v>0.0</v>
      </c>
      <c r="Z25922" s="372">
        <v>0.0</v>
      </c>
    </row>
    <row r="25923">
      <c r="Y25923" s="372">
        <v>0.0</v>
      </c>
      <c r="Z25923" s="372">
        <v>0.0</v>
      </c>
    </row>
    <row r="25924">
      <c r="Y25924" s="372">
        <v>0.0</v>
      </c>
      <c r="Z25924" s="372">
        <v>0.0</v>
      </c>
    </row>
    <row r="25925">
      <c r="Y25925" s="372">
        <v>0.0</v>
      </c>
      <c r="Z25925" s="372">
        <v>0.0</v>
      </c>
    </row>
    <row r="25926">
      <c r="Y25926" s="372">
        <v>0.0</v>
      </c>
      <c r="Z25926" s="372">
        <v>0.0</v>
      </c>
    </row>
    <row r="25927">
      <c r="Y25927" s="372">
        <v>0.0</v>
      </c>
      <c r="Z25927" s="372">
        <v>0.0</v>
      </c>
    </row>
    <row r="25928">
      <c r="Y25928" s="372">
        <v>0.0</v>
      </c>
      <c r="Z25928" s="372">
        <v>0.0</v>
      </c>
    </row>
    <row r="25929">
      <c r="Y25929" s="372">
        <v>0.0</v>
      </c>
      <c r="Z25929" s="372">
        <v>0.0</v>
      </c>
    </row>
    <row r="25930">
      <c r="Y25930" s="372">
        <v>0.0</v>
      </c>
      <c r="Z25930" s="372">
        <v>0.0</v>
      </c>
    </row>
    <row r="25931">
      <c r="Y25931" s="372">
        <v>0.0</v>
      </c>
      <c r="Z25931" s="372">
        <v>0.0</v>
      </c>
    </row>
    <row r="25932">
      <c r="Y25932" s="372">
        <v>0.0</v>
      </c>
      <c r="Z25932" s="372">
        <v>0.0</v>
      </c>
    </row>
    <row r="25933">
      <c r="Y25933" s="372">
        <v>0.0</v>
      </c>
      <c r="Z25933" s="372">
        <v>0.0</v>
      </c>
    </row>
    <row r="25934">
      <c r="Y25934" s="372">
        <v>0.0</v>
      </c>
      <c r="Z25934" s="372">
        <v>0.0</v>
      </c>
    </row>
    <row r="25935">
      <c r="Y25935" s="372">
        <v>0.0</v>
      </c>
      <c r="Z25935" s="372">
        <v>0.0</v>
      </c>
    </row>
    <row r="25936">
      <c r="Y25936" s="372">
        <v>0.0</v>
      </c>
      <c r="Z25936" s="372">
        <v>0.0</v>
      </c>
    </row>
    <row r="25937">
      <c r="Y25937" s="372">
        <v>0.0</v>
      </c>
      <c r="Z25937" s="372">
        <v>0.0</v>
      </c>
    </row>
    <row r="25938">
      <c r="Y25938" s="372">
        <v>0.0</v>
      </c>
      <c r="Z25938" s="372">
        <v>0.0</v>
      </c>
    </row>
    <row r="25939">
      <c r="Y25939" s="372">
        <v>0.0</v>
      </c>
      <c r="Z25939" s="372">
        <v>0.0</v>
      </c>
    </row>
    <row r="25940">
      <c r="Y25940" s="372">
        <v>0.0</v>
      </c>
      <c r="Z25940" s="372">
        <v>0.0</v>
      </c>
    </row>
    <row r="25941">
      <c r="Y25941" s="372">
        <v>0.0</v>
      </c>
      <c r="Z25941" s="372">
        <v>0.0</v>
      </c>
    </row>
    <row r="25942">
      <c r="Y25942" s="372">
        <v>0.0</v>
      </c>
      <c r="Z25942" s="372">
        <v>0.0</v>
      </c>
    </row>
    <row r="25943">
      <c r="Y25943" s="372">
        <v>0.0</v>
      </c>
      <c r="Z25943" s="372">
        <v>0.0</v>
      </c>
    </row>
    <row r="25944">
      <c r="Y25944" s="372">
        <v>0.0</v>
      </c>
      <c r="Z25944" s="372">
        <v>0.0</v>
      </c>
    </row>
    <row r="25945">
      <c r="Y25945" s="372">
        <v>0.0</v>
      </c>
      <c r="Z25945" s="372">
        <v>0.0</v>
      </c>
    </row>
    <row r="25946">
      <c r="Y25946" s="372">
        <v>0.0</v>
      </c>
      <c r="Z25946" s="372">
        <v>0.0</v>
      </c>
    </row>
    <row r="25947">
      <c r="Y25947" s="372">
        <v>0.0</v>
      </c>
      <c r="Z25947" s="372">
        <v>0.0</v>
      </c>
    </row>
    <row r="25948">
      <c r="Y25948" s="372">
        <v>0.0</v>
      </c>
      <c r="Z25948" s="372">
        <v>0.0</v>
      </c>
    </row>
    <row r="25949">
      <c r="Y25949" s="372">
        <v>0.0</v>
      </c>
      <c r="Z25949" s="372">
        <v>0.0</v>
      </c>
    </row>
    <row r="25950">
      <c r="Y25950" s="372">
        <v>0.0</v>
      </c>
      <c r="Z25950" s="372">
        <v>0.0</v>
      </c>
    </row>
    <row r="25951">
      <c r="Y25951" s="372">
        <v>0.0</v>
      </c>
      <c r="Z25951" s="372">
        <v>0.0</v>
      </c>
    </row>
    <row r="25952">
      <c r="Y25952" s="372">
        <v>0.0</v>
      </c>
      <c r="Z25952" s="372">
        <v>0.0</v>
      </c>
    </row>
    <row r="25953">
      <c r="Y25953" s="372">
        <v>0.0</v>
      </c>
      <c r="Z25953" s="372">
        <v>0.0</v>
      </c>
    </row>
    <row r="25954">
      <c r="Y25954" s="372">
        <v>0.0</v>
      </c>
      <c r="Z25954" s="372">
        <v>0.0</v>
      </c>
    </row>
    <row r="25955">
      <c r="Y25955" s="372">
        <v>0.0</v>
      </c>
      <c r="Z25955" s="372">
        <v>0.0</v>
      </c>
    </row>
    <row r="25956">
      <c r="Y25956" s="372">
        <v>0.0</v>
      </c>
      <c r="Z25956" s="372">
        <v>0.0</v>
      </c>
    </row>
    <row r="25957">
      <c r="Y25957" s="372">
        <v>0.0</v>
      </c>
      <c r="Z25957" s="372">
        <v>0.0</v>
      </c>
    </row>
    <row r="25958">
      <c r="Y25958" s="372">
        <v>0.0</v>
      </c>
      <c r="Z25958" s="372">
        <v>0.0</v>
      </c>
    </row>
    <row r="25959">
      <c r="Y25959" s="372">
        <v>0.0</v>
      </c>
      <c r="Z25959" s="372">
        <v>0.0</v>
      </c>
    </row>
    <row r="25960">
      <c r="Y25960" s="372">
        <v>0.0</v>
      </c>
      <c r="Z25960" s="372">
        <v>0.0</v>
      </c>
    </row>
    <row r="25961">
      <c r="Y25961" s="372">
        <v>0.0</v>
      </c>
      <c r="Z25961" s="372">
        <v>0.0</v>
      </c>
    </row>
    <row r="25962">
      <c r="Y25962" s="372">
        <v>0.0</v>
      </c>
      <c r="Z25962" s="372">
        <v>0.0</v>
      </c>
    </row>
    <row r="25963">
      <c r="Y25963" s="372">
        <v>0.0</v>
      </c>
      <c r="Z25963" s="372">
        <v>0.0</v>
      </c>
    </row>
    <row r="25964">
      <c r="Y25964" s="372">
        <v>0.0</v>
      </c>
      <c r="Z25964" s="372">
        <v>0.0</v>
      </c>
    </row>
    <row r="25965">
      <c r="Y25965" s="372">
        <v>0.0</v>
      </c>
      <c r="Z25965" s="372">
        <v>0.0</v>
      </c>
    </row>
    <row r="25966">
      <c r="Y25966" s="372">
        <v>0.0</v>
      </c>
      <c r="Z25966" s="372">
        <v>0.0</v>
      </c>
    </row>
    <row r="25967">
      <c r="Y25967" s="372">
        <v>0.0</v>
      </c>
      <c r="Z25967" s="372">
        <v>0.0</v>
      </c>
    </row>
    <row r="25968">
      <c r="Y25968" s="372">
        <v>0.0</v>
      </c>
      <c r="Z25968" s="372">
        <v>0.0</v>
      </c>
    </row>
    <row r="25969">
      <c r="Y25969" s="372">
        <v>0.0</v>
      </c>
      <c r="Z25969" s="372">
        <v>0.0</v>
      </c>
    </row>
    <row r="25970">
      <c r="Y25970" s="372">
        <v>0.0</v>
      </c>
      <c r="Z25970" s="372">
        <v>0.0</v>
      </c>
    </row>
    <row r="25971">
      <c r="Y25971" s="372">
        <v>0.0</v>
      </c>
      <c r="Z25971" s="372">
        <v>0.0</v>
      </c>
    </row>
    <row r="25972">
      <c r="Y25972" s="372">
        <v>0.0</v>
      </c>
      <c r="Z25972" s="372">
        <v>0.0</v>
      </c>
    </row>
    <row r="25973">
      <c r="Y25973" s="372">
        <v>0.0</v>
      </c>
      <c r="Z25973" s="372">
        <v>0.0</v>
      </c>
    </row>
    <row r="25974">
      <c r="Y25974" s="372">
        <v>0.0</v>
      </c>
      <c r="Z25974" s="372">
        <v>0.0</v>
      </c>
    </row>
    <row r="25975">
      <c r="Y25975" s="372">
        <v>0.0</v>
      </c>
      <c r="Z25975" s="372">
        <v>0.0</v>
      </c>
    </row>
    <row r="25976">
      <c r="Y25976" s="372">
        <v>0.0</v>
      </c>
      <c r="Z25976" s="372">
        <v>0.0</v>
      </c>
    </row>
    <row r="25977">
      <c r="Y25977" s="372">
        <v>0.0</v>
      </c>
      <c r="Z25977" s="372">
        <v>0.0</v>
      </c>
    </row>
    <row r="25978">
      <c r="Y25978" s="372">
        <v>0.0</v>
      </c>
      <c r="Z25978" s="372">
        <v>0.0</v>
      </c>
    </row>
    <row r="25979">
      <c r="Y25979" s="372">
        <v>0.0</v>
      </c>
      <c r="Z25979" s="372">
        <v>0.0</v>
      </c>
    </row>
    <row r="25980">
      <c r="Y25980" s="372">
        <v>0.0</v>
      </c>
      <c r="Z25980" s="372">
        <v>0.0</v>
      </c>
    </row>
    <row r="25981">
      <c r="Y25981" s="372">
        <v>0.0</v>
      </c>
      <c r="Z25981" s="372">
        <v>0.0</v>
      </c>
    </row>
    <row r="25982">
      <c r="Y25982" s="372">
        <v>0.0</v>
      </c>
      <c r="Z25982" s="372">
        <v>0.0</v>
      </c>
    </row>
    <row r="25983">
      <c r="Y25983" s="372">
        <v>0.0</v>
      </c>
      <c r="Z25983" s="372">
        <v>0.0</v>
      </c>
    </row>
    <row r="25984">
      <c r="Y25984" s="372">
        <v>0.0</v>
      </c>
      <c r="Z25984" s="372">
        <v>0.0</v>
      </c>
    </row>
    <row r="25985">
      <c r="Y25985" s="372">
        <v>0.0</v>
      </c>
      <c r="Z25985" s="372">
        <v>0.0</v>
      </c>
    </row>
    <row r="25986">
      <c r="Y25986" s="372">
        <v>0.0</v>
      </c>
      <c r="Z25986" s="372">
        <v>0.0</v>
      </c>
    </row>
    <row r="25987">
      <c r="Y25987" s="372">
        <v>0.0</v>
      </c>
      <c r="Z25987" s="372">
        <v>0.0</v>
      </c>
    </row>
    <row r="25988">
      <c r="Y25988" s="372">
        <v>0.0</v>
      </c>
      <c r="Z25988" s="372">
        <v>0.0</v>
      </c>
    </row>
    <row r="25989">
      <c r="Y25989" s="372">
        <v>0.0</v>
      </c>
      <c r="Z25989" s="372">
        <v>0.0</v>
      </c>
    </row>
    <row r="25990">
      <c r="Y25990" s="372">
        <v>0.0</v>
      </c>
      <c r="Z25990" s="372">
        <v>0.0</v>
      </c>
    </row>
    <row r="25991">
      <c r="Y25991" s="372">
        <v>0.0</v>
      </c>
      <c r="Z25991" s="372">
        <v>0.0</v>
      </c>
    </row>
    <row r="25992">
      <c r="Y25992" s="372">
        <v>0.0</v>
      </c>
      <c r="Z25992" s="372">
        <v>0.0</v>
      </c>
    </row>
    <row r="25993">
      <c r="Y25993" s="372">
        <v>0.0</v>
      </c>
      <c r="Z25993" s="372">
        <v>0.0</v>
      </c>
    </row>
    <row r="25994">
      <c r="Y25994" s="372">
        <v>0.0</v>
      </c>
      <c r="Z25994" s="372">
        <v>0.0</v>
      </c>
    </row>
    <row r="25995">
      <c r="Y25995" s="372">
        <v>0.0</v>
      </c>
      <c r="Z25995" s="372">
        <v>0.0</v>
      </c>
    </row>
    <row r="25996">
      <c r="Y25996" s="372">
        <v>0.0</v>
      </c>
      <c r="Z25996" s="372">
        <v>0.0</v>
      </c>
    </row>
    <row r="25997">
      <c r="Y25997" s="372">
        <v>0.0</v>
      </c>
      <c r="Z25997" s="372">
        <v>0.0</v>
      </c>
    </row>
    <row r="25998">
      <c r="Y25998" s="372">
        <v>0.0</v>
      </c>
      <c r="Z25998" s="372">
        <v>0.0</v>
      </c>
    </row>
    <row r="25999">
      <c r="Y25999" s="372">
        <v>0.0</v>
      </c>
      <c r="Z25999" s="372">
        <v>0.0</v>
      </c>
    </row>
    <row r="26000">
      <c r="Y26000" s="372">
        <v>0.0</v>
      </c>
      <c r="Z26000" s="372">
        <v>0.0</v>
      </c>
    </row>
    <row r="26001">
      <c r="Y26001" s="372">
        <v>0.0</v>
      </c>
      <c r="Z26001" s="372">
        <v>0.0</v>
      </c>
    </row>
    <row r="26002">
      <c r="Y26002" s="372">
        <v>0.0</v>
      </c>
      <c r="Z26002" s="372">
        <v>0.0</v>
      </c>
    </row>
    <row r="26003">
      <c r="Y26003" s="372">
        <v>0.0</v>
      </c>
      <c r="Z26003" s="372">
        <v>0.0</v>
      </c>
    </row>
    <row r="26004">
      <c r="Y26004" s="372">
        <v>0.0</v>
      </c>
      <c r="Z26004" s="372">
        <v>0.0</v>
      </c>
    </row>
    <row r="26005">
      <c r="Y26005" s="372">
        <v>0.0</v>
      </c>
      <c r="Z26005" s="372">
        <v>0.0</v>
      </c>
    </row>
    <row r="26006">
      <c r="Y26006" s="372">
        <v>0.0</v>
      </c>
      <c r="Z26006" s="372">
        <v>0.0</v>
      </c>
    </row>
    <row r="26007">
      <c r="Y26007" s="372">
        <v>0.0</v>
      </c>
      <c r="Z26007" s="372">
        <v>0.0</v>
      </c>
    </row>
    <row r="26008">
      <c r="Y26008" s="372">
        <v>0.0</v>
      </c>
      <c r="Z26008" s="372">
        <v>0.0</v>
      </c>
    </row>
    <row r="26009">
      <c r="Y26009" s="372">
        <v>0.0</v>
      </c>
      <c r="Z26009" s="372">
        <v>0.0</v>
      </c>
    </row>
    <row r="26010">
      <c r="Y26010" s="372">
        <v>0.0</v>
      </c>
      <c r="Z26010" s="372">
        <v>0.0</v>
      </c>
    </row>
    <row r="26011">
      <c r="Y26011" s="372">
        <v>0.0</v>
      </c>
      <c r="Z26011" s="372">
        <v>0.0</v>
      </c>
    </row>
    <row r="26012">
      <c r="Y26012" s="372">
        <v>0.0</v>
      </c>
      <c r="Z26012" s="372">
        <v>0.0</v>
      </c>
    </row>
    <row r="26013">
      <c r="Y26013" s="372">
        <v>0.0</v>
      </c>
      <c r="Z26013" s="372">
        <v>0.0</v>
      </c>
    </row>
    <row r="26014">
      <c r="Y26014" s="372">
        <v>0.0</v>
      </c>
      <c r="Z26014" s="372">
        <v>0.0</v>
      </c>
    </row>
    <row r="26015">
      <c r="Y26015" s="372">
        <v>0.0</v>
      </c>
      <c r="Z26015" s="372">
        <v>0.0</v>
      </c>
    </row>
    <row r="26016">
      <c r="Y26016" s="372">
        <v>0.0</v>
      </c>
      <c r="Z26016" s="372">
        <v>0.0</v>
      </c>
    </row>
    <row r="26017">
      <c r="Y26017" s="372">
        <v>0.0</v>
      </c>
      <c r="Z26017" s="372">
        <v>0.0</v>
      </c>
    </row>
    <row r="26018">
      <c r="Y26018" s="372">
        <v>0.0</v>
      </c>
      <c r="Z26018" s="372">
        <v>0.0</v>
      </c>
    </row>
    <row r="26019">
      <c r="Y26019" s="372">
        <v>0.0</v>
      </c>
      <c r="Z26019" s="372">
        <v>0.0</v>
      </c>
    </row>
    <row r="26020">
      <c r="Y26020" s="372">
        <v>0.0</v>
      </c>
      <c r="Z26020" s="372">
        <v>0.0</v>
      </c>
    </row>
    <row r="26021">
      <c r="Y26021" s="372">
        <v>0.0</v>
      </c>
      <c r="Z26021" s="372">
        <v>0.0</v>
      </c>
    </row>
    <row r="26022">
      <c r="Y26022" s="372">
        <v>0.0</v>
      </c>
      <c r="Z26022" s="372">
        <v>0.0</v>
      </c>
    </row>
    <row r="26023">
      <c r="Y26023" s="372">
        <v>0.0</v>
      </c>
      <c r="Z26023" s="372">
        <v>0.0</v>
      </c>
    </row>
    <row r="26024">
      <c r="Y26024" s="372">
        <v>0.0</v>
      </c>
      <c r="Z26024" s="372">
        <v>0.0</v>
      </c>
    </row>
    <row r="26025">
      <c r="Y26025" s="372">
        <v>0.0</v>
      </c>
      <c r="Z26025" s="372">
        <v>0.0</v>
      </c>
    </row>
    <row r="26026">
      <c r="Y26026" s="372">
        <v>0.0</v>
      </c>
      <c r="Z26026" s="372">
        <v>0.0</v>
      </c>
    </row>
    <row r="26027">
      <c r="Y26027" s="372">
        <v>0.0</v>
      </c>
      <c r="Z26027" s="372">
        <v>0.0</v>
      </c>
    </row>
    <row r="26028">
      <c r="Y26028" s="372">
        <v>0.0</v>
      </c>
      <c r="Z26028" s="372">
        <v>0.0</v>
      </c>
    </row>
    <row r="26029">
      <c r="Y26029" s="372">
        <v>0.0</v>
      </c>
      <c r="Z26029" s="372">
        <v>0.0</v>
      </c>
    </row>
    <row r="26030">
      <c r="Y26030" s="372">
        <v>0.0</v>
      </c>
      <c r="Z26030" s="372">
        <v>0.0</v>
      </c>
    </row>
    <row r="26031">
      <c r="Y26031" s="372">
        <v>0.0</v>
      </c>
      <c r="Z26031" s="372">
        <v>0.0</v>
      </c>
    </row>
    <row r="26032">
      <c r="Y26032" s="372">
        <v>0.0</v>
      </c>
      <c r="Z26032" s="372">
        <v>0.0</v>
      </c>
    </row>
    <row r="26033">
      <c r="Y26033" s="372">
        <v>0.0</v>
      </c>
      <c r="Z26033" s="372">
        <v>0.0</v>
      </c>
    </row>
    <row r="26034">
      <c r="Y26034" s="372">
        <v>0.0</v>
      </c>
      <c r="Z26034" s="372">
        <v>0.0</v>
      </c>
    </row>
    <row r="26035">
      <c r="Y26035" s="372">
        <v>0.0</v>
      </c>
      <c r="Z26035" s="372">
        <v>0.0</v>
      </c>
    </row>
    <row r="26036">
      <c r="Y26036" s="372">
        <v>0.0</v>
      </c>
      <c r="Z26036" s="372">
        <v>0.0</v>
      </c>
    </row>
    <row r="26037">
      <c r="Y26037" s="372">
        <v>0.0</v>
      </c>
      <c r="Z26037" s="372">
        <v>0.0</v>
      </c>
    </row>
    <row r="26038">
      <c r="Y26038" s="372">
        <v>0.0</v>
      </c>
      <c r="Z26038" s="372">
        <v>0.0</v>
      </c>
    </row>
    <row r="26039">
      <c r="Y26039" s="372">
        <v>0.0</v>
      </c>
      <c r="Z26039" s="372">
        <v>0.0</v>
      </c>
    </row>
    <row r="26040">
      <c r="Y26040" s="372">
        <v>0.0</v>
      </c>
      <c r="Z26040" s="372">
        <v>0.0</v>
      </c>
    </row>
    <row r="26041">
      <c r="Y26041" s="372">
        <v>0.0</v>
      </c>
      <c r="Z26041" s="372">
        <v>0.0</v>
      </c>
    </row>
    <row r="26042">
      <c r="Y26042" s="372">
        <v>0.0</v>
      </c>
      <c r="Z26042" s="372">
        <v>0.0</v>
      </c>
    </row>
    <row r="26043">
      <c r="Y26043" s="372">
        <v>0.0</v>
      </c>
      <c r="Z26043" s="372">
        <v>0.0</v>
      </c>
    </row>
    <row r="26044">
      <c r="Y26044" s="372">
        <v>0.0</v>
      </c>
      <c r="Z26044" s="372">
        <v>0.0</v>
      </c>
    </row>
    <row r="26045">
      <c r="Y26045" s="372">
        <v>0.0</v>
      </c>
      <c r="Z26045" s="372">
        <v>0.0</v>
      </c>
    </row>
    <row r="26046">
      <c r="Y26046" s="372">
        <v>0.0</v>
      </c>
      <c r="Z26046" s="372">
        <v>0.0</v>
      </c>
    </row>
    <row r="26047">
      <c r="Y26047" s="372">
        <v>0.0</v>
      </c>
      <c r="Z26047" s="372">
        <v>0.0</v>
      </c>
    </row>
    <row r="26048">
      <c r="Y26048" s="372">
        <v>0.0</v>
      </c>
      <c r="Z26048" s="372">
        <v>0.0</v>
      </c>
    </row>
    <row r="26049">
      <c r="Y26049" s="372">
        <v>0.0</v>
      </c>
      <c r="Z26049" s="372">
        <v>0.0</v>
      </c>
    </row>
    <row r="26050">
      <c r="Y26050" s="372">
        <v>0.0</v>
      </c>
      <c r="Z26050" s="372">
        <v>0.0</v>
      </c>
    </row>
    <row r="26051">
      <c r="Y26051" s="372">
        <v>0.0</v>
      </c>
      <c r="Z26051" s="372">
        <v>0.0</v>
      </c>
    </row>
    <row r="26052">
      <c r="Y26052" s="372">
        <v>0.0</v>
      </c>
      <c r="Z26052" s="372">
        <v>0.0</v>
      </c>
    </row>
    <row r="26053">
      <c r="Y26053" s="372">
        <v>0.0</v>
      </c>
      <c r="Z26053" s="372">
        <v>0.0</v>
      </c>
    </row>
    <row r="26054">
      <c r="Y26054" s="372">
        <v>0.0</v>
      </c>
      <c r="Z26054" s="372">
        <v>0.0</v>
      </c>
    </row>
    <row r="26055">
      <c r="Y26055" s="372">
        <v>0.0</v>
      </c>
      <c r="Z26055" s="372">
        <v>0.0</v>
      </c>
    </row>
    <row r="26056">
      <c r="Y26056" s="372">
        <v>0.0</v>
      </c>
      <c r="Z26056" s="372">
        <v>0.0</v>
      </c>
    </row>
    <row r="26057">
      <c r="Y26057" s="372">
        <v>0.0</v>
      </c>
      <c r="Z26057" s="372">
        <v>0.0</v>
      </c>
    </row>
    <row r="26058">
      <c r="Y26058" s="372">
        <v>0.0</v>
      </c>
      <c r="Z26058" s="372">
        <v>0.0</v>
      </c>
    </row>
    <row r="26059">
      <c r="Y26059" s="372">
        <v>0.0</v>
      </c>
      <c r="Z26059" s="372">
        <v>0.0</v>
      </c>
    </row>
    <row r="26060">
      <c r="Y26060" s="372">
        <v>0.0</v>
      </c>
      <c r="Z26060" s="372">
        <v>0.0</v>
      </c>
    </row>
    <row r="26061">
      <c r="Y26061" s="372">
        <v>0.0</v>
      </c>
      <c r="Z26061" s="372">
        <v>0.0</v>
      </c>
    </row>
    <row r="26062">
      <c r="Y26062" s="372">
        <v>0.0</v>
      </c>
      <c r="Z26062" s="372">
        <v>0.0</v>
      </c>
    </row>
    <row r="26063">
      <c r="Y26063" s="372">
        <v>0.0</v>
      </c>
      <c r="Z26063" s="372">
        <v>0.0</v>
      </c>
    </row>
    <row r="26064">
      <c r="Y26064" s="372">
        <v>0.0</v>
      </c>
      <c r="Z26064" s="372">
        <v>0.0</v>
      </c>
    </row>
    <row r="26065">
      <c r="Y26065" s="372">
        <v>0.0</v>
      </c>
      <c r="Z26065" s="372">
        <v>0.0</v>
      </c>
    </row>
    <row r="26066">
      <c r="Y26066" s="372">
        <v>0.0</v>
      </c>
      <c r="Z26066" s="372">
        <v>0.0</v>
      </c>
    </row>
    <row r="26067">
      <c r="Y26067" s="372">
        <v>0.0</v>
      </c>
      <c r="Z26067" s="372">
        <v>0.0</v>
      </c>
    </row>
    <row r="26068">
      <c r="Y26068" s="372">
        <v>0.0</v>
      </c>
      <c r="Z26068" s="372">
        <v>0.0</v>
      </c>
    </row>
    <row r="26069">
      <c r="Y26069" s="372">
        <v>0.0</v>
      </c>
      <c r="Z26069" s="372">
        <v>0.0</v>
      </c>
    </row>
    <row r="26070">
      <c r="Y26070" s="372">
        <v>0.0</v>
      </c>
      <c r="Z26070" s="372">
        <v>0.0</v>
      </c>
    </row>
    <row r="26071">
      <c r="Y26071" s="372">
        <v>0.0</v>
      </c>
      <c r="Z26071" s="372">
        <v>0.0</v>
      </c>
    </row>
    <row r="26072">
      <c r="Y26072" s="372">
        <v>0.0</v>
      </c>
      <c r="Z26072" s="372">
        <v>0.0</v>
      </c>
    </row>
    <row r="26073">
      <c r="Y26073" s="372">
        <v>0.0</v>
      </c>
      <c r="Z26073" s="372">
        <v>0.0</v>
      </c>
    </row>
    <row r="26074">
      <c r="Y26074" s="372">
        <v>0.0</v>
      </c>
      <c r="Z26074" s="372">
        <v>0.0</v>
      </c>
    </row>
    <row r="26075">
      <c r="Y26075" s="372">
        <v>0.0</v>
      </c>
      <c r="Z26075" s="372">
        <v>0.0</v>
      </c>
    </row>
    <row r="26076">
      <c r="Y26076" s="372">
        <v>0.0</v>
      </c>
      <c r="Z26076" s="372">
        <v>0.0</v>
      </c>
    </row>
    <row r="26077">
      <c r="Y26077" s="372">
        <v>0.0</v>
      </c>
      <c r="Z26077" s="372">
        <v>0.0</v>
      </c>
    </row>
    <row r="26078">
      <c r="Y26078" s="372">
        <v>0.0</v>
      </c>
      <c r="Z26078" s="372">
        <v>0.0</v>
      </c>
    </row>
    <row r="26079">
      <c r="Y26079" s="372">
        <v>0.0</v>
      </c>
      <c r="Z26079" s="372">
        <v>0.0</v>
      </c>
    </row>
    <row r="26080">
      <c r="Y26080" s="372">
        <v>0.0</v>
      </c>
      <c r="Z26080" s="372">
        <v>0.0</v>
      </c>
    </row>
    <row r="26081">
      <c r="Y26081" s="372">
        <v>0.0</v>
      </c>
      <c r="Z26081" s="372">
        <v>0.0</v>
      </c>
    </row>
    <row r="26082">
      <c r="Y26082" s="372">
        <v>0.0</v>
      </c>
      <c r="Z26082" s="372">
        <v>0.0</v>
      </c>
    </row>
    <row r="26083">
      <c r="Y26083" s="372">
        <v>0.0</v>
      </c>
      <c r="Z26083" s="372">
        <v>0.0</v>
      </c>
    </row>
    <row r="26084">
      <c r="Y26084" s="372">
        <v>0.0</v>
      </c>
      <c r="Z26084" s="372">
        <v>0.0</v>
      </c>
    </row>
    <row r="26085">
      <c r="Y26085" s="372">
        <v>0.0</v>
      </c>
      <c r="Z26085" s="372">
        <v>0.0</v>
      </c>
    </row>
    <row r="26086">
      <c r="Y26086" s="372">
        <v>0.0</v>
      </c>
      <c r="Z26086" s="372">
        <v>0.0</v>
      </c>
    </row>
    <row r="26087">
      <c r="Y26087" s="372">
        <v>0.0</v>
      </c>
      <c r="Z26087" s="372">
        <v>0.0</v>
      </c>
    </row>
    <row r="26088">
      <c r="Y26088" s="372">
        <v>0.0</v>
      </c>
      <c r="Z26088" s="372">
        <v>0.0</v>
      </c>
    </row>
    <row r="26089">
      <c r="Y26089" s="372">
        <v>0.0</v>
      </c>
      <c r="Z26089" s="372">
        <v>0.0</v>
      </c>
    </row>
    <row r="26090">
      <c r="Y26090" s="372">
        <v>0.0</v>
      </c>
      <c r="Z26090" s="372">
        <v>0.0</v>
      </c>
    </row>
    <row r="26091">
      <c r="Y26091" s="372">
        <v>0.0</v>
      </c>
      <c r="Z26091" s="372">
        <v>0.0</v>
      </c>
    </row>
    <row r="26092">
      <c r="Y26092" s="372">
        <v>0.0</v>
      </c>
      <c r="Z26092" s="372">
        <v>0.0</v>
      </c>
    </row>
    <row r="26093">
      <c r="Y26093" s="372">
        <v>0.0</v>
      </c>
      <c r="Z26093" s="372">
        <v>0.0</v>
      </c>
    </row>
    <row r="26094">
      <c r="Y26094" s="372">
        <v>0.0</v>
      </c>
      <c r="Z26094" s="372">
        <v>0.0</v>
      </c>
    </row>
    <row r="26095">
      <c r="Y26095" s="372">
        <v>0.0</v>
      </c>
      <c r="Z26095" s="372">
        <v>0.0</v>
      </c>
    </row>
    <row r="26096">
      <c r="Y26096" s="372">
        <v>0.0</v>
      </c>
      <c r="Z26096" s="372">
        <v>0.0</v>
      </c>
    </row>
    <row r="26097">
      <c r="Y26097" s="372">
        <v>0.0</v>
      </c>
      <c r="Z26097" s="372">
        <v>0.0</v>
      </c>
    </row>
    <row r="26098">
      <c r="Y26098" s="372">
        <v>0.0</v>
      </c>
      <c r="Z26098" s="372">
        <v>0.0</v>
      </c>
    </row>
    <row r="26099">
      <c r="Y26099" s="372">
        <v>0.0</v>
      </c>
      <c r="Z26099" s="372">
        <v>0.0</v>
      </c>
    </row>
    <row r="26100">
      <c r="Y26100" s="372">
        <v>0.0</v>
      </c>
      <c r="Z26100" s="372">
        <v>0.0</v>
      </c>
    </row>
    <row r="26101">
      <c r="Y26101" s="372">
        <v>0.0</v>
      </c>
      <c r="Z26101" s="372">
        <v>0.0</v>
      </c>
    </row>
    <row r="26102">
      <c r="Y26102" s="372">
        <v>0.0</v>
      </c>
      <c r="Z26102" s="372">
        <v>0.0</v>
      </c>
    </row>
    <row r="26103">
      <c r="Y26103" s="372">
        <v>0.0</v>
      </c>
      <c r="Z26103" s="372">
        <v>0.0</v>
      </c>
    </row>
    <row r="26104">
      <c r="Y26104" s="372">
        <v>0.0</v>
      </c>
      <c r="Z26104" s="372">
        <v>0.0</v>
      </c>
    </row>
    <row r="26105">
      <c r="Y26105" s="372">
        <v>0.0</v>
      </c>
      <c r="Z26105" s="372">
        <v>0.0</v>
      </c>
    </row>
    <row r="26106">
      <c r="Y26106" s="372">
        <v>0.0</v>
      </c>
      <c r="Z26106" s="372">
        <v>0.0</v>
      </c>
    </row>
    <row r="26107">
      <c r="Y26107" s="372">
        <v>0.0</v>
      </c>
      <c r="Z26107" s="372">
        <v>0.0</v>
      </c>
    </row>
    <row r="26108">
      <c r="Y26108" s="372">
        <v>0.0</v>
      </c>
      <c r="Z26108" s="372">
        <v>0.0</v>
      </c>
    </row>
    <row r="26109">
      <c r="Y26109" s="372">
        <v>0.0</v>
      </c>
      <c r="Z26109" s="372">
        <v>0.0</v>
      </c>
    </row>
    <row r="26110">
      <c r="Y26110" s="372">
        <v>0.0</v>
      </c>
      <c r="Z26110" s="372">
        <v>0.0</v>
      </c>
    </row>
    <row r="26111">
      <c r="Y26111" s="372">
        <v>0.0</v>
      </c>
      <c r="Z26111" s="372">
        <v>0.0</v>
      </c>
    </row>
    <row r="26112">
      <c r="Y26112" s="372">
        <v>0.0</v>
      </c>
      <c r="Z26112" s="372">
        <v>0.0</v>
      </c>
    </row>
    <row r="26113">
      <c r="Y26113" s="372">
        <v>0.0</v>
      </c>
      <c r="Z26113" s="372">
        <v>0.0</v>
      </c>
    </row>
    <row r="26114">
      <c r="Y26114" s="372">
        <v>0.0</v>
      </c>
      <c r="Z26114" s="372">
        <v>0.0</v>
      </c>
    </row>
    <row r="26115">
      <c r="Y26115" s="372">
        <v>0.0</v>
      </c>
      <c r="Z26115" s="372">
        <v>0.0</v>
      </c>
    </row>
    <row r="26116">
      <c r="Y26116" s="372">
        <v>0.0</v>
      </c>
      <c r="Z26116" s="372">
        <v>0.0</v>
      </c>
    </row>
    <row r="26117">
      <c r="Y26117" s="372">
        <v>0.0</v>
      </c>
      <c r="Z26117" s="372">
        <v>0.0</v>
      </c>
    </row>
    <row r="26118">
      <c r="Y26118" s="372">
        <v>0.0</v>
      </c>
      <c r="Z26118" s="372">
        <v>0.0</v>
      </c>
    </row>
    <row r="26119">
      <c r="Y26119" s="372">
        <v>0.0</v>
      </c>
      <c r="Z26119" s="372">
        <v>0.0</v>
      </c>
    </row>
    <row r="26120">
      <c r="Y26120" s="372">
        <v>0.0</v>
      </c>
      <c r="Z26120" s="372">
        <v>0.0</v>
      </c>
    </row>
    <row r="26121">
      <c r="Y26121" s="372">
        <v>0.0</v>
      </c>
      <c r="Z26121" s="372">
        <v>0.0</v>
      </c>
    </row>
    <row r="26122">
      <c r="Y26122" s="372">
        <v>0.0</v>
      </c>
      <c r="Z26122" s="372">
        <v>0.0</v>
      </c>
    </row>
    <row r="26123">
      <c r="Y26123" s="372">
        <v>0.0</v>
      </c>
      <c r="Z26123" s="372">
        <v>0.0</v>
      </c>
    </row>
    <row r="26124">
      <c r="Y26124" s="372">
        <v>0.0</v>
      </c>
      <c r="Z26124" s="372">
        <v>0.0</v>
      </c>
    </row>
    <row r="26125">
      <c r="Y26125" s="372">
        <v>0.0</v>
      </c>
      <c r="Z26125" s="372">
        <v>0.0</v>
      </c>
    </row>
    <row r="26126">
      <c r="Y26126" s="372">
        <v>0.0</v>
      </c>
      <c r="Z26126" s="372">
        <v>0.0</v>
      </c>
    </row>
    <row r="26127">
      <c r="Y26127" s="372">
        <v>0.0</v>
      </c>
      <c r="Z26127" s="372">
        <v>0.0</v>
      </c>
    </row>
    <row r="26128">
      <c r="Y26128" s="372">
        <v>0.0</v>
      </c>
      <c r="Z26128" s="372">
        <v>0.0</v>
      </c>
    </row>
    <row r="26129">
      <c r="Y26129" s="372">
        <v>0.0</v>
      </c>
      <c r="Z26129" s="372">
        <v>0.0</v>
      </c>
    </row>
    <row r="26130">
      <c r="Y26130" s="372">
        <v>0.0</v>
      </c>
      <c r="Z26130" s="372">
        <v>0.0</v>
      </c>
    </row>
    <row r="26131">
      <c r="Y26131" s="372">
        <v>0.0</v>
      </c>
      <c r="Z26131" s="372">
        <v>0.0</v>
      </c>
    </row>
    <row r="26132">
      <c r="Y26132" s="372">
        <v>0.0</v>
      </c>
      <c r="Z26132" s="372">
        <v>0.0</v>
      </c>
    </row>
    <row r="26133">
      <c r="Y26133" s="372">
        <v>0.0</v>
      </c>
      <c r="Z26133" s="372">
        <v>0.0</v>
      </c>
    </row>
    <row r="26134">
      <c r="Y26134" s="372">
        <v>0.0</v>
      </c>
      <c r="Z26134" s="372">
        <v>0.0</v>
      </c>
    </row>
    <row r="26135">
      <c r="Y26135" s="372">
        <v>0.0</v>
      </c>
      <c r="Z26135" s="372">
        <v>0.0</v>
      </c>
    </row>
    <row r="26136">
      <c r="Y26136" s="372">
        <v>0.0</v>
      </c>
      <c r="Z26136" s="372">
        <v>0.0</v>
      </c>
    </row>
    <row r="26137">
      <c r="Y26137" s="372">
        <v>0.0</v>
      </c>
      <c r="Z26137" s="372">
        <v>0.0</v>
      </c>
    </row>
    <row r="26138">
      <c r="Y26138" s="372">
        <v>0.0</v>
      </c>
      <c r="Z26138" s="372">
        <v>0.0</v>
      </c>
    </row>
    <row r="26139">
      <c r="Y26139" s="372">
        <v>0.0</v>
      </c>
      <c r="Z26139" s="372">
        <v>0.0</v>
      </c>
    </row>
    <row r="26140">
      <c r="Y26140" s="372">
        <v>0.0</v>
      </c>
      <c r="Z26140" s="372">
        <v>0.0</v>
      </c>
    </row>
    <row r="26141">
      <c r="Y26141" s="372">
        <v>0.0</v>
      </c>
      <c r="Z26141" s="372">
        <v>0.0</v>
      </c>
    </row>
    <row r="26142">
      <c r="Y26142" s="372">
        <v>0.0</v>
      </c>
      <c r="Z26142" s="372">
        <v>0.0</v>
      </c>
    </row>
    <row r="26143">
      <c r="Y26143" s="372">
        <v>0.0</v>
      </c>
      <c r="Z26143" s="372">
        <v>0.0</v>
      </c>
    </row>
    <row r="26144">
      <c r="Y26144" s="372">
        <v>0.0</v>
      </c>
      <c r="Z26144" s="372">
        <v>0.0</v>
      </c>
    </row>
    <row r="26145">
      <c r="Y26145" s="372">
        <v>0.0</v>
      </c>
      <c r="Z26145" s="372">
        <v>0.0</v>
      </c>
    </row>
    <row r="26146">
      <c r="Y26146" s="372">
        <v>0.0</v>
      </c>
      <c r="Z26146" s="372">
        <v>0.0</v>
      </c>
    </row>
    <row r="26147">
      <c r="Y26147" s="372">
        <v>0.0</v>
      </c>
      <c r="Z26147" s="372">
        <v>0.0</v>
      </c>
    </row>
    <row r="26148">
      <c r="Y26148" s="372">
        <v>0.0</v>
      </c>
      <c r="Z26148" s="372">
        <v>0.0</v>
      </c>
    </row>
    <row r="26149">
      <c r="Y26149" s="372">
        <v>0.0</v>
      </c>
      <c r="Z26149" s="372">
        <v>0.0</v>
      </c>
    </row>
    <row r="26150">
      <c r="Y26150" s="372">
        <v>0.0</v>
      </c>
      <c r="Z26150" s="372">
        <v>0.0</v>
      </c>
    </row>
    <row r="26151">
      <c r="Y26151" s="372">
        <v>0.0</v>
      </c>
      <c r="Z26151" s="372">
        <v>0.0</v>
      </c>
    </row>
    <row r="26152">
      <c r="Y26152" s="372">
        <v>0.0</v>
      </c>
      <c r="Z26152" s="372">
        <v>0.0</v>
      </c>
    </row>
    <row r="26153">
      <c r="Y26153" s="372">
        <v>0.0</v>
      </c>
      <c r="Z26153" s="372">
        <v>0.0</v>
      </c>
    </row>
    <row r="26154">
      <c r="Y26154" s="372">
        <v>0.0</v>
      </c>
      <c r="Z26154" s="372">
        <v>0.0</v>
      </c>
    </row>
    <row r="26155">
      <c r="Y26155" s="372">
        <v>0.0</v>
      </c>
      <c r="Z26155" s="372">
        <v>0.0</v>
      </c>
    </row>
    <row r="26156">
      <c r="Y26156" s="372">
        <v>0.0</v>
      </c>
      <c r="Z26156" s="372">
        <v>0.0</v>
      </c>
    </row>
    <row r="26157">
      <c r="Y26157" s="372">
        <v>0.0</v>
      </c>
      <c r="Z26157" s="372">
        <v>0.0</v>
      </c>
    </row>
    <row r="26158">
      <c r="Y26158" s="372">
        <v>0.0</v>
      </c>
      <c r="Z26158" s="372">
        <v>0.0</v>
      </c>
    </row>
    <row r="26159">
      <c r="Y26159" s="372">
        <v>0.0</v>
      </c>
      <c r="Z26159" s="372">
        <v>0.0</v>
      </c>
    </row>
    <row r="26160">
      <c r="Y26160" s="372">
        <v>0.0</v>
      </c>
      <c r="Z26160" s="372">
        <v>0.0</v>
      </c>
    </row>
    <row r="26161">
      <c r="Y26161" s="372">
        <v>0.0</v>
      </c>
      <c r="Z26161" s="372">
        <v>0.0</v>
      </c>
    </row>
    <row r="26162">
      <c r="Y26162" s="372">
        <v>0.0</v>
      </c>
      <c r="Z26162" s="372">
        <v>0.0</v>
      </c>
    </row>
    <row r="26163">
      <c r="Y26163" s="372">
        <v>0.0</v>
      </c>
      <c r="Z26163" s="372">
        <v>0.0</v>
      </c>
    </row>
    <row r="26164">
      <c r="Y26164" s="372">
        <v>0.0</v>
      </c>
      <c r="Z26164" s="372">
        <v>0.0</v>
      </c>
    </row>
    <row r="26165">
      <c r="Y26165" s="372">
        <v>0.0</v>
      </c>
      <c r="Z26165" s="372">
        <v>0.0</v>
      </c>
    </row>
    <row r="26166">
      <c r="Y26166" s="372">
        <v>0.0</v>
      </c>
      <c r="Z26166" s="372">
        <v>0.0</v>
      </c>
    </row>
    <row r="26167">
      <c r="Y26167" s="372">
        <v>0.0</v>
      </c>
      <c r="Z26167" s="372">
        <v>0.0</v>
      </c>
    </row>
    <row r="26168">
      <c r="Y26168" s="372">
        <v>0.0</v>
      </c>
      <c r="Z26168" s="372">
        <v>0.0</v>
      </c>
    </row>
    <row r="26169">
      <c r="Y26169" s="372">
        <v>0.0</v>
      </c>
      <c r="Z26169" s="372">
        <v>0.0</v>
      </c>
    </row>
    <row r="26170">
      <c r="Y26170" s="372">
        <v>0.0</v>
      </c>
      <c r="Z26170" s="372">
        <v>0.0</v>
      </c>
    </row>
    <row r="26171">
      <c r="Y26171" s="372">
        <v>0.0</v>
      </c>
      <c r="Z26171" s="372">
        <v>0.0</v>
      </c>
    </row>
    <row r="26172">
      <c r="Y26172" s="372">
        <v>0.0</v>
      </c>
      <c r="Z26172" s="372">
        <v>0.0</v>
      </c>
    </row>
    <row r="26173">
      <c r="Y26173" s="372">
        <v>0.0</v>
      </c>
      <c r="Z26173" s="372">
        <v>0.0</v>
      </c>
    </row>
    <row r="26174">
      <c r="Y26174" s="372">
        <v>0.0</v>
      </c>
      <c r="Z26174" s="372">
        <v>0.0</v>
      </c>
    </row>
    <row r="26175">
      <c r="Y26175" s="372">
        <v>0.0</v>
      </c>
      <c r="Z26175" s="372">
        <v>0.0</v>
      </c>
    </row>
    <row r="26176">
      <c r="Y26176" s="372">
        <v>0.0</v>
      </c>
      <c r="Z26176" s="372">
        <v>0.0</v>
      </c>
    </row>
    <row r="26177">
      <c r="Y26177" s="372">
        <v>0.0</v>
      </c>
      <c r="Z26177" s="372">
        <v>0.0</v>
      </c>
    </row>
    <row r="26178">
      <c r="Y26178" s="372">
        <v>0.0</v>
      </c>
      <c r="Z26178" s="372">
        <v>0.0</v>
      </c>
    </row>
    <row r="26179">
      <c r="Y26179" s="372">
        <v>0.0</v>
      </c>
      <c r="Z26179" s="372">
        <v>0.0</v>
      </c>
    </row>
    <row r="26180">
      <c r="Y26180" s="372">
        <v>0.0</v>
      </c>
      <c r="Z26180" s="372">
        <v>0.0</v>
      </c>
    </row>
    <row r="26181">
      <c r="Y26181" s="372">
        <v>0.0</v>
      </c>
      <c r="Z26181" s="372">
        <v>0.0</v>
      </c>
    </row>
    <row r="26182">
      <c r="Y26182" s="372">
        <v>0.0</v>
      </c>
      <c r="Z26182" s="372">
        <v>0.0</v>
      </c>
    </row>
    <row r="26183">
      <c r="Y26183" s="372">
        <v>0.0</v>
      </c>
      <c r="Z26183" s="372">
        <v>0.0</v>
      </c>
    </row>
    <row r="26184">
      <c r="Y26184" s="372">
        <v>0.0</v>
      </c>
      <c r="Z26184" s="372">
        <v>0.0</v>
      </c>
    </row>
    <row r="26185">
      <c r="Y26185" s="372">
        <v>0.0</v>
      </c>
      <c r="Z26185" s="372">
        <v>0.0</v>
      </c>
    </row>
    <row r="26186">
      <c r="Y26186" s="372">
        <v>0.0</v>
      </c>
      <c r="Z26186" s="372">
        <v>0.0</v>
      </c>
    </row>
    <row r="26187">
      <c r="Y26187" s="372">
        <v>0.0</v>
      </c>
      <c r="Z26187" s="372">
        <v>0.0</v>
      </c>
    </row>
    <row r="26188">
      <c r="Y26188" s="372">
        <v>0.0</v>
      </c>
      <c r="Z26188" s="372">
        <v>0.0</v>
      </c>
    </row>
    <row r="26189">
      <c r="Y26189" s="372">
        <v>0.0</v>
      </c>
      <c r="Z26189" s="372">
        <v>0.0</v>
      </c>
    </row>
    <row r="26190">
      <c r="Y26190" s="372">
        <v>0.0</v>
      </c>
      <c r="Z26190" s="372">
        <v>0.0</v>
      </c>
    </row>
    <row r="26191">
      <c r="Y26191" s="372">
        <v>0.0</v>
      </c>
      <c r="Z26191" s="372">
        <v>0.0</v>
      </c>
    </row>
    <row r="26192">
      <c r="Y26192" s="372">
        <v>0.0</v>
      </c>
      <c r="Z26192" s="372">
        <v>0.0</v>
      </c>
    </row>
    <row r="26193">
      <c r="Y26193" s="372">
        <v>0.0</v>
      </c>
      <c r="Z26193" s="372">
        <v>0.0</v>
      </c>
    </row>
    <row r="26194">
      <c r="Y26194" s="372">
        <v>0.0</v>
      </c>
      <c r="Z26194" s="372">
        <v>0.0</v>
      </c>
    </row>
    <row r="26195">
      <c r="Y26195" s="372">
        <v>0.0</v>
      </c>
      <c r="Z26195" s="372">
        <v>0.0</v>
      </c>
    </row>
    <row r="26196">
      <c r="Y26196" s="372">
        <v>0.0</v>
      </c>
      <c r="Z26196" s="372">
        <v>0.0</v>
      </c>
    </row>
    <row r="26197">
      <c r="Y26197" s="372">
        <v>0.0</v>
      </c>
      <c r="Z26197" s="372">
        <v>0.0</v>
      </c>
    </row>
    <row r="26198">
      <c r="Y26198" s="372">
        <v>0.0</v>
      </c>
      <c r="Z26198" s="372">
        <v>0.0</v>
      </c>
    </row>
    <row r="26199">
      <c r="Y26199" s="372">
        <v>0.0</v>
      </c>
      <c r="Z26199" s="372">
        <v>0.0</v>
      </c>
    </row>
    <row r="26200">
      <c r="Y26200" s="372">
        <v>0.0</v>
      </c>
      <c r="Z26200" s="372">
        <v>0.0</v>
      </c>
    </row>
    <row r="26201">
      <c r="Y26201" s="372">
        <v>0.0</v>
      </c>
      <c r="Z26201" s="372">
        <v>0.0</v>
      </c>
    </row>
    <row r="26202">
      <c r="Y26202" s="372">
        <v>0.0</v>
      </c>
      <c r="Z26202" s="372">
        <v>0.0</v>
      </c>
    </row>
    <row r="26203">
      <c r="Y26203" s="372">
        <v>0.0</v>
      </c>
      <c r="Z26203" s="372">
        <v>0.0</v>
      </c>
    </row>
    <row r="26204">
      <c r="Y26204" s="372">
        <v>0.0</v>
      </c>
      <c r="Z26204" s="372">
        <v>0.0</v>
      </c>
    </row>
    <row r="26205">
      <c r="Y26205" s="372">
        <v>0.0</v>
      </c>
      <c r="Z26205" s="372">
        <v>0.0</v>
      </c>
    </row>
    <row r="26206">
      <c r="Y26206" s="372">
        <v>0.0</v>
      </c>
      <c r="Z26206" s="372">
        <v>0.0</v>
      </c>
    </row>
    <row r="26207">
      <c r="Y26207" s="372">
        <v>0.0</v>
      </c>
      <c r="Z26207" s="372">
        <v>0.0</v>
      </c>
    </row>
    <row r="26208">
      <c r="Y26208" s="372">
        <v>0.0</v>
      </c>
      <c r="Z26208" s="372">
        <v>0.0</v>
      </c>
    </row>
    <row r="26209">
      <c r="Y26209" s="372">
        <v>0.0</v>
      </c>
      <c r="Z26209" s="372">
        <v>0.0</v>
      </c>
    </row>
    <row r="26210">
      <c r="Y26210" s="372">
        <v>0.0</v>
      </c>
      <c r="Z26210" s="372">
        <v>0.0</v>
      </c>
    </row>
    <row r="26211">
      <c r="Y26211" s="372">
        <v>0.0</v>
      </c>
      <c r="Z26211" s="372">
        <v>0.0</v>
      </c>
    </row>
    <row r="26212">
      <c r="Y26212" s="372">
        <v>0.0</v>
      </c>
      <c r="Z26212" s="372">
        <v>0.0</v>
      </c>
    </row>
    <row r="26213">
      <c r="Y26213" s="372">
        <v>0.0</v>
      </c>
      <c r="Z26213" s="372">
        <v>0.0</v>
      </c>
    </row>
    <row r="26214">
      <c r="Y26214" s="372">
        <v>0.0</v>
      </c>
      <c r="Z26214" s="372">
        <v>0.0</v>
      </c>
    </row>
    <row r="26215">
      <c r="Y26215" s="372">
        <v>0.0</v>
      </c>
      <c r="Z26215" s="372">
        <v>0.0</v>
      </c>
    </row>
    <row r="26216">
      <c r="Y26216" s="372">
        <v>0.0</v>
      </c>
      <c r="Z26216" s="372">
        <v>0.0</v>
      </c>
    </row>
    <row r="26217">
      <c r="Y26217" s="372">
        <v>0.0</v>
      </c>
      <c r="Z26217" s="372">
        <v>0.0</v>
      </c>
    </row>
    <row r="26218">
      <c r="Y26218" s="372">
        <v>0.0</v>
      </c>
      <c r="Z26218" s="372">
        <v>0.0</v>
      </c>
    </row>
    <row r="26219">
      <c r="Y26219" s="372">
        <v>0.0</v>
      </c>
      <c r="Z26219" s="372">
        <v>0.0</v>
      </c>
    </row>
    <row r="26220">
      <c r="Y26220" s="372">
        <v>0.0</v>
      </c>
      <c r="Z26220" s="372">
        <v>0.0</v>
      </c>
    </row>
    <row r="26221">
      <c r="Y26221" s="372">
        <v>0.0</v>
      </c>
      <c r="Z26221" s="372">
        <v>0.0</v>
      </c>
    </row>
    <row r="26222">
      <c r="Y26222" s="372">
        <v>0.0</v>
      </c>
      <c r="Z26222" s="372">
        <v>0.0</v>
      </c>
    </row>
    <row r="26223">
      <c r="Y26223" s="372">
        <v>0.0</v>
      </c>
      <c r="Z26223" s="372">
        <v>0.0</v>
      </c>
    </row>
    <row r="26224">
      <c r="Y26224" s="372">
        <v>0.0</v>
      </c>
      <c r="Z26224" s="372">
        <v>0.0</v>
      </c>
    </row>
    <row r="26225">
      <c r="Y26225" s="372">
        <v>0.0</v>
      </c>
      <c r="Z26225" s="372">
        <v>0.0</v>
      </c>
    </row>
    <row r="26226">
      <c r="Y26226" s="372">
        <v>0.0</v>
      </c>
      <c r="Z26226" s="372">
        <v>0.0</v>
      </c>
    </row>
    <row r="26227">
      <c r="Y26227" s="372">
        <v>0.0</v>
      </c>
      <c r="Z26227" s="372">
        <v>0.0</v>
      </c>
    </row>
    <row r="26228">
      <c r="Y26228" s="372">
        <v>0.0</v>
      </c>
      <c r="Z26228" s="372">
        <v>0.0</v>
      </c>
    </row>
    <row r="26229">
      <c r="Y26229" s="372">
        <v>0.0</v>
      </c>
      <c r="Z26229" s="372">
        <v>0.0</v>
      </c>
    </row>
    <row r="26230">
      <c r="Y26230" s="372">
        <v>0.0</v>
      </c>
      <c r="Z26230" s="372">
        <v>0.0</v>
      </c>
    </row>
    <row r="26231">
      <c r="Y26231" s="372">
        <v>0.0</v>
      </c>
      <c r="Z26231" s="372">
        <v>0.0</v>
      </c>
    </row>
    <row r="26232">
      <c r="Y26232" s="372">
        <v>0.0</v>
      </c>
      <c r="Z26232" s="372">
        <v>0.0</v>
      </c>
    </row>
    <row r="26233">
      <c r="Y26233" s="372">
        <v>0.0</v>
      </c>
      <c r="Z26233" s="372">
        <v>0.0</v>
      </c>
    </row>
    <row r="26234">
      <c r="Y26234" s="372">
        <v>0.0</v>
      </c>
      <c r="Z26234" s="372">
        <v>0.0</v>
      </c>
    </row>
    <row r="26235">
      <c r="Y26235" s="372">
        <v>0.0</v>
      </c>
      <c r="Z26235" s="372">
        <v>0.0</v>
      </c>
    </row>
    <row r="26236">
      <c r="Y26236" s="372">
        <v>0.0</v>
      </c>
      <c r="Z26236" s="372">
        <v>0.0</v>
      </c>
    </row>
    <row r="26237">
      <c r="Y26237" s="372">
        <v>0.0</v>
      </c>
      <c r="Z26237" s="372">
        <v>0.0</v>
      </c>
    </row>
    <row r="26238">
      <c r="Y26238" s="372">
        <v>0.0</v>
      </c>
      <c r="Z26238" s="372">
        <v>0.0</v>
      </c>
    </row>
    <row r="26239">
      <c r="Y26239" s="372">
        <v>0.0</v>
      </c>
      <c r="Z26239" s="372">
        <v>0.0</v>
      </c>
    </row>
    <row r="26240">
      <c r="Y26240" s="372">
        <v>0.0</v>
      </c>
      <c r="Z26240" s="372">
        <v>0.0</v>
      </c>
    </row>
    <row r="26241">
      <c r="Y26241" s="372">
        <v>0.0</v>
      </c>
      <c r="Z26241" s="372">
        <v>0.0</v>
      </c>
    </row>
    <row r="26242">
      <c r="Y26242" s="372">
        <v>0.0</v>
      </c>
      <c r="Z26242" s="372">
        <v>0.0</v>
      </c>
    </row>
    <row r="26243">
      <c r="Y26243" s="372">
        <v>0.0</v>
      </c>
      <c r="Z26243" s="372">
        <v>0.0</v>
      </c>
    </row>
    <row r="26244">
      <c r="Y26244" s="372">
        <v>0.0</v>
      </c>
      <c r="Z26244" s="372">
        <v>0.0</v>
      </c>
    </row>
    <row r="26245">
      <c r="Y26245" s="372">
        <v>0.0</v>
      </c>
      <c r="Z26245" s="372">
        <v>0.0</v>
      </c>
    </row>
    <row r="26246">
      <c r="Y26246" s="372">
        <v>0.0</v>
      </c>
      <c r="Z26246" s="372">
        <v>0.0</v>
      </c>
    </row>
    <row r="26247">
      <c r="Y26247" s="372">
        <v>0.0</v>
      </c>
      <c r="Z26247" s="372">
        <v>0.0</v>
      </c>
    </row>
    <row r="26248">
      <c r="Y26248" s="372">
        <v>0.0</v>
      </c>
      <c r="Z26248" s="372">
        <v>0.0</v>
      </c>
    </row>
    <row r="26249">
      <c r="Y26249" s="372">
        <v>0.0</v>
      </c>
      <c r="Z26249" s="372">
        <v>0.0</v>
      </c>
    </row>
    <row r="26250">
      <c r="Y26250" s="372">
        <v>0.0</v>
      </c>
      <c r="Z26250" s="372">
        <v>0.0</v>
      </c>
    </row>
    <row r="26251">
      <c r="Y26251" s="372">
        <v>0.0</v>
      </c>
      <c r="Z26251" s="372">
        <v>0.0</v>
      </c>
    </row>
    <row r="26252">
      <c r="Y26252" s="372">
        <v>0.0</v>
      </c>
      <c r="Z26252" s="372">
        <v>0.0</v>
      </c>
    </row>
    <row r="26253">
      <c r="Y26253" s="372">
        <v>0.0</v>
      </c>
      <c r="Z26253" s="372">
        <v>0.0</v>
      </c>
    </row>
    <row r="26254">
      <c r="Y26254" s="372">
        <v>0.0</v>
      </c>
      <c r="Z26254" s="372">
        <v>0.0</v>
      </c>
    </row>
    <row r="26255">
      <c r="Y26255" s="372">
        <v>0.0</v>
      </c>
      <c r="Z26255" s="372">
        <v>0.0</v>
      </c>
    </row>
    <row r="26256">
      <c r="Y26256" s="372">
        <v>0.0</v>
      </c>
      <c r="Z26256" s="372">
        <v>0.0</v>
      </c>
    </row>
    <row r="26257">
      <c r="Y26257" s="372">
        <v>0.0</v>
      </c>
      <c r="Z26257" s="372">
        <v>0.0</v>
      </c>
    </row>
    <row r="26258">
      <c r="Y26258" s="372">
        <v>0.0</v>
      </c>
      <c r="Z26258" s="372">
        <v>0.0</v>
      </c>
    </row>
    <row r="26259">
      <c r="Y26259" s="372">
        <v>0.0</v>
      </c>
      <c r="Z26259" s="372">
        <v>0.0</v>
      </c>
    </row>
    <row r="26260">
      <c r="Y26260" s="372">
        <v>0.0</v>
      </c>
      <c r="Z26260" s="372">
        <v>0.0</v>
      </c>
    </row>
    <row r="26261">
      <c r="Y26261" s="372">
        <v>0.0</v>
      </c>
      <c r="Z26261" s="372">
        <v>0.0</v>
      </c>
    </row>
    <row r="26262">
      <c r="Y26262" s="372">
        <v>0.0</v>
      </c>
      <c r="Z26262" s="372">
        <v>0.0</v>
      </c>
    </row>
    <row r="26263">
      <c r="Y26263" s="372">
        <v>0.0</v>
      </c>
      <c r="Z26263" s="372">
        <v>0.0</v>
      </c>
    </row>
    <row r="26264">
      <c r="Y26264" s="372">
        <v>0.0</v>
      </c>
      <c r="Z26264" s="372">
        <v>0.0</v>
      </c>
    </row>
    <row r="26265">
      <c r="Y26265" s="372">
        <v>0.0</v>
      </c>
      <c r="Z26265" s="372">
        <v>0.0</v>
      </c>
    </row>
    <row r="26266">
      <c r="Y26266" s="372">
        <v>0.0</v>
      </c>
      <c r="Z26266" s="372">
        <v>0.0</v>
      </c>
    </row>
    <row r="26267">
      <c r="Y26267" s="372">
        <v>0.0</v>
      </c>
      <c r="Z26267" s="372">
        <v>0.0</v>
      </c>
    </row>
    <row r="26268">
      <c r="Y26268" s="372">
        <v>0.0</v>
      </c>
      <c r="Z26268" s="372">
        <v>0.0</v>
      </c>
    </row>
    <row r="26269">
      <c r="Y26269" s="372">
        <v>0.0</v>
      </c>
      <c r="Z26269" s="372">
        <v>0.0</v>
      </c>
    </row>
    <row r="26270">
      <c r="Y26270" s="372">
        <v>0.0</v>
      </c>
      <c r="Z26270" s="372">
        <v>0.0</v>
      </c>
    </row>
    <row r="26271">
      <c r="Y26271" s="372">
        <v>0.0</v>
      </c>
      <c r="Z26271" s="372">
        <v>0.0</v>
      </c>
    </row>
    <row r="26272">
      <c r="Y26272" s="372">
        <v>0.0</v>
      </c>
      <c r="Z26272" s="372">
        <v>0.0</v>
      </c>
    </row>
    <row r="26273">
      <c r="Y26273" s="372">
        <v>0.0</v>
      </c>
      <c r="Z26273" s="372">
        <v>0.0</v>
      </c>
    </row>
    <row r="26274">
      <c r="Y26274" s="372">
        <v>0.0</v>
      </c>
      <c r="Z26274" s="372">
        <v>0.0</v>
      </c>
    </row>
    <row r="26275">
      <c r="Y26275" s="372">
        <v>0.0</v>
      </c>
      <c r="Z26275" s="372">
        <v>0.0</v>
      </c>
    </row>
    <row r="26276">
      <c r="Y26276" s="372">
        <v>0.0</v>
      </c>
      <c r="Z26276" s="372">
        <v>0.0</v>
      </c>
    </row>
    <row r="26277">
      <c r="Y26277" s="372">
        <v>0.0</v>
      </c>
      <c r="Z26277" s="372">
        <v>0.0</v>
      </c>
    </row>
    <row r="26278">
      <c r="Y26278" s="372">
        <v>0.0</v>
      </c>
      <c r="Z26278" s="372">
        <v>0.0</v>
      </c>
    </row>
    <row r="26279">
      <c r="Y26279" s="372">
        <v>0.0</v>
      </c>
      <c r="Z26279" s="372">
        <v>0.0</v>
      </c>
    </row>
    <row r="26280">
      <c r="Y26280" s="372">
        <v>0.0</v>
      </c>
      <c r="Z26280" s="372">
        <v>0.0</v>
      </c>
    </row>
    <row r="26281">
      <c r="Y26281" s="372">
        <v>0.0</v>
      </c>
      <c r="Z26281" s="372">
        <v>0.0</v>
      </c>
    </row>
    <row r="26282">
      <c r="Y26282" s="372">
        <v>0.0</v>
      </c>
      <c r="Z26282" s="372">
        <v>0.0</v>
      </c>
    </row>
    <row r="26283">
      <c r="Y26283" s="372">
        <v>0.0</v>
      </c>
      <c r="Z26283" s="372">
        <v>0.0</v>
      </c>
    </row>
    <row r="26284">
      <c r="Y26284" s="372">
        <v>0.0</v>
      </c>
      <c r="Z26284" s="372">
        <v>0.0</v>
      </c>
    </row>
    <row r="26285">
      <c r="Y26285" s="372">
        <v>0.0</v>
      </c>
      <c r="Z26285" s="372">
        <v>0.0</v>
      </c>
    </row>
    <row r="26286">
      <c r="Y26286" s="372">
        <v>0.0</v>
      </c>
      <c r="Z26286" s="372">
        <v>0.0</v>
      </c>
    </row>
    <row r="26287">
      <c r="Y26287" s="372">
        <v>0.0</v>
      </c>
      <c r="Z26287" s="372">
        <v>0.0</v>
      </c>
    </row>
    <row r="26288">
      <c r="Y26288" s="372">
        <v>0.0</v>
      </c>
      <c r="Z26288" s="372">
        <v>0.0</v>
      </c>
    </row>
    <row r="26289">
      <c r="Y26289" s="372">
        <v>0.0</v>
      </c>
      <c r="Z26289" s="372">
        <v>0.0</v>
      </c>
    </row>
    <row r="26290">
      <c r="Y26290" s="372">
        <v>0.0</v>
      </c>
      <c r="Z26290" s="372">
        <v>0.0</v>
      </c>
    </row>
    <row r="26291">
      <c r="Y26291" s="372">
        <v>0.0</v>
      </c>
      <c r="Z26291" s="372">
        <v>0.0</v>
      </c>
    </row>
    <row r="26292">
      <c r="Y26292" s="372">
        <v>0.0</v>
      </c>
      <c r="Z26292" s="372">
        <v>0.0</v>
      </c>
    </row>
    <row r="26293">
      <c r="Y26293" s="372">
        <v>0.0</v>
      </c>
      <c r="Z26293" s="372">
        <v>0.0</v>
      </c>
    </row>
    <row r="26294">
      <c r="Y26294" s="372">
        <v>0.0</v>
      </c>
      <c r="Z26294" s="372">
        <v>0.0</v>
      </c>
    </row>
    <row r="26295">
      <c r="Y26295" s="372">
        <v>0.0</v>
      </c>
      <c r="Z26295" s="372">
        <v>0.0</v>
      </c>
    </row>
    <row r="26296">
      <c r="Y26296" s="372">
        <v>0.0</v>
      </c>
      <c r="Z26296" s="372">
        <v>0.0</v>
      </c>
    </row>
    <row r="26297">
      <c r="Y26297" s="372">
        <v>0.0</v>
      </c>
      <c r="Z26297" s="372">
        <v>0.0</v>
      </c>
    </row>
    <row r="26298">
      <c r="Y26298" s="372">
        <v>0.0</v>
      </c>
      <c r="Z26298" s="372">
        <v>0.0</v>
      </c>
    </row>
    <row r="26299">
      <c r="Y26299" s="372">
        <v>0.0</v>
      </c>
      <c r="Z26299" s="372">
        <v>0.0</v>
      </c>
    </row>
    <row r="26300">
      <c r="Y26300" s="372">
        <v>0.0</v>
      </c>
      <c r="Z26300" s="372">
        <v>0.0</v>
      </c>
    </row>
    <row r="26301">
      <c r="Y26301" s="372">
        <v>0.0</v>
      </c>
      <c r="Z26301" s="372">
        <v>0.0</v>
      </c>
    </row>
    <row r="26302">
      <c r="Y26302" s="372">
        <v>0.0</v>
      </c>
      <c r="Z26302" s="372">
        <v>0.0</v>
      </c>
    </row>
    <row r="26303">
      <c r="Y26303" s="372">
        <v>0.0</v>
      </c>
      <c r="Z26303" s="372">
        <v>0.0</v>
      </c>
    </row>
    <row r="26304">
      <c r="Y26304" s="372">
        <v>0.0</v>
      </c>
      <c r="Z26304" s="372">
        <v>0.0</v>
      </c>
    </row>
    <row r="26305">
      <c r="Y26305" s="372">
        <v>0.0</v>
      </c>
      <c r="Z26305" s="372">
        <v>0.0</v>
      </c>
    </row>
    <row r="26306">
      <c r="Y26306" s="372">
        <v>0.0</v>
      </c>
      <c r="Z26306" s="372">
        <v>0.0</v>
      </c>
    </row>
    <row r="26307">
      <c r="Y26307" s="372">
        <v>0.0</v>
      </c>
      <c r="Z26307" s="372">
        <v>0.0</v>
      </c>
    </row>
    <row r="26308">
      <c r="Y26308" s="372">
        <v>0.0</v>
      </c>
      <c r="Z26308" s="372">
        <v>0.0</v>
      </c>
    </row>
    <row r="26309">
      <c r="Y26309" s="372">
        <v>0.0</v>
      </c>
      <c r="Z26309" s="372">
        <v>0.0</v>
      </c>
    </row>
    <row r="26310">
      <c r="Y26310" s="372">
        <v>0.0</v>
      </c>
      <c r="Z26310" s="372">
        <v>0.0</v>
      </c>
    </row>
    <row r="26311">
      <c r="Y26311" s="372">
        <v>0.0</v>
      </c>
      <c r="Z26311" s="372">
        <v>0.0</v>
      </c>
    </row>
    <row r="26312">
      <c r="Y26312" s="372">
        <v>0.0</v>
      </c>
      <c r="Z26312" s="372">
        <v>0.0</v>
      </c>
    </row>
    <row r="26313">
      <c r="Y26313" s="372">
        <v>0.0</v>
      </c>
      <c r="Z26313" s="372">
        <v>0.0</v>
      </c>
    </row>
    <row r="26314">
      <c r="Y26314" s="372">
        <v>0.0</v>
      </c>
      <c r="Z26314" s="372">
        <v>0.0</v>
      </c>
    </row>
    <row r="26315">
      <c r="Y26315" s="372">
        <v>0.0</v>
      </c>
      <c r="Z26315" s="372">
        <v>0.0</v>
      </c>
    </row>
    <row r="26316">
      <c r="Y26316" s="372">
        <v>0.0</v>
      </c>
      <c r="Z26316" s="372">
        <v>0.0</v>
      </c>
    </row>
    <row r="26317">
      <c r="Y26317" s="372">
        <v>0.0</v>
      </c>
      <c r="Z26317" s="372">
        <v>0.0</v>
      </c>
    </row>
    <row r="26318">
      <c r="Y26318" s="372">
        <v>0.0</v>
      </c>
      <c r="Z26318" s="372">
        <v>0.0</v>
      </c>
    </row>
    <row r="26319">
      <c r="Y26319" s="372">
        <v>0.0</v>
      </c>
      <c r="Z26319" s="372">
        <v>0.0</v>
      </c>
    </row>
    <row r="26320">
      <c r="Y26320" s="372">
        <v>0.0</v>
      </c>
      <c r="Z26320" s="372">
        <v>0.0</v>
      </c>
    </row>
    <row r="26321">
      <c r="Y26321" s="372">
        <v>0.0</v>
      </c>
      <c r="Z26321" s="372">
        <v>0.0</v>
      </c>
    </row>
    <row r="26322">
      <c r="Y26322" s="372">
        <v>0.0</v>
      </c>
      <c r="Z26322" s="372">
        <v>0.0</v>
      </c>
    </row>
    <row r="26323">
      <c r="Y26323" s="372">
        <v>0.0</v>
      </c>
      <c r="Z26323" s="372">
        <v>0.0</v>
      </c>
    </row>
    <row r="26324">
      <c r="Y26324" s="372">
        <v>0.0</v>
      </c>
      <c r="Z26324" s="372">
        <v>0.0</v>
      </c>
    </row>
    <row r="26325">
      <c r="Y26325" s="372">
        <v>0.0</v>
      </c>
      <c r="Z26325" s="372">
        <v>0.0</v>
      </c>
    </row>
    <row r="26326">
      <c r="Y26326" s="372">
        <v>0.0</v>
      </c>
      <c r="Z26326" s="372">
        <v>0.0</v>
      </c>
    </row>
    <row r="26327">
      <c r="Y26327" s="372">
        <v>0.0</v>
      </c>
      <c r="Z26327" s="372">
        <v>0.0</v>
      </c>
    </row>
    <row r="26328">
      <c r="Y26328" s="372">
        <v>0.0</v>
      </c>
      <c r="Z26328" s="372">
        <v>0.0</v>
      </c>
    </row>
    <row r="26329">
      <c r="Y26329" s="372">
        <v>0.0</v>
      </c>
      <c r="Z26329" s="372">
        <v>0.0</v>
      </c>
    </row>
    <row r="26330">
      <c r="Y26330" s="372">
        <v>0.0</v>
      </c>
      <c r="Z26330" s="372">
        <v>0.0</v>
      </c>
    </row>
    <row r="26331">
      <c r="Y26331" s="372">
        <v>0.0</v>
      </c>
      <c r="Z26331" s="372">
        <v>0.0</v>
      </c>
    </row>
    <row r="26332">
      <c r="Y26332" s="372">
        <v>0.0</v>
      </c>
      <c r="Z26332" s="372">
        <v>0.0</v>
      </c>
    </row>
    <row r="26333">
      <c r="Y26333" s="372">
        <v>0.0</v>
      </c>
      <c r="Z26333" s="372">
        <v>0.0</v>
      </c>
    </row>
    <row r="26334">
      <c r="Y26334" s="372">
        <v>0.0</v>
      </c>
      <c r="Z26334" s="372">
        <v>0.0</v>
      </c>
    </row>
    <row r="26335">
      <c r="Y26335" s="372">
        <v>0.0</v>
      </c>
      <c r="Z26335" s="372">
        <v>0.0</v>
      </c>
    </row>
    <row r="26336">
      <c r="Y26336" s="372">
        <v>0.0</v>
      </c>
      <c r="Z26336" s="372">
        <v>0.0</v>
      </c>
    </row>
    <row r="26337">
      <c r="Y26337" s="372">
        <v>0.0</v>
      </c>
      <c r="Z26337" s="372">
        <v>0.0</v>
      </c>
    </row>
    <row r="26338">
      <c r="Y26338" s="372">
        <v>0.0</v>
      </c>
      <c r="Z26338" s="372">
        <v>0.0</v>
      </c>
    </row>
    <row r="26339">
      <c r="Y26339" s="372">
        <v>0.0</v>
      </c>
      <c r="Z26339" s="372">
        <v>0.0</v>
      </c>
    </row>
    <row r="26340">
      <c r="Y26340" s="372">
        <v>0.0</v>
      </c>
      <c r="Z26340" s="372">
        <v>0.0</v>
      </c>
    </row>
    <row r="26341">
      <c r="Y26341" s="372">
        <v>0.0</v>
      </c>
      <c r="Z26341" s="372">
        <v>0.0</v>
      </c>
    </row>
    <row r="26342">
      <c r="Y26342" s="372">
        <v>0.0</v>
      </c>
      <c r="Z26342" s="372">
        <v>0.0</v>
      </c>
    </row>
    <row r="26343">
      <c r="Y26343" s="372">
        <v>0.0</v>
      </c>
      <c r="Z26343" s="372">
        <v>0.0</v>
      </c>
    </row>
    <row r="26344">
      <c r="Y26344" s="372">
        <v>0.0</v>
      </c>
      <c r="Z26344" s="372">
        <v>0.0</v>
      </c>
    </row>
    <row r="26345">
      <c r="Y26345" s="372">
        <v>0.0</v>
      </c>
      <c r="Z26345" s="372">
        <v>0.0</v>
      </c>
    </row>
    <row r="26346">
      <c r="Y26346" s="372">
        <v>0.0</v>
      </c>
      <c r="Z26346" s="372">
        <v>0.0</v>
      </c>
    </row>
    <row r="26347">
      <c r="Y26347" s="372">
        <v>0.0</v>
      </c>
      <c r="Z26347" s="372">
        <v>0.0</v>
      </c>
    </row>
    <row r="26348">
      <c r="Y26348" s="372">
        <v>0.0</v>
      </c>
      <c r="Z26348" s="372">
        <v>0.0</v>
      </c>
    </row>
    <row r="26349">
      <c r="Y26349" s="372">
        <v>0.0</v>
      </c>
      <c r="Z26349" s="372">
        <v>0.0</v>
      </c>
    </row>
    <row r="26350">
      <c r="Y26350" s="372">
        <v>0.0</v>
      </c>
      <c r="Z26350" s="372">
        <v>0.0</v>
      </c>
    </row>
    <row r="26351">
      <c r="Y26351" s="372">
        <v>0.0</v>
      </c>
      <c r="Z26351" s="372">
        <v>0.0</v>
      </c>
    </row>
    <row r="26352">
      <c r="Y26352" s="372">
        <v>0.0</v>
      </c>
      <c r="Z26352" s="372">
        <v>0.0</v>
      </c>
    </row>
    <row r="26353">
      <c r="Y26353" s="372">
        <v>0.0</v>
      </c>
      <c r="Z26353" s="372">
        <v>0.0</v>
      </c>
    </row>
    <row r="26354">
      <c r="Y26354" s="372">
        <v>0.0</v>
      </c>
      <c r="Z26354" s="372">
        <v>0.0</v>
      </c>
    </row>
    <row r="26355">
      <c r="Y26355" s="372">
        <v>0.0</v>
      </c>
      <c r="Z26355" s="372">
        <v>0.0</v>
      </c>
    </row>
    <row r="26356">
      <c r="Y26356" s="372">
        <v>0.0</v>
      </c>
      <c r="Z26356" s="372">
        <v>0.0</v>
      </c>
    </row>
    <row r="26357">
      <c r="Y26357" s="372">
        <v>0.0</v>
      </c>
      <c r="Z26357" s="372">
        <v>0.0</v>
      </c>
    </row>
    <row r="26358">
      <c r="Y26358" s="372">
        <v>0.0</v>
      </c>
      <c r="Z26358" s="372">
        <v>0.0</v>
      </c>
    </row>
    <row r="26359">
      <c r="Y26359" s="372">
        <v>0.0</v>
      </c>
      <c r="Z26359" s="372">
        <v>0.0</v>
      </c>
    </row>
    <row r="26360">
      <c r="Y26360" s="372">
        <v>0.0</v>
      </c>
      <c r="Z26360" s="372">
        <v>0.0</v>
      </c>
    </row>
    <row r="26361">
      <c r="Y26361" s="372">
        <v>0.0</v>
      </c>
      <c r="Z26361" s="372">
        <v>0.0</v>
      </c>
    </row>
    <row r="26362">
      <c r="Y26362" s="372">
        <v>0.0</v>
      </c>
      <c r="Z26362" s="372">
        <v>0.0</v>
      </c>
    </row>
    <row r="26363">
      <c r="Y26363" s="372">
        <v>0.0</v>
      </c>
      <c r="Z26363" s="372">
        <v>0.0</v>
      </c>
    </row>
    <row r="26364">
      <c r="Y26364" s="372">
        <v>0.0</v>
      </c>
      <c r="Z26364" s="372">
        <v>0.0</v>
      </c>
    </row>
    <row r="26365">
      <c r="Y26365" s="372">
        <v>0.0</v>
      </c>
      <c r="Z26365" s="372">
        <v>0.0</v>
      </c>
    </row>
    <row r="26366">
      <c r="Y26366" s="372">
        <v>0.0</v>
      </c>
      <c r="Z26366" s="372">
        <v>0.0</v>
      </c>
    </row>
    <row r="26367">
      <c r="Y26367" s="372">
        <v>0.0</v>
      </c>
      <c r="Z26367" s="372">
        <v>0.0</v>
      </c>
    </row>
    <row r="26368">
      <c r="Y26368" s="372">
        <v>0.0</v>
      </c>
      <c r="Z26368" s="372">
        <v>0.0</v>
      </c>
    </row>
    <row r="26369">
      <c r="Y26369" s="372">
        <v>0.0</v>
      </c>
      <c r="Z26369" s="372">
        <v>0.0</v>
      </c>
    </row>
    <row r="26370">
      <c r="Y26370" s="372">
        <v>0.0</v>
      </c>
      <c r="Z26370" s="372">
        <v>0.0</v>
      </c>
    </row>
    <row r="26371">
      <c r="Y26371" s="372">
        <v>0.0</v>
      </c>
      <c r="Z26371" s="372">
        <v>0.0</v>
      </c>
    </row>
    <row r="26372">
      <c r="Y26372" s="372">
        <v>0.0</v>
      </c>
      <c r="Z26372" s="372">
        <v>0.0</v>
      </c>
    </row>
    <row r="26373">
      <c r="Y26373" s="372">
        <v>0.0</v>
      </c>
      <c r="Z26373" s="372">
        <v>0.0</v>
      </c>
    </row>
    <row r="26374">
      <c r="Y26374" s="372">
        <v>0.0</v>
      </c>
      <c r="Z26374" s="372">
        <v>0.0</v>
      </c>
    </row>
    <row r="26375">
      <c r="Y26375" s="372">
        <v>0.0</v>
      </c>
      <c r="Z26375" s="372">
        <v>0.0</v>
      </c>
    </row>
    <row r="26376">
      <c r="Y26376" s="372">
        <v>0.0</v>
      </c>
      <c r="Z26376" s="372">
        <v>0.0</v>
      </c>
    </row>
    <row r="26377">
      <c r="Y26377" s="372">
        <v>0.0</v>
      </c>
      <c r="Z26377" s="372">
        <v>0.0</v>
      </c>
    </row>
    <row r="26378">
      <c r="Y26378" s="372">
        <v>0.0</v>
      </c>
      <c r="Z26378" s="372">
        <v>0.0</v>
      </c>
    </row>
    <row r="26379">
      <c r="Y26379" s="372">
        <v>0.0</v>
      </c>
      <c r="Z26379" s="372">
        <v>0.0</v>
      </c>
    </row>
    <row r="26380">
      <c r="Y26380" s="372">
        <v>0.0</v>
      </c>
      <c r="Z26380" s="372">
        <v>0.0</v>
      </c>
    </row>
    <row r="26381">
      <c r="Y26381" s="372">
        <v>0.0</v>
      </c>
      <c r="Z26381" s="372">
        <v>0.0</v>
      </c>
    </row>
    <row r="26382">
      <c r="Y26382" s="372">
        <v>0.0</v>
      </c>
      <c r="Z26382" s="372">
        <v>0.0</v>
      </c>
    </row>
    <row r="26383">
      <c r="Y26383" s="372">
        <v>0.0</v>
      </c>
      <c r="Z26383" s="372">
        <v>0.0</v>
      </c>
    </row>
    <row r="26384">
      <c r="Y26384" s="372">
        <v>0.0</v>
      </c>
      <c r="Z26384" s="372">
        <v>0.0</v>
      </c>
    </row>
    <row r="26385">
      <c r="Y26385" s="372">
        <v>0.0</v>
      </c>
      <c r="Z26385" s="372">
        <v>0.0</v>
      </c>
    </row>
    <row r="26386">
      <c r="Y26386" s="372">
        <v>0.0</v>
      </c>
      <c r="Z26386" s="372">
        <v>0.0</v>
      </c>
    </row>
    <row r="26387">
      <c r="Y26387" s="372">
        <v>0.0</v>
      </c>
      <c r="Z26387" s="372">
        <v>0.0</v>
      </c>
    </row>
    <row r="26388">
      <c r="Y26388" s="372">
        <v>0.0</v>
      </c>
      <c r="Z26388" s="372">
        <v>0.0</v>
      </c>
    </row>
    <row r="26389">
      <c r="Y26389" s="372">
        <v>0.0</v>
      </c>
      <c r="Z26389" s="372">
        <v>0.0</v>
      </c>
    </row>
    <row r="26390">
      <c r="Y26390" s="372">
        <v>0.0</v>
      </c>
      <c r="Z26390" s="372">
        <v>0.0</v>
      </c>
    </row>
    <row r="26391">
      <c r="Y26391" s="372">
        <v>0.0</v>
      </c>
      <c r="Z26391" s="372">
        <v>0.0</v>
      </c>
    </row>
    <row r="26392">
      <c r="Y26392" s="372">
        <v>0.0</v>
      </c>
      <c r="Z26392" s="372">
        <v>0.0</v>
      </c>
    </row>
    <row r="26393">
      <c r="Y26393" s="372">
        <v>0.0</v>
      </c>
      <c r="Z26393" s="372">
        <v>0.0</v>
      </c>
    </row>
    <row r="26394">
      <c r="Y26394" s="372">
        <v>0.0</v>
      </c>
      <c r="Z26394" s="372">
        <v>0.0</v>
      </c>
    </row>
    <row r="26395">
      <c r="Y26395" s="372">
        <v>0.0</v>
      </c>
      <c r="Z26395" s="372">
        <v>0.0</v>
      </c>
    </row>
    <row r="26396">
      <c r="Y26396" s="372">
        <v>0.0</v>
      </c>
      <c r="Z26396" s="372">
        <v>0.0</v>
      </c>
    </row>
    <row r="26397">
      <c r="Y26397" s="372">
        <v>0.0</v>
      </c>
      <c r="Z26397" s="372">
        <v>0.0</v>
      </c>
    </row>
    <row r="26398">
      <c r="Y26398" s="372">
        <v>0.0</v>
      </c>
      <c r="Z26398" s="372">
        <v>0.0</v>
      </c>
    </row>
    <row r="26399">
      <c r="Y26399" s="372">
        <v>0.0</v>
      </c>
      <c r="Z26399" s="372">
        <v>0.0</v>
      </c>
    </row>
    <row r="26400">
      <c r="Y26400" s="372">
        <v>0.0</v>
      </c>
      <c r="Z26400" s="372">
        <v>0.0</v>
      </c>
    </row>
    <row r="26401">
      <c r="Y26401" s="372">
        <v>0.0</v>
      </c>
      <c r="Z26401" s="372">
        <v>0.0</v>
      </c>
    </row>
    <row r="26402">
      <c r="Y26402" s="372">
        <v>0.0</v>
      </c>
      <c r="Z26402" s="372">
        <v>0.0</v>
      </c>
    </row>
    <row r="26403">
      <c r="Y26403" s="372">
        <v>0.0</v>
      </c>
      <c r="Z26403" s="372">
        <v>0.0</v>
      </c>
    </row>
    <row r="26404">
      <c r="Y26404" s="372">
        <v>0.0</v>
      </c>
      <c r="Z26404" s="372">
        <v>0.0</v>
      </c>
    </row>
    <row r="26405">
      <c r="Y26405" s="372">
        <v>0.0</v>
      </c>
      <c r="Z26405" s="372">
        <v>0.0</v>
      </c>
    </row>
    <row r="26406">
      <c r="Y26406" s="372">
        <v>0.0</v>
      </c>
      <c r="Z26406" s="372">
        <v>0.0</v>
      </c>
    </row>
    <row r="26407">
      <c r="Y26407" s="372">
        <v>0.0</v>
      </c>
      <c r="Z26407" s="372">
        <v>0.0</v>
      </c>
    </row>
    <row r="26408">
      <c r="Y26408" s="372">
        <v>0.0</v>
      </c>
      <c r="Z26408" s="372">
        <v>0.0</v>
      </c>
    </row>
    <row r="26409">
      <c r="Y26409" s="372">
        <v>0.0</v>
      </c>
      <c r="Z26409" s="372">
        <v>0.0</v>
      </c>
    </row>
    <row r="26410">
      <c r="Y26410" s="372">
        <v>0.0</v>
      </c>
      <c r="Z26410" s="372">
        <v>0.0</v>
      </c>
    </row>
    <row r="26411">
      <c r="Y26411" s="372">
        <v>0.0</v>
      </c>
      <c r="Z26411" s="372">
        <v>0.0</v>
      </c>
    </row>
    <row r="26412">
      <c r="Y26412" s="372">
        <v>0.0</v>
      </c>
      <c r="Z26412" s="372">
        <v>0.0</v>
      </c>
    </row>
    <row r="26413">
      <c r="Y26413" s="372">
        <v>0.0</v>
      </c>
      <c r="Z26413" s="372">
        <v>0.0</v>
      </c>
    </row>
    <row r="26414">
      <c r="Y26414" s="372">
        <v>0.0</v>
      </c>
      <c r="Z26414" s="372">
        <v>0.0</v>
      </c>
    </row>
    <row r="26415">
      <c r="Y26415" s="372">
        <v>0.0</v>
      </c>
      <c r="Z26415" s="372">
        <v>0.0</v>
      </c>
    </row>
    <row r="26416">
      <c r="Y26416" s="372">
        <v>0.0</v>
      </c>
      <c r="Z26416" s="372">
        <v>0.0</v>
      </c>
    </row>
    <row r="26417">
      <c r="Y26417" s="372">
        <v>0.0</v>
      </c>
      <c r="Z26417" s="372">
        <v>0.0</v>
      </c>
    </row>
    <row r="26418">
      <c r="Y26418" s="372">
        <v>0.0</v>
      </c>
      <c r="Z26418" s="372">
        <v>0.0</v>
      </c>
    </row>
    <row r="26419">
      <c r="Y26419" s="372">
        <v>0.0</v>
      </c>
      <c r="Z26419" s="372">
        <v>0.0</v>
      </c>
    </row>
    <row r="26420">
      <c r="Y26420" s="372">
        <v>0.0</v>
      </c>
      <c r="Z26420" s="372">
        <v>0.0</v>
      </c>
    </row>
    <row r="26421">
      <c r="Y26421" s="372">
        <v>0.0</v>
      </c>
      <c r="Z26421" s="372">
        <v>0.0</v>
      </c>
    </row>
    <row r="26422">
      <c r="Y26422" s="372">
        <v>0.0</v>
      </c>
      <c r="Z26422" s="372">
        <v>0.0</v>
      </c>
    </row>
    <row r="26423">
      <c r="Y26423" s="372">
        <v>0.0</v>
      </c>
      <c r="Z26423" s="372">
        <v>0.0</v>
      </c>
    </row>
    <row r="26424">
      <c r="Y26424" s="372">
        <v>0.0</v>
      </c>
      <c r="Z26424" s="372">
        <v>0.0</v>
      </c>
    </row>
    <row r="26425">
      <c r="Y26425" s="372">
        <v>0.0</v>
      </c>
      <c r="Z26425" s="372">
        <v>0.0</v>
      </c>
    </row>
    <row r="26426">
      <c r="Y26426" s="372">
        <v>0.0</v>
      </c>
      <c r="Z26426" s="372">
        <v>0.0</v>
      </c>
    </row>
    <row r="26427">
      <c r="Y26427" s="372">
        <v>0.0</v>
      </c>
      <c r="Z26427" s="372">
        <v>0.0</v>
      </c>
    </row>
    <row r="26428">
      <c r="Y26428" s="372">
        <v>0.0</v>
      </c>
      <c r="Z26428" s="372">
        <v>0.0</v>
      </c>
    </row>
    <row r="26429">
      <c r="Y26429" s="372">
        <v>0.0</v>
      </c>
      <c r="Z26429" s="372">
        <v>0.0</v>
      </c>
    </row>
    <row r="26430">
      <c r="Y26430" s="372">
        <v>0.0</v>
      </c>
      <c r="Z26430" s="372">
        <v>0.0</v>
      </c>
    </row>
    <row r="26431">
      <c r="Y26431" s="372">
        <v>0.0</v>
      </c>
      <c r="Z26431" s="372">
        <v>0.0</v>
      </c>
    </row>
    <row r="26432">
      <c r="Y26432" s="372">
        <v>0.0</v>
      </c>
      <c r="Z26432" s="372">
        <v>0.0</v>
      </c>
    </row>
    <row r="26433">
      <c r="Y26433" s="372">
        <v>0.0</v>
      </c>
      <c r="Z26433" s="372">
        <v>0.0</v>
      </c>
    </row>
    <row r="26434">
      <c r="Y26434" s="372">
        <v>0.0</v>
      </c>
      <c r="Z26434" s="372">
        <v>0.0</v>
      </c>
    </row>
    <row r="26435">
      <c r="Y26435" s="372">
        <v>0.0</v>
      </c>
      <c r="Z26435" s="372">
        <v>0.0</v>
      </c>
    </row>
    <row r="26436">
      <c r="Y26436" s="372">
        <v>0.0</v>
      </c>
      <c r="Z26436" s="372">
        <v>0.0</v>
      </c>
    </row>
    <row r="26437">
      <c r="Y26437" s="372">
        <v>0.0</v>
      </c>
      <c r="Z26437" s="372">
        <v>0.0</v>
      </c>
    </row>
    <row r="26438">
      <c r="Y26438" s="372">
        <v>0.0</v>
      </c>
      <c r="Z26438" s="372">
        <v>0.0</v>
      </c>
    </row>
    <row r="26439">
      <c r="Y26439" s="372">
        <v>0.0</v>
      </c>
      <c r="Z26439" s="372">
        <v>0.0</v>
      </c>
    </row>
    <row r="26440">
      <c r="Y26440" s="372">
        <v>0.0</v>
      </c>
      <c r="Z26440" s="372">
        <v>0.0</v>
      </c>
    </row>
    <row r="26441">
      <c r="Y26441" s="372">
        <v>0.0</v>
      </c>
      <c r="Z26441" s="372">
        <v>0.0</v>
      </c>
    </row>
    <row r="26442">
      <c r="Y26442" s="372">
        <v>0.0</v>
      </c>
      <c r="Z26442" s="372">
        <v>0.0</v>
      </c>
    </row>
    <row r="26443">
      <c r="Y26443" s="372">
        <v>0.0</v>
      </c>
      <c r="Z26443" s="372">
        <v>0.0</v>
      </c>
    </row>
    <row r="26444">
      <c r="Y26444" s="372">
        <v>0.0</v>
      </c>
      <c r="Z26444" s="372">
        <v>0.0</v>
      </c>
    </row>
    <row r="26445">
      <c r="Y26445" s="372">
        <v>0.0</v>
      </c>
      <c r="Z26445" s="372">
        <v>0.0</v>
      </c>
    </row>
    <row r="26446">
      <c r="Y26446" s="372">
        <v>0.0</v>
      </c>
      <c r="Z26446" s="372">
        <v>0.0</v>
      </c>
    </row>
    <row r="26447">
      <c r="Y26447" s="372">
        <v>0.0</v>
      </c>
      <c r="Z26447" s="372">
        <v>0.0</v>
      </c>
    </row>
    <row r="26448">
      <c r="Y26448" s="372">
        <v>0.0</v>
      </c>
      <c r="Z26448" s="372">
        <v>0.0</v>
      </c>
    </row>
    <row r="26449">
      <c r="Y26449" s="372">
        <v>0.0</v>
      </c>
      <c r="Z26449" s="372">
        <v>0.0</v>
      </c>
    </row>
    <row r="26450">
      <c r="Y26450" s="372">
        <v>0.0</v>
      </c>
      <c r="Z26450" s="372">
        <v>0.0</v>
      </c>
    </row>
    <row r="26451">
      <c r="Y26451" s="372">
        <v>0.0</v>
      </c>
      <c r="Z26451" s="372">
        <v>0.0</v>
      </c>
    </row>
    <row r="26452">
      <c r="Y26452" s="372">
        <v>0.0</v>
      </c>
      <c r="Z26452" s="372">
        <v>0.0</v>
      </c>
    </row>
    <row r="26453">
      <c r="Y26453" s="372">
        <v>0.0</v>
      </c>
      <c r="Z26453" s="372">
        <v>0.0</v>
      </c>
    </row>
    <row r="26454">
      <c r="Y26454" s="372">
        <v>0.0</v>
      </c>
      <c r="Z26454" s="372">
        <v>0.0</v>
      </c>
    </row>
    <row r="26455">
      <c r="Y26455" s="372">
        <v>0.0</v>
      </c>
      <c r="Z26455" s="372">
        <v>0.0</v>
      </c>
    </row>
    <row r="26456">
      <c r="Y26456" s="372">
        <v>0.0</v>
      </c>
      <c r="Z26456" s="372">
        <v>0.0</v>
      </c>
    </row>
    <row r="26457">
      <c r="Y26457" s="372">
        <v>0.0</v>
      </c>
      <c r="Z26457" s="372">
        <v>0.0</v>
      </c>
    </row>
    <row r="26458">
      <c r="Y26458" s="372">
        <v>0.0</v>
      </c>
      <c r="Z26458" s="372">
        <v>0.0</v>
      </c>
    </row>
    <row r="26459">
      <c r="Y26459" s="372">
        <v>0.0</v>
      </c>
      <c r="Z26459" s="372">
        <v>0.0</v>
      </c>
    </row>
    <row r="26460">
      <c r="Y26460" s="372">
        <v>0.0</v>
      </c>
      <c r="Z26460" s="372">
        <v>0.0</v>
      </c>
    </row>
    <row r="26461">
      <c r="Y26461" s="372">
        <v>0.0</v>
      </c>
      <c r="Z26461" s="372">
        <v>0.0</v>
      </c>
    </row>
    <row r="26462">
      <c r="Y26462" s="372">
        <v>0.0</v>
      </c>
      <c r="Z26462" s="372">
        <v>0.0</v>
      </c>
    </row>
    <row r="26463">
      <c r="Y26463" s="372">
        <v>0.0</v>
      </c>
      <c r="Z26463" s="372">
        <v>0.0</v>
      </c>
    </row>
    <row r="26464">
      <c r="Y26464" s="372">
        <v>0.0</v>
      </c>
      <c r="Z26464" s="372">
        <v>0.0</v>
      </c>
    </row>
    <row r="26465">
      <c r="Y26465" s="372">
        <v>0.0</v>
      </c>
      <c r="Z26465" s="372">
        <v>0.0</v>
      </c>
    </row>
    <row r="26466">
      <c r="Y26466" s="372">
        <v>0.0</v>
      </c>
      <c r="Z26466" s="372">
        <v>0.0</v>
      </c>
    </row>
    <row r="26467">
      <c r="Y26467" s="372">
        <v>0.0</v>
      </c>
      <c r="Z26467" s="372">
        <v>0.0</v>
      </c>
    </row>
    <row r="26468">
      <c r="Y26468" s="372">
        <v>0.0</v>
      </c>
      <c r="Z26468" s="372">
        <v>0.0</v>
      </c>
    </row>
    <row r="26469">
      <c r="Y26469" s="372">
        <v>0.0</v>
      </c>
      <c r="Z26469" s="372">
        <v>0.0</v>
      </c>
    </row>
    <row r="26470">
      <c r="Y26470" s="372">
        <v>0.0</v>
      </c>
      <c r="Z26470" s="372">
        <v>0.0</v>
      </c>
    </row>
    <row r="26471">
      <c r="Y26471" s="372">
        <v>0.0</v>
      </c>
      <c r="Z26471" s="372">
        <v>0.0</v>
      </c>
    </row>
    <row r="26472">
      <c r="Y26472" s="372">
        <v>0.0</v>
      </c>
      <c r="Z26472" s="372">
        <v>0.0</v>
      </c>
    </row>
    <row r="26473">
      <c r="Y26473" s="372">
        <v>0.0</v>
      </c>
      <c r="Z26473" s="372">
        <v>0.0</v>
      </c>
    </row>
    <row r="26474">
      <c r="Y26474" s="372">
        <v>0.0</v>
      </c>
      <c r="Z26474" s="372">
        <v>0.0</v>
      </c>
    </row>
    <row r="26475">
      <c r="Y26475" s="372">
        <v>0.0</v>
      </c>
      <c r="Z26475" s="372">
        <v>0.0</v>
      </c>
    </row>
    <row r="26476">
      <c r="Y26476" s="372">
        <v>0.0</v>
      </c>
      <c r="Z26476" s="372">
        <v>0.0</v>
      </c>
    </row>
    <row r="26477">
      <c r="Y26477" s="372">
        <v>0.0</v>
      </c>
      <c r="Z26477" s="372">
        <v>0.0</v>
      </c>
    </row>
    <row r="26478">
      <c r="Y26478" s="372">
        <v>0.0</v>
      </c>
      <c r="Z26478" s="372">
        <v>0.0</v>
      </c>
    </row>
    <row r="26479">
      <c r="Y26479" s="372">
        <v>0.0</v>
      </c>
      <c r="Z26479" s="372">
        <v>0.0</v>
      </c>
    </row>
    <row r="26480">
      <c r="Y26480" s="372">
        <v>0.0</v>
      </c>
      <c r="Z26480" s="372">
        <v>0.0</v>
      </c>
    </row>
    <row r="26481">
      <c r="Y26481" s="372">
        <v>0.0</v>
      </c>
      <c r="Z26481" s="372">
        <v>0.0</v>
      </c>
    </row>
    <row r="26482">
      <c r="Y26482" s="372">
        <v>0.0</v>
      </c>
      <c r="Z26482" s="372">
        <v>0.0</v>
      </c>
    </row>
    <row r="26483">
      <c r="Y26483" s="372">
        <v>0.0</v>
      </c>
      <c r="Z26483" s="372">
        <v>0.0</v>
      </c>
    </row>
    <row r="26484">
      <c r="Y26484" s="372">
        <v>0.0</v>
      </c>
      <c r="Z26484" s="372">
        <v>0.0</v>
      </c>
    </row>
    <row r="26485">
      <c r="Y26485" s="372">
        <v>0.0</v>
      </c>
      <c r="Z26485" s="372">
        <v>0.0</v>
      </c>
    </row>
    <row r="26486">
      <c r="Y26486" s="372">
        <v>0.0</v>
      </c>
      <c r="Z26486" s="372">
        <v>0.0</v>
      </c>
    </row>
    <row r="26487">
      <c r="Y26487" s="372">
        <v>0.0</v>
      </c>
      <c r="Z26487" s="372">
        <v>0.0</v>
      </c>
    </row>
    <row r="26488">
      <c r="Y26488" s="372">
        <v>0.0</v>
      </c>
      <c r="Z26488" s="372">
        <v>0.0</v>
      </c>
    </row>
    <row r="26489">
      <c r="Y26489" s="372">
        <v>0.0</v>
      </c>
      <c r="Z26489" s="372">
        <v>0.0</v>
      </c>
    </row>
    <row r="26490">
      <c r="Y26490" s="372">
        <v>0.0</v>
      </c>
      <c r="Z26490" s="372">
        <v>0.0</v>
      </c>
    </row>
    <row r="26491">
      <c r="Y26491" s="372">
        <v>0.0</v>
      </c>
      <c r="Z26491" s="372">
        <v>0.0</v>
      </c>
    </row>
    <row r="26492">
      <c r="Y26492" s="372">
        <v>0.0</v>
      </c>
      <c r="Z26492" s="372">
        <v>0.0</v>
      </c>
    </row>
    <row r="26493">
      <c r="Y26493" s="372">
        <v>0.0</v>
      </c>
      <c r="Z26493" s="372">
        <v>0.0</v>
      </c>
    </row>
    <row r="26494">
      <c r="Y26494" s="372">
        <v>0.0</v>
      </c>
      <c r="Z26494" s="372">
        <v>0.0</v>
      </c>
    </row>
    <row r="26495">
      <c r="Y26495" s="372">
        <v>0.0</v>
      </c>
      <c r="Z26495" s="372">
        <v>0.0</v>
      </c>
    </row>
    <row r="26496">
      <c r="Y26496" s="372">
        <v>0.0</v>
      </c>
      <c r="Z26496" s="372">
        <v>0.0</v>
      </c>
    </row>
    <row r="26497">
      <c r="Y26497" s="372">
        <v>0.0</v>
      </c>
      <c r="Z26497" s="372">
        <v>0.0</v>
      </c>
    </row>
    <row r="26498">
      <c r="Y26498" s="372">
        <v>0.0</v>
      </c>
      <c r="Z26498" s="372">
        <v>0.0</v>
      </c>
    </row>
    <row r="26499">
      <c r="Y26499" s="372">
        <v>0.0</v>
      </c>
      <c r="Z26499" s="372">
        <v>0.0</v>
      </c>
    </row>
    <row r="26500">
      <c r="Y26500" s="372">
        <v>0.0</v>
      </c>
      <c r="Z26500" s="372">
        <v>0.0</v>
      </c>
    </row>
    <row r="26501">
      <c r="Y26501" s="372">
        <v>0.0</v>
      </c>
      <c r="Z26501" s="372">
        <v>0.0</v>
      </c>
    </row>
    <row r="26502">
      <c r="Y26502" s="372">
        <v>0.0</v>
      </c>
      <c r="Z26502" s="372">
        <v>0.0</v>
      </c>
    </row>
    <row r="26503">
      <c r="Y26503" s="372">
        <v>0.0</v>
      </c>
      <c r="Z26503" s="372">
        <v>0.0</v>
      </c>
    </row>
    <row r="26504">
      <c r="Y26504" s="372">
        <v>0.0</v>
      </c>
      <c r="Z26504" s="372">
        <v>0.0</v>
      </c>
    </row>
    <row r="26505">
      <c r="Y26505" s="372">
        <v>0.0</v>
      </c>
      <c r="Z26505" s="372">
        <v>0.0</v>
      </c>
    </row>
    <row r="26506">
      <c r="Y26506" s="372">
        <v>0.0</v>
      </c>
      <c r="Z26506" s="372">
        <v>0.0</v>
      </c>
    </row>
    <row r="26507">
      <c r="Y26507" s="372">
        <v>0.0</v>
      </c>
      <c r="Z26507" s="372">
        <v>0.0</v>
      </c>
    </row>
    <row r="26508">
      <c r="Y26508" s="372">
        <v>0.0</v>
      </c>
      <c r="Z26508" s="372">
        <v>0.0</v>
      </c>
    </row>
    <row r="26509">
      <c r="Y26509" s="372">
        <v>0.0</v>
      </c>
      <c r="Z26509" s="372">
        <v>0.0</v>
      </c>
    </row>
    <row r="26510">
      <c r="Y26510" s="372">
        <v>0.0</v>
      </c>
      <c r="Z26510" s="372">
        <v>0.0</v>
      </c>
    </row>
    <row r="26511">
      <c r="Y26511" s="372">
        <v>0.0</v>
      </c>
      <c r="Z26511" s="372">
        <v>0.0</v>
      </c>
    </row>
    <row r="26512">
      <c r="Y26512" s="372">
        <v>0.0</v>
      </c>
      <c r="Z26512" s="372">
        <v>0.0</v>
      </c>
    </row>
    <row r="26513">
      <c r="Y26513" s="372">
        <v>0.0</v>
      </c>
      <c r="Z26513" s="372">
        <v>0.0</v>
      </c>
    </row>
    <row r="26514">
      <c r="Y26514" s="372">
        <v>0.0</v>
      </c>
      <c r="Z26514" s="372">
        <v>0.0</v>
      </c>
    </row>
    <row r="26515">
      <c r="Y26515" s="372">
        <v>0.0</v>
      </c>
      <c r="Z26515" s="372">
        <v>0.0</v>
      </c>
    </row>
    <row r="26516">
      <c r="Y26516" s="372">
        <v>0.0</v>
      </c>
      <c r="Z26516" s="372">
        <v>0.0</v>
      </c>
    </row>
    <row r="26517">
      <c r="Y26517" s="372">
        <v>0.0</v>
      </c>
      <c r="Z26517" s="372">
        <v>0.0</v>
      </c>
    </row>
    <row r="26518">
      <c r="Y26518" s="372">
        <v>0.0</v>
      </c>
      <c r="Z26518" s="372">
        <v>0.0</v>
      </c>
    </row>
    <row r="26519">
      <c r="Y26519" s="372">
        <v>0.0</v>
      </c>
      <c r="Z26519" s="372">
        <v>0.0</v>
      </c>
    </row>
    <row r="26520">
      <c r="Y26520" s="372">
        <v>0.0</v>
      </c>
      <c r="Z26520" s="372">
        <v>0.0</v>
      </c>
    </row>
    <row r="26521">
      <c r="Y26521" s="372">
        <v>0.0</v>
      </c>
      <c r="Z26521" s="372">
        <v>0.0</v>
      </c>
    </row>
    <row r="26522">
      <c r="Y26522" s="372">
        <v>0.0</v>
      </c>
      <c r="Z26522" s="372">
        <v>0.0</v>
      </c>
    </row>
    <row r="26523">
      <c r="Y26523" s="372">
        <v>0.0</v>
      </c>
      <c r="Z26523" s="372">
        <v>0.0</v>
      </c>
    </row>
    <row r="26524">
      <c r="Y26524" s="372">
        <v>0.0</v>
      </c>
      <c r="Z26524" s="372">
        <v>0.0</v>
      </c>
    </row>
    <row r="26525">
      <c r="Y26525" s="372">
        <v>0.0</v>
      </c>
      <c r="Z26525" s="372">
        <v>0.0</v>
      </c>
    </row>
    <row r="26526">
      <c r="Y26526" s="372">
        <v>0.0</v>
      </c>
      <c r="Z26526" s="372">
        <v>0.0</v>
      </c>
    </row>
    <row r="26527">
      <c r="Y26527" s="372">
        <v>0.0</v>
      </c>
      <c r="Z26527" s="372">
        <v>0.0</v>
      </c>
    </row>
    <row r="26528">
      <c r="Y26528" s="372">
        <v>0.0</v>
      </c>
      <c r="Z26528" s="372">
        <v>0.0</v>
      </c>
    </row>
    <row r="26529">
      <c r="Y26529" s="372">
        <v>0.0</v>
      </c>
      <c r="Z26529" s="372">
        <v>0.0</v>
      </c>
    </row>
    <row r="26530">
      <c r="Y26530" s="372">
        <v>0.0</v>
      </c>
      <c r="Z26530" s="372">
        <v>0.0</v>
      </c>
    </row>
    <row r="26531">
      <c r="Y26531" s="372">
        <v>0.0</v>
      </c>
      <c r="Z26531" s="372">
        <v>0.0</v>
      </c>
    </row>
    <row r="26532">
      <c r="Y26532" s="372">
        <v>0.0</v>
      </c>
      <c r="Z26532" s="372">
        <v>0.0</v>
      </c>
    </row>
    <row r="26533">
      <c r="Y26533" s="372">
        <v>0.0</v>
      </c>
      <c r="Z26533" s="372">
        <v>0.0</v>
      </c>
    </row>
    <row r="26534">
      <c r="Y26534" s="372">
        <v>0.0</v>
      </c>
      <c r="Z26534" s="372">
        <v>0.0</v>
      </c>
    </row>
    <row r="26535">
      <c r="Y26535" s="372">
        <v>0.0</v>
      </c>
      <c r="Z26535" s="372">
        <v>0.0</v>
      </c>
    </row>
    <row r="26536">
      <c r="Y26536" s="372">
        <v>0.0</v>
      </c>
      <c r="Z26536" s="372">
        <v>0.0</v>
      </c>
    </row>
    <row r="26537">
      <c r="Y26537" s="372">
        <v>0.0</v>
      </c>
      <c r="Z26537" s="372">
        <v>0.0</v>
      </c>
    </row>
    <row r="26538">
      <c r="Y26538" s="372">
        <v>0.0</v>
      </c>
      <c r="Z26538" s="372">
        <v>0.0</v>
      </c>
    </row>
    <row r="26539">
      <c r="Y26539" s="372">
        <v>0.0</v>
      </c>
      <c r="Z26539" s="372">
        <v>0.0</v>
      </c>
    </row>
    <row r="26540">
      <c r="Y26540" s="372">
        <v>0.0</v>
      </c>
      <c r="Z26540" s="372">
        <v>0.0</v>
      </c>
    </row>
    <row r="26541">
      <c r="Y26541" s="372">
        <v>0.0</v>
      </c>
      <c r="Z26541" s="372">
        <v>0.0</v>
      </c>
    </row>
    <row r="26542">
      <c r="Y26542" s="372">
        <v>0.0</v>
      </c>
      <c r="Z26542" s="372">
        <v>0.0</v>
      </c>
    </row>
    <row r="26543">
      <c r="Y26543" s="372">
        <v>0.0</v>
      </c>
      <c r="Z26543" s="372">
        <v>0.0</v>
      </c>
    </row>
    <row r="26544">
      <c r="Y26544" s="372">
        <v>0.0</v>
      </c>
      <c r="Z26544" s="372">
        <v>0.0</v>
      </c>
    </row>
    <row r="26545">
      <c r="Y26545" s="372">
        <v>0.0</v>
      </c>
      <c r="Z26545" s="372">
        <v>0.0</v>
      </c>
    </row>
    <row r="26546">
      <c r="Y26546" s="372">
        <v>0.0</v>
      </c>
      <c r="Z26546" s="372">
        <v>0.0</v>
      </c>
    </row>
    <row r="26547">
      <c r="Y26547" s="372">
        <v>0.0</v>
      </c>
      <c r="Z26547" s="372">
        <v>0.0</v>
      </c>
    </row>
    <row r="26548">
      <c r="Y26548" s="372">
        <v>0.0</v>
      </c>
      <c r="Z26548" s="372">
        <v>0.0</v>
      </c>
    </row>
    <row r="26549">
      <c r="Y26549" s="372">
        <v>0.0</v>
      </c>
      <c r="Z26549" s="372">
        <v>0.0</v>
      </c>
    </row>
    <row r="26550">
      <c r="Y26550" s="372">
        <v>0.0</v>
      </c>
      <c r="Z26550" s="372">
        <v>0.0</v>
      </c>
    </row>
    <row r="26551">
      <c r="Y26551" s="372">
        <v>0.0</v>
      </c>
      <c r="Z26551" s="372">
        <v>0.0</v>
      </c>
    </row>
    <row r="26552">
      <c r="Y26552" s="372">
        <v>0.0</v>
      </c>
      <c r="Z26552" s="372">
        <v>0.0</v>
      </c>
    </row>
    <row r="26553">
      <c r="Y26553" s="372">
        <v>0.0</v>
      </c>
      <c r="Z26553" s="372">
        <v>0.0</v>
      </c>
    </row>
    <row r="26554">
      <c r="Y26554" s="372">
        <v>0.0</v>
      </c>
      <c r="Z26554" s="372">
        <v>0.0</v>
      </c>
    </row>
    <row r="26555">
      <c r="Y26555" s="372">
        <v>0.0</v>
      </c>
      <c r="Z26555" s="372">
        <v>0.0</v>
      </c>
    </row>
    <row r="26556">
      <c r="Y26556" s="372">
        <v>0.0</v>
      </c>
      <c r="Z26556" s="372">
        <v>0.0</v>
      </c>
    </row>
    <row r="26557">
      <c r="Y26557" s="372">
        <v>0.0</v>
      </c>
      <c r="Z26557" s="372">
        <v>0.0</v>
      </c>
    </row>
    <row r="26558">
      <c r="Y26558" s="372">
        <v>0.0</v>
      </c>
      <c r="Z26558" s="372">
        <v>0.0</v>
      </c>
    </row>
    <row r="26559">
      <c r="Y26559" s="372">
        <v>0.0</v>
      </c>
      <c r="Z26559" s="372">
        <v>0.0</v>
      </c>
    </row>
    <row r="26560">
      <c r="Y26560" s="372">
        <v>0.0</v>
      </c>
      <c r="Z26560" s="372">
        <v>0.0</v>
      </c>
    </row>
    <row r="26561">
      <c r="Y26561" s="372">
        <v>0.0</v>
      </c>
      <c r="Z26561" s="372">
        <v>0.0</v>
      </c>
    </row>
    <row r="26562">
      <c r="Y26562" s="372">
        <v>0.0</v>
      </c>
      <c r="Z26562" s="372">
        <v>0.0</v>
      </c>
    </row>
    <row r="26563">
      <c r="Y26563" s="372">
        <v>0.0</v>
      </c>
      <c r="Z26563" s="372">
        <v>0.0</v>
      </c>
    </row>
    <row r="26564">
      <c r="Y26564" s="372">
        <v>0.0</v>
      </c>
      <c r="Z26564" s="372">
        <v>0.0</v>
      </c>
    </row>
    <row r="26565">
      <c r="Y26565" s="372">
        <v>0.0</v>
      </c>
      <c r="Z26565" s="372">
        <v>0.0</v>
      </c>
    </row>
    <row r="26566">
      <c r="Y26566" s="372">
        <v>0.0</v>
      </c>
      <c r="Z26566" s="372">
        <v>0.0</v>
      </c>
    </row>
    <row r="26567">
      <c r="Y26567" s="372">
        <v>0.0</v>
      </c>
      <c r="Z26567" s="372">
        <v>0.0</v>
      </c>
    </row>
    <row r="26568">
      <c r="Y26568" s="372">
        <v>0.0</v>
      </c>
      <c r="Z26568" s="372">
        <v>0.0</v>
      </c>
    </row>
    <row r="26569">
      <c r="Y26569" s="372">
        <v>0.0</v>
      </c>
      <c r="Z26569" s="372">
        <v>0.0</v>
      </c>
    </row>
    <row r="26570">
      <c r="Y26570" s="372">
        <v>0.0</v>
      </c>
      <c r="Z26570" s="372">
        <v>0.0</v>
      </c>
    </row>
    <row r="26571">
      <c r="Y26571" s="372">
        <v>0.0</v>
      </c>
      <c r="Z26571" s="372">
        <v>0.0</v>
      </c>
    </row>
    <row r="26572">
      <c r="Y26572" s="372">
        <v>0.0</v>
      </c>
      <c r="Z26572" s="372">
        <v>0.0</v>
      </c>
    </row>
    <row r="26573">
      <c r="Y26573" s="372">
        <v>0.0</v>
      </c>
      <c r="Z26573" s="372">
        <v>0.0</v>
      </c>
    </row>
    <row r="26574">
      <c r="Y26574" s="372">
        <v>0.0</v>
      </c>
      <c r="Z26574" s="372">
        <v>0.0</v>
      </c>
    </row>
    <row r="26575">
      <c r="Y26575" s="372">
        <v>0.0</v>
      </c>
      <c r="Z26575" s="372">
        <v>0.0</v>
      </c>
    </row>
    <row r="26576">
      <c r="Y26576" s="372">
        <v>0.0</v>
      </c>
      <c r="Z26576" s="372">
        <v>0.0</v>
      </c>
    </row>
    <row r="26577">
      <c r="Y26577" s="372">
        <v>0.0</v>
      </c>
      <c r="Z26577" s="372">
        <v>0.0</v>
      </c>
    </row>
    <row r="26578">
      <c r="Y26578" s="372">
        <v>0.0</v>
      </c>
      <c r="Z26578" s="372">
        <v>0.0</v>
      </c>
    </row>
    <row r="26579">
      <c r="Y26579" s="372">
        <v>0.0</v>
      </c>
      <c r="Z26579" s="372">
        <v>0.0</v>
      </c>
    </row>
    <row r="26580">
      <c r="Y26580" s="372">
        <v>0.0</v>
      </c>
      <c r="Z26580" s="372">
        <v>0.0</v>
      </c>
    </row>
    <row r="26581">
      <c r="Y26581" s="372">
        <v>0.0</v>
      </c>
      <c r="Z26581" s="372">
        <v>0.0</v>
      </c>
    </row>
    <row r="26582">
      <c r="Y26582" s="372">
        <v>0.0</v>
      </c>
      <c r="Z26582" s="372">
        <v>0.0</v>
      </c>
    </row>
    <row r="26583">
      <c r="Y26583" s="372">
        <v>0.0</v>
      </c>
      <c r="Z26583" s="372">
        <v>0.0</v>
      </c>
    </row>
    <row r="26584">
      <c r="Y26584" s="372">
        <v>0.0</v>
      </c>
      <c r="Z26584" s="372">
        <v>0.0</v>
      </c>
    </row>
    <row r="26585">
      <c r="Y26585" s="372">
        <v>0.0</v>
      </c>
      <c r="Z26585" s="372">
        <v>0.0</v>
      </c>
    </row>
    <row r="26586">
      <c r="Y26586" s="372">
        <v>0.0</v>
      </c>
      <c r="Z26586" s="372">
        <v>0.0</v>
      </c>
    </row>
    <row r="26587">
      <c r="Y26587" s="372">
        <v>0.0</v>
      </c>
      <c r="Z26587" s="372">
        <v>0.0</v>
      </c>
    </row>
    <row r="26588">
      <c r="Y26588" s="372">
        <v>0.0</v>
      </c>
      <c r="Z26588" s="372">
        <v>0.0</v>
      </c>
    </row>
    <row r="26589">
      <c r="Y26589" s="372">
        <v>0.0</v>
      </c>
      <c r="Z26589" s="372">
        <v>0.0</v>
      </c>
    </row>
    <row r="26590">
      <c r="Y26590" s="372">
        <v>0.0</v>
      </c>
      <c r="Z26590" s="372">
        <v>0.0</v>
      </c>
    </row>
    <row r="26591">
      <c r="Y26591" s="372">
        <v>0.0</v>
      </c>
      <c r="Z26591" s="372">
        <v>0.0</v>
      </c>
    </row>
    <row r="26592">
      <c r="Y26592" s="372">
        <v>0.0</v>
      </c>
      <c r="Z26592" s="372">
        <v>0.0</v>
      </c>
    </row>
    <row r="26593">
      <c r="Y26593" s="372">
        <v>0.0</v>
      </c>
      <c r="Z26593" s="372">
        <v>0.0</v>
      </c>
    </row>
    <row r="26594">
      <c r="Y26594" s="372">
        <v>0.0</v>
      </c>
      <c r="Z26594" s="372">
        <v>0.0</v>
      </c>
    </row>
    <row r="26595">
      <c r="Y26595" s="372">
        <v>0.0</v>
      </c>
      <c r="Z26595" s="372">
        <v>0.0</v>
      </c>
    </row>
    <row r="26596">
      <c r="Y26596" s="372">
        <v>0.0</v>
      </c>
      <c r="Z26596" s="372">
        <v>0.0</v>
      </c>
    </row>
    <row r="26597">
      <c r="Y26597" s="372">
        <v>0.0</v>
      </c>
      <c r="Z26597" s="372">
        <v>0.0</v>
      </c>
    </row>
    <row r="26598">
      <c r="Y26598" s="372">
        <v>0.0</v>
      </c>
      <c r="Z26598" s="372">
        <v>0.0</v>
      </c>
    </row>
    <row r="26599">
      <c r="Y26599" s="372">
        <v>0.0</v>
      </c>
      <c r="Z26599" s="372">
        <v>0.0</v>
      </c>
    </row>
    <row r="26600">
      <c r="Y26600" s="372">
        <v>0.0</v>
      </c>
      <c r="Z26600" s="372">
        <v>0.0</v>
      </c>
    </row>
    <row r="26601">
      <c r="Y26601" s="372">
        <v>0.0</v>
      </c>
      <c r="Z26601" s="372">
        <v>0.0</v>
      </c>
    </row>
    <row r="26602">
      <c r="Y26602" s="372">
        <v>0.0</v>
      </c>
      <c r="Z26602" s="372">
        <v>0.0</v>
      </c>
    </row>
    <row r="26603">
      <c r="Y26603" s="372">
        <v>0.0</v>
      </c>
      <c r="Z26603" s="372">
        <v>0.0</v>
      </c>
    </row>
    <row r="26604">
      <c r="Y26604" s="372">
        <v>0.0</v>
      </c>
      <c r="Z26604" s="372">
        <v>0.0</v>
      </c>
    </row>
    <row r="26605">
      <c r="Y26605" s="372">
        <v>0.0</v>
      </c>
      <c r="Z26605" s="372">
        <v>0.0</v>
      </c>
    </row>
    <row r="26606">
      <c r="Y26606" s="372">
        <v>0.0</v>
      </c>
      <c r="Z26606" s="372">
        <v>0.0</v>
      </c>
    </row>
    <row r="26607">
      <c r="Y26607" s="372">
        <v>0.0</v>
      </c>
      <c r="Z26607" s="372">
        <v>0.0</v>
      </c>
    </row>
    <row r="26608">
      <c r="Y26608" s="372">
        <v>0.0</v>
      </c>
      <c r="Z26608" s="372">
        <v>0.0</v>
      </c>
    </row>
    <row r="26609">
      <c r="Y26609" s="372">
        <v>0.0</v>
      </c>
      <c r="Z26609" s="372">
        <v>0.0</v>
      </c>
    </row>
    <row r="26610">
      <c r="Y26610" s="372">
        <v>0.0</v>
      </c>
      <c r="Z26610" s="372">
        <v>0.0</v>
      </c>
    </row>
    <row r="26611">
      <c r="Y26611" s="372">
        <v>0.0</v>
      </c>
      <c r="Z26611" s="372">
        <v>0.0</v>
      </c>
    </row>
    <row r="26612">
      <c r="Y26612" s="372">
        <v>0.0</v>
      </c>
      <c r="Z26612" s="372">
        <v>0.0</v>
      </c>
    </row>
    <row r="26613">
      <c r="Y26613" s="372">
        <v>0.0</v>
      </c>
      <c r="Z26613" s="372">
        <v>0.0</v>
      </c>
    </row>
    <row r="26614">
      <c r="Y26614" s="372">
        <v>0.0</v>
      </c>
      <c r="Z26614" s="372">
        <v>0.0</v>
      </c>
    </row>
    <row r="26615">
      <c r="Y26615" s="372">
        <v>0.0</v>
      </c>
      <c r="Z26615" s="372">
        <v>0.0</v>
      </c>
    </row>
    <row r="26616">
      <c r="Y26616" s="372">
        <v>0.0</v>
      </c>
      <c r="Z26616" s="372">
        <v>0.0</v>
      </c>
    </row>
    <row r="26617">
      <c r="Y26617" s="372">
        <v>0.0</v>
      </c>
      <c r="Z26617" s="372">
        <v>0.0</v>
      </c>
    </row>
    <row r="26618">
      <c r="Y26618" s="372">
        <v>0.0</v>
      </c>
      <c r="Z26618" s="372">
        <v>0.0</v>
      </c>
    </row>
    <row r="26619">
      <c r="Y26619" s="372">
        <v>0.0</v>
      </c>
      <c r="Z26619" s="372">
        <v>0.0</v>
      </c>
    </row>
    <row r="26620">
      <c r="Y26620" s="372">
        <v>0.0</v>
      </c>
      <c r="Z26620" s="372">
        <v>0.0</v>
      </c>
    </row>
    <row r="26621">
      <c r="Y26621" s="372">
        <v>0.0</v>
      </c>
      <c r="Z26621" s="372">
        <v>0.0</v>
      </c>
    </row>
    <row r="26622">
      <c r="Y26622" s="372">
        <v>0.0</v>
      </c>
      <c r="Z26622" s="372">
        <v>0.0</v>
      </c>
    </row>
    <row r="26623">
      <c r="Y26623" s="372">
        <v>0.0</v>
      </c>
      <c r="Z26623" s="372">
        <v>0.0</v>
      </c>
    </row>
    <row r="26624">
      <c r="Y26624" s="372">
        <v>0.0</v>
      </c>
      <c r="Z26624" s="372">
        <v>0.0</v>
      </c>
    </row>
    <row r="26625">
      <c r="Y26625" s="372">
        <v>0.0</v>
      </c>
      <c r="Z26625" s="372">
        <v>0.0</v>
      </c>
    </row>
    <row r="26626">
      <c r="Y26626" s="372">
        <v>0.0</v>
      </c>
      <c r="Z26626" s="372">
        <v>0.0</v>
      </c>
    </row>
    <row r="26627">
      <c r="Y26627" s="372">
        <v>0.0</v>
      </c>
      <c r="Z26627" s="372">
        <v>0.0</v>
      </c>
    </row>
    <row r="26628">
      <c r="Y26628" s="372">
        <v>0.0</v>
      </c>
      <c r="Z26628" s="372">
        <v>0.0</v>
      </c>
    </row>
    <row r="26629">
      <c r="Y26629" s="372">
        <v>0.0</v>
      </c>
      <c r="Z26629" s="372">
        <v>0.0</v>
      </c>
    </row>
    <row r="26630">
      <c r="Y26630" s="372">
        <v>0.0</v>
      </c>
      <c r="Z26630" s="372">
        <v>0.0</v>
      </c>
    </row>
    <row r="26631">
      <c r="Y26631" s="372">
        <v>0.0</v>
      </c>
      <c r="Z26631" s="372">
        <v>0.0</v>
      </c>
    </row>
    <row r="26632">
      <c r="Y26632" s="372">
        <v>0.0</v>
      </c>
      <c r="Z26632" s="372">
        <v>0.0</v>
      </c>
    </row>
    <row r="26633">
      <c r="Y26633" s="372">
        <v>0.0</v>
      </c>
      <c r="Z26633" s="372">
        <v>0.0</v>
      </c>
    </row>
    <row r="26634">
      <c r="Y26634" s="372">
        <v>0.0</v>
      </c>
      <c r="Z26634" s="372">
        <v>0.0</v>
      </c>
    </row>
    <row r="26635">
      <c r="Y26635" s="372">
        <v>0.0</v>
      </c>
      <c r="Z26635" s="372">
        <v>0.0</v>
      </c>
    </row>
    <row r="26636">
      <c r="Y26636" s="372">
        <v>0.0</v>
      </c>
      <c r="Z26636" s="372">
        <v>0.0</v>
      </c>
    </row>
    <row r="26637">
      <c r="Y26637" s="372">
        <v>0.0</v>
      </c>
      <c r="Z26637" s="372">
        <v>0.0</v>
      </c>
    </row>
    <row r="26638">
      <c r="Y26638" s="372">
        <v>0.0</v>
      </c>
      <c r="Z26638" s="372">
        <v>0.0</v>
      </c>
    </row>
    <row r="26639">
      <c r="Y26639" s="372">
        <v>0.0</v>
      </c>
      <c r="Z26639" s="372">
        <v>0.0</v>
      </c>
    </row>
    <row r="26640">
      <c r="Y26640" s="372">
        <v>0.0</v>
      </c>
      <c r="Z26640" s="372">
        <v>0.0</v>
      </c>
    </row>
    <row r="26641">
      <c r="Y26641" s="372">
        <v>0.0</v>
      </c>
      <c r="Z26641" s="372">
        <v>0.0</v>
      </c>
    </row>
    <row r="26642">
      <c r="Y26642" s="372">
        <v>0.0</v>
      </c>
      <c r="Z26642" s="372">
        <v>0.0</v>
      </c>
    </row>
    <row r="26643">
      <c r="Y26643" s="372">
        <v>0.0</v>
      </c>
      <c r="Z26643" s="372">
        <v>0.0</v>
      </c>
    </row>
    <row r="26644">
      <c r="Y26644" s="372">
        <v>0.0</v>
      </c>
      <c r="Z26644" s="372">
        <v>0.0</v>
      </c>
    </row>
    <row r="26645">
      <c r="Y26645" s="372">
        <v>0.0</v>
      </c>
      <c r="Z26645" s="372">
        <v>0.0</v>
      </c>
    </row>
    <row r="26646">
      <c r="Y26646" s="372">
        <v>0.0</v>
      </c>
      <c r="Z26646" s="372">
        <v>0.0</v>
      </c>
    </row>
    <row r="26647">
      <c r="Y26647" s="372">
        <v>0.0</v>
      </c>
      <c r="Z26647" s="372">
        <v>0.0</v>
      </c>
    </row>
    <row r="26648">
      <c r="Y26648" s="372">
        <v>0.0</v>
      </c>
      <c r="Z26648" s="372">
        <v>0.0</v>
      </c>
    </row>
    <row r="26649">
      <c r="Y26649" s="372">
        <v>0.0</v>
      </c>
      <c r="Z26649" s="372">
        <v>0.0</v>
      </c>
    </row>
    <row r="26650">
      <c r="Y26650" s="372">
        <v>0.0</v>
      </c>
      <c r="Z26650" s="372">
        <v>0.0</v>
      </c>
    </row>
    <row r="26651">
      <c r="Y26651" s="372">
        <v>0.0</v>
      </c>
      <c r="Z26651" s="372">
        <v>0.0</v>
      </c>
    </row>
    <row r="26652">
      <c r="Y26652" s="372">
        <v>0.0</v>
      </c>
      <c r="Z26652" s="372">
        <v>0.0</v>
      </c>
    </row>
    <row r="26653">
      <c r="Y26653" s="372">
        <v>0.0</v>
      </c>
      <c r="Z26653" s="372">
        <v>0.0</v>
      </c>
    </row>
    <row r="26654">
      <c r="Y26654" s="372">
        <v>0.0</v>
      </c>
      <c r="Z26654" s="372">
        <v>0.0</v>
      </c>
    </row>
    <row r="26655">
      <c r="Y26655" s="372">
        <v>0.0</v>
      </c>
      <c r="Z26655" s="372">
        <v>0.0</v>
      </c>
    </row>
    <row r="26656">
      <c r="Y26656" s="372">
        <v>0.0</v>
      </c>
      <c r="Z26656" s="372">
        <v>0.0</v>
      </c>
    </row>
    <row r="26657">
      <c r="Y26657" s="372">
        <v>0.0</v>
      </c>
      <c r="Z26657" s="372">
        <v>0.0</v>
      </c>
    </row>
    <row r="26658">
      <c r="Y26658" s="372">
        <v>0.0</v>
      </c>
      <c r="Z26658" s="372">
        <v>0.0</v>
      </c>
    </row>
    <row r="26659">
      <c r="Y26659" s="372">
        <v>0.0</v>
      </c>
      <c r="Z26659" s="372">
        <v>0.0</v>
      </c>
    </row>
    <row r="26660">
      <c r="Y26660" s="372">
        <v>0.0</v>
      </c>
      <c r="Z26660" s="372">
        <v>0.0</v>
      </c>
    </row>
    <row r="26661">
      <c r="Y26661" s="372">
        <v>0.0</v>
      </c>
      <c r="Z26661" s="372">
        <v>0.0</v>
      </c>
    </row>
    <row r="26662">
      <c r="Y26662" s="372">
        <v>0.0</v>
      </c>
      <c r="Z26662" s="372">
        <v>0.0</v>
      </c>
    </row>
    <row r="26663">
      <c r="Y26663" s="372">
        <v>0.0</v>
      </c>
      <c r="Z26663" s="372">
        <v>0.0</v>
      </c>
    </row>
    <row r="26664">
      <c r="Y26664" s="372">
        <v>0.0</v>
      </c>
      <c r="Z26664" s="372">
        <v>0.0</v>
      </c>
    </row>
    <row r="26665">
      <c r="Y26665" s="372">
        <v>0.0</v>
      </c>
      <c r="Z26665" s="372">
        <v>0.0</v>
      </c>
    </row>
    <row r="26666">
      <c r="Y26666" s="372">
        <v>0.0</v>
      </c>
      <c r="Z26666" s="372">
        <v>0.0</v>
      </c>
    </row>
    <row r="26667">
      <c r="Y26667" s="372">
        <v>0.0</v>
      </c>
      <c r="Z26667" s="372">
        <v>0.0</v>
      </c>
    </row>
    <row r="26668">
      <c r="Y26668" s="372">
        <v>0.0</v>
      </c>
      <c r="Z26668" s="372">
        <v>0.0</v>
      </c>
    </row>
    <row r="26669">
      <c r="Y26669" s="372">
        <v>0.0</v>
      </c>
      <c r="Z26669" s="372">
        <v>0.0</v>
      </c>
    </row>
    <row r="26670">
      <c r="Y26670" s="372">
        <v>0.0</v>
      </c>
      <c r="Z26670" s="372">
        <v>0.0</v>
      </c>
    </row>
    <row r="26671">
      <c r="Y26671" s="372">
        <v>0.0</v>
      </c>
      <c r="Z26671" s="372">
        <v>0.0</v>
      </c>
    </row>
    <row r="26672">
      <c r="Y26672" s="372">
        <v>0.0</v>
      </c>
      <c r="Z26672" s="372">
        <v>0.0</v>
      </c>
    </row>
    <row r="26673">
      <c r="Y26673" s="372">
        <v>0.0</v>
      </c>
      <c r="Z26673" s="372">
        <v>0.0</v>
      </c>
    </row>
    <row r="26674">
      <c r="Y26674" s="372">
        <v>0.0</v>
      </c>
      <c r="Z26674" s="372">
        <v>0.0</v>
      </c>
    </row>
    <row r="26675">
      <c r="Y26675" s="372">
        <v>0.0</v>
      </c>
      <c r="Z26675" s="372">
        <v>0.0</v>
      </c>
    </row>
    <row r="26676">
      <c r="Y26676" s="372">
        <v>0.0</v>
      </c>
      <c r="Z26676" s="372">
        <v>0.0</v>
      </c>
    </row>
    <row r="26677">
      <c r="Y26677" s="372">
        <v>0.0</v>
      </c>
      <c r="Z26677" s="372">
        <v>0.0</v>
      </c>
    </row>
    <row r="26678">
      <c r="Y26678" s="372">
        <v>0.0</v>
      </c>
      <c r="Z26678" s="372">
        <v>0.0</v>
      </c>
    </row>
    <row r="26679">
      <c r="Y26679" s="372">
        <v>0.0</v>
      </c>
      <c r="Z26679" s="372">
        <v>0.0</v>
      </c>
    </row>
    <row r="26680">
      <c r="Y26680" s="372">
        <v>0.0</v>
      </c>
      <c r="Z26680" s="372">
        <v>0.0</v>
      </c>
    </row>
    <row r="26681">
      <c r="Y26681" s="372">
        <v>0.0</v>
      </c>
      <c r="Z26681" s="372">
        <v>0.0</v>
      </c>
    </row>
    <row r="26682">
      <c r="Y26682" s="372">
        <v>0.0</v>
      </c>
      <c r="Z26682" s="372">
        <v>0.0</v>
      </c>
    </row>
    <row r="26683">
      <c r="Y26683" s="372">
        <v>0.0</v>
      </c>
      <c r="Z26683" s="372">
        <v>0.0</v>
      </c>
    </row>
    <row r="26684">
      <c r="Y26684" s="372">
        <v>0.0</v>
      </c>
      <c r="Z26684" s="372">
        <v>0.0</v>
      </c>
    </row>
    <row r="26685">
      <c r="Y26685" s="372">
        <v>0.0</v>
      </c>
      <c r="Z26685" s="372">
        <v>0.0</v>
      </c>
    </row>
    <row r="26686">
      <c r="Y26686" s="372">
        <v>0.0</v>
      </c>
      <c r="Z26686" s="372">
        <v>0.0</v>
      </c>
    </row>
    <row r="26687">
      <c r="Y26687" s="372">
        <v>0.0</v>
      </c>
      <c r="Z26687" s="372">
        <v>0.0</v>
      </c>
    </row>
    <row r="26688">
      <c r="Y26688" s="372">
        <v>0.0</v>
      </c>
      <c r="Z26688" s="372">
        <v>0.0</v>
      </c>
    </row>
    <row r="26689">
      <c r="Y26689" s="372">
        <v>0.0</v>
      </c>
      <c r="Z26689" s="372">
        <v>0.0</v>
      </c>
    </row>
    <row r="26690">
      <c r="Y26690" s="372">
        <v>0.0</v>
      </c>
      <c r="Z26690" s="372">
        <v>0.0</v>
      </c>
    </row>
    <row r="26691">
      <c r="Y26691" s="372">
        <v>0.0</v>
      </c>
      <c r="Z26691" s="372">
        <v>0.0</v>
      </c>
    </row>
    <row r="26692">
      <c r="Y26692" s="372">
        <v>0.0</v>
      </c>
      <c r="Z26692" s="372">
        <v>0.0</v>
      </c>
    </row>
    <row r="26693">
      <c r="Y26693" s="372">
        <v>0.0</v>
      </c>
      <c r="Z26693" s="372">
        <v>0.0</v>
      </c>
    </row>
    <row r="26694">
      <c r="Y26694" s="372">
        <v>0.0</v>
      </c>
      <c r="Z26694" s="372">
        <v>0.0</v>
      </c>
    </row>
    <row r="26695">
      <c r="Y26695" s="372">
        <v>0.0</v>
      </c>
      <c r="Z26695" s="372">
        <v>0.0</v>
      </c>
    </row>
    <row r="26696">
      <c r="Y26696" s="372">
        <v>0.0</v>
      </c>
      <c r="Z26696" s="372">
        <v>0.0</v>
      </c>
    </row>
    <row r="26697">
      <c r="Y26697" s="372">
        <v>0.0</v>
      </c>
      <c r="Z26697" s="372">
        <v>0.0</v>
      </c>
    </row>
    <row r="26698">
      <c r="Y26698" s="372">
        <v>0.0</v>
      </c>
      <c r="Z26698" s="372">
        <v>0.0</v>
      </c>
    </row>
    <row r="26699">
      <c r="Y26699" s="372">
        <v>0.0</v>
      </c>
      <c r="Z26699" s="372">
        <v>0.0</v>
      </c>
    </row>
    <row r="26700">
      <c r="Y26700" s="372">
        <v>0.0</v>
      </c>
      <c r="Z26700" s="372">
        <v>0.0</v>
      </c>
    </row>
    <row r="26701">
      <c r="Y26701" s="372">
        <v>0.0</v>
      </c>
      <c r="Z26701" s="372">
        <v>0.0</v>
      </c>
    </row>
    <row r="26702">
      <c r="Y26702" s="372">
        <v>0.0</v>
      </c>
      <c r="Z26702" s="372">
        <v>0.0</v>
      </c>
    </row>
    <row r="26703">
      <c r="Y26703" s="372">
        <v>0.0</v>
      </c>
      <c r="Z26703" s="372">
        <v>0.0</v>
      </c>
    </row>
    <row r="26704">
      <c r="Y26704" s="372">
        <v>0.0</v>
      </c>
      <c r="Z26704" s="372">
        <v>0.0</v>
      </c>
    </row>
    <row r="26705">
      <c r="Y26705" s="372">
        <v>0.0</v>
      </c>
      <c r="Z26705" s="372">
        <v>0.0</v>
      </c>
    </row>
    <row r="26706">
      <c r="Y26706" s="372">
        <v>0.0</v>
      </c>
      <c r="Z26706" s="372">
        <v>0.0</v>
      </c>
    </row>
    <row r="26707">
      <c r="Y26707" s="372">
        <v>0.0</v>
      </c>
      <c r="Z26707" s="372">
        <v>0.0</v>
      </c>
    </row>
    <row r="26708">
      <c r="Y26708" s="372">
        <v>0.0</v>
      </c>
      <c r="Z26708" s="372">
        <v>0.0</v>
      </c>
    </row>
    <row r="26709">
      <c r="Y26709" s="372">
        <v>0.0</v>
      </c>
      <c r="Z26709" s="372">
        <v>0.0</v>
      </c>
    </row>
    <row r="26710">
      <c r="Y26710" s="372">
        <v>0.0</v>
      </c>
      <c r="Z26710" s="372">
        <v>0.0</v>
      </c>
    </row>
    <row r="26711">
      <c r="Y26711" s="372">
        <v>0.0</v>
      </c>
      <c r="Z26711" s="372">
        <v>0.0</v>
      </c>
    </row>
    <row r="26712">
      <c r="Y26712" s="372">
        <v>0.0</v>
      </c>
      <c r="Z26712" s="372">
        <v>0.0</v>
      </c>
    </row>
    <row r="26713">
      <c r="Y26713" s="372">
        <v>0.0</v>
      </c>
      <c r="Z26713" s="372">
        <v>0.0</v>
      </c>
    </row>
    <row r="26714">
      <c r="Y26714" s="372">
        <v>0.0</v>
      </c>
      <c r="Z26714" s="372">
        <v>0.0</v>
      </c>
    </row>
    <row r="26715">
      <c r="Y26715" s="372">
        <v>0.0</v>
      </c>
      <c r="Z26715" s="372">
        <v>0.0</v>
      </c>
    </row>
    <row r="26716">
      <c r="Y26716" s="372">
        <v>0.0</v>
      </c>
      <c r="Z26716" s="372">
        <v>0.0</v>
      </c>
    </row>
    <row r="26717">
      <c r="Y26717" s="372">
        <v>0.0</v>
      </c>
      <c r="Z26717" s="372">
        <v>0.0</v>
      </c>
    </row>
    <row r="26718">
      <c r="Y26718" s="372">
        <v>0.0</v>
      </c>
      <c r="Z26718" s="372">
        <v>0.0</v>
      </c>
    </row>
    <row r="26719">
      <c r="Y26719" s="372">
        <v>0.0</v>
      </c>
      <c r="Z26719" s="372">
        <v>0.0</v>
      </c>
    </row>
    <row r="26720">
      <c r="Y26720" s="372">
        <v>0.0</v>
      </c>
      <c r="Z26720" s="372">
        <v>0.0</v>
      </c>
    </row>
    <row r="26721">
      <c r="Y26721" s="372">
        <v>0.0</v>
      </c>
      <c r="Z26721" s="372">
        <v>0.0</v>
      </c>
    </row>
    <row r="26722">
      <c r="Y26722" s="372">
        <v>0.0</v>
      </c>
      <c r="Z26722" s="372">
        <v>0.0</v>
      </c>
    </row>
    <row r="26723">
      <c r="Y26723" s="372">
        <v>0.0</v>
      </c>
      <c r="Z26723" s="372">
        <v>0.0</v>
      </c>
    </row>
    <row r="26724">
      <c r="Y26724" s="372">
        <v>0.0</v>
      </c>
      <c r="Z26724" s="372">
        <v>0.0</v>
      </c>
    </row>
    <row r="26725">
      <c r="Y26725" s="372">
        <v>0.0</v>
      </c>
      <c r="Z26725" s="372">
        <v>0.0</v>
      </c>
    </row>
    <row r="26726">
      <c r="Y26726" s="372">
        <v>0.0</v>
      </c>
      <c r="Z26726" s="372">
        <v>0.0</v>
      </c>
    </row>
    <row r="26727">
      <c r="Y26727" s="372">
        <v>0.0</v>
      </c>
      <c r="Z26727" s="372">
        <v>0.0</v>
      </c>
    </row>
    <row r="26728">
      <c r="Y26728" s="372">
        <v>0.0</v>
      </c>
      <c r="Z26728" s="372">
        <v>0.0</v>
      </c>
    </row>
    <row r="26729">
      <c r="Y26729" s="372">
        <v>0.0</v>
      </c>
      <c r="Z26729" s="372">
        <v>0.0</v>
      </c>
    </row>
    <row r="26730">
      <c r="Y26730" s="372">
        <v>0.0</v>
      </c>
      <c r="Z26730" s="372">
        <v>0.0</v>
      </c>
    </row>
    <row r="26731">
      <c r="Y26731" s="372">
        <v>0.0</v>
      </c>
      <c r="Z26731" s="372">
        <v>0.0</v>
      </c>
    </row>
    <row r="26732">
      <c r="Y26732" s="372">
        <v>0.0</v>
      </c>
      <c r="Z26732" s="372">
        <v>0.0</v>
      </c>
    </row>
    <row r="26733">
      <c r="Y26733" s="372">
        <v>0.0</v>
      </c>
      <c r="Z26733" s="372">
        <v>0.0</v>
      </c>
    </row>
    <row r="26734">
      <c r="Y26734" s="372">
        <v>0.0</v>
      </c>
      <c r="Z26734" s="372">
        <v>0.0</v>
      </c>
    </row>
    <row r="26735">
      <c r="Y26735" s="372">
        <v>0.0</v>
      </c>
      <c r="Z26735" s="372">
        <v>0.0</v>
      </c>
    </row>
    <row r="26736">
      <c r="Y26736" s="372">
        <v>0.0</v>
      </c>
      <c r="Z26736" s="372">
        <v>0.0</v>
      </c>
    </row>
    <row r="26737">
      <c r="Y26737" s="372">
        <v>0.0</v>
      </c>
      <c r="Z26737" s="372">
        <v>0.0</v>
      </c>
    </row>
    <row r="26738">
      <c r="Y26738" s="372">
        <v>0.0</v>
      </c>
      <c r="Z26738" s="372">
        <v>0.0</v>
      </c>
    </row>
    <row r="26739">
      <c r="Y26739" s="372">
        <v>0.0</v>
      </c>
      <c r="Z26739" s="372">
        <v>0.0</v>
      </c>
    </row>
    <row r="26740">
      <c r="Y26740" s="372">
        <v>0.0</v>
      </c>
      <c r="Z26740" s="372">
        <v>0.0</v>
      </c>
    </row>
    <row r="26741">
      <c r="Y26741" s="372">
        <v>0.0</v>
      </c>
      <c r="Z26741" s="372">
        <v>0.0</v>
      </c>
    </row>
    <row r="26742">
      <c r="Y26742" s="372">
        <v>0.0</v>
      </c>
      <c r="Z26742" s="372">
        <v>0.0</v>
      </c>
    </row>
    <row r="26743">
      <c r="Y26743" s="372">
        <v>0.0</v>
      </c>
      <c r="Z26743" s="372">
        <v>0.0</v>
      </c>
    </row>
    <row r="26744">
      <c r="Y26744" s="372">
        <v>0.0</v>
      </c>
      <c r="Z26744" s="372">
        <v>0.0</v>
      </c>
    </row>
    <row r="26745">
      <c r="Y26745" s="372">
        <v>0.0</v>
      </c>
      <c r="Z26745" s="372">
        <v>0.0</v>
      </c>
    </row>
    <row r="26746">
      <c r="Y26746" s="372">
        <v>0.0</v>
      </c>
      <c r="Z26746" s="372">
        <v>0.0</v>
      </c>
    </row>
    <row r="26747">
      <c r="Y26747" s="372">
        <v>0.0</v>
      </c>
      <c r="Z26747" s="372">
        <v>0.0</v>
      </c>
    </row>
    <row r="26748">
      <c r="Y26748" s="372">
        <v>0.0</v>
      </c>
      <c r="Z26748" s="372">
        <v>0.0</v>
      </c>
    </row>
    <row r="26749">
      <c r="Y26749" s="372">
        <v>0.0</v>
      </c>
      <c r="Z26749" s="372">
        <v>0.0</v>
      </c>
    </row>
    <row r="26750">
      <c r="Y26750" s="372">
        <v>0.0</v>
      </c>
      <c r="Z26750" s="372">
        <v>0.0</v>
      </c>
    </row>
    <row r="26751">
      <c r="Y26751" s="372">
        <v>0.0</v>
      </c>
      <c r="Z26751" s="372">
        <v>0.0</v>
      </c>
    </row>
    <row r="26752">
      <c r="Y26752" s="372">
        <v>0.0</v>
      </c>
      <c r="Z26752" s="372">
        <v>0.0</v>
      </c>
    </row>
    <row r="26753">
      <c r="Y26753" s="372">
        <v>0.0</v>
      </c>
      <c r="Z26753" s="372">
        <v>0.0</v>
      </c>
    </row>
    <row r="26754">
      <c r="Y26754" s="372">
        <v>0.0</v>
      </c>
      <c r="Z26754" s="372">
        <v>0.0</v>
      </c>
    </row>
    <row r="26755">
      <c r="Y26755" s="372">
        <v>0.0</v>
      </c>
      <c r="Z26755" s="372">
        <v>0.0</v>
      </c>
    </row>
    <row r="26756">
      <c r="Y26756" s="372">
        <v>0.0</v>
      </c>
      <c r="Z26756" s="372">
        <v>0.0</v>
      </c>
    </row>
    <row r="26757">
      <c r="Y26757" s="372">
        <v>0.0</v>
      </c>
      <c r="Z26757" s="372">
        <v>0.0</v>
      </c>
    </row>
    <row r="26758">
      <c r="Y26758" s="372">
        <v>0.0</v>
      </c>
      <c r="Z26758" s="372">
        <v>0.0</v>
      </c>
    </row>
    <row r="26759">
      <c r="Y26759" s="372">
        <v>0.0</v>
      </c>
      <c r="Z26759" s="372">
        <v>0.0</v>
      </c>
    </row>
    <row r="26760">
      <c r="Y26760" s="372">
        <v>0.0</v>
      </c>
      <c r="Z26760" s="372">
        <v>0.0</v>
      </c>
    </row>
    <row r="26761">
      <c r="Y26761" s="372">
        <v>0.0</v>
      </c>
      <c r="Z26761" s="372">
        <v>0.0</v>
      </c>
    </row>
    <row r="26762">
      <c r="Y26762" s="372">
        <v>0.0</v>
      </c>
      <c r="Z26762" s="372">
        <v>0.0</v>
      </c>
    </row>
    <row r="26763">
      <c r="Y26763" s="372">
        <v>0.0</v>
      </c>
      <c r="Z26763" s="372">
        <v>0.0</v>
      </c>
    </row>
    <row r="26764">
      <c r="Y26764" s="372">
        <v>0.0</v>
      </c>
      <c r="Z26764" s="372">
        <v>0.0</v>
      </c>
    </row>
    <row r="26765">
      <c r="Y26765" s="372">
        <v>0.0</v>
      </c>
      <c r="Z26765" s="372">
        <v>0.0</v>
      </c>
    </row>
    <row r="26766">
      <c r="Y26766" s="372">
        <v>0.0</v>
      </c>
      <c r="Z26766" s="372">
        <v>0.0</v>
      </c>
    </row>
    <row r="26767">
      <c r="Y26767" s="372">
        <v>0.0</v>
      </c>
      <c r="Z26767" s="372">
        <v>0.0</v>
      </c>
    </row>
    <row r="26768">
      <c r="Y26768" s="372">
        <v>0.0</v>
      </c>
      <c r="Z26768" s="372">
        <v>0.0</v>
      </c>
    </row>
    <row r="26769">
      <c r="Y26769" s="372">
        <v>0.0</v>
      </c>
      <c r="Z26769" s="372">
        <v>0.0</v>
      </c>
    </row>
    <row r="26770">
      <c r="Y26770" s="372">
        <v>0.0</v>
      </c>
      <c r="Z26770" s="372">
        <v>0.0</v>
      </c>
    </row>
    <row r="26771">
      <c r="Y26771" s="372">
        <v>0.0</v>
      </c>
      <c r="Z26771" s="372">
        <v>0.0</v>
      </c>
    </row>
    <row r="26772">
      <c r="Y26772" s="372">
        <v>0.0</v>
      </c>
      <c r="Z26772" s="372">
        <v>0.0</v>
      </c>
    </row>
    <row r="26773">
      <c r="Y26773" s="372">
        <v>0.0</v>
      </c>
      <c r="Z26773" s="372">
        <v>0.0</v>
      </c>
    </row>
    <row r="26774">
      <c r="Y26774" s="372">
        <v>0.0</v>
      </c>
      <c r="Z26774" s="372">
        <v>0.0</v>
      </c>
    </row>
    <row r="26775">
      <c r="Y26775" s="372">
        <v>0.0</v>
      </c>
      <c r="Z26775" s="372">
        <v>0.0</v>
      </c>
    </row>
    <row r="26776">
      <c r="Y26776" s="372">
        <v>0.0</v>
      </c>
      <c r="Z26776" s="372">
        <v>0.0</v>
      </c>
    </row>
    <row r="26777">
      <c r="Y26777" s="372">
        <v>0.0</v>
      </c>
      <c r="Z26777" s="372">
        <v>0.0</v>
      </c>
    </row>
    <row r="26778">
      <c r="Y26778" s="372">
        <v>0.0</v>
      </c>
      <c r="Z26778" s="372">
        <v>0.0</v>
      </c>
    </row>
    <row r="26779">
      <c r="Y26779" s="372">
        <v>0.0</v>
      </c>
      <c r="Z26779" s="372">
        <v>0.0</v>
      </c>
    </row>
    <row r="26780">
      <c r="Y26780" s="372">
        <v>0.0</v>
      </c>
      <c r="Z26780" s="372">
        <v>0.0</v>
      </c>
    </row>
    <row r="26781">
      <c r="Y26781" s="372">
        <v>0.0</v>
      </c>
      <c r="Z26781" s="372">
        <v>0.0</v>
      </c>
    </row>
    <row r="26782">
      <c r="Y26782" s="372">
        <v>0.0</v>
      </c>
      <c r="Z26782" s="372">
        <v>0.0</v>
      </c>
    </row>
    <row r="26783">
      <c r="Y26783" s="372">
        <v>0.0</v>
      </c>
      <c r="Z26783" s="372">
        <v>0.0</v>
      </c>
    </row>
    <row r="26784">
      <c r="Y26784" s="372">
        <v>0.0</v>
      </c>
      <c r="Z26784" s="372">
        <v>0.0</v>
      </c>
    </row>
    <row r="26785">
      <c r="Y26785" s="372">
        <v>0.0</v>
      </c>
      <c r="Z26785" s="372">
        <v>0.0</v>
      </c>
    </row>
    <row r="26786">
      <c r="Y26786" s="372">
        <v>0.0</v>
      </c>
      <c r="Z26786" s="372">
        <v>0.0</v>
      </c>
    </row>
    <row r="26787">
      <c r="Y26787" s="372">
        <v>0.0</v>
      </c>
      <c r="Z26787" s="372">
        <v>0.0</v>
      </c>
    </row>
    <row r="26788">
      <c r="Y26788" s="372">
        <v>0.0</v>
      </c>
      <c r="Z26788" s="372">
        <v>0.0</v>
      </c>
    </row>
    <row r="26789">
      <c r="Y26789" s="372">
        <v>0.0</v>
      </c>
      <c r="Z26789" s="372">
        <v>0.0</v>
      </c>
    </row>
    <row r="26790">
      <c r="Y26790" s="372">
        <v>0.0</v>
      </c>
      <c r="Z26790" s="372">
        <v>0.0</v>
      </c>
    </row>
    <row r="26791">
      <c r="Y26791" s="372">
        <v>0.0</v>
      </c>
      <c r="Z26791" s="372">
        <v>0.0</v>
      </c>
    </row>
    <row r="26792">
      <c r="Y26792" s="372">
        <v>0.0</v>
      </c>
      <c r="Z26792" s="372">
        <v>0.0</v>
      </c>
    </row>
    <row r="26793">
      <c r="Y26793" s="372">
        <v>0.0</v>
      </c>
      <c r="Z26793" s="372">
        <v>0.0</v>
      </c>
    </row>
    <row r="26794">
      <c r="Y26794" s="372">
        <v>0.0</v>
      </c>
      <c r="Z26794" s="372">
        <v>0.0</v>
      </c>
    </row>
    <row r="26795">
      <c r="Y26795" s="372">
        <v>0.0</v>
      </c>
      <c r="Z26795" s="372">
        <v>0.0</v>
      </c>
    </row>
    <row r="26796">
      <c r="Y26796" s="372">
        <v>0.0</v>
      </c>
      <c r="Z26796" s="372">
        <v>0.0</v>
      </c>
    </row>
    <row r="26797">
      <c r="Y26797" s="372">
        <v>0.0</v>
      </c>
      <c r="Z26797" s="372">
        <v>0.0</v>
      </c>
    </row>
    <row r="26798">
      <c r="Y26798" s="372">
        <v>0.0</v>
      </c>
      <c r="Z26798" s="372">
        <v>0.0</v>
      </c>
    </row>
    <row r="26799">
      <c r="Y26799" s="372">
        <v>0.0</v>
      </c>
      <c r="Z26799" s="372">
        <v>0.0</v>
      </c>
    </row>
    <row r="26800">
      <c r="Y26800" s="372">
        <v>0.0</v>
      </c>
      <c r="Z26800" s="372">
        <v>0.0</v>
      </c>
    </row>
    <row r="26801">
      <c r="Y26801" s="372">
        <v>0.0</v>
      </c>
      <c r="Z26801" s="372">
        <v>0.0</v>
      </c>
    </row>
    <row r="26802">
      <c r="Y26802" s="372">
        <v>0.0</v>
      </c>
      <c r="Z26802" s="372">
        <v>0.0</v>
      </c>
    </row>
    <row r="26803">
      <c r="Y26803" s="372">
        <v>0.0</v>
      </c>
      <c r="Z26803" s="372">
        <v>0.0</v>
      </c>
    </row>
    <row r="26804">
      <c r="Y26804" s="372">
        <v>0.0</v>
      </c>
      <c r="Z26804" s="372">
        <v>0.0</v>
      </c>
    </row>
    <row r="26805">
      <c r="Y26805" s="372">
        <v>0.0</v>
      </c>
      <c r="Z26805" s="372">
        <v>0.0</v>
      </c>
    </row>
    <row r="26806">
      <c r="Y26806" s="372">
        <v>0.0</v>
      </c>
      <c r="Z26806" s="372">
        <v>0.0</v>
      </c>
    </row>
    <row r="26807">
      <c r="Y26807" s="372">
        <v>0.0</v>
      </c>
      <c r="Z26807" s="372">
        <v>0.0</v>
      </c>
    </row>
    <row r="26808">
      <c r="Y26808" s="372">
        <v>0.0</v>
      </c>
      <c r="Z26808" s="372">
        <v>0.0</v>
      </c>
    </row>
    <row r="26809">
      <c r="Y26809" s="372">
        <v>0.0</v>
      </c>
      <c r="Z26809" s="372">
        <v>0.0</v>
      </c>
    </row>
    <row r="26810">
      <c r="Y26810" s="372">
        <v>0.0</v>
      </c>
      <c r="Z26810" s="372">
        <v>0.0</v>
      </c>
    </row>
    <row r="26811">
      <c r="Y26811" s="372">
        <v>0.0</v>
      </c>
      <c r="Z26811" s="372">
        <v>0.0</v>
      </c>
    </row>
    <row r="26812">
      <c r="Y26812" s="372">
        <v>0.0</v>
      </c>
      <c r="Z26812" s="372">
        <v>0.0</v>
      </c>
    </row>
    <row r="26813">
      <c r="Y26813" s="372">
        <v>0.0</v>
      </c>
      <c r="Z26813" s="372">
        <v>0.0</v>
      </c>
    </row>
    <row r="26814">
      <c r="Y26814" s="372">
        <v>0.0</v>
      </c>
      <c r="Z26814" s="372">
        <v>0.0</v>
      </c>
    </row>
    <row r="26815">
      <c r="Y26815" s="372">
        <v>0.0</v>
      </c>
      <c r="Z26815" s="372">
        <v>0.0</v>
      </c>
    </row>
    <row r="26816">
      <c r="Y26816" s="372">
        <v>0.0</v>
      </c>
      <c r="Z26816" s="372">
        <v>0.0</v>
      </c>
    </row>
    <row r="26817">
      <c r="Y26817" s="372">
        <v>0.0</v>
      </c>
      <c r="Z26817" s="372">
        <v>0.0</v>
      </c>
    </row>
    <row r="26818">
      <c r="Y26818" s="372">
        <v>0.0</v>
      </c>
      <c r="Z26818" s="372">
        <v>0.0</v>
      </c>
    </row>
    <row r="26819">
      <c r="Y26819" s="372">
        <v>0.0</v>
      </c>
      <c r="Z26819" s="372">
        <v>0.0</v>
      </c>
    </row>
    <row r="26820">
      <c r="Y26820" s="372">
        <v>0.0</v>
      </c>
      <c r="Z26820" s="372">
        <v>0.0</v>
      </c>
    </row>
    <row r="26821">
      <c r="Y26821" s="372">
        <v>0.0</v>
      </c>
      <c r="Z26821" s="372">
        <v>0.0</v>
      </c>
    </row>
    <row r="26822">
      <c r="Y26822" s="372">
        <v>0.0</v>
      </c>
      <c r="Z26822" s="372">
        <v>0.0</v>
      </c>
    </row>
    <row r="26823">
      <c r="Y26823" s="372">
        <v>0.0</v>
      </c>
      <c r="Z26823" s="372">
        <v>0.0</v>
      </c>
    </row>
    <row r="26824">
      <c r="Y26824" s="372">
        <v>0.0</v>
      </c>
      <c r="Z26824" s="372">
        <v>0.0</v>
      </c>
    </row>
    <row r="26825">
      <c r="Y26825" s="372">
        <v>0.0</v>
      </c>
      <c r="Z26825" s="372">
        <v>0.0</v>
      </c>
    </row>
    <row r="26826">
      <c r="Y26826" s="372">
        <v>0.0</v>
      </c>
      <c r="Z26826" s="372">
        <v>0.0</v>
      </c>
    </row>
    <row r="26827">
      <c r="Y26827" s="372">
        <v>0.0</v>
      </c>
      <c r="Z26827" s="372">
        <v>0.0</v>
      </c>
    </row>
    <row r="26828">
      <c r="Y26828" s="372">
        <v>0.0</v>
      </c>
      <c r="Z26828" s="372">
        <v>0.0</v>
      </c>
    </row>
    <row r="26829">
      <c r="Y26829" s="372">
        <v>0.0</v>
      </c>
      <c r="Z26829" s="372">
        <v>0.0</v>
      </c>
    </row>
    <row r="26830">
      <c r="Y26830" s="372">
        <v>0.0</v>
      </c>
      <c r="Z26830" s="372">
        <v>0.0</v>
      </c>
    </row>
    <row r="26831">
      <c r="Y26831" s="372">
        <v>0.0</v>
      </c>
      <c r="Z26831" s="372">
        <v>0.0</v>
      </c>
    </row>
    <row r="26832">
      <c r="Y26832" s="372">
        <v>0.0</v>
      </c>
      <c r="Z26832" s="372">
        <v>0.0</v>
      </c>
    </row>
    <row r="26833">
      <c r="Y26833" s="372">
        <v>0.0</v>
      </c>
      <c r="Z26833" s="372">
        <v>0.0</v>
      </c>
    </row>
    <row r="26834">
      <c r="Y26834" s="372">
        <v>0.0</v>
      </c>
      <c r="Z26834" s="372">
        <v>0.0</v>
      </c>
    </row>
    <row r="26835">
      <c r="Y26835" s="372">
        <v>0.0</v>
      </c>
      <c r="Z26835" s="372">
        <v>0.0</v>
      </c>
    </row>
    <row r="26836">
      <c r="Y26836" s="372">
        <v>0.0</v>
      </c>
      <c r="Z26836" s="372">
        <v>0.0</v>
      </c>
    </row>
    <row r="26837">
      <c r="Y26837" s="372">
        <v>0.0</v>
      </c>
      <c r="Z26837" s="372">
        <v>0.0</v>
      </c>
    </row>
    <row r="26838">
      <c r="Y26838" s="372">
        <v>0.0</v>
      </c>
      <c r="Z26838" s="372">
        <v>0.0</v>
      </c>
    </row>
    <row r="26839">
      <c r="Y26839" s="372">
        <v>0.0</v>
      </c>
      <c r="Z26839" s="372">
        <v>0.0</v>
      </c>
    </row>
    <row r="26840">
      <c r="Y26840" s="372">
        <v>0.0</v>
      </c>
      <c r="Z26840" s="372">
        <v>0.0</v>
      </c>
    </row>
    <row r="26841">
      <c r="Y26841" s="372">
        <v>0.0</v>
      </c>
      <c r="Z26841" s="372">
        <v>0.0</v>
      </c>
    </row>
    <row r="26842">
      <c r="Y26842" s="372">
        <v>0.0</v>
      </c>
      <c r="Z26842" s="372">
        <v>0.0</v>
      </c>
    </row>
    <row r="26843">
      <c r="Y26843" s="372">
        <v>0.0</v>
      </c>
      <c r="Z26843" s="372">
        <v>0.0</v>
      </c>
    </row>
    <row r="26844">
      <c r="Y26844" s="372">
        <v>0.0</v>
      </c>
      <c r="Z26844" s="372">
        <v>0.0</v>
      </c>
    </row>
    <row r="26845">
      <c r="Y26845" s="372">
        <v>0.0</v>
      </c>
      <c r="Z26845" s="372">
        <v>0.0</v>
      </c>
    </row>
    <row r="26846">
      <c r="Y26846" s="372">
        <v>0.0</v>
      </c>
      <c r="Z26846" s="372">
        <v>0.0</v>
      </c>
    </row>
    <row r="26847">
      <c r="Y26847" s="372">
        <v>0.0</v>
      </c>
      <c r="Z26847" s="372">
        <v>0.0</v>
      </c>
    </row>
    <row r="26848">
      <c r="Y26848" s="372">
        <v>0.0</v>
      </c>
      <c r="Z26848" s="372">
        <v>0.0</v>
      </c>
    </row>
    <row r="26849">
      <c r="Y26849" s="372">
        <v>0.0</v>
      </c>
      <c r="Z26849" s="372">
        <v>0.0</v>
      </c>
    </row>
    <row r="26850">
      <c r="Y26850" s="372">
        <v>0.0</v>
      </c>
      <c r="Z26850" s="372">
        <v>0.0</v>
      </c>
    </row>
    <row r="26851">
      <c r="Y26851" s="372">
        <v>0.0</v>
      </c>
      <c r="Z26851" s="372">
        <v>0.0</v>
      </c>
    </row>
    <row r="26852">
      <c r="Y26852" s="372">
        <v>0.0</v>
      </c>
      <c r="Z26852" s="372">
        <v>0.0</v>
      </c>
    </row>
    <row r="26853">
      <c r="Y26853" s="372">
        <v>0.0</v>
      </c>
      <c r="Z26853" s="372">
        <v>0.0</v>
      </c>
    </row>
    <row r="26854">
      <c r="Y26854" s="372">
        <v>0.0</v>
      </c>
      <c r="Z26854" s="372">
        <v>0.0</v>
      </c>
    </row>
    <row r="26855">
      <c r="Y26855" s="372">
        <v>0.0</v>
      </c>
      <c r="Z26855" s="372">
        <v>0.0</v>
      </c>
    </row>
    <row r="26856">
      <c r="Y26856" s="372">
        <v>0.0</v>
      </c>
      <c r="Z26856" s="372">
        <v>0.0</v>
      </c>
    </row>
    <row r="26857">
      <c r="Y26857" s="372">
        <v>0.0</v>
      </c>
      <c r="Z26857" s="372">
        <v>0.0</v>
      </c>
    </row>
    <row r="26858">
      <c r="Y26858" s="372">
        <v>0.0</v>
      </c>
      <c r="Z26858" s="372">
        <v>0.0</v>
      </c>
    </row>
    <row r="26859">
      <c r="Y26859" s="372">
        <v>0.0</v>
      </c>
      <c r="Z26859" s="372">
        <v>0.0</v>
      </c>
    </row>
    <row r="26860">
      <c r="Y26860" s="372">
        <v>0.0</v>
      </c>
      <c r="Z26860" s="372">
        <v>0.0</v>
      </c>
    </row>
    <row r="26861">
      <c r="Y26861" s="372">
        <v>0.0</v>
      </c>
      <c r="Z26861" s="372">
        <v>0.0</v>
      </c>
    </row>
    <row r="26862">
      <c r="Y26862" s="372">
        <v>0.0</v>
      </c>
      <c r="Z26862" s="372">
        <v>0.0</v>
      </c>
    </row>
    <row r="26863">
      <c r="Y26863" s="372">
        <v>0.0</v>
      </c>
      <c r="Z26863" s="372">
        <v>0.0</v>
      </c>
    </row>
    <row r="26864">
      <c r="Y26864" s="372">
        <v>0.0</v>
      </c>
      <c r="Z26864" s="372">
        <v>0.0</v>
      </c>
    </row>
    <row r="26865">
      <c r="Y26865" s="372">
        <v>0.0</v>
      </c>
      <c r="Z26865" s="372">
        <v>0.0</v>
      </c>
    </row>
    <row r="26866">
      <c r="Y26866" s="372">
        <v>0.0</v>
      </c>
      <c r="Z26866" s="372">
        <v>0.0</v>
      </c>
    </row>
    <row r="26867">
      <c r="Y26867" s="372">
        <v>0.0</v>
      </c>
      <c r="Z26867" s="372">
        <v>0.0</v>
      </c>
    </row>
    <row r="26868">
      <c r="Y26868" s="372">
        <v>0.0</v>
      </c>
      <c r="Z26868" s="372">
        <v>0.0</v>
      </c>
    </row>
    <row r="26869">
      <c r="Y26869" s="372">
        <v>0.0</v>
      </c>
      <c r="Z26869" s="372">
        <v>0.0</v>
      </c>
    </row>
    <row r="26870">
      <c r="Y26870" s="372">
        <v>0.0</v>
      </c>
      <c r="Z26870" s="372">
        <v>0.0</v>
      </c>
    </row>
    <row r="26871">
      <c r="Y26871" s="372">
        <v>0.0</v>
      </c>
      <c r="Z26871" s="372">
        <v>0.0</v>
      </c>
    </row>
    <row r="26872">
      <c r="Y26872" s="372">
        <v>0.0</v>
      </c>
      <c r="Z26872" s="372">
        <v>0.0</v>
      </c>
    </row>
    <row r="26873">
      <c r="Y26873" s="372">
        <v>0.0</v>
      </c>
      <c r="Z26873" s="372">
        <v>0.0</v>
      </c>
    </row>
    <row r="26874">
      <c r="Y26874" s="372">
        <v>0.0</v>
      </c>
      <c r="Z26874" s="372">
        <v>0.0</v>
      </c>
    </row>
    <row r="26875">
      <c r="Y26875" s="372">
        <v>0.0</v>
      </c>
      <c r="Z26875" s="372">
        <v>0.0</v>
      </c>
    </row>
    <row r="26876">
      <c r="Y26876" s="372">
        <v>0.0</v>
      </c>
      <c r="Z26876" s="372">
        <v>0.0</v>
      </c>
    </row>
    <row r="26877">
      <c r="Y26877" s="372">
        <v>0.0</v>
      </c>
      <c r="Z26877" s="372">
        <v>0.0</v>
      </c>
    </row>
    <row r="26878">
      <c r="Y26878" s="372">
        <v>0.0</v>
      </c>
      <c r="Z26878" s="372">
        <v>0.0</v>
      </c>
    </row>
    <row r="26879">
      <c r="Y26879" s="372">
        <v>0.0</v>
      </c>
      <c r="Z26879" s="372">
        <v>0.0</v>
      </c>
    </row>
    <row r="26880">
      <c r="Y26880" s="372">
        <v>0.0</v>
      </c>
      <c r="Z26880" s="372">
        <v>0.0</v>
      </c>
    </row>
    <row r="26881">
      <c r="Y26881" s="372">
        <v>0.0</v>
      </c>
      <c r="Z26881" s="372">
        <v>0.0</v>
      </c>
    </row>
    <row r="26882">
      <c r="Y26882" s="372">
        <v>0.0</v>
      </c>
      <c r="Z26882" s="372">
        <v>0.0</v>
      </c>
    </row>
    <row r="26883">
      <c r="Y26883" s="372">
        <v>0.0</v>
      </c>
      <c r="Z26883" s="372">
        <v>0.0</v>
      </c>
    </row>
    <row r="26884">
      <c r="Y26884" s="372">
        <v>0.0</v>
      </c>
      <c r="Z26884" s="372">
        <v>0.0</v>
      </c>
    </row>
    <row r="26885">
      <c r="Y26885" s="372">
        <v>0.0</v>
      </c>
      <c r="Z26885" s="372">
        <v>0.0</v>
      </c>
    </row>
    <row r="26886">
      <c r="Y26886" s="372">
        <v>0.0</v>
      </c>
      <c r="Z26886" s="372">
        <v>0.0</v>
      </c>
    </row>
    <row r="26887">
      <c r="Y26887" s="372">
        <v>0.0</v>
      </c>
      <c r="Z26887" s="372">
        <v>0.0</v>
      </c>
    </row>
    <row r="26888">
      <c r="Y26888" s="372">
        <v>0.0</v>
      </c>
      <c r="Z26888" s="372">
        <v>0.0</v>
      </c>
    </row>
    <row r="26889">
      <c r="Y26889" s="372">
        <v>0.0</v>
      </c>
      <c r="Z26889" s="372">
        <v>0.0</v>
      </c>
    </row>
    <row r="26890">
      <c r="Y26890" s="372">
        <v>0.0</v>
      </c>
      <c r="Z26890" s="372">
        <v>0.0</v>
      </c>
    </row>
    <row r="26891">
      <c r="Y26891" s="372">
        <v>0.0</v>
      </c>
      <c r="Z26891" s="372">
        <v>0.0</v>
      </c>
    </row>
    <row r="26892">
      <c r="Y26892" s="372">
        <v>0.0</v>
      </c>
      <c r="Z26892" s="372">
        <v>0.0</v>
      </c>
    </row>
    <row r="26893">
      <c r="Y26893" s="372">
        <v>0.0</v>
      </c>
      <c r="Z26893" s="372">
        <v>0.0</v>
      </c>
    </row>
    <row r="26894">
      <c r="Y26894" s="372">
        <v>0.0</v>
      </c>
      <c r="Z26894" s="372">
        <v>0.0</v>
      </c>
    </row>
    <row r="26895">
      <c r="Y26895" s="372">
        <v>0.0</v>
      </c>
      <c r="Z26895" s="372">
        <v>0.0</v>
      </c>
    </row>
    <row r="26896">
      <c r="Y26896" s="372">
        <v>0.0</v>
      </c>
      <c r="Z26896" s="372">
        <v>0.0</v>
      </c>
    </row>
    <row r="26897">
      <c r="Y26897" s="372">
        <v>0.0</v>
      </c>
      <c r="Z26897" s="372">
        <v>0.0</v>
      </c>
    </row>
    <row r="26898">
      <c r="Y26898" s="372">
        <v>0.0</v>
      </c>
      <c r="Z26898" s="372">
        <v>0.0</v>
      </c>
    </row>
    <row r="26899">
      <c r="Y26899" s="372">
        <v>0.0</v>
      </c>
      <c r="Z26899" s="372">
        <v>0.0</v>
      </c>
    </row>
    <row r="26900">
      <c r="Y26900" s="372">
        <v>0.0</v>
      </c>
      <c r="Z26900" s="372">
        <v>0.0</v>
      </c>
    </row>
    <row r="26901">
      <c r="Y26901" s="372">
        <v>0.0</v>
      </c>
      <c r="Z26901" s="372">
        <v>0.0</v>
      </c>
    </row>
    <row r="26902">
      <c r="Y26902" s="372">
        <v>0.0</v>
      </c>
      <c r="Z26902" s="372">
        <v>0.0</v>
      </c>
    </row>
    <row r="26903">
      <c r="Y26903" s="372">
        <v>0.0</v>
      </c>
      <c r="Z26903" s="372">
        <v>0.0</v>
      </c>
    </row>
    <row r="26904">
      <c r="Y26904" s="372">
        <v>0.0</v>
      </c>
      <c r="Z26904" s="372">
        <v>0.0</v>
      </c>
    </row>
    <row r="26905">
      <c r="Y26905" s="372">
        <v>0.0</v>
      </c>
      <c r="Z26905" s="372">
        <v>0.0</v>
      </c>
    </row>
    <row r="26906">
      <c r="Y26906" s="372">
        <v>0.0</v>
      </c>
      <c r="Z26906" s="372">
        <v>0.0</v>
      </c>
    </row>
    <row r="26907">
      <c r="Y26907" s="372">
        <v>0.0</v>
      </c>
      <c r="Z26907" s="372">
        <v>0.0</v>
      </c>
    </row>
    <row r="26908">
      <c r="Y26908" s="372">
        <v>0.0</v>
      </c>
      <c r="Z26908" s="372">
        <v>0.0</v>
      </c>
    </row>
    <row r="26909">
      <c r="Y26909" s="372">
        <v>0.0</v>
      </c>
      <c r="Z26909" s="372">
        <v>0.0</v>
      </c>
    </row>
    <row r="26910">
      <c r="Y26910" s="372">
        <v>0.0</v>
      </c>
      <c r="Z26910" s="372">
        <v>0.0</v>
      </c>
    </row>
    <row r="26911">
      <c r="Y26911" s="372">
        <v>0.0</v>
      </c>
      <c r="Z26911" s="372">
        <v>0.0</v>
      </c>
    </row>
    <row r="26912">
      <c r="Y26912" s="372">
        <v>0.0</v>
      </c>
      <c r="Z26912" s="372">
        <v>0.0</v>
      </c>
    </row>
    <row r="26913">
      <c r="Y26913" s="372">
        <v>0.0</v>
      </c>
      <c r="Z26913" s="372">
        <v>0.0</v>
      </c>
    </row>
    <row r="26914">
      <c r="Y26914" s="372">
        <v>0.0</v>
      </c>
      <c r="Z26914" s="372">
        <v>0.0</v>
      </c>
    </row>
    <row r="26915">
      <c r="Y26915" s="372">
        <v>0.0</v>
      </c>
      <c r="Z26915" s="372">
        <v>0.0</v>
      </c>
    </row>
    <row r="26916">
      <c r="Y26916" s="372">
        <v>0.0</v>
      </c>
      <c r="Z26916" s="372">
        <v>0.0</v>
      </c>
    </row>
    <row r="26917">
      <c r="Y26917" s="372">
        <v>0.0</v>
      </c>
      <c r="Z26917" s="372">
        <v>0.0</v>
      </c>
    </row>
    <row r="26918">
      <c r="Y26918" s="372">
        <v>0.0</v>
      </c>
      <c r="Z26918" s="372">
        <v>0.0</v>
      </c>
    </row>
    <row r="26919">
      <c r="Y26919" s="372">
        <v>0.0</v>
      </c>
      <c r="Z26919" s="372">
        <v>0.0</v>
      </c>
    </row>
    <row r="26920">
      <c r="Y26920" s="372">
        <v>0.0</v>
      </c>
      <c r="Z26920" s="372">
        <v>0.0</v>
      </c>
    </row>
    <row r="26921">
      <c r="Y26921" s="372">
        <v>0.0</v>
      </c>
      <c r="Z26921" s="372">
        <v>0.0</v>
      </c>
    </row>
    <row r="26922">
      <c r="Y26922" s="372">
        <v>0.0</v>
      </c>
      <c r="Z26922" s="372">
        <v>0.0</v>
      </c>
    </row>
    <row r="26923">
      <c r="Y26923" s="372">
        <v>0.0</v>
      </c>
      <c r="Z26923" s="372">
        <v>0.0</v>
      </c>
    </row>
    <row r="26924">
      <c r="Y26924" s="372">
        <v>0.0</v>
      </c>
      <c r="Z26924" s="372">
        <v>0.0</v>
      </c>
    </row>
    <row r="26925">
      <c r="Y26925" s="372">
        <v>0.0</v>
      </c>
      <c r="Z26925" s="372">
        <v>0.0</v>
      </c>
    </row>
    <row r="26926">
      <c r="Y26926" s="372">
        <v>0.0</v>
      </c>
      <c r="Z26926" s="372">
        <v>0.0</v>
      </c>
    </row>
    <row r="26927">
      <c r="Y26927" s="372">
        <v>0.0</v>
      </c>
      <c r="Z26927" s="372">
        <v>0.0</v>
      </c>
    </row>
    <row r="26928">
      <c r="Y26928" s="372">
        <v>0.0</v>
      </c>
      <c r="Z26928" s="372">
        <v>0.0</v>
      </c>
    </row>
    <row r="26929">
      <c r="Y26929" s="372">
        <v>0.0</v>
      </c>
      <c r="Z26929" s="372">
        <v>0.0</v>
      </c>
    </row>
    <row r="26930">
      <c r="Y26930" s="372">
        <v>0.0</v>
      </c>
      <c r="Z26930" s="372">
        <v>0.0</v>
      </c>
    </row>
    <row r="26931">
      <c r="Y26931" s="372">
        <v>0.0</v>
      </c>
      <c r="Z26931" s="372">
        <v>0.0</v>
      </c>
    </row>
    <row r="26932">
      <c r="Y26932" s="372">
        <v>0.0</v>
      </c>
      <c r="Z26932" s="372">
        <v>0.0</v>
      </c>
    </row>
    <row r="26933">
      <c r="Y26933" s="372">
        <v>0.0</v>
      </c>
      <c r="Z26933" s="372">
        <v>0.0</v>
      </c>
    </row>
    <row r="26934">
      <c r="Y26934" s="372">
        <v>0.0</v>
      </c>
      <c r="Z26934" s="372">
        <v>0.0</v>
      </c>
    </row>
    <row r="26935">
      <c r="Y26935" s="372">
        <v>0.0</v>
      </c>
      <c r="Z26935" s="372">
        <v>0.0</v>
      </c>
    </row>
    <row r="26936">
      <c r="Y26936" s="372">
        <v>0.0</v>
      </c>
      <c r="Z26936" s="372">
        <v>0.0</v>
      </c>
    </row>
    <row r="26937">
      <c r="Y26937" s="372">
        <v>0.0</v>
      </c>
      <c r="Z26937" s="372">
        <v>0.0</v>
      </c>
    </row>
    <row r="26938">
      <c r="Y26938" s="372">
        <v>0.0</v>
      </c>
      <c r="Z26938" s="372">
        <v>0.0</v>
      </c>
    </row>
    <row r="26939">
      <c r="Y26939" s="372">
        <v>0.0</v>
      </c>
      <c r="Z26939" s="372">
        <v>0.0</v>
      </c>
    </row>
    <row r="26940">
      <c r="Y26940" s="372">
        <v>0.0</v>
      </c>
      <c r="Z26940" s="372">
        <v>0.0</v>
      </c>
    </row>
    <row r="26941">
      <c r="Y26941" s="372">
        <v>0.0</v>
      </c>
      <c r="Z26941" s="372">
        <v>0.0</v>
      </c>
    </row>
    <row r="26942">
      <c r="Y26942" s="372">
        <v>0.0</v>
      </c>
      <c r="Z26942" s="372">
        <v>0.0</v>
      </c>
    </row>
    <row r="26943">
      <c r="Y26943" s="372">
        <v>0.0</v>
      </c>
      <c r="Z26943" s="372">
        <v>0.0</v>
      </c>
    </row>
    <row r="26944">
      <c r="Y26944" s="372">
        <v>0.0</v>
      </c>
      <c r="Z26944" s="372">
        <v>0.0</v>
      </c>
    </row>
    <row r="26945">
      <c r="Y26945" s="372">
        <v>0.0</v>
      </c>
      <c r="Z26945" s="372">
        <v>0.0</v>
      </c>
    </row>
    <row r="26946">
      <c r="Y26946" s="372">
        <v>0.0</v>
      </c>
      <c r="Z26946" s="372">
        <v>0.0</v>
      </c>
    </row>
    <row r="26947">
      <c r="Y26947" s="372">
        <v>0.0</v>
      </c>
      <c r="Z26947" s="372">
        <v>0.0</v>
      </c>
    </row>
    <row r="26948">
      <c r="Y26948" s="372">
        <v>0.0</v>
      </c>
      <c r="Z26948" s="372">
        <v>0.0</v>
      </c>
    </row>
    <row r="26949">
      <c r="Y26949" s="372">
        <v>0.0</v>
      </c>
      <c r="Z26949" s="372">
        <v>0.0</v>
      </c>
    </row>
    <row r="26950">
      <c r="Y26950" s="372">
        <v>0.0</v>
      </c>
      <c r="Z26950" s="372">
        <v>0.0</v>
      </c>
    </row>
    <row r="26951">
      <c r="Y26951" s="372">
        <v>0.0</v>
      </c>
      <c r="Z26951" s="372">
        <v>0.0</v>
      </c>
    </row>
    <row r="26952">
      <c r="Y26952" s="372">
        <v>0.0</v>
      </c>
      <c r="Z26952" s="372">
        <v>0.0</v>
      </c>
    </row>
    <row r="26953">
      <c r="Y26953" s="372">
        <v>0.0</v>
      </c>
      <c r="Z26953" s="372">
        <v>0.0</v>
      </c>
    </row>
    <row r="26954">
      <c r="Y26954" s="372">
        <v>0.0</v>
      </c>
      <c r="Z26954" s="372">
        <v>0.0</v>
      </c>
    </row>
    <row r="26955">
      <c r="Y26955" s="372">
        <v>0.0</v>
      </c>
      <c r="Z26955" s="372">
        <v>0.0</v>
      </c>
    </row>
    <row r="26956">
      <c r="Y26956" s="372">
        <v>0.0</v>
      </c>
      <c r="Z26956" s="372">
        <v>0.0</v>
      </c>
    </row>
    <row r="26957">
      <c r="Y26957" s="372">
        <v>0.0</v>
      </c>
      <c r="Z26957" s="372">
        <v>0.0</v>
      </c>
    </row>
    <row r="26958">
      <c r="Y26958" s="372">
        <v>0.0</v>
      </c>
      <c r="Z26958" s="372">
        <v>0.0</v>
      </c>
    </row>
    <row r="26959">
      <c r="Y26959" s="372">
        <v>0.0</v>
      </c>
      <c r="Z26959" s="372">
        <v>0.0</v>
      </c>
    </row>
    <row r="26960">
      <c r="Y26960" s="372">
        <v>0.0</v>
      </c>
      <c r="Z26960" s="372">
        <v>0.0</v>
      </c>
    </row>
    <row r="26961">
      <c r="Y26961" s="372">
        <v>0.0</v>
      </c>
      <c r="Z26961" s="372">
        <v>0.0</v>
      </c>
    </row>
    <row r="26962">
      <c r="Y26962" s="372">
        <v>0.0</v>
      </c>
      <c r="Z26962" s="372">
        <v>0.0</v>
      </c>
    </row>
    <row r="26963">
      <c r="Y26963" s="372">
        <v>0.0</v>
      </c>
      <c r="Z26963" s="372">
        <v>0.0</v>
      </c>
    </row>
    <row r="26964">
      <c r="Y26964" s="372">
        <v>0.0</v>
      </c>
      <c r="Z26964" s="372">
        <v>0.0</v>
      </c>
    </row>
    <row r="26965">
      <c r="Y26965" s="372">
        <v>0.0</v>
      </c>
      <c r="Z26965" s="372">
        <v>0.0</v>
      </c>
    </row>
    <row r="26966">
      <c r="Y26966" s="372">
        <v>0.0</v>
      </c>
      <c r="Z26966" s="372">
        <v>0.0</v>
      </c>
    </row>
    <row r="26967">
      <c r="Y26967" s="372">
        <v>0.0</v>
      </c>
      <c r="Z26967" s="372">
        <v>0.0</v>
      </c>
    </row>
    <row r="26968">
      <c r="Y26968" s="372">
        <v>0.0</v>
      </c>
      <c r="Z26968" s="372">
        <v>0.0</v>
      </c>
    </row>
    <row r="26969">
      <c r="Y26969" s="372">
        <v>0.0</v>
      </c>
      <c r="Z26969" s="372">
        <v>0.0</v>
      </c>
    </row>
    <row r="26970">
      <c r="Y26970" s="372">
        <v>0.0</v>
      </c>
      <c r="Z26970" s="372">
        <v>0.0</v>
      </c>
    </row>
    <row r="26971">
      <c r="Y26971" s="372">
        <v>0.0</v>
      </c>
      <c r="Z26971" s="372">
        <v>0.0</v>
      </c>
    </row>
    <row r="26972">
      <c r="Y26972" s="372">
        <v>0.0</v>
      </c>
      <c r="Z26972" s="372">
        <v>0.0</v>
      </c>
    </row>
    <row r="26973">
      <c r="Y26973" s="372">
        <v>0.0</v>
      </c>
      <c r="Z26973" s="372">
        <v>0.0</v>
      </c>
    </row>
    <row r="26974">
      <c r="Y26974" s="372">
        <v>0.0</v>
      </c>
      <c r="Z26974" s="372">
        <v>0.0</v>
      </c>
    </row>
    <row r="26975">
      <c r="Y26975" s="372">
        <v>0.0</v>
      </c>
      <c r="Z26975" s="372">
        <v>0.0</v>
      </c>
    </row>
    <row r="26976">
      <c r="Y26976" s="372">
        <v>0.0</v>
      </c>
      <c r="Z26976" s="372">
        <v>0.0</v>
      </c>
    </row>
    <row r="26977">
      <c r="Y26977" s="372">
        <v>0.0</v>
      </c>
      <c r="Z26977" s="372">
        <v>0.0</v>
      </c>
    </row>
    <row r="26978">
      <c r="Y26978" s="372">
        <v>0.0</v>
      </c>
      <c r="Z26978" s="372">
        <v>0.0</v>
      </c>
    </row>
    <row r="26979">
      <c r="Y26979" s="372">
        <v>0.0</v>
      </c>
      <c r="Z26979" s="372">
        <v>0.0</v>
      </c>
    </row>
    <row r="26980">
      <c r="Y26980" s="372">
        <v>0.0</v>
      </c>
      <c r="Z26980" s="372">
        <v>0.0</v>
      </c>
    </row>
    <row r="26981">
      <c r="Y26981" s="372">
        <v>0.0</v>
      </c>
      <c r="Z26981" s="372">
        <v>0.0</v>
      </c>
    </row>
    <row r="26982">
      <c r="Y26982" s="372">
        <v>0.0</v>
      </c>
      <c r="Z26982" s="372">
        <v>0.0</v>
      </c>
    </row>
    <row r="26983">
      <c r="Y26983" s="372">
        <v>0.0</v>
      </c>
      <c r="Z26983" s="372">
        <v>0.0</v>
      </c>
    </row>
    <row r="26984">
      <c r="Y26984" s="372">
        <v>0.0</v>
      </c>
      <c r="Z26984" s="372">
        <v>0.0</v>
      </c>
    </row>
    <row r="26985">
      <c r="Y26985" s="372">
        <v>0.0</v>
      </c>
      <c r="Z26985" s="372">
        <v>0.0</v>
      </c>
    </row>
    <row r="26986">
      <c r="Y26986" s="372">
        <v>0.0</v>
      </c>
      <c r="Z26986" s="372">
        <v>0.0</v>
      </c>
    </row>
    <row r="26987">
      <c r="Y26987" s="372">
        <v>0.0</v>
      </c>
      <c r="Z26987" s="372">
        <v>0.0</v>
      </c>
    </row>
    <row r="26988">
      <c r="Y26988" s="372">
        <v>0.0</v>
      </c>
      <c r="Z26988" s="372">
        <v>0.0</v>
      </c>
    </row>
    <row r="26989">
      <c r="Y26989" s="372">
        <v>0.0</v>
      </c>
      <c r="Z26989" s="372">
        <v>0.0</v>
      </c>
    </row>
    <row r="26990">
      <c r="Y26990" s="372">
        <v>0.0</v>
      </c>
      <c r="Z26990" s="372">
        <v>0.0</v>
      </c>
    </row>
    <row r="26991">
      <c r="Y26991" s="372">
        <v>0.0</v>
      </c>
      <c r="Z26991" s="372">
        <v>0.0</v>
      </c>
    </row>
    <row r="26992">
      <c r="Y26992" s="372">
        <v>0.0</v>
      </c>
      <c r="Z26992" s="372">
        <v>0.0</v>
      </c>
    </row>
    <row r="26993">
      <c r="Y26993" s="372">
        <v>0.0</v>
      </c>
      <c r="Z26993" s="372">
        <v>0.0</v>
      </c>
    </row>
    <row r="26994">
      <c r="Y26994" s="372">
        <v>0.0</v>
      </c>
      <c r="Z26994" s="372">
        <v>0.0</v>
      </c>
    </row>
    <row r="26995">
      <c r="Y26995" s="372">
        <v>0.0</v>
      </c>
      <c r="Z26995" s="372">
        <v>0.0</v>
      </c>
    </row>
    <row r="26996">
      <c r="Y26996" s="372">
        <v>0.0</v>
      </c>
      <c r="Z26996" s="372">
        <v>0.0</v>
      </c>
    </row>
    <row r="26997">
      <c r="Y26997" s="372">
        <v>0.0</v>
      </c>
      <c r="Z26997" s="372">
        <v>0.0</v>
      </c>
    </row>
    <row r="26998">
      <c r="Y26998" s="372">
        <v>0.0</v>
      </c>
      <c r="Z26998" s="372">
        <v>0.0</v>
      </c>
    </row>
    <row r="26999">
      <c r="Y26999" s="372">
        <v>0.0</v>
      </c>
      <c r="Z26999" s="372">
        <v>0.0</v>
      </c>
    </row>
    <row r="27000">
      <c r="Y27000" s="372">
        <v>0.0</v>
      </c>
      <c r="Z27000" s="372">
        <v>0.0</v>
      </c>
    </row>
    <row r="27001">
      <c r="Y27001" s="372">
        <v>0.0</v>
      </c>
      <c r="Z27001" s="372">
        <v>0.0</v>
      </c>
    </row>
    <row r="27002">
      <c r="Y27002" s="372">
        <v>0.0</v>
      </c>
      <c r="Z27002" s="372">
        <v>0.0</v>
      </c>
    </row>
    <row r="27003">
      <c r="Y27003" s="372">
        <v>0.0</v>
      </c>
      <c r="Z27003" s="372">
        <v>0.0</v>
      </c>
    </row>
    <row r="27004">
      <c r="Y27004" s="372">
        <v>0.0</v>
      </c>
      <c r="Z27004" s="372">
        <v>0.0</v>
      </c>
    </row>
    <row r="27005">
      <c r="Y27005" s="372">
        <v>0.0</v>
      </c>
      <c r="Z27005" s="372">
        <v>0.0</v>
      </c>
    </row>
    <row r="27006">
      <c r="Y27006" s="372">
        <v>0.0</v>
      </c>
      <c r="Z27006" s="372">
        <v>0.0</v>
      </c>
    </row>
    <row r="27007">
      <c r="Y27007" s="372">
        <v>0.0</v>
      </c>
      <c r="Z27007" s="372">
        <v>0.0</v>
      </c>
    </row>
    <row r="27008">
      <c r="Y27008" s="372">
        <v>0.0</v>
      </c>
      <c r="Z27008" s="372">
        <v>0.0</v>
      </c>
    </row>
    <row r="27009">
      <c r="Y27009" s="372">
        <v>0.0</v>
      </c>
      <c r="Z27009" s="372">
        <v>0.0</v>
      </c>
    </row>
    <row r="27010">
      <c r="Y27010" s="372">
        <v>0.0</v>
      </c>
      <c r="Z27010" s="372">
        <v>0.0</v>
      </c>
    </row>
    <row r="27011">
      <c r="Y27011" s="372">
        <v>0.0</v>
      </c>
      <c r="Z27011" s="372">
        <v>0.0</v>
      </c>
    </row>
    <row r="27012">
      <c r="Y27012" s="372">
        <v>0.0</v>
      </c>
      <c r="Z27012" s="372">
        <v>0.0</v>
      </c>
    </row>
    <row r="27013">
      <c r="Y27013" s="372">
        <v>0.0</v>
      </c>
      <c r="Z27013" s="372">
        <v>0.0</v>
      </c>
    </row>
    <row r="27014">
      <c r="Y27014" s="372">
        <v>0.0</v>
      </c>
      <c r="Z27014" s="372">
        <v>0.0</v>
      </c>
    </row>
    <row r="27015">
      <c r="Y27015" s="372">
        <v>0.0</v>
      </c>
      <c r="Z27015" s="372">
        <v>0.0</v>
      </c>
    </row>
    <row r="27016">
      <c r="Y27016" s="372">
        <v>0.0</v>
      </c>
      <c r="Z27016" s="372">
        <v>0.0</v>
      </c>
    </row>
    <row r="27017">
      <c r="Y27017" s="372">
        <v>0.0</v>
      </c>
      <c r="Z27017" s="372">
        <v>0.0</v>
      </c>
    </row>
    <row r="27018">
      <c r="Y27018" s="372">
        <v>0.0</v>
      </c>
      <c r="Z27018" s="372">
        <v>0.0</v>
      </c>
    </row>
    <row r="27019">
      <c r="Y27019" s="372">
        <v>0.0</v>
      </c>
      <c r="Z27019" s="372">
        <v>0.0</v>
      </c>
    </row>
    <row r="27020">
      <c r="Y27020" s="372">
        <v>0.0</v>
      </c>
      <c r="Z27020" s="372">
        <v>0.0</v>
      </c>
    </row>
    <row r="27021">
      <c r="Y27021" s="372">
        <v>0.0</v>
      </c>
      <c r="Z27021" s="372">
        <v>0.0</v>
      </c>
    </row>
    <row r="27022">
      <c r="Y27022" s="372">
        <v>0.0</v>
      </c>
      <c r="Z27022" s="372">
        <v>0.0</v>
      </c>
    </row>
    <row r="27023">
      <c r="Y27023" s="372">
        <v>0.0</v>
      </c>
      <c r="Z27023" s="372">
        <v>0.0</v>
      </c>
    </row>
    <row r="27024">
      <c r="Y27024" s="372">
        <v>0.0</v>
      </c>
      <c r="Z27024" s="372">
        <v>0.0</v>
      </c>
    </row>
    <row r="27025">
      <c r="Y27025" s="372">
        <v>0.0</v>
      </c>
      <c r="Z27025" s="372">
        <v>0.0</v>
      </c>
    </row>
    <row r="27026">
      <c r="Y27026" s="372">
        <v>0.0</v>
      </c>
      <c r="Z27026" s="372">
        <v>0.0</v>
      </c>
    </row>
    <row r="27027">
      <c r="Y27027" s="372">
        <v>0.0</v>
      </c>
      <c r="Z27027" s="372">
        <v>0.0</v>
      </c>
    </row>
    <row r="27028">
      <c r="Y27028" s="372">
        <v>0.0</v>
      </c>
      <c r="Z27028" s="372">
        <v>0.0</v>
      </c>
    </row>
    <row r="27029">
      <c r="Y27029" s="372">
        <v>0.0</v>
      </c>
      <c r="Z27029" s="372">
        <v>0.0</v>
      </c>
    </row>
    <row r="27030">
      <c r="Y27030" s="372">
        <v>0.0</v>
      </c>
      <c r="Z27030" s="372">
        <v>0.0</v>
      </c>
    </row>
    <row r="27031">
      <c r="Y27031" s="372">
        <v>0.0</v>
      </c>
      <c r="Z27031" s="372">
        <v>0.0</v>
      </c>
    </row>
    <row r="27032">
      <c r="Y27032" s="372">
        <v>0.0</v>
      </c>
      <c r="Z27032" s="372">
        <v>0.0</v>
      </c>
    </row>
    <row r="27033">
      <c r="Y27033" s="372">
        <v>0.0</v>
      </c>
      <c r="Z27033" s="372">
        <v>0.0</v>
      </c>
    </row>
    <row r="27034">
      <c r="Y27034" s="372">
        <v>0.0</v>
      </c>
      <c r="Z27034" s="372">
        <v>0.0</v>
      </c>
    </row>
    <row r="27035">
      <c r="Y27035" s="372">
        <v>0.0</v>
      </c>
      <c r="Z27035" s="372">
        <v>0.0</v>
      </c>
    </row>
    <row r="27036">
      <c r="Y27036" s="372">
        <v>0.0</v>
      </c>
      <c r="Z27036" s="372">
        <v>0.0</v>
      </c>
    </row>
    <row r="27037">
      <c r="Y27037" s="372">
        <v>0.0</v>
      </c>
      <c r="Z27037" s="372">
        <v>0.0</v>
      </c>
    </row>
    <row r="27038">
      <c r="Y27038" s="372">
        <v>0.0</v>
      </c>
      <c r="Z27038" s="372">
        <v>0.0</v>
      </c>
    </row>
    <row r="27039">
      <c r="Y27039" s="372">
        <v>0.0</v>
      </c>
      <c r="Z27039" s="372">
        <v>0.0</v>
      </c>
    </row>
    <row r="27040">
      <c r="Y27040" s="372">
        <v>0.0</v>
      </c>
      <c r="Z27040" s="372">
        <v>0.0</v>
      </c>
    </row>
    <row r="27041">
      <c r="Y27041" s="372">
        <v>0.0</v>
      </c>
      <c r="Z27041" s="372">
        <v>0.0</v>
      </c>
    </row>
    <row r="27042">
      <c r="Y27042" s="372">
        <v>0.0</v>
      </c>
      <c r="Z27042" s="372">
        <v>0.0</v>
      </c>
    </row>
    <row r="27043">
      <c r="Y27043" s="372">
        <v>0.0</v>
      </c>
      <c r="Z27043" s="372">
        <v>0.0</v>
      </c>
    </row>
    <row r="27044">
      <c r="Y27044" s="372">
        <v>0.0</v>
      </c>
      <c r="Z27044" s="372">
        <v>0.0</v>
      </c>
    </row>
    <row r="27045">
      <c r="Y27045" s="372">
        <v>0.0</v>
      </c>
      <c r="Z27045" s="372">
        <v>0.0</v>
      </c>
    </row>
    <row r="27046">
      <c r="Y27046" s="372">
        <v>0.0</v>
      </c>
      <c r="Z27046" s="372">
        <v>0.0</v>
      </c>
    </row>
    <row r="27047">
      <c r="Y27047" s="372">
        <v>0.0</v>
      </c>
      <c r="Z27047" s="372">
        <v>0.0</v>
      </c>
    </row>
    <row r="27048">
      <c r="Y27048" s="372">
        <v>0.0</v>
      </c>
      <c r="Z27048" s="372">
        <v>0.0</v>
      </c>
    </row>
    <row r="27049">
      <c r="Y27049" s="372">
        <v>0.0</v>
      </c>
      <c r="Z27049" s="372">
        <v>0.0</v>
      </c>
    </row>
    <row r="27050">
      <c r="Y27050" s="372">
        <v>0.0</v>
      </c>
      <c r="Z27050" s="372">
        <v>0.0</v>
      </c>
    </row>
    <row r="27051">
      <c r="Y27051" s="372">
        <v>0.0</v>
      </c>
      <c r="Z27051" s="372">
        <v>0.0</v>
      </c>
    </row>
    <row r="27052">
      <c r="Y27052" s="372">
        <v>0.0</v>
      </c>
      <c r="Z27052" s="372">
        <v>0.0</v>
      </c>
    </row>
    <row r="27053">
      <c r="Y27053" s="372">
        <v>0.0</v>
      </c>
      <c r="Z27053" s="372">
        <v>0.0</v>
      </c>
    </row>
    <row r="27054">
      <c r="Y27054" s="372">
        <v>0.0</v>
      </c>
      <c r="Z27054" s="372">
        <v>0.0</v>
      </c>
    </row>
    <row r="27055">
      <c r="Y27055" s="372">
        <v>0.0</v>
      </c>
      <c r="Z27055" s="372">
        <v>0.0</v>
      </c>
    </row>
    <row r="27056">
      <c r="Y27056" s="372">
        <v>0.0</v>
      </c>
      <c r="Z27056" s="372">
        <v>0.0</v>
      </c>
    </row>
    <row r="27057">
      <c r="Y27057" s="372">
        <v>0.0</v>
      </c>
      <c r="Z27057" s="372">
        <v>0.0</v>
      </c>
    </row>
    <row r="27058">
      <c r="Y27058" s="372">
        <v>0.0</v>
      </c>
      <c r="Z27058" s="372">
        <v>0.0</v>
      </c>
    </row>
    <row r="27059">
      <c r="Y27059" s="372">
        <v>0.0</v>
      </c>
      <c r="Z27059" s="372">
        <v>0.0</v>
      </c>
    </row>
    <row r="27060">
      <c r="Y27060" s="372">
        <v>0.0</v>
      </c>
      <c r="Z27060" s="372">
        <v>0.0</v>
      </c>
    </row>
    <row r="27061">
      <c r="Y27061" s="372">
        <v>0.0</v>
      </c>
      <c r="Z27061" s="372">
        <v>0.0</v>
      </c>
    </row>
    <row r="27062">
      <c r="Y27062" s="372">
        <v>0.0</v>
      </c>
      <c r="Z27062" s="372">
        <v>0.0</v>
      </c>
    </row>
    <row r="27063">
      <c r="Y27063" s="372">
        <v>0.0</v>
      </c>
      <c r="Z27063" s="372">
        <v>0.0</v>
      </c>
    </row>
    <row r="27064">
      <c r="Y27064" s="372">
        <v>0.0</v>
      </c>
      <c r="Z27064" s="372">
        <v>0.0</v>
      </c>
    </row>
    <row r="27065">
      <c r="Y27065" s="372">
        <v>0.0</v>
      </c>
      <c r="Z27065" s="372">
        <v>0.0</v>
      </c>
    </row>
    <row r="27066">
      <c r="Y27066" s="372">
        <v>0.0</v>
      </c>
      <c r="Z27066" s="372">
        <v>0.0</v>
      </c>
    </row>
    <row r="27067">
      <c r="Y27067" s="372">
        <v>0.0</v>
      </c>
      <c r="Z27067" s="372">
        <v>0.0</v>
      </c>
    </row>
    <row r="27068">
      <c r="Y27068" s="372">
        <v>0.0</v>
      </c>
      <c r="Z27068" s="372">
        <v>0.0</v>
      </c>
    </row>
    <row r="27069">
      <c r="Y27069" s="372">
        <v>0.0</v>
      </c>
      <c r="Z27069" s="372">
        <v>0.0</v>
      </c>
    </row>
    <row r="27070">
      <c r="Y27070" s="372">
        <v>0.0</v>
      </c>
      <c r="Z27070" s="372">
        <v>0.0</v>
      </c>
    </row>
    <row r="27071">
      <c r="Y27071" s="372">
        <v>0.0</v>
      </c>
      <c r="Z27071" s="372">
        <v>0.0</v>
      </c>
    </row>
    <row r="27072">
      <c r="Y27072" s="372">
        <v>0.0</v>
      </c>
      <c r="Z27072" s="372">
        <v>0.0</v>
      </c>
    </row>
    <row r="27073">
      <c r="Y27073" s="372">
        <v>0.0</v>
      </c>
      <c r="Z27073" s="372">
        <v>0.0</v>
      </c>
    </row>
    <row r="27074">
      <c r="Y27074" s="372">
        <v>0.0</v>
      </c>
      <c r="Z27074" s="372">
        <v>0.0</v>
      </c>
    </row>
    <row r="27075">
      <c r="Y27075" s="372">
        <v>0.0</v>
      </c>
      <c r="Z27075" s="372">
        <v>0.0</v>
      </c>
    </row>
    <row r="27076">
      <c r="Y27076" s="372">
        <v>0.0</v>
      </c>
      <c r="Z27076" s="372">
        <v>0.0</v>
      </c>
    </row>
    <row r="27077">
      <c r="Y27077" s="372">
        <v>0.0</v>
      </c>
      <c r="Z27077" s="372">
        <v>0.0</v>
      </c>
    </row>
    <row r="27078">
      <c r="Y27078" s="372">
        <v>0.0</v>
      </c>
      <c r="Z27078" s="372">
        <v>0.0</v>
      </c>
    </row>
    <row r="27079">
      <c r="Y27079" s="372">
        <v>0.0</v>
      </c>
      <c r="Z27079" s="372">
        <v>0.0</v>
      </c>
    </row>
    <row r="27080">
      <c r="Y27080" s="372">
        <v>0.0</v>
      </c>
      <c r="Z27080" s="372">
        <v>0.0</v>
      </c>
    </row>
    <row r="27081">
      <c r="Y27081" s="372">
        <v>0.0</v>
      </c>
      <c r="Z27081" s="372">
        <v>0.0</v>
      </c>
    </row>
    <row r="27082">
      <c r="Y27082" s="372">
        <v>0.0</v>
      </c>
      <c r="Z27082" s="372">
        <v>0.0</v>
      </c>
    </row>
    <row r="27083">
      <c r="Y27083" s="372">
        <v>0.0</v>
      </c>
      <c r="Z27083" s="372">
        <v>0.0</v>
      </c>
    </row>
    <row r="27084">
      <c r="Y27084" s="372">
        <v>0.0</v>
      </c>
      <c r="Z27084" s="372">
        <v>0.0</v>
      </c>
    </row>
    <row r="27085">
      <c r="Y27085" s="372">
        <v>0.0</v>
      </c>
      <c r="Z27085" s="372">
        <v>0.0</v>
      </c>
    </row>
    <row r="27086">
      <c r="Y27086" s="372">
        <v>0.0</v>
      </c>
      <c r="Z27086" s="372">
        <v>0.0</v>
      </c>
    </row>
    <row r="27087">
      <c r="Y27087" s="372">
        <v>0.0</v>
      </c>
      <c r="Z27087" s="372">
        <v>0.0</v>
      </c>
    </row>
    <row r="27088">
      <c r="Y27088" s="372">
        <v>0.0</v>
      </c>
      <c r="Z27088" s="372">
        <v>0.0</v>
      </c>
    </row>
    <row r="27089">
      <c r="Y27089" s="372">
        <v>0.0</v>
      </c>
      <c r="Z27089" s="372">
        <v>0.0</v>
      </c>
    </row>
    <row r="27090">
      <c r="Y27090" s="372">
        <v>0.0</v>
      </c>
      <c r="Z27090" s="372">
        <v>0.0</v>
      </c>
    </row>
    <row r="27091">
      <c r="Y27091" s="372">
        <v>0.0</v>
      </c>
      <c r="Z27091" s="372">
        <v>0.0</v>
      </c>
    </row>
    <row r="27092">
      <c r="Y27092" s="372">
        <v>0.0</v>
      </c>
      <c r="Z27092" s="372">
        <v>0.0</v>
      </c>
    </row>
    <row r="27093">
      <c r="Y27093" s="372">
        <v>0.0</v>
      </c>
      <c r="Z27093" s="372">
        <v>0.0</v>
      </c>
    </row>
    <row r="27094">
      <c r="Y27094" s="372">
        <v>0.0</v>
      </c>
      <c r="Z27094" s="372">
        <v>0.0</v>
      </c>
    </row>
    <row r="27095">
      <c r="Y27095" s="372">
        <v>0.0</v>
      </c>
      <c r="Z27095" s="372">
        <v>0.0</v>
      </c>
    </row>
    <row r="27096">
      <c r="Y27096" s="372">
        <v>0.0</v>
      </c>
      <c r="Z27096" s="372">
        <v>0.0</v>
      </c>
    </row>
    <row r="27097">
      <c r="Y27097" s="372">
        <v>0.0</v>
      </c>
      <c r="Z27097" s="372">
        <v>0.0</v>
      </c>
    </row>
    <row r="27098">
      <c r="Y27098" s="372">
        <v>0.0</v>
      </c>
      <c r="Z27098" s="372">
        <v>0.0</v>
      </c>
    </row>
    <row r="27099">
      <c r="Y27099" s="372">
        <v>0.0</v>
      </c>
      <c r="Z27099" s="372">
        <v>0.0</v>
      </c>
    </row>
    <row r="27100">
      <c r="Y27100" s="372">
        <v>0.0</v>
      </c>
      <c r="Z27100" s="372">
        <v>0.0</v>
      </c>
    </row>
    <row r="27101">
      <c r="Y27101" s="372">
        <v>0.0</v>
      </c>
      <c r="Z27101" s="372">
        <v>0.0</v>
      </c>
    </row>
    <row r="27102">
      <c r="Y27102" s="372">
        <v>0.0</v>
      </c>
      <c r="Z27102" s="372">
        <v>0.0</v>
      </c>
    </row>
    <row r="27103">
      <c r="Y27103" s="372">
        <v>0.0</v>
      </c>
      <c r="Z27103" s="372">
        <v>0.0</v>
      </c>
    </row>
    <row r="27104">
      <c r="Y27104" s="372">
        <v>0.0</v>
      </c>
      <c r="Z27104" s="372">
        <v>0.0</v>
      </c>
    </row>
    <row r="27105">
      <c r="Y27105" s="372">
        <v>0.0</v>
      </c>
      <c r="Z27105" s="372">
        <v>0.0</v>
      </c>
    </row>
    <row r="27106">
      <c r="Y27106" s="372">
        <v>0.0</v>
      </c>
      <c r="Z27106" s="372">
        <v>0.0</v>
      </c>
    </row>
    <row r="27107">
      <c r="Y27107" s="372">
        <v>0.0</v>
      </c>
      <c r="Z27107" s="372">
        <v>0.0</v>
      </c>
    </row>
    <row r="27108">
      <c r="Y27108" s="372">
        <v>0.0</v>
      </c>
      <c r="Z27108" s="372">
        <v>0.0</v>
      </c>
    </row>
    <row r="27109">
      <c r="Y27109" s="372">
        <v>0.0</v>
      </c>
      <c r="Z27109" s="372">
        <v>0.0</v>
      </c>
    </row>
    <row r="27110">
      <c r="Y27110" s="372">
        <v>0.0</v>
      </c>
      <c r="Z27110" s="372">
        <v>0.0</v>
      </c>
    </row>
    <row r="27111">
      <c r="Y27111" s="372">
        <v>0.0</v>
      </c>
      <c r="Z27111" s="372">
        <v>0.0</v>
      </c>
    </row>
    <row r="27112">
      <c r="Y27112" s="372">
        <v>0.0</v>
      </c>
      <c r="Z27112" s="372">
        <v>0.0</v>
      </c>
    </row>
    <row r="27113">
      <c r="Y27113" s="372">
        <v>0.0</v>
      </c>
      <c r="Z27113" s="372">
        <v>0.0</v>
      </c>
    </row>
    <row r="27114">
      <c r="Y27114" s="372">
        <v>0.0</v>
      </c>
      <c r="Z27114" s="372">
        <v>0.0</v>
      </c>
    </row>
    <row r="27115">
      <c r="Y27115" s="372">
        <v>0.0</v>
      </c>
      <c r="Z27115" s="372">
        <v>0.0</v>
      </c>
    </row>
    <row r="27116">
      <c r="Y27116" s="372">
        <v>0.0</v>
      </c>
      <c r="Z27116" s="372">
        <v>0.0</v>
      </c>
    </row>
    <row r="27117">
      <c r="Y27117" s="372">
        <v>0.0</v>
      </c>
      <c r="Z27117" s="372">
        <v>0.0</v>
      </c>
    </row>
    <row r="27118">
      <c r="Y27118" s="372">
        <v>0.0</v>
      </c>
      <c r="Z27118" s="372">
        <v>0.0</v>
      </c>
    </row>
    <row r="27119">
      <c r="Y27119" s="372">
        <v>0.0</v>
      </c>
      <c r="Z27119" s="372">
        <v>0.0</v>
      </c>
    </row>
    <row r="27120">
      <c r="Y27120" s="372">
        <v>0.0</v>
      </c>
      <c r="Z27120" s="372">
        <v>0.0</v>
      </c>
    </row>
    <row r="27121">
      <c r="Y27121" s="372">
        <v>0.0</v>
      </c>
      <c r="Z27121" s="372">
        <v>0.0</v>
      </c>
    </row>
    <row r="27122">
      <c r="Y27122" s="372">
        <v>0.0</v>
      </c>
      <c r="Z27122" s="372">
        <v>0.0</v>
      </c>
    </row>
    <row r="27123">
      <c r="Y27123" s="372">
        <v>0.0</v>
      </c>
      <c r="Z27123" s="372">
        <v>0.0</v>
      </c>
    </row>
    <row r="27124">
      <c r="Y27124" s="372">
        <v>0.0</v>
      </c>
      <c r="Z27124" s="372">
        <v>0.0</v>
      </c>
    </row>
    <row r="27125">
      <c r="Y27125" s="372">
        <v>0.0</v>
      </c>
      <c r="Z27125" s="372">
        <v>0.0</v>
      </c>
    </row>
    <row r="27126">
      <c r="Y27126" s="372">
        <v>0.0</v>
      </c>
      <c r="Z27126" s="372">
        <v>0.0</v>
      </c>
    </row>
    <row r="27127">
      <c r="Y27127" s="372">
        <v>0.0</v>
      </c>
      <c r="Z27127" s="372">
        <v>0.0</v>
      </c>
    </row>
    <row r="27128">
      <c r="Y27128" s="372">
        <v>0.0</v>
      </c>
      <c r="Z27128" s="372">
        <v>0.0</v>
      </c>
    </row>
    <row r="27129">
      <c r="Y27129" s="372">
        <v>0.0</v>
      </c>
      <c r="Z27129" s="372">
        <v>0.0</v>
      </c>
    </row>
    <row r="27130">
      <c r="Y27130" s="372">
        <v>0.0</v>
      </c>
      <c r="Z27130" s="372">
        <v>0.0</v>
      </c>
    </row>
    <row r="27131">
      <c r="Y27131" s="372">
        <v>0.0</v>
      </c>
      <c r="Z27131" s="372">
        <v>0.0</v>
      </c>
    </row>
    <row r="27132">
      <c r="Y27132" s="372">
        <v>0.0</v>
      </c>
      <c r="Z27132" s="372">
        <v>0.0</v>
      </c>
    </row>
    <row r="27133">
      <c r="Y27133" s="372">
        <v>0.0</v>
      </c>
      <c r="Z27133" s="372">
        <v>0.0</v>
      </c>
    </row>
    <row r="27134">
      <c r="Y27134" s="372">
        <v>0.0</v>
      </c>
      <c r="Z27134" s="372">
        <v>0.0</v>
      </c>
    </row>
    <row r="27135">
      <c r="Y27135" s="372">
        <v>0.0</v>
      </c>
      <c r="Z27135" s="372">
        <v>0.0</v>
      </c>
    </row>
    <row r="27136">
      <c r="Y27136" s="372">
        <v>0.0</v>
      </c>
      <c r="Z27136" s="372">
        <v>0.0</v>
      </c>
    </row>
    <row r="27137">
      <c r="Y27137" s="372">
        <v>0.0</v>
      </c>
      <c r="Z27137" s="372">
        <v>0.0</v>
      </c>
    </row>
    <row r="27138">
      <c r="Y27138" s="372">
        <v>0.0</v>
      </c>
      <c r="Z27138" s="372">
        <v>0.0</v>
      </c>
    </row>
    <row r="27139">
      <c r="Y27139" s="372">
        <v>0.0</v>
      </c>
      <c r="Z27139" s="372">
        <v>0.0</v>
      </c>
    </row>
    <row r="27140">
      <c r="Y27140" s="372">
        <v>0.0</v>
      </c>
      <c r="Z27140" s="372">
        <v>0.0</v>
      </c>
    </row>
    <row r="27141">
      <c r="Y27141" s="372">
        <v>0.0</v>
      </c>
      <c r="Z27141" s="372">
        <v>0.0</v>
      </c>
    </row>
    <row r="27142">
      <c r="Y27142" s="372">
        <v>0.0</v>
      </c>
      <c r="Z27142" s="372">
        <v>0.0</v>
      </c>
    </row>
    <row r="27143">
      <c r="Y27143" s="372">
        <v>0.0</v>
      </c>
      <c r="Z27143" s="372">
        <v>0.0</v>
      </c>
    </row>
    <row r="27144">
      <c r="Y27144" s="372">
        <v>0.0</v>
      </c>
      <c r="Z27144" s="372">
        <v>0.0</v>
      </c>
    </row>
    <row r="27145">
      <c r="Y27145" s="372">
        <v>0.0</v>
      </c>
      <c r="Z27145" s="372">
        <v>0.0</v>
      </c>
    </row>
    <row r="27146">
      <c r="Y27146" s="372">
        <v>0.0</v>
      </c>
      <c r="Z27146" s="372">
        <v>0.0</v>
      </c>
    </row>
    <row r="27147">
      <c r="Y27147" s="372">
        <v>0.0</v>
      </c>
      <c r="Z27147" s="372">
        <v>0.0</v>
      </c>
    </row>
    <row r="27148">
      <c r="Y27148" s="372">
        <v>0.0</v>
      </c>
      <c r="Z27148" s="372">
        <v>0.0</v>
      </c>
    </row>
    <row r="27149">
      <c r="Y27149" s="372">
        <v>0.0</v>
      </c>
      <c r="Z27149" s="372">
        <v>0.0</v>
      </c>
    </row>
    <row r="27150">
      <c r="Y27150" s="372">
        <v>0.0</v>
      </c>
      <c r="Z27150" s="372">
        <v>0.0</v>
      </c>
    </row>
    <row r="27151">
      <c r="Y27151" s="372">
        <v>0.0</v>
      </c>
      <c r="Z27151" s="372">
        <v>0.0</v>
      </c>
    </row>
    <row r="27152">
      <c r="Y27152" s="372">
        <v>0.0</v>
      </c>
      <c r="Z27152" s="372">
        <v>0.0</v>
      </c>
    </row>
    <row r="27153">
      <c r="Y27153" s="372">
        <v>0.0</v>
      </c>
      <c r="Z27153" s="372">
        <v>0.0</v>
      </c>
    </row>
    <row r="27154">
      <c r="Y27154" s="372">
        <v>0.0</v>
      </c>
      <c r="Z27154" s="372">
        <v>0.0</v>
      </c>
    </row>
    <row r="27155">
      <c r="Y27155" s="372">
        <v>0.0</v>
      </c>
      <c r="Z27155" s="372">
        <v>0.0</v>
      </c>
    </row>
    <row r="27156">
      <c r="Y27156" s="372">
        <v>0.0</v>
      </c>
      <c r="Z27156" s="372">
        <v>0.0</v>
      </c>
    </row>
    <row r="27157">
      <c r="Y27157" s="372">
        <v>0.0</v>
      </c>
      <c r="Z27157" s="372">
        <v>0.0</v>
      </c>
    </row>
    <row r="27158">
      <c r="Y27158" s="372">
        <v>0.0</v>
      </c>
      <c r="Z27158" s="372">
        <v>0.0</v>
      </c>
    </row>
    <row r="27159">
      <c r="Y27159" s="372">
        <v>0.0</v>
      </c>
      <c r="Z27159" s="372">
        <v>0.0</v>
      </c>
    </row>
    <row r="27160">
      <c r="Y27160" s="372">
        <v>0.0</v>
      </c>
      <c r="Z27160" s="372">
        <v>0.0</v>
      </c>
    </row>
    <row r="27161">
      <c r="Y27161" s="372">
        <v>0.0</v>
      </c>
      <c r="Z27161" s="372">
        <v>0.0</v>
      </c>
    </row>
    <row r="27162">
      <c r="Y27162" s="372">
        <v>0.0</v>
      </c>
      <c r="Z27162" s="372">
        <v>0.0</v>
      </c>
    </row>
    <row r="27163">
      <c r="Y27163" s="372">
        <v>0.0</v>
      </c>
      <c r="Z27163" s="372">
        <v>0.0</v>
      </c>
    </row>
    <row r="27164">
      <c r="Y27164" s="372">
        <v>0.0</v>
      </c>
      <c r="Z27164" s="372">
        <v>0.0</v>
      </c>
    </row>
    <row r="27165">
      <c r="Y27165" s="372">
        <v>0.0</v>
      </c>
      <c r="Z27165" s="372">
        <v>0.0</v>
      </c>
    </row>
    <row r="27166">
      <c r="Y27166" s="372">
        <v>0.0</v>
      </c>
      <c r="Z27166" s="372">
        <v>0.0</v>
      </c>
    </row>
    <row r="27167">
      <c r="Y27167" s="372">
        <v>0.0</v>
      </c>
      <c r="Z27167" s="372">
        <v>0.0</v>
      </c>
    </row>
    <row r="27168">
      <c r="Y27168" s="372">
        <v>0.0</v>
      </c>
      <c r="Z27168" s="372">
        <v>0.0</v>
      </c>
    </row>
    <row r="27169">
      <c r="Y27169" s="372">
        <v>0.0</v>
      </c>
      <c r="Z27169" s="372">
        <v>0.0</v>
      </c>
    </row>
    <row r="27170">
      <c r="Y27170" s="372">
        <v>0.0</v>
      </c>
      <c r="Z27170" s="372">
        <v>0.0</v>
      </c>
    </row>
    <row r="27171">
      <c r="Y27171" s="372">
        <v>0.0</v>
      </c>
      <c r="Z27171" s="372">
        <v>0.0</v>
      </c>
    </row>
    <row r="27172">
      <c r="Y27172" s="372">
        <v>0.0</v>
      </c>
      <c r="Z27172" s="372">
        <v>0.0</v>
      </c>
    </row>
    <row r="27173">
      <c r="Y27173" s="372">
        <v>0.0</v>
      </c>
      <c r="Z27173" s="372">
        <v>0.0</v>
      </c>
    </row>
    <row r="27174">
      <c r="Y27174" s="372">
        <v>0.0</v>
      </c>
      <c r="Z27174" s="372">
        <v>0.0</v>
      </c>
    </row>
    <row r="27175">
      <c r="Y27175" s="372">
        <v>0.0</v>
      </c>
      <c r="Z27175" s="372">
        <v>0.0</v>
      </c>
    </row>
    <row r="27176">
      <c r="Y27176" s="372">
        <v>0.0</v>
      </c>
      <c r="Z27176" s="372">
        <v>0.0</v>
      </c>
    </row>
    <row r="27177">
      <c r="Y27177" s="372">
        <v>0.0</v>
      </c>
      <c r="Z27177" s="372">
        <v>0.0</v>
      </c>
    </row>
    <row r="27178">
      <c r="Y27178" s="372">
        <v>0.0</v>
      </c>
      <c r="Z27178" s="372">
        <v>0.0</v>
      </c>
    </row>
    <row r="27179">
      <c r="Y27179" s="372">
        <v>0.0</v>
      </c>
      <c r="Z27179" s="372">
        <v>0.0</v>
      </c>
    </row>
    <row r="27180">
      <c r="Y27180" s="372">
        <v>0.0</v>
      </c>
      <c r="Z27180" s="372">
        <v>0.0</v>
      </c>
    </row>
    <row r="27181">
      <c r="Y27181" s="372">
        <v>0.0</v>
      </c>
      <c r="Z27181" s="372">
        <v>0.0</v>
      </c>
    </row>
    <row r="27182">
      <c r="Y27182" s="372">
        <v>0.0</v>
      </c>
      <c r="Z27182" s="372">
        <v>0.0</v>
      </c>
    </row>
    <row r="27183">
      <c r="Y27183" s="372">
        <v>0.0</v>
      </c>
      <c r="Z27183" s="372">
        <v>0.0</v>
      </c>
    </row>
    <row r="27184">
      <c r="Y27184" s="372">
        <v>0.0</v>
      </c>
      <c r="Z27184" s="372">
        <v>0.0</v>
      </c>
    </row>
    <row r="27185">
      <c r="Y27185" s="372">
        <v>0.0</v>
      </c>
      <c r="Z27185" s="372">
        <v>0.0</v>
      </c>
    </row>
    <row r="27186">
      <c r="Y27186" s="372">
        <v>0.0</v>
      </c>
      <c r="Z27186" s="372">
        <v>0.0</v>
      </c>
    </row>
    <row r="27187">
      <c r="Y27187" s="372">
        <v>0.0</v>
      </c>
      <c r="Z27187" s="372">
        <v>0.0</v>
      </c>
    </row>
    <row r="27188">
      <c r="Y27188" s="372">
        <v>0.0</v>
      </c>
      <c r="Z27188" s="372">
        <v>0.0</v>
      </c>
    </row>
    <row r="27189">
      <c r="Y27189" s="372">
        <v>0.0</v>
      </c>
      <c r="Z27189" s="372">
        <v>0.0</v>
      </c>
    </row>
    <row r="27190">
      <c r="Y27190" s="372">
        <v>0.0</v>
      </c>
      <c r="Z27190" s="372">
        <v>0.0</v>
      </c>
    </row>
    <row r="27191">
      <c r="Y27191" s="372">
        <v>0.0</v>
      </c>
      <c r="Z27191" s="372">
        <v>0.0</v>
      </c>
    </row>
    <row r="27192">
      <c r="Y27192" s="372">
        <v>0.0</v>
      </c>
      <c r="Z27192" s="372">
        <v>0.0</v>
      </c>
    </row>
    <row r="27193">
      <c r="Y27193" s="372">
        <v>0.0</v>
      </c>
      <c r="Z27193" s="372">
        <v>0.0</v>
      </c>
    </row>
    <row r="27194">
      <c r="Y27194" s="372">
        <v>0.0</v>
      </c>
      <c r="Z27194" s="372">
        <v>0.0</v>
      </c>
    </row>
    <row r="27195">
      <c r="Y27195" s="372">
        <v>0.0</v>
      </c>
      <c r="Z27195" s="372">
        <v>0.0</v>
      </c>
    </row>
    <row r="27196">
      <c r="Y27196" s="372">
        <v>0.0</v>
      </c>
      <c r="Z27196" s="372">
        <v>0.0</v>
      </c>
    </row>
    <row r="27197">
      <c r="Y27197" s="372">
        <v>0.0</v>
      </c>
      <c r="Z27197" s="372">
        <v>0.0</v>
      </c>
    </row>
    <row r="27198">
      <c r="Y27198" s="372">
        <v>0.0</v>
      </c>
      <c r="Z27198" s="372">
        <v>0.0</v>
      </c>
    </row>
    <row r="27199">
      <c r="Y27199" s="372">
        <v>0.0</v>
      </c>
      <c r="Z27199" s="372">
        <v>0.0</v>
      </c>
    </row>
    <row r="27200">
      <c r="Y27200" s="372">
        <v>0.0</v>
      </c>
      <c r="Z27200" s="372">
        <v>0.0</v>
      </c>
    </row>
    <row r="27201">
      <c r="Y27201" s="372">
        <v>0.0</v>
      </c>
      <c r="Z27201" s="372">
        <v>0.0</v>
      </c>
    </row>
    <row r="27202">
      <c r="Y27202" s="372">
        <v>0.0</v>
      </c>
      <c r="Z27202" s="372">
        <v>0.0</v>
      </c>
    </row>
    <row r="27203">
      <c r="Y27203" s="372">
        <v>0.0</v>
      </c>
      <c r="Z27203" s="372">
        <v>0.0</v>
      </c>
    </row>
    <row r="27204">
      <c r="Y27204" s="372">
        <v>0.0</v>
      </c>
      <c r="Z27204" s="372">
        <v>0.0</v>
      </c>
    </row>
    <row r="27205">
      <c r="Y27205" s="372">
        <v>0.0</v>
      </c>
      <c r="Z27205" s="372">
        <v>0.0</v>
      </c>
    </row>
    <row r="27206">
      <c r="Y27206" s="372">
        <v>0.0</v>
      </c>
      <c r="Z27206" s="372">
        <v>0.0</v>
      </c>
    </row>
    <row r="27207">
      <c r="Y27207" s="372">
        <v>0.0</v>
      </c>
      <c r="Z27207" s="372">
        <v>0.0</v>
      </c>
    </row>
    <row r="27208">
      <c r="Y27208" s="372">
        <v>0.0</v>
      </c>
      <c r="Z27208" s="372">
        <v>0.0</v>
      </c>
    </row>
    <row r="27209">
      <c r="Y27209" s="372">
        <v>0.0</v>
      </c>
      <c r="Z27209" s="372">
        <v>0.0</v>
      </c>
    </row>
    <row r="27210">
      <c r="Y27210" s="372">
        <v>0.0</v>
      </c>
      <c r="Z27210" s="372">
        <v>0.0</v>
      </c>
    </row>
    <row r="27211">
      <c r="Y27211" s="372">
        <v>0.0</v>
      </c>
      <c r="Z27211" s="372">
        <v>0.0</v>
      </c>
    </row>
    <row r="27212">
      <c r="Y27212" s="372">
        <v>0.0</v>
      </c>
      <c r="Z27212" s="372">
        <v>0.0</v>
      </c>
    </row>
    <row r="27213">
      <c r="Y27213" s="372">
        <v>0.0</v>
      </c>
      <c r="Z27213" s="372">
        <v>0.0</v>
      </c>
    </row>
    <row r="27214">
      <c r="Y27214" s="372">
        <v>0.0</v>
      </c>
      <c r="Z27214" s="372">
        <v>0.0</v>
      </c>
    </row>
    <row r="27215">
      <c r="Y27215" s="372">
        <v>0.0</v>
      </c>
      <c r="Z27215" s="372">
        <v>0.0</v>
      </c>
    </row>
    <row r="27216">
      <c r="Y27216" s="372">
        <v>0.0</v>
      </c>
      <c r="Z27216" s="372">
        <v>0.0</v>
      </c>
    </row>
    <row r="27217">
      <c r="Y27217" s="372">
        <v>0.0</v>
      </c>
      <c r="Z27217" s="372">
        <v>0.0</v>
      </c>
    </row>
    <row r="27218">
      <c r="Y27218" s="372">
        <v>0.0</v>
      </c>
      <c r="Z27218" s="372">
        <v>0.0</v>
      </c>
    </row>
    <row r="27219">
      <c r="Y27219" s="372">
        <v>0.0</v>
      </c>
      <c r="Z27219" s="372">
        <v>0.0</v>
      </c>
    </row>
    <row r="27220">
      <c r="Y27220" s="372">
        <v>0.0</v>
      </c>
      <c r="Z27220" s="372">
        <v>0.0</v>
      </c>
    </row>
    <row r="27221">
      <c r="Y27221" s="372">
        <v>0.0</v>
      </c>
      <c r="Z27221" s="372">
        <v>0.0</v>
      </c>
    </row>
    <row r="27222">
      <c r="Y27222" s="372">
        <v>0.0</v>
      </c>
      <c r="Z27222" s="372">
        <v>0.0</v>
      </c>
    </row>
    <row r="27223">
      <c r="Y27223" s="372">
        <v>0.0</v>
      </c>
      <c r="Z27223" s="372">
        <v>0.0</v>
      </c>
    </row>
    <row r="27224">
      <c r="Y27224" s="372">
        <v>0.0</v>
      </c>
      <c r="Z27224" s="372">
        <v>0.0</v>
      </c>
    </row>
    <row r="27225">
      <c r="Y27225" s="372">
        <v>0.0</v>
      </c>
      <c r="Z27225" s="372">
        <v>0.0</v>
      </c>
    </row>
    <row r="27226">
      <c r="Y27226" s="372">
        <v>0.0</v>
      </c>
      <c r="Z27226" s="372">
        <v>0.0</v>
      </c>
    </row>
    <row r="27227">
      <c r="Y27227" s="372">
        <v>0.0</v>
      </c>
      <c r="Z27227" s="372">
        <v>0.0</v>
      </c>
    </row>
    <row r="27228">
      <c r="Y27228" s="372">
        <v>0.0</v>
      </c>
      <c r="Z27228" s="372">
        <v>0.0</v>
      </c>
    </row>
    <row r="27229">
      <c r="Y27229" s="372">
        <v>0.0</v>
      </c>
      <c r="Z27229" s="372">
        <v>0.0</v>
      </c>
    </row>
    <row r="27230">
      <c r="Y27230" s="372">
        <v>0.0</v>
      </c>
      <c r="Z27230" s="372">
        <v>0.0</v>
      </c>
    </row>
    <row r="27231">
      <c r="Y27231" s="372">
        <v>0.0</v>
      </c>
      <c r="Z27231" s="372">
        <v>0.0</v>
      </c>
    </row>
    <row r="27232">
      <c r="Y27232" s="372">
        <v>0.0</v>
      </c>
      <c r="Z27232" s="372">
        <v>0.0</v>
      </c>
    </row>
    <row r="27233">
      <c r="Y27233" s="372">
        <v>0.0</v>
      </c>
      <c r="Z27233" s="372">
        <v>0.0</v>
      </c>
    </row>
    <row r="27234">
      <c r="Y27234" s="372">
        <v>0.0</v>
      </c>
      <c r="Z27234" s="372">
        <v>0.0</v>
      </c>
    </row>
    <row r="27235">
      <c r="Y27235" s="372">
        <v>0.0</v>
      </c>
      <c r="Z27235" s="372">
        <v>0.0</v>
      </c>
    </row>
    <row r="27236">
      <c r="Y27236" s="372">
        <v>0.0</v>
      </c>
      <c r="Z27236" s="372">
        <v>0.0</v>
      </c>
    </row>
    <row r="27237">
      <c r="Y27237" s="372">
        <v>0.0</v>
      </c>
      <c r="Z27237" s="372">
        <v>0.0</v>
      </c>
    </row>
    <row r="27238">
      <c r="Y27238" s="372">
        <v>0.0</v>
      </c>
      <c r="Z27238" s="372">
        <v>0.0</v>
      </c>
    </row>
    <row r="27239">
      <c r="Y27239" s="372">
        <v>0.0</v>
      </c>
      <c r="Z27239" s="372">
        <v>0.0</v>
      </c>
    </row>
    <row r="27240">
      <c r="Y27240" s="372">
        <v>0.0</v>
      </c>
      <c r="Z27240" s="372">
        <v>0.0</v>
      </c>
    </row>
    <row r="27241">
      <c r="Y27241" s="372">
        <v>0.0</v>
      </c>
      <c r="Z27241" s="372">
        <v>0.0</v>
      </c>
    </row>
    <row r="27242">
      <c r="Y27242" s="372">
        <v>0.0</v>
      </c>
      <c r="Z27242" s="372">
        <v>0.0</v>
      </c>
    </row>
    <row r="27243">
      <c r="Y27243" s="372">
        <v>0.0</v>
      </c>
      <c r="Z27243" s="372">
        <v>0.0</v>
      </c>
    </row>
    <row r="27244">
      <c r="Y27244" s="372">
        <v>0.0</v>
      </c>
      <c r="Z27244" s="372">
        <v>0.0</v>
      </c>
    </row>
    <row r="27245">
      <c r="Y27245" s="372">
        <v>0.0</v>
      </c>
      <c r="Z27245" s="372">
        <v>0.0</v>
      </c>
    </row>
    <row r="27246">
      <c r="Y27246" s="372">
        <v>0.0</v>
      </c>
      <c r="Z27246" s="372">
        <v>0.0</v>
      </c>
    </row>
    <row r="27247">
      <c r="Y27247" s="372">
        <v>0.0</v>
      </c>
      <c r="Z27247" s="372">
        <v>0.0</v>
      </c>
    </row>
    <row r="27248">
      <c r="Y27248" s="372">
        <v>0.0</v>
      </c>
      <c r="Z27248" s="372">
        <v>0.0</v>
      </c>
    </row>
    <row r="27249">
      <c r="Y27249" s="372">
        <v>0.0</v>
      </c>
      <c r="Z27249" s="372">
        <v>0.0</v>
      </c>
    </row>
    <row r="27250">
      <c r="Y27250" s="372">
        <v>0.0</v>
      </c>
      <c r="Z27250" s="372">
        <v>0.0</v>
      </c>
    </row>
    <row r="27251">
      <c r="Y27251" s="372">
        <v>0.0</v>
      </c>
      <c r="Z27251" s="372">
        <v>0.0</v>
      </c>
    </row>
    <row r="27252">
      <c r="Y27252" s="372">
        <v>0.0</v>
      </c>
      <c r="Z27252" s="372">
        <v>0.0</v>
      </c>
    </row>
    <row r="27253">
      <c r="Y27253" s="372">
        <v>0.0</v>
      </c>
      <c r="Z27253" s="372">
        <v>0.0</v>
      </c>
    </row>
    <row r="27254">
      <c r="Y27254" s="372">
        <v>0.0</v>
      </c>
      <c r="Z27254" s="372">
        <v>0.0</v>
      </c>
    </row>
    <row r="27255">
      <c r="Y27255" s="372">
        <v>0.0</v>
      </c>
      <c r="Z27255" s="372">
        <v>0.0</v>
      </c>
    </row>
    <row r="27256">
      <c r="Y27256" s="372">
        <v>0.0</v>
      </c>
      <c r="Z27256" s="372">
        <v>0.0</v>
      </c>
    </row>
    <row r="27257">
      <c r="Y27257" s="372">
        <v>0.0</v>
      </c>
      <c r="Z27257" s="372">
        <v>0.0</v>
      </c>
    </row>
    <row r="27258">
      <c r="Y27258" s="372">
        <v>0.0</v>
      </c>
      <c r="Z27258" s="372">
        <v>0.0</v>
      </c>
    </row>
    <row r="27259">
      <c r="Y27259" s="372">
        <v>0.0</v>
      </c>
      <c r="Z27259" s="372">
        <v>0.0</v>
      </c>
    </row>
    <row r="27260">
      <c r="Y27260" s="372">
        <v>0.0</v>
      </c>
      <c r="Z27260" s="372">
        <v>0.0</v>
      </c>
    </row>
    <row r="27261">
      <c r="Y27261" s="372">
        <v>0.0</v>
      </c>
      <c r="Z27261" s="372">
        <v>0.0</v>
      </c>
    </row>
    <row r="27262">
      <c r="Y27262" s="372">
        <v>0.0</v>
      </c>
      <c r="Z27262" s="372">
        <v>0.0</v>
      </c>
    </row>
    <row r="27263">
      <c r="Y27263" s="372">
        <v>0.0</v>
      </c>
      <c r="Z27263" s="372">
        <v>0.0</v>
      </c>
    </row>
    <row r="27264">
      <c r="Y27264" s="372">
        <v>0.0</v>
      </c>
      <c r="Z27264" s="372">
        <v>0.0</v>
      </c>
    </row>
    <row r="27265">
      <c r="Y27265" s="372">
        <v>0.0</v>
      </c>
      <c r="Z27265" s="372">
        <v>0.0</v>
      </c>
    </row>
    <row r="27266">
      <c r="Y27266" s="372">
        <v>0.0</v>
      </c>
      <c r="Z27266" s="372">
        <v>0.0</v>
      </c>
    </row>
    <row r="27267">
      <c r="Y27267" s="372">
        <v>0.0</v>
      </c>
      <c r="Z27267" s="372">
        <v>0.0</v>
      </c>
    </row>
    <row r="27268">
      <c r="Y27268" s="372">
        <v>0.0</v>
      </c>
      <c r="Z27268" s="372">
        <v>0.0</v>
      </c>
    </row>
    <row r="27269">
      <c r="Y27269" s="372">
        <v>0.0</v>
      </c>
      <c r="Z27269" s="372">
        <v>0.0</v>
      </c>
    </row>
    <row r="27270">
      <c r="Y27270" s="372">
        <v>0.0</v>
      </c>
      <c r="Z27270" s="372">
        <v>0.0</v>
      </c>
    </row>
    <row r="27271">
      <c r="Y27271" s="372">
        <v>0.0</v>
      </c>
      <c r="Z27271" s="372">
        <v>0.0</v>
      </c>
    </row>
    <row r="27272">
      <c r="Y27272" s="372">
        <v>0.0</v>
      </c>
      <c r="Z27272" s="372">
        <v>0.0</v>
      </c>
    </row>
    <row r="27273">
      <c r="Y27273" s="372">
        <v>0.0</v>
      </c>
      <c r="Z27273" s="372">
        <v>0.0</v>
      </c>
    </row>
    <row r="27274">
      <c r="Y27274" s="372">
        <v>0.0</v>
      </c>
      <c r="Z27274" s="372">
        <v>0.0</v>
      </c>
    </row>
    <row r="27275">
      <c r="Y27275" s="372">
        <v>0.0</v>
      </c>
      <c r="Z27275" s="372">
        <v>0.0</v>
      </c>
    </row>
    <row r="27276">
      <c r="Y27276" s="372">
        <v>0.0</v>
      </c>
      <c r="Z27276" s="372">
        <v>0.0</v>
      </c>
    </row>
    <row r="27277">
      <c r="Y27277" s="372">
        <v>0.0</v>
      </c>
      <c r="Z27277" s="372">
        <v>0.0</v>
      </c>
    </row>
    <row r="27278">
      <c r="Y27278" s="372">
        <v>0.0</v>
      </c>
      <c r="Z27278" s="372">
        <v>0.0</v>
      </c>
    </row>
    <row r="27279">
      <c r="Y27279" s="372">
        <v>0.0</v>
      </c>
      <c r="Z27279" s="372">
        <v>0.0</v>
      </c>
    </row>
    <row r="27280">
      <c r="Y27280" s="372">
        <v>0.0</v>
      </c>
      <c r="Z27280" s="372">
        <v>0.0</v>
      </c>
    </row>
    <row r="27281">
      <c r="Y27281" s="372">
        <v>0.0</v>
      </c>
      <c r="Z27281" s="372">
        <v>0.0</v>
      </c>
    </row>
    <row r="27282">
      <c r="Y27282" s="372">
        <v>0.0</v>
      </c>
      <c r="Z27282" s="372">
        <v>0.0</v>
      </c>
    </row>
    <row r="27283">
      <c r="Y27283" s="372">
        <v>0.0</v>
      </c>
      <c r="Z27283" s="372">
        <v>0.0</v>
      </c>
    </row>
    <row r="27284">
      <c r="Y27284" s="372">
        <v>0.0</v>
      </c>
      <c r="Z27284" s="372">
        <v>0.0</v>
      </c>
    </row>
    <row r="27285">
      <c r="Y27285" s="372">
        <v>0.0</v>
      </c>
      <c r="Z27285" s="372">
        <v>0.0</v>
      </c>
    </row>
    <row r="27286">
      <c r="Y27286" s="372">
        <v>0.0</v>
      </c>
      <c r="Z27286" s="372">
        <v>0.0</v>
      </c>
    </row>
    <row r="27287">
      <c r="Y27287" s="372">
        <v>0.0</v>
      </c>
      <c r="Z27287" s="372">
        <v>0.0</v>
      </c>
    </row>
    <row r="27288">
      <c r="Y27288" s="372">
        <v>0.0</v>
      </c>
      <c r="Z27288" s="372">
        <v>0.0</v>
      </c>
    </row>
    <row r="27289">
      <c r="Y27289" s="372">
        <v>0.0</v>
      </c>
      <c r="Z27289" s="372">
        <v>0.0</v>
      </c>
    </row>
    <row r="27290">
      <c r="Y27290" s="372">
        <v>0.0</v>
      </c>
      <c r="Z27290" s="372">
        <v>0.0</v>
      </c>
    </row>
    <row r="27291">
      <c r="Y27291" s="372">
        <v>0.0</v>
      </c>
      <c r="Z27291" s="372">
        <v>0.0</v>
      </c>
    </row>
    <row r="27292">
      <c r="Y27292" s="372">
        <v>0.0</v>
      </c>
      <c r="Z27292" s="372">
        <v>0.0</v>
      </c>
    </row>
    <row r="27293">
      <c r="Y27293" s="372">
        <v>0.0</v>
      </c>
      <c r="Z27293" s="372">
        <v>0.0</v>
      </c>
    </row>
    <row r="27294">
      <c r="Y27294" s="372">
        <v>0.0</v>
      </c>
      <c r="Z27294" s="372">
        <v>0.0</v>
      </c>
    </row>
    <row r="27295">
      <c r="Y27295" s="372">
        <v>0.0</v>
      </c>
      <c r="Z27295" s="372">
        <v>0.0</v>
      </c>
    </row>
    <row r="27296">
      <c r="Y27296" s="372">
        <v>0.0</v>
      </c>
      <c r="Z27296" s="372">
        <v>0.0</v>
      </c>
    </row>
    <row r="27297">
      <c r="Y27297" s="372">
        <v>0.0</v>
      </c>
      <c r="Z27297" s="372">
        <v>0.0</v>
      </c>
    </row>
    <row r="27298">
      <c r="Y27298" s="372">
        <v>0.0</v>
      </c>
      <c r="Z27298" s="372">
        <v>0.0</v>
      </c>
    </row>
    <row r="27299">
      <c r="Y27299" s="372">
        <v>0.0</v>
      </c>
      <c r="Z27299" s="372">
        <v>0.0</v>
      </c>
    </row>
    <row r="27300">
      <c r="Y27300" s="372">
        <v>0.0</v>
      </c>
      <c r="Z27300" s="372">
        <v>0.0</v>
      </c>
    </row>
    <row r="27301">
      <c r="Y27301" s="372">
        <v>0.0</v>
      </c>
      <c r="Z27301" s="372">
        <v>0.0</v>
      </c>
    </row>
    <row r="27302">
      <c r="Y27302" s="372">
        <v>0.0</v>
      </c>
      <c r="Z27302" s="372">
        <v>0.0</v>
      </c>
    </row>
    <row r="27303">
      <c r="Y27303" s="372">
        <v>0.0</v>
      </c>
      <c r="Z27303" s="372">
        <v>0.0</v>
      </c>
    </row>
    <row r="27304">
      <c r="Y27304" s="372">
        <v>0.0</v>
      </c>
      <c r="Z27304" s="372">
        <v>0.0</v>
      </c>
    </row>
    <row r="27305">
      <c r="Y27305" s="372">
        <v>0.0</v>
      </c>
      <c r="Z27305" s="372">
        <v>0.0</v>
      </c>
    </row>
    <row r="27306">
      <c r="Y27306" s="372">
        <v>0.0</v>
      </c>
      <c r="Z27306" s="372">
        <v>0.0</v>
      </c>
    </row>
    <row r="27307">
      <c r="Y27307" s="372">
        <v>0.0</v>
      </c>
      <c r="Z27307" s="372">
        <v>0.0</v>
      </c>
    </row>
    <row r="27308">
      <c r="Y27308" s="372">
        <v>0.0</v>
      </c>
      <c r="Z27308" s="372">
        <v>0.0</v>
      </c>
    </row>
    <row r="27309">
      <c r="Y27309" s="372">
        <v>0.0</v>
      </c>
      <c r="Z27309" s="372">
        <v>0.0</v>
      </c>
    </row>
    <row r="27310">
      <c r="Y27310" s="372">
        <v>0.0</v>
      </c>
      <c r="Z27310" s="372">
        <v>0.0</v>
      </c>
    </row>
    <row r="27311">
      <c r="Y27311" s="372">
        <v>0.0</v>
      </c>
      <c r="Z27311" s="372">
        <v>0.0</v>
      </c>
    </row>
    <row r="27312">
      <c r="Y27312" s="372">
        <v>0.0</v>
      </c>
      <c r="Z27312" s="372">
        <v>0.0</v>
      </c>
    </row>
    <row r="27313">
      <c r="Y27313" s="372">
        <v>0.0</v>
      </c>
      <c r="Z27313" s="372">
        <v>0.0</v>
      </c>
    </row>
    <row r="27314">
      <c r="Y27314" s="372">
        <v>0.0</v>
      </c>
      <c r="Z27314" s="372">
        <v>0.0</v>
      </c>
    </row>
    <row r="27315">
      <c r="Y27315" s="372">
        <v>0.0</v>
      </c>
      <c r="Z27315" s="372">
        <v>0.0</v>
      </c>
    </row>
    <row r="27316">
      <c r="Y27316" s="372">
        <v>0.0</v>
      </c>
      <c r="Z27316" s="372">
        <v>0.0</v>
      </c>
    </row>
    <row r="27317">
      <c r="Y27317" s="372">
        <v>0.0</v>
      </c>
      <c r="Z27317" s="372">
        <v>0.0</v>
      </c>
    </row>
    <row r="27318">
      <c r="Y27318" s="372">
        <v>0.0</v>
      </c>
      <c r="Z27318" s="372">
        <v>0.0</v>
      </c>
    </row>
    <row r="27319">
      <c r="Y27319" s="372">
        <v>0.0</v>
      </c>
      <c r="Z27319" s="372">
        <v>0.0</v>
      </c>
    </row>
    <row r="27320">
      <c r="Y27320" s="372">
        <v>0.0</v>
      </c>
      <c r="Z27320" s="372">
        <v>0.0</v>
      </c>
    </row>
    <row r="27321">
      <c r="Y27321" s="372">
        <v>0.0</v>
      </c>
      <c r="Z27321" s="372">
        <v>0.0</v>
      </c>
    </row>
    <row r="27322">
      <c r="Y27322" s="372">
        <v>0.0</v>
      </c>
      <c r="Z27322" s="372">
        <v>0.0</v>
      </c>
    </row>
    <row r="27323">
      <c r="Y27323" s="372">
        <v>0.0</v>
      </c>
      <c r="Z27323" s="372">
        <v>0.0</v>
      </c>
    </row>
    <row r="27324">
      <c r="Y27324" s="372">
        <v>0.0</v>
      </c>
      <c r="Z27324" s="372">
        <v>0.0</v>
      </c>
    </row>
    <row r="27325">
      <c r="Y27325" s="372">
        <v>0.0</v>
      </c>
      <c r="Z27325" s="372">
        <v>0.0</v>
      </c>
    </row>
    <row r="27326">
      <c r="Y27326" s="372">
        <v>0.0</v>
      </c>
      <c r="Z27326" s="372">
        <v>0.0</v>
      </c>
    </row>
    <row r="27327">
      <c r="Y27327" s="372">
        <v>0.0</v>
      </c>
      <c r="Z27327" s="372">
        <v>0.0</v>
      </c>
    </row>
    <row r="27328">
      <c r="Y27328" s="372">
        <v>0.0</v>
      </c>
      <c r="Z27328" s="372">
        <v>0.0</v>
      </c>
    </row>
    <row r="27329">
      <c r="Y27329" s="372">
        <v>0.0</v>
      </c>
      <c r="Z27329" s="372">
        <v>0.0</v>
      </c>
    </row>
    <row r="27330">
      <c r="Y27330" s="372">
        <v>0.0</v>
      </c>
      <c r="Z27330" s="372">
        <v>0.0</v>
      </c>
    </row>
    <row r="27331">
      <c r="Y27331" s="372">
        <v>0.0</v>
      </c>
      <c r="Z27331" s="372">
        <v>0.0</v>
      </c>
    </row>
    <row r="27332">
      <c r="Y27332" s="372">
        <v>0.0</v>
      </c>
      <c r="Z27332" s="372">
        <v>0.0</v>
      </c>
    </row>
    <row r="27333">
      <c r="Y27333" s="372">
        <v>0.0</v>
      </c>
      <c r="Z27333" s="372">
        <v>0.0</v>
      </c>
    </row>
    <row r="27334">
      <c r="Y27334" s="372">
        <v>0.0</v>
      </c>
      <c r="Z27334" s="372">
        <v>0.0</v>
      </c>
    </row>
    <row r="27335">
      <c r="Y27335" s="372">
        <v>0.0</v>
      </c>
      <c r="Z27335" s="372">
        <v>0.0</v>
      </c>
    </row>
    <row r="27336">
      <c r="Y27336" s="372">
        <v>0.0</v>
      </c>
      <c r="Z27336" s="372">
        <v>0.0</v>
      </c>
    </row>
    <row r="27337">
      <c r="Y27337" s="372">
        <v>0.0</v>
      </c>
      <c r="Z27337" s="372">
        <v>0.0</v>
      </c>
    </row>
    <row r="27338">
      <c r="Y27338" s="372">
        <v>0.0</v>
      </c>
      <c r="Z27338" s="372">
        <v>0.0</v>
      </c>
    </row>
    <row r="27339">
      <c r="Y27339" s="372">
        <v>0.0</v>
      </c>
      <c r="Z27339" s="372">
        <v>0.0</v>
      </c>
    </row>
    <row r="27340">
      <c r="Y27340" s="372">
        <v>0.0</v>
      </c>
      <c r="Z27340" s="372">
        <v>0.0</v>
      </c>
    </row>
    <row r="27341">
      <c r="Y27341" s="372">
        <v>0.0</v>
      </c>
      <c r="Z27341" s="372">
        <v>0.0</v>
      </c>
    </row>
    <row r="27342">
      <c r="Y27342" s="372">
        <v>0.0</v>
      </c>
      <c r="Z27342" s="372">
        <v>0.0</v>
      </c>
    </row>
    <row r="27343">
      <c r="Y27343" s="372">
        <v>0.0</v>
      </c>
      <c r="Z27343" s="372">
        <v>0.0</v>
      </c>
    </row>
    <row r="27344">
      <c r="Y27344" s="372">
        <v>0.0</v>
      </c>
      <c r="Z27344" s="372">
        <v>0.0</v>
      </c>
    </row>
    <row r="27345">
      <c r="Y27345" s="372">
        <v>0.0</v>
      </c>
      <c r="Z27345" s="372">
        <v>0.0</v>
      </c>
    </row>
    <row r="27346">
      <c r="Y27346" s="372">
        <v>0.0</v>
      </c>
      <c r="Z27346" s="372">
        <v>0.0</v>
      </c>
    </row>
    <row r="27347">
      <c r="Y27347" s="372">
        <v>0.0</v>
      </c>
      <c r="Z27347" s="372">
        <v>0.0</v>
      </c>
    </row>
    <row r="27348">
      <c r="Y27348" s="372">
        <v>0.0</v>
      </c>
      <c r="Z27348" s="372">
        <v>0.0</v>
      </c>
    </row>
    <row r="27349">
      <c r="Y27349" s="372">
        <v>0.0</v>
      </c>
      <c r="Z27349" s="372">
        <v>0.0</v>
      </c>
    </row>
    <row r="27350">
      <c r="Y27350" s="372">
        <v>0.0</v>
      </c>
      <c r="Z27350" s="372">
        <v>0.0</v>
      </c>
    </row>
    <row r="27351">
      <c r="Y27351" s="372">
        <v>0.0</v>
      </c>
      <c r="Z27351" s="372">
        <v>0.0</v>
      </c>
    </row>
    <row r="27352">
      <c r="Y27352" s="372">
        <v>0.0</v>
      </c>
      <c r="Z27352" s="372">
        <v>0.0</v>
      </c>
    </row>
    <row r="27353">
      <c r="Y27353" s="372">
        <v>0.0</v>
      </c>
      <c r="Z27353" s="372">
        <v>0.0</v>
      </c>
    </row>
    <row r="27354">
      <c r="Y27354" s="372">
        <v>0.0</v>
      </c>
      <c r="Z27354" s="372">
        <v>0.0</v>
      </c>
    </row>
    <row r="27355">
      <c r="Y27355" s="372">
        <v>0.0</v>
      </c>
      <c r="Z27355" s="372">
        <v>0.0</v>
      </c>
    </row>
    <row r="27356">
      <c r="Y27356" s="372">
        <v>0.0</v>
      </c>
      <c r="Z27356" s="372">
        <v>0.0</v>
      </c>
    </row>
    <row r="27357">
      <c r="Y27357" s="372">
        <v>0.0</v>
      </c>
      <c r="Z27357" s="372">
        <v>0.0</v>
      </c>
    </row>
    <row r="27358">
      <c r="Y27358" s="372">
        <v>0.0</v>
      </c>
      <c r="Z27358" s="372">
        <v>0.0</v>
      </c>
    </row>
    <row r="27359">
      <c r="Y27359" s="372">
        <v>0.0</v>
      </c>
      <c r="Z27359" s="372">
        <v>0.0</v>
      </c>
    </row>
    <row r="27360">
      <c r="Y27360" s="372">
        <v>0.0</v>
      </c>
      <c r="Z27360" s="372">
        <v>0.0</v>
      </c>
    </row>
    <row r="27361">
      <c r="Y27361" s="372">
        <v>0.0</v>
      </c>
      <c r="Z27361" s="372">
        <v>0.0</v>
      </c>
    </row>
    <row r="27362">
      <c r="Y27362" s="372">
        <v>0.0</v>
      </c>
      <c r="Z27362" s="372">
        <v>0.0</v>
      </c>
    </row>
    <row r="27363">
      <c r="Y27363" s="372">
        <v>0.0</v>
      </c>
      <c r="Z27363" s="372">
        <v>0.0</v>
      </c>
    </row>
    <row r="27364">
      <c r="Y27364" s="372">
        <v>0.0</v>
      </c>
      <c r="Z27364" s="372">
        <v>0.0</v>
      </c>
    </row>
    <row r="27365">
      <c r="Y27365" s="372">
        <v>0.0</v>
      </c>
      <c r="Z27365" s="372">
        <v>0.0</v>
      </c>
    </row>
    <row r="27366">
      <c r="Y27366" s="372">
        <v>0.0</v>
      </c>
      <c r="Z27366" s="372">
        <v>0.0</v>
      </c>
    </row>
    <row r="27367">
      <c r="Y27367" s="372">
        <v>0.0</v>
      </c>
      <c r="Z27367" s="372">
        <v>0.0</v>
      </c>
    </row>
    <row r="27368">
      <c r="Y27368" s="372">
        <v>0.0</v>
      </c>
      <c r="Z27368" s="372">
        <v>0.0</v>
      </c>
    </row>
    <row r="27369">
      <c r="Y27369" s="372">
        <v>0.0</v>
      </c>
      <c r="Z27369" s="372">
        <v>0.0</v>
      </c>
    </row>
    <row r="27370">
      <c r="Y27370" s="372">
        <v>0.0</v>
      </c>
      <c r="Z27370" s="372">
        <v>0.0</v>
      </c>
    </row>
    <row r="27371">
      <c r="Y27371" s="372">
        <v>0.0</v>
      </c>
      <c r="Z27371" s="372">
        <v>0.0</v>
      </c>
    </row>
    <row r="27372">
      <c r="Y27372" s="372">
        <v>0.0</v>
      </c>
      <c r="Z27372" s="372">
        <v>0.0</v>
      </c>
    </row>
    <row r="27373">
      <c r="Y27373" s="372">
        <v>0.0</v>
      </c>
      <c r="Z27373" s="372">
        <v>0.0</v>
      </c>
    </row>
    <row r="27374">
      <c r="Y27374" s="372">
        <v>0.0</v>
      </c>
      <c r="Z27374" s="372">
        <v>0.0</v>
      </c>
    </row>
    <row r="27375">
      <c r="Y27375" s="372">
        <v>0.0</v>
      </c>
      <c r="Z27375" s="372">
        <v>0.0</v>
      </c>
    </row>
    <row r="27376">
      <c r="Y27376" s="372">
        <v>0.0</v>
      </c>
      <c r="Z27376" s="372">
        <v>0.0</v>
      </c>
    </row>
    <row r="27377">
      <c r="Y27377" s="372">
        <v>0.0</v>
      </c>
      <c r="Z27377" s="372">
        <v>0.0</v>
      </c>
    </row>
    <row r="27378">
      <c r="Y27378" s="372">
        <v>0.0</v>
      </c>
      <c r="Z27378" s="372">
        <v>0.0</v>
      </c>
    </row>
    <row r="27379">
      <c r="Y27379" s="372">
        <v>0.0</v>
      </c>
      <c r="Z27379" s="372">
        <v>0.0</v>
      </c>
    </row>
    <row r="27380">
      <c r="Y27380" s="372">
        <v>0.0</v>
      </c>
      <c r="Z27380" s="372">
        <v>0.0</v>
      </c>
    </row>
    <row r="27381">
      <c r="Y27381" s="372">
        <v>0.0</v>
      </c>
      <c r="Z27381" s="372">
        <v>0.0</v>
      </c>
    </row>
    <row r="27382">
      <c r="Y27382" s="372">
        <v>0.0</v>
      </c>
      <c r="Z27382" s="372">
        <v>0.0</v>
      </c>
    </row>
    <row r="27383">
      <c r="Y27383" s="372">
        <v>0.0</v>
      </c>
      <c r="Z27383" s="372">
        <v>0.0</v>
      </c>
    </row>
    <row r="27384">
      <c r="Y27384" s="372">
        <v>0.0</v>
      </c>
      <c r="Z27384" s="372">
        <v>0.0</v>
      </c>
    </row>
    <row r="27385">
      <c r="Y27385" s="372">
        <v>0.0</v>
      </c>
      <c r="Z27385" s="372">
        <v>0.0</v>
      </c>
    </row>
    <row r="27386">
      <c r="Y27386" s="372">
        <v>0.0</v>
      </c>
      <c r="Z27386" s="372">
        <v>0.0</v>
      </c>
    </row>
    <row r="27387">
      <c r="Y27387" s="372">
        <v>0.0</v>
      </c>
      <c r="Z27387" s="372">
        <v>0.0</v>
      </c>
    </row>
    <row r="27388">
      <c r="Y27388" s="372">
        <v>0.0</v>
      </c>
      <c r="Z27388" s="372">
        <v>0.0</v>
      </c>
    </row>
    <row r="27389">
      <c r="Y27389" s="372">
        <v>0.0</v>
      </c>
      <c r="Z27389" s="372">
        <v>0.0</v>
      </c>
    </row>
    <row r="27390">
      <c r="Y27390" s="372">
        <v>0.0</v>
      </c>
      <c r="Z27390" s="372">
        <v>0.0</v>
      </c>
    </row>
    <row r="27391">
      <c r="Y27391" s="372">
        <v>0.0</v>
      </c>
      <c r="Z27391" s="372">
        <v>0.0</v>
      </c>
    </row>
    <row r="27392">
      <c r="Y27392" s="372">
        <v>0.0</v>
      </c>
      <c r="Z27392" s="372">
        <v>0.0</v>
      </c>
    </row>
    <row r="27393">
      <c r="Y27393" s="372">
        <v>0.0</v>
      </c>
      <c r="Z27393" s="372">
        <v>0.0</v>
      </c>
    </row>
    <row r="27394">
      <c r="Y27394" s="372">
        <v>0.0</v>
      </c>
      <c r="Z27394" s="372">
        <v>0.0</v>
      </c>
    </row>
    <row r="27395">
      <c r="Y27395" s="372">
        <v>0.0</v>
      </c>
      <c r="Z27395" s="372">
        <v>0.0</v>
      </c>
    </row>
    <row r="27396">
      <c r="Y27396" s="372">
        <v>0.0</v>
      </c>
      <c r="Z27396" s="372">
        <v>0.0</v>
      </c>
    </row>
    <row r="27397">
      <c r="Y27397" s="372">
        <v>0.0</v>
      </c>
      <c r="Z27397" s="372">
        <v>0.0</v>
      </c>
    </row>
    <row r="27398">
      <c r="Y27398" s="372">
        <v>0.0</v>
      </c>
      <c r="Z27398" s="372">
        <v>0.0</v>
      </c>
    </row>
    <row r="27399">
      <c r="Y27399" s="372">
        <v>0.0</v>
      </c>
      <c r="Z27399" s="372">
        <v>0.0</v>
      </c>
    </row>
    <row r="27400">
      <c r="Y27400" s="372">
        <v>0.0</v>
      </c>
      <c r="Z27400" s="372">
        <v>0.0</v>
      </c>
    </row>
    <row r="27401">
      <c r="Y27401" s="372">
        <v>0.0</v>
      </c>
      <c r="Z27401" s="372">
        <v>0.0</v>
      </c>
    </row>
    <row r="27402">
      <c r="Y27402" s="372">
        <v>0.0</v>
      </c>
      <c r="Z27402" s="372">
        <v>0.0</v>
      </c>
    </row>
    <row r="27403">
      <c r="Y27403" s="372">
        <v>0.0</v>
      </c>
      <c r="Z27403" s="372">
        <v>0.0</v>
      </c>
    </row>
    <row r="27404">
      <c r="Y27404" s="372">
        <v>0.0</v>
      </c>
      <c r="Z27404" s="372">
        <v>0.0</v>
      </c>
    </row>
    <row r="27405">
      <c r="Y27405" s="372">
        <v>0.0</v>
      </c>
      <c r="Z27405" s="372">
        <v>0.0</v>
      </c>
    </row>
    <row r="27406">
      <c r="Y27406" s="372">
        <v>0.0</v>
      </c>
      <c r="Z27406" s="372">
        <v>0.0</v>
      </c>
    </row>
    <row r="27407">
      <c r="Y27407" s="372">
        <v>0.0</v>
      </c>
      <c r="Z27407" s="372">
        <v>0.0</v>
      </c>
    </row>
    <row r="27408">
      <c r="Y27408" s="372">
        <v>0.0</v>
      </c>
      <c r="Z27408" s="372">
        <v>0.0</v>
      </c>
    </row>
    <row r="27409">
      <c r="Y27409" s="372">
        <v>0.0</v>
      </c>
      <c r="Z27409" s="372">
        <v>0.0</v>
      </c>
    </row>
    <row r="27410">
      <c r="Y27410" s="372">
        <v>0.0</v>
      </c>
      <c r="Z27410" s="372">
        <v>0.0</v>
      </c>
    </row>
    <row r="27411">
      <c r="Y27411" s="372">
        <v>0.0</v>
      </c>
      <c r="Z27411" s="372">
        <v>0.0</v>
      </c>
    </row>
    <row r="27412">
      <c r="Y27412" s="372">
        <v>0.0</v>
      </c>
      <c r="Z27412" s="372">
        <v>0.0</v>
      </c>
    </row>
    <row r="27413">
      <c r="Y27413" s="372">
        <v>0.0</v>
      </c>
      <c r="Z27413" s="372">
        <v>0.0</v>
      </c>
    </row>
    <row r="27414">
      <c r="Y27414" s="372">
        <v>0.0</v>
      </c>
      <c r="Z27414" s="372">
        <v>0.0</v>
      </c>
    </row>
    <row r="27415">
      <c r="Y27415" s="372">
        <v>0.0</v>
      </c>
      <c r="Z27415" s="372">
        <v>0.0</v>
      </c>
    </row>
    <row r="27416">
      <c r="Y27416" s="372">
        <v>0.0</v>
      </c>
      <c r="Z27416" s="372">
        <v>0.0</v>
      </c>
    </row>
    <row r="27417">
      <c r="Y27417" s="372">
        <v>0.0</v>
      </c>
      <c r="Z27417" s="372">
        <v>0.0</v>
      </c>
    </row>
    <row r="27418">
      <c r="Y27418" s="372">
        <v>0.0</v>
      </c>
      <c r="Z27418" s="372">
        <v>0.0</v>
      </c>
    </row>
    <row r="27419">
      <c r="Y27419" s="372">
        <v>0.0</v>
      </c>
      <c r="Z27419" s="372">
        <v>0.0</v>
      </c>
    </row>
    <row r="27420">
      <c r="Y27420" s="372">
        <v>0.0</v>
      </c>
      <c r="Z27420" s="372">
        <v>0.0</v>
      </c>
    </row>
    <row r="27421">
      <c r="Y27421" s="372">
        <v>0.0</v>
      </c>
      <c r="Z27421" s="372">
        <v>0.0</v>
      </c>
    </row>
    <row r="27422">
      <c r="Y27422" s="372">
        <v>0.0</v>
      </c>
      <c r="Z27422" s="372">
        <v>0.0</v>
      </c>
    </row>
    <row r="27423">
      <c r="Y27423" s="372">
        <v>0.0</v>
      </c>
      <c r="Z27423" s="372">
        <v>0.0</v>
      </c>
    </row>
    <row r="27424">
      <c r="Y27424" s="372">
        <v>0.0</v>
      </c>
      <c r="Z27424" s="372">
        <v>0.0</v>
      </c>
    </row>
    <row r="27425">
      <c r="Y27425" s="372">
        <v>0.0</v>
      </c>
      <c r="Z27425" s="372">
        <v>0.0</v>
      </c>
    </row>
    <row r="27426">
      <c r="Y27426" s="372">
        <v>0.0</v>
      </c>
      <c r="Z27426" s="372">
        <v>0.0</v>
      </c>
    </row>
    <row r="27427">
      <c r="Y27427" s="372">
        <v>0.0</v>
      </c>
      <c r="Z27427" s="372">
        <v>0.0</v>
      </c>
    </row>
    <row r="27428">
      <c r="Y27428" s="372">
        <v>0.0</v>
      </c>
      <c r="Z27428" s="372">
        <v>0.0</v>
      </c>
    </row>
    <row r="27429">
      <c r="Y27429" s="372">
        <v>0.0</v>
      </c>
      <c r="Z27429" s="372">
        <v>0.0</v>
      </c>
    </row>
    <row r="27430">
      <c r="Y27430" s="372">
        <v>0.0</v>
      </c>
      <c r="Z27430" s="372">
        <v>0.0</v>
      </c>
    </row>
    <row r="27431">
      <c r="Y27431" s="372">
        <v>0.0</v>
      </c>
      <c r="Z27431" s="372">
        <v>0.0</v>
      </c>
    </row>
    <row r="27432">
      <c r="Y27432" s="372">
        <v>0.0</v>
      </c>
      <c r="Z27432" s="372">
        <v>0.0</v>
      </c>
    </row>
    <row r="27433">
      <c r="Y27433" s="372">
        <v>0.0</v>
      </c>
      <c r="Z27433" s="372">
        <v>0.0</v>
      </c>
    </row>
    <row r="27434">
      <c r="Y27434" s="372">
        <v>0.0</v>
      </c>
      <c r="Z27434" s="372">
        <v>0.0</v>
      </c>
    </row>
    <row r="27435">
      <c r="Y27435" s="372">
        <v>0.0</v>
      </c>
      <c r="Z27435" s="372">
        <v>0.0</v>
      </c>
    </row>
    <row r="27436">
      <c r="Y27436" s="372">
        <v>0.0</v>
      </c>
      <c r="Z27436" s="372">
        <v>0.0</v>
      </c>
    </row>
    <row r="27437">
      <c r="Y27437" s="372">
        <v>0.0</v>
      </c>
      <c r="Z27437" s="372">
        <v>0.0</v>
      </c>
    </row>
    <row r="27438">
      <c r="Y27438" s="372">
        <v>0.0</v>
      </c>
      <c r="Z27438" s="372">
        <v>0.0</v>
      </c>
    </row>
    <row r="27439">
      <c r="Y27439" s="372">
        <v>0.0</v>
      </c>
      <c r="Z27439" s="372">
        <v>0.0</v>
      </c>
    </row>
    <row r="27440">
      <c r="Y27440" s="372">
        <v>0.0</v>
      </c>
      <c r="Z27440" s="372">
        <v>0.0</v>
      </c>
    </row>
    <row r="27441">
      <c r="Y27441" s="372">
        <v>0.0</v>
      </c>
      <c r="Z27441" s="372">
        <v>0.0</v>
      </c>
    </row>
    <row r="27442">
      <c r="Y27442" s="372">
        <v>0.0</v>
      </c>
      <c r="Z27442" s="372">
        <v>0.0</v>
      </c>
    </row>
    <row r="27443">
      <c r="Y27443" s="372">
        <v>0.0</v>
      </c>
      <c r="Z27443" s="372">
        <v>0.0</v>
      </c>
    </row>
    <row r="27444">
      <c r="Y27444" s="372">
        <v>0.0</v>
      </c>
      <c r="Z27444" s="372">
        <v>0.0</v>
      </c>
    </row>
    <row r="27445">
      <c r="Y27445" s="372">
        <v>0.0</v>
      </c>
      <c r="Z27445" s="372">
        <v>0.0</v>
      </c>
    </row>
    <row r="27446">
      <c r="Y27446" s="372">
        <v>0.0</v>
      </c>
      <c r="Z27446" s="372">
        <v>0.0</v>
      </c>
    </row>
    <row r="27447">
      <c r="Y27447" s="372">
        <v>0.0</v>
      </c>
      <c r="Z27447" s="372">
        <v>0.0</v>
      </c>
    </row>
    <row r="27448">
      <c r="Y27448" s="372">
        <v>0.0</v>
      </c>
      <c r="Z27448" s="372">
        <v>0.0</v>
      </c>
    </row>
    <row r="27449">
      <c r="Y27449" s="372">
        <v>0.0</v>
      </c>
      <c r="Z27449" s="372">
        <v>0.0</v>
      </c>
    </row>
    <row r="27450">
      <c r="Y27450" s="372">
        <v>0.0</v>
      </c>
      <c r="Z27450" s="372">
        <v>0.0</v>
      </c>
    </row>
    <row r="27451">
      <c r="Y27451" s="372">
        <v>0.0</v>
      </c>
      <c r="Z27451" s="372">
        <v>0.0</v>
      </c>
    </row>
    <row r="27452">
      <c r="Y27452" s="372">
        <v>0.0</v>
      </c>
      <c r="Z27452" s="372">
        <v>0.0</v>
      </c>
    </row>
    <row r="27453">
      <c r="Y27453" s="372">
        <v>0.0</v>
      </c>
      <c r="Z27453" s="372">
        <v>0.0</v>
      </c>
    </row>
    <row r="27454">
      <c r="Y27454" s="372">
        <v>0.0</v>
      </c>
      <c r="Z27454" s="372">
        <v>0.0</v>
      </c>
    </row>
    <row r="27455">
      <c r="Y27455" s="372">
        <v>0.0</v>
      </c>
      <c r="Z27455" s="372">
        <v>0.0</v>
      </c>
    </row>
    <row r="27456">
      <c r="Y27456" s="372">
        <v>0.0</v>
      </c>
      <c r="Z27456" s="372">
        <v>0.0</v>
      </c>
    </row>
    <row r="27457">
      <c r="Y27457" s="372">
        <v>0.0</v>
      </c>
      <c r="Z27457" s="372">
        <v>0.0</v>
      </c>
    </row>
    <row r="27458">
      <c r="Y27458" s="372">
        <v>0.0</v>
      </c>
      <c r="Z27458" s="372">
        <v>0.0</v>
      </c>
    </row>
    <row r="27459">
      <c r="Y27459" s="372">
        <v>0.0</v>
      </c>
      <c r="Z27459" s="372">
        <v>0.0</v>
      </c>
    </row>
    <row r="27460">
      <c r="Y27460" s="372">
        <v>0.0</v>
      </c>
      <c r="Z27460" s="372">
        <v>0.0</v>
      </c>
    </row>
    <row r="27461">
      <c r="Y27461" s="372">
        <v>0.0</v>
      </c>
      <c r="Z27461" s="372">
        <v>0.0</v>
      </c>
    </row>
    <row r="27462">
      <c r="Y27462" s="372">
        <v>0.0</v>
      </c>
      <c r="Z27462" s="372">
        <v>0.0</v>
      </c>
    </row>
    <row r="27463">
      <c r="Y27463" s="372">
        <v>0.0</v>
      </c>
      <c r="Z27463" s="372">
        <v>0.0</v>
      </c>
    </row>
    <row r="27464">
      <c r="Y27464" s="372">
        <v>0.0</v>
      </c>
      <c r="Z27464" s="372">
        <v>0.0</v>
      </c>
    </row>
    <row r="27465">
      <c r="Y27465" s="372">
        <v>0.0</v>
      </c>
      <c r="Z27465" s="372">
        <v>0.0</v>
      </c>
    </row>
    <row r="27466">
      <c r="Y27466" s="372">
        <v>0.0</v>
      </c>
      <c r="Z27466" s="372">
        <v>0.0</v>
      </c>
    </row>
    <row r="27467">
      <c r="Y27467" s="372">
        <v>0.0</v>
      </c>
      <c r="Z27467" s="372">
        <v>0.0</v>
      </c>
    </row>
    <row r="27468">
      <c r="Y27468" s="372">
        <v>0.0</v>
      </c>
      <c r="Z27468" s="372">
        <v>0.0</v>
      </c>
    </row>
    <row r="27469">
      <c r="Y27469" s="372">
        <v>0.0</v>
      </c>
      <c r="Z27469" s="372">
        <v>0.0</v>
      </c>
    </row>
    <row r="27470">
      <c r="Y27470" s="372">
        <v>0.0</v>
      </c>
      <c r="Z27470" s="372">
        <v>0.0</v>
      </c>
    </row>
    <row r="27471">
      <c r="Y27471" s="372">
        <v>0.0</v>
      </c>
      <c r="Z27471" s="372">
        <v>0.0</v>
      </c>
    </row>
    <row r="27472">
      <c r="Y27472" s="372">
        <v>0.0</v>
      </c>
      <c r="Z27472" s="372">
        <v>0.0</v>
      </c>
    </row>
    <row r="27473">
      <c r="Y27473" s="372">
        <v>0.0</v>
      </c>
      <c r="Z27473" s="372">
        <v>0.0</v>
      </c>
    </row>
    <row r="27474">
      <c r="Y27474" s="372">
        <v>0.0</v>
      </c>
      <c r="Z27474" s="372">
        <v>0.0</v>
      </c>
    </row>
    <row r="27475">
      <c r="Y27475" s="372">
        <v>0.0</v>
      </c>
      <c r="Z27475" s="372">
        <v>0.0</v>
      </c>
    </row>
    <row r="27476">
      <c r="Y27476" s="372">
        <v>0.0</v>
      </c>
      <c r="Z27476" s="372">
        <v>0.0</v>
      </c>
    </row>
    <row r="27477">
      <c r="Y27477" s="372">
        <v>0.0</v>
      </c>
      <c r="Z27477" s="372">
        <v>0.0</v>
      </c>
    </row>
    <row r="27478">
      <c r="Y27478" s="372">
        <v>0.0</v>
      </c>
      <c r="Z27478" s="372">
        <v>0.0</v>
      </c>
    </row>
    <row r="27479">
      <c r="Y27479" s="372">
        <v>0.0</v>
      </c>
      <c r="Z27479" s="372">
        <v>0.0</v>
      </c>
    </row>
    <row r="27480">
      <c r="Y27480" s="372">
        <v>0.0</v>
      </c>
      <c r="Z27480" s="372">
        <v>0.0</v>
      </c>
    </row>
    <row r="27481">
      <c r="Y27481" s="372">
        <v>0.0</v>
      </c>
      <c r="Z27481" s="372">
        <v>0.0</v>
      </c>
    </row>
    <row r="27482">
      <c r="Y27482" s="372">
        <v>0.0</v>
      </c>
      <c r="Z27482" s="372">
        <v>0.0</v>
      </c>
    </row>
    <row r="27483">
      <c r="Y27483" s="372">
        <v>0.0</v>
      </c>
      <c r="Z27483" s="372">
        <v>0.0</v>
      </c>
    </row>
    <row r="27484">
      <c r="Y27484" s="372">
        <v>0.0</v>
      </c>
      <c r="Z27484" s="372">
        <v>0.0</v>
      </c>
    </row>
    <row r="27485">
      <c r="Y27485" s="372">
        <v>0.0</v>
      </c>
      <c r="Z27485" s="372">
        <v>0.0</v>
      </c>
    </row>
    <row r="27486">
      <c r="Y27486" s="372">
        <v>0.0</v>
      </c>
      <c r="Z27486" s="372">
        <v>0.0</v>
      </c>
    </row>
    <row r="27487">
      <c r="Y27487" s="372">
        <v>0.0</v>
      </c>
      <c r="Z27487" s="372">
        <v>0.0</v>
      </c>
    </row>
    <row r="27488">
      <c r="Y27488" s="372">
        <v>0.0</v>
      </c>
      <c r="Z27488" s="372">
        <v>0.0</v>
      </c>
    </row>
    <row r="27489">
      <c r="Y27489" s="372">
        <v>0.0</v>
      </c>
      <c r="Z27489" s="372">
        <v>0.0</v>
      </c>
    </row>
    <row r="27490">
      <c r="Y27490" s="372">
        <v>0.0</v>
      </c>
      <c r="Z27490" s="372">
        <v>0.0</v>
      </c>
    </row>
    <row r="27491">
      <c r="Y27491" s="372">
        <v>0.0</v>
      </c>
      <c r="Z27491" s="372">
        <v>0.0</v>
      </c>
    </row>
    <row r="27492">
      <c r="Y27492" s="372">
        <v>0.0</v>
      </c>
      <c r="Z27492" s="372">
        <v>0.0</v>
      </c>
    </row>
    <row r="27493">
      <c r="Y27493" s="372">
        <v>0.0</v>
      </c>
      <c r="Z27493" s="372">
        <v>0.0</v>
      </c>
    </row>
    <row r="27494">
      <c r="Y27494" s="372">
        <v>0.0</v>
      </c>
      <c r="Z27494" s="372">
        <v>0.0</v>
      </c>
    </row>
    <row r="27495">
      <c r="Y27495" s="372">
        <v>0.0</v>
      </c>
      <c r="Z27495" s="372">
        <v>0.0</v>
      </c>
    </row>
    <row r="27496">
      <c r="Y27496" s="372">
        <v>0.0</v>
      </c>
      <c r="Z27496" s="372">
        <v>0.0</v>
      </c>
    </row>
    <row r="27497">
      <c r="Y27497" s="372">
        <v>0.0</v>
      </c>
      <c r="Z27497" s="372">
        <v>0.0</v>
      </c>
    </row>
    <row r="27498">
      <c r="Y27498" s="372">
        <v>0.0</v>
      </c>
      <c r="Z27498" s="372">
        <v>0.0</v>
      </c>
    </row>
    <row r="27499">
      <c r="Y27499" s="372">
        <v>0.0</v>
      </c>
      <c r="Z27499" s="372">
        <v>0.0</v>
      </c>
    </row>
    <row r="27500">
      <c r="Y27500" s="372">
        <v>0.0</v>
      </c>
      <c r="Z27500" s="372">
        <v>0.0</v>
      </c>
    </row>
    <row r="27501">
      <c r="Y27501" s="372">
        <v>0.0</v>
      </c>
      <c r="Z27501" s="372">
        <v>0.0</v>
      </c>
    </row>
    <row r="27502">
      <c r="Y27502" s="372">
        <v>0.0</v>
      </c>
      <c r="Z27502" s="372">
        <v>0.0</v>
      </c>
    </row>
    <row r="27503">
      <c r="Y27503" s="372">
        <v>0.0</v>
      </c>
      <c r="Z27503" s="372">
        <v>0.0</v>
      </c>
    </row>
    <row r="27504">
      <c r="Y27504" s="372">
        <v>0.0</v>
      </c>
      <c r="Z27504" s="372">
        <v>0.0</v>
      </c>
    </row>
    <row r="27505">
      <c r="Y27505" s="372">
        <v>0.0</v>
      </c>
      <c r="Z27505" s="372">
        <v>0.0</v>
      </c>
    </row>
    <row r="27506">
      <c r="Y27506" s="372">
        <v>0.0</v>
      </c>
      <c r="Z27506" s="372">
        <v>0.0</v>
      </c>
    </row>
    <row r="27507">
      <c r="Y27507" s="372">
        <v>0.0</v>
      </c>
      <c r="Z27507" s="372">
        <v>0.0</v>
      </c>
    </row>
    <row r="27508">
      <c r="Y27508" s="372">
        <v>0.0</v>
      </c>
      <c r="Z27508" s="372">
        <v>0.0</v>
      </c>
    </row>
    <row r="27509">
      <c r="Y27509" s="372">
        <v>0.0</v>
      </c>
      <c r="Z27509" s="372">
        <v>0.0</v>
      </c>
    </row>
    <row r="27510">
      <c r="Y27510" s="372">
        <v>0.0</v>
      </c>
      <c r="Z27510" s="372">
        <v>0.0</v>
      </c>
    </row>
    <row r="27511">
      <c r="Y27511" s="372">
        <v>0.0</v>
      </c>
      <c r="Z27511" s="372">
        <v>0.0</v>
      </c>
    </row>
    <row r="27512">
      <c r="Y27512" s="372">
        <v>0.0</v>
      </c>
      <c r="Z27512" s="372">
        <v>0.0</v>
      </c>
    </row>
    <row r="27513">
      <c r="Y27513" s="372">
        <v>0.0</v>
      </c>
      <c r="Z27513" s="372">
        <v>0.0</v>
      </c>
    </row>
    <row r="27514">
      <c r="Y27514" s="372">
        <v>0.0</v>
      </c>
      <c r="Z27514" s="372">
        <v>0.0</v>
      </c>
    </row>
    <row r="27515">
      <c r="Y27515" s="372">
        <v>0.0</v>
      </c>
      <c r="Z27515" s="372">
        <v>0.0</v>
      </c>
    </row>
    <row r="27516">
      <c r="Y27516" s="372">
        <v>0.0</v>
      </c>
      <c r="Z27516" s="372">
        <v>0.0</v>
      </c>
    </row>
    <row r="27517">
      <c r="Y27517" s="372">
        <v>0.0</v>
      </c>
      <c r="Z27517" s="372">
        <v>0.0</v>
      </c>
    </row>
    <row r="27518">
      <c r="Y27518" s="372">
        <v>0.0</v>
      </c>
      <c r="Z27518" s="372">
        <v>0.0</v>
      </c>
    </row>
    <row r="27519">
      <c r="Y27519" s="372">
        <v>0.0</v>
      </c>
      <c r="Z27519" s="372">
        <v>0.0</v>
      </c>
    </row>
    <row r="27520">
      <c r="Y27520" s="372">
        <v>0.0</v>
      </c>
      <c r="Z27520" s="372">
        <v>0.0</v>
      </c>
    </row>
    <row r="27521">
      <c r="Y27521" s="372">
        <v>0.0</v>
      </c>
      <c r="Z27521" s="372">
        <v>0.0</v>
      </c>
    </row>
    <row r="27522">
      <c r="Y27522" s="372">
        <v>0.0</v>
      </c>
      <c r="Z27522" s="372">
        <v>0.0</v>
      </c>
    </row>
    <row r="27523">
      <c r="Y27523" s="372">
        <v>0.0</v>
      </c>
      <c r="Z27523" s="372">
        <v>0.0</v>
      </c>
    </row>
    <row r="27524">
      <c r="Y27524" s="372">
        <v>0.0</v>
      </c>
      <c r="Z27524" s="372">
        <v>0.0</v>
      </c>
    </row>
    <row r="27525">
      <c r="Y27525" s="372">
        <v>0.0</v>
      </c>
      <c r="Z27525" s="372">
        <v>0.0</v>
      </c>
    </row>
    <row r="27526">
      <c r="Y27526" s="372">
        <v>0.0</v>
      </c>
      <c r="Z27526" s="372">
        <v>0.0</v>
      </c>
    </row>
    <row r="27527">
      <c r="Y27527" s="372">
        <v>0.0</v>
      </c>
      <c r="Z27527" s="372">
        <v>0.0</v>
      </c>
    </row>
    <row r="27528">
      <c r="Y27528" s="372">
        <v>0.0</v>
      </c>
      <c r="Z27528" s="372">
        <v>0.0</v>
      </c>
    </row>
    <row r="27529">
      <c r="Y27529" s="372">
        <v>0.0</v>
      </c>
      <c r="Z27529" s="372">
        <v>0.0</v>
      </c>
    </row>
    <row r="27530">
      <c r="Y27530" s="372">
        <v>0.0</v>
      </c>
      <c r="Z27530" s="372">
        <v>0.0</v>
      </c>
    </row>
    <row r="27531">
      <c r="Y27531" s="372">
        <v>0.0</v>
      </c>
      <c r="Z27531" s="372">
        <v>0.0</v>
      </c>
    </row>
    <row r="27532">
      <c r="Y27532" s="372">
        <v>0.0</v>
      </c>
      <c r="Z27532" s="372">
        <v>0.0</v>
      </c>
    </row>
    <row r="27533">
      <c r="Y27533" s="372">
        <v>0.0</v>
      </c>
      <c r="Z27533" s="372">
        <v>0.0</v>
      </c>
    </row>
    <row r="27534">
      <c r="Y27534" s="372">
        <v>0.0</v>
      </c>
      <c r="Z27534" s="372">
        <v>0.0</v>
      </c>
    </row>
    <row r="27535">
      <c r="Y27535" s="372">
        <v>0.0</v>
      </c>
      <c r="Z27535" s="372">
        <v>0.0</v>
      </c>
    </row>
    <row r="27536">
      <c r="Y27536" s="372">
        <v>0.0</v>
      </c>
      <c r="Z27536" s="372">
        <v>0.0</v>
      </c>
    </row>
    <row r="27537">
      <c r="Y27537" s="372">
        <v>0.0</v>
      </c>
      <c r="Z27537" s="372">
        <v>0.0</v>
      </c>
    </row>
    <row r="27538">
      <c r="Y27538" s="372">
        <v>0.0</v>
      </c>
      <c r="Z27538" s="372">
        <v>0.0</v>
      </c>
    </row>
    <row r="27539">
      <c r="Y27539" s="372">
        <v>0.0</v>
      </c>
      <c r="Z27539" s="372">
        <v>0.0</v>
      </c>
    </row>
    <row r="27540">
      <c r="Y27540" s="372">
        <v>0.0</v>
      </c>
      <c r="Z27540" s="372">
        <v>0.0</v>
      </c>
    </row>
    <row r="27541">
      <c r="Y27541" s="372">
        <v>0.0</v>
      </c>
      <c r="Z27541" s="372">
        <v>0.0</v>
      </c>
    </row>
    <row r="27542">
      <c r="Y27542" s="372">
        <v>0.0</v>
      </c>
      <c r="Z27542" s="372">
        <v>0.0</v>
      </c>
    </row>
    <row r="27543">
      <c r="Y27543" s="372">
        <v>0.0</v>
      </c>
      <c r="Z27543" s="372">
        <v>0.0</v>
      </c>
    </row>
    <row r="27544">
      <c r="Y27544" s="372">
        <v>0.0</v>
      </c>
      <c r="Z27544" s="372">
        <v>0.0</v>
      </c>
    </row>
    <row r="27545">
      <c r="Y27545" s="372">
        <v>0.0</v>
      </c>
      <c r="Z27545" s="372">
        <v>0.0</v>
      </c>
    </row>
    <row r="27546">
      <c r="Y27546" s="372">
        <v>0.0</v>
      </c>
      <c r="Z27546" s="372">
        <v>0.0</v>
      </c>
    </row>
    <row r="27547">
      <c r="Y27547" s="372">
        <v>0.0</v>
      </c>
      <c r="Z27547" s="372">
        <v>0.0</v>
      </c>
    </row>
    <row r="27548">
      <c r="Y27548" s="372">
        <v>0.0</v>
      </c>
      <c r="Z27548" s="372">
        <v>0.0</v>
      </c>
    </row>
    <row r="27549">
      <c r="Y27549" s="372">
        <v>0.0</v>
      </c>
      <c r="Z27549" s="372">
        <v>0.0</v>
      </c>
    </row>
    <row r="27550">
      <c r="Y27550" s="372">
        <v>0.0</v>
      </c>
      <c r="Z27550" s="372">
        <v>0.0</v>
      </c>
    </row>
    <row r="27551">
      <c r="Y27551" s="372">
        <v>0.0</v>
      </c>
      <c r="Z27551" s="372">
        <v>0.0</v>
      </c>
    </row>
    <row r="27552">
      <c r="Y27552" s="372">
        <v>0.0</v>
      </c>
      <c r="Z27552" s="372">
        <v>0.0</v>
      </c>
    </row>
    <row r="27553">
      <c r="Y27553" s="372">
        <v>0.0</v>
      </c>
      <c r="Z27553" s="372">
        <v>0.0</v>
      </c>
    </row>
    <row r="27554">
      <c r="Y27554" s="372">
        <v>0.0</v>
      </c>
      <c r="Z27554" s="372">
        <v>0.0</v>
      </c>
    </row>
    <row r="27555">
      <c r="Y27555" s="372">
        <v>0.0</v>
      </c>
      <c r="Z27555" s="372">
        <v>0.0</v>
      </c>
    </row>
    <row r="27556">
      <c r="Y27556" s="372">
        <v>0.0</v>
      </c>
      <c r="Z27556" s="372">
        <v>0.0</v>
      </c>
    </row>
    <row r="27557">
      <c r="Y27557" s="372">
        <v>0.0</v>
      </c>
      <c r="Z27557" s="372">
        <v>0.0</v>
      </c>
    </row>
    <row r="27558">
      <c r="Y27558" s="372">
        <v>0.0</v>
      </c>
      <c r="Z27558" s="372">
        <v>0.0</v>
      </c>
    </row>
    <row r="27559">
      <c r="Y27559" s="372">
        <v>0.0</v>
      </c>
      <c r="Z27559" s="372">
        <v>0.0</v>
      </c>
    </row>
    <row r="27560">
      <c r="Y27560" s="372">
        <v>0.0</v>
      </c>
      <c r="Z27560" s="372">
        <v>0.0</v>
      </c>
    </row>
    <row r="27561">
      <c r="Y27561" s="372">
        <v>0.0</v>
      </c>
      <c r="Z27561" s="372">
        <v>0.0</v>
      </c>
    </row>
    <row r="27562">
      <c r="Y27562" s="372">
        <v>0.0</v>
      </c>
      <c r="Z27562" s="372">
        <v>0.0</v>
      </c>
    </row>
    <row r="27563">
      <c r="Y27563" s="372">
        <v>0.0</v>
      </c>
      <c r="Z27563" s="372">
        <v>0.0</v>
      </c>
    </row>
    <row r="27564">
      <c r="Y27564" s="372">
        <v>0.0</v>
      </c>
      <c r="Z27564" s="372">
        <v>0.0</v>
      </c>
    </row>
    <row r="27565">
      <c r="Y27565" s="372">
        <v>0.0</v>
      </c>
      <c r="Z27565" s="372">
        <v>0.0</v>
      </c>
    </row>
    <row r="27566">
      <c r="Y27566" s="372">
        <v>0.0</v>
      </c>
      <c r="Z27566" s="372">
        <v>0.0</v>
      </c>
    </row>
    <row r="27567">
      <c r="Y27567" s="372">
        <v>0.0</v>
      </c>
      <c r="Z27567" s="372">
        <v>0.0</v>
      </c>
    </row>
    <row r="27568">
      <c r="Y27568" s="372">
        <v>0.0</v>
      </c>
      <c r="Z27568" s="372">
        <v>0.0</v>
      </c>
    </row>
    <row r="27569">
      <c r="Y27569" s="372">
        <v>0.0</v>
      </c>
      <c r="Z27569" s="372">
        <v>0.0</v>
      </c>
    </row>
    <row r="27570">
      <c r="Y27570" s="372">
        <v>0.0</v>
      </c>
      <c r="Z27570" s="372">
        <v>0.0</v>
      </c>
    </row>
    <row r="27571">
      <c r="Y27571" s="372">
        <v>0.0</v>
      </c>
      <c r="Z27571" s="372">
        <v>0.0</v>
      </c>
    </row>
    <row r="27572">
      <c r="Y27572" s="372">
        <v>0.0</v>
      </c>
      <c r="Z27572" s="372">
        <v>0.0</v>
      </c>
    </row>
    <row r="27573">
      <c r="Y27573" s="372">
        <v>0.0</v>
      </c>
      <c r="Z27573" s="372">
        <v>0.0</v>
      </c>
    </row>
    <row r="27574">
      <c r="Y27574" s="372">
        <v>0.0</v>
      </c>
      <c r="Z27574" s="372">
        <v>0.0</v>
      </c>
    </row>
    <row r="27575">
      <c r="Y27575" s="372">
        <v>0.0</v>
      </c>
      <c r="Z27575" s="372">
        <v>0.0</v>
      </c>
    </row>
    <row r="27576">
      <c r="Y27576" s="372">
        <v>0.0</v>
      </c>
      <c r="Z27576" s="372">
        <v>0.0</v>
      </c>
    </row>
    <row r="27577">
      <c r="Y27577" s="372">
        <v>0.0</v>
      </c>
      <c r="Z27577" s="372">
        <v>0.0</v>
      </c>
    </row>
    <row r="27578">
      <c r="Y27578" s="372">
        <v>0.0</v>
      </c>
      <c r="Z27578" s="372">
        <v>0.0</v>
      </c>
    </row>
    <row r="27579">
      <c r="Y27579" s="372">
        <v>0.0</v>
      </c>
      <c r="Z27579" s="372">
        <v>0.0</v>
      </c>
    </row>
    <row r="27580">
      <c r="Y27580" s="372">
        <v>0.0</v>
      </c>
      <c r="Z27580" s="372">
        <v>0.0</v>
      </c>
    </row>
    <row r="27581">
      <c r="Y27581" s="372">
        <v>0.0</v>
      </c>
      <c r="Z27581" s="372">
        <v>0.0</v>
      </c>
    </row>
    <row r="27582">
      <c r="Y27582" s="372">
        <v>0.0</v>
      </c>
      <c r="Z27582" s="372">
        <v>0.0</v>
      </c>
    </row>
    <row r="27583">
      <c r="Y27583" s="372">
        <v>0.0</v>
      </c>
      <c r="Z27583" s="372">
        <v>0.0</v>
      </c>
    </row>
    <row r="27584">
      <c r="Y27584" s="372">
        <v>0.0</v>
      </c>
      <c r="Z27584" s="372">
        <v>0.0</v>
      </c>
    </row>
    <row r="27585">
      <c r="Y27585" s="372">
        <v>0.0</v>
      </c>
      <c r="Z27585" s="372">
        <v>0.0</v>
      </c>
    </row>
    <row r="27586">
      <c r="Y27586" s="372">
        <v>0.0</v>
      </c>
      <c r="Z27586" s="372">
        <v>0.0</v>
      </c>
    </row>
    <row r="27587">
      <c r="Y27587" s="372">
        <v>0.0</v>
      </c>
      <c r="Z27587" s="372">
        <v>0.0</v>
      </c>
    </row>
    <row r="27588">
      <c r="Y27588" s="372">
        <v>0.0</v>
      </c>
      <c r="Z27588" s="372">
        <v>0.0</v>
      </c>
    </row>
    <row r="27589">
      <c r="Y27589" s="372">
        <v>0.0</v>
      </c>
      <c r="Z27589" s="372">
        <v>0.0</v>
      </c>
    </row>
    <row r="27590">
      <c r="Y27590" s="372">
        <v>0.0</v>
      </c>
      <c r="Z27590" s="372">
        <v>0.0</v>
      </c>
    </row>
    <row r="27591">
      <c r="Y27591" s="372">
        <v>0.0</v>
      </c>
      <c r="Z27591" s="372">
        <v>0.0</v>
      </c>
    </row>
    <row r="27592">
      <c r="Y27592" s="372">
        <v>0.0</v>
      </c>
      <c r="Z27592" s="372">
        <v>0.0</v>
      </c>
    </row>
    <row r="27593">
      <c r="Y27593" s="372">
        <v>0.0</v>
      </c>
      <c r="Z27593" s="372">
        <v>0.0</v>
      </c>
    </row>
    <row r="27594">
      <c r="Y27594" s="372">
        <v>0.0</v>
      </c>
      <c r="Z27594" s="372">
        <v>0.0</v>
      </c>
    </row>
    <row r="27595">
      <c r="Y27595" s="372">
        <v>0.0</v>
      </c>
      <c r="Z27595" s="372">
        <v>0.0</v>
      </c>
    </row>
    <row r="27596">
      <c r="Y27596" s="372">
        <v>0.0</v>
      </c>
      <c r="Z27596" s="372">
        <v>0.0</v>
      </c>
    </row>
    <row r="27597">
      <c r="Y27597" s="372">
        <v>0.0</v>
      </c>
      <c r="Z27597" s="372">
        <v>0.0</v>
      </c>
    </row>
    <row r="27598">
      <c r="Y27598" s="372">
        <v>0.0</v>
      </c>
      <c r="Z27598" s="372">
        <v>0.0</v>
      </c>
    </row>
    <row r="27599">
      <c r="Y27599" s="372">
        <v>0.0</v>
      </c>
      <c r="Z27599" s="372">
        <v>0.0</v>
      </c>
    </row>
    <row r="27600">
      <c r="Y27600" s="372">
        <v>0.0</v>
      </c>
      <c r="Z27600" s="372">
        <v>0.0</v>
      </c>
    </row>
    <row r="27601">
      <c r="Y27601" s="372">
        <v>0.0</v>
      </c>
      <c r="Z27601" s="372">
        <v>0.0</v>
      </c>
    </row>
    <row r="27602">
      <c r="Y27602" s="372">
        <v>0.0</v>
      </c>
      <c r="Z27602" s="372">
        <v>0.0</v>
      </c>
    </row>
    <row r="27603">
      <c r="Y27603" s="372">
        <v>0.0</v>
      </c>
      <c r="Z27603" s="372">
        <v>0.0</v>
      </c>
    </row>
    <row r="27604">
      <c r="Y27604" s="372">
        <v>0.0</v>
      </c>
      <c r="Z27604" s="372">
        <v>0.0</v>
      </c>
    </row>
    <row r="27605">
      <c r="Y27605" s="372">
        <v>0.0</v>
      </c>
      <c r="Z27605" s="372">
        <v>0.0</v>
      </c>
    </row>
    <row r="27606">
      <c r="Y27606" s="372">
        <v>0.0</v>
      </c>
      <c r="Z27606" s="372">
        <v>0.0</v>
      </c>
    </row>
    <row r="27607">
      <c r="Y27607" s="372">
        <v>0.0</v>
      </c>
      <c r="Z27607" s="372">
        <v>0.0</v>
      </c>
    </row>
    <row r="27608">
      <c r="Y27608" s="372">
        <v>0.0</v>
      </c>
      <c r="Z27608" s="372">
        <v>0.0</v>
      </c>
    </row>
    <row r="27609">
      <c r="Y27609" s="372">
        <v>0.0</v>
      </c>
      <c r="Z27609" s="372">
        <v>0.0</v>
      </c>
    </row>
    <row r="27610">
      <c r="Y27610" s="372">
        <v>0.0</v>
      </c>
      <c r="Z27610" s="372">
        <v>0.0</v>
      </c>
    </row>
    <row r="27611">
      <c r="Y27611" s="372">
        <v>0.0</v>
      </c>
      <c r="Z27611" s="372">
        <v>0.0</v>
      </c>
    </row>
    <row r="27612">
      <c r="Y27612" s="372">
        <v>0.0</v>
      </c>
      <c r="Z27612" s="372">
        <v>0.0</v>
      </c>
    </row>
    <row r="27613">
      <c r="Y27613" s="372">
        <v>0.0</v>
      </c>
      <c r="Z27613" s="372">
        <v>0.0</v>
      </c>
    </row>
    <row r="27614">
      <c r="Y27614" s="372">
        <v>0.0</v>
      </c>
      <c r="Z27614" s="372">
        <v>0.0</v>
      </c>
    </row>
    <row r="27615">
      <c r="Y27615" s="372">
        <v>0.0</v>
      </c>
      <c r="Z27615" s="372">
        <v>0.0</v>
      </c>
    </row>
    <row r="27616">
      <c r="Y27616" s="372">
        <v>0.0</v>
      </c>
      <c r="Z27616" s="372">
        <v>0.0</v>
      </c>
    </row>
    <row r="27617">
      <c r="Y27617" s="372">
        <v>0.0</v>
      </c>
      <c r="Z27617" s="372">
        <v>0.0</v>
      </c>
    </row>
    <row r="27618">
      <c r="Y27618" s="372">
        <v>0.0</v>
      </c>
      <c r="Z27618" s="372">
        <v>0.0</v>
      </c>
    </row>
    <row r="27619">
      <c r="Y27619" s="372">
        <v>0.0</v>
      </c>
      <c r="Z27619" s="372">
        <v>0.0</v>
      </c>
    </row>
    <row r="27620">
      <c r="Y27620" s="372">
        <v>0.0</v>
      </c>
      <c r="Z27620" s="372">
        <v>0.0</v>
      </c>
    </row>
    <row r="27621">
      <c r="Y27621" s="372">
        <v>0.0</v>
      </c>
      <c r="Z27621" s="372">
        <v>0.0</v>
      </c>
    </row>
    <row r="27622">
      <c r="Y27622" s="372">
        <v>0.0</v>
      </c>
      <c r="Z27622" s="372">
        <v>0.0</v>
      </c>
    </row>
    <row r="27623">
      <c r="Y27623" s="372">
        <v>0.0</v>
      </c>
      <c r="Z27623" s="372">
        <v>0.0</v>
      </c>
    </row>
    <row r="27624">
      <c r="Y27624" s="372">
        <v>0.0</v>
      </c>
      <c r="Z27624" s="372">
        <v>0.0</v>
      </c>
    </row>
    <row r="27625">
      <c r="Y27625" s="372">
        <v>0.0</v>
      </c>
      <c r="Z27625" s="372">
        <v>0.0</v>
      </c>
    </row>
    <row r="27626">
      <c r="Y27626" s="372">
        <v>0.0</v>
      </c>
      <c r="Z27626" s="372">
        <v>0.0</v>
      </c>
    </row>
    <row r="27627">
      <c r="Y27627" s="372">
        <v>0.0</v>
      </c>
      <c r="Z27627" s="372">
        <v>0.0</v>
      </c>
    </row>
    <row r="27628">
      <c r="Y27628" s="372">
        <v>0.0</v>
      </c>
      <c r="Z27628" s="372">
        <v>0.0</v>
      </c>
    </row>
    <row r="27629">
      <c r="Y27629" s="372">
        <v>0.0</v>
      </c>
      <c r="Z27629" s="372">
        <v>0.0</v>
      </c>
    </row>
    <row r="27630">
      <c r="Y27630" s="372">
        <v>0.0</v>
      </c>
      <c r="Z27630" s="372">
        <v>0.0</v>
      </c>
    </row>
    <row r="27631">
      <c r="Y27631" s="372">
        <v>0.0</v>
      </c>
      <c r="Z27631" s="372">
        <v>0.0</v>
      </c>
    </row>
    <row r="27632">
      <c r="Y27632" s="372">
        <v>0.0</v>
      </c>
      <c r="Z27632" s="372">
        <v>0.0</v>
      </c>
    </row>
    <row r="27633">
      <c r="Y27633" s="372">
        <v>0.0</v>
      </c>
      <c r="Z27633" s="372">
        <v>0.0</v>
      </c>
    </row>
    <row r="27634">
      <c r="Y27634" s="372">
        <v>0.0</v>
      </c>
      <c r="Z27634" s="372">
        <v>0.0</v>
      </c>
    </row>
    <row r="27635">
      <c r="Y27635" s="372">
        <v>0.0</v>
      </c>
      <c r="Z27635" s="372">
        <v>0.0</v>
      </c>
    </row>
    <row r="27636">
      <c r="Y27636" s="372">
        <v>0.0</v>
      </c>
      <c r="Z27636" s="372">
        <v>0.0</v>
      </c>
    </row>
    <row r="27637">
      <c r="Y27637" s="372">
        <v>0.0</v>
      </c>
      <c r="Z27637" s="372">
        <v>0.0</v>
      </c>
    </row>
    <row r="27638">
      <c r="Y27638" s="372">
        <v>0.0</v>
      </c>
      <c r="Z27638" s="372">
        <v>0.0</v>
      </c>
    </row>
    <row r="27639">
      <c r="Y27639" s="372">
        <v>0.0</v>
      </c>
      <c r="Z27639" s="372">
        <v>0.0</v>
      </c>
    </row>
    <row r="27640">
      <c r="Y27640" s="372">
        <v>0.0</v>
      </c>
      <c r="Z27640" s="372">
        <v>0.0</v>
      </c>
    </row>
    <row r="27641">
      <c r="Y27641" s="372">
        <v>0.0</v>
      </c>
      <c r="Z27641" s="372">
        <v>0.0</v>
      </c>
    </row>
    <row r="27642">
      <c r="Y27642" s="372">
        <v>0.0</v>
      </c>
      <c r="Z27642" s="372">
        <v>0.0</v>
      </c>
    </row>
    <row r="27643">
      <c r="Y27643" s="372">
        <v>0.0</v>
      </c>
      <c r="Z27643" s="372">
        <v>0.0</v>
      </c>
    </row>
    <row r="27644">
      <c r="Y27644" s="372">
        <v>0.0</v>
      </c>
      <c r="Z27644" s="372">
        <v>0.0</v>
      </c>
    </row>
    <row r="27645">
      <c r="Y27645" s="372">
        <v>0.0</v>
      </c>
      <c r="Z27645" s="372">
        <v>0.0</v>
      </c>
    </row>
    <row r="27646">
      <c r="Y27646" s="372">
        <v>0.0</v>
      </c>
      <c r="Z27646" s="372">
        <v>0.0</v>
      </c>
    </row>
    <row r="27647">
      <c r="Y27647" s="372">
        <v>0.0</v>
      </c>
      <c r="Z27647" s="372">
        <v>0.0</v>
      </c>
    </row>
    <row r="27648">
      <c r="Y27648" s="372">
        <v>0.0</v>
      </c>
      <c r="Z27648" s="372">
        <v>0.0</v>
      </c>
    </row>
    <row r="27649">
      <c r="Y27649" s="372">
        <v>0.0</v>
      </c>
      <c r="Z27649" s="372">
        <v>0.0</v>
      </c>
    </row>
    <row r="27650">
      <c r="Y27650" s="372">
        <v>0.0</v>
      </c>
      <c r="Z27650" s="372">
        <v>0.0</v>
      </c>
    </row>
    <row r="27651">
      <c r="Y27651" s="372">
        <v>0.0</v>
      </c>
      <c r="Z27651" s="372">
        <v>0.0</v>
      </c>
    </row>
    <row r="27652">
      <c r="Y27652" s="372">
        <v>0.0</v>
      </c>
      <c r="Z27652" s="372">
        <v>0.0</v>
      </c>
    </row>
    <row r="27653">
      <c r="Y27653" s="372">
        <v>0.0</v>
      </c>
      <c r="Z27653" s="372">
        <v>0.0</v>
      </c>
    </row>
    <row r="27654">
      <c r="Y27654" s="372">
        <v>0.0</v>
      </c>
      <c r="Z27654" s="372">
        <v>0.0</v>
      </c>
    </row>
    <row r="27655">
      <c r="Y27655" s="372">
        <v>0.0</v>
      </c>
      <c r="Z27655" s="372">
        <v>0.0</v>
      </c>
    </row>
    <row r="27656">
      <c r="Y27656" s="372">
        <v>0.0</v>
      </c>
      <c r="Z27656" s="372">
        <v>0.0</v>
      </c>
    </row>
    <row r="27657">
      <c r="Y27657" s="372">
        <v>0.0</v>
      </c>
      <c r="Z27657" s="372">
        <v>0.0</v>
      </c>
    </row>
    <row r="27658">
      <c r="Y27658" s="372">
        <v>0.0</v>
      </c>
      <c r="Z27658" s="372">
        <v>0.0</v>
      </c>
    </row>
    <row r="27659">
      <c r="Y27659" s="372">
        <v>0.0</v>
      </c>
      <c r="Z27659" s="372">
        <v>0.0</v>
      </c>
    </row>
    <row r="27660">
      <c r="Y27660" s="372">
        <v>0.0</v>
      </c>
      <c r="Z27660" s="372">
        <v>0.0</v>
      </c>
    </row>
    <row r="27661">
      <c r="Y27661" s="372">
        <v>0.0</v>
      </c>
      <c r="Z27661" s="372">
        <v>0.0</v>
      </c>
    </row>
    <row r="27662">
      <c r="Y27662" s="372">
        <v>0.0</v>
      </c>
      <c r="Z27662" s="372">
        <v>0.0</v>
      </c>
    </row>
    <row r="27663">
      <c r="Y27663" s="372">
        <v>0.0</v>
      </c>
      <c r="Z27663" s="372">
        <v>0.0</v>
      </c>
    </row>
    <row r="27664">
      <c r="Y27664" s="372">
        <v>0.0</v>
      </c>
      <c r="Z27664" s="372">
        <v>0.0</v>
      </c>
    </row>
    <row r="27665">
      <c r="Y27665" s="372">
        <v>0.0</v>
      </c>
      <c r="Z27665" s="372">
        <v>0.0</v>
      </c>
    </row>
    <row r="27666">
      <c r="Y27666" s="372">
        <v>0.0</v>
      </c>
      <c r="Z27666" s="372">
        <v>0.0</v>
      </c>
    </row>
    <row r="27667">
      <c r="Y27667" s="372">
        <v>0.0</v>
      </c>
      <c r="Z27667" s="372">
        <v>0.0</v>
      </c>
    </row>
    <row r="27668">
      <c r="Y27668" s="372">
        <v>0.0</v>
      </c>
      <c r="Z27668" s="372">
        <v>0.0</v>
      </c>
    </row>
    <row r="27669">
      <c r="Y27669" s="372">
        <v>0.0</v>
      </c>
      <c r="Z27669" s="372">
        <v>0.0</v>
      </c>
    </row>
    <row r="27670">
      <c r="Y27670" s="372">
        <v>0.0</v>
      </c>
      <c r="Z27670" s="372">
        <v>0.0</v>
      </c>
    </row>
    <row r="27671">
      <c r="Y27671" s="372">
        <v>0.0</v>
      </c>
      <c r="Z27671" s="372">
        <v>0.0</v>
      </c>
    </row>
    <row r="27672">
      <c r="Y27672" s="372">
        <v>0.0</v>
      </c>
      <c r="Z27672" s="372">
        <v>0.0</v>
      </c>
    </row>
    <row r="27673">
      <c r="Y27673" s="372">
        <v>0.0</v>
      </c>
      <c r="Z27673" s="372">
        <v>0.0</v>
      </c>
    </row>
    <row r="27674">
      <c r="Y27674" s="372">
        <v>0.0</v>
      </c>
      <c r="Z27674" s="372">
        <v>0.0</v>
      </c>
    </row>
    <row r="27675">
      <c r="Y27675" s="372">
        <v>0.0</v>
      </c>
      <c r="Z27675" s="372">
        <v>0.0</v>
      </c>
    </row>
    <row r="27676">
      <c r="Y27676" s="372">
        <v>0.0</v>
      </c>
      <c r="Z27676" s="372">
        <v>0.0</v>
      </c>
    </row>
    <row r="27677">
      <c r="Y27677" s="372">
        <v>0.0</v>
      </c>
      <c r="Z27677" s="372">
        <v>0.0</v>
      </c>
    </row>
    <row r="27678">
      <c r="Y27678" s="372">
        <v>0.0</v>
      </c>
      <c r="Z27678" s="372">
        <v>0.0</v>
      </c>
    </row>
    <row r="27679">
      <c r="Y27679" s="372">
        <v>0.0</v>
      </c>
      <c r="Z27679" s="372">
        <v>0.0</v>
      </c>
    </row>
    <row r="27680">
      <c r="Y27680" s="372">
        <v>0.0</v>
      </c>
      <c r="Z27680" s="372">
        <v>0.0</v>
      </c>
    </row>
    <row r="27681">
      <c r="Y27681" s="372">
        <v>0.0</v>
      </c>
      <c r="Z27681" s="372">
        <v>0.0</v>
      </c>
    </row>
    <row r="27682">
      <c r="Y27682" s="372">
        <v>0.0</v>
      </c>
      <c r="Z27682" s="372">
        <v>0.0</v>
      </c>
    </row>
    <row r="27683">
      <c r="Y27683" s="372">
        <v>0.0</v>
      </c>
      <c r="Z27683" s="372">
        <v>0.0</v>
      </c>
    </row>
    <row r="27684">
      <c r="Y27684" s="372">
        <v>0.0</v>
      </c>
      <c r="Z27684" s="372">
        <v>0.0</v>
      </c>
    </row>
    <row r="27685">
      <c r="Y27685" s="372">
        <v>0.0</v>
      </c>
      <c r="Z27685" s="372">
        <v>0.0</v>
      </c>
    </row>
    <row r="27686">
      <c r="Y27686" s="372">
        <v>0.0</v>
      </c>
      <c r="Z27686" s="372">
        <v>0.0</v>
      </c>
    </row>
    <row r="27687">
      <c r="Y27687" s="372">
        <v>0.0</v>
      </c>
      <c r="Z27687" s="372">
        <v>0.0</v>
      </c>
    </row>
    <row r="27688">
      <c r="Y27688" s="372">
        <v>0.0</v>
      </c>
      <c r="Z27688" s="372">
        <v>0.0</v>
      </c>
    </row>
    <row r="27689">
      <c r="Y27689" s="372">
        <v>0.0</v>
      </c>
      <c r="Z27689" s="372">
        <v>0.0</v>
      </c>
    </row>
    <row r="27690">
      <c r="Y27690" s="372">
        <v>0.0</v>
      </c>
      <c r="Z27690" s="372">
        <v>0.0</v>
      </c>
    </row>
    <row r="27691">
      <c r="Y27691" s="372">
        <v>0.0</v>
      </c>
      <c r="Z27691" s="372">
        <v>0.0</v>
      </c>
    </row>
    <row r="27692">
      <c r="Y27692" s="372">
        <v>0.0</v>
      </c>
      <c r="Z27692" s="372">
        <v>0.0</v>
      </c>
    </row>
    <row r="27693">
      <c r="Y27693" s="372">
        <v>0.0</v>
      </c>
      <c r="Z27693" s="372">
        <v>0.0</v>
      </c>
    </row>
    <row r="27694">
      <c r="Y27694" s="372">
        <v>0.0</v>
      </c>
      <c r="Z27694" s="372">
        <v>0.0</v>
      </c>
    </row>
    <row r="27695">
      <c r="Y27695" s="372">
        <v>0.0</v>
      </c>
      <c r="Z27695" s="372">
        <v>0.0</v>
      </c>
    </row>
    <row r="27696">
      <c r="Y27696" s="372">
        <v>0.0</v>
      </c>
      <c r="Z27696" s="372">
        <v>0.0</v>
      </c>
    </row>
    <row r="27697">
      <c r="Y27697" s="372">
        <v>0.0</v>
      </c>
      <c r="Z27697" s="372">
        <v>0.0</v>
      </c>
    </row>
    <row r="27698">
      <c r="Y27698" s="372">
        <v>0.0</v>
      </c>
      <c r="Z27698" s="372">
        <v>0.0</v>
      </c>
    </row>
    <row r="27699">
      <c r="Y27699" s="372">
        <v>0.0</v>
      </c>
      <c r="Z27699" s="372">
        <v>0.0</v>
      </c>
    </row>
    <row r="27700">
      <c r="Y27700" s="372">
        <v>0.0</v>
      </c>
      <c r="Z27700" s="372">
        <v>0.0</v>
      </c>
    </row>
    <row r="27701">
      <c r="Y27701" s="372">
        <v>0.0</v>
      </c>
      <c r="Z27701" s="372">
        <v>0.0</v>
      </c>
    </row>
    <row r="27702">
      <c r="Y27702" s="372">
        <v>0.0</v>
      </c>
      <c r="Z27702" s="372">
        <v>0.0</v>
      </c>
    </row>
    <row r="27703">
      <c r="Y27703" s="372">
        <v>0.0</v>
      </c>
      <c r="Z27703" s="372">
        <v>0.0</v>
      </c>
    </row>
    <row r="27704">
      <c r="Y27704" s="372">
        <v>0.0</v>
      </c>
      <c r="Z27704" s="372">
        <v>0.0</v>
      </c>
    </row>
    <row r="27705">
      <c r="Y27705" s="372">
        <v>0.0</v>
      </c>
      <c r="Z27705" s="372">
        <v>0.0</v>
      </c>
    </row>
    <row r="27706">
      <c r="Y27706" s="372">
        <v>0.0</v>
      </c>
      <c r="Z27706" s="372">
        <v>0.0</v>
      </c>
    </row>
    <row r="27707">
      <c r="Y27707" s="372">
        <v>0.0</v>
      </c>
      <c r="Z27707" s="372">
        <v>0.0</v>
      </c>
    </row>
    <row r="27708">
      <c r="Y27708" s="372">
        <v>0.0</v>
      </c>
      <c r="Z27708" s="372">
        <v>0.0</v>
      </c>
    </row>
    <row r="27709">
      <c r="Y27709" s="372">
        <v>0.0</v>
      </c>
      <c r="Z27709" s="372">
        <v>0.0</v>
      </c>
    </row>
    <row r="27710">
      <c r="Y27710" s="372">
        <v>0.0</v>
      </c>
      <c r="Z27710" s="372">
        <v>0.0</v>
      </c>
    </row>
    <row r="27711">
      <c r="Y27711" s="372">
        <v>0.0</v>
      </c>
      <c r="Z27711" s="372">
        <v>0.0</v>
      </c>
    </row>
    <row r="27712">
      <c r="Y27712" s="372">
        <v>0.0</v>
      </c>
      <c r="Z27712" s="372">
        <v>0.0</v>
      </c>
    </row>
    <row r="27713">
      <c r="Y27713" s="372">
        <v>0.0</v>
      </c>
      <c r="Z27713" s="372">
        <v>0.0</v>
      </c>
    </row>
    <row r="27714">
      <c r="Y27714" s="372">
        <v>0.0</v>
      </c>
      <c r="Z27714" s="372">
        <v>0.0</v>
      </c>
    </row>
    <row r="27715">
      <c r="Y27715" s="372">
        <v>0.0</v>
      </c>
      <c r="Z27715" s="372">
        <v>0.0</v>
      </c>
    </row>
    <row r="27716">
      <c r="Y27716" s="372">
        <v>0.0</v>
      </c>
      <c r="Z27716" s="372">
        <v>0.0</v>
      </c>
    </row>
    <row r="27717">
      <c r="Y27717" s="372">
        <v>0.0</v>
      </c>
      <c r="Z27717" s="372">
        <v>0.0</v>
      </c>
    </row>
    <row r="27718">
      <c r="Y27718" s="372">
        <v>0.0</v>
      </c>
      <c r="Z27718" s="372">
        <v>0.0</v>
      </c>
    </row>
    <row r="27719">
      <c r="Y27719" s="372">
        <v>0.0</v>
      </c>
      <c r="Z27719" s="372">
        <v>0.0</v>
      </c>
    </row>
    <row r="27720">
      <c r="Y27720" s="372">
        <v>0.0</v>
      </c>
      <c r="Z27720" s="372">
        <v>0.0</v>
      </c>
    </row>
    <row r="27721">
      <c r="Y27721" s="372">
        <v>0.0</v>
      </c>
      <c r="Z27721" s="372">
        <v>0.0</v>
      </c>
    </row>
    <row r="27722">
      <c r="Y27722" s="372">
        <v>0.0</v>
      </c>
      <c r="Z27722" s="372">
        <v>0.0</v>
      </c>
    </row>
    <row r="27723">
      <c r="Y27723" s="372">
        <v>0.0</v>
      </c>
      <c r="Z27723" s="372">
        <v>0.0</v>
      </c>
    </row>
    <row r="27724">
      <c r="Y27724" s="372">
        <v>0.0</v>
      </c>
      <c r="Z27724" s="372">
        <v>0.0</v>
      </c>
    </row>
    <row r="27725">
      <c r="Y27725" s="372">
        <v>0.0</v>
      </c>
      <c r="Z27725" s="372">
        <v>0.0</v>
      </c>
    </row>
    <row r="27726">
      <c r="Y27726" s="372">
        <v>0.0</v>
      </c>
      <c r="Z27726" s="372">
        <v>0.0</v>
      </c>
    </row>
    <row r="27727">
      <c r="Y27727" s="372">
        <v>0.0</v>
      </c>
      <c r="Z27727" s="372">
        <v>0.0</v>
      </c>
    </row>
    <row r="27728">
      <c r="Y27728" s="372">
        <v>0.0</v>
      </c>
      <c r="Z27728" s="372">
        <v>0.0</v>
      </c>
    </row>
    <row r="27729">
      <c r="Y27729" s="372">
        <v>0.0</v>
      </c>
      <c r="Z27729" s="372">
        <v>0.0</v>
      </c>
    </row>
    <row r="27730">
      <c r="Y27730" s="372">
        <v>0.0</v>
      </c>
      <c r="Z27730" s="372">
        <v>0.0</v>
      </c>
    </row>
    <row r="27731">
      <c r="Y27731" s="372">
        <v>0.0</v>
      </c>
      <c r="Z27731" s="372">
        <v>0.0</v>
      </c>
    </row>
    <row r="27732">
      <c r="Y27732" s="372">
        <v>0.0</v>
      </c>
      <c r="Z27732" s="372">
        <v>0.0</v>
      </c>
    </row>
    <row r="27733">
      <c r="Y27733" s="372">
        <v>0.0</v>
      </c>
      <c r="Z27733" s="372">
        <v>0.0</v>
      </c>
    </row>
    <row r="27734">
      <c r="Y27734" s="372">
        <v>0.0</v>
      </c>
      <c r="Z27734" s="372">
        <v>0.0</v>
      </c>
    </row>
    <row r="27735">
      <c r="Y27735" s="372">
        <v>0.0</v>
      </c>
      <c r="Z27735" s="372">
        <v>0.0</v>
      </c>
    </row>
    <row r="27736">
      <c r="Y27736" s="372">
        <v>0.0</v>
      </c>
      <c r="Z27736" s="372">
        <v>0.0</v>
      </c>
    </row>
    <row r="27737">
      <c r="Y27737" s="372">
        <v>0.0</v>
      </c>
      <c r="Z27737" s="372">
        <v>0.0</v>
      </c>
    </row>
    <row r="27738">
      <c r="Y27738" s="372">
        <v>0.0</v>
      </c>
      <c r="Z27738" s="372">
        <v>0.0</v>
      </c>
    </row>
    <row r="27739">
      <c r="Y27739" s="372">
        <v>0.0</v>
      </c>
      <c r="Z27739" s="372">
        <v>0.0</v>
      </c>
    </row>
    <row r="27740">
      <c r="Y27740" s="372">
        <v>0.0</v>
      </c>
      <c r="Z27740" s="372">
        <v>0.0</v>
      </c>
    </row>
    <row r="27741">
      <c r="Y27741" s="372">
        <v>0.0</v>
      </c>
      <c r="Z27741" s="372">
        <v>0.0</v>
      </c>
    </row>
    <row r="27742">
      <c r="Y27742" s="372">
        <v>0.0</v>
      </c>
      <c r="Z27742" s="372">
        <v>0.0</v>
      </c>
    </row>
    <row r="27743">
      <c r="Y27743" s="372">
        <v>0.0</v>
      </c>
      <c r="Z27743" s="372">
        <v>0.0</v>
      </c>
    </row>
    <row r="27744">
      <c r="Y27744" s="372">
        <v>0.0</v>
      </c>
      <c r="Z27744" s="372">
        <v>0.0</v>
      </c>
    </row>
    <row r="27745">
      <c r="Y27745" s="372">
        <v>0.0</v>
      </c>
      <c r="Z27745" s="372">
        <v>0.0</v>
      </c>
    </row>
    <row r="27746">
      <c r="Y27746" s="372">
        <v>0.0</v>
      </c>
      <c r="Z27746" s="372">
        <v>0.0</v>
      </c>
    </row>
    <row r="27747">
      <c r="Y27747" s="372">
        <v>0.0</v>
      </c>
      <c r="Z27747" s="372">
        <v>0.0</v>
      </c>
    </row>
    <row r="27748">
      <c r="Y27748" s="372">
        <v>0.0</v>
      </c>
      <c r="Z27748" s="372">
        <v>0.0</v>
      </c>
    </row>
    <row r="27749">
      <c r="Y27749" s="372">
        <v>0.0</v>
      </c>
      <c r="Z27749" s="372">
        <v>0.0</v>
      </c>
    </row>
    <row r="27750">
      <c r="Y27750" s="372">
        <v>0.0</v>
      </c>
      <c r="Z27750" s="372">
        <v>0.0</v>
      </c>
    </row>
    <row r="27751">
      <c r="Y27751" s="372">
        <v>0.0</v>
      </c>
      <c r="Z27751" s="372">
        <v>0.0</v>
      </c>
    </row>
    <row r="27752">
      <c r="Y27752" s="372">
        <v>0.0</v>
      </c>
      <c r="Z27752" s="372">
        <v>0.0</v>
      </c>
    </row>
    <row r="27753">
      <c r="Y27753" s="372">
        <v>0.0</v>
      </c>
      <c r="Z27753" s="372">
        <v>0.0</v>
      </c>
    </row>
    <row r="27754">
      <c r="Y27754" s="372">
        <v>0.0</v>
      </c>
      <c r="Z27754" s="372">
        <v>0.0</v>
      </c>
    </row>
    <row r="27755">
      <c r="Y27755" s="372">
        <v>0.0</v>
      </c>
      <c r="Z27755" s="372">
        <v>0.0</v>
      </c>
    </row>
    <row r="27756">
      <c r="Y27756" s="372">
        <v>0.0</v>
      </c>
      <c r="Z27756" s="372">
        <v>0.0</v>
      </c>
    </row>
    <row r="27757">
      <c r="Y27757" s="372">
        <v>0.0</v>
      </c>
      <c r="Z27757" s="372">
        <v>0.0</v>
      </c>
    </row>
    <row r="27758">
      <c r="Y27758" s="372">
        <v>0.0</v>
      </c>
      <c r="Z27758" s="372">
        <v>0.0</v>
      </c>
    </row>
    <row r="27759">
      <c r="Y27759" s="372">
        <v>0.0</v>
      </c>
      <c r="Z27759" s="372">
        <v>0.0</v>
      </c>
    </row>
    <row r="27760">
      <c r="Y27760" s="372">
        <v>0.0</v>
      </c>
      <c r="Z27760" s="372">
        <v>0.0</v>
      </c>
    </row>
    <row r="27761">
      <c r="Y27761" s="372">
        <v>0.0</v>
      </c>
      <c r="Z27761" s="372">
        <v>0.0</v>
      </c>
    </row>
    <row r="27762">
      <c r="Y27762" s="372">
        <v>0.0</v>
      </c>
      <c r="Z27762" s="372">
        <v>0.0</v>
      </c>
    </row>
    <row r="27763">
      <c r="Y27763" s="372">
        <v>0.0</v>
      </c>
      <c r="Z27763" s="372">
        <v>0.0</v>
      </c>
    </row>
    <row r="27764">
      <c r="Y27764" s="372">
        <v>0.0</v>
      </c>
      <c r="Z27764" s="372">
        <v>0.0</v>
      </c>
    </row>
    <row r="27765">
      <c r="Y27765" s="372">
        <v>0.0</v>
      </c>
      <c r="Z27765" s="372">
        <v>0.0</v>
      </c>
    </row>
    <row r="27766">
      <c r="Y27766" s="372">
        <v>0.0</v>
      </c>
      <c r="Z27766" s="372">
        <v>0.0</v>
      </c>
    </row>
    <row r="27767">
      <c r="Y27767" s="372">
        <v>0.0</v>
      </c>
      <c r="Z27767" s="372">
        <v>0.0</v>
      </c>
    </row>
    <row r="27768">
      <c r="Y27768" s="372">
        <v>0.0</v>
      </c>
      <c r="Z27768" s="372">
        <v>0.0</v>
      </c>
    </row>
    <row r="27769">
      <c r="Y27769" s="372">
        <v>0.0</v>
      </c>
      <c r="Z27769" s="372">
        <v>0.0</v>
      </c>
    </row>
    <row r="27770">
      <c r="Y27770" s="372">
        <v>0.0</v>
      </c>
      <c r="Z27770" s="372">
        <v>0.0</v>
      </c>
    </row>
    <row r="27771">
      <c r="Y27771" s="372">
        <v>0.0</v>
      </c>
      <c r="Z27771" s="372">
        <v>0.0</v>
      </c>
    </row>
    <row r="27772">
      <c r="Y27772" s="372">
        <v>0.0</v>
      </c>
      <c r="Z27772" s="372">
        <v>0.0</v>
      </c>
    </row>
    <row r="27773">
      <c r="Y27773" s="372">
        <v>0.0</v>
      </c>
      <c r="Z27773" s="372">
        <v>0.0</v>
      </c>
    </row>
    <row r="27774">
      <c r="Y27774" s="372">
        <v>0.0</v>
      </c>
      <c r="Z27774" s="372">
        <v>0.0</v>
      </c>
    </row>
    <row r="27775">
      <c r="Y27775" s="372">
        <v>0.0</v>
      </c>
      <c r="Z27775" s="372">
        <v>0.0</v>
      </c>
    </row>
    <row r="27776">
      <c r="Y27776" s="372">
        <v>0.0</v>
      </c>
      <c r="Z27776" s="372">
        <v>0.0</v>
      </c>
    </row>
    <row r="27777">
      <c r="Y27777" s="372">
        <v>0.0</v>
      </c>
      <c r="Z27777" s="372">
        <v>0.0</v>
      </c>
    </row>
    <row r="27778">
      <c r="Y27778" s="372">
        <v>0.0</v>
      </c>
      <c r="Z27778" s="372">
        <v>0.0</v>
      </c>
    </row>
    <row r="27779">
      <c r="Y27779" s="372">
        <v>0.0</v>
      </c>
      <c r="Z27779" s="372">
        <v>0.0</v>
      </c>
    </row>
    <row r="27780">
      <c r="Y27780" s="372">
        <v>0.0</v>
      </c>
      <c r="Z27780" s="372">
        <v>0.0</v>
      </c>
    </row>
    <row r="27781">
      <c r="Y27781" s="372">
        <v>0.0</v>
      </c>
      <c r="Z27781" s="372">
        <v>0.0</v>
      </c>
    </row>
    <row r="27782">
      <c r="Y27782" s="372">
        <v>0.0</v>
      </c>
      <c r="Z27782" s="372">
        <v>0.0</v>
      </c>
    </row>
    <row r="27783">
      <c r="Y27783" s="372">
        <v>0.0</v>
      </c>
      <c r="Z27783" s="372">
        <v>0.0</v>
      </c>
    </row>
    <row r="27784">
      <c r="Y27784" s="372">
        <v>0.0</v>
      </c>
      <c r="Z27784" s="372">
        <v>0.0</v>
      </c>
    </row>
    <row r="27785">
      <c r="Y27785" s="372">
        <v>0.0</v>
      </c>
      <c r="Z27785" s="372">
        <v>0.0</v>
      </c>
    </row>
    <row r="27786">
      <c r="Y27786" s="372">
        <v>0.0</v>
      </c>
      <c r="Z27786" s="372">
        <v>0.0</v>
      </c>
    </row>
    <row r="27787">
      <c r="Y27787" s="372">
        <v>0.0</v>
      </c>
      <c r="Z27787" s="372">
        <v>0.0</v>
      </c>
    </row>
    <row r="27788">
      <c r="Y27788" s="372">
        <v>0.0</v>
      </c>
      <c r="Z27788" s="372">
        <v>0.0</v>
      </c>
    </row>
    <row r="27789">
      <c r="Y27789" s="372">
        <v>0.0</v>
      </c>
      <c r="Z27789" s="372">
        <v>0.0</v>
      </c>
    </row>
    <row r="27790">
      <c r="Y27790" s="372">
        <v>0.0</v>
      </c>
      <c r="Z27790" s="372">
        <v>0.0</v>
      </c>
    </row>
    <row r="27791">
      <c r="Y27791" s="372">
        <v>0.0</v>
      </c>
      <c r="Z27791" s="372">
        <v>0.0</v>
      </c>
    </row>
    <row r="27792">
      <c r="Y27792" s="372">
        <v>0.0</v>
      </c>
      <c r="Z27792" s="372">
        <v>0.0</v>
      </c>
    </row>
    <row r="27793">
      <c r="Y27793" s="372">
        <v>0.0</v>
      </c>
      <c r="Z27793" s="372">
        <v>0.0</v>
      </c>
    </row>
    <row r="27794">
      <c r="Y27794" s="372">
        <v>0.0</v>
      </c>
      <c r="Z27794" s="372">
        <v>0.0</v>
      </c>
    </row>
    <row r="27795">
      <c r="Y27795" s="372">
        <v>0.0</v>
      </c>
      <c r="Z27795" s="372">
        <v>0.0</v>
      </c>
    </row>
    <row r="27796">
      <c r="Y27796" s="372">
        <v>0.0</v>
      </c>
      <c r="Z27796" s="372">
        <v>0.0</v>
      </c>
    </row>
    <row r="27797">
      <c r="Y27797" s="372">
        <v>0.0</v>
      </c>
      <c r="Z27797" s="372">
        <v>0.0</v>
      </c>
    </row>
    <row r="27798">
      <c r="Y27798" s="372">
        <v>0.0</v>
      </c>
      <c r="Z27798" s="372">
        <v>0.0</v>
      </c>
    </row>
    <row r="27799">
      <c r="Y27799" s="372">
        <v>0.0</v>
      </c>
      <c r="Z27799" s="372">
        <v>0.0</v>
      </c>
    </row>
    <row r="27800">
      <c r="Y27800" s="372">
        <v>0.0</v>
      </c>
      <c r="Z27800" s="372">
        <v>0.0</v>
      </c>
    </row>
    <row r="27801">
      <c r="Y27801" s="372">
        <v>0.0</v>
      </c>
      <c r="Z27801" s="372">
        <v>0.0</v>
      </c>
    </row>
    <row r="27802">
      <c r="Y27802" s="372">
        <v>0.0</v>
      </c>
      <c r="Z27802" s="372">
        <v>0.0</v>
      </c>
    </row>
    <row r="27803">
      <c r="Y27803" s="372">
        <v>0.0</v>
      </c>
      <c r="Z27803" s="372">
        <v>0.0</v>
      </c>
    </row>
    <row r="27804">
      <c r="Y27804" s="372">
        <v>0.0</v>
      </c>
      <c r="Z27804" s="372">
        <v>0.0</v>
      </c>
    </row>
    <row r="27805">
      <c r="Y27805" s="372">
        <v>0.0</v>
      </c>
      <c r="Z27805" s="372">
        <v>0.0</v>
      </c>
    </row>
    <row r="27806">
      <c r="Y27806" s="372">
        <v>0.0</v>
      </c>
      <c r="Z27806" s="372">
        <v>0.0</v>
      </c>
    </row>
    <row r="27807">
      <c r="Y27807" s="372">
        <v>0.0</v>
      </c>
      <c r="Z27807" s="372">
        <v>0.0</v>
      </c>
    </row>
    <row r="27808">
      <c r="Y27808" s="372">
        <v>0.0</v>
      </c>
      <c r="Z27808" s="372">
        <v>0.0</v>
      </c>
    </row>
    <row r="27809">
      <c r="Y27809" s="372">
        <v>0.0</v>
      </c>
      <c r="Z27809" s="372">
        <v>0.0</v>
      </c>
    </row>
    <row r="27810">
      <c r="Y27810" s="372">
        <v>0.0</v>
      </c>
      <c r="Z27810" s="372">
        <v>0.0</v>
      </c>
    </row>
    <row r="27811">
      <c r="Y27811" s="372">
        <v>0.0</v>
      </c>
      <c r="Z27811" s="372">
        <v>0.0</v>
      </c>
    </row>
    <row r="27812">
      <c r="Y27812" s="372">
        <v>0.0</v>
      </c>
      <c r="Z27812" s="372">
        <v>0.0</v>
      </c>
    </row>
    <row r="27813">
      <c r="Y27813" s="372">
        <v>0.0</v>
      </c>
      <c r="Z27813" s="372">
        <v>0.0</v>
      </c>
    </row>
    <row r="27814">
      <c r="Y27814" s="372">
        <v>0.0</v>
      </c>
      <c r="Z27814" s="372">
        <v>0.0</v>
      </c>
    </row>
    <row r="27815">
      <c r="Y27815" s="372">
        <v>0.0</v>
      </c>
      <c r="Z27815" s="372">
        <v>0.0</v>
      </c>
    </row>
    <row r="27816">
      <c r="Y27816" s="372">
        <v>0.0</v>
      </c>
      <c r="Z27816" s="372">
        <v>0.0</v>
      </c>
    </row>
    <row r="27817">
      <c r="Y27817" s="372">
        <v>0.0</v>
      </c>
      <c r="Z27817" s="372">
        <v>0.0</v>
      </c>
    </row>
    <row r="27818">
      <c r="Y27818" s="372">
        <v>0.0</v>
      </c>
      <c r="Z27818" s="372">
        <v>0.0</v>
      </c>
    </row>
    <row r="27819">
      <c r="Y27819" s="372">
        <v>0.0</v>
      </c>
      <c r="Z27819" s="372">
        <v>0.0</v>
      </c>
    </row>
    <row r="27820">
      <c r="Y27820" s="372">
        <v>0.0</v>
      </c>
      <c r="Z27820" s="372">
        <v>0.0</v>
      </c>
    </row>
    <row r="27821">
      <c r="Y27821" s="372">
        <v>0.0</v>
      </c>
      <c r="Z27821" s="372">
        <v>0.0</v>
      </c>
    </row>
    <row r="27822">
      <c r="Y27822" s="372">
        <v>0.0</v>
      </c>
      <c r="Z27822" s="372">
        <v>0.0</v>
      </c>
    </row>
    <row r="27823">
      <c r="Y27823" s="372">
        <v>0.0</v>
      </c>
      <c r="Z27823" s="372">
        <v>0.0</v>
      </c>
    </row>
    <row r="27824">
      <c r="Y27824" s="372">
        <v>0.0</v>
      </c>
      <c r="Z27824" s="372">
        <v>0.0</v>
      </c>
    </row>
    <row r="27825">
      <c r="Y27825" s="372">
        <v>0.0</v>
      </c>
      <c r="Z27825" s="372">
        <v>0.0</v>
      </c>
    </row>
    <row r="27826">
      <c r="Y27826" s="372">
        <v>0.0</v>
      </c>
      <c r="Z27826" s="372">
        <v>0.0</v>
      </c>
    </row>
    <row r="27827">
      <c r="Y27827" s="372">
        <v>0.0</v>
      </c>
      <c r="Z27827" s="372">
        <v>0.0</v>
      </c>
    </row>
    <row r="27828">
      <c r="Y27828" s="372">
        <v>0.0</v>
      </c>
      <c r="Z27828" s="372">
        <v>0.0</v>
      </c>
    </row>
    <row r="27829">
      <c r="Y27829" s="372">
        <v>0.0</v>
      </c>
      <c r="Z27829" s="372">
        <v>0.0</v>
      </c>
    </row>
    <row r="27830">
      <c r="Y27830" s="372">
        <v>0.0</v>
      </c>
      <c r="Z27830" s="372">
        <v>0.0</v>
      </c>
    </row>
    <row r="27831">
      <c r="Y27831" s="372">
        <v>0.0</v>
      </c>
      <c r="Z27831" s="372">
        <v>0.0</v>
      </c>
    </row>
    <row r="27832">
      <c r="Y27832" s="372">
        <v>0.0</v>
      </c>
      <c r="Z27832" s="372">
        <v>0.0</v>
      </c>
    </row>
    <row r="27833">
      <c r="Y27833" s="372">
        <v>0.0</v>
      </c>
      <c r="Z27833" s="372">
        <v>0.0</v>
      </c>
    </row>
    <row r="27834">
      <c r="Y27834" s="372">
        <v>0.0</v>
      </c>
      <c r="Z27834" s="372">
        <v>0.0</v>
      </c>
    </row>
    <row r="27835">
      <c r="Y27835" s="372">
        <v>0.0</v>
      </c>
      <c r="Z27835" s="372">
        <v>0.0</v>
      </c>
    </row>
    <row r="27836">
      <c r="Y27836" s="372">
        <v>0.0</v>
      </c>
      <c r="Z27836" s="372">
        <v>0.0</v>
      </c>
    </row>
    <row r="27837">
      <c r="Y27837" s="372">
        <v>0.0</v>
      </c>
      <c r="Z27837" s="372">
        <v>0.0</v>
      </c>
    </row>
    <row r="27838">
      <c r="Y27838" s="372">
        <v>0.0</v>
      </c>
      <c r="Z27838" s="372">
        <v>0.0</v>
      </c>
    </row>
    <row r="27839">
      <c r="Y27839" s="372">
        <v>0.0</v>
      </c>
      <c r="Z27839" s="372">
        <v>0.0</v>
      </c>
    </row>
    <row r="27840">
      <c r="Y27840" s="372">
        <v>0.0</v>
      </c>
      <c r="Z27840" s="372">
        <v>0.0</v>
      </c>
    </row>
    <row r="27841">
      <c r="Y27841" s="372">
        <v>0.0</v>
      </c>
      <c r="Z27841" s="372">
        <v>0.0</v>
      </c>
    </row>
    <row r="27842">
      <c r="Y27842" s="372">
        <v>0.0</v>
      </c>
      <c r="Z27842" s="372">
        <v>0.0</v>
      </c>
    </row>
    <row r="27843">
      <c r="Y27843" s="372">
        <v>0.0</v>
      </c>
      <c r="Z27843" s="372">
        <v>0.0</v>
      </c>
    </row>
    <row r="27844">
      <c r="Y27844" s="372">
        <v>0.0</v>
      </c>
      <c r="Z27844" s="372">
        <v>0.0</v>
      </c>
    </row>
    <row r="27845">
      <c r="Y27845" s="372">
        <v>0.0</v>
      </c>
      <c r="Z27845" s="372">
        <v>0.0</v>
      </c>
    </row>
    <row r="27846">
      <c r="Y27846" s="372">
        <v>0.0</v>
      </c>
      <c r="Z27846" s="372">
        <v>0.0</v>
      </c>
    </row>
    <row r="27847">
      <c r="Y27847" s="372">
        <v>0.0</v>
      </c>
      <c r="Z27847" s="372">
        <v>0.0</v>
      </c>
    </row>
    <row r="27848">
      <c r="Y27848" s="372">
        <v>0.0</v>
      </c>
      <c r="Z27848" s="372">
        <v>0.0</v>
      </c>
    </row>
    <row r="27849">
      <c r="Y27849" s="372">
        <v>0.0</v>
      </c>
      <c r="Z27849" s="372">
        <v>0.0</v>
      </c>
    </row>
    <row r="27850">
      <c r="Y27850" s="372">
        <v>0.0</v>
      </c>
      <c r="Z27850" s="372">
        <v>0.0</v>
      </c>
    </row>
    <row r="27851">
      <c r="Y27851" s="372">
        <v>0.0</v>
      </c>
      <c r="Z27851" s="372">
        <v>0.0</v>
      </c>
    </row>
    <row r="27852">
      <c r="Y27852" s="372">
        <v>0.0</v>
      </c>
      <c r="Z27852" s="372">
        <v>0.0</v>
      </c>
    </row>
    <row r="27853">
      <c r="Y27853" s="372">
        <v>0.0</v>
      </c>
      <c r="Z27853" s="372">
        <v>0.0</v>
      </c>
    </row>
    <row r="27854">
      <c r="Y27854" s="372">
        <v>0.0</v>
      </c>
      <c r="Z27854" s="372">
        <v>0.0</v>
      </c>
    </row>
    <row r="27855">
      <c r="Y27855" s="372">
        <v>0.0</v>
      </c>
      <c r="Z27855" s="372">
        <v>0.0</v>
      </c>
    </row>
    <row r="27856">
      <c r="Y27856" s="372">
        <v>0.0</v>
      </c>
      <c r="Z27856" s="372">
        <v>0.0</v>
      </c>
    </row>
    <row r="27857">
      <c r="Y27857" s="372">
        <v>0.0</v>
      </c>
      <c r="Z27857" s="372">
        <v>0.0</v>
      </c>
    </row>
    <row r="27858">
      <c r="Y27858" s="372">
        <v>0.0</v>
      </c>
      <c r="Z27858" s="372">
        <v>0.0</v>
      </c>
    </row>
    <row r="27859">
      <c r="Y27859" s="372">
        <v>0.0</v>
      </c>
      <c r="Z27859" s="372">
        <v>0.0</v>
      </c>
    </row>
    <row r="27860">
      <c r="Y27860" s="372">
        <v>0.0</v>
      </c>
      <c r="Z27860" s="372">
        <v>0.0</v>
      </c>
    </row>
    <row r="27861">
      <c r="Y27861" s="372">
        <v>0.0</v>
      </c>
      <c r="Z27861" s="372">
        <v>0.0</v>
      </c>
    </row>
    <row r="27862">
      <c r="Y27862" s="372">
        <v>0.0</v>
      </c>
      <c r="Z27862" s="372">
        <v>0.0</v>
      </c>
    </row>
    <row r="27863">
      <c r="Y27863" s="372">
        <v>0.0</v>
      </c>
      <c r="Z27863" s="372">
        <v>0.0</v>
      </c>
    </row>
    <row r="27864">
      <c r="Y27864" s="372">
        <v>0.0</v>
      </c>
      <c r="Z27864" s="372">
        <v>0.0</v>
      </c>
    </row>
    <row r="27865">
      <c r="Y27865" s="372">
        <v>0.0</v>
      </c>
      <c r="Z27865" s="372">
        <v>0.0</v>
      </c>
    </row>
    <row r="27866">
      <c r="Y27866" s="372">
        <v>0.0</v>
      </c>
      <c r="Z27866" s="372">
        <v>0.0</v>
      </c>
    </row>
    <row r="27867">
      <c r="Y27867" s="372">
        <v>0.0</v>
      </c>
      <c r="Z27867" s="372">
        <v>0.0</v>
      </c>
    </row>
    <row r="27868">
      <c r="Y27868" s="372">
        <v>0.0</v>
      </c>
      <c r="Z27868" s="372">
        <v>0.0</v>
      </c>
    </row>
    <row r="27869">
      <c r="Y27869" s="372">
        <v>0.0</v>
      </c>
      <c r="Z27869" s="372">
        <v>0.0</v>
      </c>
    </row>
    <row r="27870">
      <c r="Y27870" s="372">
        <v>0.0</v>
      </c>
      <c r="Z27870" s="372">
        <v>0.0</v>
      </c>
    </row>
    <row r="27871">
      <c r="Y27871" s="372">
        <v>0.0</v>
      </c>
      <c r="Z27871" s="372">
        <v>0.0</v>
      </c>
    </row>
    <row r="27872">
      <c r="Y27872" s="372">
        <v>0.0</v>
      </c>
      <c r="Z27872" s="372">
        <v>0.0</v>
      </c>
    </row>
    <row r="27873">
      <c r="Y27873" s="372">
        <v>0.0</v>
      </c>
      <c r="Z27873" s="372">
        <v>0.0</v>
      </c>
    </row>
    <row r="27874">
      <c r="Y27874" s="372">
        <v>0.0</v>
      </c>
      <c r="Z27874" s="372">
        <v>0.0</v>
      </c>
    </row>
    <row r="27875">
      <c r="Y27875" s="372">
        <v>0.0</v>
      </c>
      <c r="Z27875" s="372">
        <v>0.0</v>
      </c>
    </row>
    <row r="27876">
      <c r="Y27876" s="372">
        <v>0.0</v>
      </c>
      <c r="Z27876" s="372">
        <v>0.0</v>
      </c>
    </row>
    <row r="27877">
      <c r="Y27877" s="372">
        <v>0.0</v>
      </c>
      <c r="Z27877" s="372">
        <v>0.0</v>
      </c>
    </row>
    <row r="27878">
      <c r="Y27878" s="372">
        <v>0.0</v>
      </c>
      <c r="Z27878" s="372">
        <v>0.0</v>
      </c>
    </row>
    <row r="27879">
      <c r="Y27879" s="372">
        <v>0.0</v>
      </c>
      <c r="Z27879" s="372">
        <v>0.0</v>
      </c>
    </row>
    <row r="27880">
      <c r="Y27880" s="372">
        <v>0.0</v>
      </c>
      <c r="Z27880" s="372">
        <v>0.0</v>
      </c>
    </row>
    <row r="27881">
      <c r="Y27881" s="372">
        <v>0.0</v>
      </c>
      <c r="Z27881" s="372">
        <v>0.0</v>
      </c>
    </row>
    <row r="27882">
      <c r="Y27882" s="372">
        <v>0.0</v>
      </c>
      <c r="Z27882" s="372">
        <v>0.0</v>
      </c>
    </row>
    <row r="27883">
      <c r="Y27883" s="372">
        <v>0.0</v>
      </c>
      <c r="Z27883" s="372">
        <v>0.0</v>
      </c>
    </row>
    <row r="27884">
      <c r="Y27884" s="372">
        <v>0.0</v>
      </c>
      <c r="Z27884" s="372">
        <v>0.0</v>
      </c>
    </row>
    <row r="27885">
      <c r="Y27885" s="372">
        <v>0.0</v>
      </c>
      <c r="Z27885" s="372">
        <v>0.0</v>
      </c>
    </row>
    <row r="27886">
      <c r="Y27886" s="372">
        <v>0.0</v>
      </c>
      <c r="Z27886" s="372">
        <v>0.0</v>
      </c>
    </row>
    <row r="27887">
      <c r="Y27887" s="372">
        <v>0.0</v>
      </c>
      <c r="Z27887" s="372">
        <v>0.0</v>
      </c>
    </row>
    <row r="27888">
      <c r="Y27888" s="372">
        <v>0.0</v>
      </c>
      <c r="Z27888" s="372">
        <v>0.0</v>
      </c>
    </row>
    <row r="27889">
      <c r="Y27889" s="372">
        <v>0.0</v>
      </c>
      <c r="Z27889" s="372">
        <v>0.0</v>
      </c>
    </row>
    <row r="27890">
      <c r="Y27890" s="372">
        <v>0.0</v>
      </c>
      <c r="Z27890" s="372">
        <v>0.0</v>
      </c>
    </row>
    <row r="27891">
      <c r="Y27891" s="372">
        <v>0.0</v>
      </c>
      <c r="Z27891" s="372">
        <v>0.0</v>
      </c>
    </row>
    <row r="27892">
      <c r="Y27892" s="372">
        <v>0.0</v>
      </c>
      <c r="Z27892" s="372">
        <v>0.0</v>
      </c>
    </row>
    <row r="27893">
      <c r="Y27893" s="372">
        <v>0.0</v>
      </c>
      <c r="Z27893" s="372">
        <v>0.0</v>
      </c>
    </row>
    <row r="27894">
      <c r="Y27894" s="372">
        <v>0.0</v>
      </c>
      <c r="Z27894" s="372">
        <v>0.0</v>
      </c>
    </row>
    <row r="27895">
      <c r="Y27895" s="372">
        <v>0.0</v>
      </c>
      <c r="Z27895" s="372">
        <v>0.0</v>
      </c>
    </row>
    <row r="27896">
      <c r="Y27896" s="372">
        <v>0.0</v>
      </c>
      <c r="Z27896" s="372">
        <v>0.0</v>
      </c>
    </row>
    <row r="27897">
      <c r="Y27897" s="372">
        <v>0.0</v>
      </c>
      <c r="Z27897" s="372">
        <v>0.0</v>
      </c>
    </row>
    <row r="27898">
      <c r="Y27898" s="372">
        <v>0.0</v>
      </c>
      <c r="Z27898" s="372">
        <v>0.0</v>
      </c>
    </row>
    <row r="27899">
      <c r="Y27899" s="372">
        <v>0.0</v>
      </c>
      <c r="Z27899" s="372">
        <v>0.0</v>
      </c>
    </row>
    <row r="27900">
      <c r="Y27900" s="372">
        <v>0.0</v>
      </c>
      <c r="Z27900" s="372">
        <v>0.0</v>
      </c>
    </row>
    <row r="27901">
      <c r="Y27901" s="372">
        <v>0.0</v>
      </c>
      <c r="Z27901" s="372">
        <v>0.0</v>
      </c>
    </row>
    <row r="27902">
      <c r="Y27902" s="372">
        <v>0.0</v>
      </c>
      <c r="Z27902" s="372">
        <v>0.0</v>
      </c>
    </row>
    <row r="27903">
      <c r="Y27903" s="372">
        <v>0.0</v>
      </c>
      <c r="Z27903" s="372">
        <v>0.0</v>
      </c>
    </row>
    <row r="27904">
      <c r="Y27904" s="372">
        <v>0.0</v>
      </c>
      <c r="Z27904" s="372">
        <v>0.0</v>
      </c>
    </row>
    <row r="27905">
      <c r="Y27905" s="372">
        <v>0.0</v>
      </c>
      <c r="Z27905" s="372">
        <v>0.0</v>
      </c>
    </row>
    <row r="27906">
      <c r="Y27906" s="372">
        <v>0.0</v>
      </c>
      <c r="Z27906" s="372">
        <v>0.0</v>
      </c>
    </row>
    <row r="27907">
      <c r="Y27907" s="372">
        <v>0.0</v>
      </c>
      <c r="Z27907" s="372">
        <v>0.0</v>
      </c>
    </row>
    <row r="27908">
      <c r="Y27908" s="372">
        <v>0.0</v>
      </c>
      <c r="Z27908" s="372">
        <v>0.0</v>
      </c>
    </row>
    <row r="27909">
      <c r="Y27909" s="372">
        <v>0.0</v>
      </c>
      <c r="Z27909" s="372">
        <v>0.0</v>
      </c>
    </row>
    <row r="27910">
      <c r="Y27910" s="372">
        <v>0.0</v>
      </c>
      <c r="Z27910" s="372">
        <v>0.0</v>
      </c>
    </row>
    <row r="27911">
      <c r="Y27911" s="372">
        <v>0.0</v>
      </c>
      <c r="Z27911" s="372">
        <v>0.0</v>
      </c>
    </row>
    <row r="27912">
      <c r="Y27912" s="372">
        <v>0.0</v>
      </c>
      <c r="Z27912" s="372">
        <v>0.0</v>
      </c>
    </row>
    <row r="27913">
      <c r="Y27913" s="372">
        <v>0.0</v>
      </c>
      <c r="Z27913" s="372">
        <v>0.0</v>
      </c>
    </row>
    <row r="27914">
      <c r="Y27914" s="372">
        <v>0.0</v>
      </c>
      <c r="Z27914" s="372">
        <v>0.0</v>
      </c>
    </row>
    <row r="27915">
      <c r="Y27915" s="372">
        <v>0.0</v>
      </c>
      <c r="Z27915" s="372">
        <v>0.0</v>
      </c>
    </row>
    <row r="27916">
      <c r="Y27916" s="372">
        <v>0.0</v>
      </c>
      <c r="Z27916" s="372">
        <v>0.0</v>
      </c>
    </row>
    <row r="27917">
      <c r="Y27917" s="372">
        <v>0.0</v>
      </c>
      <c r="Z27917" s="372">
        <v>0.0</v>
      </c>
    </row>
    <row r="27918">
      <c r="Y27918" s="372">
        <v>0.0</v>
      </c>
      <c r="Z27918" s="372">
        <v>0.0</v>
      </c>
    </row>
    <row r="27919">
      <c r="Y27919" s="372">
        <v>0.0</v>
      </c>
      <c r="Z27919" s="372">
        <v>0.0</v>
      </c>
    </row>
    <row r="27920">
      <c r="Y27920" s="372">
        <v>0.0</v>
      </c>
      <c r="Z27920" s="372">
        <v>0.0</v>
      </c>
    </row>
    <row r="27921">
      <c r="Y27921" s="372">
        <v>0.0</v>
      </c>
      <c r="Z27921" s="372">
        <v>0.0</v>
      </c>
    </row>
    <row r="27922">
      <c r="Y27922" s="372">
        <v>0.0</v>
      </c>
      <c r="Z27922" s="372">
        <v>0.0</v>
      </c>
    </row>
    <row r="27923">
      <c r="Y27923" s="372">
        <v>0.0</v>
      </c>
      <c r="Z27923" s="372">
        <v>0.0</v>
      </c>
    </row>
    <row r="27924">
      <c r="Y27924" s="372">
        <v>0.0</v>
      </c>
      <c r="Z27924" s="372">
        <v>0.0</v>
      </c>
    </row>
    <row r="27925">
      <c r="Y27925" s="372">
        <v>0.0</v>
      </c>
      <c r="Z27925" s="372">
        <v>0.0</v>
      </c>
    </row>
    <row r="27926">
      <c r="Y27926" s="372">
        <v>0.0</v>
      </c>
      <c r="Z27926" s="372">
        <v>0.0</v>
      </c>
    </row>
    <row r="27927">
      <c r="Y27927" s="372">
        <v>0.0</v>
      </c>
      <c r="Z27927" s="372">
        <v>0.0</v>
      </c>
    </row>
    <row r="27928">
      <c r="Y27928" s="372">
        <v>0.0</v>
      </c>
      <c r="Z27928" s="372">
        <v>0.0</v>
      </c>
    </row>
    <row r="27929">
      <c r="Y27929" s="372">
        <v>0.0</v>
      </c>
      <c r="Z27929" s="372">
        <v>0.0</v>
      </c>
    </row>
    <row r="27930">
      <c r="Y27930" s="372">
        <v>0.0</v>
      </c>
      <c r="Z27930" s="372">
        <v>0.0</v>
      </c>
    </row>
    <row r="27931">
      <c r="Y27931" s="372">
        <v>0.0</v>
      </c>
      <c r="Z27931" s="372">
        <v>0.0</v>
      </c>
    </row>
    <row r="27932">
      <c r="Y27932" s="372">
        <v>0.0</v>
      </c>
      <c r="Z27932" s="372">
        <v>0.0</v>
      </c>
    </row>
    <row r="27933">
      <c r="Y27933" s="372">
        <v>0.0</v>
      </c>
      <c r="Z27933" s="372">
        <v>0.0</v>
      </c>
    </row>
    <row r="27934">
      <c r="Y27934" s="372">
        <v>0.0</v>
      </c>
      <c r="Z27934" s="372">
        <v>0.0</v>
      </c>
    </row>
    <row r="27935">
      <c r="Y27935" s="372">
        <v>0.0</v>
      </c>
      <c r="Z27935" s="372">
        <v>0.0</v>
      </c>
    </row>
    <row r="27936">
      <c r="Y27936" s="372">
        <v>0.0</v>
      </c>
      <c r="Z27936" s="372">
        <v>0.0</v>
      </c>
    </row>
    <row r="27937">
      <c r="Y27937" s="372">
        <v>0.0</v>
      </c>
      <c r="Z27937" s="372">
        <v>0.0</v>
      </c>
    </row>
    <row r="27938">
      <c r="Y27938" s="372">
        <v>0.0</v>
      </c>
      <c r="Z27938" s="372">
        <v>0.0</v>
      </c>
    </row>
    <row r="27939">
      <c r="Y27939" s="372">
        <v>0.0</v>
      </c>
      <c r="Z27939" s="372">
        <v>0.0</v>
      </c>
    </row>
    <row r="27940">
      <c r="Y27940" s="372">
        <v>0.0</v>
      </c>
      <c r="Z27940" s="372">
        <v>0.0</v>
      </c>
    </row>
    <row r="27941">
      <c r="Y27941" s="372">
        <v>0.0</v>
      </c>
      <c r="Z27941" s="372">
        <v>0.0</v>
      </c>
    </row>
    <row r="27942">
      <c r="Y27942" s="372">
        <v>0.0</v>
      </c>
      <c r="Z27942" s="372">
        <v>0.0</v>
      </c>
    </row>
    <row r="27943">
      <c r="Y27943" s="372">
        <v>0.0</v>
      </c>
      <c r="Z27943" s="372">
        <v>0.0</v>
      </c>
    </row>
    <row r="27944">
      <c r="Y27944" s="372">
        <v>0.0</v>
      </c>
      <c r="Z27944" s="372">
        <v>0.0</v>
      </c>
    </row>
    <row r="27945">
      <c r="Y27945" s="372">
        <v>0.0</v>
      </c>
      <c r="Z27945" s="372">
        <v>0.0</v>
      </c>
    </row>
    <row r="27946">
      <c r="Y27946" s="372">
        <v>0.0</v>
      </c>
      <c r="Z27946" s="372">
        <v>0.0</v>
      </c>
    </row>
    <row r="27947">
      <c r="Y27947" s="372">
        <v>0.0</v>
      </c>
      <c r="Z27947" s="372">
        <v>0.0</v>
      </c>
    </row>
    <row r="27948">
      <c r="Y27948" s="372">
        <v>0.0</v>
      </c>
      <c r="Z27948" s="372">
        <v>0.0</v>
      </c>
    </row>
    <row r="27949">
      <c r="Y27949" s="372">
        <v>0.0</v>
      </c>
      <c r="Z27949" s="372">
        <v>0.0</v>
      </c>
    </row>
    <row r="27950">
      <c r="Y27950" s="372">
        <v>0.0</v>
      </c>
      <c r="Z27950" s="372">
        <v>0.0</v>
      </c>
    </row>
    <row r="27951">
      <c r="Y27951" s="372">
        <v>0.0</v>
      </c>
      <c r="Z27951" s="372">
        <v>0.0</v>
      </c>
    </row>
    <row r="27952">
      <c r="Y27952" s="372">
        <v>0.0</v>
      </c>
      <c r="Z27952" s="372">
        <v>0.0</v>
      </c>
    </row>
    <row r="27953">
      <c r="Y27953" s="372">
        <v>0.0</v>
      </c>
      <c r="Z27953" s="372">
        <v>0.0</v>
      </c>
    </row>
    <row r="27954">
      <c r="Y27954" s="372">
        <v>0.0</v>
      </c>
      <c r="Z27954" s="372">
        <v>0.0</v>
      </c>
    </row>
    <row r="27955">
      <c r="Y27955" s="372">
        <v>0.0</v>
      </c>
      <c r="Z27955" s="372">
        <v>0.0</v>
      </c>
    </row>
    <row r="27956">
      <c r="Y27956" s="372">
        <v>0.0</v>
      </c>
      <c r="Z27956" s="372">
        <v>0.0</v>
      </c>
    </row>
    <row r="27957">
      <c r="Y27957" s="372">
        <v>0.0</v>
      </c>
      <c r="Z27957" s="372">
        <v>0.0</v>
      </c>
    </row>
    <row r="27958">
      <c r="Y27958" s="372">
        <v>0.0</v>
      </c>
      <c r="Z27958" s="372">
        <v>0.0</v>
      </c>
    </row>
    <row r="27959">
      <c r="Y27959" s="372">
        <v>0.0</v>
      </c>
      <c r="Z27959" s="372">
        <v>0.0</v>
      </c>
    </row>
    <row r="27960">
      <c r="Y27960" s="372">
        <v>0.0</v>
      </c>
      <c r="Z27960" s="372">
        <v>0.0</v>
      </c>
    </row>
    <row r="27961">
      <c r="Y27961" s="372">
        <v>0.0</v>
      </c>
      <c r="Z27961" s="372">
        <v>0.0</v>
      </c>
    </row>
    <row r="27962">
      <c r="Y27962" s="372">
        <v>0.0</v>
      </c>
      <c r="Z27962" s="372">
        <v>0.0</v>
      </c>
    </row>
    <row r="27963">
      <c r="Y27963" s="372">
        <v>0.0</v>
      </c>
      <c r="Z27963" s="372">
        <v>0.0</v>
      </c>
    </row>
    <row r="27964">
      <c r="Y27964" s="372">
        <v>0.0</v>
      </c>
      <c r="Z27964" s="372">
        <v>0.0</v>
      </c>
    </row>
    <row r="27965">
      <c r="Y27965" s="372">
        <v>0.0</v>
      </c>
      <c r="Z27965" s="372">
        <v>0.0</v>
      </c>
    </row>
    <row r="27966">
      <c r="Y27966" s="372">
        <v>0.0</v>
      </c>
      <c r="Z27966" s="372">
        <v>0.0</v>
      </c>
    </row>
    <row r="27967">
      <c r="Y27967" s="372">
        <v>0.0</v>
      </c>
      <c r="Z27967" s="372">
        <v>0.0</v>
      </c>
    </row>
    <row r="27968">
      <c r="Y27968" s="372">
        <v>0.0</v>
      </c>
      <c r="Z27968" s="372">
        <v>0.0</v>
      </c>
    </row>
    <row r="27969">
      <c r="Y27969" s="372">
        <v>0.0</v>
      </c>
      <c r="Z27969" s="372">
        <v>0.0</v>
      </c>
    </row>
    <row r="27970">
      <c r="Y27970" s="372">
        <v>0.0</v>
      </c>
      <c r="Z27970" s="372">
        <v>0.0</v>
      </c>
    </row>
    <row r="27971">
      <c r="Y27971" s="372">
        <v>0.0</v>
      </c>
      <c r="Z27971" s="372">
        <v>0.0</v>
      </c>
    </row>
    <row r="27972">
      <c r="Y27972" s="372">
        <v>0.0</v>
      </c>
      <c r="Z27972" s="372">
        <v>0.0</v>
      </c>
    </row>
    <row r="27973">
      <c r="Y27973" s="372">
        <v>0.0</v>
      </c>
      <c r="Z27973" s="372">
        <v>0.0</v>
      </c>
    </row>
    <row r="27974">
      <c r="Y27974" s="372">
        <v>0.0</v>
      </c>
      <c r="Z27974" s="372">
        <v>0.0</v>
      </c>
    </row>
    <row r="27975">
      <c r="Y27975" s="372">
        <v>0.0</v>
      </c>
      <c r="Z27975" s="372">
        <v>0.0</v>
      </c>
    </row>
    <row r="27976">
      <c r="Y27976" s="372">
        <v>0.0</v>
      </c>
      <c r="Z27976" s="372">
        <v>0.0</v>
      </c>
    </row>
    <row r="27977">
      <c r="Y27977" s="372">
        <v>0.0</v>
      </c>
      <c r="Z27977" s="372">
        <v>0.0</v>
      </c>
    </row>
    <row r="27978">
      <c r="Y27978" s="372">
        <v>0.0</v>
      </c>
      <c r="Z27978" s="372">
        <v>0.0</v>
      </c>
    </row>
    <row r="27979">
      <c r="Y27979" s="372">
        <v>0.0</v>
      </c>
      <c r="Z27979" s="372">
        <v>0.0</v>
      </c>
    </row>
    <row r="27980">
      <c r="Y27980" s="372">
        <v>0.0</v>
      </c>
      <c r="Z27980" s="372">
        <v>0.0</v>
      </c>
    </row>
    <row r="27981">
      <c r="Y27981" s="372">
        <v>0.0</v>
      </c>
      <c r="Z27981" s="372">
        <v>0.0</v>
      </c>
    </row>
    <row r="27982">
      <c r="Y27982" s="372">
        <v>0.0</v>
      </c>
      <c r="Z27982" s="372">
        <v>0.0</v>
      </c>
    </row>
    <row r="27983">
      <c r="Y27983" s="372">
        <v>0.0</v>
      </c>
      <c r="Z27983" s="372">
        <v>0.0</v>
      </c>
    </row>
    <row r="27984">
      <c r="Y27984" s="372">
        <v>0.0</v>
      </c>
      <c r="Z27984" s="372">
        <v>0.0</v>
      </c>
    </row>
    <row r="27985">
      <c r="Y27985" s="372">
        <v>0.0</v>
      </c>
      <c r="Z27985" s="372">
        <v>0.0</v>
      </c>
    </row>
    <row r="27986">
      <c r="Y27986" s="372">
        <v>0.0</v>
      </c>
      <c r="Z27986" s="372">
        <v>0.0</v>
      </c>
    </row>
    <row r="27987">
      <c r="Y27987" s="372">
        <v>0.0</v>
      </c>
      <c r="Z27987" s="372">
        <v>0.0</v>
      </c>
    </row>
    <row r="27988">
      <c r="Y27988" s="372">
        <v>0.0</v>
      </c>
      <c r="Z27988" s="372">
        <v>0.0</v>
      </c>
    </row>
    <row r="27989">
      <c r="Y27989" s="372">
        <v>0.0</v>
      </c>
      <c r="Z27989" s="372">
        <v>0.0</v>
      </c>
    </row>
    <row r="27990">
      <c r="Y27990" s="372">
        <v>0.0</v>
      </c>
      <c r="Z27990" s="372">
        <v>0.0</v>
      </c>
    </row>
    <row r="27991">
      <c r="Y27991" s="372">
        <v>0.0</v>
      </c>
      <c r="Z27991" s="372">
        <v>0.0</v>
      </c>
    </row>
    <row r="27992">
      <c r="Y27992" s="372">
        <v>0.0</v>
      </c>
      <c r="Z27992" s="372">
        <v>0.0</v>
      </c>
    </row>
    <row r="27993">
      <c r="Y27993" s="372">
        <v>0.0</v>
      </c>
      <c r="Z27993" s="372">
        <v>0.0</v>
      </c>
    </row>
    <row r="27994">
      <c r="Y27994" s="372">
        <v>0.0</v>
      </c>
      <c r="Z27994" s="372">
        <v>0.0</v>
      </c>
    </row>
    <row r="27995">
      <c r="Y27995" s="372">
        <v>0.0</v>
      </c>
      <c r="Z27995" s="372">
        <v>0.0</v>
      </c>
    </row>
    <row r="27996">
      <c r="Y27996" s="372">
        <v>0.0</v>
      </c>
      <c r="Z27996" s="372">
        <v>0.0</v>
      </c>
    </row>
    <row r="27997">
      <c r="Y27997" s="372">
        <v>0.0</v>
      </c>
      <c r="Z27997" s="372">
        <v>0.0</v>
      </c>
    </row>
    <row r="27998">
      <c r="Y27998" s="372">
        <v>0.0</v>
      </c>
      <c r="Z27998" s="372">
        <v>0.0</v>
      </c>
    </row>
    <row r="27999">
      <c r="Y27999" s="372">
        <v>0.0</v>
      </c>
      <c r="Z27999" s="372">
        <v>0.0</v>
      </c>
    </row>
    <row r="28000">
      <c r="Y28000" s="372">
        <v>0.0</v>
      </c>
      <c r="Z28000" s="372">
        <v>0.0</v>
      </c>
    </row>
    <row r="28001">
      <c r="Y28001" s="372">
        <v>0.0</v>
      </c>
      <c r="Z28001" s="372">
        <v>0.0</v>
      </c>
    </row>
    <row r="28002">
      <c r="Y28002" s="372">
        <v>0.0</v>
      </c>
      <c r="Z28002" s="372">
        <v>0.0</v>
      </c>
    </row>
    <row r="28003">
      <c r="Y28003" s="372">
        <v>0.0</v>
      </c>
      <c r="Z28003" s="372">
        <v>0.0</v>
      </c>
    </row>
    <row r="28004">
      <c r="Y28004" s="372">
        <v>0.0</v>
      </c>
      <c r="Z28004" s="372">
        <v>0.0</v>
      </c>
    </row>
    <row r="28005">
      <c r="Y28005" s="372">
        <v>0.0</v>
      </c>
      <c r="Z28005" s="372">
        <v>0.0</v>
      </c>
    </row>
    <row r="28006">
      <c r="Y28006" s="372">
        <v>0.0</v>
      </c>
      <c r="Z28006" s="372">
        <v>0.0</v>
      </c>
    </row>
    <row r="28007">
      <c r="Y28007" s="372">
        <v>0.0</v>
      </c>
      <c r="Z28007" s="372">
        <v>0.0</v>
      </c>
    </row>
    <row r="28008">
      <c r="Y28008" s="372">
        <v>0.0</v>
      </c>
      <c r="Z28008" s="372">
        <v>0.0</v>
      </c>
    </row>
    <row r="28009">
      <c r="Y28009" s="372">
        <v>0.0</v>
      </c>
      <c r="Z28009" s="372">
        <v>0.0</v>
      </c>
    </row>
    <row r="28010">
      <c r="Y28010" s="372">
        <v>0.0</v>
      </c>
      <c r="Z28010" s="372">
        <v>0.0</v>
      </c>
    </row>
    <row r="28011">
      <c r="Y28011" s="372">
        <v>0.0</v>
      </c>
      <c r="Z28011" s="372">
        <v>0.0</v>
      </c>
    </row>
    <row r="28012">
      <c r="Y28012" s="372">
        <v>0.0</v>
      </c>
      <c r="Z28012" s="372">
        <v>0.0</v>
      </c>
    </row>
    <row r="28013">
      <c r="Y28013" s="372">
        <v>0.0</v>
      </c>
      <c r="Z28013" s="372">
        <v>0.0</v>
      </c>
    </row>
    <row r="28014">
      <c r="Y28014" s="372">
        <v>0.0</v>
      </c>
      <c r="Z28014" s="372">
        <v>0.0</v>
      </c>
    </row>
    <row r="28015">
      <c r="Y28015" s="372">
        <v>0.0</v>
      </c>
      <c r="Z28015" s="372">
        <v>0.0</v>
      </c>
    </row>
    <row r="28016">
      <c r="Y28016" s="372">
        <v>0.0</v>
      </c>
      <c r="Z28016" s="372">
        <v>0.0</v>
      </c>
    </row>
    <row r="28017">
      <c r="Y28017" s="372">
        <v>0.0</v>
      </c>
      <c r="Z28017" s="372">
        <v>0.0</v>
      </c>
    </row>
    <row r="28018">
      <c r="Y28018" s="372">
        <v>0.0</v>
      </c>
      <c r="Z28018" s="372">
        <v>0.0</v>
      </c>
    </row>
    <row r="28019">
      <c r="Y28019" s="372">
        <v>0.0</v>
      </c>
      <c r="Z28019" s="372">
        <v>0.0</v>
      </c>
    </row>
    <row r="28020">
      <c r="Y28020" s="372">
        <v>0.0</v>
      </c>
      <c r="Z28020" s="372">
        <v>0.0</v>
      </c>
    </row>
    <row r="28021">
      <c r="Y28021" s="372">
        <v>0.0</v>
      </c>
      <c r="Z28021" s="372">
        <v>0.0</v>
      </c>
    </row>
    <row r="28022">
      <c r="Y28022" s="372">
        <v>0.0</v>
      </c>
      <c r="Z28022" s="372">
        <v>0.0</v>
      </c>
    </row>
    <row r="28023">
      <c r="Y28023" s="372">
        <v>0.0</v>
      </c>
      <c r="Z28023" s="372">
        <v>0.0</v>
      </c>
    </row>
    <row r="28024">
      <c r="Y28024" s="372">
        <v>0.0</v>
      </c>
      <c r="Z28024" s="372">
        <v>0.0</v>
      </c>
    </row>
    <row r="28025">
      <c r="Y28025" s="372">
        <v>0.0</v>
      </c>
      <c r="Z28025" s="372">
        <v>0.0</v>
      </c>
    </row>
    <row r="28026">
      <c r="Y28026" s="372">
        <v>0.0</v>
      </c>
      <c r="Z28026" s="372">
        <v>0.0</v>
      </c>
    </row>
    <row r="28027">
      <c r="Y28027" s="372">
        <v>0.0</v>
      </c>
      <c r="Z28027" s="372">
        <v>0.0</v>
      </c>
    </row>
    <row r="28028">
      <c r="Y28028" s="372">
        <v>0.0</v>
      </c>
      <c r="Z28028" s="372">
        <v>0.0</v>
      </c>
    </row>
    <row r="28029">
      <c r="Y28029" s="372">
        <v>0.0</v>
      </c>
      <c r="Z28029" s="372">
        <v>0.0</v>
      </c>
    </row>
    <row r="28030">
      <c r="Y28030" s="372">
        <v>0.0</v>
      </c>
      <c r="Z28030" s="372">
        <v>0.0</v>
      </c>
    </row>
    <row r="28031">
      <c r="Y28031" s="372">
        <v>0.0</v>
      </c>
      <c r="Z28031" s="372">
        <v>0.0</v>
      </c>
    </row>
    <row r="28032">
      <c r="Y28032" s="372">
        <v>0.0</v>
      </c>
      <c r="Z28032" s="372">
        <v>0.0</v>
      </c>
    </row>
    <row r="28033">
      <c r="Y28033" s="372">
        <v>0.0</v>
      </c>
      <c r="Z28033" s="372">
        <v>0.0</v>
      </c>
    </row>
    <row r="28034">
      <c r="Y28034" s="372">
        <v>0.0</v>
      </c>
      <c r="Z28034" s="372">
        <v>0.0</v>
      </c>
    </row>
    <row r="28035">
      <c r="Y28035" s="372">
        <v>0.0</v>
      </c>
      <c r="Z28035" s="372">
        <v>0.0</v>
      </c>
    </row>
    <row r="28036">
      <c r="Y28036" s="372">
        <v>0.0</v>
      </c>
      <c r="Z28036" s="372">
        <v>0.0</v>
      </c>
    </row>
    <row r="28037">
      <c r="Y28037" s="372">
        <v>0.0</v>
      </c>
      <c r="Z28037" s="372">
        <v>0.0</v>
      </c>
    </row>
    <row r="28038">
      <c r="Y28038" s="372">
        <v>0.0</v>
      </c>
      <c r="Z28038" s="372">
        <v>0.0</v>
      </c>
    </row>
    <row r="28039">
      <c r="Y28039" s="372">
        <v>0.0</v>
      </c>
      <c r="Z28039" s="372">
        <v>0.0</v>
      </c>
    </row>
    <row r="28040">
      <c r="Y28040" s="372">
        <v>0.0</v>
      </c>
      <c r="Z28040" s="372">
        <v>0.0</v>
      </c>
    </row>
    <row r="28041">
      <c r="Y28041" s="372">
        <v>0.0</v>
      </c>
      <c r="Z28041" s="372">
        <v>0.0</v>
      </c>
    </row>
    <row r="28042">
      <c r="Y28042" s="372">
        <v>0.0</v>
      </c>
      <c r="Z28042" s="372">
        <v>0.0</v>
      </c>
    </row>
    <row r="28043">
      <c r="Y28043" s="372">
        <v>0.0</v>
      </c>
      <c r="Z28043" s="372">
        <v>0.0</v>
      </c>
    </row>
    <row r="28044">
      <c r="Y28044" s="372">
        <v>0.0</v>
      </c>
      <c r="Z28044" s="372">
        <v>0.0</v>
      </c>
    </row>
    <row r="28045">
      <c r="Y28045" s="372">
        <v>0.0</v>
      </c>
      <c r="Z28045" s="372">
        <v>0.0</v>
      </c>
    </row>
    <row r="28046">
      <c r="Y28046" s="372">
        <v>0.0</v>
      </c>
      <c r="Z28046" s="372">
        <v>0.0</v>
      </c>
    </row>
    <row r="28047">
      <c r="Y28047" s="372">
        <v>0.0</v>
      </c>
      <c r="Z28047" s="372">
        <v>0.0</v>
      </c>
    </row>
    <row r="28048">
      <c r="Y28048" s="372">
        <v>0.0</v>
      </c>
      <c r="Z28048" s="372">
        <v>0.0</v>
      </c>
    </row>
    <row r="28049">
      <c r="Y28049" s="372">
        <v>0.0</v>
      </c>
      <c r="Z28049" s="372">
        <v>0.0</v>
      </c>
    </row>
    <row r="28050">
      <c r="Y28050" s="372">
        <v>0.0</v>
      </c>
      <c r="Z28050" s="372">
        <v>0.0</v>
      </c>
    </row>
    <row r="28051">
      <c r="Y28051" s="372">
        <v>0.0</v>
      </c>
      <c r="Z28051" s="372">
        <v>0.0</v>
      </c>
    </row>
    <row r="28052">
      <c r="Y28052" s="372">
        <v>0.0</v>
      </c>
      <c r="Z28052" s="372">
        <v>0.0</v>
      </c>
    </row>
    <row r="28053">
      <c r="Y28053" s="372">
        <v>0.0</v>
      </c>
      <c r="Z28053" s="372">
        <v>0.0</v>
      </c>
    </row>
    <row r="28054">
      <c r="Y28054" s="372">
        <v>0.0</v>
      </c>
      <c r="Z28054" s="372">
        <v>0.0</v>
      </c>
    </row>
    <row r="28055">
      <c r="Y28055" s="372">
        <v>0.0</v>
      </c>
      <c r="Z28055" s="372">
        <v>0.0</v>
      </c>
    </row>
    <row r="28056">
      <c r="Y28056" s="372">
        <v>0.0</v>
      </c>
      <c r="Z28056" s="372">
        <v>0.0</v>
      </c>
    </row>
    <row r="28057">
      <c r="Y28057" s="372">
        <v>0.0</v>
      </c>
      <c r="Z28057" s="372">
        <v>0.0</v>
      </c>
    </row>
    <row r="28058">
      <c r="Y28058" s="372">
        <v>0.0</v>
      </c>
      <c r="Z28058" s="372">
        <v>0.0</v>
      </c>
    </row>
    <row r="28059">
      <c r="Y28059" s="372">
        <v>0.0</v>
      </c>
      <c r="Z28059" s="372">
        <v>0.0</v>
      </c>
    </row>
    <row r="28060">
      <c r="Y28060" s="372">
        <v>0.0</v>
      </c>
      <c r="Z28060" s="372">
        <v>0.0</v>
      </c>
    </row>
    <row r="28061">
      <c r="Y28061" s="372">
        <v>0.0</v>
      </c>
      <c r="Z28061" s="372">
        <v>0.0</v>
      </c>
    </row>
    <row r="28062">
      <c r="Y28062" s="372">
        <v>0.0</v>
      </c>
      <c r="Z28062" s="372">
        <v>0.0</v>
      </c>
    </row>
    <row r="28063">
      <c r="Y28063" s="372">
        <v>0.0</v>
      </c>
      <c r="Z28063" s="372">
        <v>0.0</v>
      </c>
    </row>
    <row r="28064">
      <c r="Y28064" s="372">
        <v>0.0</v>
      </c>
      <c r="Z28064" s="372">
        <v>0.0</v>
      </c>
    </row>
    <row r="28065">
      <c r="Y28065" s="372">
        <v>0.0</v>
      </c>
      <c r="Z28065" s="372">
        <v>0.0</v>
      </c>
    </row>
    <row r="28066">
      <c r="Y28066" s="372">
        <v>0.0</v>
      </c>
      <c r="Z28066" s="372">
        <v>0.0</v>
      </c>
    </row>
    <row r="28067">
      <c r="Y28067" s="372">
        <v>0.0</v>
      </c>
      <c r="Z28067" s="372">
        <v>0.0</v>
      </c>
    </row>
    <row r="28068">
      <c r="Y28068" s="372">
        <v>0.0</v>
      </c>
      <c r="Z28068" s="372">
        <v>0.0</v>
      </c>
    </row>
    <row r="28069">
      <c r="Y28069" s="372">
        <v>0.0</v>
      </c>
      <c r="Z28069" s="372">
        <v>0.0</v>
      </c>
    </row>
    <row r="28070">
      <c r="Y28070" s="372">
        <v>0.0</v>
      </c>
      <c r="Z28070" s="372">
        <v>0.0</v>
      </c>
    </row>
    <row r="28071">
      <c r="Y28071" s="372">
        <v>0.0</v>
      </c>
      <c r="Z28071" s="372">
        <v>0.0</v>
      </c>
    </row>
    <row r="28072">
      <c r="Y28072" s="372">
        <v>0.0</v>
      </c>
      <c r="Z28072" s="372">
        <v>0.0</v>
      </c>
    </row>
    <row r="28073">
      <c r="Y28073" s="372">
        <v>0.0</v>
      </c>
      <c r="Z28073" s="372">
        <v>0.0</v>
      </c>
    </row>
    <row r="28074">
      <c r="Y28074" s="372">
        <v>0.0</v>
      </c>
      <c r="Z28074" s="372">
        <v>0.0</v>
      </c>
    </row>
    <row r="28075">
      <c r="Y28075" s="372">
        <v>0.0</v>
      </c>
      <c r="Z28075" s="372">
        <v>0.0</v>
      </c>
    </row>
    <row r="28076">
      <c r="Y28076" s="372">
        <v>0.0</v>
      </c>
      <c r="Z28076" s="372">
        <v>0.0</v>
      </c>
    </row>
    <row r="28077">
      <c r="Y28077" s="372">
        <v>0.0</v>
      </c>
      <c r="Z28077" s="372">
        <v>0.0</v>
      </c>
    </row>
    <row r="28078">
      <c r="Y28078" s="372">
        <v>0.0</v>
      </c>
      <c r="Z28078" s="372">
        <v>0.0</v>
      </c>
    </row>
    <row r="28079">
      <c r="Y28079" s="372">
        <v>0.0</v>
      </c>
      <c r="Z28079" s="372">
        <v>0.0</v>
      </c>
    </row>
    <row r="28080">
      <c r="Y28080" s="372">
        <v>0.0</v>
      </c>
      <c r="Z28080" s="372">
        <v>0.0</v>
      </c>
    </row>
    <row r="28081">
      <c r="Y28081" s="372">
        <v>0.0</v>
      </c>
      <c r="Z28081" s="372">
        <v>0.0</v>
      </c>
    </row>
    <row r="28082">
      <c r="Y28082" s="372">
        <v>0.0</v>
      </c>
      <c r="Z28082" s="372">
        <v>0.0</v>
      </c>
    </row>
    <row r="28083">
      <c r="Y28083" s="372">
        <v>0.0</v>
      </c>
      <c r="Z28083" s="372">
        <v>0.0</v>
      </c>
    </row>
    <row r="28084">
      <c r="Y28084" s="372">
        <v>0.0</v>
      </c>
      <c r="Z28084" s="372">
        <v>0.0</v>
      </c>
    </row>
    <row r="28085">
      <c r="Y28085" s="372">
        <v>0.0</v>
      </c>
      <c r="Z28085" s="372">
        <v>0.0</v>
      </c>
    </row>
    <row r="28086">
      <c r="Y28086" s="372">
        <v>0.0</v>
      </c>
      <c r="Z28086" s="372">
        <v>0.0</v>
      </c>
    </row>
    <row r="28087">
      <c r="Y28087" s="372">
        <v>0.0</v>
      </c>
      <c r="Z28087" s="372">
        <v>0.0</v>
      </c>
    </row>
    <row r="28088">
      <c r="Y28088" s="372">
        <v>0.0</v>
      </c>
      <c r="Z28088" s="372">
        <v>0.0</v>
      </c>
    </row>
    <row r="28089">
      <c r="Y28089" s="372">
        <v>0.0</v>
      </c>
      <c r="Z28089" s="372">
        <v>0.0</v>
      </c>
    </row>
    <row r="28090">
      <c r="Y28090" s="372">
        <v>0.0</v>
      </c>
      <c r="Z28090" s="372">
        <v>0.0</v>
      </c>
    </row>
    <row r="28091">
      <c r="Y28091" s="372">
        <v>0.0</v>
      </c>
      <c r="Z28091" s="372">
        <v>0.0</v>
      </c>
    </row>
    <row r="28092">
      <c r="Y28092" s="372">
        <v>0.0</v>
      </c>
      <c r="Z28092" s="372">
        <v>0.0</v>
      </c>
    </row>
    <row r="28093">
      <c r="Y28093" s="372">
        <v>0.0</v>
      </c>
      <c r="Z28093" s="372">
        <v>0.0</v>
      </c>
    </row>
    <row r="28094">
      <c r="Y28094" s="372">
        <v>0.0</v>
      </c>
      <c r="Z28094" s="372">
        <v>0.0</v>
      </c>
    </row>
    <row r="28095">
      <c r="Y28095" s="372">
        <v>0.0</v>
      </c>
      <c r="Z28095" s="372">
        <v>0.0</v>
      </c>
    </row>
    <row r="28096">
      <c r="Y28096" s="372">
        <v>0.0</v>
      </c>
      <c r="Z28096" s="372">
        <v>0.0</v>
      </c>
    </row>
    <row r="28097">
      <c r="Y28097" s="372">
        <v>0.0</v>
      </c>
      <c r="Z28097" s="372">
        <v>0.0</v>
      </c>
    </row>
    <row r="28098">
      <c r="Y28098" s="372">
        <v>0.0</v>
      </c>
      <c r="Z28098" s="372">
        <v>0.0</v>
      </c>
    </row>
    <row r="28099">
      <c r="Y28099" s="372">
        <v>0.0</v>
      </c>
      <c r="Z28099" s="372">
        <v>0.0</v>
      </c>
    </row>
    <row r="28100">
      <c r="Y28100" s="372">
        <v>0.0</v>
      </c>
      <c r="Z28100" s="372">
        <v>0.0</v>
      </c>
    </row>
    <row r="28101">
      <c r="Y28101" s="372">
        <v>0.0</v>
      </c>
      <c r="Z28101" s="372">
        <v>0.0</v>
      </c>
    </row>
    <row r="28102">
      <c r="Y28102" s="372">
        <v>0.0</v>
      </c>
      <c r="Z28102" s="372">
        <v>0.0</v>
      </c>
    </row>
    <row r="28103">
      <c r="Y28103" s="372">
        <v>0.0</v>
      </c>
      <c r="Z28103" s="372">
        <v>0.0</v>
      </c>
    </row>
    <row r="28104">
      <c r="Y28104" s="372">
        <v>0.0</v>
      </c>
      <c r="Z28104" s="372">
        <v>0.0</v>
      </c>
    </row>
    <row r="28105">
      <c r="Y28105" s="372">
        <v>0.0</v>
      </c>
      <c r="Z28105" s="372">
        <v>0.0</v>
      </c>
    </row>
    <row r="28106">
      <c r="Y28106" s="372">
        <v>0.0</v>
      </c>
      <c r="Z28106" s="372">
        <v>0.0</v>
      </c>
    </row>
    <row r="28107">
      <c r="Y28107" s="372">
        <v>0.0</v>
      </c>
      <c r="Z28107" s="372">
        <v>0.0</v>
      </c>
    </row>
    <row r="28108">
      <c r="Y28108" s="372">
        <v>0.0</v>
      </c>
      <c r="Z28108" s="372">
        <v>0.0</v>
      </c>
    </row>
    <row r="28109">
      <c r="Y28109" s="372">
        <v>0.0</v>
      </c>
      <c r="Z28109" s="372">
        <v>0.0</v>
      </c>
    </row>
    <row r="28110">
      <c r="Y28110" s="372">
        <v>0.0</v>
      </c>
      <c r="Z28110" s="372">
        <v>0.0</v>
      </c>
    </row>
    <row r="28111">
      <c r="Y28111" s="372">
        <v>0.0</v>
      </c>
      <c r="Z28111" s="372">
        <v>0.0</v>
      </c>
    </row>
    <row r="28112">
      <c r="Y28112" s="372">
        <v>0.0</v>
      </c>
      <c r="Z28112" s="372">
        <v>0.0</v>
      </c>
    </row>
    <row r="28113">
      <c r="Y28113" s="372">
        <v>0.0</v>
      </c>
      <c r="Z28113" s="372">
        <v>0.0</v>
      </c>
    </row>
    <row r="28114">
      <c r="Y28114" s="372">
        <v>0.0</v>
      </c>
      <c r="Z28114" s="372">
        <v>0.0</v>
      </c>
    </row>
    <row r="28115">
      <c r="Y28115" s="372">
        <v>0.0</v>
      </c>
      <c r="Z28115" s="372">
        <v>0.0</v>
      </c>
    </row>
    <row r="28116">
      <c r="Y28116" s="372">
        <v>0.0</v>
      </c>
      <c r="Z28116" s="372">
        <v>0.0</v>
      </c>
    </row>
    <row r="28117">
      <c r="Y28117" s="372">
        <v>0.0</v>
      </c>
      <c r="Z28117" s="372">
        <v>0.0</v>
      </c>
    </row>
    <row r="28118">
      <c r="Y28118" s="372">
        <v>0.0</v>
      </c>
      <c r="Z28118" s="372">
        <v>0.0</v>
      </c>
    </row>
    <row r="28119">
      <c r="Y28119" s="372">
        <v>0.0</v>
      </c>
      <c r="Z28119" s="372">
        <v>0.0</v>
      </c>
    </row>
    <row r="28120">
      <c r="Y28120" s="372">
        <v>0.0</v>
      </c>
      <c r="Z28120" s="372">
        <v>0.0</v>
      </c>
    </row>
    <row r="28121">
      <c r="Y28121" s="372">
        <v>0.0</v>
      </c>
      <c r="Z28121" s="372">
        <v>0.0</v>
      </c>
    </row>
    <row r="28122">
      <c r="Y28122" s="372">
        <v>0.0</v>
      </c>
      <c r="Z28122" s="372">
        <v>0.0</v>
      </c>
    </row>
    <row r="28123">
      <c r="Y28123" s="372">
        <v>0.0</v>
      </c>
      <c r="Z28123" s="372">
        <v>0.0</v>
      </c>
    </row>
    <row r="28124">
      <c r="Y28124" s="372">
        <v>0.0</v>
      </c>
      <c r="Z28124" s="372">
        <v>0.0</v>
      </c>
    </row>
    <row r="28125">
      <c r="Y28125" s="372">
        <v>0.0</v>
      </c>
      <c r="Z28125" s="372">
        <v>0.0</v>
      </c>
    </row>
    <row r="28126">
      <c r="Y28126" s="372">
        <v>0.0</v>
      </c>
      <c r="Z28126" s="372">
        <v>0.0</v>
      </c>
    </row>
    <row r="28127">
      <c r="Y28127" s="372">
        <v>0.0</v>
      </c>
      <c r="Z28127" s="372">
        <v>0.0</v>
      </c>
    </row>
    <row r="28128">
      <c r="Y28128" s="372">
        <v>0.0</v>
      </c>
      <c r="Z28128" s="372">
        <v>0.0</v>
      </c>
    </row>
    <row r="28129">
      <c r="Y28129" s="372">
        <v>0.0</v>
      </c>
      <c r="Z28129" s="372">
        <v>0.0</v>
      </c>
    </row>
    <row r="28130">
      <c r="Y28130" s="372">
        <v>0.0</v>
      </c>
      <c r="Z28130" s="372">
        <v>0.0</v>
      </c>
    </row>
    <row r="28131">
      <c r="Y28131" s="372">
        <v>0.0</v>
      </c>
      <c r="Z28131" s="372">
        <v>0.0</v>
      </c>
    </row>
    <row r="28132">
      <c r="Y28132" s="372">
        <v>0.0</v>
      </c>
      <c r="Z28132" s="372">
        <v>0.0</v>
      </c>
    </row>
    <row r="28133">
      <c r="Y28133" s="372">
        <v>0.0</v>
      </c>
      <c r="Z28133" s="372">
        <v>0.0</v>
      </c>
    </row>
    <row r="28134">
      <c r="Y28134" s="372">
        <v>0.0</v>
      </c>
      <c r="Z28134" s="372">
        <v>0.0</v>
      </c>
    </row>
    <row r="28135">
      <c r="Y28135" s="372">
        <v>0.0</v>
      </c>
      <c r="Z28135" s="372">
        <v>0.0</v>
      </c>
    </row>
    <row r="28136">
      <c r="Y28136" s="372">
        <v>0.0</v>
      </c>
      <c r="Z28136" s="372">
        <v>0.0</v>
      </c>
    </row>
    <row r="28137">
      <c r="Y28137" s="372">
        <v>0.0</v>
      </c>
      <c r="Z28137" s="372">
        <v>0.0</v>
      </c>
    </row>
    <row r="28138">
      <c r="Y28138" s="372">
        <v>0.0</v>
      </c>
      <c r="Z28138" s="372">
        <v>0.0</v>
      </c>
    </row>
    <row r="28139">
      <c r="Y28139" s="372">
        <v>0.0</v>
      </c>
      <c r="Z28139" s="372">
        <v>0.0</v>
      </c>
    </row>
    <row r="28140">
      <c r="Y28140" s="372">
        <v>0.0</v>
      </c>
      <c r="Z28140" s="372">
        <v>0.0</v>
      </c>
    </row>
    <row r="28141">
      <c r="Y28141" s="372">
        <v>0.0</v>
      </c>
      <c r="Z28141" s="372">
        <v>0.0</v>
      </c>
    </row>
    <row r="28142">
      <c r="Y28142" s="372">
        <v>0.0</v>
      </c>
      <c r="Z28142" s="372">
        <v>0.0</v>
      </c>
    </row>
    <row r="28143">
      <c r="Y28143" s="372">
        <v>0.0</v>
      </c>
      <c r="Z28143" s="372">
        <v>0.0</v>
      </c>
    </row>
    <row r="28144">
      <c r="Y28144" s="372">
        <v>0.0</v>
      </c>
      <c r="Z28144" s="372">
        <v>0.0</v>
      </c>
    </row>
    <row r="28145">
      <c r="Y28145" s="372">
        <v>0.0</v>
      </c>
      <c r="Z28145" s="372">
        <v>0.0</v>
      </c>
    </row>
    <row r="28146">
      <c r="Y28146" s="372">
        <v>0.0</v>
      </c>
      <c r="Z28146" s="372">
        <v>0.0</v>
      </c>
    </row>
    <row r="28147">
      <c r="Y28147" s="372">
        <v>0.0</v>
      </c>
      <c r="Z28147" s="372">
        <v>0.0</v>
      </c>
    </row>
    <row r="28148">
      <c r="Y28148" s="372">
        <v>0.0</v>
      </c>
      <c r="Z28148" s="372">
        <v>0.0</v>
      </c>
    </row>
    <row r="28149">
      <c r="Y28149" s="372">
        <v>0.0</v>
      </c>
      <c r="Z28149" s="372">
        <v>0.0</v>
      </c>
    </row>
    <row r="28150">
      <c r="Y28150" s="372">
        <v>0.0</v>
      </c>
      <c r="Z28150" s="372">
        <v>0.0</v>
      </c>
    </row>
    <row r="28151">
      <c r="Y28151" s="372">
        <v>0.0</v>
      </c>
      <c r="Z28151" s="372">
        <v>0.0</v>
      </c>
    </row>
    <row r="28152">
      <c r="Y28152" s="372">
        <v>0.0</v>
      </c>
      <c r="Z28152" s="372">
        <v>0.0</v>
      </c>
    </row>
    <row r="28153">
      <c r="Y28153" s="372">
        <v>0.0</v>
      </c>
      <c r="Z28153" s="372">
        <v>0.0</v>
      </c>
    </row>
    <row r="28154">
      <c r="Y28154" s="372">
        <v>0.0</v>
      </c>
      <c r="Z28154" s="372">
        <v>0.0</v>
      </c>
    </row>
    <row r="28155">
      <c r="Y28155" s="372">
        <v>0.0</v>
      </c>
      <c r="Z28155" s="372">
        <v>0.0</v>
      </c>
    </row>
    <row r="28156">
      <c r="Y28156" s="372">
        <v>0.0</v>
      </c>
      <c r="Z28156" s="372">
        <v>0.0</v>
      </c>
    </row>
    <row r="28157">
      <c r="Y28157" s="372">
        <v>0.0</v>
      </c>
      <c r="Z28157" s="372">
        <v>0.0</v>
      </c>
    </row>
    <row r="28158">
      <c r="Y28158" s="372">
        <v>0.0</v>
      </c>
      <c r="Z28158" s="372">
        <v>0.0</v>
      </c>
    </row>
    <row r="28159">
      <c r="Y28159" s="372">
        <v>0.0</v>
      </c>
      <c r="Z28159" s="372">
        <v>0.0</v>
      </c>
    </row>
    <row r="28160">
      <c r="Y28160" s="372">
        <v>0.0</v>
      </c>
      <c r="Z28160" s="372">
        <v>0.0</v>
      </c>
    </row>
    <row r="28161">
      <c r="Y28161" s="372">
        <v>0.0</v>
      </c>
      <c r="Z28161" s="372">
        <v>0.0</v>
      </c>
    </row>
    <row r="28162">
      <c r="Y28162" s="372">
        <v>0.0</v>
      </c>
      <c r="Z28162" s="372">
        <v>0.0</v>
      </c>
    </row>
    <row r="28163">
      <c r="Y28163" s="372">
        <v>0.0</v>
      </c>
      <c r="Z28163" s="372">
        <v>0.0</v>
      </c>
    </row>
    <row r="28164">
      <c r="Y28164" s="372">
        <v>0.0</v>
      </c>
      <c r="Z28164" s="372">
        <v>0.0</v>
      </c>
    </row>
    <row r="28165">
      <c r="Y28165" s="372">
        <v>0.0</v>
      </c>
      <c r="Z28165" s="372">
        <v>0.0</v>
      </c>
    </row>
    <row r="28166">
      <c r="Y28166" s="372">
        <v>0.0</v>
      </c>
      <c r="Z28166" s="372">
        <v>0.0</v>
      </c>
    </row>
    <row r="28167">
      <c r="Y28167" s="372">
        <v>0.0</v>
      </c>
      <c r="Z28167" s="372">
        <v>0.0</v>
      </c>
    </row>
    <row r="28168">
      <c r="Y28168" s="372">
        <v>0.0</v>
      </c>
      <c r="Z28168" s="372">
        <v>0.0</v>
      </c>
    </row>
    <row r="28169">
      <c r="Y28169" s="372">
        <v>0.0</v>
      </c>
      <c r="Z28169" s="372">
        <v>0.0</v>
      </c>
    </row>
    <row r="28170">
      <c r="Y28170" s="372">
        <v>0.0</v>
      </c>
      <c r="Z28170" s="372">
        <v>0.0</v>
      </c>
    </row>
    <row r="28171">
      <c r="Y28171" s="372">
        <v>0.0</v>
      </c>
      <c r="Z28171" s="372">
        <v>0.0</v>
      </c>
    </row>
    <row r="28172">
      <c r="Y28172" s="372">
        <v>0.0</v>
      </c>
      <c r="Z28172" s="372">
        <v>0.0</v>
      </c>
    </row>
    <row r="28173">
      <c r="Y28173" s="372">
        <v>0.0</v>
      </c>
      <c r="Z28173" s="372">
        <v>0.0</v>
      </c>
    </row>
    <row r="28174">
      <c r="Y28174" s="372">
        <v>0.0</v>
      </c>
      <c r="Z28174" s="372">
        <v>0.0</v>
      </c>
    </row>
    <row r="28175">
      <c r="Y28175" s="372">
        <v>0.0</v>
      </c>
      <c r="Z28175" s="372">
        <v>0.0</v>
      </c>
    </row>
    <row r="28176">
      <c r="Y28176" s="372">
        <v>0.0</v>
      </c>
      <c r="Z28176" s="372">
        <v>0.0</v>
      </c>
    </row>
    <row r="28177">
      <c r="Y28177" s="372">
        <v>0.0</v>
      </c>
      <c r="Z28177" s="372">
        <v>0.0</v>
      </c>
    </row>
    <row r="28178">
      <c r="Y28178" s="372">
        <v>0.0</v>
      </c>
      <c r="Z28178" s="372">
        <v>0.0</v>
      </c>
    </row>
    <row r="28179">
      <c r="Y28179" s="372">
        <v>0.0</v>
      </c>
      <c r="Z28179" s="372">
        <v>0.0</v>
      </c>
    </row>
    <row r="28180">
      <c r="Y28180" s="372">
        <v>0.0</v>
      </c>
      <c r="Z28180" s="372">
        <v>0.0</v>
      </c>
    </row>
    <row r="28181">
      <c r="Y28181" s="372">
        <v>0.0</v>
      </c>
      <c r="Z28181" s="372">
        <v>0.0</v>
      </c>
    </row>
    <row r="28182">
      <c r="Y28182" s="372">
        <v>0.0</v>
      </c>
      <c r="Z28182" s="372">
        <v>0.0</v>
      </c>
    </row>
    <row r="28183">
      <c r="Y28183" s="372">
        <v>0.0</v>
      </c>
      <c r="Z28183" s="372">
        <v>0.0</v>
      </c>
    </row>
    <row r="28184">
      <c r="Y28184" s="372">
        <v>0.0</v>
      </c>
      <c r="Z28184" s="372">
        <v>0.0</v>
      </c>
    </row>
    <row r="28185">
      <c r="Y28185" s="372">
        <v>0.0</v>
      </c>
      <c r="Z28185" s="372">
        <v>0.0</v>
      </c>
    </row>
    <row r="28186">
      <c r="Y28186" s="372">
        <v>0.0</v>
      </c>
      <c r="Z28186" s="372">
        <v>0.0</v>
      </c>
    </row>
    <row r="28187">
      <c r="Y28187" s="372">
        <v>0.0</v>
      </c>
      <c r="Z28187" s="372">
        <v>0.0</v>
      </c>
    </row>
    <row r="28188">
      <c r="Y28188" s="372">
        <v>0.0</v>
      </c>
      <c r="Z28188" s="372">
        <v>0.0</v>
      </c>
    </row>
    <row r="28189">
      <c r="Y28189" s="372">
        <v>0.0</v>
      </c>
      <c r="Z28189" s="372">
        <v>0.0</v>
      </c>
    </row>
    <row r="28190">
      <c r="Y28190" s="372">
        <v>0.0</v>
      </c>
      <c r="Z28190" s="372">
        <v>0.0</v>
      </c>
    </row>
    <row r="28191">
      <c r="Y28191" s="372">
        <v>0.0</v>
      </c>
      <c r="Z28191" s="372">
        <v>0.0</v>
      </c>
    </row>
    <row r="28192">
      <c r="Y28192" s="372">
        <v>0.0</v>
      </c>
      <c r="Z28192" s="372">
        <v>0.0</v>
      </c>
    </row>
    <row r="28193">
      <c r="Y28193" s="372">
        <v>0.0</v>
      </c>
      <c r="Z28193" s="372">
        <v>0.0</v>
      </c>
    </row>
    <row r="28194">
      <c r="Y28194" s="372">
        <v>0.0</v>
      </c>
      <c r="Z28194" s="372">
        <v>0.0</v>
      </c>
    </row>
    <row r="28195">
      <c r="Y28195" s="372">
        <v>0.0</v>
      </c>
      <c r="Z28195" s="372">
        <v>0.0</v>
      </c>
    </row>
    <row r="28196">
      <c r="Y28196" s="372">
        <v>0.0</v>
      </c>
      <c r="Z28196" s="372">
        <v>0.0</v>
      </c>
    </row>
    <row r="28197">
      <c r="Y28197" s="372">
        <v>0.0</v>
      </c>
      <c r="Z28197" s="372">
        <v>0.0</v>
      </c>
    </row>
    <row r="28198">
      <c r="Y28198" s="372">
        <v>0.0</v>
      </c>
      <c r="Z28198" s="372">
        <v>0.0</v>
      </c>
    </row>
    <row r="28199">
      <c r="Y28199" s="372">
        <v>0.0</v>
      </c>
      <c r="Z28199" s="372">
        <v>0.0</v>
      </c>
    </row>
    <row r="28200">
      <c r="Y28200" s="372">
        <v>0.0</v>
      </c>
      <c r="Z28200" s="372">
        <v>0.0</v>
      </c>
    </row>
    <row r="28201">
      <c r="Y28201" s="372">
        <v>0.0</v>
      </c>
      <c r="Z28201" s="372">
        <v>0.0</v>
      </c>
    </row>
    <row r="28202">
      <c r="Y28202" s="372">
        <v>0.0</v>
      </c>
      <c r="Z28202" s="372">
        <v>0.0</v>
      </c>
    </row>
    <row r="28203">
      <c r="Y28203" s="372">
        <v>0.0</v>
      </c>
      <c r="Z28203" s="372">
        <v>0.0</v>
      </c>
    </row>
    <row r="28204">
      <c r="Y28204" s="372">
        <v>0.0</v>
      </c>
      <c r="Z28204" s="372">
        <v>0.0</v>
      </c>
    </row>
    <row r="28205">
      <c r="Y28205" s="372">
        <v>0.0</v>
      </c>
      <c r="Z28205" s="372">
        <v>0.0</v>
      </c>
    </row>
    <row r="28206">
      <c r="Y28206" s="372">
        <v>0.0</v>
      </c>
      <c r="Z28206" s="372">
        <v>0.0</v>
      </c>
    </row>
    <row r="28207">
      <c r="Y28207" s="372">
        <v>0.0</v>
      </c>
      <c r="Z28207" s="372">
        <v>0.0</v>
      </c>
    </row>
    <row r="28208">
      <c r="Y28208" s="372">
        <v>0.0</v>
      </c>
      <c r="Z28208" s="372">
        <v>0.0</v>
      </c>
    </row>
    <row r="28209">
      <c r="Y28209" s="372">
        <v>0.0</v>
      </c>
      <c r="Z28209" s="372">
        <v>0.0</v>
      </c>
    </row>
    <row r="28210">
      <c r="Y28210" s="372">
        <v>0.0</v>
      </c>
      <c r="Z28210" s="372">
        <v>0.0</v>
      </c>
    </row>
    <row r="28211">
      <c r="Y28211" s="372">
        <v>0.0</v>
      </c>
      <c r="Z28211" s="372">
        <v>0.0</v>
      </c>
    </row>
    <row r="28212">
      <c r="Y28212" s="372">
        <v>0.0</v>
      </c>
      <c r="Z28212" s="372">
        <v>0.0</v>
      </c>
    </row>
    <row r="28213">
      <c r="Y28213" s="372">
        <v>0.0</v>
      </c>
      <c r="Z28213" s="372">
        <v>0.0</v>
      </c>
    </row>
    <row r="28214">
      <c r="Y28214" s="372">
        <v>0.0</v>
      </c>
      <c r="Z28214" s="372">
        <v>0.0</v>
      </c>
    </row>
    <row r="28215">
      <c r="Y28215" s="372">
        <v>0.0</v>
      </c>
      <c r="Z28215" s="372">
        <v>0.0</v>
      </c>
    </row>
    <row r="28216">
      <c r="Y28216" s="372">
        <v>0.0</v>
      </c>
      <c r="Z28216" s="372">
        <v>0.0</v>
      </c>
    </row>
    <row r="28217">
      <c r="Y28217" s="372">
        <v>0.0</v>
      </c>
      <c r="Z28217" s="372">
        <v>0.0</v>
      </c>
    </row>
    <row r="28218">
      <c r="Y28218" s="372">
        <v>0.0</v>
      </c>
      <c r="Z28218" s="372">
        <v>0.0</v>
      </c>
    </row>
    <row r="28219">
      <c r="Y28219" s="372">
        <v>0.0</v>
      </c>
      <c r="Z28219" s="372">
        <v>0.0</v>
      </c>
    </row>
    <row r="28220">
      <c r="Y28220" s="372">
        <v>0.0</v>
      </c>
      <c r="Z28220" s="372">
        <v>0.0</v>
      </c>
    </row>
    <row r="28221">
      <c r="Y28221" s="372">
        <v>0.0</v>
      </c>
      <c r="Z28221" s="372">
        <v>0.0</v>
      </c>
    </row>
    <row r="28222">
      <c r="Y28222" s="372">
        <v>0.0</v>
      </c>
      <c r="Z28222" s="372">
        <v>0.0</v>
      </c>
    </row>
    <row r="28223">
      <c r="Y28223" s="372">
        <v>0.0</v>
      </c>
      <c r="Z28223" s="372">
        <v>0.0</v>
      </c>
    </row>
    <row r="28224">
      <c r="Y28224" s="372">
        <v>0.0</v>
      </c>
      <c r="Z28224" s="372">
        <v>0.0</v>
      </c>
    </row>
    <row r="28225">
      <c r="Y28225" s="372">
        <v>0.0</v>
      </c>
      <c r="Z28225" s="372">
        <v>0.0</v>
      </c>
    </row>
    <row r="28226">
      <c r="Y28226" s="372">
        <v>0.0</v>
      </c>
      <c r="Z28226" s="372">
        <v>0.0</v>
      </c>
    </row>
    <row r="28227">
      <c r="Y28227" s="372">
        <v>0.0</v>
      </c>
      <c r="Z28227" s="372">
        <v>0.0</v>
      </c>
    </row>
    <row r="28228">
      <c r="Y28228" s="372">
        <v>0.0</v>
      </c>
      <c r="Z28228" s="372">
        <v>0.0</v>
      </c>
    </row>
    <row r="28229">
      <c r="Y28229" s="372">
        <v>0.0</v>
      </c>
      <c r="Z28229" s="372">
        <v>0.0</v>
      </c>
    </row>
    <row r="28230">
      <c r="Y28230" s="372">
        <v>0.0</v>
      </c>
      <c r="Z28230" s="372">
        <v>0.0</v>
      </c>
    </row>
    <row r="28231">
      <c r="Y28231" s="372">
        <v>0.0</v>
      </c>
      <c r="Z28231" s="372">
        <v>0.0</v>
      </c>
    </row>
    <row r="28232">
      <c r="Y28232" s="372">
        <v>0.0</v>
      </c>
      <c r="Z28232" s="372">
        <v>0.0</v>
      </c>
    </row>
    <row r="28233">
      <c r="Y28233" s="372">
        <v>0.0</v>
      </c>
      <c r="Z28233" s="372">
        <v>0.0</v>
      </c>
    </row>
    <row r="28234">
      <c r="Y28234" s="372">
        <v>0.0</v>
      </c>
      <c r="Z28234" s="372">
        <v>0.0</v>
      </c>
    </row>
    <row r="28235">
      <c r="Y28235" s="372">
        <v>0.0</v>
      </c>
      <c r="Z28235" s="372">
        <v>0.0</v>
      </c>
    </row>
    <row r="28236">
      <c r="Y28236" s="372">
        <v>0.0</v>
      </c>
      <c r="Z28236" s="372">
        <v>0.0</v>
      </c>
    </row>
    <row r="28237">
      <c r="Y28237" s="372">
        <v>0.0</v>
      </c>
      <c r="Z28237" s="372">
        <v>0.0</v>
      </c>
    </row>
    <row r="28238">
      <c r="Y28238" s="372">
        <v>0.0</v>
      </c>
      <c r="Z28238" s="372">
        <v>0.0</v>
      </c>
    </row>
    <row r="28239">
      <c r="Y28239" s="372">
        <v>0.0</v>
      </c>
      <c r="Z28239" s="372">
        <v>0.0</v>
      </c>
    </row>
    <row r="28240">
      <c r="Y28240" s="372">
        <v>0.0</v>
      </c>
      <c r="Z28240" s="372">
        <v>0.0</v>
      </c>
    </row>
    <row r="28241">
      <c r="Y28241" s="372">
        <v>0.0</v>
      </c>
      <c r="Z28241" s="372">
        <v>0.0</v>
      </c>
    </row>
    <row r="28242">
      <c r="Y28242" s="372">
        <v>0.0</v>
      </c>
      <c r="Z28242" s="372">
        <v>0.0</v>
      </c>
    </row>
    <row r="28243">
      <c r="Y28243" s="372">
        <v>0.0</v>
      </c>
      <c r="Z28243" s="372">
        <v>0.0</v>
      </c>
    </row>
    <row r="28244">
      <c r="Y28244" s="372">
        <v>0.0</v>
      </c>
      <c r="Z28244" s="372">
        <v>0.0</v>
      </c>
    </row>
    <row r="28245">
      <c r="Y28245" s="372">
        <v>0.0</v>
      </c>
      <c r="Z28245" s="372">
        <v>0.0</v>
      </c>
    </row>
    <row r="28246">
      <c r="Y28246" s="372">
        <v>0.0</v>
      </c>
      <c r="Z28246" s="372">
        <v>0.0</v>
      </c>
    </row>
    <row r="28247">
      <c r="Y28247" s="372">
        <v>0.0</v>
      </c>
      <c r="Z28247" s="372">
        <v>0.0</v>
      </c>
    </row>
    <row r="28248">
      <c r="Y28248" s="372">
        <v>0.0</v>
      </c>
      <c r="Z28248" s="372">
        <v>0.0</v>
      </c>
    </row>
    <row r="28249">
      <c r="Y28249" s="372">
        <v>0.0</v>
      </c>
      <c r="Z28249" s="372">
        <v>0.0</v>
      </c>
    </row>
    <row r="28250">
      <c r="Y28250" s="372">
        <v>0.0</v>
      </c>
      <c r="Z28250" s="372">
        <v>0.0</v>
      </c>
    </row>
    <row r="28251">
      <c r="Y28251" s="372">
        <v>0.0</v>
      </c>
      <c r="Z28251" s="372">
        <v>0.0</v>
      </c>
    </row>
    <row r="28252">
      <c r="Y28252" s="372">
        <v>0.0</v>
      </c>
      <c r="Z28252" s="372">
        <v>0.0</v>
      </c>
    </row>
    <row r="28253">
      <c r="Y28253" s="372">
        <v>0.0</v>
      </c>
      <c r="Z28253" s="372">
        <v>0.0</v>
      </c>
    </row>
    <row r="28254">
      <c r="Y28254" s="372">
        <v>0.0</v>
      </c>
      <c r="Z28254" s="372">
        <v>0.0</v>
      </c>
    </row>
    <row r="28255">
      <c r="Y28255" s="372">
        <v>0.0</v>
      </c>
      <c r="Z28255" s="372">
        <v>0.0</v>
      </c>
    </row>
    <row r="28256">
      <c r="Y28256" s="372">
        <v>0.0</v>
      </c>
      <c r="Z28256" s="372">
        <v>0.0</v>
      </c>
    </row>
    <row r="28257">
      <c r="Y28257" s="372">
        <v>0.0</v>
      </c>
      <c r="Z28257" s="372">
        <v>0.0</v>
      </c>
    </row>
    <row r="28258">
      <c r="Y28258" s="372">
        <v>0.0</v>
      </c>
      <c r="Z28258" s="372">
        <v>0.0</v>
      </c>
    </row>
    <row r="28259">
      <c r="Y28259" s="372">
        <v>0.0</v>
      </c>
      <c r="Z28259" s="372">
        <v>0.0</v>
      </c>
    </row>
    <row r="28260">
      <c r="Y28260" s="372">
        <v>0.0</v>
      </c>
      <c r="Z28260" s="372">
        <v>0.0</v>
      </c>
    </row>
    <row r="28261">
      <c r="Y28261" s="372">
        <v>0.0</v>
      </c>
      <c r="Z28261" s="372">
        <v>0.0</v>
      </c>
    </row>
    <row r="28262">
      <c r="Y28262" s="372">
        <v>0.0</v>
      </c>
      <c r="Z28262" s="372">
        <v>0.0</v>
      </c>
    </row>
    <row r="28263">
      <c r="Y28263" s="372">
        <v>0.0</v>
      </c>
      <c r="Z28263" s="372">
        <v>0.0</v>
      </c>
    </row>
    <row r="28264">
      <c r="Y28264" s="372">
        <v>0.0</v>
      </c>
      <c r="Z28264" s="372">
        <v>0.0</v>
      </c>
    </row>
    <row r="28265">
      <c r="Y28265" s="372">
        <v>0.0</v>
      </c>
      <c r="Z28265" s="372">
        <v>0.0</v>
      </c>
    </row>
    <row r="28266">
      <c r="Y28266" s="372">
        <v>0.0</v>
      </c>
      <c r="Z28266" s="372">
        <v>0.0</v>
      </c>
    </row>
    <row r="28267">
      <c r="Y28267" s="372">
        <v>0.0</v>
      </c>
      <c r="Z28267" s="372">
        <v>0.0</v>
      </c>
    </row>
    <row r="28268">
      <c r="Y28268" s="372">
        <v>0.0</v>
      </c>
      <c r="Z28268" s="372">
        <v>0.0</v>
      </c>
    </row>
    <row r="28269">
      <c r="Y28269" s="372">
        <v>0.0</v>
      </c>
      <c r="Z28269" s="372">
        <v>0.0</v>
      </c>
    </row>
    <row r="28270">
      <c r="Y28270" s="372">
        <v>0.0</v>
      </c>
      <c r="Z28270" s="372">
        <v>0.0</v>
      </c>
    </row>
    <row r="28271">
      <c r="Y28271" s="372">
        <v>0.0</v>
      </c>
      <c r="Z28271" s="372">
        <v>0.0</v>
      </c>
    </row>
    <row r="28272">
      <c r="Y28272" s="372">
        <v>0.0</v>
      </c>
      <c r="Z28272" s="372">
        <v>0.0</v>
      </c>
    </row>
    <row r="28273">
      <c r="Y28273" s="372">
        <v>0.0</v>
      </c>
      <c r="Z28273" s="372">
        <v>0.0</v>
      </c>
    </row>
    <row r="28274">
      <c r="Y28274" s="372">
        <v>0.0</v>
      </c>
      <c r="Z28274" s="372">
        <v>0.0</v>
      </c>
    </row>
    <row r="28275">
      <c r="Y28275" s="372">
        <v>0.0</v>
      </c>
      <c r="Z28275" s="372">
        <v>0.0</v>
      </c>
    </row>
    <row r="28276">
      <c r="Y28276" s="372">
        <v>0.0</v>
      </c>
      <c r="Z28276" s="372">
        <v>0.0</v>
      </c>
    </row>
    <row r="28277">
      <c r="Y28277" s="372">
        <v>0.0</v>
      </c>
      <c r="Z28277" s="372">
        <v>0.0</v>
      </c>
    </row>
    <row r="28278">
      <c r="Y28278" s="372">
        <v>0.0</v>
      </c>
      <c r="Z28278" s="372">
        <v>0.0</v>
      </c>
    </row>
    <row r="28279">
      <c r="Y28279" s="372">
        <v>0.0</v>
      </c>
      <c r="Z28279" s="372">
        <v>0.0</v>
      </c>
    </row>
    <row r="28280">
      <c r="Y28280" s="372">
        <v>0.0</v>
      </c>
      <c r="Z28280" s="372">
        <v>0.0</v>
      </c>
    </row>
    <row r="28281">
      <c r="Y28281" s="372">
        <v>0.0</v>
      </c>
      <c r="Z28281" s="372">
        <v>0.0</v>
      </c>
    </row>
    <row r="28282">
      <c r="Y28282" s="372">
        <v>0.0</v>
      </c>
      <c r="Z28282" s="372">
        <v>0.0</v>
      </c>
    </row>
    <row r="28283">
      <c r="Y28283" s="372">
        <v>0.0</v>
      </c>
      <c r="Z28283" s="372">
        <v>0.0</v>
      </c>
    </row>
    <row r="28284">
      <c r="Y28284" s="372">
        <v>0.0</v>
      </c>
      <c r="Z28284" s="372">
        <v>0.0</v>
      </c>
    </row>
    <row r="28285">
      <c r="Y28285" s="372">
        <v>0.0</v>
      </c>
      <c r="Z28285" s="372">
        <v>0.0</v>
      </c>
    </row>
    <row r="28286">
      <c r="Y28286" s="372">
        <v>0.0</v>
      </c>
      <c r="Z28286" s="372">
        <v>0.0</v>
      </c>
    </row>
    <row r="28287">
      <c r="Y28287" s="372">
        <v>0.0</v>
      </c>
      <c r="Z28287" s="372">
        <v>0.0</v>
      </c>
    </row>
    <row r="28288">
      <c r="Y28288" s="372">
        <v>0.0</v>
      </c>
      <c r="Z28288" s="372">
        <v>0.0</v>
      </c>
    </row>
    <row r="28289">
      <c r="Y28289" s="372">
        <v>0.0</v>
      </c>
      <c r="Z28289" s="372">
        <v>0.0</v>
      </c>
    </row>
    <row r="28290">
      <c r="Y28290" s="372">
        <v>0.0</v>
      </c>
      <c r="Z28290" s="372">
        <v>0.0</v>
      </c>
    </row>
    <row r="28291">
      <c r="Y28291" s="372">
        <v>0.0</v>
      </c>
      <c r="Z28291" s="372">
        <v>0.0</v>
      </c>
    </row>
    <row r="28292">
      <c r="Y28292" s="372">
        <v>0.0</v>
      </c>
      <c r="Z28292" s="372">
        <v>0.0</v>
      </c>
    </row>
    <row r="28293">
      <c r="Y28293" s="372">
        <v>0.0</v>
      </c>
      <c r="Z28293" s="372">
        <v>0.0</v>
      </c>
    </row>
    <row r="28294">
      <c r="Y28294" s="372">
        <v>0.0</v>
      </c>
      <c r="Z28294" s="372">
        <v>0.0</v>
      </c>
    </row>
    <row r="28295">
      <c r="Y28295" s="372">
        <v>0.0</v>
      </c>
      <c r="Z28295" s="372">
        <v>0.0</v>
      </c>
    </row>
    <row r="28296">
      <c r="Y28296" s="372">
        <v>0.0</v>
      </c>
      <c r="Z28296" s="372">
        <v>0.0</v>
      </c>
    </row>
    <row r="28297">
      <c r="Y28297" s="372">
        <v>0.0</v>
      </c>
      <c r="Z28297" s="372">
        <v>0.0</v>
      </c>
    </row>
    <row r="28298">
      <c r="Y28298" s="372">
        <v>0.0</v>
      </c>
      <c r="Z28298" s="372">
        <v>0.0</v>
      </c>
    </row>
    <row r="28299">
      <c r="Y28299" s="372">
        <v>0.0</v>
      </c>
      <c r="Z28299" s="372">
        <v>0.0</v>
      </c>
    </row>
    <row r="28300">
      <c r="Y28300" s="372">
        <v>0.0</v>
      </c>
      <c r="Z28300" s="372">
        <v>0.0</v>
      </c>
    </row>
    <row r="28301">
      <c r="Y28301" s="372">
        <v>0.0</v>
      </c>
      <c r="Z28301" s="372">
        <v>0.0</v>
      </c>
    </row>
    <row r="28302">
      <c r="Y28302" s="372">
        <v>0.0</v>
      </c>
      <c r="Z28302" s="372">
        <v>0.0</v>
      </c>
    </row>
    <row r="28303">
      <c r="Y28303" s="372">
        <v>0.0</v>
      </c>
      <c r="Z28303" s="372">
        <v>0.0</v>
      </c>
    </row>
    <row r="28304">
      <c r="Y28304" s="372">
        <v>0.0</v>
      </c>
      <c r="Z28304" s="372">
        <v>0.0</v>
      </c>
    </row>
    <row r="28305">
      <c r="Y28305" s="372">
        <v>0.0</v>
      </c>
      <c r="Z28305" s="372">
        <v>0.0</v>
      </c>
    </row>
    <row r="28306">
      <c r="Y28306" s="372">
        <v>0.0</v>
      </c>
      <c r="Z28306" s="372">
        <v>0.0</v>
      </c>
    </row>
    <row r="28307">
      <c r="Y28307" s="372">
        <v>0.0</v>
      </c>
      <c r="Z28307" s="372">
        <v>0.0</v>
      </c>
    </row>
    <row r="28308">
      <c r="Y28308" s="372">
        <v>0.0</v>
      </c>
      <c r="Z28308" s="372">
        <v>0.0</v>
      </c>
    </row>
    <row r="28309">
      <c r="Y28309" s="372">
        <v>0.0</v>
      </c>
      <c r="Z28309" s="372">
        <v>0.0</v>
      </c>
    </row>
    <row r="28310">
      <c r="Y28310" s="372">
        <v>0.0</v>
      </c>
      <c r="Z28310" s="372">
        <v>0.0</v>
      </c>
    </row>
    <row r="28311">
      <c r="Y28311" s="372">
        <v>0.0</v>
      </c>
      <c r="Z28311" s="372">
        <v>0.0</v>
      </c>
    </row>
    <row r="28312">
      <c r="Y28312" s="372">
        <v>0.0</v>
      </c>
      <c r="Z28312" s="372">
        <v>0.0</v>
      </c>
    </row>
    <row r="28313">
      <c r="Y28313" s="372">
        <v>0.0</v>
      </c>
      <c r="Z28313" s="372">
        <v>0.0</v>
      </c>
    </row>
    <row r="28314">
      <c r="Y28314" s="372">
        <v>0.0</v>
      </c>
      <c r="Z28314" s="372">
        <v>0.0</v>
      </c>
    </row>
    <row r="28315">
      <c r="Y28315" s="372">
        <v>0.0</v>
      </c>
      <c r="Z28315" s="372">
        <v>0.0</v>
      </c>
    </row>
    <row r="28316">
      <c r="Y28316" s="372">
        <v>0.0</v>
      </c>
      <c r="Z28316" s="372">
        <v>0.0</v>
      </c>
    </row>
    <row r="28317">
      <c r="Y28317" s="372">
        <v>0.0</v>
      </c>
      <c r="Z28317" s="372">
        <v>0.0</v>
      </c>
    </row>
    <row r="28318">
      <c r="Y28318" s="372">
        <v>0.0</v>
      </c>
      <c r="Z28318" s="372">
        <v>0.0</v>
      </c>
    </row>
    <row r="28319">
      <c r="Y28319" s="372">
        <v>0.0</v>
      </c>
      <c r="Z28319" s="372">
        <v>0.0</v>
      </c>
    </row>
    <row r="28320">
      <c r="Y28320" s="372">
        <v>0.0</v>
      </c>
      <c r="Z28320" s="372">
        <v>0.0</v>
      </c>
    </row>
    <row r="28321">
      <c r="Y28321" s="372">
        <v>0.0</v>
      </c>
      <c r="Z28321" s="372">
        <v>0.0</v>
      </c>
    </row>
    <row r="28322">
      <c r="Y28322" s="372">
        <v>0.0</v>
      </c>
      <c r="Z28322" s="372">
        <v>0.0</v>
      </c>
    </row>
    <row r="28323">
      <c r="Y28323" s="372">
        <v>0.0</v>
      </c>
      <c r="Z28323" s="372">
        <v>0.0</v>
      </c>
    </row>
    <row r="28324">
      <c r="Y28324" s="372">
        <v>0.0</v>
      </c>
      <c r="Z28324" s="372">
        <v>0.0</v>
      </c>
    </row>
    <row r="28325">
      <c r="Y28325" s="372">
        <v>0.0</v>
      </c>
      <c r="Z28325" s="372">
        <v>0.0</v>
      </c>
    </row>
    <row r="28326">
      <c r="Y28326" s="372">
        <v>0.0</v>
      </c>
      <c r="Z28326" s="372">
        <v>0.0</v>
      </c>
    </row>
    <row r="28327">
      <c r="Y28327" s="372">
        <v>0.0</v>
      </c>
      <c r="Z28327" s="372">
        <v>0.0</v>
      </c>
    </row>
    <row r="28328">
      <c r="Y28328" s="372">
        <v>0.0</v>
      </c>
      <c r="Z28328" s="372">
        <v>0.0</v>
      </c>
    </row>
    <row r="28329">
      <c r="Y28329" s="372">
        <v>0.0</v>
      </c>
      <c r="Z28329" s="372">
        <v>0.0</v>
      </c>
    </row>
    <row r="28330">
      <c r="Y28330" s="372">
        <v>0.0</v>
      </c>
      <c r="Z28330" s="372">
        <v>0.0</v>
      </c>
    </row>
    <row r="28331">
      <c r="Y28331" s="372">
        <v>0.0</v>
      </c>
      <c r="Z28331" s="372">
        <v>0.0</v>
      </c>
    </row>
    <row r="28332">
      <c r="Y28332" s="372">
        <v>0.0</v>
      </c>
      <c r="Z28332" s="372">
        <v>0.0</v>
      </c>
    </row>
    <row r="28333">
      <c r="Y28333" s="372">
        <v>0.0</v>
      </c>
      <c r="Z28333" s="372">
        <v>0.0</v>
      </c>
    </row>
    <row r="28334">
      <c r="Y28334" s="372">
        <v>0.0</v>
      </c>
      <c r="Z28334" s="372">
        <v>0.0</v>
      </c>
    </row>
    <row r="28335">
      <c r="Y28335" s="372">
        <v>0.0</v>
      </c>
      <c r="Z28335" s="372">
        <v>0.0</v>
      </c>
    </row>
    <row r="28336">
      <c r="Y28336" s="372">
        <v>0.0</v>
      </c>
      <c r="Z28336" s="372">
        <v>0.0</v>
      </c>
    </row>
    <row r="28337">
      <c r="Y28337" s="372">
        <v>0.0</v>
      </c>
      <c r="Z28337" s="372">
        <v>0.0</v>
      </c>
    </row>
    <row r="28338">
      <c r="Y28338" s="372">
        <v>0.0</v>
      </c>
      <c r="Z28338" s="372">
        <v>0.0</v>
      </c>
    </row>
    <row r="28339">
      <c r="Y28339" s="372">
        <v>0.0</v>
      </c>
      <c r="Z28339" s="372">
        <v>0.0</v>
      </c>
    </row>
    <row r="28340">
      <c r="Y28340" s="372">
        <v>0.0</v>
      </c>
      <c r="Z28340" s="372">
        <v>0.0</v>
      </c>
    </row>
    <row r="28341">
      <c r="Y28341" s="372">
        <v>0.0</v>
      </c>
      <c r="Z28341" s="372">
        <v>0.0</v>
      </c>
    </row>
    <row r="28342">
      <c r="Y28342" s="372">
        <v>0.0</v>
      </c>
      <c r="Z28342" s="372">
        <v>0.0</v>
      </c>
    </row>
    <row r="28343">
      <c r="Y28343" s="372">
        <v>0.0</v>
      </c>
      <c r="Z28343" s="372">
        <v>0.0</v>
      </c>
    </row>
    <row r="28344">
      <c r="Y28344" s="372">
        <v>0.0</v>
      </c>
      <c r="Z28344" s="372">
        <v>0.0</v>
      </c>
    </row>
    <row r="28345">
      <c r="Y28345" s="372">
        <v>0.0</v>
      </c>
      <c r="Z28345" s="372">
        <v>0.0</v>
      </c>
    </row>
    <row r="28346">
      <c r="Y28346" s="372">
        <v>0.0</v>
      </c>
      <c r="Z28346" s="372">
        <v>0.0</v>
      </c>
    </row>
    <row r="28347">
      <c r="Y28347" s="372">
        <v>0.0</v>
      </c>
      <c r="Z28347" s="372">
        <v>0.0</v>
      </c>
    </row>
    <row r="28348">
      <c r="Y28348" s="372">
        <v>0.0</v>
      </c>
      <c r="Z28348" s="372">
        <v>0.0</v>
      </c>
    </row>
    <row r="28349">
      <c r="Y28349" s="372">
        <v>0.0</v>
      </c>
      <c r="Z28349" s="372">
        <v>0.0</v>
      </c>
    </row>
    <row r="28350">
      <c r="Y28350" s="372">
        <v>0.0</v>
      </c>
      <c r="Z28350" s="372">
        <v>0.0</v>
      </c>
    </row>
    <row r="28351">
      <c r="Y28351" s="372">
        <v>0.0</v>
      </c>
      <c r="Z28351" s="372">
        <v>0.0</v>
      </c>
    </row>
    <row r="28352">
      <c r="Y28352" s="372">
        <v>0.0</v>
      </c>
      <c r="Z28352" s="372">
        <v>0.0</v>
      </c>
    </row>
    <row r="28353">
      <c r="Y28353" s="372">
        <v>0.0</v>
      </c>
      <c r="Z28353" s="372">
        <v>0.0</v>
      </c>
    </row>
    <row r="28354">
      <c r="Y28354" s="372">
        <v>0.0</v>
      </c>
      <c r="Z28354" s="372">
        <v>0.0</v>
      </c>
    </row>
    <row r="28355">
      <c r="Y28355" s="372">
        <v>0.0</v>
      </c>
      <c r="Z28355" s="372">
        <v>0.0</v>
      </c>
    </row>
    <row r="28356">
      <c r="Y28356" s="372">
        <v>0.0</v>
      </c>
      <c r="Z28356" s="372">
        <v>0.0</v>
      </c>
    </row>
    <row r="28357">
      <c r="Y28357" s="372">
        <v>0.0</v>
      </c>
      <c r="Z28357" s="372">
        <v>0.0</v>
      </c>
    </row>
    <row r="28358">
      <c r="Y28358" s="372">
        <v>0.0</v>
      </c>
      <c r="Z28358" s="372">
        <v>0.0</v>
      </c>
    </row>
    <row r="28359">
      <c r="Y28359" s="372">
        <v>0.0</v>
      </c>
      <c r="Z28359" s="372">
        <v>0.0</v>
      </c>
    </row>
    <row r="28360">
      <c r="Y28360" s="372">
        <v>0.0</v>
      </c>
      <c r="Z28360" s="372">
        <v>0.0</v>
      </c>
    </row>
    <row r="28361">
      <c r="Y28361" s="372">
        <v>0.0</v>
      </c>
      <c r="Z28361" s="372">
        <v>0.0</v>
      </c>
    </row>
    <row r="28362">
      <c r="Y28362" s="372">
        <v>0.0</v>
      </c>
      <c r="Z28362" s="372">
        <v>0.0</v>
      </c>
    </row>
    <row r="28363">
      <c r="Y28363" s="372">
        <v>0.0</v>
      </c>
      <c r="Z28363" s="372">
        <v>0.0</v>
      </c>
    </row>
    <row r="28364">
      <c r="Y28364" s="372">
        <v>0.0</v>
      </c>
      <c r="Z28364" s="372">
        <v>0.0</v>
      </c>
    </row>
    <row r="28365">
      <c r="Y28365" s="372">
        <v>0.0</v>
      </c>
      <c r="Z28365" s="372">
        <v>0.0</v>
      </c>
    </row>
    <row r="28366">
      <c r="Y28366" s="372">
        <v>0.0</v>
      </c>
      <c r="Z28366" s="372">
        <v>0.0</v>
      </c>
    </row>
    <row r="28367">
      <c r="Y28367" s="372">
        <v>0.0</v>
      </c>
      <c r="Z28367" s="372">
        <v>0.0</v>
      </c>
    </row>
    <row r="28368">
      <c r="Y28368" s="372">
        <v>0.0</v>
      </c>
      <c r="Z28368" s="372">
        <v>0.0</v>
      </c>
    </row>
    <row r="28369">
      <c r="Y28369" s="372">
        <v>0.0</v>
      </c>
      <c r="Z28369" s="372">
        <v>0.0</v>
      </c>
    </row>
    <row r="28370">
      <c r="Y28370" s="372">
        <v>0.0</v>
      </c>
      <c r="Z28370" s="372">
        <v>0.0</v>
      </c>
    </row>
    <row r="28371">
      <c r="Y28371" s="372">
        <v>0.0</v>
      </c>
      <c r="Z28371" s="372">
        <v>0.0</v>
      </c>
    </row>
    <row r="28372">
      <c r="Y28372" s="372">
        <v>0.0</v>
      </c>
      <c r="Z28372" s="372">
        <v>0.0</v>
      </c>
    </row>
    <row r="28373">
      <c r="Y28373" s="372">
        <v>0.0</v>
      </c>
      <c r="Z28373" s="372">
        <v>0.0</v>
      </c>
    </row>
    <row r="28374">
      <c r="Y28374" s="372">
        <v>0.0</v>
      </c>
      <c r="Z28374" s="372">
        <v>0.0</v>
      </c>
    </row>
    <row r="28375">
      <c r="Y28375" s="372">
        <v>0.0</v>
      </c>
      <c r="Z28375" s="372">
        <v>0.0</v>
      </c>
    </row>
    <row r="28376">
      <c r="Y28376" s="372">
        <v>0.0</v>
      </c>
      <c r="Z28376" s="372">
        <v>0.0</v>
      </c>
    </row>
    <row r="28377">
      <c r="Y28377" s="372">
        <v>0.0</v>
      </c>
      <c r="Z28377" s="372">
        <v>0.0</v>
      </c>
    </row>
    <row r="28378">
      <c r="Y28378" s="372">
        <v>0.0</v>
      </c>
      <c r="Z28378" s="372">
        <v>0.0</v>
      </c>
    </row>
    <row r="28379">
      <c r="Y28379" s="372">
        <v>0.0</v>
      </c>
      <c r="Z28379" s="372">
        <v>0.0</v>
      </c>
    </row>
    <row r="28380">
      <c r="Y28380" s="372">
        <v>0.0</v>
      </c>
      <c r="Z28380" s="372">
        <v>0.0</v>
      </c>
    </row>
    <row r="28381">
      <c r="Y28381" s="372">
        <v>0.0</v>
      </c>
      <c r="Z28381" s="372">
        <v>0.0</v>
      </c>
    </row>
    <row r="28382">
      <c r="Y28382" s="372">
        <v>0.0</v>
      </c>
      <c r="Z28382" s="372">
        <v>0.0</v>
      </c>
    </row>
    <row r="28383">
      <c r="Y28383" s="372">
        <v>0.0</v>
      </c>
      <c r="Z28383" s="372">
        <v>0.0</v>
      </c>
    </row>
    <row r="28384">
      <c r="Y28384" s="372">
        <v>0.0</v>
      </c>
      <c r="Z28384" s="372">
        <v>0.0</v>
      </c>
    </row>
    <row r="28385">
      <c r="Y28385" s="372">
        <v>0.0</v>
      </c>
      <c r="Z28385" s="372">
        <v>0.0</v>
      </c>
    </row>
    <row r="28386">
      <c r="Y28386" s="372">
        <v>0.0</v>
      </c>
      <c r="Z28386" s="372">
        <v>0.0</v>
      </c>
    </row>
    <row r="28387">
      <c r="Y28387" s="372">
        <v>0.0</v>
      </c>
      <c r="Z28387" s="372">
        <v>0.0</v>
      </c>
    </row>
    <row r="28388">
      <c r="Y28388" s="372">
        <v>0.0</v>
      </c>
      <c r="Z28388" s="372">
        <v>0.0</v>
      </c>
    </row>
    <row r="28389">
      <c r="Y28389" s="372">
        <v>0.0</v>
      </c>
      <c r="Z28389" s="372">
        <v>0.0</v>
      </c>
    </row>
    <row r="28390">
      <c r="Y28390" s="372">
        <v>0.0</v>
      </c>
      <c r="Z28390" s="372">
        <v>0.0</v>
      </c>
    </row>
    <row r="28391">
      <c r="Y28391" s="372">
        <v>0.0</v>
      </c>
      <c r="Z28391" s="372">
        <v>0.0</v>
      </c>
    </row>
    <row r="28392">
      <c r="Y28392" s="372">
        <v>0.0</v>
      </c>
      <c r="Z28392" s="372">
        <v>0.0</v>
      </c>
    </row>
    <row r="28393">
      <c r="Y28393" s="372">
        <v>0.0</v>
      </c>
      <c r="Z28393" s="372">
        <v>0.0</v>
      </c>
    </row>
    <row r="28394">
      <c r="Y28394" s="372">
        <v>0.0</v>
      </c>
      <c r="Z28394" s="372">
        <v>0.0</v>
      </c>
    </row>
    <row r="28395">
      <c r="Y28395" s="372">
        <v>0.0</v>
      </c>
      <c r="Z28395" s="372">
        <v>0.0</v>
      </c>
    </row>
    <row r="28396">
      <c r="Y28396" s="372">
        <v>0.0</v>
      </c>
      <c r="Z28396" s="372">
        <v>0.0</v>
      </c>
    </row>
    <row r="28397">
      <c r="Y28397" s="372">
        <v>0.0</v>
      </c>
      <c r="Z28397" s="372">
        <v>0.0</v>
      </c>
    </row>
    <row r="28398">
      <c r="Y28398" s="372">
        <v>0.0</v>
      </c>
      <c r="Z28398" s="372">
        <v>0.0</v>
      </c>
    </row>
    <row r="28399">
      <c r="Y28399" s="372">
        <v>0.0</v>
      </c>
      <c r="Z28399" s="372">
        <v>0.0</v>
      </c>
    </row>
    <row r="28400">
      <c r="Y28400" s="372">
        <v>0.0</v>
      </c>
      <c r="Z28400" s="372">
        <v>0.0</v>
      </c>
    </row>
    <row r="28401">
      <c r="Y28401" s="372">
        <v>0.0</v>
      </c>
      <c r="Z28401" s="372">
        <v>0.0</v>
      </c>
    </row>
    <row r="28402">
      <c r="Y28402" s="372">
        <v>0.0</v>
      </c>
      <c r="Z28402" s="372">
        <v>0.0</v>
      </c>
    </row>
    <row r="28403">
      <c r="Y28403" s="372">
        <v>0.0</v>
      </c>
      <c r="Z28403" s="372">
        <v>0.0</v>
      </c>
    </row>
    <row r="28404">
      <c r="Y28404" s="372">
        <v>0.0</v>
      </c>
      <c r="Z28404" s="372">
        <v>0.0</v>
      </c>
    </row>
    <row r="28405">
      <c r="Y28405" s="372">
        <v>0.0</v>
      </c>
      <c r="Z28405" s="372">
        <v>0.0</v>
      </c>
    </row>
    <row r="28406">
      <c r="Y28406" s="372">
        <v>0.0</v>
      </c>
      <c r="Z28406" s="372">
        <v>0.0</v>
      </c>
    </row>
    <row r="28407">
      <c r="Y28407" s="372">
        <v>0.0</v>
      </c>
      <c r="Z28407" s="372">
        <v>0.0</v>
      </c>
    </row>
    <row r="28408">
      <c r="Y28408" s="372">
        <v>0.0</v>
      </c>
      <c r="Z28408" s="372">
        <v>0.0</v>
      </c>
    </row>
    <row r="28409">
      <c r="Y28409" s="372">
        <v>0.0</v>
      </c>
      <c r="Z28409" s="372">
        <v>0.0</v>
      </c>
    </row>
    <row r="28410">
      <c r="Y28410" s="372">
        <v>0.0</v>
      </c>
      <c r="Z28410" s="372">
        <v>0.0</v>
      </c>
    </row>
    <row r="28411">
      <c r="Y28411" s="372">
        <v>0.0</v>
      </c>
      <c r="Z28411" s="372">
        <v>0.0</v>
      </c>
    </row>
    <row r="28412">
      <c r="Y28412" s="372">
        <v>0.0</v>
      </c>
      <c r="Z28412" s="372">
        <v>0.0</v>
      </c>
    </row>
    <row r="28413">
      <c r="Y28413" s="372">
        <v>0.0</v>
      </c>
      <c r="Z28413" s="372">
        <v>0.0</v>
      </c>
    </row>
    <row r="28414">
      <c r="Y28414" s="372">
        <v>0.0</v>
      </c>
      <c r="Z28414" s="372">
        <v>0.0</v>
      </c>
    </row>
    <row r="28415">
      <c r="Y28415" s="372">
        <v>0.0</v>
      </c>
      <c r="Z28415" s="372">
        <v>0.0</v>
      </c>
    </row>
    <row r="28416">
      <c r="Y28416" s="372">
        <v>0.0</v>
      </c>
      <c r="Z28416" s="372">
        <v>0.0</v>
      </c>
    </row>
    <row r="28417">
      <c r="Y28417" s="372">
        <v>0.0</v>
      </c>
      <c r="Z28417" s="372">
        <v>0.0</v>
      </c>
    </row>
    <row r="28418">
      <c r="Y28418" s="372">
        <v>0.0</v>
      </c>
      <c r="Z28418" s="372">
        <v>0.0</v>
      </c>
    </row>
    <row r="28419">
      <c r="Y28419" s="372">
        <v>0.0</v>
      </c>
      <c r="Z28419" s="372">
        <v>0.0</v>
      </c>
    </row>
    <row r="28420">
      <c r="Y28420" s="372">
        <v>0.0</v>
      </c>
      <c r="Z28420" s="372">
        <v>0.0</v>
      </c>
    </row>
    <row r="28421">
      <c r="Y28421" s="372">
        <v>0.0</v>
      </c>
      <c r="Z28421" s="372">
        <v>0.0</v>
      </c>
    </row>
    <row r="28422">
      <c r="Y28422" s="372">
        <v>0.0</v>
      </c>
      <c r="Z28422" s="372">
        <v>0.0</v>
      </c>
    </row>
    <row r="28423">
      <c r="Y28423" s="372">
        <v>0.0</v>
      </c>
      <c r="Z28423" s="372">
        <v>0.0</v>
      </c>
    </row>
    <row r="28424">
      <c r="Y28424" s="372">
        <v>0.0</v>
      </c>
      <c r="Z28424" s="372">
        <v>0.0</v>
      </c>
    </row>
    <row r="28425">
      <c r="Y28425" s="372">
        <v>0.0</v>
      </c>
      <c r="Z28425" s="372">
        <v>0.0</v>
      </c>
    </row>
    <row r="28426">
      <c r="Y28426" s="372">
        <v>0.0</v>
      </c>
      <c r="Z28426" s="372">
        <v>0.0</v>
      </c>
    </row>
    <row r="28427">
      <c r="Y28427" s="372">
        <v>0.0</v>
      </c>
      <c r="Z28427" s="372">
        <v>0.0</v>
      </c>
    </row>
    <row r="28428">
      <c r="Y28428" s="372">
        <v>0.0</v>
      </c>
      <c r="Z28428" s="372">
        <v>0.0</v>
      </c>
    </row>
    <row r="28429">
      <c r="Y28429" s="372">
        <v>0.0</v>
      </c>
      <c r="Z28429" s="372">
        <v>0.0</v>
      </c>
    </row>
    <row r="28430">
      <c r="Y28430" s="372">
        <v>0.0</v>
      </c>
      <c r="Z28430" s="372">
        <v>0.0</v>
      </c>
    </row>
    <row r="28431">
      <c r="Y28431" s="372">
        <v>0.0</v>
      </c>
      <c r="Z28431" s="372">
        <v>0.0</v>
      </c>
    </row>
    <row r="28432">
      <c r="Y28432" s="372">
        <v>0.0</v>
      </c>
      <c r="Z28432" s="372">
        <v>0.0</v>
      </c>
    </row>
    <row r="28433">
      <c r="Y28433" s="372">
        <v>0.0</v>
      </c>
      <c r="Z28433" s="372">
        <v>0.0</v>
      </c>
    </row>
    <row r="28434">
      <c r="Y28434" s="372">
        <v>0.0</v>
      </c>
      <c r="Z28434" s="372">
        <v>0.0</v>
      </c>
    </row>
    <row r="28435">
      <c r="Y28435" s="372">
        <v>0.0</v>
      </c>
      <c r="Z28435" s="372">
        <v>0.0</v>
      </c>
    </row>
    <row r="28436">
      <c r="Y28436" s="372">
        <v>0.0</v>
      </c>
      <c r="Z28436" s="372">
        <v>0.0</v>
      </c>
    </row>
    <row r="28437">
      <c r="Y28437" s="372">
        <v>0.0</v>
      </c>
      <c r="Z28437" s="372">
        <v>0.0</v>
      </c>
    </row>
    <row r="28438">
      <c r="Y28438" s="372">
        <v>0.0</v>
      </c>
      <c r="Z28438" s="372">
        <v>0.0</v>
      </c>
    </row>
    <row r="28439">
      <c r="Y28439" s="372">
        <v>0.0</v>
      </c>
      <c r="Z28439" s="372">
        <v>0.0</v>
      </c>
    </row>
    <row r="28440">
      <c r="Y28440" s="372">
        <v>0.0</v>
      </c>
      <c r="Z28440" s="372">
        <v>0.0</v>
      </c>
    </row>
    <row r="28441">
      <c r="Y28441" s="372">
        <v>0.0</v>
      </c>
      <c r="Z28441" s="372">
        <v>0.0</v>
      </c>
    </row>
    <row r="28442">
      <c r="Y28442" s="372">
        <v>0.0</v>
      </c>
      <c r="Z28442" s="372">
        <v>0.0</v>
      </c>
    </row>
    <row r="28443">
      <c r="Y28443" s="372">
        <v>0.0</v>
      </c>
      <c r="Z28443" s="372">
        <v>0.0</v>
      </c>
    </row>
    <row r="28444">
      <c r="Y28444" s="372">
        <v>0.0</v>
      </c>
      <c r="Z28444" s="372">
        <v>0.0</v>
      </c>
    </row>
    <row r="28445">
      <c r="Y28445" s="372">
        <v>0.0</v>
      </c>
      <c r="Z28445" s="372">
        <v>0.0</v>
      </c>
    </row>
    <row r="28446">
      <c r="Y28446" s="372">
        <v>0.0</v>
      </c>
      <c r="Z28446" s="372">
        <v>0.0</v>
      </c>
    </row>
    <row r="28447">
      <c r="Y28447" s="372">
        <v>0.0</v>
      </c>
      <c r="Z28447" s="372">
        <v>0.0</v>
      </c>
    </row>
    <row r="28448">
      <c r="Y28448" s="372">
        <v>0.0</v>
      </c>
      <c r="Z28448" s="372">
        <v>0.0</v>
      </c>
    </row>
    <row r="28449">
      <c r="Y28449" s="372">
        <v>0.0</v>
      </c>
      <c r="Z28449" s="372">
        <v>0.0</v>
      </c>
    </row>
    <row r="28450">
      <c r="Y28450" s="372">
        <v>0.0</v>
      </c>
      <c r="Z28450" s="372">
        <v>0.0</v>
      </c>
    </row>
    <row r="28451">
      <c r="Y28451" s="372">
        <v>0.0</v>
      </c>
      <c r="Z28451" s="372">
        <v>0.0</v>
      </c>
    </row>
    <row r="28452">
      <c r="Y28452" s="372">
        <v>0.0</v>
      </c>
      <c r="Z28452" s="372">
        <v>0.0</v>
      </c>
    </row>
    <row r="28453">
      <c r="Y28453" s="372">
        <v>0.0</v>
      </c>
      <c r="Z28453" s="372">
        <v>0.0</v>
      </c>
    </row>
    <row r="28454">
      <c r="Y28454" s="372">
        <v>0.0</v>
      </c>
      <c r="Z28454" s="372">
        <v>0.0</v>
      </c>
    </row>
    <row r="28455">
      <c r="Y28455" s="372">
        <v>0.0</v>
      </c>
      <c r="Z28455" s="372">
        <v>0.0</v>
      </c>
    </row>
    <row r="28456">
      <c r="Y28456" s="372">
        <v>0.0</v>
      </c>
      <c r="Z28456" s="372">
        <v>0.0</v>
      </c>
    </row>
    <row r="28457">
      <c r="Y28457" s="372">
        <v>0.0</v>
      </c>
      <c r="Z28457" s="372">
        <v>0.0</v>
      </c>
    </row>
    <row r="28458">
      <c r="Y28458" s="372">
        <v>0.0</v>
      </c>
      <c r="Z28458" s="372">
        <v>0.0</v>
      </c>
    </row>
    <row r="28459">
      <c r="Y28459" s="372">
        <v>0.0</v>
      </c>
      <c r="Z28459" s="372">
        <v>0.0</v>
      </c>
    </row>
    <row r="28460">
      <c r="Y28460" s="372">
        <v>0.0</v>
      </c>
      <c r="Z28460" s="372">
        <v>0.0</v>
      </c>
    </row>
    <row r="28461">
      <c r="Y28461" s="372">
        <v>0.0</v>
      </c>
      <c r="Z28461" s="372">
        <v>0.0</v>
      </c>
    </row>
    <row r="28462">
      <c r="Y28462" s="372">
        <v>0.0</v>
      </c>
      <c r="Z28462" s="372">
        <v>0.0</v>
      </c>
    </row>
    <row r="28463">
      <c r="Y28463" s="372">
        <v>0.0</v>
      </c>
      <c r="Z28463" s="372">
        <v>0.0</v>
      </c>
    </row>
    <row r="28464">
      <c r="Y28464" s="372">
        <v>0.0</v>
      </c>
      <c r="Z28464" s="372">
        <v>0.0</v>
      </c>
    </row>
    <row r="28465">
      <c r="Y28465" s="372">
        <v>0.0</v>
      </c>
      <c r="Z28465" s="372">
        <v>0.0</v>
      </c>
    </row>
    <row r="28466">
      <c r="Y28466" s="372">
        <v>0.0</v>
      </c>
      <c r="Z28466" s="372">
        <v>0.0</v>
      </c>
    </row>
    <row r="28467">
      <c r="Y28467" s="372">
        <v>0.0</v>
      </c>
      <c r="Z28467" s="372">
        <v>0.0</v>
      </c>
    </row>
    <row r="28468">
      <c r="Y28468" s="372">
        <v>0.0</v>
      </c>
      <c r="Z28468" s="372">
        <v>0.0</v>
      </c>
    </row>
    <row r="28469">
      <c r="Y28469" s="372">
        <v>0.0</v>
      </c>
      <c r="Z28469" s="372">
        <v>0.0</v>
      </c>
    </row>
    <row r="28470">
      <c r="Y28470" s="372">
        <v>0.0</v>
      </c>
      <c r="Z28470" s="372">
        <v>0.0</v>
      </c>
    </row>
    <row r="28471">
      <c r="Y28471" s="372">
        <v>0.0</v>
      </c>
      <c r="Z28471" s="372">
        <v>0.0</v>
      </c>
    </row>
    <row r="28472">
      <c r="Y28472" s="372">
        <v>0.0</v>
      </c>
      <c r="Z28472" s="372">
        <v>0.0</v>
      </c>
    </row>
    <row r="28473">
      <c r="Y28473" s="372">
        <v>0.0</v>
      </c>
      <c r="Z28473" s="372">
        <v>0.0</v>
      </c>
    </row>
    <row r="28474">
      <c r="Y28474" s="372">
        <v>0.0</v>
      </c>
      <c r="Z28474" s="372">
        <v>0.0</v>
      </c>
    </row>
    <row r="28475">
      <c r="Y28475" s="372">
        <v>0.0</v>
      </c>
      <c r="Z28475" s="372">
        <v>0.0</v>
      </c>
    </row>
    <row r="28476">
      <c r="Y28476" s="372">
        <v>0.0</v>
      </c>
      <c r="Z28476" s="372">
        <v>0.0</v>
      </c>
    </row>
    <row r="28477">
      <c r="Y28477" s="372">
        <v>0.0</v>
      </c>
      <c r="Z28477" s="372">
        <v>0.0</v>
      </c>
    </row>
    <row r="28478">
      <c r="Y28478" s="372">
        <v>0.0</v>
      </c>
      <c r="Z28478" s="372">
        <v>0.0</v>
      </c>
    </row>
    <row r="28479">
      <c r="Y28479" s="372">
        <v>0.0</v>
      </c>
      <c r="Z28479" s="372">
        <v>0.0</v>
      </c>
    </row>
    <row r="28480">
      <c r="Y28480" s="372">
        <v>0.0</v>
      </c>
      <c r="Z28480" s="372">
        <v>0.0</v>
      </c>
    </row>
    <row r="28481">
      <c r="Y28481" s="372">
        <v>0.0</v>
      </c>
      <c r="Z28481" s="372">
        <v>0.0</v>
      </c>
    </row>
    <row r="28482">
      <c r="Y28482" s="372">
        <v>0.0</v>
      </c>
      <c r="Z28482" s="372">
        <v>0.0</v>
      </c>
    </row>
    <row r="28483">
      <c r="Y28483" s="372">
        <v>0.0</v>
      </c>
      <c r="Z28483" s="372">
        <v>0.0</v>
      </c>
    </row>
    <row r="28484">
      <c r="Y28484" s="372">
        <v>0.0</v>
      </c>
      <c r="Z28484" s="372">
        <v>0.0</v>
      </c>
    </row>
    <row r="28485">
      <c r="Y28485" s="372">
        <v>0.0</v>
      </c>
      <c r="Z28485" s="372">
        <v>0.0</v>
      </c>
    </row>
    <row r="28486">
      <c r="Y28486" s="372">
        <v>0.0</v>
      </c>
      <c r="Z28486" s="372">
        <v>0.0</v>
      </c>
    </row>
    <row r="28487">
      <c r="Y28487" s="372">
        <v>0.0</v>
      </c>
      <c r="Z28487" s="372">
        <v>0.0</v>
      </c>
    </row>
    <row r="28488">
      <c r="Y28488" s="372">
        <v>0.0</v>
      </c>
      <c r="Z28488" s="372">
        <v>0.0</v>
      </c>
    </row>
    <row r="28489">
      <c r="Y28489" s="372">
        <v>0.0</v>
      </c>
      <c r="Z28489" s="372">
        <v>0.0</v>
      </c>
    </row>
    <row r="28490">
      <c r="Y28490" s="372">
        <v>0.0</v>
      </c>
      <c r="Z28490" s="372">
        <v>0.0</v>
      </c>
    </row>
    <row r="28491">
      <c r="Y28491" s="372">
        <v>0.0</v>
      </c>
      <c r="Z28491" s="372">
        <v>0.0</v>
      </c>
    </row>
    <row r="28492">
      <c r="Y28492" s="372">
        <v>0.0</v>
      </c>
      <c r="Z28492" s="372">
        <v>0.0</v>
      </c>
    </row>
    <row r="28493">
      <c r="Y28493" s="372">
        <v>0.0</v>
      </c>
      <c r="Z28493" s="372">
        <v>0.0</v>
      </c>
    </row>
    <row r="28494">
      <c r="Y28494" s="372">
        <v>0.0</v>
      </c>
      <c r="Z28494" s="372">
        <v>0.0</v>
      </c>
    </row>
    <row r="28495">
      <c r="Y28495" s="372">
        <v>0.0</v>
      </c>
      <c r="Z28495" s="372">
        <v>0.0</v>
      </c>
    </row>
    <row r="28496">
      <c r="Y28496" s="372">
        <v>0.0</v>
      </c>
      <c r="Z28496" s="372">
        <v>0.0</v>
      </c>
    </row>
    <row r="28497">
      <c r="Y28497" s="372">
        <v>0.0</v>
      </c>
      <c r="Z28497" s="372">
        <v>0.0</v>
      </c>
    </row>
    <row r="28498">
      <c r="Y28498" s="372">
        <v>0.0</v>
      </c>
      <c r="Z28498" s="372">
        <v>0.0</v>
      </c>
    </row>
    <row r="28499">
      <c r="Y28499" s="372">
        <v>0.0</v>
      </c>
      <c r="Z28499" s="372">
        <v>0.0</v>
      </c>
    </row>
    <row r="28500">
      <c r="Y28500" s="372">
        <v>0.0</v>
      </c>
      <c r="Z28500" s="372">
        <v>0.0</v>
      </c>
    </row>
    <row r="28501">
      <c r="Y28501" s="372">
        <v>0.0</v>
      </c>
      <c r="Z28501" s="372">
        <v>0.0</v>
      </c>
    </row>
    <row r="28502">
      <c r="Y28502" s="372">
        <v>0.0</v>
      </c>
      <c r="Z28502" s="372">
        <v>0.0</v>
      </c>
    </row>
    <row r="28503">
      <c r="Y28503" s="372">
        <v>0.0</v>
      </c>
      <c r="Z28503" s="372">
        <v>0.0</v>
      </c>
    </row>
    <row r="28504">
      <c r="Y28504" s="372">
        <v>0.0</v>
      </c>
      <c r="Z28504" s="372">
        <v>0.0</v>
      </c>
    </row>
    <row r="28505">
      <c r="Y28505" s="372">
        <v>0.0</v>
      </c>
      <c r="Z28505" s="372">
        <v>0.0</v>
      </c>
    </row>
    <row r="28506">
      <c r="Y28506" s="372">
        <v>0.0</v>
      </c>
      <c r="Z28506" s="372">
        <v>0.0</v>
      </c>
    </row>
    <row r="28507">
      <c r="Y28507" s="372">
        <v>0.0</v>
      </c>
      <c r="Z28507" s="372">
        <v>0.0</v>
      </c>
    </row>
    <row r="28508">
      <c r="Y28508" s="372">
        <v>0.0</v>
      </c>
      <c r="Z28508" s="372">
        <v>0.0</v>
      </c>
    </row>
    <row r="28509">
      <c r="Y28509" s="372">
        <v>0.0</v>
      </c>
      <c r="Z28509" s="372">
        <v>0.0</v>
      </c>
    </row>
    <row r="28510">
      <c r="Y28510" s="372">
        <v>0.0</v>
      </c>
      <c r="Z28510" s="372">
        <v>0.0</v>
      </c>
    </row>
    <row r="28511">
      <c r="Y28511" s="372">
        <v>0.0</v>
      </c>
      <c r="Z28511" s="372">
        <v>0.0</v>
      </c>
    </row>
    <row r="28512">
      <c r="Y28512" s="372">
        <v>0.0</v>
      </c>
      <c r="Z28512" s="372">
        <v>0.0</v>
      </c>
    </row>
    <row r="28513">
      <c r="Y28513" s="372">
        <v>0.0</v>
      </c>
      <c r="Z28513" s="372">
        <v>0.0</v>
      </c>
    </row>
    <row r="28514">
      <c r="Y28514" s="372">
        <v>0.0</v>
      </c>
      <c r="Z28514" s="372">
        <v>0.0</v>
      </c>
    </row>
    <row r="28515">
      <c r="Y28515" s="372">
        <v>0.0</v>
      </c>
      <c r="Z28515" s="372">
        <v>0.0</v>
      </c>
    </row>
    <row r="28516">
      <c r="Y28516" s="372">
        <v>0.0</v>
      </c>
      <c r="Z28516" s="372">
        <v>0.0</v>
      </c>
    </row>
    <row r="28517">
      <c r="Y28517" s="372">
        <v>0.0</v>
      </c>
      <c r="Z28517" s="372">
        <v>0.0</v>
      </c>
    </row>
    <row r="28518">
      <c r="Y28518" s="372">
        <v>0.0</v>
      </c>
      <c r="Z28518" s="372">
        <v>0.0</v>
      </c>
    </row>
    <row r="28519">
      <c r="Y28519" s="372">
        <v>0.0</v>
      </c>
      <c r="Z28519" s="372">
        <v>0.0</v>
      </c>
    </row>
    <row r="28520">
      <c r="Y28520" s="372">
        <v>0.0</v>
      </c>
      <c r="Z28520" s="372">
        <v>0.0</v>
      </c>
    </row>
    <row r="28521">
      <c r="Y28521" s="372">
        <v>0.0</v>
      </c>
      <c r="Z28521" s="372">
        <v>0.0</v>
      </c>
    </row>
    <row r="28522">
      <c r="Y28522" s="372">
        <v>0.0</v>
      </c>
      <c r="Z28522" s="372">
        <v>0.0</v>
      </c>
    </row>
    <row r="28523">
      <c r="Y28523" s="372">
        <v>0.0</v>
      </c>
      <c r="Z28523" s="372">
        <v>0.0</v>
      </c>
    </row>
    <row r="28524">
      <c r="Y28524" s="372">
        <v>0.0</v>
      </c>
      <c r="Z28524" s="372">
        <v>0.0</v>
      </c>
    </row>
    <row r="28525">
      <c r="Y28525" s="372">
        <v>0.0</v>
      </c>
      <c r="Z28525" s="372">
        <v>0.0</v>
      </c>
    </row>
    <row r="28526">
      <c r="Y28526" s="372">
        <v>0.0</v>
      </c>
      <c r="Z28526" s="372">
        <v>0.0</v>
      </c>
    </row>
    <row r="28527">
      <c r="Y28527" s="372">
        <v>0.0</v>
      </c>
      <c r="Z28527" s="372">
        <v>0.0</v>
      </c>
    </row>
    <row r="28528">
      <c r="Y28528" s="372">
        <v>0.0</v>
      </c>
      <c r="Z28528" s="372">
        <v>0.0</v>
      </c>
    </row>
    <row r="28529">
      <c r="Y28529" s="372">
        <v>0.0</v>
      </c>
      <c r="Z28529" s="372">
        <v>0.0</v>
      </c>
    </row>
    <row r="28530">
      <c r="Y28530" s="372">
        <v>0.0</v>
      </c>
      <c r="Z28530" s="372">
        <v>0.0</v>
      </c>
    </row>
    <row r="28531">
      <c r="Y28531" s="372">
        <v>0.0</v>
      </c>
      <c r="Z28531" s="372">
        <v>0.0</v>
      </c>
    </row>
    <row r="28532">
      <c r="Y28532" s="372">
        <v>0.0</v>
      </c>
      <c r="Z28532" s="372">
        <v>0.0</v>
      </c>
    </row>
    <row r="28533">
      <c r="Y28533" s="372">
        <v>0.0</v>
      </c>
      <c r="Z28533" s="372">
        <v>0.0</v>
      </c>
    </row>
    <row r="28534">
      <c r="Y28534" s="372">
        <v>0.0</v>
      </c>
      <c r="Z28534" s="372">
        <v>0.0</v>
      </c>
    </row>
    <row r="28535">
      <c r="Y28535" s="372">
        <v>0.0</v>
      </c>
      <c r="Z28535" s="372">
        <v>0.0</v>
      </c>
    </row>
    <row r="28536">
      <c r="Y28536" s="372">
        <v>0.0</v>
      </c>
      <c r="Z28536" s="372">
        <v>0.0</v>
      </c>
    </row>
    <row r="28537">
      <c r="Y28537" s="372">
        <v>0.0</v>
      </c>
      <c r="Z28537" s="372">
        <v>0.0</v>
      </c>
    </row>
    <row r="28538">
      <c r="Y28538" s="372">
        <v>0.0</v>
      </c>
      <c r="Z28538" s="372">
        <v>0.0</v>
      </c>
    </row>
    <row r="28539">
      <c r="Y28539" s="372">
        <v>0.0</v>
      </c>
      <c r="Z28539" s="372">
        <v>0.0</v>
      </c>
    </row>
    <row r="28540">
      <c r="Y28540" s="372">
        <v>0.0</v>
      </c>
      <c r="Z28540" s="372">
        <v>0.0</v>
      </c>
    </row>
    <row r="28541">
      <c r="Y28541" s="372">
        <v>0.0</v>
      </c>
      <c r="Z28541" s="372">
        <v>0.0</v>
      </c>
    </row>
    <row r="28542">
      <c r="Y28542" s="372">
        <v>0.0</v>
      </c>
      <c r="Z28542" s="372">
        <v>0.0</v>
      </c>
    </row>
    <row r="28543">
      <c r="Y28543" s="372">
        <v>0.0</v>
      </c>
      <c r="Z28543" s="372">
        <v>0.0</v>
      </c>
    </row>
    <row r="28544">
      <c r="Y28544" s="372">
        <v>0.0</v>
      </c>
      <c r="Z28544" s="372">
        <v>0.0</v>
      </c>
    </row>
    <row r="28545">
      <c r="Y28545" s="372">
        <v>0.0</v>
      </c>
      <c r="Z28545" s="372">
        <v>0.0</v>
      </c>
    </row>
    <row r="28546">
      <c r="Y28546" s="372">
        <v>0.0</v>
      </c>
      <c r="Z28546" s="372">
        <v>0.0</v>
      </c>
    </row>
    <row r="28547">
      <c r="Y28547" s="372">
        <v>0.0</v>
      </c>
      <c r="Z28547" s="372">
        <v>0.0</v>
      </c>
    </row>
    <row r="28548">
      <c r="Y28548" s="372">
        <v>0.0</v>
      </c>
      <c r="Z28548" s="372">
        <v>0.0</v>
      </c>
    </row>
    <row r="28549">
      <c r="Y28549" s="372">
        <v>0.0</v>
      </c>
      <c r="Z28549" s="372">
        <v>0.0</v>
      </c>
    </row>
    <row r="28550">
      <c r="Y28550" s="372">
        <v>0.0</v>
      </c>
      <c r="Z28550" s="372">
        <v>0.0</v>
      </c>
    </row>
    <row r="28551">
      <c r="Y28551" s="372">
        <v>0.0</v>
      </c>
      <c r="Z28551" s="372">
        <v>0.0</v>
      </c>
    </row>
    <row r="28552">
      <c r="Y28552" s="372">
        <v>0.0</v>
      </c>
      <c r="Z28552" s="372">
        <v>0.0</v>
      </c>
    </row>
    <row r="28553">
      <c r="Y28553" s="372">
        <v>0.0</v>
      </c>
      <c r="Z28553" s="372">
        <v>0.0</v>
      </c>
    </row>
    <row r="28554">
      <c r="Y28554" s="372">
        <v>0.0</v>
      </c>
      <c r="Z28554" s="372">
        <v>0.0</v>
      </c>
    </row>
    <row r="28555">
      <c r="Y28555" s="372">
        <v>0.0</v>
      </c>
      <c r="Z28555" s="372">
        <v>0.0</v>
      </c>
    </row>
    <row r="28556">
      <c r="Y28556" s="372">
        <v>0.0</v>
      </c>
      <c r="Z28556" s="372">
        <v>0.0</v>
      </c>
    </row>
    <row r="28557">
      <c r="Y28557" s="372">
        <v>0.0</v>
      </c>
      <c r="Z28557" s="372">
        <v>0.0</v>
      </c>
    </row>
    <row r="28558">
      <c r="Y28558" s="372">
        <v>0.0</v>
      </c>
      <c r="Z28558" s="372">
        <v>0.0</v>
      </c>
    </row>
    <row r="28559">
      <c r="Y28559" s="372">
        <v>0.0</v>
      </c>
      <c r="Z28559" s="372">
        <v>0.0</v>
      </c>
    </row>
    <row r="28560">
      <c r="Y28560" s="372">
        <v>0.0</v>
      </c>
      <c r="Z28560" s="372">
        <v>0.0</v>
      </c>
    </row>
    <row r="28561">
      <c r="Y28561" s="372">
        <v>0.0</v>
      </c>
      <c r="Z28561" s="372">
        <v>0.0</v>
      </c>
    </row>
    <row r="28562">
      <c r="Y28562" s="372">
        <v>0.0</v>
      </c>
      <c r="Z28562" s="372">
        <v>0.0</v>
      </c>
    </row>
    <row r="28563">
      <c r="Y28563" s="372">
        <v>0.0</v>
      </c>
      <c r="Z28563" s="372">
        <v>0.0</v>
      </c>
    </row>
    <row r="28564">
      <c r="Y28564" s="372">
        <v>0.0</v>
      </c>
      <c r="Z28564" s="372">
        <v>0.0</v>
      </c>
    </row>
    <row r="28565">
      <c r="Y28565" s="372">
        <v>0.0</v>
      </c>
      <c r="Z28565" s="372">
        <v>0.0</v>
      </c>
    </row>
    <row r="28566">
      <c r="Y28566" s="372">
        <v>0.0</v>
      </c>
      <c r="Z28566" s="372">
        <v>0.0</v>
      </c>
    </row>
    <row r="28567">
      <c r="Y28567" s="372">
        <v>0.0</v>
      </c>
      <c r="Z28567" s="372">
        <v>0.0</v>
      </c>
    </row>
    <row r="28568">
      <c r="Y28568" s="372">
        <v>0.0</v>
      </c>
      <c r="Z28568" s="372">
        <v>0.0</v>
      </c>
    </row>
    <row r="28569">
      <c r="Y28569" s="372">
        <v>0.0</v>
      </c>
      <c r="Z28569" s="372">
        <v>0.0</v>
      </c>
    </row>
    <row r="28570">
      <c r="Y28570" s="372">
        <v>0.0</v>
      </c>
      <c r="Z28570" s="372">
        <v>0.0</v>
      </c>
    </row>
    <row r="28571">
      <c r="Y28571" s="372">
        <v>0.0</v>
      </c>
      <c r="Z28571" s="372">
        <v>0.0</v>
      </c>
    </row>
    <row r="28572">
      <c r="Y28572" s="372">
        <v>0.0</v>
      </c>
      <c r="Z28572" s="372">
        <v>0.0</v>
      </c>
    </row>
    <row r="28573">
      <c r="Y28573" s="372">
        <v>0.0</v>
      </c>
      <c r="Z28573" s="372">
        <v>0.0</v>
      </c>
    </row>
    <row r="28574">
      <c r="Y28574" s="372">
        <v>0.0</v>
      </c>
      <c r="Z28574" s="372">
        <v>0.0</v>
      </c>
    </row>
    <row r="28575">
      <c r="Y28575" s="372">
        <v>0.0</v>
      </c>
      <c r="Z28575" s="372">
        <v>0.0</v>
      </c>
    </row>
    <row r="28576">
      <c r="Y28576" s="372">
        <v>0.0</v>
      </c>
      <c r="Z28576" s="372">
        <v>0.0</v>
      </c>
    </row>
    <row r="28577">
      <c r="Y28577" s="372">
        <v>0.0</v>
      </c>
      <c r="Z28577" s="372">
        <v>0.0</v>
      </c>
    </row>
    <row r="28578">
      <c r="Y28578" s="372">
        <v>0.0</v>
      </c>
      <c r="Z28578" s="372">
        <v>0.0</v>
      </c>
    </row>
    <row r="28579">
      <c r="Y28579" s="372">
        <v>0.0</v>
      </c>
      <c r="Z28579" s="372">
        <v>0.0</v>
      </c>
    </row>
    <row r="28580">
      <c r="Y28580" s="372">
        <v>0.0</v>
      </c>
      <c r="Z28580" s="372">
        <v>0.0</v>
      </c>
    </row>
    <row r="28581">
      <c r="Y28581" s="372">
        <v>0.0</v>
      </c>
      <c r="Z28581" s="372">
        <v>0.0</v>
      </c>
    </row>
    <row r="28582">
      <c r="Y28582" s="372">
        <v>0.0</v>
      </c>
      <c r="Z28582" s="372">
        <v>0.0</v>
      </c>
    </row>
    <row r="28583">
      <c r="Y28583" s="372">
        <v>0.0</v>
      </c>
      <c r="Z28583" s="372">
        <v>0.0</v>
      </c>
    </row>
    <row r="28584">
      <c r="Y28584" s="372">
        <v>0.0</v>
      </c>
      <c r="Z28584" s="372">
        <v>0.0</v>
      </c>
    </row>
    <row r="28585">
      <c r="Y28585" s="372">
        <v>0.0</v>
      </c>
      <c r="Z28585" s="372">
        <v>0.0</v>
      </c>
    </row>
    <row r="28586">
      <c r="Y28586" s="372">
        <v>0.0</v>
      </c>
      <c r="Z28586" s="372">
        <v>0.0</v>
      </c>
    </row>
    <row r="28587">
      <c r="Y28587" s="372">
        <v>0.0</v>
      </c>
      <c r="Z28587" s="372">
        <v>0.0</v>
      </c>
    </row>
    <row r="28588">
      <c r="Y28588" s="372">
        <v>0.0</v>
      </c>
      <c r="Z28588" s="372">
        <v>0.0</v>
      </c>
    </row>
    <row r="28589">
      <c r="Y28589" s="372">
        <v>0.0</v>
      </c>
      <c r="Z28589" s="372">
        <v>0.0</v>
      </c>
    </row>
    <row r="28590">
      <c r="Y28590" s="372">
        <v>0.0</v>
      </c>
      <c r="Z28590" s="372">
        <v>0.0</v>
      </c>
    </row>
    <row r="28591">
      <c r="Y28591" s="372">
        <v>0.0</v>
      </c>
      <c r="Z28591" s="372">
        <v>0.0</v>
      </c>
    </row>
    <row r="28592">
      <c r="Y28592" s="372">
        <v>0.0</v>
      </c>
      <c r="Z28592" s="372">
        <v>0.0</v>
      </c>
    </row>
    <row r="28593">
      <c r="Y28593" s="372">
        <v>0.0</v>
      </c>
      <c r="Z28593" s="372">
        <v>0.0</v>
      </c>
    </row>
    <row r="28594">
      <c r="Y28594" s="372">
        <v>0.0</v>
      </c>
      <c r="Z28594" s="372">
        <v>0.0</v>
      </c>
    </row>
    <row r="28595">
      <c r="Y28595" s="372">
        <v>0.0</v>
      </c>
      <c r="Z28595" s="372">
        <v>0.0</v>
      </c>
    </row>
    <row r="28596">
      <c r="Y28596" s="372">
        <v>0.0</v>
      </c>
      <c r="Z28596" s="372">
        <v>0.0</v>
      </c>
    </row>
    <row r="28597">
      <c r="Y28597" s="372">
        <v>0.0</v>
      </c>
      <c r="Z28597" s="372">
        <v>0.0</v>
      </c>
    </row>
    <row r="28598">
      <c r="Y28598" s="372">
        <v>0.0</v>
      </c>
      <c r="Z28598" s="372">
        <v>0.0</v>
      </c>
    </row>
    <row r="28599">
      <c r="Y28599" s="372">
        <v>0.0</v>
      </c>
      <c r="Z28599" s="372">
        <v>0.0</v>
      </c>
    </row>
    <row r="28600">
      <c r="Y28600" s="372">
        <v>0.0</v>
      </c>
      <c r="Z28600" s="372">
        <v>0.0</v>
      </c>
    </row>
    <row r="28601">
      <c r="Y28601" s="372">
        <v>0.0</v>
      </c>
      <c r="Z28601" s="372">
        <v>0.0</v>
      </c>
    </row>
    <row r="28602">
      <c r="Y28602" s="372">
        <v>0.0</v>
      </c>
      <c r="Z28602" s="372">
        <v>0.0</v>
      </c>
    </row>
    <row r="28603">
      <c r="Y28603" s="372">
        <v>0.0</v>
      </c>
      <c r="Z28603" s="372">
        <v>0.0</v>
      </c>
    </row>
    <row r="28604">
      <c r="Y28604" s="372">
        <v>0.0</v>
      </c>
      <c r="Z28604" s="372">
        <v>0.0</v>
      </c>
    </row>
    <row r="28605">
      <c r="Y28605" s="372">
        <v>0.0</v>
      </c>
      <c r="Z28605" s="372">
        <v>0.0</v>
      </c>
    </row>
    <row r="28606">
      <c r="Y28606" s="372">
        <v>0.0</v>
      </c>
      <c r="Z28606" s="372">
        <v>0.0</v>
      </c>
    </row>
    <row r="28607">
      <c r="Y28607" s="372">
        <v>0.0</v>
      </c>
      <c r="Z28607" s="372">
        <v>0.0</v>
      </c>
    </row>
    <row r="28608">
      <c r="Y28608" s="372">
        <v>0.0</v>
      </c>
      <c r="Z28608" s="372">
        <v>0.0</v>
      </c>
    </row>
    <row r="28609">
      <c r="Y28609" s="372">
        <v>0.0</v>
      </c>
      <c r="Z28609" s="372">
        <v>0.0</v>
      </c>
    </row>
    <row r="28610">
      <c r="Y28610" s="372">
        <v>0.0</v>
      </c>
      <c r="Z28610" s="372">
        <v>0.0</v>
      </c>
    </row>
    <row r="28611">
      <c r="Y28611" s="372">
        <v>0.0</v>
      </c>
      <c r="Z28611" s="372">
        <v>0.0</v>
      </c>
    </row>
    <row r="28612">
      <c r="Y28612" s="372">
        <v>0.0</v>
      </c>
      <c r="Z28612" s="372">
        <v>0.0</v>
      </c>
    </row>
    <row r="28613">
      <c r="Y28613" s="372">
        <v>0.0</v>
      </c>
      <c r="Z28613" s="372">
        <v>0.0</v>
      </c>
    </row>
    <row r="28614">
      <c r="Y28614" s="372">
        <v>0.0</v>
      </c>
      <c r="Z28614" s="372">
        <v>0.0</v>
      </c>
    </row>
    <row r="28615">
      <c r="Y28615" s="372">
        <v>0.0</v>
      </c>
      <c r="Z28615" s="372">
        <v>0.0</v>
      </c>
    </row>
    <row r="28616">
      <c r="Y28616" s="372">
        <v>0.0</v>
      </c>
      <c r="Z28616" s="372">
        <v>0.0</v>
      </c>
    </row>
    <row r="28617">
      <c r="Y28617" s="372">
        <v>0.0</v>
      </c>
      <c r="Z28617" s="372">
        <v>0.0</v>
      </c>
    </row>
    <row r="28618">
      <c r="Y28618" s="372">
        <v>0.0</v>
      </c>
      <c r="Z28618" s="372">
        <v>0.0</v>
      </c>
    </row>
    <row r="28619">
      <c r="Y28619" s="372">
        <v>0.0</v>
      </c>
      <c r="Z28619" s="372">
        <v>0.0</v>
      </c>
    </row>
    <row r="28620">
      <c r="Y28620" s="372">
        <v>0.0</v>
      </c>
      <c r="Z28620" s="372">
        <v>0.0</v>
      </c>
    </row>
    <row r="28621">
      <c r="Y28621" s="372">
        <v>0.0</v>
      </c>
      <c r="Z28621" s="372">
        <v>0.0</v>
      </c>
    </row>
    <row r="28622">
      <c r="Y28622" s="372">
        <v>0.0</v>
      </c>
      <c r="Z28622" s="372">
        <v>0.0</v>
      </c>
    </row>
    <row r="28623">
      <c r="Y28623" s="372">
        <v>0.0</v>
      </c>
      <c r="Z28623" s="372">
        <v>0.0</v>
      </c>
    </row>
    <row r="28624">
      <c r="Y28624" s="372">
        <v>0.0</v>
      </c>
      <c r="Z28624" s="372">
        <v>0.0</v>
      </c>
    </row>
    <row r="28625">
      <c r="Y28625" s="372">
        <v>0.0</v>
      </c>
      <c r="Z28625" s="372">
        <v>0.0</v>
      </c>
    </row>
    <row r="28626">
      <c r="Y28626" s="372">
        <v>0.0</v>
      </c>
      <c r="Z28626" s="372">
        <v>0.0</v>
      </c>
    </row>
    <row r="28627">
      <c r="Y28627" s="372">
        <v>0.0</v>
      </c>
      <c r="Z28627" s="372">
        <v>0.0</v>
      </c>
    </row>
    <row r="28628">
      <c r="Y28628" s="372">
        <v>0.0</v>
      </c>
      <c r="Z28628" s="372">
        <v>0.0</v>
      </c>
    </row>
    <row r="28629">
      <c r="Y28629" s="372">
        <v>0.0</v>
      </c>
      <c r="Z28629" s="372">
        <v>0.0</v>
      </c>
    </row>
    <row r="28630">
      <c r="Y28630" s="372">
        <v>0.0</v>
      </c>
      <c r="Z28630" s="372">
        <v>0.0</v>
      </c>
    </row>
    <row r="28631">
      <c r="Y28631" s="372">
        <v>0.0</v>
      </c>
      <c r="Z28631" s="372">
        <v>0.0</v>
      </c>
    </row>
    <row r="28632">
      <c r="Y28632" s="372">
        <v>0.0</v>
      </c>
      <c r="Z28632" s="372">
        <v>0.0</v>
      </c>
    </row>
    <row r="28633">
      <c r="Y28633" s="372">
        <v>0.0</v>
      </c>
      <c r="Z28633" s="372">
        <v>0.0</v>
      </c>
    </row>
    <row r="28634">
      <c r="Y28634" s="372">
        <v>0.0</v>
      </c>
      <c r="Z28634" s="372">
        <v>0.0</v>
      </c>
    </row>
    <row r="28635">
      <c r="Y28635" s="372">
        <v>0.0</v>
      </c>
      <c r="Z28635" s="372">
        <v>0.0</v>
      </c>
    </row>
    <row r="28636">
      <c r="Y28636" s="372">
        <v>0.0</v>
      </c>
      <c r="Z28636" s="372">
        <v>0.0</v>
      </c>
    </row>
    <row r="28637">
      <c r="Y28637" s="372">
        <v>0.0</v>
      </c>
      <c r="Z28637" s="372">
        <v>0.0</v>
      </c>
    </row>
    <row r="28638">
      <c r="Y28638" s="372">
        <v>0.0</v>
      </c>
      <c r="Z28638" s="372">
        <v>0.0</v>
      </c>
    </row>
    <row r="28639">
      <c r="Y28639" s="372">
        <v>0.0</v>
      </c>
      <c r="Z28639" s="372">
        <v>0.0</v>
      </c>
    </row>
    <row r="28640">
      <c r="Y28640" s="372">
        <v>0.0</v>
      </c>
      <c r="Z28640" s="372">
        <v>0.0</v>
      </c>
    </row>
    <row r="28641">
      <c r="Y28641" s="372">
        <v>0.0</v>
      </c>
      <c r="Z28641" s="372">
        <v>0.0</v>
      </c>
    </row>
    <row r="28642">
      <c r="Y28642" s="372">
        <v>0.0</v>
      </c>
      <c r="Z28642" s="372">
        <v>0.0</v>
      </c>
    </row>
    <row r="28643">
      <c r="Y28643" s="372">
        <v>0.0</v>
      </c>
      <c r="Z28643" s="372">
        <v>0.0</v>
      </c>
    </row>
    <row r="28644">
      <c r="Y28644" s="372">
        <v>0.0</v>
      </c>
      <c r="Z28644" s="372">
        <v>0.0</v>
      </c>
    </row>
    <row r="28645">
      <c r="Y28645" s="372">
        <v>0.0</v>
      </c>
      <c r="Z28645" s="372">
        <v>0.0</v>
      </c>
    </row>
    <row r="28646">
      <c r="Y28646" s="372">
        <v>0.0</v>
      </c>
      <c r="Z28646" s="372">
        <v>0.0</v>
      </c>
    </row>
    <row r="28647">
      <c r="Y28647" s="372">
        <v>0.0</v>
      </c>
      <c r="Z28647" s="372">
        <v>0.0</v>
      </c>
    </row>
    <row r="28648">
      <c r="Y28648" s="372">
        <v>0.0</v>
      </c>
      <c r="Z28648" s="372">
        <v>0.0</v>
      </c>
    </row>
    <row r="28649">
      <c r="Y28649" s="372">
        <v>0.0</v>
      </c>
      <c r="Z28649" s="372">
        <v>0.0</v>
      </c>
    </row>
    <row r="28650">
      <c r="Y28650" s="372">
        <v>0.0</v>
      </c>
      <c r="Z28650" s="372">
        <v>0.0</v>
      </c>
    </row>
    <row r="28651">
      <c r="Y28651" s="372">
        <v>0.0</v>
      </c>
      <c r="Z28651" s="372">
        <v>0.0</v>
      </c>
    </row>
    <row r="28652">
      <c r="Y28652" s="372">
        <v>0.0</v>
      </c>
      <c r="Z28652" s="372">
        <v>0.0</v>
      </c>
    </row>
    <row r="28653">
      <c r="Y28653" s="372">
        <v>0.0</v>
      </c>
      <c r="Z28653" s="372">
        <v>0.0</v>
      </c>
    </row>
    <row r="28654">
      <c r="Y28654" s="372">
        <v>0.0</v>
      </c>
      <c r="Z28654" s="372">
        <v>0.0</v>
      </c>
    </row>
    <row r="28655">
      <c r="Y28655" s="372">
        <v>0.0</v>
      </c>
      <c r="Z28655" s="372">
        <v>0.0</v>
      </c>
    </row>
    <row r="28656">
      <c r="Y28656" s="372">
        <v>0.0</v>
      </c>
      <c r="Z28656" s="372">
        <v>0.0</v>
      </c>
    </row>
    <row r="28657">
      <c r="Y28657" s="372">
        <v>0.0</v>
      </c>
      <c r="Z28657" s="372">
        <v>0.0</v>
      </c>
    </row>
    <row r="28658">
      <c r="Y28658" s="372">
        <v>0.0</v>
      </c>
      <c r="Z28658" s="372">
        <v>0.0</v>
      </c>
    </row>
    <row r="28659">
      <c r="Y28659" s="372">
        <v>0.0</v>
      </c>
      <c r="Z28659" s="372">
        <v>0.0</v>
      </c>
    </row>
    <row r="28660">
      <c r="Y28660" s="372">
        <v>0.0</v>
      </c>
      <c r="Z28660" s="372">
        <v>0.0</v>
      </c>
    </row>
    <row r="28661">
      <c r="Y28661" s="372">
        <v>0.0</v>
      </c>
      <c r="Z28661" s="372">
        <v>0.0</v>
      </c>
    </row>
    <row r="28662">
      <c r="Y28662" s="372">
        <v>0.0</v>
      </c>
      <c r="Z28662" s="372">
        <v>0.0</v>
      </c>
    </row>
    <row r="28663">
      <c r="Y28663" s="372">
        <v>0.0</v>
      </c>
      <c r="Z28663" s="372">
        <v>0.0</v>
      </c>
    </row>
    <row r="28664">
      <c r="Y28664" s="372">
        <v>0.0</v>
      </c>
      <c r="Z28664" s="372">
        <v>0.0</v>
      </c>
    </row>
    <row r="28665">
      <c r="Y28665" s="372">
        <v>0.0</v>
      </c>
      <c r="Z28665" s="372">
        <v>0.0</v>
      </c>
    </row>
    <row r="28666">
      <c r="Y28666" s="372">
        <v>0.0</v>
      </c>
      <c r="Z28666" s="372">
        <v>0.0</v>
      </c>
    </row>
    <row r="28667">
      <c r="Y28667" s="372">
        <v>0.0</v>
      </c>
      <c r="Z28667" s="372">
        <v>0.0</v>
      </c>
    </row>
    <row r="28668">
      <c r="Y28668" s="372">
        <v>0.0</v>
      </c>
      <c r="Z28668" s="372">
        <v>0.0</v>
      </c>
    </row>
    <row r="28669">
      <c r="Y28669" s="372">
        <v>0.0</v>
      </c>
      <c r="Z28669" s="372">
        <v>0.0</v>
      </c>
    </row>
    <row r="28670">
      <c r="Y28670" s="372">
        <v>0.0</v>
      </c>
      <c r="Z28670" s="372">
        <v>0.0</v>
      </c>
    </row>
    <row r="28671">
      <c r="Y28671" s="372">
        <v>0.0</v>
      </c>
      <c r="Z28671" s="372">
        <v>0.0</v>
      </c>
    </row>
    <row r="28672">
      <c r="Y28672" s="372">
        <v>0.0</v>
      </c>
      <c r="Z28672" s="372">
        <v>0.0</v>
      </c>
    </row>
    <row r="28673">
      <c r="Y28673" s="372">
        <v>0.0</v>
      </c>
      <c r="Z28673" s="372">
        <v>0.0</v>
      </c>
    </row>
    <row r="28674">
      <c r="Y28674" s="372">
        <v>0.0</v>
      </c>
      <c r="Z28674" s="372">
        <v>0.0</v>
      </c>
    </row>
    <row r="28675">
      <c r="Y28675" s="372">
        <v>0.0</v>
      </c>
      <c r="Z28675" s="372">
        <v>0.0</v>
      </c>
    </row>
    <row r="28676">
      <c r="Y28676" s="372">
        <v>0.0</v>
      </c>
      <c r="Z28676" s="372">
        <v>0.0</v>
      </c>
    </row>
    <row r="28677">
      <c r="Y28677" s="372">
        <v>0.0</v>
      </c>
      <c r="Z28677" s="372">
        <v>0.0</v>
      </c>
    </row>
    <row r="28678">
      <c r="Y28678" s="372">
        <v>0.0</v>
      </c>
      <c r="Z28678" s="372">
        <v>0.0</v>
      </c>
    </row>
    <row r="28679">
      <c r="Y28679" s="372">
        <v>0.0</v>
      </c>
      <c r="Z28679" s="372">
        <v>0.0</v>
      </c>
    </row>
    <row r="28680">
      <c r="Y28680" s="372">
        <v>0.0</v>
      </c>
      <c r="Z28680" s="372">
        <v>0.0</v>
      </c>
    </row>
    <row r="28681">
      <c r="Y28681" s="372">
        <v>0.0</v>
      </c>
      <c r="Z28681" s="372">
        <v>0.0</v>
      </c>
    </row>
    <row r="28682">
      <c r="Y28682" s="372">
        <v>0.0</v>
      </c>
      <c r="Z28682" s="372">
        <v>0.0</v>
      </c>
    </row>
    <row r="28683">
      <c r="Y28683" s="372">
        <v>0.0</v>
      </c>
      <c r="Z28683" s="372">
        <v>0.0</v>
      </c>
    </row>
    <row r="28684">
      <c r="Y28684" s="372">
        <v>0.0</v>
      </c>
      <c r="Z28684" s="372">
        <v>0.0</v>
      </c>
    </row>
    <row r="28685">
      <c r="Y28685" s="372">
        <v>0.0</v>
      </c>
      <c r="Z28685" s="372">
        <v>0.0</v>
      </c>
    </row>
    <row r="28686">
      <c r="Y28686" s="372">
        <v>0.0</v>
      </c>
      <c r="Z28686" s="372">
        <v>0.0</v>
      </c>
    </row>
    <row r="28687">
      <c r="Y28687" s="372">
        <v>0.0</v>
      </c>
      <c r="Z28687" s="372">
        <v>0.0</v>
      </c>
    </row>
    <row r="28688">
      <c r="Y28688" s="372">
        <v>0.0</v>
      </c>
      <c r="Z28688" s="372">
        <v>0.0</v>
      </c>
    </row>
    <row r="28689">
      <c r="Y28689" s="372">
        <v>0.0</v>
      </c>
      <c r="Z28689" s="372">
        <v>0.0</v>
      </c>
    </row>
    <row r="28690">
      <c r="Y28690" s="372">
        <v>0.0</v>
      </c>
      <c r="Z28690" s="372">
        <v>0.0</v>
      </c>
    </row>
    <row r="28691">
      <c r="Y28691" s="372">
        <v>0.0</v>
      </c>
      <c r="Z28691" s="372">
        <v>0.0</v>
      </c>
    </row>
    <row r="28692">
      <c r="Y28692" s="372">
        <v>0.0</v>
      </c>
      <c r="Z28692" s="372">
        <v>0.0</v>
      </c>
    </row>
    <row r="28693">
      <c r="Y28693" s="372">
        <v>0.0</v>
      </c>
      <c r="Z28693" s="372">
        <v>0.0</v>
      </c>
    </row>
    <row r="28694">
      <c r="Y28694" s="372">
        <v>0.0</v>
      </c>
      <c r="Z28694" s="372">
        <v>0.0</v>
      </c>
    </row>
    <row r="28695">
      <c r="Y28695" s="372">
        <v>0.0</v>
      </c>
      <c r="Z28695" s="372">
        <v>0.0</v>
      </c>
    </row>
    <row r="28696">
      <c r="Y28696" s="372">
        <v>0.0</v>
      </c>
      <c r="Z28696" s="372">
        <v>0.0</v>
      </c>
    </row>
    <row r="28697">
      <c r="Y28697" s="372">
        <v>0.0</v>
      </c>
      <c r="Z28697" s="372">
        <v>0.0</v>
      </c>
    </row>
    <row r="28698">
      <c r="Y28698" s="372">
        <v>0.0</v>
      </c>
      <c r="Z28698" s="372">
        <v>0.0</v>
      </c>
    </row>
    <row r="28699">
      <c r="Y28699" s="372">
        <v>0.0</v>
      </c>
      <c r="Z28699" s="372">
        <v>0.0</v>
      </c>
    </row>
    <row r="28700">
      <c r="Y28700" s="372">
        <v>0.0</v>
      </c>
      <c r="Z28700" s="372">
        <v>0.0</v>
      </c>
    </row>
    <row r="28701">
      <c r="Y28701" s="372">
        <v>0.0</v>
      </c>
      <c r="Z28701" s="372">
        <v>0.0</v>
      </c>
    </row>
    <row r="28702">
      <c r="Y28702" s="372">
        <v>0.0</v>
      </c>
      <c r="Z28702" s="372">
        <v>0.0</v>
      </c>
    </row>
    <row r="28703">
      <c r="Y28703" s="372">
        <v>0.0</v>
      </c>
      <c r="Z28703" s="372">
        <v>0.0</v>
      </c>
    </row>
    <row r="28704">
      <c r="Y28704" s="372">
        <v>0.0</v>
      </c>
      <c r="Z28704" s="372">
        <v>0.0</v>
      </c>
    </row>
    <row r="28705">
      <c r="Y28705" s="372">
        <v>0.0</v>
      </c>
      <c r="Z28705" s="372">
        <v>0.0</v>
      </c>
    </row>
    <row r="28706">
      <c r="Y28706" s="372">
        <v>0.0</v>
      </c>
      <c r="Z28706" s="372">
        <v>0.0</v>
      </c>
    </row>
    <row r="28707">
      <c r="Y28707" s="372">
        <v>0.0</v>
      </c>
      <c r="Z28707" s="372">
        <v>0.0</v>
      </c>
    </row>
    <row r="28708">
      <c r="Y28708" s="372">
        <v>0.0</v>
      </c>
      <c r="Z28708" s="372">
        <v>0.0</v>
      </c>
    </row>
    <row r="28709">
      <c r="Y28709" s="372">
        <v>0.0</v>
      </c>
      <c r="Z28709" s="372">
        <v>0.0</v>
      </c>
    </row>
    <row r="28710">
      <c r="Y28710" s="372">
        <v>0.0</v>
      </c>
      <c r="Z28710" s="372">
        <v>0.0</v>
      </c>
    </row>
    <row r="28711">
      <c r="Y28711" s="372">
        <v>0.0</v>
      </c>
      <c r="Z28711" s="372">
        <v>0.0</v>
      </c>
    </row>
    <row r="28712">
      <c r="Y28712" s="372">
        <v>0.0</v>
      </c>
      <c r="Z28712" s="372">
        <v>0.0</v>
      </c>
    </row>
    <row r="28713">
      <c r="Y28713" s="372">
        <v>0.0</v>
      </c>
      <c r="Z28713" s="372">
        <v>0.0</v>
      </c>
    </row>
    <row r="28714">
      <c r="Y28714" s="372">
        <v>0.0</v>
      </c>
      <c r="Z28714" s="372">
        <v>0.0</v>
      </c>
    </row>
    <row r="28715">
      <c r="Y28715" s="372">
        <v>0.0</v>
      </c>
      <c r="Z28715" s="372">
        <v>0.0</v>
      </c>
    </row>
    <row r="28716">
      <c r="Y28716" s="372">
        <v>0.0</v>
      </c>
      <c r="Z28716" s="372">
        <v>0.0</v>
      </c>
    </row>
    <row r="28717">
      <c r="Y28717" s="372">
        <v>0.0</v>
      </c>
      <c r="Z28717" s="372">
        <v>0.0</v>
      </c>
    </row>
    <row r="28718">
      <c r="Y28718" s="372">
        <v>0.0</v>
      </c>
      <c r="Z28718" s="372">
        <v>0.0</v>
      </c>
    </row>
    <row r="28719">
      <c r="Y28719" s="372">
        <v>0.0</v>
      </c>
      <c r="Z28719" s="372">
        <v>0.0</v>
      </c>
    </row>
    <row r="28720">
      <c r="Y28720" s="372">
        <v>0.0</v>
      </c>
      <c r="Z28720" s="372">
        <v>0.0</v>
      </c>
    </row>
    <row r="28721">
      <c r="Y28721" s="372">
        <v>0.0</v>
      </c>
      <c r="Z28721" s="372">
        <v>0.0</v>
      </c>
    </row>
    <row r="28722">
      <c r="Y28722" s="372">
        <v>0.0</v>
      </c>
      <c r="Z28722" s="372">
        <v>0.0</v>
      </c>
    </row>
    <row r="28723">
      <c r="Y28723" s="372">
        <v>0.0</v>
      </c>
      <c r="Z28723" s="372">
        <v>0.0</v>
      </c>
    </row>
    <row r="28724">
      <c r="Y28724" s="372">
        <v>0.0</v>
      </c>
      <c r="Z28724" s="372">
        <v>0.0</v>
      </c>
    </row>
    <row r="28725">
      <c r="Y28725" s="372">
        <v>0.0</v>
      </c>
      <c r="Z28725" s="372">
        <v>0.0</v>
      </c>
    </row>
    <row r="28726">
      <c r="Y28726" s="372">
        <v>0.0</v>
      </c>
      <c r="Z28726" s="372">
        <v>0.0</v>
      </c>
    </row>
    <row r="28727">
      <c r="Y28727" s="372">
        <v>0.0</v>
      </c>
      <c r="Z28727" s="372">
        <v>0.0</v>
      </c>
    </row>
    <row r="28728">
      <c r="Y28728" s="372">
        <v>0.0</v>
      </c>
      <c r="Z28728" s="372">
        <v>0.0</v>
      </c>
    </row>
    <row r="28729">
      <c r="Y28729" s="372">
        <v>0.0</v>
      </c>
      <c r="Z28729" s="372">
        <v>0.0</v>
      </c>
    </row>
    <row r="28730">
      <c r="Y28730" s="372">
        <v>0.0</v>
      </c>
      <c r="Z28730" s="372">
        <v>0.0</v>
      </c>
    </row>
    <row r="28731">
      <c r="Y28731" s="372">
        <v>0.0</v>
      </c>
      <c r="Z28731" s="372">
        <v>0.0</v>
      </c>
    </row>
    <row r="28732">
      <c r="Y28732" s="372">
        <v>0.0</v>
      </c>
      <c r="Z28732" s="372">
        <v>0.0</v>
      </c>
    </row>
    <row r="28733">
      <c r="Y28733" s="372">
        <v>0.0</v>
      </c>
      <c r="Z28733" s="372">
        <v>0.0</v>
      </c>
    </row>
    <row r="28734">
      <c r="Y28734" s="372">
        <v>0.0</v>
      </c>
      <c r="Z28734" s="372">
        <v>0.0</v>
      </c>
    </row>
    <row r="28735">
      <c r="Y28735" s="372">
        <v>0.0</v>
      </c>
      <c r="Z28735" s="372">
        <v>0.0</v>
      </c>
    </row>
    <row r="28736">
      <c r="Y28736" s="372">
        <v>0.0</v>
      </c>
      <c r="Z28736" s="372">
        <v>0.0</v>
      </c>
    </row>
    <row r="28737">
      <c r="Y28737" s="372">
        <v>0.0</v>
      </c>
      <c r="Z28737" s="372">
        <v>0.0</v>
      </c>
    </row>
    <row r="28738">
      <c r="Y28738" s="372">
        <v>0.0</v>
      </c>
      <c r="Z28738" s="372">
        <v>0.0</v>
      </c>
    </row>
    <row r="28739">
      <c r="Y28739" s="372">
        <v>0.0</v>
      </c>
      <c r="Z28739" s="372">
        <v>0.0</v>
      </c>
    </row>
    <row r="28740">
      <c r="Y28740" s="372">
        <v>0.0</v>
      </c>
      <c r="Z28740" s="372">
        <v>0.0</v>
      </c>
    </row>
    <row r="28741">
      <c r="Y28741" s="372">
        <v>0.0</v>
      </c>
      <c r="Z28741" s="372">
        <v>0.0</v>
      </c>
    </row>
    <row r="28742">
      <c r="Y28742" s="372">
        <v>0.0</v>
      </c>
      <c r="Z28742" s="372">
        <v>0.0</v>
      </c>
    </row>
    <row r="28743">
      <c r="Y28743" s="372">
        <v>0.0</v>
      </c>
      <c r="Z28743" s="372">
        <v>0.0</v>
      </c>
    </row>
    <row r="28744">
      <c r="Y28744" s="372">
        <v>0.0</v>
      </c>
      <c r="Z28744" s="372">
        <v>0.0</v>
      </c>
    </row>
    <row r="28745">
      <c r="Y28745" s="372">
        <v>0.0</v>
      </c>
      <c r="Z28745" s="372">
        <v>0.0</v>
      </c>
    </row>
    <row r="28746">
      <c r="Y28746" s="372">
        <v>0.0</v>
      </c>
      <c r="Z28746" s="372">
        <v>0.0</v>
      </c>
    </row>
    <row r="28747">
      <c r="Y28747" s="372">
        <v>0.0</v>
      </c>
      <c r="Z28747" s="372">
        <v>0.0</v>
      </c>
    </row>
    <row r="28748">
      <c r="Y28748" s="372">
        <v>0.0</v>
      </c>
      <c r="Z28748" s="372">
        <v>0.0</v>
      </c>
    </row>
    <row r="28749">
      <c r="Y28749" s="372">
        <v>0.0</v>
      </c>
      <c r="Z28749" s="372">
        <v>0.0</v>
      </c>
    </row>
    <row r="28750">
      <c r="Y28750" s="372">
        <v>0.0</v>
      </c>
      <c r="Z28750" s="372">
        <v>0.0</v>
      </c>
    </row>
    <row r="28751">
      <c r="Y28751" s="372">
        <v>0.0</v>
      </c>
      <c r="Z28751" s="372">
        <v>0.0</v>
      </c>
    </row>
    <row r="28752">
      <c r="Y28752" s="372">
        <v>0.0</v>
      </c>
      <c r="Z28752" s="372">
        <v>0.0</v>
      </c>
    </row>
    <row r="28753">
      <c r="Y28753" s="372">
        <v>0.0</v>
      </c>
      <c r="Z28753" s="372">
        <v>0.0</v>
      </c>
    </row>
    <row r="28754">
      <c r="Y28754" s="372">
        <v>0.0</v>
      </c>
      <c r="Z28754" s="372">
        <v>0.0</v>
      </c>
    </row>
    <row r="28755">
      <c r="Y28755" s="372">
        <v>0.0</v>
      </c>
      <c r="Z28755" s="372">
        <v>0.0</v>
      </c>
    </row>
    <row r="28756">
      <c r="Y28756" s="372">
        <v>0.0</v>
      </c>
      <c r="Z28756" s="372">
        <v>0.0</v>
      </c>
    </row>
    <row r="28757">
      <c r="Y28757" s="372">
        <v>0.0</v>
      </c>
      <c r="Z28757" s="372">
        <v>0.0</v>
      </c>
    </row>
    <row r="28758">
      <c r="Y28758" s="372">
        <v>0.0</v>
      </c>
      <c r="Z28758" s="372">
        <v>0.0</v>
      </c>
    </row>
    <row r="28759">
      <c r="Y28759" s="372">
        <v>0.0</v>
      </c>
      <c r="Z28759" s="372">
        <v>0.0</v>
      </c>
    </row>
    <row r="28760">
      <c r="Y28760" s="372">
        <v>0.0</v>
      </c>
      <c r="Z28760" s="372">
        <v>0.0</v>
      </c>
    </row>
    <row r="28761">
      <c r="Y28761" s="372">
        <v>0.0</v>
      </c>
      <c r="Z28761" s="372">
        <v>0.0</v>
      </c>
    </row>
    <row r="28762">
      <c r="Y28762" s="372">
        <v>0.0</v>
      </c>
      <c r="Z28762" s="372">
        <v>0.0</v>
      </c>
    </row>
    <row r="28763">
      <c r="Y28763" s="372">
        <v>0.0</v>
      </c>
      <c r="Z28763" s="372">
        <v>0.0</v>
      </c>
    </row>
    <row r="28764">
      <c r="Y28764" s="372">
        <v>0.0</v>
      </c>
      <c r="Z28764" s="372">
        <v>0.0</v>
      </c>
    </row>
    <row r="28765">
      <c r="Y28765" s="372">
        <v>0.0</v>
      </c>
      <c r="Z28765" s="372">
        <v>0.0</v>
      </c>
    </row>
    <row r="28766">
      <c r="Y28766" s="372">
        <v>0.0</v>
      </c>
      <c r="Z28766" s="372">
        <v>0.0</v>
      </c>
    </row>
    <row r="28767">
      <c r="Y28767" s="372">
        <v>0.0</v>
      </c>
      <c r="Z28767" s="372">
        <v>0.0</v>
      </c>
    </row>
    <row r="28768">
      <c r="Y28768" s="372">
        <v>0.0</v>
      </c>
      <c r="Z28768" s="372">
        <v>0.0</v>
      </c>
    </row>
    <row r="28769">
      <c r="Y28769" s="372">
        <v>0.0</v>
      </c>
      <c r="Z28769" s="372">
        <v>0.0</v>
      </c>
    </row>
    <row r="28770">
      <c r="Y28770" s="372">
        <v>0.0</v>
      </c>
      <c r="Z28770" s="372">
        <v>0.0</v>
      </c>
    </row>
    <row r="28771">
      <c r="Y28771" s="372">
        <v>0.0</v>
      </c>
      <c r="Z28771" s="372">
        <v>0.0</v>
      </c>
    </row>
    <row r="28772">
      <c r="Y28772" s="372">
        <v>0.0</v>
      </c>
      <c r="Z28772" s="372">
        <v>0.0</v>
      </c>
    </row>
    <row r="28773">
      <c r="Y28773" s="372">
        <v>0.0</v>
      </c>
      <c r="Z28773" s="372">
        <v>0.0</v>
      </c>
    </row>
    <row r="28774">
      <c r="Y28774" s="372">
        <v>0.0</v>
      </c>
      <c r="Z28774" s="372">
        <v>0.0</v>
      </c>
    </row>
    <row r="28775">
      <c r="Y28775" s="372">
        <v>0.0</v>
      </c>
      <c r="Z28775" s="372">
        <v>0.0</v>
      </c>
    </row>
    <row r="28776">
      <c r="Y28776" s="372">
        <v>0.0</v>
      </c>
      <c r="Z28776" s="372">
        <v>0.0</v>
      </c>
    </row>
    <row r="28777">
      <c r="Y28777" s="372">
        <v>0.0</v>
      </c>
      <c r="Z28777" s="372">
        <v>0.0</v>
      </c>
    </row>
    <row r="28778">
      <c r="Y28778" s="372">
        <v>0.0</v>
      </c>
      <c r="Z28778" s="372">
        <v>0.0</v>
      </c>
    </row>
    <row r="28779">
      <c r="Y28779" s="372">
        <v>0.0</v>
      </c>
      <c r="Z28779" s="372">
        <v>0.0</v>
      </c>
    </row>
    <row r="28780">
      <c r="Y28780" s="372">
        <v>0.0</v>
      </c>
      <c r="Z28780" s="372">
        <v>0.0</v>
      </c>
    </row>
    <row r="28781">
      <c r="Y28781" s="372">
        <v>0.0</v>
      </c>
      <c r="Z28781" s="372">
        <v>0.0</v>
      </c>
    </row>
    <row r="28782">
      <c r="Y28782" s="372">
        <v>0.0</v>
      </c>
      <c r="Z28782" s="372">
        <v>0.0</v>
      </c>
    </row>
    <row r="28783">
      <c r="Y28783" s="372">
        <v>0.0</v>
      </c>
      <c r="Z28783" s="372">
        <v>0.0</v>
      </c>
    </row>
    <row r="28784">
      <c r="Y28784" s="372">
        <v>0.0</v>
      </c>
      <c r="Z28784" s="372">
        <v>0.0</v>
      </c>
    </row>
    <row r="28785">
      <c r="Y28785" s="372">
        <v>0.0</v>
      </c>
      <c r="Z28785" s="372">
        <v>0.0</v>
      </c>
    </row>
    <row r="28786">
      <c r="Y28786" s="372">
        <v>0.0</v>
      </c>
      <c r="Z28786" s="372">
        <v>0.0</v>
      </c>
    </row>
    <row r="28787">
      <c r="Y28787" s="372">
        <v>0.0</v>
      </c>
      <c r="Z28787" s="372">
        <v>0.0</v>
      </c>
    </row>
    <row r="28788">
      <c r="Y28788" s="372">
        <v>0.0</v>
      </c>
      <c r="Z28788" s="372">
        <v>0.0</v>
      </c>
    </row>
    <row r="28789">
      <c r="Y28789" s="372">
        <v>0.0</v>
      </c>
      <c r="Z28789" s="372">
        <v>0.0</v>
      </c>
    </row>
    <row r="28790">
      <c r="Y28790" s="372">
        <v>0.0</v>
      </c>
      <c r="Z28790" s="372">
        <v>0.0</v>
      </c>
    </row>
    <row r="28791">
      <c r="Y28791" s="372">
        <v>0.0</v>
      </c>
      <c r="Z28791" s="372">
        <v>0.0</v>
      </c>
    </row>
    <row r="28792">
      <c r="Y28792" s="372">
        <v>0.0</v>
      </c>
      <c r="Z28792" s="372">
        <v>0.0</v>
      </c>
    </row>
    <row r="28793">
      <c r="Y28793" s="372">
        <v>0.0</v>
      </c>
      <c r="Z28793" s="372">
        <v>0.0</v>
      </c>
    </row>
    <row r="28794">
      <c r="Y28794" s="372">
        <v>0.0</v>
      </c>
      <c r="Z28794" s="372">
        <v>0.0</v>
      </c>
    </row>
    <row r="28795">
      <c r="Y28795" s="372">
        <v>0.0</v>
      </c>
      <c r="Z28795" s="372">
        <v>0.0</v>
      </c>
    </row>
    <row r="28796">
      <c r="Y28796" s="372">
        <v>0.0</v>
      </c>
      <c r="Z28796" s="372">
        <v>0.0</v>
      </c>
    </row>
    <row r="28797">
      <c r="Y28797" s="372">
        <v>0.0</v>
      </c>
      <c r="Z28797" s="372">
        <v>0.0</v>
      </c>
    </row>
    <row r="28798">
      <c r="Y28798" s="372">
        <v>0.0</v>
      </c>
      <c r="Z28798" s="372">
        <v>0.0</v>
      </c>
    </row>
    <row r="28799">
      <c r="Y28799" s="372">
        <v>0.0</v>
      </c>
      <c r="Z28799" s="372">
        <v>0.0</v>
      </c>
    </row>
    <row r="28800">
      <c r="Y28800" s="372">
        <v>0.0</v>
      </c>
      <c r="Z28800" s="372">
        <v>0.0</v>
      </c>
    </row>
    <row r="28801">
      <c r="Y28801" s="372">
        <v>0.0</v>
      </c>
      <c r="Z28801" s="372">
        <v>0.0</v>
      </c>
    </row>
    <row r="28802">
      <c r="Y28802" s="372">
        <v>0.0</v>
      </c>
      <c r="Z28802" s="372">
        <v>0.0</v>
      </c>
    </row>
    <row r="28803">
      <c r="Y28803" s="372">
        <v>0.0</v>
      </c>
      <c r="Z28803" s="372">
        <v>0.0</v>
      </c>
    </row>
    <row r="28804">
      <c r="Y28804" s="372">
        <v>0.0</v>
      </c>
      <c r="Z28804" s="372">
        <v>0.0</v>
      </c>
    </row>
    <row r="28805">
      <c r="Y28805" s="372">
        <v>0.0</v>
      </c>
      <c r="Z28805" s="372">
        <v>0.0</v>
      </c>
    </row>
    <row r="28806">
      <c r="Y28806" s="372">
        <v>0.0</v>
      </c>
      <c r="Z28806" s="372">
        <v>0.0</v>
      </c>
    </row>
    <row r="28807">
      <c r="Y28807" s="372">
        <v>0.0</v>
      </c>
      <c r="Z28807" s="372">
        <v>0.0</v>
      </c>
    </row>
    <row r="28808">
      <c r="Y28808" s="372">
        <v>0.0</v>
      </c>
      <c r="Z28808" s="372">
        <v>0.0</v>
      </c>
    </row>
    <row r="28809">
      <c r="Y28809" s="372">
        <v>0.0</v>
      </c>
      <c r="Z28809" s="372">
        <v>0.0</v>
      </c>
    </row>
    <row r="28810">
      <c r="Y28810" s="372">
        <v>0.0</v>
      </c>
      <c r="Z28810" s="372">
        <v>0.0</v>
      </c>
    </row>
    <row r="28811">
      <c r="Y28811" s="372">
        <v>0.0</v>
      </c>
      <c r="Z28811" s="372">
        <v>0.0</v>
      </c>
    </row>
    <row r="28812">
      <c r="Y28812" s="372">
        <v>0.0</v>
      </c>
      <c r="Z28812" s="372">
        <v>0.0</v>
      </c>
    </row>
    <row r="28813">
      <c r="Y28813" s="372">
        <v>0.0</v>
      </c>
      <c r="Z28813" s="372">
        <v>0.0</v>
      </c>
    </row>
    <row r="28814">
      <c r="Y28814" s="372">
        <v>0.0</v>
      </c>
      <c r="Z28814" s="372">
        <v>0.0</v>
      </c>
    </row>
    <row r="28815">
      <c r="Y28815" s="372">
        <v>0.0</v>
      </c>
      <c r="Z28815" s="372">
        <v>0.0</v>
      </c>
    </row>
    <row r="28816">
      <c r="Y28816" s="372">
        <v>0.0</v>
      </c>
      <c r="Z28816" s="372">
        <v>0.0</v>
      </c>
    </row>
    <row r="28817">
      <c r="Y28817" s="372">
        <v>0.0</v>
      </c>
      <c r="Z28817" s="372">
        <v>0.0</v>
      </c>
    </row>
    <row r="28818">
      <c r="Y28818" s="372">
        <v>0.0</v>
      </c>
      <c r="Z28818" s="372">
        <v>0.0</v>
      </c>
    </row>
    <row r="28819">
      <c r="Y28819" s="372">
        <v>0.0</v>
      </c>
      <c r="Z28819" s="372">
        <v>0.0</v>
      </c>
    </row>
    <row r="28820">
      <c r="Y28820" s="372">
        <v>0.0</v>
      </c>
      <c r="Z28820" s="372">
        <v>0.0</v>
      </c>
    </row>
    <row r="28821">
      <c r="Y28821" s="372">
        <v>0.0</v>
      </c>
      <c r="Z28821" s="372">
        <v>0.0</v>
      </c>
    </row>
    <row r="28822">
      <c r="Y28822" s="372">
        <v>0.0</v>
      </c>
      <c r="Z28822" s="372">
        <v>0.0</v>
      </c>
    </row>
    <row r="28823">
      <c r="Y28823" s="372">
        <v>0.0</v>
      </c>
      <c r="Z28823" s="372">
        <v>0.0</v>
      </c>
    </row>
    <row r="28824">
      <c r="Y28824" s="372">
        <v>0.0</v>
      </c>
      <c r="Z28824" s="372">
        <v>0.0</v>
      </c>
    </row>
    <row r="28825">
      <c r="Y28825" s="372">
        <v>0.0</v>
      </c>
      <c r="Z28825" s="372">
        <v>0.0</v>
      </c>
    </row>
    <row r="28826">
      <c r="Y28826" s="372">
        <v>0.0</v>
      </c>
      <c r="Z28826" s="372">
        <v>0.0</v>
      </c>
    </row>
    <row r="28827">
      <c r="Y28827" s="372">
        <v>0.0</v>
      </c>
      <c r="Z28827" s="372">
        <v>0.0</v>
      </c>
    </row>
    <row r="28828">
      <c r="Y28828" s="372">
        <v>0.0</v>
      </c>
      <c r="Z28828" s="372">
        <v>0.0</v>
      </c>
    </row>
    <row r="28829">
      <c r="Y28829" s="372">
        <v>0.0</v>
      </c>
      <c r="Z28829" s="372">
        <v>0.0</v>
      </c>
    </row>
    <row r="28830">
      <c r="Y28830" s="372">
        <v>0.0</v>
      </c>
      <c r="Z28830" s="372">
        <v>0.0</v>
      </c>
    </row>
    <row r="28831">
      <c r="Y28831" s="372">
        <v>0.0</v>
      </c>
      <c r="Z28831" s="372">
        <v>0.0</v>
      </c>
    </row>
    <row r="28832">
      <c r="Y28832" s="372">
        <v>0.0</v>
      </c>
      <c r="Z28832" s="372">
        <v>0.0</v>
      </c>
    </row>
    <row r="28833">
      <c r="Y28833" s="372">
        <v>0.0</v>
      </c>
      <c r="Z28833" s="372">
        <v>0.0</v>
      </c>
    </row>
    <row r="28834">
      <c r="Y28834" s="372">
        <v>0.0</v>
      </c>
      <c r="Z28834" s="372">
        <v>0.0</v>
      </c>
    </row>
    <row r="28835">
      <c r="Y28835" s="372">
        <v>0.0</v>
      </c>
      <c r="Z28835" s="372">
        <v>0.0</v>
      </c>
    </row>
    <row r="28836">
      <c r="Y28836" s="372">
        <v>0.0</v>
      </c>
      <c r="Z28836" s="372">
        <v>0.0</v>
      </c>
    </row>
    <row r="28837">
      <c r="Y28837" s="372">
        <v>0.0</v>
      </c>
      <c r="Z28837" s="372">
        <v>0.0</v>
      </c>
    </row>
    <row r="28838">
      <c r="Y28838" s="372">
        <v>0.0</v>
      </c>
      <c r="Z28838" s="372">
        <v>0.0</v>
      </c>
    </row>
    <row r="28839">
      <c r="Y28839" s="372">
        <v>0.0</v>
      </c>
      <c r="Z28839" s="372">
        <v>0.0</v>
      </c>
    </row>
    <row r="28840">
      <c r="Y28840" s="372">
        <v>0.0</v>
      </c>
      <c r="Z28840" s="372">
        <v>0.0</v>
      </c>
    </row>
    <row r="28841">
      <c r="Y28841" s="372">
        <v>0.0</v>
      </c>
      <c r="Z28841" s="372">
        <v>0.0</v>
      </c>
    </row>
    <row r="28842">
      <c r="Y28842" s="372">
        <v>0.0</v>
      </c>
      <c r="Z28842" s="372">
        <v>0.0</v>
      </c>
    </row>
    <row r="28843">
      <c r="Y28843" s="372">
        <v>0.0</v>
      </c>
      <c r="Z28843" s="372">
        <v>0.0</v>
      </c>
    </row>
    <row r="28844">
      <c r="Y28844" s="372">
        <v>0.0</v>
      </c>
      <c r="Z28844" s="372">
        <v>0.0</v>
      </c>
    </row>
    <row r="28845">
      <c r="Y28845" s="372">
        <v>0.0</v>
      </c>
      <c r="Z28845" s="372">
        <v>0.0</v>
      </c>
    </row>
    <row r="28846">
      <c r="Y28846" s="372">
        <v>0.0</v>
      </c>
      <c r="Z28846" s="372">
        <v>0.0</v>
      </c>
    </row>
    <row r="28847">
      <c r="Y28847" s="372">
        <v>0.0</v>
      </c>
      <c r="Z28847" s="372">
        <v>0.0</v>
      </c>
    </row>
    <row r="28848">
      <c r="Y28848" s="372">
        <v>0.0</v>
      </c>
      <c r="Z28848" s="372">
        <v>0.0</v>
      </c>
    </row>
    <row r="28849">
      <c r="Y28849" s="372">
        <v>0.0</v>
      </c>
      <c r="Z28849" s="372">
        <v>0.0</v>
      </c>
    </row>
    <row r="28850">
      <c r="Y28850" s="372">
        <v>0.0</v>
      </c>
      <c r="Z28850" s="372">
        <v>0.0</v>
      </c>
    </row>
    <row r="28851">
      <c r="Y28851" s="372">
        <v>0.0</v>
      </c>
      <c r="Z28851" s="372">
        <v>0.0</v>
      </c>
    </row>
    <row r="28852">
      <c r="Y28852" s="372">
        <v>0.0</v>
      </c>
      <c r="Z28852" s="372">
        <v>0.0</v>
      </c>
    </row>
    <row r="28853">
      <c r="Y28853" s="372">
        <v>0.0</v>
      </c>
      <c r="Z28853" s="372">
        <v>0.0</v>
      </c>
    </row>
    <row r="28854">
      <c r="Y28854" s="372">
        <v>0.0</v>
      </c>
      <c r="Z28854" s="372">
        <v>0.0</v>
      </c>
    </row>
    <row r="28855">
      <c r="Y28855" s="372">
        <v>0.0</v>
      </c>
      <c r="Z28855" s="372">
        <v>0.0</v>
      </c>
    </row>
    <row r="28856">
      <c r="Y28856" s="372">
        <v>0.0</v>
      </c>
      <c r="Z28856" s="372">
        <v>0.0</v>
      </c>
    </row>
    <row r="28857">
      <c r="Y28857" s="372">
        <v>0.0</v>
      </c>
      <c r="Z28857" s="372">
        <v>0.0</v>
      </c>
    </row>
    <row r="28858">
      <c r="Y28858" s="372">
        <v>0.0</v>
      </c>
      <c r="Z28858" s="372">
        <v>0.0</v>
      </c>
    </row>
    <row r="28859">
      <c r="Y28859" s="372">
        <v>0.0</v>
      </c>
      <c r="Z28859" s="372">
        <v>0.0</v>
      </c>
    </row>
    <row r="28860">
      <c r="Y28860" s="372">
        <v>0.0</v>
      </c>
      <c r="Z28860" s="372">
        <v>0.0</v>
      </c>
    </row>
    <row r="28861">
      <c r="Y28861" s="372">
        <v>0.0</v>
      </c>
      <c r="Z28861" s="372">
        <v>0.0</v>
      </c>
    </row>
    <row r="28862">
      <c r="Y28862" s="372">
        <v>0.0</v>
      </c>
      <c r="Z28862" s="372">
        <v>0.0</v>
      </c>
    </row>
    <row r="28863">
      <c r="Y28863" s="372">
        <v>0.0</v>
      </c>
      <c r="Z28863" s="372">
        <v>0.0</v>
      </c>
    </row>
    <row r="28864">
      <c r="Y28864" s="372">
        <v>0.0</v>
      </c>
      <c r="Z28864" s="372">
        <v>0.0</v>
      </c>
    </row>
    <row r="28865">
      <c r="Y28865" s="372">
        <v>0.0</v>
      </c>
      <c r="Z28865" s="372">
        <v>0.0</v>
      </c>
    </row>
    <row r="28866">
      <c r="Y28866" s="372">
        <v>0.0</v>
      </c>
      <c r="Z28866" s="372">
        <v>0.0</v>
      </c>
    </row>
    <row r="28867">
      <c r="Y28867" s="372">
        <v>0.0</v>
      </c>
      <c r="Z28867" s="372">
        <v>0.0</v>
      </c>
    </row>
    <row r="28868">
      <c r="Y28868" s="372">
        <v>0.0</v>
      </c>
      <c r="Z28868" s="372">
        <v>0.0</v>
      </c>
    </row>
    <row r="28869">
      <c r="Y28869" s="372">
        <v>0.0</v>
      </c>
      <c r="Z28869" s="372">
        <v>0.0</v>
      </c>
    </row>
    <row r="28870">
      <c r="Y28870" s="372">
        <v>0.0</v>
      </c>
      <c r="Z28870" s="372">
        <v>0.0</v>
      </c>
    </row>
    <row r="28871">
      <c r="Y28871" s="372">
        <v>0.0</v>
      </c>
      <c r="Z28871" s="372">
        <v>0.0</v>
      </c>
    </row>
    <row r="28872">
      <c r="Y28872" s="372">
        <v>0.0</v>
      </c>
      <c r="Z28872" s="372">
        <v>0.0</v>
      </c>
    </row>
    <row r="28873">
      <c r="Y28873" s="372">
        <v>0.0</v>
      </c>
      <c r="Z28873" s="372">
        <v>0.0</v>
      </c>
    </row>
    <row r="28874">
      <c r="Y28874" s="372">
        <v>0.0</v>
      </c>
      <c r="Z28874" s="372">
        <v>0.0</v>
      </c>
    </row>
    <row r="28875">
      <c r="Y28875" s="372">
        <v>0.0</v>
      </c>
      <c r="Z28875" s="372">
        <v>0.0</v>
      </c>
    </row>
    <row r="28876">
      <c r="Y28876" s="372">
        <v>0.0</v>
      </c>
      <c r="Z28876" s="372">
        <v>0.0</v>
      </c>
    </row>
    <row r="28877">
      <c r="Y28877" s="372">
        <v>0.0</v>
      </c>
      <c r="Z28877" s="372">
        <v>0.0</v>
      </c>
    </row>
    <row r="28878">
      <c r="Y28878" s="372">
        <v>0.0</v>
      </c>
      <c r="Z28878" s="372">
        <v>0.0</v>
      </c>
    </row>
    <row r="28879">
      <c r="Y28879" s="372">
        <v>0.0</v>
      </c>
      <c r="Z28879" s="372">
        <v>0.0</v>
      </c>
    </row>
    <row r="28880">
      <c r="Y28880" s="372">
        <v>0.0</v>
      </c>
      <c r="Z28880" s="372">
        <v>0.0</v>
      </c>
    </row>
    <row r="28881">
      <c r="Y28881" s="372">
        <v>0.0</v>
      </c>
      <c r="Z28881" s="372">
        <v>0.0</v>
      </c>
    </row>
    <row r="28882">
      <c r="Y28882" s="372">
        <v>0.0</v>
      </c>
      <c r="Z28882" s="372">
        <v>0.0</v>
      </c>
    </row>
    <row r="28883">
      <c r="Y28883" s="372">
        <v>0.0</v>
      </c>
      <c r="Z28883" s="372">
        <v>0.0</v>
      </c>
    </row>
    <row r="28884">
      <c r="Y28884" s="372">
        <v>0.0</v>
      </c>
      <c r="Z28884" s="372">
        <v>0.0</v>
      </c>
    </row>
    <row r="28885">
      <c r="Y28885" s="372">
        <v>0.0</v>
      </c>
      <c r="Z28885" s="372">
        <v>0.0</v>
      </c>
    </row>
    <row r="28886">
      <c r="Y28886" s="372">
        <v>0.0</v>
      </c>
      <c r="Z28886" s="372">
        <v>0.0</v>
      </c>
    </row>
    <row r="28887">
      <c r="Y28887" s="372">
        <v>0.0</v>
      </c>
      <c r="Z28887" s="372">
        <v>0.0</v>
      </c>
    </row>
    <row r="28888">
      <c r="Y28888" s="372">
        <v>0.0</v>
      </c>
      <c r="Z28888" s="372">
        <v>0.0</v>
      </c>
    </row>
    <row r="28889">
      <c r="Y28889" s="372">
        <v>0.0</v>
      </c>
      <c r="Z28889" s="372">
        <v>0.0</v>
      </c>
    </row>
    <row r="28890">
      <c r="Y28890" s="372">
        <v>0.0</v>
      </c>
      <c r="Z28890" s="372">
        <v>0.0</v>
      </c>
    </row>
    <row r="28891">
      <c r="Y28891" s="372">
        <v>0.0</v>
      </c>
      <c r="Z28891" s="372">
        <v>0.0</v>
      </c>
    </row>
    <row r="28892">
      <c r="Y28892" s="372">
        <v>0.0</v>
      </c>
      <c r="Z28892" s="372">
        <v>0.0</v>
      </c>
    </row>
    <row r="28893">
      <c r="Y28893" s="372">
        <v>0.0</v>
      </c>
      <c r="Z28893" s="372">
        <v>0.0</v>
      </c>
    </row>
    <row r="28894">
      <c r="Y28894" s="372">
        <v>0.0</v>
      </c>
      <c r="Z28894" s="372">
        <v>0.0</v>
      </c>
    </row>
    <row r="28895">
      <c r="Y28895" s="372">
        <v>0.0</v>
      </c>
      <c r="Z28895" s="372">
        <v>0.0</v>
      </c>
    </row>
    <row r="28896">
      <c r="Y28896" s="372">
        <v>0.0</v>
      </c>
      <c r="Z28896" s="372">
        <v>0.0</v>
      </c>
    </row>
    <row r="28897">
      <c r="Y28897" s="372">
        <v>0.0</v>
      </c>
      <c r="Z28897" s="372">
        <v>0.0</v>
      </c>
    </row>
    <row r="28898">
      <c r="Y28898" s="372">
        <v>0.0</v>
      </c>
      <c r="Z28898" s="372">
        <v>0.0</v>
      </c>
    </row>
    <row r="28899">
      <c r="Y28899" s="372">
        <v>0.0</v>
      </c>
      <c r="Z28899" s="372">
        <v>0.0</v>
      </c>
    </row>
    <row r="28900">
      <c r="Y28900" s="372">
        <v>0.0</v>
      </c>
      <c r="Z28900" s="372">
        <v>0.0</v>
      </c>
    </row>
    <row r="28901">
      <c r="Y28901" s="372">
        <v>0.0</v>
      </c>
      <c r="Z28901" s="372">
        <v>0.0</v>
      </c>
    </row>
    <row r="28902">
      <c r="Y28902" s="372">
        <v>0.0</v>
      </c>
      <c r="Z28902" s="372">
        <v>0.0</v>
      </c>
    </row>
    <row r="28903">
      <c r="Y28903" s="372">
        <v>0.0</v>
      </c>
      <c r="Z28903" s="372">
        <v>0.0</v>
      </c>
    </row>
    <row r="28904">
      <c r="Y28904" s="372">
        <v>0.0</v>
      </c>
      <c r="Z28904" s="372">
        <v>0.0</v>
      </c>
    </row>
    <row r="28905">
      <c r="Y28905" s="372">
        <v>0.0</v>
      </c>
      <c r="Z28905" s="372">
        <v>0.0</v>
      </c>
    </row>
    <row r="28906">
      <c r="Y28906" s="372">
        <v>0.0</v>
      </c>
      <c r="Z28906" s="372">
        <v>0.0</v>
      </c>
    </row>
    <row r="28907">
      <c r="Y28907" s="372">
        <v>0.0</v>
      </c>
      <c r="Z28907" s="372">
        <v>0.0</v>
      </c>
    </row>
    <row r="28908">
      <c r="Y28908" s="372">
        <v>0.0</v>
      </c>
      <c r="Z28908" s="372">
        <v>0.0</v>
      </c>
    </row>
    <row r="28909">
      <c r="Y28909" s="372">
        <v>0.0</v>
      </c>
      <c r="Z28909" s="372">
        <v>0.0</v>
      </c>
    </row>
    <row r="28910">
      <c r="Y28910" s="372">
        <v>0.0</v>
      </c>
      <c r="Z28910" s="372">
        <v>0.0</v>
      </c>
    </row>
    <row r="28911">
      <c r="Y28911" s="372">
        <v>0.0</v>
      </c>
      <c r="Z28911" s="372">
        <v>0.0</v>
      </c>
    </row>
    <row r="28912">
      <c r="Y28912" s="372">
        <v>0.0</v>
      </c>
      <c r="Z28912" s="372">
        <v>0.0</v>
      </c>
    </row>
    <row r="28913">
      <c r="Y28913" s="372">
        <v>0.0</v>
      </c>
      <c r="Z28913" s="372">
        <v>0.0</v>
      </c>
    </row>
    <row r="28914">
      <c r="Y28914" s="372">
        <v>0.0</v>
      </c>
      <c r="Z28914" s="372">
        <v>0.0</v>
      </c>
    </row>
    <row r="28915">
      <c r="Y28915" s="372">
        <v>0.0</v>
      </c>
      <c r="Z28915" s="372">
        <v>0.0</v>
      </c>
    </row>
    <row r="28916">
      <c r="Y28916" s="372">
        <v>0.0</v>
      </c>
      <c r="Z28916" s="372">
        <v>0.0</v>
      </c>
    </row>
    <row r="28917">
      <c r="Y28917" s="372">
        <v>0.0</v>
      </c>
      <c r="Z28917" s="372">
        <v>0.0</v>
      </c>
    </row>
    <row r="28918">
      <c r="Y28918" s="372">
        <v>0.0</v>
      </c>
      <c r="Z28918" s="372">
        <v>0.0</v>
      </c>
    </row>
    <row r="28919">
      <c r="Y28919" s="372">
        <v>0.0</v>
      </c>
      <c r="Z28919" s="372">
        <v>0.0</v>
      </c>
    </row>
    <row r="28920">
      <c r="Y28920" s="372">
        <v>0.0</v>
      </c>
      <c r="Z28920" s="372">
        <v>0.0</v>
      </c>
    </row>
    <row r="28921">
      <c r="Y28921" s="372">
        <v>0.0</v>
      </c>
      <c r="Z28921" s="372">
        <v>0.0</v>
      </c>
    </row>
    <row r="28922">
      <c r="Y28922" s="372">
        <v>0.0</v>
      </c>
      <c r="Z28922" s="372">
        <v>0.0</v>
      </c>
    </row>
    <row r="28923">
      <c r="Y28923" s="372">
        <v>0.0</v>
      </c>
      <c r="Z28923" s="372">
        <v>0.0</v>
      </c>
    </row>
    <row r="28924">
      <c r="Y28924" s="372">
        <v>0.0</v>
      </c>
      <c r="Z28924" s="372">
        <v>0.0</v>
      </c>
    </row>
    <row r="28925">
      <c r="Y28925" s="372">
        <v>0.0</v>
      </c>
      <c r="Z28925" s="372">
        <v>0.0</v>
      </c>
    </row>
    <row r="28926">
      <c r="Y28926" s="372">
        <v>0.0</v>
      </c>
      <c r="Z28926" s="372">
        <v>0.0</v>
      </c>
    </row>
    <row r="28927">
      <c r="Y28927" s="372">
        <v>0.0</v>
      </c>
      <c r="Z28927" s="372">
        <v>0.0</v>
      </c>
    </row>
    <row r="28928">
      <c r="Y28928" s="372">
        <v>0.0</v>
      </c>
      <c r="Z28928" s="372">
        <v>0.0</v>
      </c>
    </row>
    <row r="28929">
      <c r="Y28929" s="372">
        <v>0.0</v>
      </c>
      <c r="Z28929" s="372">
        <v>0.0</v>
      </c>
    </row>
    <row r="28930">
      <c r="Y28930" s="372">
        <v>0.0</v>
      </c>
      <c r="Z28930" s="372">
        <v>0.0</v>
      </c>
    </row>
    <row r="28931">
      <c r="Y28931" s="372">
        <v>0.0</v>
      </c>
      <c r="Z28931" s="372">
        <v>0.0</v>
      </c>
    </row>
    <row r="28932">
      <c r="Y28932" s="372">
        <v>0.0</v>
      </c>
      <c r="Z28932" s="372">
        <v>0.0</v>
      </c>
    </row>
    <row r="28933">
      <c r="Y28933" s="372">
        <v>0.0</v>
      </c>
      <c r="Z28933" s="372">
        <v>0.0</v>
      </c>
    </row>
    <row r="28934">
      <c r="Y28934" s="372">
        <v>0.0</v>
      </c>
      <c r="Z28934" s="372">
        <v>0.0</v>
      </c>
    </row>
    <row r="28935">
      <c r="Y28935" s="372">
        <v>0.0</v>
      </c>
      <c r="Z28935" s="372">
        <v>0.0</v>
      </c>
    </row>
    <row r="28936">
      <c r="Y28936" s="372">
        <v>0.0</v>
      </c>
      <c r="Z28936" s="372">
        <v>0.0</v>
      </c>
    </row>
    <row r="28937">
      <c r="Y28937" s="372">
        <v>0.0</v>
      </c>
      <c r="Z28937" s="372">
        <v>0.0</v>
      </c>
    </row>
    <row r="28938">
      <c r="Y28938" s="372">
        <v>0.0</v>
      </c>
      <c r="Z28938" s="372">
        <v>0.0</v>
      </c>
    </row>
    <row r="28939">
      <c r="Y28939" s="372">
        <v>0.0</v>
      </c>
      <c r="Z28939" s="372">
        <v>0.0</v>
      </c>
    </row>
    <row r="28940">
      <c r="Y28940" s="372">
        <v>0.0</v>
      </c>
      <c r="Z28940" s="372">
        <v>0.0</v>
      </c>
    </row>
    <row r="28941">
      <c r="Y28941" s="372">
        <v>0.0</v>
      </c>
      <c r="Z28941" s="372">
        <v>0.0</v>
      </c>
    </row>
    <row r="28942">
      <c r="Y28942" s="372">
        <v>0.0</v>
      </c>
      <c r="Z28942" s="372">
        <v>0.0</v>
      </c>
    </row>
    <row r="28943">
      <c r="Y28943" s="372">
        <v>0.0</v>
      </c>
      <c r="Z28943" s="372">
        <v>0.0</v>
      </c>
    </row>
    <row r="28944">
      <c r="Y28944" s="372">
        <v>0.0</v>
      </c>
      <c r="Z28944" s="372">
        <v>0.0</v>
      </c>
    </row>
    <row r="28945">
      <c r="Y28945" s="372">
        <v>0.0</v>
      </c>
      <c r="Z28945" s="372">
        <v>0.0</v>
      </c>
    </row>
    <row r="28946">
      <c r="Y28946" s="372">
        <v>0.0</v>
      </c>
      <c r="Z28946" s="372">
        <v>0.0</v>
      </c>
    </row>
    <row r="28947">
      <c r="Y28947" s="372">
        <v>0.0</v>
      </c>
      <c r="Z28947" s="372">
        <v>0.0</v>
      </c>
    </row>
    <row r="28948">
      <c r="Y28948" s="372">
        <v>0.0</v>
      </c>
      <c r="Z28948" s="372">
        <v>0.0</v>
      </c>
    </row>
    <row r="28949">
      <c r="Y28949" s="372">
        <v>0.0</v>
      </c>
      <c r="Z28949" s="372">
        <v>0.0</v>
      </c>
    </row>
    <row r="28950">
      <c r="Y28950" s="372">
        <v>0.0</v>
      </c>
      <c r="Z28950" s="372">
        <v>0.0</v>
      </c>
    </row>
    <row r="28951">
      <c r="Y28951" s="372">
        <v>0.0</v>
      </c>
      <c r="Z28951" s="372">
        <v>0.0</v>
      </c>
    </row>
    <row r="28952">
      <c r="Y28952" s="372">
        <v>0.0</v>
      </c>
      <c r="Z28952" s="372">
        <v>0.0</v>
      </c>
    </row>
    <row r="28953">
      <c r="Y28953" s="372">
        <v>0.0</v>
      </c>
      <c r="Z28953" s="372">
        <v>0.0</v>
      </c>
    </row>
    <row r="28954">
      <c r="Y28954" s="372">
        <v>0.0</v>
      </c>
      <c r="Z28954" s="372">
        <v>0.0</v>
      </c>
    </row>
    <row r="28955">
      <c r="Y28955" s="372">
        <v>0.0</v>
      </c>
      <c r="Z28955" s="372">
        <v>0.0</v>
      </c>
    </row>
    <row r="28956">
      <c r="Y28956" s="372">
        <v>0.0</v>
      </c>
      <c r="Z28956" s="372">
        <v>0.0</v>
      </c>
    </row>
    <row r="28957">
      <c r="Y28957" s="372">
        <v>0.0</v>
      </c>
      <c r="Z28957" s="372">
        <v>0.0</v>
      </c>
    </row>
    <row r="28958">
      <c r="Y28958" s="372">
        <v>0.0</v>
      </c>
      <c r="Z28958" s="372">
        <v>0.0</v>
      </c>
    </row>
    <row r="28959">
      <c r="Y28959" s="372">
        <v>0.0</v>
      </c>
      <c r="Z28959" s="372">
        <v>0.0</v>
      </c>
    </row>
    <row r="28960">
      <c r="Y28960" s="372">
        <v>0.0</v>
      </c>
      <c r="Z28960" s="372">
        <v>0.0</v>
      </c>
    </row>
    <row r="28961">
      <c r="Y28961" s="372">
        <v>0.0</v>
      </c>
      <c r="Z28961" s="372">
        <v>0.0</v>
      </c>
    </row>
    <row r="28962">
      <c r="Y28962" s="372">
        <v>0.0</v>
      </c>
      <c r="Z28962" s="372">
        <v>0.0</v>
      </c>
    </row>
    <row r="28963">
      <c r="Y28963" s="372">
        <v>0.0</v>
      </c>
      <c r="Z28963" s="372">
        <v>0.0</v>
      </c>
    </row>
    <row r="28964">
      <c r="Y28964" s="372">
        <v>0.0</v>
      </c>
      <c r="Z28964" s="372">
        <v>0.0</v>
      </c>
    </row>
    <row r="28965">
      <c r="Y28965" s="372">
        <v>0.0</v>
      </c>
      <c r="Z28965" s="372">
        <v>0.0</v>
      </c>
    </row>
    <row r="28966">
      <c r="Y28966" s="372">
        <v>0.0</v>
      </c>
      <c r="Z28966" s="372">
        <v>0.0</v>
      </c>
    </row>
    <row r="28967">
      <c r="Y28967" s="372">
        <v>0.0</v>
      </c>
      <c r="Z28967" s="372">
        <v>0.0</v>
      </c>
    </row>
    <row r="28968">
      <c r="Y28968" s="372">
        <v>0.0</v>
      </c>
      <c r="Z28968" s="372">
        <v>0.0</v>
      </c>
    </row>
    <row r="28969">
      <c r="Y28969" s="372">
        <v>0.0</v>
      </c>
      <c r="Z28969" s="372">
        <v>0.0</v>
      </c>
    </row>
    <row r="28970">
      <c r="Y28970" s="372">
        <v>0.0</v>
      </c>
      <c r="Z28970" s="372">
        <v>0.0</v>
      </c>
    </row>
    <row r="28971">
      <c r="Y28971" s="372">
        <v>0.0</v>
      </c>
      <c r="Z28971" s="372">
        <v>0.0</v>
      </c>
    </row>
    <row r="28972">
      <c r="Y28972" s="372">
        <v>0.0</v>
      </c>
      <c r="Z28972" s="372">
        <v>0.0</v>
      </c>
    </row>
    <row r="28973">
      <c r="Y28973" s="372">
        <v>0.0</v>
      </c>
      <c r="Z28973" s="372">
        <v>0.0</v>
      </c>
    </row>
    <row r="28974">
      <c r="Y28974" s="372">
        <v>0.0</v>
      </c>
      <c r="Z28974" s="372">
        <v>0.0</v>
      </c>
    </row>
    <row r="28975">
      <c r="Y28975" s="372">
        <v>0.0</v>
      </c>
      <c r="Z28975" s="372">
        <v>0.0</v>
      </c>
    </row>
    <row r="28976">
      <c r="Y28976" s="372">
        <v>0.0</v>
      </c>
      <c r="Z28976" s="372">
        <v>0.0</v>
      </c>
    </row>
    <row r="28977">
      <c r="Y28977" s="372">
        <v>0.0</v>
      </c>
      <c r="Z28977" s="372">
        <v>0.0</v>
      </c>
    </row>
    <row r="28978">
      <c r="Y28978" s="372">
        <v>0.0</v>
      </c>
      <c r="Z28978" s="372">
        <v>0.0</v>
      </c>
    </row>
    <row r="28979">
      <c r="Y28979" s="372">
        <v>0.0</v>
      </c>
      <c r="Z28979" s="372">
        <v>0.0</v>
      </c>
    </row>
    <row r="28980">
      <c r="Y28980" s="372">
        <v>0.0</v>
      </c>
      <c r="Z28980" s="372">
        <v>0.0</v>
      </c>
    </row>
    <row r="28981">
      <c r="Y28981" s="372">
        <v>0.0</v>
      </c>
      <c r="Z28981" s="372">
        <v>0.0</v>
      </c>
    </row>
    <row r="28982">
      <c r="Y28982" s="372">
        <v>0.0</v>
      </c>
      <c r="Z28982" s="372">
        <v>0.0</v>
      </c>
    </row>
    <row r="28983">
      <c r="Y28983" s="372">
        <v>0.0</v>
      </c>
      <c r="Z28983" s="372">
        <v>0.0</v>
      </c>
    </row>
    <row r="28984">
      <c r="Y28984" s="372">
        <v>0.0</v>
      </c>
      <c r="Z28984" s="372">
        <v>0.0</v>
      </c>
    </row>
    <row r="28985">
      <c r="Y28985" s="372">
        <v>0.0</v>
      </c>
      <c r="Z28985" s="372">
        <v>0.0</v>
      </c>
    </row>
    <row r="28986">
      <c r="Y28986" s="372">
        <v>0.0</v>
      </c>
      <c r="Z28986" s="372">
        <v>0.0</v>
      </c>
    </row>
    <row r="28987">
      <c r="Y28987" s="372">
        <v>0.0</v>
      </c>
      <c r="Z28987" s="372">
        <v>0.0</v>
      </c>
    </row>
    <row r="28988">
      <c r="Y28988" s="372">
        <v>0.0</v>
      </c>
      <c r="Z28988" s="372">
        <v>0.0</v>
      </c>
    </row>
    <row r="28989">
      <c r="Y28989" s="372">
        <v>0.0</v>
      </c>
      <c r="Z28989" s="372">
        <v>0.0</v>
      </c>
    </row>
    <row r="28990">
      <c r="Y28990" s="372">
        <v>0.0</v>
      </c>
      <c r="Z28990" s="372">
        <v>0.0</v>
      </c>
    </row>
    <row r="28991">
      <c r="Y28991" s="372">
        <v>0.0</v>
      </c>
      <c r="Z28991" s="372">
        <v>0.0</v>
      </c>
    </row>
    <row r="28992">
      <c r="Y28992" s="372">
        <v>0.0</v>
      </c>
      <c r="Z28992" s="372">
        <v>0.0</v>
      </c>
    </row>
    <row r="28993">
      <c r="Y28993" s="372">
        <v>0.0</v>
      </c>
      <c r="Z28993" s="372">
        <v>0.0</v>
      </c>
    </row>
    <row r="28994">
      <c r="Y28994" s="372">
        <v>0.0</v>
      </c>
      <c r="Z28994" s="372">
        <v>0.0</v>
      </c>
    </row>
    <row r="28995">
      <c r="Y28995" s="372">
        <v>0.0</v>
      </c>
      <c r="Z28995" s="372">
        <v>0.0</v>
      </c>
    </row>
    <row r="28996">
      <c r="Y28996" s="372">
        <v>0.0</v>
      </c>
      <c r="Z28996" s="372">
        <v>0.0</v>
      </c>
    </row>
    <row r="28997">
      <c r="Y28997" s="372">
        <v>0.0</v>
      </c>
      <c r="Z28997" s="372">
        <v>0.0</v>
      </c>
    </row>
    <row r="28998">
      <c r="Y28998" s="372">
        <v>0.0</v>
      </c>
      <c r="Z28998" s="372">
        <v>0.0</v>
      </c>
    </row>
    <row r="28999">
      <c r="Y28999" s="372">
        <v>0.0</v>
      </c>
      <c r="Z28999" s="372">
        <v>0.0</v>
      </c>
    </row>
    <row r="29000">
      <c r="Y29000" s="372">
        <v>0.0</v>
      </c>
      <c r="Z29000" s="372">
        <v>0.0</v>
      </c>
    </row>
    <row r="29001">
      <c r="Y29001" s="372">
        <v>0.0</v>
      </c>
      <c r="Z29001" s="372">
        <v>0.0</v>
      </c>
    </row>
    <row r="29002">
      <c r="Y29002" s="372">
        <v>0.0</v>
      </c>
      <c r="Z29002" s="372">
        <v>0.0</v>
      </c>
    </row>
    <row r="29003">
      <c r="Y29003" s="372">
        <v>0.0</v>
      </c>
      <c r="Z29003" s="372">
        <v>0.0</v>
      </c>
    </row>
    <row r="29004">
      <c r="Y29004" s="372">
        <v>0.0</v>
      </c>
      <c r="Z29004" s="372">
        <v>0.0</v>
      </c>
    </row>
    <row r="29005">
      <c r="Y29005" s="372">
        <v>0.0</v>
      </c>
      <c r="Z29005" s="372">
        <v>0.0</v>
      </c>
    </row>
    <row r="29006">
      <c r="Y29006" s="372">
        <v>0.0</v>
      </c>
      <c r="Z29006" s="372">
        <v>0.0</v>
      </c>
    </row>
    <row r="29007">
      <c r="Y29007" s="372">
        <v>0.0</v>
      </c>
      <c r="Z29007" s="372">
        <v>0.0</v>
      </c>
    </row>
    <row r="29008">
      <c r="Y29008" s="372">
        <v>0.0</v>
      </c>
      <c r="Z29008" s="372">
        <v>0.0</v>
      </c>
    </row>
    <row r="29009">
      <c r="Y29009" s="372">
        <v>0.0</v>
      </c>
      <c r="Z29009" s="372">
        <v>0.0</v>
      </c>
    </row>
    <row r="29010">
      <c r="Y29010" s="372">
        <v>0.0</v>
      </c>
      <c r="Z29010" s="372">
        <v>0.0</v>
      </c>
    </row>
    <row r="29011">
      <c r="Y29011" s="372">
        <v>0.0</v>
      </c>
      <c r="Z29011" s="372">
        <v>0.0</v>
      </c>
    </row>
    <row r="29012">
      <c r="Y29012" s="372">
        <v>0.0</v>
      </c>
      <c r="Z29012" s="372">
        <v>0.0</v>
      </c>
    </row>
    <row r="29013">
      <c r="Y29013" s="372">
        <v>0.0</v>
      </c>
      <c r="Z29013" s="372">
        <v>0.0</v>
      </c>
    </row>
    <row r="29014">
      <c r="Y29014" s="372">
        <v>0.0</v>
      </c>
      <c r="Z29014" s="372">
        <v>0.0</v>
      </c>
    </row>
    <row r="29015">
      <c r="Y29015" s="372">
        <v>0.0</v>
      </c>
      <c r="Z29015" s="372">
        <v>0.0</v>
      </c>
    </row>
    <row r="29016">
      <c r="Y29016" s="372">
        <v>0.0</v>
      </c>
      <c r="Z29016" s="372">
        <v>0.0</v>
      </c>
    </row>
    <row r="29017">
      <c r="Y29017" s="372">
        <v>0.0</v>
      </c>
      <c r="Z29017" s="372">
        <v>0.0</v>
      </c>
    </row>
    <row r="29018">
      <c r="Y29018" s="372">
        <v>0.0</v>
      </c>
      <c r="Z29018" s="372">
        <v>0.0</v>
      </c>
    </row>
    <row r="29019">
      <c r="Y29019" s="372">
        <v>0.0</v>
      </c>
      <c r="Z29019" s="372">
        <v>0.0</v>
      </c>
    </row>
    <row r="29020">
      <c r="Y29020" s="372">
        <v>0.0</v>
      </c>
      <c r="Z29020" s="372">
        <v>0.0</v>
      </c>
    </row>
    <row r="29021">
      <c r="Y29021" s="372">
        <v>0.0</v>
      </c>
      <c r="Z29021" s="372">
        <v>0.0</v>
      </c>
    </row>
    <row r="29022">
      <c r="Y29022" s="372">
        <v>0.0</v>
      </c>
      <c r="Z29022" s="372">
        <v>0.0</v>
      </c>
    </row>
    <row r="29023">
      <c r="Y29023" s="372">
        <v>0.0</v>
      </c>
      <c r="Z29023" s="372">
        <v>0.0</v>
      </c>
    </row>
    <row r="29024">
      <c r="Y29024" s="372">
        <v>0.0</v>
      </c>
      <c r="Z29024" s="372">
        <v>0.0</v>
      </c>
    </row>
    <row r="29025">
      <c r="Y29025" s="372">
        <v>0.0</v>
      </c>
      <c r="Z29025" s="372">
        <v>0.0</v>
      </c>
    </row>
    <row r="29026">
      <c r="Y29026" s="372">
        <v>0.0</v>
      </c>
      <c r="Z29026" s="372">
        <v>0.0</v>
      </c>
    </row>
    <row r="29027">
      <c r="Y29027" s="372">
        <v>0.0</v>
      </c>
      <c r="Z29027" s="372">
        <v>0.0</v>
      </c>
    </row>
    <row r="29028">
      <c r="Y29028" s="372">
        <v>0.0</v>
      </c>
      <c r="Z29028" s="372">
        <v>0.0</v>
      </c>
    </row>
    <row r="29029">
      <c r="Y29029" s="372">
        <v>0.0</v>
      </c>
      <c r="Z29029" s="372">
        <v>0.0</v>
      </c>
    </row>
    <row r="29030">
      <c r="Y29030" s="372">
        <v>0.0</v>
      </c>
      <c r="Z29030" s="372">
        <v>0.0</v>
      </c>
    </row>
    <row r="29031">
      <c r="Y29031" s="372">
        <v>0.0</v>
      </c>
      <c r="Z29031" s="372">
        <v>0.0</v>
      </c>
    </row>
    <row r="29032">
      <c r="Y29032" s="372">
        <v>0.0</v>
      </c>
      <c r="Z29032" s="372">
        <v>0.0</v>
      </c>
    </row>
    <row r="29033">
      <c r="Y29033" s="372">
        <v>0.0</v>
      </c>
      <c r="Z29033" s="372">
        <v>0.0</v>
      </c>
    </row>
    <row r="29034">
      <c r="Y29034" s="372">
        <v>0.0</v>
      </c>
      <c r="Z29034" s="372">
        <v>0.0</v>
      </c>
    </row>
    <row r="29035">
      <c r="Y29035" s="372">
        <v>0.0</v>
      </c>
      <c r="Z29035" s="372">
        <v>0.0</v>
      </c>
    </row>
    <row r="29036">
      <c r="Y29036" s="372">
        <v>0.0</v>
      </c>
      <c r="Z29036" s="372">
        <v>0.0</v>
      </c>
    </row>
    <row r="29037">
      <c r="Y29037" s="372">
        <v>0.0</v>
      </c>
      <c r="Z29037" s="372">
        <v>0.0</v>
      </c>
    </row>
    <row r="29038">
      <c r="Y29038" s="372">
        <v>0.0</v>
      </c>
      <c r="Z29038" s="372">
        <v>0.0</v>
      </c>
    </row>
    <row r="29039">
      <c r="Y29039" s="372">
        <v>0.0</v>
      </c>
      <c r="Z29039" s="372">
        <v>0.0</v>
      </c>
    </row>
    <row r="29040">
      <c r="Y29040" s="372">
        <v>0.0</v>
      </c>
      <c r="Z29040" s="372">
        <v>0.0</v>
      </c>
    </row>
    <row r="29041">
      <c r="Y29041" s="372">
        <v>0.0</v>
      </c>
      <c r="Z29041" s="372">
        <v>0.0</v>
      </c>
    </row>
    <row r="29042">
      <c r="Y29042" s="372">
        <v>0.0</v>
      </c>
      <c r="Z29042" s="372">
        <v>0.0</v>
      </c>
    </row>
    <row r="29043">
      <c r="Y29043" s="372">
        <v>0.0</v>
      </c>
      <c r="Z29043" s="372">
        <v>0.0</v>
      </c>
    </row>
    <row r="29044">
      <c r="Y29044" s="372">
        <v>0.0</v>
      </c>
      <c r="Z29044" s="372">
        <v>0.0</v>
      </c>
    </row>
    <row r="29045">
      <c r="Y29045" s="372">
        <v>0.0</v>
      </c>
      <c r="Z29045" s="372">
        <v>0.0</v>
      </c>
    </row>
    <row r="29046">
      <c r="Y29046" s="372">
        <v>0.0</v>
      </c>
      <c r="Z29046" s="372">
        <v>0.0</v>
      </c>
    </row>
    <row r="29047">
      <c r="Y29047" s="372">
        <v>0.0</v>
      </c>
      <c r="Z29047" s="372">
        <v>0.0</v>
      </c>
    </row>
    <row r="29048">
      <c r="Y29048" s="372">
        <v>0.0</v>
      </c>
      <c r="Z29048" s="372">
        <v>0.0</v>
      </c>
    </row>
    <row r="29049">
      <c r="Y29049" s="372">
        <v>0.0</v>
      </c>
      <c r="Z29049" s="372">
        <v>0.0</v>
      </c>
    </row>
    <row r="29050">
      <c r="Y29050" s="372">
        <v>0.0</v>
      </c>
      <c r="Z29050" s="372">
        <v>0.0</v>
      </c>
    </row>
    <row r="29051">
      <c r="Y29051" s="372">
        <v>0.0</v>
      </c>
      <c r="Z29051" s="372">
        <v>0.0</v>
      </c>
    </row>
    <row r="29052">
      <c r="Y29052" s="372">
        <v>0.0</v>
      </c>
      <c r="Z29052" s="372">
        <v>0.0</v>
      </c>
    </row>
    <row r="29053">
      <c r="Y29053" s="372">
        <v>0.0</v>
      </c>
      <c r="Z29053" s="372">
        <v>0.0</v>
      </c>
    </row>
    <row r="29054">
      <c r="Y29054" s="372">
        <v>0.0</v>
      </c>
      <c r="Z29054" s="372">
        <v>0.0</v>
      </c>
    </row>
    <row r="29055">
      <c r="Y29055" s="372">
        <v>0.0</v>
      </c>
      <c r="Z29055" s="372">
        <v>0.0</v>
      </c>
    </row>
    <row r="29056">
      <c r="Y29056" s="372">
        <v>0.0</v>
      </c>
      <c r="Z29056" s="372">
        <v>0.0</v>
      </c>
    </row>
    <row r="29057">
      <c r="Y29057" s="372">
        <v>0.0</v>
      </c>
      <c r="Z29057" s="372">
        <v>0.0</v>
      </c>
    </row>
    <row r="29058">
      <c r="Y29058" s="372">
        <v>0.0</v>
      </c>
      <c r="Z29058" s="372">
        <v>0.0</v>
      </c>
    </row>
    <row r="29059">
      <c r="Y29059" s="372">
        <v>0.0</v>
      </c>
      <c r="Z29059" s="372">
        <v>0.0</v>
      </c>
    </row>
    <row r="29060">
      <c r="Y29060" s="372">
        <v>0.0</v>
      </c>
      <c r="Z29060" s="372">
        <v>0.0</v>
      </c>
    </row>
    <row r="29061">
      <c r="Y29061" s="372">
        <v>0.0</v>
      </c>
      <c r="Z29061" s="372">
        <v>0.0</v>
      </c>
    </row>
    <row r="29062">
      <c r="Y29062" s="372">
        <v>0.0</v>
      </c>
      <c r="Z29062" s="372">
        <v>0.0</v>
      </c>
    </row>
    <row r="29063">
      <c r="Y29063" s="372">
        <v>0.0</v>
      </c>
      <c r="Z29063" s="372">
        <v>0.0</v>
      </c>
    </row>
    <row r="29064">
      <c r="Y29064" s="372">
        <v>0.0</v>
      </c>
      <c r="Z29064" s="372">
        <v>0.0</v>
      </c>
    </row>
    <row r="29065">
      <c r="Y29065" s="372">
        <v>0.0</v>
      </c>
      <c r="Z29065" s="372">
        <v>0.0</v>
      </c>
    </row>
    <row r="29066">
      <c r="Y29066" s="372">
        <v>0.0</v>
      </c>
      <c r="Z29066" s="372">
        <v>0.0</v>
      </c>
    </row>
    <row r="29067">
      <c r="Y29067" s="372">
        <v>0.0</v>
      </c>
      <c r="Z29067" s="372">
        <v>0.0</v>
      </c>
    </row>
    <row r="29068">
      <c r="Y29068" s="372">
        <v>0.0</v>
      </c>
      <c r="Z29068" s="372">
        <v>0.0</v>
      </c>
    </row>
    <row r="29069">
      <c r="Y29069" s="372">
        <v>0.0</v>
      </c>
      <c r="Z29069" s="372">
        <v>0.0</v>
      </c>
    </row>
    <row r="29070">
      <c r="Y29070" s="372">
        <v>0.0</v>
      </c>
      <c r="Z29070" s="372">
        <v>0.0</v>
      </c>
    </row>
    <row r="29071">
      <c r="Y29071" s="372">
        <v>0.0</v>
      </c>
      <c r="Z29071" s="372">
        <v>0.0</v>
      </c>
    </row>
    <row r="29072">
      <c r="Y29072" s="372">
        <v>0.0</v>
      </c>
      <c r="Z29072" s="372">
        <v>0.0</v>
      </c>
    </row>
    <row r="29073">
      <c r="Y29073" s="372">
        <v>0.0</v>
      </c>
      <c r="Z29073" s="372">
        <v>0.0</v>
      </c>
    </row>
    <row r="29074">
      <c r="Y29074" s="372">
        <v>0.0</v>
      </c>
      <c r="Z29074" s="372">
        <v>0.0</v>
      </c>
    </row>
    <row r="29075">
      <c r="Y29075" s="372">
        <v>0.0</v>
      </c>
      <c r="Z29075" s="372">
        <v>0.0</v>
      </c>
    </row>
    <row r="29076">
      <c r="Y29076" s="372">
        <v>0.0</v>
      </c>
      <c r="Z29076" s="372">
        <v>0.0</v>
      </c>
    </row>
    <row r="29077">
      <c r="Y29077" s="372">
        <v>0.0</v>
      </c>
      <c r="Z29077" s="372">
        <v>0.0</v>
      </c>
    </row>
    <row r="29078">
      <c r="Y29078" s="372">
        <v>0.0</v>
      </c>
      <c r="Z29078" s="372">
        <v>0.0</v>
      </c>
    </row>
    <row r="29079">
      <c r="Y29079" s="372">
        <v>0.0</v>
      </c>
      <c r="Z29079" s="372">
        <v>0.0</v>
      </c>
    </row>
    <row r="29080">
      <c r="Y29080" s="372">
        <v>0.0</v>
      </c>
      <c r="Z29080" s="372">
        <v>0.0</v>
      </c>
    </row>
    <row r="29081">
      <c r="Y29081" s="372">
        <v>0.0</v>
      </c>
      <c r="Z29081" s="372">
        <v>0.0</v>
      </c>
    </row>
    <row r="29082">
      <c r="Y29082" s="372">
        <v>0.0</v>
      </c>
      <c r="Z29082" s="372">
        <v>0.0</v>
      </c>
    </row>
    <row r="29083">
      <c r="Y29083" s="372">
        <v>0.0</v>
      </c>
      <c r="Z29083" s="372">
        <v>0.0</v>
      </c>
    </row>
    <row r="29084">
      <c r="Y29084" s="372">
        <v>0.0</v>
      </c>
      <c r="Z29084" s="372">
        <v>0.0</v>
      </c>
    </row>
    <row r="29085">
      <c r="Y29085" s="372">
        <v>0.0</v>
      </c>
      <c r="Z29085" s="372">
        <v>0.0</v>
      </c>
    </row>
    <row r="29086">
      <c r="Y29086" s="372">
        <v>0.0</v>
      </c>
      <c r="Z29086" s="372">
        <v>0.0</v>
      </c>
    </row>
    <row r="29087">
      <c r="Y29087" s="372">
        <v>0.0</v>
      </c>
      <c r="Z29087" s="372">
        <v>0.0</v>
      </c>
    </row>
    <row r="29088">
      <c r="Y29088" s="372">
        <v>0.0</v>
      </c>
      <c r="Z29088" s="372">
        <v>0.0</v>
      </c>
    </row>
    <row r="29089">
      <c r="Y29089" s="372">
        <v>0.0</v>
      </c>
      <c r="Z29089" s="372">
        <v>0.0</v>
      </c>
    </row>
    <row r="29090">
      <c r="Y29090" s="372">
        <v>0.0</v>
      </c>
      <c r="Z29090" s="372">
        <v>0.0</v>
      </c>
    </row>
    <row r="29091">
      <c r="Y29091" s="372">
        <v>0.0</v>
      </c>
      <c r="Z29091" s="372">
        <v>0.0</v>
      </c>
    </row>
    <row r="29092">
      <c r="Y29092" s="372">
        <v>0.0</v>
      </c>
      <c r="Z29092" s="372">
        <v>0.0</v>
      </c>
    </row>
    <row r="29093">
      <c r="Y29093" s="372">
        <v>0.0</v>
      </c>
      <c r="Z29093" s="372">
        <v>0.0</v>
      </c>
    </row>
    <row r="29094">
      <c r="Y29094" s="372">
        <v>0.0</v>
      </c>
      <c r="Z29094" s="372">
        <v>0.0</v>
      </c>
    </row>
    <row r="29095">
      <c r="Y29095" s="372">
        <v>0.0</v>
      </c>
      <c r="Z29095" s="372">
        <v>0.0</v>
      </c>
    </row>
    <row r="29096">
      <c r="Y29096" s="372">
        <v>0.0</v>
      </c>
      <c r="Z29096" s="372">
        <v>0.0</v>
      </c>
    </row>
    <row r="29097">
      <c r="Y29097" s="372">
        <v>0.0</v>
      </c>
      <c r="Z29097" s="372">
        <v>0.0</v>
      </c>
    </row>
    <row r="29098">
      <c r="Y29098" s="372">
        <v>0.0</v>
      </c>
      <c r="Z29098" s="372">
        <v>0.0</v>
      </c>
    </row>
    <row r="29099">
      <c r="Y29099" s="372">
        <v>0.0</v>
      </c>
      <c r="Z29099" s="372">
        <v>0.0</v>
      </c>
    </row>
    <row r="29100">
      <c r="Y29100" s="372">
        <v>0.0</v>
      </c>
      <c r="Z29100" s="372">
        <v>0.0</v>
      </c>
    </row>
    <row r="29101">
      <c r="Y29101" s="372">
        <v>0.0</v>
      </c>
      <c r="Z29101" s="372">
        <v>0.0</v>
      </c>
    </row>
    <row r="29102">
      <c r="Y29102" s="372">
        <v>0.0</v>
      </c>
      <c r="Z29102" s="372">
        <v>0.0</v>
      </c>
    </row>
    <row r="29103">
      <c r="Y29103" s="372">
        <v>0.0</v>
      </c>
      <c r="Z29103" s="372">
        <v>0.0</v>
      </c>
    </row>
    <row r="29104">
      <c r="Y29104" s="372">
        <v>0.0</v>
      </c>
      <c r="Z29104" s="372">
        <v>0.0</v>
      </c>
    </row>
    <row r="29105">
      <c r="Y29105" s="372">
        <v>0.0</v>
      </c>
      <c r="Z29105" s="372">
        <v>0.0</v>
      </c>
    </row>
    <row r="29106">
      <c r="Y29106" s="372">
        <v>0.0</v>
      </c>
      <c r="Z29106" s="372">
        <v>0.0</v>
      </c>
    </row>
    <row r="29107">
      <c r="Y29107" s="372">
        <v>0.0</v>
      </c>
      <c r="Z29107" s="372">
        <v>0.0</v>
      </c>
    </row>
    <row r="29108">
      <c r="Y29108" s="372">
        <v>0.0</v>
      </c>
      <c r="Z29108" s="372">
        <v>0.0</v>
      </c>
    </row>
    <row r="29109">
      <c r="Y29109" s="372">
        <v>0.0</v>
      </c>
      <c r="Z29109" s="372">
        <v>0.0</v>
      </c>
    </row>
    <row r="29110">
      <c r="Y29110" s="372">
        <v>0.0</v>
      </c>
      <c r="Z29110" s="372">
        <v>0.0</v>
      </c>
    </row>
    <row r="29111">
      <c r="Y29111" s="372">
        <v>0.0</v>
      </c>
      <c r="Z29111" s="372">
        <v>0.0</v>
      </c>
    </row>
    <row r="29112">
      <c r="Y29112" s="372">
        <v>0.0</v>
      </c>
      <c r="Z29112" s="372">
        <v>0.0</v>
      </c>
    </row>
    <row r="29113">
      <c r="Y29113" s="372">
        <v>0.0</v>
      </c>
      <c r="Z29113" s="372">
        <v>0.0</v>
      </c>
    </row>
    <row r="29114">
      <c r="Y29114" s="372">
        <v>0.0</v>
      </c>
      <c r="Z29114" s="372">
        <v>0.0</v>
      </c>
    </row>
    <row r="29115">
      <c r="Y29115" s="372">
        <v>0.0</v>
      </c>
      <c r="Z29115" s="372">
        <v>0.0</v>
      </c>
    </row>
    <row r="29116">
      <c r="Y29116" s="372">
        <v>0.0</v>
      </c>
      <c r="Z29116" s="372">
        <v>0.0</v>
      </c>
    </row>
    <row r="29117">
      <c r="Y29117" s="372">
        <v>0.0</v>
      </c>
      <c r="Z29117" s="372">
        <v>0.0</v>
      </c>
    </row>
    <row r="29118">
      <c r="Y29118" s="372">
        <v>0.0</v>
      </c>
      <c r="Z29118" s="372">
        <v>0.0</v>
      </c>
    </row>
    <row r="29119">
      <c r="Y29119" s="372">
        <v>0.0</v>
      </c>
      <c r="Z29119" s="372">
        <v>0.0</v>
      </c>
    </row>
    <row r="29120">
      <c r="Y29120" s="372">
        <v>0.0</v>
      </c>
      <c r="Z29120" s="372">
        <v>0.0</v>
      </c>
    </row>
    <row r="29121">
      <c r="Y29121" s="372">
        <v>0.0</v>
      </c>
      <c r="Z29121" s="372">
        <v>0.0</v>
      </c>
    </row>
    <row r="29122">
      <c r="Y29122" s="372">
        <v>0.0</v>
      </c>
      <c r="Z29122" s="372">
        <v>0.0</v>
      </c>
    </row>
    <row r="29123">
      <c r="Y29123" s="372">
        <v>0.0</v>
      </c>
      <c r="Z29123" s="372">
        <v>0.0</v>
      </c>
    </row>
    <row r="29124">
      <c r="Y29124" s="372">
        <v>0.0</v>
      </c>
      <c r="Z29124" s="372">
        <v>0.0</v>
      </c>
    </row>
    <row r="29125">
      <c r="Y29125" s="372">
        <v>0.0</v>
      </c>
      <c r="Z29125" s="372">
        <v>0.0</v>
      </c>
    </row>
    <row r="29126">
      <c r="Y29126" s="372">
        <v>0.0</v>
      </c>
      <c r="Z29126" s="372">
        <v>0.0</v>
      </c>
    </row>
    <row r="29127">
      <c r="Y29127" s="372">
        <v>0.0</v>
      </c>
      <c r="Z29127" s="372">
        <v>0.0</v>
      </c>
    </row>
    <row r="29128">
      <c r="Y29128" s="372">
        <v>0.0</v>
      </c>
      <c r="Z29128" s="372">
        <v>0.0</v>
      </c>
    </row>
    <row r="29129">
      <c r="Y29129" s="372">
        <v>0.0</v>
      </c>
      <c r="Z29129" s="372">
        <v>0.0</v>
      </c>
    </row>
    <row r="29130">
      <c r="Y29130" s="372">
        <v>0.0</v>
      </c>
      <c r="Z29130" s="372">
        <v>0.0</v>
      </c>
    </row>
    <row r="29131">
      <c r="Y29131" s="372">
        <v>0.0</v>
      </c>
      <c r="Z29131" s="372">
        <v>0.0</v>
      </c>
    </row>
    <row r="29132">
      <c r="Y29132" s="372">
        <v>0.0</v>
      </c>
      <c r="Z29132" s="372">
        <v>0.0</v>
      </c>
    </row>
    <row r="29133">
      <c r="Y29133" s="372">
        <v>0.0</v>
      </c>
      <c r="Z29133" s="372">
        <v>0.0</v>
      </c>
    </row>
    <row r="29134">
      <c r="Y29134" s="372">
        <v>0.0</v>
      </c>
      <c r="Z29134" s="372">
        <v>0.0</v>
      </c>
    </row>
    <row r="29135">
      <c r="Y29135" s="372">
        <v>0.0</v>
      </c>
      <c r="Z29135" s="372">
        <v>0.0</v>
      </c>
    </row>
    <row r="29136">
      <c r="Y29136" s="372">
        <v>0.0</v>
      </c>
      <c r="Z29136" s="372">
        <v>0.0</v>
      </c>
    </row>
    <row r="29137">
      <c r="Y29137" s="372">
        <v>0.0</v>
      </c>
      <c r="Z29137" s="372">
        <v>0.0</v>
      </c>
    </row>
    <row r="29138">
      <c r="Y29138" s="372">
        <v>0.0</v>
      </c>
      <c r="Z29138" s="372">
        <v>0.0</v>
      </c>
    </row>
    <row r="29139">
      <c r="Y29139" s="372">
        <v>0.0</v>
      </c>
      <c r="Z29139" s="372">
        <v>0.0</v>
      </c>
    </row>
    <row r="29140">
      <c r="Y29140" s="372">
        <v>0.0</v>
      </c>
      <c r="Z29140" s="372">
        <v>0.0</v>
      </c>
    </row>
    <row r="29141">
      <c r="Y29141" s="372">
        <v>0.0</v>
      </c>
      <c r="Z29141" s="372">
        <v>0.0</v>
      </c>
    </row>
    <row r="29142">
      <c r="Y29142" s="372">
        <v>0.0</v>
      </c>
      <c r="Z29142" s="372">
        <v>0.0</v>
      </c>
    </row>
    <row r="29143">
      <c r="Y29143" s="372">
        <v>0.0</v>
      </c>
      <c r="Z29143" s="372">
        <v>0.0</v>
      </c>
    </row>
    <row r="29144">
      <c r="Y29144" s="372">
        <v>0.0</v>
      </c>
      <c r="Z29144" s="372">
        <v>0.0</v>
      </c>
    </row>
    <row r="29145">
      <c r="Y29145" s="372">
        <v>0.0</v>
      </c>
      <c r="Z29145" s="372">
        <v>0.0</v>
      </c>
    </row>
    <row r="29146">
      <c r="Y29146" s="372">
        <v>0.0</v>
      </c>
      <c r="Z29146" s="372">
        <v>0.0</v>
      </c>
    </row>
    <row r="29147">
      <c r="Y29147" s="372">
        <v>0.0</v>
      </c>
      <c r="Z29147" s="372">
        <v>0.0</v>
      </c>
    </row>
    <row r="29148">
      <c r="Y29148" s="372">
        <v>0.0</v>
      </c>
      <c r="Z29148" s="372">
        <v>0.0</v>
      </c>
    </row>
    <row r="29149">
      <c r="Y29149" s="372">
        <v>0.0</v>
      </c>
      <c r="Z29149" s="372">
        <v>0.0</v>
      </c>
    </row>
    <row r="29150">
      <c r="Y29150" s="372">
        <v>0.0</v>
      </c>
      <c r="Z29150" s="372">
        <v>0.0</v>
      </c>
    </row>
    <row r="29151">
      <c r="Y29151" s="372">
        <v>0.0</v>
      </c>
      <c r="Z29151" s="372">
        <v>0.0</v>
      </c>
    </row>
    <row r="29152">
      <c r="Y29152" s="372">
        <v>0.0</v>
      </c>
      <c r="Z29152" s="372">
        <v>0.0</v>
      </c>
    </row>
    <row r="29153">
      <c r="Y29153" s="372">
        <v>0.0</v>
      </c>
      <c r="Z29153" s="372">
        <v>0.0</v>
      </c>
    </row>
    <row r="29154">
      <c r="Y29154" s="372">
        <v>0.0</v>
      </c>
      <c r="Z29154" s="372">
        <v>0.0</v>
      </c>
    </row>
    <row r="29155">
      <c r="Y29155" s="372">
        <v>0.0</v>
      </c>
      <c r="Z29155" s="372">
        <v>0.0</v>
      </c>
    </row>
    <row r="29156">
      <c r="Y29156" s="372">
        <v>0.0</v>
      </c>
      <c r="Z29156" s="372">
        <v>0.0</v>
      </c>
    </row>
    <row r="29157">
      <c r="Y29157" s="372">
        <v>0.0</v>
      </c>
      <c r="Z29157" s="372">
        <v>0.0</v>
      </c>
    </row>
    <row r="29158">
      <c r="Y29158" s="372">
        <v>0.0</v>
      </c>
      <c r="Z29158" s="372">
        <v>0.0</v>
      </c>
    </row>
    <row r="29159">
      <c r="Y29159" s="372">
        <v>0.0</v>
      </c>
      <c r="Z29159" s="372">
        <v>0.0</v>
      </c>
    </row>
    <row r="29160">
      <c r="Y29160" s="372">
        <v>0.0</v>
      </c>
      <c r="Z29160" s="372">
        <v>0.0</v>
      </c>
    </row>
    <row r="29161">
      <c r="Y29161" s="372">
        <v>0.0</v>
      </c>
      <c r="Z29161" s="372">
        <v>0.0</v>
      </c>
    </row>
    <row r="29162">
      <c r="Y29162" s="372">
        <v>0.0</v>
      </c>
      <c r="Z29162" s="372">
        <v>0.0</v>
      </c>
    </row>
    <row r="29163">
      <c r="Y29163" s="372">
        <v>0.0</v>
      </c>
      <c r="Z29163" s="372">
        <v>0.0</v>
      </c>
    </row>
    <row r="29164">
      <c r="Y29164" s="372">
        <v>0.0</v>
      </c>
      <c r="Z29164" s="372">
        <v>0.0</v>
      </c>
    </row>
    <row r="29165">
      <c r="Y29165" s="372">
        <v>0.0</v>
      </c>
      <c r="Z29165" s="372">
        <v>0.0</v>
      </c>
    </row>
    <row r="29166">
      <c r="Y29166" s="372">
        <v>0.0</v>
      </c>
      <c r="Z29166" s="372">
        <v>0.0</v>
      </c>
    </row>
    <row r="29167">
      <c r="Y29167" s="372">
        <v>0.0</v>
      </c>
      <c r="Z29167" s="372">
        <v>0.0</v>
      </c>
    </row>
    <row r="29168">
      <c r="Y29168" s="372">
        <v>0.0</v>
      </c>
      <c r="Z29168" s="372">
        <v>0.0</v>
      </c>
    </row>
    <row r="29169">
      <c r="Y29169" s="372">
        <v>0.0</v>
      </c>
      <c r="Z29169" s="372">
        <v>0.0</v>
      </c>
    </row>
    <row r="29170">
      <c r="Y29170" s="372">
        <v>0.0</v>
      </c>
      <c r="Z29170" s="372">
        <v>0.0</v>
      </c>
    </row>
    <row r="29171">
      <c r="Y29171" s="372">
        <v>0.0</v>
      </c>
      <c r="Z29171" s="372">
        <v>0.0</v>
      </c>
    </row>
    <row r="29172">
      <c r="Y29172" s="372">
        <v>0.0</v>
      </c>
      <c r="Z29172" s="372">
        <v>0.0</v>
      </c>
    </row>
    <row r="29173">
      <c r="Y29173" s="372">
        <v>0.0</v>
      </c>
      <c r="Z29173" s="372">
        <v>0.0</v>
      </c>
    </row>
    <row r="29174">
      <c r="Y29174" s="372">
        <v>0.0</v>
      </c>
      <c r="Z29174" s="372">
        <v>0.0</v>
      </c>
    </row>
    <row r="29175">
      <c r="Y29175" s="372">
        <v>0.0</v>
      </c>
      <c r="Z29175" s="372">
        <v>0.0</v>
      </c>
    </row>
    <row r="29176">
      <c r="Y29176" s="372">
        <v>0.0</v>
      </c>
      <c r="Z29176" s="372">
        <v>0.0</v>
      </c>
    </row>
    <row r="29177">
      <c r="Y29177" s="372">
        <v>0.0</v>
      </c>
      <c r="Z29177" s="372">
        <v>0.0</v>
      </c>
    </row>
    <row r="29178">
      <c r="Y29178" s="372">
        <v>0.0</v>
      </c>
      <c r="Z29178" s="372">
        <v>0.0</v>
      </c>
    </row>
    <row r="29179">
      <c r="Y29179" s="372">
        <v>0.0</v>
      </c>
      <c r="Z29179" s="372">
        <v>0.0</v>
      </c>
    </row>
    <row r="29180">
      <c r="Y29180" s="372">
        <v>0.0</v>
      </c>
      <c r="Z29180" s="372">
        <v>0.0</v>
      </c>
    </row>
    <row r="29181">
      <c r="Y29181" s="372">
        <v>0.0</v>
      </c>
      <c r="Z29181" s="372">
        <v>0.0</v>
      </c>
    </row>
    <row r="29182">
      <c r="Y29182" s="372">
        <v>0.0</v>
      </c>
      <c r="Z29182" s="372">
        <v>0.0</v>
      </c>
    </row>
    <row r="29183">
      <c r="Y29183" s="372">
        <v>0.0</v>
      </c>
      <c r="Z29183" s="372">
        <v>0.0</v>
      </c>
    </row>
    <row r="29184">
      <c r="Y29184" s="372">
        <v>0.0</v>
      </c>
      <c r="Z29184" s="372">
        <v>0.0</v>
      </c>
    </row>
    <row r="29185">
      <c r="Y29185" s="372">
        <v>0.0</v>
      </c>
      <c r="Z29185" s="372">
        <v>0.0</v>
      </c>
    </row>
    <row r="29186">
      <c r="Y29186" s="372">
        <v>0.0</v>
      </c>
      <c r="Z29186" s="372">
        <v>0.0</v>
      </c>
    </row>
    <row r="29187">
      <c r="Y29187" s="372">
        <v>0.0</v>
      </c>
      <c r="Z29187" s="372">
        <v>0.0</v>
      </c>
    </row>
    <row r="29188">
      <c r="Y29188" s="372">
        <v>0.0</v>
      </c>
      <c r="Z29188" s="372">
        <v>0.0</v>
      </c>
    </row>
    <row r="29189">
      <c r="Y29189" s="372">
        <v>0.0</v>
      </c>
      <c r="Z29189" s="372">
        <v>0.0</v>
      </c>
    </row>
    <row r="29190">
      <c r="Y29190" s="372">
        <v>0.0</v>
      </c>
      <c r="Z29190" s="372">
        <v>0.0</v>
      </c>
    </row>
    <row r="29191">
      <c r="Y29191" s="372">
        <v>0.0</v>
      </c>
      <c r="Z29191" s="372">
        <v>0.0</v>
      </c>
    </row>
    <row r="29192">
      <c r="Y29192" s="372">
        <v>0.0</v>
      </c>
      <c r="Z29192" s="372">
        <v>0.0</v>
      </c>
    </row>
    <row r="29193">
      <c r="Y29193" s="372">
        <v>0.0</v>
      </c>
      <c r="Z29193" s="372">
        <v>0.0</v>
      </c>
    </row>
    <row r="29194">
      <c r="Y29194" s="372">
        <v>0.0</v>
      </c>
      <c r="Z29194" s="372">
        <v>0.0</v>
      </c>
    </row>
    <row r="29195">
      <c r="Y29195" s="372">
        <v>0.0</v>
      </c>
      <c r="Z29195" s="372">
        <v>0.0</v>
      </c>
    </row>
    <row r="29196">
      <c r="Y29196" s="372">
        <v>0.0</v>
      </c>
      <c r="Z29196" s="372">
        <v>0.0</v>
      </c>
    </row>
    <row r="29197">
      <c r="Y29197" s="372">
        <v>0.0</v>
      </c>
      <c r="Z29197" s="372">
        <v>0.0</v>
      </c>
    </row>
    <row r="29198">
      <c r="Y29198" s="372">
        <v>0.0</v>
      </c>
      <c r="Z29198" s="372">
        <v>0.0</v>
      </c>
    </row>
    <row r="29199">
      <c r="Y29199" s="372">
        <v>0.0</v>
      </c>
      <c r="Z29199" s="372">
        <v>0.0</v>
      </c>
    </row>
    <row r="29200">
      <c r="Y29200" s="372">
        <v>0.0</v>
      </c>
      <c r="Z29200" s="372">
        <v>0.0</v>
      </c>
    </row>
    <row r="29201">
      <c r="Y29201" s="372">
        <v>0.0</v>
      </c>
      <c r="Z29201" s="372">
        <v>0.0</v>
      </c>
    </row>
    <row r="29202">
      <c r="Y29202" s="372">
        <v>0.0</v>
      </c>
      <c r="Z29202" s="372">
        <v>0.0</v>
      </c>
    </row>
    <row r="29203">
      <c r="Y29203" s="372">
        <v>0.0</v>
      </c>
      <c r="Z29203" s="372">
        <v>0.0</v>
      </c>
    </row>
    <row r="29204">
      <c r="Y29204" s="372">
        <v>0.0</v>
      </c>
      <c r="Z29204" s="372">
        <v>0.0</v>
      </c>
    </row>
    <row r="29205">
      <c r="Y29205" s="372">
        <v>0.0</v>
      </c>
      <c r="Z29205" s="372">
        <v>0.0</v>
      </c>
    </row>
    <row r="29206">
      <c r="Y29206" s="372">
        <v>0.0</v>
      </c>
      <c r="Z29206" s="372">
        <v>0.0</v>
      </c>
    </row>
    <row r="29207">
      <c r="Y29207" s="372">
        <v>0.0</v>
      </c>
      <c r="Z29207" s="372">
        <v>0.0</v>
      </c>
    </row>
    <row r="29208">
      <c r="Y29208" s="372">
        <v>0.0</v>
      </c>
      <c r="Z29208" s="372">
        <v>0.0</v>
      </c>
    </row>
    <row r="29209">
      <c r="Y29209" s="372">
        <v>0.0</v>
      </c>
      <c r="Z29209" s="372">
        <v>0.0</v>
      </c>
    </row>
    <row r="29210">
      <c r="Y29210" s="372">
        <v>0.0</v>
      </c>
      <c r="Z29210" s="372">
        <v>0.0</v>
      </c>
    </row>
    <row r="29211">
      <c r="Y29211" s="372">
        <v>0.0</v>
      </c>
      <c r="Z29211" s="372">
        <v>0.0</v>
      </c>
    </row>
    <row r="29212">
      <c r="Y29212" s="372">
        <v>0.0</v>
      </c>
      <c r="Z29212" s="372">
        <v>0.0</v>
      </c>
    </row>
    <row r="29213">
      <c r="Y29213" s="372">
        <v>0.0</v>
      </c>
      <c r="Z29213" s="372">
        <v>0.0</v>
      </c>
    </row>
    <row r="29214">
      <c r="Y29214" s="372">
        <v>0.0</v>
      </c>
      <c r="Z29214" s="372">
        <v>0.0</v>
      </c>
    </row>
    <row r="29215">
      <c r="Y29215" s="372">
        <v>0.0</v>
      </c>
      <c r="Z29215" s="372">
        <v>0.0</v>
      </c>
    </row>
    <row r="29216">
      <c r="Y29216" s="372">
        <v>0.0</v>
      </c>
      <c r="Z29216" s="372">
        <v>0.0</v>
      </c>
    </row>
    <row r="29217">
      <c r="Y29217" s="372">
        <v>0.0</v>
      </c>
      <c r="Z29217" s="372">
        <v>0.0</v>
      </c>
    </row>
    <row r="29218">
      <c r="Y29218" s="372">
        <v>0.0</v>
      </c>
      <c r="Z29218" s="372">
        <v>0.0</v>
      </c>
    </row>
    <row r="29219">
      <c r="Y29219" s="372">
        <v>0.0</v>
      </c>
      <c r="Z29219" s="372">
        <v>0.0</v>
      </c>
    </row>
    <row r="29220">
      <c r="Y29220" s="372">
        <v>0.0</v>
      </c>
      <c r="Z29220" s="372">
        <v>0.0</v>
      </c>
    </row>
    <row r="29221">
      <c r="Y29221" s="372">
        <v>0.0</v>
      </c>
      <c r="Z29221" s="372">
        <v>0.0</v>
      </c>
    </row>
    <row r="29222">
      <c r="Y29222" s="372">
        <v>0.0</v>
      </c>
      <c r="Z29222" s="372">
        <v>0.0</v>
      </c>
    </row>
    <row r="29223">
      <c r="Y29223" s="372">
        <v>0.0</v>
      </c>
      <c r="Z29223" s="372">
        <v>0.0</v>
      </c>
    </row>
    <row r="29224">
      <c r="Y29224" s="372">
        <v>0.0</v>
      </c>
      <c r="Z29224" s="372">
        <v>0.0</v>
      </c>
    </row>
    <row r="29225">
      <c r="Y29225" s="372">
        <v>0.0</v>
      </c>
      <c r="Z29225" s="372">
        <v>0.0</v>
      </c>
    </row>
    <row r="29226">
      <c r="Y29226" s="372">
        <v>0.0</v>
      </c>
      <c r="Z29226" s="372">
        <v>0.0</v>
      </c>
    </row>
    <row r="29227">
      <c r="Y29227" s="372">
        <v>0.0</v>
      </c>
      <c r="Z29227" s="372">
        <v>0.0</v>
      </c>
    </row>
    <row r="29228">
      <c r="Y29228" s="372">
        <v>0.0</v>
      </c>
      <c r="Z29228" s="372">
        <v>0.0</v>
      </c>
    </row>
    <row r="29229">
      <c r="Y29229" s="372">
        <v>0.0</v>
      </c>
      <c r="Z29229" s="372">
        <v>0.0</v>
      </c>
    </row>
    <row r="29230">
      <c r="Y29230" s="372">
        <v>0.0</v>
      </c>
      <c r="Z29230" s="372">
        <v>0.0</v>
      </c>
    </row>
    <row r="29231">
      <c r="Y29231" s="372">
        <v>0.0</v>
      </c>
      <c r="Z29231" s="372">
        <v>0.0</v>
      </c>
    </row>
    <row r="29232">
      <c r="Y29232" s="372">
        <v>0.0</v>
      </c>
      <c r="Z29232" s="372">
        <v>0.0</v>
      </c>
    </row>
    <row r="29233">
      <c r="Y29233" s="372">
        <v>0.0</v>
      </c>
      <c r="Z29233" s="372">
        <v>0.0</v>
      </c>
    </row>
    <row r="29234">
      <c r="Y29234" s="372">
        <v>0.0</v>
      </c>
      <c r="Z29234" s="372">
        <v>0.0</v>
      </c>
    </row>
    <row r="29235">
      <c r="Y29235" s="372">
        <v>0.0</v>
      </c>
      <c r="Z29235" s="372">
        <v>0.0</v>
      </c>
    </row>
    <row r="29236">
      <c r="Y29236" s="372">
        <v>0.0</v>
      </c>
      <c r="Z29236" s="372">
        <v>0.0</v>
      </c>
    </row>
    <row r="29237">
      <c r="Y29237" s="372">
        <v>0.0</v>
      </c>
      <c r="Z29237" s="372">
        <v>0.0</v>
      </c>
    </row>
    <row r="29238">
      <c r="Y29238" s="372">
        <v>0.0</v>
      </c>
      <c r="Z29238" s="372">
        <v>0.0</v>
      </c>
    </row>
    <row r="29239">
      <c r="Y29239" s="372">
        <v>0.0</v>
      </c>
      <c r="Z29239" s="372">
        <v>0.0</v>
      </c>
    </row>
    <row r="29240">
      <c r="Y29240" s="372">
        <v>0.0</v>
      </c>
      <c r="Z29240" s="372">
        <v>0.0</v>
      </c>
    </row>
    <row r="29241">
      <c r="Y29241" s="372">
        <v>0.0</v>
      </c>
      <c r="Z29241" s="372">
        <v>0.0</v>
      </c>
    </row>
    <row r="29242">
      <c r="Y29242" s="372">
        <v>0.0</v>
      </c>
      <c r="Z29242" s="372">
        <v>0.0</v>
      </c>
    </row>
    <row r="29243">
      <c r="Y29243" s="372">
        <v>0.0</v>
      </c>
      <c r="Z29243" s="372">
        <v>0.0</v>
      </c>
    </row>
    <row r="29244">
      <c r="Y29244" s="372">
        <v>0.0</v>
      </c>
      <c r="Z29244" s="372">
        <v>0.0</v>
      </c>
    </row>
    <row r="29245">
      <c r="Y29245" s="372">
        <v>0.0</v>
      </c>
      <c r="Z29245" s="372">
        <v>0.0</v>
      </c>
    </row>
    <row r="29246">
      <c r="Y29246" s="372">
        <v>0.0</v>
      </c>
      <c r="Z29246" s="372">
        <v>0.0</v>
      </c>
    </row>
    <row r="29247">
      <c r="Y29247" s="372">
        <v>0.0</v>
      </c>
      <c r="Z29247" s="372">
        <v>0.0</v>
      </c>
    </row>
    <row r="29248">
      <c r="Y29248" s="372">
        <v>0.0</v>
      </c>
      <c r="Z29248" s="372">
        <v>0.0</v>
      </c>
    </row>
    <row r="29249">
      <c r="Y29249" s="372">
        <v>0.0</v>
      </c>
      <c r="Z29249" s="372">
        <v>0.0</v>
      </c>
    </row>
    <row r="29250">
      <c r="Y29250" s="372">
        <v>0.0</v>
      </c>
      <c r="Z29250" s="372">
        <v>0.0</v>
      </c>
    </row>
    <row r="29251">
      <c r="Y29251" s="372">
        <v>0.0</v>
      </c>
      <c r="Z29251" s="372">
        <v>0.0</v>
      </c>
    </row>
    <row r="29252">
      <c r="Y29252" s="372">
        <v>0.0</v>
      </c>
      <c r="Z29252" s="372">
        <v>0.0</v>
      </c>
    </row>
    <row r="29253">
      <c r="Y29253" s="372">
        <v>0.0</v>
      </c>
      <c r="Z29253" s="372">
        <v>0.0</v>
      </c>
    </row>
    <row r="29254">
      <c r="Y29254" s="372">
        <v>0.0</v>
      </c>
      <c r="Z29254" s="372">
        <v>0.0</v>
      </c>
    </row>
    <row r="29255">
      <c r="Y29255" s="372">
        <v>0.0</v>
      </c>
      <c r="Z29255" s="372">
        <v>0.0</v>
      </c>
    </row>
    <row r="29256">
      <c r="Y29256" s="372">
        <v>0.0</v>
      </c>
      <c r="Z29256" s="372">
        <v>0.0</v>
      </c>
    </row>
    <row r="29257">
      <c r="Y29257" s="372">
        <v>0.0</v>
      </c>
      <c r="Z29257" s="372">
        <v>0.0</v>
      </c>
    </row>
    <row r="29258">
      <c r="Y29258" s="372">
        <v>0.0</v>
      </c>
      <c r="Z29258" s="372">
        <v>0.0</v>
      </c>
    </row>
    <row r="29259">
      <c r="Y29259" s="372">
        <v>0.0</v>
      </c>
      <c r="Z29259" s="372">
        <v>0.0</v>
      </c>
    </row>
    <row r="29260">
      <c r="Y29260" s="372">
        <v>0.0</v>
      </c>
      <c r="Z29260" s="372">
        <v>0.0</v>
      </c>
    </row>
    <row r="29261">
      <c r="Y29261" s="372">
        <v>0.0</v>
      </c>
      <c r="Z29261" s="372">
        <v>0.0</v>
      </c>
    </row>
    <row r="29262">
      <c r="Y29262" s="372">
        <v>0.0</v>
      </c>
      <c r="Z29262" s="372">
        <v>0.0</v>
      </c>
    </row>
    <row r="29263">
      <c r="Y29263" s="372">
        <v>0.0</v>
      </c>
      <c r="Z29263" s="372">
        <v>0.0</v>
      </c>
    </row>
    <row r="29264">
      <c r="Y29264" s="372">
        <v>0.0</v>
      </c>
      <c r="Z29264" s="372">
        <v>0.0</v>
      </c>
    </row>
    <row r="29265">
      <c r="Y29265" s="372">
        <v>0.0</v>
      </c>
      <c r="Z29265" s="372">
        <v>0.0</v>
      </c>
    </row>
    <row r="29266">
      <c r="Y29266" s="372">
        <v>0.0</v>
      </c>
      <c r="Z29266" s="372">
        <v>0.0</v>
      </c>
    </row>
    <row r="29267">
      <c r="Y29267" s="372">
        <v>0.0</v>
      </c>
      <c r="Z29267" s="372">
        <v>0.0</v>
      </c>
    </row>
    <row r="29268">
      <c r="Y29268" s="372">
        <v>0.0</v>
      </c>
      <c r="Z29268" s="372">
        <v>0.0</v>
      </c>
    </row>
    <row r="29269">
      <c r="Y29269" s="372">
        <v>0.0</v>
      </c>
      <c r="Z29269" s="372">
        <v>0.0</v>
      </c>
    </row>
    <row r="29270">
      <c r="Y29270" s="372">
        <v>0.0</v>
      </c>
      <c r="Z29270" s="372">
        <v>0.0</v>
      </c>
    </row>
    <row r="29271">
      <c r="Y29271" s="372">
        <v>0.0</v>
      </c>
      <c r="Z29271" s="372">
        <v>0.0</v>
      </c>
    </row>
    <row r="29272">
      <c r="Y29272" s="372">
        <v>0.0</v>
      </c>
      <c r="Z29272" s="372">
        <v>0.0</v>
      </c>
    </row>
    <row r="29273">
      <c r="Y29273" s="372">
        <v>0.0</v>
      </c>
      <c r="Z29273" s="372">
        <v>0.0</v>
      </c>
    </row>
    <row r="29274">
      <c r="Y29274" s="372">
        <v>0.0</v>
      </c>
      <c r="Z29274" s="372">
        <v>0.0</v>
      </c>
    </row>
    <row r="29275">
      <c r="Y29275" s="372">
        <v>0.0</v>
      </c>
      <c r="Z29275" s="372">
        <v>0.0</v>
      </c>
    </row>
    <row r="29276">
      <c r="Y29276" s="372">
        <v>0.0</v>
      </c>
      <c r="Z29276" s="372">
        <v>0.0</v>
      </c>
    </row>
    <row r="29277">
      <c r="Y29277" s="372">
        <v>0.0</v>
      </c>
      <c r="Z29277" s="372">
        <v>0.0</v>
      </c>
    </row>
    <row r="29278">
      <c r="Y29278" s="372">
        <v>0.0</v>
      </c>
      <c r="Z29278" s="372">
        <v>0.0</v>
      </c>
    </row>
    <row r="29279">
      <c r="Y29279" s="372">
        <v>0.0</v>
      </c>
      <c r="Z29279" s="372">
        <v>0.0</v>
      </c>
    </row>
    <row r="29280">
      <c r="Y29280" s="372">
        <v>0.0</v>
      </c>
      <c r="Z29280" s="372">
        <v>0.0</v>
      </c>
    </row>
    <row r="29281">
      <c r="Y29281" s="372">
        <v>0.0</v>
      </c>
      <c r="Z29281" s="372">
        <v>0.0</v>
      </c>
    </row>
    <row r="29282">
      <c r="Y29282" s="372">
        <v>0.0</v>
      </c>
      <c r="Z29282" s="372">
        <v>0.0</v>
      </c>
    </row>
    <row r="29283">
      <c r="Y29283" s="372">
        <v>0.0</v>
      </c>
      <c r="Z29283" s="372">
        <v>0.0</v>
      </c>
    </row>
    <row r="29284">
      <c r="Y29284" s="372">
        <v>0.0</v>
      </c>
      <c r="Z29284" s="372">
        <v>0.0</v>
      </c>
    </row>
    <row r="29285">
      <c r="Y29285" s="372">
        <v>0.0</v>
      </c>
      <c r="Z29285" s="372">
        <v>0.0</v>
      </c>
    </row>
    <row r="29286">
      <c r="Y29286" s="372">
        <v>0.0</v>
      </c>
      <c r="Z29286" s="372">
        <v>0.0</v>
      </c>
    </row>
    <row r="29287">
      <c r="Y29287" s="372">
        <v>0.0</v>
      </c>
      <c r="Z29287" s="372">
        <v>0.0</v>
      </c>
    </row>
    <row r="29288">
      <c r="Y29288" s="372">
        <v>0.0</v>
      </c>
      <c r="Z29288" s="372">
        <v>0.0</v>
      </c>
    </row>
    <row r="29289">
      <c r="Y29289" s="372">
        <v>0.0</v>
      </c>
      <c r="Z29289" s="372">
        <v>0.0</v>
      </c>
    </row>
    <row r="29290">
      <c r="Y29290" s="372">
        <v>0.0</v>
      </c>
      <c r="Z29290" s="372">
        <v>0.0</v>
      </c>
    </row>
    <row r="29291">
      <c r="Y29291" s="372">
        <v>0.0</v>
      </c>
      <c r="Z29291" s="372">
        <v>0.0</v>
      </c>
    </row>
    <row r="29292">
      <c r="Y29292" s="372">
        <v>0.0</v>
      </c>
      <c r="Z29292" s="372">
        <v>0.0</v>
      </c>
    </row>
    <row r="29293">
      <c r="Y29293" s="372">
        <v>0.0</v>
      </c>
      <c r="Z29293" s="372">
        <v>0.0</v>
      </c>
    </row>
    <row r="29294">
      <c r="Y29294" s="372">
        <v>0.0</v>
      </c>
      <c r="Z29294" s="372">
        <v>0.0</v>
      </c>
    </row>
    <row r="29295">
      <c r="Y29295" s="372">
        <v>0.0</v>
      </c>
      <c r="Z29295" s="372">
        <v>0.0</v>
      </c>
    </row>
    <row r="29296">
      <c r="Y29296" s="372">
        <v>0.0</v>
      </c>
      <c r="Z29296" s="372">
        <v>0.0</v>
      </c>
    </row>
    <row r="29297">
      <c r="Y29297" s="372">
        <v>0.0</v>
      </c>
      <c r="Z29297" s="372">
        <v>0.0</v>
      </c>
    </row>
    <row r="29298">
      <c r="Y29298" s="372">
        <v>0.0</v>
      </c>
      <c r="Z29298" s="372">
        <v>0.0</v>
      </c>
    </row>
    <row r="29299">
      <c r="Y29299" s="372">
        <v>0.0</v>
      </c>
      <c r="Z29299" s="372">
        <v>0.0</v>
      </c>
    </row>
    <row r="29300">
      <c r="Y29300" s="372">
        <v>0.0</v>
      </c>
      <c r="Z29300" s="372">
        <v>0.0</v>
      </c>
    </row>
    <row r="29301">
      <c r="Y29301" s="372">
        <v>0.0</v>
      </c>
      <c r="Z29301" s="372">
        <v>0.0</v>
      </c>
    </row>
    <row r="29302">
      <c r="Y29302" s="372">
        <v>0.0</v>
      </c>
      <c r="Z29302" s="372">
        <v>0.0</v>
      </c>
    </row>
    <row r="29303">
      <c r="Y29303" s="372">
        <v>0.0</v>
      </c>
      <c r="Z29303" s="372">
        <v>0.0</v>
      </c>
    </row>
    <row r="29304">
      <c r="Y29304" s="372">
        <v>0.0</v>
      </c>
      <c r="Z29304" s="372">
        <v>0.0</v>
      </c>
    </row>
    <row r="29305">
      <c r="Y29305" s="372">
        <v>0.0</v>
      </c>
      <c r="Z29305" s="372">
        <v>0.0</v>
      </c>
    </row>
    <row r="29306">
      <c r="Y29306" s="372">
        <v>0.0</v>
      </c>
      <c r="Z29306" s="372">
        <v>0.0</v>
      </c>
    </row>
    <row r="29307">
      <c r="Y29307" s="372">
        <v>0.0</v>
      </c>
      <c r="Z29307" s="372">
        <v>0.0</v>
      </c>
    </row>
    <row r="29308">
      <c r="Y29308" s="372">
        <v>0.0</v>
      </c>
      <c r="Z29308" s="372">
        <v>0.0</v>
      </c>
    </row>
    <row r="29309">
      <c r="Y29309" s="372">
        <v>0.0</v>
      </c>
      <c r="Z29309" s="372">
        <v>0.0</v>
      </c>
    </row>
    <row r="29310">
      <c r="Y29310" s="372">
        <v>0.0</v>
      </c>
      <c r="Z29310" s="372">
        <v>0.0</v>
      </c>
    </row>
    <row r="29311">
      <c r="Y29311" s="372">
        <v>0.0</v>
      </c>
      <c r="Z29311" s="372">
        <v>0.0</v>
      </c>
    </row>
    <row r="29312">
      <c r="Y29312" s="372">
        <v>0.0</v>
      </c>
      <c r="Z29312" s="372">
        <v>0.0</v>
      </c>
    </row>
    <row r="29313">
      <c r="Y29313" s="372">
        <v>0.0</v>
      </c>
      <c r="Z29313" s="372">
        <v>0.0</v>
      </c>
    </row>
    <row r="29314">
      <c r="Y29314" s="372">
        <v>0.0</v>
      </c>
      <c r="Z29314" s="372">
        <v>0.0</v>
      </c>
    </row>
    <row r="29315">
      <c r="Y29315" s="372">
        <v>0.0</v>
      </c>
      <c r="Z29315" s="372">
        <v>0.0</v>
      </c>
    </row>
    <row r="29316">
      <c r="Y29316" s="372">
        <v>0.0</v>
      </c>
      <c r="Z29316" s="372">
        <v>0.0</v>
      </c>
    </row>
    <row r="29317">
      <c r="Y29317" s="372">
        <v>0.0</v>
      </c>
      <c r="Z29317" s="372">
        <v>0.0</v>
      </c>
    </row>
    <row r="29318">
      <c r="Y29318" s="372">
        <v>0.0</v>
      </c>
      <c r="Z29318" s="372">
        <v>0.0</v>
      </c>
    </row>
    <row r="29319">
      <c r="Y29319" s="372">
        <v>0.0</v>
      </c>
      <c r="Z29319" s="372">
        <v>0.0</v>
      </c>
    </row>
    <row r="29320">
      <c r="Y29320" s="372">
        <v>0.0</v>
      </c>
      <c r="Z29320" s="372">
        <v>0.0</v>
      </c>
    </row>
    <row r="29321">
      <c r="Y29321" s="372">
        <v>0.0</v>
      </c>
      <c r="Z29321" s="372">
        <v>0.0</v>
      </c>
    </row>
    <row r="29322">
      <c r="Y29322" s="372">
        <v>0.0</v>
      </c>
      <c r="Z29322" s="372">
        <v>0.0</v>
      </c>
    </row>
    <row r="29323">
      <c r="Y29323" s="372">
        <v>0.0</v>
      </c>
      <c r="Z29323" s="372">
        <v>0.0</v>
      </c>
    </row>
    <row r="29324">
      <c r="Y29324" s="372">
        <v>0.0</v>
      </c>
      <c r="Z29324" s="372">
        <v>0.0</v>
      </c>
    </row>
    <row r="29325">
      <c r="Y29325" s="372">
        <v>0.0</v>
      </c>
      <c r="Z29325" s="372">
        <v>0.0</v>
      </c>
    </row>
    <row r="29326">
      <c r="Y29326" s="372">
        <v>0.0</v>
      </c>
      <c r="Z29326" s="372">
        <v>0.0</v>
      </c>
    </row>
    <row r="29327">
      <c r="Y29327" s="372">
        <v>0.0</v>
      </c>
      <c r="Z29327" s="372">
        <v>0.0</v>
      </c>
    </row>
    <row r="29328">
      <c r="Y29328" s="372">
        <v>0.0</v>
      </c>
      <c r="Z29328" s="372">
        <v>0.0</v>
      </c>
    </row>
    <row r="29329">
      <c r="Y29329" s="372">
        <v>0.0</v>
      </c>
      <c r="Z29329" s="372">
        <v>0.0</v>
      </c>
    </row>
    <row r="29330">
      <c r="Y29330" s="372">
        <v>0.0</v>
      </c>
      <c r="Z29330" s="372">
        <v>0.0</v>
      </c>
    </row>
    <row r="29331">
      <c r="Y29331" s="372">
        <v>0.0</v>
      </c>
      <c r="Z29331" s="372">
        <v>0.0</v>
      </c>
    </row>
    <row r="29332">
      <c r="Y29332" s="372">
        <v>0.0</v>
      </c>
      <c r="Z29332" s="372">
        <v>0.0</v>
      </c>
    </row>
    <row r="29333">
      <c r="Y29333" s="372">
        <v>0.0</v>
      </c>
      <c r="Z29333" s="372">
        <v>0.0</v>
      </c>
    </row>
    <row r="29334">
      <c r="Y29334" s="372">
        <v>0.0</v>
      </c>
      <c r="Z29334" s="372">
        <v>0.0</v>
      </c>
    </row>
    <row r="29335">
      <c r="Y29335" s="372">
        <v>0.0</v>
      </c>
      <c r="Z29335" s="372">
        <v>0.0</v>
      </c>
    </row>
    <row r="29336">
      <c r="Y29336" s="372">
        <v>0.0</v>
      </c>
      <c r="Z29336" s="372">
        <v>0.0</v>
      </c>
    </row>
    <row r="29337">
      <c r="Y29337" s="372">
        <v>0.0</v>
      </c>
      <c r="Z29337" s="372">
        <v>0.0</v>
      </c>
    </row>
    <row r="29338">
      <c r="Y29338" s="372">
        <v>0.0</v>
      </c>
      <c r="Z29338" s="372">
        <v>0.0</v>
      </c>
    </row>
    <row r="29339">
      <c r="Y29339" s="372">
        <v>0.0</v>
      </c>
      <c r="Z29339" s="372">
        <v>0.0</v>
      </c>
    </row>
    <row r="29340">
      <c r="Y29340" s="372">
        <v>0.0</v>
      </c>
      <c r="Z29340" s="372">
        <v>0.0</v>
      </c>
    </row>
    <row r="29341">
      <c r="Y29341" s="372">
        <v>0.0</v>
      </c>
      <c r="Z29341" s="372">
        <v>0.0</v>
      </c>
    </row>
    <row r="29342">
      <c r="Y29342" s="372">
        <v>0.0</v>
      </c>
      <c r="Z29342" s="372">
        <v>0.0</v>
      </c>
    </row>
    <row r="29343">
      <c r="Y29343" s="372">
        <v>0.0</v>
      </c>
      <c r="Z29343" s="372">
        <v>0.0</v>
      </c>
    </row>
    <row r="29344">
      <c r="Y29344" s="372">
        <v>0.0</v>
      </c>
      <c r="Z29344" s="372">
        <v>0.0</v>
      </c>
    </row>
    <row r="29345">
      <c r="Y29345" s="372">
        <v>0.0</v>
      </c>
      <c r="Z29345" s="372">
        <v>0.0</v>
      </c>
    </row>
    <row r="29346">
      <c r="Y29346" s="372">
        <v>0.0</v>
      </c>
      <c r="Z29346" s="372">
        <v>0.0</v>
      </c>
    </row>
    <row r="29347">
      <c r="Y29347" s="372">
        <v>0.0</v>
      </c>
      <c r="Z29347" s="372">
        <v>0.0</v>
      </c>
    </row>
    <row r="29348">
      <c r="Y29348" s="372">
        <v>0.0</v>
      </c>
      <c r="Z29348" s="372">
        <v>0.0</v>
      </c>
    </row>
    <row r="29349">
      <c r="Y29349" s="372">
        <v>0.0</v>
      </c>
      <c r="Z29349" s="372">
        <v>0.0</v>
      </c>
    </row>
    <row r="29350">
      <c r="Y29350" s="372">
        <v>0.0</v>
      </c>
      <c r="Z29350" s="372">
        <v>0.0</v>
      </c>
    </row>
    <row r="29351">
      <c r="Y29351" s="372">
        <v>0.0</v>
      </c>
      <c r="Z29351" s="372">
        <v>0.0</v>
      </c>
    </row>
    <row r="29352">
      <c r="Y29352" s="372">
        <v>0.0</v>
      </c>
      <c r="Z29352" s="372">
        <v>0.0</v>
      </c>
    </row>
    <row r="29353">
      <c r="Y29353" s="372">
        <v>0.0</v>
      </c>
      <c r="Z29353" s="372">
        <v>0.0</v>
      </c>
    </row>
    <row r="29354">
      <c r="Y29354" s="372">
        <v>0.0</v>
      </c>
      <c r="Z29354" s="372">
        <v>0.0</v>
      </c>
    </row>
    <row r="29355">
      <c r="Y29355" s="372">
        <v>0.0</v>
      </c>
      <c r="Z29355" s="372">
        <v>0.0</v>
      </c>
    </row>
    <row r="29356">
      <c r="Y29356" s="372">
        <v>0.0</v>
      </c>
      <c r="Z29356" s="372">
        <v>0.0</v>
      </c>
    </row>
    <row r="29357">
      <c r="Y29357" s="372">
        <v>0.0</v>
      </c>
      <c r="Z29357" s="372">
        <v>0.0</v>
      </c>
    </row>
    <row r="29358">
      <c r="Y29358" s="372">
        <v>0.0</v>
      </c>
      <c r="Z29358" s="372">
        <v>0.0</v>
      </c>
    </row>
    <row r="29359">
      <c r="Y29359" s="372">
        <v>0.0</v>
      </c>
      <c r="Z29359" s="372">
        <v>0.0</v>
      </c>
    </row>
    <row r="29360">
      <c r="Y29360" s="372">
        <v>0.0</v>
      </c>
      <c r="Z29360" s="372">
        <v>0.0</v>
      </c>
    </row>
    <row r="29361">
      <c r="Y29361" s="372">
        <v>0.0</v>
      </c>
      <c r="Z29361" s="372">
        <v>0.0</v>
      </c>
    </row>
    <row r="29362">
      <c r="Y29362" s="372">
        <v>0.0</v>
      </c>
      <c r="Z29362" s="372">
        <v>0.0</v>
      </c>
    </row>
    <row r="29363">
      <c r="Y29363" s="372">
        <v>0.0</v>
      </c>
      <c r="Z29363" s="372">
        <v>0.0</v>
      </c>
    </row>
    <row r="29364">
      <c r="Y29364" s="372">
        <v>0.0</v>
      </c>
      <c r="Z29364" s="372">
        <v>0.0</v>
      </c>
    </row>
    <row r="29365">
      <c r="Y29365" s="372">
        <v>0.0</v>
      </c>
      <c r="Z29365" s="372">
        <v>0.0</v>
      </c>
    </row>
    <row r="29366">
      <c r="Y29366" s="372">
        <v>0.0</v>
      </c>
      <c r="Z29366" s="372">
        <v>0.0</v>
      </c>
    </row>
    <row r="29367">
      <c r="Y29367" s="372">
        <v>0.0</v>
      </c>
      <c r="Z29367" s="372">
        <v>0.0</v>
      </c>
    </row>
    <row r="29368">
      <c r="Y29368" s="372">
        <v>0.0</v>
      </c>
      <c r="Z29368" s="372">
        <v>0.0</v>
      </c>
    </row>
    <row r="29369">
      <c r="Y29369" s="372">
        <v>0.0</v>
      </c>
      <c r="Z29369" s="372">
        <v>0.0</v>
      </c>
    </row>
    <row r="29370">
      <c r="Y29370" s="372">
        <v>0.0</v>
      </c>
      <c r="Z29370" s="372">
        <v>0.0</v>
      </c>
    </row>
    <row r="29371">
      <c r="Y29371" s="372">
        <v>0.0</v>
      </c>
      <c r="Z29371" s="372">
        <v>0.0</v>
      </c>
    </row>
    <row r="29372">
      <c r="Y29372" s="372">
        <v>0.0</v>
      </c>
      <c r="Z29372" s="372">
        <v>0.0</v>
      </c>
    </row>
    <row r="29373">
      <c r="Y29373" s="372">
        <v>0.0</v>
      </c>
      <c r="Z29373" s="372">
        <v>0.0</v>
      </c>
    </row>
    <row r="29374">
      <c r="Y29374" s="372">
        <v>0.0</v>
      </c>
      <c r="Z29374" s="372">
        <v>0.0</v>
      </c>
    </row>
    <row r="29375">
      <c r="Y29375" s="372">
        <v>0.0</v>
      </c>
      <c r="Z29375" s="372">
        <v>0.0</v>
      </c>
    </row>
    <row r="29376">
      <c r="Y29376" s="372">
        <v>0.0</v>
      </c>
      <c r="Z29376" s="372">
        <v>0.0</v>
      </c>
    </row>
    <row r="29377">
      <c r="Y29377" s="372">
        <v>0.0</v>
      </c>
      <c r="Z29377" s="372">
        <v>0.0</v>
      </c>
    </row>
    <row r="29378">
      <c r="Y29378" s="372">
        <v>0.0</v>
      </c>
      <c r="Z29378" s="372">
        <v>0.0</v>
      </c>
    </row>
    <row r="29379">
      <c r="Y29379" s="372">
        <v>0.0</v>
      </c>
      <c r="Z29379" s="372">
        <v>0.0</v>
      </c>
    </row>
    <row r="29380">
      <c r="Y29380" s="372">
        <v>0.0</v>
      </c>
      <c r="Z29380" s="372">
        <v>0.0</v>
      </c>
    </row>
    <row r="29381">
      <c r="Y29381" s="372">
        <v>0.0</v>
      </c>
      <c r="Z29381" s="372">
        <v>0.0</v>
      </c>
    </row>
    <row r="29382">
      <c r="Y29382" s="372">
        <v>0.0</v>
      </c>
      <c r="Z29382" s="372">
        <v>0.0</v>
      </c>
    </row>
    <row r="29383">
      <c r="Y29383" s="372">
        <v>0.0</v>
      </c>
      <c r="Z29383" s="372">
        <v>0.0</v>
      </c>
    </row>
    <row r="29384">
      <c r="Y29384" s="372">
        <v>0.0</v>
      </c>
      <c r="Z29384" s="372">
        <v>0.0</v>
      </c>
    </row>
    <row r="29385">
      <c r="Y29385" s="372">
        <v>0.0</v>
      </c>
      <c r="Z29385" s="372">
        <v>0.0</v>
      </c>
    </row>
    <row r="29386">
      <c r="Y29386" s="372">
        <v>0.0</v>
      </c>
      <c r="Z29386" s="372">
        <v>0.0</v>
      </c>
    </row>
    <row r="29387">
      <c r="Y29387" s="372">
        <v>0.0</v>
      </c>
      <c r="Z29387" s="372">
        <v>0.0</v>
      </c>
    </row>
    <row r="29388">
      <c r="Y29388" s="372">
        <v>0.0</v>
      </c>
      <c r="Z29388" s="372">
        <v>0.0</v>
      </c>
    </row>
    <row r="29389">
      <c r="Y29389" s="372">
        <v>0.0</v>
      </c>
      <c r="Z29389" s="372">
        <v>0.0</v>
      </c>
    </row>
    <row r="29390">
      <c r="Y29390" s="372">
        <v>0.0</v>
      </c>
      <c r="Z29390" s="372">
        <v>0.0</v>
      </c>
    </row>
    <row r="29391">
      <c r="Y29391" s="372">
        <v>0.0</v>
      </c>
      <c r="Z29391" s="372">
        <v>0.0</v>
      </c>
    </row>
    <row r="29392">
      <c r="Y29392" s="372">
        <v>0.0</v>
      </c>
      <c r="Z29392" s="372">
        <v>0.0</v>
      </c>
    </row>
    <row r="29393">
      <c r="Y29393" s="372">
        <v>0.0</v>
      </c>
      <c r="Z29393" s="372">
        <v>0.0</v>
      </c>
    </row>
    <row r="29394">
      <c r="Y29394" s="372">
        <v>0.0</v>
      </c>
      <c r="Z29394" s="372">
        <v>0.0</v>
      </c>
    </row>
    <row r="29395">
      <c r="Y29395" s="372">
        <v>0.0</v>
      </c>
      <c r="Z29395" s="372">
        <v>0.0</v>
      </c>
    </row>
    <row r="29396">
      <c r="Y29396" s="372">
        <v>0.0</v>
      </c>
      <c r="Z29396" s="372">
        <v>0.0</v>
      </c>
    </row>
    <row r="29397">
      <c r="Y29397" s="372">
        <v>0.0</v>
      </c>
      <c r="Z29397" s="372">
        <v>0.0</v>
      </c>
    </row>
    <row r="29398">
      <c r="Y29398" s="372">
        <v>0.0</v>
      </c>
      <c r="Z29398" s="372">
        <v>0.0</v>
      </c>
    </row>
    <row r="29399">
      <c r="Y29399" s="372">
        <v>0.0</v>
      </c>
      <c r="Z29399" s="372">
        <v>0.0</v>
      </c>
    </row>
    <row r="29400">
      <c r="Y29400" s="372">
        <v>0.0</v>
      </c>
      <c r="Z29400" s="372">
        <v>0.0</v>
      </c>
    </row>
    <row r="29401">
      <c r="Y29401" s="372">
        <v>0.0</v>
      </c>
      <c r="Z29401" s="372">
        <v>0.0</v>
      </c>
    </row>
    <row r="29402">
      <c r="Y29402" s="372">
        <v>0.0</v>
      </c>
      <c r="Z29402" s="372">
        <v>0.0</v>
      </c>
    </row>
    <row r="29403">
      <c r="Y29403" s="372">
        <v>0.0</v>
      </c>
      <c r="Z29403" s="372">
        <v>0.0</v>
      </c>
    </row>
    <row r="29404">
      <c r="Y29404" s="372">
        <v>0.0</v>
      </c>
      <c r="Z29404" s="372">
        <v>0.0</v>
      </c>
    </row>
    <row r="29405">
      <c r="Y29405" s="372">
        <v>0.0</v>
      </c>
      <c r="Z29405" s="372">
        <v>0.0</v>
      </c>
    </row>
    <row r="29406">
      <c r="Y29406" s="372">
        <v>0.0</v>
      </c>
      <c r="Z29406" s="372">
        <v>0.0</v>
      </c>
    </row>
    <row r="29407">
      <c r="Y29407" s="372">
        <v>0.0</v>
      </c>
      <c r="Z29407" s="372">
        <v>0.0</v>
      </c>
    </row>
    <row r="29408">
      <c r="Y29408" s="372">
        <v>0.0</v>
      </c>
      <c r="Z29408" s="372">
        <v>0.0</v>
      </c>
    </row>
    <row r="29409">
      <c r="Y29409" s="372">
        <v>0.0</v>
      </c>
      <c r="Z29409" s="372">
        <v>0.0</v>
      </c>
    </row>
    <row r="29410">
      <c r="Y29410" s="372">
        <v>0.0</v>
      </c>
      <c r="Z29410" s="372">
        <v>0.0</v>
      </c>
    </row>
    <row r="29411">
      <c r="Y29411" s="372">
        <v>0.0</v>
      </c>
      <c r="Z29411" s="372">
        <v>0.0</v>
      </c>
    </row>
    <row r="29412">
      <c r="Y29412" s="372">
        <v>0.0</v>
      </c>
      <c r="Z29412" s="372">
        <v>0.0</v>
      </c>
    </row>
    <row r="29413">
      <c r="Y29413" s="372">
        <v>0.0</v>
      </c>
      <c r="Z29413" s="372">
        <v>0.0</v>
      </c>
    </row>
    <row r="29414">
      <c r="Y29414" s="372">
        <v>0.0</v>
      </c>
      <c r="Z29414" s="372">
        <v>0.0</v>
      </c>
    </row>
    <row r="29415">
      <c r="Y29415" s="372">
        <v>0.0</v>
      </c>
      <c r="Z29415" s="372">
        <v>0.0</v>
      </c>
    </row>
    <row r="29416">
      <c r="Y29416" s="372">
        <v>0.0</v>
      </c>
      <c r="Z29416" s="372">
        <v>0.0</v>
      </c>
    </row>
    <row r="29417">
      <c r="Y29417" s="372">
        <v>0.0</v>
      </c>
      <c r="Z29417" s="372">
        <v>0.0</v>
      </c>
    </row>
    <row r="29418">
      <c r="Y29418" s="372">
        <v>0.0</v>
      </c>
      <c r="Z29418" s="372">
        <v>0.0</v>
      </c>
    </row>
    <row r="29419">
      <c r="Y29419" s="372">
        <v>0.0</v>
      </c>
      <c r="Z29419" s="372">
        <v>0.0</v>
      </c>
    </row>
    <row r="29420">
      <c r="Y29420" s="372">
        <v>0.0</v>
      </c>
      <c r="Z29420" s="372">
        <v>0.0</v>
      </c>
    </row>
    <row r="29421">
      <c r="Y29421" s="372">
        <v>0.0</v>
      </c>
      <c r="Z29421" s="372">
        <v>0.0</v>
      </c>
    </row>
    <row r="29422">
      <c r="Y29422" s="372">
        <v>0.0</v>
      </c>
      <c r="Z29422" s="372">
        <v>0.0</v>
      </c>
    </row>
    <row r="29423">
      <c r="Y29423" s="372">
        <v>0.0</v>
      </c>
      <c r="Z29423" s="372">
        <v>0.0</v>
      </c>
    </row>
    <row r="29424">
      <c r="Y29424" s="372">
        <v>0.0</v>
      </c>
      <c r="Z29424" s="372">
        <v>0.0</v>
      </c>
    </row>
    <row r="29425">
      <c r="Y29425" s="372">
        <v>0.0</v>
      </c>
      <c r="Z29425" s="372">
        <v>0.0</v>
      </c>
    </row>
    <row r="29426">
      <c r="Y29426" s="372">
        <v>0.0</v>
      </c>
      <c r="Z29426" s="372">
        <v>0.0</v>
      </c>
    </row>
    <row r="29427">
      <c r="Y29427" s="372">
        <v>0.0</v>
      </c>
      <c r="Z29427" s="372">
        <v>0.0</v>
      </c>
    </row>
    <row r="29428">
      <c r="Y29428" s="372">
        <v>0.0</v>
      </c>
      <c r="Z29428" s="372">
        <v>0.0</v>
      </c>
    </row>
    <row r="29429">
      <c r="Y29429" s="372">
        <v>0.0</v>
      </c>
      <c r="Z29429" s="372">
        <v>0.0</v>
      </c>
    </row>
    <row r="29430">
      <c r="Y29430" s="372">
        <v>0.0</v>
      </c>
      <c r="Z29430" s="372">
        <v>0.0</v>
      </c>
    </row>
    <row r="29431">
      <c r="Y29431" s="372">
        <v>0.0</v>
      </c>
      <c r="Z29431" s="372">
        <v>0.0</v>
      </c>
    </row>
    <row r="29432">
      <c r="Y29432" s="372">
        <v>0.0</v>
      </c>
      <c r="Z29432" s="372">
        <v>0.0</v>
      </c>
    </row>
    <row r="29433">
      <c r="Y29433" s="372">
        <v>0.0</v>
      </c>
      <c r="Z29433" s="372">
        <v>0.0</v>
      </c>
    </row>
    <row r="29434">
      <c r="Y29434" s="372">
        <v>0.0</v>
      </c>
      <c r="Z29434" s="372">
        <v>0.0</v>
      </c>
    </row>
    <row r="29435">
      <c r="Y29435" s="372">
        <v>0.0</v>
      </c>
      <c r="Z29435" s="372">
        <v>0.0</v>
      </c>
    </row>
    <row r="29436">
      <c r="Y29436" s="372">
        <v>0.0</v>
      </c>
      <c r="Z29436" s="372">
        <v>0.0</v>
      </c>
    </row>
    <row r="29437">
      <c r="Y29437" s="372">
        <v>0.0</v>
      </c>
      <c r="Z29437" s="372">
        <v>0.0</v>
      </c>
    </row>
    <row r="29438">
      <c r="Y29438" s="372">
        <v>0.0</v>
      </c>
      <c r="Z29438" s="372">
        <v>0.0</v>
      </c>
    </row>
    <row r="29439">
      <c r="Y29439" s="372">
        <v>0.0</v>
      </c>
      <c r="Z29439" s="372">
        <v>0.0</v>
      </c>
    </row>
    <row r="29440">
      <c r="Y29440" s="372">
        <v>0.0</v>
      </c>
      <c r="Z29440" s="372">
        <v>0.0</v>
      </c>
    </row>
    <row r="29441">
      <c r="Y29441" s="372">
        <v>0.0</v>
      </c>
      <c r="Z29441" s="372">
        <v>0.0</v>
      </c>
    </row>
    <row r="29442">
      <c r="Y29442" s="372">
        <v>0.0</v>
      </c>
      <c r="Z29442" s="372">
        <v>0.0</v>
      </c>
    </row>
    <row r="29443">
      <c r="Y29443" s="372">
        <v>0.0</v>
      </c>
      <c r="Z29443" s="372">
        <v>0.0</v>
      </c>
    </row>
    <row r="29444">
      <c r="Y29444" s="372">
        <v>0.0</v>
      </c>
      <c r="Z29444" s="372">
        <v>0.0</v>
      </c>
    </row>
    <row r="29445">
      <c r="Y29445" s="372">
        <v>0.0</v>
      </c>
      <c r="Z29445" s="372">
        <v>0.0</v>
      </c>
    </row>
    <row r="29446">
      <c r="Y29446" s="372">
        <v>0.0</v>
      </c>
      <c r="Z29446" s="372">
        <v>0.0</v>
      </c>
    </row>
    <row r="29447">
      <c r="Y29447" s="372">
        <v>0.0</v>
      </c>
      <c r="Z29447" s="372">
        <v>0.0</v>
      </c>
    </row>
    <row r="29448">
      <c r="Y29448" s="372">
        <v>0.0</v>
      </c>
      <c r="Z29448" s="372">
        <v>0.0</v>
      </c>
    </row>
    <row r="29449">
      <c r="Y29449" s="372">
        <v>0.0</v>
      </c>
      <c r="Z29449" s="372">
        <v>0.0</v>
      </c>
    </row>
    <row r="29450">
      <c r="Y29450" s="372">
        <v>0.0</v>
      </c>
      <c r="Z29450" s="372">
        <v>0.0</v>
      </c>
    </row>
    <row r="29451">
      <c r="Y29451" s="372">
        <v>0.0</v>
      </c>
      <c r="Z29451" s="372">
        <v>0.0</v>
      </c>
    </row>
    <row r="29452">
      <c r="Y29452" s="372">
        <v>0.0</v>
      </c>
      <c r="Z29452" s="372">
        <v>0.0</v>
      </c>
    </row>
    <row r="29453">
      <c r="Y29453" s="372">
        <v>0.0</v>
      </c>
      <c r="Z29453" s="372">
        <v>0.0</v>
      </c>
    </row>
    <row r="29454">
      <c r="Y29454" s="372">
        <v>0.0</v>
      </c>
      <c r="Z29454" s="372">
        <v>0.0</v>
      </c>
    </row>
    <row r="29455">
      <c r="Y29455" s="372">
        <v>0.0</v>
      </c>
      <c r="Z29455" s="372">
        <v>0.0</v>
      </c>
    </row>
    <row r="29456">
      <c r="Y29456" s="372">
        <v>0.0</v>
      </c>
      <c r="Z29456" s="372">
        <v>0.0</v>
      </c>
    </row>
    <row r="29457">
      <c r="Y29457" s="372">
        <v>0.0</v>
      </c>
      <c r="Z29457" s="372">
        <v>0.0</v>
      </c>
    </row>
    <row r="29458">
      <c r="Y29458" s="372">
        <v>0.0</v>
      </c>
      <c r="Z29458" s="372">
        <v>0.0</v>
      </c>
    </row>
    <row r="29459">
      <c r="Y29459" s="372">
        <v>0.0</v>
      </c>
      <c r="Z29459" s="372">
        <v>0.0</v>
      </c>
    </row>
    <row r="29460">
      <c r="Y29460" s="372">
        <v>0.0</v>
      </c>
      <c r="Z29460" s="372">
        <v>0.0</v>
      </c>
    </row>
    <row r="29461">
      <c r="Y29461" s="372">
        <v>0.0</v>
      </c>
      <c r="Z29461" s="372">
        <v>0.0</v>
      </c>
    </row>
    <row r="29462">
      <c r="Y29462" s="372">
        <v>0.0</v>
      </c>
      <c r="Z29462" s="372">
        <v>0.0</v>
      </c>
    </row>
    <row r="29463">
      <c r="Y29463" s="372">
        <v>0.0</v>
      </c>
      <c r="Z29463" s="372">
        <v>0.0</v>
      </c>
    </row>
    <row r="29464">
      <c r="Y29464" s="372">
        <v>0.0</v>
      </c>
      <c r="Z29464" s="372">
        <v>0.0</v>
      </c>
    </row>
    <row r="29465">
      <c r="Y29465" s="372">
        <v>0.0</v>
      </c>
      <c r="Z29465" s="372">
        <v>0.0</v>
      </c>
    </row>
    <row r="29466">
      <c r="Y29466" s="372">
        <v>0.0</v>
      </c>
      <c r="Z29466" s="372">
        <v>0.0</v>
      </c>
    </row>
    <row r="29467">
      <c r="Y29467" s="372">
        <v>0.0</v>
      </c>
      <c r="Z29467" s="372">
        <v>0.0</v>
      </c>
    </row>
    <row r="29468">
      <c r="Y29468" s="372">
        <v>0.0</v>
      </c>
      <c r="Z29468" s="372">
        <v>0.0</v>
      </c>
    </row>
    <row r="29469">
      <c r="Y29469" s="372">
        <v>0.0</v>
      </c>
      <c r="Z29469" s="372">
        <v>0.0</v>
      </c>
    </row>
    <row r="29470">
      <c r="Y29470" s="372">
        <v>0.0</v>
      </c>
      <c r="Z29470" s="372">
        <v>0.0</v>
      </c>
    </row>
    <row r="29471">
      <c r="Y29471" s="372">
        <v>0.0</v>
      </c>
      <c r="Z29471" s="372">
        <v>0.0</v>
      </c>
    </row>
    <row r="29472">
      <c r="Y29472" s="372">
        <v>0.0</v>
      </c>
      <c r="Z29472" s="372">
        <v>0.0</v>
      </c>
    </row>
    <row r="29473">
      <c r="Y29473" s="372">
        <v>0.0</v>
      </c>
      <c r="Z29473" s="372">
        <v>0.0</v>
      </c>
    </row>
    <row r="29474">
      <c r="Y29474" s="372">
        <v>0.0</v>
      </c>
      <c r="Z29474" s="372">
        <v>0.0</v>
      </c>
    </row>
    <row r="29475">
      <c r="Y29475" s="372">
        <v>0.0</v>
      </c>
      <c r="Z29475" s="372">
        <v>0.0</v>
      </c>
    </row>
    <row r="29476">
      <c r="Y29476" s="372">
        <v>0.0</v>
      </c>
      <c r="Z29476" s="372">
        <v>0.0</v>
      </c>
    </row>
    <row r="29477">
      <c r="Y29477" s="372">
        <v>0.0</v>
      </c>
      <c r="Z29477" s="372">
        <v>0.0</v>
      </c>
    </row>
    <row r="29478">
      <c r="Y29478" s="372">
        <v>0.0</v>
      </c>
      <c r="Z29478" s="372">
        <v>0.0</v>
      </c>
    </row>
    <row r="29479">
      <c r="Y29479" s="372">
        <v>0.0</v>
      </c>
      <c r="Z29479" s="372">
        <v>0.0</v>
      </c>
    </row>
    <row r="29480">
      <c r="Y29480" s="372">
        <v>0.0</v>
      </c>
      <c r="Z29480" s="372">
        <v>0.0</v>
      </c>
    </row>
    <row r="29481">
      <c r="Y29481" s="372">
        <v>0.0</v>
      </c>
      <c r="Z29481" s="372">
        <v>0.0</v>
      </c>
    </row>
    <row r="29482">
      <c r="Y29482" s="372">
        <v>0.0</v>
      </c>
      <c r="Z29482" s="372">
        <v>0.0</v>
      </c>
    </row>
    <row r="29483">
      <c r="Y29483" s="372">
        <v>0.0</v>
      </c>
      <c r="Z29483" s="372">
        <v>0.0</v>
      </c>
    </row>
    <row r="29484">
      <c r="Y29484" s="372">
        <v>0.0</v>
      </c>
      <c r="Z29484" s="372">
        <v>0.0</v>
      </c>
    </row>
    <row r="29485">
      <c r="Y29485" s="372">
        <v>0.0</v>
      </c>
      <c r="Z29485" s="372">
        <v>0.0</v>
      </c>
    </row>
    <row r="29486">
      <c r="Y29486" s="372">
        <v>0.0</v>
      </c>
      <c r="Z29486" s="372">
        <v>0.0</v>
      </c>
    </row>
    <row r="29487">
      <c r="Y29487" s="372">
        <v>0.0</v>
      </c>
      <c r="Z29487" s="372">
        <v>0.0</v>
      </c>
    </row>
    <row r="29488">
      <c r="Y29488" s="372">
        <v>0.0</v>
      </c>
      <c r="Z29488" s="372">
        <v>0.0</v>
      </c>
    </row>
    <row r="29489">
      <c r="Y29489" s="372">
        <v>0.0</v>
      </c>
      <c r="Z29489" s="372">
        <v>0.0</v>
      </c>
    </row>
    <row r="29490">
      <c r="Y29490" s="372">
        <v>0.0</v>
      </c>
      <c r="Z29490" s="372">
        <v>0.0</v>
      </c>
    </row>
    <row r="29491">
      <c r="Y29491" s="372">
        <v>0.0</v>
      </c>
      <c r="Z29491" s="372">
        <v>0.0</v>
      </c>
    </row>
    <row r="29492">
      <c r="Y29492" s="372">
        <v>0.0</v>
      </c>
      <c r="Z29492" s="372">
        <v>0.0</v>
      </c>
    </row>
    <row r="29493">
      <c r="Y29493" s="372">
        <v>0.0</v>
      </c>
      <c r="Z29493" s="372">
        <v>0.0</v>
      </c>
    </row>
    <row r="29494">
      <c r="Y29494" s="372">
        <v>0.0</v>
      </c>
      <c r="Z29494" s="372">
        <v>0.0</v>
      </c>
    </row>
    <row r="29495">
      <c r="Y29495" s="372">
        <v>0.0</v>
      </c>
      <c r="Z29495" s="372">
        <v>0.0</v>
      </c>
    </row>
    <row r="29496">
      <c r="Y29496" s="372">
        <v>0.0</v>
      </c>
      <c r="Z29496" s="372">
        <v>0.0</v>
      </c>
    </row>
    <row r="29497">
      <c r="Y29497" s="372">
        <v>0.0</v>
      </c>
      <c r="Z29497" s="372">
        <v>0.0</v>
      </c>
    </row>
    <row r="29498">
      <c r="Y29498" s="372">
        <v>0.0</v>
      </c>
      <c r="Z29498" s="372">
        <v>0.0</v>
      </c>
    </row>
    <row r="29499">
      <c r="Y29499" s="372">
        <v>0.0</v>
      </c>
      <c r="Z29499" s="372">
        <v>0.0</v>
      </c>
    </row>
    <row r="29500">
      <c r="Y29500" s="372">
        <v>0.0</v>
      </c>
      <c r="Z29500" s="372">
        <v>0.0</v>
      </c>
    </row>
    <row r="29501">
      <c r="Y29501" s="372">
        <v>0.0</v>
      </c>
      <c r="Z29501" s="372">
        <v>0.0</v>
      </c>
    </row>
    <row r="29502">
      <c r="Y29502" s="372">
        <v>0.0</v>
      </c>
      <c r="Z29502" s="372">
        <v>0.0</v>
      </c>
    </row>
    <row r="29503">
      <c r="Y29503" s="372">
        <v>0.0</v>
      </c>
      <c r="Z29503" s="372">
        <v>0.0</v>
      </c>
    </row>
    <row r="29504">
      <c r="Y29504" s="372">
        <v>0.0</v>
      </c>
      <c r="Z29504" s="372">
        <v>0.0</v>
      </c>
    </row>
    <row r="29505">
      <c r="Y29505" s="372">
        <v>0.0</v>
      </c>
      <c r="Z29505" s="372">
        <v>0.0</v>
      </c>
    </row>
    <row r="29506">
      <c r="Y29506" s="372">
        <v>0.0</v>
      </c>
      <c r="Z29506" s="372">
        <v>0.0</v>
      </c>
    </row>
    <row r="29507">
      <c r="Y29507" s="372">
        <v>0.0</v>
      </c>
      <c r="Z29507" s="372">
        <v>0.0</v>
      </c>
    </row>
    <row r="29508">
      <c r="Y29508" s="372">
        <v>0.0</v>
      </c>
      <c r="Z29508" s="372">
        <v>0.0</v>
      </c>
    </row>
    <row r="29509">
      <c r="Y29509" s="372">
        <v>0.0</v>
      </c>
      <c r="Z29509" s="372">
        <v>0.0</v>
      </c>
    </row>
    <row r="29510">
      <c r="Y29510" s="372">
        <v>0.0</v>
      </c>
      <c r="Z29510" s="372">
        <v>0.0</v>
      </c>
    </row>
    <row r="29511">
      <c r="Y29511" s="372">
        <v>0.0</v>
      </c>
      <c r="Z29511" s="372">
        <v>0.0</v>
      </c>
    </row>
    <row r="29512">
      <c r="Y29512" s="372">
        <v>0.0</v>
      </c>
      <c r="Z29512" s="372">
        <v>0.0</v>
      </c>
    </row>
    <row r="29513">
      <c r="Y29513" s="372">
        <v>0.0</v>
      </c>
      <c r="Z29513" s="372">
        <v>0.0</v>
      </c>
    </row>
    <row r="29514">
      <c r="Y29514" s="372">
        <v>0.0</v>
      </c>
      <c r="Z29514" s="372">
        <v>0.0</v>
      </c>
    </row>
    <row r="29515">
      <c r="Y29515" s="372">
        <v>0.0</v>
      </c>
      <c r="Z29515" s="372">
        <v>0.0</v>
      </c>
    </row>
    <row r="29516">
      <c r="Y29516" s="372">
        <v>0.0</v>
      </c>
      <c r="Z29516" s="372">
        <v>0.0</v>
      </c>
    </row>
    <row r="29517">
      <c r="Y29517" s="372">
        <v>0.0</v>
      </c>
      <c r="Z29517" s="372">
        <v>0.0</v>
      </c>
    </row>
    <row r="29518">
      <c r="Y29518" s="372">
        <v>0.0</v>
      </c>
      <c r="Z29518" s="372">
        <v>0.0</v>
      </c>
    </row>
    <row r="29519">
      <c r="Y29519" s="372">
        <v>0.0</v>
      </c>
      <c r="Z29519" s="372">
        <v>0.0</v>
      </c>
    </row>
    <row r="29520">
      <c r="Y29520" s="372">
        <v>0.0</v>
      </c>
      <c r="Z29520" s="372">
        <v>0.0</v>
      </c>
    </row>
    <row r="29521">
      <c r="Y29521" s="372">
        <v>0.0</v>
      </c>
      <c r="Z29521" s="372">
        <v>0.0</v>
      </c>
    </row>
    <row r="29522">
      <c r="Y29522" s="372">
        <v>0.0</v>
      </c>
      <c r="Z29522" s="372">
        <v>0.0</v>
      </c>
    </row>
    <row r="29523">
      <c r="Y29523" s="372">
        <v>0.0</v>
      </c>
      <c r="Z29523" s="372">
        <v>0.0</v>
      </c>
    </row>
    <row r="29524">
      <c r="Y29524" s="372">
        <v>0.0</v>
      </c>
      <c r="Z29524" s="372">
        <v>0.0</v>
      </c>
    </row>
    <row r="29525">
      <c r="Y29525" s="372">
        <v>0.0</v>
      </c>
      <c r="Z29525" s="372">
        <v>0.0</v>
      </c>
    </row>
    <row r="29526">
      <c r="Y29526" s="372">
        <v>0.0</v>
      </c>
      <c r="Z29526" s="372">
        <v>0.0</v>
      </c>
    </row>
    <row r="29527">
      <c r="Y29527" s="372">
        <v>0.0</v>
      </c>
      <c r="Z29527" s="372">
        <v>0.0</v>
      </c>
    </row>
    <row r="29528">
      <c r="Y29528" s="372">
        <v>0.0</v>
      </c>
      <c r="Z29528" s="372">
        <v>0.0</v>
      </c>
    </row>
    <row r="29529">
      <c r="Y29529" s="372">
        <v>0.0</v>
      </c>
      <c r="Z29529" s="372">
        <v>0.0</v>
      </c>
    </row>
    <row r="29530">
      <c r="Y29530" s="372">
        <v>0.0</v>
      </c>
      <c r="Z29530" s="372">
        <v>0.0</v>
      </c>
    </row>
    <row r="29531">
      <c r="Y29531" s="372">
        <v>0.0</v>
      </c>
      <c r="Z29531" s="372">
        <v>0.0</v>
      </c>
    </row>
    <row r="29532">
      <c r="Y29532" s="372">
        <v>0.0</v>
      </c>
      <c r="Z29532" s="372">
        <v>0.0</v>
      </c>
    </row>
    <row r="29533">
      <c r="Y29533" s="372">
        <v>0.0</v>
      </c>
      <c r="Z29533" s="372">
        <v>0.0</v>
      </c>
    </row>
    <row r="29534">
      <c r="Y29534" s="372">
        <v>0.0</v>
      </c>
      <c r="Z29534" s="372">
        <v>0.0</v>
      </c>
    </row>
    <row r="29535">
      <c r="Y29535" s="372">
        <v>0.0</v>
      </c>
      <c r="Z29535" s="372">
        <v>0.0</v>
      </c>
    </row>
    <row r="29536">
      <c r="Y29536" s="372">
        <v>0.0</v>
      </c>
      <c r="Z29536" s="372">
        <v>0.0</v>
      </c>
    </row>
    <row r="29537">
      <c r="Y29537" s="372">
        <v>0.0</v>
      </c>
      <c r="Z29537" s="372">
        <v>0.0</v>
      </c>
    </row>
    <row r="29538">
      <c r="Y29538" s="372">
        <v>0.0</v>
      </c>
      <c r="Z29538" s="372">
        <v>0.0</v>
      </c>
    </row>
    <row r="29539">
      <c r="Y29539" s="372">
        <v>0.0</v>
      </c>
      <c r="Z29539" s="372">
        <v>0.0</v>
      </c>
    </row>
    <row r="29540">
      <c r="Y29540" s="372">
        <v>0.0</v>
      </c>
      <c r="Z29540" s="372">
        <v>0.0</v>
      </c>
    </row>
    <row r="29541">
      <c r="Y29541" s="372">
        <v>0.0</v>
      </c>
      <c r="Z29541" s="372">
        <v>0.0</v>
      </c>
    </row>
    <row r="29542">
      <c r="Y29542" s="372">
        <v>0.0</v>
      </c>
      <c r="Z29542" s="372">
        <v>0.0</v>
      </c>
    </row>
    <row r="29543">
      <c r="Y29543" s="372">
        <v>0.0</v>
      </c>
      <c r="Z29543" s="372">
        <v>0.0</v>
      </c>
    </row>
    <row r="29544">
      <c r="Y29544" s="372">
        <v>0.0</v>
      </c>
      <c r="Z29544" s="372">
        <v>0.0</v>
      </c>
    </row>
    <row r="29545">
      <c r="Y29545" s="372">
        <v>0.0</v>
      </c>
      <c r="Z29545" s="372">
        <v>0.0</v>
      </c>
    </row>
    <row r="29546">
      <c r="Y29546" s="372">
        <v>0.0</v>
      </c>
      <c r="Z29546" s="372">
        <v>0.0</v>
      </c>
    </row>
    <row r="29547">
      <c r="Y29547" s="372">
        <v>0.0</v>
      </c>
      <c r="Z29547" s="372">
        <v>0.0</v>
      </c>
    </row>
    <row r="29548">
      <c r="Y29548" s="372">
        <v>0.0</v>
      </c>
      <c r="Z29548" s="372">
        <v>0.0</v>
      </c>
    </row>
    <row r="29549">
      <c r="Y29549" s="372">
        <v>0.0</v>
      </c>
      <c r="Z29549" s="372">
        <v>0.0</v>
      </c>
    </row>
    <row r="29550">
      <c r="Y29550" s="372">
        <v>0.0</v>
      </c>
      <c r="Z29550" s="372">
        <v>0.0</v>
      </c>
    </row>
    <row r="29551">
      <c r="Y29551" s="372">
        <v>0.0</v>
      </c>
      <c r="Z29551" s="372">
        <v>0.0</v>
      </c>
    </row>
    <row r="29552">
      <c r="Y29552" s="372">
        <v>0.0</v>
      </c>
      <c r="Z29552" s="372">
        <v>0.0</v>
      </c>
    </row>
    <row r="29553">
      <c r="Y29553" s="372">
        <v>0.0</v>
      </c>
      <c r="Z29553" s="372">
        <v>0.0</v>
      </c>
    </row>
    <row r="29554">
      <c r="Y29554" s="372">
        <v>0.0</v>
      </c>
      <c r="Z29554" s="372">
        <v>0.0</v>
      </c>
    </row>
    <row r="29555">
      <c r="Y29555" s="372">
        <v>0.0</v>
      </c>
      <c r="Z29555" s="372">
        <v>0.0</v>
      </c>
    </row>
    <row r="29556">
      <c r="Y29556" s="372">
        <v>0.0</v>
      </c>
      <c r="Z29556" s="372">
        <v>0.0</v>
      </c>
    </row>
    <row r="29557">
      <c r="Y29557" s="372">
        <v>0.0</v>
      </c>
      <c r="Z29557" s="372">
        <v>0.0</v>
      </c>
    </row>
    <row r="29558">
      <c r="Y29558" s="372">
        <v>0.0</v>
      </c>
      <c r="Z29558" s="372">
        <v>0.0</v>
      </c>
    </row>
    <row r="29559">
      <c r="Y29559" s="372">
        <v>0.0</v>
      </c>
      <c r="Z29559" s="372">
        <v>0.0</v>
      </c>
    </row>
    <row r="29560">
      <c r="Y29560" s="372">
        <v>0.0</v>
      </c>
      <c r="Z29560" s="372">
        <v>0.0</v>
      </c>
    </row>
    <row r="29561">
      <c r="Y29561" s="372">
        <v>0.0</v>
      </c>
      <c r="Z29561" s="372">
        <v>0.0</v>
      </c>
    </row>
    <row r="29562">
      <c r="Y29562" s="372">
        <v>0.0</v>
      </c>
      <c r="Z29562" s="372">
        <v>0.0</v>
      </c>
    </row>
    <row r="29563">
      <c r="Y29563" s="372">
        <v>0.0</v>
      </c>
      <c r="Z29563" s="372">
        <v>0.0</v>
      </c>
    </row>
    <row r="29564">
      <c r="Y29564" s="372">
        <v>0.0</v>
      </c>
      <c r="Z29564" s="372">
        <v>0.0</v>
      </c>
    </row>
    <row r="29565">
      <c r="Y29565" s="372">
        <v>0.0</v>
      </c>
      <c r="Z29565" s="372">
        <v>0.0</v>
      </c>
    </row>
    <row r="29566">
      <c r="Y29566" s="372">
        <v>0.0</v>
      </c>
      <c r="Z29566" s="372">
        <v>0.0</v>
      </c>
    </row>
    <row r="29567">
      <c r="Y29567" s="372">
        <v>0.0</v>
      </c>
      <c r="Z29567" s="372">
        <v>0.0</v>
      </c>
    </row>
    <row r="29568">
      <c r="Y29568" s="372">
        <v>0.0</v>
      </c>
      <c r="Z29568" s="372">
        <v>0.0</v>
      </c>
    </row>
    <row r="29569">
      <c r="Y29569" s="372">
        <v>0.0</v>
      </c>
      <c r="Z29569" s="372">
        <v>0.0</v>
      </c>
    </row>
    <row r="29570">
      <c r="Y29570" s="372">
        <v>0.0</v>
      </c>
      <c r="Z29570" s="372">
        <v>0.0</v>
      </c>
    </row>
    <row r="29571">
      <c r="Y29571" s="372">
        <v>0.0</v>
      </c>
      <c r="Z29571" s="372">
        <v>0.0</v>
      </c>
    </row>
    <row r="29572">
      <c r="Y29572" s="372">
        <v>0.0</v>
      </c>
      <c r="Z29572" s="372">
        <v>0.0</v>
      </c>
    </row>
    <row r="29573">
      <c r="Y29573" s="372">
        <v>0.0</v>
      </c>
      <c r="Z29573" s="372">
        <v>0.0</v>
      </c>
    </row>
    <row r="29574">
      <c r="Y29574" s="372">
        <v>0.0</v>
      </c>
      <c r="Z29574" s="372">
        <v>0.0</v>
      </c>
    </row>
    <row r="29575">
      <c r="Y29575" s="372">
        <v>0.0</v>
      </c>
      <c r="Z29575" s="372">
        <v>0.0</v>
      </c>
    </row>
    <row r="29576">
      <c r="Y29576" s="372">
        <v>0.0</v>
      </c>
      <c r="Z29576" s="372">
        <v>0.0</v>
      </c>
    </row>
    <row r="29577">
      <c r="Y29577" s="372">
        <v>0.0</v>
      </c>
      <c r="Z29577" s="372">
        <v>0.0</v>
      </c>
    </row>
    <row r="29578">
      <c r="Y29578" s="372">
        <v>0.0</v>
      </c>
      <c r="Z29578" s="372">
        <v>0.0</v>
      </c>
    </row>
    <row r="29579">
      <c r="Y29579" s="372">
        <v>0.0</v>
      </c>
      <c r="Z29579" s="372">
        <v>0.0</v>
      </c>
    </row>
    <row r="29580">
      <c r="Y29580" s="372">
        <v>0.0</v>
      </c>
      <c r="Z29580" s="372">
        <v>0.0</v>
      </c>
    </row>
    <row r="29581">
      <c r="Y29581" s="372">
        <v>0.0</v>
      </c>
      <c r="Z29581" s="372">
        <v>0.0</v>
      </c>
    </row>
    <row r="29582">
      <c r="Y29582" s="372">
        <v>0.0</v>
      </c>
      <c r="Z29582" s="372">
        <v>0.0</v>
      </c>
    </row>
    <row r="29583">
      <c r="Y29583" s="372">
        <v>0.0</v>
      </c>
      <c r="Z29583" s="372">
        <v>0.0</v>
      </c>
    </row>
    <row r="29584">
      <c r="Y29584" s="372">
        <v>0.0</v>
      </c>
      <c r="Z29584" s="372">
        <v>0.0</v>
      </c>
    </row>
    <row r="29585">
      <c r="Y29585" s="372">
        <v>0.0</v>
      </c>
      <c r="Z29585" s="372">
        <v>0.0</v>
      </c>
    </row>
    <row r="29586">
      <c r="Y29586" s="372">
        <v>0.0</v>
      </c>
      <c r="Z29586" s="372">
        <v>0.0</v>
      </c>
    </row>
    <row r="29587">
      <c r="Y29587" s="372">
        <v>0.0</v>
      </c>
      <c r="Z29587" s="372">
        <v>0.0</v>
      </c>
    </row>
    <row r="29588">
      <c r="Y29588" s="372">
        <v>0.0</v>
      </c>
      <c r="Z29588" s="372">
        <v>0.0</v>
      </c>
    </row>
    <row r="29589">
      <c r="Y29589" s="372">
        <v>0.0</v>
      </c>
      <c r="Z29589" s="372">
        <v>0.0</v>
      </c>
    </row>
    <row r="29590">
      <c r="Y29590" s="372">
        <v>0.0</v>
      </c>
      <c r="Z29590" s="372">
        <v>0.0</v>
      </c>
    </row>
    <row r="29591">
      <c r="Y29591" s="372">
        <v>0.0</v>
      </c>
      <c r="Z29591" s="372">
        <v>0.0</v>
      </c>
    </row>
    <row r="29592">
      <c r="Y29592" s="372">
        <v>0.0</v>
      </c>
      <c r="Z29592" s="372">
        <v>0.0</v>
      </c>
    </row>
    <row r="29593">
      <c r="Y29593" s="372">
        <v>0.0</v>
      </c>
      <c r="Z29593" s="372">
        <v>0.0</v>
      </c>
    </row>
    <row r="29594">
      <c r="Y29594" s="372">
        <v>0.0</v>
      </c>
      <c r="Z29594" s="372">
        <v>0.0</v>
      </c>
    </row>
    <row r="29595">
      <c r="Y29595" s="372">
        <v>0.0</v>
      </c>
      <c r="Z29595" s="372">
        <v>0.0</v>
      </c>
    </row>
    <row r="29596">
      <c r="Y29596" s="372">
        <v>0.0</v>
      </c>
      <c r="Z29596" s="372">
        <v>0.0</v>
      </c>
    </row>
    <row r="29597">
      <c r="Y29597" s="372">
        <v>0.0</v>
      </c>
      <c r="Z29597" s="372">
        <v>0.0</v>
      </c>
    </row>
    <row r="29598">
      <c r="Y29598" s="372">
        <v>0.0</v>
      </c>
      <c r="Z29598" s="372">
        <v>0.0</v>
      </c>
    </row>
    <row r="29599">
      <c r="Y29599" s="372">
        <v>0.0</v>
      </c>
      <c r="Z29599" s="372">
        <v>0.0</v>
      </c>
    </row>
    <row r="29600">
      <c r="Y29600" s="372">
        <v>0.0</v>
      </c>
      <c r="Z29600" s="372">
        <v>0.0</v>
      </c>
    </row>
    <row r="29601">
      <c r="Y29601" s="372">
        <v>0.0</v>
      </c>
      <c r="Z29601" s="372">
        <v>0.0</v>
      </c>
    </row>
    <row r="29602">
      <c r="Y29602" s="372">
        <v>0.0</v>
      </c>
      <c r="Z29602" s="372">
        <v>0.0</v>
      </c>
    </row>
    <row r="29603">
      <c r="Y29603" s="372">
        <v>0.0</v>
      </c>
      <c r="Z29603" s="372">
        <v>0.0</v>
      </c>
    </row>
    <row r="29604">
      <c r="Y29604" s="372">
        <v>0.0</v>
      </c>
      <c r="Z29604" s="372">
        <v>0.0</v>
      </c>
    </row>
    <row r="29605">
      <c r="Y29605" s="372">
        <v>0.0</v>
      </c>
      <c r="Z29605" s="372">
        <v>0.0</v>
      </c>
    </row>
    <row r="29606">
      <c r="Y29606" s="372">
        <v>0.0</v>
      </c>
      <c r="Z29606" s="372">
        <v>0.0</v>
      </c>
    </row>
    <row r="29607">
      <c r="Y29607" s="372">
        <v>0.0</v>
      </c>
      <c r="Z29607" s="372">
        <v>0.0</v>
      </c>
    </row>
    <row r="29608">
      <c r="Y29608" s="372">
        <v>0.0</v>
      </c>
      <c r="Z29608" s="372">
        <v>0.0</v>
      </c>
    </row>
    <row r="29609">
      <c r="Y29609" s="372">
        <v>0.0</v>
      </c>
      <c r="Z29609" s="372">
        <v>0.0</v>
      </c>
    </row>
    <row r="29610">
      <c r="Y29610" s="372">
        <v>0.0</v>
      </c>
      <c r="Z29610" s="372">
        <v>0.0</v>
      </c>
    </row>
    <row r="29611">
      <c r="Y29611" s="372">
        <v>0.0</v>
      </c>
      <c r="Z29611" s="372">
        <v>0.0</v>
      </c>
    </row>
    <row r="29612">
      <c r="Y29612" s="372">
        <v>0.0</v>
      </c>
      <c r="Z29612" s="372">
        <v>0.0</v>
      </c>
    </row>
    <row r="29613">
      <c r="Y29613" s="372">
        <v>0.0</v>
      </c>
      <c r="Z29613" s="372">
        <v>0.0</v>
      </c>
    </row>
    <row r="29614">
      <c r="Y29614" s="372">
        <v>0.0</v>
      </c>
      <c r="Z29614" s="372">
        <v>0.0</v>
      </c>
    </row>
    <row r="29615">
      <c r="Y29615" s="372">
        <v>0.0</v>
      </c>
      <c r="Z29615" s="372">
        <v>0.0</v>
      </c>
    </row>
    <row r="29616">
      <c r="Y29616" s="372">
        <v>0.0</v>
      </c>
      <c r="Z29616" s="372">
        <v>0.0</v>
      </c>
    </row>
    <row r="29617">
      <c r="Y29617" s="372">
        <v>0.0</v>
      </c>
      <c r="Z29617" s="372">
        <v>0.0</v>
      </c>
    </row>
    <row r="29618">
      <c r="Y29618" s="372">
        <v>0.0</v>
      </c>
      <c r="Z29618" s="372">
        <v>0.0</v>
      </c>
    </row>
    <row r="29619">
      <c r="Y29619" s="372">
        <v>0.0</v>
      </c>
      <c r="Z29619" s="372">
        <v>0.0</v>
      </c>
    </row>
    <row r="29620">
      <c r="Y29620" s="372">
        <v>0.0</v>
      </c>
      <c r="Z29620" s="372">
        <v>0.0</v>
      </c>
    </row>
    <row r="29621">
      <c r="Y29621" s="372">
        <v>0.0</v>
      </c>
      <c r="Z29621" s="372">
        <v>0.0</v>
      </c>
    </row>
    <row r="29622">
      <c r="Y29622" s="372">
        <v>0.0</v>
      </c>
      <c r="Z29622" s="372">
        <v>0.0</v>
      </c>
    </row>
    <row r="29623">
      <c r="Y29623" s="372">
        <v>0.0</v>
      </c>
      <c r="Z29623" s="372">
        <v>0.0</v>
      </c>
    </row>
    <row r="29624">
      <c r="Y29624" s="372">
        <v>0.0</v>
      </c>
      <c r="Z29624" s="372">
        <v>0.0</v>
      </c>
    </row>
    <row r="29625">
      <c r="Y29625" s="372">
        <v>0.0</v>
      </c>
      <c r="Z29625" s="372">
        <v>0.0</v>
      </c>
    </row>
    <row r="29626">
      <c r="Y29626" s="372">
        <v>0.0</v>
      </c>
      <c r="Z29626" s="372">
        <v>0.0</v>
      </c>
    </row>
    <row r="29627">
      <c r="Y29627" s="372">
        <v>0.0</v>
      </c>
      <c r="Z29627" s="372">
        <v>0.0</v>
      </c>
    </row>
    <row r="29628">
      <c r="Y29628" s="372">
        <v>0.0</v>
      </c>
      <c r="Z29628" s="372">
        <v>0.0</v>
      </c>
    </row>
    <row r="29629">
      <c r="Y29629" s="372">
        <v>0.0</v>
      </c>
      <c r="Z29629" s="372">
        <v>0.0</v>
      </c>
    </row>
    <row r="29630">
      <c r="Y29630" s="372">
        <v>0.0</v>
      </c>
      <c r="Z29630" s="372">
        <v>0.0</v>
      </c>
    </row>
    <row r="29631">
      <c r="Y29631" s="372">
        <v>0.0</v>
      </c>
      <c r="Z29631" s="372">
        <v>0.0</v>
      </c>
    </row>
    <row r="29632">
      <c r="Y29632" s="372">
        <v>0.0</v>
      </c>
      <c r="Z29632" s="372">
        <v>0.0</v>
      </c>
    </row>
    <row r="29633">
      <c r="Y29633" s="372">
        <v>0.0</v>
      </c>
      <c r="Z29633" s="372">
        <v>0.0</v>
      </c>
    </row>
    <row r="29634">
      <c r="Y29634" s="372">
        <v>0.0</v>
      </c>
      <c r="Z29634" s="372">
        <v>0.0</v>
      </c>
    </row>
    <row r="29635">
      <c r="Y29635" s="372">
        <v>0.0</v>
      </c>
      <c r="Z29635" s="372">
        <v>0.0</v>
      </c>
    </row>
    <row r="29636">
      <c r="Y29636" s="372">
        <v>0.0</v>
      </c>
      <c r="Z29636" s="372">
        <v>0.0</v>
      </c>
    </row>
    <row r="29637">
      <c r="Y29637" s="372">
        <v>0.0</v>
      </c>
      <c r="Z29637" s="372">
        <v>0.0</v>
      </c>
    </row>
    <row r="29638">
      <c r="Y29638" s="372">
        <v>0.0</v>
      </c>
      <c r="Z29638" s="372">
        <v>0.0</v>
      </c>
    </row>
    <row r="29639">
      <c r="Y29639" s="372">
        <v>0.0</v>
      </c>
      <c r="Z29639" s="372">
        <v>0.0</v>
      </c>
    </row>
    <row r="29640">
      <c r="Y29640" s="372">
        <v>0.0</v>
      </c>
      <c r="Z29640" s="372">
        <v>0.0</v>
      </c>
    </row>
    <row r="29641">
      <c r="Y29641" s="372">
        <v>0.0</v>
      </c>
      <c r="Z29641" s="372">
        <v>0.0</v>
      </c>
    </row>
    <row r="29642">
      <c r="Y29642" s="372">
        <v>0.0</v>
      </c>
      <c r="Z29642" s="372">
        <v>0.0</v>
      </c>
    </row>
    <row r="29643">
      <c r="Y29643" s="372">
        <v>0.0</v>
      </c>
      <c r="Z29643" s="372">
        <v>0.0</v>
      </c>
    </row>
    <row r="29644">
      <c r="Y29644" s="372">
        <v>0.0</v>
      </c>
      <c r="Z29644" s="372">
        <v>0.0</v>
      </c>
    </row>
    <row r="29645">
      <c r="Y29645" s="372">
        <v>0.0</v>
      </c>
      <c r="Z29645" s="372">
        <v>0.0</v>
      </c>
    </row>
    <row r="29646">
      <c r="Y29646" s="372">
        <v>0.0</v>
      </c>
      <c r="Z29646" s="372">
        <v>0.0</v>
      </c>
    </row>
    <row r="29647">
      <c r="Y29647" s="372">
        <v>0.0</v>
      </c>
      <c r="Z29647" s="372">
        <v>0.0</v>
      </c>
    </row>
    <row r="29648">
      <c r="Y29648" s="372">
        <v>0.0</v>
      </c>
      <c r="Z29648" s="372">
        <v>0.0</v>
      </c>
    </row>
    <row r="29649">
      <c r="Y29649" s="372">
        <v>0.0</v>
      </c>
      <c r="Z29649" s="372">
        <v>0.0</v>
      </c>
    </row>
    <row r="29650">
      <c r="Y29650" s="372">
        <v>0.0</v>
      </c>
      <c r="Z29650" s="372">
        <v>0.0</v>
      </c>
    </row>
    <row r="29651">
      <c r="Y29651" s="372">
        <v>0.0</v>
      </c>
      <c r="Z29651" s="372">
        <v>0.0</v>
      </c>
    </row>
    <row r="29652">
      <c r="Y29652" s="372">
        <v>0.0</v>
      </c>
      <c r="Z29652" s="372">
        <v>0.0</v>
      </c>
    </row>
    <row r="29653">
      <c r="Y29653" s="372">
        <v>0.0</v>
      </c>
      <c r="Z29653" s="372">
        <v>0.0</v>
      </c>
    </row>
    <row r="29654">
      <c r="Y29654" s="372">
        <v>0.0</v>
      </c>
      <c r="Z29654" s="372">
        <v>0.0</v>
      </c>
    </row>
    <row r="29655">
      <c r="Y29655" s="372">
        <v>0.0</v>
      </c>
      <c r="Z29655" s="372">
        <v>0.0</v>
      </c>
    </row>
    <row r="29656">
      <c r="Y29656" s="372">
        <v>0.0</v>
      </c>
      <c r="Z29656" s="372">
        <v>0.0</v>
      </c>
    </row>
    <row r="29657">
      <c r="Y29657" s="372">
        <v>0.0</v>
      </c>
      <c r="Z29657" s="372">
        <v>0.0</v>
      </c>
    </row>
    <row r="29658">
      <c r="Y29658" s="372">
        <v>0.0</v>
      </c>
      <c r="Z29658" s="372">
        <v>0.0</v>
      </c>
    </row>
    <row r="29659">
      <c r="Y29659" s="372">
        <v>0.0</v>
      </c>
      <c r="Z29659" s="372">
        <v>0.0</v>
      </c>
    </row>
    <row r="29660">
      <c r="Y29660" s="372">
        <v>0.0</v>
      </c>
      <c r="Z29660" s="372">
        <v>0.0</v>
      </c>
    </row>
    <row r="29661">
      <c r="Y29661" s="372">
        <v>0.0</v>
      </c>
      <c r="Z29661" s="372">
        <v>0.0</v>
      </c>
    </row>
    <row r="29662">
      <c r="Y29662" s="372">
        <v>0.0</v>
      </c>
      <c r="Z29662" s="372">
        <v>0.0</v>
      </c>
    </row>
    <row r="29663">
      <c r="Y29663" s="372">
        <v>0.0</v>
      </c>
      <c r="Z29663" s="372">
        <v>0.0</v>
      </c>
    </row>
    <row r="29664">
      <c r="Y29664" s="372">
        <v>0.0</v>
      </c>
      <c r="Z29664" s="372">
        <v>0.0</v>
      </c>
    </row>
    <row r="29665">
      <c r="Y29665" s="372">
        <v>0.0</v>
      </c>
      <c r="Z29665" s="372">
        <v>0.0</v>
      </c>
    </row>
    <row r="29666">
      <c r="Y29666" s="372">
        <v>0.0</v>
      </c>
      <c r="Z29666" s="372">
        <v>0.0</v>
      </c>
    </row>
    <row r="29667">
      <c r="Y29667" s="372">
        <v>0.0</v>
      </c>
      <c r="Z29667" s="372">
        <v>0.0</v>
      </c>
    </row>
    <row r="29668">
      <c r="Y29668" s="372">
        <v>0.0</v>
      </c>
      <c r="Z29668" s="372">
        <v>0.0</v>
      </c>
    </row>
    <row r="29669">
      <c r="Y29669" s="372">
        <v>0.0</v>
      </c>
      <c r="Z29669" s="372">
        <v>0.0</v>
      </c>
    </row>
    <row r="29670">
      <c r="Y29670" s="372">
        <v>0.0</v>
      </c>
      <c r="Z29670" s="372">
        <v>0.0</v>
      </c>
    </row>
    <row r="29671">
      <c r="Y29671" s="372">
        <v>0.0</v>
      </c>
      <c r="Z29671" s="372">
        <v>0.0</v>
      </c>
    </row>
    <row r="29672">
      <c r="Y29672" s="372">
        <v>0.0</v>
      </c>
      <c r="Z29672" s="372">
        <v>0.0</v>
      </c>
    </row>
    <row r="29673">
      <c r="Y29673" s="372">
        <v>0.0</v>
      </c>
      <c r="Z29673" s="372">
        <v>0.0</v>
      </c>
    </row>
    <row r="29674">
      <c r="Y29674" s="372">
        <v>0.0</v>
      </c>
      <c r="Z29674" s="372">
        <v>0.0</v>
      </c>
    </row>
    <row r="29675">
      <c r="Y29675" s="372">
        <v>0.0</v>
      </c>
      <c r="Z29675" s="372">
        <v>0.0</v>
      </c>
    </row>
    <row r="29676">
      <c r="Y29676" s="372">
        <v>0.0</v>
      </c>
      <c r="Z29676" s="372">
        <v>0.0</v>
      </c>
    </row>
    <row r="29677">
      <c r="Y29677" s="372">
        <v>0.0</v>
      </c>
      <c r="Z29677" s="372">
        <v>0.0</v>
      </c>
    </row>
    <row r="29678">
      <c r="Y29678" s="372">
        <v>0.0</v>
      </c>
      <c r="Z29678" s="372">
        <v>0.0</v>
      </c>
    </row>
    <row r="29679">
      <c r="Y29679" s="372">
        <v>0.0</v>
      </c>
      <c r="Z29679" s="372">
        <v>0.0</v>
      </c>
    </row>
    <row r="29680">
      <c r="Y29680" s="372">
        <v>0.0</v>
      </c>
      <c r="Z29680" s="372">
        <v>0.0</v>
      </c>
    </row>
    <row r="29681">
      <c r="Y29681" s="372">
        <v>0.0</v>
      </c>
      <c r="Z29681" s="372">
        <v>0.0</v>
      </c>
    </row>
    <row r="29682">
      <c r="Y29682" s="372">
        <v>0.0</v>
      </c>
      <c r="Z29682" s="372">
        <v>0.0</v>
      </c>
    </row>
    <row r="29683">
      <c r="Y29683" s="372">
        <v>0.0</v>
      </c>
      <c r="Z29683" s="372">
        <v>0.0</v>
      </c>
    </row>
    <row r="29684">
      <c r="Y29684" s="372">
        <v>0.0</v>
      </c>
      <c r="Z29684" s="372">
        <v>0.0</v>
      </c>
    </row>
    <row r="29685">
      <c r="Y29685" s="372">
        <v>0.0</v>
      </c>
      <c r="Z29685" s="372">
        <v>0.0</v>
      </c>
    </row>
    <row r="29686">
      <c r="Y29686" s="372">
        <v>0.0</v>
      </c>
      <c r="Z29686" s="372">
        <v>0.0</v>
      </c>
    </row>
    <row r="29687">
      <c r="Y29687" s="372">
        <v>0.0</v>
      </c>
      <c r="Z29687" s="372">
        <v>0.0</v>
      </c>
    </row>
    <row r="29688">
      <c r="Y29688" s="372">
        <v>0.0</v>
      </c>
      <c r="Z29688" s="372">
        <v>0.0</v>
      </c>
    </row>
    <row r="29689">
      <c r="Y29689" s="372">
        <v>0.0</v>
      </c>
      <c r="Z29689" s="372">
        <v>0.0</v>
      </c>
    </row>
    <row r="29690">
      <c r="Y29690" s="372">
        <v>0.0</v>
      </c>
      <c r="Z29690" s="372">
        <v>0.0</v>
      </c>
    </row>
    <row r="29691">
      <c r="Y29691" s="372">
        <v>0.0</v>
      </c>
      <c r="Z29691" s="372">
        <v>0.0</v>
      </c>
    </row>
    <row r="29692">
      <c r="Y29692" s="372">
        <v>0.0</v>
      </c>
      <c r="Z29692" s="372">
        <v>0.0</v>
      </c>
    </row>
    <row r="29693">
      <c r="Y29693" s="372">
        <v>0.0</v>
      </c>
      <c r="Z29693" s="372">
        <v>0.0</v>
      </c>
    </row>
    <row r="29694">
      <c r="Y29694" s="372">
        <v>0.0</v>
      </c>
      <c r="Z29694" s="372">
        <v>0.0</v>
      </c>
    </row>
    <row r="29695">
      <c r="Y29695" s="372">
        <v>0.0</v>
      </c>
      <c r="Z29695" s="372">
        <v>0.0</v>
      </c>
    </row>
    <row r="29696">
      <c r="Y29696" s="372">
        <v>0.0</v>
      </c>
      <c r="Z29696" s="372">
        <v>0.0</v>
      </c>
    </row>
    <row r="29697">
      <c r="Y29697" s="372">
        <v>0.0</v>
      </c>
      <c r="Z29697" s="372">
        <v>0.0</v>
      </c>
    </row>
    <row r="29698">
      <c r="Y29698" s="372">
        <v>0.0</v>
      </c>
      <c r="Z29698" s="372">
        <v>0.0</v>
      </c>
    </row>
    <row r="29699">
      <c r="Y29699" s="372">
        <v>0.0</v>
      </c>
      <c r="Z29699" s="372">
        <v>0.0</v>
      </c>
    </row>
    <row r="29700">
      <c r="Y29700" s="372">
        <v>0.0</v>
      </c>
      <c r="Z29700" s="372">
        <v>0.0</v>
      </c>
    </row>
    <row r="29701">
      <c r="Y29701" s="372">
        <v>0.0</v>
      </c>
      <c r="Z29701" s="372">
        <v>0.0</v>
      </c>
    </row>
    <row r="29702">
      <c r="Y29702" s="372">
        <v>0.0</v>
      </c>
      <c r="Z29702" s="372">
        <v>0.0</v>
      </c>
    </row>
    <row r="29703">
      <c r="Y29703" s="372">
        <v>0.0</v>
      </c>
      <c r="Z29703" s="372">
        <v>0.0</v>
      </c>
    </row>
    <row r="29704">
      <c r="Y29704" s="372">
        <v>0.0</v>
      </c>
      <c r="Z29704" s="372">
        <v>0.0</v>
      </c>
    </row>
    <row r="29705">
      <c r="Y29705" s="372">
        <v>0.0</v>
      </c>
      <c r="Z29705" s="372">
        <v>0.0</v>
      </c>
    </row>
    <row r="29706">
      <c r="Y29706" s="372">
        <v>0.0</v>
      </c>
      <c r="Z29706" s="372">
        <v>0.0</v>
      </c>
    </row>
    <row r="29707">
      <c r="Y29707" s="372">
        <v>0.0</v>
      </c>
      <c r="Z29707" s="372">
        <v>0.0</v>
      </c>
    </row>
    <row r="29708">
      <c r="Y29708" s="372">
        <v>0.0</v>
      </c>
      <c r="Z29708" s="372">
        <v>0.0</v>
      </c>
    </row>
    <row r="29709">
      <c r="Y29709" s="372">
        <v>0.0</v>
      </c>
      <c r="Z29709" s="372">
        <v>0.0</v>
      </c>
    </row>
    <row r="29710">
      <c r="Y29710" s="372">
        <v>0.0</v>
      </c>
      <c r="Z29710" s="372">
        <v>0.0</v>
      </c>
    </row>
    <row r="29711">
      <c r="Y29711" s="372">
        <v>0.0</v>
      </c>
      <c r="Z29711" s="372">
        <v>0.0</v>
      </c>
    </row>
    <row r="29712">
      <c r="Y29712" s="372">
        <v>0.0</v>
      </c>
      <c r="Z29712" s="372">
        <v>0.0</v>
      </c>
    </row>
    <row r="29713">
      <c r="Y29713" s="372">
        <v>0.0</v>
      </c>
      <c r="Z29713" s="372">
        <v>0.0</v>
      </c>
    </row>
    <row r="29714">
      <c r="Y29714" s="372">
        <v>0.0</v>
      </c>
      <c r="Z29714" s="372">
        <v>0.0</v>
      </c>
    </row>
    <row r="29715">
      <c r="Y29715" s="372">
        <v>0.0</v>
      </c>
      <c r="Z29715" s="372">
        <v>0.0</v>
      </c>
    </row>
    <row r="29716">
      <c r="Y29716" s="372">
        <v>0.0</v>
      </c>
      <c r="Z29716" s="372">
        <v>0.0</v>
      </c>
    </row>
    <row r="29717">
      <c r="Y29717" s="372">
        <v>0.0</v>
      </c>
      <c r="Z29717" s="372">
        <v>0.0</v>
      </c>
    </row>
    <row r="29718">
      <c r="Y29718" s="372">
        <v>0.0</v>
      </c>
      <c r="Z29718" s="372">
        <v>0.0</v>
      </c>
    </row>
    <row r="29719">
      <c r="Y29719" s="372">
        <v>0.0</v>
      </c>
      <c r="Z29719" s="372">
        <v>0.0</v>
      </c>
    </row>
    <row r="29720">
      <c r="Y29720" s="372">
        <v>0.0</v>
      </c>
      <c r="Z29720" s="372">
        <v>0.0</v>
      </c>
    </row>
    <row r="29721">
      <c r="Y29721" s="372">
        <v>0.0</v>
      </c>
      <c r="Z29721" s="372">
        <v>0.0</v>
      </c>
    </row>
    <row r="29722">
      <c r="Y29722" s="372">
        <v>0.0</v>
      </c>
      <c r="Z29722" s="372">
        <v>0.0</v>
      </c>
    </row>
    <row r="29723">
      <c r="Y29723" s="372">
        <v>0.0</v>
      </c>
      <c r="Z29723" s="372">
        <v>0.0</v>
      </c>
    </row>
    <row r="29724">
      <c r="Y29724" s="372">
        <v>0.0</v>
      </c>
      <c r="Z29724" s="372">
        <v>0.0</v>
      </c>
    </row>
    <row r="29725">
      <c r="Y29725" s="372">
        <v>0.0</v>
      </c>
      <c r="Z29725" s="372">
        <v>0.0</v>
      </c>
    </row>
    <row r="29726">
      <c r="Y29726" s="372">
        <v>0.0</v>
      </c>
      <c r="Z29726" s="372">
        <v>0.0</v>
      </c>
    </row>
    <row r="29727">
      <c r="Y29727" s="372">
        <v>0.0</v>
      </c>
      <c r="Z29727" s="372">
        <v>0.0</v>
      </c>
    </row>
    <row r="29728">
      <c r="Y29728" s="372">
        <v>0.0</v>
      </c>
      <c r="Z29728" s="372">
        <v>0.0</v>
      </c>
    </row>
    <row r="29729">
      <c r="Y29729" s="372">
        <v>0.0</v>
      </c>
      <c r="Z29729" s="372">
        <v>0.0</v>
      </c>
    </row>
    <row r="29730">
      <c r="Y29730" s="372">
        <v>0.0</v>
      </c>
      <c r="Z29730" s="372">
        <v>0.0</v>
      </c>
    </row>
    <row r="29731">
      <c r="Y29731" s="372">
        <v>0.0</v>
      </c>
      <c r="Z29731" s="372">
        <v>0.0</v>
      </c>
    </row>
    <row r="29732">
      <c r="Y29732" s="372">
        <v>0.0</v>
      </c>
      <c r="Z29732" s="372">
        <v>0.0</v>
      </c>
    </row>
    <row r="29733">
      <c r="Y29733" s="372">
        <v>0.0</v>
      </c>
      <c r="Z29733" s="372">
        <v>0.0</v>
      </c>
    </row>
    <row r="29734">
      <c r="Y29734" s="372">
        <v>0.0</v>
      </c>
      <c r="Z29734" s="372">
        <v>0.0</v>
      </c>
    </row>
    <row r="29735">
      <c r="Y29735" s="372">
        <v>0.0</v>
      </c>
      <c r="Z29735" s="372">
        <v>0.0</v>
      </c>
    </row>
    <row r="29736">
      <c r="Y29736" s="372">
        <v>0.0</v>
      </c>
      <c r="Z29736" s="372">
        <v>0.0</v>
      </c>
    </row>
    <row r="29737">
      <c r="Y29737" s="372">
        <v>0.0</v>
      </c>
      <c r="Z29737" s="372">
        <v>0.0</v>
      </c>
    </row>
    <row r="29738">
      <c r="Y29738" s="372">
        <v>0.0</v>
      </c>
      <c r="Z29738" s="372">
        <v>0.0</v>
      </c>
    </row>
    <row r="29739">
      <c r="Y29739" s="372">
        <v>0.0</v>
      </c>
      <c r="Z29739" s="372">
        <v>0.0</v>
      </c>
    </row>
    <row r="29740">
      <c r="Y29740" s="372">
        <v>0.0</v>
      </c>
      <c r="Z29740" s="372">
        <v>0.0</v>
      </c>
    </row>
    <row r="29741">
      <c r="Y29741" s="372">
        <v>0.0</v>
      </c>
      <c r="Z29741" s="372">
        <v>0.0</v>
      </c>
    </row>
    <row r="29742">
      <c r="Y29742" s="372">
        <v>0.0</v>
      </c>
      <c r="Z29742" s="372">
        <v>0.0</v>
      </c>
    </row>
    <row r="29743">
      <c r="Y29743" s="372">
        <v>0.0</v>
      </c>
      <c r="Z29743" s="372">
        <v>0.0</v>
      </c>
    </row>
    <row r="29744">
      <c r="Y29744" s="372">
        <v>0.0</v>
      </c>
      <c r="Z29744" s="372">
        <v>0.0</v>
      </c>
    </row>
    <row r="29745">
      <c r="Y29745" s="372">
        <v>0.0</v>
      </c>
      <c r="Z29745" s="372">
        <v>0.0</v>
      </c>
    </row>
    <row r="29746">
      <c r="Y29746" s="372">
        <v>0.0</v>
      </c>
      <c r="Z29746" s="372">
        <v>0.0</v>
      </c>
    </row>
    <row r="29747">
      <c r="Y29747" s="372">
        <v>0.0</v>
      </c>
      <c r="Z29747" s="372">
        <v>0.0</v>
      </c>
    </row>
    <row r="29748">
      <c r="Y29748" s="372">
        <v>0.0</v>
      </c>
      <c r="Z29748" s="372">
        <v>0.0</v>
      </c>
    </row>
    <row r="29749">
      <c r="Y29749" s="372">
        <v>0.0</v>
      </c>
      <c r="Z29749" s="372">
        <v>0.0</v>
      </c>
    </row>
    <row r="29750">
      <c r="Y29750" s="372">
        <v>0.0</v>
      </c>
      <c r="Z29750" s="372">
        <v>0.0</v>
      </c>
    </row>
    <row r="29751">
      <c r="Y29751" s="372">
        <v>0.0</v>
      </c>
      <c r="Z29751" s="372">
        <v>0.0</v>
      </c>
    </row>
    <row r="29752">
      <c r="Y29752" s="372">
        <v>0.0</v>
      </c>
      <c r="Z29752" s="372">
        <v>0.0</v>
      </c>
    </row>
    <row r="29753">
      <c r="Y29753" s="372">
        <v>0.0</v>
      </c>
      <c r="Z29753" s="372">
        <v>0.0</v>
      </c>
    </row>
    <row r="29754">
      <c r="Y29754" s="372">
        <v>0.0</v>
      </c>
      <c r="Z29754" s="372">
        <v>0.0</v>
      </c>
    </row>
    <row r="29755">
      <c r="Y29755" s="372">
        <v>0.0</v>
      </c>
      <c r="Z29755" s="372">
        <v>0.0</v>
      </c>
    </row>
    <row r="29756">
      <c r="Y29756" s="372">
        <v>0.0</v>
      </c>
      <c r="Z29756" s="372">
        <v>0.0</v>
      </c>
    </row>
    <row r="29757">
      <c r="Y29757" s="372">
        <v>0.0</v>
      </c>
      <c r="Z29757" s="372">
        <v>0.0</v>
      </c>
    </row>
    <row r="29758">
      <c r="Y29758" s="372">
        <v>0.0</v>
      </c>
      <c r="Z29758" s="372">
        <v>0.0</v>
      </c>
    </row>
    <row r="29759">
      <c r="Y29759" s="372">
        <v>0.0</v>
      </c>
      <c r="Z29759" s="372">
        <v>0.0</v>
      </c>
    </row>
    <row r="29760">
      <c r="Y29760" s="372">
        <v>0.0</v>
      </c>
      <c r="Z29760" s="372">
        <v>0.0</v>
      </c>
    </row>
    <row r="29761">
      <c r="Y29761" s="372">
        <v>0.0</v>
      </c>
      <c r="Z29761" s="372">
        <v>0.0</v>
      </c>
    </row>
    <row r="29762">
      <c r="Y29762" s="372">
        <v>0.0</v>
      </c>
      <c r="Z29762" s="372">
        <v>0.0</v>
      </c>
    </row>
    <row r="29763">
      <c r="Y29763" s="372">
        <v>0.0</v>
      </c>
      <c r="Z29763" s="372">
        <v>0.0</v>
      </c>
    </row>
    <row r="29764">
      <c r="Y29764" s="372">
        <v>0.0</v>
      </c>
      <c r="Z29764" s="372">
        <v>0.0</v>
      </c>
    </row>
    <row r="29765">
      <c r="Y29765" s="372">
        <v>0.0</v>
      </c>
      <c r="Z29765" s="372">
        <v>0.0</v>
      </c>
    </row>
    <row r="29766">
      <c r="Y29766" s="372">
        <v>0.0</v>
      </c>
      <c r="Z29766" s="372">
        <v>0.0</v>
      </c>
    </row>
    <row r="29767">
      <c r="Y29767" s="372">
        <v>0.0</v>
      </c>
      <c r="Z29767" s="372">
        <v>0.0</v>
      </c>
    </row>
    <row r="29768">
      <c r="Y29768" s="372">
        <v>0.0</v>
      </c>
      <c r="Z29768" s="372">
        <v>0.0</v>
      </c>
    </row>
    <row r="29769">
      <c r="Y29769" s="372">
        <v>0.0</v>
      </c>
      <c r="Z29769" s="372">
        <v>0.0</v>
      </c>
    </row>
    <row r="29770">
      <c r="Y29770" s="372">
        <v>0.0</v>
      </c>
      <c r="Z29770" s="372">
        <v>0.0</v>
      </c>
    </row>
    <row r="29771">
      <c r="Y29771" s="372">
        <v>0.0</v>
      </c>
      <c r="Z29771" s="372">
        <v>0.0</v>
      </c>
    </row>
    <row r="29772">
      <c r="Y29772" s="372">
        <v>0.0</v>
      </c>
      <c r="Z29772" s="372">
        <v>0.0</v>
      </c>
    </row>
    <row r="29773">
      <c r="Y29773" s="372">
        <v>0.0</v>
      </c>
      <c r="Z29773" s="372">
        <v>0.0</v>
      </c>
    </row>
    <row r="29774">
      <c r="Y29774" s="372">
        <v>0.0</v>
      </c>
      <c r="Z29774" s="372">
        <v>0.0</v>
      </c>
    </row>
    <row r="29775">
      <c r="Y29775" s="372">
        <v>0.0</v>
      </c>
      <c r="Z29775" s="372">
        <v>0.0</v>
      </c>
    </row>
    <row r="29776">
      <c r="Y29776" s="372">
        <v>0.0</v>
      </c>
      <c r="Z29776" s="372">
        <v>0.0</v>
      </c>
    </row>
    <row r="29777">
      <c r="Y29777" s="372">
        <v>0.0</v>
      </c>
      <c r="Z29777" s="372">
        <v>0.0</v>
      </c>
    </row>
    <row r="29778">
      <c r="Y29778" s="372">
        <v>0.0</v>
      </c>
      <c r="Z29778" s="372">
        <v>0.0</v>
      </c>
    </row>
    <row r="29779">
      <c r="Y29779" s="372">
        <v>0.0</v>
      </c>
      <c r="Z29779" s="372">
        <v>0.0</v>
      </c>
    </row>
    <row r="29780">
      <c r="Y29780" s="372">
        <v>0.0</v>
      </c>
      <c r="Z29780" s="372">
        <v>0.0</v>
      </c>
    </row>
    <row r="29781">
      <c r="Y29781" s="372">
        <v>0.0</v>
      </c>
      <c r="Z29781" s="372">
        <v>0.0</v>
      </c>
    </row>
    <row r="29782">
      <c r="Y29782" s="372">
        <v>0.0</v>
      </c>
      <c r="Z29782" s="372">
        <v>0.0</v>
      </c>
    </row>
    <row r="29783">
      <c r="Y29783" s="372">
        <v>0.0</v>
      </c>
      <c r="Z29783" s="372">
        <v>0.0</v>
      </c>
    </row>
    <row r="29784">
      <c r="Y29784" s="372">
        <v>0.0</v>
      </c>
      <c r="Z29784" s="372">
        <v>0.0</v>
      </c>
    </row>
    <row r="29785">
      <c r="Y29785" s="372">
        <v>0.0</v>
      </c>
      <c r="Z29785" s="372">
        <v>0.0</v>
      </c>
    </row>
    <row r="29786">
      <c r="Y29786" s="372">
        <v>0.0</v>
      </c>
      <c r="Z29786" s="372">
        <v>0.0</v>
      </c>
    </row>
    <row r="29787">
      <c r="Y29787" s="372">
        <v>0.0</v>
      </c>
      <c r="Z29787" s="372">
        <v>0.0</v>
      </c>
    </row>
    <row r="29788">
      <c r="Y29788" s="372">
        <v>0.0</v>
      </c>
      <c r="Z29788" s="372">
        <v>0.0</v>
      </c>
    </row>
    <row r="29789">
      <c r="Y29789" s="372">
        <v>0.0</v>
      </c>
      <c r="Z29789" s="372">
        <v>0.0</v>
      </c>
    </row>
    <row r="29790">
      <c r="Y29790" s="372">
        <v>0.0</v>
      </c>
      <c r="Z29790" s="372">
        <v>0.0</v>
      </c>
    </row>
    <row r="29791">
      <c r="Y29791" s="372">
        <v>0.0</v>
      </c>
      <c r="Z29791" s="372">
        <v>0.0</v>
      </c>
    </row>
    <row r="29792">
      <c r="Y29792" s="372">
        <v>0.0</v>
      </c>
      <c r="Z29792" s="372">
        <v>0.0</v>
      </c>
    </row>
    <row r="29793">
      <c r="Y29793" s="372">
        <v>0.0</v>
      </c>
      <c r="Z29793" s="372">
        <v>0.0</v>
      </c>
    </row>
    <row r="29794">
      <c r="Y29794" s="372">
        <v>0.0</v>
      </c>
      <c r="Z29794" s="372">
        <v>0.0</v>
      </c>
    </row>
    <row r="29795">
      <c r="Y29795" s="372">
        <v>0.0</v>
      </c>
      <c r="Z29795" s="372">
        <v>0.0</v>
      </c>
    </row>
    <row r="29796">
      <c r="Y29796" s="372">
        <v>0.0</v>
      </c>
      <c r="Z29796" s="372">
        <v>0.0</v>
      </c>
    </row>
    <row r="29797">
      <c r="Y29797" s="372">
        <v>0.0</v>
      </c>
      <c r="Z29797" s="372">
        <v>0.0</v>
      </c>
    </row>
    <row r="29798">
      <c r="Y29798" s="372">
        <v>0.0</v>
      </c>
      <c r="Z29798" s="372">
        <v>0.0</v>
      </c>
    </row>
    <row r="29799">
      <c r="Y29799" s="372">
        <v>0.0</v>
      </c>
      <c r="Z29799" s="372">
        <v>0.0</v>
      </c>
    </row>
    <row r="29800">
      <c r="Y29800" s="372">
        <v>0.0</v>
      </c>
      <c r="Z29800" s="372">
        <v>0.0</v>
      </c>
    </row>
    <row r="29801">
      <c r="Y29801" s="372">
        <v>0.0</v>
      </c>
      <c r="Z29801" s="372">
        <v>0.0</v>
      </c>
    </row>
    <row r="29802">
      <c r="Y29802" s="372">
        <v>0.0</v>
      </c>
      <c r="Z29802" s="372">
        <v>0.0</v>
      </c>
    </row>
    <row r="29803">
      <c r="Y29803" s="372">
        <v>0.0</v>
      </c>
      <c r="Z29803" s="372">
        <v>0.0</v>
      </c>
    </row>
    <row r="29804">
      <c r="Y29804" s="372">
        <v>0.0</v>
      </c>
      <c r="Z29804" s="372">
        <v>0.0</v>
      </c>
    </row>
    <row r="29805">
      <c r="Y29805" s="372">
        <v>0.0</v>
      </c>
      <c r="Z29805" s="372">
        <v>0.0</v>
      </c>
    </row>
    <row r="29806">
      <c r="Y29806" s="372">
        <v>0.0</v>
      </c>
      <c r="Z29806" s="372">
        <v>0.0</v>
      </c>
    </row>
    <row r="29807">
      <c r="Y29807" s="372">
        <v>0.0</v>
      </c>
      <c r="Z29807" s="372">
        <v>0.0</v>
      </c>
    </row>
    <row r="29808">
      <c r="Y29808" s="372">
        <v>0.0</v>
      </c>
      <c r="Z29808" s="372">
        <v>0.0</v>
      </c>
    </row>
    <row r="29809">
      <c r="Y29809" s="372">
        <v>0.0</v>
      </c>
      <c r="Z29809" s="372">
        <v>0.0</v>
      </c>
    </row>
    <row r="29810">
      <c r="Y29810" s="372">
        <v>0.0</v>
      </c>
      <c r="Z29810" s="372">
        <v>0.0</v>
      </c>
    </row>
    <row r="29811">
      <c r="Y29811" s="372">
        <v>0.0</v>
      </c>
      <c r="Z29811" s="372">
        <v>0.0</v>
      </c>
    </row>
    <row r="29812">
      <c r="Y29812" s="372">
        <v>0.0</v>
      </c>
      <c r="Z29812" s="372">
        <v>0.0</v>
      </c>
    </row>
    <row r="29813">
      <c r="Y29813" s="372">
        <v>0.0</v>
      </c>
      <c r="Z29813" s="372">
        <v>0.0</v>
      </c>
    </row>
    <row r="29814">
      <c r="Y29814" s="372">
        <v>0.0</v>
      </c>
      <c r="Z29814" s="372">
        <v>0.0</v>
      </c>
    </row>
    <row r="29815">
      <c r="Y29815" s="372">
        <v>0.0</v>
      </c>
      <c r="Z29815" s="372">
        <v>0.0</v>
      </c>
    </row>
    <row r="29816">
      <c r="Y29816" s="372">
        <v>0.0</v>
      </c>
      <c r="Z29816" s="372">
        <v>0.0</v>
      </c>
    </row>
    <row r="29817">
      <c r="Y29817" s="372">
        <v>0.0</v>
      </c>
      <c r="Z29817" s="372">
        <v>0.0</v>
      </c>
    </row>
    <row r="29818">
      <c r="Y29818" s="372">
        <v>0.0</v>
      </c>
      <c r="Z29818" s="372">
        <v>0.0</v>
      </c>
    </row>
    <row r="29819">
      <c r="Y29819" s="372">
        <v>0.0</v>
      </c>
      <c r="Z29819" s="372">
        <v>0.0</v>
      </c>
    </row>
    <row r="29820">
      <c r="Y29820" s="372">
        <v>0.0</v>
      </c>
      <c r="Z29820" s="372">
        <v>0.0</v>
      </c>
    </row>
    <row r="29821">
      <c r="Y29821" s="372">
        <v>0.0</v>
      </c>
      <c r="Z29821" s="372">
        <v>0.0</v>
      </c>
    </row>
    <row r="29822">
      <c r="Y29822" s="372">
        <v>0.0</v>
      </c>
      <c r="Z29822" s="372">
        <v>0.0</v>
      </c>
    </row>
    <row r="29823">
      <c r="Y29823" s="372">
        <v>0.0</v>
      </c>
      <c r="Z29823" s="372">
        <v>0.0</v>
      </c>
    </row>
    <row r="29824">
      <c r="Y29824" s="372">
        <v>0.0</v>
      </c>
      <c r="Z29824" s="372">
        <v>0.0</v>
      </c>
    </row>
    <row r="29825">
      <c r="Y29825" s="372">
        <v>0.0</v>
      </c>
      <c r="Z29825" s="372">
        <v>0.0</v>
      </c>
    </row>
    <row r="29826">
      <c r="Y29826" s="372">
        <v>0.0</v>
      </c>
      <c r="Z29826" s="372">
        <v>0.0</v>
      </c>
    </row>
    <row r="29827">
      <c r="Y29827" s="372">
        <v>0.0</v>
      </c>
      <c r="Z29827" s="372">
        <v>0.0</v>
      </c>
    </row>
    <row r="29828">
      <c r="Y29828" s="372">
        <v>0.0</v>
      </c>
      <c r="Z29828" s="372">
        <v>0.0</v>
      </c>
    </row>
    <row r="29829">
      <c r="Y29829" s="372">
        <v>0.0</v>
      </c>
      <c r="Z29829" s="372">
        <v>0.0</v>
      </c>
    </row>
    <row r="29830">
      <c r="Y29830" s="372">
        <v>0.0</v>
      </c>
      <c r="Z29830" s="372">
        <v>0.0</v>
      </c>
    </row>
    <row r="29831">
      <c r="Y29831" s="372">
        <v>0.0</v>
      </c>
      <c r="Z29831" s="372">
        <v>0.0</v>
      </c>
    </row>
    <row r="29832">
      <c r="Y29832" s="372">
        <v>0.0</v>
      </c>
      <c r="Z29832" s="372">
        <v>0.0</v>
      </c>
    </row>
    <row r="29833">
      <c r="Y29833" s="372">
        <v>0.0</v>
      </c>
      <c r="Z29833" s="372">
        <v>0.0</v>
      </c>
    </row>
    <row r="29834">
      <c r="Y29834" s="372">
        <v>0.0</v>
      </c>
      <c r="Z29834" s="372">
        <v>0.0</v>
      </c>
    </row>
    <row r="29835">
      <c r="Y29835" s="372">
        <v>0.0</v>
      </c>
      <c r="Z29835" s="372">
        <v>0.0</v>
      </c>
    </row>
    <row r="29836">
      <c r="Y29836" s="372">
        <v>0.0</v>
      </c>
      <c r="Z29836" s="372">
        <v>0.0</v>
      </c>
    </row>
    <row r="29837">
      <c r="Y29837" s="372">
        <v>0.0</v>
      </c>
      <c r="Z29837" s="372">
        <v>0.0</v>
      </c>
    </row>
    <row r="29838">
      <c r="Y29838" s="372">
        <v>0.0</v>
      </c>
      <c r="Z29838" s="372">
        <v>0.0</v>
      </c>
    </row>
    <row r="29839">
      <c r="Y29839" s="372">
        <v>0.0</v>
      </c>
      <c r="Z29839" s="372">
        <v>0.0</v>
      </c>
    </row>
    <row r="29840">
      <c r="Y29840" s="372">
        <v>0.0</v>
      </c>
      <c r="Z29840" s="372">
        <v>0.0</v>
      </c>
    </row>
    <row r="29841">
      <c r="Y29841" s="372">
        <v>0.0</v>
      </c>
      <c r="Z29841" s="372">
        <v>0.0</v>
      </c>
    </row>
    <row r="29842">
      <c r="Y29842" s="372">
        <v>0.0</v>
      </c>
      <c r="Z29842" s="372">
        <v>0.0</v>
      </c>
    </row>
    <row r="29843">
      <c r="Y29843" s="372">
        <v>0.0</v>
      </c>
      <c r="Z29843" s="372">
        <v>0.0</v>
      </c>
    </row>
    <row r="29844">
      <c r="Y29844" s="372">
        <v>0.0</v>
      </c>
      <c r="Z29844" s="372">
        <v>0.0</v>
      </c>
    </row>
    <row r="29845">
      <c r="Y29845" s="372">
        <v>0.0</v>
      </c>
      <c r="Z29845" s="372">
        <v>0.0</v>
      </c>
    </row>
    <row r="29846">
      <c r="Y29846" s="372">
        <v>0.0</v>
      </c>
      <c r="Z29846" s="372">
        <v>0.0</v>
      </c>
    </row>
    <row r="29847">
      <c r="Y29847" s="372">
        <v>0.0</v>
      </c>
      <c r="Z29847" s="372">
        <v>0.0</v>
      </c>
    </row>
    <row r="29848">
      <c r="Y29848" s="372">
        <v>0.0</v>
      </c>
      <c r="Z29848" s="372">
        <v>0.0</v>
      </c>
    </row>
    <row r="29849">
      <c r="Y29849" s="372">
        <v>0.0</v>
      </c>
      <c r="Z29849" s="372">
        <v>0.0</v>
      </c>
    </row>
    <row r="29850">
      <c r="Y29850" s="372">
        <v>0.0</v>
      </c>
      <c r="Z29850" s="372">
        <v>0.0</v>
      </c>
    </row>
    <row r="29851">
      <c r="Y29851" s="372">
        <v>0.0</v>
      </c>
      <c r="Z29851" s="372">
        <v>0.0</v>
      </c>
    </row>
    <row r="29852">
      <c r="Y29852" s="372">
        <v>0.0</v>
      </c>
      <c r="Z29852" s="372">
        <v>0.0</v>
      </c>
    </row>
    <row r="29853">
      <c r="Y29853" s="372">
        <v>0.0</v>
      </c>
      <c r="Z29853" s="372">
        <v>0.0</v>
      </c>
    </row>
    <row r="29854">
      <c r="Y29854" s="372">
        <v>0.0</v>
      </c>
      <c r="Z29854" s="372">
        <v>0.0</v>
      </c>
    </row>
    <row r="29855">
      <c r="Y29855" s="372">
        <v>0.0</v>
      </c>
      <c r="Z29855" s="372">
        <v>0.0</v>
      </c>
    </row>
    <row r="29856">
      <c r="Y29856" s="372">
        <v>0.0</v>
      </c>
      <c r="Z29856" s="372">
        <v>0.0</v>
      </c>
    </row>
    <row r="29857">
      <c r="Y29857" s="372">
        <v>0.0</v>
      </c>
      <c r="Z29857" s="372">
        <v>0.0</v>
      </c>
    </row>
    <row r="29858">
      <c r="Y29858" s="372">
        <v>0.0</v>
      </c>
      <c r="Z29858" s="372">
        <v>0.0</v>
      </c>
    </row>
    <row r="29859">
      <c r="Y29859" s="372">
        <v>0.0</v>
      </c>
      <c r="Z29859" s="372">
        <v>0.0</v>
      </c>
    </row>
    <row r="29860">
      <c r="Y29860" s="372">
        <v>0.0</v>
      </c>
      <c r="Z29860" s="372">
        <v>0.0</v>
      </c>
    </row>
    <row r="29861">
      <c r="Y29861" s="372">
        <v>0.0</v>
      </c>
      <c r="Z29861" s="372">
        <v>0.0</v>
      </c>
    </row>
    <row r="29862">
      <c r="Y29862" s="372">
        <v>0.0</v>
      </c>
      <c r="Z29862" s="372">
        <v>0.0</v>
      </c>
    </row>
    <row r="29863">
      <c r="Y29863" s="372">
        <v>0.0</v>
      </c>
      <c r="Z29863" s="372">
        <v>0.0</v>
      </c>
    </row>
    <row r="29864">
      <c r="Y29864" s="372">
        <v>0.0</v>
      </c>
      <c r="Z29864" s="372">
        <v>0.0</v>
      </c>
    </row>
    <row r="29865">
      <c r="Y29865" s="372">
        <v>0.0</v>
      </c>
      <c r="Z29865" s="372">
        <v>0.0</v>
      </c>
    </row>
    <row r="29866">
      <c r="Y29866" s="372">
        <v>0.0</v>
      </c>
      <c r="Z29866" s="372">
        <v>0.0</v>
      </c>
    </row>
    <row r="29867">
      <c r="Y29867" s="372">
        <v>0.0</v>
      </c>
      <c r="Z29867" s="372">
        <v>0.0</v>
      </c>
    </row>
    <row r="29868">
      <c r="Y29868" s="372">
        <v>0.0</v>
      </c>
      <c r="Z29868" s="372">
        <v>0.0</v>
      </c>
    </row>
    <row r="29869">
      <c r="Y29869" s="372">
        <v>0.0</v>
      </c>
      <c r="Z29869" s="372">
        <v>0.0</v>
      </c>
    </row>
    <row r="29870">
      <c r="Y29870" s="372">
        <v>0.0</v>
      </c>
      <c r="Z29870" s="372">
        <v>0.0</v>
      </c>
    </row>
    <row r="29871">
      <c r="Y29871" s="372">
        <v>0.0</v>
      </c>
      <c r="Z29871" s="372">
        <v>0.0</v>
      </c>
    </row>
    <row r="29872">
      <c r="Y29872" s="372">
        <v>0.0</v>
      </c>
      <c r="Z29872" s="372">
        <v>0.0</v>
      </c>
    </row>
    <row r="29873">
      <c r="Y29873" s="372">
        <v>0.0</v>
      </c>
      <c r="Z29873" s="372">
        <v>0.0</v>
      </c>
    </row>
    <row r="29874">
      <c r="Y29874" s="372">
        <v>0.0</v>
      </c>
      <c r="Z29874" s="372">
        <v>0.0</v>
      </c>
    </row>
    <row r="29875">
      <c r="Y29875" s="372">
        <v>0.0</v>
      </c>
      <c r="Z29875" s="372">
        <v>0.0</v>
      </c>
    </row>
    <row r="29876">
      <c r="Y29876" s="372">
        <v>0.0</v>
      </c>
      <c r="Z29876" s="372">
        <v>0.0</v>
      </c>
    </row>
    <row r="29877">
      <c r="Y29877" s="372">
        <v>0.0</v>
      </c>
      <c r="Z29877" s="372">
        <v>0.0</v>
      </c>
    </row>
    <row r="29878">
      <c r="Y29878" s="372">
        <v>0.0</v>
      </c>
      <c r="Z29878" s="372">
        <v>0.0</v>
      </c>
    </row>
    <row r="29879">
      <c r="Y29879" s="372">
        <v>0.0</v>
      </c>
      <c r="Z29879" s="372">
        <v>0.0</v>
      </c>
    </row>
    <row r="29880">
      <c r="Y29880" s="372">
        <v>0.0</v>
      </c>
      <c r="Z29880" s="372">
        <v>0.0</v>
      </c>
    </row>
    <row r="29881">
      <c r="Y29881" s="372">
        <v>0.0</v>
      </c>
      <c r="Z29881" s="372">
        <v>0.0</v>
      </c>
    </row>
    <row r="29882">
      <c r="Y29882" s="372">
        <v>0.0</v>
      </c>
      <c r="Z29882" s="372">
        <v>0.0</v>
      </c>
    </row>
    <row r="29883">
      <c r="Y29883" s="372">
        <v>0.0</v>
      </c>
      <c r="Z29883" s="372">
        <v>0.0</v>
      </c>
    </row>
    <row r="29884">
      <c r="Y29884" s="372">
        <v>0.0</v>
      </c>
      <c r="Z29884" s="372">
        <v>0.0</v>
      </c>
    </row>
    <row r="29885">
      <c r="Y29885" s="372">
        <v>0.0</v>
      </c>
      <c r="Z29885" s="372">
        <v>0.0</v>
      </c>
    </row>
    <row r="29886">
      <c r="Y29886" s="372">
        <v>0.0</v>
      </c>
      <c r="Z29886" s="372">
        <v>0.0</v>
      </c>
    </row>
    <row r="29887">
      <c r="Y29887" s="372">
        <v>0.0</v>
      </c>
      <c r="Z29887" s="372">
        <v>0.0</v>
      </c>
    </row>
    <row r="29888">
      <c r="Y29888" s="372">
        <v>0.0</v>
      </c>
      <c r="Z29888" s="372">
        <v>0.0</v>
      </c>
    </row>
    <row r="29889">
      <c r="Y29889" s="372">
        <v>0.0</v>
      </c>
      <c r="Z29889" s="372">
        <v>0.0</v>
      </c>
    </row>
    <row r="29890">
      <c r="Y29890" s="372">
        <v>0.0</v>
      </c>
      <c r="Z29890" s="372">
        <v>0.0</v>
      </c>
    </row>
    <row r="29891">
      <c r="Y29891" s="372">
        <v>0.0</v>
      </c>
      <c r="Z29891" s="372">
        <v>0.0</v>
      </c>
    </row>
    <row r="29892">
      <c r="Y29892" s="372">
        <v>0.0</v>
      </c>
      <c r="Z29892" s="372">
        <v>0.0</v>
      </c>
    </row>
    <row r="29893">
      <c r="Y29893" s="372">
        <v>0.0</v>
      </c>
      <c r="Z29893" s="372">
        <v>0.0</v>
      </c>
    </row>
    <row r="29894">
      <c r="Y29894" s="372">
        <v>0.0</v>
      </c>
      <c r="Z29894" s="372">
        <v>0.0</v>
      </c>
    </row>
    <row r="29895">
      <c r="Y29895" s="372">
        <v>0.0</v>
      </c>
      <c r="Z29895" s="372">
        <v>0.0</v>
      </c>
    </row>
    <row r="29896">
      <c r="Y29896" s="372">
        <v>0.0</v>
      </c>
      <c r="Z29896" s="372">
        <v>0.0</v>
      </c>
    </row>
    <row r="29897">
      <c r="Y29897" s="372">
        <v>0.0</v>
      </c>
      <c r="Z29897" s="372">
        <v>0.0</v>
      </c>
    </row>
    <row r="29898">
      <c r="Y29898" s="372">
        <v>0.0</v>
      </c>
      <c r="Z29898" s="372">
        <v>0.0</v>
      </c>
    </row>
    <row r="29899">
      <c r="Y29899" s="372">
        <v>0.0</v>
      </c>
      <c r="Z29899" s="372">
        <v>0.0</v>
      </c>
    </row>
    <row r="29900">
      <c r="Y29900" s="372">
        <v>0.0</v>
      </c>
      <c r="Z29900" s="372">
        <v>0.0</v>
      </c>
    </row>
    <row r="29901">
      <c r="Y29901" s="372">
        <v>0.0</v>
      </c>
      <c r="Z29901" s="372">
        <v>0.0</v>
      </c>
    </row>
    <row r="29902">
      <c r="Y29902" s="372">
        <v>0.0</v>
      </c>
      <c r="Z29902" s="372">
        <v>0.0</v>
      </c>
    </row>
    <row r="29903">
      <c r="Y29903" s="372">
        <v>0.0</v>
      </c>
      <c r="Z29903" s="372">
        <v>0.0</v>
      </c>
    </row>
    <row r="29904">
      <c r="Y29904" s="372">
        <v>0.0</v>
      </c>
      <c r="Z29904" s="372">
        <v>0.0</v>
      </c>
    </row>
    <row r="29905">
      <c r="Y29905" s="372">
        <v>0.0</v>
      </c>
      <c r="Z29905" s="372">
        <v>0.0</v>
      </c>
    </row>
    <row r="29906">
      <c r="Y29906" s="372">
        <v>0.0</v>
      </c>
      <c r="Z29906" s="372">
        <v>0.0</v>
      </c>
    </row>
    <row r="29907">
      <c r="Y29907" s="372">
        <v>0.0</v>
      </c>
      <c r="Z29907" s="372">
        <v>0.0</v>
      </c>
    </row>
    <row r="29908">
      <c r="Y29908" s="372">
        <v>0.0</v>
      </c>
      <c r="Z29908" s="372">
        <v>0.0</v>
      </c>
    </row>
    <row r="29909">
      <c r="Y29909" s="372">
        <v>0.0</v>
      </c>
      <c r="Z29909" s="372">
        <v>0.0</v>
      </c>
    </row>
    <row r="29910">
      <c r="Y29910" s="372">
        <v>0.0</v>
      </c>
      <c r="Z29910" s="372">
        <v>0.0</v>
      </c>
    </row>
    <row r="29911">
      <c r="Y29911" s="372">
        <v>0.0</v>
      </c>
      <c r="Z29911" s="372">
        <v>0.0</v>
      </c>
    </row>
    <row r="29912">
      <c r="Y29912" s="372">
        <v>0.0</v>
      </c>
      <c r="Z29912" s="372">
        <v>0.0</v>
      </c>
    </row>
    <row r="29913">
      <c r="Y29913" s="372">
        <v>0.0</v>
      </c>
      <c r="Z29913" s="372">
        <v>0.0</v>
      </c>
    </row>
    <row r="29914">
      <c r="Y29914" s="372">
        <v>0.0</v>
      </c>
      <c r="Z29914" s="372">
        <v>0.0</v>
      </c>
    </row>
    <row r="29915">
      <c r="Y29915" s="372">
        <v>0.0</v>
      </c>
      <c r="Z29915" s="372">
        <v>0.0</v>
      </c>
    </row>
    <row r="29916">
      <c r="Y29916" s="372">
        <v>0.0</v>
      </c>
      <c r="Z29916" s="372">
        <v>0.0</v>
      </c>
    </row>
    <row r="29917">
      <c r="Y29917" s="372">
        <v>0.0</v>
      </c>
      <c r="Z29917" s="372">
        <v>0.0</v>
      </c>
    </row>
    <row r="29918">
      <c r="Y29918" s="372">
        <v>0.0</v>
      </c>
      <c r="Z29918" s="372">
        <v>0.0</v>
      </c>
    </row>
    <row r="29919">
      <c r="Y29919" s="372">
        <v>0.0</v>
      </c>
      <c r="Z29919" s="372">
        <v>0.0</v>
      </c>
    </row>
    <row r="29920">
      <c r="Y29920" s="372">
        <v>0.0</v>
      </c>
      <c r="Z29920" s="372">
        <v>0.0</v>
      </c>
    </row>
    <row r="29921">
      <c r="Y29921" s="372">
        <v>0.0</v>
      </c>
      <c r="Z29921" s="372">
        <v>0.0</v>
      </c>
    </row>
    <row r="29922">
      <c r="Y29922" s="372">
        <v>0.0</v>
      </c>
      <c r="Z29922" s="372">
        <v>0.0</v>
      </c>
    </row>
    <row r="29923">
      <c r="Y29923" s="372">
        <v>0.0</v>
      </c>
      <c r="Z29923" s="372">
        <v>0.0</v>
      </c>
    </row>
    <row r="29924">
      <c r="Y29924" s="372">
        <v>0.0</v>
      </c>
      <c r="Z29924" s="372">
        <v>0.0</v>
      </c>
    </row>
    <row r="29925">
      <c r="Y29925" s="372">
        <v>0.0</v>
      </c>
      <c r="Z29925" s="372">
        <v>0.0</v>
      </c>
    </row>
    <row r="29926">
      <c r="Y29926" s="372">
        <v>0.0</v>
      </c>
      <c r="Z29926" s="372">
        <v>0.0</v>
      </c>
    </row>
    <row r="29927">
      <c r="Y29927" s="372">
        <v>0.0</v>
      </c>
      <c r="Z29927" s="372">
        <v>0.0</v>
      </c>
    </row>
    <row r="29928">
      <c r="Y29928" s="372">
        <v>0.0</v>
      </c>
      <c r="Z29928" s="372">
        <v>0.0</v>
      </c>
    </row>
    <row r="29929">
      <c r="Y29929" s="372">
        <v>0.0</v>
      </c>
      <c r="Z29929" s="372">
        <v>0.0</v>
      </c>
    </row>
    <row r="29930">
      <c r="Y29930" s="372">
        <v>0.0</v>
      </c>
      <c r="Z29930" s="372">
        <v>0.0</v>
      </c>
    </row>
    <row r="29931">
      <c r="Y29931" s="372">
        <v>0.0</v>
      </c>
      <c r="Z29931" s="372">
        <v>0.0</v>
      </c>
    </row>
    <row r="29932">
      <c r="Y29932" s="372">
        <v>0.0</v>
      </c>
      <c r="Z29932" s="372">
        <v>0.0</v>
      </c>
    </row>
    <row r="29933">
      <c r="Y29933" s="372">
        <v>0.0</v>
      </c>
      <c r="Z29933" s="372">
        <v>0.0</v>
      </c>
    </row>
    <row r="29934">
      <c r="Y29934" s="372">
        <v>0.0</v>
      </c>
      <c r="Z29934" s="372">
        <v>0.0</v>
      </c>
    </row>
    <row r="29935">
      <c r="Y29935" s="372">
        <v>0.0</v>
      </c>
      <c r="Z29935" s="372">
        <v>0.0</v>
      </c>
    </row>
    <row r="29936">
      <c r="Y29936" s="372">
        <v>0.0</v>
      </c>
      <c r="Z29936" s="372">
        <v>0.0</v>
      </c>
    </row>
    <row r="29937">
      <c r="Y29937" s="372">
        <v>0.0</v>
      </c>
      <c r="Z29937" s="372">
        <v>0.0</v>
      </c>
    </row>
    <row r="29938">
      <c r="Y29938" s="372">
        <v>0.0</v>
      </c>
      <c r="Z29938" s="372">
        <v>0.0</v>
      </c>
    </row>
    <row r="29939">
      <c r="Y29939" s="372">
        <v>0.0</v>
      </c>
      <c r="Z29939" s="372">
        <v>0.0</v>
      </c>
    </row>
    <row r="29940">
      <c r="Y29940" s="372">
        <v>0.0</v>
      </c>
      <c r="Z29940" s="372">
        <v>0.0</v>
      </c>
    </row>
    <row r="29941">
      <c r="Y29941" s="372">
        <v>0.0</v>
      </c>
      <c r="Z29941" s="372">
        <v>0.0</v>
      </c>
    </row>
    <row r="29942">
      <c r="Y29942" s="372">
        <v>0.0</v>
      </c>
      <c r="Z29942" s="372">
        <v>0.0</v>
      </c>
    </row>
    <row r="29943">
      <c r="Y29943" s="372">
        <v>0.0</v>
      </c>
      <c r="Z29943" s="372">
        <v>0.0</v>
      </c>
    </row>
    <row r="29944">
      <c r="Y29944" s="372">
        <v>0.0</v>
      </c>
      <c r="Z29944" s="372">
        <v>0.0</v>
      </c>
    </row>
    <row r="29945">
      <c r="Y29945" s="372">
        <v>0.0</v>
      </c>
      <c r="Z29945" s="372">
        <v>0.0</v>
      </c>
    </row>
    <row r="29946">
      <c r="Y29946" s="372">
        <v>0.0</v>
      </c>
      <c r="Z29946" s="372">
        <v>0.0</v>
      </c>
    </row>
    <row r="29947">
      <c r="Y29947" s="372">
        <v>0.0</v>
      </c>
      <c r="Z29947" s="372">
        <v>0.0</v>
      </c>
    </row>
    <row r="29948">
      <c r="Y29948" s="372">
        <v>0.0</v>
      </c>
      <c r="Z29948" s="372">
        <v>0.0</v>
      </c>
    </row>
    <row r="29949">
      <c r="Y29949" s="372">
        <v>0.0</v>
      </c>
      <c r="Z29949" s="372">
        <v>0.0</v>
      </c>
    </row>
    <row r="29950">
      <c r="Y29950" s="372">
        <v>0.0</v>
      </c>
      <c r="Z29950" s="372">
        <v>0.0</v>
      </c>
    </row>
    <row r="29951">
      <c r="Y29951" s="372">
        <v>0.0</v>
      </c>
      <c r="Z29951" s="372">
        <v>0.0</v>
      </c>
    </row>
    <row r="29952">
      <c r="Y29952" s="372">
        <v>0.0</v>
      </c>
      <c r="Z29952" s="372">
        <v>0.0</v>
      </c>
    </row>
    <row r="29953">
      <c r="Y29953" s="372">
        <v>0.0</v>
      </c>
      <c r="Z29953" s="372">
        <v>0.0</v>
      </c>
    </row>
    <row r="29954">
      <c r="Y29954" s="372">
        <v>0.0</v>
      </c>
      <c r="Z29954" s="372">
        <v>0.0</v>
      </c>
    </row>
    <row r="29955">
      <c r="Y29955" s="372">
        <v>0.0</v>
      </c>
      <c r="Z29955" s="372">
        <v>0.0</v>
      </c>
    </row>
    <row r="29956">
      <c r="Y29956" s="372">
        <v>0.0</v>
      </c>
      <c r="Z29956" s="372">
        <v>0.0</v>
      </c>
    </row>
    <row r="29957">
      <c r="Y29957" s="372">
        <v>0.0</v>
      </c>
      <c r="Z29957" s="372">
        <v>0.0</v>
      </c>
    </row>
    <row r="29958">
      <c r="Y29958" s="372">
        <v>0.0</v>
      </c>
      <c r="Z29958" s="372">
        <v>0.0</v>
      </c>
    </row>
    <row r="29959">
      <c r="Y29959" s="372">
        <v>0.0</v>
      </c>
      <c r="Z29959" s="372">
        <v>0.0</v>
      </c>
    </row>
    <row r="29960">
      <c r="Y29960" s="372">
        <v>0.0</v>
      </c>
      <c r="Z29960" s="372">
        <v>0.0</v>
      </c>
    </row>
    <row r="29961">
      <c r="Y29961" s="372">
        <v>0.0</v>
      </c>
      <c r="Z29961" s="372">
        <v>0.0</v>
      </c>
    </row>
    <row r="29962">
      <c r="Y29962" s="372">
        <v>0.0</v>
      </c>
      <c r="Z29962" s="372">
        <v>0.0</v>
      </c>
    </row>
    <row r="29963">
      <c r="Y29963" s="372">
        <v>0.0</v>
      </c>
      <c r="Z29963" s="372">
        <v>0.0</v>
      </c>
    </row>
    <row r="29964">
      <c r="Y29964" s="372">
        <v>0.0</v>
      </c>
      <c r="Z29964" s="372">
        <v>0.0</v>
      </c>
    </row>
    <row r="29965">
      <c r="Y29965" s="372">
        <v>0.0</v>
      </c>
      <c r="Z29965" s="372">
        <v>0.0</v>
      </c>
    </row>
    <row r="29966">
      <c r="Y29966" s="372">
        <v>0.0</v>
      </c>
      <c r="Z29966" s="372">
        <v>0.0</v>
      </c>
    </row>
    <row r="29967">
      <c r="Y29967" s="372">
        <v>0.0</v>
      </c>
      <c r="Z29967" s="372">
        <v>0.0</v>
      </c>
    </row>
    <row r="29968">
      <c r="Y29968" s="372">
        <v>0.0</v>
      </c>
      <c r="Z29968" s="372">
        <v>0.0</v>
      </c>
    </row>
    <row r="29969">
      <c r="Y29969" s="372">
        <v>0.0</v>
      </c>
      <c r="Z29969" s="372">
        <v>0.0</v>
      </c>
    </row>
    <row r="29970">
      <c r="Y29970" s="372">
        <v>0.0</v>
      </c>
      <c r="Z29970" s="372">
        <v>0.0</v>
      </c>
    </row>
    <row r="29971">
      <c r="Y29971" s="372">
        <v>0.0</v>
      </c>
      <c r="Z29971" s="372">
        <v>0.0</v>
      </c>
    </row>
    <row r="29972">
      <c r="Y29972" s="372">
        <v>0.0</v>
      </c>
      <c r="Z29972" s="372">
        <v>0.0</v>
      </c>
    </row>
    <row r="29973">
      <c r="Y29973" s="372">
        <v>0.0</v>
      </c>
      <c r="Z29973" s="372">
        <v>0.0</v>
      </c>
    </row>
    <row r="29974">
      <c r="Y29974" s="372">
        <v>0.0</v>
      </c>
      <c r="Z29974" s="372">
        <v>0.0</v>
      </c>
    </row>
    <row r="29975">
      <c r="Y29975" s="372">
        <v>0.0</v>
      </c>
      <c r="Z29975" s="372">
        <v>0.0</v>
      </c>
    </row>
    <row r="29976">
      <c r="Y29976" s="372">
        <v>0.0</v>
      </c>
      <c r="Z29976" s="372">
        <v>0.0</v>
      </c>
    </row>
    <row r="29977">
      <c r="Y29977" s="372">
        <v>0.0</v>
      </c>
      <c r="Z29977" s="372">
        <v>0.0</v>
      </c>
    </row>
    <row r="29978">
      <c r="Y29978" s="372">
        <v>0.0</v>
      </c>
      <c r="Z29978" s="372">
        <v>0.0</v>
      </c>
    </row>
    <row r="29979">
      <c r="Y29979" s="372">
        <v>0.0</v>
      </c>
      <c r="Z29979" s="372">
        <v>0.0</v>
      </c>
    </row>
    <row r="29980">
      <c r="Y29980" s="372">
        <v>0.0</v>
      </c>
      <c r="Z29980" s="372">
        <v>0.0</v>
      </c>
    </row>
    <row r="29981">
      <c r="Y29981" s="372">
        <v>0.0</v>
      </c>
      <c r="Z29981" s="372">
        <v>0.0</v>
      </c>
    </row>
    <row r="29982">
      <c r="Y29982" s="372">
        <v>0.0</v>
      </c>
      <c r="Z29982" s="372">
        <v>0.0</v>
      </c>
    </row>
    <row r="29983">
      <c r="Y29983" s="372">
        <v>0.0</v>
      </c>
      <c r="Z29983" s="372">
        <v>0.0</v>
      </c>
    </row>
    <row r="29984">
      <c r="Y29984" s="372">
        <v>0.0</v>
      </c>
      <c r="Z29984" s="372">
        <v>0.0</v>
      </c>
    </row>
    <row r="29985">
      <c r="Y29985" s="372">
        <v>0.0</v>
      </c>
      <c r="Z29985" s="372">
        <v>0.0</v>
      </c>
    </row>
    <row r="29986">
      <c r="Y29986" s="372">
        <v>0.0</v>
      </c>
      <c r="Z29986" s="372">
        <v>0.0</v>
      </c>
    </row>
    <row r="29987">
      <c r="Y29987" s="372">
        <v>0.0</v>
      </c>
      <c r="Z29987" s="372">
        <v>0.0</v>
      </c>
    </row>
    <row r="29988">
      <c r="Y29988" s="372">
        <v>0.0</v>
      </c>
      <c r="Z29988" s="372">
        <v>0.0</v>
      </c>
    </row>
    <row r="29989">
      <c r="Y29989" s="372">
        <v>0.0</v>
      </c>
      <c r="Z29989" s="372">
        <v>0.0</v>
      </c>
    </row>
    <row r="29990">
      <c r="Y29990" s="372">
        <v>0.0</v>
      </c>
      <c r="Z29990" s="372">
        <v>0.0</v>
      </c>
    </row>
    <row r="29991">
      <c r="Y29991" s="372">
        <v>0.0</v>
      </c>
      <c r="Z29991" s="372">
        <v>0.0</v>
      </c>
    </row>
    <row r="29992">
      <c r="Y29992" s="372">
        <v>0.0</v>
      </c>
      <c r="Z29992" s="372">
        <v>0.0</v>
      </c>
    </row>
    <row r="29993">
      <c r="Y29993" s="372">
        <v>0.0</v>
      </c>
      <c r="Z29993" s="372">
        <v>0.0</v>
      </c>
    </row>
    <row r="29994">
      <c r="Y29994" s="372">
        <v>0.0</v>
      </c>
      <c r="Z29994" s="372">
        <v>0.0</v>
      </c>
    </row>
    <row r="29995">
      <c r="Y29995" s="372">
        <v>0.0</v>
      </c>
      <c r="Z29995" s="372">
        <v>0.0</v>
      </c>
    </row>
    <row r="29996">
      <c r="Y29996" s="372">
        <v>0.0</v>
      </c>
      <c r="Z29996" s="372">
        <v>0.0</v>
      </c>
    </row>
    <row r="29997">
      <c r="Y29997" s="372">
        <v>0.0</v>
      </c>
      <c r="Z29997" s="372">
        <v>0.0</v>
      </c>
    </row>
    <row r="29998">
      <c r="Y29998" s="372">
        <v>0.0</v>
      </c>
      <c r="Z29998" s="372">
        <v>0.0</v>
      </c>
    </row>
    <row r="29999">
      <c r="Y29999" s="372">
        <v>0.0</v>
      </c>
      <c r="Z29999" s="372">
        <v>0.0</v>
      </c>
    </row>
    <row r="30000">
      <c r="Y30000" s="372">
        <v>0.0</v>
      </c>
      <c r="Z30000" s="372">
        <v>0.0</v>
      </c>
    </row>
    <row r="30001">
      <c r="Y30001" s="372">
        <v>0.0</v>
      </c>
      <c r="Z30001" s="372">
        <v>0.0</v>
      </c>
    </row>
    <row r="30002">
      <c r="Y30002" s="372">
        <v>0.0</v>
      </c>
      <c r="Z30002" s="372">
        <v>0.0</v>
      </c>
    </row>
    <row r="30003">
      <c r="Y30003" s="372">
        <v>0.0</v>
      </c>
      <c r="Z30003" s="372">
        <v>0.0</v>
      </c>
    </row>
    <row r="30004">
      <c r="Y30004" s="372">
        <v>0.0</v>
      </c>
      <c r="Z30004" s="372">
        <v>0.0</v>
      </c>
    </row>
    <row r="30005">
      <c r="Y30005" s="372">
        <v>0.0</v>
      </c>
      <c r="Z30005" s="372">
        <v>0.0</v>
      </c>
    </row>
    <row r="30006">
      <c r="Y30006" s="372">
        <v>0.0</v>
      </c>
      <c r="Z30006" s="372">
        <v>0.0</v>
      </c>
    </row>
    <row r="30007">
      <c r="Y30007" s="372">
        <v>0.0</v>
      </c>
      <c r="Z30007" s="372">
        <v>0.0</v>
      </c>
    </row>
    <row r="30008">
      <c r="Y30008" s="372">
        <v>0.0</v>
      </c>
      <c r="Z30008" s="372">
        <v>0.0</v>
      </c>
    </row>
    <row r="30009">
      <c r="Y30009" s="372">
        <v>0.0</v>
      </c>
      <c r="Z30009" s="372">
        <v>0.0</v>
      </c>
    </row>
    <row r="30010">
      <c r="Y30010" s="372">
        <v>0.0</v>
      </c>
      <c r="Z30010" s="372">
        <v>0.0</v>
      </c>
    </row>
    <row r="30011">
      <c r="Y30011" s="372">
        <v>0.0</v>
      </c>
      <c r="Z30011" s="372">
        <v>0.0</v>
      </c>
    </row>
    <row r="30012">
      <c r="Y30012" s="372">
        <v>0.0</v>
      </c>
      <c r="Z30012" s="372">
        <v>0.0</v>
      </c>
    </row>
    <row r="30013">
      <c r="Y30013" s="372">
        <v>0.0</v>
      </c>
      <c r="Z30013" s="372">
        <v>0.0</v>
      </c>
    </row>
    <row r="30014">
      <c r="Y30014" s="372">
        <v>0.0</v>
      </c>
      <c r="Z30014" s="372">
        <v>0.0</v>
      </c>
    </row>
    <row r="30015">
      <c r="Y30015" s="372">
        <v>0.0</v>
      </c>
      <c r="Z30015" s="372">
        <v>0.0</v>
      </c>
    </row>
    <row r="30016">
      <c r="Y30016" s="372">
        <v>0.0</v>
      </c>
      <c r="Z30016" s="372">
        <v>0.0</v>
      </c>
    </row>
    <row r="30017">
      <c r="Y30017" s="372">
        <v>0.0</v>
      </c>
      <c r="Z30017" s="372">
        <v>0.0</v>
      </c>
    </row>
    <row r="30018">
      <c r="Y30018" s="372">
        <v>0.0</v>
      </c>
      <c r="Z30018" s="372">
        <v>0.0</v>
      </c>
    </row>
    <row r="30019">
      <c r="Y30019" s="372">
        <v>0.0</v>
      </c>
      <c r="Z30019" s="372">
        <v>0.0</v>
      </c>
    </row>
    <row r="30020">
      <c r="Y30020" s="372">
        <v>0.0</v>
      </c>
      <c r="Z30020" s="372">
        <v>0.0</v>
      </c>
    </row>
    <row r="30021">
      <c r="Y30021" s="372">
        <v>0.0</v>
      </c>
      <c r="Z30021" s="372">
        <v>0.0</v>
      </c>
    </row>
    <row r="30022">
      <c r="Y30022" s="372">
        <v>0.0</v>
      </c>
      <c r="Z30022" s="372">
        <v>0.0</v>
      </c>
    </row>
    <row r="30023">
      <c r="Y30023" s="372">
        <v>0.0</v>
      </c>
      <c r="Z30023" s="372">
        <v>0.0</v>
      </c>
    </row>
    <row r="30024">
      <c r="Y30024" s="372">
        <v>0.0</v>
      </c>
      <c r="Z30024" s="372">
        <v>0.0</v>
      </c>
    </row>
    <row r="30025">
      <c r="Y30025" s="372">
        <v>0.0</v>
      </c>
      <c r="Z30025" s="372">
        <v>0.0</v>
      </c>
    </row>
    <row r="30026">
      <c r="Y30026" s="372">
        <v>0.0</v>
      </c>
      <c r="Z30026" s="372">
        <v>0.0</v>
      </c>
    </row>
    <row r="30027">
      <c r="Y30027" s="372">
        <v>0.0</v>
      </c>
      <c r="Z30027" s="372">
        <v>0.0</v>
      </c>
    </row>
    <row r="30028">
      <c r="Y30028" s="372">
        <v>0.0</v>
      </c>
      <c r="Z30028" s="372">
        <v>0.0</v>
      </c>
    </row>
    <row r="30029">
      <c r="Y30029" s="372">
        <v>0.0</v>
      </c>
      <c r="Z30029" s="372">
        <v>0.0</v>
      </c>
    </row>
    <row r="30030">
      <c r="Y30030" s="372">
        <v>0.0</v>
      </c>
      <c r="Z30030" s="372">
        <v>0.0</v>
      </c>
    </row>
    <row r="30031">
      <c r="Y30031" s="372">
        <v>0.0</v>
      </c>
      <c r="Z30031" s="372">
        <v>0.0</v>
      </c>
    </row>
    <row r="30032">
      <c r="Y30032" s="372">
        <v>0.0</v>
      </c>
      <c r="Z30032" s="372">
        <v>0.0</v>
      </c>
    </row>
    <row r="30033">
      <c r="Y30033" s="372">
        <v>0.0</v>
      </c>
      <c r="Z30033" s="372">
        <v>0.0</v>
      </c>
    </row>
    <row r="30034">
      <c r="Y30034" s="372">
        <v>0.0</v>
      </c>
      <c r="Z30034" s="372">
        <v>0.0</v>
      </c>
    </row>
    <row r="30035">
      <c r="Y30035" s="372">
        <v>0.0</v>
      </c>
      <c r="Z30035" s="372">
        <v>0.0</v>
      </c>
    </row>
    <row r="30036">
      <c r="Y30036" s="372">
        <v>0.0</v>
      </c>
      <c r="Z30036" s="372">
        <v>0.0</v>
      </c>
    </row>
    <row r="30037">
      <c r="Y30037" s="372">
        <v>0.0</v>
      </c>
      <c r="Z30037" s="372">
        <v>0.0</v>
      </c>
    </row>
    <row r="30038">
      <c r="Y30038" s="372">
        <v>0.0</v>
      </c>
      <c r="Z30038" s="372">
        <v>0.0</v>
      </c>
    </row>
    <row r="30039">
      <c r="Y30039" s="372">
        <v>0.0</v>
      </c>
      <c r="Z30039" s="372">
        <v>0.0</v>
      </c>
    </row>
    <row r="30040">
      <c r="Y30040" s="372">
        <v>0.0</v>
      </c>
      <c r="Z30040" s="372">
        <v>0.0</v>
      </c>
    </row>
    <row r="30041">
      <c r="Y30041" s="372">
        <v>0.0</v>
      </c>
      <c r="Z30041" s="372">
        <v>0.0</v>
      </c>
    </row>
    <row r="30042">
      <c r="Y30042" s="372">
        <v>0.0</v>
      </c>
      <c r="Z30042" s="372">
        <v>0.0</v>
      </c>
    </row>
    <row r="30043">
      <c r="Y30043" s="372">
        <v>0.0</v>
      </c>
      <c r="Z30043" s="372">
        <v>0.0</v>
      </c>
    </row>
    <row r="30044">
      <c r="Y30044" s="372">
        <v>0.0</v>
      </c>
      <c r="Z30044" s="372">
        <v>0.0</v>
      </c>
    </row>
    <row r="30045">
      <c r="Y30045" s="372">
        <v>0.0</v>
      </c>
      <c r="Z30045" s="372">
        <v>0.0</v>
      </c>
    </row>
    <row r="30046">
      <c r="Y30046" s="372">
        <v>0.0</v>
      </c>
      <c r="Z30046" s="372">
        <v>0.0</v>
      </c>
    </row>
    <row r="30047">
      <c r="Y30047" s="372">
        <v>0.0</v>
      </c>
      <c r="Z30047" s="372">
        <v>0.0</v>
      </c>
    </row>
    <row r="30048">
      <c r="Y30048" s="372">
        <v>0.0</v>
      </c>
      <c r="Z30048" s="372">
        <v>0.0</v>
      </c>
    </row>
    <row r="30049">
      <c r="Y30049" s="372">
        <v>0.0</v>
      </c>
      <c r="Z30049" s="372">
        <v>0.0</v>
      </c>
    </row>
    <row r="30050">
      <c r="Y30050" s="372">
        <v>0.0</v>
      </c>
      <c r="Z30050" s="372">
        <v>0.0</v>
      </c>
    </row>
    <row r="30051">
      <c r="Y30051" s="372">
        <v>0.0</v>
      </c>
      <c r="Z30051" s="372">
        <v>0.0</v>
      </c>
    </row>
    <row r="30052">
      <c r="Y30052" s="372">
        <v>0.0</v>
      </c>
      <c r="Z30052" s="372">
        <v>0.0</v>
      </c>
    </row>
    <row r="30053">
      <c r="Y30053" s="372">
        <v>0.0</v>
      </c>
      <c r="Z30053" s="372">
        <v>0.0</v>
      </c>
    </row>
    <row r="30054">
      <c r="Y30054" s="372">
        <v>0.0</v>
      </c>
      <c r="Z30054" s="372">
        <v>0.0</v>
      </c>
    </row>
    <row r="30055">
      <c r="Y30055" s="372">
        <v>0.0</v>
      </c>
      <c r="Z30055" s="372">
        <v>0.0</v>
      </c>
    </row>
    <row r="30056">
      <c r="Y30056" s="372">
        <v>0.0</v>
      </c>
      <c r="Z30056" s="372">
        <v>0.0</v>
      </c>
    </row>
    <row r="30057">
      <c r="Y30057" s="372">
        <v>0.0</v>
      </c>
      <c r="Z30057" s="372">
        <v>0.0</v>
      </c>
    </row>
    <row r="30058">
      <c r="Y30058" s="372">
        <v>0.0</v>
      </c>
      <c r="Z30058" s="372">
        <v>0.0</v>
      </c>
    </row>
    <row r="30059">
      <c r="Y30059" s="372">
        <v>0.0</v>
      </c>
      <c r="Z30059" s="372">
        <v>0.0</v>
      </c>
    </row>
    <row r="30060">
      <c r="Y30060" s="372">
        <v>0.0</v>
      </c>
      <c r="Z30060" s="372">
        <v>0.0</v>
      </c>
    </row>
    <row r="30061">
      <c r="Y30061" s="372">
        <v>0.0</v>
      </c>
      <c r="Z30061" s="372">
        <v>0.0</v>
      </c>
    </row>
    <row r="30062">
      <c r="Y30062" s="372">
        <v>0.0</v>
      </c>
      <c r="Z30062" s="372">
        <v>0.0</v>
      </c>
    </row>
    <row r="30063">
      <c r="Y30063" s="372">
        <v>0.0</v>
      </c>
      <c r="Z30063" s="372">
        <v>0.0</v>
      </c>
    </row>
    <row r="30064">
      <c r="Y30064" s="372">
        <v>0.0</v>
      </c>
      <c r="Z30064" s="372">
        <v>0.0</v>
      </c>
    </row>
    <row r="30065">
      <c r="Y30065" s="372">
        <v>0.0</v>
      </c>
      <c r="Z30065" s="372">
        <v>0.0</v>
      </c>
    </row>
    <row r="30066">
      <c r="Y30066" s="372">
        <v>0.0</v>
      </c>
      <c r="Z30066" s="372">
        <v>0.0</v>
      </c>
    </row>
    <row r="30067">
      <c r="Y30067" s="372">
        <v>0.0</v>
      </c>
      <c r="Z30067" s="372">
        <v>0.0</v>
      </c>
    </row>
    <row r="30068">
      <c r="Y30068" s="372">
        <v>0.0</v>
      </c>
      <c r="Z30068" s="372">
        <v>0.0</v>
      </c>
    </row>
    <row r="30069">
      <c r="Y30069" s="372">
        <v>0.0</v>
      </c>
      <c r="Z30069" s="372">
        <v>0.0</v>
      </c>
    </row>
    <row r="30070">
      <c r="Y30070" s="372">
        <v>0.0</v>
      </c>
      <c r="Z30070" s="372">
        <v>0.0</v>
      </c>
    </row>
    <row r="30071">
      <c r="Y30071" s="372">
        <v>0.0</v>
      </c>
      <c r="Z30071" s="372">
        <v>0.0</v>
      </c>
    </row>
    <row r="30072">
      <c r="Y30072" s="372">
        <v>0.0</v>
      </c>
      <c r="Z30072" s="372">
        <v>0.0</v>
      </c>
    </row>
    <row r="30073">
      <c r="Y30073" s="372">
        <v>0.0</v>
      </c>
      <c r="Z30073" s="372">
        <v>0.0</v>
      </c>
    </row>
    <row r="30074">
      <c r="Y30074" s="372">
        <v>0.0</v>
      </c>
      <c r="Z30074" s="372">
        <v>0.0</v>
      </c>
    </row>
    <row r="30075">
      <c r="Y30075" s="372">
        <v>0.0</v>
      </c>
      <c r="Z30075" s="372">
        <v>0.0</v>
      </c>
    </row>
    <row r="30076">
      <c r="Y30076" s="372">
        <v>0.0</v>
      </c>
      <c r="Z30076" s="372">
        <v>0.0</v>
      </c>
    </row>
    <row r="30077">
      <c r="Y30077" s="372">
        <v>0.0</v>
      </c>
      <c r="Z30077" s="372">
        <v>0.0</v>
      </c>
    </row>
    <row r="30078">
      <c r="Y30078" s="372">
        <v>0.0</v>
      </c>
      <c r="Z30078" s="372">
        <v>0.0</v>
      </c>
    </row>
    <row r="30079">
      <c r="Y30079" s="372">
        <v>0.0</v>
      </c>
      <c r="Z30079" s="372">
        <v>0.0</v>
      </c>
    </row>
    <row r="30080">
      <c r="Y30080" s="372">
        <v>0.0</v>
      </c>
      <c r="Z30080" s="372">
        <v>0.0</v>
      </c>
    </row>
    <row r="30081">
      <c r="Y30081" s="372">
        <v>0.0</v>
      </c>
      <c r="Z30081" s="372">
        <v>0.0</v>
      </c>
    </row>
    <row r="30082">
      <c r="Y30082" s="372">
        <v>0.0</v>
      </c>
      <c r="Z30082" s="372">
        <v>0.0</v>
      </c>
    </row>
    <row r="30083">
      <c r="Y30083" s="372">
        <v>0.0</v>
      </c>
      <c r="Z30083" s="372">
        <v>0.0</v>
      </c>
    </row>
    <row r="30084">
      <c r="Y30084" s="372">
        <v>0.0</v>
      </c>
      <c r="Z30084" s="372">
        <v>0.0</v>
      </c>
    </row>
    <row r="30085">
      <c r="Y30085" s="372">
        <v>0.0</v>
      </c>
      <c r="Z30085" s="372">
        <v>0.0</v>
      </c>
    </row>
    <row r="30086">
      <c r="Y30086" s="372">
        <v>0.0</v>
      </c>
      <c r="Z30086" s="372">
        <v>0.0</v>
      </c>
    </row>
    <row r="30087">
      <c r="Y30087" s="372">
        <v>0.0</v>
      </c>
      <c r="Z30087" s="372">
        <v>0.0</v>
      </c>
    </row>
    <row r="30088">
      <c r="Y30088" s="372">
        <v>0.0</v>
      </c>
      <c r="Z30088" s="372">
        <v>0.0</v>
      </c>
    </row>
    <row r="30089">
      <c r="Y30089" s="372">
        <v>0.0</v>
      </c>
      <c r="Z30089" s="372">
        <v>0.0</v>
      </c>
    </row>
    <row r="30090">
      <c r="Y30090" s="372">
        <v>0.0</v>
      </c>
      <c r="Z30090" s="372">
        <v>0.0</v>
      </c>
    </row>
    <row r="30091">
      <c r="Y30091" s="372">
        <v>0.0</v>
      </c>
      <c r="Z30091" s="372">
        <v>0.0</v>
      </c>
    </row>
    <row r="30092">
      <c r="Y30092" s="372">
        <v>0.0</v>
      </c>
      <c r="Z30092" s="372">
        <v>0.0</v>
      </c>
    </row>
    <row r="30093">
      <c r="Y30093" s="372">
        <v>0.0</v>
      </c>
      <c r="Z30093" s="372">
        <v>0.0</v>
      </c>
    </row>
    <row r="30094">
      <c r="Y30094" s="372">
        <v>0.0</v>
      </c>
      <c r="Z30094" s="372">
        <v>0.0</v>
      </c>
    </row>
    <row r="30095">
      <c r="Y30095" s="372">
        <v>0.0</v>
      </c>
      <c r="Z30095" s="372">
        <v>0.0</v>
      </c>
    </row>
    <row r="30096">
      <c r="Y30096" s="372">
        <v>0.0</v>
      </c>
      <c r="Z30096" s="372">
        <v>0.0</v>
      </c>
    </row>
    <row r="30097">
      <c r="Y30097" s="372">
        <v>0.0</v>
      </c>
      <c r="Z30097" s="372">
        <v>0.0</v>
      </c>
    </row>
    <row r="30098">
      <c r="Y30098" s="372">
        <v>0.0</v>
      </c>
      <c r="Z30098" s="372">
        <v>0.0</v>
      </c>
    </row>
    <row r="30099">
      <c r="Y30099" s="372">
        <v>0.0</v>
      </c>
      <c r="Z30099" s="372">
        <v>0.0</v>
      </c>
    </row>
    <row r="30100">
      <c r="Y30100" s="372">
        <v>0.0</v>
      </c>
      <c r="Z30100" s="372">
        <v>0.0</v>
      </c>
    </row>
    <row r="30101">
      <c r="Y30101" s="372">
        <v>0.0</v>
      </c>
      <c r="Z30101" s="372">
        <v>0.0</v>
      </c>
    </row>
    <row r="30102">
      <c r="Y30102" s="372">
        <v>0.0</v>
      </c>
      <c r="Z30102" s="372">
        <v>0.0</v>
      </c>
    </row>
    <row r="30103">
      <c r="Y30103" s="372">
        <v>0.0</v>
      </c>
      <c r="Z30103" s="372">
        <v>0.0</v>
      </c>
    </row>
    <row r="30104">
      <c r="Y30104" s="372">
        <v>0.0</v>
      </c>
      <c r="Z30104" s="372">
        <v>0.0</v>
      </c>
    </row>
    <row r="30105">
      <c r="Y30105" s="372">
        <v>0.0</v>
      </c>
      <c r="Z30105" s="372">
        <v>0.0</v>
      </c>
    </row>
    <row r="30106">
      <c r="Y30106" s="372">
        <v>0.0</v>
      </c>
      <c r="Z30106" s="372">
        <v>0.0</v>
      </c>
    </row>
    <row r="30107">
      <c r="Y30107" s="372">
        <v>0.0</v>
      </c>
      <c r="Z30107" s="372">
        <v>0.0</v>
      </c>
    </row>
    <row r="30108">
      <c r="Y30108" s="372">
        <v>0.0</v>
      </c>
      <c r="Z30108" s="372">
        <v>0.0</v>
      </c>
    </row>
    <row r="30109">
      <c r="Y30109" s="372">
        <v>0.0</v>
      </c>
      <c r="Z30109" s="372">
        <v>0.0</v>
      </c>
    </row>
    <row r="30110">
      <c r="Y30110" s="372">
        <v>0.0</v>
      </c>
      <c r="Z30110" s="372">
        <v>0.0</v>
      </c>
    </row>
    <row r="30111">
      <c r="Y30111" s="372">
        <v>0.0</v>
      </c>
      <c r="Z30111" s="372">
        <v>0.0</v>
      </c>
    </row>
    <row r="30112">
      <c r="Y30112" s="372">
        <v>0.0</v>
      </c>
      <c r="Z30112" s="372">
        <v>0.0</v>
      </c>
    </row>
    <row r="30113">
      <c r="Y30113" s="372">
        <v>0.0</v>
      </c>
      <c r="Z30113" s="372">
        <v>0.0</v>
      </c>
    </row>
    <row r="30114">
      <c r="Y30114" s="372">
        <v>0.0</v>
      </c>
      <c r="Z30114" s="372">
        <v>0.0</v>
      </c>
    </row>
    <row r="30115">
      <c r="Y30115" s="372">
        <v>0.0</v>
      </c>
      <c r="Z30115" s="372">
        <v>0.0</v>
      </c>
    </row>
    <row r="30116">
      <c r="Y30116" s="372">
        <v>0.0</v>
      </c>
      <c r="Z30116" s="372">
        <v>0.0</v>
      </c>
    </row>
    <row r="30117">
      <c r="Y30117" s="372">
        <v>0.0</v>
      </c>
      <c r="Z30117" s="372">
        <v>0.0</v>
      </c>
    </row>
    <row r="30118">
      <c r="Y30118" s="372">
        <v>0.0</v>
      </c>
      <c r="Z30118" s="372">
        <v>0.0</v>
      </c>
    </row>
    <row r="30119">
      <c r="Y30119" s="372">
        <v>0.0</v>
      </c>
      <c r="Z30119" s="372">
        <v>0.0</v>
      </c>
    </row>
    <row r="30120">
      <c r="Y30120" s="372">
        <v>0.0</v>
      </c>
      <c r="Z30120" s="372">
        <v>0.0</v>
      </c>
    </row>
    <row r="30121">
      <c r="Y30121" s="372">
        <v>0.0</v>
      </c>
      <c r="Z30121" s="372">
        <v>0.0</v>
      </c>
    </row>
    <row r="30122">
      <c r="Y30122" s="372">
        <v>0.0</v>
      </c>
      <c r="Z30122" s="372">
        <v>0.0</v>
      </c>
    </row>
    <row r="30123">
      <c r="Y30123" s="372">
        <v>0.0</v>
      </c>
      <c r="Z30123" s="372">
        <v>0.0</v>
      </c>
    </row>
    <row r="30124">
      <c r="Y30124" s="372">
        <v>0.0</v>
      </c>
      <c r="Z30124" s="372">
        <v>0.0</v>
      </c>
    </row>
    <row r="30125">
      <c r="Y30125" s="372">
        <v>0.0</v>
      </c>
      <c r="Z30125" s="372">
        <v>0.0</v>
      </c>
    </row>
    <row r="30126">
      <c r="Y30126" s="372">
        <v>0.0</v>
      </c>
      <c r="Z30126" s="372">
        <v>0.0</v>
      </c>
    </row>
    <row r="30127">
      <c r="Y30127" s="372">
        <v>0.0</v>
      </c>
      <c r="Z30127" s="372">
        <v>0.0</v>
      </c>
    </row>
    <row r="30128">
      <c r="Y30128" s="372">
        <v>0.0</v>
      </c>
      <c r="Z30128" s="372">
        <v>0.0</v>
      </c>
    </row>
    <row r="30129">
      <c r="Y30129" s="372">
        <v>0.0</v>
      </c>
      <c r="Z30129" s="372">
        <v>0.0</v>
      </c>
    </row>
    <row r="30130">
      <c r="Y30130" s="372">
        <v>0.0</v>
      </c>
      <c r="Z30130" s="372">
        <v>0.0</v>
      </c>
    </row>
    <row r="30131">
      <c r="Y30131" s="372">
        <v>0.0</v>
      </c>
      <c r="Z30131" s="372">
        <v>0.0</v>
      </c>
    </row>
    <row r="30132">
      <c r="Y30132" s="372">
        <v>0.0</v>
      </c>
      <c r="Z30132" s="372">
        <v>0.0</v>
      </c>
    </row>
    <row r="30133">
      <c r="Y30133" s="372">
        <v>0.0</v>
      </c>
      <c r="Z30133" s="372">
        <v>0.0</v>
      </c>
    </row>
    <row r="30134">
      <c r="Y30134" s="372">
        <v>0.0</v>
      </c>
      <c r="Z30134" s="372">
        <v>0.0</v>
      </c>
    </row>
    <row r="30135">
      <c r="Y30135" s="372">
        <v>0.0</v>
      </c>
      <c r="Z30135" s="372">
        <v>0.0</v>
      </c>
    </row>
    <row r="30136">
      <c r="Y30136" s="372">
        <v>0.0</v>
      </c>
      <c r="Z30136" s="372">
        <v>0.0</v>
      </c>
    </row>
    <row r="30137">
      <c r="Y30137" s="372">
        <v>0.0</v>
      </c>
      <c r="Z30137" s="372">
        <v>0.0</v>
      </c>
    </row>
    <row r="30138">
      <c r="Y30138" s="372">
        <v>0.0</v>
      </c>
      <c r="Z30138" s="372">
        <v>0.0</v>
      </c>
    </row>
    <row r="30139">
      <c r="Y30139" s="372">
        <v>0.0</v>
      </c>
      <c r="Z30139" s="372">
        <v>0.0</v>
      </c>
    </row>
    <row r="30140">
      <c r="Y30140" s="372">
        <v>0.0</v>
      </c>
      <c r="Z30140" s="372">
        <v>0.0</v>
      </c>
    </row>
    <row r="30141">
      <c r="Y30141" s="372">
        <v>0.0</v>
      </c>
      <c r="Z30141" s="372">
        <v>0.0</v>
      </c>
    </row>
    <row r="30142">
      <c r="Y30142" s="372">
        <v>0.0</v>
      </c>
      <c r="Z30142" s="372">
        <v>0.0</v>
      </c>
    </row>
    <row r="30143">
      <c r="Y30143" s="372">
        <v>0.0</v>
      </c>
      <c r="Z30143" s="372">
        <v>0.0</v>
      </c>
    </row>
    <row r="30144">
      <c r="Y30144" s="372">
        <v>0.0</v>
      </c>
      <c r="Z30144" s="372">
        <v>0.0</v>
      </c>
    </row>
    <row r="30145">
      <c r="Y30145" s="372">
        <v>0.0</v>
      </c>
      <c r="Z30145" s="372">
        <v>0.0</v>
      </c>
    </row>
    <row r="30146">
      <c r="Y30146" s="372">
        <v>0.0</v>
      </c>
      <c r="Z30146" s="372">
        <v>0.0</v>
      </c>
    </row>
    <row r="30147">
      <c r="Y30147" s="372">
        <v>0.0</v>
      </c>
      <c r="Z30147" s="372">
        <v>0.0</v>
      </c>
    </row>
    <row r="30148">
      <c r="Y30148" s="372">
        <v>0.0</v>
      </c>
      <c r="Z30148" s="372">
        <v>0.0</v>
      </c>
    </row>
    <row r="30149">
      <c r="Y30149" s="372">
        <v>0.0</v>
      </c>
      <c r="Z30149" s="372">
        <v>0.0</v>
      </c>
    </row>
    <row r="30150">
      <c r="Y30150" s="372">
        <v>0.0</v>
      </c>
      <c r="Z30150" s="372">
        <v>0.0</v>
      </c>
    </row>
    <row r="30151">
      <c r="Y30151" s="372">
        <v>0.0</v>
      </c>
      <c r="Z30151" s="372">
        <v>0.0</v>
      </c>
    </row>
    <row r="30152">
      <c r="Y30152" s="372">
        <v>0.0</v>
      </c>
      <c r="Z30152" s="372">
        <v>0.0</v>
      </c>
    </row>
    <row r="30153">
      <c r="Y30153" s="372">
        <v>0.0</v>
      </c>
      <c r="Z30153" s="372">
        <v>0.0</v>
      </c>
    </row>
    <row r="30154">
      <c r="Y30154" s="372">
        <v>0.0</v>
      </c>
      <c r="Z30154" s="372">
        <v>0.0</v>
      </c>
    </row>
    <row r="30155">
      <c r="Y30155" s="372">
        <v>0.0</v>
      </c>
      <c r="Z30155" s="372">
        <v>0.0</v>
      </c>
    </row>
    <row r="30156">
      <c r="Y30156" s="372">
        <v>0.0</v>
      </c>
      <c r="Z30156" s="372">
        <v>0.0</v>
      </c>
    </row>
    <row r="30157">
      <c r="Y30157" s="372">
        <v>0.0</v>
      </c>
      <c r="Z30157" s="372">
        <v>0.0</v>
      </c>
    </row>
    <row r="30158">
      <c r="Y30158" s="372">
        <v>0.0</v>
      </c>
      <c r="Z30158" s="372">
        <v>0.0</v>
      </c>
    </row>
    <row r="30159">
      <c r="Y30159" s="372">
        <v>0.0</v>
      </c>
      <c r="Z30159" s="372">
        <v>0.0</v>
      </c>
    </row>
    <row r="30160">
      <c r="Y30160" s="372">
        <v>0.0</v>
      </c>
      <c r="Z30160" s="372">
        <v>0.0</v>
      </c>
    </row>
    <row r="30161">
      <c r="Y30161" s="372">
        <v>0.0</v>
      </c>
      <c r="Z30161" s="372">
        <v>0.0</v>
      </c>
    </row>
    <row r="30162">
      <c r="Y30162" s="372">
        <v>0.0</v>
      </c>
      <c r="Z30162" s="372">
        <v>0.0</v>
      </c>
    </row>
    <row r="30163">
      <c r="Y30163" s="372">
        <v>0.0</v>
      </c>
      <c r="Z30163" s="372">
        <v>0.0</v>
      </c>
    </row>
    <row r="30164">
      <c r="Y30164" s="372">
        <v>0.0</v>
      </c>
      <c r="Z30164" s="372">
        <v>0.0</v>
      </c>
    </row>
    <row r="30165">
      <c r="Y30165" s="372">
        <v>0.0</v>
      </c>
      <c r="Z30165" s="372">
        <v>0.0</v>
      </c>
    </row>
    <row r="30166">
      <c r="Y30166" s="372">
        <v>0.0</v>
      </c>
      <c r="Z30166" s="372">
        <v>0.0</v>
      </c>
    </row>
    <row r="30167">
      <c r="Y30167" s="372">
        <v>0.0</v>
      </c>
      <c r="Z30167" s="372">
        <v>0.0</v>
      </c>
    </row>
    <row r="30168">
      <c r="Y30168" s="372">
        <v>0.0</v>
      </c>
      <c r="Z30168" s="372">
        <v>0.0</v>
      </c>
    </row>
    <row r="30169">
      <c r="Y30169" s="372">
        <v>0.0</v>
      </c>
      <c r="Z30169" s="372">
        <v>0.0</v>
      </c>
    </row>
    <row r="30170">
      <c r="Y30170" s="372">
        <v>0.0</v>
      </c>
      <c r="Z30170" s="372">
        <v>0.0</v>
      </c>
    </row>
    <row r="30171">
      <c r="Y30171" s="372">
        <v>0.0</v>
      </c>
      <c r="Z30171" s="372">
        <v>0.0</v>
      </c>
    </row>
    <row r="30172">
      <c r="Y30172" s="372">
        <v>0.0</v>
      </c>
      <c r="Z30172" s="372">
        <v>0.0</v>
      </c>
    </row>
    <row r="30173">
      <c r="Y30173" s="372">
        <v>0.0</v>
      </c>
      <c r="Z30173" s="372">
        <v>0.0</v>
      </c>
    </row>
    <row r="30174">
      <c r="Y30174" s="372">
        <v>0.0</v>
      </c>
      <c r="Z30174" s="372">
        <v>0.0</v>
      </c>
    </row>
    <row r="30175">
      <c r="Y30175" s="372">
        <v>0.0</v>
      </c>
      <c r="Z30175" s="372">
        <v>0.0</v>
      </c>
    </row>
    <row r="30176">
      <c r="Y30176" s="372">
        <v>0.0</v>
      </c>
      <c r="Z30176" s="372">
        <v>0.0</v>
      </c>
    </row>
    <row r="30177">
      <c r="Y30177" s="372">
        <v>0.0</v>
      </c>
      <c r="Z30177" s="372">
        <v>0.0</v>
      </c>
    </row>
    <row r="30178">
      <c r="Y30178" s="372">
        <v>0.0</v>
      </c>
      <c r="Z30178" s="372">
        <v>0.0</v>
      </c>
    </row>
    <row r="30179">
      <c r="Y30179" s="372">
        <v>0.0</v>
      </c>
      <c r="Z30179" s="372">
        <v>0.0</v>
      </c>
    </row>
    <row r="30180">
      <c r="Y30180" s="372">
        <v>0.0</v>
      </c>
      <c r="Z30180" s="372">
        <v>0.0</v>
      </c>
    </row>
    <row r="30181">
      <c r="Y30181" s="372">
        <v>0.0</v>
      </c>
      <c r="Z30181" s="372">
        <v>0.0</v>
      </c>
    </row>
    <row r="30182">
      <c r="Y30182" s="372">
        <v>0.0</v>
      </c>
      <c r="Z30182" s="372">
        <v>0.0</v>
      </c>
    </row>
    <row r="30183">
      <c r="Y30183" s="372">
        <v>0.0</v>
      </c>
      <c r="Z30183" s="372">
        <v>0.0</v>
      </c>
    </row>
    <row r="30184">
      <c r="Y30184" s="372">
        <v>0.0</v>
      </c>
      <c r="Z30184" s="372">
        <v>0.0</v>
      </c>
    </row>
    <row r="30185">
      <c r="Y30185" s="372">
        <v>0.0</v>
      </c>
      <c r="Z30185" s="372">
        <v>0.0</v>
      </c>
    </row>
    <row r="30186">
      <c r="Y30186" s="372">
        <v>0.0</v>
      </c>
      <c r="Z30186" s="372">
        <v>0.0</v>
      </c>
    </row>
    <row r="30187">
      <c r="Y30187" s="372">
        <v>0.0</v>
      </c>
      <c r="Z30187" s="372">
        <v>0.0</v>
      </c>
    </row>
    <row r="30188">
      <c r="Y30188" s="372">
        <v>0.0</v>
      </c>
      <c r="Z30188" s="372">
        <v>0.0</v>
      </c>
    </row>
    <row r="30189">
      <c r="Y30189" s="372">
        <v>0.0</v>
      </c>
      <c r="Z30189" s="372">
        <v>0.0</v>
      </c>
    </row>
    <row r="30190">
      <c r="Y30190" s="372">
        <v>0.0</v>
      </c>
      <c r="Z30190" s="372">
        <v>0.0</v>
      </c>
    </row>
    <row r="30191">
      <c r="Y30191" s="372">
        <v>0.0</v>
      </c>
      <c r="Z30191" s="372">
        <v>0.0</v>
      </c>
    </row>
    <row r="30192">
      <c r="Y30192" s="372">
        <v>0.0</v>
      </c>
      <c r="Z30192" s="372">
        <v>0.0</v>
      </c>
    </row>
    <row r="30193">
      <c r="Y30193" s="372">
        <v>0.0</v>
      </c>
      <c r="Z30193" s="372">
        <v>0.0</v>
      </c>
    </row>
    <row r="30194">
      <c r="Y30194" s="372">
        <v>0.0</v>
      </c>
      <c r="Z30194" s="372">
        <v>0.0</v>
      </c>
    </row>
    <row r="30195">
      <c r="Y30195" s="372">
        <v>0.0</v>
      </c>
      <c r="Z30195" s="372">
        <v>0.0</v>
      </c>
    </row>
    <row r="30196">
      <c r="Y30196" s="372">
        <v>0.0</v>
      </c>
      <c r="Z30196" s="372">
        <v>0.0</v>
      </c>
    </row>
    <row r="30197">
      <c r="Y30197" s="372">
        <v>0.0</v>
      </c>
      <c r="Z30197" s="372">
        <v>0.0</v>
      </c>
    </row>
    <row r="30198">
      <c r="Y30198" s="372">
        <v>0.0</v>
      </c>
      <c r="Z30198" s="372">
        <v>0.0</v>
      </c>
    </row>
    <row r="30199">
      <c r="Y30199" s="372">
        <v>0.0</v>
      </c>
      <c r="Z30199" s="372">
        <v>0.0</v>
      </c>
    </row>
    <row r="30200">
      <c r="Y30200" s="372">
        <v>0.0</v>
      </c>
      <c r="Z30200" s="372">
        <v>0.0</v>
      </c>
    </row>
    <row r="30201">
      <c r="Y30201" s="372">
        <v>0.0</v>
      </c>
      <c r="Z30201" s="372">
        <v>0.0</v>
      </c>
    </row>
    <row r="30202">
      <c r="Y30202" s="372">
        <v>0.0</v>
      </c>
      <c r="Z30202" s="372">
        <v>0.0</v>
      </c>
    </row>
    <row r="30203">
      <c r="Y30203" s="372">
        <v>0.0</v>
      </c>
      <c r="Z30203" s="372">
        <v>0.0</v>
      </c>
    </row>
    <row r="30204">
      <c r="Y30204" s="372">
        <v>0.0</v>
      </c>
      <c r="Z30204" s="372">
        <v>0.0</v>
      </c>
    </row>
    <row r="30205">
      <c r="Y30205" s="372">
        <v>0.0</v>
      </c>
      <c r="Z30205" s="372">
        <v>0.0</v>
      </c>
    </row>
    <row r="30206">
      <c r="Y30206" s="372">
        <v>0.0</v>
      </c>
      <c r="Z30206" s="372">
        <v>0.0</v>
      </c>
    </row>
    <row r="30207">
      <c r="Y30207" s="372">
        <v>0.0</v>
      </c>
      <c r="Z30207" s="372">
        <v>0.0</v>
      </c>
    </row>
    <row r="30208">
      <c r="Y30208" s="372">
        <v>0.0</v>
      </c>
      <c r="Z30208" s="372">
        <v>0.0</v>
      </c>
    </row>
    <row r="30209">
      <c r="Y30209" s="372">
        <v>0.0</v>
      </c>
      <c r="Z30209" s="372">
        <v>0.0</v>
      </c>
    </row>
    <row r="30210">
      <c r="Y30210" s="372">
        <v>0.0</v>
      </c>
      <c r="Z30210" s="372">
        <v>0.0</v>
      </c>
    </row>
    <row r="30211">
      <c r="Y30211" s="372">
        <v>0.0</v>
      </c>
      <c r="Z30211" s="372">
        <v>0.0</v>
      </c>
    </row>
    <row r="30212">
      <c r="Y30212" s="372">
        <v>0.0</v>
      </c>
      <c r="Z30212" s="372">
        <v>0.0</v>
      </c>
    </row>
    <row r="30213">
      <c r="Y30213" s="372">
        <v>0.0</v>
      </c>
      <c r="Z30213" s="372">
        <v>0.0</v>
      </c>
    </row>
    <row r="30214">
      <c r="Y30214" s="372">
        <v>0.0</v>
      </c>
      <c r="Z30214" s="372">
        <v>0.0</v>
      </c>
    </row>
    <row r="30215">
      <c r="Y30215" s="372">
        <v>0.0</v>
      </c>
      <c r="Z30215" s="372">
        <v>0.0</v>
      </c>
    </row>
    <row r="30216">
      <c r="Y30216" s="372">
        <v>0.0</v>
      </c>
      <c r="Z30216" s="372">
        <v>0.0</v>
      </c>
    </row>
    <row r="30217">
      <c r="Y30217" s="372">
        <v>0.0</v>
      </c>
      <c r="Z30217" s="372">
        <v>0.0</v>
      </c>
    </row>
    <row r="30218">
      <c r="Y30218" s="372">
        <v>0.0</v>
      </c>
      <c r="Z30218" s="372">
        <v>0.0</v>
      </c>
    </row>
    <row r="30219">
      <c r="Y30219" s="372">
        <v>0.0</v>
      </c>
      <c r="Z30219" s="372">
        <v>0.0</v>
      </c>
    </row>
    <row r="30220">
      <c r="Y30220" s="372">
        <v>0.0</v>
      </c>
      <c r="Z30220" s="372">
        <v>0.0</v>
      </c>
    </row>
    <row r="30221">
      <c r="Y30221" s="372">
        <v>0.0</v>
      </c>
      <c r="Z30221" s="372">
        <v>0.0</v>
      </c>
    </row>
    <row r="30222">
      <c r="Y30222" s="372">
        <v>0.0</v>
      </c>
      <c r="Z30222" s="372">
        <v>0.0</v>
      </c>
    </row>
    <row r="30223">
      <c r="Y30223" s="372">
        <v>0.0</v>
      </c>
      <c r="Z30223" s="372">
        <v>0.0</v>
      </c>
    </row>
    <row r="30224">
      <c r="Y30224" s="372">
        <v>0.0</v>
      </c>
      <c r="Z30224" s="372">
        <v>0.0</v>
      </c>
    </row>
    <row r="30225">
      <c r="Y30225" s="372">
        <v>0.0</v>
      </c>
      <c r="Z30225" s="372">
        <v>0.0</v>
      </c>
    </row>
    <row r="30226">
      <c r="Y30226" s="372">
        <v>0.0</v>
      </c>
      <c r="Z30226" s="372">
        <v>0.0</v>
      </c>
    </row>
    <row r="30227">
      <c r="Y30227" s="372">
        <v>0.0</v>
      </c>
      <c r="Z30227" s="372">
        <v>0.0</v>
      </c>
    </row>
    <row r="30228">
      <c r="Y30228" s="372">
        <v>0.0</v>
      </c>
      <c r="Z30228" s="372">
        <v>0.0</v>
      </c>
    </row>
    <row r="30229">
      <c r="Y30229" s="372">
        <v>0.0</v>
      </c>
      <c r="Z30229" s="372">
        <v>0.0</v>
      </c>
    </row>
    <row r="30230">
      <c r="Y30230" s="372">
        <v>0.0</v>
      </c>
      <c r="Z30230" s="372">
        <v>0.0</v>
      </c>
    </row>
    <row r="30231">
      <c r="Y30231" s="372">
        <v>0.0</v>
      </c>
      <c r="Z30231" s="372">
        <v>0.0</v>
      </c>
    </row>
    <row r="30232">
      <c r="Y30232" s="372">
        <v>0.0</v>
      </c>
      <c r="Z30232" s="372">
        <v>0.0</v>
      </c>
    </row>
    <row r="30233">
      <c r="Y30233" s="372">
        <v>0.0</v>
      </c>
      <c r="Z30233" s="372">
        <v>0.0</v>
      </c>
    </row>
    <row r="30234">
      <c r="Y30234" s="372">
        <v>0.0</v>
      </c>
      <c r="Z30234" s="372">
        <v>0.0</v>
      </c>
    </row>
    <row r="30235">
      <c r="Y30235" s="372">
        <v>0.0</v>
      </c>
      <c r="Z30235" s="372">
        <v>0.0</v>
      </c>
    </row>
    <row r="30236">
      <c r="Y30236" s="372">
        <v>0.0</v>
      </c>
      <c r="Z30236" s="372">
        <v>0.0</v>
      </c>
    </row>
    <row r="30237">
      <c r="Y30237" s="372">
        <v>0.0</v>
      </c>
      <c r="Z30237" s="372">
        <v>0.0</v>
      </c>
    </row>
    <row r="30238">
      <c r="Y30238" s="372">
        <v>0.0</v>
      </c>
      <c r="Z30238" s="372">
        <v>0.0</v>
      </c>
    </row>
    <row r="30239">
      <c r="Y30239" s="372">
        <v>0.0</v>
      </c>
      <c r="Z30239" s="372">
        <v>0.0</v>
      </c>
    </row>
    <row r="30240">
      <c r="Y30240" s="372">
        <v>0.0</v>
      </c>
      <c r="Z30240" s="372">
        <v>0.0</v>
      </c>
    </row>
    <row r="30241">
      <c r="Y30241" s="372">
        <v>0.0</v>
      </c>
      <c r="Z30241" s="372">
        <v>0.0</v>
      </c>
    </row>
    <row r="30242">
      <c r="Y30242" s="372">
        <v>0.0</v>
      </c>
      <c r="Z30242" s="372">
        <v>0.0</v>
      </c>
    </row>
    <row r="30243">
      <c r="Y30243" s="372">
        <v>0.0</v>
      </c>
      <c r="Z30243" s="372">
        <v>0.0</v>
      </c>
    </row>
    <row r="30244">
      <c r="Y30244" s="372">
        <v>0.0</v>
      </c>
      <c r="Z30244" s="372">
        <v>0.0</v>
      </c>
    </row>
    <row r="30245">
      <c r="Y30245" s="372">
        <v>0.0</v>
      </c>
      <c r="Z30245" s="372">
        <v>0.0</v>
      </c>
    </row>
    <row r="30246">
      <c r="Y30246" s="372">
        <v>0.0</v>
      </c>
      <c r="Z30246" s="372">
        <v>0.0</v>
      </c>
    </row>
    <row r="30247">
      <c r="Y30247" s="372">
        <v>0.0</v>
      </c>
      <c r="Z30247" s="372">
        <v>0.0</v>
      </c>
    </row>
    <row r="30248">
      <c r="Y30248" s="372">
        <v>0.0</v>
      </c>
      <c r="Z30248" s="372">
        <v>0.0</v>
      </c>
    </row>
    <row r="30249">
      <c r="Y30249" s="372">
        <v>0.0</v>
      </c>
      <c r="Z30249" s="372">
        <v>0.0</v>
      </c>
    </row>
    <row r="30250">
      <c r="Y30250" s="372">
        <v>0.0</v>
      </c>
      <c r="Z30250" s="372">
        <v>0.0</v>
      </c>
    </row>
    <row r="30251">
      <c r="Y30251" s="372">
        <v>0.0</v>
      </c>
      <c r="Z30251" s="372">
        <v>0.0</v>
      </c>
    </row>
    <row r="30252">
      <c r="Y30252" s="372">
        <v>0.0</v>
      </c>
      <c r="Z30252" s="372">
        <v>0.0</v>
      </c>
    </row>
    <row r="30253">
      <c r="Y30253" s="372">
        <v>0.0</v>
      </c>
      <c r="Z30253" s="372">
        <v>0.0</v>
      </c>
    </row>
    <row r="30254">
      <c r="Y30254" s="372">
        <v>0.0</v>
      </c>
      <c r="Z30254" s="372">
        <v>0.0</v>
      </c>
    </row>
    <row r="30255">
      <c r="Y30255" s="372">
        <v>0.0</v>
      </c>
      <c r="Z30255" s="372">
        <v>0.0</v>
      </c>
    </row>
    <row r="30256">
      <c r="Y30256" s="372">
        <v>0.0</v>
      </c>
      <c r="Z30256" s="372">
        <v>0.0</v>
      </c>
    </row>
    <row r="30257">
      <c r="Y30257" s="372">
        <v>0.0</v>
      </c>
      <c r="Z30257" s="372">
        <v>0.0</v>
      </c>
    </row>
    <row r="30258">
      <c r="Y30258" s="372">
        <v>0.0</v>
      </c>
      <c r="Z30258" s="372">
        <v>0.0</v>
      </c>
    </row>
    <row r="30259">
      <c r="Y30259" s="372">
        <v>0.0</v>
      </c>
      <c r="Z30259" s="372">
        <v>0.0</v>
      </c>
    </row>
    <row r="30260">
      <c r="Y30260" s="372">
        <v>0.0</v>
      </c>
      <c r="Z30260" s="372">
        <v>0.0</v>
      </c>
    </row>
    <row r="30261">
      <c r="Y30261" s="372">
        <v>0.0</v>
      </c>
      <c r="Z30261" s="372">
        <v>0.0</v>
      </c>
    </row>
    <row r="30262">
      <c r="Y30262" s="372">
        <v>0.0</v>
      </c>
      <c r="Z30262" s="372">
        <v>0.0</v>
      </c>
    </row>
    <row r="30263">
      <c r="Y30263" s="372">
        <v>0.0</v>
      </c>
      <c r="Z30263" s="372">
        <v>0.0</v>
      </c>
    </row>
    <row r="30264">
      <c r="Y30264" s="372">
        <v>0.0</v>
      </c>
      <c r="Z30264" s="372">
        <v>0.0</v>
      </c>
    </row>
    <row r="30265">
      <c r="Y30265" s="372">
        <v>0.0</v>
      </c>
      <c r="Z30265" s="372">
        <v>0.0</v>
      </c>
    </row>
    <row r="30266">
      <c r="Y30266" s="372">
        <v>0.0</v>
      </c>
      <c r="Z30266" s="372">
        <v>0.0</v>
      </c>
    </row>
    <row r="30267">
      <c r="Y30267" s="372">
        <v>0.0</v>
      </c>
      <c r="Z30267" s="372">
        <v>0.0</v>
      </c>
    </row>
    <row r="30268">
      <c r="Y30268" s="372">
        <v>0.0</v>
      </c>
      <c r="Z30268" s="372">
        <v>0.0</v>
      </c>
    </row>
    <row r="30269">
      <c r="Y30269" s="372">
        <v>0.0</v>
      </c>
      <c r="Z30269" s="372">
        <v>0.0</v>
      </c>
    </row>
    <row r="30270">
      <c r="Y30270" s="372">
        <v>0.0</v>
      </c>
      <c r="Z30270" s="372">
        <v>0.0</v>
      </c>
    </row>
    <row r="30271">
      <c r="Y30271" s="372">
        <v>0.0</v>
      </c>
      <c r="Z30271" s="372">
        <v>0.0</v>
      </c>
    </row>
    <row r="30272">
      <c r="Y30272" s="372">
        <v>0.0</v>
      </c>
      <c r="Z30272" s="372">
        <v>0.0</v>
      </c>
    </row>
    <row r="30273">
      <c r="Y30273" s="372">
        <v>0.0</v>
      </c>
      <c r="Z30273" s="372">
        <v>0.0</v>
      </c>
    </row>
    <row r="30274">
      <c r="Y30274" s="372">
        <v>0.0</v>
      </c>
      <c r="Z30274" s="372">
        <v>0.0</v>
      </c>
    </row>
    <row r="30275">
      <c r="Y30275" s="372">
        <v>0.0</v>
      </c>
      <c r="Z30275" s="372">
        <v>0.0</v>
      </c>
    </row>
    <row r="30276">
      <c r="Y30276" s="372">
        <v>0.0</v>
      </c>
      <c r="Z30276" s="372">
        <v>0.0</v>
      </c>
    </row>
    <row r="30277">
      <c r="Y30277" s="372">
        <v>0.0</v>
      </c>
      <c r="Z30277" s="372">
        <v>0.0</v>
      </c>
    </row>
    <row r="30278">
      <c r="Y30278" s="372">
        <v>0.0</v>
      </c>
      <c r="Z30278" s="372">
        <v>0.0</v>
      </c>
    </row>
    <row r="30279">
      <c r="Y30279" s="372">
        <v>0.0</v>
      </c>
      <c r="Z30279" s="372">
        <v>0.0</v>
      </c>
    </row>
    <row r="30280">
      <c r="Y30280" s="372">
        <v>0.0</v>
      </c>
      <c r="Z30280" s="372">
        <v>0.0</v>
      </c>
    </row>
    <row r="30281">
      <c r="Y30281" s="372">
        <v>0.0</v>
      </c>
      <c r="Z30281" s="372">
        <v>0.0</v>
      </c>
    </row>
    <row r="30282">
      <c r="Y30282" s="372">
        <v>0.0</v>
      </c>
      <c r="Z30282" s="372">
        <v>0.0</v>
      </c>
    </row>
    <row r="30283">
      <c r="Y30283" s="372">
        <v>0.0</v>
      </c>
      <c r="Z30283" s="372">
        <v>0.0</v>
      </c>
    </row>
    <row r="30284">
      <c r="Y30284" s="372">
        <v>0.0</v>
      </c>
      <c r="Z30284" s="372">
        <v>0.0</v>
      </c>
    </row>
    <row r="30285">
      <c r="Y30285" s="372">
        <v>0.0</v>
      </c>
      <c r="Z30285" s="372">
        <v>0.0</v>
      </c>
    </row>
    <row r="30286">
      <c r="Y30286" s="372">
        <v>0.0</v>
      </c>
      <c r="Z30286" s="372">
        <v>0.0</v>
      </c>
    </row>
    <row r="30287">
      <c r="Y30287" s="372">
        <v>0.0</v>
      </c>
      <c r="Z30287" s="372">
        <v>0.0</v>
      </c>
    </row>
    <row r="30288">
      <c r="Y30288" s="372">
        <v>0.0</v>
      </c>
      <c r="Z30288" s="372">
        <v>0.0</v>
      </c>
    </row>
    <row r="30289">
      <c r="Y30289" s="372">
        <v>0.0</v>
      </c>
      <c r="Z30289" s="372">
        <v>0.0</v>
      </c>
    </row>
    <row r="30290">
      <c r="Y30290" s="372">
        <v>0.0</v>
      </c>
      <c r="Z30290" s="372">
        <v>0.0</v>
      </c>
    </row>
    <row r="30291">
      <c r="Y30291" s="372">
        <v>0.0</v>
      </c>
      <c r="Z30291" s="372">
        <v>0.0</v>
      </c>
    </row>
    <row r="30292">
      <c r="Y30292" s="372">
        <v>0.0</v>
      </c>
      <c r="Z30292" s="372">
        <v>0.0</v>
      </c>
    </row>
    <row r="30293">
      <c r="Y30293" s="372">
        <v>0.0</v>
      </c>
      <c r="Z30293" s="372">
        <v>0.0</v>
      </c>
    </row>
    <row r="30294">
      <c r="Y30294" s="372">
        <v>0.0</v>
      </c>
      <c r="Z30294" s="372">
        <v>0.0</v>
      </c>
    </row>
    <row r="30295">
      <c r="Y30295" s="372">
        <v>0.0</v>
      </c>
      <c r="Z30295" s="372">
        <v>0.0</v>
      </c>
    </row>
    <row r="30296">
      <c r="Y30296" s="372">
        <v>0.0</v>
      </c>
      <c r="Z30296" s="372">
        <v>0.0</v>
      </c>
    </row>
    <row r="30297">
      <c r="Y30297" s="372">
        <v>0.0</v>
      </c>
      <c r="Z30297" s="372">
        <v>0.0</v>
      </c>
    </row>
    <row r="30298">
      <c r="Y30298" s="372">
        <v>0.0</v>
      </c>
      <c r="Z30298" s="372">
        <v>0.0</v>
      </c>
    </row>
    <row r="30299">
      <c r="Y30299" s="372">
        <v>0.0</v>
      </c>
      <c r="Z30299" s="372">
        <v>0.0</v>
      </c>
    </row>
    <row r="30300">
      <c r="Y30300" s="372">
        <v>0.0</v>
      </c>
      <c r="Z30300" s="372">
        <v>0.0</v>
      </c>
    </row>
    <row r="30301">
      <c r="Y30301" s="372">
        <v>0.0</v>
      </c>
      <c r="Z30301" s="372">
        <v>0.0</v>
      </c>
    </row>
    <row r="30302">
      <c r="Y30302" s="372">
        <v>0.0</v>
      </c>
      <c r="Z30302" s="372">
        <v>0.0</v>
      </c>
    </row>
    <row r="30303">
      <c r="Y30303" s="372">
        <v>0.0</v>
      </c>
      <c r="Z30303" s="372">
        <v>0.0</v>
      </c>
    </row>
    <row r="30304">
      <c r="Y30304" s="372">
        <v>0.0</v>
      </c>
      <c r="Z30304" s="372">
        <v>0.0</v>
      </c>
    </row>
    <row r="30305">
      <c r="Y30305" s="372">
        <v>0.0</v>
      </c>
      <c r="Z30305" s="372">
        <v>0.0</v>
      </c>
    </row>
    <row r="30306">
      <c r="Y30306" s="372">
        <v>0.0</v>
      </c>
      <c r="Z30306" s="372">
        <v>0.0</v>
      </c>
    </row>
    <row r="30307">
      <c r="Y30307" s="372">
        <v>0.0</v>
      </c>
      <c r="Z30307" s="372">
        <v>0.0</v>
      </c>
    </row>
    <row r="30308">
      <c r="Y30308" s="372">
        <v>0.0</v>
      </c>
      <c r="Z30308" s="372">
        <v>0.0</v>
      </c>
    </row>
    <row r="30309">
      <c r="Y30309" s="372">
        <v>0.0</v>
      </c>
      <c r="Z30309" s="372">
        <v>0.0</v>
      </c>
    </row>
    <row r="30310">
      <c r="Y30310" s="372">
        <v>0.0</v>
      </c>
      <c r="Z30310" s="372">
        <v>0.0</v>
      </c>
    </row>
    <row r="30311">
      <c r="Y30311" s="372">
        <v>0.0</v>
      </c>
      <c r="Z30311" s="372">
        <v>0.0</v>
      </c>
    </row>
    <row r="30312">
      <c r="Y30312" s="372">
        <v>0.0</v>
      </c>
      <c r="Z30312" s="372">
        <v>0.0</v>
      </c>
    </row>
    <row r="30313">
      <c r="Y30313" s="372">
        <v>0.0</v>
      </c>
      <c r="Z30313" s="372">
        <v>0.0</v>
      </c>
    </row>
    <row r="30314">
      <c r="Y30314" s="372">
        <v>0.0</v>
      </c>
      <c r="Z30314" s="372">
        <v>0.0</v>
      </c>
    </row>
    <row r="30315">
      <c r="Y30315" s="372">
        <v>0.0</v>
      </c>
      <c r="Z30315" s="372">
        <v>0.0</v>
      </c>
    </row>
    <row r="30316">
      <c r="Y30316" s="372">
        <v>0.0</v>
      </c>
      <c r="Z30316" s="372">
        <v>0.0</v>
      </c>
    </row>
    <row r="30317">
      <c r="Y30317" s="372">
        <v>0.0</v>
      </c>
      <c r="Z30317" s="372">
        <v>0.0</v>
      </c>
    </row>
    <row r="30318">
      <c r="Y30318" s="372">
        <v>0.0</v>
      </c>
      <c r="Z30318" s="372">
        <v>0.0</v>
      </c>
    </row>
    <row r="30319">
      <c r="Y30319" s="372">
        <v>0.0</v>
      </c>
      <c r="Z30319" s="372">
        <v>0.0</v>
      </c>
    </row>
    <row r="30320">
      <c r="Y30320" s="372">
        <v>0.0</v>
      </c>
      <c r="Z30320" s="372">
        <v>0.0</v>
      </c>
    </row>
    <row r="30321">
      <c r="Y30321" s="372">
        <v>0.0</v>
      </c>
      <c r="Z30321" s="372">
        <v>0.0</v>
      </c>
    </row>
    <row r="30322">
      <c r="Y30322" s="372">
        <v>0.0</v>
      </c>
      <c r="Z30322" s="372">
        <v>0.0</v>
      </c>
    </row>
    <row r="30323">
      <c r="Y30323" s="372">
        <v>0.0</v>
      </c>
      <c r="Z30323" s="372">
        <v>0.0</v>
      </c>
    </row>
    <row r="30324">
      <c r="Y30324" s="372">
        <v>0.0</v>
      </c>
      <c r="Z30324" s="372">
        <v>0.0</v>
      </c>
    </row>
    <row r="30325">
      <c r="Y30325" s="372">
        <v>0.0</v>
      </c>
      <c r="Z30325" s="372">
        <v>0.0</v>
      </c>
    </row>
    <row r="30326">
      <c r="Y30326" s="372">
        <v>0.0</v>
      </c>
      <c r="Z30326" s="372">
        <v>0.0</v>
      </c>
    </row>
    <row r="30327">
      <c r="Y30327" s="372">
        <v>0.0</v>
      </c>
      <c r="Z30327" s="372">
        <v>0.0</v>
      </c>
    </row>
    <row r="30328">
      <c r="Y30328" s="372">
        <v>0.0</v>
      </c>
      <c r="Z30328" s="372">
        <v>0.0</v>
      </c>
    </row>
    <row r="30329">
      <c r="Y30329" s="372">
        <v>0.0</v>
      </c>
      <c r="Z30329" s="372">
        <v>0.0</v>
      </c>
    </row>
    <row r="30330">
      <c r="Y30330" s="372">
        <v>0.0</v>
      </c>
      <c r="Z30330" s="372">
        <v>0.0</v>
      </c>
    </row>
    <row r="30331">
      <c r="Y30331" s="372">
        <v>0.0</v>
      </c>
      <c r="Z30331" s="372">
        <v>0.0</v>
      </c>
    </row>
    <row r="30332">
      <c r="Y30332" s="372">
        <v>0.0</v>
      </c>
      <c r="Z30332" s="372">
        <v>0.0</v>
      </c>
    </row>
    <row r="30333">
      <c r="Y30333" s="372">
        <v>0.0</v>
      </c>
      <c r="Z30333" s="372">
        <v>0.0</v>
      </c>
    </row>
    <row r="30334">
      <c r="Y30334" s="372">
        <v>0.0</v>
      </c>
      <c r="Z30334" s="372">
        <v>0.0</v>
      </c>
    </row>
    <row r="30335">
      <c r="Y30335" s="372">
        <v>0.0</v>
      </c>
      <c r="Z30335" s="372">
        <v>0.0</v>
      </c>
    </row>
    <row r="30336">
      <c r="Y30336" s="372">
        <v>0.0</v>
      </c>
      <c r="Z30336" s="372">
        <v>0.0</v>
      </c>
    </row>
    <row r="30337">
      <c r="Y30337" s="372">
        <v>0.0</v>
      </c>
      <c r="Z30337" s="372">
        <v>0.0</v>
      </c>
    </row>
    <row r="30338">
      <c r="Y30338" s="372">
        <v>0.0</v>
      </c>
      <c r="Z30338" s="372">
        <v>0.0</v>
      </c>
    </row>
    <row r="30339">
      <c r="Y30339" s="372">
        <v>0.0</v>
      </c>
      <c r="Z30339" s="372">
        <v>0.0</v>
      </c>
    </row>
    <row r="30340">
      <c r="Y30340" s="372">
        <v>0.0</v>
      </c>
      <c r="Z30340" s="372">
        <v>0.0</v>
      </c>
    </row>
    <row r="30341">
      <c r="Y30341" s="372">
        <v>0.0</v>
      </c>
      <c r="Z30341" s="372">
        <v>0.0</v>
      </c>
    </row>
    <row r="30342">
      <c r="Y30342" s="372">
        <v>0.0</v>
      </c>
      <c r="Z30342" s="372">
        <v>0.0</v>
      </c>
    </row>
    <row r="30343">
      <c r="Y30343" s="372">
        <v>0.0</v>
      </c>
      <c r="Z30343" s="372">
        <v>0.0</v>
      </c>
    </row>
    <row r="30344">
      <c r="Y30344" s="372">
        <v>0.0</v>
      </c>
      <c r="Z30344" s="372">
        <v>0.0</v>
      </c>
    </row>
    <row r="30345">
      <c r="Y30345" s="372">
        <v>0.0</v>
      </c>
      <c r="Z30345" s="372">
        <v>0.0</v>
      </c>
    </row>
    <row r="30346">
      <c r="Y30346" s="372">
        <v>0.0</v>
      </c>
      <c r="Z30346" s="372">
        <v>0.0</v>
      </c>
    </row>
    <row r="30347">
      <c r="Y30347" s="372">
        <v>0.0</v>
      </c>
      <c r="Z30347" s="372">
        <v>0.0</v>
      </c>
    </row>
    <row r="30348">
      <c r="Y30348" s="372">
        <v>0.0</v>
      </c>
      <c r="Z30348" s="372">
        <v>0.0</v>
      </c>
    </row>
    <row r="30349">
      <c r="Y30349" s="372">
        <v>0.0</v>
      </c>
      <c r="Z30349" s="372">
        <v>0.0</v>
      </c>
    </row>
    <row r="30350">
      <c r="Y30350" s="372">
        <v>0.0</v>
      </c>
      <c r="Z30350" s="372">
        <v>0.0</v>
      </c>
    </row>
    <row r="30351">
      <c r="Y30351" s="372">
        <v>0.0</v>
      </c>
      <c r="Z30351" s="372">
        <v>0.0</v>
      </c>
    </row>
    <row r="30352">
      <c r="Y30352" s="372">
        <v>0.0</v>
      </c>
      <c r="Z30352" s="372">
        <v>0.0</v>
      </c>
    </row>
    <row r="30353">
      <c r="Y30353" s="372">
        <v>0.0</v>
      </c>
      <c r="Z30353" s="372">
        <v>0.0</v>
      </c>
    </row>
    <row r="30354">
      <c r="Y30354" s="372">
        <v>0.0</v>
      </c>
      <c r="Z30354" s="372">
        <v>0.0</v>
      </c>
    </row>
    <row r="30355">
      <c r="Y30355" s="372">
        <v>0.0</v>
      </c>
      <c r="Z30355" s="372">
        <v>0.0</v>
      </c>
    </row>
    <row r="30356">
      <c r="Y30356" s="372">
        <v>0.0</v>
      </c>
      <c r="Z30356" s="372">
        <v>0.0</v>
      </c>
    </row>
    <row r="30357">
      <c r="Y30357" s="372">
        <v>0.0</v>
      </c>
      <c r="Z30357" s="372">
        <v>0.0</v>
      </c>
    </row>
    <row r="30358">
      <c r="Y30358" s="372">
        <v>0.0</v>
      </c>
      <c r="Z30358" s="372">
        <v>0.0</v>
      </c>
    </row>
    <row r="30359">
      <c r="Y30359" s="372">
        <v>0.0</v>
      </c>
      <c r="Z30359" s="372">
        <v>0.0</v>
      </c>
    </row>
    <row r="30360">
      <c r="Y30360" s="372">
        <v>0.0</v>
      </c>
      <c r="Z30360" s="372">
        <v>0.0</v>
      </c>
    </row>
    <row r="30361">
      <c r="Y30361" s="372">
        <v>0.0</v>
      </c>
      <c r="Z30361" s="372">
        <v>0.0</v>
      </c>
    </row>
    <row r="30362">
      <c r="Y30362" s="372">
        <v>0.0</v>
      </c>
      <c r="Z30362" s="372">
        <v>0.0</v>
      </c>
    </row>
    <row r="30363">
      <c r="Y30363" s="372">
        <v>0.0</v>
      </c>
      <c r="Z30363" s="372">
        <v>0.0</v>
      </c>
    </row>
    <row r="30364">
      <c r="Y30364" s="372">
        <v>0.0</v>
      </c>
      <c r="Z30364" s="372">
        <v>0.0</v>
      </c>
    </row>
    <row r="30365">
      <c r="Y30365" s="372">
        <v>0.0</v>
      </c>
      <c r="Z30365" s="372">
        <v>0.0</v>
      </c>
    </row>
    <row r="30366">
      <c r="Y30366" s="372">
        <v>0.0</v>
      </c>
      <c r="Z30366" s="372">
        <v>0.0</v>
      </c>
    </row>
    <row r="30367">
      <c r="Y30367" s="372">
        <v>0.0</v>
      </c>
      <c r="Z30367" s="372">
        <v>0.0</v>
      </c>
    </row>
    <row r="30368">
      <c r="Y30368" s="372">
        <v>0.0</v>
      </c>
      <c r="Z30368" s="372">
        <v>0.0</v>
      </c>
    </row>
    <row r="30369">
      <c r="Y30369" s="372">
        <v>0.0</v>
      </c>
      <c r="Z30369" s="372">
        <v>0.0</v>
      </c>
    </row>
    <row r="30370">
      <c r="Y30370" s="372">
        <v>0.0</v>
      </c>
      <c r="Z30370" s="372">
        <v>0.0</v>
      </c>
    </row>
    <row r="30371">
      <c r="Y30371" s="372">
        <v>0.0</v>
      </c>
      <c r="Z30371" s="372">
        <v>0.0</v>
      </c>
    </row>
    <row r="30372">
      <c r="Y30372" s="372">
        <v>0.0</v>
      </c>
      <c r="Z30372" s="372">
        <v>0.0</v>
      </c>
    </row>
    <row r="30373">
      <c r="Y30373" s="372">
        <v>0.0</v>
      </c>
      <c r="Z30373" s="372">
        <v>0.0</v>
      </c>
    </row>
    <row r="30374">
      <c r="Y30374" s="372">
        <v>0.0</v>
      </c>
      <c r="Z30374" s="372">
        <v>0.0</v>
      </c>
    </row>
    <row r="30375">
      <c r="Y30375" s="372">
        <v>0.0</v>
      </c>
      <c r="Z30375" s="372">
        <v>0.0</v>
      </c>
    </row>
    <row r="30376">
      <c r="Y30376" s="372">
        <v>0.0</v>
      </c>
      <c r="Z30376" s="372">
        <v>0.0</v>
      </c>
    </row>
    <row r="30377">
      <c r="Y30377" s="372">
        <v>0.0</v>
      </c>
      <c r="Z30377" s="372">
        <v>0.0</v>
      </c>
    </row>
    <row r="30378">
      <c r="Y30378" s="372">
        <v>0.0</v>
      </c>
      <c r="Z30378" s="372">
        <v>0.0</v>
      </c>
    </row>
    <row r="30379">
      <c r="Y30379" s="372">
        <v>0.0</v>
      </c>
      <c r="Z30379" s="372">
        <v>0.0</v>
      </c>
    </row>
    <row r="30380">
      <c r="Y30380" s="372">
        <v>0.0</v>
      </c>
      <c r="Z30380" s="372">
        <v>0.0</v>
      </c>
    </row>
    <row r="30381">
      <c r="Y30381" s="372">
        <v>0.0</v>
      </c>
      <c r="Z30381" s="372">
        <v>0.0</v>
      </c>
    </row>
    <row r="30382">
      <c r="Y30382" s="372">
        <v>0.0</v>
      </c>
      <c r="Z30382" s="372">
        <v>0.0</v>
      </c>
    </row>
    <row r="30383">
      <c r="Y30383" s="372">
        <v>0.0</v>
      </c>
      <c r="Z30383" s="372">
        <v>0.0</v>
      </c>
    </row>
    <row r="30384">
      <c r="Y30384" s="372">
        <v>0.0</v>
      </c>
      <c r="Z30384" s="372">
        <v>0.0</v>
      </c>
    </row>
    <row r="30385">
      <c r="Y30385" s="372">
        <v>0.0</v>
      </c>
      <c r="Z30385" s="372">
        <v>0.0</v>
      </c>
    </row>
    <row r="30386">
      <c r="Y30386" s="372">
        <v>0.0</v>
      </c>
      <c r="Z30386" s="372">
        <v>0.0</v>
      </c>
    </row>
    <row r="30387">
      <c r="Y30387" s="372">
        <v>0.0</v>
      </c>
      <c r="Z30387" s="372">
        <v>0.0</v>
      </c>
    </row>
    <row r="30388">
      <c r="Y30388" s="372">
        <v>0.0</v>
      </c>
      <c r="Z30388" s="372">
        <v>0.0</v>
      </c>
    </row>
    <row r="30389">
      <c r="Y30389" s="372">
        <v>0.0</v>
      </c>
      <c r="Z30389" s="372">
        <v>0.0</v>
      </c>
    </row>
    <row r="30390">
      <c r="Y30390" s="372">
        <v>0.0</v>
      </c>
      <c r="Z30390" s="372">
        <v>0.0</v>
      </c>
    </row>
    <row r="30391">
      <c r="Y30391" s="372">
        <v>0.0</v>
      </c>
      <c r="Z30391" s="372">
        <v>0.0</v>
      </c>
    </row>
    <row r="30392">
      <c r="Y30392" s="372">
        <v>0.0</v>
      </c>
      <c r="Z30392" s="372">
        <v>0.0</v>
      </c>
    </row>
    <row r="30393">
      <c r="Y30393" s="372">
        <v>0.0</v>
      </c>
      <c r="Z30393" s="372">
        <v>0.0</v>
      </c>
    </row>
    <row r="30394">
      <c r="Y30394" s="372">
        <v>0.0</v>
      </c>
      <c r="Z30394" s="372">
        <v>0.0</v>
      </c>
    </row>
    <row r="30395">
      <c r="Y30395" s="372">
        <v>0.0</v>
      </c>
      <c r="Z30395" s="372">
        <v>0.0</v>
      </c>
    </row>
    <row r="30396">
      <c r="Y30396" s="372">
        <v>0.0</v>
      </c>
      <c r="Z30396" s="372">
        <v>0.0</v>
      </c>
    </row>
    <row r="30397">
      <c r="Y30397" s="372">
        <v>0.0</v>
      </c>
      <c r="Z30397" s="372">
        <v>0.0</v>
      </c>
    </row>
    <row r="30398">
      <c r="Y30398" s="372">
        <v>0.0</v>
      </c>
      <c r="Z30398" s="372">
        <v>0.0</v>
      </c>
    </row>
    <row r="30399">
      <c r="Y30399" s="372">
        <v>0.0</v>
      </c>
      <c r="Z30399" s="372">
        <v>0.0</v>
      </c>
    </row>
    <row r="30400">
      <c r="Y30400" s="372">
        <v>0.0</v>
      </c>
      <c r="Z30400" s="372">
        <v>0.0</v>
      </c>
    </row>
    <row r="30401">
      <c r="Y30401" s="372">
        <v>0.0</v>
      </c>
      <c r="Z30401" s="372">
        <v>0.0</v>
      </c>
    </row>
    <row r="30402">
      <c r="Y30402" s="372">
        <v>0.0</v>
      </c>
      <c r="Z30402" s="372">
        <v>0.0</v>
      </c>
    </row>
    <row r="30403">
      <c r="Y30403" s="372">
        <v>0.0</v>
      </c>
      <c r="Z30403" s="372">
        <v>0.0</v>
      </c>
    </row>
    <row r="30404">
      <c r="Y30404" s="372">
        <v>0.0</v>
      </c>
      <c r="Z30404" s="372">
        <v>0.0</v>
      </c>
    </row>
    <row r="30405">
      <c r="Y30405" s="372">
        <v>0.0</v>
      </c>
      <c r="Z30405" s="372">
        <v>0.0</v>
      </c>
    </row>
    <row r="30406">
      <c r="Y30406" s="372">
        <v>0.0</v>
      </c>
      <c r="Z30406" s="372">
        <v>0.0</v>
      </c>
    </row>
    <row r="30407">
      <c r="Y30407" s="372">
        <v>0.0</v>
      </c>
      <c r="Z30407" s="372">
        <v>0.0</v>
      </c>
    </row>
    <row r="30408">
      <c r="Y30408" s="372">
        <v>0.0</v>
      </c>
      <c r="Z30408" s="372">
        <v>0.0</v>
      </c>
    </row>
    <row r="30409">
      <c r="Y30409" s="372">
        <v>0.0</v>
      </c>
      <c r="Z30409" s="372">
        <v>0.0</v>
      </c>
    </row>
    <row r="30410">
      <c r="Y30410" s="372">
        <v>0.0</v>
      </c>
      <c r="Z30410" s="372">
        <v>0.0</v>
      </c>
    </row>
    <row r="30411">
      <c r="Y30411" s="372">
        <v>0.0</v>
      </c>
      <c r="Z30411" s="372">
        <v>0.0</v>
      </c>
    </row>
    <row r="30412">
      <c r="Y30412" s="372">
        <v>0.0</v>
      </c>
      <c r="Z30412" s="372">
        <v>0.0</v>
      </c>
    </row>
    <row r="30413">
      <c r="Y30413" s="372">
        <v>0.0</v>
      </c>
      <c r="Z30413" s="372">
        <v>0.0</v>
      </c>
    </row>
    <row r="30414">
      <c r="Y30414" s="372">
        <v>0.0</v>
      </c>
      <c r="Z30414" s="372">
        <v>0.0</v>
      </c>
    </row>
    <row r="30415">
      <c r="Y30415" s="372">
        <v>0.0</v>
      </c>
      <c r="Z30415" s="372">
        <v>0.0</v>
      </c>
    </row>
    <row r="30416">
      <c r="Y30416" s="372">
        <v>0.0</v>
      </c>
      <c r="Z30416" s="372">
        <v>0.0</v>
      </c>
    </row>
    <row r="30417">
      <c r="Y30417" s="372">
        <v>0.0</v>
      </c>
      <c r="Z30417" s="372">
        <v>0.0</v>
      </c>
    </row>
    <row r="30418">
      <c r="Y30418" s="372">
        <v>0.0</v>
      </c>
      <c r="Z30418" s="372">
        <v>0.0</v>
      </c>
    </row>
    <row r="30419">
      <c r="Y30419" s="372">
        <v>0.0</v>
      </c>
      <c r="Z30419" s="372">
        <v>0.0</v>
      </c>
    </row>
    <row r="30420">
      <c r="Y30420" s="372">
        <v>0.0</v>
      </c>
      <c r="Z30420" s="372">
        <v>0.0</v>
      </c>
    </row>
    <row r="30421">
      <c r="Y30421" s="372">
        <v>0.0</v>
      </c>
      <c r="Z30421" s="372">
        <v>0.0</v>
      </c>
    </row>
    <row r="30422">
      <c r="Y30422" s="372">
        <v>0.0</v>
      </c>
      <c r="Z30422" s="372">
        <v>0.0</v>
      </c>
    </row>
    <row r="30423">
      <c r="Y30423" s="372">
        <v>0.0</v>
      </c>
      <c r="Z30423" s="372">
        <v>0.0</v>
      </c>
    </row>
    <row r="30424">
      <c r="Y30424" s="372">
        <v>0.0</v>
      </c>
      <c r="Z30424" s="372">
        <v>0.0</v>
      </c>
    </row>
    <row r="30425">
      <c r="Y30425" s="372">
        <v>0.0</v>
      </c>
      <c r="Z30425" s="372">
        <v>0.0</v>
      </c>
    </row>
    <row r="30426">
      <c r="Y30426" s="372">
        <v>0.0</v>
      </c>
      <c r="Z30426" s="372">
        <v>0.0</v>
      </c>
    </row>
    <row r="30427">
      <c r="Y30427" s="372">
        <v>0.0</v>
      </c>
      <c r="Z30427" s="372">
        <v>0.0</v>
      </c>
    </row>
    <row r="30428">
      <c r="Y30428" s="372">
        <v>0.0</v>
      </c>
      <c r="Z30428" s="372">
        <v>0.0</v>
      </c>
    </row>
    <row r="30429">
      <c r="Y30429" s="372">
        <v>0.0</v>
      </c>
      <c r="Z30429" s="372">
        <v>0.0</v>
      </c>
    </row>
    <row r="30430">
      <c r="Y30430" s="372">
        <v>0.0</v>
      </c>
      <c r="Z30430" s="372">
        <v>0.0</v>
      </c>
    </row>
    <row r="30431">
      <c r="Y30431" s="372">
        <v>0.0</v>
      </c>
      <c r="Z30431" s="372">
        <v>0.0</v>
      </c>
    </row>
    <row r="30432">
      <c r="Y30432" s="372">
        <v>0.0</v>
      </c>
      <c r="Z30432" s="372">
        <v>0.0</v>
      </c>
    </row>
    <row r="30433">
      <c r="Y30433" s="372">
        <v>0.0</v>
      </c>
      <c r="Z30433" s="372">
        <v>0.0</v>
      </c>
    </row>
    <row r="30434">
      <c r="Y30434" s="372">
        <v>0.0</v>
      </c>
      <c r="Z30434" s="372">
        <v>0.0</v>
      </c>
    </row>
    <row r="30435">
      <c r="Y30435" s="372">
        <v>0.0</v>
      </c>
      <c r="Z30435" s="372">
        <v>0.0</v>
      </c>
    </row>
    <row r="30436">
      <c r="Y30436" s="372">
        <v>0.0</v>
      </c>
      <c r="Z30436" s="372">
        <v>0.0</v>
      </c>
    </row>
    <row r="30437">
      <c r="Y30437" s="372">
        <v>0.0</v>
      </c>
      <c r="Z30437" s="372">
        <v>0.0</v>
      </c>
    </row>
    <row r="30438">
      <c r="Y30438" s="372">
        <v>0.0</v>
      </c>
      <c r="Z30438" s="372">
        <v>0.0</v>
      </c>
    </row>
    <row r="30439">
      <c r="Y30439" s="372">
        <v>0.0</v>
      </c>
      <c r="Z30439" s="372">
        <v>0.0</v>
      </c>
    </row>
    <row r="30440">
      <c r="Y30440" s="372">
        <v>0.0</v>
      </c>
      <c r="Z30440" s="372">
        <v>0.0</v>
      </c>
    </row>
    <row r="30441">
      <c r="Y30441" s="372">
        <v>0.0</v>
      </c>
      <c r="Z30441" s="372">
        <v>0.0</v>
      </c>
    </row>
    <row r="30442">
      <c r="Y30442" s="372">
        <v>0.0</v>
      </c>
      <c r="Z30442" s="372">
        <v>0.0</v>
      </c>
    </row>
    <row r="30443">
      <c r="Y30443" s="372">
        <v>0.0</v>
      </c>
      <c r="Z30443" s="372">
        <v>0.0</v>
      </c>
    </row>
    <row r="30444">
      <c r="Y30444" s="372">
        <v>0.0</v>
      </c>
      <c r="Z30444" s="372">
        <v>0.0</v>
      </c>
    </row>
    <row r="30445">
      <c r="Y30445" s="372">
        <v>0.0</v>
      </c>
      <c r="Z30445" s="372">
        <v>0.0</v>
      </c>
    </row>
    <row r="30446">
      <c r="Y30446" s="372">
        <v>0.0</v>
      </c>
      <c r="Z30446" s="372">
        <v>0.0</v>
      </c>
    </row>
    <row r="30447">
      <c r="Y30447" s="372">
        <v>0.0</v>
      </c>
      <c r="Z30447" s="372">
        <v>0.0</v>
      </c>
    </row>
    <row r="30448">
      <c r="Y30448" s="372">
        <v>0.0</v>
      </c>
      <c r="Z30448" s="372">
        <v>0.0</v>
      </c>
    </row>
    <row r="30449">
      <c r="Y30449" s="372">
        <v>0.0</v>
      </c>
      <c r="Z30449" s="372">
        <v>0.0</v>
      </c>
    </row>
    <row r="30450">
      <c r="Y30450" s="372">
        <v>0.0</v>
      </c>
      <c r="Z30450" s="372">
        <v>0.0</v>
      </c>
    </row>
    <row r="30451">
      <c r="Y30451" s="372">
        <v>0.0</v>
      </c>
      <c r="Z30451" s="372">
        <v>0.0</v>
      </c>
    </row>
    <row r="30452">
      <c r="Y30452" s="372">
        <v>0.0</v>
      </c>
      <c r="Z30452" s="372">
        <v>0.0</v>
      </c>
    </row>
    <row r="30453">
      <c r="Y30453" s="372">
        <v>0.0</v>
      </c>
      <c r="Z30453" s="372">
        <v>0.0</v>
      </c>
    </row>
    <row r="30454">
      <c r="Y30454" s="372">
        <v>0.0</v>
      </c>
      <c r="Z30454" s="372">
        <v>0.0</v>
      </c>
    </row>
    <row r="30455">
      <c r="Y30455" s="372">
        <v>0.0</v>
      </c>
      <c r="Z30455" s="372">
        <v>0.0</v>
      </c>
    </row>
    <row r="30456">
      <c r="Y30456" s="372">
        <v>0.0</v>
      </c>
      <c r="Z30456" s="372">
        <v>0.0</v>
      </c>
    </row>
    <row r="30457">
      <c r="Y30457" s="372">
        <v>0.0</v>
      </c>
      <c r="Z30457" s="372">
        <v>0.0</v>
      </c>
    </row>
    <row r="30458">
      <c r="Y30458" s="372">
        <v>0.0</v>
      </c>
      <c r="Z30458" s="372">
        <v>0.0</v>
      </c>
    </row>
    <row r="30459">
      <c r="Y30459" s="372">
        <v>0.0</v>
      </c>
      <c r="Z30459" s="372">
        <v>0.0</v>
      </c>
    </row>
    <row r="30460">
      <c r="Y30460" s="372">
        <v>0.0</v>
      </c>
      <c r="Z30460" s="372">
        <v>0.0</v>
      </c>
    </row>
    <row r="30461">
      <c r="Y30461" s="372">
        <v>0.0</v>
      </c>
      <c r="Z30461" s="372">
        <v>0.0</v>
      </c>
    </row>
    <row r="30462">
      <c r="Y30462" s="372">
        <v>0.0</v>
      </c>
      <c r="Z30462" s="372">
        <v>0.0</v>
      </c>
    </row>
    <row r="30463">
      <c r="Y30463" s="372">
        <v>0.0</v>
      </c>
      <c r="Z30463" s="372">
        <v>0.0</v>
      </c>
    </row>
    <row r="30464">
      <c r="Y30464" s="372">
        <v>0.0</v>
      </c>
      <c r="Z30464" s="372">
        <v>0.0</v>
      </c>
    </row>
    <row r="30465">
      <c r="Y30465" s="372">
        <v>0.0</v>
      </c>
      <c r="Z30465" s="372">
        <v>0.0</v>
      </c>
    </row>
    <row r="30466">
      <c r="Y30466" s="372">
        <v>0.0</v>
      </c>
      <c r="Z30466" s="372">
        <v>0.0</v>
      </c>
    </row>
    <row r="30467">
      <c r="Y30467" s="372">
        <v>0.0</v>
      </c>
      <c r="Z30467" s="372">
        <v>0.0</v>
      </c>
    </row>
    <row r="30468">
      <c r="Y30468" s="372">
        <v>0.0</v>
      </c>
      <c r="Z30468" s="372">
        <v>0.0</v>
      </c>
    </row>
    <row r="30469">
      <c r="Y30469" s="372">
        <v>0.0</v>
      </c>
      <c r="Z30469" s="372">
        <v>0.0</v>
      </c>
    </row>
    <row r="30470">
      <c r="Y30470" s="372">
        <v>0.0</v>
      </c>
      <c r="Z30470" s="372">
        <v>0.0</v>
      </c>
    </row>
    <row r="30471">
      <c r="Y30471" s="372">
        <v>0.0</v>
      </c>
      <c r="Z30471" s="372">
        <v>0.0</v>
      </c>
    </row>
    <row r="30472">
      <c r="Y30472" s="372">
        <v>0.0</v>
      </c>
      <c r="Z30472" s="372">
        <v>0.0</v>
      </c>
    </row>
    <row r="30473">
      <c r="Y30473" s="372">
        <v>0.0</v>
      </c>
      <c r="Z30473" s="372">
        <v>0.0</v>
      </c>
    </row>
    <row r="30474">
      <c r="Y30474" s="372">
        <v>0.0</v>
      </c>
      <c r="Z30474" s="372">
        <v>0.0</v>
      </c>
    </row>
    <row r="30475">
      <c r="Y30475" s="372">
        <v>0.0</v>
      </c>
      <c r="Z30475" s="372">
        <v>0.0</v>
      </c>
    </row>
    <row r="30476">
      <c r="Y30476" s="372">
        <v>0.0</v>
      </c>
      <c r="Z30476" s="372">
        <v>0.0</v>
      </c>
    </row>
    <row r="30477">
      <c r="Y30477" s="372">
        <v>0.0</v>
      </c>
      <c r="Z30477" s="372">
        <v>0.0</v>
      </c>
    </row>
    <row r="30478">
      <c r="Y30478" s="372">
        <v>0.0</v>
      </c>
      <c r="Z30478" s="372">
        <v>0.0</v>
      </c>
    </row>
    <row r="30479">
      <c r="Y30479" s="372">
        <v>0.0</v>
      </c>
      <c r="Z30479" s="372">
        <v>0.0</v>
      </c>
    </row>
    <row r="30480">
      <c r="Y30480" s="372">
        <v>0.0</v>
      </c>
      <c r="Z30480" s="372">
        <v>0.0</v>
      </c>
    </row>
    <row r="30481">
      <c r="Y30481" s="372">
        <v>0.0</v>
      </c>
      <c r="Z30481" s="372">
        <v>0.0</v>
      </c>
    </row>
    <row r="30482">
      <c r="Y30482" s="372">
        <v>0.0</v>
      </c>
      <c r="Z30482" s="372">
        <v>0.0</v>
      </c>
    </row>
    <row r="30483">
      <c r="Y30483" s="372">
        <v>0.0</v>
      </c>
      <c r="Z30483" s="372">
        <v>0.0</v>
      </c>
    </row>
    <row r="30484">
      <c r="Y30484" s="372">
        <v>0.0</v>
      </c>
      <c r="Z30484" s="372">
        <v>0.0</v>
      </c>
    </row>
    <row r="30485">
      <c r="Y30485" s="372">
        <v>0.0</v>
      </c>
      <c r="Z30485" s="372">
        <v>0.0</v>
      </c>
    </row>
    <row r="30486">
      <c r="Y30486" s="372">
        <v>0.0</v>
      </c>
      <c r="Z30486" s="372">
        <v>0.0</v>
      </c>
    </row>
    <row r="30487">
      <c r="Y30487" s="372">
        <v>0.0</v>
      </c>
      <c r="Z30487" s="372">
        <v>0.0</v>
      </c>
    </row>
    <row r="30488">
      <c r="Y30488" s="372">
        <v>0.0</v>
      </c>
      <c r="Z30488" s="372">
        <v>0.0</v>
      </c>
    </row>
    <row r="30489">
      <c r="Y30489" s="372">
        <v>0.0</v>
      </c>
      <c r="Z30489" s="372">
        <v>0.0</v>
      </c>
    </row>
    <row r="30490">
      <c r="Y30490" s="372">
        <v>0.0</v>
      </c>
      <c r="Z30490" s="372">
        <v>0.0</v>
      </c>
    </row>
    <row r="30491">
      <c r="Y30491" s="372">
        <v>0.0</v>
      </c>
      <c r="Z30491" s="372">
        <v>0.0</v>
      </c>
    </row>
    <row r="30492">
      <c r="Y30492" s="372">
        <v>0.0</v>
      </c>
      <c r="Z30492" s="372">
        <v>0.0</v>
      </c>
    </row>
    <row r="30493">
      <c r="Y30493" s="372">
        <v>0.0</v>
      </c>
      <c r="Z30493" s="372">
        <v>0.0</v>
      </c>
    </row>
    <row r="30494">
      <c r="Y30494" s="372">
        <v>0.0</v>
      </c>
      <c r="Z30494" s="372">
        <v>0.0</v>
      </c>
    </row>
    <row r="30495">
      <c r="Y30495" s="372">
        <v>0.0</v>
      </c>
      <c r="Z30495" s="372">
        <v>0.0</v>
      </c>
    </row>
    <row r="30496">
      <c r="Y30496" s="372">
        <v>0.0</v>
      </c>
      <c r="Z30496" s="372">
        <v>0.0</v>
      </c>
    </row>
    <row r="30497">
      <c r="Y30497" s="372">
        <v>0.0</v>
      </c>
      <c r="Z30497" s="372">
        <v>0.0</v>
      </c>
    </row>
    <row r="30498">
      <c r="Y30498" s="372">
        <v>0.0</v>
      </c>
      <c r="Z30498" s="372">
        <v>0.0</v>
      </c>
    </row>
    <row r="30499">
      <c r="Y30499" s="372">
        <v>0.0</v>
      </c>
      <c r="Z30499" s="372">
        <v>0.0</v>
      </c>
    </row>
    <row r="30500">
      <c r="Y30500" s="372">
        <v>0.0</v>
      </c>
      <c r="Z30500" s="372">
        <v>0.0</v>
      </c>
    </row>
    <row r="30501">
      <c r="Y30501" s="372">
        <v>0.0</v>
      </c>
      <c r="Z30501" s="372">
        <v>0.0</v>
      </c>
    </row>
    <row r="30502">
      <c r="Y30502" s="372">
        <v>0.0</v>
      </c>
      <c r="Z30502" s="372">
        <v>0.0</v>
      </c>
    </row>
    <row r="30503">
      <c r="Y30503" s="372">
        <v>0.0</v>
      </c>
      <c r="Z30503" s="372">
        <v>0.0</v>
      </c>
    </row>
    <row r="30504">
      <c r="Y30504" s="372">
        <v>0.0</v>
      </c>
      <c r="Z30504" s="372">
        <v>0.0</v>
      </c>
    </row>
    <row r="30505">
      <c r="Y30505" s="372">
        <v>0.0</v>
      </c>
      <c r="Z30505" s="372">
        <v>0.0</v>
      </c>
    </row>
    <row r="30506">
      <c r="Y30506" s="372">
        <v>0.0</v>
      </c>
      <c r="Z30506" s="372">
        <v>0.0</v>
      </c>
    </row>
    <row r="30507">
      <c r="Y30507" s="372">
        <v>0.0</v>
      </c>
      <c r="Z30507" s="372">
        <v>0.0</v>
      </c>
    </row>
    <row r="30508">
      <c r="Y30508" s="372">
        <v>0.0</v>
      </c>
      <c r="Z30508" s="372">
        <v>0.0</v>
      </c>
    </row>
    <row r="30509">
      <c r="Y30509" s="372">
        <v>0.0</v>
      </c>
      <c r="Z30509" s="372">
        <v>0.0</v>
      </c>
    </row>
    <row r="30510">
      <c r="Y30510" s="372">
        <v>0.0</v>
      </c>
      <c r="Z30510" s="372">
        <v>0.0</v>
      </c>
    </row>
    <row r="30511">
      <c r="Y30511" s="372">
        <v>0.0</v>
      </c>
      <c r="Z30511" s="372">
        <v>0.0</v>
      </c>
    </row>
    <row r="30512">
      <c r="Y30512" s="372">
        <v>0.0</v>
      </c>
      <c r="Z30512" s="372">
        <v>0.0</v>
      </c>
    </row>
    <row r="30513">
      <c r="Y30513" s="372">
        <v>0.0</v>
      </c>
      <c r="Z30513" s="372">
        <v>0.0</v>
      </c>
    </row>
    <row r="30514">
      <c r="Y30514" s="372">
        <v>0.0</v>
      </c>
      <c r="Z30514" s="372">
        <v>0.0</v>
      </c>
    </row>
    <row r="30515">
      <c r="Y30515" s="372">
        <v>0.0</v>
      </c>
      <c r="Z30515" s="372">
        <v>0.0</v>
      </c>
    </row>
    <row r="30516">
      <c r="Y30516" s="372">
        <v>0.0</v>
      </c>
      <c r="Z30516" s="372">
        <v>0.0</v>
      </c>
    </row>
    <row r="30517">
      <c r="Y30517" s="372">
        <v>0.0</v>
      </c>
      <c r="Z30517" s="372">
        <v>0.0</v>
      </c>
    </row>
    <row r="30518">
      <c r="Y30518" s="372">
        <v>0.0</v>
      </c>
      <c r="Z30518" s="372">
        <v>0.0</v>
      </c>
    </row>
    <row r="30519">
      <c r="Y30519" s="372">
        <v>0.0</v>
      </c>
      <c r="Z30519" s="372">
        <v>0.0</v>
      </c>
    </row>
    <row r="30520">
      <c r="Y30520" s="372">
        <v>0.0</v>
      </c>
      <c r="Z30520" s="372">
        <v>0.0</v>
      </c>
    </row>
    <row r="30521">
      <c r="Y30521" s="372">
        <v>0.0</v>
      </c>
      <c r="Z30521" s="372">
        <v>0.0</v>
      </c>
    </row>
    <row r="30522">
      <c r="Y30522" s="372">
        <v>0.0</v>
      </c>
      <c r="Z30522" s="372">
        <v>0.0</v>
      </c>
    </row>
    <row r="30523">
      <c r="Y30523" s="372">
        <v>0.0</v>
      </c>
      <c r="Z30523" s="372">
        <v>0.0</v>
      </c>
    </row>
    <row r="30524">
      <c r="Y30524" s="372">
        <v>0.0</v>
      </c>
      <c r="Z30524" s="372">
        <v>0.0</v>
      </c>
    </row>
    <row r="30525">
      <c r="Y30525" s="372">
        <v>0.0</v>
      </c>
      <c r="Z30525" s="372">
        <v>0.0</v>
      </c>
    </row>
    <row r="30526">
      <c r="Y30526" s="372">
        <v>0.0</v>
      </c>
      <c r="Z30526" s="372">
        <v>0.0</v>
      </c>
    </row>
    <row r="30527">
      <c r="Y30527" s="372">
        <v>0.0</v>
      </c>
      <c r="Z30527" s="372">
        <v>0.0</v>
      </c>
    </row>
    <row r="30528">
      <c r="Y30528" s="372">
        <v>0.0</v>
      </c>
      <c r="Z30528" s="372">
        <v>0.0</v>
      </c>
    </row>
    <row r="30529">
      <c r="Y30529" s="372">
        <v>0.0</v>
      </c>
      <c r="Z30529" s="372">
        <v>0.0</v>
      </c>
    </row>
    <row r="30530">
      <c r="Y30530" s="372">
        <v>0.0</v>
      </c>
      <c r="Z30530" s="372">
        <v>0.0</v>
      </c>
    </row>
    <row r="30531">
      <c r="Y30531" s="372">
        <v>0.0</v>
      </c>
      <c r="Z30531" s="372">
        <v>0.0</v>
      </c>
    </row>
    <row r="30532">
      <c r="Y30532" s="372">
        <v>0.0</v>
      </c>
      <c r="Z30532" s="372">
        <v>0.0</v>
      </c>
    </row>
    <row r="30533">
      <c r="Y30533" s="372">
        <v>0.0</v>
      </c>
      <c r="Z30533" s="372">
        <v>0.0</v>
      </c>
    </row>
    <row r="30534">
      <c r="Y30534" s="372">
        <v>0.0</v>
      </c>
      <c r="Z30534" s="372">
        <v>0.0</v>
      </c>
    </row>
    <row r="30535">
      <c r="Y30535" s="372">
        <v>0.0</v>
      </c>
      <c r="Z30535" s="372">
        <v>0.0</v>
      </c>
    </row>
    <row r="30536">
      <c r="Y30536" s="372">
        <v>0.0</v>
      </c>
      <c r="Z30536" s="372">
        <v>0.0</v>
      </c>
    </row>
    <row r="30537">
      <c r="Y30537" s="372">
        <v>0.0</v>
      </c>
      <c r="Z30537" s="372">
        <v>0.0</v>
      </c>
    </row>
    <row r="30538">
      <c r="Y30538" s="372">
        <v>0.0</v>
      </c>
      <c r="Z30538" s="372">
        <v>0.0</v>
      </c>
    </row>
    <row r="30539">
      <c r="Y30539" s="372">
        <v>0.0</v>
      </c>
      <c r="Z30539" s="372">
        <v>0.0</v>
      </c>
    </row>
    <row r="30540">
      <c r="Y30540" s="372">
        <v>0.0</v>
      </c>
      <c r="Z30540" s="372">
        <v>0.0</v>
      </c>
    </row>
    <row r="30541">
      <c r="Y30541" s="372">
        <v>0.0</v>
      </c>
      <c r="Z30541" s="372">
        <v>0.0</v>
      </c>
    </row>
    <row r="30542">
      <c r="Y30542" s="372">
        <v>0.0</v>
      </c>
      <c r="Z30542" s="372">
        <v>0.0</v>
      </c>
    </row>
    <row r="30543">
      <c r="Y30543" s="372">
        <v>0.0</v>
      </c>
      <c r="Z30543" s="372">
        <v>0.0</v>
      </c>
    </row>
    <row r="30544">
      <c r="Y30544" s="372">
        <v>0.0</v>
      </c>
      <c r="Z30544" s="372">
        <v>0.0</v>
      </c>
    </row>
    <row r="30545">
      <c r="Y30545" s="372">
        <v>0.0</v>
      </c>
      <c r="Z30545" s="372">
        <v>0.0</v>
      </c>
    </row>
    <row r="30546">
      <c r="Y30546" s="372">
        <v>0.0</v>
      </c>
      <c r="Z30546" s="372">
        <v>0.0</v>
      </c>
    </row>
    <row r="30547">
      <c r="Y30547" s="372">
        <v>0.0</v>
      </c>
      <c r="Z30547" s="372">
        <v>0.0</v>
      </c>
    </row>
    <row r="30548">
      <c r="Y30548" s="372">
        <v>0.0</v>
      </c>
      <c r="Z30548" s="372">
        <v>0.0</v>
      </c>
    </row>
    <row r="30549">
      <c r="Y30549" s="372">
        <v>0.0</v>
      </c>
      <c r="Z30549" s="372">
        <v>0.0</v>
      </c>
    </row>
    <row r="30550">
      <c r="Y30550" s="372">
        <v>0.0</v>
      </c>
      <c r="Z30550" s="372">
        <v>0.0</v>
      </c>
    </row>
    <row r="30551">
      <c r="Y30551" s="372">
        <v>0.0</v>
      </c>
      <c r="Z30551" s="372">
        <v>0.0</v>
      </c>
    </row>
    <row r="30552">
      <c r="Y30552" s="372">
        <v>0.0</v>
      </c>
      <c r="Z30552" s="372">
        <v>0.0</v>
      </c>
    </row>
    <row r="30553">
      <c r="Y30553" s="372">
        <v>0.0</v>
      </c>
      <c r="Z30553" s="372">
        <v>0.0</v>
      </c>
    </row>
    <row r="30554">
      <c r="Y30554" s="372">
        <v>0.0</v>
      </c>
      <c r="Z30554" s="372">
        <v>0.0</v>
      </c>
    </row>
    <row r="30555">
      <c r="Y30555" s="372">
        <v>0.0</v>
      </c>
      <c r="Z30555" s="372">
        <v>0.0</v>
      </c>
    </row>
    <row r="30556">
      <c r="Y30556" s="372">
        <v>0.0</v>
      </c>
      <c r="Z30556" s="372">
        <v>0.0</v>
      </c>
    </row>
    <row r="30557">
      <c r="Y30557" s="372">
        <v>0.0</v>
      </c>
      <c r="Z30557" s="372">
        <v>0.0</v>
      </c>
    </row>
    <row r="30558">
      <c r="Y30558" s="372">
        <v>0.0</v>
      </c>
      <c r="Z30558" s="372">
        <v>0.0</v>
      </c>
    </row>
    <row r="30559">
      <c r="Y30559" s="372">
        <v>0.0</v>
      </c>
      <c r="Z30559" s="372">
        <v>0.0</v>
      </c>
    </row>
    <row r="30560">
      <c r="Y30560" s="372">
        <v>0.0</v>
      </c>
      <c r="Z30560" s="372">
        <v>0.0</v>
      </c>
    </row>
    <row r="30561">
      <c r="Y30561" s="372">
        <v>0.0</v>
      </c>
      <c r="Z30561" s="372">
        <v>0.0</v>
      </c>
    </row>
    <row r="30562">
      <c r="Y30562" s="372">
        <v>0.0</v>
      </c>
      <c r="Z30562" s="372">
        <v>0.0</v>
      </c>
    </row>
    <row r="30563">
      <c r="Y30563" s="372">
        <v>0.0</v>
      </c>
      <c r="Z30563" s="372">
        <v>0.0</v>
      </c>
    </row>
    <row r="30564">
      <c r="Y30564" s="372">
        <v>0.0</v>
      </c>
      <c r="Z30564" s="372">
        <v>0.0</v>
      </c>
    </row>
    <row r="30565">
      <c r="Y30565" s="372">
        <v>0.0</v>
      </c>
      <c r="Z30565" s="372">
        <v>0.0</v>
      </c>
    </row>
    <row r="30566">
      <c r="Y30566" s="372">
        <v>0.0</v>
      </c>
      <c r="Z30566" s="372">
        <v>0.0</v>
      </c>
    </row>
    <row r="30567">
      <c r="Y30567" s="372">
        <v>0.0</v>
      </c>
      <c r="Z30567" s="372">
        <v>0.0</v>
      </c>
    </row>
    <row r="30568">
      <c r="Y30568" s="372">
        <v>0.0</v>
      </c>
      <c r="Z30568" s="372">
        <v>0.0</v>
      </c>
    </row>
    <row r="30569">
      <c r="Y30569" s="372">
        <v>0.0</v>
      </c>
      <c r="Z30569" s="372">
        <v>0.0</v>
      </c>
    </row>
    <row r="30570">
      <c r="Y30570" s="372">
        <v>0.0</v>
      </c>
      <c r="Z30570" s="372">
        <v>0.0</v>
      </c>
    </row>
    <row r="30571">
      <c r="Y30571" s="372">
        <v>0.0</v>
      </c>
      <c r="Z30571" s="372">
        <v>0.0</v>
      </c>
    </row>
    <row r="30572">
      <c r="Y30572" s="372">
        <v>0.0</v>
      </c>
      <c r="Z30572" s="372">
        <v>0.0</v>
      </c>
    </row>
    <row r="30573">
      <c r="Y30573" s="372">
        <v>0.0</v>
      </c>
      <c r="Z30573" s="372">
        <v>0.0</v>
      </c>
    </row>
    <row r="30574">
      <c r="Y30574" s="372">
        <v>0.0</v>
      </c>
      <c r="Z30574" s="372">
        <v>0.0</v>
      </c>
    </row>
    <row r="30575">
      <c r="Y30575" s="372">
        <v>0.0</v>
      </c>
      <c r="Z30575" s="372">
        <v>0.0</v>
      </c>
    </row>
    <row r="30576">
      <c r="Y30576" s="372">
        <v>0.0</v>
      </c>
      <c r="Z30576" s="372">
        <v>0.0</v>
      </c>
    </row>
    <row r="30577">
      <c r="Y30577" s="372">
        <v>0.0</v>
      </c>
      <c r="Z30577" s="372">
        <v>0.0</v>
      </c>
    </row>
    <row r="30578">
      <c r="Y30578" s="372">
        <v>0.0</v>
      </c>
      <c r="Z30578" s="372">
        <v>0.0</v>
      </c>
    </row>
    <row r="30579">
      <c r="Y30579" s="372">
        <v>0.0</v>
      </c>
      <c r="Z30579" s="372">
        <v>0.0</v>
      </c>
    </row>
    <row r="30580">
      <c r="Y30580" s="372">
        <v>0.0</v>
      </c>
      <c r="Z30580" s="372">
        <v>0.0</v>
      </c>
    </row>
    <row r="30581">
      <c r="Y30581" s="372">
        <v>0.0</v>
      </c>
      <c r="Z30581" s="372">
        <v>0.0</v>
      </c>
    </row>
    <row r="30582">
      <c r="Y30582" s="372">
        <v>0.0</v>
      </c>
      <c r="Z30582" s="372">
        <v>0.0</v>
      </c>
    </row>
    <row r="30583">
      <c r="Y30583" s="372">
        <v>0.0</v>
      </c>
      <c r="Z30583" s="372">
        <v>0.0</v>
      </c>
    </row>
    <row r="30584">
      <c r="Y30584" s="372">
        <v>0.0</v>
      </c>
      <c r="Z30584" s="372">
        <v>0.0</v>
      </c>
    </row>
    <row r="30585">
      <c r="Y30585" s="372">
        <v>0.0</v>
      </c>
      <c r="Z30585" s="372">
        <v>0.0</v>
      </c>
    </row>
    <row r="30586">
      <c r="Y30586" s="372">
        <v>0.0</v>
      </c>
      <c r="Z30586" s="372">
        <v>0.0</v>
      </c>
    </row>
    <row r="30587">
      <c r="Y30587" s="372">
        <v>0.0</v>
      </c>
      <c r="Z30587" s="372">
        <v>0.0</v>
      </c>
    </row>
    <row r="30588">
      <c r="Y30588" s="372">
        <v>0.0</v>
      </c>
      <c r="Z30588" s="372">
        <v>0.0</v>
      </c>
    </row>
    <row r="30589">
      <c r="Y30589" s="372">
        <v>0.0</v>
      </c>
      <c r="Z30589" s="372">
        <v>0.0</v>
      </c>
    </row>
    <row r="30590">
      <c r="Y30590" s="372">
        <v>0.0</v>
      </c>
      <c r="Z30590" s="372">
        <v>0.0</v>
      </c>
    </row>
    <row r="30591">
      <c r="Y30591" s="372">
        <v>0.0</v>
      </c>
      <c r="Z30591" s="372">
        <v>0.0</v>
      </c>
    </row>
    <row r="30592">
      <c r="Y30592" s="372">
        <v>0.0</v>
      </c>
      <c r="Z30592" s="372">
        <v>0.0</v>
      </c>
    </row>
    <row r="30593">
      <c r="Y30593" s="372">
        <v>0.0</v>
      </c>
      <c r="Z30593" s="372">
        <v>0.0</v>
      </c>
    </row>
    <row r="30594">
      <c r="Y30594" s="372">
        <v>0.0</v>
      </c>
      <c r="Z30594" s="372">
        <v>0.0</v>
      </c>
    </row>
    <row r="30595">
      <c r="Y30595" s="372">
        <v>0.0</v>
      </c>
      <c r="Z30595" s="372">
        <v>0.0</v>
      </c>
    </row>
    <row r="30596">
      <c r="Y30596" s="372">
        <v>0.0</v>
      </c>
      <c r="Z30596" s="372">
        <v>0.0</v>
      </c>
    </row>
    <row r="30597">
      <c r="Y30597" s="372">
        <v>0.0</v>
      </c>
      <c r="Z30597" s="372">
        <v>0.0</v>
      </c>
    </row>
    <row r="30598">
      <c r="Y30598" s="372">
        <v>0.0</v>
      </c>
      <c r="Z30598" s="372">
        <v>0.0</v>
      </c>
    </row>
    <row r="30599">
      <c r="Y30599" s="372">
        <v>0.0</v>
      </c>
      <c r="Z30599" s="372">
        <v>0.0</v>
      </c>
    </row>
    <row r="30600">
      <c r="Y30600" s="372">
        <v>0.0</v>
      </c>
      <c r="Z30600" s="372">
        <v>0.0</v>
      </c>
    </row>
    <row r="30601">
      <c r="Y30601" s="372">
        <v>0.0</v>
      </c>
      <c r="Z30601" s="372">
        <v>0.0</v>
      </c>
    </row>
    <row r="30602">
      <c r="Y30602" s="372">
        <v>0.0</v>
      </c>
      <c r="Z30602" s="372">
        <v>0.0</v>
      </c>
    </row>
    <row r="30603">
      <c r="Y30603" s="372">
        <v>0.0</v>
      </c>
      <c r="Z30603" s="372">
        <v>0.0</v>
      </c>
    </row>
    <row r="30604">
      <c r="Y30604" s="372">
        <v>0.0</v>
      </c>
      <c r="Z30604" s="372">
        <v>0.0</v>
      </c>
    </row>
    <row r="30605">
      <c r="Y30605" s="372">
        <v>0.0</v>
      </c>
      <c r="Z30605" s="372">
        <v>0.0</v>
      </c>
    </row>
    <row r="30606">
      <c r="Y30606" s="372">
        <v>0.0</v>
      </c>
      <c r="Z30606" s="372">
        <v>0.0</v>
      </c>
    </row>
    <row r="30607">
      <c r="Y30607" s="372">
        <v>0.0</v>
      </c>
      <c r="Z30607" s="372">
        <v>0.0</v>
      </c>
    </row>
    <row r="30608">
      <c r="Y30608" s="372">
        <v>0.0</v>
      </c>
      <c r="Z30608" s="372">
        <v>0.0</v>
      </c>
    </row>
    <row r="30609">
      <c r="Y30609" s="372">
        <v>0.0</v>
      </c>
      <c r="Z30609" s="372">
        <v>0.0</v>
      </c>
    </row>
    <row r="30610">
      <c r="Y30610" s="372">
        <v>0.0</v>
      </c>
      <c r="Z30610" s="372">
        <v>0.0</v>
      </c>
    </row>
    <row r="30611">
      <c r="Y30611" s="372">
        <v>0.0</v>
      </c>
      <c r="Z30611" s="372">
        <v>0.0</v>
      </c>
    </row>
    <row r="30612">
      <c r="Y30612" s="372">
        <v>0.0</v>
      </c>
      <c r="Z30612" s="372">
        <v>0.0</v>
      </c>
    </row>
    <row r="30613">
      <c r="Y30613" s="372">
        <v>0.0</v>
      </c>
      <c r="Z30613" s="372">
        <v>0.0</v>
      </c>
    </row>
    <row r="30614">
      <c r="Y30614" s="372">
        <v>0.0</v>
      </c>
      <c r="Z30614" s="372">
        <v>0.0</v>
      </c>
    </row>
    <row r="30615">
      <c r="Y30615" s="372">
        <v>0.0</v>
      </c>
      <c r="Z30615" s="372">
        <v>0.0</v>
      </c>
    </row>
    <row r="30616">
      <c r="Y30616" s="372">
        <v>0.0</v>
      </c>
      <c r="Z30616" s="372">
        <v>0.0</v>
      </c>
    </row>
    <row r="30617">
      <c r="Y30617" s="372">
        <v>0.0</v>
      </c>
      <c r="Z30617" s="372">
        <v>0.0</v>
      </c>
    </row>
    <row r="30618">
      <c r="Y30618" s="372">
        <v>0.0</v>
      </c>
      <c r="Z30618" s="372">
        <v>0.0</v>
      </c>
    </row>
    <row r="30619">
      <c r="Y30619" s="372">
        <v>0.0</v>
      </c>
      <c r="Z30619" s="372">
        <v>0.0</v>
      </c>
    </row>
    <row r="30620">
      <c r="Y30620" s="372">
        <v>0.0</v>
      </c>
      <c r="Z30620" s="372">
        <v>0.0</v>
      </c>
    </row>
    <row r="30621">
      <c r="Y30621" s="372">
        <v>0.0</v>
      </c>
      <c r="Z30621" s="372">
        <v>0.0</v>
      </c>
    </row>
    <row r="30622">
      <c r="Y30622" s="372">
        <v>0.0</v>
      </c>
      <c r="Z30622" s="372">
        <v>0.0</v>
      </c>
    </row>
    <row r="30623">
      <c r="Y30623" s="372">
        <v>0.0</v>
      </c>
      <c r="Z30623" s="372">
        <v>0.0</v>
      </c>
    </row>
    <row r="30624">
      <c r="Y30624" s="372">
        <v>0.0</v>
      </c>
      <c r="Z30624" s="372">
        <v>0.0</v>
      </c>
    </row>
    <row r="30625">
      <c r="Y30625" s="372">
        <v>0.0</v>
      </c>
      <c r="Z30625" s="372">
        <v>0.0</v>
      </c>
    </row>
    <row r="30626">
      <c r="Y30626" s="372">
        <v>0.0</v>
      </c>
      <c r="Z30626" s="372">
        <v>0.0</v>
      </c>
    </row>
    <row r="30627">
      <c r="Y30627" s="372">
        <v>0.0</v>
      </c>
      <c r="Z30627" s="372">
        <v>0.0</v>
      </c>
    </row>
    <row r="30628">
      <c r="Y30628" s="372">
        <v>0.0</v>
      </c>
      <c r="Z30628" s="372">
        <v>0.0</v>
      </c>
    </row>
    <row r="30629">
      <c r="Y30629" s="372">
        <v>0.0</v>
      </c>
      <c r="Z30629" s="372">
        <v>0.0</v>
      </c>
    </row>
    <row r="30630">
      <c r="Y30630" s="372">
        <v>0.0</v>
      </c>
      <c r="Z30630" s="372">
        <v>0.0</v>
      </c>
    </row>
    <row r="30631">
      <c r="Y30631" s="372">
        <v>0.0</v>
      </c>
      <c r="Z30631" s="372">
        <v>0.0</v>
      </c>
    </row>
    <row r="30632">
      <c r="Y30632" s="372">
        <v>0.0</v>
      </c>
      <c r="Z30632" s="372">
        <v>0.0</v>
      </c>
    </row>
    <row r="30633">
      <c r="Y30633" s="372">
        <v>0.0</v>
      </c>
      <c r="Z30633" s="372">
        <v>0.0</v>
      </c>
    </row>
    <row r="30634">
      <c r="Y30634" s="372">
        <v>0.0</v>
      </c>
      <c r="Z30634" s="372">
        <v>0.0</v>
      </c>
    </row>
    <row r="30635">
      <c r="Y30635" s="372">
        <v>0.0</v>
      </c>
      <c r="Z30635" s="372">
        <v>0.0</v>
      </c>
    </row>
    <row r="30636">
      <c r="Y30636" s="372">
        <v>0.0</v>
      </c>
      <c r="Z30636" s="372">
        <v>0.0</v>
      </c>
    </row>
    <row r="30637">
      <c r="Y30637" s="372">
        <v>0.0</v>
      </c>
      <c r="Z30637" s="372">
        <v>0.0</v>
      </c>
    </row>
    <row r="30638">
      <c r="Y30638" s="372">
        <v>0.0</v>
      </c>
      <c r="Z30638" s="372">
        <v>0.0</v>
      </c>
    </row>
    <row r="30639">
      <c r="Y30639" s="372">
        <v>0.0</v>
      </c>
      <c r="Z30639" s="372">
        <v>0.0</v>
      </c>
    </row>
    <row r="30640">
      <c r="Y30640" s="372">
        <v>0.0</v>
      </c>
      <c r="Z30640" s="372">
        <v>0.0</v>
      </c>
    </row>
    <row r="30641">
      <c r="Y30641" s="372">
        <v>0.0</v>
      </c>
      <c r="Z30641" s="372">
        <v>0.0</v>
      </c>
    </row>
    <row r="30642">
      <c r="Y30642" s="372">
        <v>0.0</v>
      </c>
      <c r="Z30642" s="372">
        <v>0.0</v>
      </c>
    </row>
    <row r="30643">
      <c r="Y30643" s="372">
        <v>0.0</v>
      </c>
      <c r="Z30643" s="372">
        <v>0.0</v>
      </c>
    </row>
    <row r="30644">
      <c r="Y30644" s="372">
        <v>0.0</v>
      </c>
      <c r="Z30644" s="372">
        <v>0.0</v>
      </c>
    </row>
    <row r="30645">
      <c r="Y30645" s="372">
        <v>0.0</v>
      </c>
      <c r="Z30645" s="372">
        <v>0.0</v>
      </c>
    </row>
    <row r="30646">
      <c r="Y30646" s="372">
        <v>0.0</v>
      </c>
      <c r="Z30646" s="372">
        <v>0.0</v>
      </c>
    </row>
    <row r="30647">
      <c r="Y30647" s="372">
        <v>0.0</v>
      </c>
      <c r="Z30647" s="372">
        <v>0.0</v>
      </c>
    </row>
    <row r="30648">
      <c r="Y30648" s="372">
        <v>0.0</v>
      </c>
      <c r="Z30648" s="372">
        <v>0.0</v>
      </c>
    </row>
    <row r="30649">
      <c r="Y30649" s="372">
        <v>0.0</v>
      </c>
      <c r="Z30649" s="372">
        <v>0.0</v>
      </c>
    </row>
    <row r="30650">
      <c r="Y30650" s="372">
        <v>0.0</v>
      </c>
      <c r="Z30650" s="372">
        <v>0.0</v>
      </c>
    </row>
    <row r="30651">
      <c r="Y30651" s="372">
        <v>0.0</v>
      </c>
      <c r="Z30651" s="372">
        <v>0.0</v>
      </c>
    </row>
    <row r="30652">
      <c r="Y30652" s="372">
        <v>0.0</v>
      </c>
      <c r="Z30652" s="372">
        <v>0.0</v>
      </c>
    </row>
    <row r="30653">
      <c r="Y30653" s="372">
        <v>0.0</v>
      </c>
      <c r="Z30653" s="372">
        <v>0.0</v>
      </c>
    </row>
    <row r="30654">
      <c r="Y30654" s="372">
        <v>0.0</v>
      </c>
      <c r="Z30654" s="372">
        <v>0.0</v>
      </c>
    </row>
    <row r="30655">
      <c r="Y30655" s="372">
        <v>0.0</v>
      </c>
      <c r="Z30655" s="372">
        <v>0.0</v>
      </c>
    </row>
    <row r="30656">
      <c r="Y30656" s="372">
        <v>0.0</v>
      </c>
      <c r="Z30656" s="372">
        <v>0.0</v>
      </c>
    </row>
    <row r="30657">
      <c r="Y30657" s="372">
        <v>0.0</v>
      </c>
      <c r="Z30657" s="372">
        <v>0.0</v>
      </c>
    </row>
    <row r="30658">
      <c r="Y30658" s="372">
        <v>0.0</v>
      </c>
      <c r="Z30658" s="372">
        <v>0.0</v>
      </c>
    </row>
    <row r="30659">
      <c r="Y30659" s="372">
        <v>0.0</v>
      </c>
      <c r="Z30659" s="372">
        <v>0.0</v>
      </c>
    </row>
    <row r="30660">
      <c r="Y30660" s="372">
        <v>0.0</v>
      </c>
      <c r="Z30660" s="372">
        <v>0.0</v>
      </c>
    </row>
    <row r="30661">
      <c r="Y30661" s="372">
        <v>0.0</v>
      </c>
      <c r="Z30661" s="372">
        <v>0.0</v>
      </c>
    </row>
    <row r="30662">
      <c r="Y30662" s="372">
        <v>0.0</v>
      </c>
      <c r="Z30662" s="372">
        <v>0.0</v>
      </c>
    </row>
    <row r="30663">
      <c r="Y30663" s="372">
        <v>0.0</v>
      </c>
      <c r="Z30663" s="372">
        <v>0.0</v>
      </c>
    </row>
    <row r="30664">
      <c r="Y30664" s="372">
        <v>0.0</v>
      </c>
      <c r="Z30664" s="372">
        <v>0.0</v>
      </c>
    </row>
    <row r="30665">
      <c r="Y30665" s="372">
        <v>0.0</v>
      </c>
      <c r="Z30665" s="372">
        <v>0.0</v>
      </c>
    </row>
    <row r="30666">
      <c r="Y30666" s="372">
        <v>0.0</v>
      </c>
      <c r="Z30666" s="372">
        <v>0.0</v>
      </c>
    </row>
    <row r="30667">
      <c r="Y30667" s="372">
        <v>0.0</v>
      </c>
      <c r="Z30667" s="372">
        <v>0.0</v>
      </c>
    </row>
    <row r="30668">
      <c r="Y30668" s="372">
        <v>0.0</v>
      </c>
      <c r="Z30668" s="372">
        <v>0.0</v>
      </c>
    </row>
    <row r="30669">
      <c r="Y30669" s="372">
        <v>0.0</v>
      </c>
      <c r="Z30669" s="372">
        <v>0.0</v>
      </c>
    </row>
    <row r="30670">
      <c r="Y30670" s="372">
        <v>0.0</v>
      </c>
      <c r="Z30670" s="372">
        <v>0.0</v>
      </c>
    </row>
    <row r="30671">
      <c r="Y30671" s="372">
        <v>0.0</v>
      </c>
      <c r="Z30671" s="372">
        <v>0.0</v>
      </c>
    </row>
    <row r="30672">
      <c r="Y30672" s="372">
        <v>0.0</v>
      </c>
      <c r="Z30672" s="372">
        <v>0.0</v>
      </c>
    </row>
    <row r="30673">
      <c r="Y30673" s="372">
        <v>0.0</v>
      </c>
      <c r="Z30673" s="372">
        <v>0.0</v>
      </c>
    </row>
    <row r="30674">
      <c r="Y30674" s="372">
        <v>0.0</v>
      </c>
      <c r="Z30674" s="372">
        <v>0.0</v>
      </c>
    </row>
    <row r="30675">
      <c r="Y30675" s="372">
        <v>0.0</v>
      </c>
      <c r="Z30675" s="372">
        <v>0.0</v>
      </c>
    </row>
    <row r="30676">
      <c r="Y30676" s="372">
        <v>0.0</v>
      </c>
      <c r="Z30676" s="372">
        <v>0.0</v>
      </c>
    </row>
    <row r="30677">
      <c r="Y30677" s="372">
        <v>0.0</v>
      </c>
      <c r="Z30677" s="372">
        <v>0.0</v>
      </c>
    </row>
    <row r="30678">
      <c r="Y30678" s="372">
        <v>0.0</v>
      </c>
      <c r="Z30678" s="372">
        <v>0.0</v>
      </c>
    </row>
    <row r="30679">
      <c r="Y30679" s="372">
        <v>0.0</v>
      </c>
      <c r="Z30679" s="372">
        <v>0.0</v>
      </c>
    </row>
    <row r="30680">
      <c r="Y30680" s="372">
        <v>0.0</v>
      </c>
      <c r="Z30680" s="372">
        <v>0.0</v>
      </c>
    </row>
    <row r="30681">
      <c r="Y30681" s="372">
        <v>0.0</v>
      </c>
      <c r="Z30681" s="372">
        <v>0.0</v>
      </c>
    </row>
    <row r="30682">
      <c r="Y30682" s="372">
        <v>0.0</v>
      </c>
      <c r="Z30682" s="372">
        <v>0.0</v>
      </c>
    </row>
    <row r="30683">
      <c r="Y30683" s="372">
        <v>0.0</v>
      </c>
      <c r="Z30683" s="372">
        <v>0.0</v>
      </c>
    </row>
    <row r="30684">
      <c r="Y30684" s="372">
        <v>0.0</v>
      </c>
      <c r="Z30684" s="372">
        <v>0.0</v>
      </c>
    </row>
    <row r="30685">
      <c r="Y30685" s="372">
        <v>0.0</v>
      </c>
      <c r="Z30685" s="372">
        <v>0.0</v>
      </c>
    </row>
    <row r="30686">
      <c r="Y30686" s="372">
        <v>0.0</v>
      </c>
      <c r="Z30686" s="372">
        <v>0.0</v>
      </c>
    </row>
    <row r="30687">
      <c r="Y30687" s="372">
        <v>0.0</v>
      </c>
      <c r="Z30687" s="372">
        <v>0.0</v>
      </c>
    </row>
    <row r="30688">
      <c r="Y30688" s="372">
        <v>0.0</v>
      </c>
      <c r="Z30688" s="372">
        <v>0.0</v>
      </c>
    </row>
    <row r="30689">
      <c r="Y30689" s="372">
        <v>0.0</v>
      </c>
      <c r="Z30689" s="372">
        <v>0.0</v>
      </c>
    </row>
    <row r="30690">
      <c r="Y30690" s="372">
        <v>0.0</v>
      </c>
      <c r="Z30690" s="372">
        <v>0.0</v>
      </c>
    </row>
    <row r="30691">
      <c r="Y30691" s="372">
        <v>0.0</v>
      </c>
      <c r="Z30691" s="372">
        <v>0.0</v>
      </c>
    </row>
    <row r="30692">
      <c r="Y30692" s="372">
        <v>0.0</v>
      </c>
      <c r="Z30692" s="372">
        <v>0.0</v>
      </c>
    </row>
    <row r="30693">
      <c r="Y30693" s="372">
        <v>0.0</v>
      </c>
      <c r="Z30693" s="372">
        <v>0.0</v>
      </c>
    </row>
    <row r="30694">
      <c r="Y30694" s="372">
        <v>0.0</v>
      </c>
      <c r="Z30694" s="372">
        <v>0.0</v>
      </c>
    </row>
    <row r="30695">
      <c r="Y30695" s="372">
        <v>0.0</v>
      </c>
      <c r="Z30695" s="372">
        <v>0.0</v>
      </c>
    </row>
    <row r="30696">
      <c r="Y30696" s="372">
        <v>0.0</v>
      </c>
      <c r="Z30696" s="372">
        <v>0.0</v>
      </c>
    </row>
    <row r="30697">
      <c r="Y30697" s="372">
        <v>0.0</v>
      </c>
      <c r="Z30697" s="372">
        <v>0.0</v>
      </c>
    </row>
    <row r="30698">
      <c r="Y30698" s="372">
        <v>0.0</v>
      </c>
      <c r="Z30698" s="372">
        <v>0.0</v>
      </c>
    </row>
    <row r="30699">
      <c r="Y30699" s="372">
        <v>0.0</v>
      </c>
      <c r="Z30699" s="372">
        <v>0.0</v>
      </c>
    </row>
    <row r="30700">
      <c r="Y30700" s="372">
        <v>0.0</v>
      </c>
      <c r="Z30700" s="372">
        <v>0.0</v>
      </c>
    </row>
    <row r="30701">
      <c r="Y30701" s="372">
        <v>0.0</v>
      </c>
      <c r="Z30701" s="372">
        <v>0.0</v>
      </c>
    </row>
    <row r="30702">
      <c r="Y30702" s="372">
        <v>0.0</v>
      </c>
      <c r="Z30702" s="372">
        <v>0.0</v>
      </c>
    </row>
    <row r="30703">
      <c r="Y30703" s="372">
        <v>0.0</v>
      </c>
      <c r="Z30703" s="372">
        <v>0.0</v>
      </c>
    </row>
    <row r="30704">
      <c r="Y30704" s="372">
        <v>0.0</v>
      </c>
      <c r="Z30704" s="372">
        <v>0.0</v>
      </c>
    </row>
    <row r="30705">
      <c r="Y30705" s="372">
        <v>0.0</v>
      </c>
      <c r="Z30705" s="372">
        <v>0.0</v>
      </c>
    </row>
    <row r="30706">
      <c r="Y30706" s="372">
        <v>0.0</v>
      </c>
      <c r="Z30706" s="372">
        <v>0.0</v>
      </c>
    </row>
    <row r="30707">
      <c r="Y30707" s="372">
        <v>0.0</v>
      </c>
      <c r="Z30707" s="372">
        <v>0.0</v>
      </c>
    </row>
    <row r="30708">
      <c r="Y30708" s="372">
        <v>0.0</v>
      </c>
      <c r="Z30708" s="372">
        <v>0.0</v>
      </c>
    </row>
    <row r="30709">
      <c r="Y30709" s="372">
        <v>0.0</v>
      </c>
      <c r="Z30709" s="372">
        <v>0.0</v>
      </c>
    </row>
    <row r="30710">
      <c r="Y30710" s="372">
        <v>0.0</v>
      </c>
      <c r="Z30710" s="372">
        <v>0.0</v>
      </c>
    </row>
    <row r="30711">
      <c r="Y30711" s="372">
        <v>0.0</v>
      </c>
      <c r="Z30711" s="372">
        <v>0.0</v>
      </c>
    </row>
    <row r="30712">
      <c r="Y30712" s="372">
        <v>0.0</v>
      </c>
      <c r="Z30712" s="372">
        <v>0.0</v>
      </c>
    </row>
    <row r="30713">
      <c r="Y30713" s="372">
        <v>0.0</v>
      </c>
      <c r="Z30713" s="372">
        <v>0.0</v>
      </c>
    </row>
    <row r="30714">
      <c r="Y30714" s="372">
        <v>0.0</v>
      </c>
      <c r="Z30714" s="372">
        <v>0.0</v>
      </c>
    </row>
    <row r="30715">
      <c r="Y30715" s="372">
        <v>0.0</v>
      </c>
      <c r="Z30715" s="372">
        <v>0.0</v>
      </c>
    </row>
    <row r="30716">
      <c r="Y30716" s="372">
        <v>0.0</v>
      </c>
      <c r="Z30716" s="372">
        <v>0.0</v>
      </c>
    </row>
    <row r="30717">
      <c r="Y30717" s="372">
        <v>0.0</v>
      </c>
      <c r="Z30717" s="372">
        <v>0.0</v>
      </c>
    </row>
    <row r="30718">
      <c r="Y30718" s="372">
        <v>0.0</v>
      </c>
      <c r="Z30718" s="372">
        <v>0.0</v>
      </c>
    </row>
    <row r="30719">
      <c r="Y30719" s="372">
        <v>0.0</v>
      </c>
      <c r="Z30719" s="372">
        <v>0.0</v>
      </c>
    </row>
    <row r="30720">
      <c r="Y30720" s="372">
        <v>0.0</v>
      </c>
      <c r="Z30720" s="372">
        <v>0.0</v>
      </c>
    </row>
    <row r="30721">
      <c r="Y30721" s="372">
        <v>0.0</v>
      </c>
      <c r="Z30721" s="372">
        <v>0.0</v>
      </c>
    </row>
    <row r="30722">
      <c r="Y30722" s="372">
        <v>0.0</v>
      </c>
      <c r="Z30722" s="372">
        <v>0.0</v>
      </c>
    </row>
    <row r="30723">
      <c r="Y30723" s="372">
        <v>0.0</v>
      </c>
      <c r="Z30723" s="372">
        <v>0.0</v>
      </c>
    </row>
    <row r="30724">
      <c r="Y30724" s="372">
        <v>0.0</v>
      </c>
      <c r="Z30724" s="372">
        <v>0.0</v>
      </c>
    </row>
    <row r="30725">
      <c r="Y30725" s="372">
        <v>0.0</v>
      </c>
      <c r="Z30725" s="372">
        <v>0.0</v>
      </c>
    </row>
    <row r="30726">
      <c r="Y30726" s="372">
        <v>0.0</v>
      </c>
      <c r="Z30726" s="372">
        <v>0.0</v>
      </c>
    </row>
    <row r="30727">
      <c r="Y30727" s="372">
        <v>0.0</v>
      </c>
      <c r="Z30727" s="372">
        <v>0.0</v>
      </c>
    </row>
    <row r="30728">
      <c r="Y30728" s="372">
        <v>0.0</v>
      </c>
      <c r="Z30728" s="372">
        <v>0.0</v>
      </c>
    </row>
    <row r="30729">
      <c r="Y30729" s="372">
        <v>0.0</v>
      </c>
      <c r="Z30729" s="372">
        <v>0.0</v>
      </c>
    </row>
    <row r="30730">
      <c r="Y30730" s="372">
        <v>0.0</v>
      </c>
      <c r="Z30730" s="372">
        <v>0.0</v>
      </c>
    </row>
    <row r="30731">
      <c r="Y30731" s="372">
        <v>0.0</v>
      </c>
      <c r="Z30731" s="372">
        <v>0.0</v>
      </c>
    </row>
    <row r="30732">
      <c r="Y30732" s="372">
        <v>0.0</v>
      </c>
      <c r="Z30732" s="372">
        <v>0.0</v>
      </c>
    </row>
    <row r="30733">
      <c r="Y30733" s="372">
        <v>0.0</v>
      </c>
      <c r="Z30733" s="372">
        <v>0.0</v>
      </c>
    </row>
    <row r="30734">
      <c r="Y30734" s="372">
        <v>0.0</v>
      </c>
      <c r="Z30734" s="372">
        <v>0.0</v>
      </c>
    </row>
    <row r="30735">
      <c r="Y30735" s="372">
        <v>0.0</v>
      </c>
      <c r="Z30735" s="372">
        <v>0.0</v>
      </c>
    </row>
    <row r="30736">
      <c r="Y30736" s="372">
        <v>0.0</v>
      </c>
      <c r="Z30736" s="372">
        <v>0.0</v>
      </c>
    </row>
    <row r="30737">
      <c r="Y30737" s="372">
        <v>0.0</v>
      </c>
      <c r="Z30737" s="372">
        <v>0.0</v>
      </c>
    </row>
    <row r="30738">
      <c r="Y30738" s="372">
        <v>0.0</v>
      </c>
      <c r="Z30738" s="372">
        <v>0.0</v>
      </c>
    </row>
    <row r="30739">
      <c r="Y30739" s="372">
        <v>0.0</v>
      </c>
      <c r="Z30739" s="372">
        <v>0.0</v>
      </c>
    </row>
    <row r="30740">
      <c r="Y30740" s="372">
        <v>0.0</v>
      </c>
      <c r="Z30740" s="372">
        <v>0.0</v>
      </c>
    </row>
    <row r="30741">
      <c r="Y30741" s="372">
        <v>0.0</v>
      </c>
      <c r="Z30741" s="372">
        <v>0.0</v>
      </c>
    </row>
    <row r="30742">
      <c r="Y30742" s="372">
        <v>0.0</v>
      </c>
      <c r="Z30742" s="372">
        <v>0.0</v>
      </c>
    </row>
    <row r="30743">
      <c r="Y30743" s="372">
        <v>0.0</v>
      </c>
      <c r="Z30743" s="372">
        <v>0.0</v>
      </c>
    </row>
    <row r="30744">
      <c r="Y30744" s="372">
        <v>0.0</v>
      </c>
      <c r="Z30744" s="372">
        <v>0.0</v>
      </c>
    </row>
    <row r="30745">
      <c r="Y30745" s="372">
        <v>0.0</v>
      </c>
      <c r="Z30745" s="372">
        <v>0.0</v>
      </c>
    </row>
    <row r="30746">
      <c r="Y30746" s="372">
        <v>0.0</v>
      </c>
      <c r="Z30746" s="372">
        <v>0.0</v>
      </c>
    </row>
    <row r="30747">
      <c r="Y30747" s="372">
        <v>0.0</v>
      </c>
      <c r="Z30747" s="372">
        <v>0.0</v>
      </c>
    </row>
    <row r="30748">
      <c r="Y30748" s="372">
        <v>0.0</v>
      </c>
      <c r="Z30748" s="372">
        <v>0.0</v>
      </c>
    </row>
    <row r="30749">
      <c r="Y30749" s="372">
        <v>0.0</v>
      </c>
      <c r="Z30749" s="372">
        <v>0.0</v>
      </c>
    </row>
    <row r="30750">
      <c r="Y30750" s="372">
        <v>0.0</v>
      </c>
      <c r="Z30750" s="372">
        <v>0.0</v>
      </c>
    </row>
    <row r="30751">
      <c r="Y30751" s="372">
        <v>0.0</v>
      </c>
      <c r="Z30751" s="372">
        <v>0.0</v>
      </c>
    </row>
    <row r="30752">
      <c r="Y30752" s="372">
        <v>0.0</v>
      </c>
      <c r="Z30752" s="372">
        <v>0.0</v>
      </c>
    </row>
    <row r="30753">
      <c r="Y30753" s="372">
        <v>0.0</v>
      </c>
      <c r="Z30753" s="372">
        <v>0.0</v>
      </c>
    </row>
    <row r="30754">
      <c r="Y30754" s="372">
        <v>0.0</v>
      </c>
      <c r="Z30754" s="372">
        <v>0.0</v>
      </c>
    </row>
    <row r="30755">
      <c r="Y30755" s="372">
        <v>0.0</v>
      </c>
      <c r="Z30755" s="372">
        <v>0.0</v>
      </c>
    </row>
    <row r="30756">
      <c r="Y30756" s="372">
        <v>0.0</v>
      </c>
      <c r="Z30756" s="372">
        <v>0.0</v>
      </c>
    </row>
    <row r="30757">
      <c r="Y30757" s="372">
        <v>0.0</v>
      </c>
      <c r="Z30757" s="372">
        <v>0.0</v>
      </c>
    </row>
    <row r="30758">
      <c r="Y30758" s="372">
        <v>0.0</v>
      </c>
      <c r="Z30758" s="372">
        <v>0.0</v>
      </c>
    </row>
    <row r="30759">
      <c r="Y30759" s="372">
        <v>0.0</v>
      </c>
      <c r="Z30759" s="372">
        <v>0.0</v>
      </c>
    </row>
    <row r="30760">
      <c r="Y30760" s="372">
        <v>0.0</v>
      </c>
      <c r="Z30760" s="372">
        <v>0.0</v>
      </c>
    </row>
    <row r="30761">
      <c r="Y30761" s="372">
        <v>0.0</v>
      </c>
      <c r="Z30761" s="372">
        <v>0.0</v>
      </c>
    </row>
    <row r="30762">
      <c r="Y30762" s="372">
        <v>0.0</v>
      </c>
      <c r="Z30762" s="372">
        <v>0.0</v>
      </c>
    </row>
    <row r="30763">
      <c r="Y30763" s="372">
        <v>0.0</v>
      </c>
      <c r="Z30763" s="372">
        <v>0.0</v>
      </c>
    </row>
    <row r="30764">
      <c r="Y30764" s="372">
        <v>0.0</v>
      </c>
      <c r="Z30764" s="372">
        <v>0.0</v>
      </c>
    </row>
    <row r="30765">
      <c r="Y30765" s="372">
        <v>0.0</v>
      </c>
      <c r="Z30765" s="372">
        <v>0.0</v>
      </c>
    </row>
    <row r="30766">
      <c r="Y30766" s="372">
        <v>0.0</v>
      </c>
      <c r="Z30766" s="372">
        <v>0.0</v>
      </c>
    </row>
    <row r="30767">
      <c r="Y30767" s="372">
        <v>0.0</v>
      </c>
      <c r="Z30767" s="372">
        <v>0.0</v>
      </c>
    </row>
    <row r="30768">
      <c r="Y30768" s="372">
        <v>0.0</v>
      </c>
      <c r="Z30768" s="372">
        <v>0.0</v>
      </c>
    </row>
    <row r="30769">
      <c r="Y30769" s="372">
        <v>0.0</v>
      </c>
      <c r="Z30769" s="372">
        <v>0.0</v>
      </c>
    </row>
    <row r="30770">
      <c r="Y30770" s="372">
        <v>0.0</v>
      </c>
      <c r="Z30770" s="372">
        <v>0.0</v>
      </c>
    </row>
    <row r="30771">
      <c r="Y30771" s="372">
        <v>0.0</v>
      </c>
      <c r="Z30771" s="372">
        <v>0.0</v>
      </c>
    </row>
    <row r="30772">
      <c r="Y30772" s="372">
        <v>0.0</v>
      </c>
      <c r="Z30772" s="372">
        <v>0.0</v>
      </c>
    </row>
    <row r="30773">
      <c r="Y30773" s="372">
        <v>0.0</v>
      </c>
      <c r="Z30773" s="372">
        <v>0.0</v>
      </c>
    </row>
    <row r="30774">
      <c r="Y30774" s="372">
        <v>0.0</v>
      </c>
      <c r="Z30774" s="372">
        <v>0.0</v>
      </c>
    </row>
    <row r="30775">
      <c r="Y30775" s="372">
        <v>0.0</v>
      </c>
      <c r="Z30775" s="372">
        <v>0.0</v>
      </c>
    </row>
    <row r="30776">
      <c r="Y30776" s="372">
        <v>0.0</v>
      </c>
      <c r="Z30776" s="372">
        <v>0.0</v>
      </c>
    </row>
    <row r="30777">
      <c r="Y30777" s="372">
        <v>0.0</v>
      </c>
      <c r="Z30777" s="372">
        <v>0.0</v>
      </c>
    </row>
    <row r="30778">
      <c r="Y30778" s="372">
        <v>0.0</v>
      </c>
      <c r="Z30778" s="372">
        <v>0.0</v>
      </c>
    </row>
    <row r="30779">
      <c r="Y30779" s="372">
        <v>0.0</v>
      </c>
      <c r="Z30779" s="372">
        <v>0.0</v>
      </c>
    </row>
    <row r="30780">
      <c r="Y30780" s="372">
        <v>0.0</v>
      </c>
      <c r="Z30780" s="372">
        <v>0.0</v>
      </c>
    </row>
    <row r="30781">
      <c r="Y30781" s="372">
        <v>0.0</v>
      </c>
      <c r="Z30781" s="372">
        <v>0.0</v>
      </c>
    </row>
    <row r="30782">
      <c r="Y30782" s="372">
        <v>0.0</v>
      </c>
      <c r="Z30782" s="372">
        <v>0.0</v>
      </c>
    </row>
    <row r="30783">
      <c r="Y30783" s="372">
        <v>0.0</v>
      </c>
      <c r="Z30783" s="372">
        <v>0.0</v>
      </c>
    </row>
    <row r="30784">
      <c r="Y30784" s="372">
        <v>0.0</v>
      </c>
      <c r="Z30784" s="372">
        <v>0.0</v>
      </c>
    </row>
    <row r="30785">
      <c r="Y30785" s="372">
        <v>0.0</v>
      </c>
      <c r="Z30785" s="372">
        <v>0.0</v>
      </c>
    </row>
    <row r="30786">
      <c r="Y30786" s="372">
        <v>0.0</v>
      </c>
      <c r="Z30786" s="372">
        <v>0.0</v>
      </c>
    </row>
    <row r="30787">
      <c r="Y30787" s="372">
        <v>0.0</v>
      </c>
      <c r="Z30787" s="372">
        <v>0.0</v>
      </c>
    </row>
    <row r="30788">
      <c r="Y30788" s="372">
        <v>0.0</v>
      </c>
      <c r="Z30788" s="372">
        <v>0.0</v>
      </c>
    </row>
    <row r="30789">
      <c r="Y30789" s="372">
        <v>0.0</v>
      </c>
      <c r="Z30789" s="372">
        <v>0.0</v>
      </c>
    </row>
    <row r="30790">
      <c r="Y30790" s="372">
        <v>0.0</v>
      </c>
      <c r="Z30790" s="372">
        <v>0.0</v>
      </c>
    </row>
    <row r="30791">
      <c r="Y30791" s="372">
        <v>0.0</v>
      </c>
      <c r="Z30791" s="372">
        <v>0.0</v>
      </c>
    </row>
    <row r="30792">
      <c r="Y30792" s="372">
        <v>0.0</v>
      </c>
      <c r="Z30792" s="372">
        <v>0.0</v>
      </c>
    </row>
    <row r="30793">
      <c r="Y30793" s="372">
        <v>0.0</v>
      </c>
      <c r="Z30793" s="372">
        <v>0.0</v>
      </c>
    </row>
    <row r="30794">
      <c r="Y30794" s="372">
        <v>0.0</v>
      </c>
      <c r="Z30794" s="372">
        <v>0.0</v>
      </c>
    </row>
    <row r="30795">
      <c r="Y30795" s="372">
        <v>0.0</v>
      </c>
      <c r="Z30795" s="372">
        <v>0.0</v>
      </c>
    </row>
    <row r="30796">
      <c r="Y30796" s="372">
        <v>0.0</v>
      </c>
      <c r="Z30796" s="372">
        <v>0.0</v>
      </c>
    </row>
    <row r="30797">
      <c r="Y30797" s="372">
        <v>0.0</v>
      </c>
      <c r="Z30797" s="372">
        <v>0.0</v>
      </c>
    </row>
    <row r="30798">
      <c r="Y30798" s="372">
        <v>0.0</v>
      </c>
      <c r="Z30798" s="372">
        <v>0.0</v>
      </c>
    </row>
    <row r="30799">
      <c r="Y30799" s="372">
        <v>0.0</v>
      </c>
      <c r="Z30799" s="372">
        <v>0.0</v>
      </c>
    </row>
    <row r="30800">
      <c r="Y30800" s="372">
        <v>0.0</v>
      </c>
      <c r="Z30800" s="372">
        <v>0.0</v>
      </c>
    </row>
    <row r="30801">
      <c r="Y30801" s="372">
        <v>0.0</v>
      </c>
      <c r="Z30801" s="372">
        <v>0.0</v>
      </c>
    </row>
    <row r="30802">
      <c r="Y30802" s="372">
        <v>0.0</v>
      </c>
      <c r="Z30802" s="372">
        <v>0.0</v>
      </c>
    </row>
    <row r="30803">
      <c r="Y30803" s="372">
        <v>0.0</v>
      </c>
      <c r="Z30803" s="372">
        <v>0.0</v>
      </c>
    </row>
    <row r="30804">
      <c r="Y30804" s="372">
        <v>0.0</v>
      </c>
      <c r="Z30804" s="372">
        <v>0.0</v>
      </c>
    </row>
    <row r="30805">
      <c r="Y30805" s="372">
        <v>0.0</v>
      </c>
      <c r="Z30805" s="372">
        <v>0.0</v>
      </c>
    </row>
    <row r="30806">
      <c r="Y30806" s="372">
        <v>0.0</v>
      </c>
      <c r="Z30806" s="372">
        <v>0.0</v>
      </c>
    </row>
    <row r="30807">
      <c r="Y30807" s="372">
        <v>0.0</v>
      </c>
      <c r="Z30807" s="372">
        <v>0.0</v>
      </c>
    </row>
    <row r="30808">
      <c r="Y30808" s="372">
        <v>0.0</v>
      </c>
      <c r="Z30808" s="372">
        <v>0.0</v>
      </c>
    </row>
    <row r="30809">
      <c r="Y30809" s="372">
        <v>0.0</v>
      </c>
      <c r="Z30809" s="372">
        <v>0.0</v>
      </c>
    </row>
    <row r="30810">
      <c r="Y30810" s="372">
        <v>0.0</v>
      </c>
      <c r="Z30810" s="372">
        <v>0.0</v>
      </c>
    </row>
    <row r="30811">
      <c r="Y30811" s="372">
        <v>0.0</v>
      </c>
      <c r="Z30811" s="372">
        <v>0.0</v>
      </c>
    </row>
    <row r="30812">
      <c r="Y30812" s="372">
        <v>0.0</v>
      </c>
      <c r="Z30812" s="372">
        <v>0.0</v>
      </c>
    </row>
    <row r="30813">
      <c r="Y30813" s="372">
        <v>0.0</v>
      </c>
      <c r="Z30813" s="372">
        <v>0.0</v>
      </c>
    </row>
    <row r="30814">
      <c r="Y30814" s="372">
        <v>0.0</v>
      </c>
      <c r="Z30814" s="372">
        <v>0.0</v>
      </c>
    </row>
    <row r="30815">
      <c r="Y30815" s="372">
        <v>0.0</v>
      </c>
      <c r="Z30815" s="372">
        <v>0.0</v>
      </c>
    </row>
    <row r="30816">
      <c r="Y30816" s="372">
        <v>0.0</v>
      </c>
      <c r="Z30816" s="372">
        <v>0.0</v>
      </c>
    </row>
    <row r="30817">
      <c r="Y30817" s="372">
        <v>0.0</v>
      </c>
      <c r="Z30817" s="372">
        <v>0.0</v>
      </c>
    </row>
    <row r="30818">
      <c r="Y30818" s="372">
        <v>0.0</v>
      </c>
      <c r="Z30818" s="372">
        <v>0.0</v>
      </c>
    </row>
    <row r="30819">
      <c r="Y30819" s="372">
        <v>0.0</v>
      </c>
      <c r="Z30819" s="372">
        <v>0.0</v>
      </c>
    </row>
    <row r="30820">
      <c r="Y30820" s="372">
        <v>0.0</v>
      </c>
      <c r="Z30820" s="372">
        <v>0.0</v>
      </c>
    </row>
    <row r="30821">
      <c r="Y30821" s="372">
        <v>0.0</v>
      </c>
      <c r="Z30821" s="372">
        <v>0.0</v>
      </c>
    </row>
    <row r="30822">
      <c r="Y30822" s="372">
        <v>0.0</v>
      </c>
      <c r="Z30822" s="372">
        <v>0.0</v>
      </c>
    </row>
    <row r="30823">
      <c r="Y30823" s="372">
        <v>0.0</v>
      </c>
      <c r="Z30823" s="372">
        <v>0.0</v>
      </c>
    </row>
    <row r="30824">
      <c r="Y30824" s="372">
        <v>0.0</v>
      </c>
      <c r="Z30824" s="372">
        <v>0.0</v>
      </c>
    </row>
    <row r="30825">
      <c r="Y30825" s="372">
        <v>0.0</v>
      </c>
      <c r="Z30825" s="372">
        <v>0.0</v>
      </c>
    </row>
    <row r="30826">
      <c r="Y30826" s="372">
        <v>0.0</v>
      </c>
      <c r="Z30826" s="372">
        <v>0.0</v>
      </c>
    </row>
    <row r="30827">
      <c r="Y30827" s="372">
        <v>0.0</v>
      </c>
      <c r="Z30827" s="372">
        <v>0.0</v>
      </c>
    </row>
    <row r="30828">
      <c r="Y30828" s="372">
        <v>0.0</v>
      </c>
      <c r="Z30828" s="372">
        <v>0.0</v>
      </c>
    </row>
    <row r="30829">
      <c r="Y30829" s="372">
        <v>0.0</v>
      </c>
      <c r="Z30829" s="372">
        <v>0.0</v>
      </c>
    </row>
    <row r="30830">
      <c r="Y30830" s="372">
        <v>0.0</v>
      </c>
      <c r="Z30830" s="372">
        <v>0.0</v>
      </c>
    </row>
    <row r="30831">
      <c r="Y30831" s="372">
        <v>0.0</v>
      </c>
      <c r="Z30831" s="372">
        <v>0.0</v>
      </c>
    </row>
    <row r="30832">
      <c r="Y30832" s="372">
        <v>0.0</v>
      </c>
      <c r="Z30832" s="372">
        <v>0.0</v>
      </c>
    </row>
    <row r="30833">
      <c r="Y30833" s="372">
        <v>0.0</v>
      </c>
      <c r="Z30833" s="372">
        <v>0.0</v>
      </c>
    </row>
    <row r="30834">
      <c r="Y30834" s="372">
        <v>0.0</v>
      </c>
      <c r="Z30834" s="372">
        <v>0.0</v>
      </c>
    </row>
    <row r="30835">
      <c r="Y30835" s="372">
        <v>0.0</v>
      </c>
      <c r="Z30835" s="372">
        <v>0.0</v>
      </c>
    </row>
    <row r="30836">
      <c r="Y30836" s="372">
        <v>0.0</v>
      </c>
      <c r="Z30836" s="372">
        <v>0.0</v>
      </c>
    </row>
    <row r="30837">
      <c r="Y30837" s="372">
        <v>0.0</v>
      </c>
      <c r="Z30837" s="372">
        <v>0.0</v>
      </c>
    </row>
    <row r="30838">
      <c r="Y30838" s="372">
        <v>0.0</v>
      </c>
      <c r="Z30838" s="372">
        <v>0.0</v>
      </c>
    </row>
    <row r="30839">
      <c r="Y30839" s="372">
        <v>0.0</v>
      </c>
      <c r="Z30839" s="372">
        <v>0.0</v>
      </c>
    </row>
    <row r="30840">
      <c r="Y30840" s="372">
        <v>0.0</v>
      </c>
      <c r="Z30840" s="372">
        <v>0.0</v>
      </c>
    </row>
    <row r="30841">
      <c r="Y30841" s="372">
        <v>0.0</v>
      </c>
      <c r="Z30841" s="372">
        <v>0.0</v>
      </c>
    </row>
    <row r="30842">
      <c r="Y30842" s="372">
        <v>0.0</v>
      </c>
      <c r="Z30842" s="372">
        <v>0.0</v>
      </c>
    </row>
    <row r="30843">
      <c r="Y30843" s="372">
        <v>0.0</v>
      </c>
      <c r="Z30843" s="372">
        <v>0.0</v>
      </c>
    </row>
    <row r="30844">
      <c r="Y30844" s="372">
        <v>0.0</v>
      </c>
      <c r="Z30844" s="372">
        <v>0.0</v>
      </c>
    </row>
    <row r="30845">
      <c r="Y30845" s="372">
        <v>0.0</v>
      </c>
      <c r="Z30845" s="372">
        <v>0.0</v>
      </c>
    </row>
    <row r="30846">
      <c r="Y30846" s="372">
        <v>0.0</v>
      </c>
      <c r="Z30846" s="372">
        <v>0.0</v>
      </c>
    </row>
    <row r="30847">
      <c r="Y30847" s="372">
        <v>0.0</v>
      </c>
      <c r="Z30847" s="372">
        <v>0.0</v>
      </c>
    </row>
    <row r="30848">
      <c r="Y30848" s="372">
        <v>0.0</v>
      </c>
      <c r="Z30848" s="372">
        <v>0.0</v>
      </c>
    </row>
    <row r="30849">
      <c r="Y30849" s="372">
        <v>0.0</v>
      </c>
      <c r="Z30849" s="372">
        <v>0.0</v>
      </c>
    </row>
    <row r="30850">
      <c r="Y30850" s="372">
        <v>0.0</v>
      </c>
      <c r="Z30850" s="372">
        <v>0.0</v>
      </c>
    </row>
    <row r="30851">
      <c r="Y30851" s="372">
        <v>0.0</v>
      </c>
      <c r="Z30851" s="372">
        <v>0.0</v>
      </c>
    </row>
    <row r="30852">
      <c r="Y30852" s="372">
        <v>0.0</v>
      </c>
      <c r="Z30852" s="372">
        <v>0.0</v>
      </c>
    </row>
    <row r="30853">
      <c r="Y30853" s="372">
        <v>0.0</v>
      </c>
      <c r="Z30853" s="372">
        <v>0.0</v>
      </c>
    </row>
    <row r="30854">
      <c r="Y30854" s="372">
        <v>0.0</v>
      </c>
      <c r="Z30854" s="372">
        <v>0.0</v>
      </c>
    </row>
    <row r="30855">
      <c r="Y30855" s="372">
        <v>0.0</v>
      </c>
      <c r="Z30855" s="372">
        <v>0.0</v>
      </c>
    </row>
    <row r="30856">
      <c r="Y30856" s="372">
        <v>0.0</v>
      </c>
      <c r="Z30856" s="372">
        <v>0.0</v>
      </c>
    </row>
    <row r="30857">
      <c r="Y30857" s="372">
        <v>0.0</v>
      </c>
      <c r="Z30857" s="372">
        <v>0.0</v>
      </c>
    </row>
    <row r="30858">
      <c r="Y30858" s="372">
        <v>0.0</v>
      </c>
      <c r="Z30858" s="372">
        <v>0.0</v>
      </c>
    </row>
    <row r="30859">
      <c r="Y30859" s="372">
        <v>0.0</v>
      </c>
      <c r="Z30859" s="372">
        <v>0.0</v>
      </c>
    </row>
    <row r="30860">
      <c r="Y30860" s="372">
        <v>0.0</v>
      </c>
      <c r="Z30860" s="372">
        <v>0.0</v>
      </c>
    </row>
    <row r="30861">
      <c r="Y30861" s="372">
        <v>0.0</v>
      </c>
      <c r="Z30861" s="372">
        <v>0.0</v>
      </c>
    </row>
    <row r="30862">
      <c r="Y30862" s="372">
        <v>0.0</v>
      </c>
      <c r="Z30862" s="372">
        <v>0.0</v>
      </c>
    </row>
    <row r="30863">
      <c r="Y30863" s="372">
        <v>0.0</v>
      </c>
      <c r="Z30863" s="372">
        <v>0.0</v>
      </c>
    </row>
    <row r="30864">
      <c r="Y30864" s="372">
        <v>0.0</v>
      </c>
      <c r="Z30864" s="372">
        <v>0.0</v>
      </c>
    </row>
    <row r="30865">
      <c r="Y30865" s="372">
        <v>0.0</v>
      </c>
      <c r="Z30865" s="372">
        <v>0.0</v>
      </c>
    </row>
    <row r="30866">
      <c r="Y30866" s="372">
        <v>0.0</v>
      </c>
      <c r="Z30866" s="372">
        <v>0.0</v>
      </c>
    </row>
    <row r="30867">
      <c r="Y30867" s="372">
        <v>0.0</v>
      </c>
      <c r="Z30867" s="372">
        <v>0.0</v>
      </c>
    </row>
    <row r="30868">
      <c r="Y30868" s="372">
        <v>0.0</v>
      </c>
      <c r="Z30868" s="372">
        <v>0.0</v>
      </c>
    </row>
    <row r="30869">
      <c r="Y30869" s="372">
        <v>0.0</v>
      </c>
      <c r="Z30869" s="372">
        <v>0.0</v>
      </c>
    </row>
    <row r="30870">
      <c r="Y30870" s="372">
        <v>0.0</v>
      </c>
      <c r="Z30870" s="372">
        <v>0.0</v>
      </c>
    </row>
    <row r="30871">
      <c r="Y30871" s="372">
        <v>0.0</v>
      </c>
      <c r="Z30871" s="372">
        <v>0.0</v>
      </c>
    </row>
    <row r="30872">
      <c r="Y30872" s="372">
        <v>0.0</v>
      </c>
      <c r="Z30872" s="372">
        <v>0.0</v>
      </c>
    </row>
    <row r="30873">
      <c r="Y30873" s="372">
        <v>0.0</v>
      </c>
      <c r="Z30873" s="372">
        <v>0.0</v>
      </c>
    </row>
    <row r="30874">
      <c r="Y30874" s="372">
        <v>0.0</v>
      </c>
      <c r="Z30874" s="372">
        <v>0.0</v>
      </c>
    </row>
    <row r="30875">
      <c r="Y30875" s="372">
        <v>0.0</v>
      </c>
      <c r="Z30875" s="372">
        <v>0.0</v>
      </c>
    </row>
    <row r="30876">
      <c r="Y30876" s="372">
        <v>0.0</v>
      </c>
      <c r="Z30876" s="372">
        <v>0.0</v>
      </c>
    </row>
    <row r="30877">
      <c r="Y30877" s="372">
        <v>0.0</v>
      </c>
      <c r="Z30877" s="372">
        <v>0.0</v>
      </c>
    </row>
    <row r="30878">
      <c r="Y30878" s="372">
        <v>0.0</v>
      </c>
      <c r="Z30878" s="372">
        <v>0.0</v>
      </c>
    </row>
    <row r="30879">
      <c r="Y30879" s="372">
        <v>0.0</v>
      </c>
      <c r="Z30879" s="372">
        <v>0.0</v>
      </c>
    </row>
    <row r="30880">
      <c r="Y30880" s="372">
        <v>0.0</v>
      </c>
      <c r="Z30880" s="372">
        <v>0.0</v>
      </c>
    </row>
    <row r="30881">
      <c r="Y30881" s="372">
        <v>0.0</v>
      </c>
      <c r="Z30881" s="372">
        <v>0.0</v>
      </c>
    </row>
    <row r="30882">
      <c r="Y30882" s="372">
        <v>0.0</v>
      </c>
      <c r="Z30882" s="372">
        <v>0.0</v>
      </c>
    </row>
    <row r="30883">
      <c r="Y30883" s="372">
        <v>0.0</v>
      </c>
      <c r="Z30883" s="372">
        <v>0.0</v>
      </c>
    </row>
    <row r="30884">
      <c r="Y30884" s="372">
        <v>0.0</v>
      </c>
      <c r="Z30884" s="372">
        <v>0.0</v>
      </c>
    </row>
    <row r="30885">
      <c r="Y30885" s="372">
        <v>0.0</v>
      </c>
      <c r="Z30885" s="372">
        <v>0.0</v>
      </c>
    </row>
    <row r="30886">
      <c r="Y30886" s="372">
        <v>0.0</v>
      </c>
      <c r="Z30886" s="372">
        <v>0.0</v>
      </c>
    </row>
    <row r="30887">
      <c r="Y30887" s="372">
        <v>0.0</v>
      </c>
      <c r="Z30887" s="372">
        <v>0.0</v>
      </c>
    </row>
    <row r="30888">
      <c r="Y30888" s="372">
        <v>0.0</v>
      </c>
      <c r="Z30888" s="372">
        <v>0.0</v>
      </c>
    </row>
    <row r="30889">
      <c r="Y30889" s="372">
        <v>0.0</v>
      </c>
      <c r="Z30889" s="372">
        <v>0.0</v>
      </c>
    </row>
    <row r="30890">
      <c r="Y30890" s="372">
        <v>0.0</v>
      </c>
      <c r="Z30890" s="372">
        <v>0.0</v>
      </c>
    </row>
    <row r="30891">
      <c r="Y30891" s="372">
        <v>0.0</v>
      </c>
      <c r="Z30891" s="372">
        <v>0.0</v>
      </c>
    </row>
    <row r="30892">
      <c r="Y30892" s="372">
        <v>0.0</v>
      </c>
      <c r="Z30892" s="372">
        <v>0.0</v>
      </c>
    </row>
    <row r="30893">
      <c r="Y30893" s="372">
        <v>0.0</v>
      </c>
      <c r="Z30893" s="372">
        <v>0.0</v>
      </c>
    </row>
    <row r="30894">
      <c r="Y30894" s="372">
        <v>0.0</v>
      </c>
      <c r="Z30894" s="372">
        <v>0.0</v>
      </c>
    </row>
    <row r="30895">
      <c r="Y30895" s="372">
        <v>0.0</v>
      </c>
      <c r="Z30895" s="372">
        <v>0.0</v>
      </c>
    </row>
    <row r="30896">
      <c r="Y30896" s="372">
        <v>0.0</v>
      </c>
      <c r="Z30896" s="372">
        <v>0.0</v>
      </c>
    </row>
    <row r="30897">
      <c r="Y30897" s="372">
        <v>0.0</v>
      </c>
      <c r="Z30897" s="372">
        <v>0.0</v>
      </c>
    </row>
    <row r="30898">
      <c r="Y30898" s="372">
        <v>0.0</v>
      </c>
      <c r="Z30898" s="372">
        <v>0.0</v>
      </c>
    </row>
    <row r="30899">
      <c r="Y30899" s="372">
        <v>0.0</v>
      </c>
      <c r="Z30899" s="372">
        <v>0.0</v>
      </c>
    </row>
    <row r="30900">
      <c r="Y30900" s="372">
        <v>0.0</v>
      </c>
      <c r="Z30900" s="372">
        <v>0.0</v>
      </c>
    </row>
    <row r="30901">
      <c r="Y30901" s="372">
        <v>0.0</v>
      </c>
      <c r="Z30901" s="372">
        <v>0.0</v>
      </c>
    </row>
    <row r="30902">
      <c r="Y30902" s="372">
        <v>0.0</v>
      </c>
      <c r="Z30902" s="372">
        <v>0.0</v>
      </c>
    </row>
    <row r="30903">
      <c r="Y30903" s="372">
        <v>0.0</v>
      </c>
      <c r="Z30903" s="372">
        <v>0.0</v>
      </c>
    </row>
    <row r="30904">
      <c r="Y30904" s="372">
        <v>0.0</v>
      </c>
      <c r="Z30904" s="372">
        <v>0.0</v>
      </c>
    </row>
    <row r="30905">
      <c r="Y30905" s="372">
        <v>0.0</v>
      </c>
      <c r="Z30905" s="372">
        <v>0.0</v>
      </c>
    </row>
    <row r="30906">
      <c r="Y30906" s="372">
        <v>0.0</v>
      </c>
      <c r="Z30906" s="372">
        <v>0.0</v>
      </c>
    </row>
    <row r="30907">
      <c r="Y30907" s="372">
        <v>0.0</v>
      </c>
      <c r="Z30907" s="372">
        <v>0.0</v>
      </c>
    </row>
    <row r="30908">
      <c r="Y30908" s="372">
        <v>0.0</v>
      </c>
      <c r="Z30908" s="372">
        <v>0.0</v>
      </c>
    </row>
    <row r="30909">
      <c r="Y30909" s="372">
        <v>0.0</v>
      </c>
      <c r="Z30909" s="372">
        <v>0.0</v>
      </c>
    </row>
    <row r="30910">
      <c r="Y30910" s="372">
        <v>0.0</v>
      </c>
      <c r="Z30910" s="372">
        <v>0.0</v>
      </c>
    </row>
    <row r="30911">
      <c r="Y30911" s="372">
        <v>0.0</v>
      </c>
      <c r="Z30911" s="372">
        <v>0.0</v>
      </c>
    </row>
    <row r="30912">
      <c r="Y30912" s="372">
        <v>0.0</v>
      </c>
      <c r="Z30912" s="372">
        <v>0.0</v>
      </c>
    </row>
    <row r="30913">
      <c r="Y30913" s="372">
        <v>0.0</v>
      </c>
      <c r="Z30913" s="372">
        <v>0.0</v>
      </c>
    </row>
    <row r="30914">
      <c r="Y30914" s="372">
        <v>0.0</v>
      </c>
      <c r="Z30914" s="372">
        <v>0.0</v>
      </c>
    </row>
    <row r="30915">
      <c r="Y30915" s="372">
        <v>0.0</v>
      </c>
      <c r="Z30915" s="372">
        <v>0.0</v>
      </c>
    </row>
    <row r="30916">
      <c r="Y30916" s="372">
        <v>0.0</v>
      </c>
      <c r="Z30916" s="372">
        <v>0.0</v>
      </c>
    </row>
    <row r="30917">
      <c r="Y30917" s="372">
        <v>0.0</v>
      </c>
      <c r="Z30917" s="372">
        <v>0.0</v>
      </c>
    </row>
    <row r="30918">
      <c r="Y30918" s="372">
        <v>0.0</v>
      </c>
      <c r="Z30918" s="372">
        <v>0.0</v>
      </c>
    </row>
    <row r="30919">
      <c r="Y30919" s="372">
        <v>0.0</v>
      </c>
      <c r="Z30919" s="372">
        <v>0.0</v>
      </c>
    </row>
    <row r="30920">
      <c r="Y30920" s="372">
        <v>0.0</v>
      </c>
      <c r="Z30920" s="372">
        <v>0.0</v>
      </c>
    </row>
    <row r="30921">
      <c r="Y30921" s="372">
        <v>0.0</v>
      </c>
      <c r="Z30921" s="372">
        <v>0.0</v>
      </c>
    </row>
    <row r="30922">
      <c r="Y30922" s="372">
        <v>0.0</v>
      </c>
      <c r="Z30922" s="372">
        <v>0.0</v>
      </c>
    </row>
    <row r="30923">
      <c r="Y30923" s="372">
        <v>0.0</v>
      </c>
      <c r="Z30923" s="372">
        <v>0.0</v>
      </c>
    </row>
    <row r="30924">
      <c r="Y30924" s="372">
        <v>0.0</v>
      </c>
      <c r="Z30924" s="372">
        <v>0.0</v>
      </c>
    </row>
    <row r="30925">
      <c r="Y30925" s="372">
        <v>0.0</v>
      </c>
      <c r="Z30925" s="372">
        <v>0.0</v>
      </c>
    </row>
    <row r="30926">
      <c r="Y30926" s="372">
        <v>0.0</v>
      </c>
      <c r="Z30926" s="372">
        <v>0.0</v>
      </c>
    </row>
    <row r="30927">
      <c r="Y30927" s="372">
        <v>0.0</v>
      </c>
      <c r="Z30927" s="372">
        <v>0.0</v>
      </c>
    </row>
    <row r="30928">
      <c r="Y30928" s="372">
        <v>0.0</v>
      </c>
      <c r="Z30928" s="372">
        <v>0.0</v>
      </c>
    </row>
    <row r="30929">
      <c r="Y30929" s="372">
        <v>0.0</v>
      </c>
      <c r="Z30929" s="372">
        <v>0.0</v>
      </c>
    </row>
    <row r="30930">
      <c r="Y30930" s="372">
        <v>0.0</v>
      </c>
      <c r="Z30930" s="372">
        <v>0.0</v>
      </c>
    </row>
    <row r="30931">
      <c r="Y30931" s="372">
        <v>0.0</v>
      </c>
      <c r="Z30931" s="372">
        <v>0.0</v>
      </c>
    </row>
    <row r="30932">
      <c r="Y30932" s="372">
        <v>0.0</v>
      </c>
      <c r="Z30932" s="372">
        <v>0.0</v>
      </c>
    </row>
    <row r="30933">
      <c r="Y30933" s="372">
        <v>0.0</v>
      </c>
      <c r="Z30933" s="372">
        <v>0.0</v>
      </c>
    </row>
    <row r="30934">
      <c r="Y30934" s="372">
        <v>0.0</v>
      </c>
      <c r="Z30934" s="372">
        <v>0.0</v>
      </c>
    </row>
    <row r="30935">
      <c r="Y30935" s="372">
        <v>0.0</v>
      </c>
      <c r="Z30935" s="372">
        <v>0.0</v>
      </c>
    </row>
    <row r="30936">
      <c r="Y30936" s="372">
        <v>0.0</v>
      </c>
      <c r="Z30936" s="372">
        <v>0.0</v>
      </c>
    </row>
    <row r="30937">
      <c r="Y30937" s="372">
        <v>0.0</v>
      </c>
      <c r="Z30937" s="372">
        <v>0.0</v>
      </c>
    </row>
    <row r="30938">
      <c r="Y30938" s="372">
        <v>0.0</v>
      </c>
      <c r="Z30938" s="372">
        <v>0.0</v>
      </c>
    </row>
    <row r="30939">
      <c r="Y30939" s="372">
        <v>0.0</v>
      </c>
      <c r="Z30939" s="372">
        <v>0.0</v>
      </c>
    </row>
    <row r="30940">
      <c r="Y30940" s="372">
        <v>0.0</v>
      </c>
      <c r="Z30940" s="372">
        <v>0.0</v>
      </c>
    </row>
    <row r="30941">
      <c r="Y30941" s="372">
        <v>0.0</v>
      </c>
      <c r="Z30941" s="372">
        <v>0.0</v>
      </c>
    </row>
    <row r="30942">
      <c r="Y30942" s="372">
        <v>0.0</v>
      </c>
      <c r="Z30942" s="372">
        <v>0.0</v>
      </c>
    </row>
    <row r="30943">
      <c r="Y30943" s="372">
        <v>0.0</v>
      </c>
      <c r="Z30943" s="372">
        <v>0.0</v>
      </c>
    </row>
    <row r="30944">
      <c r="Y30944" s="372">
        <v>0.0</v>
      </c>
      <c r="Z30944" s="372">
        <v>0.0</v>
      </c>
    </row>
    <row r="30945">
      <c r="Y30945" s="372">
        <v>0.0</v>
      </c>
      <c r="Z30945" s="372">
        <v>0.0</v>
      </c>
    </row>
    <row r="30946">
      <c r="Y30946" s="372">
        <v>0.0</v>
      </c>
      <c r="Z30946" s="372">
        <v>0.0</v>
      </c>
    </row>
    <row r="30947">
      <c r="Y30947" s="372">
        <v>0.0</v>
      </c>
      <c r="Z30947" s="372">
        <v>0.0</v>
      </c>
    </row>
    <row r="30948">
      <c r="Y30948" s="372">
        <v>0.0</v>
      </c>
      <c r="Z30948" s="372">
        <v>0.0</v>
      </c>
    </row>
    <row r="30949">
      <c r="Y30949" s="372">
        <v>0.0</v>
      </c>
      <c r="Z30949" s="372">
        <v>0.0</v>
      </c>
    </row>
    <row r="30950">
      <c r="Y30950" s="372">
        <v>0.0</v>
      </c>
      <c r="Z30950" s="372">
        <v>0.0</v>
      </c>
    </row>
    <row r="30951">
      <c r="Y30951" s="372">
        <v>0.0</v>
      </c>
      <c r="Z30951" s="372">
        <v>0.0</v>
      </c>
    </row>
    <row r="30952">
      <c r="Y30952" s="372">
        <v>0.0</v>
      </c>
      <c r="Z30952" s="372">
        <v>0.0</v>
      </c>
    </row>
    <row r="30953">
      <c r="Y30953" s="372">
        <v>0.0</v>
      </c>
      <c r="Z30953" s="372">
        <v>0.0</v>
      </c>
    </row>
    <row r="30954">
      <c r="Y30954" s="372">
        <v>0.0</v>
      </c>
      <c r="Z30954" s="372">
        <v>0.0</v>
      </c>
    </row>
    <row r="30955">
      <c r="Y30955" s="372">
        <v>0.0</v>
      </c>
      <c r="Z30955" s="372">
        <v>0.0</v>
      </c>
    </row>
    <row r="30956">
      <c r="Y30956" s="372">
        <v>0.0</v>
      </c>
      <c r="Z30956" s="372">
        <v>0.0</v>
      </c>
    </row>
    <row r="30957">
      <c r="Y30957" s="372">
        <v>0.0</v>
      </c>
      <c r="Z30957" s="372">
        <v>0.0</v>
      </c>
    </row>
    <row r="30958">
      <c r="Y30958" s="372">
        <v>0.0</v>
      </c>
      <c r="Z30958" s="372">
        <v>0.0</v>
      </c>
    </row>
    <row r="30959">
      <c r="Y30959" s="372">
        <v>0.0</v>
      </c>
      <c r="Z30959" s="372">
        <v>0.0</v>
      </c>
    </row>
    <row r="30960">
      <c r="Y30960" s="372">
        <v>0.0</v>
      </c>
      <c r="Z30960" s="372">
        <v>0.0</v>
      </c>
    </row>
    <row r="30961">
      <c r="Y30961" s="372">
        <v>0.0</v>
      </c>
      <c r="Z30961" s="372">
        <v>0.0</v>
      </c>
    </row>
    <row r="30962">
      <c r="Y30962" s="372">
        <v>0.0</v>
      </c>
      <c r="Z30962" s="372">
        <v>0.0</v>
      </c>
    </row>
    <row r="30963">
      <c r="Y30963" s="372">
        <v>0.0</v>
      </c>
      <c r="Z30963" s="372">
        <v>0.0</v>
      </c>
    </row>
    <row r="30964">
      <c r="Y30964" s="372">
        <v>0.0</v>
      </c>
      <c r="Z30964" s="372">
        <v>0.0</v>
      </c>
    </row>
    <row r="30965">
      <c r="Y30965" s="372">
        <v>0.0</v>
      </c>
      <c r="Z30965" s="372">
        <v>0.0</v>
      </c>
    </row>
    <row r="30966">
      <c r="Y30966" s="372">
        <v>0.0</v>
      </c>
      <c r="Z30966" s="372">
        <v>0.0</v>
      </c>
    </row>
    <row r="30967">
      <c r="Y30967" s="372">
        <v>0.0</v>
      </c>
      <c r="Z30967" s="372">
        <v>0.0</v>
      </c>
    </row>
    <row r="30968">
      <c r="Y30968" s="372">
        <v>0.0</v>
      </c>
      <c r="Z30968" s="372">
        <v>0.0</v>
      </c>
    </row>
    <row r="30969">
      <c r="Y30969" s="372">
        <v>0.0</v>
      </c>
      <c r="Z30969" s="372">
        <v>0.0</v>
      </c>
    </row>
    <row r="30970">
      <c r="Y30970" s="372">
        <v>0.0</v>
      </c>
      <c r="Z30970" s="372">
        <v>0.0</v>
      </c>
    </row>
    <row r="30971">
      <c r="Y30971" s="372">
        <v>0.0</v>
      </c>
      <c r="Z30971" s="372">
        <v>0.0</v>
      </c>
    </row>
    <row r="30972">
      <c r="Y30972" s="372">
        <v>0.0</v>
      </c>
      <c r="Z30972" s="372">
        <v>0.0</v>
      </c>
    </row>
    <row r="30973">
      <c r="Y30973" s="372">
        <v>0.0</v>
      </c>
      <c r="Z30973" s="372">
        <v>0.0</v>
      </c>
    </row>
    <row r="30974">
      <c r="Y30974" s="372">
        <v>0.0</v>
      </c>
      <c r="Z30974" s="372">
        <v>0.0</v>
      </c>
    </row>
    <row r="30975">
      <c r="Y30975" s="372">
        <v>0.0</v>
      </c>
      <c r="Z30975" s="372">
        <v>0.0</v>
      </c>
    </row>
    <row r="30976">
      <c r="Y30976" s="372">
        <v>0.0</v>
      </c>
      <c r="Z30976" s="372">
        <v>0.0</v>
      </c>
    </row>
    <row r="30977">
      <c r="Y30977" s="372">
        <v>0.0</v>
      </c>
      <c r="Z30977" s="372">
        <v>0.0</v>
      </c>
    </row>
    <row r="30978">
      <c r="Y30978" s="372">
        <v>0.0</v>
      </c>
      <c r="Z30978" s="372">
        <v>0.0</v>
      </c>
    </row>
    <row r="30979">
      <c r="Y30979" s="372">
        <v>0.0</v>
      </c>
      <c r="Z30979" s="372">
        <v>0.0</v>
      </c>
    </row>
    <row r="30980">
      <c r="Y30980" s="372">
        <v>0.0</v>
      </c>
      <c r="Z30980" s="372">
        <v>0.0</v>
      </c>
    </row>
    <row r="30981">
      <c r="Y30981" s="372">
        <v>0.0</v>
      </c>
      <c r="Z30981" s="372">
        <v>0.0</v>
      </c>
    </row>
    <row r="30982">
      <c r="Y30982" s="372">
        <v>0.0</v>
      </c>
      <c r="Z30982" s="372">
        <v>0.0</v>
      </c>
    </row>
    <row r="30983">
      <c r="Y30983" s="372">
        <v>0.0</v>
      </c>
      <c r="Z30983" s="372">
        <v>0.0</v>
      </c>
    </row>
    <row r="30984">
      <c r="Y30984" s="372">
        <v>0.0</v>
      </c>
      <c r="Z30984" s="372">
        <v>0.0</v>
      </c>
    </row>
    <row r="30985">
      <c r="Y30985" s="372">
        <v>0.0</v>
      </c>
      <c r="Z30985" s="372">
        <v>0.0</v>
      </c>
    </row>
    <row r="30986">
      <c r="Y30986" s="372">
        <v>0.0</v>
      </c>
      <c r="Z30986" s="372">
        <v>0.0</v>
      </c>
    </row>
    <row r="30987">
      <c r="Y30987" s="372">
        <v>0.0</v>
      </c>
      <c r="Z30987" s="372">
        <v>0.0</v>
      </c>
    </row>
    <row r="30988">
      <c r="Y30988" s="372">
        <v>0.0</v>
      </c>
      <c r="Z30988" s="372">
        <v>0.0</v>
      </c>
    </row>
    <row r="30989">
      <c r="Y30989" s="372">
        <v>0.0</v>
      </c>
      <c r="Z30989" s="372">
        <v>0.0</v>
      </c>
    </row>
    <row r="30990">
      <c r="Y30990" s="372">
        <v>0.0</v>
      </c>
      <c r="Z30990" s="372">
        <v>0.0</v>
      </c>
    </row>
    <row r="30991">
      <c r="Y30991" s="372">
        <v>0.0</v>
      </c>
      <c r="Z30991" s="372">
        <v>0.0</v>
      </c>
    </row>
    <row r="30992">
      <c r="Y30992" s="372">
        <v>0.0</v>
      </c>
      <c r="Z30992" s="372">
        <v>0.0</v>
      </c>
    </row>
    <row r="30993">
      <c r="Y30993" s="372">
        <v>0.0</v>
      </c>
      <c r="Z30993" s="372">
        <v>0.0</v>
      </c>
    </row>
    <row r="30994">
      <c r="Y30994" s="372">
        <v>0.0</v>
      </c>
      <c r="Z30994" s="372">
        <v>0.0</v>
      </c>
    </row>
    <row r="30995">
      <c r="Y30995" s="372">
        <v>0.0</v>
      </c>
      <c r="Z30995" s="372">
        <v>0.0</v>
      </c>
    </row>
    <row r="30996">
      <c r="Y30996" s="372">
        <v>0.0</v>
      </c>
      <c r="Z30996" s="372">
        <v>0.0</v>
      </c>
    </row>
    <row r="30997">
      <c r="Y30997" s="372">
        <v>0.0</v>
      </c>
      <c r="Z30997" s="372">
        <v>0.0</v>
      </c>
    </row>
    <row r="30998">
      <c r="Y30998" s="372">
        <v>0.0</v>
      </c>
      <c r="Z30998" s="372">
        <v>0.0</v>
      </c>
    </row>
    <row r="30999">
      <c r="Y30999" s="372">
        <v>0.0</v>
      </c>
      <c r="Z30999" s="372">
        <v>0.0</v>
      </c>
    </row>
    <row r="31000">
      <c r="Y31000" s="372">
        <v>0.0</v>
      </c>
      <c r="Z31000" s="372">
        <v>0.0</v>
      </c>
    </row>
    <row r="31001">
      <c r="Y31001" s="372">
        <v>0.0</v>
      </c>
      <c r="Z31001" s="372">
        <v>0.0</v>
      </c>
    </row>
    <row r="31002">
      <c r="Y31002" s="372">
        <v>0.0</v>
      </c>
      <c r="Z31002" s="372">
        <v>0.0</v>
      </c>
    </row>
    <row r="31003">
      <c r="Y31003" s="372">
        <v>0.0</v>
      </c>
      <c r="Z31003" s="372">
        <v>0.0</v>
      </c>
    </row>
    <row r="31004">
      <c r="Y31004" s="372">
        <v>0.0</v>
      </c>
      <c r="Z31004" s="372">
        <v>0.0</v>
      </c>
    </row>
    <row r="31005">
      <c r="Y31005" s="372">
        <v>0.0</v>
      </c>
      <c r="Z31005" s="372">
        <v>0.0</v>
      </c>
    </row>
    <row r="31006">
      <c r="Y31006" s="372">
        <v>0.0</v>
      </c>
      <c r="Z31006" s="372">
        <v>0.0</v>
      </c>
    </row>
    <row r="31007">
      <c r="Y31007" s="372">
        <v>0.0</v>
      </c>
      <c r="Z31007" s="372">
        <v>0.0</v>
      </c>
    </row>
    <row r="31008">
      <c r="Y31008" s="372">
        <v>0.0</v>
      </c>
      <c r="Z31008" s="372">
        <v>0.0</v>
      </c>
    </row>
    <row r="31009">
      <c r="Y31009" s="372">
        <v>0.0</v>
      </c>
      <c r="Z31009" s="372">
        <v>0.0</v>
      </c>
    </row>
    <row r="31010">
      <c r="Y31010" s="372">
        <v>0.0</v>
      </c>
      <c r="Z31010" s="372">
        <v>0.0</v>
      </c>
    </row>
    <row r="31011">
      <c r="Y31011" s="372">
        <v>0.0</v>
      </c>
      <c r="Z31011" s="372">
        <v>0.0</v>
      </c>
    </row>
    <row r="31012">
      <c r="Y31012" s="372">
        <v>0.0</v>
      </c>
      <c r="Z31012" s="372">
        <v>0.0</v>
      </c>
    </row>
    <row r="31013">
      <c r="Y31013" s="372">
        <v>0.0</v>
      </c>
      <c r="Z31013" s="372">
        <v>0.0</v>
      </c>
    </row>
    <row r="31014">
      <c r="Y31014" s="372">
        <v>0.0</v>
      </c>
      <c r="Z31014" s="372">
        <v>0.0</v>
      </c>
    </row>
    <row r="31015">
      <c r="Y31015" s="372">
        <v>0.0</v>
      </c>
      <c r="Z31015" s="372">
        <v>0.0</v>
      </c>
    </row>
    <row r="31016">
      <c r="Y31016" s="372">
        <v>0.0</v>
      </c>
      <c r="Z31016" s="372">
        <v>0.0</v>
      </c>
    </row>
    <row r="31017">
      <c r="Y31017" s="372">
        <v>0.0</v>
      </c>
      <c r="Z31017" s="372">
        <v>0.0</v>
      </c>
    </row>
    <row r="31018">
      <c r="Y31018" s="372">
        <v>0.0</v>
      </c>
      <c r="Z31018" s="372">
        <v>0.0</v>
      </c>
    </row>
    <row r="31019">
      <c r="Y31019" s="372">
        <v>0.0</v>
      </c>
      <c r="Z31019" s="372">
        <v>0.0</v>
      </c>
    </row>
    <row r="31020">
      <c r="Y31020" s="372">
        <v>0.0</v>
      </c>
      <c r="Z31020" s="372">
        <v>0.0</v>
      </c>
    </row>
    <row r="31021">
      <c r="Y31021" s="372">
        <v>0.0</v>
      </c>
      <c r="Z31021" s="372">
        <v>0.0</v>
      </c>
    </row>
    <row r="31022">
      <c r="Y31022" s="372">
        <v>0.0</v>
      </c>
      <c r="Z31022" s="372">
        <v>0.0</v>
      </c>
    </row>
    <row r="31023">
      <c r="Y31023" s="372">
        <v>0.0</v>
      </c>
      <c r="Z31023" s="372">
        <v>0.0</v>
      </c>
    </row>
    <row r="31024">
      <c r="Y31024" s="372">
        <v>0.0</v>
      </c>
      <c r="Z31024" s="372">
        <v>0.0</v>
      </c>
    </row>
    <row r="31025">
      <c r="Y31025" s="372">
        <v>0.0</v>
      </c>
      <c r="Z31025" s="372">
        <v>0.0</v>
      </c>
    </row>
    <row r="31026">
      <c r="Y31026" s="372">
        <v>0.0</v>
      </c>
      <c r="Z31026" s="372">
        <v>0.0</v>
      </c>
    </row>
    <row r="31027">
      <c r="Y31027" s="372">
        <v>0.0</v>
      </c>
      <c r="Z31027" s="372">
        <v>0.0</v>
      </c>
    </row>
    <row r="31028">
      <c r="Y31028" s="372">
        <v>0.0</v>
      </c>
      <c r="Z31028" s="372">
        <v>0.0</v>
      </c>
    </row>
    <row r="31029">
      <c r="Y31029" s="372">
        <v>0.0</v>
      </c>
      <c r="Z31029" s="372">
        <v>0.0</v>
      </c>
    </row>
    <row r="31030">
      <c r="Y31030" s="372">
        <v>0.0</v>
      </c>
      <c r="Z31030" s="372">
        <v>0.0</v>
      </c>
    </row>
    <row r="31031">
      <c r="Y31031" s="372">
        <v>0.0</v>
      </c>
      <c r="Z31031" s="372">
        <v>0.0</v>
      </c>
    </row>
    <row r="31032">
      <c r="Y31032" s="372">
        <v>0.0</v>
      </c>
      <c r="Z31032" s="372">
        <v>0.0</v>
      </c>
    </row>
    <row r="31033">
      <c r="Y31033" s="372">
        <v>0.0</v>
      </c>
      <c r="Z31033" s="372">
        <v>0.0</v>
      </c>
    </row>
    <row r="31034">
      <c r="Y31034" s="372">
        <v>0.0</v>
      </c>
      <c r="Z31034" s="372">
        <v>0.0</v>
      </c>
    </row>
    <row r="31035">
      <c r="Y31035" s="372">
        <v>0.0</v>
      </c>
      <c r="Z31035" s="372">
        <v>0.0</v>
      </c>
    </row>
    <row r="31036">
      <c r="Y31036" s="372">
        <v>0.0</v>
      </c>
      <c r="Z31036" s="372">
        <v>0.0</v>
      </c>
    </row>
    <row r="31037">
      <c r="Y31037" s="372">
        <v>0.0</v>
      </c>
      <c r="Z31037" s="372">
        <v>0.0</v>
      </c>
    </row>
    <row r="31038">
      <c r="Y31038" s="372">
        <v>0.0</v>
      </c>
      <c r="Z31038" s="372">
        <v>0.0</v>
      </c>
    </row>
    <row r="31039">
      <c r="Y31039" s="372">
        <v>0.0</v>
      </c>
      <c r="Z31039" s="372">
        <v>0.0</v>
      </c>
    </row>
    <row r="31040">
      <c r="Y31040" s="372">
        <v>0.0</v>
      </c>
      <c r="Z31040" s="372">
        <v>0.0</v>
      </c>
    </row>
    <row r="31041">
      <c r="Y31041" s="372">
        <v>0.0</v>
      </c>
      <c r="Z31041" s="372">
        <v>0.0</v>
      </c>
    </row>
    <row r="31042">
      <c r="Y31042" s="372">
        <v>0.0</v>
      </c>
      <c r="Z31042" s="372">
        <v>0.0</v>
      </c>
    </row>
    <row r="31043">
      <c r="Y31043" s="372">
        <v>0.0</v>
      </c>
      <c r="Z31043" s="372">
        <v>0.0</v>
      </c>
    </row>
    <row r="31044">
      <c r="Y31044" s="372">
        <v>0.0</v>
      </c>
      <c r="Z31044" s="372">
        <v>0.0</v>
      </c>
    </row>
    <row r="31045">
      <c r="Y31045" s="372">
        <v>0.0</v>
      </c>
      <c r="Z31045" s="372">
        <v>0.0</v>
      </c>
    </row>
    <row r="31046">
      <c r="Y31046" s="372">
        <v>0.0</v>
      </c>
      <c r="Z31046" s="372">
        <v>0.0</v>
      </c>
    </row>
    <row r="31047">
      <c r="Y31047" s="372">
        <v>0.0</v>
      </c>
      <c r="Z31047" s="372">
        <v>0.0</v>
      </c>
    </row>
    <row r="31048">
      <c r="Y31048" s="372">
        <v>0.0</v>
      </c>
      <c r="Z31048" s="372">
        <v>0.0</v>
      </c>
    </row>
    <row r="31049">
      <c r="Y31049" s="372">
        <v>0.0</v>
      </c>
      <c r="Z31049" s="372">
        <v>0.0</v>
      </c>
    </row>
    <row r="31050">
      <c r="Y31050" s="372">
        <v>0.0</v>
      </c>
      <c r="Z31050" s="372">
        <v>0.0</v>
      </c>
    </row>
    <row r="31051">
      <c r="Y31051" s="372">
        <v>0.0</v>
      </c>
      <c r="Z31051" s="372">
        <v>0.0</v>
      </c>
    </row>
    <row r="31052">
      <c r="Y31052" s="372">
        <v>0.0</v>
      </c>
      <c r="Z31052" s="372">
        <v>0.0</v>
      </c>
    </row>
    <row r="31053">
      <c r="Y31053" s="372">
        <v>0.0</v>
      </c>
      <c r="Z31053" s="372">
        <v>0.0</v>
      </c>
    </row>
    <row r="31054">
      <c r="Y31054" s="372">
        <v>0.0</v>
      </c>
      <c r="Z31054" s="372">
        <v>0.0</v>
      </c>
    </row>
    <row r="31055">
      <c r="Y31055" s="372">
        <v>0.0</v>
      </c>
      <c r="Z31055" s="372">
        <v>0.0</v>
      </c>
    </row>
    <row r="31056">
      <c r="Y31056" s="372">
        <v>0.0</v>
      </c>
      <c r="Z31056" s="372">
        <v>0.0</v>
      </c>
    </row>
    <row r="31057">
      <c r="Y31057" s="372">
        <v>0.0</v>
      </c>
      <c r="Z31057" s="372">
        <v>0.0</v>
      </c>
    </row>
    <row r="31058">
      <c r="Y31058" s="372">
        <v>0.0</v>
      </c>
      <c r="Z31058" s="372">
        <v>0.0</v>
      </c>
    </row>
    <row r="31059">
      <c r="Y31059" s="372">
        <v>0.0</v>
      </c>
      <c r="Z31059" s="372">
        <v>0.0</v>
      </c>
    </row>
    <row r="31060">
      <c r="Y31060" s="372">
        <v>0.0</v>
      </c>
      <c r="Z31060" s="372">
        <v>0.0</v>
      </c>
    </row>
    <row r="31061">
      <c r="Y31061" s="372">
        <v>0.0</v>
      </c>
      <c r="Z31061" s="372">
        <v>0.0</v>
      </c>
    </row>
    <row r="31062">
      <c r="Y31062" s="372">
        <v>0.0</v>
      </c>
      <c r="Z31062" s="372">
        <v>0.0</v>
      </c>
    </row>
    <row r="31063">
      <c r="Y31063" s="372">
        <v>0.0</v>
      </c>
      <c r="Z31063" s="372">
        <v>0.0</v>
      </c>
    </row>
    <row r="31064">
      <c r="Y31064" s="372">
        <v>0.0</v>
      </c>
      <c r="Z31064" s="372">
        <v>0.0</v>
      </c>
    </row>
    <row r="31065">
      <c r="Y31065" s="372">
        <v>0.0</v>
      </c>
      <c r="Z31065" s="372">
        <v>0.0</v>
      </c>
    </row>
    <row r="31066">
      <c r="Y31066" s="372">
        <v>0.0</v>
      </c>
      <c r="Z31066" s="372">
        <v>0.0</v>
      </c>
    </row>
    <row r="31067">
      <c r="Y31067" s="372">
        <v>0.0</v>
      </c>
      <c r="Z31067" s="372">
        <v>0.0</v>
      </c>
    </row>
    <row r="31068">
      <c r="Y31068" s="372">
        <v>0.0</v>
      </c>
      <c r="Z31068" s="372">
        <v>0.0</v>
      </c>
    </row>
    <row r="31069">
      <c r="Y31069" s="372">
        <v>0.0</v>
      </c>
      <c r="Z31069" s="372">
        <v>0.0</v>
      </c>
    </row>
    <row r="31070">
      <c r="Y31070" s="372">
        <v>0.0</v>
      </c>
      <c r="Z31070" s="372">
        <v>0.0</v>
      </c>
    </row>
    <row r="31071">
      <c r="Y31071" s="372">
        <v>0.0</v>
      </c>
      <c r="Z31071" s="372">
        <v>0.0</v>
      </c>
    </row>
    <row r="31072">
      <c r="Y31072" s="372">
        <v>0.0</v>
      </c>
      <c r="Z31072" s="372">
        <v>0.0</v>
      </c>
    </row>
    <row r="31073">
      <c r="Y31073" s="372">
        <v>0.0</v>
      </c>
      <c r="Z31073" s="372">
        <v>0.0</v>
      </c>
    </row>
    <row r="31074">
      <c r="Y31074" s="372">
        <v>0.0</v>
      </c>
      <c r="Z31074" s="372">
        <v>0.0</v>
      </c>
    </row>
    <row r="31075">
      <c r="Y31075" s="372">
        <v>0.0</v>
      </c>
      <c r="Z31075" s="372">
        <v>0.0</v>
      </c>
    </row>
    <row r="31076">
      <c r="Y31076" s="372">
        <v>0.0</v>
      </c>
      <c r="Z31076" s="372">
        <v>0.0</v>
      </c>
    </row>
    <row r="31077">
      <c r="Y31077" s="372">
        <v>0.0</v>
      </c>
      <c r="Z31077" s="372">
        <v>0.0</v>
      </c>
    </row>
    <row r="31078">
      <c r="Y31078" s="372">
        <v>0.0</v>
      </c>
      <c r="Z31078" s="372">
        <v>0.0</v>
      </c>
    </row>
    <row r="31079">
      <c r="Y31079" s="372">
        <v>0.0</v>
      </c>
      <c r="Z31079" s="372">
        <v>0.0</v>
      </c>
    </row>
    <row r="31080">
      <c r="Y31080" s="372">
        <v>0.0</v>
      </c>
      <c r="Z31080" s="372">
        <v>0.0</v>
      </c>
    </row>
    <row r="31081">
      <c r="Y31081" s="372">
        <v>0.0</v>
      </c>
      <c r="Z31081" s="372">
        <v>0.0</v>
      </c>
    </row>
    <row r="31082">
      <c r="Y31082" s="372">
        <v>0.0</v>
      </c>
      <c r="Z31082" s="372">
        <v>0.0</v>
      </c>
    </row>
    <row r="31083">
      <c r="Y31083" s="372">
        <v>0.0</v>
      </c>
      <c r="Z31083" s="372">
        <v>0.0</v>
      </c>
    </row>
    <row r="31084">
      <c r="Y31084" s="372">
        <v>0.0</v>
      </c>
      <c r="Z31084" s="372">
        <v>0.0</v>
      </c>
    </row>
    <row r="31085">
      <c r="Y31085" s="372">
        <v>0.0</v>
      </c>
      <c r="Z31085" s="372">
        <v>0.0</v>
      </c>
    </row>
    <row r="31086">
      <c r="Y31086" s="372">
        <v>0.0</v>
      </c>
      <c r="Z31086" s="372">
        <v>0.0</v>
      </c>
    </row>
    <row r="31087">
      <c r="Y31087" s="372">
        <v>0.0</v>
      </c>
      <c r="Z31087" s="372">
        <v>0.0</v>
      </c>
    </row>
    <row r="31088">
      <c r="Y31088" s="372">
        <v>0.0</v>
      </c>
      <c r="Z31088" s="372">
        <v>0.0</v>
      </c>
    </row>
    <row r="31089">
      <c r="Y31089" s="372">
        <v>0.0</v>
      </c>
      <c r="Z31089" s="372">
        <v>0.0</v>
      </c>
    </row>
    <row r="31090">
      <c r="Y31090" s="372">
        <v>0.0</v>
      </c>
      <c r="Z31090" s="372">
        <v>0.0</v>
      </c>
    </row>
    <row r="31091">
      <c r="Y31091" s="372">
        <v>0.0</v>
      </c>
      <c r="Z31091" s="372">
        <v>0.0</v>
      </c>
    </row>
    <row r="31092">
      <c r="Y31092" s="372">
        <v>0.0</v>
      </c>
      <c r="Z31092" s="372">
        <v>0.0</v>
      </c>
    </row>
    <row r="31093">
      <c r="Y31093" s="372">
        <v>0.0</v>
      </c>
      <c r="Z31093" s="372">
        <v>0.0</v>
      </c>
    </row>
    <row r="31094">
      <c r="Y31094" s="372">
        <v>0.0</v>
      </c>
      <c r="Z31094" s="372">
        <v>0.0</v>
      </c>
    </row>
    <row r="31095">
      <c r="Y31095" s="372">
        <v>0.0</v>
      </c>
      <c r="Z31095" s="372">
        <v>0.0</v>
      </c>
    </row>
    <row r="31096">
      <c r="Y31096" s="372">
        <v>0.0</v>
      </c>
      <c r="Z31096" s="372">
        <v>0.0</v>
      </c>
    </row>
    <row r="31097">
      <c r="Y31097" s="372">
        <v>0.0</v>
      </c>
      <c r="Z31097" s="372">
        <v>0.0</v>
      </c>
    </row>
    <row r="31098">
      <c r="Y31098" s="372">
        <v>0.0</v>
      </c>
      <c r="Z31098" s="372">
        <v>0.0</v>
      </c>
    </row>
    <row r="31099">
      <c r="Y31099" s="372">
        <v>0.0</v>
      </c>
      <c r="Z31099" s="372">
        <v>0.0</v>
      </c>
    </row>
    <row r="31100">
      <c r="Y31100" s="372">
        <v>0.0</v>
      </c>
      <c r="Z31100" s="372">
        <v>0.0</v>
      </c>
    </row>
    <row r="31101">
      <c r="Y31101" s="372">
        <v>0.0</v>
      </c>
      <c r="Z31101" s="372">
        <v>0.0</v>
      </c>
    </row>
    <row r="31102">
      <c r="Y31102" s="372">
        <v>0.0</v>
      </c>
      <c r="Z31102" s="372">
        <v>0.0</v>
      </c>
    </row>
    <row r="31103">
      <c r="Y31103" s="372">
        <v>0.0</v>
      </c>
      <c r="Z31103" s="372">
        <v>0.0</v>
      </c>
    </row>
    <row r="31104">
      <c r="Y31104" s="372">
        <v>0.0</v>
      </c>
      <c r="Z31104" s="372">
        <v>0.0</v>
      </c>
    </row>
    <row r="31105">
      <c r="Y31105" s="372">
        <v>0.0</v>
      </c>
      <c r="Z31105" s="372">
        <v>0.0</v>
      </c>
    </row>
    <row r="31106">
      <c r="Y31106" s="372">
        <v>0.0</v>
      </c>
      <c r="Z31106" s="372">
        <v>0.0</v>
      </c>
    </row>
    <row r="31107">
      <c r="Y31107" s="372">
        <v>0.0</v>
      </c>
      <c r="Z31107" s="372">
        <v>0.0</v>
      </c>
    </row>
    <row r="31108">
      <c r="Y31108" s="372">
        <v>0.0</v>
      </c>
      <c r="Z31108" s="372">
        <v>0.0</v>
      </c>
    </row>
    <row r="31109">
      <c r="Y31109" s="372">
        <v>0.0</v>
      </c>
      <c r="Z31109" s="372">
        <v>0.0</v>
      </c>
    </row>
    <row r="31110">
      <c r="Y31110" s="372">
        <v>0.0</v>
      </c>
      <c r="Z31110" s="372">
        <v>0.0</v>
      </c>
    </row>
    <row r="31111">
      <c r="Y31111" s="372">
        <v>0.0</v>
      </c>
      <c r="Z31111" s="372">
        <v>0.0</v>
      </c>
    </row>
    <row r="31112">
      <c r="Y31112" s="372">
        <v>0.0</v>
      </c>
      <c r="Z31112" s="372">
        <v>0.0</v>
      </c>
    </row>
    <row r="31113">
      <c r="Y31113" s="372">
        <v>0.0</v>
      </c>
      <c r="Z31113" s="372">
        <v>0.0</v>
      </c>
    </row>
    <row r="31114">
      <c r="Y31114" s="372">
        <v>0.0</v>
      </c>
      <c r="Z31114" s="372">
        <v>0.0</v>
      </c>
    </row>
    <row r="31115">
      <c r="Y31115" s="372">
        <v>0.0</v>
      </c>
      <c r="Z31115" s="372">
        <v>0.0</v>
      </c>
    </row>
    <row r="31116">
      <c r="Y31116" s="372">
        <v>0.0</v>
      </c>
      <c r="Z31116" s="372">
        <v>0.0</v>
      </c>
    </row>
    <row r="31117">
      <c r="Y31117" s="372">
        <v>0.0</v>
      </c>
      <c r="Z31117" s="372">
        <v>0.0</v>
      </c>
    </row>
    <row r="31118">
      <c r="Y31118" s="372">
        <v>0.0</v>
      </c>
      <c r="Z31118" s="372">
        <v>0.0</v>
      </c>
    </row>
    <row r="31119">
      <c r="Y31119" s="372">
        <v>0.0</v>
      </c>
      <c r="Z31119" s="372">
        <v>0.0</v>
      </c>
    </row>
    <row r="31120">
      <c r="Y31120" s="372">
        <v>0.0</v>
      </c>
      <c r="Z31120" s="372">
        <v>0.0</v>
      </c>
    </row>
    <row r="31121">
      <c r="Y31121" s="372">
        <v>0.0</v>
      </c>
      <c r="Z31121" s="372">
        <v>0.0</v>
      </c>
    </row>
    <row r="31122">
      <c r="Y31122" s="372">
        <v>0.0</v>
      </c>
      <c r="Z31122" s="372">
        <v>0.0</v>
      </c>
    </row>
    <row r="31123">
      <c r="Y31123" s="372">
        <v>0.0</v>
      </c>
      <c r="Z31123" s="372">
        <v>0.0</v>
      </c>
    </row>
    <row r="31124">
      <c r="Y31124" s="372">
        <v>0.0</v>
      </c>
      <c r="Z31124" s="372">
        <v>0.0</v>
      </c>
    </row>
    <row r="31125">
      <c r="Y31125" s="372">
        <v>0.0</v>
      </c>
      <c r="Z31125" s="372">
        <v>0.0</v>
      </c>
    </row>
    <row r="31126">
      <c r="Y31126" s="372">
        <v>0.0</v>
      </c>
      <c r="Z31126" s="372">
        <v>0.0</v>
      </c>
    </row>
    <row r="31127">
      <c r="Y31127" s="372">
        <v>0.0</v>
      </c>
      <c r="Z31127" s="372">
        <v>0.0</v>
      </c>
    </row>
    <row r="31128">
      <c r="Y31128" s="372">
        <v>0.0</v>
      </c>
      <c r="Z31128" s="372">
        <v>0.0</v>
      </c>
    </row>
    <row r="31129">
      <c r="Y31129" s="372">
        <v>0.0</v>
      </c>
      <c r="Z31129" s="372">
        <v>0.0</v>
      </c>
    </row>
    <row r="31130">
      <c r="Y31130" s="372">
        <v>0.0</v>
      </c>
      <c r="Z31130" s="372">
        <v>0.0</v>
      </c>
    </row>
    <row r="31131">
      <c r="Y31131" s="372">
        <v>0.0</v>
      </c>
      <c r="Z31131" s="372">
        <v>0.0</v>
      </c>
    </row>
    <row r="31132">
      <c r="Y31132" s="372">
        <v>0.0</v>
      </c>
      <c r="Z31132" s="372">
        <v>0.0</v>
      </c>
    </row>
    <row r="31133">
      <c r="Y31133" s="372">
        <v>0.0</v>
      </c>
      <c r="Z31133" s="372">
        <v>0.0</v>
      </c>
    </row>
    <row r="31134">
      <c r="Y31134" s="372">
        <v>0.0</v>
      </c>
      <c r="Z31134" s="372">
        <v>0.0</v>
      </c>
    </row>
    <row r="31135">
      <c r="Y31135" s="372">
        <v>0.0</v>
      </c>
      <c r="Z31135" s="372">
        <v>0.0</v>
      </c>
    </row>
    <row r="31136">
      <c r="Y31136" s="372">
        <v>0.0</v>
      </c>
      <c r="Z31136" s="372">
        <v>0.0</v>
      </c>
    </row>
    <row r="31137">
      <c r="Y31137" s="372">
        <v>0.0</v>
      </c>
      <c r="Z31137" s="372">
        <v>0.0</v>
      </c>
    </row>
    <row r="31138">
      <c r="Y31138" s="372">
        <v>0.0</v>
      </c>
      <c r="Z31138" s="372">
        <v>0.0</v>
      </c>
    </row>
    <row r="31139">
      <c r="Y31139" s="372">
        <v>0.0</v>
      </c>
      <c r="Z31139" s="372">
        <v>0.0</v>
      </c>
    </row>
    <row r="31140">
      <c r="Y31140" s="372">
        <v>0.0</v>
      </c>
      <c r="Z31140" s="372">
        <v>0.0</v>
      </c>
    </row>
    <row r="31141">
      <c r="Y31141" s="372">
        <v>0.0</v>
      </c>
      <c r="Z31141" s="372">
        <v>0.0</v>
      </c>
    </row>
    <row r="31142">
      <c r="Y31142" s="372">
        <v>0.0</v>
      </c>
      <c r="Z31142" s="372">
        <v>0.0</v>
      </c>
    </row>
    <row r="31143">
      <c r="Y31143" s="372">
        <v>0.0</v>
      </c>
      <c r="Z31143" s="372">
        <v>0.0</v>
      </c>
    </row>
    <row r="31144">
      <c r="Y31144" s="372">
        <v>0.0</v>
      </c>
      <c r="Z31144" s="372">
        <v>0.0</v>
      </c>
    </row>
    <row r="31145">
      <c r="Y31145" s="372">
        <v>0.0</v>
      </c>
      <c r="Z31145" s="372">
        <v>0.0</v>
      </c>
    </row>
    <row r="31146">
      <c r="Y31146" s="372">
        <v>0.0</v>
      </c>
      <c r="Z31146" s="372">
        <v>0.0</v>
      </c>
    </row>
    <row r="31147">
      <c r="Y31147" s="372">
        <v>0.0</v>
      </c>
      <c r="Z31147" s="372">
        <v>0.0</v>
      </c>
    </row>
    <row r="31148">
      <c r="Y31148" s="372">
        <v>0.0</v>
      </c>
      <c r="Z31148" s="372">
        <v>0.0</v>
      </c>
    </row>
    <row r="31149">
      <c r="Y31149" s="372">
        <v>0.0</v>
      </c>
      <c r="Z31149" s="372">
        <v>0.0</v>
      </c>
    </row>
    <row r="31150">
      <c r="Y31150" s="372">
        <v>0.0</v>
      </c>
      <c r="Z31150" s="372">
        <v>0.0</v>
      </c>
    </row>
    <row r="31151">
      <c r="Y31151" s="372">
        <v>0.0</v>
      </c>
      <c r="Z31151" s="372">
        <v>0.0</v>
      </c>
    </row>
    <row r="31152">
      <c r="Y31152" s="372">
        <v>0.0</v>
      </c>
      <c r="Z31152" s="372">
        <v>0.0</v>
      </c>
    </row>
    <row r="31153">
      <c r="Y31153" s="372">
        <v>0.0</v>
      </c>
      <c r="Z31153" s="372">
        <v>0.0</v>
      </c>
    </row>
    <row r="31154">
      <c r="Y31154" s="372">
        <v>0.0</v>
      </c>
      <c r="Z31154" s="372">
        <v>0.0</v>
      </c>
    </row>
    <row r="31155">
      <c r="Y31155" s="372">
        <v>0.0</v>
      </c>
      <c r="Z31155" s="372">
        <v>0.0</v>
      </c>
    </row>
    <row r="31156">
      <c r="Y31156" s="372">
        <v>0.0</v>
      </c>
      <c r="Z31156" s="372">
        <v>0.0</v>
      </c>
    </row>
    <row r="31157">
      <c r="Y31157" s="372">
        <v>0.0</v>
      </c>
      <c r="Z31157" s="372">
        <v>0.0</v>
      </c>
    </row>
    <row r="31158">
      <c r="Y31158" s="372">
        <v>0.0</v>
      </c>
      <c r="Z31158" s="372">
        <v>0.0</v>
      </c>
    </row>
    <row r="31159">
      <c r="Y31159" s="372">
        <v>0.0</v>
      </c>
      <c r="Z31159" s="372">
        <v>0.0</v>
      </c>
    </row>
    <row r="31160">
      <c r="Y31160" s="372">
        <v>0.0</v>
      </c>
      <c r="Z31160" s="372">
        <v>0.0</v>
      </c>
    </row>
    <row r="31161">
      <c r="Y31161" s="372">
        <v>0.0</v>
      </c>
      <c r="Z31161" s="372">
        <v>0.0</v>
      </c>
    </row>
    <row r="31162">
      <c r="Y31162" s="372">
        <v>0.0</v>
      </c>
      <c r="Z31162" s="372">
        <v>0.0</v>
      </c>
    </row>
    <row r="31163">
      <c r="Y31163" s="372">
        <v>0.0</v>
      </c>
      <c r="Z31163" s="372">
        <v>0.0</v>
      </c>
    </row>
    <row r="31164">
      <c r="Y31164" s="372">
        <v>0.0</v>
      </c>
      <c r="Z31164" s="372">
        <v>0.0</v>
      </c>
    </row>
    <row r="31165">
      <c r="Y31165" s="372">
        <v>0.0</v>
      </c>
      <c r="Z31165" s="372">
        <v>0.0</v>
      </c>
    </row>
    <row r="31166">
      <c r="Y31166" s="372">
        <v>0.0</v>
      </c>
      <c r="Z31166" s="372">
        <v>0.0</v>
      </c>
    </row>
    <row r="31167">
      <c r="Y31167" s="372">
        <v>0.0</v>
      </c>
      <c r="Z31167" s="372">
        <v>0.0</v>
      </c>
    </row>
    <row r="31168">
      <c r="Y31168" s="372">
        <v>0.0</v>
      </c>
      <c r="Z31168" s="372">
        <v>0.0</v>
      </c>
    </row>
    <row r="31169">
      <c r="Y31169" s="372">
        <v>0.0</v>
      </c>
      <c r="Z31169" s="372">
        <v>0.0</v>
      </c>
    </row>
    <row r="31170">
      <c r="Y31170" s="372">
        <v>0.0</v>
      </c>
      <c r="Z31170" s="372">
        <v>0.0</v>
      </c>
    </row>
    <row r="31171">
      <c r="Y31171" s="372">
        <v>0.0</v>
      </c>
      <c r="Z31171" s="372">
        <v>0.0</v>
      </c>
    </row>
    <row r="31172">
      <c r="Y31172" s="372">
        <v>0.0</v>
      </c>
      <c r="Z31172" s="372">
        <v>0.0</v>
      </c>
    </row>
    <row r="31173">
      <c r="Y31173" s="372">
        <v>0.0</v>
      </c>
      <c r="Z31173" s="372">
        <v>0.0</v>
      </c>
    </row>
    <row r="31174">
      <c r="Y31174" s="372">
        <v>0.0</v>
      </c>
      <c r="Z31174" s="372">
        <v>0.0</v>
      </c>
    </row>
    <row r="31175">
      <c r="Y31175" s="372">
        <v>0.0</v>
      </c>
      <c r="Z31175" s="372">
        <v>0.0</v>
      </c>
    </row>
    <row r="31176">
      <c r="Y31176" s="372">
        <v>0.0</v>
      </c>
      <c r="Z31176" s="372">
        <v>0.0</v>
      </c>
    </row>
    <row r="31177">
      <c r="Y31177" s="372">
        <v>0.0</v>
      </c>
      <c r="Z31177" s="372">
        <v>0.0</v>
      </c>
    </row>
    <row r="31178">
      <c r="Y31178" s="372">
        <v>0.0</v>
      </c>
      <c r="Z31178" s="372">
        <v>0.0</v>
      </c>
    </row>
    <row r="31179">
      <c r="Y31179" s="372">
        <v>0.0</v>
      </c>
      <c r="Z31179" s="372">
        <v>0.0</v>
      </c>
    </row>
    <row r="31180">
      <c r="Y31180" s="372">
        <v>0.0</v>
      </c>
      <c r="Z31180" s="372">
        <v>0.0</v>
      </c>
    </row>
    <row r="31181">
      <c r="Y31181" s="372">
        <v>0.0</v>
      </c>
      <c r="Z31181" s="372">
        <v>0.0</v>
      </c>
    </row>
    <row r="31182">
      <c r="Y31182" s="372">
        <v>0.0</v>
      </c>
      <c r="Z31182" s="372">
        <v>0.0</v>
      </c>
    </row>
    <row r="31183">
      <c r="Y31183" s="372">
        <v>0.0</v>
      </c>
      <c r="Z31183" s="372">
        <v>0.0</v>
      </c>
    </row>
    <row r="31184">
      <c r="Y31184" s="372">
        <v>0.0</v>
      </c>
      <c r="Z31184" s="372">
        <v>0.0</v>
      </c>
    </row>
    <row r="31185">
      <c r="Y31185" s="372">
        <v>0.0</v>
      </c>
      <c r="Z31185" s="372">
        <v>0.0</v>
      </c>
    </row>
    <row r="31186">
      <c r="Y31186" s="372">
        <v>0.0</v>
      </c>
      <c r="Z31186" s="372">
        <v>0.0</v>
      </c>
    </row>
    <row r="31187">
      <c r="Y31187" s="372">
        <v>0.0</v>
      </c>
      <c r="Z31187" s="372">
        <v>0.0</v>
      </c>
    </row>
    <row r="31188">
      <c r="Y31188" s="372">
        <v>0.0</v>
      </c>
      <c r="Z31188" s="372">
        <v>0.0</v>
      </c>
    </row>
    <row r="31189">
      <c r="Y31189" s="372">
        <v>0.0</v>
      </c>
      <c r="Z31189" s="372">
        <v>0.0</v>
      </c>
    </row>
    <row r="31190">
      <c r="Y31190" s="372">
        <v>0.0</v>
      </c>
      <c r="Z31190" s="372">
        <v>0.0</v>
      </c>
    </row>
    <row r="31191">
      <c r="Y31191" s="372">
        <v>0.0</v>
      </c>
      <c r="Z31191" s="372">
        <v>0.0</v>
      </c>
    </row>
    <row r="31192">
      <c r="Y31192" s="372">
        <v>0.0</v>
      </c>
      <c r="Z31192" s="372">
        <v>0.0</v>
      </c>
    </row>
    <row r="31193">
      <c r="Y31193" s="372">
        <v>0.0</v>
      </c>
      <c r="Z31193" s="372">
        <v>0.0</v>
      </c>
    </row>
    <row r="31194">
      <c r="Y31194" s="372">
        <v>0.0</v>
      </c>
      <c r="Z31194" s="372">
        <v>0.0</v>
      </c>
    </row>
    <row r="31195">
      <c r="Y31195" s="372">
        <v>0.0</v>
      </c>
      <c r="Z31195" s="372">
        <v>0.0</v>
      </c>
    </row>
    <row r="31196">
      <c r="Y31196" s="372">
        <v>0.0</v>
      </c>
      <c r="Z31196" s="372">
        <v>0.0</v>
      </c>
    </row>
    <row r="31197">
      <c r="Y31197" s="372">
        <v>0.0</v>
      </c>
      <c r="Z31197" s="372">
        <v>0.0</v>
      </c>
    </row>
    <row r="31198">
      <c r="Y31198" s="372">
        <v>0.0</v>
      </c>
      <c r="Z31198" s="372">
        <v>0.0</v>
      </c>
    </row>
    <row r="31199">
      <c r="Y31199" s="372">
        <v>0.0</v>
      </c>
      <c r="Z31199" s="372">
        <v>0.0</v>
      </c>
    </row>
    <row r="31200">
      <c r="Y31200" s="372">
        <v>0.0</v>
      </c>
      <c r="Z31200" s="372">
        <v>0.0</v>
      </c>
    </row>
    <row r="31201">
      <c r="Y31201" s="372">
        <v>0.0</v>
      </c>
      <c r="Z31201" s="372">
        <v>0.0</v>
      </c>
    </row>
    <row r="31202">
      <c r="Y31202" s="372">
        <v>0.0</v>
      </c>
      <c r="Z31202" s="372">
        <v>0.0</v>
      </c>
    </row>
    <row r="31203">
      <c r="Y31203" s="372">
        <v>0.0</v>
      </c>
      <c r="Z31203" s="372">
        <v>0.0</v>
      </c>
    </row>
    <row r="31204">
      <c r="Y31204" s="372">
        <v>0.0</v>
      </c>
      <c r="Z31204" s="372">
        <v>0.0</v>
      </c>
    </row>
    <row r="31205">
      <c r="Y31205" s="372">
        <v>0.0</v>
      </c>
      <c r="Z31205" s="372">
        <v>0.0</v>
      </c>
    </row>
    <row r="31206">
      <c r="Y31206" s="372">
        <v>0.0</v>
      </c>
      <c r="Z31206" s="372">
        <v>0.0</v>
      </c>
    </row>
    <row r="31207">
      <c r="Y31207" s="372">
        <v>0.0</v>
      </c>
      <c r="Z31207" s="372">
        <v>0.0</v>
      </c>
    </row>
    <row r="31208">
      <c r="Y31208" s="372">
        <v>0.0</v>
      </c>
      <c r="Z31208" s="372">
        <v>0.0</v>
      </c>
    </row>
    <row r="31209">
      <c r="Y31209" s="372">
        <v>0.0</v>
      </c>
      <c r="Z31209" s="372">
        <v>0.0</v>
      </c>
    </row>
    <row r="31210">
      <c r="Y31210" s="372">
        <v>0.0</v>
      </c>
      <c r="Z31210" s="372">
        <v>0.0</v>
      </c>
    </row>
    <row r="31211">
      <c r="Y31211" s="372">
        <v>0.0</v>
      </c>
      <c r="Z31211" s="372">
        <v>0.0</v>
      </c>
    </row>
    <row r="31212">
      <c r="Y31212" s="372">
        <v>0.0</v>
      </c>
      <c r="Z31212" s="372">
        <v>0.0</v>
      </c>
    </row>
    <row r="31213">
      <c r="Y31213" s="372">
        <v>0.0</v>
      </c>
      <c r="Z31213" s="372">
        <v>0.0</v>
      </c>
    </row>
    <row r="31214">
      <c r="Y31214" s="372">
        <v>0.0</v>
      </c>
      <c r="Z31214" s="372">
        <v>0.0</v>
      </c>
    </row>
    <row r="31215">
      <c r="Y31215" s="372">
        <v>0.0</v>
      </c>
      <c r="Z31215" s="372">
        <v>0.0</v>
      </c>
    </row>
    <row r="31216">
      <c r="Y31216" s="372">
        <v>0.0</v>
      </c>
      <c r="Z31216" s="372">
        <v>0.0</v>
      </c>
    </row>
    <row r="31217">
      <c r="Y31217" s="372">
        <v>0.0</v>
      </c>
      <c r="Z31217" s="372">
        <v>0.0</v>
      </c>
    </row>
    <row r="31218">
      <c r="Y31218" s="372">
        <v>0.0</v>
      </c>
      <c r="Z31218" s="372">
        <v>0.0</v>
      </c>
    </row>
    <row r="31219">
      <c r="Y31219" s="372">
        <v>0.0</v>
      </c>
      <c r="Z31219" s="372">
        <v>0.0</v>
      </c>
    </row>
    <row r="31220">
      <c r="Y31220" s="372">
        <v>0.0</v>
      </c>
      <c r="Z31220" s="372">
        <v>0.0</v>
      </c>
    </row>
    <row r="31221">
      <c r="Y31221" s="372">
        <v>0.0</v>
      </c>
      <c r="Z31221" s="372">
        <v>0.0</v>
      </c>
    </row>
    <row r="31222">
      <c r="Y31222" s="372">
        <v>0.0</v>
      </c>
      <c r="Z31222" s="372">
        <v>0.0</v>
      </c>
    </row>
    <row r="31223">
      <c r="Y31223" s="372">
        <v>0.0</v>
      </c>
      <c r="Z31223" s="372">
        <v>0.0</v>
      </c>
    </row>
    <row r="31224">
      <c r="Y31224" s="372">
        <v>0.0</v>
      </c>
      <c r="Z31224" s="372">
        <v>0.0</v>
      </c>
    </row>
    <row r="31225">
      <c r="Y31225" s="372">
        <v>0.0</v>
      </c>
      <c r="Z31225" s="372">
        <v>0.0</v>
      </c>
    </row>
    <row r="31226">
      <c r="Y31226" s="372">
        <v>0.0</v>
      </c>
      <c r="Z31226" s="372">
        <v>0.0</v>
      </c>
    </row>
    <row r="31227">
      <c r="Y31227" s="372">
        <v>0.0</v>
      </c>
      <c r="Z31227" s="372">
        <v>0.0</v>
      </c>
    </row>
    <row r="31228">
      <c r="Y31228" s="372">
        <v>0.0</v>
      </c>
      <c r="Z31228" s="372">
        <v>0.0</v>
      </c>
    </row>
    <row r="31229">
      <c r="Y31229" s="372">
        <v>0.0</v>
      </c>
      <c r="Z31229" s="372">
        <v>0.0</v>
      </c>
    </row>
    <row r="31230">
      <c r="Y31230" s="372">
        <v>0.0</v>
      </c>
      <c r="Z31230" s="372">
        <v>0.0</v>
      </c>
    </row>
    <row r="31231">
      <c r="Y31231" s="372">
        <v>0.0</v>
      </c>
      <c r="Z31231" s="372">
        <v>0.0</v>
      </c>
    </row>
    <row r="31232">
      <c r="Y31232" s="372">
        <v>0.0</v>
      </c>
      <c r="Z31232" s="372">
        <v>0.0</v>
      </c>
    </row>
    <row r="31233">
      <c r="Y31233" s="372">
        <v>0.0</v>
      </c>
      <c r="Z31233" s="372">
        <v>0.0</v>
      </c>
    </row>
    <row r="31234">
      <c r="Y31234" s="372">
        <v>0.0</v>
      </c>
      <c r="Z31234" s="372">
        <v>0.0</v>
      </c>
    </row>
    <row r="31235">
      <c r="Y31235" s="372">
        <v>0.0</v>
      </c>
      <c r="Z31235" s="372">
        <v>0.0</v>
      </c>
    </row>
    <row r="31236">
      <c r="Y31236" s="372">
        <v>0.0</v>
      </c>
      <c r="Z31236" s="372">
        <v>0.0</v>
      </c>
    </row>
    <row r="31237">
      <c r="Y31237" s="372">
        <v>0.0</v>
      </c>
      <c r="Z31237" s="372">
        <v>0.0</v>
      </c>
    </row>
    <row r="31238">
      <c r="Y31238" s="372">
        <v>0.0</v>
      </c>
      <c r="Z31238" s="372">
        <v>0.0</v>
      </c>
    </row>
    <row r="31239">
      <c r="Y31239" s="372">
        <v>0.0</v>
      </c>
      <c r="Z31239" s="372">
        <v>0.0</v>
      </c>
    </row>
    <row r="31240">
      <c r="Y31240" s="372">
        <v>0.0</v>
      </c>
      <c r="Z31240" s="372">
        <v>0.0</v>
      </c>
    </row>
    <row r="31241">
      <c r="Y31241" s="372">
        <v>0.0</v>
      </c>
      <c r="Z31241" s="372">
        <v>0.0</v>
      </c>
    </row>
    <row r="31242">
      <c r="Y31242" s="372">
        <v>0.0</v>
      </c>
      <c r="Z31242" s="372">
        <v>0.0</v>
      </c>
    </row>
    <row r="31243">
      <c r="Y31243" s="372">
        <v>0.0</v>
      </c>
      <c r="Z31243" s="372">
        <v>0.0</v>
      </c>
    </row>
    <row r="31244">
      <c r="Y31244" s="372">
        <v>0.0</v>
      </c>
      <c r="Z31244" s="372">
        <v>0.0</v>
      </c>
    </row>
    <row r="31245">
      <c r="Y31245" s="372">
        <v>0.0</v>
      </c>
      <c r="Z31245" s="372">
        <v>0.0</v>
      </c>
    </row>
    <row r="31246">
      <c r="Y31246" s="372">
        <v>0.0</v>
      </c>
      <c r="Z31246" s="372">
        <v>0.0</v>
      </c>
    </row>
    <row r="31247">
      <c r="Y31247" s="372">
        <v>0.0</v>
      </c>
      <c r="Z31247" s="372">
        <v>0.0</v>
      </c>
    </row>
    <row r="31248">
      <c r="Y31248" s="372">
        <v>0.0</v>
      </c>
      <c r="Z31248" s="372">
        <v>0.0</v>
      </c>
    </row>
    <row r="31249">
      <c r="Y31249" s="372">
        <v>0.0</v>
      </c>
      <c r="Z31249" s="372">
        <v>0.0</v>
      </c>
    </row>
    <row r="31250">
      <c r="Y31250" s="372">
        <v>0.0</v>
      </c>
      <c r="Z31250" s="372">
        <v>0.0</v>
      </c>
    </row>
    <row r="31251">
      <c r="Y31251" s="372">
        <v>0.0</v>
      </c>
      <c r="Z31251" s="372">
        <v>0.0</v>
      </c>
    </row>
    <row r="31252">
      <c r="Y31252" s="372">
        <v>0.0</v>
      </c>
      <c r="Z31252" s="372">
        <v>0.0</v>
      </c>
    </row>
    <row r="31253">
      <c r="Y31253" s="372">
        <v>0.0</v>
      </c>
      <c r="Z31253" s="372">
        <v>0.0</v>
      </c>
    </row>
    <row r="31254">
      <c r="Y31254" s="372">
        <v>0.0</v>
      </c>
      <c r="Z31254" s="372">
        <v>0.0</v>
      </c>
    </row>
    <row r="31255">
      <c r="Y31255" s="372">
        <v>0.0</v>
      </c>
      <c r="Z31255" s="372">
        <v>0.0</v>
      </c>
    </row>
    <row r="31256">
      <c r="Y31256" s="372">
        <v>0.0</v>
      </c>
      <c r="Z31256" s="372">
        <v>0.0</v>
      </c>
    </row>
    <row r="31257">
      <c r="Y31257" s="372">
        <v>0.0</v>
      </c>
      <c r="Z31257" s="372">
        <v>0.0</v>
      </c>
    </row>
    <row r="31258">
      <c r="Y31258" s="372">
        <v>0.0</v>
      </c>
      <c r="Z31258" s="372">
        <v>0.0</v>
      </c>
    </row>
    <row r="31259">
      <c r="Y31259" s="372">
        <v>0.0</v>
      </c>
      <c r="Z31259" s="372">
        <v>0.0</v>
      </c>
    </row>
    <row r="31260">
      <c r="Y31260" s="372">
        <v>0.0</v>
      </c>
      <c r="Z31260" s="372">
        <v>0.0</v>
      </c>
    </row>
    <row r="31261">
      <c r="Y31261" s="372">
        <v>0.0</v>
      </c>
      <c r="Z31261" s="372">
        <v>0.0</v>
      </c>
    </row>
    <row r="31262">
      <c r="Y31262" s="372">
        <v>0.0</v>
      </c>
      <c r="Z31262" s="372">
        <v>0.0</v>
      </c>
    </row>
    <row r="31263">
      <c r="Y31263" s="372">
        <v>0.0</v>
      </c>
      <c r="Z31263" s="372">
        <v>0.0</v>
      </c>
    </row>
    <row r="31264">
      <c r="Y31264" s="372">
        <v>0.0</v>
      </c>
      <c r="Z31264" s="372">
        <v>0.0</v>
      </c>
    </row>
    <row r="31265">
      <c r="Y31265" s="372">
        <v>0.0</v>
      </c>
      <c r="Z31265" s="372">
        <v>0.0</v>
      </c>
    </row>
    <row r="31266">
      <c r="Y31266" s="372">
        <v>0.0</v>
      </c>
      <c r="Z31266" s="372">
        <v>0.0</v>
      </c>
    </row>
    <row r="31267">
      <c r="Y31267" s="372">
        <v>0.0</v>
      </c>
      <c r="Z31267" s="372">
        <v>0.0</v>
      </c>
    </row>
    <row r="31268">
      <c r="Y31268" s="372">
        <v>0.0</v>
      </c>
      <c r="Z31268" s="372">
        <v>0.0</v>
      </c>
    </row>
    <row r="31269">
      <c r="Y31269" s="372">
        <v>0.0</v>
      </c>
      <c r="Z31269" s="372">
        <v>0.0</v>
      </c>
    </row>
    <row r="31270">
      <c r="Y31270" s="372">
        <v>0.0</v>
      </c>
      <c r="Z31270" s="372">
        <v>0.0</v>
      </c>
    </row>
    <row r="31271">
      <c r="Y31271" s="372">
        <v>0.0</v>
      </c>
      <c r="Z31271" s="372">
        <v>0.0</v>
      </c>
    </row>
    <row r="31272">
      <c r="Y31272" s="372">
        <v>0.0</v>
      </c>
      <c r="Z31272" s="372">
        <v>0.0</v>
      </c>
    </row>
    <row r="31273">
      <c r="Y31273" s="372">
        <v>0.0</v>
      </c>
      <c r="Z31273" s="372">
        <v>0.0</v>
      </c>
    </row>
    <row r="31274">
      <c r="Y31274" s="372">
        <v>0.0</v>
      </c>
      <c r="Z31274" s="372">
        <v>0.0</v>
      </c>
    </row>
    <row r="31275">
      <c r="Y31275" s="372">
        <v>0.0</v>
      </c>
      <c r="Z31275" s="372">
        <v>0.0</v>
      </c>
    </row>
    <row r="31276">
      <c r="Y31276" s="372">
        <v>0.0</v>
      </c>
      <c r="Z31276" s="372">
        <v>0.0</v>
      </c>
    </row>
    <row r="31277">
      <c r="Y31277" s="372">
        <v>0.0</v>
      </c>
      <c r="Z31277" s="372">
        <v>0.0</v>
      </c>
    </row>
    <row r="31278">
      <c r="Y31278" s="372">
        <v>0.0</v>
      </c>
      <c r="Z31278" s="372">
        <v>0.0</v>
      </c>
    </row>
    <row r="31279">
      <c r="Y31279" s="372">
        <v>0.0</v>
      </c>
      <c r="Z31279" s="372">
        <v>0.0</v>
      </c>
    </row>
    <row r="31280">
      <c r="Y31280" s="372">
        <v>0.0</v>
      </c>
      <c r="Z31280" s="372">
        <v>0.0</v>
      </c>
    </row>
    <row r="31281">
      <c r="Y31281" s="372">
        <v>0.0</v>
      </c>
      <c r="Z31281" s="372">
        <v>0.0</v>
      </c>
    </row>
    <row r="31282">
      <c r="Y31282" s="372">
        <v>0.0</v>
      </c>
      <c r="Z31282" s="372">
        <v>0.0</v>
      </c>
    </row>
    <row r="31283">
      <c r="Y31283" s="372">
        <v>0.0</v>
      </c>
      <c r="Z31283" s="372">
        <v>0.0</v>
      </c>
    </row>
    <row r="31284">
      <c r="Y31284" s="372">
        <v>0.0</v>
      </c>
      <c r="Z31284" s="372">
        <v>0.0</v>
      </c>
    </row>
    <row r="31285">
      <c r="Y31285" s="372">
        <v>0.0</v>
      </c>
      <c r="Z31285" s="372">
        <v>0.0</v>
      </c>
    </row>
    <row r="31286">
      <c r="Y31286" s="372">
        <v>0.0</v>
      </c>
      <c r="Z31286" s="372">
        <v>0.0</v>
      </c>
    </row>
    <row r="31287">
      <c r="Y31287" s="372">
        <v>0.0</v>
      </c>
      <c r="Z31287" s="372">
        <v>0.0</v>
      </c>
    </row>
    <row r="31288">
      <c r="Y31288" s="372">
        <v>0.0</v>
      </c>
      <c r="Z31288" s="372">
        <v>0.0</v>
      </c>
    </row>
    <row r="31289">
      <c r="Y31289" s="372">
        <v>0.0</v>
      </c>
      <c r="Z31289" s="372">
        <v>0.0</v>
      </c>
    </row>
    <row r="31290">
      <c r="Y31290" s="372">
        <v>0.0</v>
      </c>
      <c r="Z31290" s="372">
        <v>0.0</v>
      </c>
    </row>
    <row r="31291">
      <c r="Y31291" s="372">
        <v>0.0</v>
      </c>
      <c r="Z31291" s="372">
        <v>0.0</v>
      </c>
    </row>
    <row r="31292">
      <c r="Y31292" s="372">
        <v>0.0</v>
      </c>
      <c r="Z31292" s="372">
        <v>0.0</v>
      </c>
    </row>
    <row r="31293">
      <c r="Y31293" s="372">
        <v>0.0</v>
      </c>
      <c r="Z31293" s="372">
        <v>0.0</v>
      </c>
    </row>
    <row r="31294">
      <c r="Y31294" s="372">
        <v>0.0</v>
      </c>
      <c r="Z31294" s="372">
        <v>0.0</v>
      </c>
    </row>
    <row r="31295">
      <c r="Y31295" s="372">
        <v>0.0</v>
      </c>
      <c r="Z31295" s="372">
        <v>0.0</v>
      </c>
    </row>
    <row r="31296">
      <c r="Y31296" s="372">
        <v>0.0</v>
      </c>
      <c r="Z31296" s="372">
        <v>0.0</v>
      </c>
    </row>
    <row r="31297">
      <c r="Y31297" s="372">
        <v>0.0</v>
      </c>
      <c r="Z31297" s="372">
        <v>0.0</v>
      </c>
    </row>
    <row r="31298">
      <c r="Y31298" s="372">
        <v>0.0</v>
      </c>
      <c r="Z31298" s="372">
        <v>0.0</v>
      </c>
    </row>
    <row r="31299">
      <c r="Y31299" s="372">
        <v>0.0</v>
      </c>
      <c r="Z31299" s="372">
        <v>0.0</v>
      </c>
    </row>
    <row r="31300">
      <c r="Y31300" s="372">
        <v>0.0</v>
      </c>
      <c r="Z31300" s="372">
        <v>0.0</v>
      </c>
    </row>
    <row r="31301">
      <c r="Y31301" s="372">
        <v>0.0</v>
      </c>
      <c r="Z31301" s="372">
        <v>0.0</v>
      </c>
    </row>
    <row r="31302">
      <c r="Y31302" s="372">
        <v>0.0</v>
      </c>
      <c r="Z31302" s="372">
        <v>0.0</v>
      </c>
    </row>
    <row r="31303">
      <c r="Y31303" s="372">
        <v>0.0</v>
      </c>
      <c r="Z31303" s="372">
        <v>0.0</v>
      </c>
    </row>
    <row r="31304">
      <c r="Y31304" s="372">
        <v>0.0</v>
      </c>
      <c r="Z31304" s="372">
        <v>0.0</v>
      </c>
    </row>
    <row r="31305">
      <c r="Y31305" s="372">
        <v>0.0</v>
      </c>
      <c r="Z31305" s="372">
        <v>0.0</v>
      </c>
    </row>
    <row r="31306">
      <c r="Y31306" s="372">
        <v>0.0</v>
      </c>
      <c r="Z31306" s="372">
        <v>0.0</v>
      </c>
    </row>
    <row r="31307">
      <c r="Y31307" s="372">
        <v>0.0</v>
      </c>
      <c r="Z31307" s="372">
        <v>0.0</v>
      </c>
    </row>
    <row r="31308">
      <c r="Y31308" s="372">
        <v>0.0</v>
      </c>
      <c r="Z31308" s="372">
        <v>0.0</v>
      </c>
    </row>
    <row r="31309">
      <c r="Y31309" s="372">
        <v>0.0</v>
      </c>
      <c r="Z31309" s="372">
        <v>0.0</v>
      </c>
    </row>
    <row r="31310">
      <c r="Y31310" s="372">
        <v>0.0</v>
      </c>
      <c r="Z31310" s="372">
        <v>0.0</v>
      </c>
    </row>
    <row r="31311">
      <c r="Y31311" s="372">
        <v>0.0</v>
      </c>
      <c r="Z31311" s="372">
        <v>0.0</v>
      </c>
    </row>
    <row r="31312">
      <c r="Y31312" s="372">
        <v>0.0</v>
      </c>
      <c r="Z31312" s="372">
        <v>0.0</v>
      </c>
    </row>
    <row r="31313">
      <c r="Y31313" s="372">
        <v>0.0</v>
      </c>
      <c r="Z31313" s="372">
        <v>0.0</v>
      </c>
    </row>
    <row r="31314">
      <c r="Y31314" s="372">
        <v>0.0</v>
      </c>
      <c r="Z31314" s="372">
        <v>0.0</v>
      </c>
    </row>
    <row r="31315">
      <c r="Y31315" s="372">
        <v>0.0</v>
      </c>
      <c r="Z31315" s="372">
        <v>0.0</v>
      </c>
    </row>
    <row r="31316">
      <c r="Y31316" s="372">
        <v>0.0</v>
      </c>
      <c r="Z31316" s="372">
        <v>0.0</v>
      </c>
    </row>
    <row r="31317">
      <c r="Y31317" s="372">
        <v>0.0</v>
      </c>
      <c r="Z31317" s="372">
        <v>0.0</v>
      </c>
    </row>
    <row r="31318">
      <c r="Y31318" s="372">
        <v>0.0</v>
      </c>
      <c r="Z31318" s="372">
        <v>0.0</v>
      </c>
    </row>
    <row r="31319">
      <c r="Y31319" s="372">
        <v>0.0</v>
      </c>
      <c r="Z31319" s="372">
        <v>0.0</v>
      </c>
    </row>
    <row r="31320">
      <c r="Y31320" s="372">
        <v>0.0</v>
      </c>
      <c r="Z31320" s="372">
        <v>0.0</v>
      </c>
    </row>
    <row r="31321">
      <c r="Y31321" s="372">
        <v>0.0</v>
      </c>
      <c r="Z31321" s="372">
        <v>0.0</v>
      </c>
    </row>
    <row r="31322">
      <c r="Y31322" s="372">
        <v>0.0</v>
      </c>
      <c r="Z31322" s="372">
        <v>0.0</v>
      </c>
    </row>
    <row r="31323">
      <c r="Y31323" s="372">
        <v>0.0</v>
      </c>
      <c r="Z31323" s="372">
        <v>0.0</v>
      </c>
    </row>
    <row r="31324">
      <c r="Y31324" s="372">
        <v>0.0</v>
      </c>
      <c r="Z31324" s="372">
        <v>0.0</v>
      </c>
    </row>
    <row r="31325">
      <c r="Y31325" s="372">
        <v>0.0</v>
      </c>
      <c r="Z31325" s="372">
        <v>0.0</v>
      </c>
    </row>
    <row r="31326">
      <c r="Y31326" s="372">
        <v>0.0</v>
      </c>
      <c r="Z31326" s="372">
        <v>0.0</v>
      </c>
    </row>
    <row r="31327">
      <c r="Y31327" s="372">
        <v>0.0</v>
      </c>
      <c r="Z31327" s="372">
        <v>0.0</v>
      </c>
    </row>
    <row r="31328">
      <c r="Y31328" s="372">
        <v>0.0</v>
      </c>
      <c r="Z31328" s="372">
        <v>0.0</v>
      </c>
    </row>
    <row r="31329">
      <c r="Y31329" s="372">
        <v>0.0</v>
      </c>
      <c r="Z31329" s="372">
        <v>0.0</v>
      </c>
    </row>
    <row r="31330">
      <c r="Y31330" s="372">
        <v>0.0</v>
      </c>
      <c r="Z31330" s="372">
        <v>0.0</v>
      </c>
    </row>
    <row r="31331">
      <c r="Y31331" s="372">
        <v>0.0</v>
      </c>
      <c r="Z31331" s="372">
        <v>0.0</v>
      </c>
    </row>
    <row r="31332">
      <c r="Y31332" s="372">
        <v>0.0</v>
      </c>
      <c r="Z31332" s="372">
        <v>0.0</v>
      </c>
    </row>
    <row r="31333">
      <c r="Y31333" s="372">
        <v>0.0</v>
      </c>
      <c r="Z31333" s="372">
        <v>0.0</v>
      </c>
    </row>
    <row r="31334">
      <c r="Y31334" s="372">
        <v>0.0</v>
      </c>
      <c r="Z31334" s="372">
        <v>0.0</v>
      </c>
    </row>
    <row r="31335">
      <c r="Y31335" s="372">
        <v>0.0</v>
      </c>
      <c r="Z31335" s="372">
        <v>0.0</v>
      </c>
    </row>
    <row r="31336">
      <c r="Y31336" s="372">
        <v>0.0</v>
      </c>
      <c r="Z31336" s="372">
        <v>0.0</v>
      </c>
    </row>
    <row r="31337">
      <c r="Y31337" s="372">
        <v>0.0</v>
      </c>
      <c r="Z31337" s="372">
        <v>0.0</v>
      </c>
    </row>
    <row r="31338">
      <c r="Y31338" s="372">
        <v>0.0</v>
      </c>
      <c r="Z31338" s="372">
        <v>0.0</v>
      </c>
    </row>
    <row r="31339">
      <c r="Y31339" s="372">
        <v>0.0</v>
      </c>
      <c r="Z31339" s="372">
        <v>0.0</v>
      </c>
    </row>
    <row r="31340">
      <c r="Y31340" s="372">
        <v>0.0</v>
      </c>
      <c r="Z31340" s="372">
        <v>0.0</v>
      </c>
    </row>
    <row r="31341">
      <c r="Y31341" s="372">
        <v>0.0</v>
      </c>
      <c r="Z31341" s="372">
        <v>0.0</v>
      </c>
    </row>
    <row r="31342">
      <c r="Y31342" s="372">
        <v>0.0</v>
      </c>
      <c r="Z31342" s="372">
        <v>0.0</v>
      </c>
    </row>
    <row r="31343">
      <c r="Y31343" s="372">
        <v>0.0</v>
      </c>
      <c r="Z31343" s="372">
        <v>0.0</v>
      </c>
    </row>
    <row r="31344">
      <c r="Y31344" s="372">
        <v>0.0</v>
      </c>
      <c r="Z31344" s="372">
        <v>0.0</v>
      </c>
    </row>
    <row r="31345">
      <c r="Y31345" s="372">
        <v>0.0</v>
      </c>
      <c r="Z31345" s="372">
        <v>0.0</v>
      </c>
    </row>
    <row r="31346">
      <c r="Y31346" s="372">
        <v>0.0</v>
      </c>
      <c r="Z31346" s="372">
        <v>0.0</v>
      </c>
    </row>
    <row r="31347">
      <c r="Y31347" s="372">
        <v>0.0</v>
      </c>
      <c r="Z31347" s="372">
        <v>0.0</v>
      </c>
    </row>
    <row r="31348">
      <c r="Y31348" s="372">
        <v>0.0</v>
      </c>
      <c r="Z31348" s="372">
        <v>0.0</v>
      </c>
    </row>
    <row r="31349">
      <c r="Y31349" s="372">
        <v>0.0</v>
      </c>
      <c r="Z31349" s="372">
        <v>0.0</v>
      </c>
    </row>
    <row r="31350">
      <c r="Y31350" s="372">
        <v>0.0</v>
      </c>
      <c r="Z31350" s="372">
        <v>0.0</v>
      </c>
    </row>
    <row r="31351">
      <c r="Y31351" s="372">
        <v>0.0</v>
      </c>
      <c r="Z31351" s="372">
        <v>0.0</v>
      </c>
    </row>
    <row r="31352">
      <c r="Y31352" s="372">
        <v>0.0</v>
      </c>
      <c r="Z31352" s="372">
        <v>0.0</v>
      </c>
    </row>
    <row r="31353">
      <c r="Y31353" s="372">
        <v>0.0</v>
      </c>
      <c r="Z31353" s="372">
        <v>0.0</v>
      </c>
    </row>
    <row r="31354">
      <c r="Y31354" s="372">
        <v>0.0</v>
      </c>
      <c r="Z31354" s="372">
        <v>0.0</v>
      </c>
    </row>
    <row r="31355">
      <c r="Y31355" s="372">
        <v>0.0</v>
      </c>
      <c r="Z31355" s="372">
        <v>0.0</v>
      </c>
    </row>
    <row r="31356">
      <c r="Y31356" s="372">
        <v>0.0</v>
      </c>
      <c r="Z31356" s="372">
        <v>0.0</v>
      </c>
    </row>
    <row r="31357">
      <c r="Y31357" s="372">
        <v>0.0</v>
      </c>
      <c r="Z31357" s="372">
        <v>0.0</v>
      </c>
    </row>
    <row r="31358">
      <c r="Y31358" s="372">
        <v>0.0</v>
      </c>
      <c r="Z31358" s="372">
        <v>0.0</v>
      </c>
    </row>
    <row r="31359">
      <c r="Y31359" s="372">
        <v>0.0</v>
      </c>
      <c r="Z31359" s="372">
        <v>0.0</v>
      </c>
    </row>
    <row r="31360">
      <c r="Y31360" s="372">
        <v>0.0</v>
      </c>
      <c r="Z31360" s="372">
        <v>0.0</v>
      </c>
    </row>
    <row r="31361">
      <c r="Y31361" s="372">
        <v>0.0</v>
      </c>
      <c r="Z31361" s="372">
        <v>0.0</v>
      </c>
    </row>
    <row r="31362">
      <c r="Y31362" s="372">
        <v>0.0</v>
      </c>
      <c r="Z31362" s="372">
        <v>0.0</v>
      </c>
    </row>
    <row r="31363">
      <c r="Y31363" s="372">
        <v>0.0</v>
      </c>
      <c r="Z31363" s="372">
        <v>0.0</v>
      </c>
    </row>
    <row r="31364">
      <c r="Y31364" s="372">
        <v>0.0</v>
      </c>
      <c r="Z31364" s="372">
        <v>0.0</v>
      </c>
    </row>
    <row r="31365">
      <c r="Y31365" s="372">
        <v>0.0</v>
      </c>
      <c r="Z31365" s="372">
        <v>0.0</v>
      </c>
    </row>
    <row r="31366">
      <c r="Y31366" s="372">
        <v>0.0</v>
      </c>
      <c r="Z31366" s="372">
        <v>0.0</v>
      </c>
    </row>
    <row r="31367">
      <c r="Y31367" s="372">
        <v>0.0</v>
      </c>
      <c r="Z31367" s="372">
        <v>0.0</v>
      </c>
    </row>
    <row r="31368">
      <c r="Y31368" s="372">
        <v>0.0</v>
      </c>
      <c r="Z31368" s="372">
        <v>0.0</v>
      </c>
    </row>
    <row r="31369">
      <c r="Y31369" s="372">
        <v>0.0</v>
      </c>
      <c r="Z31369" s="372">
        <v>0.0</v>
      </c>
    </row>
    <row r="31370">
      <c r="Y31370" s="372">
        <v>0.0</v>
      </c>
      <c r="Z31370" s="372">
        <v>0.0</v>
      </c>
    </row>
    <row r="31371">
      <c r="Y31371" s="372">
        <v>0.0</v>
      </c>
      <c r="Z31371" s="372">
        <v>0.0</v>
      </c>
    </row>
    <row r="31372">
      <c r="Y31372" s="372">
        <v>0.0</v>
      </c>
      <c r="Z31372" s="372">
        <v>0.0</v>
      </c>
    </row>
    <row r="31373">
      <c r="Y31373" s="372">
        <v>0.0</v>
      </c>
      <c r="Z31373" s="372">
        <v>0.0</v>
      </c>
    </row>
    <row r="31374">
      <c r="Y31374" s="372">
        <v>0.0</v>
      </c>
      <c r="Z31374" s="372">
        <v>0.0</v>
      </c>
    </row>
    <row r="31375">
      <c r="Y31375" s="372">
        <v>0.0</v>
      </c>
      <c r="Z31375" s="372">
        <v>0.0</v>
      </c>
    </row>
    <row r="31376">
      <c r="Y31376" s="372">
        <v>0.0</v>
      </c>
      <c r="Z31376" s="372">
        <v>0.0</v>
      </c>
    </row>
    <row r="31377">
      <c r="Y31377" s="372">
        <v>0.0</v>
      </c>
      <c r="Z31377" s="372">
        <v>0.0</v>
      </c>
    </row>
    <row r="31378">
      <c r="Y31378" s="372">
        <v>0.0</v>
      </c>
      <c r="Z31378" s="372">
        <v>0.0</v>
      </c>
    </row>
    <row r="31379">
      <c r="Y31379" s="372">
        <v>0.0</v>
      </c>
      <c r="Z31379" s="372">
        <v>0.0</v>
      </c>
    </row>
    <row r="31380">
      <c r="Y31380" s="372">
        <v>0.0</v>
      </c>
      <c r="Z31380" s="372">
        <v>0.0</v>
      </c>
    </row>
    <row r="31381">
      <c r="Y31381" s="372">
        <v>0.0</v>
      </c>
      <c r="Z31381" s="372">
        <v>0.0</v>
      </c>
    </row>
    <row r="31382">
      <c r="Y31382" s="372">
        <v>0.0</v>
      </c>
      <c r="Z31382" s="372">
        <v>0.0</v>
      </c>
    </row>
    <row r="31383">
      <c r="Y31383" s="372">
        <v>0.0</v>
      </c>
      <c r="Z31383" s="372">
        <v>0.0</v>
      </c>
    </row>
    <row r="31384">
      <c r="Y31384" s="372">
        <v>0.0</v>
      </c>
      <c r="Z31384" s="372">
        <v>0.0</v>
      </c>
    </row>
    <row r="31385">
      <c r="Y31385" s="372">
        <v>0.0</v>
      </c>
      <c r="Z31385" s="372">
        <v>0.0</v>
      </c>
    </row>
    <row r="31386">
      <c r="Y31386" s="372">
        <v>0.0</v>
      </c>
      <c r="Z31386" s="372">
        <v>0.0</v>
      </c>
    </row>
    <row r="31387">
      <c r="Y31387" s="372">
        <v>0.0</v>
      </c>
      <c r="Z31387" s="372">
        <v>0.0</v>
      </c>
    </row>
    <row r="31388">
      <c r="Y31388" s="372">
        <v>0.0</v>
      </c>
      <c r="Z31388" s="372">
        <v>0.0</v>
      </c>
    </row>
    <row r="31389">
      <c r="Y31389" s="372">
        <v>0.0</v>
      </c>
      <c r="Z31389" s="372">
        <v>0.0</v>
      </c>
    </row>
    <row r="31390">
      <c r="Y31390" s="372">
        <v>0.0</v>
      </c>
      <c r="Z31390" s="372">
        <v>0.0</v>
      </c>
    </row>
    <row r="31391">
      <c r="Y31391" s="372">
        <v>0.0</v>
      </c>
      <c r="Z31391" s="372">
        <v>0.0</v>
      </c>
    </row>
    <row r="31392">
      <c r="Y31392" s="372">
        <v>0.0</v>
      </c>
      <c r="Z31392" s="372">
        <v>0.0</v>
      </c>
    </row>
    <row r="31393">
      <c r="Y31393" s="372">
        <v>0.0</v>
      </c>
      <c r="Z31393" s="372">
        <v>0.0</v>
      </c>
    </row>
    <row r="31394">
      <c r="Y31394" s="372">
        <v>0.0</v>
      </c>
      <c r="Z31394" s="372">
        <v>0.0</v>
      </c>
    </row>
    <row r="31395">
      <c r="Y31395" s="372">
        <v>0.0</v>
      </c>
      <c r="Z31395" s="372">
        <v>0.0</v>
      </c>
    </row>
    <row r="31396">
      <c r="Y31396" s="372">
        <v>0.0</v>
      </c>
      <c r="Z31396" s="372">
        <v>0.0</v>
      </c>
    </row>
    <row r="31397">
      <c r="Y31397" s="372">
        <v>0.0</v>
      </c>
      <c r="Z31397" s="372">
        <v>0.0</v>
      </c>
    </row>
    <row r="31398">
      <c r="Y31398" s="372">
        <v>0.0</v>
      </c>
      <c r="Z31398" s="372">
        <v>0.0</v>
      </c>
    </row>
    <row r="31399">
      <c r="Y31399" s="372">
        <v>0.0</v>
      </c>
      <c r="Z31399" s="372">
        <v>0.0</v>
      </c>
    </row>
    <row r="31400">
      <c r="Y31400" s="372">
        <v>0.0</v>
      </c>
      <c r="Z31400" s="372">
        <v>0.0</v>
      </c>
    </row>
    <row r="31401">
      <c r="Y31401" s="372">
        <v>0.0</v>
      </c>
      <c r="Z31401" s="372">
        <v>0.0</v>
      </c>
    </row>
    <row r="31402">
      <c r="Y31402" s="372">
        <v>0.0</v>
      </c>
      <c r="Z31402" s="372">
        <v>0.0</v>
      </c>
    </row>
    <row r="31403">
      <c r="Y31403" s="372">
        <v>0.0</v>
      </c>
      <c r="Z31403" s="372">
        <v>0.0</v>
      </c>
    </row>
    <row r="31404">
      <c r="Y31404" s="372">
        <v>0.0</v>
      </c>
      <c r="Z31404" s="372">
        <v>0.0</v>
      </c>
    </row>
    <row r="31405">
      <c r="Y31405" s="372">
        <v>0.0</v>
      </c>
      <c r="Z31405" s="372">
        <v>0.0</v>
      </c>
    </row>
    <row r="31406">
      <c r="Y31406" s="372">
        <v>0.0</v>
      </c>
      <c r="Z31406" s="372">
        <v>0.0</v>
      </c>
    </row>
    <row r="31407">
      <c r="Y31407" s="372">
        <v>0.0</v>
      </c>
      <c r="Z31407" s="372">
        <v>0.0</v>
      </c>
    </row>
    <row r="31408">
      <c r="Y31408" s="372">
        <v>0.0</v>
      </c>
      <c r="Z31408" s="372">
        <v>0.0</v>
      </c>
    </row>
    <row r="31409">
      <c r="Y31409" s="372">
        <v>0.0</v>
      </c>
      <c r="Z31409" s="372">
        <v>0.0</v>
      </c>
    </row>
    <row r="31410">
      <c r="Y31410" s="372">
        <v>0.0</v>
      </c>
      <c r="Z31410" s="372">
        <v>0.0</v>
      </c>
    </row>
    <row r="31411">
      <c r="Y31411" s="372">
        <v>0.0</v>
      </c>
      <c r="Z31411" s="372">
        <v>0.0</v>
      </c>
    </row>
    <row r="31412">
      <c r="Y31412" s="372">
        <v>0.0</v>
      </c>
      <c r="Z31412" s="372">
        <v>0.0</v>
      </c>
    </row>
    <row r="31413">
      <c r="Y31413" s="372">
        <v>0.0</v>
      </c>
      <c r="Z31413" s="372">
        <v>0.0</v>
      </c>
    </row>
    <row r="31414">
      <c r="Y31414" s="372">
        <v>0.0</v>
      </c>
      <c r="Z31414" s="372">
        <v>0.0</v>
      </c>
    </row>
    <row r="31415">
      <c r="Y31415" s="372">
        <v>0.0</v>
      </c>
      <c r="Z31415" s="372">
        <v>0.0</v>
      </c>
    </row>
    <row r="31416">
      <c r="Y31416" s="372">
        <v>0.0</v>
      </c>
      <c r="Z31416" s="372">
        <v>0.0</v>
      </c>
    </row>
    <row r="31417">
      <c r="Y31417" s="372">
        <v>0.0</v>
      </c>
      <c r="Z31417" s="372">
        <v>0.0</v>
      </c>
    </row>
    <row r="31418">
      <c r="Y31418" s="372">
        <v>0.0</v>
      </c>
      <c r="Z31418" s="372">
        <v>0.0</v>
      </c>
    </row>
    <row r="31419">
      <c r="Y31419" s="372">
        <v>0.0</v>
      </c>
      <c r="Z31419" s="372">
        <v>0.0</v>
      </c>
    </row>
    <row r="31420">
      <c r="Y31420" s="372">
        <v>0.0</v>
      </c>
      <c r="Z31420" s="372">
        <v>0.0</v>
      </c>
    </row>
    <row r="31421">
      <c r="Y31421" s="372">
        <v>0.0</v>
      </c>
      <c r="Z31421" s="372">
        <v>0.0</v>
      </c>
    </row>
    <row r="31422">
      <c r="Y31422" s="372">
        <v>0.0</v>
      </c>
      <c r="Z31422" s="372">
        <v>0.0</v>
      </c>
    </row>
    <row r="31423">
      <c r="Y31423" s="372">
        <v>0.0</v>
      </c>
      <c r="Z31423" s="372">
        <v>0.0</v>
      </c>
    </row>
    <row r="31424">
      <c r="Y31424" s="372">
        <v>0.0</v>
      </c>
      <c r="Z31424" s="372">
        <v>0.0</v>
      </c>
    </row>
    <row r="31425">
      <c r="Y31425" s="372">
        <v>0.0</v>
      </c>
      <c r="Z31425" s="372">
        <v>0.0</v>
      </c>
    </row>
    <row r="31426">
      <c r="Y31426" s="372">
        <v>0.0</v>
      </c>
      <c r="Z31426" s="372">
        <v>0.0</v>
      </c>
    </row>
    <row r="31427">
      <c r="Y31427" s="372">
        <v>0.0</v>
      </c>
      <c r="Z31427" s="372">
        <v>0.0</v>
      </c>
    </row>
    <row r="31428">
      <c r="Y31428" s="372">
        <v>0.0</v>
      </c>
      <c r="Z31428" s="372">
        <v>0.0</v>
      </c>
    </row>
    <row r="31429">
      <c r="Y31429" s="372">
        <v>0.0</v>
      </c>
      <c r="Z31429" s="372">
        <v>0.0</v>
      </c>
    </row>
    <row r="31430">
      <c r="Y31430" s="372">
        <v>0.0</v>
      </c>
      <c r="Z31430" s="372">
        <v>0.0</v>
      </c>
    </row>
    <row r="31431">
      <c r="Y31431" s="372">
        <v>0.0</v>
      </c>
      <c r="Z31431" s="372">
        <v>0.0</v>
      </c>
    </row>
    <row r="31432">
      <c r="Y31432" s="372">
        <v>0.0</v>
      </c>
      <c r="Z31432" s="372">
        <v>0.0</v>
      </c>
    </row>
    <row r="31433">
      <c r="Y31433" s="372">
        <v>0.0</v>
      </c>
      <c r="Z31433" s="372">
        <v>0.0</v>
      </c>
    </row>
    <row r="31434">
      <c r="Y31434" s="372">
        <v>0.0</v>
      </c>
      <c r="Z31434" s="372">
        <v>0.0</v>
      </c>
    </row>
    <row r="31435">
      <c r="Y31435" s="372">
        <v>0.0</v>
      </c>
      <c r="Z31435" s="372">
        <v>0.0</v>
      </c>
    </row>
    <row r="31436">
      <c r="Y31436" s="372">
        <v>0.0</v>
      </c>
      <c r="Z31436" s="372">
        <v>0.0</v>
      </c>
    </row>
    <row r="31437">
      <c r="Y31437" s="372">
        <v>0.0</v>
      </c>
      <c r="Z31437" s="372">
        <v>0.0</v>
      </c>
    </row>
    <row r="31438">
      <c r="Y31438" s="372">
        <v>0.0</v>
      </c>
      <c r="Z31438" s="372">
        <v>0.0</v>
      </c>
    </row>
    <row r="31439">
      <c r="Y31439" s="372">
        <v>0.0</v>
      </c>
      <c r="Z31439" s="372">
        <v>0.0</v>
      </c>
    </row>
    <row r="31440">
      <c r="Y31440" s="372">
        <v>0.0</v>
      </c>
      <c r="Z31440" s="372">
        <v>0.0</v>
      </c>
    </row>
    <row r="31441">
      <c r="Y31441" s="372">
        <v>0.0</v>
      </c>
      <c r="Z31441" s="372">
        <v>0.0</v>
      </c>
    </row>
    <row r="31442">
      <c r="Y31442" s="372">
        <v>0.0</v>
      </c>
      <c r="Z31442" s="372">
        <v>0.0</v>
      </c>
    </row>
    <row r="31443">
      <c r="Y31443" s="372">
        <v>0.0</v>
      </c>
      <c r="Z31443" s="372">
        <v>0.0</v>
      </c>
    </row>
    <row r="31444">
      <c r="Y31444" s="372">
        <v>0.0</v>
      </c>
      <c r="Z31444" s="372">
        <v>0.0</v>
      </c>
    </row>
    <row r="31445">
      <c r="Y31445" s="372">
        <v>0.0</v>
      </c>
      <c r="Z31445" s="372">
        <v>0.0</v>
      </c>
    </row>
    <row r="31446">
      <c r="Y31446" s="372">
        <v>0.0</v>
      </c>
      <c r="Z31446" s="372">
        <v>0.0</v>
      </c>
    </row>
    <row r="31447">
      <c r="Y31447" s="372">
        <v>0.0</v>
      </c>
      <c r="Z31447" s="372">
        <v>0.0</v>
      </c>
    </row>
    <row r="31448">
      <c r="Y31448" s="372">
        <v>0.0</v>
      </c>
      <c r="Z31448" s="372">
        <v>0.0</v>
      </c>
    </row>
    <row r="31449">
      <c r="Y31449" s="372">
        <v>0.0</v>
      </c>
      <c r="Z31449" s="372">
        <v>0.0</v>
      </c>
    </row>
    <row r="31450">
      <c r="Y31450" s="372">
        <v>0.0</v>
      </c>
      <c r="Z31450" s="372">
        <v>0.0</v>
      </c>
    </row>
    <row r="31451">
      <c r="Y31451" s="372">
        <v>0.0</v>
      </c>
      <c r="Z31451" s="372">
        <v>0.0</v>
      </c>
    </row>
    <row r="31452">
      <c r="Y31452" s="372">
        <v>0.0</v>
      </c>
      <c r="Z31452" s="372">
        <v>0.0</v>
      </c>
    </row>
    <row r="31453">
      <c r="Y31453" s="372">
        <v>0.0</v>
      </c>
      <c r="Z31453" s="372">
        <v>0.0</v>
      </c>
    </row>
    <row r="31454">
      <c r="Y31454" s="372">
        <v>0.0</v>
      </c>
      <c r="Z31454" s="372">
        <v>0.0</v>
      </c>
    </row>
    <row r="31455">
      <c r="Y31455" s="372">
        <v>0.0</v>
      </c>
      <c r="Z31455" s="372">
        <v>0.0</v>
      </c>
    </row>
    <row r="31456">
      <c r="Y31456" s="372">
        <v>0.0</v>
      </c>
      <c r="Z31456" s="372">
        <v>0.0</v>
      </c>
    </row>
    <row r="31457">
      <c r="Y31457" s="372">
        <v>0.0</v>
      </c>
      <c r="Z31457" s="372">
        <v>0.0</v>
      </c>
    </row>
    <row r="31458">
      <c r="Y31458" s="372">
        <v>0.0</v>
      </c>
      <c r="Z31458" s="372">
        <v>0.0</v>
      </c>
    </row>
    <row r="31459">
      <c r="Y31459" s="372">
        <v>0.0</v>
      </c>
      <c r="Z31459" s="372">
        <v>0.0</v>
      </c>
    </row>
    <row r="31460">
      <c r="Y31460" s="372">
        <v>0.0</v>
      </c>
      <c r="Z31460" s="372">
        <v>0.0</v>
      </c>
    </row>
    <row r="31461">
      <c r="Y31461" s="372">
        <v>0.0</v>
      </c>
      <c r="Z31461" s="372">
        <v>0.0</v>
      </c>
    </row>
    <row r="31462">
      <c r="Y31462" s="372">
        <v>0.0</v>
      </c>
      <c r="Z31462" s="372">
        <v>0.0</v>
      </c>
    </row>
    <row r="31463">
      <c r="Y31463" s="372">
        <v>0.0</v>
      </c>
      <c r="Z31463" s="372">
        <v>0.0</v>
      </c>
    </row>
    <row r="31464">
      <c r="Y31464" s="372">
        <v>0.0</v>
      </c>
      <c r="Z31464" s="372">
        <v>0.0</v>
      </c>
    </row>
    <row r="31465">
      <c r="Y31465" s="372">
        <v>0.0</v>
      </c>
      <c r="Z31465" s="372">
        <v>0.0</v>
      </c>
    </row>
    <row r="31466">
      <c r="Y31466" s="372">
        <v>0.0</v>
      </c>
      <c r="Z31466" s="372">
        <v>0.0</v>
      </c>
    </row>
    <row r="31467">
      <c r="Y31467" s="372">
        <v>0.0</v>
      </c>
      <c r="Z31467" s="372">
        <v>0.0</v>
      </c>
    </row>
    <row r="31468">
      <c r="Y31468" s="372">
        <v>0.0</v>
      </c>
      <c r="Z31468" s="372">
        <v>0.0</v>
      </c>
    </row>
    <row r="31469">
      <c r="Y31469" s="372">
        <v>0.0</v>
      </c>
      <c r="Z31469" s="372">
        <v>0.0</v>
      </c>
    </row>
    <row r="31470">
      <c r="Y31470" s="372">
        <v>0.0</v>
      </c>
      <c r="Z31470" s="372">
        <v>0.0</v>
      </c>
    </row>
    <row r="31471">
      <c r="Y31471" s="372">
        <v>0.0</v>
      </c>
      <c r="Z31471" s="372">
        <v>0.0</v>
      </c>
    </row>
    <row r="31472">
      <c r="Y31472" s="372">
        <v>0.0</v>
      </c>
      <c r="Z31472" s="372">
        <v>0.0</v>
      </c>
    </row>
    <row r="31473">
      <c r="Y31473" s="372">
        <v>0.0</v>
      </c>
      <c r="Z31473" s="372">
        <v>0.0</v>
      </c>
    </row>
    <row r="31474">
      <c r="Y31474" s="372">
        <v>0.0</v>
      </c>
      <c r="Z31474" s="372">
        <v>0.0</v>
      </c>
    </row>
    <row r="31475">
      <c r="Y31475" s="372">
        <v>0.0</v>
      </c>
      <c r="Z31475" s="372">
        <v>0.0</v>
      </c>
    </row>
    <row r="31476">
      <c r="Y31476" s="372">
        <v>0.0</v>
      </c>
      <c r="Z31476" s="372">
        <v>0.0</v>
      </c>
    </row>
    <row r="31477">
      <c r="Y31477" s="372">
        <v>0.0</v>
      </c>
      <c r="Z31477" s="372">
        <v>0.0</v>
      </c>
    </row>
    <row r="31478">
      <c r="Y31478" s="372">
        <v>0.0</v>
      </c>
      <c r="Z31478" s="372">
        <v>0.0</v>
      </c>
    </row>
    <row r="31479">
      <c r="Y31479" s="372">
        <v>0.0</v>
      </c>
      <c r="Z31479" s="372">
        <v>0.0</v>
      </c>
    </row>
    <row r="31480">
      <c r="Y31480" s="372">
        <v>0.0</v>
      </c>
      <c r="Z31480" s="372">
        <v>0.0</v>
      </c>
    </row>
    <row r="31481">
      <c r="Y31481" s="372">
        <v>0.0</v>
      </c>
      <c r="Z31481" s="372">
        <v>0.0</v>
      </c>
    </row>
    <row r="31482">
      <c r="Y31482" s="372">
        <v>0.0</v>
      </c>
      <c r="Z31482" s="372">
        <v>0.0</v>
      </c>
    </row>
    <row r="31483">
      <c r="Y31483" s="372">
        <v>0.0</v>
      </c>
      <c r="Z31483" s="372">
        <v>0.0</v>
      </c>
    </row>
    <row r="31484">
      <c r="Y31484" s="372">
        <v>0.0</v>
      </c>
      <c r="Z31484" s="372">
        <v>0.0</v>
      </c>
    </row>
    <row r="31485">
      <c r="Y31485" s="372">
        <v>0.0</v>
      </c>
      <c r="Z31485" s="372">
        <v>0.0</v>
      </c>
    </row>
    <row r="31486">
      <c r="Y31486" s="372">
        <v>0.0</v>
      </c>
      <c r="Z31486" s="372">
        <v>0.0</v>
      </c>
    </row>
    <row r="31487">
      <c r="Y31487" s="372">
        <v>0.0</v>
      </c>
      <c r="Z31487" s="372">
        <v>0.0</v>
      </c>
    </row>
    <row r="31488">
      <c r="Y31488" s="372">
        <v>0.0</v>
      </c>
      <c r="Z31488" s="372">
        <v>0.0</v>
      </c>
    </row>
    <row r="31489">
      <c r="Y31489" s="372">
        <v>0.0</v>
      </c>
      <c r="Z31489" s="372">
        <v>0.0</v>
      </c>
    </row>
    <row r="31490">
      <c r="Y31490" s="372">
        <v>0.0</v>
      </c>
      <c r="Z31490" s="372">
        <v>0.0</v>
      </c>
    </row>
    <row r="31491">
      <c r="Y31491" s="372">
        <v>0.0</v>
      </c>
      <c r="Z31491" s="372">
        <v>0.0</v>
      </c>
    </row>
    <row r="31492">
      <c r="Y31492" s="372">
        <v>0.0</v>
      </c>
      <c r="Z31492" s="372">
        <v>0.0</v>
      </c>
    </row>
    <row r="31493">
      <c r="Y31493" s="372">
        <v>0.0</v>
      </c>
      <c r="Z31493" s="372">
        <v>0.0</v>
      </c>
    </row>
    <row r="31494">
      <c r="Y31494" s="372">
        <v>0.0</v>
      </c>
      <c r="Z31494" s="372">
        <v>0.0</v>
      </c>
    </row>
    <row r="31495">
      <c r="Y31495" s="372">
        <v>0.0</v>
      </c>
      <c r="Z31495" s="372">
        <v>0.0</v>
      </c>
    </row>
    <row r="31496">
      <c r="Y31496" s="372">
        <v>0.0</v>
      </c>
      <c r="Z31496" s="372">
        <v>0.0</v>
      </c>
    </row>
    <row r="31497">
      <c r="Y31497" s="372">
        <v>0.0</v>
      </c>
      <c r="Z31497" s="372">
        <v>0.0</v>
      </c>
    </row>
    <row r="31498">
      <c r="Y31498" s="372">
        <v>0.0</v>
      </c>
      <c r="Z31498" s="372">
        <v>0.0</v>
      </c>
    </row>
    <row r="31499">
      <c r="Y31499" s="372">
        <v>0.0</v>
      </c>
      <c r="Z31499" s="372">
        <v>0.0</v>
      </c>
    </row>
    <row r="31500">
      <c r="Y31500" s="372">
        <v>0.0</v>
      </c>
      <c r="Z31500" s="372">
        <v>0.0</v>
      </c>
    </row>
    <row r="31501">
      <c r="Y31501" s="372">
        <v>0.0</v>
      </c>
      <c r="Z31501" s="372">
        <v>0.0</v>
      </c>
    </row>
    <row r="31502">
      <c r="Y31502" s="372">
        <v>0.0</v>
      </c>
      <c r="Z31502" s="372">
        <v>0.0</v>
      </c>
    </row>
    <row r="31503">
      <c r="Y31503" s="372">
        <v>0.0</v>
      </c>
      <c r="Z31503" s="372">
        <v>0.0</v>
      </c>
    </row>
    <row r="31504">
      <c r="Y31504" s="372">
        <v>0.0</v>
      </c>
      <c r="Z31504" s="372">
        <v>0.0</v>
      </c>
    </row>
    <row r="31505">
      <c r="Y31505" s="372">
        <v>0.0</v>
      </c>
      <c r="Z31505" s="372">
        <v>0.0</v>
      </c>
    </row>
    <row r="31506">
      <c r="Y31506" s="372">
        <v>0.0</v>
      </c>
      <c r="Z31506" s="372">
        <v>0.0</v>
      </c>
    </row>
    <row r="31507">
      <c r="Y31507" s="372">
        <v>0.0</v>
      </c>
      <c r="Z31507" s="372">
        <v>0.0</v>
      </c>
    </row>
    <row r="31508">
      <c r="Y31508" s="372">
        <v>0.0</v>
      </c>
      <c r="Z31508" s="372">
        <v>0.0</v>
      </c>
    </row>
    <row r="31509">
      <c r="Y31509" s="372">
        <v>0.0</v>
      </c>
      <c r="Z31509" s="372">
        <v>0.0</v>
      </c>
    </row>
    <row r="31510">
      <c r="Y31510" s="372">
        <v>0.0</v>
      </c>
      <c r="Z31510" s="372">
        <v>0.0</v>
      </c>
    </row>
    <row r="31511">
      <c r="Y31511" s="372">
        <v>0.0</v>
      </c>
      <c r="Z31511" s="372">
        <v>0.0</v>
      </c>
    </row>
    <row r="31512">
      <c r="Y31512" s="372">
        <v>0.0</v>
      </c>
      <c r="Z31512" s="372">
        <v>0.0</v>
      </c>
    </row>
    <row r="31513">
      <c r="Y31513" s="372">
        <v>0.0</v>
      </c>
      <c r="Z31513" s="372">
        <v>0.0</v>
      </c>
    </row>
    <row r="31514">
      <c r="Y31514" s="372">
        <v>0.0</v>
      </c>
      <c r="Z31514" s="372">
        <v>0.0</v>
      </c>
    </row>
    <row r="31515">
      <c r="Y31515" s="372">
        <v>0.0</v>
      </c>
      <c r="Z31515" s="372">
        <v>0.0</v>
      </c>
    </row>
    <row r="31516">
      <c r="Y31516" s="372">
        <v>0.0</v>
      </c>
      <c r="Z31516" s="372">
        <v>0.0</v>
      </c>
    </row>
    <row r="31517">
      <c r="Y31517" s="372">
        <v>0.0</v>
      </c>
      <c r="Z31517" s="372">
        <v>0.0</v>
      </c>
    </row>
    <row r="31518">
      <c r="Y31518" s="372">
        <v>0.0</v>
      </c>
      <c r="Z31518" s="372">
        <v>0.0</v>
      </c>
    </row>
    <row r="31519">
      <c r="Y31519" s="372">
        <v>0.0</v>
      </c>
      <c r="Z31519" s="372">
        <v>0.0</v>
      </c>
    </row>
    <row r="31520">
      <c r="Y31520" s="372">
        <v>0.0</v>
      </c>
      <c r="Z31520" s="372">
        <v>0.0</v>
      </c>
    </row>
    <row r="31521">
      <c r="Y31521" s="372">
        <v>0.0</v>
      </c>
      <c r="Z31521" s="372">
        <v>0.0</v>
      </c>
    </row>
    <row r="31522">
      <c r="Y31522" s="372">
        <v>0.0</v>
      </c>
      <c r="Z31522" s="372">
        <v>0.0</v>
      </c>
    </row>
    <row r="31523">
      <c r="Y31523" s="372">
        <v>0.0</v>
      </c>
      <c r="Z31523" s="372">
        <v>0.0</v>
      </c>
    </row>
    <row r="31524">
      <c r="Y31524" s="372">
        <v>0.0</v>
      </c>
      <c r="Z31524" s="372">
        <v>0.0</v>
      </c>
    </row>
    <row r="31525">
      <c r="Y31525" s="372">
        <v>0.0</v>
      </c>
      <c r="Z31525" s="372">
        <v>0.0</v>
      </c>
    </row>
    <row r="31526">
      <c r="Y31526" s="372">
        <v>0.0</v>
      </c>
      <c r="Z31526" s="372">
        <v>0.0</v>
      </c>
    </row>
    <row r="31527">
      <c r="Y31527" s="372">
        <v>0.0</v>
      </c>
      <c r="Z31527" s="372">
        <v>0.0</v>
      </c>
    </row>
    <row r="31528">
      <c r="Y31528" s="372">
        <v>0.0</v>
      </c>
      <c r="Z31528" s="372">
        <v>0.0</v>
      </c>
    </row>
    <row r="31529">
      <c r="Y31529" s="372">
        <v>0.0</v>
      </c>
      <c r="Z31529" s="372">
        <v>0.0</v>
      </c>
    </row>
    <row r="31530">
      <c r="Y31530" s="372">
        <v>0.0</v>
      </c>
      <c r="Z31530" s="372">
        <v>0.0</v>
      </c>
    </row>
    <row r="31531">
      <c r="Y31531" s="372">
        <v>0.0</v>
      </c>
      <c r="Z31531" s="372">
        <v>0.0</v>
      </c>
    </row>
    <row r="31532">
      <c r="Y31532" s="372">
        <v>0.0</v>
      </c>
      <c r="Z31532" s="372">
        <v>0.0</v>
      </c>
    </row>
    <row r="31533">
      <c r="Y31533" s="372">
        <v>0.0</v>
      </c>
      <c r="Z31533" s="372">
        <v>0.0</v>
      </c>
    </row>
    <row r="31534">
      <c r="Y31534" s="372">
        <v>0.0</v>
      </c>
      <c r="Z31534" s="372">
        <v>0.0</v>
      </c>
    </row>
    <row r="31535">
      <c r="Y31535" s="372">
        <v>0.0</v>
      </c>
      <c r="Z31535" s="372">
        <v>0.0</v>
      </c>
    </row>
    <row r="31536">
      <c r="Y31536" s="372">
        <v>0.0</v>
      </c>
      <c r="Z31536" s="372">
        <v>0.0</v>
      </c>
    </row>
    <row r="31537">
      <c r="Y31537" s="372">
        <v>0.0</v>
      </c>
      <c r="Z31537" s="372">
        <v>0.0</v>
      </c>
    </row>
    <row r="31538">
      <c r="Y31538" s="372">
        <v>0.0</v>
      </c>
      <c r="Z31538" s="372">
        <v>0.0</v>
      </c>
    </row>
    <row r="31539">
      <c r="Y31539" s="372">
        <v>0.0</v>
      </c>
      <c r="Z31539" s="372">
        <v>0.0</v>
      </c>
    </row>
    <row r="31540">
      <c r="Y31540" s="372">
        <v>0.0</v>
      </c>
      <c r="Z31540" s="372">
        <v>0.0</v>
      </c>
    </row>
    <row r="31541">
      <c r="Y31541" s="372">
        <v>0.0</v>
      </c>
      <c r="Z31541" s="372">
        <v>0.0</v>
      </c>
    </row>
    <row r="31542">
      <c r="Y31542" s="372">
        <v>0.0</v>
      </c>
      <c r="Z31542" s="372">
        <v>0.0</v>
      </c>
    </row>
    <row r="31543">
      <c r="Y31543" s="372">
        <v>0.0</v>
      </c>
      <c r="Z31543" s="372">
        <v>0.0</v>
      </c>
    </row>
    <row r="31544">
      <c r="Y31544" s="372">
        <v>0.0</v>
      </c>
      <c r="Z31544" s="372">
        <v>0.0</v>
      </c>
    </row>
    <row r="31545">
      <c r="Y31545" s="372">
        <v>0.0</v>
      </c>
      <c r="Z31545" s="372">
        <v>0.0</v>
      </c>
    </row>
    <row r="31546">
      <c r="Y31546" s="372">
        <v>0.0</v>
      </c>
      <c r="Z31546" s="372">
        <v>0.0</v>
      </c>
    </row>
    <row r="31547">
      <c r="Y31547" s="372">
        <v>0.0</v>
      </c>
      <c r="Z31547" s="372">
        <v>0.0</v>
      </c>
    </row>
    <row r="31548">
      <c r="Y31548" s="372">
        <v>0.0</v>
      </c>
      <c r="Z31548" s="372">
        <v>0.0</v>
      </c>
    </row>
    <row r="31549">
      <c r="Y31549" s="372">
        <v>0.0</v>
      </c>
      <c r="Z31549" s="372">
        <v>0.0</v>
      </c>
    </row>
    <row r="31550">
      <c r="Y31550" s="372">
        <v>0.0</v>
      </c>
      <c r="Z31550" s="372">
        <v>0.0</v>
      </c>
    </row>
    <row r="31551">
      <c r="Y31551" s="372">
        <v>0.0</v>
      </c>
      <c r="Z31551" s="372">
        <v>0.0</v>
      </c>
    </row>
    <row r="31552">
      <c r="Y31552" s="372">
        <v>0.0</v>
      </c>
      <c r="Z31552" s="372">
        <v>0.0</v>
      </c>
    </row>
    <row r="31553">
      <c r="Y31553" s="372">
        <v>0.0</v>
      </c>
      <c r="Z31553" s="372">
        <v>0.0</v>
      </c>
    </row>
    <row r="31554">
      <c r="Y31554" s="372">
        <v>0.0</v>
      </c>
      <c r="Z31554" s="372">
        <v>0.0</v>
      </c>
    </row>
    <row r="31555">
      <c r="Y31555" s="372">
        <v>0.0</v>
      </c>
      <c r="Z31555" s="372">
        <v>0.0</v>
      </c>
    </row>
    <row r="31556">
      <c r="Y31556" s="372">
        <v>0.0</v>
      </c>
      <c r="Z31556" s="372">
        <v>0.0</v>
      </c>
    </row>
    <row r="31557">
      <c r="Y31557" s="372">
        <v>0.0</v>
      </c>
      <c r="Z31557" s="372">
        <v>0.0</v>
      </c>
    </row>
    <row r="31558">
      <c r="Y31558" s="372">
        <v>0.0</v>
      </c>
      <c r="Z31558" s="372">
        <v>0.0</v>
      </c>
    </row>
    <row r="31559">
      <c r="Y31559" s="372">
        <v>0.0</v>
      </c>
      <c r="Z31559" s="372">
        <v>0.0</v>
      </c>
    </row>
    <row r="31560">
      <c r="Y31560" s="372">
        <v>0.0</v>
      </c>
      <c r="Z31560" s="372">
        <v>0.0</v>
      </c>
    </row>
    <row r="31561">
      <c r="Y31561" s="372">
        <v>0.0</v>
      </c>
      <c r="Z31561" s="372">
        <v>0.0</v>
      </c>
    </row>
    <row r="31562">
      <c r="Y31562" s="372">
        <v>0.0</v>
      </c>
      <c r="Z31562" s="372">
        <v>0.0</v>
      </c>
    </row>
    <row r="31563">
      <c r="Y31563" s="372">
        <v>0.0</v>
      </c>
      <c r="Z31563" s="372">
        <v>0.0</v>
      </c>
    </row>
    <row r="31564">
      <c r="Y31564" s="372">
        <v>0.0</v>
      </c>
      <c r="Z31564" s="372">
        <v>0.0</v>
      </c>
    </row>
    <row r="31565">
      <c r="Y31565" s="372">
        <v>0.0</v>
      </c>
      <c r="Z31565" s="372">
        <v>0.0</v>
      </c>
    </row>
    <row r="31566">
      <c r="Y31566" s="372">
        <v>0.0</v>
      </c>
      <c r="Z31566" s="372">
        <v>0.0</v>
      </c>
    </row>
    <row r="31567">
      <c r="Y31567" s="372">
        <v>0.0</v>
      </c>
      <c r="Z31567" s="372">
        <v>0.0</v>
      </c>
    </row>
    <row r="31568">
      <c r="Y31568" s="372">
        <v>0.0</v>
      </c>
      <c r="Z31568" s="372">
        <v>0.0</v>
      </c>
    </row>
    <row r="31569">
      <c r="Y31569" s="372">
        <v>0.0</v>
      </c>
      <c r="Z31569" s="372">
        <v>0.0</v>
      </c>
    </row>
    <row r="31570">
      <c r="Y31570" s="372">
        <v>0.0</v>
      </c>
      <c r="Z31570" s="372">
        <v>0.0</v>
      </c>
    </row>
    <row r="31571">
      <c r="Y31571" s="372">
        <v>0.0</v>
      </c>
      <c r="Z31571" s="372">
        <v>0.0</v>
      </c>
    </row>
    <row r="31572">
      <c r="Y31572" s="372">
        <v>0.0</v>
      </c>
      <c r="Z31572" s="372">
        <v>0.0</v>
      </c>
    </row>
    <row r="31573">
      <c r="Y31573" s="372">
        <v>0.0</v>
      </c>
      <c r="Z31573" s="372">
        <v>0.0</v>
      </c>
    </row>
    <row r="31574">
      <c r="Y31574" s="372">
        <v>0.0</v>
      </c>
      <c r="Z31574" s="372">
        <v>0.0</v>
      </c>
    </row>
    <row r="31575">
      <c r="Y31575" s="372">
        <v>0.0</v>
      </c>
      <c r="Z31575" s="372">
        <v>0.0</v>
      </c>
    </row>
    <row r="31576">
      <c r="Y31576" s="372">
        <v>0.0</v>
      </c>
      <c r="Z31576" s="372">
        <v>0.0</v>
      </c>
    </row>
    <row r="31577">
      <c r="Y31577" s="372">
        <v>0.0</v>
      </c>
      <c r="Z31577" s="372">
        <v>0.0</v>
      </c>
    </row>
    <row r="31578">
      <c r="Y31578" s="372">
        <v>0.0</v>
      </c>
      <c r="Z31578" s="372">
        <v>0.0</v>
      </c>
    </row>
    <row r="31579">
      <c r="Y31579" s="372">
        <v>0.0</v>
      </c>
      <c r="Z31579" s="372">
        <v>0.0</v>
      </c>
    </row>
    <row r="31580">
      <c r="Y31580" s="372">
        <v>0.0</v>
      </c>
      <c r="Z31580" s="372">
        <v>0.0</v>
      </c>
    </row>
    <row r="31581">
      <c r="Y31581" s="372">
        <v>0.0</v>
      </c>
      <c r="Z31581" s="372">
        <v>0.0</v>
      </c>
    </row>
    <row r="31582">
      <c r="Y31582" s="372">
        <v>0.0</v>
      </c>
      <c r="Z31582" s="372">
        <v>0.0</v>
      </c>
    </row>
    <row r="31583">
      <c r="Y31583" s="372">
        <v>0.0</v>
      </c>
      <c r="Z31583" s="372">
        <v>0.0</v>
      </c>
    </row>
    <row r="31584">
      <c r="Y31584" s="372">
        <v>0.0</v>
      </c>
      <c r="Z31584" s="372">
        <v>0.0</v>
      </c>
    </row>
    <row r="31585">
      <c r="Y31585" s="372">
        <v>0.0</v>
      </c>
      <c r="Z31585" s="372">
        <v>0.0</v>
      </c>
    </row>
    <row r="31586">
      <c r="Y31586" s="372">
        <v>0.0</v>
      </c>
      <c r="Z31586" s="372">
        <v>0.0</v>
      </c>
    </row>
    <row r="31587">
      <c r="Y31587" s="372">
        <v>0.0</v>
      </c>
      <c r="Z31587" s="372">
        <v>0.0</v>
      </c>
    </row>
    <row r="31588">
      <c r="Y31588" s="372">
        <v>0.0</v>
      </c>
      <c r="Z31588" s="372">
        <v>0.0</v>
      </c>
    </row>
    <row r="31589">
      <c r="Y31589" s="372">
        <v>0.0</v>
      </c>
      <c r="Z31589" s="372">
        <v>0.0</v>
      </c>
    </row>
    <row r="31590">
      <c r="Y31590" s="372">
        <v>0.0</v>
      </c>
      <c r="Z31590" s="372">
        <v>0.0</v>
      </c>
    </row>
    <row r="31591">
      <c r="Y31591" s="372">
        <v>0.0</v>
      </c>
      <c r="Z31591" s="372">
        <v>0.0</v>
      </c>
    </row>
    <row r="31592">
      <c r="Y31592" s="372">
        <v>0.0</v>
      </c>
      <c r="Z31592" s="372">
        <v>0.0</v>
      </c>
    </row>
    <row r="31593">
      <c r="Y31593" s="372">
        <v>0.0</v>
      </c>
      <c r="Z31593" s="372">
        <v>0.0</v>
      </c>
    </row>
    <row r="31594">
      <c r="Y31594" s="372">
        <v>0.0</v>
      </c>
      <c r="Z31594" s="372">
        <v>0.0</v>
      </c>
    </row>
    <row r="31595">
      <c r="Y31595" s="372">
        <v>0.0</v>
      </c>
      <c r="Z31595" s="372">
        <v>0.0</v>
      </c>
    </row>
    <row r="31596">
      <c r="Y31596" s="372">
        <v>0.0</v>
      </c>
      <c r="Z31596" s="372">
        <v>0.0</v>
      </c>
    </row>
    <row r="31597">
      <c r="Y31597" s="372">
        <v>0.0</v>
      </c>
      <c r="Z31597" s="372">
        <v>0.0</v>
      </c>
    </row>
    <row r="31598">
      <c r="Y31598" s="372">
        <v>0.0</v>
      </c>
      <c r="Z31598" s="372">
        <v>0.0</v>
      </c>
    </row>
    <row r="31599">
      <c r="Y31599" s="372">
        <v>0.0</v>
      </c>
      <c r="Z31599" s="372">
        <v>0.0</v>
      </c>
    </row>
    <row r="31600">
      <c r="Y31600" s="372">
        <v>0.0</v>
      </c>
      <c r="Z31600" s="372">
        <v>0.0</v>
      </c>
    </row>
    <row r="31601">
      <c r="Y31601" s="372">
        <v>0.0</v>
      </c>
      <c r="Z31601" s="372">
        <v>0.0</v>
      </c>
    </row>
    <row r="31602">
      <c r="Y31602" s="372">
        <v>0.0</v>
      </c>
      <c r="Z31602" s="372">
        <v>0.0</v>
      </c>
    </row>
    <row r="31603">
      <c r="Y31603" s="372">
        <v>0.0</v>
      </c>
      <c r="Z31603" s="372">
        <v>0.0</v>
      </c>
    </row>
    <row r="31604">
      <c r="Y31604" s="372">
        <v>0.0</v>
      </c>
      <c r="Z31604" s="372">
        <v>0.0</v>
      </c>
    </row>
    <row r="31605">
      <c r="Y31605" s="372">
        <v>0.0</v>
      </c>
      <c r="Z31605" s="372">
        <v>0.0</v>
      </c>
    </row>
    <row r="31606">
      <c r="Y31606" s="372">
        <v>0.0</v>
      </c>
      <c r="Z31606" s="372">
        <v>0.0</v>
      </c>
    </row>
    <row r="31607">
      <c r="Y31607" s="372">
        <v>0.0</v>
      </c>
      <c r="Z31607" s="372">
        <v>0.0</v>
      </c>
    </row>
    <row r="31608">
      <c r="Y31608" s="372">
        <v>0.0</v>
      </c>
      <c r="Z31608" s="372">
        <v>0.0</v>
      </c>
    </row>
    <row r="31609">
      <c r="Y31609" s="372">
        <v>0.0</v>
      </c>
      <c r="Z31609" s="372">
        <v>0.0</v>
      </c>
    </row>
    <row r="31610">
      <c r="Y31610" s="372">
        <v>0.0</v>
      </c>
      <c r="Z31610" s="372">
        <v>0.0</v>
      </c>
    </row>
    <row r="31611">
      <c r="Y31611" s="372">
        <v>0.0</v>
      </c>
      <c r="Z31611" s="372">
        <v>0.0</v>
      </c>
    </row>
    <row r="31612">
      <c r="Y31612" s="372">
        <v>0.0</v>
      </c>
      <c r="Z31612" s="372">
        <v>0.0</v>
      </c>
    </row>
    <row r="31613">
      <c r="Y31613" s="372">
        <v>0.0</v>
      </c>
      <c r="Z31613" s="372">
        <v>0.0</v>
      </c>
    </row>
    <row r="31614">
      <c r="Y31614" s="372">
        <v>0.0</v>
      </c>
      <c r="Z31614" s="372">
        <v>0.0</v>
      </c>
    </row>
    <row r="31615">
      <c r="Y31615" s="372">
        <v>0.0</v>
      </c>
      <c r="Z31615" s="372">
        <v>0.0</v>
      </c>
    </row>
    <row r="31616">
      <c r="Y31616" s="372">
        <v>0.0</v>
      </c>
      <c r="Z31616" s="372">
        <v>0.0</v>
      </c>
    </row>
    <row r="31617">
      <c r="Y31617" s="372">
        <v>0.0</v>
      </c>
      <c r="Z31617" s="372">
        <v>0.0</v>
      </c>
    </row>
    <row r="31618">
      <c r="Y31618" s="372">
        <v>0.0</v>
      </c>
      <c r="Z31618" s="372">
        <v>0.0</v>
      </c>
    </row>
    <row r="31619">
      <c r="Y31619" s="372">
        <v>0.0</v>
      </c>
      <c r="Z31619" s="372">
        <v>0.0</v>
      </c>
    </row>
    <row r="31620">
      <c r="Y31620" s="372">
        <v>0.0</v>
      </c>
      <c r="Z31620" s="372">
        <v>0.0</v>
      </c>
    </row>
    <row r="31621">
      <c r="Y31621" s="372">
        <v>0.0</v>
      </c>
      <c r="Z31621" s="372">
        <v>0.0</v>
      </c>
    </row>
    <row r="31622">
      <c r="Y31622" s="372">
        <v>0.0</v>
      </c>
      <c r="Z31622" s="372">
        <v>0.0</v>
      </c>
    </row>
    <row r="31623">
      <c r="Y31623" s="372">
        <v>0.0</v>
      </c>
      <c r="Z31623" s="372">
        <v>0.0</v>
      </c>
    </row>
    <row r="31624">
      <c r="Y31624" s="372">
        <v>0.0</v>
      </c>
      <c r="Z31624" s="372">
        <v>0.0</v>
      </c>
    </row>
    <row r="31625">
      <c r="Y31625" s="372">
        <v>0.0</v>
      </c>
      <c r="Z31625" s="372">
        <v>0.0</v>
      </c>
    </row>
    <row r="31626">
      <c r="Y31626" s="372">
        <v>0.0</v>
      </c>
      <c r="Z31626" s="372">
        <v>0.0</v>
      </c>
    </row>
    <row r="31627">
      <c r="Y31627" s="372">
        <v>0.0</v>
      </c>
      <c r="Z31627" s="372">
        <v>0.0</v>
      </c>
    </row>
    <row r="31628">
      <c r="Y31628" s="372">
        <v>0.0</v>
      </c>
      <c r="Z31628" s="372">
        <v>0.0</v>
      </c>
    </row>
    <row r="31629">
      <c r="Y31629" s="372">
        <v>0.0</v>
      </c>
      <c r="Z31629" s="372">
        <v>0.0</v>
      </c>
    </row>
    <row r="31630">
      <c r="Y31630" s="372">
        <v>0.0</v>
      </c>
      <c r="Z31630" s="372">
        <v>0.0</v>
      </c>
    </row>
    <row r="31631">
      <c r="Y31631" s="372">
        <v>0.0</v>
      </c>
      <c r="Z31631" s="372">
        <v>0.0</v>
      </c>
    </row>
    <row r="31632">
      <c r="Y31632" s="372">
        <v>0.0</v>
      </c>
      <c r="Z31632" s="372">
        <v>0.0</v>
      </c>
    </row>
    <row r="31633">
      <c r="Y31633" s="372">
        <v>0.0</v>
      </c>
      <c r="Z31633" s="372">
        <v>0.0</v>
      </c>
    </row>
    <row r="31634">
      <c r="Y31634" s="372">
        <v>0.0</v>
      </c>
      <c r="Z31634" s="372">
        <v>0.0</v>
      </c>
    </row>
    <row r="31635">
      <c r="Y31635" s="372">
        <v>0.0</v>
      </c>
      <c r="Z31635" s="372">
        <v>0.0</v>
      </c>
    </row>
    <row r="31636">
      <c r="Y31636" s="372">
        <v>0.0</v>
      </c>
      <c r="Z31636" s="372">
        <v>0.0</v>
      </c>
    </row>
    <row r="31637">
      <c r="Y31637" s="372">
        <v>0.0</v>
      </c>
      <c r="Z31637" s="372">
        <v>0.0</v>
      </c>
    </row>
    <row r="31638">
      <c r="Y31638" s="372">
        <v>0.0</v>
      </c>
      <c r="Z31638" s="372">
        <v>0.0</v>
      </c>
    </row>
    <row r="31639">
      <c r="Y31639" s="372">
        <v>0.0</v>
      </c>
      <c r="Z31639" s="372">
        <v>0.0</v>
      </c>
    </row>
    <row r="31640">
      <c r="Y31640" s="372">
        <v>0.0</v>
      </c>
      <c r="Z31640" s="372">
        <v>0.0</v>
      </c>
    </row>
    <row r="31641">
      <c r="Y31641" s="372">
        <v>0.0</v>
      </c>
      <c r="Z31641" s="372">
        <v>0.0</v>
      </c>
    </row>
    <row r="31642">
      <c r="Y31642" s="372">
        <v>0.0</v>
      </c>
      <c r="Z31642" s="372">
        <v>0.0</v>
      </c>
    </row>
    <row r="31643">
      <c r="Y31643" s="372">
        <v>0.0</v>
      </c>
      <c r="Z31643" s="372">
        <v>0.0</v>
      </c>
    </row>
    <row r="31644">
      <c r="Y31644" s="372">
        <v>0.0</v>
      </c>
      <c r="Z31644" s="372">
        <v>0.0</v>
      </c>
    </row>
    <row r="31645">
      <c r="Y31645" s="372">
        <v>0.0</v>
      </c>
      <c r="Z31645" s="372">
        <v>0.0</v>
      </c>
    </row>
    <row r="31646">
      <c r="Y31646" s="372">
        <v>0.0</v>
      </c>
      <c r="Z31646" s="372">
        <v>0.0</v>
      </c>
    </row>
    <row r="31647">
      <c r="Y31647" s="372">
        <v>0.0</v>
      </c>
      <c r="Z31647" s="372">
        <v>0.0</v>
      </c>
    </row>
    <row r="31648">
      <c r="Y31648" s="372">
        <v>0.0</v>
      </c>
      <c r="Z31648" s="372">
        <v>0.0</v>
      </c>
    </row>
    <row r="31649">
      <c r="Y31649" s="372">
        <v>0.0</v>
      </c>
      <c r="Z31649" s="372">
        <v>0.0</v>
      </c>
    </row>
    <row r="31650">
      <c r="Y31650" s="372">
        <v>0.0</v>
      </c>
      <c r="Z31650" s="372">
        <v>0.0</v>
      </c>
    </row>
    <row r="31651">
      <c r="Y31651" s="372">
        <v>0.0</v>
      </c>
      <c r="Z31651" s="372">
        <v>0.0</v>
      </c>
    </row>
    <row r="31652">
      <c r="Y31652" s="372">
        <v>0.0</v>
      </c>
      <c r="Z31652" s="372">
        <v>0.0</v>
      </c>
    </row>
    <row r="31653">
      <c r="Y31653" s="372">
        <v>0.0</v>
      </c>
      <c r="Z31653" s="372">
        <v>0.0</v>
      </c>
    </row>
    <row r="31654">
      <c r="Y31654" s="372">
        <v>0.0</v>
      </c>
      <c r="Z31654" s="372">
        <v>0.0</v>
      </c>
    </row>
    <row r="31655">
      <c r="Y31655" s="372">
        <v>0.0</v>
      </c>
      <c r="Z31655" s="372">
        <v>0.0</v>
      </c>
    </row>
    <row r="31656">
      <c r="Y31656" s="372">
        <v>0.0</v>
      </c>
      <c r="Z31656" s="372">
        <v>0.0</v>
      </c>
    </row>
    <row r="31657">
      <c r="Y31657" s="372">
        <v>0.0</v>
      </c>
      <c r="Z31657" s="372">
        <v>0.0</v>
      </c>
    </row>
    <row r="31658">
      <c r="Y31658" s="372">
        <v>0.0</v>
      </c>
      <c r="Z31658" s="372">
        <v>0.0</v>
      </c>
    </row>
    <row r="31659">
      <c r="Y31659" s="372">
        <v>0.0</v>
      </c>
      <c r="Z31659" s="372">
        <v>0.0</v>
      </c>
    </row>
    <row r="31660">
      <c r="Y31660" s="372">
        <v>0.0</v>
      </c>
      <c r="Z31660" s="372">
        <v>0.0</v>
      </c>
    </row>
    <row r="31661">
      <c r="Y31661" s="372">
        <v>0.0</v>
      </c>
      <c r="Z31661" s="372">
        <v>0.0</v>
      </c>
    </row>
    <row r="31662">
      <c r="Y31662" s="372">
        <v>0.0</v>
      </c>
      <c r="Z31662" s="372">
        <v>0.0</v>
      </c>
    </row>
    <row r="31663">
      <c r="Y31663" s="372">
        <v>0.0</v>
      </c>
      <c r="Z31663" s="372">
        <v>0.0</v>
      </c>
    </row>
    <row r="31664">
      <c r="Y31664" s="372">
        <v>0.0</v>
      </c>
      <c r="Z31664" s="372">
        <v>0.0</v>
      </c>
    </row>
    <row r="31665">
      <c r="Y31665" s="372">
        <v>0.0</v>
      </c>
      <c r="Z31665" s="372">
        <v>0.0</v>
      </c>
    </row>
    <row r="31666">
      <c r="Y31666" s="372">
        <v>0.0</v>
      </c>
      <c r="Z31666" s="372">
        <v>0.0</v>
      </c>
    </row>
    <row r="31667">
      <c r="Y31667" s="372">
        <v>0.0</v>
      </c>
      <c r="Z31667" s="372">
        <v>0.0</v>
      </c>
    </row>
    <row r="31668">
      <c r="Y31668" s="372">
        <v>0.0</v>
      </c>
      <c r="Z31668" s="372">
        <v>0.0</v>
      </c>
    </row>
    <row r="31669">
      <c r="Y31669" s="372">
        <v>0.0</v>
      </c>
      <c r="Z31669" s="372">
        <v>0.0</v>
      </c>
    </row>
    <row r="31670">
      <c r="Y31670" s="372">
        <v>0.0</v>
      </c>
      <c r="Z31670" s="372">
        <v>0.0</v>
      </c>
    </row>
    <row r="31671">
      <c r="Y31671" s="372">
        <v>0.0</v>
      </c>
      <c r="Z31671" s="372">
        <v>0.0</v>
      </c>
    </row>
    <row r="31672">
      <c r="Y31672" s="372">
        <v>0.0</v>
      </c>
      <c r="Z31672" s="372">
        <v>0.0</v>
      </c>
    </row>
    <row r="31673">
      <c r="Y31673" s="372">
        <v>0.0</v>
      </c>
      <c r="Z31673" s="372">
        <v>0.0</v>
      </c>
    </row>
    <row r="31674">
      <c r="Y31674" s="372">
        <v>0.0</v>
      </c>
      <c r="Z31674" s="372">
        <v>0.0</v>
      </c>
    </row>
    <row r="31675">
      <c r="Y31675" s="372">
        <v>0.0</v>
      </c>
      <c r="Z31675" s="372">
        <v>0.0</v>
      </c>
    </row>
    <row r="31676">
      <c r="Y31676" s="372">
        <v>0.0</v>
      </c>
      <c r="Z31676" s="372">
        <v>0.0</v>
      </c>
    </row>
    <row r="31677">
      <c r="Y31677" s="372">
        <v>0.0</v>
      </c>
      <c r="Z31677" s="372">
        <v>0.0</v>
      </c>
    </row>
    <row r="31678">
      <c r="Y31678" s="372">
        <v>0.0</v>
      </c>
      <c r="Z31678" s="372">
        <v>0.0</v>
      </c>
    </row>
    <row r="31679">
      <c r="Y31679" s="372">
        <v>0.0</v>
      </c>
      <c r="Z31679" s="372">
        <v>0.0</v>
      </c>
    </row>
    <row r="31680">
      <c r="Y31680" s="372">
        <v>0.0</v>
      </c>
      <c r="Z31680" s="372">
        <v>0.0</v>
      </c>
    </row>
    <row r="31681">
      <c r="Y31681" s="372">
        <v>0.0</v>
      </c>
      <c r="Z31681" s="372">
        <v>0.0</v>
      </c>
    </row>
    <row r="31682">
      <c r="Y31682" s="372">
        <v>0.0</v>
      </c>
      <c r="Z31682" s="372">
        <v>0.0</v>
      </c>
    </row>
    <row r="31683">
      <c r="Y31683" s="372">
        <v>0.0</v>
      </c>
      <c r="Z31683" s="372">
        <v>0.0</v>
      </c>
    </row>
    <row r="31684">
      <c r="Y31684" s="372">
        <v>0.0</v>
      </c>
      <c r="Z31684" s="372">
        <v>0.0</v>
      </c>
    </row>
    <row r="31685">
      <c r="Y31685" s="372">
        <v>0.0</v>
      </c>
      <c r="Z31685" s="372">
        <v>0.0</v>
      </c>
    </row>
    <row r="31686">
      <c r="Y31686" s="372">
        <v>0.0</v>
      </c>
      <c r="Z31686" s="372">
        <v>0.0</v>
      </c>
    </row>
    <row r="31687">
      <c r="Y31687" s="372">
        <v>0.0</v>
      </c>
      <c r="Z31687" s="372">
        <v>0.0</v>
      </c>
    </row>
    <row r="31688">
      <c r="Y31688" s="372">
        <v>0.0</v>
      </c>
      <c r="Z31688" s="372">
        <v>0.0</v>
      </c>
    </row>
    <row r="31689">
      <c r="Y31689" s="372">
        <v>0.0</v>
      </c>
      <c r="Z31689" s="372">
        <v>0.0</v>
      </c>
    </row>
    <row r="31690">
      <c r="Y31690" s="372">
        <v>0.0</v>
      </c>
      <c r="Z31690" s="372">
        <v>0.0</v>
      </c>
    </row>
    <row r="31691">
      <c r="Y31691" s="372">
        <v>0.0</v>
      </c>
      <c r="Z31691" s="372">
        <v>0.0</v>
      </c>
    </row>
    <row r="31692">
      <c r="Y31692" s="372">
        <v>0.0</v>
      </c>
      <c r="Z31692" s="372">
        <v>0.0</v>
      </c>
    </row>
    <row r="31693">
      <c r="Y31693" s="372">
        <v>0.0</v>
      </c>
      <c r="Z31693" s="372">
        <v>0.0</v>
      </c>
    </row>
    <row r="31694">
      <c r="Y31694" s="372">
        <v>0.0</v>
      </c>
      <c r="Z31694" s="372">
        <v>0.0</v>
      </c>
    </row>
    <row r="31695">
      <c r="Y31695" s="372">
        <v>0.0</v>
      </c>
      <c r="Z31695" s="372">
        <v>0.0</v>
      </c>
    </row>
    <row r="31696">
      <c r="Y31696" s="372">
        <v>0.0</v>
      </c>
      <c r="Z31696" s="372">
        <v>0.0</v>
      </c>
    </row>
    <row r="31697">
      <c r="Y31697" s="372">
        <v>0.0</v>
      </c>
      <c r="Z31697" s="372">
        <v>0.0</v>
      </c>
    </row>
    <row r="31698">
      <c r="Y31698" s="372">
        <v>0.0</v>
      </c>
      <c r="Z31698" s="372">
        <v>0.0</v>
      </c>
    </row>
    <row r="31699">
      <c r="Y31699" s="372">
        <v>0.0</v>
      </c>
      <c r="Z31699" s="372">
        <v>0.0</v>
      </c>
    </row>
    <row r="31700">
      <c r="Y31700" s="372">
        <v>0.0</v>
      </c>
      <c r="Z31700" s="372">
        <v>0.0</v>
      </c>
    </row>
    <row r="31701">
      <c r="Y31701" s="372">
        <v>0.0</v>
      </c>
      <c r="Z31701" s="372">
        <v>0.0</v>
      </c>
    </row>
    <row r="31702">
      <c r="Y31702" s="372">
        <v>0.0</v>
      </c>
      <c r="Z31702" s="372">
        <v>0.0</v>
      </c>
    </row>
    <row r="31703">
      <c r="Y31703" s="372">
        <v>0.0</v>
      </c>
      <c r="Z31703" s="372">
        <v>0.0</v>
      </c>
    </row>
    <row r="31704">
      <c r="Y31704" s="372">
        <v>0.0</v>
      </c>
      <c r="Z31704" s="372">
        <v>0.0</v>
      </c>
    </row>
    <row r="31705">
      <c r="Y31705" s="372">
        <v>0.0</v>
      </c>
      <c r="Z31705" s="372">
        <v>0.0</v>
      </c>
    </row>
    <row r="31706">
      <c r="Y31706" s="372">
        <v>0.0</v>
      </c>
      <c r="Z31706" s="372">
        <v>0.0</v>
      </c>
    </row>
    <row r="31707">
      <c r="Y31707" s="372">
        <v>0.0</v>
      </c>
      <c r="Z31707" s="372">
        <v>0.0</v>
      </c>
    </row>
    <row r="31708">
      <c r="Y31708" s="372">
        <v>0.0</v>
      </c>
      <c r="Z31708" s="372">
        <v>0.0</v>
      </c>
    </row>
    <row r="31709">
      <c r="Y31709" s="372">
        <v>0.0</v>
      </c>
      <c r="Z31709" s="372">
        <v>0.0</v>
      </c>
    </row>
    <row r="31710">
      <c r="Y31710" s="372">
        <v>0.0</v>
      </c>
      <c r="Z31710" s="372">
        <v>0.0</v>
      </c>
    </row>
    <row r="31711">
      <c r="Y31711" s="372">
        <v>0.0</v>
      </c>
      <c r="Z31711" s="372">
        <v>0.0</v>
      </c>
    </row>
    <row r="31712">
      <c r="Y31712" s="372">
        <v>0.0</v>
      </c>
      <c r="Z31712" s="372">
        <v>0.0</v>
      </c>
    </row>
    <row r="31713">
      <c r="Y31713" s="372">
        <v>0.0</v>
      </c>
      <c r="Z31713" s="372">
        <v>0.0</v>
      </c>
    </row>
    <row r="31714">
      <c r="Y31714" s="372">
        <v>0.0</v>
      </c>
      <c r="Z31714" s="372">
        <v>0.0</v>
      </c>
    </row>
    <row r="31715">
      <c r="Y31715" s="372">
        <v>0.0</v>
      </c>
      <c r="Z31715" s="372">
        <v>0.0</v>
      </c>
    </row>
    <row r="31716">
      <c r="Y31716" s="372">
        <v>0.0</v>
      </c>
      <c r="Z31716" s="372">
        <v>0.0</v>
      </c>
    </row>
    <row r="31717">
      <c r="Y31717" s="372">
        <v>0.0</v>
      </c>
      <c r="Z31717" s="372">
        <v>0.0</v>
      </c>
    </row>
    <row r="31718">
      <c r="Y31718" s="372">
        <v>0.0</v>
      </c>
      <c r="Z31718" s="372">
        <v>0.0</v>
      </c>
    </row>
    <row r="31719">
      <c r="Y31719" s="372">
        <v>0.0</v>
      </c>
      <c r="Z31719" s="372">
        <v>0.0</v>
      </c>
    </row>
    <row r="31720">
      <c r="Y31720" s="372">
        <v>0.0</v>
      </c>
      <c r="Z31720" s="372">
        <v>0.0</v>
      </c>
    </row>
    <row r="31721">
      <c r="Y31721" s="372">
        <v>0.0</v>
      </c>
      <c r="Z31721" s="372">
        <v>0.0</v>
      </c>
    </row>
    <row r="31722">
      <c r="Y31722" s="372">
        <v>0.0</v>
      </c>
      <c r="Z31722" s="372">
        <v>0.0</v>
      </c>
    </row>
    <row r="31723">
      <c r="Y31723" s="372">
        <v>0.0</v>
      </c>
      <c r="Z31723" s="372">
        <v>0.0</v>
      </c>
    </row>
    <row r="31724">
      <c r="Y31724" s="372">
        <v>0.0</v>
      </c>
      <c r="Z31724" s="372">
        <v>0.0</v>
      </c>
    </row>
    <row r="31725">
      <c r="Y31725" s="372">
        <v>0.0</v>
      </c>
      <c r="Z31725" s="372">
        <v>0.0</v>
      </c>
    </row>
    <row r="31726">
      <c r="Y31726" s="372">
        <v>0.0</v>
      </c>
      <c r="Z31726" s="372">
        <v>0.0</v>
      </c>
    </row>
    <row r="31727">
      <c r="Y31727" s="372">
        <v>0.0</v>
      </c>
      <c r="Z31727" s="372">
        <v>0.0</v>
      </c>
    </row>
    <row r="31728">
      <c r="Y31728" s="372">
        <v>0.0</v>
      </c>
      <c r="Z31728" s="372">
        <v>0.0</v>
      </c>
    </row>
    <row r="31729">
      <c r="Y31729" s="372">
        <v>0.0</v>
      </c>
      <c r="Z31729" s="372">
        <v>0.0</v>
      </c>
    </row>
    <row r="31730">
      <c r="Y31730" s="372">
        <v>0.0</v>
      </c>
      <c r="Z31730" s="372">
        <v>0.0</v>
      </c>
    </row>
    <row r="31731">
      <c r="Y31731" s="372">
        <v>0.0</v>
      </c>
      <c r="Z31731" s="372">
        <v>0.0</v>
      </c>
    </row>
    <row r="31732">
      <c r="Y31732" s="372">
        <v>0.0</v>
      </c>
      <c r="Z31732" s="372">
        <v>0.0</v>
      </c>
    </row>
    <row r="31733">
      <c r="Y31733" s="372">
        <v>0.0</v>
      </c>
      <c r="Z31733" s="372">
        <v>0.0</v>
      </c>
    </row>
    <row r="31734">
      <c r="Y31734" s="372">
        <v>0.0</v>
      </c>
      <c r="Z31734" s="372">
        <v>0.0</v>
      </c>
    </row>
    <row r="31735">
      <c r="Y31735" s="372">
        <v>0.0</v>
      </c>
      <c r="Z31735" s="372">
        <v>0.0</v>
      </c>
    </row>
    <row r="31736">
      <c r="Y31736" s="372">
        <v>0.0</v>
      </c>
      <c r="Z31736" s="372">
        <v>0.0</v>
      </c>
    </row>
    <row r="31737">
      <c r="Y31737" s="372">
        <v>0.0</v>
      </c>
      <c r="Z31737" s="372">
        <v>0.0</v>
      </c>
    </row>
    <row r="31738">
      <c r="Y31738" s="372">
        <v>0.0</v>
      </c>
      <c r="Z31738" s="372">
        <v>0.0</v>
      </c>
    </row>
    <row r="31739">
      <c r="Y31739" s="372">
        <v>0.0</v>
      </c>
      <c r="Z31739" s="372">
        <v>0.0</v>
      </c>
    </row>
    <row r="31740">
      <c r="Y31740" s="372">
        <v>0.0</v>
      </c>
      <c r="Z31740" s="372">
        <v>0.0</v>
      </c>
    </row>
    <row r="31741">
      <c r="Y31741" s="372">
        <v>0.0</v>
      </c>
      <c r="Z31741" s="372">
        <v>0.0</v>
      </c>
    </row>
    <row r="31742">
      <c r="Y31742" s="372">
        <v>0.0</v>
      </c>
      <c r="Z31742" s="372">
        <v>0.0</v>
      </c>
    </row>
    <row r="31743">
      <c r="Y31743" s="372">
        <v>0.0</v>
      </c>
      <c r="Z31743" s="372">
        <v>0.0</v>
      </c>
    </row>
    <row r="31744">
      <c r="Y31744" s="372">
        <v>0.0</v>
      </c>
      <c r="Z31744" s="372">
        <v>0.0</v>
      </c>
    </row>
    <row r="31745">
      <c r="Y31745" s="372">
        <v>0.0</v>
      </c>
      <c r="Z31745" s="372">
        <v>0.0</v>
      </c>
    </row>
    <row r="31746">
      <c r="Y31746" s="372">
        <v>0.0</v>
      </c>
      <c r="Z31746" s="372">
        <v>0.0</v>
      </c>
    </row>
    <row r="31747">
      <c r="Y31747" s="372">
        <v>0.0</v>
      </c>
      <c r="Z31747" s="372">
        <v>0.0</v>
      </c>
    </row>
    <row r="31748">
      <c r="Y31748" s="372">
        <v>0.0</v>
      </c>
      <c r="Z31748" s="372">
        <v>0.0</v>
      </c>
    </row>
    <row r="31749">
      <c r="Y31749" s="372">
        <v>0.0</v>
      </c>
      <c r="Z31749" s="372">
        <v>0.0</v>
      </c>
    </row>
    <row r="31750">
      <c r="Y31750" s="372">
        <v>0.0</v>
      </c>
      <c r="Z31750" s="372">
        <v>0.0</v>
      </c>
    </row>
    <row r="31751">
      <c r="Y31751" s="372">
        <v>0.0</v>
      </c>
      <c r="Z31751" s="372">
        <v>0.0</v>
      </c>
    </row>
    <row r="31752">
      <c r="Y31752" s="372">
        <v>0.0</v>
      </c>
      <c r="Z31752" s="372">
        <v>0.0</v>
      </c>
    </row>
    <row r="31753">
      <c r="Y31753" s="372">
        <v>0.0</v>
      </c>
      <c r="Z31753" s="372">
        <v>0.0</v>
      </c>
    </row>
    <row r="31754">
      <c r="Y31754" s="372">
        <v>0.0</v>
      </c>
      <c r="Z31754" s="372">
        <v>0.0</v>
      </c>
    </row>
    <row r="31755">
      <c r="Y31755" s="372">
        <v>0.0</v>
      </c>
      <c r="Z31755" s="372">
        <v>0.0</v>
      </c>
    </row>
    <row r="31756">
      <c r="Y31756" s="372">
        <v>0.0</v>
      </c>
      <c r="Z31756" s="372">
        <v>0.0</v>
      </c>
    </row>
    <row r="31757">
      <c r="Y31757" s="372">
        <v>0.0</v>
      </c>
      <c r="Z31757" s="372">
        <v>0.0</v>
      </c>
    </row>
    <row r="31758">
      <c r="Y31758" s="372">
        <v>0.0</v>
      </c>
      <c r="Z31758" s="372">
        <v>0.0</v>
      </c>
    </row>
    <row r="31759">
      <c r="Y31759" s="372">
        <v>0.0</v>
      </c>
      <c r="Z31759" s="372">
        <v>0.0</v>
      </c>
    </row>
    <row r="31760">
      <c r="Y31760" s="372">
        <v>0.0</v>
      </c>
      <c r="Z31760" s="372">
        <v>0.0</v>
      </c>
    </row>
    <row r="31761">
      <c r="Y31761" s="372">
        <v>0.0</v>
      </c>
      <c r="Z31761" s="372">
        <v>0.0</v>
      </c>
    </row>
    <row r="31762">
      <c r="Y31762" s="372">
        <v>0.0</v>
      </c>
      <c r="Z31762" s="372">
        <v>0.0</v>
      </c>
    </row>
    <row r="31763">
      <c r="Y31763" s="372">
        <v>0.0</v>
      </c>
      <c r="Z31763" s="372">
        <v>0.0</v>
      </c>
    </row>
    <row r="31764">
      <c r="Y31764" s="372">
        <v>0.0</v>
      </c>
      <c r="Z31764" s="372">
        <v>0.0</v>
      </c>
    </row>
    <row r="31765">
      <c r="Y31765" s="372">
        <v>0.0</v>
      </c>
      <c r="Z31765" s="372">
        <v>0.0</v>
      </c>
    </row>
    <row r="31766">
      <c r="Y31766" s="372">
        <v>0.0</v>
      </c>
      <c r="Z31766" s="372">
        <v>0.0</v>
      </c>
    </row>
    <row r="31767">
      <c r="Y31767" s="372">
        <v>0.0</v>
      </c>
      <c r="Z31767" s="372">
        <v>0.0</v>
      </c>
    </row>
    <row r="31768">
      <c r="Y31768" s="372">
        <v>0.0</v>
      </c>
      <c r="Z31768" s="372">
        <v>0.0</v>
      </c>
    </row>
    <row r="31769">
      <c r="Y31769" s="372">
        <v>0.0</v>
      </c>
      <c r="Z31769" s="372">
        <v>0.0</v>
      </c>
    </row>
    <row r="31770">
      <c r="Y31770" s="372">
        <v>0.0</v>
      </c>
      <c r="Z31770" s="372">
        <v>0.0</v>
      </c>
    </row>
    <row r="31771">
      <c r="Y31771" s="372">
        <v>0.0</v>
      </c>
      <c r="Z31771" s="372">
        <v>0.0</v>
      </c>
    </row>
    <row r="31772">
      <c r="Y31772" s="372">
        <v>0.0</v>
      </c>
      <c r="Z31772" s="372">
        <v>0.0</v>
      </c>
    </row>
    <row r="31773">
      <c r="Y31773" s="372">
        <v>0.0</v>
      </c>
      <c r="Z31773" s="372">
        <v>0.0</v>
      </c>
    </row>
    <row r="31774">
      <c r="Y31774" s="372">
        <v>0.0</v>
      </c>
      <c r="Z31774" s="372">
        <v>0.0</v>
      </c>
    </row>
    <row r="31775">
      <c r="Y31775" s="372">
        <v>0.0</v>
      </c>
      <c r="Z31775" s="372">
        <v>0.0</v>
      </c>
    </row>
    <row r="31776">
      <c r="Y31776" s="372">
        <v>0.0</v>
      </c>
      <c r="Z31776" s="372">
        <v>0.0</v>
      </c>
    </row>
    <row r="31777">
      <c r="Y31777" s="372">
        <v>0.0</v>
      </c>
      <c r="Z31777" s="372">
        <v>0.0</v>
      </c>
    </row>
    <row r="31778">
      <c r="Y31778" s="372">
        <v>0.0</v>
      </c>
      <c r="Z31778" s="372">
        <v>0.0</v>
      </c>
    </row>
    <row r="31779">
      <c r="Y31779" s="372">
        <v>0.0</v>
      </c>
      <c r="Z31779" s="372">
        <v>0.0</v>
      </c>
    </row>
    <row r="31780">
      <c r="Y31780" s="372">
        <v>0.0</v>
      </c>
      <c r="Z31780" s="372">
        <v>0.0</v>
      </c>
    </row>
    <row r="31781">
      <c r="Y31781" s="372">
        <v>0.0</v>
      </c>
      <c r="Z31781" s="372">
        <v>0.0</v>
      </c>
    </row>
    <row r="31782">
      <c r="Y31782" s="372">
        <v>0.0</v>
      </c>
      <c r="Z31782" s="372">
        <v>0.0</v>
      </c>
    </row>
    <row r="31783">
      <c r="Y31783" s="372">
        <v>0.0</v>
      </c>
      <c r="Z31783" s="372">
        <v>0.0</v>
      </c>
    </row>
    <row r="31784">
      <c r="Y31784" s="372">
        <v>0.0</v>
      </c>
      <c r="Z31784" s="372">
        <v>0.0</v>
      </c>
    </row>
    <row r="31785">
      <c r="Y31785" s="372">
        <v>0.0</v>
      </c>
      <c r="Z31785" s="372">
        <v>0.0</v>
      </c>
    </row>
    <row r="31786">
      <c r="Y31786" s="372">
        <v>0.0</v>
      </c>
      <c r="Z31786" s="372">
        <v>0.0</v>
      </c>
    </row>
    <row r="31787">
      <c r="Y31787" s="372">
        <v>0.0</v>
      </c>
      <c r="Z31787" s="372">
        <v>0.0</v>
      </c>
    </row>
    <row r="31788">
      <c r="Y31788" s="372">
        <v>0.0</v>
      </c>
      <c r="Z31788" s="372">
        <v>0.0</v>
      </c>
    </row>
    <row r="31789">
      <c r="Y31789" s="372">
        <v>0.0</v>
      </c>
      <c r="Z31789" s="372">
        <v>0.0</v>
      </c>
    </row>
    <row r="31790">
      <c r="Y31790" s="372">
        <v>0.0</v>
      </c>
      <c r="Z31790" s="372">
        <v>0.0</v>
      </c>
    </row>
    <row r="31791">
      <c r="Y31791" s="372">
        <v>0.0</v>
      </c>
      <c r="Z31791" s="372">
        <v>0.0</v>
      </c>
    </row>
    <row r="31792">
      <c r="Y31792" s="372">
        <v>0.0</v>
      </c>
      <c r="Z31792" s="372">
        <v>0.0</v>
      </c>
    </row>
    <row r="31793">
      <c r="Y31793" s="372">
        <v>0.0</v>
      </c>
      <c r="Z31793" s="372">
        <v>0.0</v>
      </c>
    </row>
    <row r="31794">
      <c r="Y31794" s="372">
        <v>0.0</v>
      </c>
      <c r="Z31794" s="372">
        <v>0.0</v>
      </c>
    </row>
    <row r="31795">
      <c r="Y31795" s="372">
        <v>0.0</v>
      </c>
      <c r="Z31795" s="372">
        <v>0.0</v>
      </c>
    </row>
    <row r="31796">
      <c r="Y31796" s="372">
        <v>0.0</v>
      </c>
      <c r="Z31796" s="372">
        <v>0.0</v>
      </c>
    </row>
    <row r="31797">
      <c r="Y31797" s="372">
        <v>0.0</v>
      </c>
      <c r="Z31797" s="372">
        <v>0.0</v>
      </c>
    </row>
    <row r="31798">
      <c r="Y31798" s="372">
        <v>0.0</v>
      </c>
      <c r="Z31798" s="372">
        <v>0.0</v>
      </c>
    </row>
    <row r="31799">
      <c r="Y31799" s="372">
        <v>0.0</v>
      </c>
      <c r="Z31799" s="372">
        <v>0.0</v>
      </c>
    </row>
    <row r="31800">
      <c r="Y31800" s="372">
        <v>0.0</v>
      </c>
      <c r="Z31800" s="372">
        <v>0.0</v>
      </c>
    </row>
    <row r="31801">
      <c r="Y31801" s="372">
        <v>0.0</v>
      </c>
      <c r="Z31801" s="372">
        <v>0.0</v>
      </c>
    </row>
    <row r="31802">
      <c r="Y31802" s="372">
        <v>0.0</v>
      </c>
      <c r="Z31802" s="372">
        <v>0.0</v>
      </c>
    </row>
    <row r="31803">
      <c r="Y31803" s="372">
        <v>0.0</v>
      </c>
      <c r="Z31803" s="372">
        <v>0.0</v>
      </c>
    </row>
    <row r="31804">
      <c r="Y31804" s="372">
        <v>0.0</v>
      </c>
      <c r="Z31804" s="372">
        <v>0.0</v>
      </c>
    </row>
    <row r="31805">
      <c r="Y31805" s="372">
        <v>0.0</v>
      </c>
      <c r="Z31805" s="372">
        <v>0.0</v>
      </c>
    </row>
    <row r="31806">
      <c r="Y31806" s="372">
        <v>0.0</v>
      </c>
      <c r="Z31806" s="372">
        <v>0.0</v>
      </c>
    </row>
    <row r="31807">
      <c r="Y31807" s="372">
        <v>0.0</v>
      </c>
      <c r="Z31807" s="372">
        <v>0.0</v>
      </c>
    </row>
    <row r="31808">
      <c r="Y31808" s="372">
        <v>0.0</v>
      </c>
      <c r="Z31808" s="372">
        <v>0.0</v>
      </c>
    </row>
    <row r="31809">
      <c r="Y31809" s="372">
        <v>0.0</v>
      </c>
      <c r="Z31809" s="372">
        <v>0.0</v>
      </c>
    </row>
    <row r="31810">
      <c r="Y31810" s="372">
        <v>0.0</v>
      </c>
      <c r="Z31810" s="372">
        <v>0.0</v>
      </c>
    </row>
    <row r="31811">
      <c r="Y31811" s="372">
        <v>0.0</v>
      </c>
      <c r="Z31811" s="372">
        <v>0.0</v>
      </c>
    </row>
    <row r="31812">
      <c r="Y31812" s="372">
        <v>0.0</v>
      </c>
      <c r="Z31812" s="372">
        <v>0.0</v>
      </c>
    </row>
    <row r="31813">
      <c r="Y31813" s="372">
        <v>0.0</v>
      </c>
      <c r="Z31813" s="372">
        <v>0.0</v>
      </c>
    </row>
    <row r="31814">
      <c r="Y31814" s="372">
        <v>0.0</v>
      </c>
      <c r="Z31814" s="372">
        <v>0.0</v>
      </c>
    </row>
    <row r="31815">
      <c r="Y31815" s="372">
        <v>0.0</v>
      </c>
      <c r="Z31815" s="372">
        <v>0.0</v>
      </c>
    </row>
    <row r="31816">
      <c r="Y31816" s="372">
        <v>0.0</v>
      </c>
      <c r="Z31816" s="372">
        <v>0.0</v>
      </c>
    </row>
    <row r="31817">
      <c r="Y31817" s="372">
        <v>0.0</v>
      </c>
      <c r="Z31817" s="372">
        <v>0.0</v>
      </c>
    </row>
    <row r="31818">
      <c r="Y31818" s="372">
        <v>0.0</v>
      </c>
      <c r="Z31818" s="372">
        <v>0.0</v>
      </c>
    </row>
    <row r="31819">
      <c r="Y31819" s="372">
        <v>0.0</v>
      </c>
      <c r="Z31819" s="372">
        <v>0.0</v>
      </c>
    </row>
    <row r="31820">
      <c r="Y31820" s="372">
        <v>0.0</v>
      </c>
      <c r="Z31820" s="372">
        <v>0.0</v>
      </c>
    </row>
    <row r="31821">
      <c r="Y31821" s="372">
        <v>0.0</v>
      </c>
      <c r="Z31821" s="372">
        <v>0.0</v>
      </c>
    </row>
    <row r="31822">
      <c r="Y31822" s="372">
        <v>0.0</v>
      </c>
      <c r="Z31822" s="372">
        <v>0.0</v>
      </c>
    </row>
    <row r="31823">
      <c r="Y31823" s="372">
        <v>0.0</v>
      </c>
      <c r="Z31823" s="372">
        <v>0.0</v>
      </c>
    </row>
    <row r="31824">
      <c r="Y31824" s="372">
        <v>0.0</v>
      </c>
      <c r="Z31824" s="372">
        <v>0.0</v>
      </c>
    </row>
    <row r="31825">
      <c r="Y31825" s="372">
        <v>0.0</v>
      </c>
      <c r="Z31825" s="372">
        <v>0.0</v>
      </c>
    </row>
    <row r="31826">
      <c r="Y31826" s="372">
        <v>0.0</v>
      </c>
      <c r="Z31826" s="372">
        <v>0.0</v>
      </c>
    </row>
    <row r="31827">
      <c r="Y31827" s="372">
        <v>0.0</v>
      </c>
      <c r="Z31827" s="372">
        <v>0.0</v>
      </c>
    </row>
    <row r="31828">
      <c r="Y31828" s="372">
        <v>0.0</v>
      </c>
      <c r="Z31828" s="372">
        <v>0.0</v>
      </c>
    </row>
    <row r="31829">
      <c r="Y31829" s="372">
        <v>0.0</v>
      </c>
      <c r="Z31829" s="372">
        <v>0.0</v>
      </c>
    </row>
    <row r="31830">
      <c r="Y31830" s="372">
        <v>0.0</v>
      </c>
      <c r="Z31830" s="372">
        <v>0.0</v>
      </c>
    </row>
    <row r="31831">
      <c r="Y31831" s="372">
        <v>0.0</v>
      </c>
      <c r="Z31831" s="372">
        <v>0.0</v>
      </c>
    </row>
    <row r="31832">
      <c r="Y31832" s="372">
        <v>0.0</v>
      </c>
      <c r="Z31832" s="372">
        <v>0.0</v>
      </c>
    </row>
    <row r="31833">
      <c r="Y31833" s="372">
        <v>0.0</v>
      </c>
      <c r="Z31833" s="372">
        <v>0.0</v>
      </c>
    </row>
    <row r="31834">
      <c r="Y31834" s="372">
        <v>0.0</v>
      </c>
      <c r="Z31834" s="372">
        <v>0.0</v>
      </c>
    </row>
    <row r="31835">
      <c r="Y31835" s="372">
        <v>0.0</v>
      </c>
      <c r="Z31835" s="372">
        <v>0.0</v>
      </c>
    </row>
    <row r="31836">
      <c r="Y31836" s="372">
        <v>0.0</v>
      </c>
      <c r="Z31836" s="372">
        <v>0.0</v>
      </c>
    </row>
    <row r="31837">
      <c r="Y31837" s="372">
        <v>0.0</v>
      </c>
      <c r="Z31837" s="372">
        <v>0.0</v>
      </c>
    </row>
    <row r="31838">
      <c r="Y31838" s="372">
        <v>0.0</v>
      </c>
      <c r="Z31838" s="372">
        <v>0.0</v>
      </c>
    </row>
    <row r="31839">
      <c r="Y31839" s="372">
        <v>0.0</v>
      </c>
      <c r="Z31839" s="372">
        <v>0.0</v>
      </c>
    </row>
    <row r="31840">
      <c r="Y31840" s="372">
        <v>0.0</v>
      </c>
      <c r="Z31840" s="372">
        <v>0.0</v>
      </c>
    </row>
    <row r="31841">
      <c r="Y31841" s="372">
        <v>0.0</v>
      </c>
      <c r="Z31841" s="372">
        <v>0.0</v>
      </c>
    </row>
    <row r="31842">
      <c r="Y31842" s="372">
        <v>0.0</v>
      </c>
      <c r="Z31842" s="372">
        <v>0.0</v>
      </c>
    </row>
    <row r="31843">
      <c r="Y31843" s="372">
        <v>0.0</v>
      </c>
      <c r="Z31843" s="372">
        <v>0.0</v>
      </c>
    </row>
    <row r="31844">
      <c r="Y31844" s="372">
        <v>0.0</v>
      </c>
      <c r="Z31844" s="372">
        <v>0.0</v>
      </c>
    </row>
    <row r="31845">
      <c r="Y31845" s="372">
        <v>0.0</v>
      </c>
      <c r="Z31845" s="372">
        <v>0.0</v>
      </c>
    </row>
    <row r="31846">
      <c r="Y31846" s="372">
        <v>0.0</v>
      </c>
      <c r="Z31846" s="372">
        <v>0.0</v>
      </c>
    </row>
    <row r="31847">
      <c r="Y31847" s="372">
        <v>0.0</v>
      </c>
      <c r="Z31847" s="372">
        <v>0.0</v>
      </c>
    </row>
    <row r="31848">
      <c r="Y31848" s="372">
        <v>0.0</v>
      </c>
      <c r="Z31848" s="372">
        <v>0.0</v>
      </c>
    </row>
    <row r="31849">
      <c r="Y31849" s="372">
        <v>0.0</v>
      </c>
      <c r="Z31849" s="372">
        <v>0.0</v>
      </c>
    </row>
    <row r="31850">
      <c r="Y31850" s="372">
        <v>0.0</v>
      </c>
      <c r="Z31850" s="372">
        <v>0.0</v>
      </c>
    </row>
    <row r="31851">
      <c r="Y31851" s="372">
        <v>0.0</v>
      </c>
      <c r="Z31851" s="372">
        <v>0.0</v>
      </c>
    </row>
    <row r="31852">
      <c r="Y31852" s="372">
        <v>0.0</v>
      </c>
      <c r="Z31852" s="372">
        <v>0.0</v>
      </c>
    </row>
    <row r="31853">
      <c r="Y31853" s="372">
        <v>0.0</v>
      </c>
      <c r="Z31853" s="372">
        <v>0.0</v>
      </c>
    </row>
    <row r="31854">
      <c r="Y31854" s="372">
        <v>0.0</v>
      </c>
      <c r="Z31854" s="372">
        <v>0.0</v>
      </c>
    </row>
    <row r="31855">
      <c r="Y31855" s="372">
        <v>0.0</v>
      </c>
      <c r="Z31855" s="372">
        <v>0.0</v>
      </c>
    </row>
    <row r="31856">
      <c r="Y31856" s="372">
        <v>0.0</v>
      </c>
      <c r="Z31856" s="372">
        <v>0.0</v>
      </c>
    </row>
    <row r="31857">
      <c r="Y31857" s="372">
        <v>0.0</v>
      </c>
      <c r="Z31857" s="372">
        <v>0.0</v>
      </c>
    </row>
    <row r="31858">
      <c r="Y31858" s="372">
        <v>0.0</v>
      </c>
      <c r="Z31858" s="372">
        <v>0.0</v>
      </c>
    </row>
    <row r="31859">
      <c r="Y31859" s="372">
        <v>0.0</v>
      </c>
      <c r="Z31859" s="372">
        <v>0.0</v>
      </c>
    </row>
    <row r="31860">
      <c r="Y31860" s="372">
        <v>0.0</v>
      </c>
      <c r="Z31860" s="372">
        <v>0.0</v>
      </c>
    </row>
    <row r="31861">
      <c r="Y31861" s="372">
        <v>0.0</v>
      </c>
      <c r="Z31861" s="372">
        <v>0.0</v>
      </c>
    </row>
    <row r="31862">
      <c r="Y31862" s="372">
        <v>0.0</v>
      </c>
      <c r="Z31862" s="372">
        <v>0.0</v>
      </c>
    </row>
    <row r="31863">
      <c r="Y31863" s="372">
        <v>0.0</v>
      </c>
      <c r="Z31863" s="372">
        <v>0.0</v>
      </c>
    </row>
    <row r="31864">
      <c r="Y31864" s="372">
        <v>0.0</v>
      </c>
      <c r="Z31864" s="372">
        <v>0.0</v>
      </c>
    </row>
    <row r="31865">
      <c r="Y31865" s="372">
        <v>0.0</v>
      </c>
      <c r="Z31865" s="372">
        <v>0.0</v>
      </c>
    </row>
    <row r="31866">
      <c r="Y31866" s="372">
        <v>0.0</v>
      </c>
      <c r="Z31866" s="372">
        <v>0.0</v>
      </c>
    </row>
    <row r="31867">
      <c r="Y31867" s="372">
        <v>0.0</v>
      </c>
      <c r="Z31867" s="372">
        <v>0.0</v>
      </c>
    </row>
    <row r="31868">
      <c r="Y31868" s="372">
        <v>0.0</v>
      </c>
      <c r="Z31868" s="372">
        <v>0.0</v>
      </c>
    </row>
    <row r="31869">
      <c r="Y31869" s="372">
        <v>0.0</v>
      </c>
      <c r="Z31869" s="372">
        <v>0.0</v>
      </c>
    </row>
    <row r="31870">
      <c r="Y31870" s="372">
        <v>0.0</v>
      </c>
      <c r="Z31870" s="372">
        <v>0.0</v>
      </c>
    </row>
    <row r="31871">
      <c r="Y31871" s="372">
        <v>0.0</v>
      </c>
      <c r="Z31871" s="372">
        <v>0.0</v>
      </c>
    </row>
    <row r="31872">
      <c r="Y31872" s="372">
        <v>0.0</v>
      </c>
      <c r="Z31872" s="372">
        <v>0.0</v>
      </c>
    </row>
    <row r="31873">
      <c r="Y31873" s="372">
        <v>0.0</v>
      </c>
      <c r="Z31873" s="372">
        <v>0.0</v>
      </c>
    </row>
    <row r="31874">
      <c r="Y31874" s="372">
        <v>0.0</v>
      </c>
      <c r="Z31874" s="372">
        <v>0.0</v>
      </c>
    </row>
    <row r="31875">
      <c r="Y31875" s="372">
        <v>0.0</v>
      </c>
      <c r="Z31875" s="372">
        <v>0.0</v>
      </c>
    </row>
    <row r="31876">
      <c r="Y31876" s="372">
        <v>0.0</v>
      </c>
      <c r="Z31876" s="372">
        <v>0.0</v>
      </c>
    </row>
    <row r="31877">
      <c r="Y31877" s="372">
        <v>0.0</v>
      </c>
      <c r="Z31877" s="372">
        <v>0.0</v>
      </c>
    </row>
    <row r="31878">
      <c r="Y31878" s="372">
        <v>0.0</v>
      </c>
      <c r="Z31878" s="372">
        <v>0.0</v>
      </c>
    </row>
    <row r="31879">
      <c r="Y31879" s="372">
        <v>0.0</v>
      </c>
      <c r="Z31879" s="372">
        <v>0.0</v>
      </c>
    </row>
    <row r="31880">
      <c r="Y31880" s="372">
        <v>0.0</v>
      </c>
      <c r="Z31880" s="372">
        <v>0.0</v>
      </c>
    </row>
    <row r="31881">
      <c r="Y31881" s="372">
        <v>0.0</v>
      </c>
      <c r="Z31881" s="372">
        <v>0.0</v>
      </c>
    </row>
    <row r="31882">
      <c r="Y31882" s="372">
        <v>0.0</v>
      </c>
      <c r="Z31882" s="372">
        <v>0.0</v>
      </c>
    </row>
    <row r="31883">
      <c r="Y31883" s="372">
        <v>0.0</v>
      </c>
      <c r="Z31883" s="372">
        <v>0.0</v>
      </c>
    </row>
    <row r="31884">
      <c r="Y31884" s="372">
        <v>0.0</v>
      </c>
      <c r="Z31884" s="372">
        <v>0.0</v>
      </c>
    </row>
    <row r="31885">
      <c r="Y31885" s="372">
        <v>0.0</v>
      </c>
      <c r="Z31885" s="372">
        <v>0.0</v>
      </c>
    </row>
    <row r="31886">
      <c r="Y31886" s="372">
        <v>0.0</v>
      </c>
      <c r="Z31886" s="372">
        <v>0.0</v>
      </c>
    </row>
    <row r="31887">
      <c r="Y31887" s="372">
        <v>0.0</v>
      </c>
      <c r="Z31887" s="372">
        <v>0.0</v>
      </c>
    </row>
    <row r="31888">
      <c r="Y31888" s="372">
        <v>0.0</v>
      </c>
      <c r="Z31888" s="372">
        <v>0.0</v>
      </c>
    </row>
    <row r="31889">
      <c r="Y31889" s="372">
        <v>0.0</v>
      </c>
      <c r="Z31889" s="372">
        <v>0.0</v>
      </c>
    </row>
    <row r="31890">
      <c r="Y31890" s="372">
        <v>0.0</v>
      </c>
      <c r="Z31890" s="372">
        <v>0.0</v>
      </c>
    </row>
    <row r="31891">
      <c r="Y31891" s="372">
        <v>0.0</v>
      </c>
      <c r="Z31891" s="372">
        <v>0.0</v>
      </c>
    </row>
    <row r="31892">
      <c r="Y31892" s="372">
        <v>0.0</v>
      </c>
      <c r="Z31892" s="372">
        <v>0.0</v>
      </c>
    </row>
    <row r="31893">
      <c r="Y31893" s="372">
        <v>0.0</v>
      </c>
      <c r="Z31893" s="372">
        <v>0.0</v>
      </c>
    </row>
    <row r="31894">
      <c r="Y31894" s="372">
        <v>0.0</v>
      </c>
      <c r="Z31894" s="372">
        <v>0.0</v>
      </c>
    </row>
    <row r="31895">
      <c r="Y31895" s="372">
        <v>0.0</v>
      </c>
      <c r="Z31895" s="372">
        <v>0.0</v>
      </c>
    </row>
    <row r="31896">
      <c r="Y31896" s="372">
        <v>0.0</v>
      </c>
      <c r="Z31896" s="372">
        <v>0.0</v>
      </c>
    </row>
    <row r="31897">
      <c r="Y31897" s="372">
        <v>0.0</v>
      </c>
      <c r="Z31897" s="372">
        <v>0.0</v>
      </c>
    </row>
    <row r="31898">
      <c r="Y31898" s="372">
        <v>0.0</v>
      </c>
      <c r="Z31898" s="372">
        <v>0.0</v>
      </c>
    </row>
    <row r="31899">
      <c r="Y31899" s="372">
        <v>0.0</v>
      </c>
      <c r="Z31899" s="372">
        <v>0.0</v>
      </c>
    </row>
    <row r="31900">
      <c r="Y31900" s="372">
        <v>0.0</v>
      </c>
      <c r="Z31900" s="372">
        <v>0.0</v>
      </c>
    </row>
    <row r="31901">
      <c r="Y31901" s="372">
        <v>0.0</v>
      </c>
      <c r="Z31901" s="372">
        <v>0.0</v>
      </c>
    </row>
    <row r="31902">
      <c r="Y31902" s="372">
        <v>0.0</v>
      </c>
      <c r="Z31902" s="372">
        <v>0.0</v>
      </c>
    </row>
    <row r="31903">
      <c r="Y31903" s="372">
        <v>0.0</v>
      </c>
      <c r="Z31903" s="372">
        <v>0.0</v>
      </c>
    </row>
    <row r="31904">
      <c r="Y31904" s="372">
        <v>0.0</v>
      </c>
      <c r="Z31904" s="372">
        <v>0.0</v>
      </c>
    </row>
    <row r="31905">
      <c r="Y31905" s="372">
        <v>0.0</v>
      </c>
      <c r="Z31905" s="372">
        <v>0.0</v>
      </c>
    </row>
    <row r="31906">
      <c r="Y31906" s="372">
        <v>0.0</v>
      </c>
      <c r="Z31906" s="372">
        <v>0.0</v>
      </c>
    </row>
    <row r="31907">
      <c r="Y31907" s="372">
        <v>0.0</v>
      </c>
      <c r="Z31907" s="372">
        <v>0.0</v>
      </c>
    </row>
    <row r="31908">
      <c r="Y31908" s="372">
        <v>0.0</v>
      </c>
      <c r="Z31908" s="372">
        <v>0.0</v>
      </c>
    </row>
    <row r="31909">
      <c r="Y31909" s="372">
        <v>0.0</v>
      </c>
      <c r="Z31909" s="372">
        <v>0.0</v>
      </c>
    </row>
    <row r="31910">
      <c r="Y31910" s="372">
        <v>0.0</v>
      </c>
      <c r="Z31910" s="372">
        <v>0.0</v>
      </c>
    </row>
    <row r="31911">
      <c r="Y31911" s="372">
        <v>0.0</v>
      </c>
      <c r="Z31911" s="372">
        <v>0.0</v>
      </c>
    </row>
    <row r="31912">
      <c r="Y31912" s="372">
        <v>0.0</v>
      </c>
      <c r="Z31912" s="372">
        <v>0.0</v>
      </c>
    </row>
    <row r="31913">
      <c r="Y31913" s="372">
        <v>0.0</v>
      </c>
      <c r="Z31913" s="372">
        <v>0.0</v>
      </c>
    </row>
    <row r="31914">
      <c r="Y31914" s="372">
        <v>0.0</v>
      </c>
      <c r="Z31914" s="372">
        <v>0.0</v>
      </c>
    </row>
    <row r="31915">
      <c r="Y31915" s="372">
        <v>0.0</v>
      </c>
      <c r="Z31915" s="372">
        <v>0.0</v>
      </c>
    </row>
    <row r="31916">
      <c r="Y31916" s="372">
        <v>0.0</v>
      </c>
      <c r="Z31916" s="372">
        <v>0.0</v>
      </c>
    </row>
    <row r="31917">
      <c r="Y31917" s="372">
        <v>0.0</v>
      </c>
      <c r="Z31917" s="372">
        <v>0.0</v>
      </c>
    </row>
    <row r="31918">
      <c r="Y31918" s="372">
        <v>0.0</v>
      </c>
      <c r="Z31918" s="372">
        <v>0.0</v>
      </c>
    </row>
    <row r="31919">
      <c r="Y31919" s="372">
        <v>0.0</v>
      </c>
      <c r="Z31919" s="372">
        <v>0.0</v>
      </c>
    </row>
    <row r="31920">
      <c r="Y31920" s="372">
        <v>0.0</v>
      </c>
      <c r="Z31920" s="372">
        <v>0.0</v>
      </c>
    </row>
    <row r="31921">
      <c r="Y31921" s="372">
        <v>0.0</v>
      </c>
      <c r="Z31921" s="372">
        <v>0.0</v>
      </c>
    </row>
    <row r="31922">
      <c r="Y31922" s="372">
        <v>0.0</v>
      </c>
      <c r="Z31922" s="372">
        <v>0.0</v>
      </c>
    </row>
    <row r="31923">
      <c r="Y31923" s="372">
        <v>0.0</v>
      </c>
      <c r="Z31923" s="372">
        <v>0.0</v>
      </c>
    </row>
    <row r="31924">
      <c r="Y31924" s="372">
        <v>0.0</v>
      </c>
      <c r="Z31924" s="372">
        <v>0.0</v>
      </c>
    </row>
    <row r="31925">
      <c r="Y31925" s="372">
        <v>0.0</v>
      </c>
      <c r="Z31925" s="372">
        <v>0.0</v>
      </c>
    </row>
    <row r="31926">
      <c r="Y31926" s="372">
        <v>0.0</v>
      </c>
      <c r="Z31926" s="372">
        <v>0.0</v>
      </c>
    </row>
    <row r="31927">
      <c r="Y31927" s="372">
        <v>0.0</v>
      </c>
      <c r="Z31927" s="372">
        <v>0.0</v>
      </c>
    </row>
    <row r="31928">
      <c r="Y31928" s="372">
        <v>0.0</v>
      </c>
      <c r="Z31928" s="372">
        <v>0.0</v>
      </c>
    </row>
    <row r="31929">
      <c r="Y31929" s="372">
        <v>0.0</v>
      </c>
      <c r="Z31929" s="372">
        <v>0.0</v>
      </c>
    </row>
    <row r="31930">
      <c r="Y31930" s="372">
        <v>0.0</v>
      </c>
      <c r="Z31930" s="372">
        <v>0.0</v>
      </c>
    </row>
    <row r="31931">
      <c r="Y31931" s="372">
        <v>0.0</v>
      </c>
      <c r="Z31931" s="372">
        <v>0.0</v>
      </c>
    </row>
    <row r="31932">
      <c r="Y31932" s="372">
        <v>0.0</v>
      </c>
      <c r="Z31932" s="372">
        <v>0.0</v>
      </c>
    </row>
    <row r="31933">
      <c r="Y31933" s="372">
        <v>0.0</v>
      </c>
      <c r="Z31933" s="372">
        <v>0.0</v>
      </c>
    </row>
    <row r="31934">
      <c r="Y31934" s="372">
        <v>0.0</v>
      </c>
      <c r="Z31934" s="372">
        <v>0.0</v>
      </c>
    </row>
    <row r="31935">
      <c r="Y31935" s="372">
        <v>0.0</v>
      </c>
      <c r="Z31935" s="372">
        <v>0.0</v>
      </c>
    </row>
    <row r="31936">
      <c r="Y31936" s="372">
        <v>0.0</v>
      </c>
      <c r="Z31936" s="372">
        <v>0.0</v>
      </c>
    </row>
    <row r="31937">
      <c r="Y31937" s="372">
        <v>0.0</v>
      </c>
      <c r="Z31937" s="372">
        <v>0.0</v>
      </c>
    </row>
    <row r="31938">
      <c r="Y31938" s="372">
        <v>0.0</v>
      </c>
      <c r="Z31938" s="372">
        <v>0.0</v>
      </c>
    </row>
    <row r="31939">
      <c r="Y31939" s="372">
        <v>0.0</v>
      </c>
      <c r="Z31939" s="372">
        <v>0.0</v>
      </c>
    </row>
    <row r="31940">
      <c r="Y31940" s="372">
        <v>0.0</v>
      </c>
      <c r="Z31940" s="372">
        <v>0.0</v>
      </c>
    </row>
    <row r="31941">
      <c r="Y31941" s="372">
        <v>0.0</v>
      </c>
      <c r="Z31941" s="372">
        <v>0.0</v>
      </c>
    </row>
    <row r="31942">
      <c r="Y31942" s="372">
        <v>0.0</v>
      </c>
      <c r="Z31942" s="372">
        <v>0.0</v>
      </c>
    </row>
    <row r="31943">
      <c r="Y31943" s="372">
        <v>0.0</v>
      </c>
      <c r="Z31943" s="372">
        <v>0.0</v>
      </c>
    </row>
    <row r="31944">
      <c r="Y31944" s="372">
        <v>0.0</v>
      </c>
      <c r="Z31944" s="372">
        <v>0.0</v>
      </c>
    </row>
    <row r="31945">
      <c r="Y31945" s="372">
        <v>0.0</v>
      </c>
      <c r="Z31945" s="372">
        <v>0.0</v>
      </c>
    </row>
    <row r="31946">
      <c r="Y31946" s="372">
        <v>0.0</v>
      </c>
      <c r="Z31946" s="372">
        <v>0.0</v>
      </c>
    </row>
    <row r="31947">
      <c r="Y31947" s="372">
        <v>0.0</v>
      </c>
      <c r="Z31947" s="372">
        <v>0.0</v>
      </c>
    </row>
    <row r="31948">
      <c r="Y31948" s="372">
        <v>0.0</v>
      </c>
      <c r="Z31948" s="372">
        <v>0.0</v>
      </c>
    </row>
    <row r="31949">
      <c r="Y31949" s="372">
        <v>0.0</v>
      </c>
      <c r="Z31949" s="372">
        <v>0.0</v>
      </c>
    </row>
    <row r="31950">
      <c r="Y31950" s="372">
        <v>0.0</v>
      </c>
      <c r="Z31950" s="372">
        <v>0.0</v>
      </c>
    </row>
    <row r="31951">
      <c r="Y31951" s="372">
        <v>0.0</v>
      </c>
      <c r="Z31951" s="372">
        <v>0.0</v>
      </c>
    </row>
    <row r="31952">
      <c r="Y31952" s="372">
        <v>0.0</v>
      </c>
      <c r="Z31952" s="372">
        <v>0.0</v>
      </c>
    </row>
    <row r="31953">
      <c r="Y31953" s="372">
        <v>0.0</v>
      </c>
      <c r="Z31953" s="372">
        <v>0.0</v>
      </c>
    </row>
    <row r="31954">
      <c r="Y31954" s="372">
        <v>0.0</v>
      </c>
      <c r="Z31954" s="372">
        <v>0.0</v>
      </c>
    </row>
    <row r="31955">
      <c r="Y31955" s="372">
        <v>0.0</v>
      </c>
      <c r="Z31955" s="372">
        <v>0.0</v>
      </c>
    </row>
    <row r="31956">
      <c r="Y31956" s="372">
        <v>0.0</v>
      </c>
      <c r="Z31956" s="372">
        <v>0.0</v>
      </c>
    </row>
    <row r="31957">
      <c r="Y31957" s="372">
        <v>0.0</v>
      </c>
      <c r="Z31957" s="372">
        <v>0.0</v>
      </c>
    </row>
    <row r="31958">
      <c r="Y31958" s="372">
        <v>0.0</v>
      </c>
      <c r="Z31958" s="372">
        <v>0.0</v>
      </c>
    </row>
    <row r="31959">
      <c r="Y31959" s="372">
        <v>0.0</v>
      </c>
      <c r="Z31959" s="372">
        <v>0.0</v>
      </c>
    </row>
    <row r="31960">
      <c r="Y31960" s="372">
        <v>0.0</v>
      </c>
      <c r="Z31960" s="372">
        <v>0.0</v>
      </c>
    </row>
    <row r="31961">
      <c r="Y31961" s="372">
        <v>0.0</v>
      </c>
      <c r="Z31961" s="372">
        <v>0.0</v>
      </c>
    </row>
    <row r="31962">
      <c r="Y31962" s="372">
        <v>0.0</v>
      </c>
      <c r="Z31962" s="372">
        <v>0.0</v>
      </c>
    </row>
    <row r="31963">
      <c r="Y31963" s="372">
        <v>0.0</v>
      </c>
      <c r="Z31963" s="372">
        <v>0.0</v>
      </c>
    </row>
    <row r="31964">
      <c r="Y31964" s="372">
        <v>0.0</v>
      </c>
      <c r="Z31964" s="372">
        <v>0.0</v>
      </c>
    </row>
    <row r="31965">
      <c r="Y31965" s="372">
        <v>0.0</v>
      </c>
      <c r="Z31965" s="372">
        <v>0.0</v>
      </c>
    </row>
    <row r="31966">
      <c r="Y31966" s="372">
        <v>0.0</v>
      </c>
      <c r="Z31966" s="372">
        <v>0.0</v>
      </c>
    </row>
    <row r="31967">
      <c r="Y31967" s="372">
        <v>0.0</v>
      </c>
      <c r="Z31967" s="372">
        <v>0.0</v>
      </c>
    </row>
    <row r="31968">
      <c r="Y31968" s="372">
        <v>0.0</v>
      </c>
      <c r="Z31968" s="372">
        <v>0.0</v>
      </c>
    </row>
    <row r="31969">
      <c r="Y31969" s="372">
        <v>0.0</v>
      </c>
      <c r="Z31969" s="372">
        <v>0.0</v>
      </c>
    </row>
    <row r="31970">
      <c r="Y31970" s="372">
        <v>0.0</v>
      </c>
      <c r="Z31970" s="372">
        <v>0.0</v>
      </c>
    </row>
    <row r="31971">
      <c r="Y31971" s="372">
        <v>0.0</v>
      </c>
      <c r="Z31971" s="372">
        <v>0.0</v>
      </c>
    </row>
    <row r="31972">
      <c r="Y31972" s="372">
        <v>0.0</v>
      </c>
      <c r="Z31972" s="372">
        <v>0.0</v>
      </c>
    </row>
    <row r="31973">
      <c r="Y31973" s="372">
        <v>0.0</v>
      </c>
      <c r="Z31973" s="372">
        <v>0.0</v>
      </c>
    </row>
    <row r="31974">
      <c r="Y31974" s="372">
        <v>0.0</v>
      </c>
      <c r="Z31974" s="372">
        <v>0.0</v>
      </c>
    </row>
    <row r="31975">
      <c r="Y31975" s="372">
        <v>0.0</v>
      </c>
      <c r="Z31975" s="372">
        <v>0.0</v>
      </c>
    </row>
    <row r="31976">
      <c r="Y31976" s="372">
        <v>0.0</v>
      </c>
      <c r="Z31976" s="372">
        <v>0.0</v>
      </c>
    </row>
    <row r="31977">
      <c r="Y31977" s="372">
        <v>0.0</v>
      </c>
      <c r="Z31977" s="372">
        <v>0.0</v>
      </c>
    </row>
    <row r="31978">
      <c r="Y31978" s="372">
        <v>0.0</v>
      </c>
      <c r="Z31978" s="372">
        <v>0.0</v>
      </c>
    </row>
    <row r="31979">
      <c r="Y31979" s="372">
        <v>0.0</v>
      </c>
      <c r="Z31979" s="372">
        <v>0.0</v>
      </c>
    </row>
    <row r="31980">
      <c r="Y31980" s="372">
        <v>0.0</v>
      </c>
      <c r="Z31980" s="372">
        <v>0.0</v>
      </c>
    </row>
    <row r="31981">
      <c r="Y31981" s="372">
        <v>0.0</v>
      </c>
      <c r="Z31981" s="372">
        <v>0.0</v>
      </c>
    </row>
    <row r="31982">
      <c r="Y31982" s="372">
        <v>0.0</v>
      </c>
      <c r="Z31982" s="372">
        <v>0.0</v>
      </c>
    </row>
    <row r="31983">
      <c r="Y31983" s="372">
        <v>0.0</v>
      </c>
      <c r="Z31983" s="372">
        <v>0.0</v>
      </c>
    </row>
    <row r="31984">
      <c r="Y31984" s="372">
        <v>0.0</v>
      </c>
      <c r="Z31984" s="372">
        <v>0.0</v>
      </c>
    </row>
    <row r="31985">
      <c r="Y31985" s="372">
        <v>0.0</v>
      </c>
      <c r="Z31985" s="372">
        <v>0.0</v>
      </c>
    </row>
    <row r="31986">
      <c r="Y31986" s="372">
        <v>0.0</v>
      </c>
      <c r="Z31986" s="372">
        <v>0.0</v>
      </c>
    </row>
    <row r="31987">
      <c r="Y31987" s="372">
        <v>0.0</v>
      </c>
      <c r="Z31987" s="372">
        <v>0.0</v>
      </c>
    </row>
    <row r="31988">
      <c r="Y31988" s="372">
        <v>0.0</v>
      </c>
      <c r="Z31988" s="372">
        <v>0.0</v>
      </c>
    </row>
    <row r="31989">
      <c r="Y31989" s="372">
        <v>0.0</v>
      </c>
      <c r="Z31989" s="372">
        <v>0.0</v>
      </c>
    </row>
    <row r="31990">
      <c r="Y31990" s="372">
        <v>0.0</v>
      </c>
      <c r="Z31990" s="372">
        <v>0.0</v>
      </c>
    </row>
    <row r="31991">
      <c r="Y31991" s="372">
        <v>0.0</v>
      </c>
      <c r="Z31991" s="372">
        <v>0.0</v>
      </c>
    </row>
    <row r="31992">
      <c r="Y31992" s="372">
        <v>0.0</v>
      </c>
      <c r="Z31992" s="372">
        <v>0.0</v>
      </c>
    </row>
    <row r="31993">
      <c r="Y31993" s="372">
        <v>0.0</v>
      </c>
      <c r="Z31993" s="372">
        <v>0.0</v>
      </c>
    </row>
    <row r="31994">
      <c r="Y31994" s="372">
        <v>0.0</v>
      </c>
      <c r="Z31994" s="372">
        <v>0.0</v>
      </c>
    </row>
    <row r="31995">
      <c r="Y31995" s="372">
        <v>0.0</v>
      </c>
      <c r="Z31995" s="372">
        <v>0.0</v>
      </c>
    </row>
    <row r="31996">
      <c r="Y31996" s="372">
        <v>0.0</v>
      </c>
      <c r="Z31996" s="372">
        <v>0.0</v>
      </c>
    </row>
    <row r="31997">
      <c r="Y31997" s="372">
        <v>0.0</v>
      </c>
      <c r="Z31997" s="372">
        <v>0.0</v>
      </c>
    </row>
    <row r="31998">
      <c r="Y31998" s="372">
        <v>0.0</v>
      </c>
      <c r="Z31998" s="372">
        <v>0.0</v>
      </c>
    </row>
    <row r="31999">
      <c r="Y31999" s="372">
        <v>0.0</v>
      </c>
      <c r="Z31999" s="372">
        <v>0.0</v>
      </c>
    </row>
    <row r="32000">
      <c r="Y32000" s="372">
        <v>0.0</v>
      </c>
      <c r="Z32000" s="372">
        <v>0.0</v>
      </c>
    </row>
    <row r="32001">
      <c r="Y32001" s="372">
        <v>0.0</v>
      </c>
      <c r="Z32001" s="372">
        <v>0.0</v>
      </c>
    </row>
    <row r="32002">
      <c r="Y32002" s="372">
        <v>0.0</v>
      </c>
      <c r="Z32002" s="372">
        <v>0.0</v>
      </c>
    </row>
    <row r="32003">
      <c r="Y32003" s="372">
        <v>0.0</v>
      </c>
      <c r="Z32003" s="372">
        <v>0.0</v>
      </c>
    </row>
    <row r="32004">
      <c r="Y32004" s="372">
        <v>0.0</v>
      </c>
      <c r="Z32004" s="372">
        <v>0.0</v>
      </c>
    </row>
    <row r="32005">
      <c r="Y32005" s="372">
        <v>0.0</v>
      </c>
      <c r="Z32005" s="372">
        <v>0.0</v>
      </c>
    </row>
    <row r="32006">
      <c r="Y32006" s="372">
        <v>0.0</v>
      </c>
      <c r="Z32006" s="372">
        <v>0.0</v>
      </c>
    </row>
    <row r="32007">
      <c r="Y32007" s="372">
        <v>0.0</v>
      </c>
      <c r="Z32007" s="372">
        <v>0.0</v>
      </c>
    </row>
    <row r="32008">
      <c r="Y32008" s="372">
        <v>0.0</v>
      </c>
      <c r="Z32008" s="372">
        <v>0.0</v>
      </c>
    </row>
    <row r="32009">
      <c r="Y32009" s="372">
        <v>0.0</v>
      </c>
      <c r="Z32009" s="372">
        <v>0.0</v>
      </c>
    </row>
    <row r="32010">
      <c r="Y32010" s="372">
        <v>0.0</v>
      </c>
      <c r="Z32010" s="372">
        <v>0.0</v>
      </c>
    </row>
    <row r="32011">
      <c r="Y32011" s="372">
        <v>0.0</v>
      </c>
      <c r="Z32011" s="372">
        <v>0.0</v>
      </c>
    </row>
    <row r="32012">
      <c r="Y32012" s="372">
        <v>0.0</v>
      </c>
      <c r="Z32012" s="372">
        <v>0.0</v>
      </c>
    </row>
    <row r="32013">
      <c r="Y32013" s="372">
        <v>0.0</v>
      </c>
      <c r="Z32013" s="372">
        <v>0.0</v>
      </c>
    </row>
    <row r="32014">
      <c r="Y32014" s="372">
        <v>0.0</v>
      </c>
      <c r="Z32014" s="372">
        <v>0.0</v>
      </c>
    </row>
    <row r="32015">
      <c r="Y32015" s="372">
        <v>0.0</v>
      </c>
      <c r="Z32015" s="372">
        <v>0.0</v>
      </c>
    </row>
    <row r="32016">
      <c r="Y32016" s="372">
        <v>0.0</v>
      </c>
      <c r="Z32016" s="372">
        <v>0.0</v>
      </c>
    </row>
    <row r="32017">
      <c r="Y32017" s="372">
        <v>0.0</v>
      </c>
      <c r="Z32017" s="372">
        <v>0.0</v>
      </c>
    </row>
    <row r="32018">
      <c r="Y32018" s="372">
        <v>0.0</v>
      </c>
      <c r="Z32018" s="372">
        <v>0.0</v>
      </c>
    </row>
    <row r="32019">
      <c r="Y32019" s="372">
        <v>0.0</v>
      </c>
      <c r="Z32019" s="372">
        <v>0.0</v>
      </c>
    </row>
    <row r="32020">
      <c r="Y32020" s="372">
        <v>0.0</v>
      </c>
      <c r="Z32020" s="372">
        <v>0.0</v>
      </c>
    </row>
    <row r="32021">
      <c r="Y32021" s="372">
        <v>0.0</v>
      </c>
      <c r="Z32021" s="372">
        <v>0.0</v>
      </c>
    </row>
    <row r="32022">
      <c r="Y32022" s="372">
        <v>0.0</v>
      </c>
      <c r="Z32022" s="372">
        <v>0.0</v>
      </c>
    </row>
    <row r="32023">
      <c r="Y32023" s="372">
        <v>0.0</v>
      </c>
      <c r="Z32023" s="372">
        <v>0.0</v>
      </c>
    </row>
    <row r="32024">
      <c r="Y32024" s="372">
        <v>0.0</v>
      </c>
      <c r="Z32024" s="372">
        <v>0.0</v>
      </c>
    </row>
    <row r="32025">
      <c r="Y32025" s="372">
        <v>0.0</v>
      </c>
      <c r="Z32025" s="372">
        <v>0.0</v>
      </c>
    </row>
    <row r="32026">
      <c r="Y32026" s="372">
        <v>0.0</v>
      </c>
      <c r="Z32026" s="372">
        <v>0.0</v>
      </c>
    </row>
    <row r="32027">
      <c r="Y32027" s="372">
        <v>0.0</v>
      </c>
      <c r="Z32027" s="372">
        <v>0.0</v>
      </c>
    </row>
    <row r="32028">
      <c r="Y32028" s="372">
        <v>0.0</v>
      </c>
      <c r="Z32028" s="372">
        <v>0.0</v>
      </c>
    </row>
    <row r="32029">
      <c r="Y32029" s="372">
        <v>0.0</v>
      </c>
      <c r="Z32029" s="372">
        <v>0.0</v>
      </c>
    </row>
    <row r="32030">
      <c r="Y32030" s="372">
        <v>0.0</v>
      </c>
      <c r="Z32030" s="372">
        <v>0.0</v>
      </c>
    </row>
    <row r="32031">
      <c r="Y32031" s="372">
        <v>0.0</v>
      </c>
      <c r="Z32031" s="372">
        <v>0.0</v>
      </c>
    </row>
    <row r="32032">
      <c r="Y32032" s="372">
        <v>0.0</v>
      </c>
      <c r="Z32032" s="372">
        <v>0.0</v>
      </c>
    </row>
    <row r="32033">
      <c r="Y32033" s="372">
        <v>0.0</v>
      </c>
      <c r="Z32033" s="372">
        <v>0.0</v>
      </c>
    </row>
    <row r="32034">
      <c r="Y32034" s="372">
        <v>0.0</v>
      </c>
      <c r="Z32034" s="372">
        <v>0.0</v>
      </c>
    </row>
    <row r="32035">
      <c r="Y32035" s="372">
        <v>0.0</v>
      </c>
      <c r="Z32035" s="372">
        <v>0.0</v>
      </c>
    </row>
    <row r="32036">
      <c r="Y32036" s="372">
        <v>0.0</v>
      </c>
      <c r="Z32036" s="372">
        <v>0.0</v>
      </c>
    </row>
    <row r="32037">
      <c r="Y32037" s="372">
        <v>0.0</v>
      </c>
      <c r="Z32037" s="372">
        <v>0.0</v>
      </c>
    </row>
    <row r="32038">
      <c r="Y32038" s="372">
        <v>0.0</v>
      </c>
      <c r="Z32038" s="372">
        <v>0.0</v>
      </c>
    </row>
    <row r="32039">
      <c r="Y32039" s="372">
        <v>0.0</v>
      </c>
      <c r="Z32039" s="372">
        <v>0.0</v>
      </c>
    </row>
    <row r="32040">
      <c r="Y32040" s="372">
        <v>0.0</v>
      </c>
      <c r="Z32040" s="372">
        <v>0.0</v>
      </c>
    </row>
    <row r="32041">
      <c r="Y32041" s="372">
        <v>0.0</v>
      </c>
      <c r="Z32041" s="372">
        <v>0.0</v>
      </c>
    </row>
    <row r="32042">
      <c r="Y32042" s="372">
        <v>0.0</v>
      </c>
      <c r="Z32042" s="372">
        <v>0.0</v>
      </c>
    </row>
    <row r="32043">
      <c r="Y32043" s="372">
        <v>0.0</v>
      </c>
      <c r="Z32043" s="372">
        <v>0.0</v>
      </c>
    </row>
    <row r="32044">
      <c r="Y32044" s="372">
        <v>0.0</v>
      </c>
      <c r="Z32044" s="372">
        <v>0.0</v>
      </c>
    </row>
    <row r="32045">
      <c r="Y32045" s="372">
        <v>0.0</v>
      </c>
      <c r="Z32045" s="372">
        <v>0.0</v>
      </c>
    </row>
    <row r="32046">
      <c r="Y32046" s="372">
        <v>0.0</v>
      </c>
      <c r="Z32046" s="372">
        <v>0.0</v>
      </c>
    </row>
    <row r="32047">
      <c r="Y32047" s="372">
        <v>0.0</v>
      </c>
      <c r="Z32047" s="372">
        <v>0.0</v>
      </c>
    </row>
    <row r="32048">
      <c r="Y32048" s="372">
        <v>0.0</v>
      </c>
      <c r="Z32048" s="372">
        <v>0.0</v>
      </c>
    </row>
    <row r="32049">
      <c r="Y32049" s="372">
        <v>0.0</v>
      </c>
      <c r="Z32049" s="372">
        <v>0.0</v>
      </c>
    </row>
    <row r="32050">
      <c r="Y32050" s="372">
        <v>0.0</v>
      </c>
      <c r="Z32050" s="372">
        <v>0.0</v>
      </c>
    </row>
    <row r="32051">
      <c r="Y32051" s="372">
        <v>0.0</v>
      </c>
      <c r="Z32051" s="372">
        <v>0.0</v>
      </c>
    </row>
    <row r="32052">
      <c r="Y32052" s="372">
        <v>0.0</v>
      </c>
      <c r="Z32052" s="372">
        <v>0.0</v>
      </c>
    </row>
    <row r="32053">
      <c r="Y32053" s="372">
        <v>0.0</v>
      </c>
      <c r="Z32053" s="372">
        <v>0.0</v>
      </c>
    </row>
    <row r="32054">
      <c r="Y32054" s="372">
        <v>0.0</v>
      </c>
      <c r="Z32054" s="372">
        <v>0.0</v>
      </c>
    </row>
    <row r="32055">
      <c r="Y32055" s="372">
        <v>0.0</v>
      </c>
      <c r="Z32055" s="372">
        <v>0.0</v>
      </c>
    </row>
    <row r="32056">
      <c r="Y32056" s="372">
        <v>0.0</v>
      </c>
      <c r="Z32056" s="372">
        <v>0.0</v>
      </c>
    </row>
    <row r="32057">
      <c r="Y32057" s="372">
        <v>0.0</v>
      </c>
      <c r="Z32057" s="372">
        <v>0.0</v>
      </c>
    </row>
    <row r="32058">
      <c r="Y32058" s="372">
        <v>0.0</v>
      </c>
      <c r="Z32058" s="372">
        <v>0.0</v>
      </c>
    </row>
    <row r="32059">
      <c r="Y32059" s="372">
        <v>0.0</v>
      </c>
      <c r="Z32059" s="372">
        <v>0.0</v>
      </c>
    </row>
    <row r="32060">
      <c r="Y32060" s="372">
        <v>0.0</v>
      </c>
      <c r="Z32060" s="372">
        <v>0.0</v>
      </c>
    </row>
    <row r="32061">
      <c r="Y32061" s="372">
        <v>0.0</v>
      </c>
      <c r="Z32061" s="372">
        <v>0.0</v>
      </c>
    </row>
    <row r="32062">
      <c r="Y32062" s="372">
        <v>0.0</v>
      </c>
      <c r="Z32062" s="372">
        <v>0.0</v>
      </c>
    </row>
    <row r="32063">
      <c r="Y32063" s="372">
        <v>0.0</v>
      </c>
      <c r="Z32063" s="372">
        <v>0.0</v>
      </c>
    </row>
    <row r="32064">
      <c r="Y32064" s="372">
        <v>0.0</v>
      </c>
      <c r="Z32064" s="372">
        <v>0.0</v>
      </c>
    </row>
    <row r="32065">
      <c r="Y32065" s="372">
        <v>0.0</v>
      </c>
      <c r="Z32065" s="372">
        <v>0.0</v>
      </c>
    </row>
    <row r="32066">
      <c r="Y32066" s="372">
        <v>0.0</v>
      </c>
      <c r="Z32066" s="372">
        <v>0.0</v>
      </c>
    </row>
    <row r="32067">
      <c r="Y32067" s="372">
        <v>0.0</v>
      </c>
      <c r="Z32067" s="372">
        <v>0.0</v>
      </c>
    </row>
    <row r="32068">
      <c r="Y32068" s="372">
        <v>0.0</v>
      </c>
      <c r="Z32068" s="372">
        <v>0.0</v>
      </c>
    </row>
    <row r="32069">
      <c r="Y32069" s="372">
        <v>0.0</v>
      </c>
      <c r="Z32069" s="372">
        <v>0.0</v>
      </c>
    </row>
    <row r="32070">
      <c r="Y32070" s="372">
        <v>0.0</v>
      </c>
      <c r="Z32070" s="372">
        <v>0.0</v>
      </c>
    </row>
    <row r="32071">
      <c r="Y32071" s="372">
        <v>0.0</v>
      </c>
      <c r="Z32071" s="372">
        <v>0.0</v>
      </c>
    </row>
    <row r="32072">
      <c r="Y32072" s="372">
        <v>0.0</v>
      </c>
      <c r="Z32072" s="372">
        <v>0.0</v>
      </c>
    </row>
    <row r="32073">
      <c r="Y32073" s="372">
        <v>0.0</v>
      </c>
      <c r="Z32073" s="372">
        <v>0.0</v>
      </c>
    </row>
    <row r="32074">
      <c r="Y32074" s="372">
        <v>0.0</v>
      </c>
      <c r="Z32074" s="372">
        <v>0.0</v>
      </c>
    </row>
    <row r="32075">
      <c r="Y32075" s="372">
        <v>0.0</v>
      </c>
      <c r="Z32075" s="372">
        <v>0.0</v>
      </c>
    </row>
    <row r="32076">
      <c r="Y32076" s="372">
        <v>0.0</v>
      </c>
      <c r="Z32076" s="372">
        <v>0.0</v>
      </c>
    </row>
    <row r="32077">
      <c r="Y32077" s="372">
        <v>0.0</v>
      </c>
      <c r="Z32077" s="372">
        <v>0.0</v>
      </c>
    </row>
    <row r="32078">
      <c r="Y32078" s="372">
        <v>0.0</v>
      </c>
      <c r="Z32078" s="372">
        <v>0.0</v>
      </c>
    </row>
    <row r="32079">
      <c r="Y32079" s="372">
        <v>0.0</v>
      </c>
      <c r="Z32079" s="372">
        <v>0.0</v>
      </c>
    </row>
    <row r="32080">
      <c r="Y32080" s="372">
        <v>0.0</v>
      </c>
      <c r="Z32080" s="372">
        <v>0.0</v>
      </c>
    </row>
    <row r="32081">
      <c r="Y32081" s="372">
        <v>0.0</v>
      </c>
      <c r="Z32081" s="372">
        <v>0.0</v>
      </c>
    </row>
    <row r="32082">
      <c r="Y32082" s="372">
        <v>0.0</v>
      </c>
      <c r="Z32082" s="372">
        <v>0.0</v>
      </c>
    </row>
    <row r="32083">
      <c r="Y32083" s="372">
        <v>0.0</v>
      </c>
      <c r="Z32083" s="372">
        <v>0.0</v>
      </c>
    </row>
    <row r="32084">
      <c r="Y32084" s="372">
        <v>0.0</v>
      </c>
      <c r="Z32084" s="372">
        <v>0.0</v>
      </c>
    </row>
    <row r="32085">
      <c r="Y32085" s="372">
        <v>0.0</v>
      </c>
      <c r="Z32085" s="372">
        <v>0.0</v>
      </c>
    </row>
    <row r="32086">
      <c r="Y32086" s="372">
        <v>0.0</v>
      </c>
      <c r="Z32086" s="372">
        <v>0.0</v>
      </c>
    </row>
    <row r="32087">
      <c r="Y32087" s="372">
        <v>0.0</v>
      </c>
      <c r="Z32087" s="372">
        <v>0.0</v>
      </c>
    </row>
    <row r="32088">
      <c r="Y32088" s="372">
        <v>0.0</v>
      </c>
      <c r="Z32088" s="372">
        <v>0.0</v>
      </c>
    </row>
    <row r="32089">
      <c r="Y32089" s="372">
        <v>0.0</v>
      </c>
      <c r="Z32089" s="372">
        <v>0.0</v>
      </c>
    </row>
    <row r="32090">
      <c r="Y32090" s="372">
        <v>0.0</v>
      </c>
      <c r="Z32090" s="372">
        <v>0.0</v>
      </c>
    </row>
    <row r="32091">
      <c r="Y32091" s="372">
        <v>0.0</v>
      </c>
      <c r="Z32091" s="372">
        <v>0.0</v>
      </c>
    </row>
    <row r="32092">
      <c r="Y32092" s="372">
        <v>0.0</v>
      </c>
      <c r="Z32092" s="372">
        <v>0.0</v>
      </c>
    </row>
    <row r="32093">
      <c r="Y32093" s="372">
        <v>0.0</v>
      </c>
      <c r="Z32093" s="372">
        <v>0.0</v>
      </c>
    </row>
    <row r="32094">
      <c r="Y32094" s="372">
        <v>0.0</v>
      </c>
      <c r="Z32094" s="372">
        <v>0.0</v>
      </c>
    </row>
    <row r="32095">
      <c r="Y32095" s="372">
        <v>0.0</v>
      </c>
      <c r="Z32095" s="372">
        <v>0.0</v>
      </c>
    </row>
    <row r="32096">
      <c r="Y32096" s="372">
        <v>0.0</v>
      </c>
      <c r="Z32096" s="372">
        <v>0.0</v>
      </c>
    </row>
    <row r="32097">
      <c r="Y32097" s="372">
        <v>0.0</v>
      </c>
      <c r="Z32097" s="372">
        <v>0.0</v>
      </c>
    </row>
    <row r="32098">
      <c r="Y32098" s="372">
        <v>0.0</v>
      </c>
      <c r="Z32098" s="372">
        <v>0.0</v>
      </c>
    </row>
    <row r="32099">
      <c r="Y32099" s="372">
        <v>0.0</v>
      </c>
      <c r="Z32099" s="372">
        <v>0.0</v>
      </c>
    </row>
    <row r="32100">
      <c r="Y32100" s="372">
        <v>0.0</v>
      </c>
      <c r="Z32100" s="372">
        <v>0.0</v>
      </c>
    </row>
    <row r="32101">
      <c r="Y32101" s="372">
        <v>0.0</v>
      </c>
      <c r="Z32101" s="372">
        <v>0.0</v>
      </c>
    </row>
    <row r="32102">
      <c r="Y32102" s="372">
        <v>0.0</v>
      </c>
      <c r="Z32102" s="372">
        <v>0.0</v>
      </c>
    </row>
    <row r="32103">
      <c r="Y32103" s="372">
        <v>0.0</v>
      </c>
      <c r="Z32103" s="372">
        <v>0.0</v>
      </c>
    </row>
    <row r="32104">
      <c r="Y32104" s="372">
        <v>0.0</v>
      </c>
      <c r="Z32104" s="372">
        <v>0.0</v>
      </c>
    </row>
    <row r="32105">
      <c r="Y32105" s="372">
        <v>0.0</v>
      </c>
      <c r="Z32105" s="372">
        <v>0.0</v>
      </c>
    </row>
    <row r="32106">
      <c r="Y32106" s="372">
        <v>0.0</v>
      </c>
      <c r="Z32106" s="372">
        <v>0.0</v>
      </c>
    </row>
    <row r="32107">
      <c r="Y32107" s="372">
        <v>0.0</v>
      </c>
      <c r="Z32107" s="372">
        <v>0.0</v>
      </c>
    </row>
    <row r="32108">
      <c r="Y32108" s="372">
        <v>0.0</v>
      </c>
      <c r="Z32108" s="372">
        <v>0.0</v>
      </c>
    </row>
    <row r="32109">
      <c r="Y32109" s="372">
        <v>0.0</v>
      </c>
      <c r="Z32109" s="372">
        <v>0.0</v>
      </c>
    </row>
    <row r="32110">
      <c r="Y32110" s="372">
        <v>0.0</v>
      </c>
      <c r="Z32110" s="372">
        <v>0.0</v>
      </c>
    </row>
    <row r="32111">
      <c r="Y32111" s="372">
        <v>0.0</v>
      </c>
      <c r="Z32111" s="372">
        <v>0.0</v>
      </c>
    </row>
    <row r="32112">
      <c r="Y32112" s="372">
        <v>0.0</v>
      </c>
      <c r="Z32112" s="372">
        <v>0.0</v>
      </c>
    </row>
    <row r="32113">
      <c r="Y32113" s="372">
        <v>0.0</v>
      </c>
      <c r="Z32113" s="372">
        <v>0.0</v>
      </c>
    </row>
    <row r="32114">
      <c r="Y32114" s="372">
        <v>0.0</v>
      </c>
      <c r="Z32114" s="372">
        <v>0.0</v>
      </c>
    </row>
    <row r="32115">
      <c r="Y32115" s="372">
        <v>0.0</v>
      </c>
      <c r="Z32115" s="372">
        <v>0.0</v>
      </c>
    </row>
    <row r="32116">
      <c r="Y32116" s="372">
        <v>0.0</v>
      </c>
      <c r="Z32116" s="372">
        <v>0.0</v>
      </c>
    </row>
    <row r="32117">
      <c r="Y32117" s="372">
        <v>0.0</v>
      </c>
      <c r="Z32117" s="372">
        <v>0.0</v>
      </c>
    </row>
    <row r="32118">
      <c r="Y32118" s="372">
        <v>0.0</v>
      </c>
      <c r="Z32118" s="372">
        <v>0.0</v>
      </c>
    </row>
    <row r="32119">
      <c r="Y32119" s="372">
        <v>0.0</v>
      </c>
      <c r="Z32119" s="372">
        <v>0.0</v>
      </c>
    </row>
    <row r="32120">
      <c r="Y32120" s="372">
        <v>0.0</v>
      </c>
      <c r="Z32120" s="372">
        <v>0.0</v>
      </c>
    </row>
    <row r="32121">
      <c r="Y32121" s="372">
        <v>0.0</v>
      </c>
      <c r="Z32121" s="372">
        <v>0.0</v>
      </c>
    </row>
    <row r="32122">
      <c r="Y32122" s="372">
        <v>0.0</v>
      </c>
      <c r="Z32122" s="372">
        <v>0.0</v>
      </c>
    </row>
    <row r="32123">
      <c r="Y32123" s="372">
        <v>0.0</v>
      </c>
      <c r="Z32123" s="372">
        <v>0.0</v>
      </c>
    </row>
    <row r="32124">
      <c r="Y32124" s="372">
        <v>0.0</v>
      </c>
      <c r="Z32124" s="372">
        <v>0.0</v>
      </c>
    </row>
    <row r="32125">
      <c r="Y32125" s="372">
        <v>0.0</v>
      </c>
      <c r="Z32125" s="372">
        <v>0.0</v>
      </c>
    </row>
    <row r="32126">
      <c r="Y32126" s="372">
        <v>0.0</v>
      </c>
      <c r="Z32126" s="372">
        <v>0.0</v>
      </c>
    </row>
    <row r="32127">
      <c r="Y32127" s="372">
        <v>0.0</v>
      </c>
      <c r="Z32127" s="372">
        <v>0.0</v>
      </c>
    </row>
    <row r="32128">
      <c r="Y32128" s="372">
        <v>0.0</v>
      </c>
      <c r="Z32128" s="372">
        <v>0.0</v>
      </c>
    </row>
    <row r="32129">
      <c r="Y32129" s="372">
        <v>0.0</v>
      </c>
      <c r="Z32129" s="372">
        <v>0.0</v>
      </c>
    </row>
    <row r="32130">
      <c r="Y32130" s="372">
        <v>0.0</v>
      </c>
      <c r="Z32130" s="372">
        <v>0.0</v>
      </c>
    </row>
    <row r="32131">
      <c r="Y32131" s="372">
        <v>0.0</v>
      </c>
      <c r="Z32131" s="372">
        <v>0.0</v>
      </c>
    </row>
    <row r="32132">
      <c r="Y32132" s="372">
        <v>0.0</v>
      </c>
      <c r="Z32132" s="372">
        <v>0.0</v>
      </c>
    </row>
    <row r="32133">
      <c r="Y32133" s="372">
        <v>0.0</v>
      </c>
      <c r="Z32133" s="372">
        <v>0.0</v>
      </c>
    </row>
    <row r="32134">
      <c r="Y32134" s="372">
        <v>0.0</v>
      </c>
      <c r="Z32134" s="372">
        <v>0.0</v>
      </c>
    </row>
    <row r="32135">
      <c r="Y32135" s="372">
        <v>0.0</v>
      </c>
      <c r="Z32135" s="372">
        <v>0.0</v>
      </c>
    </row>
    <row r="32136">
      <c r="Y32136" s="372">
        <v>0.0</v>
      </c>
      <c r="Z32136" s="372">
        <v>0.0</v>
      </c>
    </row>
    <row r="32137">
      <c r="Y32137" s="372">
        <v>0.0</v>
      </c>
      <c r="Z32137" s="372">
        <v>0.0</v>
      </c>
    </row>
    <row r="32138">
      <c r="Y32138" s="372">
        <v>0.0</v>
      </c>
      <c r="Z32138" s="372">
        <v>0.0</v>
      </c>
    </row>
    <row r="32139">
      <c r="Y32139" s="372">
        <v>0.0</v>
      </c>
      <c r="Z32139" s="372">
        <v>0.0</v>
      </c>
    </row>
    <row r="32140">
      <c r="Y32140" s="372">
        <v>0.0</v>
      </c>
      <c r="Z32140" s="372">
        <v>0.0</v>
      </c>
    </row>
    <row r="32141">
      <c r="Y32141" s="372">
        <v>0.0</v>
      </c>
      <c r="Z32141" s="372">
        <v>0.0</v>
      </c>
    </row>
    <row r="32142">
      <c r="Y32142" s="372">
        <v>0.0</v>
      </c>
      <c r="Z32142" s="372">
        <v>0.0</v>
      </c>
    </row>
    <row r="32143">
      <c r="Y32143" s="372">
        <v>0.0</v>
      </c>
      <c r="Z32143" s="372">
        <v>0.0</v>
      </c>
    </row>
    <row r="32144">
      <c r="Y32144" s="372">
        <v>0.0</v>
      </c>
      <c r="Z32144" s="372">
        <v>0.0</v>
      </c>
    </row>
    <row r="32145">
      <c r="Y32145" s="372">
        <v>0.0</v>
      </c>
      <c r="Z32145" s="372">
        <v>0.0</v>
      </c>
    </row>
    <row r="32146">
      <c r="Y32146" s="372">
        <v>0.0</v>
      </c>
      <c r="Z32146" s="372">
        <v>0.0</v>
      </c>
    </row>
    <row r="32147">
      <c r="Y32147" s="372">
        <v>0.0</v>
      </c>
      <c r="Z32147" s="372">
        <v>0.0</v>
      </c>
    </row>
    <row r="32148">
      <c r="Y32148" s="372">
        <v>0.0</v>
      </c>
      <c r="Z32148" s="372">
        <v>0.0</v>
      </c>
    </row>
    <row r="32149">
      <c r="Y32149" s="372">
        <v>0.0</v>
      </c>
      <c r="Z32149" s="372">
        <v>0.0</v>
      </c>
    </row>
    <row r="32150">
      <c r="Y32150" s="372">
        <v>0.0</v>
      </c>
      <c r="Z32150" s="372">
        <v>0.0</v>
      </c>
    </row>
    <row r="32151">
      <c r="Y32151" s="372">
        <v>0.0</v>
      </c>
      <c r="Z32151" s="372">
        <v>0.0</v>
      </c>
    </row>
    <row r="32152">
      <c r="Y32152" s="372">
        <v>0.0</v>
      </c>
      <c r="Z32152" s="372">
        <v>0.0</v>
      </c>
    </row>
    <row r="32153">
      <c r="Y32153" s="372">
        <v>0.0</v>
      </c>
      <c r="Z32153" s="372">
        <v>0.0</v>
      </c>
    </row>
    <row r="32154">
      <c r="Y32154" s="372">
        <v>0.0</v>
      </c>
      <c r="Z32154" s="372">
        <v>0.0</v>
      </c>
    </row>
    <row r="32155">
      <c r="Y32155" s="372">
        <v>0.0</v>
      </c>
      <c r="Z32155" s="372">
        <v>0.0</v>
      </c>
    </row>
    <row r="32156">
      <c r="Y32156" s="372">
        <v>0.0</v>
      </c>
      <c r="Z32156" s="372">
        <v>0.0</v>
      </c>
    </row>
    <row r="32157">
      <c r="Y32157" s="372">
        <v>0.0</v>
      </c>
      <c r="Z32157" s="372">
        <v>0.0</v>
      </c>
    </row>
    <row r="32158">
      <c r="Y32158" s="372">
        <v>0.0</v>
      </c>
      <c r="Z32158" s="372">
        <v>0.0</v>
      </c>
    </row>
    <row r="32159">
      <c r="Y32159" s="372">
        <v>0.0</v>
      </c>
      <c r="Z32159" s="372">
        <v>0.0</v>
      </c>
    </row>
    <row r="32160">
      <c r="Y32160" s="372">
        <v>0.0</v>
      </c>
      <c r="Z32160" s="372">
        <v>0.0</v>
      </c>
    </row>
    <row r="32161">
      <c r="Y32161" s="372">
        <v>0.0</v>
      </c>
      <c r="Z32161" s="372">
        <v>0.0</v>
      </c>
    </row>
    <row r="32162">
      <c r="Y32162" s="372">
        <v>0.0</v>
      </c>
      <c r="Z32162" s="372">
        <v>0.0</v>
      </c>
    </row>
    <row r="32163">
      <c r="Y32163" s="372">
        <v>0.0</v>
      </c>
      <c r="Z32163" s="372">
        <v>0.0</v>
      </c>
    </row>
    <row r="32164">
      <c r="Y32164" s="372">
        <v>0.0</v>
      </c>
      <c r="Z32164" s="372">
        <v>0.0</v>
      </c>
    </row>
    <row r="32165">
      <c r="Y32165" s="372">
        <v>0.0</v>
      </c>
      <c r="Z32165" s="372">
        <v>0.0</v>
      </c>
    </row>
    <row r="32166">
      <c r="Y32166" s="372">
        <v>0.0</v>
      </c>
      <c r="Z32166" s="372">
        <v>0.0</v>
      </c>
    </row>
    <row r="32167">
      <c r="Y32167" s="372">
        <v>0.0</v>
      </c>
      <c r="Z32167" s="372">
        <v>0.0</v>
      </c>
    </row>
    <row r="32168">
      <c r="Y32168" s="372">
        <v>0.0</v>
      </c>
      <c r="Z32168" s="372">
        <v>0.0</v>
      </c>
    </row>
    <row r="32169">
      <c r="Y32169" s="372">
        <v>0.0</v>
      </c>
      <c r="Z32169" s="372">
        <v>0.0</v>
      </c>
    </row>
    <row r="32170">
      <c r="Y32170" s="372">
        <v>0.0</v>
      </c>
      <c r="Z32170" s="372">
        <v>0.0</v>
      </c>
    </row>
    <row r="32171">
      <c r="Y32171" s="372">
        <v>0.0</v>
      </c>
      <c r="Z32171" s="372">
        <v>0.0</v>
      </c>
    </row>
    <row r="32172">
      <c r="Y32172" s="372">
        <v>0.0</v>
      </c>
      <c r="Z32172" s="372">
        <v>0.0</v>
      </c>
    </row>
    <row r="32173">
      <c r="Y32173" s="372">
        <v>0.0</v>
      </c>
      <c r="Z32173" s="372">
        <v>0.0</v>
      </c>
    </row>
    <row r="32174">
      <c r="Y32174" s="372">
        <v>0.0</v>
      </c>
      <c r="Z32174" s="372">
        <v>0.0</v>
      </c>
    </row>
    <row r="32175">
      <c r="Y32175" s="372">
        <v>0.0</v>
      </c>
      <c r="Z32175" s="372">
        <v>0.0</v>
      </c>
    </row>
    <row r="32176">
      <c r="Y32176" s="372">
        <v>0.0</v>
      </c>
      <c r="Z32176" s="372">
        <v>0.0</v>
      </c>
    </row>
    <row r="32177">
      <c r="Y32177" s="372">
        <v>0.0</v>
      </c>
      <c r="Z32177" s="372">
        <v>0.0</v>
      </c>
    </row>
    <row r="32178">
      <c r="Y32178" s="372">
        <v>0.0</v>
      </c>
      <c r="Z32178" s="372">
        <v>0.0</v>
      </c>
    </row>
    <row r="32179">
      <c r="Y32179" s="372">
        <v>0.0</v>
      </c>
      <c r="Z32179" s="372">
        <v>0.0</v>
      </c>
    </row>
    <row r="32180">
      <c r="Y32180" s="372">
        <v>0.0</v>
      </c>
      <c r="Z32180" s="372">
        <v>0.0</v>
      </c>
    </row>
    <row r="32181">
      <c r="Y32181" s="372">
        <v>0.0</v>
      </c>
      <c r="Z32181" s="372">
        <v>0.0</v>
      </c>
    </row>
    <row r="32182">
      <c r="Y32182" s="372">
        <v>0.0</v>
      </c>
      <c r="Z32182" s="372">
        <v>0.0</v>
      </c>
    </row>
    <row r="32183">
      <c r="Y32183" s="372">
        <v>0.0</v>
      </c>
      <c r="Z32183" s="372">
        <v>0.0</v>
      </c>
    </row>
    <row r="32184">
      <c r="Y32184" s="372">
        <v>0.0</v>
      </c>
      <c r="Z32184" s="372">
        <v>0.0</v>
      </c>
    </row>
    <row r="32185">
      <c r="Y32185" s="372">
        <v>0.0</v>
      </c>
      <c r="Z32185" s="372">
        <v>0.0</v>
      </c>
    </row>
    <row r="32186">
      <c r="Y32186" s="372">
        <v>0.0</v>
      </c>
      <c r="Z32186" s="372">
        <v>0.0</v>
      </c>
    </row>
    <row r="32187">
      <c r="Y32187" s="372">
        <v>0.0</v>
      </c>
      <c r="Z32187" s="372">
        <v>0.0</v>
      </c>
    </row>
    <row r="32188">
      <c r="Y32188" s="372">
        <v>0.0</v>
      </c>
      <c r="Z32188" s="372">
        <v>0.0</v>
      </c>
    </row>
    <row r="32189">
      <c r="Y32189" s="372">
        <v>0.0</v>
      </c>
      <c r="Z32189" s="372">
        <v>0.0</v>
      </c>
    </row>
    <row r="32190">
      <c r="Y32190" s="372">
        <v>0.0</v>
      </c>
      <c r="Z32190" s="372">
        <v>0.0</v>
      </c>
    </row>
    <row r="32191">
      <c r="Y32191" s="372">
        <v>0.0</v>
      </c>
      <c r="Z32191" s="372">
        <v>0.0</v>
      </c>
    </row>
    <row r="32192">
      <c r="Y32192" s="372">
        <v>0.0</v>
      </c>
      <c r="Z32192" s="372">
        <v>0.0</v>
      </c>
    </row>
    <row r="32193">
      <c r="Y32193" s="372">
        <v>0.0</v>
      </c>
      <c r="Z32193" s="372">
        <v>0.0</v>
      </c>
    </row>
    <row r="32194">
      <c r="Y32194" s="372">
        <v>0.0</v>
      </c>
      <c r="Z32194" s="372">
        <v>0.0</v>
      </c>
    </row>
    <row r="32195">
      <c r="Y32195" s="372">
        <v>0.0</v>
      </c>
      <c r="Z32195" s="372">
        <v>0.0</v>
      </c>
    </row>
    <row r="32196">
      <c r="Y32196" s="372">
        <v>0.0</v>
      </c>
      <c r="Z32196" s="372">
        <v>0.0</v>
      </c>
    </row>
    <row r="32197">
      <c r="Y32197" s="372">
        <v>0.0</v>
      </c>
      <c r="Z32197" s="372">
        <v>0.0</v>
      </c>
    </row>
    <row r="32198">
      <c r="Y32198" s="372">
        <v>0.0</v>
      </c>
      <c r="Z32198" s="372">
        <v>0.0</v>
      </c>
    </row>
    <row r="32199">
      <c r="Y32199" s="372">
        <v>0.0</v>
      </c>
      <c r="Z32199" s="372">
        <v>0.0</v>
      </c>
    </row>
    <row r="32200">
      <c r="Y32200" s="372">
        <v>0.0</v>
      </c>
      <c r="Z32200" s="372">
        <v>0.0</v>
      </c>
    </row>
    <row r="32201">
      <c r="Y32201" s="372">
        <v>0.0</v>
      </c>
      <c r="Z32201" s="372">
        <v>0.0</v>
      </c>
    </row>
    <row r="32202">
      <c r="Y32202" s="372">
        <v>0.0</v>
      </c>
      <c r="Z32202" s="372">
        <v>0.0</v>
      </c>
    </row>
    <row r="32203">
      <c r="Y32203" s="372">
        <v>0.0</v>
      </c>
      <c r="Z32203" s="372">
        <v>0.0</v>
      </c>
    </row>
    <row r="32204">
      <c r="Y32204" s="372">
        <v>0.0</v>
      </c>
      <c r="Z32204" s="372">
        <v>0.0</v>
      </c>
    </row>
    <row r="32205">
      <c r="Y32205" s="372">
        <v>0.0</v>
      </c>
      <c r="Z32205" s="372">
        <v>0.0</v>
      </c>
    </row>
    <row r="32206">
      <c r="Y32206" s="372">
        <v>0.0</v>
      </c>
      <c r="Z32206" s="372">
        <v>0.0</v>
      </c>
    </row>
    <row r="32207">
      <c r="Y32207" s="372">
        <v>0.0</v>
      </c>
      <c r="Z32207" s="372">
        <v>0.0</v>
      </c>
    </row>
    <row r="32208">
      <c r="Y32208" s="372">
        <v>0.0</v>
      </c>
      <c r="Z32208" s="372">
        <v>0.0</v>
      </c>
    </row>
    <row r="32209">
      <c r="Y32209" s="372">
        <v>0.0</v>
      </c>
      <c r="Z32209" s="372">
        <v>0.0</v>
      </c>
    </row>
    <row r="32210">
      <c r="Y32210" s="372">
        <v>0.0</v>
      </c>
      <c r="Z32210" s="372">
        <v>0.0</v>
      </c>
    </row>
    <row r="32211">
      <c r="Y32211" s="372">
        <v>0.0</v>
      </c>
      <c r="Z32211" s="372">
        <v>0.0</v>
      </c>
    </row>
    <row r="32212">
      <c r="Y32212" s="372">
        <v>0.0</v>
      </c>
      <c r="Z32212" s="372">
        <v>0.0</v>
      </c>
    </row>
    <row r="32213">
      <c r="Y32213" s="372">
        <v>0.0</v>
      </c>
      <c r="Z32213" s="372">
        <v>0.0</v>
      </c>
    </row>
    <row r="32214">
      <c r="Y32214" s="372">
        <v>0.0</v>
      </c>
      <c r="Z32214" s="372">
        <v>0.0</v>
      </c>
    </row>
    <row r="32215">
      <c r="Y32215" s="372">
        <v>0.0</v>
      </c>
      <c r="Z32215" s="372">
        <v>0.0</v>
      </c>
    </row>
    <row r="32216">
      <c r="Y32216" s="372">
        <v>0.0</v>
      </c>
      <c r="Z32216" s="372">
        <v>0.0</v>
      </c>
    </row>
    <row r="32217">
      <c r="Y32217" s="372">
        <v>0.0</v>
      </c>
      <c r="Z32217" s="372">
        <v>0.0</v>
      </c>
    </row>
    <row r="32218">
      <c r="Y32218" s="372">
        <v>0.0</v>
      </c>
      <c r="Z32218" s="372">
        <v>0.0</v>
      </c>
    </row>
    <row r="32219">
      <c r="Y32219" s="372">
        <v>0.0</v>
      </c>
      <c r="Z32219" s="372">
        <v>0.0</v>
      </c>
    </row>
    <row r="32220">
      <c r="Y32220" s="372">
        <v>0.0</v>
      </c>
      <c r="Z32220" s="372">
        <v>0.0</v>
      </c>
    </row>
    <row r="32221">
      <c r="Y32221" s="372">
        <v>0.0</v>
      </c>
      <c r="Z32221" s="372">
        <v>0.0</v>
      </c>
    </row>
    <row r="32222">
      <c r="Y32222" s="372">
        <v>0.0</v>
      </c>
      <c r="Z32222" s="372">
        <v>0.0</v>
      </c>
    </row>
    <row r="32223">
      <c r="Y32223" s="372">
        <v>0.0</v>
      </c>
      <c r="Z32223" s="372">
        <v>0.0</v>
      </c>
    </row>
    <row r="32224">
      <c r="Y32224" s="372">
        <v>0.0</v>
      </c>
      <c r="Z32224" s="372">
        <v>0.0</v>
      </c>
    </row>
    <row r="32225">
      <c r="Y32225" s="372">
        <v>0.0</v>
      </c>
      <c r="Z32225" s="372">
        <v>0.0</v>
      </c>
    </row>
    <row r="32226">
      <c r="Y32226" s="372">
        <v>0.0</v>
      </c>
      <c r="Z32226" s="372">
        <v>0.0</v>
      </c>
    </row>
    <row r="32227">
      <c r="Y32227" s="372">
        <v>0.0</v>
      </c>
      <c r="Z32227" s="372">
        <v>0.0</v>
      </c>
    </row>
    <row r="32228">
      <c r="Y32228" s="372">
        <v>0.0</v>
      </c>
      <c r="Z32228" s="372">
        <v>0.0</v>
      </c>
    </row>
    <row r="32229">
      <c r="Y32229" s="372">
        <v>0.0</v>
      </c>
      <c r="Z32229" s="372">
        <v>0.0</v>
      </c>
    </row>
    <row r="32230">
      <c r="Y32230" s="372">
        <v>0.0</v>
      </c>
      <c r="Z32230" s="372">
        <v>0.0</v>
      </c>
    </row>
    <row r="32231">
      <c r="Y32231" s="372">
        <v>0.0</v>
      </c>
      <c r="Z32231" s="372">
        <v>0.0</v>
      </c>
    </row>
    <row r="32232">
      <c r="Y32232" s="372">
        <v>0.0</v>
      </c>
      <c r="Z32232" s="372">
        <v>0.0</v>
      </c>
    </row>
    <row r="32233">
      <c r="Y32233" s="372">
        <v>0.0</v>
      </c>
      <c r="Z32233" s="372">
        <v>0.0</v>
      </c>
    </row>
    <row r="32234">
      <c r="Y32234" s="372">
        <v>0.0</v>
      </c>
      <c r="Z32234" s="372">
        <v>0.0</v>
      </c>
    </row>
    <row r="32235">
      <c r="Y32235" s="372">
        <v>0.0</v>
      </c>
      <c r="Z32235" s="372">
        <v>0.0</v>
      </c>
    </row>
    <row r="32236">
      <c r="Y32236" s="372">
        <v>0.0</v>
      </c>
      <c r="Z32236" s="372">
        <v>0.0</v>
      </c>
    </row>
    <row r="32237">
      <c r="Y32237" s="372">
        <v>0.0</v>
      </c>
      <c r="Z32237" s="372">
        <v>0.0</v>
      </c>
    </row>
    <row r="32238">
      <c r="Y32238" s="372">
        <v>0.0</v>
      </c>
      <c r="Z32238" s="372">
        <v>0.0</v>
      </c>
    </row>
    <row r="32239">
      <c r="Y32239" s="372">
        <v>0.0</v>
      </c>
      <c r="Z32239" s="372">
        <v>0.0</v>
      </c>
    </row>
    <row r="32240">
      <c r="Y32240" s="372">
        <v>0.0</v>
      </c>
      <c r="Z32240" s="372">
        <v>0.0</v>
      </c>
    </row>
    <row r="32241">
      <c r="Y32241" s="372">
        <v>0.0</v>
      </c>
      <c r="Z32241" s="372">
        <v>0.0</v>
      </c>
    </row>
    <row r="32242">
      <c r="Y32242" s="372">
        <v>0.0</v>
      </c>
      <c r="Z32242" s="372">
        <v>0.0</v>
      </c>
    </row>
    <row r="32243">
      <c r="Y32243" s="372">
        <v>0.0</v>
      </c>
      <c r="Z32243" s="372">
        <v>0.0</v>
      </c>
    </row>
    <row r="32244">
      <c r="Y32244" s="372">
        <v>0.0</v>
      </c>
      <c r="Z32244" s="372">
        <v>0.0</v>
      </c>
    </row>
    <row r="32245">
      <c r="Y32245" s="372">
        <v>0.0</v>
      </c>
      <c r="Z32245" s="372">
        <v>0.0</v>
      </c>
    </row>
    <row r="32246">
      <c r="Y32246" s="372">
        <v>0.0</v>
      </c>
      <c r="Z32246" s="372">
        <v>0.0</v>
      </c>
    </row>
    <row r="32247">
      <c r="Y32247" s="372">
        <v>0.0</v>
      </c>
      <c r="Z32247" s="372">
        <v>0.0</v>
      </c>
    </row>
    <row r="32248">
      <c r="Y32248" s="372">
        <v>0.0</v>
      </c>
      <c r="Z32248" s="372">
        <v>0.0</v>
      </c>
    </row>
    <row r="32249">
      <c r="Y32249" s="372">
        <v>0.0</v>
      </c>
      <c r="Z32249" s="372">
        <v>0.0</v>
      </c>
    </row>
    <row r="32250">
      <c r="Y32250" s="372">
        <v>0.0</v>
      </c>
      <c r="Z32250" s="372">
        <v>0.0</v>
      </c>
    </row>
    <row r="32251">
      <c r="Y32251" s="372">
        <v>0.0</v>
      </c>
      <c r="Z32251" s="372">
        <v>0.0</v>
      </c>
    </row>
    <row r="32252">
      <c r="Y32252" s="372">
        <v>0.0</v>
      </c>
      <c r="Z32252" s="372">
        <v>0.0</v>
      </c>
    </row>
    <row r="32253">
      <c r="Y32253" s="372">
        <v>0.0</v>
      </c>
      <c r="Z32253" s="372">
        <v>0.0</v>
      </c>
    </row>
    <row r="32254">
      <c r="Y32254" s="372">
        <v>0.0</v>
      </c>
      <c r="Z32254" s="372">
        <v>0.0</v>
      </c>
    </row>
    <row r="32255">
      <c r="Y32255" s="372">
        <v>0.0</v>
      </c>
      <c r="Z32255" s="372">
        <v>0.0</v>
      </c>
    </row>
    <row r="32256">
      <c r="Y32256" s="372">
        <v>0.0</v>
      </c>
      <c r="Z32256" s="372">
        <v>0.0</v>
      </c>
    </row>
    <row r="32257">
      <c r="Y32257" s="372">
        <v>0.0</v>
      </c>
      <c r="Z32257" s="372">
        <v>0.0</v>
      </c>
    </row>
    <row r="32258">
      <c r="Y32258" s="372">
        <v>0.0</v>
      </c>
      <c r="Z32258" s="372">
        <v>0.0</v>
      </c>
    </row>
    <row r="32259">
      <c r="Y32259" s="372">
        <v>0.0</v>
      </c>
      <c r="Z32259" s="372">
        <v>0.0</v>
      </c>
    </row>
    <row r="32260">
      <c r="Y32260" s="372">
        <v>0.0</v>
      </c>
      <c r="Z32260" s="372">
        <v>0.0</v>
      </c>
    </row>
    <row r="32261">
      <c r="Y32261" s="372">
        <v>0.0</v>
      </c>
      <c r="Z32261" s="372">
        <v>0.0</v>
      </c>
    </row>
    <row r="32262">
      <c r="Y32262" s="372">
        <v>0.0</v>
      </c>
      <c r="Z32262" s="372">
        <v>0.0</v>
      </c>
    </row>
    <row r="32263">
      <c r="Y32263" s="372">
        <v>0.0</v>
      </c>
      <c r="Z32263" s="372">
        <v>0.0</v>
      </c>
    </row>
    <row r="32264">
      <c r="Y32264" s="372">
        <v>0.0</v>
      </c>
      <c r="Z32264" s="372">
        <v>0.0</v>
      </c>
    </row>
    <row r="32265">
      <c r="Y32265" s="372">
        <v>0.0</v>
      </c>
      <c r="Z32265" s="372">
        <v>0.0</v>
      </c>
    </row>
    <row r="32266">
      <c r="Y32266" s="372">
        <v>0.0</v>
      </c>
      <c r="Z32266" s="372">
        <v>0.0</v>
      </c>
    </row>
    <row r="32267">
      <c r="Y32267" s="372">
        <v>0.0</v>
      </c>
      <c r="Z32267" s="372">
        <v>0.0</v>
      </c>
    </row>
    <row r="32268">
      <c r="Y32268" s="372">
        <v>0.0</v>
      </c>
      <c r="Z32268" s="372">
        <v>0.0</v>
      </c>
    </row>
    <row r="32269">
      <c r="Y32269" s="372">
        <v>0.0</v>
      </c>
      <c r="Z32269" s="372">
        <v>0.0</v>
      </c>
    </row>
    <row r="32270">
      <c r="Y32270" s="372">
        <v>0.0</v>
      </c>
      <c r="Z32270" s="372">
        <v>0.0</v>
      </c>
    </row>
    <row r="32271">
      <c r="Y32271" s="372">
        <v>0.0</v>
      </c>
      <c r="Z32271" s="372">
        <v>0.0</v>
      </c>
    </row>
    <row r="32272">
      <c r="Y32272" s="372">
        <v>0.0</v>
      </c>
      <c r="Z32272" s="372">
        <v>0.0</v>
      </c>
    </row>
    <row r="32273">
      <c r="Y32273" s="372">
        <v>0.0</v>
      </c>
      <c r="Z32273" s="372">
        <v>0.0</v>
      </c>
    </row>
    <row r="32274">
      <c r="Y32274" s="372">
        <v>0.0</v>
      </c>
      <c r="Z32274" s="372">
        <v>0.0</v>
      </c>
    </row>
    <row r="32275">
      <c r="Y32275" s="372">
        <v>0.0</v>
      </c>
      <c r="Z32275" s="372">
        <v>0.0</v>
      </c>
    </row>
    <row r="32276">
      <c r="Y32276" s="372">
        <v>0.0</v>
      </c>
      <c r="Z32276" s="372">
        <v>0.0</v>
      </c>
    </row>
    <row r="32277">
      <c r="Y32277" s="372">
        <v>0.0</v>
      </c>
      <c r="Z32277" s="372">
        <v>0.0</v>
      </c>
    </row>
    <row r="32278">
      <c r="Y32278" s="372">
        <v>0.0</v>
      </c>
      <c r="Z32278" s="372">
        <v>0.0</v>
      </c>
    </row>
    <row r="32279">
      <c r="Y32279" s="372">
        <v>0.0</v>
      </c>
      <c r="Z32279" s="372">
        <v>0.0</v>
      </c>
    </row>
    <row r="32280">
      <c r="Y32280" s="372">
        <v>0.0</v>
      </c>
      <c r="Z32280" s="372">
        <v>0.0</v>
      </c>
    </row>
    <row r="32281">
      <c r="Y32281" s="372">
        <v>0.0</v>
      </c>
      <c r="Z32281" s="372">
        <v>0.0</v>
      </c>
    </row>
    <row r="32282">
      <c r="Y32282" s="372">
        <v>0.0</v>
      </c>
      <c r="Z32282" s="372">
        <v>0.0</v>
      </c>
    </row>
    <row r="32283">
      <c r="Y32283" s="372">
        <v>0.0</v>
      </c>
      <c r="Z32283" s="372">
        <v>0.0</v>
      </c>
    </row>
    <row r="32284">
      <c r="Y32284" s="372">
        <v>0.0</v>
      </c>
      <c r="Z32284" s="372">
        <v>0.0</v>
      </c>
    </row>
    <row r="32285">
      <c r="Y32285" s="372">
        <v>0.0</v>
      </c>
      <c r="Z32285" s="372">
        <v>0.0</v>
      </c>
    </row>
    <row r="32286">
      <c r="Y32286" s="372">
        <v>0.0</v>
      </c>
      <c r="Z32286" s="372">
        <v>0.0</v>
      </c>
    </row>
    <row r="32287">
      <c r="Y32287" s="372">
        <v>0.0</v>
      </c>
      <c r="Z32287" s="372">
        <v>0.0</v>
      </c>
    </row>
    <row r="32288">
      <c r="Y32288" s="372">
        <v>0.0</v>
      </c>
      <c r="Z32288" s="372">
        <v>0.0</v>
      </c>
    </row>
    <row r="32289">
      <c r="Y32289" s="372">
        <v>0.0</v>
      </c>
      <c r="Z32289" s="372">
        <v>0.0</v>
      </c>
    </row>
    <row r="32290">
      <c r="Y32290" s="372">
        <v>0.0</v>
      </c>
      <c r="Z32290" s="372">
        <v>0.0</v>
      </c>
    </row>
    <row r="32291">
      <c r="Y32291" s="372">
        <v>0.0</v>
      </c>
      <c r="Z32291" s="372">
        <v>0.0</v>
      </c>
    </row>
    <row r="32292">
      <c r="Y32292" s="372">
        <v>0.0</v>
      </c>
      <c r="Z32292" s="372">
        <v>0.0</v>
      </c>
    </row>
    <row r="32293">
      <c r="Y32293" s="372">
        <v>0.0</v>
      </c>
      <c r="Z32293" s="372">
        <v>0.0</v>
      </c>
    </row>
    <row r="32294">
      <c r="Y32294" s="372">
        <v>0.0</v>
      </c>
      <c r="Z32294" s="372">
        <v>0.0</v>
      </c>
    </row>
    <row r="32295">
      <c r="Y32295" s="372">
        <v>0.0</v>
      </c>
      <c r="Z32295" s="372">
        <v>0.0</v>
      </c>
    </row>
    <row r="32296">
      <c r="Y32296" s="372">
        <v>0.0</v>
      </c>
      <c r="Z32296" s="372">
        <v>0.0</v>
      </c>
    </row>
    <row r="32297">
      <c r="Y32297" s="372">
        <v>0.0</v>
      </c>
      <c r="Z32297" s="372">
        <v>0.0</v>
      </c>
    </row>
    <row r="32298">
      <c r="Y32298" s="372">
        <v>0.0</v>
      </c>
      <c r="Z32298" s="372">
        <v>0.0</v>
      </c>
    </row>
    <row r="32299">
      <c r="Y32299" s="372">
        <v>0.0</v>
      </c>
      <c r="Z32299" s="372">
        <v>0.0</v>
      </c>
    </row>
    <row r="32300">
      <c r="Y32300" s="372">
        <v>0.0</v>
      </c>
      <c r="Z32300" s="372">
        <v>0.0</v>
      </c>
    </row>
    <row r="32301">
      <c r="Y32301" s="372">
        <v>0.0</v>
      </c>
      <c r="Z32301" s="372">
        <v>0.0</v>
      </c>
    </row>
    <row r="32302">
      <c r="Y32302" s="372">
        <v>0.0</v>
      </c>
      <c r="Z32302" s="372">
        <v>0.0</v>
      </c>
    </row>
    <row r="32303">
      <c r="Y32303" s="372">
        <v>0.0</v>
      </c>
      <c r="Z32303" s="372">
        <v>0.0</v>
      </c>
    </row>
    <row r="32304">
      <c r="Y32304" s="372">
        <v>0.0</v>
      </c>
      <c r="Z32304" s="372">
        <v>0.0</v>
      </c>
    </row>
    <row r="32305">
      <c r="Y32305" s="372">
        <v>0.0</v>
      </c>
      <c r="Z32305" s="372">
        <v>0.0</v>
      </c>
    </row>
    <row r="32306">
      <c r="Y32306" s="372">
        <v>0.0</v>
      </c>
      <c r="Z32306" s="372">
        <v>0.0</v>
      </c>
    </row>
    <row r="32307">
      <c r="Y32307" s="372">
        <v>0.0</v>
      </c>
      <c r="Z32307" s="372">
        <v>0.0</v>
      </c>
    </row>
    <row r="32308">
      <c r="Y32308" s="372">
        <v>0.0</v>
      </c>
      <c r="Z32308" s="372">
        <v>0.0</v>
      </c>
    </row>
    <row r="32309">
      <c r="Y32309" s="372">
        <v>0.0</v>
      </c>
      <c r="Z32309" s="372">
        <v>0.0</v>
      </c>
    </row>
    <row r="32310">
      <c r="Y32310" s="372">
        <v>0.0</v>
      </c>
      <c r="Z32310" s="372">
        <v>0.0</v>
      </c>
    </row>
    <row r="32311">
      <c r="Y32311" s="372">
        <v>0.0</v>
      </c>
      <c r="Z32311" s="372">
        <v>0.0</v>
      </c>
    </row>
    <row r="32312">
      <c r="Y32312" s="372">
        <v>0.0</v>
      </c>
      <c r="Z32312" s="372">
        <v>0.0</v>
      </c>
    </row>
    <row r="32313">
      <c r="Y32313" s="372">
        <v>0.0</v>
      </c>
      <c r="Z32313" s="372">
        <v>0.0</v>
      </c>
    </row>
    <row r="32314">
      <c r="Y32314" s="372">
        <v>0.0</v>
      </c>
      <c r="Z32314" s="372">
        <v>0.0</v>
      </c>
    </row>
    <row r="32315">
      <c r="Y32315" s="372">
        <v>0.0</v>
      </c>
      <c r="Z32315" s="372">
        <v>0.0</v>
      </c>
    </row>
    <row r="32316">
      <c r="Y32316" s="372">
        <v>0.0</v>
      </c>
      <c r="Z32316" s="372">
        <v>0.0</v>
      </c>
    </row>
    <row r="32317">
      <c r="Y32317" s="372">
        <v>0.0</v>
      </c>
      <c r="Z32317" s="372">
        <v>0.0</v>
      </c>
    </row>
    <row r="32318">
      <c r="Y32318" s="372">
        <v>0.0</v>
      </c>
      <c r="Z32318" s="372">
        <v>0.0</v>
      </c>
    </row>
    <row r="32319">
      <c r="Y32319" s="372">
        <v>0.0</v>
      </c>
      <c r="Z32319" s="372">
        <v>0.0</v>
      </c>
    </row>
    <row r="32320">
      <c r="Y32320" s="372">
        <v>0.0</v>
      </c>
      <c r="Z32320" s="372">
        <v>0.0</v>
      </c>
    </row>
    <row r="32321">
      <c r="Y32321" s="372">
        <v>0.0</v>
      </c>
      <c r="Z32321" s="372">
        <v>0.0</v>
      </c>
    </row>
    <row r="32322">
      <c r="Y32322" s="372">
        <v>0.0</v>
      </c>
      <c r="Z32322" s="372">
        <v>0.0</v>
      </c>
    </row>
    <row r="32323">
      <c r="Y32323" s="372">
        <v>0.0</v>
      </c>
      <c r="Z32323" s="372">
        <v>0.0</v>
      </c>
    </row>
    <row r="32324">
      <c r="Y32324" s="372">
        <v>0.0</v>
      </c>
      <c r="Z32324" s="372">
        <v>0.0</v>
      </c>
    </row>
    <row r="32325">
      <c r="Y32325" s="372">
        <v>0.0</v>
      </c>
      <c r="Z32325" s="372">
        <v>0.0</v>
      </c>
    </row>
    <row r="32326">
      <c r="Y32326" s="372">
        <v>0.0</v>
      </c>
      <c r="Z32326" s="372">
        <v>0.0</v>
      </c>
    </row>
    <row r="32327">
      <c r="Y32327" s="372">
        <v>0.0</v>
      </c>
      <c r="Z32327" s="372">
        <v>0.0</v>
      </c>
    </row>
    <row r="32328">
      <c r="Y32328" s="372">
        <v>0.0</v>
      </c>
      <c r="Z32328" s="372">
        <v>0.0</v>
      </c>
    </row>
    <row r="32329">
      <c r="Y32329" s="372">
        <v>0.0</v>
      </c>
      <c r="Z32329" s="372">
        <v>0.0</v>
      </c>
    </row>
    <row r="32330">
      <c r="Y32330" s="372">
        <v>0.0</v>
      </c>
      <c r="Z32330" s="372">
        <v>0.0</v>
      </c>
    </row>
    <row r="32331">
      <c r="Y32331" s="372">
        <v>0.0</v>
      </c>
      <c r="Z32331" s="372">
        <v>0.0</v>
      </c>
    </row>
    <row r="32332">
      <c r="Y32332" s="372">
        <v>0.0</v>
      </c>
      <c r="Z32332" s="372">
        <v>0.0</v>
      </c>
    </row>
    <row r="32333">
      <c r="Y32333" s="372">
        <v>0.0</v>
      </c>
      <c r="Z32333" s="372">
        <v>0.0</v>
      </c>
    </row>
    <row r="32334">
      <c r="Y32334" s="372">
        <v>0.0</v>
      </c>
      <c r="Z32334" s="372">
        <v>0.0</v>
      </c>
    </row>
    <row r="32335">
      <c r="Y32335" s="372">
        <v>0.0</v>
      </c>
      <c r="Z32335" s="372">
        <v>0.0</v>
      </c>
    </row>
    <row r="32336">
      <c r="Y32336" s="372">
        <v>0.0</v>
      </c>
      <c r="Z32336" s="372">
        <v>0.0</v>
      </c>
    </row>
    <row r="32337">
      <c r="Y32337" s="372">
        <v>0.0</v>
      </c>
      <c r="Z32337" s="372">
        <v>0.0</v>
      </c>
    </row>
    <row r="32338">
      <c r="Y32338" s="372">
        <v>0.0</v>
      </c>
      <c r="Z32338" s="372">
        <v>0.0</v>
      </c>
    </row>
    <row r="32339">
      <c r="Y32339" s="372">
        <v>0.0</v>
      </c>
      <c r="Z32339" s="372">
        <v>0.0</v>
      </c>
    </row>
    <row r="32340">
      <c r="Y32340" s="372">
        <v>0.0</v>
      </c>
      <c r="Z32340" s="372">
        <v>0.0</v>
      </c>
    </row>
    <row r="32341">
      <c r="Y32341" s="372">
        <v>0.0</v>
      </c>
      <c r="Z32341" s="372">
        <v>0.0</v>
      </c>
    </row>
    <row r="32342">
      <c r="Y32342" s="372">
        <v>0.0</v>
      </c>
      <c r="Z32342" s="372">
        <v>0.0</v>
      </c>
    </row>
    <row r="32343">
      <c r="Y32343" s="372">
        <v>0.0</v>
      </c>
      <c r="Z32343" s="372">
        <v>0.0</v>
      </c>
    </row>
    <row r="32344">
      <c r="Y32344" s="372">
        <v>0.0</v>
      </c>
      <c r="Z32344" s="372">
        <v>0.0</v>
      </c>
    </row>
    <row r="32345">
      <c r="Y32345" s="372">
        <v>0.0</v>
      </c>
      <c r="Z32345" s="372">
        <v>0.0</v>
      </c>
    </row>
    <row r="32346">
      <c r="Y32346" s="372">
        <v>0.0</v>
      </c>
      <c r="Z32346" s="372">
        <v>0.0</v>
      </c>
    </row>
    <row r="32347">
      <c r="Y32347" s="372">
        <v>0.0</v>
      </c>
      <c r="Z32347" s="372">
        <v>0.0</v>
      </c>
    </row>
    <row r="32348">
      <c r="Y32348" s="372">
        <v>0.0</v>
      </c>
      <c r="Z32348" s="372">
        <v>0.0</v>
      </c>
    </row>
    <row r="32349">
      <c r="Y32349" s="372">
        <v>0.0</v>
      </c>
      <c r="Z32349" s="372">
        <v>0.0</v>
      </c>
    </row>
    <row r="32350">
      <c r="Y32350" s="372">
        <v>0.0</v>
      </c>
      <c r="Z32350" s="372">
        <v>0.0</v>
      </c>
    </row>
    <row r="32351">
      <c r="Y32351" s="372">
        <v>0.0</v>
      </c>
      <c r="Z32351" s="372">
        <v>0.0</v>
      </c>
    </row>
    <row r="32352">
      <c r="Y32352" s="372">
        <v>0.0</v>
      </c>
      <c r="Z32352" s="372">
        <v>0.0</v>
      </c>
    </row>
    <row r="32353">
      <c r="Y32353" s="372">
        <v>0.0</v>
      </c>
      <c r="Z32353" s="372">
        <v>0.0</v>
      </c>
    </row>
    <row r="32354">
      <c r="Y32354" s="372">
        <v>0.0</v>
      </c>
      <c r="Z32354" s="372">
        <v>0.0</v>
      </c>
    </row>
    <row r="32355">
      <c r="Y32355" s="372">
        <v>0.0</v>
      </c>
      <c r="Z32355" s="372">
        <v>0.0</v>
      </c>
    </row>
    <row r="32356">
      <c r="Y32356" s="372">
        <v>0.0</v>
      </c>
      <c r="Z32356" s="372">
        <v>0.0</v>
      </c>
    </row>
    <row r="32357">
      <c r="Y32357" s="372">
        <v>0.0</v>
      </c>
      <c r="Z32357" s="372">
        <v>0.0</v>
      </c>
    </row>
    <row r="32358">
      <c r="Y32358" s="372">
        <v>0.0</v>
      </c>
      <c r="Z32358" s="372">
        <v>0.0</v>
      </c>
    </row>
    <row r="32359">
      <c r="Y32359" s="372">
        <v>0.0</v>
      </c>
      <c r="Z32359" s="372">
        <v>0.0</v>
      </c>
    </row>
    <row r="32360">
      <c r="Y32360" s="372">
        <v>0.0</v>
      </c>
      <c r="Z32360" s="372">
        <v>0.0</v>
      </c>
    </row>
    <row r="32361">
      <c r="Y32361" s="372">
        <v>0.0</v>
      </c>
      <c r="Z32361" s="372">
        <v>0.0</v>
      </c>
    </row>
    <row r="32362">
      <c r="Y32362" s="372">
        <v>0.0</v>
      </c>
      <c r="Z32362" s="372">
        <v>0.0</v>
      </c>
    </row>
    <row r="32363">
      <c r="Y32363" s="372">
        <v>0.0</v>
      </c>
      <c r="Z32363" s="372">
        <v>0.0</v>
      </c>
    </row>
    <row r="32364">
      <c r="Y32364" s="372">
        <v>0.0</v>
      </c>
      <c r="Z32364" s="372">
        <v>0.0</v>
      </c>
    </row>
    <row r="32365">
      <c r="Y32365" s="372">
        <v>0.0</v>
      </c>
      <c r="Z32365" s="372">
        <v>0.0</v>
      </c>
    </row>
    <row r="32366">
      <c r="Y32366" s="372">
        <v>0.0</v>
      </c>
      <c r="Z32366" s="372">
        <v>0.0</v>
      </c>
    </row>
    <row r="32367">
      <c r="Y32367" s="372">
        <v>0.0</v>
      </c>
      <c r="Z32367" s="372">
        <v>0.0</v>
      </c>
    </row>
    <row r="32368">
      <c r="Y32368" s="372">
        <v>0.0</v>
      </c>
      <c r="Z32368" s="372">
        <v>0.0</v>
      </c>
    </row>
    <row r="32369">
      <c r="Y32369" s="372">
        <v>0.0</v>
      </c>
      <c r="Z32369" s="372">
        <v>0.0</v>
      </c>
    </row>
    <row r="32370">
      <c r="Y32370" s="372">
        <v>0.0</v>
      </c>
      <c r="Z32370" s="372">
        <v>0.0</v>
      </c>
    </row>
    <row r="32371">
      <c r="Y32371" s="372">
        <v>0.0</v>
      </c>
      <c r="Z32371" s="372">
        <v>0.0</v>
      </c>
    </row>
    <row r="32372">
      <c r="Y32372" s="372">
        <v>0.0</v>
      </c>
      <c r="Z32372" s="372">
        <v>0.0</v>
      </c>
    </row>
    <row r="32373">
      <c r="Y32373" s="372">
        <v>0.0</v>
      </c>
      <c r="Z32373" s="372">
        <v>0.0</v>
      </c>
    </row>
    <row r="32374">
      <c r="Y32374" s="372">
        <v>0.0</v>
      </c>
      <c r="Z32374" s="372">
        <v>0.0</v>
      </c>
    </row>
    <row r="32375">
      <c r="Y32375" s="372">
        <v>0.0</v>
      </c>
      <c r="Z32375" s="372">
        <v>0.0</v>
      </c>
    </row>
    <row r="32376">
      <c r="Y32376" s="372">
        <v>0.0</v>
      </c>
      <c r="Z32376" s="372">
        <v>0.0</v>
      </c>
    </row>
    <row r="32377">
      <c r="Y32377" s="372">
        <v>0.0</v>
      </c>
      <c r="Z32377" s="372">
        <v>0.0</v>
      </c>
    </row>
    <row r="32378">
      <c r="Y32378" s="372">
        <v>0.0</v>
      </c>
      <c r="Z32378" s="372">
        <v>0.0</v>
      </c>
    </row>
    <row r="32379">
      <c r="Y32379" s="372">
        <v>0.0</v>
      </c>
      <c r="Z32379" s="372">
        <v>0.0</v>
      </c>
    </row>
    <row r="32380">
      <c r="Y32380" s="372">
        <v>0.0</v>
      </c>
      <c r="Z32380" s="372">
        <v>0.0</v>
      </c>
    </row>
    <row r="32381">
      <c r="Y32381" s="372">
        <v>0.0</v>
      </c>
      <c r="Z32381" s="372">
        <v>0.0</v>
      </c>
    </row>
    <row r="32382">
      <c r="Y32382" s="372">
        <v>0.0</v>
      </c>
      <c r="Z32382" s="372">
        <v>0.0</v>
      </c>
    </row>
    <row r="32383">
      <c r="Y32383" s="372">
        <v>0.0</v>
      </c>
      <c r="Z32383" s="372">
        <v>0.0</v>
      </c>
    </row>
    <row r="32384">
      <c r="Y32384" s="372">
        <v>0.0</v>
      </c>
      <c r="Z32384" s="372">
        <v>0.0</v>
      </c>
    </row>
    <row r="32385">
      <c r="Y32385" s="372">
        <v>0.0</v>
      </c>
      <c r="Z32385" s="372">
        <v>0.0</v>
      </c>
    </row>
    <row r="32386">
      <c r="Y32386" s="372">
        <v>0.0</v>
      </c>
      <c r="Z32386" s="372">
        <v>0.0</v>
      </c>
    </row>
    <row r="32387">
      <c r="Y32387" s="372">
        <v>0.0</v>
      </c>
      <c r="Z32387" s="372">
        <v>0.0</v>
      </c>
    </row>
    <row r="32388">
      <c r="Y32388" s="372">
        <v>0.0</v>
      </c>
      <c r="Z32388" s="372">
        <v>0.0</v>
      </c>
    </row>
    <row r="32389">
      <c r="Y32389" s="372">
        <v>0.0</v>
      </c>
      <c r="Z32389" s="372">
        <v>0.0</v>
      </c>
    </row>
    <row r="32390">
      <c r="Y32390" s="372">
        <v>0.0</v>
      </c>
      <c r="Z32390" s="372">
        <v>0.0</v>
      </c>
    </row>
    <row r="32391">
      <c r="Y32391" s="372">
        <v>0.0</v>
      </c>
      <c r="Z32391" s="372">
        <v>0.0</v>
      </c>
    </row>
    <row r="32392">
      <c r="Y32392" s="372">
        <v>0.0</v>
      </c>
      <c r="Z32392" s="372">
        <v>0.0</v>
      </c>
    </row>
    <row r="32393">
      <c r="Y32393" s="372">
        <v>0.0</v>
      </c>
      <c r="Z32393" s="372">
        <v>0.0</v>
      </c>
    </row>
    <row r="32394">
      <c r="Y32394" s="372">
        <v>0.0</v>
      </c>
      <c r="Z32394" s="372">
        <v>0.0</v>
      </c>
    </row>
    <row r="32395">
      <c r="Y32395" s="372">
        <v>0.0</v>
      </c>
      <c r="Z32395" s="372">
        <v>0.0</v>
      </c>
    </row>
    <row r="32396">
      <c r="Y32396" s="372">
        <v>0.0</v>
      </c>
      <c r="Z32396" s="372">
        <v>0.0</v>
      </c>
    </row>
    <row r="32397">
      <c r="Y32397" s="372">
        <v>0.0</v>
      </c>
      <c r="Z32397" s="372">
        <v>0.0</v>
      </c>
    </row>
    <row r="32398">
      <c r="Y32398" s="372">
        <v>0.0</v>
      </c>
      <c r="Z32398" s="372">
        <v>0.0</v>
      </c>
    </row>
    <row r="32399">
      <c r="Y32399" s="372">
        <v>0.0</v>
      </c>
      <c r="Z32399" s="372">
        <v>0.0</v>
      </c>
    </row>
    <row r="32400">
      <c r="Y32400" s="372">
        <v>0.0</v>
      </c>
      <c r="Z32400" s="372">
        <v>0.0</v>
      </c>
    </row>
    <row r="32401">
      <c r="Y32401" s="372">
        <v>0.0</v>
      </c>
      <c r="Z32401" s="372">
        <v>0.0</v>
      </c>
    </row>
    <row r="32402">
      <c r="Y32402" s="372">
        <v>0.0</v>
      </c>
      <c r="Z32402" s="372">
        <v>0.0</v>
      </c>
    </row>
    <row r="32403">
      <c r="Y32403" s="372">
        <v>0.0</v>
      </c>
      <c r="Z32403" s="372">
        <v>0.0</v>
      </c>
    </row>
    <row r="32404">
      <c r="Y32404" s="372">
        <v>0.0</v>
      </c>
      <c r="Z32404" s="372">
        <v>0.0</v>
      </c>
    </row>
    <row r="32405">
      <c r="Y32405" s="372">
        <v>0.0</v>
      </c>
      <c r="Z32405" s="372">
        <v>0.0</v>
      </c>
    </row>
    <row r="32406">
      <c r="Y32406" s="372">
        <v>0.0</v>
      </c>
      <c r="Z32406" s="372">
        <v>0.0</v>
      </c>
    </row>
    <row r="32407">
      <c r="Y32407" s="372">
        <v>0.0</v>
      </c>
      <c r="Z32407" s="372">
        <v>0.0</v>
      </c>
    </row>
    <row r="32408">
      <c r="Y32408" s="372">
        <v>0.0</v>
      </c>
      <c r="Z32408" s="372">
        <v>0.0</v>
      </c>
    </row>
    <row r="32409">
      <c r="Y32409" s="372">
        <v>0.0</v>
      </c>
      <c r="Z32409" s="372">
        <v>0.0</v>
      </c>
    </row>
    <row r="32410">
      <c r="Y32410" s="372">
        <v>0.0</v>
      </c>
      <c r="Z32410" s="372">
        <v>0.0</v>
      </c>
    </row>
    <row r="32411">
      <c r="Y32411" s="372">
        <v>0.0</v>
      </c>
      <c r="Z32411" s="372">
        <v>0.0</v>
      </c>
    </row>
    <row r="32412">
      <c r="Y32412" s="372">
        <v>0.0</v>
      </c>
      <c r="Z32412" s="372">
        <v>0.0</v>
      </c>
    </row>
    <row r="32413">
      <c r="Y32413" s="372">
        <v>0.0</v>
      </c>
      <c r="Z32413" s="372">
        <v>0.0</v>
      </c>
    </row>
    <row r="32414">
      <c r="Y32414" s="372">
        <v>0.0</v>
      </c>
      <c r="Z32414" s="372">
        <v>0.0</v>
      </c>
    </row>
    <row r="32415">
      <c r="Y32415" s="372">
        <v>0.0</v>
      </c>
      <c r="Z32415" s="372">
        <v>0.0</v>
      </c>
    </row>
    <row r="32416">
      <c r="Y32416" s="372">
        <v>0.0</v>
      </c>
      <c r="Z32416" s="372">
        <v>0.0</v>
      </c>
    </row>
    <row r="32417">
      <c r="Y32417" s="372">
        <v>0.0</v>
      </c>
      <c r="Z32417" s="372">
        <v>0.0</v>
      </c>
    </row>
    <row r="32418">
      <c r="Y32418" s="372">
        <v>0.0</v>
      </c>
      <c r="Z32418" s="372">
        <v>0.0</v>
      </c>
    </row>
    <row r="32419">
      <c r="Y32419" s="372">
        <v>0.0</v>
      </c>
      <c r="Z32419" s="372">
        <v>0.0</v>
      </c>
    </row>
    <row r="32420">
      <c r="Y32420" s="372">
        <v>0.0</v>
      </c>
      <c r="Z32420" s="372">
        <v>0.0</v>
      </c>
    </row>
    <row r="32421">
      <c r="Y32421" s="372">
        <v>0.0</v>
      </c>
      <c r="Z32421" s="372">
        <v>0.0</v>
      </c>
    </row>
    <row r="32422">
      <c r="Y32422" s="372">
        <v>0.0</v>
      </c>
      <c r="Z32422" s="372">
        <v>0.0</v>
      </c>
    </row>
    <row r="32423">
      <c r="Y32423" s="372">
        <v>0.0</v>
      </c>
      <c r="Z32423" s="372">
        <v>0.0</v>
      </c>
    </row>
    <row r="32424">
      <c r="Y32424" s="372">
        <v>0.0</v>
      </c>
      <c r="Z32424" s="372">
        <v>0.0</v>
      </c>
    </row>
    <row r="32425">
      <c r="Y32425" s="372">
        <v>0.0</v>
      </c>
      <c r="Z32425" s="372">
        <v>0.0</v>
      </c>
    </row>
    <row r="32426">
      <c r="Y32426" s="372">
        <v>0.0</v>
      </c>
      <c r="Z32426" s="372">
        <v>0.0</v>
      </c>
    </row>
    <row r="32427">
      <c r="Y32427" s="372">
        <v>0.0</v>
      </c>
      <c r="Z32427" s="372">
        <v>0.0</v>
      </c>
    </row>
    <row r="32428">
      <c r="Y32428" s="372">
        <v>0.0</v>
      </c>
      <c r="Z32428" s="372">
        <v>0.0</v>
      </c>
    </row>
    <row r="32429">
      <c r="Y32429" s="372">
        <v>0.0</v>
      </c>
      <c r="Z32429" s="372">
        <v>0.0</v>
      </c>
    </row>
    <row r="32430">
      <c r="Y32430" s="372">
        <v>0.0</v>
      </c>
      <c r="Z32430" s="372">
        <v>0.0</v>
      </c>
    </row>
    <row r="32431">
      <c r="Y32431" s="372">
        <v>0.0</v>
      </c>
      <c r="Z32431" s="372">
        <v>0.0</v>
      </c>
    </row>
    <row r="32432">
      <c r="Y32432" s="372">
        <v>0.0</v>
      </c>
      <c r="Z32432" s="372">
        <v>0.0</v>
      </c>
    </row>
    <row r="32433">
      <c r="Y32433" s="372">
        <v>0.0</v>
      </c>
      <c r="Z32433" s="372">
        <v>0.0</v>
      </c>
    </row>
    <row r="32434">
      <c r="Y32434" s="372">
        <v>0.0</v>
      </c>
      <c r="Z32434" s="372">
        <v>0.0</v>
      </c>
    </row>
    <row r="32435">
      <c r="Y32435" s="372">
        <v>0.0</v>
      </c>
      <c r="Z32435" s="372">
        <v>0.0</v>
      </c>
    </row>
    <row r="32436">
      <c r="Y32436" s="372">
        <v>0.0</v>
      </c>
      <c r="Z32436" s="372">
        <v>0.0</v>
      </c>
    </row>
    <row r="32437">
      <c r="Y32437" s="372">
        <v>0.0</v>
      </c>
      <c r="Z32437" s="372">
        <v>0.0</v>
      </c>
    </row>
    <row r="32438">
      <c r="Y32438" s="372">
        <v>0.0</v>
      </c>
      <c r="Z32438" s="372">
        <v>0.0</v>
      </c>
    </row>
    <row r="32439">
      <c r="Y32439" s="372">
        <v>0.0</v>
      </c>
      <c r="Z32439" s="372">
        <v>0.0</v>
      </c>
    </row>
    <row r="32440">
      <c r="Y32440" s="372">
        <v>0.0</v>
      </c>
      <c r="Z32440" s="372">
        <v>0.0</v>
      </c>
    </row>
    <row r="32441">
      <c r="Y32441" s="372">
        <v>0.0</v>
      </c>
      <c r="Z32441" s="372">
        <v>0.0</v>
      </c>
    </row>
    <row r="32442">
      <c r="Y32442" s="372">
        <v>0.0</v>
      </c>
      <c r="Z32442" s="372">
        <v>0.0</v>
      </c>
    </row>
    <row r="32443">
      <c r="Y32443" s="372">
        <v>0.0</v>
      </c>
      <c r="Z32443" s="372">
        <v>0.0</v>
      </c>
    </row>
    <row r="32444">
      <c r="Y32444" s="372">
        <v>0.0</v>
      </c>
      <c r="Z32444" s="372">
        <v>0.0</v>
      </c>
    </row>
    <row r="32445">
      <c r="Y32445" s="372">
        <v>0.0</v>
      </c>
      <c r="Z32445" s="372">
        <v>0.0</v>
      </c>
    </row>
    <row r="32446">
      <c r="Y32446" s="372">
        <v>0.0</v>
      </c>
      <c r="Z32446" s="372">
        <v>0.0</v>
      </c>
    </row>
    <row r="32447">
      <c r="Y32447" s="372">
        <v>0.0</v>
      </c>
      <c r="Z32447" s="372">
        <v>0.0</v>
      </c>
    </row>
    <row r="32448">
      <c r="Y32448" s="372">
        <v>0.0</v>
      </c>
      <c r="Z32448" s="372">
        <v>0.0</v>
      </c>
    </row>
    <row r="32449">
      <c r="Y32449" s="372">
        <v>0.0</v>
      </c>
      <c r="Z32449" s="372">
        <v>0.0</v>
      </c>
    </row>
    <row r="32450">
      <c r="Y32450" s="372">
        <v>0.0</v>
      </c>
      <c r="Z32450" s="372">
        <v>0.0</v>
      </c>
    </row>
    <row r="32451">
      <c r="Y32451" s="372">
        <v>0.0</v>
      </c>
      <c r="Z32451" s="372">
        <v>0.0</v>
      </c>
    </row>
    <row r="32452">
      <c r="Y32452" s="372">
        <v>0.0</v>
      </c>
      <c r="Z32452" s="372">
        <v>0.0</v>
      </c>
    </row>
    <row r="32453">
      <c r="Y32453" s="372">
        <v>0.0</v>
      </c>
      <c r="Z32453" s="372">
        <v>0.0</v>
      </c>
    </row>
    <row r="32454">
      <c r="Y32454" s="372">
        <v>0.0</v>
      </c>
      <c r="Z32454" s="372">
        <v>0.0</v>
      </c>
    </row>
    <row r="32455">
      <c r="Y32455" s="372">
        <v>0.0</v>
      </c>
      <c r="Z32455" s="372">
        <v>0.0</v>
      </c>
    </row>
    <row r="32456">
      <c r="Y32456" s="372">
        <v>0.0</v>
      </c>
      <c r="Z32456" s="372">
        <v>0.0</v>
      </c>
    </row>
    <row r="32457">
      <c r="Y32457" s="372">
        <v>0.0</v>
      </c>
      <c r="Z32457" s="372">
        <v>0.0</v>
      </c>
    </row>
    <row r="32458">
      <c r="Y32458" s="372">
        <v>0.0</v>
      </c>
      <c r="Z32458" s="372">
        <v>0.0</v>
      </c>
    </row>
    <row r="32459">
      <c r="Y32459" s="372">
        <v>0.0</v>
      </c>
      <c r="Z32459" s="372">
        <v>0.0</v>
      </c>
    </row>
    <row r="32460">
      <c r="Y32460" s="372">
        <v>0.0</v>
      </c>
      <c r="Z32460" s="372">
        <v>0.0</v>
      </c>
    </row>
    <row r="32461">
      <c r="Y32461" s="372">
        <v>0.0</v>
      </c>
      <c r="Z32461" s="372">
        <v>0.0</v>
      </c>
    </row>
    <row r="32462">
      <c r="Y32462" s="372">
        <v>0.0</v>
      </c>
      <c r="Z32462" s="372">
        <v>0.0</v>
      </c>
    </row>
    <row r="32463">
      <c r="Y32463" s="372">
        <v>0.0</v>
      </c>
      <c r="Z32463" s="372">
        <v>0.0</v>
      </c>
    </row>
    <row r="32464">
      <c r="Y32464" s="372">
        <v>0.0</v>
      </c>
      <c r="Z32464" s="372">
        <v>0.0</v>
      </c>
    </row>
    <row r="32465">
      <c r="Y32465" s="372">
        <v>0.0</v>
      </c>
      <c r="Z32465" s="372">
        <v>0.0</v>
      </c>
    </row>
    <row r="32466">
      <c r="Y32466" s="372">
        <v>0.0</v>
      </c>
      <c r="Z32466" s="372">
        <v>0.0</v>
      </c>
    </row>
    <row r="32467">
      <c r="Y32467" s="372">
        <v>0.0</v>
      </c>
      <c r="Z32467" s="372">
        <v>0.0</v>
      </c>
    </row>
    <row r="32468">
      <c r="Y32468" s="372">
        <v>0.0</v>
      </c>
      <c r="Z32468" s="372">
        <v>0.0</v>
      </c>
    </row>
    <row r="32469">
      <c r="Y32469" s="372">
        <v>0.0</v>
      </c>
      <c r="Z32469" s="372">
        <v>0.0</v>
      </c>
    </row>
    <row r="32470">
      <c r="Y32470" s="372">
        <v>0.0</v>
      </c>
      <c r="Z32470" s="372">
        <v>0.0</v>
      </c>
    </row>
    <row r="32471">
      <c r="Y32471" s="372">
        <v>0.0</v>
      </c>
      <c r="Z32471" s="372">
        <v>0.0</v>
      </c>
    </row>
    <row r="32472">
      <c r="Y32472" s="372">
        <v>0.0</v>
      </c>
      <c r="Z32472" s="372">
        <v>0.0</v>
      </c>
    </row>
    <row r="32473">
      <c r="Y32473" s="372">
        <v>0.0</v>
      </c>
      <c r="Z32473" s="372">
        <v>0.0</v>
      </c>
    </row>
    <row r="32474">
      <c r="Y32474" s="372">
        <v>0.0</v>
      </c>
      <c r="Z32474" s="372">
        <v>0.0</v>
      </c>
    </row>
    <row r="32475">
      <c r="Y32475" s="372">
        <v>0.0</v>
      </c>
      <c r="Z32475" s="372">
        <v>0.0</v>
      </c>
    </row>
    <row r="32476">
      <c r="Y32476" s="372">
        <v>0.0</v>
      </c>
      <c r="Z32476" s="372">
        <v>0.0</v>
      </c>
    </row>
    <row r="32477">
      <c r="Y32477" s="372">
        <v>0.0</v>
      </c>
      <c r="Z32477" s="372">
        <v>0.0</v>
      </c>
    </row>
    <row r="32478">
      <c r="Y32478" s="372">
        <v>0.0</v>
      </c>
      <c r="Z32478" s="372">
        <v>0.0</v>
      </c>
    </row>
    <row r="32479">
      <c r="Y32479" s="372">
        <v>0.0</v>
      </c>
      <c r="Z32479" s="372">
        <v>0.0</v>
      </c>
    </row>
    <row r="32480">
      <c r="Y32480" s="372">
        <v>0.0</v>
      </c>
      <c r="Z32480" s="372">
        <v>0.0</v>
      </c>
    </row>
    <row r="32481">
      <c r="Y32481" s="372">
        <v>0.0</v>
      </c>
      <c r="Z32481" s="372">
        <v>0.0</v>
      </c>
    </row>
    <row r="32482">
      <c r="Y32482" s="372">
        <v>0.0</v>
      </c>
      <c r="Z32482" s="372">
        <v>0.0</v>
      </c>
    </row>
    <row r="32483">
      <c r="Y32483" s="372">
        <v>0.0</v>
      </c>
      <c r="Z32483" s="372">
        <v>0.0</v>
      </c>
    </row>
    <row r="32484">
      <c r="Y32484" s="372">
        <v>0.0</v>
      </c>
      <c r="Z32484" s="372">
        <v>0.0</v>
      </c>
    </row>
    <row r="32485">
      <c r="Y32485" s="372">
        <v>0.0</v>
      </c>
      <c r="Z32485" s="372">
        <v>0.0</v>
      </c>
    </row>
    <row r="32486">
      <c r="Y32486" s="372">
        <v>0.0</v>
      </c>
      <c r="Z32486" s="372">
        <v>0.0</v>
      </c>
    </row>
    <row r="32487">
      <c r="Y32487" s="372">
        <v>0.0</v>
      </c>
      <c r="Z32487" s="372">
        <v>0.0</v>
      </c>
    </row>
    <row r="32488">
      <c r="Y32488" s="372">
        <v>0.0</v>
      </c>
      <c r="Z32488" s="372">
        <v>0.0</v>
      </c>
    </row>
    <row r="32489">
      <c r="Y32489" s="372">
        <v>0.0</v>
      </c>
      <c r="Z32489" s="372">
        <v>0.0</v>
      </c>
    </row>
    <row r="32490">
      <c r="Y32490" s="372">
        <v>0.0</v>
      </c>
      <c r="Z32490" s="372">
        <v>0.0</v>
      </c>
    </row>
    <row r="32491">
      <c r="Y32491" s="372">
        <v>0.0</v>
      </c>
      <c r="Z32491" s="372">
        <v>0.0</v>
      </c>
    </row>
    <row r="32492">
      <c r="Y32492" s="372">
        <v>0.0</v>
      </c>
      <c r="Z32492" s="372">
        <v>0.0</v>
      </c>
    </row>
    <row r="32493">
      <c r="Y32493" s="372">
        <v>0.0</v>
      </c>
      <c r="Z32493" s="372">
        <v>0.0</v>
      </c>
    </row>
    <row r="32494">
      <c r="Y32494" s="372">
        <v>0.0</v>
      </c>
      <c r="Z32494" s="372">
        <v>0.0</v>
      </c>
    </row>
    <row r="32495">
      <c r="Y32495" s="372">
        <v>0.0</v>
      </c>
      <c r="Z32495" s="372">
        <v>0.0</v>
      </c>
    </row>
    <row r="32496">
      <c r="Y32496" s="372">
        <v>0.0</v>
      </c>
      <c r="Z32496" s="372">
        <v>0.0</v>
      </c>
    </row>
    <row r="32497">
      <c r="Y32497" s="372">
        <v>0.0</v>
      </c>
      <c r="Z32497" s="372">
        <v>0.0</v>
      </c>
    </row>
    <row r="32498">
      <c r="Y32498" s="372">
        <v>0.0</v>
      </c>
      <c r="Z32498" s="372">
        <v>0.0</v>
      </c>
    </row>
    <row r="32499">
      <c r="Y32499" s="372">
        <v>0.0</v>
      </c>
      <c r="Z32499" s="372">
        <v>0.0</v>
      </c>
    </row>
    <row r="32500">
      <c r="Y32500" s="372">
        <v>0.0</v>
      </c>
      <c r="Z32500" s="372">
        <v>0.0</v>
      </c>
    </row>
    <row r="32501">
      <c r="Y32501" s="372">
        <v>0.0</v>
      </c>
      <c r="Z32501" s="372">
        <v>0.0</v>
      </c>
    </row>
    <row r="32502">
      <c r="Y32502" s="372">
        <v>0.0</v>
      </c>
      <c r="Z32502" s="372">
        <v>0.0</v>
      </c>
    </row>
    <row r="32503">
      <c r="Y32503" s="372">
        <v>0.0</v>
      </c>
      <c r="Z32503" s="372">
        <v>0.0</v>
      </c>
    </row>
    <row r="32504">
      <c r="Y32504" s="372">
        <v>0.0</v>
      </c>
      <c r="Z32504" s="372">
        <v>0.0</v>
      </c>
    </row>
    <row r="32505">
      <c r="Y32505" s="372">
        <v>0.0</v>
      </c>
      <c r="Z32505" s="372">
        <v>0.0</v>
      </c>
    </row>
    <row r="32506">
      <c r="Y32506" s="372">
        <v>0.0</v>
      </c>
      <c r="Z32506" s="372">
        <v>0.0</v>
      </c>
    </row>
    <row r="32507">
      <c r="Y32507" s="372">
        <v>0.0</v>
      </c>
      <c r="Z32507" s="372">
        <v>0.0</v>
      </c>
    </row>
    <row r="32508">
      <c r="Y32508" s="372">
        <v>0.0</v>
      </c>
      <c r="Z32508" s="372">
        <v>0.0</v>
      </c>
    </row>
    <row r="32509">
      <c r="Y32509" s="372">
        <v>0.0</v>
      </c>
      <c r="Z32509" s="372">
        <v>0.0</v>
      </c>
    </row>
    <row r="32510">
      <c r="Y32510" s="372">
        <v>0.0</v>
      </c>
      <c r="Z32510" s="372">
        <v>0.0</v>
      </c>
    </row>
    <row r="32511">
      <c r="Y32511" s="372">
        <v>0.0</v>
      </c>
      <c r="Z32511" s="372">
        <v>0.0</v>
      </c>
    </row>
    <row r="32512">
      <c r="Y32512" s="372">
        <v>0.0</v>
      </c>
      <c r="Z32512" s="372">
        <v>0.0</v>
      </c>
    </row>
    <row r="32513">
      <c r="Y32513" s="372">
        <v>0.0</v>
      </c>
      <c r="Z32513" s="372">
        <v>0.0</v>
      </c>
    </row>
    <row r="32514">
      <c r="Y32514" s="372">
        <v>0.0</v>
      </c>
      <c r="Z32514" s="372">
        <v>0.0</v>
      </c>
    </row>
    <row r="32515">
      <c r="Y32515" s="372">
        <v>0.0</v>
      </c>
      <c r="Z32515" s="372">
        <v>0.0</v>
      </c>
    </row>
    <row r="32516">
      <c r="Y32516" s="372">
        <v>0.0</v>
      </c>
      <c r="Z32516" s="372">
        <v>0.0</v>
      </c>
    </row>
    <row r="32517">
      <c r="Y32517" s="372">
        <v>0.0</v>
      </c>
      <c r="Z32517" s="372">
        <v>0.0</v>
      </c>
    </row>
    <row r="32518">
      <c r="Y32518" s="372">
        <v>0.0</v>
      </c>
      <c r="Z32518" s="372">
        <v>0.0</v>
      </c>
    </row>
    <row r="32519">
      <c r="Y32519" s="372">
        <v>0.0</v>
      </c>
      <c r="Z32519" s="372">
        <v>0.0</v>
      </c>
    </row>
    <row r="32520">
      <c r="Y32520" s="372">
        <v>0.0</v>
      </c>
      <c r="Z32520" s="372">
        <v>0.0</v>
      </c>
    </row>
    <row r="32521">
      <c r="Y32521" s="372">
        <v>0.0</v>
      </c>
      <c r="Z32521" s="372">
        <v>0.0</v>
      </c>
    </row>
    <row r="32522">
      <c r="Y32522" s="372">
        <v>0.0</v>
      </c>
      <c r="Z32522" s="372">
        <v>0.0</v>
      </c>
    </row>
    <row r="32523">
      <c r="Y32523" s="372">
        <v>0.0</v>
      </c>
      <c r="Z32523" s="372">
        <v>0.0</v>
      </c>
    </row>
    <row r="32524">
      <c r="Y32524" s="372">
        <v>0.0</v>
      </c>
      <c r="Z32524" s="372">
        <v>0.0</v>
      </c>
    </row>
    <row r="32525">
      <c r="Y32525" s="372">
        <v>0.0</v>
      </c>
      <c r="Z32525" s="372">
        <v>0.0</v>
      </c>
    </row>
    <row r="32526">
      <c r="Y32526" s="372">
        <v>0.0</v>
      </c>
      <c r="Z32526" s="372">
        <v>0.0</v>
      </c>
    </row>
    <row r="32527">
      <c r="Y32527" s="372">
        <v>0.0</v>
      </c>
      <c r="Z32527" s="372">
        <v>0.0</v>
      </c>
    </row>
    <row r="32528">
      <c r="Y32528" s="372">
        <v>0.0</v>
      </c>
      <c r="Z32528" s="372">
        <v>0.0</v>
      </c>
    </row>
    <row r="32529">
      <c r="Y32529" s="372">
        <v>0.0</v>
      </c>
      <c r="Z32529" s="372">
        <v>0.0</v>
      </c>
    </row>
    <row r="32530">
      <c r="Y32530" s="372">
        <v>0.0</v>
      </c>
      <c r="Z32530" s="372">
        <v>0.0</v>
      </c>
    </row>
    <row r="32531">
      <c r="Y32531" s="372">
        <v>0.0</v>
      </c>
      <c r="Z32531" s="372">
        <v>0.0</v>
      </c>
    </row>
    <row r="32532">
      <c r="Y32532" s="372">
        <v>0.0</v>
      </c>
      <c r="Z32532" s="372">
        <v>0.0</v>
      </c>
    </row>
    <row r="32533">
      <c r="Y32533" s="372">
        <v>0.0</v>
      </c>
      <c r="Z32533" s="372">
        <v>0.0</v>
      </c>
    </row>
    <row r="32534">
      <c r="Y32534" s="372">
        <v>0.0</v>
      </c>
      <c r="Z32534" s="372">
        <v>0.0</v>
      </c>
    </row>
    <row r="32535">
      <c r="Y32535" s="372">
        <v>0.0</v>
      </c>
      <c r="Z32535" s="372">
        <v>0.0</v>
      </c>
    </row>
    <row r="32536">
      <c r="Y32536" s="372">
        <v>0.0</v>
      </c>
      <c r="Z32536" s="372">
        <v>0.0</v>
      </c>
    </row>
    <row r="32537">
      <c r="Y32537" s="372">
        <v>0.0</v>
      </c>
      <c r="Z32537" s="372">
        <v>0.0</v>
      </c>
    </row>
    <row r="32538">
      <c r="Y32538" s="372">
        <v>0.0</v>
      </c>
      <c r="Z32538" s="372">
        <v>0.0</v>
      </c>
    </row>
    <row r="32539">
      <c r="Y32539" s="372">
        <v>0.0</v>
      </c>
      <c r="Z32539" s="372">
        <v>0.0</v>
      </c>
    </row>
    <row r="32540">
      <c r="Y32540" s="372">
        <v>0.0</v>
      </c>
      <c r="Z32540" s="372">
        <v>0.0</v>
      </c>
    </row>
    <row r="32541">
      <c r="Y32541" s="372">
        <v>0.0</v>
      </c>
      <c r="Z32541" s="372">
        <v>0.0</v>
      </c>
    </row>
    <row r="32542">
      <c r="Y32542" s="372">
        <v>0.0</v>
      </c>
      <c r="Z32542" s="372">
        <v>0.0</v>
      </c>
    </row>
    <row r="32543">
      <c r="Y32543" s="372">
        <v>0.0</v>
      </c>
      <c r="Z32543" s="372">
        <v>0.0</v>
      </c>
    </row>
    <row r="32544">
      <c r="Y32544" s="372">
        <v>0.0</v>
      </c>
      <c r="Z32544" s="372">
        <v>0.0</v>
      </c>
    </row>
    <row r="32545">
      <c r="Y32545" s="372">
        <v>0.0</v>
      </c>
      <c r="Z32545" s="372">
        <v>0.0</v>
      </c>
    </row>
    <row r="32546">
      <c r="Y32546" s="372">
        <v>0.0</v>
      </c>
      <c r="Z32546" s="372">
        <v>0.0</v>
      </c>
    </row>
    <row r="32547">
      <c r="Y32547" s="372">
        <v>0.0</v>
      </c>
      <c r="Z32547" s="372">
        <v>0.0</v>
      </c>
    </row>
    <row r="32548">
      <c r="Y32548" s="372">
        <v>0.0</v>
      </c>
      <c r="Z32548" s="372">
        <v>0.0</v>
      </c>
    </row>
    <row r="32549">
      <c r="Y32549" s="372">
        <v>0.0</v>
      </c>
      <c r="Z32549" s="372">
        <v>0.0</v>
      </c>
    </row>
    <row r="32550">
      <c r="Y32550" s="372">
        <v>0.0</v>
      </c>
      <c r="Z32550" s="372">
        <v>0.0</v>
      </c>
    </row>
    <row r="32551">
      <c r="Y32551" s="372">
        <v>0.0</v>
      </c>
      <c r="Z32551" s="372">
        <v>0.0</v>
      </c>
    </row>
    <row r="32552">
      <c r="Y32552" s="372">
        <v>0.0</v>
      </c>
      <c r="Z32552" s="372">
        <v>0.0</v>
      </c>
    </row>
    <row r="32553">
      <c r="Y32553" s="372">
        <v>0.0</v>
      </c>
      <c r="Z32553" s="372">
        <v>0.0</v>
      </c>
    </row>
    <row r="32554">
      <c r="Y32554" s="372">
        <v>0.0</v>
      </c>
      <c r="Z32554" s="372">
        <v>0.0</v>
      </c>
    </row>
    <row r="32555">
      <c r="Y32555" s="372">
        <v>0.0</v>
      </c>
      <c r="Z32555" s="372">
        <v>0.0</v>
      </c>
    </row>
    <row r="32556">
      <c r="Y32556" s="372">
        <v>0.0</v>
      </c>
      <c r="Z32556" s="372">
        <v>0.0</v>
      </c>
    </row>
    <row r="32557">
      <c r="Y32557" s="372">
        <v>0.0</v>
      </c>
      <c r="Z32557" s="372">
        <v>0.0</v>
      </c>
    </row>
    <row r="32558">
      <c r="Y32558" s="372">
        <v>0.0</v>
      </c>
      <c r="Z32558" s="372">
        <v>0.0</v>
      </c>
    </row>
    <row r="32559">
      <c r="Y32559" s="372">
        <v>0.0</v>
      </c>
      <c r="Z32559" s="372">
        <v>0.0</v>
      </c>
    </row>
    <row r="32560">
      <c r="Y32560" s="372">
        <v>0.0</v>
      </c>
      <c r="Z32560" s="372">
        <v>0.0</v>
      </c>
    </row>
    <row r="32561">
      <c r="Y32561" s="372">
        <v>0.0</v>
      </c>
      <c r="Z32561" s="372">
        <v>0.0</v>
      </c>
    </row>
    <row r="32562">
      <c r="Y32562" s="372">
        <v>0.0</v>
      </c>
      <c r="Z32562" s="372">
        <v>0.0</v>
      </c>
    </row>
    <row r="32563">
      <c r="Y32563" s="372">
        <v>0.0</v>
      </c>
      <c r="Z32563" s="372">
        <v>0.0</v>
      </c>
    </row>
    <row r="32564">
      <c r="Y32564" s="372">
        <v>0.0</v>
      </c>
      <c r="Z32564" s="372">
        <v>0.0</v>
      </c>
    </row>
    <row r="32565">
      <c r="Y32565" s="372">
        <v>0.0</v>
      </c>
      <c r="Z32565" s="372">
        <v>0.0</v>
      </c>
    </row>
    <row r="32566">
      <c r="Y32566" s="372">
        <v>0.0</v>
      </c>
      <c r="Z32566" s="372">
        <v>0.0</v>
      </c>
    </row>
    <row r="32567">
      <c r="Y32567" s="372">
        <v>0.0</v>
      </c>
      <c r="Z32567" s="372">
        <v>0.0</v>
      </c>
    </row>
    <row r="32568">
      <c r="Y32568" s="372">
        <v>0.0</v>
      </c>
      <c r="Z32568" s="372">
        <v>0.0</v>
      </c>
    </row>
    <row r="32569">
      <c r="Y32569" s="372">
        <v>0.0</v>
      </c>
      <c r="Z32569" s="372">
        <v>0.0</v>
      </c>
    </row>
    <row r="32570">
      <c r="Y32570" s="372">
        <v>0.0</v>
      </c>
      <c r="Z32570" s="372">
        <v>0.0</v>
      </c>
    </row>
    <row r="32571">
      <c r="Y32571" s="372">
        <v>0.0</v>
      </c>
      <c r="Z32571" s="372">
        <v>0.0</v>
      </c>
    </row>
    <row r="32572">
      <c r="Y32572" s="372">
        <v>0.0</v>
      </c>
      <c r="Z32572" s="372">
        <v>0.0</v>
      </c>
    </row>
    <row r="32573">
      <c r="Y32573" s="372">
        <v>0.0</v>
      </c>
      <c r="Z32573" s="372">
        <v>0.0</v>
      </c>
    </row>
    <row r="32574">
      <c r="Y32574" s="372">
        <v>0.0</v>
      </c>
      <c r="Z32574" s="372">
        <v>0.0</v>
      </c>
    </row>
    <row r="32575">
      <c r="Y32575" s="372">
        <v>0.0</v>
      </c>
      <c r="Z32575" s="372">
        <v>0.0</v>
      </c>
    </row>
    <row r="32576">
      <c r="Y32576" s="372">
        <v>0.0</v>
      </c>
      <c r="Z32576" s="372">
        <v>0.0</v>
      </c>
    </row>
    <row r="32577">
      <c r="Y32577" s="372">
        <v>0.0</v>
      </c>
      <c r="Z32577" s="372">
        <v>0.0</v>
      </c>
    </row>
    <row r="32578">
      <c r="Y32578" s="372">
        <v>0.0</v>
      </c>
      <c r="Z32578" s="372">
        <v>0.0</v>
      </c>
    </row>
    <row r="32579">
      <c r="Y32579" s="372">
        <v>0.0</v>
      </c>
      <c r="Z32579" s="372">
        <v>0.0</v>
      </c>
    </row>
    <row r="32580">
      <c r="Y32580" s="372">
        <v>0.0</v>
      </c>
      <c r="Z32580" s="372">
        <v>0.0</v>
      </c>
    </row>
    <row r="32581">
      <c r="Y32581" s="372">
        <v>0.0</v>
      </c>
      <c r="Z32581" s="372">
        <v>0.0</v>
      </c>
    </row>
    <row r="32582">
      <c r="Y32582" s="372">
        <v>0.0</v>
      </c>
      <c r="Z32582" s="372">
        <v>0.0</v>
      </c>
    </row>
    <row r="32583">
      <c r="Y32583" s="372">
        <v>0.0</v>
      </c>
      <c r="Z32583" s="372">
        <v>0.0</v>
      </c>
    </row>
    <row r="32584">
      <c r="Y32584" s="372">
        <v>0.0</v>
      </c>
      <c r="Z32584" s="372">
        <v>0.0</v>
      </c>
    </row>
    <row r="32585">
      <c r="Y32585" s="372">
        <v>0.0</v>
      </c>
      <c r="Z32585" s="372">
        <v>0.0</v>
      </c>
    </row>
    <row r="32586">
      <c r="Y32586" s="372">
        <v>0.0</v>
      </c>
      <c r="Z32586" s="372">
        <v>0.0</v>
      </c>
    </row>
    <row r="32587">
      <c r="Y32587" s="372">
        <v>0.0</v>
      </c>
      <c r="Z32587" s="372">
        <v>0.0</v>
      </c>
    </row>
    <row r="32588">
      <c r="Y32588" s="372">
        <v>0.0</v>
      </c>
      <c r="Z32588" s="372">
        <v>0.0</v>
      </c>
    </row>
    <row r="32589">
      <c r="Y32589" s="372">
        <v>0.0</v>
      </c>
      <c r="Z32589" s="372">
        <v>0.0</v>
      </c>
    </row>
    <row r="32590">
      <c r="Y32590" s="372">
        <v>0.0</v>
      </c>
      <c r="Z32590" s="372">
        <v>0.0</v>
      </c>
    </row>
    <row r="32591">
      <c r="Y32591" s="372">
        <v>0.0</v>
      </c>
      <c r="Z32591" s="372">
        <v>0.0</v>
      </c>
    </row>
    <row r="32592">
      <c r="Y32592" s="372">
        <v>0.0</v>
      </c>
      <c r="Z32592" s="372">
        <v>0.0</v>
      </c>
    </row>
    <row r="32593">
      <c r="Y32593" s="372">
        <v>0.0</v>
      </c>
      <c r="Z32593" s="372">
        <v>0.0</v>
      </c>
    </row>
    <row r="32594">
      <c r="Y32594" s="372">
        <v>0.0</v>
      </c>
      <c r="Z32594" s="372">
        <v>0.0</v>
      </c>
    </row>
    <row r="32595">
      <c r="Y32595" s="372">
        <v>0.0</v>
      </c>
      <c r="Z32595" s="372">
        <v>0.0</v>
      </c>
    </row>
    <row r="32596">
      <c r="Y32596" s="372">
        <v>0.0</v>
      </c>
      <c r="Z32596" s="372">
        <v>0.0</v>
      </c>
    </row>
    <row r="32597">
      <c r="Y32597" s="372">
        <v>0.0</v>
      </c>
      <c r="Z32597" s="372">
        <v>0.0</v>
      </c>
    </row>
    <row r="32598">
      <c r="Y32598" s="372">
        <v>0.0</v>
      </c>
      <c r="Z32598" s="372">
        <v>0.0</v>
      </c>
    </row>
    <row r="32599">
      <c r="Y32599" s="372">
        <v>0.0</v>
      </c>
      <c r="Z32599" s="372">
        <v>0.0</v>
      </c>
    </row>
    <row r="32600">
      <c r="Y32600" s="372">
        <v>0.0</v>
      </c>
      <c r="Z32600" s="372">
        <v>0.0</v>
      </c>
    </row>
    <row r="32601">
      <c r="Y32601" s="372">
        <v>0.0</v>
      </c>
      <c r="Z32601" s="372">
        <v>0.0</v>
      </c>
    </row>
    <row r="32602">
      <c r="Y32602" s="372">
        <v>0.0</v>
      </c>
      <c r="Z32602" s="372">
        <v>0.0</v>
      </c>
    </row>
    <row r="32603">
      <c r="Y32603" s="372">
        <v>0.0</v>
      </c>
      <c r="Z32603" s="372">
        <v>0.0</v>
      </c>
    </row>
    <row r="32604">
      <c r="Y32604" s="372">
        <v>0.0</v>
      </c>
      <c r="Z32604" s="372">
        <v>0.0</v>
      </c>
    </row>
    <row r="32605">
      <c r="Y32605" s="372">
        <v>0.0</v>
      </c>
      <c r="Z32605" s="372">
        <v>0.0</v>
      </c>
    </row>
    <row r="32606">
      <c r="Y32606" s="372">
        <v>0.0</v>
      </c>
      <c r="Z32606" s="372">
        <v>0.0</v>
      </c>
    </row>
    <row r="32607">
      <c r="Y32607" s="372">
        <v>0.0</v>
      </c>
      <c r="Z32607" s="372">
        <v>0.0</v>
      </c>
    </row>
    <row r="32608">
      <c r="Y32608" s="372">
        <v>0.0</v>
      </c>
      <c r="Z32608" s="372">
        <v>0.0</v>
      </c>
    </row>
    <row r="32609">
      <c r="Y32609" s="372">
        <v>0.0</v>
      </c>
      <c r="Z32609" s="372">
        <v>0.0</v>
      </c>
    </row>
    <row r="32610">
      <c r="Y32610" s="372">
        <v>0.0</v>
      </c>
      <c r="Z32610" s="372">
        <v>0.0</v>
      </c>
    </row>
    <row r="32611">
      <c r="Y32611" s="372">
        <v>0.0</v>
      </c>
      <c r="Z32611" s="372">
        <v>0.0</v>
      </c>
    </row>
    <row r="32612">
      <c r="Y32612" s="372">
        <v>0.0</v>
      </c>
      <c r="Z32612" s="372">
        <v>0.0</v>
      </c>
    </row>
    <row r="32613">
      <c r="Y32613" s="372">
        <v>0.0</v>
      </c>
      <c r="Z32613" s="372">
        <v>0.0</v>
      </c>
    </row>
    <row r="32614">
      <c r="Y32614" s="372">
        <v>0.0</v>
      </c>
      <c r="Z32614" s="372">
        <v>0.0</v>
      </c>
    </row>
    <row r="32615">
      <c r="Y32615" s="372">
        <v>0.0</v>
      </c>
      <c r="Z32615" s="372">
        <v>0.0</v>
      </c>
    </row>
    <row r="32616">
      <c r="Y32616" s="372">
        <v>0.0</v>
      </c>
      <c r="Z32616" s="372">
        <v>0.0</v>
      </c>
    </row>
    <row r="32617">
      <c r="Y32617" s="372">
        <v>0.0</v>
      </c>
      <c r="Z32617" s="372">
        <v>0.0</v>
      </c>
    </row>
    <row r="32618">
      <c r="Y32618" s="372">
        <v>0.0</v>
      </c>
      <c r="Z32618" s="372">
        <v>0.0</v>
      </c>
    </row>
    <row r="32619">
      <c r="Y32619" s="372">
        <v>0.0</v>
      </c>
      <c r="Z32619" s="372">
        <v>0.0</v>
      </c>
    </row>
    <row r="32620">
      <c r="Y32620" s="372">
        <v>0.0</v>
      </c>
      <c r="Z32620" s="372">
        <v>0.0</v>
      </c>
    </row>
    <row r="32621">
      <c r="Y32621" s="372">
        <v>0.0</v>
      </c>
      <c r="Z32621" s="372">
        <v>0.0</v>
      </c>
    </row>
    <row r="32622">
      <c r="Y32622" s="372">
        <v>0.0</v>
      </c>
      <c r="Z32622" s="372">
        <v>0.0</v>
      </c>
    </row>
    <row r="32623">
      <c r="Y32623" s="372">
        <v>0.0</v>
      </c>
      <c r="Z32623" s="372">
        <v>0.0</v>
      </c>
    </row>
    <row r="32624">
      <c r="Y32624" s="372">
        <v>0.0</v>
      </c>
      <c r="Z32624" s="372">
        <v>0.0</v>
      </c>
    </row>
    <row r="32625">
      <c r="Y32625" s="372">
        <v>0.0</v>
      </c>
      <c r="Z32625" s="372">
        <v>0.0</v>
      </c>
    </row>
    <row r="32626">
      <c r="Y32626" s="372">
        <v>0.0</v>
      </c>
      <c r="Z32626" s="372">
        <v>0.0</v>
      </c>
    </row>
    <row r="32627">
      <c r="Y32627" s="372">
        <v>0.0</v>
      </c>
      <c r="Z32627" s="372">
        <v>0.0</v>
      </c>
    </row>
    <row r="32628">
      <c r="Y32628" s="372">
        <v>0.0</v>
      </c>
      <c r="Z32628" s="372">
        <v>0.0</v>
      </c>
    </row>
    <row r="32629">
      <c r="Y32629" s="372">
        <v>0.0</v>
      </c>
      <c r="Z32629" s="372">
        <v>0.0</v>
      </c>
    </row>
    <row r="32630">
      <c r="Y32630" s="372">
        <v>0.0</v>
      </c>
      <c r="Z32630" s="372">
        <v>0.0</v>
      </c>
    </row>
    <row r="32631">
      <c r="Y32631" s="372">
        <v>0.0</v>
      </c>
      <c r="Z32631" s="372">
        <v>0.0</v>
      </c>
    </row>
    <row r="32632">
      <c r="Y32632" s="372">
        <v>0.0</v>
      </c>
      <c r="Z32632" s="372">
        <v>0.0</v>
      </c>
    </row>
    <row r="32633">
      <c r="Y32633" s="372">
        <v>0.0</v>
      </c>
      <c r="Z32633" s="372">
        <v>0.0</v>
      </c>
    </row>
    <row r="32634">
      <c r="Y32634" s="372">
        <v>0.0</v>
      </c>
      <c r="Z32634" s="372">
        <v>0.0</v>
      </c>
    </row>
    <row r="32635">
      <c r="Y32635" s="372">
        <v>0.0</v>
      </c>
      <c r="Z32635" s="372">
        <v>0.0</v>
      </c>
    </row>
    <row r="32636">
      <c r="Y32636" s="372">
        <v>0.0</v>
      </c>
      <c r="Z32636" s="372">
        <v>0.0</v>
      </c>
    </row>
    <row r="32637">
      <c r="Y32637" s="372">
        <v>0.0</v>
      </c>
      <c r="Z32637" s="372">
        <v>0.0</v>
      </c>
    </row>
    <row r="32638">
      <c r="Y32638" s="372">
        <v>0.0</v>
      </c>
      <c r="Z32638" s="372">
        <v>0.0</v>
      </c>
    </row>
    <row r="32639">
      <c r="Y32639" s="372">
        <v>0.0</v>
      </c>
      <c r="Z32639" s="372">
        <v>0.0</v>
      </c>
    </row>
    <row r="32640">
      <c r="Y32640" s="372">
        <v>0.0</v>
      </c>
      <c r="Z32640" s="372">
        <v>0.0</v>
      </c>
    </row>
    <row r="32641">
      <c r="Y32641" s="372">
        <v>0.0</v>
      </c>
      <c r="Z32641" s="372">
        <v>0.0</v>
      </c>
    </row>
    <row r="32642">
      <c r="Y32642" s="372">
        <v>0.0</v>
      </c>
      <c r="Z32642" s="372">
        <v>0.0</v>
      </c>
    </row>
    <row r="32643">
      <c r="Y32643" s="372">
        <v>0.0</v>
      </c>
      <c r="Z32643" s="372">
        <v>0.0</v>
      </c>
    </row>
    <row r="32644">
      <c r="Y32644" s="372">
        <v>0.0</v>
      </c>
      <c r="Z32644" s="372">
        <v>0.0</v>
      </c>
    </row>
    <row r="32645">
      <c r="Y32645" s="372">
        <v>0.0</v>
      </c>
      <c r="Z32645" s="372">
        <v>0.0</v>
      </c>
    </row>
    <row r="32646">
      <c r="Y32646" s="372">
        <v>0.0</v>
      </c>
      <c r="Z32646" s="372">
        <v>0.0</v>
      </c>
    </row>
    <row r="32647">
      <c r="Y32647" s="372">
        <v>0.0</v>
      </c>
      <c r="Z32647" s="372">
        <v>0.0</v>
      </c>
    </row>
    <row r="32648">
      <c r="Y32648" s="372">
        <v>0.0</v>
      </c>
      <c r="Z32648" s="372">
        <v>0.0</v>
      </c>
    </row>
    <row r="32649">
      <c r="Y32649" s="372">
        <v>0.0</v>
      </c>
      <c r="Z32649" s="372">
        <v>0.0</v>
      </c>
    </row>
    <row r="32650">
      <c r="Y32650" s="372">
        <v>0.0</v>
      </c>
      <c r="Z32650" s="372">
        <v>0.0</v>
      </c>
    </row>
    <row r="32651">
      <c r="Y32651" s="372">
        <v>0.0</v>
      </c>
      <c r="Z32651" s="372">
        <v>0.0</v>
      </c>
    </row>
    <row r="32652">
      <c r="Y32652" s="372">
        <v>0.0</v>
      </c>
      <c r="Z32652" s="372">
        <v>0.0</v>
      </c>
    </row>
    <row r="32653">
      <c r="Y32653" s="372">
        <v>0.0</v>
      </c>
      <c r="Z32653" s="372">
        <v>0.0</v>
      </c>
    </row>
    <row r="32654">
      <c r="Y32654" s="372">
        <v>0.0</v>
      </c>
      <c r="Z32654" s="372">
        <v>0.0</v>
      </c>
    </row>
    <row r="32655">
      <c r="Y32655" s="372">
        <v>0.0</v>
      </c>
      <c r="Z32655" s="372">
        <v>0.0</v>
      </c>
    </row>
    <row r="32656">
      <c r="Y32656" s="372">
        <v>0.0</v>
      </c>
      <c r="Z32656" s="372">
        <v>0.0</v>
      </c>
    </row>
    <row r="32657">
      <c r="Y32657" s="372">
        <v>0.0</v>
      </c>
      <c r="Z32657" s="372">
        <v>0.0</v>
      </c>
    </row>
    <row r="32658">
      <c r="Y32658" s="372">
        <v>0.0</v>
      </c>
      <c r="Z32658" s="372">
        <v>0.0</v>
      </c>
    </row>
    <row r="32659">
      <c r="Y32659" s="372">
        <v>0.0</v>
      </c>
      <c r="Z32659" s="372">
        <v>0.0</v>
      </c>
    </row>
    <row r="32660">
      <c r="Y32660" s="372">
        <v>0.0</v>
      </c>
      <c r="Z32660" s="372">
        <v>0.0</v>
      </c>
    </row>
    <row r="32661">
      <c r="Y32661" s="372">
        <v>0.0</v>
      </c>
      <c r="Z32661" s="372">
        <v>0.0</v>
      </c>
    </row>
    <row r="32662">
      <c r="Y32662" s="372">
        <v>0.0</v>
      </c>
      <c r="Z32662" s="372">
        <v>0.0</v>
      </c>
    </row>
    <row r="32663">
      <c r="Y32663" s="372">
        <v>0.0</v>
      </c>
      <c r="Z32663" s="372">
        <v>0.0</v>
      </c>
    </row>
    <row r="32664">
      <c r="Y32664" s="372">
        <v>0.0</v>
      </c>
      <c r="Z32664" s="372">
        <v>0.0</v>
      </c>
    </row>
    <row r="32665">
      <c r="Y32665" s="372">
        <v>0.0</v>
      </c>
      <c r="Z32665" s="372">
        <v>0.0</v>
      </c>
    </row>
    <row r="32666">
      <c r="Y32666" s="372">
        <v>0.0</v>
      </c>
      <c r="Z32666" s="372">
        <v>0.0</v>
      </c>
    </row>
    <row r="32667">
      <c r="Y32667" s="372">
        <v>0.0</v>
      </c>
      <c r="Z32667" s="372">
        <v>0.0</v>
      </c>
    </row>
    <row r="32668">
      <c r="Y32668" s="372">
        <v>0.0</v>
      </c>
      <c r="Z32668" s="372">
        <v>0.0</v>
      </c>
    </row>
    <row r="32669">
      <c r="Y32669" s="372">
        <v>0.0</v>
      </c>
      <c r="Z32669" s="372">
        <v>0.0</v>
      </c>
    </row>
    <row r="32670">
      <c r="Y32670" s="372">
        <v>0.0</v>
      </c>
      <c r="Z32670" s="372">
        <v>0.0</v>
      </c>
    </row>
    <row r="32671">
      <c r="Y32671" s="372">
        <v>0.0</v>
      </c>
      <c r="Z32671" s="372">
        <v>0.0</v>
      </c>
    </row>
    <row r="32672">
      <c r="Y32672" s="372">
        <v>0.0</v>
      </c>
      <c r="Z32672" s="372">
        <v>0.0</v>
      </c>
    </row>
    <row r="32673">
      <c r="Y32673" s="372">
        <v>0.0</v>
      </c>
      <c r="Z32673" s="372">
        <v>0.0</v>
      </c>
    </row>
    <row r="32674">
      <c r="Y32674" s="372">
        <v>0.0</v>
      </c>
      <c r="Z32674" s="372">
        <v>0.0</v>
      </c>
    </row>
    <row r="32675">
      <c r="Y32675" s="372">
        <v>0.0</v>
      </c>
      <c r="Z32675" s="372">
        <v>0.0</v>
      </c>
    </row>
    <row r="32676">
      <c r="Y32676" s="372">
        <v>0.0</v>
      </c>
      <c r="Z32676" s="372">
        <v>0.0</v>
      </c>
    </row>
    <row r="32677">
      <c r="Y32677" s="372">
        <v>0.0</v>
      </c>
      <c r="Z32677" s="372">
        <v>0.0</v>
      </c>
    </row>
    <row r="32678">
      <c r="Y32678" s="372">
        <v>0.0</v>
      </c>
      <c r="Z32678" s="372">
        <v>0.0</v>
      </c>
    </row>
    <row r="32679">
      <c r="Y32679" s="372">
        <v>0.0</v>
      </c>
      <c r="Z32679" s="372">
        <v>0.0</v>
      </c>
    </row>
    <row r="32680">
      <c r="Y32680" s="372">
        <v>0.0</v>
      </c>
      <c r="Z32680" s="372">
        <v>0.0</v>
      </c>
    </row>
    <row r="32681">
      <c r="Y32681" s="372">
        <v>0.0</v>
      </c>
      <c r="Z32681" s="372">
        <v>0.0</v>
      </c>
    </row>
    <row r="32682">
      <c r="Y32682" s="372">
        <v>0.0</v>
      </c>
      <c r="Z32682" s="372">
        <v>0.0</v>
      </c>
    </row>
    <row r="32683">
      <c r="Y32683" s="372">
        <v>0.0</v>
      </c>
      <c r="Z32683" s="372">
        <v>0.0</v>
      </c>
    </row>
    <row r="32684">
      <c r="Y32684" s="372">
        <v>0.0</v>
      </c>
      <c r="Z32684" s="372">
        <v>0.0</v>
      </c>
    </row>
    <row r="32685">
      <c r="Y32685" s="372">
        <v>0.0</v>
      </c>
      <c r="Z32685" s="372">
        <v>0.0</v>
      </c>
    </row>
    <row r="32686">
      <c r="Y32686" s="372">
        <v>0.0</v>
      </c>
      <c r="Z32686" s="372">
        <v>0.0</v>
      </c>
    </row>
    <row r="32687">
      <c r="Y32687" s="372">
        <v>0.0</v>
      </c>
      <c r="Z32687" s="372">
        <v>0.0</v>
      </c>
    </row>
    <row r="32688">
      <c r="Y32688" s="372">
        <v>0.0</v>
      </c>
      <c r="Z32688" s="372">
        <v>0.0</v>
      </c>
    </row>
    <row r="32689">
      <c r="Y32689" s="372">
        <v>0.0</v>
      </c>
      <c r="Z32689" s="372">
        <v>0.0</v>
      </c>
    </row>
    <row r="32690">
      <c r="Y32690" s="372">
        <v>0.0</v>
      </c>
      <c r="Z32690" s="372">
        <v>0.0</v>
      </c>
    </row>
    <row r="32691">
      <c r="Y32691" s="372">
        <v>0.0</v>
      </c>
      <c r="Z32691" s="372">
        <v>0.0</v>
      </c>
    </row>
    <row r="32692">
      <c r="Y32692" s="372">
        <v>0.0</v>
      </c>
      <c r="Z32692" s="372">
        <v>0.0</v>
      </c>
    </row>
    <row r="32693">
      <c r="Y32693" s="372">
        <v>0.0</v>
      </c>
      <c r="Z32693" s="372">
        <v>0.0</v>
      </c>
    </row>
    <row r="32694">
      <c r="Y32694" s="372">
        <v>0.0</v>
      </c>
      <c r="Z32694" s="372">
        <v>0.0</v>
      </c>
    </row>
    <row r="32695">
      <c r="Y32695" s="372">
        <v>0.0</v>
      </c>
      <c r="Z32695" s="372">
        <v>0.0</v>
      </c>
    </row>
    <row r="32696">
      <c r="Y32696" s="372">
        <v>0.0</v>
      </c>
      <c r="Z32696" s="372">
        <v>0.0</v>
      </c>
    </row>
    <row r="32697">
      <c r="Y32697" s="372">
        <v>0.0</v>
      </c>
      <c r="Z32697" s="372">
        <v>0.0</v>
      </c>
    </row>
    <row r="32698">
      <c r="Y32698" s="372">
        <v>0.0</v>
      </c>
      <c r="Z32698" s="372">
        <v>0.0</v>
      </c>
    </row>
    <row r="32699">
      <c r="Y32699" s="372">
        <v>0.0</v>
      </c>
      <c r="Z32699" s="372">
        <v>0.0</v>
      </c>
    </row>
    <row r="32700">
      <c r="Y32700" s="372">
        <v>0.0</v>
      </c>
      <c r="Z32700" s="372">
        <v>0.0</v>
      </c>
    </row>
    <row r="32701">
      <c r="Y32701" s="372">
        <v>0.0</v>
      </c>
      <c r="Z32701" s="372">
        <v>0.0</v>
      </c>
    </row>
    <row r="32702">
      <c r="Y32702" s="372">
        <v>0.0</v>
      </c>
      <c r="Z32702" s="372">
        <v>0.0</v>
      </c>
    </row>
    <row r="32703">
      <c r="Y32703" s="372">
        <v>0.0</v>
      </c>
      <c r="Z32703" s="372">
        <v>0.0</v>
      </c>
    </row>
    <row r="32704">
      <c r="Y32704" s="372">
        <v>0.0</v>
      </c>
      <c r="Z32704" s="372">
        <v>0.0</v>
      </c>
    </row>
    <row r="32705">
      <c r="Y32705" s="372">
        <v>0.0</v>
      </c>
      <c r="Z32705" s="372">
        <v>0.0</v>
      </c>
    </row>
    <row r="32706">
      <c r="Y32706" s="372">
        <v>0.0</v>
      </c>
      <c r="Z32706" s="372">
        <v>0.0</v>
      </c>
    </row>
    <row r="32707">
      <c r="Y32707" s="372">
        <v>0.0</v>
      </c>
      <c r="Z32707" s="372">
        <v>0.0</v>
      </c>
    </row>
    <row r="32708">
      <c r="Y32708" s="372">
        <v>0.0</v>
      </c>
      <c r="Z32708" s="372">
        <v>0.0</v>
      </c>
    </row>
    <row r="32709">
      <c r="Y32709" s="372">
        <v>0.0</v>
      </c>
      <c r="Z32709" s="372">
        <v>0.0</v>
      </c>
    </row>
    <row r="32710">
      <c r="Y32710" s="372">
        <v>0.0</v>
      </c>
      <c r="Z32710" s="372">
        <v>0.0</v>
      </c>
    </row>
    <row r="32711">
      <c r="Y32711" s="372">
        <v>0.0</v>
      </c>
      <c r="Z32711" s="372">
        <v>0.0</v>
      </c>
    </row>
    <row r="32712">
      <c r="Y32712" s="372">
        <v>0.0</v>
      </c>
      <c r="Z32712" s="372">
        <v>0.0</v>
      </c>
    </row>
    <row r="32713">
      <c r="Y32713" s="372">
        <v>0.0</v>
      </c>
      <c r="Z32713" s="372">
        <v>0.0</v>
      </c>
    </row>
    <row r="32714">
      <c r="Y32714" s="372">
        <v>0.0</v>
      </c>
      <c r="Z32714" s="372">
        <v>0.0</v>
      </c>
    </row>
    <row r="32715">
      <c r="Y32715" s="372">
        <v>0.0</v>
      </c>
      <c r="Z32715" s="372">
        <v>0.0</v>
      </c>
    </row>
    <row r="32716">
      <c r="Y32716" s="372">
        <v>0.0</v>
      </c>
      <c r="Z32716" s="372">
        <v>0.0</v>
      </c>
    </row>
    <row r="32717">
      <c r="Y32717" s="372">
        <v>0.0</v>
      </c>
      <c r="Z32717" s="372">
        <v>0.0</v>
      </c>
    </row>
    <row r="32718">
      <c r="Y32718" s="372">
        <v>0.0</v>
      </c>
      <c r="Z32718" s="372">
        <v>0.0</v>
      </c>
    </row>
    <row r="32719">
      <c r="Y32719" s="372">
        <v>0.0</v>
      </c>
      <c r="Z32719" s="372">
        <v>0.0</v>
      </c>
    </row>
    <row r="32720">
      <c r="Y32720" s="372">
        <v>0.0</v>
      </c>
      <c r="Z32720" s="372">
        <v>0.0</v>
      </c>
    </row>
    <row r="32721">
      <c r="Y32721" s="372">
        <v>0.0</v>
      </c>
      <c r="Z32721" s="372">
        <v>0.0</v>
      </c>
    </row>
    <row r="32722">
      <c r="Y32722" s="372">
        <v>0.0</v>
      </c>
      <c r="Z32722" s="372">
        <v>0.0</v>
      </c>
    </row>
    <row r="32723">
      <c r="Y32723" s="372">
        <v>0.0</v>
      </c>
      <c r="Z32723" s="372">
        <v>0.0</v>
      </c>
    </row>
    <row r="32724">
      <c r="Y32724" s="372">
        <v>0.0</v>
      </c>
      <c r="Z32724" s="372">
        <v>0.0</v>
      </c>
    </row>
    <row r="32725">
      <c r="Y32725" s="372">
        <v>0.0</v>
      </c>
      <c r="Z32725" s="372">
        <v>0.0</v>
      </c>
    </row>
    <row r="32726">
      <c r="Y32726" s="372">
        <v>0.0</v>
      </c>
      <c r="Z32726" s="372">
        <v>0.0</v>
      </c>
    </row>
    <row r="32727">
      <c r="Y32727" s="372">
        <v>0.0</v>
      </c>
      <c r="Z32727" s="372">
        <v>0.0</v>
      </c>
    </row>
    <row r="32728">
      <c r="Y32728" s="372">
        <v>0.0</v>
      </c>
      <c r="Z32728" s="372">
        <v>0.0</v>
      </c>
    </row>
    <row r="32729">
      <c r="Y32729" s="372">
        <v>0.0</v>
      </c>
      <c r="Z32729" s="372">
        <v>0.0</v>
      </c>
    </row>
    <row r="32730">
      <c r="Y32730" s="372">
        <v>0.0</v>
      </c>
      <c r="Z32730" s="372">
        <v>0.0</v>
      </c>
    </row>
    <row r="32731">
      <c r="Y32731" s="372">
        <v>0.0</v>
      </c>
      <c r="Z32731" s="372">
        <v>0.0</v>
      </c>
    </row>
    <row r="32732">
      <c r="Y32732" s="372">
        <v>0.0</v>
      </c>
      <c r="Z32732" s="372">
        <v>0.0</v>
      </c>
    </row>
    <row r="32733">
      <c r="Y32733" s="372">
        <v>0.0</v>
      </c>
      <c r="Z32733" s="372">
        <v>0.0</v>
      </c>
    </row>
    <row r="32734">
      <c r="Y32734" s="372">
        <v>0.0</v>
      </c>
      <c r="Z32734" s="372">
        <v>0.0</v>
      </c>
    </row>
    <row r="32735">
      <c r="Y32735" s="372">
        <v>0.0</v>
      </c>
      <c r="Z32735" s="372">
        <v>0.0</v>
      </c>
    </row>
    <row r="32736">
      <c r="Y32736" s="372">
        <v>0.0</v>
      </c>
      <c r="Z32736" s="372">
        <v>0.0</v>
      </c>
    </row>
    <row r="32737">
      <c r="Y32737" s="372">
        <v>0.0</v>
      </c>
      <c r="Z32737" s="372">
        <v>0.0</v>
      </c>
    </row>
    <row r="32738">
      <c r="Y32738" s="372">
        <v>0.0</v>
      </c>
      <c r="Z32738" s="372">
        <v>0.0</v>
      </c>
    </row>
    <row r="32739">
      <c r="Y32739" s="372">
        <v>0.0</v>
      </c>
      <c r="Z32739" s="372">
        <v>0.0</v>
      </c>
    </row>
    <row r="32740">
      <c r="Y32740" s="372">
        <v>0.0</v>
      </c>
      <c r="Z32740" s="372">
        <v>0.0</v>
      </c>
    </row>
    <row r="32741">
      <c r="Y32741" s="372">
        <v>0.0</v>
      </c>
      <c r="Z32741" s="372">
        <v>0.0</v>
      </c>
    </row>
    <row r="32742">
      <c r="Y32742" s="372">
        <v>0.0</v>
      </c>
      <c r="Z32742" s="372">
        <v>0.0</v>
      </c>
    </row>
    <row r="32743">
      <c r="Y32743" s="372">
        <v>0.0</v>
      </c>
      <c r="Z32743" s="372">
        <v>0.0</v>
      </c>
    </row>
    <row r="32744">
      <c r="Y32744" s="372">
        <v>0.0</v>
      </c>
      <c r="Z32744" s="372">
        <v>0.0</v>
      </c>
    </row>
    <row r="32745">
      <c r="Y32745" s="372">
        <v>0.0</v>
      </c>
      <c r="Z32745" s="372">
        <v>0.0</v>
      </c>
    </row>
    <row r="32746">
      <c r="Y32746" s="372">
        <v>0.0</v>
      </c>
      <c r="Z32746" s="372">
        <v>0.0</v>
      </c>
    </row>
    <row r="32747">
      <c r="Y32747" s="372">
        <v>0.0</v>
      </c>
      <c r="Z32747" s="372">
        <v>0.0</v>
      </c>
    </row>
    <row r="32748">
      <c r="Y32748" s="372">
        <v>0.0</v>
      </c>
      <c r="Z32748" s="372">
        <v>0.0</v>
      </c>
    </row>
    <row r="32749">
      <c r="Y32749" s="372">
        <v>0.0</v>
      </c>
      <c r="Z32749" s="372">
        <v>0.0</v>
      </c>
    </row>
    <row r="32750">
      <c r="Y32750" s="372">
        <v>0.0</v>
      </c>
      <c r="Z32750" s="372">
        <v>0.0</v>
      </c>
    </row>
    <row r="32751">
      <c r="Y32751" s="372">
        <v>0.0</v>
      </c>
      <c r="Z32751" s="372">
        <v>0.0</v>
      </c>
    </row>
    <row r="32752">
      <c r="Y32752" s="372">
        <v>0.0</v>
      </c>
      <c r="Z32752" s="372">
        <v>0.0</v>
      </c>
    </row>
    <row r="32753">
      <c r="Y32753" s="372">
        <v>0.0</v>
      </c>
      <c r="Z32753" s="372">
        <v>0.0</v>
      </c>
    </row>
    <row r="32754">
      <c r="Y32754" s="372">
        <v>0.0</v>
      </c>
      <c r="Z32754" s="372">
        <v>0.0</v>
      </c>
    </row>
    <row r="32755">
      <c r="Y32755" s="372">
        <v>0.0</v>
      </c>
      <c r="Z32755" s="372">
        <v>0.0</v>
      </c>
    </row>
    <row r="32756">
      <c r="Y32756" s="372">
        <v>0.0</v>
      </c>
      <c r="Z32756" s="372">
        <v>0.0</v>
      </c>
    </row>
    <row r="32757">
      <c r="Y32757" s="372">
        <v>0.0</v>
      </c>
      <c r="Z32757" s="372">
        <v>0.0</v>
      </c>
    </row>
    <row r="32758">
      <c r="Y32758" s="372">
        <v>0.0</v>
      </c>
      <c r="Z32758" s="372">
        <v>0.0</v>
      </c>
    </row>
    <row r="32759">
      <c r="Y32759" s="372">
        <v>0.0</v>
      </c>
      <c r="Z32759" s="372">
        <v>0.0</v>
      </c>
    </row>
    <row r="32760">
      <c r="Y32760" s="372">
        <v>0.0</v>
      </c>
      <c r="Z32760" s="372">
        <v>0.0</v>
      </c>
    </row>
    <row r="32761">
      <c r="Y32761" s="372">
        <v>0.0</v>
      </c>
      <c r="Z32761" s="372">
        <v>0.0</v>
      </c>
    </row>
    <row r="32762">
      <c r="Y32762" s="372">
        <v>0.0</v>
      </c>
      <c r="Z32762" s="372">
        <v>0.0</v>
      </c>
    </row>
    <row r="32763">
      <c r="Y32763" s="372">
        <v>0.0</v>
      </c>
      <c r="Z32763" s="372">
        <v>0.0</v>
      </c>
    </row>
    <row r="32764">
      <c r="Y32764" s="372">
        <v>0.0</v>
      </c>
      <c r="Z32764" s="372">
        <v>0.0</v>
      </c>
    </row>
    <row r="32765">
      <c r="Y32765" s="372">
        <v>0.0</v>
      </c>
      <c r="Z32765" s="372">
        <v>0.0</v>
      </c>
    </row>
    <row r="32766">
      <c r="Y32766" s="372">
        <v>0.0</v>
      </c>
      <c r="Z32766" s="372">
        <v>0.0</v>
      </c>
    </row>
    <row r="32767">
      <c r="Y32767" s="372">
        <v>0.0</v>
      </c>
      <c r="Z32767" s="372">
        <v>0.0</v>
      </c>
    </row>
    <row r="32768">
      <c r="Y32768" s="372">
        <v>0.0</v>
      </c>
      <c r="Z32768" s="372">
        <v>0.0</v>
      </c>
    </row>
    <row r="32769">
      <c r="Y32769" s="372">
        <v>0.0</v>
      </c>
      <c r="Z32769" s="372">
        <v>0.0</v>
      </c>
    </row>
    <row r="32770">
      <c r="Y32770" s="372">
        <v>0.0</v>
      </c>
      <c r="Z32770" s="372">
        <v>0.0</v>
      </c>
    </row>
    <row r="32771">
      <c r="Y32771" s="372">
        <v>0.0</v>
      </c>
      <c r="Z32771" s="372">
        <v>0.0</v>
      </c>
    </row>
    <row r="32772">
      <c r="Y32772" s="372">
        <v>0.0</v>
      </c>
      <c r="Z32772" s="372">
        <v>0.0</v>
      </c>
    </row>
    <row r="32773">
      <c r="Y32773" s="372">
        <v>0.0</v>
      </c>
      <c r="Z32773" s="372">
        <v>0.0</v>
      </c>
    </row>
    <row r="32774">
      <c r="Y32774" s="372">
        <v>0.0</v>
      </c>
      <c r="Z32774" s="372">
        <v>0.0</v>
      </c>
    </row>
    <row r="32775">
      <c r="Y32775" s="372">
        <v>0.0</v>
      </c>
      <c r="Z32775" s="372">
        <v>0.0</v>
      </c>
    </row>
    <row r="32776">
      <c r="Y32776" s="372">
        <v>0.0</v>
      </c>
      <c r="Z32776" s="372">
        <v>0.0</v>
      </c>
    </row>
    <row r="32777">
      <c r="Y32777" s="372">
        <v>0.0</v>
      </c>
      <c r="Z32777" s="372">
        <v>0.0</v>
      </c>
    </row>
    <row r="32778">
      <c r="Y32778" s="372">
        <v>0.0</v>
      </c>
      <c r="Z32778" s="372">
        <v>0.0</v>
      </c>
    </row>
    <row r="32779">
      <c r="Y32779" s="372">
        <v>0.0</v>
      </c>
      <c r="Z32779" s="372">
        <v>0.0</v>
      </c>
    </row>
    <row r="32780">
      <c r="Y32780" s="372">
        <v>0.0</v>
      </c>
      <c r="Z32780" s="372">
        <v>0.0</v>
      </c>
    </row>
    <row r="32781">
      <c r="Y32781" s="372">
        <v>0.0</v>
      </c>
      <c r="Z32781" s="372">
        <v>0.0</v>
      </c>
    </row>
    <row r="32782">
      <c r="Y32782" s="372">
        <v>0.0</v>
      </c>
      <c r="Z32782" s="372">
        <v>0.0</v>
      </c>
    </row>
    <row r="32783">
      <c r="Y32783" s="372">
        <v>0.0</v>
      </c>
      <c r="Z32783" s="372">
        <v>0.0</v>
      </c>
    </row>
    <row r="32784">
      <c r="Y32784" s="372">
        <v>0.0</v>
      </c>
      <c r="Z32784" s="372">
        <v>0.0</v>
      </c>
    </row>
    <row r="32785">
      <c r="Y32785" s="372">
        <v>0.0</v>
      </c>
      <c r="Z32785" s="372">
        <v>0.0</v>
      </c>
    </row>
    <row r="32786">
      <c r="Y32786" s="372">
        <v>0.0</v>
      </c>
      <c r="Z32786" s="372">
        <v>0.0</v>
      </c>
    </row>
    <row r="32787">
      <c r="Y32787" s="372">
        <v>0.0</v>
      </c>
      <c r="Z32787" s="372">
        <v>0.0</v>
      </c>
    </row>
    <row r="32788">
      <c r="Y32788" s="372">
        <v>0.0</v>
      </c>
      <c r="Z32788" s="372">
        <v>0.0</v>
      </c>
    </row>
    <row r="32789">
      <c r="Y32789" s="372">
        <v>0.0</v>
      </c>
      <c r="Z32789" s="372">
        <v>0.0</v>
      </c>
    </row>
    <row r="32790">
      <c r="Y32790" s="372">
        <v>0.0</v>
      </c>
      <c r="Z32790" s="372">
        <v>0.0</v>
      </c>
    </row>
    <row r="32791">
      <c r="Y32791" s="372">
        <v>0.0</v>
      </c>
      <c r="Z32791" s="372">
        <v>0.0</v>
      </c>
    </row>
    <row r="32792">
      <c r="Y32792" s="372">
        <v>0.0</v>
      </c>
      <c r="Z32792" s="372">
        <v>0.0</v>
      </c>
    </row>
    <row r="32793">
      <c r="Y32793" s="372">
        <v>0.0</v>
      </c>
      <c r="Z32793" s="372">
        <v>0.0</v>
      </c>
    </row>
    <row r="32794">
      <c r="Y32794" s="372">
        <v>0.0</v>
      </c>
      <c r="Z32794" s="372">
        <v>0.0</v>
      </c>
    </row>
    <row r="32795">
      <c r="Y32795" s="372">
        <v>0.0</v>
      </c>
      <c r="Z32795" s="372">
        <v>0.0</v>
      </c>
    </row>
    <row r="32796">
      <c r="Y32796" s="372">
        <v>0.0</v>
      </c>
      <c r="Z32796" s="372">
        <v>0.0</v>
      </c>
    </row>
    <row r="32797">
      <c r="Y32797" s="372">
        <v>0.0</v>
      </c>
      <c r="Z32797" s="372">
        <v>0.0</v>
      </c>
    </row>
    <row r="32798">
      <c r="Y32798" s="372">
        <v>0.0</v>
      </c>
      <c r="Z32798" s="372">
        <v>0.0</v>
      </c>
    </row>
    <row r="32799">
      <c r="Y32799" s="372">
        <v>0.0</v>
      </c>
      <c r="Z32799" s="372">
        <v>0.0</v>
      </c>
    </row>
    <row r="32800">
      <c r="Y32800" s="372">
        <v>0.0</v>
      </c>
      <c r="Z32800" s="372">
        <v>0.0</v>
      </c>
    </row>
    <row r="32801">
      <c r="Y32801" s="372">
        <v>0.0</v>
      </c>
      <c r="Z32801" s="372">
        <v>0.0</v>
      </c>
    </row>
    <row r="32802">
      <c r="Y32802" s="372">
        <v>0.0</v>
      </c>
      <c r="Z32802" s="372">
        <v>0.0</v>
      </c>
    </row>
    <row r="32803">
      <c r="Y32803" s="372">
        <v>0.0</v>
      </c>
      <c r="Z32803" s="372">
        <v>0.0</v>
      </c>
    </row>
    <row r="32804">
      <c r="Y32804" s="372">
        <v>0.0</v>
      </c>
      <c r="Z32804" s="372">
        <v>0.0</v>
      </c>
    </row>
    <row r="32805">
      <c r="Y32805" s="372">
        <v>0.0</v>
      </c>
      <c r="Z32805" s="372">
        <v>0.0</v>
      </c>
    </row>
    <row r="32806">
      <c r="Y32806" s="372">
        <v>0.0</v>
      </c>
      <c r="Z32806" s="372">
        <v>0.0</v>
      </c>
    </row>
    <row r="32807">
      <c r="Y32807" s="372">
        <v>0.0</v>
      </c>
      <c r="Z32807" s="372">
        <v>0.0</v>
      </c>
    </row>
    <row r="32808">
      <c r="Y32808" s="372">
        <v>0.0</v>
      </c>
      <c r="Z32808" s="372">
        <v>0.0</v>
      </c>
    </row>
    <row r="32809">
      <c r="Y32809" s="372">
        <v>0.0</v>
      </c>
      <c r="Z32809" s="372">
        <v>0.0</v>
      </c>
    </row>
    <row r="32810">
      <c r="Y32810" s="372">
        <v>0.0</v>
      </c>
      <c r="Z32810" s="372">
        <v>0.0</v>
      </c>
    </row>
    <row r="32811">
      <c r="Y32811" s="372">
        <v>0.0</v>
      </c>
      <c r="Z32811" s="372">
        <v>0.0</v>
      </c>
    </row>
    <row r="32812">
      <c r="Y32812" s="372">
        <v>0.0</v>
      </c>
      <c r="Z32812" s="372">
        <v>0.0</v>
      </c>
    </row>
    <row r="32813">
      <c r="Y32813" s="372">
        <v>0.0</v>
      </c>
      <c r="Z32813" s="372">
        <v>0.0</v>
      </c>
    </row>
    <row r="32814">
      <c r="Y32814" s="372">
        <v>0.0</v>
      </c>
      <c r="Z32814" s="372">
        <v>0.0</v>
      </c>
    </row>
    <row r="32815">
      <c r="Y32815" s="372">
        <v>0.0</v>
      </c>
      <c r="Z32815" s="372">
        <v>0.0</v>
      </c>
    </row>
    <row r="32816">
      <c r="Y32816" s="372">
        <v>0.0</v>
      </c>
      <c r="Z32816" s="372">
        <v>0.0</v>
      </c>
    </row>
    <row r="32817">
      <c r="Y32817" s="372">
        <v>0.0</v>
      </c>
      <c r="Z32817" s="372">
        <v>0.0</v>
      </c>
    </row>
    <row r="32818">
      <c r="Y32818" s="372">
        <v>0.0</v>
      </c>
      <c r="Z32818" s="372">
        <v>0.0</v>
      </c>
    </row>
    <row r="32819">
      <c r="Y32819" s="372">
        <v>0.0</v>
      </c>
      <c r="Z32819" s="372">
        <v>0.0</v>
      </c>
    </row>
    <row r="32820">
      <c r="Y32820" s="372">
        <v>0.0</v>
      </c>
      <c r="Z32820" s="372">
        <v>0.0</v>
      </c>
    </row>
    <row r="32821">
      <c r="Y32821" s="372">
        <v>0.0</v>
      </c>
      <c r="Z32821" s="372">
        <v>0.0</v>
      </c>
    </row>
    <row r="32822">
      <c r="Y32822" s="372">
        <v>0.0</v>
      </c>
      <c r="Z32822" s="372">
        <v>0.0</v>
      </c>
    </row>
    <row r="32823">
      <c r="Y32823" s="372">
        <v>0.0</v>
      </c>
      <c r="Z32823" s="372">
        <v>0.0</v>
      </c>
    </row>
    <row r="32824">
      <c r="Y32824" s="372">
        <v>0.0</v>
      </c>
      <c r="Z32824" s="372">
        <v>0.0</v>
      </c>
    </row>
    <row r="32825">
      <c r="Y32825" s="372">
        <v>0.0</v>
      </c>
      <c r="Z32825" s="372">
        <v>0.0</v>
      </c>
    </row>
    <row r="32826">
      <c r="Y32826" s="372">
        <v>0.0</v>
      </c>
      <c r="Z32826" s="372">
        <v>0.0</v>
      </c>
    </row>
    <row r="32827">
      <c r="Y32827" s="372">
        <v>0.0</v>
      </c>
      <c r="Z32827" s="372">
        <v>0.0</v>
      </c>
    </row>
    <row r="32828">
      <c r="Y32828" s="372">
        <v>0.0</v>
      </c>
      <c r="Z32828" s="372">
        <v>0.0</v>
      </c>
    </row>
    <row r="32829">
      <c r="Y32829" s="372">
        <v>0.0</v>
      </c>
      <c r="Z32829" s="372">
        <v>0.0</v>
      </c>
    </row>
    <row r="32830">
      <c r="Y32830" s="372">
        <v>0.0</v>
      </c>
      <c r="Z32830" s="372">
        <v>0.0</v>
      </c>
    </row>
    <row r="32831">
      <c r="Y32831" s="372">
        <v>0.0</v>
      </c>
      <c r="Z32831" s="372">
        <v>0.0</v>
      </c>
    </row>
    <row r="32832">
      <c r="Y32832" s="372">
        <v>0.0</v>
      </c>
      <c r="Z32832" s="372">
        <v>0.0</v>
      </c>
    </row>
    <row r="32833">
      <c r="Y32833" s="372">
        <v>0.0</v>
      </c>
      <c r="Z32833" s="372">
        <v>0.0</v>
      </c>
    </row>
    <row r="32834">
      <c r="Y32834" s="372">
        <v>0.0</v>
      </c>
      <c r="Z32834" s="372">
        <v>0.0</v>
      </c>
    </row>
    <row r="32835">
      <c r="Y32835" s="372">
        <v>0.0</v>
      </c>
      <c r="Z32835" s="372">
        <v>0.0</v>
      </c>
    </row>
    <row r="32836">
      <c r="Y32836" s="372">
        <v>0.0</v>
      </c>
      <c r="Z32836" s="372">
        <v>0.0</v>
      </c>
    </row>
    <row r="32837">
      <c r="Y32837" s="372">
        <v>0.0</v>
      </c>
      <c r="Z32837" s="372">
        <v>0.0</v>
      </c>
    </row>
    <row r="32838">
      <c r="Y32838" s="372">
        <v>0.0</v>
      </c>
      <c r="Z32838" s="372">
        <v>0.0</v>
      </c>
    </row>
    <row r="32839">
      <c r="Y32839" s="372">
        <v>0.0</v>
      </c>
      <c r="Z32839" s="372">
        <v>0.0</v>
      </c>
    </row>
    <row r="32840">
      <c r="Y32840" s="372">
        <v>0.0</v>
      </c>
      <c r="Z32840" s="372">
        <v>0.0</v>
      </c>
    </row>
    <row r="32841">
      <c r="Y32841" s="372">
        <v>0.0</v>
      </c>
      <c r="Z32841" s="372">
        <v>0.0</v>
      </c>
    </row>
    <row r="32842">
      <c r="Y32842" s="372">
        <v>0.0</v>
      </c>
      <c r="Z32842" s="372">
        <v>0.0</v>
      </c>
    </row>
    <row r="32843">
      <c r="Y32843" s="372">
        <v>0.0</v>
      </c>
      <c r="Z32843" s="372">
        <v>0.0</v>
      </c>
    </row>
    <row r="32844">
      <c r="Y32844" s="372">
        <v>0.0</v>
      </c>
      <c r="Z32844" s="372">
        <v>0.0</v>
      </c>
    </row>
    <row r="32845">
      <c r="Y32845" s="372">
        <v>0.0</v>
      </c>
      <c r="Z32845" s="372">
        <v>0.0</v>
      </c>
    </row>
    <row r="32846">
      <c r="Y32846" s="372">
        <v>0.0</v>
      </c>
      <c r="Z32846" s="372">
        <v>0.0</v>
      </c>
    </row>
    <row r="32847">
      <c r="Y32847" s="372">
        <v>0.0</v>
      </c>
      <c r="Z32847" s="372">
        <v>0.0</v>
      </c>
    </row>
    <row r="32848">
      <c r="Y32848" s="372">
        <v>0.0</v>
      </c>
      <c r="Z32848" s="372">
        <v>0.0</v>
      </c>
    </row>
    <row r="32849">
      <c r="Y32849" s="372">
        <v>0.0</v>
      </c>
      <c r="Z32849" s="372">
        <v>0.0</v>
      </c>
    </row>
    <row r="32850">
      <c r="Y32850" s="372">
        <v>0.0</v>
      </c>
      <c r="Z32850" s="372">
        <v>0.0</v>
      </c>
    </row>
    <row r="32851">
      <c r="Y32851" s="372">
        <v>0.0</v>
      </c>
      <c r="Z32851" s="372">
        <v>0.0</v>
      </c>
    </row>
    <row r="32852">
      <c r="Y32852" s="372">
        <v>0.0</v>
      </c>
      <c r="Z32852" s="372">
        <v>0.0</v>
      </c>
    </row>
    <row r="32853">
      <c r="Y32853" s="372">
        <v>0.0</v>
      </c>
      <c r="Z32853" s="372">
        <v>0.0</v>
      </c>
    </row>
    <row r="32854">
      <c r="Y32854" s="372">
        <v>0.0</v>
      </c>
      <c r="Z32854" s="372">
        <v>0.0</v>
      </c>
    </row>
    <row r="32855">
      <c r="Y32855" s="372">
        <v>0.0</v>
      </c>
      <c r="Z32855" s="372">
        <v>0.0</v>
      </c>
    </row>
    <row r="32856">
      <c r="Y32856" s="372">
        <v>0.0</v>
      </c>
      <c r="Z32856" s="372">
        <v>0.0</v>
      </c>
    </row>
    <row r="32857">
      <c r="Y32857" s="372">
        <v>0.0</v>
      </c>
      <c r="Z32857" s="372">
        <v>0.0</v>
      </c>
    </row>
    <row r="32858">
      <c r="Y32858" s="372">
        <v>0.0</v>
      </c>
      <c r="Z32858" s="372">
        <v>0.0</v>
      </c>
    </row>
    <row r="32859">
      <c r="Y32859" s="372">
        <v>0.0</v>
      </c>
      <c r="Z32859" s="372">
        <v>0.0</v>
      </c>
    </row>
    <row r="32860">
      <c r="Y32860" s="372">
        <v>0.0</v>
      </c>
      <c r="Z32860" s="372">
        <v>0.0</v>
      </c>
    </row>
    <row r="32861">
      <c r="Y32861" s="372">
        <v>0.0</v>
      </c>
      <c r="Z32861" s="372">
        <v>0.0</v>
      </c>
    </row>
    <row r="32862">
      <c r="Y32862" s="372">
        <v>0.0</v>
      </c>
      <c r="Z32862" s="372">
        <v>0.0</v>
      </c>
    </row>
    <row r="32863">
      <c r="Y32863" s="372">
        <v>0.0</v>
      </c>
      <c r="Z32863" s="372">
        <v>0.0</v>
      </c>
    </row>
    <row r="32864">
      <c r="Y32864" s="372">
        <v>0.0</v>
      </c>
      <c r="Z32864" s="372">
        <v>0.0</v>
      </c>
    </row>
    <row r="32865">
      <c r="Y32865" s="372">
        <v>0.0</v>
      </c>
      <c r="Z32865" s="372">
        <v>0.0</v>
      </c>
    </row>
    <row r="32866">
      <c r="Y32866" s="372">
        <v>0.0</v>
      </c>
      <c r="Z32866" s="372">
        <v>0.0</v>
      </c>
    </row>
    <row r="32867">
      <c r="Y32867" s="372">
        <v>0.0</v>
      </c>
      <c r="Z32867" s="372">
        <v>0.0</v>
      </c>
    </row>
    <row r="32868">
      <c r="Y32868" s="372">
        <v>0.0</v>
      </c>
      <c r="Z32868" s="372">
        <v>0.0</v>
      </c>
    </row>
    <row r="32869">
      <c r="Y32869" s="372">
        <v>0.0</v>
      </c>
      <c r="Z32869" s="372">
        <v>0.0</v>
      </c>
    </row>
    <row r="32870">
      <c r="Y32870" s="372">
        <v>0.0</v>
      </c>
      <c r="Z32870" s="372">
        <v>0.0</v>
      </c>
    </row>
    <row r="32871">
      <c r="Y32871" s="372">
        <v>0.0</v>
      </c>
      <c r="Z32871" s="372">
        <v>0.0</v>
      </c>
    </row>
    <row r="32872">
      <c r="Y32872" s="372">
        <v>0.0</v>
      </c>
      <c r="Z32872" s="372">
        <v>0.0</v>
      </c>
    </row>
    <row r="32873">
      <c r="Y32873" s="372">
        <v>0.0</v>
      </c>
      <c r="Z32873" s="372">
        <v>0.0</v>
      </c>
    </row>
    <row r="32874">
      <c r="Y32874" s="372">
        <v>0.0</v>
      </c>
      <c r="Z32874" s="372">
        <v>0.0</v>
      </c>
    </row>
    <row r="32875">
      <c r="Y32875" s="372">
        <v>0.0</v>
      </c>
      <c r="Z32875" s="372">
        <v>0.0</v>
      </c>
    </row>
    <row r="32876">
      <c r="Y32876" s="372">
        <v>0.0</v>
      </c>
      <c r="Z32876" s="372">
        <v>0.0</v>
      </c>
    </row>
    <row r="32877">
      <c r="Y32877" s="372">
        <v>0.0</v>
      </c>
      <c r="Z32877" s="372">
        <v>0.0</v>
      </c>
    </row>
    <row r="32878">
      <c r="Y32878" s="372">
        <v>0.0</v>
      </c>
      <c r="Z32878" s="372">
        <v>0.0</v>
      </c>
    </row>
    <row r="32879">
      <c r="Y32879" s="372">
        <v>0.0</v>
      </c>
      <c r="Z32879" s="372">
        <v>0.0</v>
      </c>
    </row>
    <row r="32880">
      <c r="Y32880" s="372">
        <v>0.0</v>
      </c>
      <c r="Z32880" s="372">
        <v>0.0</v>
      </c>
    </row>
    <row r="32881">
      <c r="Y32881" s="372">
        <v>0.0</v>
      </c>
      <c r="Z32881" s="372">
        <v>0.0</v>
      </c>
    </row>
    <row r="32882">
      <c r="Y32882" s="372">
        <v>0.0</v>
      </c>
      <c r="Z32882" s="372">
        <v>0.0</v>
      </c>
    </row>
    <row r="32883">
      <c r="Y32883" s="372">
        <v>0.0</v>
      </c>
      <c r="Z32883" s="372">
        <v>0.0</v>
      </c>
    </row>
    <row r="32884">
      <c r="Y32884" s="372">
        <v>0.0</v>
      </c>
      <c r="Z32884" s="372">
        <v>0.0</v>
      </c>
    </row>
    <row r="32885">
      <c r="Y32885" s="372">
        <v>0.0</v>
      </c>
      <c r="Z32885" s="372">
        <v>0.0</v>
      </c>
    </row>
    <row r="32886">
      <c r="Y32886" s="372">
        <v>0.0</v>
      </c>
      <c r="Z32886" s="372">
        <v>0.0</v>
      </c>
    </row>
    <row r="32887">
      <c r="Y32887" s="372">
        <v>0.0</v>
      </c>
      <c r="Z32887" s="372">
        <v>0.0</v>
      </c>
    </row>
    <row r="32888">
      <c r="Y32888" s="372">
        <v>0.0</v>
      </c>
      <c r="Z32888" s="372">
        <v>0.0</v>
      </c>
    </row>
    <row r="32889">
      <c r="Y32889" s="372">
        <v>0.0</v>
      </c>
      <c r="Z32889" s="372">
        <v>0.0</v>
      </c>
    </row>
    <row r="32890">
      <c r="Y32890" s="372">
        <v>0.0</v>
      </c>
      <c r="Z32890" s="372">
        <v>0.0</v>
      </c>
    </row>
    <row r="32891">
      <c r="Y32891" s="372">
        <v>0.0</v>
      </c>
      <c r="Z32891" s="372">
        <v>0.0</v>
      </c>
    </row>
    <row r="32892">
      <c r="Y32892" s="372">
        <v>0.0</v>
      </c>
      <c r="Z32892" s="372">
        <v>0.0</v>
      </c>
    </row>
    <row r="32893">
      <c r="Y32893" s="372">
        <v>0.0</v>
      </c>
      <c r="Z32893" s="372">
        <v>0.0</v>
      </c>
    </row>
    <row r="32894">
      <c r="Y32894" s="372">
        <v>0.0</v>
      </c>
      <c r="Z32894" s="372">
        <v>0.0</v>
      </c>
    </row>
    <row r="32895">
      <c r="Y32895" s="372">
        <v>0.0</v>
      </c>
      <c r="Z32895" s="372">
        <v>0.0</v>
      </c>
    </row>
    <row r="32896">
      <c r="Y32896" s="372">
        <v>0.0</v>
      </c>
      <c r="Z32896" s="372">
        <v>0.0</v>
      </c>
    </row>
    <row r="32897">
      <c r="Y32897" s="372">
        <v>0.0</v>
      </c>
      <c r="Z32897" s="372">
        <v>0.0</v>
      </c>
    </row>
    <row r="32898">
      <c r="Y32898" s="372">
        <v>0.0</v>
      </c>
      <c r="Z32898" s="372">
        <v>0.0</v>
      </c>
    </row>
    <row r="32899">
      <c r="Y32899" s="372">
        <v>0.0</v>
      </c>
      <c r="Z32899" s="372">
        <v>0.0</v>
      </c>
    </row>
    <row r="32900">
      <c r="Y32900" s="372">
        <v>0.0</v>
      </c>
      <c r="Z32900" s="372">
        <v>0.0</v>
      </c>
    </row>
    <row r="32901">
      <c r="Y32901" s="372">
        <v>0.0</v>
      </c>
      <c r="Z32901" s="372">
        <v>0.0</v>
      </c>
    </row>
    <row r="32902">
      <c r="Y32902" s="372">
        <v>0.0</v>
      </c>
      <c r="Z32902" s="372">
        <v>0.0</v>
      </c>
    </row>
    <row r="32903">
      <c r="Y32903" s="372">
        <v>0.0</v>
      </c>
      <c r="Z32903" s="372">
        <v>0.0</v>
      </c>
    </row>
    <row r="32904">
      <c r="Y32904" s="372">
        <v>0.0</v>
      </c>
      <c r="Z32904" s="372">
        <v>0.0</v>
      </c>
    </row>
    <row r="32905">
      <c r="Y32905" s="372">
        <v>0.0</v>
      </c>
      <c r="Z32905" s="372">
        <v>0.0</v>
      </c>
    </row>
    <row r="32906">
      <c r="Y32906" s="372">
        <v>0.0</v>
      </c>
      <c r="Z32906" s="372">
        <v>0.0</v>
      </c>
    </row>
    <row r="32907">
      <c r="Y32907" s="372">
        <v>0.0</v>
      </c>
      <c r="Z32907" s="372">
        <v>0.0</v>
      </c>
    </row>
    <row r="32908">
      <c r="Y32908" s="372">
        <v>0.0</v>
      </c>
      <c r="Z32908" s="372">
        <v>0.0</v>
      </c>
    </row>
    <row r="32909">
      <c r="Y32909" s="372">
        <v>0.0</v>
      </c>
      <c r="Z32909" s="372">
        <v>0.0</v>
      </c>
    </row>
    <row r="32910">
      <c r="Y32910" s="372">
        <v>0.0</v>
      </c>
      <c r="Z32910" s="372">
        <v>0.0</v>
      </c>
    </row>
    <row r="32911">
      <c r="Y32911" s="372">
        <v>0.0</v>
      </c>
      <c r="Z32911" s="372">
        <v>0.0</v>
      </c>
    </row>
    <row r="32912">
      <c r="Y32912" s="372">
        <v>0.0</v>
      </c>
      <c r="Z32912" s="372">
        <v>0.0</v>
      </c>
    </row>
    <row r="32913">
      <c r="Y32913" s="372">
        <v>0.0</v>
      </c>
      <c r="Z32913" s="372">
        <v>0.0</v>
      </c>
    </row>
    <row r="32914">
      <c r="Y32914" s="372">
        <v>0.0</v>
      </c>
      <c r="Z32914" s="372">
        <v>0.0</v>
      </c>
    </row>
    <row r="32915">
      <c r="Y32915" s="372">
        <v>0.0</v>
      </c>
      <c r="Z32915" s="372">
        <v>0.0</v>
      </c>
    </row>
    <row r="32916">
      <c r="Y32916" s="372">
        <v>0.0</v>
      </c>
      <c r="Z32916" s="372">
        <v>0.0</v>
      </c>
    </row>
    <row r="32917">
      <c r="Y32917" s="372">
        <v>0.0</v>
      </c>
      <c r="Z32917" s="372">
        <v>0.0</v>
      </c>
    </row>
    <row r="32918">
      <c r="Y32918" s="372">
        <v>0.0</v>
      </c>
      <c r="Z32918" s="372">
        <v>0.0</v>
      </c>
    </row>
    <row r="32919">
      <c r="Y32919" s="372">
        <v>0.0</v>
      </c>
      <c r="Z32919" s="372">
        <v>0.0</v>
      </c>
    </row>
    <row r="32920">
      <c r="Y32920" s="372">
        <v>0.0</v>
      </c>
      <c r="Z32920" s="372">
        <v>0.0</v>
      </c>
    </row>
    <row r="32921">
      <c r="Y32921" s="372">
        <v>0.0</v>
      </c>
      <c r="Z32921" s="372">
        <v>0.0</v>
      </c>
    </row>
    <row r="32922">
      <c r="Y32922" s="372">
        <v>0.0</v>
      </c>
      <c r="Z32922" s="372">
        <v>0.0</v>
      </c>
    </row>
    <row r="32923">
      <c r="Y32923" s="372">
        <v>0.0</v>
      </c>
      <c r="Z32923" s="372">
        <v>0.0</v>
      </c>
    </row>
    <row r="32924">
      <c r="Y32924" s="372">
        <v>0.0</v>
      </c>
      <c r="Z32924" s="372">
        <v>0.0</v>
      </c>
    </row>
    <row r="32925">
      <c r="Y32925" s="372">
        <v>0.0</v>
      </c>
      <c r="Z32925" s="372">
        <v>0.0</v>
      </c>
    </row>
    <row r="32926">
      <c r="Y32926" s="372">
        <v>0.0</v>
      </c>
      <c r="Z32926" s="372">
        <v>0.0</v>
      </c>
    </row>
    <row r="32927">
      <c r="Y32927" s="372">
        <v>0.0</v>
      </c>
      <c r="Z32927" s="372">
        <v>0.0</v>
      </c>
    </row>
    <row r="32928">
      <c r="Y32928" s="372">
        <v>0.0</v>
      </c>
      <c r="Z32928" s="372">
        <v>0.0</v>
      </c>
    </row>
    <row r="32929">
      <c r="Y32929" s="372">
        <v>0.0</v>
      </c>
      <c r="Z32929" s="372">
        <v>0.0</v>
      </c>
    </row>
    <row r="32930">
      <c r="Y32930" s="372">
        <v>0.0</v>
      </c>
      <c r="Z32930" s="372">
        <v>0.0</v>
      </c>
    </row>
    <row r="32931">
      <c r="Y32931" s="372">
        <v>0.0</v>
      </c>
      <c r="Z32931" s="372">
        <v>0.0</v>
      </c>
    </row>
    <row r="32932">
      <c r="Y32932" s="372">
        <v>0.0</v>
      </c>
      <c r="Z32932" s="372">
        <v>0.0</v>
      </c>
    </row>
    <row r="32933">
      <c r="Y32933" s="372">
        <v>0.0</v>
      </c>
      <c r="Z32933" s="372">
        <v>0.0</v>
      </c>
    </row>
    <row r="32934">
      <c r="Y32934" s="372">
        <v>0.0</v>
      </c>
      <c r="Z32934" s="372">
        <v>0.0</v>
      </c>
    </row>
    <row r="32935">
      <c r="Y32935" s="372">
        <v>0.0</v>
      </c>
      <c r="Z32935" s="372">
        <v>0.0</v>
      </c>
    </row>
    <row r="32936">
      <c r="Y32936" s="372">
        <v>0.0</v>
      </c>
      <c r="Z32936" s="372">
        <v>0.0</v>
      </c>
    </row>
    <row r="32937">
      <c r="Y32937" s="372">
        <v>0.0</v>
      </c>
      <c r="Z32937" s="372">
        <v>0.0</v>
      </c>
    </row>
    <row r="32938">
      <c r="Y32938" s="372">
        <v>0.0</v>
      </c>
      <c r="Z32938" s="372">
        <v>0.0</v>
      </c>
    </row>
    <row r="32939">
      <c r="Y32939" s="372">
        <v>0.0</v>
      </c>
      <c r="Z32939" s="372">
        <v>0.0</v>
      </c>
    </row>
    <row r="32940">
      <c r="Y32940" s="372">
        <v>0.0</v>
      </c>
      <c r="Z32940" s="372">
        <v>0.0</v>
      </c>
    </row>
    <row r="32941">
      <c r="Y32941" s="372">
        <v>0.0</v>
      </c>
      <c r="Z32941" s="372">
        <v>0.0</v>
      </c>
    </row>
    <row r="32942">
      <c r="Y32942" s="372">
        <v>0.0</v>
      </c>
      <c r="Z32942" s="372">
        <v>0.0</v>
      </c>
    </row>
    <row r="32943">
      <c r="Y32943" s="372">
        <v>0.0</v>
      </c>
      <c r="Z32943" s="372">
        <v>0.0</v>
      </c>
    </row>
    <row r="32944">
      <c r="Y32944" s="372">
        <v>0.0</v>
      </c>
      <c r="Z32944" s="372">
        <v>0.0</v>
      </c>
    </row>
    <row r="32945">
      <c r="Y32945" s="372">
        <v>0.0</v>
      </c>
      <c r="Z32945" s="372">
        <v>0.0</v>
      </c>
    </row>
    <row r="32946">
      <c r="Y32946" s="372">
        <v>0.0</v>
      </c>
      <c r="Z32946" s="372">
        <v>0.0</v>
      </c>
    </row>
    <row r="32947">
      <c r="Y32947" s="372">
        <v>0.0</v>
      </c>
      <c r="Z32947" s="372">
        <v>0.0</v>
      </c>
    </row>
    <row r="32948">
      <c r="Y32948" s="372">
        <v>0.0</v>
      </c>
      <c r="Z32948" s="372">
        <v>0.0</v>
      </c>
    </row>
    <row r="32949">
      <c r="Y32949" s="372">
        <v>0.0</v>
      </c>
      <c r="Z32949" s="372">
        <v>0.0</v>
      </c>
    </row>
    <row r="32950">
      <c r="Y32950" s="372">
        <v>0.0</v>
      </c>
      <c r="Z32950" s="372">
        <v>0.0</v>
      </c>
    </row>
    <row r="32951">
      <c r="Y32951" s="372">
        <v>0.0</v>
      </c>
      <c r="Z32951" s="372">
        <v>0.0</v>
      </c>
    </row>
    <row r="32952">
      <c r="Y32952" s="372">
        <v>0.0</v>
      </c>
      <c r="Z32952" s="372">
        <v>0.0</v>
      </c>
    </row>
    <row r="32953">
      <c r="Y32953" s="372">
        <v>0.0</v>
      </c>
      <c r="Z32953" s="372">
        <v>0.0</v>
      </c>
    </row>
    <row r="32954">
      <c r="Y32954" s="372">
        <v>0.0</v>
      </c>
      <c r="Z32954" s="372">
        <v>0.0</v>
      </c>
    </row>
    <row r="32955">
      <c r="Y32955" s="372">
        <v>0.0</v>
      </c>
      <c r="Z32955" s="372">
        <v>0.0</v>
      </c>
    </row>
    <row r="32956">
      <c r="Y32956" s="372">
        <v>0.0</v>
      </c>
      <c r="Z32956" s="372">
        <v>0.0</v>
      </c>
    </row>
    <row r="32957">
      <c r="Y32957" s="372">
        <v>0.0</v>
      </c>
      <c r="Z32957" s="372">
        <v>0.0</v>
      </c>
    </row>
    <row r="32958">
      <c r="Y32958" s="372">
        <v>0.0</v>
      </c>
      <c r="Z32958" s="372">
        <v>0.0</v>
      </c>
    </row>
    <row r="32959">
      <c r="Y32959" s="372">
        <v>0.0</v>
      </c>
      <c r="Z32959" s="372">
        <v>0.0</v>
      </c>
    </row>
    <row r="32960">
      <c r="Y32960" s="372">
        <v>0.0</v>
      </c>
      <c r="Z32960" s="372">
        <v>0.0</v>
      </c>
    </row>
    <row r="32961">
      <c r="Y32961" s="372">
        <v>0.0</v>
      </c>
      <c r="Z32961" s="372">
        <v>0.0</v>
      </c>
    </row>
    <row r="32962">
      <c r="Y32962" s="372">
        <v>0.0</v>
      </c>
      <c r="Z32962" s="372">
        <v>0.0</v>
      </c>
    </row>
    <row r="32963">
      <c r="Y32963" s="372">
        <v>0.0</v>
      </c>
      <c r="Z32963" s="372">
        <v>0.0</v>
      </c>
    </row>
    <row r="32964">
      <c r="Y32964" s="372">
        <v>0.0</v>
      </c>
      <c r="Z32964" s="372">
        <v>0.0</v>
      </c>
    </row>
    <row r="32965">
      <c r="Y32965" s="372">
        <v>0.0</v>
      </c>
      <c r="Z32965" s="372">
        <v>0.0</v>
      </c>
    </row>
    <row r="32966">
      <c r="Y32966" s="372">
        <v>0.0</v>
      </c>
      <c r="Z32966" s="372">
        <v>0.0</v>
      </c>
    </row>
    <row r="32967">
      <c r="Y32967" s="372">
        <v>0.0</v>
      </c>
      <c r="Z32967" s="372">
        <v>0.0</v>
      </c>
    </row>
    <row r="32968">
      <c r="Y32968" s="372">
        <v>0.0</v>
      </c>
      <c r="Z32968" s="372">
        <v>0.0</v>
      </c>
    </row>
    <row r="32969">
      <c r="Y32969" s="372">
        <v>0.0</v>
      </c>
      <c r="Z32969" s="372">
        <v>0.0</v>
      </c>
    </row>
    <row r="32970">
      <c r="Y32970" s="372">
        <v>0.0</v>
      </c>
      <c r="Z32970" s="372">
        <v>0.0</v>
      </c>
    </row>
    <row r="32971">
      <c r="Y32971" s="372">
        <v>0.0</v>
      </c>
      <c r="Z32971" s="372">
        <v>0.0</v>
      </c>
    </row>
    <row r="32972">
      <c r="Y32972" s="372">
        <v>0.0</v>
      </c>
      <c r="Z32972" s="372">
        <v>0.0</v>
      </c>
    </row>
    <row r="32973">
      <c r="Y32973" s="372">
        <v>0.0</v>
      </c>
      <c r="Z32973" s="372">
        <v>0.0</v>
      </c>
    </row>
    <row r="32974">
      <c r="Y32974" s="372">
        <v>0.0</v>
      </c>
      <c r="Z32974" s="372">
        <v>0.0</v>
      </c>
    </row>
    <row r="32975">
      <c r="Y32975" s="372">
        <v>0.0</v>
      </c>
      <c r="Z32975" s="372">
        <v>0.0</v>
      </c>
    </row>
    <row r="32976">
      <c r="Y32976" s="372">
        <v>0.0</v>
      </c>
      <c r="Z32976" s="372">
        <v>0.0</v>
      </c>
    </row>
    <row r="32977">
      <c r="Y32977" s="372">
        <v>0.0</v>
      </c>
      <c r="Z32977" s="372">
        <v>0.0</v>
      </c>
    </row>
    <row r="32978">
      <c r="Y32978" s="372">
        <v>0.0</v>
      </c>
      <c r="Z32978" s="372">
        <v>0.0</v>
      </c>
    </row>
    <row r="32979">
      <c r="Y32979" s="372">
        <v>0.0</v>
      </c>
      <c r="Z32979" s="372">
        <v>0.0</v>
      </c>
    </row>
    <row r="32980">
      <c r="Y32980" s="372">
        <v>0.0</v>
      </c>
      <c r="Z32980" s="372">
        <v>0.0</v>
      </c>
    </row>
    <row r="32981">
      <c r="Y32981" s="372">
        <v>0.0</v>
      </c>
      <c r="Z32981" s="372">
        <v>0.0</v>
      </c>
    </row>
    <row r="32982">
      <c r="Y32982" s="372">
        <v>0.0</v>
      </c>
      <c r="Z32982" s="372">
        <v>0.0</v>
      </c>
    </row>
    <row r="32983">
      <c r="Y32983" s="372">
        <v>0.0</v>
      </c>
      <c r="Z32983" s="372">
        <v>0.0</v>
      </c>
    </row>
    <row r="32984">
      <c r="Y32984" s="372">
        <v>0.0</v>
      </c>
      <c r="Z32984" s="372">
        <v>0.0</v>
      </c>
    </row>
    <row r="32985">
      <c r="Y32985" s="372">
        <v>0.0</v>
      </c>
      <c r="Z32985" s="372">
        <v>0.0</v>
      </c>
    </row>
    <row r="32986">
      <c r="Y32986" s="372">
        <v>0.0</v>
      </c>
      <c r="Z32986" s="372">
        <v>0.0</v>
      </c>
    </row>
    <row r="32987">
      <c r="Y32987" s="372">
        <v>0.0</v>
      </c>
      <c r="Z32987" s="372">
        <v>0.0</v>
      </c>
    </row>
    <row r="32988">
      <c r="Y32988" s="372">
        <v>0.0</v>
      </c>
      <c r="Z32988" s="372">
        <v>0.0</v>
      </c>
    </row>
    <row r="32989">
      <c r="Y32989" s="372">
        <v>0.0</v>
      </c>
      <c r="Z32989" s="372">
        <v>0.0</v>
      </c>
    </row>
    <row r="32990">
      <c r="Y32990" s="372">
        <v>0.0</v>
      </c>
      <c r="Z32990" s="372">
        <v>0.0</v>
      </c>
    </row>
    <row r="32991">
      <c r="Y32991" s="372">
        <v>0.0</v>
      </c>
      <c r="Z32991" s="372">
        <v>0.0</v>
      </c>
    </row>
    <row r="32992">
      <c r="Y32992" s="372">
        <v>0.0</v>
      </c>
      <c r="Z32992" s="372">
        <v>0.0</v>
      </c>
    </row>
    <row r="32993">
      <c r="Y32993" s="372">
        <v>0.0</v>
      </c>
      <c r="Z32993" s="372">
        <v>0.0</v>
      </c>
    </row>
    <row r="32994">
      <c r="Y32994" s="372">
        <v>0.0</v>
      </c>
      <c r="Z32994" s="372">
        <v>0.0</v>
      </c>
    </row>
    <row r="32995">
      <c r="Y32995" s="372">
        <v>0.0</v>
      </c>
      <c r="Z32995" s="372">
        <v>0.0</v>
      </c>
    </row>
    <row r="32996">
      <c r="Y32996" s="372">
        <v>0.0</v>
      </c>
      <c r="Z32996" s="372">
        <v>0.0</v>
      </c>
    </row>
    <row r="32997">
      <c r="Y32997" s="372">
        <v>0.0</v>
      </c>
      <c r="Z32997" s="372">
        <v>0.0</v>
      </c>
    </row>
    <row r="32998">
      <c r="Y32998" s="372">
        <v>0.0</v>
      </c>
      <c r="Z32998" s="372">
        <v>0.0</v>
      </c>
    </row>
    <row r="32999">
      <c r="Y32999" s="372">
        <v>0.0</v>
      </c>
      <c r="Z32999" s="372">
        <v>0.0</v>
      </c>
    </row>
    <row r="33000">
      <c r="Y33000" s="372">
        <v>0.0</v>
      </c>
      <c r="Z33000" s="372">
        <v>0.0</v>
      </c>
    </row>
    <row r="33001">
      <c r="Y33001" s="372">
        <v>0.0</v>
      </c>
      <c r="Z33001" s="372">
        <v>0.0</v>
      </c>
    </row>
    <row r="33002">
      <c r="Y33002" s="372">
        <v>0.0</v>
      </c>
      <c r="Z33002" s="372">
        <v>0.0</v>
      </c>
    </row>
    <row r="33003">
      <c r="Y33003" s="372">
        <v>0.0</v>
      </c>
      <c r="Z33003" s="372">
        <v>0.0</v>
      </c>
    </row>
    <row r="33004">
      <c r="Y33004" s="372">
        <v>0.0</v>
      </c>
      <c r="Z33004" s="372">
        <v>0.0</v>
      </c>
    </row>
    <row r="33005">
      <c r="Y33005" s="372">
        <v>0.0</v>
      </c>
      <c r="Z33005" s="372">
        <v>0.0</v>
      </c>
    </row>
    <row r="33006">
      <c r="Y33006" s="372">
        <v>0.0</v>
      </c>
      <c r="Z33006" s="372">
        <v>0.0</v>
      </c>
    </row>
    <row r="33007">
      <c r="Y33007" s="372">
        <v>0.0</v>
      </c>
      <c r="Z33007" s="372">
        <v>0.0</v>
      </c>
    </row>
    <row r="33008">
      <c r="Y33008" s="372">
        <v>0.0</v>
      </c>
      <c r="Z33008" s="372">
        <v>0.0</v>
      </c>
    </row>
    <row r="33009">
      <c r="Y33009" s="372">
        <v>0.0</v>
      </c>
      <c r="Z33009" s="372">
        <v>0.0</v>
      </c>
    </row>
    <row r="33010">
      <c r="Y33010" s="372">
        <v>0.0</v>
      </c>
      <c r="Z33010" s="372">
        <v>0.0</v>
      </c>
    </row>
    <row r="33011">
      <c r="Y33011" s="372">
        <v>0.0</v>
      </c>
      <c r="Z33011" s="372">
        <v>0.0</v>
      </c>
    </row>
    <row r="33012">
      <c r="Y33012" s="372">
        <v>0.0</v>
      </c>
      <c r="Z33012" s="372">
        <v>0.0</v>
      </c>
    </row>
    <row r="33013">
      <c r="Y33013" s="372">
        <v>0.0</v>
      </c>
      <c r="Z33013" s="372">
        <v>0.0</v>
      </c>
    </row>
    <row r="33014">
      <c r="Y33014" s="372">
        <v>0.0</v>
      </c>
      <c r="Z33014" s="372">
        <v>0.0</v>
      </c>
    </row>
    <row r="33015">
      <c r="Y33015" s="372">
        <v>0.0</v>
      </c>
      <c r="Z33015" s="372">
        <v>0.0</v>
      </c>
    </row>
    <row r="33016">
      <c r="Y33016" s="372">
        <v>0.0</v>
      </c>
      <c r="Z33016" s="372">
        <v>0.0</v>
      </c>
    </row>
    <row r="33017">
      <c r="Y33017" s="372">
        <v>0.0</v>
      </c>
      <c r="Z33017" s="372">
        <v>0.0</v>
      </c>
    </row>
    <row r="33018">
      <c r="Y33018" s="372">
        <v>0.0</v>
      </c>
      <c r="Z33018" s="372">
        <v>0.0</v>
      </c>
    </row>
    <row r="33019">
      <c r="Y33019" s="372">
        <v>0.0</v>
      </c>
      <c r="Z33019" s="372">
        <v>0.0</v>
      </c>
    </row>
    <row r="33020">
      <c r="Y33020" s="372">
        <v>0.0</v>
      </c>
      <c r="Z33020" s="372">
        <v>0.0</v>
      </c>
    </row>
    <row r="33021">
      <c r="Y33021" s="372">
        <v>0.0</v>
      </c>
      <c r="Z33021" s="372">
        <v>0.0</v>
      </c>
    </row>
    <row r="33022">
      <c r="Y33022" s="372">
        <v>0.0</v>
      </c>
      <c r="Z33022" s="372">
        <v>0.0</v>
      </c>
    </row>
    <row r="33023">
      <c r="Y33023" s="372">
        <v>0.0</v>
      </c>
      <c r="Z33023" s="372">
        <v>0.0</v>
      </c>
    </row>
    <row r="33024">
      <c r="Y33024" s="372">
        <v>0.0</v>
      </c>
      <c r="Z33024" s="372">
        <v>0.0</v>
      </c>
    </row>
    <row r="33025">
      <c r="Y33025" s="372">
        <v>0.0</v>
      </c>
      <c r="Z33025" s="372">
        <v>0.0</v>
      </c>
    </row>
    <row r="33026">
      <c r="Y33026" s="372">
        <v>0.0</v>
      </c>
      <c r="Z33026" s="372">
        <v>0.0</v>
      </c>
    </row>
    <row r="33027">
      <c r="Y33027" s="372">
        <v>0.0</v>
      </c>
      <c r="Z33027" s="372">
        <v>0.0</v>
      </c>
    </row>
    <row r="33028">
      <c r="Y33028" s="372">
        <v>0.0</v>
      </c>
      <c r="Z33028" s="372">
        <v>0.0</v>
      </c>
    </row>
    <row r="33029">
      <c r="Y33029" s="372">
        <v>0.0</v>
      </c>
      <c r="Z33029" s="372">
        <v>0.0</v>
      </c>
    </row>
    <row r="33030">
      <c r="Y33030" s="372">
        <v>0.0</v>
      </c>
      <c r="Z33030" s="372">
        <v>0.0</v>
      </c>
    </row>
    <row r="33031">
      <c r="Y33031" s="372">
        <v>0.0</v>
      </c>
      <c r="Z33031" s="372">
        <v>0.0</v>
      </c>
    </row>
    <row r="33032">
      <c r="Y33032" s="372">
        <v>0.0</v>
      </c>
      <c r="Z33032" s="372">
        <v>0.0</v>
      </c>
    </row>
    <row r="33033">
      <c r="Y33033" s="372">
        <v>0.0</v>
      </c>
      <c r="Z33033" s="372">
        <v>0.0</v>
      </c>
    </row>
    <row r="33034">
      <c r="Y33034" s="372">
        <v>0.0</v>
      </c>
      <c r="Z33034" s="372">
        <v>0.0</v>
      </c>
    </row>
    <row r="33035">
      <c r="Y33035" s="372">
        <v>0.0</v>
      </c>
      <c r="Z33035" s="372">
        <v>0.0</v>
      </c>
    </row>
    <row r="33036">
      <c r="Y33036" s="372">
        <v>0.0</v>
      </c>
      <c r="Z33036" s="372">
        <v>0.0</v>
      </c>
    </row>
    <row r="33037">
      <c r="Y33037" s="372">
        <v>0.0</v>
      </c>
      <c r="Z33037" s="372">
        <v>0.0</v>
      </c>
    </row>
    <row r="33038">
      <c r="Y33038" s="372">
        <v>0.0</v>
      </c>
      <c r="Z33038" s="372">
        <v>0.0</v>
      </c>
    </row>
    <row r="33039">
      <c r="Y33039" s="372">
        <v>0.0</v>
      </c>
      <c r="Z33039" s="372">
        <v>0.0</v>
      </c>
    </row>
    <row r="33040">
      <c r="Y33040" s="372">
        <v>0.0</v>
      </c>
      <c r="Z33040" s="372">
        <v>0.0</v>
      </c>
    </row>
    <row r="33041">
      <c r="Y33041" s="372">
        <v>0.0</v>
      </c>
      <c r="Z33041" s="372">
        <v>0.0</v>
      </c>
    </row>
    <row r="33042">
      <c r="Y33042" s="372">
        <v>0.0</v>
      </c>
      <c r="Z33042" s="372">
        <v>0.0</v>
      </c>
    </row>
    <row r="33043">
      <c r="Y33043" s="372">
        <v>0.0</v>
      </c>
      <c r="Z33043" s="372">
        <v>0.0</v>
      </c>
    </row>
    <row r="33044">
      <c r="Y33044" s="372">
        <v>0.0</v>
      </c>
      <c r="Z33044" s="372">
        <v>0.0</v>
      </c>
    </row>
    <row r="33045">
      <c r="Y33045" s="372">
        <v>0.0</v>
      </c>
      <c r="Z33045" s="372">
        <v>0.0</v>
      </c>
    </row>
    <row r="33046">
      <c r="Y33046" s="372">
        <v>0.0</v>
      </c>
      <c r="Z33046" s="372">
        <v>0.0</v>
      </c>
    </row>
    <row r="33047">
      <c r="Y33047" s="372">
        <v>0.0</v>
      </c>
      <c r="Z33047" s="372">
        <v>0.0</v>
      </c>
    </row>
    <row r="33048">
      <c r="Y33048" s="372">
        <v>0.0</v>
      </c>
      <c r="Z33048" s="372">
        <v>0.0</v>
      </c>
    </row>
    <row r="33049">
      <c r="Y33049" s="372">
        <v>0.0</v>
      </c>
      <c r="Z33049" s="372">
        <v>0.0</v>
      </c>
    </row>
    <row r="33050">
      <c r="Y33050" s="372">
        <v>0.0</v>
      </c>
      <c r="Z33050" s="372">
        <v>0.0</v>
      </c>
    </row>
    <row r="33051">
      <c r="Y33051" s="372">
        <v>0.0</v>
      </c>
      <c r="Z33051" s="372">
        <v>0.0</v>
      </c>
    </row>
    <row r="33052">
      <c r="Y33052" s="372">
        <v>0.0</v>
      </c>
      <c r="Z33052" s="372">
        <v>0.0</v>
      </c>
    </row>
    <row r="33053">
      <c r="Y33053" s="372">
        <v>0.0</v>
      </c>
      <c r="Z33053" s="372">
        <v>0.0</v>
      </c>
    </row>
    <row r="33054">
      <c r="Y33054" s="372">
        <v>0.0</v>
      </c>
      <c r="Z33054" s="372">
        <v>0.0</v>
      </c>
    </row>
    <row r="33055">
      <c r="Y33055" s="372">
        <v>0.0</v>
      </c>
      <c r="Z33055" s="372">
        <v>0.0</v>
      </c>
    </row>
    <row r="33056">
      <c r="Y33056" s="372">
        <v>0.0</v>
      </c>
      <c r="Z33056" s="372">
        <v>0.0</v>
      </c>
    </row>
    <row r="33057">
      <c r="Y33057" s="372">
        <v>0.0</v>
      </c>
      <c r="Z33057" s="372">
        <v>0.0</v>
      </c>
    </row>
    <row r="33058">
      <c r="Y33058" s="372">
        <v>0.0</v>
      </c>
      <c r="Z33058" s="372">
        <v>0.0</v>
      </c>
    </row>
    <row r="33059">
      <c r="Y33059" s="372">
        <v>0.0</v>
      </c>
      <c r="Z33059" s="372">
        <v>0.0</v>
      </c>
    </row>
    <row r="33060">
      <c r="Y33060" s="372">
        <v>0.0</v>
      </c>
      <c r="Z33060" s="372">
        <v>0.0</v>
      </c>
    </row>
    <row r="33061">
      <c r="Y33061" s="372">
        <v>0.0</v>
      </c>
      <c r="Z33061" s="372">
        <v>0.0</v>
      </c>
    </row>
    <row r="33062">
      <c r="Y33062" s="372">
        <v>0.0</v>
      </c>
      <c r="Z33062" s="372">
        <v>0.0</v>
      </c>
    </row>
    <row r="33063">
      <c r="Y33063" s="372">
        <v>0.0</v>
      </c>
      <c r="Z33063" s="372">
        <v>0.0</v>
      </c>
    </row>
    <row r="33064">
      <c r="Y33064" s="372">
        <v>0.0</v>
      </c>
      <c r="Z33064" s="372">
        <v>0.0</v>
      </c>
    </row>
    <row r="33065">
      <c r="Y33065" s="372">
        <v>0.0</v>
      </c>
      <c r="Z33065" s="372">
        <v>0.0</v>
      </c>
    </row>
    <row r="33066">
      <c r="Y33066" s="372">
        <v>0.0</v>
      </c>
      <c r="Z33066" s="372">
        <v>0.0</v>
      </c>
    </row>
    <row r="33067">
      <c r="Y33067" s="372">
        <v>0.0</v>
      </c>
      <c r="Z33067" s="372">
        <v>0.0</v>
      </c>
    </row>
    <row r="33068">
      <c r="Y33068" s="372">
        <v>0.0</v>
      </c>
      <c r="Z33068" s="372">
        <v>0.0</v>
      </c>
    </row>
    <row r="33069">
      <c r="Y33069" s="372">
        <v>0.0</v>
      </c>
      <c r="Z33069" s="372">
        <v>0.0</v>
      </c>
    </row>
    <row r="33070">
      <c r="Y33070" s="372">
        <v>0.0</v>
      </c>
      <c r="Z33070" s="372">
        <v>0.0</v>
      </c>
    </row>
    <row r="33071">
      <c r="Y33071" s="372">
        <v>0.0</v>
      </c>
      <c r="Z33071" s="372">
        <v>0.0</v>
      </c>
    </row>
    <row r="33072">
      <c r="Y33072" s="372">
        <v>0.0</v>
      </c>
      <c r="Z33072" s="372">
        <v>0.0</v>
      </c>
    </row>
    <row r="33073">
      <c r="Y33073" s="372">
        <v>0.0</v>
      </c>
      <c r="Z33073" s="372">
        <v>0.0</v>
      </c>
    </row>
    <row r="33074">
      <c r="Y33074" s="372">
        <v>0.0</v>
      </c>
      <c r="Z33074" s="372">
        <v>0.0</v>
      </c>
    </row>
    <row r="33075">
      <c r="Y33075" s="372">
        <v>0.0</v>
      </c>
      <c r="Z33075" s="372">
        <v>0.0</v>
      </c>
    </row>
    <row r="33076">
      <c r="Y33076" s="372">
        <v>0.0</v>
      </c>
      <c r="Z33076" s="372">
        <v>0.0</v>
      </c>
    </row>
    <row r="33077">
      <c r="Y33077" s="372">
        <v>0.0</v>
      </c>
      <c r="Z33077" s="372">
        <v>0.0</v>
      </c>
    </row>
    <row r="33078">
      <c r="Y33078" s="372">
        <v>0.0</v>
      </c>
      <c r="Z33078" s="372">
        <v>0.0</v>
      </c>
    </row>
    <row r="33079">
      <c r="Y33079" s="372">
        <v>0.0</v>
      </c>
      <c r="Z33079" s="372">
        <v>0.0</v>
      </c>
    </row>
    <row r="33080">
      <c r="Y33080" s="372">
        <v>0.0</v>
      </c>
      <c r="Z33080" s="372">
        <v>0.0</v>
      </c>
    </row>
    <row r="33081">
      <c r="Y33081" s="372">
        <v>0.0</v>
      </c>
      <c r="Z33081" s="372">
        <v>0.0</v>
      </c>
    </row>
    <row r="33082">
      <c r="Y33082" s="372">
        <v>0.0</v>
      </c>
      <c r="Z33082" s="372">
        <v>0.0</v>
      </c>
    </row>
    <row r="33083">
      <c r="Y33083" s="372">
        <v>0.0</v>
      </c>
      <c r="Z33083" s="372">
        <v>0.0</v>
      </c>
    </row>
    <row r="33084">
      <c r="Y33084" s="372">
        <v>0.0</v>
      </c>
      <c r="Z33084" s="372">
        <v>0.0</v>
      </c>
    </row>
    <row r="33085">
      <c r="Y33085" s="372">
        <v>0.0</v>
      </c>
      <c r="Z33085" s="372">
        <v>0.0</v>
      </c>
    </row>
    <row r="33086">
      <c r="Y33086" s="372">
        <v>0.0</v>
      </c>
      <c r="Z33086" s="372">
        <v>0.0</v>
      </c>
    </row>
    <row r="33087">
      <c r="Y33087" s="372">
        <v>0.0</v>
      </c>
      <c r="Z33087" s="372">
        <v>0.0</v>
      </c>
    </row>
    <row r="33088">
      <c r="Y33088" s="372">
        <v>0.0</v>
      </c>
      <c r="Z33088" s="372">
        <v>0.0</v>
      </c>
    </row>
    <row r="33089">
      <c r="Y33089" s="372">
        <v>0.0</v>
      </c>
      <c r="Z33089" s="372">
        <v>0.0</v>
      </c>
    </row>
    <row r="33090">
      <c r="Y33090" s="372">
        <v>0.0</v>
      </c>
      <c r="Z33090" s="372">
        <v>0.0</v>
      </c>
    </row>
    <row r="33091">
      <c r="Y33091" s="372">
        <v>0.0</v>
      </c>
      <c r="Z33091" s="372">
        <v>0.0</v>
      </c>
    </row>
    <row r="33092">
      <c r="Y33092" s="372">
        <v>0.0</v>
      </c>
      <c r="Z33092" s="372">
        <v>0.0</v>
      </c>
    </row>
    <row r="33093">
      <c r="Y33093" s="372">
        <v>0.0</v>
      </c>
      <c r="Z33093" s="372">
        <v>0.0</v>
      </c>
    </row>
    <row r="33094">
      <c r="Y33094" s="372">
        <v>0.0</v>
      </c>
      <c r="Z33094" s="372">
        <v>0.0</v>
      </c>
    </row>
    <row r="33095">
      <c r="Y33095" s="372">
        <v>0.0</v>
      </c>
      <c r="Z33095" s="372">
        <v>0.0</v>
      </c>
    </row>
    <row r="33096">
      <c r="Y33096" s="372">
        <v>0.0</v>
      </c>
      <c r="Z33096" s="372">
        <v>0.0</v>
      </c>
    </row>
    <row r="33097">
      <c r="Y33097" s="372">
        <v>0.0</v>
      </c>
      <c r="Z33097" s="372">
        <v>0.0</v>
      </c>
    </row>
    <row r="33098">
      <c r="Y33098" s="372">
        <v>0.0</v>
      </c>
      <c r="Z33098" s="372">
        <v>0.0</v>
      </c>
    </row>
    <row r="33099">
      <c r="Y33099" s="372">
        <v>0.0</v>
      </c>
      <c r="Z33099" s="372">
        <v>0.0</v>
      </c>
    </row>
    <row r="33100">
      <c r="Y33100" s="372">
        <v>0.0</v>
      </c>
      <c r="Z33100" s="372">
        <v>0.0</v>
      </c>
    </row>
    <row r="33101">
      <c r="Y33101" s="372">
        <v>0.0</v>
      </c>
      <c r="Z33101" s="372">
        <v>0.0</v>
      </c>
    </row>
    <row r="33102">
      <c r="Y33102" s="372">
        <v>0.0</v>
      </c>
      <c r="Z33102" s="372">
        <v>0.0</v>
      </c>
    </row>
    <row r="33103">
      <c r="Y33103" s="372">
        <v>0.0</v>
      </c>
      <c r="Z33103" s="372">
        <v>0.0</v>
      </c>
    </row>
    <row r="33104">
      <c r="Y33104" s="372">
        <v>0.0</v>
      </c>
      <c r="Z33104" s="372">
        <v>0.0</v>
      </c>
    </row>
    <row r="33105">
      <c r="Y33105" s="372">
        <v>0.0</v>
      </c>
      <c r="Z33105" s="372">
        <v>0.0</v>
      </c>
    </row>
    <row r="33106">
      <c r="Y33106" s="372">
        <v>0.0</v>
      </c>
      <c r="Z33106" s="372">
        <v>0.0</v>
      </c>
    </row>
    <row r="33107">
      <c r="Y33107" s="372">
        <v>0.0</v>
      </c>
      <c r="Z33107" s="372">
        <v>0.0</v>
      </c>
    </row>
    <row r="33108">
      <c r="Y33108" s="372">
        <v>0.0</v>
      </c>
      <c r="Z33108" s="372">
        <v>0.0</v>
      </c>
    </row>
    <row r="33109">
      <c r="Y33109" s="372">
        <v>0.0</v>
      </c>
      <c r="Z33109" s="372">
        <v>0.0</v>
      </c>
    </row>
    <row r="33110">
      <c r="Y33110" s="372">
        <v>0.0</v>
      </c>
      <c r="Z33110" s="372">
        <v>0.0</v>
      </c>
    </row>
    <row r="33111">
      <c r="Y33111" s="372">
        <v>0.0</v>
      </c>
      <c r="Z33111" s="372">
        <v>0.0</v>
      </c>
    </row>
    <row r="33112">
      <c r="Y33112" s="372">
        <v>0.0</v>
      </c>
      <c r="Z33112" s="372">
        <v>0.0</v>
      </c>
    </row>
    <row r="33113">
      <c r="Y33113" s="372">
        <v>0.0</v>
      </c>
      <c r="Z33113" s="372">
        <v>0.0</v>
      </c>
    </row>
    <row r="33114">
      <c r="Y33114" s="372">
        <v>0.0</v>
      </c>
      <c r="Z33114" s="372">
        <v>0.0</v>
      </c>
    </row>
    <row r="33115">
      <c r="Y33115" s="372">
        <v>0.0</v>
      </c>
      <c r="Z33115" s="372">
        <v>0.0</v>
      </c>
    </row>
    <row r="33116">
      <c r="Y33116" s="372">
        <v>0.0</v>
      </c>
      <c r="Z33116" s="372">
        <v>0.0</v>
      </c>
    </row>
    <row r="33117">
      <c r="Y33117" s="372">
        <v>0.0</v>
      </c>
      <c r="Z33117" s="372">
        <v>0.0</v>
      </c>
    </row>
    <row r="33118">
      <c r="Y33118" s="372">
        <v>0.0</v>
      </c>
      <c r="Z33118" s="372">
        <v>0.0</v>
      </c>
    </row>
    <row r="33119">
      <c r="Y33119" s="372">
        <v>0.0</v>
      </c>
      <c r="Z33119" s="372">
        <v>0.0</v>
      </c>
    </row>
    <row r="33120">
      <c r="Y33120" s="372">
        <v>0.0</v>
      </c>
      <c r="Z33120" s="372">
        <v>0.0</v>
      </c>
    </row>
    <row r="33121">
      <c r="Y33121" s="372">
        <v>0.0</v>
      </c>
      <c r="Z33121" s="372">
        <v>0.0</v>
      </c>
    </row>
    <row r="33122">
      <c r="Y33122" s="372">
        <v>0.0</v>
      </c>
      <c r="Z33122" s="372">
        <v>0.0</v>
      </c>
    </row>
    <row r="33123">
      <c r="Y33123" s="372">
        <v>0.0</v>
      </c>
      <c r="Z33123" s="372">
        <v>0.0</v>
      </c>
    </row>
    <row r="33124">
      <c r="Y33124" s="372">
        <v>0.0</v>
      </c>
      <c r="Z33124" s="372">
        <v>0.0</v>
      </c>
    </row>
    <row r="33125">
      <c r="Y33125" s="372">
        <v>0.0</v>
      </c>
      <c r="Z33125" s="372">
        <v>0.0</v>
      </c>
    </row>
    <row r="33126">
      <c r="Y33126" s="372">
        <v>0.0</v>
      </c>
      <c r="Z33126" s="372">
        <v>0.0</v>
      </c>
    </row>
    <row r="33127">
      <c r="Y33127" s="372">
        <v>0.0</v>
      </c>
      <c r="Z33127" s="372">
        <v>0.0</v>
      </c>
    </row>
    <row r="33128">
      <c r="Y33128" s="372">
        <v>0.0</v>
      </c>
      <c r="Z33128" s="372">
        <v>0.0</v>
      </c>
    </row>
    <row r="33129">
      <c r="Y33129" s="372">
        <v>0.0</v>
      </c>
      <c r="Z33129" s="372">
        <v>0.0</v>
      </c>
    </row>
    <row r="33130">
      <c r="Y33130" s="372">
        <v>0.0</v>
      </c>
      <c r="Z33130" s="372">
        <v>0.0</v>
      </c>
    </row>
    <row r="33131">
      <c r="Y33131" s="372">
        <v>0.0</v>
      </c>
      <c r="Z33131" s="372">
        <v>0.0</v>
      </c>
    </row>
    <row r="33132">
      <c r="Y33132" s="372">
        <v>0.0</v>
      </c>
      <c r="Z33132" s="372">
        <v>0.0</v>
      </c>
    </row>
    <row r="33133">
      <c r="Y33133" s="372">
        <v>0.0</v>
      </c>
      <c r="Z33133" s="372">
        <v>0.0</v>
      </c>
    </row>
    <row r="33134">
      <c r="Y33134" s="372">
        <v>0.0</v>
      </c>
      <c r="Z33134" s="372">
        <v>0.0</v>
      </c>
    </row>
    <row r="33135">
      <c r="Y33135" s="372">
        <v>0.0</v>
      </c>
      <c r="Z33135" s="372">
        <v>0.0</v>
      </c>
    </row>
    <row r="33136">
      <c r="Y33136" s="372">
        <v>0.0</v>
      </c>
      <c r="Z33136" s="372">
        <v>0.0</v>
      </c>
    </row>
    <row r="33137">
      <c r="Y33137" s="372">
        <v>0.0</v>
      </c>
      <c r="Z33137" s="372">
        <v>0.0</v>
      </c>
    </row>
    <row r="33138">
      <c r="Y33138" s="372">
        <v>0.0</v>
      </c>
      <c r="Z33138" s="372">
        <v>0.0</v>
      </c>
    </row>
    <row r="33139">
      <c r="Y33139" s="372">
        <v>0.0</v>
      </c>
      <c r="Z33139" s="372">
        <v>0.0</v>
      </c>
    </row>
    <row r="33140">
      <c r="Y33140" s="372">
        <v>0.0</v>
      </c>
      <c r="Z33140" s="372">
        <v>0.0</v>
      </c>
    </row>
    <row r="33141">
      <c r="Y33141" s="372">
        <v>0.0</v>
      </c>
      <c r="Z33141" s="372">
        <v>0.0</v>
      </c>
    </row>
    <row r="33142">
      <c r="Y33142" s="372">
        <v>0.0</v>
      </c>
      <c r="Z33142" s="372">
        <v>0.0</v>
      </c>
    </row>
    <row r="33143">
      <c r="Y33143" s="372">
        <v>0.0</v>
      </c>
      <c r="Z33143" s="372">
        <v>0.0</v>
      </c>
    </row>
    <row r="33144">
      <c r="Y33144" s="372">
        <v>0.0</v>
      </c>
      <c r="Z33144" s="372">
        <v>0.0</v>
      </c>
    </row>
    <row r="33145">
      <c r="Y33145" s="372">
        <v>0.0</v>
      </c>
      <c r="Z33145" s="372">
        <v>0.0</v>
      </c>
    </row>
    <row r="33146">
      <c r="Y33146" s="372">
        <v>0.0</v>
      </c>
      <c r="Z33146" s="372">
        <v>0.0</v>
      </c>
    </row>
    <row r="33147">
      <c r="Y33147" s="372">
        <v>0.0</v>
      </c>
      <c r="Z33147" s="372">
        <v>0.0</v>
      </c>
    </row>
    <row r="33148">
      <c r="Y33148" s="372">
        <v>0.0</v>
      </c>
      <c r="Z33148" s="372">
        <v>0.0</v>
      </c>
    </row>
    <row r="33149">
      <c r="Y33149" s="372">
        <v>0.0</v>
      </c>
      <c r="Z33149" s="372">
        <v>0.0</v>
      </c>
    </row>
    <row r="33150">
      <c r="Y33150" s="372">
        <v>0.0</v>
      </c>
      <c r="Z33150" s="372">
        <v>0.0</v>
      </c>
    </row>
    <row r="33151">
      <c r="Y33151" s="372">
        <v>0.0</v>
      </c>
      <c r="Z33151" s="372">
        <v>0.0</v>
      </c>
    </row>
    <row r="33152">
      <c r="Y33152" s="372">
        <v>0.0</v>
      </c>
      <c r="Z33152" s="372">
        <v>0.0</v>
      </c>
    </row>
    <row r="33153">
      <c r="Y33153" s="372">
        <v>0.0</v>
      </c>
      <c r="Z33153" s="372">
        <v>0.0</v>
      </c>
    </row>
    <row r="33154">
      <c r="Y33154" s="372">
        <v>0.0</v>
      </c>
      <c r="Z33154" s="372">
        <v>0.0</v>
      </c>
    </row>
    <row r="33155">
      <c r="Y33155" s="372">
        <v>0.0</v>
      </c>
      <c r="Z33155" s="372">
        <v>0.0</v>
      </c>
    </row>
    <row r="33156">
      <c r="Y33156" s="372">
        <v>0.0</v>
      </c>
      <c r="Z33156" s="372">
        <v>0.0</v>
      </c>
    </row>
    <row r="33157">
      <c r="Y33157" s="372">
        <v>0.0</v>
      </c>
      <c r="Z33157" s="372">
        <v>0.0</v>
      </c>
    </row>
    <row r="33158">
      <c r="Y33158" s="372">
        <v>0.0</v>
      </c>
      <c r="Z33158" s="372">
        <v>0.0</v>
      </c>
    </row>
    <row r="33159">
      <c r="Y33159" s="372">
        <v>0.0</v>
      </c>
      <c r="Z33159" s="372">
        <v>0.0</v>
      </c>
    </row>
    <row r="33160">
      <c r="Y33160" s="372">
        <v>0.0</v>
      </c>
      <c r="Z33160" s="372">
        <v>0.0</v>
      </c>
    </row>
    <row r="33161">
      <c r="Y33161" s="372">
        <v>0.0</v>
      </c>
      <c r="Z33161" s="372">
        <v>0.0</v>
      </c>
    </row>
    <row r="33162">
      <c r="Y33162" s="372">
        <v>0.0</v>
      </c>
      <c r="Z33162" s="372">
        <v>0.0</v>
      </c>
    </row>
    <row r="33163">
      <c r="Y33163" s="372">
        <v>0.0</v>
      </c>
      <c r="Z33163" s="372">
        <v>0.0</v>
      </c>
    </row>
    <row r="33164">
      <c r="Y33164" s="372">
        <v>0.0</v>
      </c>
      <c r="Z33164" s="372">
        <v>0.0</v>
      </c>
    </row>
    <row r="33165">
      <c r="Y33165" s="372">
        <v>0.0</v>
      </c>
      <c r="Z33165" s="372">
        <v>0.0</v>
      </c>
    </row>
    <row r="33166">
      <c r="Y33166" s="372">
        <v>0.0</v>
      </c>
      <c r="Z33166" s="372">
        <v>0.0</v>
      </c>
    </row>
    <row r="33167">
      <c r="Y33167" s="372">
        <v>0.0</v>
      </c>
      <c r="Z33167" s="372">
        <v>0.0</v>
      </c>
    </row>
    <row r="33168">
      <c r="Y33168" s="372">
        <v>0.0</v>
      </c>
      <c r="Z33168" s="372">
        <v>0.0</v>
      </c>
    </row>
    <row r="33169">
      <c r="Y33169" s="372">
        <v>0.0</v>
      </c>
      <c r="Z33169" s="372">
        <v>0.0</v>
      </c>
    </row>
    <row r="33170">
      <c r="Y33170" s="372">
        <v>0.0</v>
      </c>
      <c r="Z33170" s="372">
        <v>0.0</v>
      </c>
    </row>
    <row r="33171">
      <c r="Y33171" s="372">
        <v>0.0</v>
      </c>
      <c r="Z33171" s="372">
        <v>0.0</v>
      </c>
    </row>
    <row r="33172">
      <c r="Y33172" s="372">
        <v>0.0</v>
      </c>
      <c r="Z33172" s="372">
        <v>0.0</v>
      </c>
    </row>
    <row r="33173">
      <c r="Y33173" s="372">
        <v>0.0</v>
      </c>
      <c r="Z33173" s="372">
        <v>0.0</v>
      </c>
    </row>
    <row r="33174">
      <c r="Y33174" s="372">
        <v>0.0</v>
      </c>
      <c r="Z33174" s="372">
        <v>0.0</v>
      </c>
    </row>
    <row r="33175">
      <c r="Y33175" s="372">
        <v>0.0</v>
      </c>
      <c r="Z33175" s="372">
        <v>0.0</v>
      </c>
    </row>
    <row r="33176">
      <c r="Y33176" s="372">
        <v>0.0</v>
      </c>
      <c r="Z33176" s="372">
        <v>0.0</v>
      </c>
    </row>
    <row r="33177">
      <c r="Y33177" s="372">
        <v>0.0</v>
      </c>
      <c r="Z33177" s="372">
        <v>0.0</v>
      </c>
    </row>
    <row r="33178">
      <c r="Y33178" s="372">
        <v>0.0</v>
      </c>
      <c r="Z33178" s="372">
        <v>0.0</v>
      </c>
    </row>
    <row r="33179">
      <c r="Y33179" s="372">
        <v>0.0</v>
      </c>
      <c r="Z33179" s="372">
        <v>0.0</v>
      </c>
    </row>
    <row r="33180">
      <c r="Y33180" s="372">
        <v>0.0</v>
      </c>
      <c r="Z33180" s="372">
        <v>0.0</v>
      </c>
    </row>
    <row r="33181">
      <c r="Y33181" s="372">
        <v>0.0</v>
      </c>
      <c r="Z33181" s="372">
        <v>0.0</v>
      </c>
    </row>
    <row r="33182">
      <c r="Y33182" s="372">
        <v>0.0</v>
      </c>
      <c r="Z33182" s="372">
        <v>0.0</v>
      </c>
    </row>
    <row r="33183">
      <c r="Y33183" s="372">
        <v>0.0</v>
      </c>
      <c r="Z33183" s="372">
        <v>0.0</v>
      </c>
    </row>
    <row r="33184">
      <c r="Y33184" s="372">
        <v>0.0</v>
      </c>
      <c r="Z33184" s="372">
        <v>0.0</v>
      </c>
    </row>
    <row r="33185">
      <c r="Y33185" s="372">
        <v>0.0</v>
      </c>
      <c r="Z33185" s="372">
        <v>0.0</v>
      </c>
    </row>
    <row r="33186">
      <c r="Y33186" s="372">
        <v>0.0</v>
      </c>
      <c r="Z33186" s="372">
        <v>0.0</v>
      </c>
    </row>
    <row r="33187">
      <c r="Y33187" s="372">
        <v>0.0</v>
      </c>
      <c r="Z33187" s="372">
        <v>0.0</v>
      </c>
    </row>
    <row r="33188">
      <c r="Y33188" s="372">
        <v>0.0</v>
      </c>
      <c r="Z33188" s="372">
        <v>0.0</v>
      </c>
    </row>
    <row r="33189">
      <c r="Y33189" s="372">
        <v>0.0</v>
      </c>
      <c r="Z33189" s="372">
        <v>0.0</v>
      </c>
    </row>
    <row r="33190">
      <c r="Y33190" s="372">
        <v>0.0</v>
      </c>
      <c r="Z33190" s="372">
        <v>0.0</v>
      </c>
    </row>
    <row r="33191">
      <c r="Y33191" s="372">
        <v>0.0</v>
      </c>
      <c r="Z33191" s="372">
        <v>0.0</v>
      </c>
    </row>
    <row r="33192">
      <c r="Y33192" s="372">
        <v>0.0</v>
      </c>
      <c r="Z33192" s="372">
        <v>0.0</v>
      </c>
    </row>
    <row r="33193">
      <c r="Y33193" s="372">
        <v>0.0</v>
      </c>
      <c r="Z33193" s="372">
        <v>0.0</v>
      </c>
    </row>
    <row r="33194">
      <c r="Y33194" s="372">
        <v>0.0</v>
      </c>
      <c r="Z33194" s="372">
        <v>0.0</v>
      </c>
    </row>
    <row r="33195">
      <c r="Y33195" s="372">
        <v>0.0</v>
      </c>
      <c r="Z33195" s="372">
        <v>0.0</v>
      </c>
    </row>
    <row r="33196">
      <c r="Y33196" s="372">
        <v>0.0</v>
      </c>
      <c r="Z33196" s="372">
        <v>0.0</v>
      </c>
    </row>
    <row r="33197">
      <c r="Y33197" s="372">
        <v>0.0</v>
      </c>
      <c r="Z33197" s="372">
        <v>0.0</v>
      </c>
    </row>
    <row r="33198">
      <c r="Y33198" s="372">
        <v>0.0</v>
      </c>
      <c r="Z33198" s="372">
        <v>0.0</v>
      </c>
    </row>
    <row r="33199">
      <c r="Y33199" s="372">
        <v>0.0</v>
      </c>
      <c r="Z33199" s="372">
        <v>0.0</v>
      </c>
    </row>
    <row r="33200">
      <c r="Y33200" s="372">
        <v>0.0</v>
      </c>
      <c r="Z33200" s="372">
        <v>0.0</v>
      </c>
    </row>
    <row r="33201">
      <c r="Y33201" s="372">
        <v>0.0</v>
      </c>
      <c r="Z33201" s="372">
        <v>0.0</v>
      </c>
    </row>
    <row r="33202">
      <c r="Y33202" s="372">
        <v>0.0</v>
      </c>
      <c r="Z33202" s="372">
        <v>0.0</v>
      </c>
    </row>
    <row r="33203">
      <c r="Y33203" s="372">
        <v>0.0</v>
      </c>
      <c r="Z33203" s="372">
        <v>0.0</v>
      </c>
    </row>
    <row r="33204">
      <c r="Y33204" s="372">
        <v>0.0</v>
      </c>
      <c r="Z33204" s="372">
        <v>0.0</v>
      </c>
    </row>
    <row r="33205">
      <c r="Y33205" s="372">
        <v>0.0</v>
      </c>
      <c r="Z33205" s="372">
        <v>0.0</v>
      </c>
    </row>
    <row r="33206">
      <c r="Y33206" s="372">
        <v>0.0</v>
      </c>
      <c r="Z33206" s="372">
        <v>0.0</v>
      </c>
    </row>
    <row r="33207">
      <c r="Y33207" s="372">
        <v>0.0</v>
      </c>
      <c r="Z33207" s="372">
        <v>0.0</v>
      </c>
    </row>
    <row r="33208">
      <c r="Y33208" s="372">
        <v>0.0</v>
      </c>
      <c r="Z33208" s="372">
        <v>0.0</v>
      </c>
    </row>
    <row r="33209">
      <c r="Y33209" s="372">
        <v>0.0</v>
      </c>
      <c r="Z33209" s="372">
        <v>0.0</v>
      </c>
    </row>
    <row r="33210">
      <c r="Y33210" s="372">
        <v>0.0</v>
      </c>
      <c r="Z33210" s="372">
        <v>0.0</v>
      </c>
    </row>
    <row r="33211">
      <c r="Y33211" s="372">
        <v>0.0</v>
      </c>
      <c r="Z33211" s="372">
        <v>0.0</v>
      </c>
    </row>
    <row r="33212">
      <c r="Y33212" s="372">
        <v>0.0</v>
      </c>
      <c r="Z33212" s="372">
        <v>0.0</v>
      </c>
    </row>
    <row r="33213">
      <c r="Y33213" s="372">
        <v>0.0</v>
      </c>
      <c r="Z33213" s="372">
        <v>0.0</v>
      </c>
    </row>
    <row r="33214">
      <c r="Y33214" s="372">
        <v>0.0</v>
      </c>
      <c r="Z33214" s="372">
        <v>0.0</v>
      </c>
    </row>
    <row r="33215">
      <c r="Y33215" s="372">
        <v>0.0</v>
      </c>
      <c r="Z33215" s="372">
        <v>0.0</v>
      </c>
    </row>
    <row r="33216">
      <c r="Y33216" s="372">
        <v>0.0</v>
      </c>
      <c r="Z33216" s="372">
        <v>0.0</v>
      </c>
    </row>
    <row r="33217">
      <c r="Y33217" s="372">
        <v>0.0</v>
      </c>
      <c r="Z33217" s="372">
        <v>0.0</v>
      </c>
    </row>
    <row r="33218">
      <c r="Y33218" s="372">
        <v>0.0</v>
      </c>
      <c r="Z33218" s="372">
        <v>0.0</v>
      </c>
    </row>
    <row r="33219">
      <c r="Y33219" s="372">
        <v>0.0</v>
      </c>
      <c r="Z33219" s="372">
        <v>0.0</v>
      </c>
    </row>
    <row r="33220">
      <c r="Y33220" s="372">
        <v>0.0</v>
      </c>
      <c r="Z33220" s="372">
        <v>0.0</v>
      </c>
    </row>
    <row r="33221">
      <c r="Y33221" s="372">
        <v>0.0</v>
      </c>
      <c r="Z33221" s="372">
        <v>0.0</v>
      </c>
    </row>
    <row r="33222">
      <c r="Y33222" s="372">
        <v>0.0</v>
      </c>
      <c r="Z33222" s="372">
        <v>0.0</v>
      </c>
    </row>
    <row r="33223">
      <c r="Y33223" s="372">
        <v>0.0</v>
      </c>
      <c r="Z33223" s="372">
        <v>0.0</v>
      </c>
    </row>
    <row r="33224">
      <c r="Y33224" s="372">
        <v>0.0</v>
      </c>
      <c r="Z33224" s="372">
        <v>0.0</v>
      </c>
    </row>
    <row r="33225">
      <c r="Y33225" s="372">
        <v>0.0</v>
      </c>
      <c r="Z33225" s="372">
        <v>0.0</v>
      </c>
    </row>
    <row r="33226">
      <c r="Y33226" s="372">
        <v>0.0</v>
      </c>
      <c r="Z33226" s="372">
        <v>0.0</v>
      </c>
    </row>
    <row r="33227">
      <c r="Y33227" s="372">
        <v>0.0</v>
      </c>
      <c r="Z33227" s="372">
        <v>0.0</v>
      </c>
    </row>
    <row r="33228">
      <c r="Y33228" s="372">
        <v>0.0</v>
      </c>
      <c r="Z33228" s="372">
        <v>0.0</v>
      </c>
    </row>
    <row r="33229">
      <c r="Y33229" s="372">
        <v>0.0</v>
      </c>
      <c r="Z33229" s="372">
        <v>0.0</v>
      </c>
    </row>
    <row r="33230">
      <c r="Y33230" s="372">
        <v>0.0</v>
      </c>
      <c r="Z33230" s="372">
        <v>0.0</v>
      </c>
    </row>
    <row r="33231">
      <c r="Y33231" s="372">
        <v>0.0</v>
      </c>
      <c r="Z33231" s="372">
        <v>0.0</v>
      </c>
    </row>
    <row r="33232">
      <c r="Y33232" s="372">
        <v>0.0</v>
      </c>
      <c r="Z33232" s="372">
        <v>0.0</v>
      </c>
    </row>
    <row r="33233">
      <c r="Y33233" s="372">
        <v>0.0</v>
      </c>
      <c r="Z33233" s="372">
        <v>0.0</v>
      </c>
    </row>
    <row r="33234">
      <c r="Y33234" s="372">
        <v>0.0</v>
      </c>
      <c r="Z33234" s="372">
        <v>0.0</v>
      </c>
    </row>
    <row r="33235">
      <c r="Y33235" s="372">
        <v>0.0</v>
      </c>
      <c r="Z33235" s="372">
        <v>0.0</v>
      </c>
    </row>
    <row r="33236">
      <c r="Y33236" s="372">
        <v>0.0</v>
      </c>
      <c r="Z33236" s="372">
        <v>0.0</v>
      </c>
    </row>
    <row r="33237">
      <c r="Y33237" s="372">
        <v>0.0</v>
      </c>
      <c r="Z33237" s="372">
        <v>0.0</v>
      </c>
    </row>
    <row r="33238">
      <c r="Y33238" s="372">
        <v>0.0</v>
      </c>
      <c r="Z33238" s="372">
        <v>0.0</v>
      </c>
    </row>
    <row r="33239">
      <c r="Y33239" s="372">
        <v>0.0</v>
      </c>
      <c r="Z33239" s="372">
        <v>0.0</v>
      </c>
    </row>
    <row r="33240">
      <c r="Y33240" s="372">
        <v>0.0</v>
      </c>
      <c r="Z33240" s="372">
        <v>0.0</v>
      </c>
    </row>
    <row r="33241">
      <c r="Y33241" s="372">
        <v>0.0</v>
      </c>
      <c r="Z33241" s="372">
        <v>0.0</v>
      </c>
    </row>
    <row r="33242">
      <c r="Y33242" s="372">
        <v>0.0</v>
      </c>
      <c r="Z33242" s="372">
        <v>0.0</v>
      </c>
    </row>
    <row r="33243">
      <c r="Y33243" s="372">
        <v>0.0</v>
      </c>
      <c r="Z33243" s="372">
        <v>0.0</v>
      </c>
    </row>
    <row r="33244">
      <c r="Y33244" s="372">
        <v>0.0</v>
      </c>
      <c r="Z33244" s="372">
        <v>0.0</v>
      </c>
    </row>
    <row r="33245">
      <c r="Y33245" s="372">
        <v>0.0</v>
      </c>
      <c r="Z33245" s="372">
        <v>0.0</v>
      </c>
    </row>
    <row r="33246">
      <c r="Y33246" s="372">
        <v>0.0</v>
      </c>
      <c r="Z33246" s="372">
        <v>0.0</v>
      </c>
    </row>
    <row r="33247">
      <c r="Y33247" s="372">
        <v>0.0</v>
      </c>
      <c r="Z33247" s="372">
        <v>0.0</v>
      </c>
    </row>
    <row r="33248">
      <c r="Y33248" s="372">
        <v>0.0</v>
      </c>
      <c r="Z33248" s="372">
        <v>0.0</v>
      </c>
    </row>
    <row r="33249">
      <c r="Y33249" s="372">
        <v>0.0</v>
      </c>
      <c r="Z33249" s="372">
        <v>0.0</v>
      </c>
    </row>
    <row r="33250">
      <c r="Y33250" s="372">
        <v>0.0</v>
      </c>
      <c r="Z33250" s="372">
        <v>0.0</v>
      </c>
    </row>
    <row r="33251">
      <c r="Y33251" s="372">
        <v>0.0</v>
      </c>
      <c r="Z33251" s="372">
        <v>0.0</v>
      </c>
    </row>
    <row r="33252">
      <c r="Y33252" s="372">
        <v>0.0</v>
      </c>
      <c r="Z33252" s="372">
        <v>0.0</v>
      </c>
    </row>
    <row r="33253">
      <c r="Y33253" s="372">
        <v>0.0</v>
      </c>
      <c r="Z33253" s="372">
        <v>0.0</v>
      </c>
    </row>
    <row r="33254">
      <c r="Y33254" s="372">
        <v>0.0</v>
      </c>
      <c r="Z33254" s="372">
        <v>0.0</v>
      </c>
    </row>
    <row r="33255">
      <c r="Y33255" s="372">
        <v>0.0</v>
      </c>
      <c r="Z33255" s="372">
        <v>0.0</v>
      </c>
    </row>
    <row r="33256">
      <c r="Y33256" s="372">
        <v>0.0</v>
      </c>
      <c r="Z33256" s="372">
        <v>0.0</v>
      </c>
    </row>
    <row r="33257">
      <c r="Y33257" s="372">
        <v>0.0</v>
      </c>
      <c r="Z33257" s="372">
        <v>0.0</v>
      </c>
    </row>
    <row r="33258">
      <c r="Y33258" s="372">
        <v>0.0</v>
      </c>
      <c r="Z33258" s="372">
        <v>0.0</v>
      </c>
    </row>
    <row r="33259">
      <c r="Y33259" s="372">
        <v>0.0</v>
      </c>
      <c r="Z33259" s="372">
        <v>0.0</v>
      </c>
    </row>
    <row r="33260">
      <c r="Y33260" s="372">
        <v>0.0</v>
      </c>
      <c r="Z33260" s="372">
        <v>0.0</v>
      </c>
    </row>
    <row r="33261">
      <c r="Y33261" s="372">
        <v>0.0</v>
      </c>
      <c r="Z33261" s="372">
        <v>0.0</v>
      </c>
    </row>
    <row r="33262">
      <c r="Y33262" s="372">
        <v>0.0</v>
      </c>
      <c r="Z33262" s="372">
        <v>0.0</v>
      </c>
    </row>
    <row r="33263">
      <c r="Y33263" s="372">
        <v>0.0</v>
      </c>
      <c r="Z33263" s="372">
        <v>0.0</v>
      </c>
    </row>
    <row r="33264">
      <c r="Y33264" s="372">
        <v>0.0</v>
      </c>
      <c r="Z33264" s="372">
        <v>0.0</v>
      </c>
    </row>
    <row r="33265">
      <c r="Y33265" s="372">
        <v>0.0</v>
      </c>
      <c r="Z33265" s="372">
        <v>0.0</v>
      </c>
    </row>
    <row r="33266">
      <c r="Y33266" s="372">
        <v>0.0</v>
      </c>
      <c r="Z33266" s="372">
        <v>0.0</v>
      </c>
    </row>
    <row r="33267">
      <c r="Y33267" s="372">
        <v>0.0</v>
      </c>
      <c r="Z33267" s="372">
        <v>0.0</v>
      </c>
    </row>
    <row r="33268">
      <c r="Y33268" s="372">
        <v>0.0</v>
      </c>
      <c r="Z33268" s="372">
        <v>0.0</v>
      </c>
    </row>
    <row r="33269">
      <c r="Y33269" s="372">
        <v>0.0</v>
      </c>
      <c r="Z33269" s="372">
        <v>0.0</v>
      </c>
    </row>
    <row r="33270">
      <c r="Y33270" s="372">
        <v>0.0</v>
      </c>
      <c r="Z33270" s="372">
        <v>0.0</v>
      </c>
    </row>
    <row r="33271">
      <c r="Y33271" s="372">
        <v>0.0</v>
      </c>
      <c r="Z33271" s="372">
        <v>0.0</v>
      </c>
    </row>
    <row r="33272">
      <c r="Y33272" s="372">
        <v>0.0</v>
      </c>
      <c r="Z33272" s="372">
        <v>0.0</v>
      </c>
    </row>
    <row r="33273">
      <c r="Y33273" s="372">
        <v>0.0</v>
      </c>
      <c r="Z33273" s="372">
        <v>0.0</v>
      </c>
    </row>
    <row r="33274">
      <c r="Y33274" s="372">
        <v>0.0</v>
      </c>
      <c r="Z33274" s="372">
        <v>0.0</v>
      </c>
    </row>
    <row r="33275">
      <c r="Y33275" s="372">
        <v>0.0</v>
      </c>
      <c r="Z33275" s="372">
        <v>0.0</v>
      </c>
    </row>
    <row r="33276">
      <c r="Y33276" s="372">
        <v>0.0</v>
      </c>
      <c r="Z33276" s="372">
        <v>0.0</v>
      </c>
    </row>
    <row r="33277">
      <c r="Y33277" s="372">
        <v>0.0</v>
      </c>
      <c r="Z33277" s="372">
        <v>0.0</v>
      </c>
    </row>
    <row r="33278">
      <c r="Y33278" s="372">
        <v>0.0</v>
      </c>
      <c r="Z33278" s="372">
        <v>0.0</v>
      </c>
    </row>
    <row r="33279">
      <c r="Y33279" s="372">
        <v>0.0</v>
      </c>
      <c r="Z33279" s="372">
        <v>0.0</v>
      </c>
    </row>
    <row r="33280">
      <c r="Y33280" s="372">
        <v>0.0</v>
      </c>
      <c r="Z33280" s="372">
        <v>0.0</v>
      </c>
    </row>
    <row r="33281">
      <c r="Y33281" s="372">
        <v>0.0</v>
      </c>
      <c r="Z33281" s="372">
        <v>0.0</v>
      </c>
    </row>
    <row r="33282">
      <c r="Y33282" s="372">
        <v>0.0</v>
      </c>
      <c r="Z33282" s="372">
        <v>0.0</v>
      </c>
    </row>
    <row r="33283">
      <c r="Y33283" s="372">
        <v>0.0</v>
      </c>
      <c r="Z33283" s="372">
        <v>0.0</v>
      </c>
    </row>
    <row r="33284">
      <c r="Y33284" s="372">
        <v>0.0</v>
      </c>
      <c r="Z33284" s="372">
        <v>0.0</v>
      </c>
    </row>
    <row r="33285">
      <c r="Y33285" s="372">
        <v>0.0</v>
      </c>
      <c r="Z33285" s="372">
        <v>0.0</v>
      </c>
    </row>
    <row r="33286">
      <c r="Y33286" s="372">
        <v>0.0</v>
      </c>
      <c r="Z33286" s="372">
        <v>0.0</v>
      </c>
    </row>
    <row r="33287">
      <c r="Y33287" s="372">
        <v>0.0</v>
      </c>
      <c r="Z33287" s="372">
        <v>0.0</v>
      </c>
    </row>
    <row r="33288">
      <c r="Y33288" s="372">
        <v>0.0</v>
      </c>
      <c r="Z33288" s="372">
        <v>0.0</v>
      </c>
    </row>
    <row r="33289">
      <c r="Y33289" s="372">
        <v>0.0</v>
      </c>
      <c r="Z33289" s="372">
        <v>0.0</v>
      </c>
    </row>
    <row r="33290">
      <c r="Y33290" s="372">
        <v>0.0</v>
      </c>
      <c r="Z33290" s="372">
        <v>0.0</v>
      </c>
    </row>
    <row r="33291">
      <c r="Y33291" s="372">
        <v>0.0</v>
      </c>
      <c r="Z33291" s="372">
        <v>0.0</v>
      </c>
    </row>
    <row r="33292">
      <c r="Y33292" s="372">
        <v>0.0</v>
      </c>
      <c r="Z33292" s="372">
        <v>0.0</v>
      </c>
    </row>
    <row r="33293">
      <c r="Y33293" s="372">
        <v>0.0</v>
      </c>
      <c r="Z33293" s="372">
        <v>0.0</v>
      </c>
    </row>
    <row r="33294">
      <c r="Y33294" s="372">
        <v>0.0</v>
      </c>
      <c r="Z33294" s="372">
        <v>0.0</v>
      </c>
    </row>
    <row r="33295">
      <c r="Y33295" s="372">
        <v>0.0</v>
      </c>
      <c r="Z33295" s="372">
        <v>0.0</v>
      </c>
    </row>
    <row r="33296">
      <c r="Y33296" s="372">
        <v>0.0</v>
      </c>
      <c r="Z33296" s="372">
        <v>0.0</v>
      </c>
    </row>
    <row r="33297">
      <c r="Y33297" s="372">
        <v>0.0</v>
      </c>
      <c r="Z33297" s="372">
        <v>0.0</v>
      </c>
    </row>
    <row r="33298">
      <c r="Y33298" s="372">
        <v>0.0</v>
      </c>
      <c r="Z33298" s="372">
        <v>0.0</v>
      </c>
    </row>
    <row r="33299">
      <c r="Y33299" s="372">
        <v>0.0</v>
      </c>
      <c r="Z33299" s="372">
        <v>0.0</v>
      </c>
    </row>
    <row r="33300">
      <c r="Y33300" s="372">
        <v>0.0</v>
      </c>
      <c r="Z33300" s="372">
        <v>0.0</v>
      </c>
    </row>
    <row r="33301">
      <c r="Y33301" s="372">
        <v>0.0</v>
      </c>
      <c r="Z33301" s="372">
        <v>0.0</v>
      </c>
    </row>
    <row r="33302">
      <c r="Y33302" s="372">
        <v>0.0</v>
      </c>
      <c r="Z33302" s="372">
        <v>0.0</v>
      </c>
    </row>
    <row r="33303">
      <c r="Y33303" s="372">
        <v>0.0</v>
      </c>
      <c r="Z33303" s="372">
        <v>0.0</v>
      </c>
    </row>
    <row r="33304">
      <c r="Y33304" s="372">
        <v>0.0</v>
      </c>
      <c r="Z33304" s="372">
        <v>0.0</v>
      </c>
    </row>
    <row r="33305">
      <c r="Y33305" s="372">
        <v>0.0</v>
      </c>
      <c r="Z33305" s="372">
        <v>0.0</v>
      </c>
    </row>
    <row r="33306">
      <c r="Y33306" s="372">
        <v>0.0</v>
      </c>
      <c r="Z33306" s="372">
        <v>0.0</v>
      </c>
    </row>
    <row r="33307">
      <c r="Y33307" s="372">
        <v>0.0</v>
      </c>
      <c r="Z33307" s="372">
        <v>0.0</v>
      </c>
    </row>
    <row r="33308">
      <c r="Y33308" s="372">
        <v>0.0</v>
      </c>
      <c r="Z33308" s="372">
        <v>0.0</v>
      </c>
    </row>
    <row r="33309">
      <c r="Y33309" s="372">
        <v>0.0</v>
      </c>
      <c r="Z33309" s="372">
        <v>0.0</v>
      </c>
    </row>
    <row r="33310">
      <c r="Y33310" s="372">
        <v>0.0</v>
      </c>
      <c r="Z33310" s="372">
        <v>0.0</v>
      </c>
    </row>
    <row r="33311">
      <c r="Y33311" s="372">
        <v>0.0</v>
      </c>
      <c r="Z33311" s="372">
        <v>0.0</v>
      </c>
    </row>
    <row r="33312">
      <c r="Y33312" s="372">
        <v>0.0</v>
      </c>
      <c r="Z33312" s="372">
        <v>0.0</v>
      </c>
    </row>
    <row r="33313">
      <c r="Y33313" s="372">
        <v>0.0</v>
      </c>
      <c r="Z33313" s="372">
        <v>0.0</v>
      </c>
    </row>
    <row r="33314">
      <c r="Y33314" s="372">
        <v>0.0</v>
      </c>
      <c r="Z33314" s="372">
        <v>0.0</v>
      </c>
    </row>
    <row r="33315">
      <c r="Y33315" s="372">
        <v>0.0</v>
      </c>
      <c r="Z33315" s="372">
        <v>0.0</v>
      </c>
    </row>
    <row r="33316">
      <c r="Y33316" s="372">
        <v>0.0</v>
      </c>
      <c r="Z33316" s="372">
        <v>0.0</v>
      </c>
    </row>
    <row r="33317">
      <c r="Y33317" s="372">
        <v>0.0</v>
      </c>
      <c r="Z33317" s="372">
        <v>0.0</v>
      </c>
    </row>
    <row r="33318">
      <c r="Y33318" s="372">
        <v>0.0</v>
      </c>
      <c r="Z33318" s="372">
        <v>0.0</v>
      </c>
    </row>
    <row r="33319">
      <c r="Y33319" s="372">
        <v>0.0</v>
      </c>
      <c r="Z33319" s="372">
        <v>0.0</v>
      </c>
    </row>
    <row r="33320">
      <c r="Y33320" s="372">
        <v>0.0</v>
      </c>
      <c r="Z33320" s="372">
        <v>0.0</v>
      </c>
    </row>
    <row r="33321">
      <c r="Y33321" s="372">
        <v>0.0</v>
      </c>
      <c r="Z33321" s="372">
        <v>0.0</v>
      </c>
    </row>
    <row r="33322">
      <c r="Y33322" s="372">
        <v>0.0</v>
      </c>
      <c r="Z33322" s="372">
        <v>0.0</v>
      </c>
    </row>
    <row r="33323">
      <c r="Y33323" s="372">
        <v>0.0</v>
      </c>
      <c r="Z33323" s="372">
        <v>0.0</v>
      </c>
    </row>
    <row r="33324">
      <c r="Y33324" s="372">
        <v>0.0</v>
      </c>
      <c r="Z33324" s="372">
        <v>0.0</v>
      </c>
    </row>
    <row r="33325">
      <c r="Y33325" s="372">
        <v>0.0</v>
      </c>
      <c r="Z33325" s="372">
        <v>0.0</v>
      </c>
    </row>
    <row r="33326">
      <c r="Y33326" s="372">
        <v>0.0</v>
      </c>
      <c r="Z33326" s="372">
        <v>0.0</v>
      </c>
    </row>
    <row r="33327">
      <c r="Y33327" s="372">
        <v>0.0</v>
      </c>
      <c r="Z33327" s="372">
        <v>0.0</v>
      </c>
    </row>
    <row r="33328">
      <c r="Y33328" s="372">
        <v>0.0</v>
      </c>
      <c r="Z33328" s="372">
        <v>0.0</v>
      </c>
    </row>
    <row r="33329">
      <c r="Y33329" s="372">
        <v>0.0</v>
      </c>
      <c r="Z33329" s="372">
        <v>0.0</v>
      </c>
    </row>
    <row r="33330">
      <c r="Y33330" s="372">
        <v>0.0</v>
      </c>
      <c r="Z33330" s="372">
        <v>0.0</v>
      </c>
    </row>
    <row r="33331">
      <c r="Y33331" s="372">
        <v>0.0</v>
      </c>
      <c r="Z33331" s="372">
        <v>0.0</v>
      </c>
    </row>
    <row r="33332">
      <c r="Y33332" s="372">
        <v>0.0</v>
      </c>
      <c r="Z33332" s="372">
        <v>0.0</v>
      </c>
    </row>
    <row r="33333">
      <c r="Y33333" s="372">
        <v>0.0</v>
      </c>
      <c r="Z33333" s="372">
        <v>0.0</v>
      </c>
    </row>
    <row r="33334">
      <c r="Y33334" s="372">
        <v>0.0</v>
      </c>
      <c r="Z33334" s="372">
        <v>0.0</v>
      </c>
    </row>
    <row r="33335">
      <c r="Y33335" s="372">
        <v>0.0</v>
      </c>
      <c r="Z33335" s="372">
        <v>0.0</v>
      </c>
    </row>
    <row r="33336">
      <c r="Y33336" s="372">
        <v>0.0</v>
      </c>
      <c r="Z33336" s="372">
        <v>0.0</v>
      </c>
    </row>
    <row r="33337">
      <c r="Y33337" s="372">
        <v>0.0</v>
      </c>
      <c r="Z33337" s="372">
        <v>0.0</v>
      </c>
    </row>
    <row r="33338">
      <c r="Y33338" s="372">
        <v>0.0</v>
      </c>
      <c r="Z33338" s="372">
        <v>0.0</v>
      </c>
    </row>
    <row r="33339">
      <c r="Y33339" s="372">
        <v>0.0</v>
      </c>
      <c r="Z33339" s="372">
        <v>0.0</v>
      </c>
    </row>
    <row r="33340">
      <c r="Y33340" s="372">
        <v>0.0</v>
      </c>
      <c r="Z33340" s="372">
        <v>0.0</v>
      </c>
    </row>
    <row r="33341">
      <c r="Y33341" s="372">
        <v>0.0</v>
      </c>
      <c r="Z33341" s="372">
        <v>0.0</v>
      </c>
    </row>
    <row r="33342">
      <c r="Y33342" s="372">
        <v>0.0</v>
      </c>
      <c r="Z33342" s="372">
        <v>0.0</v>
      </c>
    </row>
    <row r="33343">
      <c r="Y33343" s="372">
        <v>0.0</v>
      </c>
      <c r="Z33343" s="372">
        <v>0.0</v>
      </c>
    </row>
    <row r="33344">
      <c r="Y33344" s="372">
        <v>0.0</v>
      </c>
      <c r="Z33344" s="372">
        <v>0.0</v>
      </c>
    </row>
    <row r="33345">
      <c r="Y33345" s="372">
        <v>0.0</v>
      </c>
      <c r="Z33345" s="372">
        <v>0.0</v>
      </c>
    </row>
    <row r="33346">
      <c r="Y33346" s="372">
        <v>0.0</v>
      </c>
      <c r="Z33346" s="372">
        <v>0.0</v>
      </c>
    </row>
    <row r="33347">
      <c r="Y33347" s="372">
        <v>0.0</v>
      </c>
      <c r="Z33347" s="372">
        <v>0.0</v>
      </c>
    </row>
    <row r="33348">
      <c r="Y33348" s="372">
        <v>0.0</v>
      </c>
      <c r="Z33348" s="372">
        <v>0.0</v>
      </c>
    </row>
    <row r="33349">
      <c r="Y33349" s="372">
        <v>0.0</v>
      </c>
      <c r="Z33349" s="372">
        <v>0.0</v>
      </c>
    </row>
    <row r="33350">
      <c r="Y33350" s="372">
        <v>0.0</v>
      </c>
      <c r="Z33350" s="372">
        <v>0.0</v>
      </c>
    </row>
    <row r="33351">
      <c r="Y33351" s="372">
        <v>0.0</v>
      </c>
      <c r="Z33351" s="372">
        <v>0.0</v>
      </c>
    </row>
    <row r="33352">
      <c r="Y33352" s="372">
        <v>0.0</v>
      </c>
      <c r="Z33352" s="372">
        <v>0.0</v>
      </c>
    </row>
    <row r="33353">
      <c r="Y33353" s="372">
        <v>0.0</v>
      </c>
      <c r="Z33353" s="372">
        <v>0.0</v>
      </c>
    </row>
    <row r="33354">
      <c r="Y33354" s="372">
        <v>0.0</v>
      </c>
      <c r="Z33354" s="372">
        <v>0.0</v>
      </c>
    </row>
    <row r="33355">
      <c r="Y33355" s="372">
        <v>0.0</v>
      </c>
      <c r="Z33355" s="372">
        <v>0.0</v>
      </c>
    </row>
    <row r="33356">
      <c r="Y33356" s="372">
        <v>0.0</v>
      </c>
      <c r="Z33356" s="372">
        <v>0.0</v>
      </c>
    </row>
    <row r="33357">
      <c r="Y33357" s="372">
        <v>0.0</v>
      </c>
      <c r="Z33357" s="372">
        <v>0.0</v>
      </c>
    </row>
    <row r="33358">
      <c r="Y33358" s="372">
        <v>0.0</v>
      </c>
      <c r="Z33358" s="372">
        <v>0.0</v>
      </c>
    </row>
    <row r="33359">
      <c r="Y33359" s="372">
        <v>0.0</v>
      </c>
      <c r="Z33359" s="372">
        <v>0.0</v>
      </c>
    </row>
    <row r="33360">
      <c r="Y33360" s="372">
        <v>0.0</v>
      </c>
      <c r="Z33360" s="372">
        <v>0.0</v>
      </c>
    </row>
    <row r="33361">
      <c r="Y33361" s="372">
        <v>0.0</v>
      </c>
      <c r="Z33361" s="372">
        <v>0.0</v>
      </c>
    </row>
    <row r="33362">
      <c r="Y33362" s="372">
        <v>0.0</v>
      </c>
      <c r="Z33362" s="372">
        <v>0.0</v>
      </c>
    </row>
    <row r="33363">
      <c r="Y33363" s="372">
        <v>0.0</v>
      </c>
      <c r="Z33363" s="372">
        <v>0.0</v>
      </c>
    </row>
    <row r="33364">
      <c r="Y33364" s="372">
        <v>0.0</v>
      </c>
      <c r="Z33364" s="372">
        <v>0.0</v>
      </c>
    </row>
    <row r="33365">
      <c r="Y33365" s="372">
        <v>0.0</v>
      </c>
      <c r="Z33365" s="372">
        <v>0.0</v>
      </c>
    </row>
    <row r="33366">
      <c r="Y33366" s="372">
        <v>0.0</v>
      </c>
      <c r="Z33366" s="372">
        <v>0.0</v>
      </c>
    </row>
    <row r="33367">
      <c r="Y33367" s="372">
        <v>0.0</v>
      </c>
      <c r="Z33367" s="372">
        <v>0.0</v>
      </c>
    </row>
    <row r="33368">
      <c r="Y33368" s="372">
        <v>0.0</v>
      </c>
      <c r="Z33368" s="372">
        <v>0.0</v>
      </c>
    </row>
    <row r="33369">
      <c r="Y33369" s="372">
        <v>0.0</v>
      </c>
      <c r="Z33369" s="372">
        <v>0.0</v>
      </c>
    </row>
    <row r="33370">
      <c r="Y33370" s="372">
        <v>0.0</v>
      </c>
      <c r="Z33370" s="372">
        <v>0.0</v>
      </c>
    </row>
    <row r="33371">
      <c r="Y33371" s="372">
        <v>0.0</v>
      </c>
      <c r="Z33371" s="372">
        <v>0.0</v>
      </c>
    </row>
    <row r="33372">
      <c r="Y33372" s="372">
        <v>0.0</v>
      </c>
      <c r="Z33372" s="372">
        <v>0.0</v>
      </c>
    </row>
    <row r="33373">
      <c r="Y33373" s="372">
        <v>0.0</v>
      </c>
      <c r="Z33373" s="372">
        <v>0.0</v>
      </c>
    </row>
    <row r="33374">
      <c r="Y33374" s="372">
        <v>0.0</v>
      </c>
      <c r="Z33374" s="372">
        <v>0.0</v>
      </c>
    </row>
    <row r="33375">
      <c r="Y33375" s="372">
        <v>0.0</v>
      </c>
      <c r="Z33375" s="372">
        <v>0.0</v>
      </c>
    </row>
    <row r="33376">
      <c r="Y33376" s="372">
        <v>0.0</v>
      </c>
      <c r="Z33376" s="372">
        <v>0.0</v>
      </c>
    </row>
    <row r="33377">
      <c r="Y33377" s="372">
        <v>0.0</v>
      </c>
      <c r="Z33377" s="372">
        <v>0.0</v>
      </c>
    </row>
    <row r="33378">
      <c r="Y33378" s="372">
        <v>0.0</v>
      </c>
      <c r="Z33378" s="372">
        <v>0.0</v>
      </c>
    </row>
    <row r="33379">
      <c r="Y33379" s="372">
        <v>0.0</v>
      </c>
      <c r="Z33379" s="372">
        <v>0.0</v>
      </c>
    </row>
    <row r="33380">
      <c r="Y33380" s="372">
        <v>0.0</v>
      </c>
      <c r="Z33380" s="372">
        <v>0.0</v>
      </c>
    </row>
    <row r="33381">
      <c r="Y33381" s="372">
        <v>0.0</v>
      </c>
      <c r="Z33381" s="372">
        <v>0.0</v>
      </c>
    </row>
    <row r="33382">
      <c r="Y33382" s="372">
        <v>0.0</v>
      </c>
      <c r="Z33382" s="372">
        <v>0.0</v>
      </c>
    </row>
    <row r="33383">
      <c r="Y33383" s="372">
        <v>0.0</v>
      </c>
      <c r="Z33383" s="372">
        <v>0.0</v>
      </c>
    </row>
    <row r="33384">
      <c r="Y33384" s="372">
        <v>0.0</v>
      </c>
      <c r="Z33384" s="372">
        <v>0.0</v>
      </c>
    </row>
    <row r="33385">
      <c r="Y33385" s="372">
        <v>0.0</v>
      </c>
      <c r="Z33385" s="372">
        <v>0.0</v>
      </c>
    </row>
    <row r="33386">
      <c r="Y33386" s="372">
        <v>0.0</v>
      </c>
      <c r="Z33386" s="372">
        <v>0.0</v>
      </c>
    </row>
    <row r="33387">
      <c r="Y33387" s="372">
        <v>0.0</v>
      </c>
      <c r="Z33387" s="372">
        <v>0.0</v>
      </c>
    </row>
    <row r="33388">
      <c r="Y33388" s="372">
        <v>0.0</v>
      </c>
      <c r="Z33388" s="372">
        <v>0.0</v>
      </c>
    </row>
    <row r="33389">
      <c r="Y33389" s="372">
        <v>0.0</v>
      </c>
      <c r="Z33389" s="372">
        <v>0.0</v>
      </c>
    </row>
    <row r="33390">
      <c r="Y33390" s="372">
        <v>0.0</v>
      </c>
      <c r="Z33390" s="372">
        <v>0.0</v>
      </c>
    </row>
    <row r="33391">
      <c r="Y33391" s="372">
        <v>0.0</v>
      </c>
      <c r="Z33391" s="372">
        <v>0.0</v>
      </c>
    </row>
    <row r="33392">
      <c r="Y33392" s="372">
        <v>0.0</v>
      </c>
      <c r="Z33392" s="372">
        <v>0.0</v>
      </c>
    </row>
    <row r="33393">
      <c r="Y33393" s="372">
        <v>0.0</v>
      </c>
      <c r="Z33393" s="372">
        <v>0.0</v>
      </c>
    </row>
    <row r="33394">
      <c r="Y33394" s="372">
        <v>0.0</v>
      </c>
      <c r="Z33394" s="372">
        <v>0.0</v>
      </c>
    </row>
    <row r="33395">
      <c r="Y33395" s="372">
        <v>0.0</v>
      </c>
      <c r="Z33395" s="372">
        <v>0.0</v>
      </c>
    </row>
    <row r="33396">
      <c r="Y33396" s="372">
        <v>0.0</v>
      </c>
      <c r="Z33396" s="372">
        <v>0.0</v>
      </c>
    </row>
    <row r="33397">
      <c r="Y33397" s="372">
        <v>0.0</v>
      </c>
      <c r="Z33397" s="372">
        <v>0.0</v>
      </c>
    </row>
    <row r="33398">
      <c r="Y33398" s="372">
        <v>0.0</v>
      </c>
      <c r="Z33398" s="372">
        <v>0.0</v>
      </c>
    </row>
    <row r="33399">
      <c r="Y33399" s="372">
        <v>0.0</v>
      </c>
      <c r="Z33399" s="372">
        <v>0.0</v>
      </c>
    </row>
    <row r="33400">
      <c r="Y33400" s="372">
        <v>0.0</v>
      </c>
      <c r="Z33400" s="372">
        <v>0.0</v>
      </c>
    </row>
    <row r="33401">
      <c r="Y33401" s="372">
        <v>0.0</v>
      </c>
      <c r="Z33401" s="372">
        <v>0.0</v>
      </c>
    </row>
    <row r="33402">
      <c r="Y33402" s="372">
        <v>0.0</v>
      </c>
      <c r="Z33402" s="372">
        <v>0.0</v>
      </c>
    </row>
    <row r="33403">
      <c r="Y33403" s="372">
        <v>0.0</v>
      </c>
      <c r="Z33403" s="372">
        <v>0.0</v>
      </c>
    </row>
    <row r="33404">
      <c r="Y33404" s="372">
        <v>0.0</v>
      </c>
      <c r="Z33404" s="372">
        <v>0.0</v>
      </c>
    </row>
    <row r="33405">
      <c r="Y33405" s="372">
        <v>0.0</v>
      </c>
      <c r="Z33405" s="372">
        <v>0.0</v>
      </c>
    </row>
    <row r="33406">
      <c r="Y33406" s="372">
        <v>0.0</v>
      </c>
      <c r="Z33406" s="372">
        <v>0.0</v>
      </c>
    </row>
    <row r="33407">
      <c r="Y33407" s="372">
        <v>0.0</v>
      </c>
      <c r="Z33407" s="372">
        <v>0.0</v>
      </c>
    </row>
    <row r="33408">
      <c r="Y33408" s="372">
        <v>0.0</v>
      </c>
      <c r="Z33408" s="372">
        <v>0.0</v>
      </c>
    </row>
    <row r="33409">
      <c r="Y33409" s="372">
        <v>0.0</v>
      </c>
      <c r="Z33409" s="372">
        <v>0.0</v>
      </c>
    </row>
    <row r="33410">
      <c r="Y33410" s="372">
        <v>0.0</v>
      </c>
      <c r="Z33410" s="372">
        <v>0.0</v>
      </c>
    </row>
    <row r="33411">
      <c r="Y33411" s="372">
        <v>0.0</v>
      </c>
      <c r="Z33411" s="372">
        <v>0.0</v>
      </c>
    </row>
    <row r="33412">
      <c r="Y33412" s="372">
        <v>0.0</v>
      </c>
      <c r="Z33412" s="372">
        <v>0.0</v>
      </c>
    </row>
    <row r="33413">
      <c r="Y33413" s="372">
        <v>0.0</v>
      </c>
      <c r="Z33413" s="372">
        <v>0.0</v>
      </c>
    </row>
    <row r="33414">
      <c r="Y33414" s="372">
        <v>0.0</v>
      </c>
      <c r="Z33414" s="372">
        <v>0.0</v>
      </c>
    </row>
    <row r="33415">
      <c r="Y33415" s="372">
        <v>0.0</v>
      </c>
      <c r="Z33415" s="372">
        <v>0.0</v>
      </c>
    </row>
    <row r="33416">
      <c r="Y33416" s="372">
        <v>0.0</v>
      </c>
      <c r="Z33416" s="372">
        <v>0.0</v>
      </c>
    </row>
    <row r="33417">
      <c r="Y33417" s="372">
        <v>0.0</v>
      </c>
      <c r="Z33417" s="372">
        <v>0.0</v>
      </c>
    </row>
    <row r="33418">
      <c r="Y33418" s="372">
        <v>0.0</v>
      </c>
      <c r="Z33418" s="372">
        <v>0.0</v>
      </c>
    </row>
    <row r="33419">
      <c r="Y33419" s="372">
        <v>0.0</v>
      </c>
      <c r="Z33419" s="372">
        <v>0.0</v>
      </c>
    </row>
    <row r="33420">
      <c r="Y33420" s="372">
        <v>0.0</v>
      </c>
      <c r="Z33420" s="372">
        <v>0.0</v>
      </c>
    </row>
    <row r="33421">
      <c r="Y33421" s="372">
        <v>0.0</v>
      </c>
      <c r="Z33421" s="372">
        <v>0.0</v>
      </c>
    </row>
    <row r="33422">
      <c r="Y33422" s="372">
        <v>0.0</v>
      </c>
      <c r="Z33422" s="372">
        <v>0.0</v>
      </c>
    </row>
    <row r="33423">
      <c r="Y33423" s="372">
        <v>0.0</v>
      </c>
      <c r="Z33423" s="372">
        <v>0.0</v>
      </c>
    </row>
    <row r="33424">
      <c r="Y33424" s="372">
        <v>0.0</v>
      </c>
      <c r="Z33424" s="372">
        <v>0.0</v>
      </c>
    </row>
    <row r="33425">
      <c r="Y33425" s="372">
        <v>0.0</v>
      </c>
      <c r="Z33425" s="372">
        <v>0.0</v>
      </c>
    </row>
    <row r="33426">
      <c r="Y33426" s="372">
        <v>0.0</v>
      </c>
      <c r="Z33426" s="372">
        <v>0.0</v>
      </c>
    </row>
    <row r="33427">
      <c r="Y33427" s="372">
        <v>0.0</v>
      </c>
      <c r="Z33427" s="372">
        <v>0.0</v>
      </c>
    </row>
    <row r="33428">
      <c r="Y33428" s="372">
        <v>0.0</v>
      </c>
      <c r="Z33428" s="372">
        <v>0.0</v>
      </c>
    </row>
    <row r="33429">
      <c r="Y33429" s="372">
        <v>0.0</v>
      </c>
      <c r="Z33429" s="372">
        <v>0.0</v>
      </c>
    </row>
    <row r="33430">
      <c r="Y33430" s="372">
        <v>0.0</v>
      </c>
      <c r="Z33430" s="372">
        <v>0.0</v>
      </c>
    </row>
    <row r="33431">
      <c r="Y33431" s="372">
        <v>0.0</v>
      </c>
      <c r="Z33431" s="372">
        <v>0.0</v>
      </c>
    </row>
    <row r="33432">
      <c r="Y33432" s="372">
        <v>0.0</v>
      </c>
      <c r="Z33432" s="372">
        <v>0.0</v>
      </c>
    </row>
    <row r="33433">
      <c r="Y33433" s="372">
        <v>0.0</v>
      </c>
      <c r="Z33433" s="372">
        <v>0.0</v>
      </c>
    </row>
    <row r="33434">
      <c r="Y33434" s="372">
        <v>0.0</v>
      </c>
      <c r="Z33434" s="372">
        <v>0.0</v>
      </c>
    </row>
    <row r="33435">
      <c r="Y33435" s="372">
        <v>0.0</v>
      </c>
      <c r="Z33435" s="372">
        <v>0.0</v>
      </c>
    </row>
    <row r="33436">
      <c r="Y33436" s="372">
        <v>0.0</v>
      </c>
      <c r="Z33436" s="372">
        <v>0.0</v>
      </c>
    </row>
    <row r="33437">
      <c r="Y33437" s="372">
        <v>0.0</v>
      </c>
      <c r="Z33437" s="372">
        <v>0.0</v>
      </c>
    </row>
    <row r="33438">
      <c r="Y33438" s="372">
        <v>0.0</v>
      </c>
      <c r="Z33438" s="372">
        <v>0.0</v>
      </c>
    </row>
    <row r="33439">
      <c r="Y33439" s="372">
        <v>0.0</v>
      </c>
      <c r="Z33439" s="372">
        <v>0.0</v>
      </c>
    </row>
    <row r="33440">
      <c r="Y33440" s="372">
        <v>0.0</v>
      </c>
      <c r="Z33440" s="372">
        <v>0.0</v>
      </c>
    </row>
    <row r="33441">
      <c r="Y33441" s="372">
        <v>0.0</v>
      </c>
      <c r="Z33441" s="372">
        <v>0.0</v>
      </c>
    </row>
    <row r="33442">
      <c r="Y33442" s="372">
        <v>0.0</v>
      </c>
      <c r="Z33442" s="372">
        <v>0.0</v>
      </c>
    </row>
    <row r="33443">
      <c r="Y33443" s="372">
        <v>0.0</v>
      </c>
      <c r="Z33443" s="372">
        <v>0.0</v>
      </c>
    </row>
    <row r="33444">
      <c r="Y33444" s="372">
        <v>0.0</v>
      </c>
      <c r="Z33444" s="372">
        <v>0.0</v>
      </c>
    </row>
    <row r="33445">
      <c r="Y33445" s="372">
        <v>0.0</v>
      </c>
      <c r="Z33445" s="372">
        <v>0.0</v>
      </c>
    </row>
    <row r="33446">
      <c r="Y33446" s="372">
        <v>0.0</v>
      </c>
      <c r="Z33446" s="372">
        <v>0.0</v>
      </c>
    </row>
    <row r="33447">
      <c r="Y33447" s="372">
        <v>0.0</v>
      </c>
      <c r="Z33447" s="372">
        <v>0.0</v>
      </c>
    </row>
    <row r="33448">
      <c r="Y33448" s="372">
        <v>0.0</v>
      </c>
      <c r="Z33448" s="372">
        <v>0.0</v>
      </c>
    </row>
    <row r="33449">
      <c r="Y33449" s="372">
        <v>0.0</v>
      </c>
      <c r="Z33449" s="372">
        <v>0.0</v>
      </c>
    </row>
    <row r="33450">
      <c r="Y33450" s="372">
        <v>0.0</v>
      </c>
      <c r="Z33450" s="372">
        <v>0.0</v>
      </c>
    </row>
    <row r="33451">
      <c r="Y33451" s="372">
        <v>0.0</v>
      </c>
      <c r="Z33451" s="372">
        <v>0.0</v>
      </c>
    </row>
    <row r="33452">
      <c r="Y33452" s="372">
        <v>0.0</v>
      </c>
      <c r="Z33452" s="372">
        <v>0.0</v>
      </c>
    </row>
    <row r="33453">
      <c r="Y33453" s="372">
        <v>0.0</v>
      </c>
      <c r="Z33453" s="372">
        <v>0.0</v>
      </c>
    </row>
    <row r="33454">
      <c r="Y33454" s="372">
        <v>0.0</v>
      </c>
      <c r="Z33454" s="372">
        <v>0.0</v>
      </c>
    </row>
    <row r="33455">
      <c r="Y33455" s="372">
        <v>0.0</v>
      </c>
      <c r="Z33455" s="372">
        <v>0.0</v>
      </c>
    </row>
    <row r="33456">
      <c r="Y33456" s="372">
        <v>0.0</v>
      </c>
      <c r="Z33456" s="372">
        <v>0.0</v>
      </c>
    </row>
    <row r="33457">
      <c r="Y33457" s="372">
        <v>0.0</v>
      </c>
      <c r="Z33457" s="372">
        <v>0.0</v>
      </c>
    </row>
    <row r="33458">
      <c r="Y33458" s="372">
        <v>0.0</v>
      </c>
      <c r="Z33458" s="372">
        <v>0.0</v>
      </c>
    </row>
    <row r="33459">
      <c r="Y33459" s="372">
        <v>0.0</v>
      </c>
      <c r="Z33459" s="372">
        <v>0.0</v>
      </c>
    </row>
    <row r="33460">
      <c r="Y33460" s="372">
        <v>0.0</v>
      </c>
      <c r="Z33460" s="372">
        <v>0.0</v>
      </c>
    </row>
    <row r="33461">
      <c r="Y33461" s="372">
        <v>0.0</v>
      </c>
      <c r="Z33461" s="372">
        <v>0.0</v>
      </c>
    </row>
    <row r="33462">
      <c r="Y33462" s="372">
        <v>0.0</v>
      </c>
      <c r="Z33462" s="372">
        <v>0.0</v>
      </c>
    </row>
    <row r="33463">
      <c r="Y33463" s="372">
        <v>0.0</v>
      </c>
      <c r="Z33463" s="372">
        <v>0.0</v>
      </c>
    </row>
    <row r="33464">
      <c r="Y33464" s="372">
        <v>0.0</v>
      </c>
      <c r="Z33464" s="372">
        <v>0.0</v>
      </c>
    </row>
    <row r="33465">
      <c r="Y33465" s="372">
        <v>0.0</v>
      </c>
      <c r="Z33465" s="372">
        <v>0.0</v>
      </c>
    </row>
    <row r="33466">
      <c r="Y33466" s="372">
        <v>0.0</v>
      </c>
      <c r="Z33466" s="372">
        <v>0.0</v>
      </c>
    </row>
    <row r="33467">
      <c r="Y33467" s="372">
        <v>0.0</v>
      </c>
      <c r="Z33467" s="372">
        <v>0.0</v>
      </c>
    </row>
    <row r="33468">
      <c r="Y33468" s="372">
        <v>0.0</v>
      </c>
      <c r="Z33468" s="372">
        <v>0.0</v>
      </c>
    </row>
    <row r="33469">
      <c r="Y33469" s="372">
        <v>0.0</v>
      </c>
      <c r="Z33469" s="372">
        <v>0.0</v>
      </c>
    </row>
    <row r="33470">
      <c r="Y33470" s="372">
        <v>0.0</v>
      </c>
      <c r="Z33470" s="372">
        <v>0.0</v>
      </c>
    </row>
    <row r="33471">
      <c r="Y33471" s="372">
        <v>0.0</v>
      </c>
      <c r="Z33471" s="372">
        <v>0.0</v>
      </c>
    </row>
    <row r="33472">
      <c r="Y33472" s="372">
        <v>0.0</v>
      </c>
      <c r="Z33472" s="372">
        <v>0.0</v>
      </c>
    </row>
    <row r="33473">
      <c r="Y33473" s="372">
        <v>0.0</v>
      </c>
      <c r="Z33473" s="372">
        <v>0.0</v>
      </c>
    </row>
    <row r="33474">
      <c r="Y33474" s="372">
        <v>0.0</v>
      </c>
      <c r="Z33474" s="372">
        <v>0.0</v>
      </c>
    </row>
    <row r="33475">
      <c r="Y33475" s="372">
        <v>0.0</v>
      </c>
      <c r="Z33475" s="372">
        <v>0.0</v>
      </c>
    </row>
    <row r="33476">
      <c r="Y33476" s="372">
        <v>0.0</v>
      </c>
      <c r="Z33476" s="372">
        <v>0.0</v>
      </c>
    </row>
    <row r="33477">
      <c r="Y33477" s="372">
        <v>0.0</v>
      </c>
      <c r="Z33477" s="372">
        <v>0.0</v>
      </c>
    </row>
    <row r="33478">
      <c r="Y33478" s="372">
        <v>0.0</v>
      </c>
      <c r="Z33478" s="372">
        <v>0.0</v>
      </c>
    </row>
    <row r="33479">
      <c r="Y33479" s="372">
        <v>0.0</v>
      </c>
      <c r="Z33479" s="372">
        <v>0.0</v>
      </c>
    </row>
    <row r="33480">
      <c r="Y33480" s="372">
        <v>0.0</v>
      </c>
      <c r="Z33480" s="372">
        <v>0.0</v>
      </c>
    </row>
    <row r="33481">
      <c r="Y33481" s="372">
        <v>0.0</v>
      </c>
      <c r="Z33481" s="372">
        <v>0.0</v>
      </c>
    </row>
    <row r="33482">
      <c r="Y33482" s="372">
        <v>0.0</v>
      </c>
      <c r="Z33482" s="372">
        <v>0.0</v>
      </c>
    </row>
    <row r="33483">
      <c r="Y33483" s="372">
        <v>0.0</v>
      </c>
      <c r="Z33483" s="372">
        <v>0.0</v>
      </c>
    </row>
    <row r="33484">
      <c r="Y33484" s="372">
        <v>0.0</v>
      </c>
      <c r="Z33484" s="372">
        <v>0.0</v>
      </c>
    </row>
    <row r="33485">
      <c r="Y33485" s="372">
        <v>0.0</v>
      </c>
      <c r="Z33485" s="372">
        <v>0.0</v>
      </c>
    </row>
    <row r="33486">
      <c r="Y33486" s="372">
        <v>0.0</v>
      </c>
      <c r="Z33486" s="372">
        <v>0.0</v>
      </c>
    </row>
    <row r="33487">
      <c r="Y33487" s="372">
        <v>0.0</v>
      </c>
      <c r="Z33487" s="372">
        <v>0.0</v>
      </c>
    </row>
    <row r="33488">
      <c r="Y33488" s="372">
        <v>0.0</v>
      </c>
      <c r="Z33488" s="372">
        <v>0.0</v>
      </c>
    </row>
    <row r="33489">
      <c r="Y33489" s="372">
        <v>0.0</v>
      </c>
      <c r="Z33489" s="372">
        <v>0.0</v>
      </c>
    </row>
    <row r="33490">
      <c r="Y33490" s="372">
        <v>0.0</v>
      </c>
      <c r="Z33490" s="372">
        <v>0.0</v>
      </c>
    </row>
    <row r="33491">
      <c r="Y33491" s="372">
        <v>0.0</v>
      </c>
      <c r="Z33491" s="372">
        <v>0.0</v>
      </c>
    </row>
    <row r="33492">
      <c r="Y33492" s="372">
        <v>0.0</v>
      </c>
      <c r="Z33492" s="372">
        <v>0.0</v>
      </c>
    </row>
    <row r="33493">
      <c r="Y33493" s="372">
        <v>0.0</v>
      </c>
      <c r="Z33493" s="372">
        <v>0.0</v>
      </c>
    </row>
    <row r="33494">
      <c r="Y33494" s="372">
        <v>0.0</v>
      </c>
      <c r="Z33494" s="372">
        <v>0.0</v>
      </c>
    </row>
    <row r="33495">
      <c r="Y33495" s="372">
        <v>0.0</v>
      </c>
      <c r="Z33495" s="372">
        <v>0.0</v>
      </c>
    </row>
    <row r="33496">
      <c r="Y33496" s="372">
        <v>0.0</v>
      </c>
      <c r="Z33496" s="372">
        <v>0.0</v>
      </c>
    </row>
    <row r="33497">
      <c r="Y33497" s="372">
        <v>0.0</v>
      </c>
      <c r="Z33497" s="372">
        <v>0.0</v>
      </c>
    </row>
    <row r="33498">
      <c r="Y33498" s="372">
        <v>0.0</v>
      </c>
      <c r="Z33498" s="372">
        <v>0.0</v>
      </c>
    </row>
    <row r="33499">
      <c r="Y33499" s="372">
        <v>0.0</v>
      </c>
      <c r="Z33499" s="372">
        <v>0.0</v>
      </c>
    </row>
    <row r="33500">
      <c r="Y33500" s="372">
        <v>0.0</v>
      </c>
      <c r="Z33500" s="372">
        <v>0.0</v>
      </c>
    </row>
    <row r="33501">
      <c r="Y33501" s="372">
        <v>0.0</v>
      </c>
      <c r="Z33501" s="372">
        <v>0.0</v>
      </c>
    </row>
    <row r="33502">
      <c r="Y33502" s="372">
        <v>0.0</v>
      </c>
      <c r="Z33502" s="372">
        <v>0.0</v>
      </c>
    </row>
    <row r="33503">
      <c r="Y33503" s="372">
        <v>0.0</v>
      </c>
      <c r="Z33503" s="372">
        <v>0.0</v>
      </c>
    </row>
    <row r="33504">
      <c r="Y33504" s="372">
        <v>0.0</v>
      </c>
      <c r="Z33504" s="372">
        <v>0.0</v>
      </c>
    </row>
    <row r="33505">
      <c r="Y33505" s="372">
        <v>0.0</v>
      </c>
      <c r="Z33505" s="372">
        <v>0.0</v>
      </c>
    </row>
    <row r="33506">
      <c r="Y33506" s="372">
        <v>0.0</v>
      </c>
      <c r="Z33506" s="372">
        <v>0.0</v>
      </c>
    </row>
    <row r="33507">
      <c r="Y33507" s="372">
        <v>0.0</v>
      </c>
      <c r="Z33507" s="372">
        <v>0.0</v>
      </c>
    </row>
    <row r="33508">
      <c r="Y33508" s="372">
        <v>0.0</v>
      </c>
      <c r="Z33508" s="372">
        <v>0.0</v>
      </c>
    </row>
    <row r="33509">
      <c r="Y33509" s="372">
        <v>0.0</v>
      </c>
      <c r="Z33509" s="372">
        <v>0.0</v>
      </c>
    </row>
    <row r="33510">
      <c r="Y33510" s="372">
        <v>0.0</v>
      </c>
      <c r="Z33510" s="372">
        <v>0.0</v>
      </c>
    </row>
    <row r="33511">
      <c r="Y33511" s="372">
        <v>0.0</v>
      </c>
      <c r="Z33511" s="372">
        <v>0.0</v>
      </c>
    </row>
    <row r="33512">
      <c r="Y33512" s="372">
        <v>0.0</v>
      </c>
      <c r="Z33512" s="372">
        <v>0.0</v>
      </c>
    </row>
    <row r="33513">
      <c r="Y33513" s="372">
        <v>0.0</v>
      </c>
      <c r="Z33513" s="372">
        <v>0.0</v>
      </c>
    </row>
    <row r="33514">
      <c r="Y33514" s="372">
        <v>0.0</v>
      </c>
      <c r="Z33514" s="372">
        <v>0.0</v>
      </c>
    </row>
    <row r="33515">
      <c r="Y33515" s="372">
        <v>0.0</v>
      </c>
      <c r="Z33515" s="372">
        <v>0.0</v>
      </c>
    </row>
    <row r="33516">
      <c r="Y33516" s="372">
        <v>0.0</v>
      </c>
      <c r="Z33516" s="372">
        <v>0.0</v>
      </c>
    </row>
    <row r="33517">
      <c r="Y33517" s="372">
        <v>0.0</v>
      </c>
      <c r="Z33517" s="372">
        <v>0.0</v>
      </c>
    </row>
    <row r="33518">
      <c r="Y33518" s="372">
        <v>0.0</v>
      </c>
      <c r="Z33518" s="372">
        <v>0.0</v>
      </c>
    </row>
    <row r="33519">
      <c r="Y33519" s="372">
        <v>0.0</v>
      </c>
      <c r="Z33519" s="372">
        <v>0.0</v>
      </c>
    </row>
    <row r="33520">
      <c r="Y33520" s="372">
        <v>0.0</v>
      </c>
      <c r="Z33520" s="372">
        <v>0.0</v>
      </c>
    </row>
    <row r="33521">
      <c r="Y33521" s="372">
        <v>0.0</v>
      </c>
      <c r="Z33521" s="372">
        <v>0.0</v>
      </c>
    </row>
    <row r="33522">
      <c r="Y33522" s="372">
        <v>0.0</v>
      </c>
      <c r="Z33522" s="372">
        <v>0.0</v>
      </c>
    </row>
    <row r="33523">
      <c r="Y33523" s="372">
        <v>0.0</v>
      </c>
      <c r="Z33523" s="372">
        <v>0.0</v>
      </c>
    </row>
    <row r="33524">
      <c r="Y33524" s="372">
        <v>0.0</v>
      </c>
      <c r="Z33524" s="372">
        <v>0.0</v>
      </c>
    </row>
    <row r="33525">
      <c r="Y33525" s="372">
        <v>0.0</v>
      </c>
      <c r="Z33525" s="372">
        <v>0.0</v>
      </c>
    </row>
    <row r="33526">
      <c r="Y33526" s="372">
        <v>0.0</v>
      </c>
      <c r="Z33526" s="372">
        <v>0.0</v>
      </c>
    </row>
    <row r="33527">
      <c r="Y33527" s="372">
        <v>0.0</v>
      </c>
      <c r="Z33527" s="372">
        <v>0.0</v>
      </c>
    </row>
    <row r="33528">
      <c r="Y33528" s="372">
        <v>0.0</v>
      </c>
      <c r="Z33528" s="372">
        <v>0.0</v>
      </c>
    </row>
    <row r="33529">
      <c r="Y33529" s="372">
        <v>0.0</v>
      </c>
      <c r="Z33529" s="372">
        <v>0.0</v>
      </c>
    </row>
    <row r="33530">
      <c r="Y33530" s="372">
        <v>0.0</v>
      </c>
      <c r="Z33530" s="372">
        <v>0.0</v>
      </c>
    </row>
    <row r="33531">
      <c r="Y33531" s="372">
        <v>0.0</v>
      </c>
      <c r="Z33531" s="372">
        <v>0.0</v>
      </c>
    </row>
    <row r="33532">
      <c r="Y33532" s="372">
        <v>0.0</v>
      </c>
      <c r="Z33532" s="372">
        <v>0.0</v>
      </c>
    </row>
    <row r="33533">
      <c r="Y33533" s="372">
        <v>0.0</v>
      </c>
      <c r="Z33533" s="372">
        <v>0.0</v>
      </c>
    </row>
    <row r="33534">
      <c r="Y33534" s="372">
        <v>0.0</v>
      </c>
      <c r="Z33534" s="372">
        <v>0.0</v>
      </c>
    </row>
    <row r="33535">
      <c r="Y33535" s="372">
        <v>0.0</v>
      </c>
      <c r="Z33535" s="372">
        <v>0.0</v>
      </c>
    </row>
    <row r="33536">
      <c r="Y33536" s="372">
        <v>0.0</v>
      </c>
      <c r="Z33536" s="372">
        <v>0.0</v>
      </c>
    </row>
    <row r="33537">
      <c r="Y33537" s="372">
        <v>0.0</v>
      </c>
      <c r="Z33537" s="372">
        <v>0.0</v>
      </c>
    </row>
    <row r="33538">
      <c r="Y33538" s="372">
        <v>0.0</v>
      </c>
      <c r="Z33538" s="372">
        <v>0.0</v>
      </c>
    </row>
    <row r="33539">
      <c r="Y33539" s="372">
        <v>0.0</v>
      </c>
      <c r="Z33539" s="372">
        <v>0.0</v>
      </c>
    </row>
    <row r="33540">
      <c r="Y33540" s="372">
        <v>0.0</v>
      </c>
      <c r="Z33540" s="372">
        <v>0.0</v>
      </c>
    </row>
    <row r="33541">
      <c r="Y33541" s="372">
        <v>0.0</v>
      </c>
      <c r="Z33541" s="372">
        <v>0.0</v>
      </c>
    </row>
    <row r="33542">
      <c r="Y33542" s="372">
        <v>0.0</v>
      </c>
      <c r="Z33542" s="372">
        <v>0.0</v>
      </c>
    </row>
    <row r="33543">
      <c r="Y33543" s="372">
        <v>0.0</v>
      </c>
      <c r="Z33543" s="372">
        <v>0.0</v>
      </c>
    </row>
    <row r="33544">
      <c r="Y33544" s="372">
        <v>0.0</v>
      </c>
      <c r="Z33544" s="372">
        <v>0.0</v>
      </c>
    </row>
    <row r="33545">
      <c r="Y33545" s="372">
        <v>0.0</v>
      </c>
      <c r="Z33545" s="372">
        <v>0.0</v>
      </c>
    </row>
    <row r="33546">
      <c r="Y33546" s="372">
        <v>0.0</v>
      </c>
      <c r="Z33546" s="372">
        <v>0.0</v>
      </c>
    </row>
    <row r="33547">
      <c r="Y33547" s="372">
        <v>0.0</v>
      </c>
      <c r="Z33547" s="372">
        <v>0.0</v>
      </c>
    </row>
    <row r="33548">
      <c r="Y33548" s="372">
        <v>0.0</v>
      </c>
      <c r="Z33548" s="372">
        <v>0.0</v>
      </c>
    </row>
    <row r="33549">
      <c r="Y33549" s="372">
        <v>0.0</v>
      </c>
      <c r="Z33549" s="372">
        <v>0.0</v>
      </c>
    </row>
    <row r="33550">
      <c r="Y33550" s="372">
        <v>0.0</v>
      </c>
      <c r="Z33550" s="372">
        <v>0.0</v>
      </c>
    </row>
    <row r="33551">
      <c r="Y33551" s="372">
        <v>0.0</v>
      </c>
      <c r="Z33551" s="372">
        <v>0.0</v>
      </c>
    </row>
    <row r="33552">
      <c r="Y33552" s="372">
        <v>0.0</v>
      </c>
      <c r="Z33552" s="372">
        <v>0.0</v>
      </c>
    </row>
    <row r="33553">
      <c r="Y33553" s="372">
        <v>0.0</v>
      </c>
      <c r="Z33553" s="372">
        <v>0.0</v>
      </c>
    </row>
    <row r="33554">
      <c r="Y33554" s="372">
        <v>0.0</v>
      </c>
      <c r="Z33554" s="372">
        <v>0.0</v>
      </c>
    </row>
    <row r="33555">
      <c r="Y33555" s="372">
        <v>0.0</v>
      </c>
      <c r="Z33555" s="372">
        <v>0.0</v>
      </c>
    </row>
    <row r="33556">
      <c r="Y33556" s="372">
        <v>0.0</v>
      </c>
      <c r="Z33556" s="372">
        <v>0.0</v>
      </c>
    </row>
    <row r="33557">
      <c r="Y33557" s="372">
        <v>0.0</v>
      </c>
      <c r="Z33557" s="372">
        <v>0.0</v>
      </c>
    </row>
    <row r="33558">
      <c r="Y33558" s="372">
        <v>0.0</v>
      </c>
      <c r="Z33558" s="372">
        <v>0.0</v>
      </c>
    </row>
    <row r="33559">
      <c r="Y33559" s="372">
        <v>0.0</v>
      </c>
      <c r="Z33559" s="372">
        <v>0.0</v>
      </c>
    </row>
    <row r="33560">
      <c r="Y33560" s="372">
        <v>0.0</v>
      </c>
      <c r="Z33560" s="372">
        <v>0.0</v>
      </c>
    </row>
    <row r="33561">
      <c r="Y33561" s="372">
        <v>0.0</v>
      </c>
      <c r="Z33561" s="372">
        <v>0.0</v>
      </c>
    </row>
    <row r="33562">
      <c r="Y33562" s="372">
        <v>0.0</v>
      </c>
      <c r="Z33562" s="372">
        <v>0.0</v>
      </c>
    </row>
    <row r="33563">
      <c r="Y33563" s="372">
        <v>0.0</v>
      </c>
      <c r="Z33563" s="372">
        <v>0.0</v>
      </c>
    </row>
    <row r="33564">
      <c r="Y33564" s="372">
        <v>0.0</v>
      </c>
      <c r="Z33564" s="372">
        <v>0.0</v>
      </c>
    </row>
    <row r="33565">
      <c r="Y33565" s="372">
        <v>0.0</v>
      </c>
      <c r="Z33565" s="372">
        <v>0.0</v>
      </c>
    </row>
    <row r="33566">
      <c r="Y33566" s="372">
        <v>0.0</v>
      </c>
      <c r="Z33566" s="372">
        <v>0.0</v>
      </c>
    </row>
    <row r="33567">
      <c r="Y33567" s="372">
        <v>0.0</v>
      </c>
      <c r="Z33567" s="372">
        <v>0.0</v>
      </c>
    </row>
    <row r="33568">
      <c r="Y33568" s="372">
        <v>0.0</v>
      </c>
      <c r="Z33568" s="372">
        <v>0.0</v>
      </c>
    </row>
    <row r="33569">
      <c r="Y33569" s="372">
        <v>0.0</v>
      </c>
      <c r="Z33569" s="372">
        <v>0.0</v>
      </c>
    </row>
    <row r="33570">
      <c r="Y33570" s="372">
        <v>0.0</v>
      </c>
      <c r="Z33570" s="372">
        <v>0.0</v>
      </c>
    </row>
    <row r="33571">
      <c r="Y33571" s="372">
        <v>0.0</v>
      </c>
      <c r="Z33571" s="372">
        <v>0.0</v>
      </c>
    </row>
    <row r="33572">
      <c r="Y33572" s="372">
        <v>0.0</v>
      </c>
      <c r="Z33572" s="372">
        <v>0.0</v>
      </c>
    </row>
    <row r="33573">
      <c r="Y33573" s="372">
        <v>0.0</v>
      </c>
      <c r="Z33573" s="372">
        <v>0.0</v>
      </c>
    </row>
    <row r="33574">
      <c r="Y33574" s="372">
        <v>0.0</v>
      </c>
      <c r="Z33574" s="372">
        <v>0.0</v>
      </c>
    </row>
    <row r="33575">
      <c r="Y33575" s="372">
        <v>0.0</v>
      </c>
      <c r="Z33575" s="372">
        <v>0.0</v>
      </c>
    </row>
    <row r="33576">
      <c r="Y33576" s="372">
        <v>0.0</v>
      </c>
      <c r="Z33576" s="372">
        <v>0.0</v>
      </c>
    </row>
    <row r="33577">
      <c r="Y33577" s="372">
        <v>0.0</v>
      </c>
      <c r="Z33577" s="372">
        <v>0.0</v>
      </c>
    </row>
    <row r="33578">
      <c r="Y33578" s="372">
        <v>0.0</v>
      </c>
      <c r="Z33578" s="372">
        <v>0.0</v>
      </c>
    </row>
    <row r="33579">
      <c r="Y33579" s="372">
        <v>0.0</v>
      </c>
      <c r="Z33579" s="372">
        <v>0.0</v>
      </c>
    </row>
    <row r="33580">
      <c r="Y33580" s="372">
        <v>0.0</v>
      </c>
      <c r="Z33580" s="372">
        <v>0.0</v>
      </c>
    </row>
    <row r="33581">
      <c r="Y33581" s="372">
        <v>0.0</v>
      </c>
      <c r="Z33581" s="372">
        <v>0.0</v>
      </c>
    </row>
    <row r="33582">
      <c r="Y33582" s="372">
        <v>0.0</v>
      </c>
      <c r="Z33582" s="372">
        <v>0.0</v>
      </c>
    </row>
    <row r="33583">
      <c r="Y33583" s="372">
        <v>0.0</v>
      </c>
      <c r="Z33583" s="372">
        <v>0.0</v>
      </c>
    </row>
    <row r="33584">
      <c r="Y33584" s="372">
        <v>0.0</v>
      </c>
      <c r="Z33584" s="372">
        <v>0.0</v>
      </c>
    </row>
    <row r="33585">
      <c r="Y33585" s="372">
        <v>0.0</v>
      </c>
      <c r="Z33585" s="372">
        <v>0.0</v>
      </c>
    </row>
    <row r="33586">
      <c r="Y33586" s="372">
        <v>0.0</v>
      </c>
      <c r="Z33586" s="372">
        <v>0.0</v>
      </c>
    </row>
    <row r="33587">
      <c r="Y33587" s="372">
        <v>0.0</v>
      </c>
      <c r="Z33587" s="372">
        <v>0.0</v>
      </c>
    </row>
    <row r="33588">
      <c r="Y33588" s="372">
        <v>0.0</v>
      </c>
      <c r="Z33588" s="372">
        <v>0.0</v>
      </c>
    </row>
    <row r="33589">
      <c r="Y33589" s="372">
        <v>0.0</v>
      </c>
      <c r="Z33589" s="372">
        <v>0.0</v>
      </c>
    </row>
    <row r="33590">
      <c r="Y33590" s="372">
        <v>0.0</v>
      </c>
      <c r="Z33590" s="372">
        <v>0.0</v>
      </c>
    </row>
    <row r="33591">
      <c r="Y33591" s="372">
        <v>0.0</v>
      </c>
      <c r="Z33591" s="372">
        <v>0.0</v>
      </c>
    </row>
    <row r="33592">
      <c r="Y33592" s="372">
        <v>0.0</v>
      </c>
      <c r="Z33592" s="372">
        <v>0.0</v>
      </c>
    </row>
    <row r="33593">
      <c r="Y33593" s="372">
        <v>0.0</v>
      </c>
      <c r="Z33593" s="372">
        <v>0.0</v>
      </c>
    </row>
    <row r="33594">
      <c r="Y33594" s="372">
        <v>0.0</v>
      </c>
      <c r="Z33594" s="372">
        <v>0.0</v>
      </c>
    </row>
    <row r="33595">
      <c r="Y33595" s="372">
        <v>0.0</v>
      </c>
      <c r="Z33595" s="372">
        <v>0.0</v>
      </c>
    </row>
    <row r="33596">
      <c r="Y33596" s="372">
        <v>0.0</v>
      </c>
      <c r="Z33596" s="372">
        <v>0.0</v>
      </c>
    </row>
    <row r="33597">
      <c r="Y33597" s="372">
        <v>0.0</v>
      </c>
      <c r="Z33597" s="372">
        <v>0.0</v>
      </c>
    </row>
    <row r="33598">
      <c r="Y33598" s="372">
        <v>0.0</v>
      </c>
      <c r="Z33598" s="372">
        <v>0.0</v>
      </c>
    </row>
    <row r="33599">
      <c r="Y33599" s="372">
        <v>0.0</v>
      </c>
      <c r="Z33599" s="372">
        <v>0.0</v>
      </c>
    </row>
    <row r="33600">
      <c r="Y33600" s="372">
        <v>0.0</v>
      </c>
      <c r="Z33600" s="372">
        <v>0.0</v>
      </c>
    </row>
    <row r="33601">
      <c r="Y33601" s="372">
        <v>0.0</v>
      </c>
      <c r="Z33601" s="372">
        <v>0.0</v>
      </c>
    </row>
    <row r="33602">
      <c r="Y33602" s="372">
        <v>0.0</v>
      </c>
      <c r="Z33602" s="372">
        <v>0.0</v>
      </c>
    </row>
    <row r="33603">
      <c r="Y33603" s="372">
        <v>0.0</v>
      </c>
      <c r="Z33603" s="372">
        <v>0.0</v>
      </c>
    </row>
    <row r="33604">
      <c r="Y33604" s="372">
        <v>0.0</v>
      </c>
      <c r="Z33604" s="372">
        <v>0.0</v>
      </c>
    </row>
    <row r="33605">
      <c r="Y33605" s="372">
        <v>0.0</v>
      </c>
      <c r="Z33605" s="372">
        <v>0.0</v>
      </c>
    </row>
    <row r="33606">
      <c r="Y33606" s="372">
        <v>0.0</v>
      </c>
      <c r="Z33606" s="372">
        <v>0.0</v>
      </c>
    </row>
    <row r="33607">
      <c r="Y33607" s="372">
        <v>0.0</v>
      </c>
      <c r="Z33607" s="372">
        <v>0.0</v>
      </c>
    </row>
    <row r="33608">
      <c r="Y33608" s="372">
        <v>0.0</v>
      </c>
      <c r="Z33608" s="372">
        <v>0.0</v>
      </c>
    </row>
    <row r="33609">
      <c r="Y33609" s="372">
        <v>0.0</v>
      </c>
      <c r="Z33609" s="372">
        <v>0.0</v>
      </c>
    </row>
    <row r="33610">
      <c r="Y33610" s="372">
        <v>0.0</v>
      </c>
      <c r="Z33610" s="372">
        <v>0.0</v>
      </c>
    </row>
    <row r="33611">
      <c r="Y33611" s="372">
        <v>0.0</v>
      </c>
      <c r="Z33611" s="372">
        <v>0.0</v>
      </c>
    </row>
    <row r="33612">
      <c r="Y33612" s="372">
        <v>0.0</v>
      </c>
      <c r="Z33612" s="372">
        <v>0.0</v>
      </c>
    </row>
    <row r="33613">
      <c r="Y33613" s="372">
        <v>0.0</v>
      </c>
      <c r="Z33613" s="372">
        <v>0.0</v>
      </c>
    </row>
    <row r="33614">
      <c r="Y33614" s="372">
        <v>0.0</v>
      </c>
      <c r="Z33614" s="372">
        <v>0.0</v>
      </c>
    </row>
    <row r="33615">
      <c r="Y33615" s="372">
        <v>0.0</v>
      </c>
      <c r="Z33615" s="372">
        <v>0.0</v>
      </c>
    </row>
    <row r="33616">
      <c r="Y33616" s="372">
        <v>0.0</v>
      </c>
      <c r="Z33616" s="372">
        <v>0.0</v>
      </c>
    </row>
    <row r="33617">
      <c r="Y33617" s="372">
        <v>0.0</v>
      </c>
      <c r="Z33617" s="372">
        <v>0.0</v>
      </c>
    </row>
    <row r="33618">
      <c r="Y33618" s="372">
        <v>0.0</v>
      </c>
      <c r="Z33618" s="372">
        <v>0.0</v>
      </c>
    </row>
    <row r="33619">
      <c r="Y33619" s="372">
        <v>0.0</v>
      </c>
      <c r="Z33619" s="372">
        <v>0.0</v>
      </c>
    </row>
    <row r="33620">
      <c r="Y33620" s="372">
        <v>0.0</v>
      </c>
      <c r="Z33620" s="372">
        <v>0.0</v>
      </c>
    </row>
    <row r="33621">
      <c r="Y33621" s="372">
        <v>0.0</v>
      </c>
      <c r="Z33621" s="372">
        <v>0.0</v>
      </c>
    </row>
    <row r="33622">
      <c r="Y33622" s="372">
        <v>0.0</v>
      </c>
      <c r="Z33622" s="372">
        <v>0.0</v>
      </c>
    </row>
    <row r="33623">
      <c r="Y33623" s="372">
        <v>0.0</v>
      </c>
      <c r="Z33623" s="372">
        <v>0.0</v>
      </c>
    </row>
    <row r="33624">
      <c r="Y33624" s="372">
        <v>0.0</v>
      </c>
      <c r="Z33624" s="372">
        <v>0.0</v>
      </c>
    </row>
    <row r="33625">
      <c r="Y33625" s="372">
        <v>0.0</v>
      </c>
      <c r="Z33625" s="372">
        <v>0.0</v>
      </c>
    </row>
    <row r="33626">
      <c r="Y33626" s="372">
        <v>0.0</v>
      </c>
      <c r="Z33626" s="372">
        <v>0.0</v>
      </c>
    </row>
    <row r="33627">
      <c r="Y33627" s="372">
        <v>0.0</v>
      </c>
      <c r="Z33627" s="372">
        <v>0.0</v>
      </c>
    </row>
    <row r="33628">
      <c r="Y33628" s="372">
        <v>0.0</v>
      </c>
      <c r="Z33628" s="372">
        <v>0.0</v>
      </c>
    </row>
    <row r="33629">
      <c r="Y33629" s="372">
        <v>0.0</v>
      </c>
      <c r="Z33629" s="372">
        <v>0.0</v>
      </c>
    </row>
    <row r="33630">
      <c r="Y33630" s="372">
        <v>0.0</v>
      </c>
      <c r="Z33630" s="372">
        <v>0.0</v>
      </c>
    </row>
    <row r="33631">
      <c r="Y33631" s="372">
        <v>0.0</v>
      </c>
      <c r="Z33631" s="372">
        <v>0.0</v>
      </c>
    </row>
    <row r="33632">
      <c r="Y33632" s="372">
        <v>0.0</v>
      </c>
      <c r="Z33632" s="372">
        <v>0.0</v>
      </c>
    </row>
    <row r="33633">
      <c r="Y33633" s="372">
        <v>0.0</v>
      </c>
      <c r="Z33633" s="372">
        <v>0.0</v>
      </c>
    </row>
    <row r="33634">
      <c r="Y33634" s="372">
        <v>0.0</v>
      </c>
      <c r="Z33634" s="372">
        <v>0.0</v>
      </c>
    </row>
    <row r="33635">
      <c r="Y33635" s="372">
        <v>0.0</v>
      </c>
      <c r="Z33635" s="372">
        <v>0.0</v>
      </c>
    </row>
    <row r="33636">
      <c r="Y33636" s="372">
        <v>0.0</v>
      </c>
      <c r="Z33636" s="372">
        <v>0.0</v>
      </c>
    </row>
    <row r="33637">
      <c r="Y33637" s="372">
        <v>0.0</v>
      </c>
      <c r="Z33637" s="372">
        <v>0.0</v>
      </c>
    </row>
    <row r="33638">
      <c r="Y33638" s="372">
        <v>0.0</v>
      </c>
      <c r="Z33638" s="372">
        <v>0.0</v>
      </c>
    </row>
    <row r="33639">
      <c r="Y33639" s="372">
        <v>0.0</v>
      </c>
      <c r="Z33639" s="372">
        <v>0.0</v>
      </c>
    </row>
    <row r="33640">
      <c r="Y33640" s="372">
        <v>0.0</v>
      </c>
      <c r="Z33640" s="372">
        <v>0.0</v>
      </c>
    </row>
    <row r="33641">
      <c r="Y33641" s="372">
        <v>0.0</v>
      </c>
      <c r="Z33641" s="372">
        <v>0.0</v>
      </c>
    </row>
    <row r="33642">
      <c r="Y33642" s="372">
        <v>0.0</v>
      </c>
      <c r="Z33642" s="372">
        <v>0.0</v>
      </c>
    </row>
    <row r="33643">
      <c r="Y33643" s="372">
        <v>0.0</v>
      </c>
      <c r="Z33643" s="372">
        <v>0.0</v>
      </c>
    </row>
    <row r="33644">
      <c r="Y33644" s="372">
        <v>0.0</v>
      </c>
      <c r="Z33644" s="372">
        <v>0.0</v>
      </c>
    </row>
    <row r="33645">
      <c r="Y33645" s="372">
        <v>0.0</v>
      </c>
      <c r="Z33645" s="372">
        <v>0.0</v>
      </c>
    </row>
    <row r="33646">
      <c r="Y33646" s="372">
        <v>0.0</v>
      </c>
      <c r="Z33646" s="372">
        <v>0.0</v>
      </c>
    </row>
    <row r="33647">
      <c r="Y33647" s="372">
        <v>0.0</v>
      </c>
      <c r="Z33647" s="372">
        <v>0.0</v>
      </c>
    </row>
    <row r="33648">
      <c r="Y33648" s="372">
        <v>0.0</v>
      </c>
      <c r="Z33648" s="372">
        <v>0.0</v>
      </c>
    </row>
    <row r="33649">
      <c r="Y33649" s="372">
        <v>0.0</v>
      </c>
      <c r="Z33649" s="372">
        <v>0.0</v>
      </c>
    </row>
    <row r="33650">
      <c r="Y33650" s="372">
        <v>0.0</v>
      </c>
      <c r="Z33650" s="372">
        <v>0.0</v>
      </c>
    </row>
    <row r="33651">
      <c r="Y33651" s="372">
        <v>0.0</v>
      </c>
      <c r="Z33651" s="372">
        <v>0.0</v>
      </c>
    </row>
    <row r="33652">
      <c r="Y33652" s="372">
        <v>0.0</v>
      </c>
      <c r="Z33652" s="372">
        <v>0.0</v>
      </c>
    </row>
    <row r="33653">
      <c r="Y33653" s="372">
        <v>0.0</v>
      </c>
      <c r="Z33653" s="372">
        <v>0.0</v>
      </c>
    </row>
    <row r="33654">
      <c r="Y33654" s="372">
        <v>0.0</v>
      </c>
      <c r="Z33654" s="372">
        <v>0.0</v>
      </c>
    </row>
    <row r="33655">
      <c r="Y33655" s="372">
        <v>0.0</v>
      </c>
      <c r="Z33655" s="372">
        <v>0.0</v>
      </c>
    </row>
    <row r="33656">
      <c r="Y33656" s="372">
        <v>0.0</v>
      </c>
      <c r="Z33656" s="372">
        <v>0.0</v>
      </c>
    </row>
    <row r="33657">
      <c r="Y33657" s="372">
        <v>0.0</v>
      </c>
      <c r="Z33657" s="372">
        <v>0.0</v>
      </c>
    </row>
    <row r="33658">
      <c r="Y33658" s="372">
        <v>0.0</v>
      </c>
      <c r="Z33658" s="372">
        <v>0.0</v>
      </c>
    </row>
    <row r="33659">
      <c r="Y33659" s="372">
        <v>0.0</v>
      </c>
      <c r="Z33659" s="372">
        <v>0.0</v>
      </c>
    </row>
    <row r="33660">
      <c r="Y33660" s="372">
        <v>0.0</v>
      </c>
      <c r="Z33660" s="372">
        <v>0.0</v>
      </c>
    </row>
    <row r="33661">
      <c r="Y33661" s="372">
        <v>0.0</v>
      </c>
      <c r="Z33661" s="372">
        <v>0.0</v>
      </c>
    </row>
    <row r="33662">
      <c r="Y33662" s="372">
        <v>0.0</v>
      </c>
      <c r="Z33662" s="372">
        <v>0.0</v>
      </c>
    </row>
    <row r="33663">
      <c r="Y33663" s="372">
        <v>0.0</v>
      </c>
      <c r="Z33663" s="372">
        <v>0.0</v>
      </c>
    </row>
    <row r="33664">
      <c r="Y33664" s="372">
        <v>0.0</v>
      </c>
      <c r="Z33664" s="372">
        <v>0.0</v>
      </c>
    </row>
    <row r="33665">
      <c r="Y33665" s="372">
        <v>0.0</v>
      </c>
      <c r="Z33665" s="372">
        <v>0.0</v>
      </c>
    </row>
    <row r="33666">
      <c r="Y33666" s="372">
        <v>0.0</v>
      </c>
      <c r="Z33666" s="372">
        <v>0.0</v>
      </c>
    </row>
    <row r="33667">
      <c r="Y33667" s="372">
        <v>0.0</v>
      </c>
      <c r="Z33667" s="372">
        <v>0.0</v>
      </c>
    </row>
    <row r="33668">
      <c r="Y33668" s="372">
        <v>0.0</v>
      </c>
      <c r="Z33668" s="372">
        <v>0.0</v>
      </c>
    </row>
    <row r="33669">
      <c r="Y33669" s="372">
        <v>0.0</v>
      </c>
      <c r="Z33669" s="372">
        <v>0.0</v>
      </c>
    </row>
    <row r="33670">
      <c r="Y33670" s="372">
        <v>0.0</v>
      </c>
      <c r="Z33670" s="372">
        <v>0.0</v>
      </c>
    </row>
    <row r="33671">
      <c r="Y33671" s="372">
        <v>0.0</v>
      </c>
      <c r="Z33671" s="372">
        <v>0.0</v>
      </c>
    </row>
    <row r="33672">
      <c r="Y33672" s="372">
        <v>0.0</v>
      </c>
      <c r="Z33672" s="372">
        <v>0.0</v>
      </c>
    </row>
    <row r="33673">
      <c r="Y33673" s="372">
        <v>0.0</v>
      </c>
      <c r="Z33673" s="372">
        <v>0.0</v>
      </c>
    </row>
    <row r="33674">
      <c r="Y33674" s="372">
        <v>0.0</v>
      </c>
      <c r="Z33674" s="372">
        <v>0.0</v>
      </c>
    </row>
    <row r="33675">
      <c r="Y33675" s="372">
        <v>0.0</v>
      </c>
      <c r="Z33675" s="372">
        <v>0.0</v>
      </c>
    </row>
    <row r="33676">
      <c r="Y33676" s="372">
        <v>0.0</v>
      </c>
      <c r="Z33676" s="372">
        <v>0.0</v>
      </c>
    </row>
    <row r="33677">
      <c r="Y33677" s="372">
        <v>0.0</v>
      </c>
      <c r="Z33677" s="372">
        <v>0.0</v>
      </c>
    </row>
    <row r="33678">
      <c r="Y33678" s="372">
        <v>0.0</v>
      </c>
      <c r="Z33678" s="372">
        <v>0.0</v>
      </c>
    </row>
    <row r="33679">
      <c r="Y33679" s="372">
        <v>0.0</v>
      </c>
      <c r="Z33679" s="372">
        <v>0.0</v>
      </c>
    </row>
    <row r="33680">
      <c r="Y33680" s="372">
        <v>0.0</v>
      </c>
      <c r="Z33680" s="372">
        <v>0.0</v>
      </c>
    </row>
    <row r="33681">
      <c r="Y33681" s="372">
        <v>0.0</v>
      </c>
      <c r="Z33681" s="372">
        <v>0.0</v>
      </c>
    </row>
    <row r="33682">
      <c r="Y33682" s="372">
        <v>0.0</v>
      </c>
      <c r="Z33682" s="372">
        <v>0.0</v>
      </c>
    </row>
    <row r="33683">
      <c r="Y33683" s="372">
        <v>0.0</v>
      </c>
      <c r="Z33683" s="372">
        <v>0.0</v>
      </c>
    </row>
    <row r="33684">
      <c r="Y33684" s="372">
        <v>0.0</v>
      </c>
      <c r="Z33684" s="372">
        <v>0.0</v>
      </c>
    </row>
    <row r="33685">
      <c r="Y33685" s="372">
        <v>0.0</v>
      </c>
      <c r="Z33685" s="372">
        <v>0.0</v>
      </c>
    </row>
    <row r="33686">
      <c r="Y33686" s="372">
        <v>0.0</v>
      </c>
      <c r="Z33686" s="372">
        <v>0.0</v>
      </c>
    </row>
    <row r="33687">
      <c r="Y33687" s="372">
        <v>0.0</v>
      </c>
      <c r="Z33687" s="372">
        <v>0.0</v>
      </c>
    </row>
    <row r="33688">
      <c r="Y33688" s="372">
        <v>0.0</v>
      </c>
      <c r="Z33688" s="372">
        <v>0.0</v>
      </c>
    </row>
    <row r="33689">
      <c r="Y33689" s="372">
        <v>0.0</v>
      </c>
      <c r="Z33689" s="372">
        <v>0.0</v>
      </c>
    </row>
    <row r="33690">
      <c r="Y33690" s="372">
        <v>0.0</v>
      </c>
      <c r="Z33690" s="372">
        <v>0.0</v>
      </c>
    </row>
    <row r="33691">
      <c r="Y33691" s="372">
        <v>0.0</v>
      </c>
      <c r="Z33691" s="372">
        <v>0.0</v>
      </c>
    </row>
    <row r="33692">
      <c r="Y33692" s="372">
        <v>0.0</v>
      </c>
      <c r="Z33692" s="372">
        <v>0.0</v>
      </c>
    </row>
    <row r="33693">
      <c r="Y33693" s="372">
        <v>0.0</v>
      </c>
      <c r="Z33693" s="372">
        <v>0.0</v>
      </c>
    </row>
    <row r="33694">
      <c r="Y33694" s="372">
        <v>0.0</v>
      </c>
      <c r="Z33694" s="372">
        <v>0.0</v>
      </c>
    </row>
    <row r="33695">
      <c r="Y33695" s="372">
        <v>0.0</v>
      </c>
      <c r="Z33695" s="372">
        <v>0.0</v>
      </c>
    </row>
    <row r="33696">
      <c r="Y33696" s="372">
        <v>0.0</v>
      </c>
      <c r="Z33696" s="372">
        <v>0.0</v>
      </c>
    </row>
    <row r="33697">
      <c r="Y33697" s="372">
        <v>0.0</v>
      </c>
      <c r="Z33697" s="372">
        <v>0.0</v>
      </c>
    </row>
    <row r="33698">
      <c r="Y33698" s="372">
        <v>0.0</v>
      </c>
      <c r="Z33698" s="372">
        <v>0.0</v>
      </c>
    </row>
    <row r="33699">
      <c r="Y33699" s="372">
        <v>0.0</v>
      </c>
      <c r="Z33699" s="372">
        <v>0.0</v>
      </c>
    </row>
    <row r="33700">
      <c r="Y33700" s="372">
        <v>0.0</v>
      </c>
      <c r="Z33700" s="372">
        <v>0.0</v>
      </c>
    </row>
    <row r="33701">
      <c r="Y33701" s="372">
        <v>0.0</v>
      </c>
      <c r="Z33701" s="372">
        <v>0.0</v>
      </c>
    </row>
    <row r="33702">
      <c r="Y33702" s="372">
        <v>0.0</v>
      </c>
      <c r="Z33702" s="372">
        <v>0.0</v>
      </c>
    </row>
    <row r="33703">
      <c r="Y33703" s="372">
        <v>0.0</v>
      </c>
      <c r="Z33703" s="372">
        <v>0.0</v>
      </c>
    </row>
    <row r="33704">
      <c r="Y33704" s="372">
        <v>0.0</v>
      </c>
      <c r="Z33704" s="372">
        <v>0.0</v>
      </c>
    </row>
    <row r="33705">
      <c r="Y33705" s="372">
        <v>0.0</v>
      </c>
      <c r="Z33705" s="372">
        <v>0.0</v>
      </c>
    </row>
    <row r="33706">
      <c r="Y33706" s="372">
        <v>0.0</v>
      </c>
      <c r="Z33706" s="372">
        <v>0.0</v>
      </c>
    </row>
    <row r="33707">
      <c r="Y33707" s="372">
        <v>0.0</v>
      </c>
      <c r="Z33707" s="372">
        <v>0.0</v>
      </c>
    </row>
    <row r="33708">
      <c r="Y33708" s="372">
        <v>0.0</v>
      </c>
      <c r="Z33708" s="372">
        <v>0.0</v>
      </c>
    </row>
    <row r="33709">
      <c r="Y33709" s="372">
        <v>0.0</v>
      </c>
      <c r="Z33709" s="372">
        <v>0.0</v>
      </c>
    </row>
    <row r="33710">
      <c r="Y33710" s="372">
        <v>0.0</v>
      </c>
      <c r="Z33710" s="372">
        <v>0.0</v>
      </c>
    </row>
    <row r="33711">
      <c r="Y33711" s="372">
        <v>0.0</v>
      </c>
      <c r="Z33711" s="372">
        <v>0.0</v>
      </c>
    </row>
    <row r="33712">
      <c r="Y33712" s="372">
        <v>0.0</v>
      </c>
      <c r="Z33712" s="372">
        <v>0.0</v>
      </c>
    </row>
    <row r="33713">
      <c r="Y33713" s="372">
        <v>0.0</v>
      </c>
      <c r="Z33713" s="372">
        <v>0.0</v>
      </c>
    </row>
    <row r="33714">
      <c r="Y33714" s="372">
        <v>0.0</v>
      </c>
      <c r="Z33714" s="372">
        <v>0.0</v>
      </c>
    </row>
    <row r="33715">
      <c r="Y33715" s="372">
        <v>0.0</v>
      </c>
      <c r="Z33715" s="372">
        <v>0.0</v>
      </c>
    </row>
    <row r="33716">
      <c r="Y33716" s="372">
        <v>0.0</v>
      </c>
      <c r="Z33716" s="372">
        <v>0.0</v>
      </c>
    </row>
    <row r="33717">
      <c r="Y33717" s="372">
        <v>0.0</v>
      </c>
      <c r="Z33717" s="372">
        <v>0.0</v>
      </c>
    </row>
    <row r="33718">
      <c r="Y33718" s="372">
        <v>0.0</v>
      </c>
      <c r="Z33718" s="372">
        <v>0.0</v>
      </c>
    </row>
    <row r="33719">
      <c r="Y33719" s="372">
        <v>0.0</v>
      </c>
      <c r="Z33719" s="372">
        <v>0.0</v>
      </c>
    </row>
    <row r="33720">
      <c r="Y33720" s="372">
        <v>0.0</v>
      </c>
      <c r="Z33720" s="372">
        <v>0.0</v>
      </c>
    </row>
    <row r="33721">
      <c r="Y33721" s="372">
        <v>0.0</v>
      </c>
      <c r="Z33721" s="372">
        <v>0.0</v>
      </c>
    </row>
    <row r="33722">
      <c r="Y33722" s="372">
        <v>0.0</v>
      </c>
      <c r="Z33722" s="372">
        <v>0.0</v>
      </c>
    </row>
    <row r="33723">
      <c r="Y33723" s="372">
        <v>0.0</v>
      </c>
      <c r="Z33723" s="372">
        <v>0.0</v>
      </c>
    </row>
    <row r="33724">
      <c r="Y33724" s="372">
        <v>0.0</v>
      </c>
      <c r="Z33724" s="372">
        <v>0.0</v>
      </c>
    </row>
    <row r="33725">
      <c r="Y33725" s="372">
        <v>0.0</v>
      </c>
      <c r="Z33725" s="372">
        <v>0.0</v>
      </c>
    </row>
    <row r="33726">
      <c r="Y33726" s="372">
        <v>0.0</v>
      </c>
      <c r="Z33726" s="372">
        <v>0.0</v>
      </c>
    </row>
    <row r="33727">
      <c r="Y33727" s="372">
        <v>0.0</v>
      </c>
      <c r="Z33727" s="372">
        <v>0.0</v>
      </c>
    </row>
    <row r="33728">
      <c r="Y33728" s="372">
        <v>0.0</v>
      </c>
      <c r="Z33728" s="372">
        <v>0.0</v>
      </c>
    </row>
    <row r="33729">
      <c r="Y33729" s="372">
        <v>0.0</v>
      </c>
      <c r="Z33729" s="372">
        <v>0.0</v>
      </c>
    </row>
    <row r="33730">
      <c r="Y33730" s="372">
        <v>0.0</v>
      </c>
      <c r="Z33730" s="372">
        <v>0.0</v>
      </c>
    </row>
    <row r="33731">
      <c r="Y33731" s="372">
        <v>0.0</v>
      </c>
      <c r="Z33731" s="372">
        <v>0.0</v>
      </c>
    </row>
    <row r="33732">
      <c r="Y33732" s="372">
        <v>0.0</v>
      </c>
      <c r="Z33732" s="372">
        <v>0.0</v>
      </c>
    </row>
    <row r="33733">
      <c r="Y33733" s="372">
        <v>0.0</v>
      </c>
      <c r="Z33733" s="372">
        <v>0.0</v>
      </c>
    </row>
    <row r="33734">
      <c r="Y33734" s="372">
        <v>0.0</v>
      </c>
      <c r="Z33734" s="372">
        <v>0.0</v>
      </c>
    </row>
    <row r="33735">
      <c r="Y33735" s="372">
        <v>0.0</v>
      </c>
      <c r="Z33735" s="372">
        <v>0.0</v>
      </c>
    </row>
    <row r="33736">
      <c r="Y33736" s="372">
        <v>0.0</v>
      </c>
      <c r="Z33736" s="372">
        <v>0.0</v>
      </c>
    </row>
    <row r="33737">
      <c r="Y33737" s="372">
        <v>0.0</v>
      </c>
      <c r="Z33737" s="372">
        <v>0.0</v>
      </c>
    </row>
    <row r="33738">
      <c r="Y33738" s="372">
        <v>0.0</v>
      </c>
      <c r="Z33738" s="372">
        <v>0.0</v>
      </c>
    </row>
    <row r="33739">
      <c r="Y33739" s="372">
        <v>0.0</v>
      </c>
      <c r="Z33739" s="372">
        <v>0.0</v>
      </c>
    </row>
    <row r="33740">
      <c r="Y33740" s="372">
        <v>0.0</v>
      </c>
      <c r="Z33740" s="372">
        <v>0.0</v>
      </c>
    </row>
    <row r="33741">
      <c r="Y33741" s="372">
        <v>0.0</v>
      </c>
      <c r="Z33741" s="372">
        <v>0.0</v>
      </c>
    </row>
    <row r="33742">
      <c r="Y33742" s="372">
        <v>0.0</v>
      </c>
      <c r="Z33742" s="372">
        <v>0.0</v>
      </c>
    </row>
    <row r="33743">
      <c r="Y33743" s="372">
        <v>0.0</v>
      </c>
      <c r="Z33743" s="372">
        <v>0.0</v>
      </c>
    </row>
    <row r="33744">
      <c r="Y33744" s="372">
        <v>0.0</v>
      </c>
      <c r="Z33744" s="372">
        <v>0.0</v>
      </c>
    </row>
    <row r="33745">
      <c r="Y33745" s="372">
        <v>0.0</v>
      </c>
      <c r="Z33745" s="372">
        <v>0.0</v>
      </c>
    </row>
    <row r="33746">
      <c r="Y33746" s="372">
        <v>0.0</v>
      </c>
      <c r="Z33746" s="372">
        <v>0.0</v>
      </c>
    </row>
    <row r="33747">
      <c r="Y33747" s="372">
        <v>0.0</v>
      </c>
      <c r="Z33747" s="372">
        <v>0.0</v>
      </c>
    </row>
    <row r="33748">
      <c r="Y33748" s="372">
        <v>0.0</v>
      </c>
      <c r="Z33748" s="372">
        <v>0.0</v>
      </c>
    </row>
    <row r="33749">
      <c r="Y33749" s="372">
        <v>0.0</v>
      </c>
      <c r="Z33749" s="372">
        <v>0.0</v>
      </c>
    </row>
    <row r="33750">
      <c r="Y33750" s="372">
        <v>0.0</v>
      </c>
      <c r="Z33750" s="372">
        <v>0.0</v>
      </c>
    </row>
    <row r="33751">
      <c r="Y33751" s="372">
        <v>0.0</v>
      </c>
      <c r="Z33751" s="372">
        <v>0.0</v>
      </c>
    </row>
    <row r="33752">
      <c r="Y33752" s="372">
        <v>0.0</v>
      </c>
      <c r="Z33752" s="372">
        <v>0.0</v>
      </c>
    </row>
    <row r="33753">
      <c r="Y33753" s="372">
        <v>0.0</v>
      </c>
      <c r="Z33753" s="372">
        <v>0.0</v>
      </c>
    </row>
    <row r="33754">
      <c r="Y33754" s="372">
        <v>0.0</v>
      </c>
      <c r="Z33754" s="372">
        <v>0.0</v>
      </c>
    </row>
    <row r="33755">
      <c r="Y33755" s="372">
        <v>0.0</v>
      </c>
      <c r="Z33755" s="372">
        <v>0.0</v>
      </c>
    </row>
    <row r="33756">
      <c r="Y33756" s="372">
        <v>0.0</v>
      </c>
      <c r="Z33756" s="372">
        <v>0.0</v>
      </c>
    </row>
    <row r="33757">
      <c r="Y33757" s="372">
        <v>0.0</v>
      </c>
      <c r="Z33757" s="372">
        <v>0.0</v>
      </c>
    </row>
    <row r="33758">
      <c r="Y33758" s="372">
        <v>0.0</v>
      </c>
      <c r="Z33758" s="372">
        <v>0.0</v>
      </c>
    </row>
    <row r="33759">
      <c r="Y33759" s="372">
        <v>0.0</v>
      </c>
      <c r="Z33759" s="372">
        <v>0.0</v>
      </c>
    </row>
    <row r="33760">
      <c r="Y33760" s="372">
        <v>0.0</v>
      </c>
      <c r="Z33760" s="372">
        <v>0.0</v>
      </c>
    </row>
    <row r="33761">
      <c r="Y33761" s="372">
        <v>0.0</v>
      </c>
      <c r="Z33761" s="372">
        <v>0.0</v>
      </c>
    </row>
    <row r="33762">
      <c r="Y33762" s="372">
        <v>0.0</v>
      </c>
      <c r="Z33762" s="372">
        <v>0.0</v>
      </c>
    </row>
    <row r="33763">
      <c r="Y33763" s="372">
        <v>0.0</v>
      </c>
      <c r="Z33763" s="372">
        <v>0.0</v>
      </c>
    </row>
    <row r="33764">
      <c r="Y33764" s="372">
        <v>0.0</v>
      </c>
      <c r="Z33764" s="372">
        <v>0.0</v>
      </c>
    </row>
    <row r="33765">
      <c r="Y33765" s="372">
        <v>0.0</v>
      </c>
      <c r="Z33765" s="372">
        <v>0.0</v>
      </c>
    </row>
    <row r="33766">
      <c r="Y33766" s="372">
        <v>0.0</v>
      </c>
      <c r="Z33766" s="372">
        <v>0.0</v>
      </c>
    </row>
    <row r="33767">
      <c r="Y33767" s="372">
        <v>0.0</v>
      </c>
      <c r="Z33767" s="372">
        <v>0.0</v>
      </c>
    </row>
    <row r="33768">
      <c r="Y33768" s="372">
        <v>0.0</v>
      </c>
      <c r="Z33768" s="372">
        <v>0.0</v>
      </c>
    </row>
    <row r="33769">
      <c r="Y33769" s="372">
        <v>0.0</v>
      </c>
      <c r="Z33769" s="372">
        <v>0.0</v>
      </c>
    </row>
    <row r="33770">
      <c r="Y33770" s="372">
        <v>0.0</v>
      </c>
      <c r="Z33770" s="372">
        <v>0.0</v>
      </c>
    </row>
    <row r="33771">
      <c r="Y33771" s="372">
        <v>0.0</v>
      </c>
      <c r="Z33771" s="372">
        <v>0.0</v>
      </c>
    </row>
    <row r="33772">
      <c r="Y33772" s="372">
        <v>0.0</v>
      </c>
      <c r="Z33772" s="372">
        <v>0.0</v>
      </c>
    </row>
    <row r="33773">
      <c r="Y33773" s="372">
        <v>0.0</v>
      </c>
      <c r="Z33773" s="372">
        <v>0.0</v>
      </c>
    </row>
    <row r="33774">
      <c r="Y33774" s="372">
        <v>0.0</v>
      </c>
      <c r="Z33774" s="372">
        <v>0.0</v>
      </c>
    </row>
    <row r="33775">
      <c r="Y33775" s="372">
        <v>0.0</v>
      </c>
      <c r="Z33775" s="372">
        <v>0.0</v>
      </c>
    </row>
    <row r="33776">
      <c r="Y33776" s="372">
        <v>0.0</v>
      </c>
      <c r="Z33776" s="372">
        <v>0.0</v>
      </c>
    </row>
    <row r="33777">
      <c r="Y33777" s="372">
        <v>0.0</v>
      </c>
      <c r="Z33777" s="372">
        <v>0.0</v>
      </c>
    </row>
    <row r="33778">
      <c r="Y33778" s="372">
        <v>0.0</v>
      </c>
      <c r="Z33778" s="372">
        <v>0.0</v>
      </c>
    </row>
    <row r="33779">
      <c r="Y33779" s="372">
        <v>0.0</v>
      </c>
      <c r="Z33779" s="372">
        <v>0.0</v>
      </c>
    </row>
    <row r="33780">
      <c r="Y33780" s="372">
        <v>0.0</v>
      </c>
      <c r="Z33780" s="372">
        <v>0.0</v>
      </c>
    </row>
    <row r="33781">
      <c r="Y33781" s="372">
        <v>0.0</v>
      </c>
      <c r="Z33781" s="372">
        <v>0.0</v>
      </c>
    </row>
    <row r="33782">
      <c r="Y33782" s="372">
        <v>0.0</v>
      </c>
      <c r="Z33782" s="372">
        <v>0.0</v>
      </c>
    </row>
    <row r="33783">
      <c r="Y33783" s="372">
        <v>0.0</v>
      </c>
      <c r="Z33783" s="372">
        <v>0.0</v>
      </c>
    </row>
    <row r="33784">
      <c r="Y33784" s="372">
        <v>0.0</v>
      </c>
      <c r="Z33784" s="372">
        <v>0.0</v>
      </c>
    </row>
    <row r="33785">
      <c r="Y33785" s="372">
        <v>0.0</v>
      </c>
      <c r="Z33785" s="372">
        <v>0.0</v>
      </c>
    </row>
    <row r="33786">
      <c r="Y33786" s="372">
        <v>0.0</v>
      </c>
      <c r="Z33786" s="372">
        <v>0.0</v>
      </c>
    </row>
    <row r="33787">
      <c r="Y33787" s="372">
        <v>0.0</v>
      </c>
      <c r="Z33787" s="372">
        <v>0.0</v>
      </c>
    </row>
    <row r="33788">
      <c r="Y33788" s="372">
        <v>0.0</v>
      </c>
      <c r="Z33788" s="372">
        <v>0.0</v>
      </c>
    </row>
    <row r="33789">
      <c r="Y33789" s="372">
        <v>0.0</v>
      </c>
      <c r="Z33789" s="372">
        <v>0.0</v>
      </c>
    </row>
    <row r="33790">
      <c r="Y33790" s="372">
        <v>0.0</v>
      </c>
      <c r="Z33790" s="372">
        <v>0.0</v>
      </c>
    </row>
    <row r="33791">
      <c r="Y33791" s="372">
        <v>0.0</v>
      </c>
      <c r="Z33791" s="372">
        <v>0.0</v>
      </c>
    </row>
    <row r="33792">
      <c r="Y33792" s="372">
        <v>0.0</v>
      </c>
      <c r="Z33792" s="372">
        <v>0.0</v>
      </c>
    </row>
    <row r="33793">
      <c r="Y33793" s="372">
        <v>0.0</v>
      </c>
      <c r="Z33793" s="372">
        <v>0.0</v>
      </c>
    </row>
    <row r="33794">
      <c r="Y33794" s="372">
        <v>0.0</v>
      </c>
      <c r="Z33794" s="372">
        <v>0.0</v>
      </c>
    </row>
    <row r="33795">
      <c r="Y33795" s="372">
        <v>0.0</v>
      </c>
      <c r="Z33795" s="372">
        <v>0.0</v>
      </c>
    </row>
    <row r="33796">
      <c r="Y33796" s="372">
        <v>0.0</v>
      </c>
      <c r="Z33796" s="372">
        <v>0.0</v>
      </c>
    </row>
    <row r="33797">
      <c r="Y33797" s="372">
        <v>0.0</v>
      </c>
      <c r="Z33797" s="372">
        <v>0.0</v>
      </c>
    </row>
    <row r="33798">
      <c r="Y33798" s="372">
        <v>0.0</v>
      </c>
      <c r="Z33798" s="372">
        <v>0.0</v>
      </c>
    </row>
    <row r="33799">
      <c r="Y33799" s="372">
        <v>0.0</v>
      </c>
      <c r="Z33799" s="372">
        <v>0.0</v>
      </c>
    </row>
    <row r="33800">
      <c r="Y33800" s="372">
        <v>0.0</v>
      </c>
      <c r="Z33800" s="372">
        <v>0.0</v>
      </c>
    </row>
    <row r="33801">
      <c r="Y33801" s="372">
        <v>0.0</v>
      </c>
      <c r="Z33801" s="372">
        <v>0.0</v>
      </c>
    </row>
    <row r="33802">
      <c r="Y33802" s="372">
        <v>0.0</v>
      </c>
      <c r="Z33802" s="372">
        <v>0.0</v>
      </c>
    </row>
    <row r="33803">
      <c r="Y33803" s="372">
        <v>0.0</v>
      </c>
      <c r="Z33803" s="372">
        <v>0.0</v>
      </c>
    </row>
    <row r="33804">
      <c r="Y33804" s="372">
        <v>0.0</v>
      </c>
      <c r="Z33804" s="372">
        <v>0.0</v>
      </c>
    </row>
    <row r="33805">
      <c r="Y33805" s="372">
        <v>0.0</v>
      </c>
      <c r="Z33805" s="372">
        <v>0.0</v>
      </c>
    </row>
    <row r="33806">
      <c r="Y33806" s="372">
        <v>0.0</v>
      </c>
      <c r="Z33806" s="372">
        <v>0.0</v>
      </c>
    </row>
    <row r="33807">
      <c r="Y33807" s="372">
        <v>0.0</v>
      </c>
      <c r="Z33807" s="372">
        <v>0.0</v>
      </c>
    </row>
    <row r="33808">
      <c r="Y33808" s="372">
        <v>0.0</v>
      </c>
      <c r="Z33808" s="372">
        <v>0.0</v>
      </c>
    </row>
    <row r="33809">
      <c r="Y33809" s="372">
        <v>0.0</v>
      </c>
      <c r="Z33809" s="372">
        <v>0.0</v>
      </c>
    </row>
    <row r="33810">
      <c r="Y33810" s="372">
        <v>0.0</v>
      </c>
      <c r="Z33810" s="372">
        <v>0.0</v>
      </c>
    </row>
    <row r="33811">
      <c r="Y33811" s="372">
        <v>0.0</v>
      </c>
      <c r="Z33811" s="372">
        <v>0.0</v>
      </c>
    </row>
    <row r="33812">
      <c r="Y33812" s="372">
        <v>0.0</v>
      </c>
      <c r="Z33812" s="372">
        <v>0.0</v>
      </c>
    </row>
    <row r="33813">
      <c r="Y33813" s="372">
        <v>0.0</v>
      </c>
      <c r="Z33813" s="372">
        <v>0.0</v>
      </c>
    </row>
    <row r="33814">
      <c r="Y33814" s="372">
        <v>0.0</v>
      </c>
      <c r="Z33814" s="372">
        <v>0.0</v>
      </c>
    </row>
    <row r="33815">
      <c r="Y33815" s="372">
        <v>0.0</v>
      </c>
      <c r="Z33815" s="372">
        <v>0.0</v>
      </c>
    </row>
    <row r="33816">
      <c r="Y33816" s="372">
        <v>0.0</v>
      </c>
      <c r="Z33816" s="372">
        <v>0.0</v>
      </c>
    </row>
    <row r="33817">
      <c r="Y33817" s="372">
        <v>0.0</v>
      </c>
      <c r="Z33817" s="372">
        <v>0.0</v>
      </c>
    </row>
    <row r="33818">
      <c r="Y33818" s="372">
        <v>0.0</v>
      </c>
      <c r="Z33818" s="372">
        <v>0.0</v>
      </c>
    </row>
    <row r="33819">
      <c r="Y33819" s="372">
        <v>0.0</v>
      </c>
      <c r="Z33819" s="372">
        <v>0.0</v>
      </c>
    </row>
    <row r="33820">
      <c r="Y33820" s="372">
        <v>0.0</v>
      </c>
      <c r="Z33820" s="372">
        <v>0.0</v>
      </c>
    </row>
    <row r="33821">
      <c r="Y33821" s="372">
        <v>0.0</v>
      </c>
      <c r="Z33821" s="372">
        <v>0.0</v>
      </c>
    </row>
    <row r="33822">
      <c r="Y33822" s="372">
        <v>0.0</v>
      </c>
      <c r="Z33822" s="372">
        <v>0.0</v>
      </c>
    </row>
    <row r="33823">
      <c r="Y33823" s="372">
        <v>0.0</v>
      </c>
      <c r="Z33823" s="372">
        <v>0.0</v>
      </c>
    </row>
    <row r="33824">
      <c r="Y33824" s="372">
        <v>0.0</v>
      </c>
      <c r="Z33824" s="372">
        <v>0.0</v>
      </c>
    </row>
    <row r="33825">
      <c r="Y33825" s="372">
        <v>0.0</v>
      </c>
      <c r="Z33825" s="372">
        <v>0.0</v>
      </c>
    </row>
    <row r="33826">
      <c r="Y33826" s="372">
        <v>0.0</v>
      </c>
      <c r="Z33826" s="372">
        <v>0.0</v>
      </c>
    </row>
    <row r="33827">
      <c r="Y33827" s="372">
        <v>0.0</v>
      </c>
      <c r="Z33827" s="372">
        <v>0.0</v>
      </c>
    </row>
    <row r="33828">
      <c r="Y33828" s="372">
        <v>0.0</v>
      </c>
      <c r="Z33828" s="372">
        <v>0.0</v>
      </c>
    </row>
    <row r="33829">
      <c r="Y33829" s="372">
        <v>0.0</v>
      </c>
      <c r="Z33829" s="372">
        <v>0.0</v>
      </c>
    </row>
    <row r="33830">
      <c r="Y33830" s="372">
        <v>0.0</v>
      </c>
      <c r="Z33830" s="372">
        <v>0.0</v>
      </c>
    </row>
    <row r="33831">
      <c r="Y33831" s="372">
        <v>0.0</v>
      </c>
      <c r="Z33831" s="372">
        <v>0.0</v>
      </c>
    </row>
    <row r="33832">
      <c r="Y33832" s="372">
        <v>0.0</v>
      </c>
      <c r="Z33832" s="372">
        <v>0.0</v>
      </c>
    </row>
    <row r="33833">
      <c r="Y33833" s="372">
        <v>0.0</v>
      </c>
      <c r="Z33833" s="372">
        <v>0.0</v>
      </c>
    </row>
    <row r="33834">
      <c r="Y33834" s="372">
        <v>0.0</v>
      </c>
      <c r="Z33834" s="372">
        <v>0.0</v>
      </c>
    </row>
    <row r="33835">
      <c r="Y33835" s="372">
        <v>0.0</v>
      </c>
      <c r="Z33835" s="372">
        <v>0.0</v>
      </c>
    </row>
    <row r="33836">
      <c r="Y33836" s="372">
        <v>0.0</v>
      </c>
      <c r="Z33836" s="372">
        <v>0.0</v>
      </c>
    </row>
    <row r="33837">
      <c r="Y33837" s="372">
        <v>0.0</v>
      </c>
      <c r="Z33837" s="372">
        <v>0.0</v>
      </c>
    </row>
    <row r="33838">
      <c r="Y33838" s="372">
        <v>0.0</v>
      </c>
      <c r="Z33838" s="372">
        <v>0.0</v>
      </c>
    </row>
    <row r="33839">
      <c r="Y33839" s="372">
        <v>0.0</v>
      </c>
      <c r="Z33839" s="372">
        <v>0.0</v>
      </c>
    </row>
    <row r="33840">
      <c r="Y33840" s="372">
        <v>0.0</v>
      </c>
      <c r="Z33840" s="372">
        <v>0.0</v>
      </c>
    </row>
    <row r="33841">
      <c r="Y33841" s="372">
        <v>0.0</v>
      </c>
      <c r="Z33841" s="372">
        <v>0.0</v>
      </c>
    </row>
    <row r="33842">
      <c r="Y33842" s="372">
        <v>0.0</v>
      </c>
      <c r="Z33842" s="372">
        <v>0.0</v>
      </c>
    </row>
    <row r="33843">
      <c r="Y33843" s="372">
        <v>0.0</v>
      </c>
      <c r="Z33843" s="372">
        <v>0.0</v>
      </c>
    </row>
    <row r="33844">
      <c r="Y33844" s="372">
        <v>0.0</v>
      </c>
      <c r="Z33844" s="372">
        <v>0.0</v>
      </c>
    </row>
    <row r="33845">
      <c r="Y33845" s="372">
        <v>0.0</v>
      </c>
      <c r="Z33845" s="372">
        <v>0.0</v>
      </c>
    </row>
    <row r="33846">
      <c r="Y33846" s="372">
        <v>0.0</v>
      </c>
      <c r="Z33846" s="372">
        <v>0.0</v>
      </c>
    </row>
    <row r="33847">
      <c r="Y33847" s="372">
        <v>0.0</v>
      </c>
      <c r="Z33847" s="372">
        <v>0.0</v>
      </c>
    </row>
    <row r="33848">
      <c r="Y33848" s="372">
        <v>0.0</v>
      </c>
      <c r="Z33848" s="372">
        <v>0.0</v>
      </c>
    </row>
    <row r="33849">
      <c r="Y33849" s="372">
        <v>0.0</v>
      </c>
      <c r="Z33849" s="372">
        <v>0.0</v>
      </c>
    </row>
    <row r="33850">
      <c r="Y33850" s="372">
        <v>0.0</v>
      </c>
      <c r="Z33850" s="372">
        <v>0.0</v>
      </c>
    </row>
    <row r="33851">
      <c r="Y33851" s="372">
        <v>0.0</v>
      </c>
      <c r="Z33851" s="372">
        <v>0.0</v>
      </c>
    </row>
    <row r="33852">
      <c r="Y33852" s="372">
        <v>0.0</v>
      </c>
      <c r="Z33852" s="372">
        <v>0.0</v>
      </c>
    </row>
    <row r="33853">
      <c r="Y33853" s="372">
        <v>0.0</v>
      </c>
      <c r="Z33853" s="372">
        <v>0.0</v>
      </c>
    </row>
    <row r="33854">
      <c r="Y33854" s="372">
        <v>0.0</v>
      </c>
      <c r="Z33854" s="372">
        <v>0.0</v>
      </c>
    </row>
    <row r="33855">
      <c r="Y33855" s="372">
        <v>0.0</v>
      </c>
      <c r="Z33855" s="372">
        <v>0.0</v>
      </c>
    </row>
    <row r="33856">
      <c r="Y33856" s="372">
        <v>0.0</v>
      </c>
      <c r="Z33856" s="372">
        <v>0.0</v>
      </c>
    </row>
    <row r="33857">
      <c r="Y33857" s="372">
        <v>0.0</v>
      </c>
      <c r="Z33857" s="372">
        <v>0.0</v>
      </c>
    </row>
    <row r="33858">
      <c r="Y33858" s="372">
        <v>0.0</v>
      </c>
      <c r="Z33858" s="372">
        <v>0.0</v>
      </c>
    </row>
    <row r="33859">
      <c r="Y33859" s="372">
        <v>0.0</v>
      </c>
      <c r="Z33859" s="372">
        <v>0.0</v>
      </c>
    </row>
    <row r="33860">
      <c r="Y33860" s="372">
        <v>0.0</v>
      </c>
      <c r="Z33860" s="372">
        <v>0.0</v>
      </c>
    </row>
    <row r="33861">
      <c r="Y33861" s="372">
        <v>0.0</v>
      </c>
      <c r="Z33861" s="372">
        <v>0.0</v>
      </c>
    </row>
    <row r="33862">
      <c r="Y33862" s="372">
        <v>0.0</v>
      </c>
      <c r="Z33862" s="372">
        <v>0.0</v>
      </c>
    </row>
    <row r="33863">
      <c r="Y33863" s="372">
        <v>0.0</v>
      </c>
      <c r="Z33863" s="372">
        <v>0.0</v>
      </c>
    </row>
    <row r="33864">
      <c r="Y33864" s="372">
        <v>0.0</v>
      </c>
      <c r="Z33864" s="372">
        <v>0.0</v>
      </c>
    </row>
    <row r="33865">
      <c r="Y33865" s="372">
        <v>0.0</v>
      </c>
      <c r="Z33865" s="372">
        <v>0.0</v>
      </c>
    </row>
    <row r="33866">
      <c r="Y33866" s="372">
        <v>0.0</v>
      </c>
      <c r="Z33866" s="372">
        <v>0.0</v>
      </c>
    </row>
    <row r="33867">
      <c r="Y33867" s="372">
        <v>0.0</v>
      </c>
      <c r="Z33867" s="372">
        <v>0.0</v>
      </c>
    </row>
    <row r="33868">
      <c r="Y33868" s="372">
        <v>0.0</v>
      </c>
      <c r="Z33868" s="372">
        <v>0.0</v>
      </c>
    </row>
    <row r="33869">
      <c r="Y33869" s="372">
        <v>0.0</v>
      </c>
      <c r="Z33869" s="372">
        <v>0.0</v>
      </c>
    </row>
    <row r="33870">
      <c r="Y33870" s="372">
        <v>0.0</v>
      </c>
      <c r="Z33870" s="372">
        <v>0.0</v>
      </c>
    </row>
    <row r="33871">
      <c r="Y33871" s="372">
        <v>0.0</v>
      </c>
      <c r="Z33871" s="372">
        <v>0.0</v>
      </c>
    </row>
    <row r="33872">
      <c r="Y33872" s="372">
        <v>0.0</v>
      </c>
      <c r="Z33872" s="372">
        <v>0.0</v>
      </c>
    </row>
    <row r="33873">
      <c r="Y33873" s="372">
        <v>0.0</v>
      </c>
      <c r="Z33873" s="372">
        <v>0.0</v>
      </c>
    </row>
    <row r="33874">
      <c r="Y33874" s="372">
        <v>0.0</v>
      </c>
      <c r="Z33874" s="372">
        <v>0.0</v>
      </c>
    </row>
    <row r="33875">
      <c r="Y33875" s="372">
        <v>0.0</v>
      </c>
      <c r="Z33875" s="372">
        <v>0.0</v>
      </c>
    </row>
    <row r="33876">
      <c r="Y33876" s="372">
        <v>0.0</v>
      </c>
      <c r="Z33876" s="372">
        <v>0.0</v>
      </c>
    </row>
    <row r="33877">
      <c r="Y33877" s="372">
        <v>0.0</v>
      </c>
      <c r="Z33877" s="372">
        <v>0.0</v>
      </c>
    </row>
    <row r="33878">
      <c r="Y33878" s="372">
        <v>0.0</v>
      </c>
      <c r="Z33878" s="372">
        <v>0.0</v>
      </c>
    </row>
    <row r="33879">
      <c r="Y33879" s="372">
        <v>0.0</v>
      </c>
      <c r="Z33879" s="372">
        <v>0.0</v>
      </c>
    </row>
    <row r="33880">
      <c r="Y33880" s="372">
        <v>0.0</v>
      </c>
      <c r="Z33880" s="372">
        <v>0.0</v>
      </c>
    </row>
    <row r="33881">
      <c r="Y33881" s="372">
        <v>0.0</v>
      </c>
      <c r="Z33881" s="372">
        <v>0.0</v>
      </c>
    </row>
    <row r="33882">
      <c r="Y33882" s="372">
        <v>0.0</v>
      </c>
      <c r="Z33882" s="372">
        <v>0.0</v>
      </c>
    </row>
    <row r="33883">
      <c r="Y33883" s="372">
        <v>0.0</v>
      </c>
      <c r="Z33883" s="372">
        <v>0.0</v>
      </c>
    </row>
    <row r="33884">
      <c r="Y33884" s="372">
        <v>0.0</v>
      </c>
      <c r="Z33884" s="372">
        <v>0.0</v>
      </c>
    </row>
    <row r="33885">
      <c r="Y33885" s="372">
        <v>0.0</v>
      </c>
      <c r="Z33885" s="372">
        <v>0.0</v>
      </c>
    </row>
    <row r="33886">
      <c r="Y33886" s="372">
        <v>0.0</v>
      </c>
      <c r="Z33886" s="372">
        <v>0.0</v>
      </c>
    </row>
    <row r="33887">
      <c r="Y33887" s="372">
        <v>0.0</v>
      </c>
      <c r="Z33887" s="372">
        <v>0.0</v>
      </c>
    </row>
    <row r="33888">
      <c r="Y33888" s="372">
        <v>0.0</v>
      </c>
      <c r="Z33888" s="372">
        <v>0.0</v>
      </c>
    </row>
    <row r="33889">
      <c r="Y33889" s="372">
        <v>0.0</v>
      </c>
      <c r="Z33889" s="372">
        <v>0.0</v>
      </c>
    </row>
    <row r="33890">
      <c r="Y33890" s="372">
        <v>0.0</v>
      </c>
      <c r="Z33890" s="372">
        <v>0.0</v>
      </c>
    </row>
    <row r="33891">
      <c r="Y33891" s="372">
        <v>0.0</v>
      </c>
      <c r="Z33891" s="372">
        <v>0.0</v>
      </c>
    </row>
    <row r="33892">
      <c r="Y33892" s="372">
        <v>0.0</v>
      </c>
      <c r="Z33892" s="372">
        <v>0.0</v>
      </c>
    </row>
    <row r="33893">
      <c r="Y33893" s="372">
        <v>0.0</v>
      </c>
      <c r="Z33893" s="372">
        <v>0.0</v>
      </c>
    </row>
    <row r="33894">
      <c r="Y33894" s="372">
        <v>0.0</v>
      </c>
      <c r="Z33894" s="372">
        <v>0.0</v>
      </c>
    </row>
    <row r="33895">
      <c r="Y33895" s="372">
        <v>0.0</v>
      </c>
      <c r="Z33895" s="372">
        <v>0.0</v>
      </c>
    </row>
    <row r="33896">
      <c r="Y33896" s="372">
        <v>0.0</v>
      </c>
      <c r="Z33896" s="372">
        <v>0.0</v>
      </c>
    </row>
    <row r="33897">
      <c r="Y33897" s="372">
        <v>0.0</v>
      </c>
      <c r="Z33897" s="372">
        <v>0.0</v>
      </c>
    </row>
    <row r="33898">
      <c r="Y33898" s="372">
        <v>0.0</v>
      </c>
      <c r="Z33898" s="372">
        <v>0.0</v>
      </c>
    </row>
    <row r="33899">
      <c r="Y33899" s="372">
        <v>0.0</v>
      </c>
      <c r="Z33899" s="372">
        <v>0.0</v>
      </c>
    </row>
    <row r="33900">
      <c r="Y33900" s="372">
        <v>0.0</v>
      </c>
      <c r="Z33900" s="372">
        <v>0.0</v>
      </c>
    </row>
    <row r="33901">
      <c r="Y33901" s="372">
        <v>0.0</v>
      </c>
      <c r="Z33901" s="372">
        <v>0.0</v>
      </c>
    </row>
    <row r="33902">
      <c r="Y33902" s="372">
        <v>0.0</v>
      </c>
      <c r="Z33902" s="372">
        <v>0.0</v>
      </c>
    </row>
    <row r="33903">
      <c r="Y33903" s="372">
        <v>0.0</v>
      </c>
      <c r="Z33903" s="372">
        <v>0.0</v>
      </c>
    </row>
    <row r="33904">
      <c r="Y33904" s="372">
        <v>0.0</v>
      </c>
      <c r="Z33904" s="372">
        <v>0.0</v>
      </c>
    </row>
    <row r="33905">
      <c r="Y33905" s="372">
        <v>0.0</v>
      </c>
      <c r="Z33905" s="372">
        <v>0.0</v>
      </c>
    </row>
    <row r="33906">
      <c r="Y33906" s="372">
        <v>0.0</v>
      </c>
      <c r="Z33906" s="372">
        <v>0.0</v>
      </c>
    </row>
    <row r="33907">
      <c r="Y33907" s="372">
        <v>0.0</v>
      </c>
      <c r="Z33907" s="372">
        <v>0.0</v>
      </c>
    </row>
    <row r="33908">
      <c r="Y33908" s="372">
        <v>0.0</v>
      </c>
      <c r="Z33908" s="372">
        <v>0.0</v>
      </c>
    </row>
    <row r="33909">
      <c r="Y33909" s="372">
        <v>0.0</v>
      </c>
      <c r="Z33909" s="372">
        <v>0.0</v>
      </c>
    </row>
    <row r="33910">
      <c r="Y33910" s="372">
        <v>0.0</v>
      </c>
      <c r="Z33910" s="372">
        <v>0.0</v>
      </c>
    </row>
    <row r="33911">
      <c r="Y33911" s="372">
        <v>0.0</v>
      </c>
      <c r="Z33911" s="372">
        <v>0.0</v>
      </c>
    </row>
    <row r="33912">
      <c r="Y33912" s="372">
        <v>0.0</v>
      </c>
      <c r="Z33912" s="372">
        <v>0.0</v>
      </c>
    </row>
    <row r="33913">
      <c r="Y33913" s="372">
        <v>0.0</v>
      </c>
      <c r="Z33913" s="372">
        <v>0.0</v>
      </c>
    </row>
    <row r="33914">
      <c r="Y33914" s="372">
        <v>0.0</v>
      </c>
      <c r="Z33914" s="372">
        <v>0.0</v>
      </c>
    </row>
    <row r="33915">
      <c r="Y33915" s="372">
        <v>0.0</v>
      </c>
      <c r="Z33915" s="372">
        <v>0.0</v>
      </c>
    </row>
    <row r="33916">
      <c r="Y33916" s="372">
        <v>0.0</v>
      </c>
      <c r="Z33916" s="372">
        <v>0.0</v>
      </c>
    </row>
    <row r="33917">
      <c r="Y33917" s="372">
        <v>0.0</v>
      </c>
      <c r="Z33917" s="372">
        <v>0.0</v>
      </c>
    </row>
    <row r="33918">
      <c r="Y33918" s="372">
        <v>0.0</v>
      </c>
      <c r="Z33918" s="372">
        <v>0.0</v>
      </c>
    </row>
    <row r="33919">
      <c r="Y33919" s="372">
        <v>0.0</v>
      </c>
      <c r="Z33919" s="372">
        <v>0.0</v>
      </c>
    </row>
    <row r="33920">
      <c r="Y33920" s="372">
        <v>0.0</v>
      </c>
      <c r="Z33920" s="372">
        <v>0.0</v>
      </c>
    </row>
    <row r="33921">
      <c r="Y33921" s="372">
        <v>0.0</v>
      </c>
      <c r="Z33921" s="372">
        <v>0.0</v>
      </c>
    </row>
    <row r="33922">
      <c r="Y33922" s="372">
        <v>0.0</v>
      </c>
      <c r="Z33922" s="372">
        <v>0.0</v>
      </c>
    </row>
    <row r="33923">
      <c r="Y33923" s="372">
        <v>0.0</v>
      </c>
      <c r="Z33923" s="372">
        <v>0.0</v>
      </c>
    </row>
    <row r="33924">
      <c r="Y33924" s="372">
        <v>0.0</v>
      </c>
      <c r="Z33924" s="372">
        <v>0.0</v>
      </c>
    </row>
    <row r="33925">
      <c r="Y33925" s="372">
        <v>0.0</v>
      </c>
      <c r="Z33925" s="372">
        <v>0.0</v>
      </c>
    </row>
    <row r="33926">
      <c r="Y33926" s="372">
        <v>0.0</v>
      </c>
      <c r="Z33926" s="372">
        <v>0.0</v>
      </c>
    </row>
    <row r="33927">
      <c r="Y33927" s="372">
        <v>0.0</v>
      </c>
      <c r="Z33927" s="372">
        <v>0.0</v>
      </c>
    </row>
    <row r="33928">
      <c r="Y33928" s="372">
        <v>0.0</v>
      </c>
      <c r="Z33928" s="372">
        <v>0.0</v>
      </c>
    </row>
    <row r="33929">
      <c r="Y33929" s="372">
        <v>0.0</v>
      </c>
      <c r="Z33929" s="372">
        <v>0.0</v>
      </c>
    </row>
    <row r="33930">
      <c r="Y33930" s="372">
        <v>0.0</v>
      </c>
      <c r="Z33930" s="372">
        <v>0.0</v>
      </c>
    </row>
    <row r="33931">
      <c r="Y33931" s="372">
        <v>0.0</v>
      </c>
      <c r="Z33931" s="372">
        <v>0.0</v>
      </c>
    </row>
    <row r="33932">
      <c r="Y33932" s="372">
        <v>0.0</v>
      </c>
      <c r="Z33932" s="372">
        <v>0.0</v>
      </c>
    </row>
    <row r="33933">
      <c r="Y33933" s="372">
        <v>0.0</v>
      </c>
      <c r="Z33933" s="372">
        <v>0.0</v>
      </c>
    </row>
    <row r="33934">
      <c r="Y33934" s="372">
        <v>0.0</v>
      </c>
      <c r="Z33934" s="372">
        <v>0.0</v>
      </c>
    </row>
    <row r="33935">
      <c r="Y33935" s="372">
        <v>0.0</v>
      </c>
      <c r="Z33935" s="372">
        <v>0.0</v>
      </c>
    </row>
    <row r="33936">
      <c r="Y33936" s="372">
        <v>0.0</v>
      </c>
      <c r="Z33936" s="372">
        <v>0.0</v>
      </c>
    </row>
    <row r="33937">
      <c r="Y33937" s="372">
        <v>0.0</v>
      </c>
      <c r="Z33937" s="372">
        <v>0.0</v>
      </c>
    </row>
    <row r="33938">
      <c r="Y33938" s="372">
        <v>0.0</v>
      </c>
      <c r="Z33938" s="372">
        <v>0.0</v>
      </c>
    </row>
    <row r="33939">
      <c r="Y33939" s="372">
        <v>0.0</v>
      </c>
      <c r="Z33939" s="372">
        <v>0.0</v>
      </c>
    </row>
    <row r="33940">
      <c r="Y33940" s="372">
        <v>0.0</v>
      </c>
      <c r="Z33940" s="372">
        <v>0.0</v>
      </c>
    </row>
    <row r="33941">
      <c r="Y33941" s="372">
        <v>0.0</v>
      </c>
      <c r="Z33941" s="372">
        <v>0.0</v>
      </c>
    </row>
    <row r="33942">
      <c r="Y33942" s="372">
        <v>0.0</v>
      </c>
      <c r="Z33942" s="372">
        <v>0.0</v>
      </c>
    </row>
    <row r="33943">
      <c r="Y33943" s="372">
        <v>0.0</v>
      </c>
      <c r="Z33943" s="372">
        <v>0.0</v>
      </c>
    </row>
    <row r="33944">
      <c r="Y33944" s="372">
        <v>0.0</v>
      </c>
      <c r="Z33944" s="372">
        <v>0.0</v>
      </c>
    </row>
    <row r="33945">
      <c r="Y33945" s="372">
        <v>0.0</v>
      </c>
      <c r="Z33945" s="372">
        <v>0.0</v>
      </c>
    </row>
    <row r="33946">
      <c r="Y33946" s="372">
        <v>0.0</v>
      </c>
      <c r="Z33946" s="372">
        <v>0.0</v>
      </c>
    </row>
    <row r="33947">
      <c r="Y33947" s="372">
        <v>0.0</v>
      </c>
      <c r="Z33947" s="372">
        <v>0.0</v>
      </c>
    </row>
    <row r="33948">
      <c r="Y33948" s="372">
        <v>0.0</v>
      </c>
      <c r="Z33948" s="372">
        <v>0.0</v>
      </c>
    </row>
    <row r="33949">
      <c r="Y33949" s="372">
        <v>0.0</v>
      </c>
      <c r="Z33949" s="372">
        <v>0.0</v>
      </c>
    </row>
    <row r="33950">
      <c r="Y33950" s="372">
        <v>0.0</v>
      </c>
      <c r="Z33950" s="372">
        <v>0.0</v>
      </c>
    </row>
    <row r="33951">
      <c r="Y33951" s="372">
        <v>0.0</v>
      </c>
      <c r="Z33951" s="372">
        <v>0.0</v>
      </c>
    </row>
    <row r="33952">
      <c r="Y33952" s="372">
        <v>0.0</v>
      </c>
      <c r="Z33952" s="372">
        <v>0.0</v>
      </c>
    </row>
    <row r="33953">
      <c r="Y33953" s="372">
        <v>0.0</v>
      </c>
      <c r="Z33953" s="372">
        <v>0.0</v>
      </c>
    </row>
    <row r="33954">
      <c r="Y33954" s="372">
        <v>0.0</v>
      </c>
      <c r="Z33954" s="372">
        <v>0.0</v>
      </c>
    </row>
    <row r="33955">
      <c r="Y33955" s="372">
        <v>0.0</v>
      </c>
      <c r="Z33955" s="372">
        <v>0.0</v>
      </c>
    </row>
    <row r="33956">
      <c r="Y33956" s="372">
        <v>0.0</v>
      </c>
      <c r="Z33956" s="372">
        <v>0.0</v>
      </c>
    </row>
    <row r="33957">
      <c r="Y33957" s="372">
        <v>0.0</v>
      </c>
      <c r="Z33957" s="372">
        <v>0.0</v>
      </c>
    </row>
    <row r="33958">
      <c r="Y33958" s="372">
        <v>0.0</v>
      </c>
      <c r="Z33958" s="372">
        <v>0.0</v>
      </c>
    </row>
    <row r="33959">
      <c r="Y33959" s="372">
        <v>0.0</v>
      </c>
      <c r="Z33959" s="372">
        <v>0.0</v>
      </c>
    </row>
    <row r="33960">
      <c r="Y33960" s="372">
        <v>0.0</v>
      </c>
      <c r="Z33960" s="372">
        <v>0.0</v>
      </c>
    </row>
    <row r="33961">
      <c r="Y33961" s="372">
        <v>0.0</v>
      </c>
      <c r="Z33961" s="372">
        <v>0.0</v>
      </c>
    </row>
    <row r="33962">
      <c r="Y33962" s="372">
        <v>0.0</v>
      </c>
      <c r="Z33962" s="372">
        <v>0.0</v>
      </c>
    </row>
    <row r="33963">
      <c r="Y33963" s="372">
        <v>0.0</v>
      </c>
      <c r="Z33963" s="372">
        <v>0.0</v>
      </c>
    </row>
    <row r="33964">
      <c r="Y33964" s="372">
        <v>0.0</v>
      </c>
      <c r="Z33964" s="372">
        <v>0.0</v>
      </c>
    </row>
    <row r="33965">
      <c r="Y33965" s="372">
        <v>0.0</v>
      </c>
      <c r="Z33965" s="372">
        <v>0.0</v>
      </c>
    </row>
    <row r="33966">
      <c r="Y33966" s="372">
        <v>0.0</v>
      </c>
      <c r="Z33966" s="372">
        <v>0.0</v>
      </c>
    </row>
    <row r="33967">
      <c r="Y33967" s="372">
        <v>0.0</v>
      </c>
      <c r="Z33967" s="372">
        <v>0.0</v>
      </c>
    </row>
    <row r="33968">
      <c r="Y33968" s="372">
        <v>0.0</v>
      </c>
      <c r="Z33968" s="372">
        <v>0.0</v>
      </c>
    </row>
    <row r="33969">
      <c r="Y33969" s="372">
        <v>0.0</v>
      </c>
      <c r="Z33969" s="372">
        <v>0.0</v>
      </c>
    </row>
    <row r="33970">
      <c r="Y33970" s="372">
        <v>0.0</v>
      </c>
      <c r="Z33970" s="372">
        <v>0.0</v>
      </c>
    </row>
    <row r="33971">
      <c r="Y33971" s="372">
        <v>0.0</v>
      </c>
      <c r="Z33971" s="372">
        <v>0.0</v>
      </c>
    </row>
    <row r="33972">
      <c r="Y33972" s="372">
        <v>0.0</v>
      </c>
      <c r="Z33972" s="372">
        <v>0.0</v>
      </c>
    </row>
    <row r="33973">
      <c r="Y33973" s="372">
        <v>0.0</v>
      </c>
      <c r="Z33973" s="372">
        <v>0.0</v>
      </c>
    </row>
    <row r="33974">
      <c r="Y33974" s="372">
        <v>0.0</v>
      </c>
      <c r="Z33974" s="372">
        <v>0.0</v>
      </c>
    </row>
    <row r="33975">
      <c r="Y33975" s="372">
        <v>0.0</v>
      </c>
      <c r="Z33975" s="372">
        <v>0.0</v>
      </c>
    </row>
    <row r="33976">
      <c r="Y33976" s="372">
        <v>0.0</v>
      </c>
      <c r="Z33976" s="372">
        <v>0.0</v>
      </c>
    </row>
    <row r="33977">
      <c r="Y33977" s="372">
        <v>0.0</v>
      </c>
      <c r="Z33977" s="372">
        <v>0.0</v>
      </c>
    </row>
    <row r="33978">
      <c r="Y33978" s="372">
        <v>0.0</v>
      </c>
      <c r="Z33978" s="372">
        <v>0.0</v>
      </c>
    </row>
    <row r="33979">
      <c r="Y33979" s="372">
        <v>0.0</v>
      </c>
      <c r="Z33979" s="372">
        <v>0.0</v>
      </c>
    </row>
    <row r="33980">
      <c r="Y33980" s="372">
        <v>0.0</v>
      </c>
      <c r="Z33980" s="372">
        <v>0.0</v>
      </c>
    </row>
    <row r="33981">
      <c r="Y33981" s="372">
        <v>0.0</v>
      </c>
      <c r="Z33981" s="372">
        <v>0.0</v>
      </c>
    </row>
    <row r="33982">
      <c r="Y33982" s="372">
        <v>0.0</v>
      </c>
      <c r="Z33982" s="372">
        <v>0.0</v>
      </c>
    </row>
    <row r="33983">
      <c r="Y33983" s="372">
        <v>0.0</v>
      </c>
      <c r="Z33983" s="372">
        <v>0.0</v>
      </c>
    </row>
    <row r="33984">
      <c r="Y33984" s="372">
        <v>0.0</v>
      </c>
      <c r="Z33984" s="372">
        <v>0.0</v>
      </c>
    </row>
    <row r="33985">
      <c r="Y33985" s="372">
        <v>0.0</v>
      </c>
      <c r="Z33985" s="372">
        <v>0.0</v>
      </c>
    </row>
    <row r="33986">
      <c r="Y33986" s="372">
        <v>0.0</v>
      </c>
      <c r="Z33986" s="372">
        <v>0.0</v>
      </c>
    </row>
    <row r="33987">
      <c r="Y33987" s="372">
        <v>0.0</v>
      </c>
      <c r="Z33987" s="372">
        <v>0.0</v>
      </c>
    </row>
    <row r="33988">
      <c r="Y33988" s="372">
        <v>0.0</v>
      </c>
      <c r="Z33988" s="372">
        <v>0.0</v>
      </c>
    </row>
    <row r="33989">
      <c r="Y33989" s="372">
        <v>0.0</v>
      </c>
      <c r="Z33989" s="372">
        <v>0.0</v>
      </c>
    </row>
    <row r="33990">
      <c r="Y33990" s="372">
        <v>0.0</v>
      </c>
      <c r="Z33990" s="372">
        <v>0.0</v>
      </c>
    </row>
    <row r="33991">
      <c r="Y33991" s="372">
        <v>0.0</v>
      </c>
      <c r="Z33991" s="372">
        <v>0.0</v>
      </c>
    </row>
    <row r="33992">
      <c r="Y33992" s="372">
        <v>0.0</v>
      </c>
      <c r="Z33992" s="372">
        <v>0.0</v>
      </c>
    </row>
    <row r="33993">
      <c r="Y33993" s="372">
        <v>0.0</v>
      </c>
      <c r="Z33993" s="372">
        <v>0.0</v>
      </c>
    </row>
    <row r="33994">
      <c r="Y33994" s="372">
        <v>0.0</v>
      </c>
      <c r="Z33994" s="372">
        <v>0.0</v>
      </c>
    </row>
    <row r="33995">
      <c r="Y33995" s="372">
        <v>0.0</v>
      </c>
      <c r="Z33995" s="372">
        <v>0.0</v>
      </c>
    </row>
    <row r="33996">
      <c r="Y33996" s="372">
        <v>0.0</v>
      </c>
      <c r="Z33996" s="372">
        <v>0.0</v>
      </c>
    </row>
    <row r="33997">
      <c r="Y33997" s="372">
        <v>0.0</v>
      </c>
      <c r="Z33997" s="372">
        <v>0.0</v>
      </c>
    </row>
    <row r="33998">
      <c r="Y33998" s="372">
        <v>0.0</v>
      </c>
      <c r="Z33998" s="372">
        <v>0.0</v>
      </c>
    </row>
    <row r="33999">
      <c r="Y33999" s="372">
        <v>0.0</v>
      </c>
      <c r="Z33999" s="372">
        <v>0.0</v>
      </c>
    </row>
    <row r="34000">
      <c r="Y34000" s="372">
        <v>0.0</v>
      </c>
      <c r="Z34000" s="372">
        <v>0.0</v>
      </c>
    </row>
    <row r="34001">
      <c r="Y34001" s="372">
        <v>0.0</v>
      </c>
      <c r="Z34001" s="372">
        <v>0.0</v>
      </c>
    </row>
    <row r="34002">
      <c r="Y34002" s="372">
        <v>0.0</v>
      </c>
      <c r="Z34002" s="372">
        <v>0.0</v>
      </c>
    </row>
    <row r="34003">
      <c r="Y34003" s="372">
        <v>0.0</v>
      </c>
      <c r="Z34003" s="372">
        <v>0.0</v>
      </c>
    </row>
    <row r="34004">
      <c r="Y34004" s="372">
        <v>0.0</v>
      </c>
      <c r="Z34004" s="372">
        <v>0.0</v>
      </c>
    </row>
    <row r="34005">
      <c r="Y34005" s="372">
        <v>0.0</v>
      </c>
      <c r="Z34005" s="372">
        <v>0.0</v>
      </c>
    </row>
    <row r="34006">
      <c r="Y34006" s="372">
        <v>0.0</v>
      </c>
      <c r="Z34006" s="372">
        <v>0.0</v>
      </c>
    </row>
    <row r="34007">
      <c r="Y34007" s="372">
        <v>0.0</v>
      </c>
      <c r="Z34007" s="372">
        <v>0.0</v>
      </c>
    </row>
    <row r="34008">
      <c r="Y34008" s="372">
        <v>0.0</v>
      </c>
      <c r="Z34008" s="372">
        <v>0.0</v>
      </c>
    </row>
    <row r="34009">
      <c r="Y34009" s="372">
        <v>0.0</v>
      </c>
      <c r="Z34009" s="372">
        <v>0.0</v>
      </c>
    </row>
    <row r="34010">
      <c r="Y34010" s="372">
        <v>0.0</v>
      </c>
      <c r="Z34010" s="372">
        <v>0.0</v>
      </c>
    </row>
    <row r="34011">
      <c r="Y34011" s="372">
        <v>0.0</v>
      </c>
      <c r="Z34011" s="372">
        <v>0.0</v>
      </c>
    </row>
    <row r="34012">
      <c r="Y34012" s="372">
        <v>0.0</v>
      </c>
      <c r="Z34012" s="372">
        <v>0.0</v>
      </c>
    </row>
    <row r="34013">
      <c r="Y34013" s="372">
        <v>0.0</v>
      </c>
      <c r="Z34013" s="372">
        <v>0.0</v>
      </c>
    </row>
    <row r="34014">
      <c r="Y34014" s="372">
        <v>0.0</v>
      </c>
      <c r="Z34014" s="372">
        <v>0.0</v>
      </c>
    </row>
    <row r="34015">
      <c r="Y34015" s="372">
        <v>0.0</v>
      </c>
      <c r="Z34015" s="372">
        <v>0.0</v>
      </c>
    </row>
    <row r="34016">
      <c r="Y34016" s="372">
        <v>0.0</v>
      </c>
      <c r="Z34016" s="372">
        <v>0.0</v>
      </c>
    </row>
    <row r="34017">
      <c r="Y34017" s="372">
        <v>0.0</v>
      </c>
      <c r="Z34017" s="372">
        <v>0.0</v>
      </c>
    </row>
    <row r="34018">
      <c r="Y34018" s="372">
        <v>0.0</v>
      </c>
      <c r="Z34018" s="372">
        <v>0.0</v>
      </c>
    </row>
    <row r="34019">
      <c r="Y34019" s="372">
        <v>0.0</v>
      </c>
      <c r="Z34019" s="372">
        <v>0.0</v>
      </c>
    </row>
    <row r="34020">
      <c r="Y34020" s="372">
        <v>0.0</v>
      </c>
      <c r="Z34020" s="372">
        <v>0.0</v>
      </c>
    </row>
    <row r="34021">
      <c r="Y34021" s="372">
        <v>0.0</v>
      </c>
      <c r="Z34021" s="372">
        <v>0.0</v>
      </c>
    </row>
    <row r="34022">
      <c r="Y34022" s="372">
        <v>0.0</v>
      </c>
      <c r="Z34022" s="372">
        <v>0.0</v>
      </c>
    </row>
    <row r="34023">
      <c r="Y34023" s="372">
        <v>0.0</v>
      </c>
      <c r="Z34023" s="372">
        <v>0.0</v>
      </c>
    </row>
    <row r="34024">
      <c r="Y34024" s="372">
        <v>0.0</v>
      </c>
      <c r="Z34024" s="372">
        <v>0.0</v>
      </c>
    </row>
    <row r="34025">
      <c r="Y34025" s="372">
        <v>0.0</v>
      </c>
      <c r="Z34025" s="372">
        <v>0.0</v>
      </c>
    </row>
    <row r="34026">
      <c r="Y34026" s="372">
        <v>0.0</v>
      </c>
      <c r="Z34026" s="372">
        <v>0.0</v>
      </c>
    </row>
    <row r="34027">
      <c r="Y34027" s="372">
        <v>0.0</v>
      </c>
      <c r="Z34027" s="372">
        <v>0.0</v>
      </c>
    </row>
    <row r="34028">
      <c r="Y34028" s="372">
        <v>0.0</v>
      </c>
      <c r="Z34028" s="372">
        <v>0.0</v>
      </c>
    </row>
    <row r="34029">
      <c r="Y34029" s="372">
        <v>0.0</v>
      </c>
      <c r="Z34029" s="372">
        <v>0.0</v>
      </c>
    </row>
    <row r="34030">
      <c r="Y34030" s="372">
        <v>0.0</v>
      </c>
      <c r="Z34030" s="372">
        <v>0.0</v>
      </c>
    </row>
    <row r="34031">
      <c r="Y34031" s="372">
        <v>0.0</v>
      </c>
      <c r="Z34031" s="372">
        <v>0.0</v>
      </c>
    </row>
    <row r="34032">
      <c r="Y34032" s="372">
        <v>0.0</v>
      </c>
      <c r="Z34032" s="372">
        <v>0.0</v>
      </c>
    </row>
    <row r="34033">
      <c r="Y34033" s="372">
        <v>0.0</v>
      </c>
      <c r="Z34033" s="372">
        <v>0.0</v>
      </c>
    </row>
    <row r="34034">
      <c r="Y34034" s="372">
        <v>0.0</v>
      </c>
      <c r="Z34034" s="372">
        <v>0.0</v>
      </c>
    </row>
    <row r="34035">
      <c r="Y34035" s="372">
        <v>0.0</v>
      </c>
      <c r="Z34035" s="372">
        <v>0.0</v>
      </c>
    </row>
    <row r="34036">
      <c r="Y34036" s="372">
        <v>0.0</v>
      </c>
      <c r="Z34036" s="372">
        <v>0.0</v>
      </c>
    </row>
    <row r="34037">
      <c r="Y34037" s="372">
        <v>0.0</v>
      </c>
      <c r="Z34037" s="372">
        <v>0.0</v>
      </c>
    </row>
    <row r="34038">
      <c r="Y34038" s="372">
        <v>0.0</v>
      </c>
      <c r="Z34038" s="372">
        <v>0.0</v>
      </c>
    </row>
    <row r="34039">
      <c r="Y34039" s="372">
        <v>0.0</v>
      </c>
      <c r="Z34039" s="372">
        <v>0.0</v>
      </c>
    </row>
    <row r="34040">
      <c r="Y34040" s="372">
        <v>0.0</v>
      </c>
      <c r="Z34040" s="372">
        <v>0.0</v>
      </c>
    </row>
    <row r="34041">
      <c r="Y34041" s="372">
        <v>0.0</v>
      </c>
      <c r="Z34041" s="372">
        <v>0.0</v>
      </c>
    </row>
    <row r="34042">
      <c r="Y34042" s="372">
        <v>0.0</v>
      </c>
      <c r="Z34042" s="372">
        <v>0.0</v>
      </c>
    </row>
    <row r="34043">
      <c r="Y34043" s="372">
        <v>0.0</v>
      </c>
      <c r="Z34043" s="372">
        <v>0.0</v>
      </c>
    </row>
    <row r="34044">
      <c r="Y34044" s="372">
        <v>0.0</v>
      </c>
      <c r="Z34044" s="372">
        <v>0.0</v>
      </c>
    </row>
    <row r="34045">
      <c r="Y34045" s="372">
        <v>0.0</v>
      </c>
      <c r="Z34045" s="372">
        <v>0.0</v>
      </c>
    </row>
    <row r="34046">
      <c r="Y34046" s="372">
        <v>0.0</v>
      </c>
      <c r="Z34046" s="372">
        <v>0.0</v>
      </c>
    </row>
    <row r="34047">
      <c r="Y34047" s="372">
        <v>0.0</v>
      </c>
      <c r="Z34047" s="372">
        <v>0.0</v>
      </c>
    </row>
    <row r="34048">
      <c r="Y34048" s="372">
        <v>0.0</v>
      </c>
      <c r="Z34048" s="372">
        <v>0.0</v>
      </c>
    </row>
    <row r="34049">
      <c r="Y34049" s="372">
        <v>0.0</v>
      </c>
      <c r="Z34049" s="372">
        <v>0.0</v>
      </c>
    </row>
    <row r="34050">
      <c r="Y34050" s="372">
        <v>0.0</v>
      </c>
      <c r="Z34050" s="372">
        <v>0.0</v>
      </c>
    </row>
    <row r="34051">
      <c r="Y34051" s="372">
        <v>0.0</v>
      </c>
      <c r="Z34051" s="372">
        <v>0.0</v>
      </c>
    </row>
    <row r="34052">
      <c r="Y34052" s="372">
        <v>0.0</v>
      </c>
      <c r="Z34052" s="372">
        <v>0.0</v>
      </c>
    </row>
    <row r="34053">
      <c r="Y34053" s="372">
        <v>0.0</v>
      </c>
      <c r="Z34053" s="372">
        <v>0.0</v>
      </c>
    </row>
    <row r="34054">
      <c r="Y34054" s="372">
        <v>0.0</v>
      </c>
      <c r="Z34054" s="372">
        <v>0.0</v>
      </c>
    </row>
    <row r="34055">
      <c r="Y34055" s="372">
        <v>0.0</v>
      </c>
      <c r="Z34055" s="372">
        <v>0.0</v>
      </c>
    </row>
    <row r="34056">
      <c r="Y34056" s="372">
        <v>0.0</v>
      </c>
      <c r="Z34056" s="372">
        <v>0.0</v>
      </c>
    </row>
    <row r="34057">
      <c r="Y34057" s="372">
        <v>0.0</v>
      </c>
      <c r="Z34057" s="372">
        <v>0.0</v>
      </c>
    </row>
    <row r="34058">
      <c r="Y34058" s="372">
        <v>0.0</v>
      </c>
      <c r="Z34058" s="372">
        <v>0.0</v>
      </c>
    </row>
    <row r="34059">
      <c r="Y34059" s="372">
        <v>0.0</v>
      </c>
      <c r="Z34059" s="372">
        <v>0.0</v>
      </c>
    </row>
    <row r="34060">
      <c r="Y34060" s="372">
        <v>0.0</v>
      </c>
      <c r="Z34060" s="372">
        <v>0.0</v>
      </c>
    </row>
    <row r="34061">
      <c r="Y34061" s="372">
        <v>0.0</v>
      </c>
      <c r="Z34061" s="372">
        <v>0.0</v>
      </c>
    </row>
    <row r="34062">
      <c r="Y34062" s="372">
        <v>0.0</v>
      </c>
      <c r="Z34062" s="372">
        <v>0.0</v>
      </c>
    </row>
    <row r="34063">
      <c r="Y34063" s="372">
        <v>0.0</v>
      </c>
      <c r="Z34063" s="372">
        <v>0.0</v>
      </c>
    </row>
    <row r="34064">
      <c r="Y34064" s="372">
        <v>0.0</v>
      </c>
      <c r="Z34064" s="372">
        <v>0.0</v>
      </c>
    </row>
    <row r="34065">
      <c r="Y34065" s="372">
        <v>0.0</v>
      </c>
      <c r="Z34065" s="372">
        <v>0.0</v>
      </c>
    </row>
    <row r="34066">
      <c r="Y34066" s="372">
        <v>0.0</v>
      </c>
      <c r="Z34066" s="372">
        <v>0.0</v>
      </c>
    </row>
    <row r="34067">
      <c r="Y34067" s="372">
        <v>0.0</v>
      </c>
      <c r="Z34067" s="372">
        <v>0.0</v>
      </c>
    </row>
    <row r="34068">
      <c r="Y34068" s="372">
        <v>0.0</v>
      </c>
      <c r="Z34068" s="372">
        <v>0.0</v>
      </c>
    </row>
    <row r="34069">
      <c r="Y34069" s="372">
        <v>0.0</v>
      </c>
      <c r="Z34069" s="372">
        <v>0.0</v>
      </c>
    </row>
    <row r="34070">
      <c r="Y34070" s="372">
        <v>0.0</v>
      </c>
      <c r="Z34070" s="372">
        <v>0.0</v>
      </c>
    </row>
    <row r="34071">
      <c r="Y34071" s="372">
        <v>0.0</v>
      </c>
      <c r="Z34071" s="372">
        <v>0.0</v>
      </c>
    </row>
    <row r="34072">
      <c r="Y34072" s="372">
        <v>0.0</v>
      </c>
      <c r="Z34072" s="372">
        <v>0.0</v>
      </c>
    </row>
    <row r="34073">
      <c r="Y34073" s="372">
        <v>0.0</v>
      </c>
      <c r="Z34073" s="372">
        <v>0.0</v>
      </c>
    </row>
    <row r="34074">
      <c r="Y34074" s="372">
        <v>0.0</v>
      </c>
      <c r="Z34074" s="372">
        <v>0.0</v>
      </c>
    </row>
    <row r="34075">
      <c r="Y34075" s="372">
        <v>0.0</v>
      </c>
      <c r="Z34075" s="372">
        <v>0.0</v>
      </c>
    </row>
    <row r="34076">
      <c r="Y34076" s="372">
        <v>0.0</v>
      </c>
      <c r="Z34076" s="372">
        <v>0.0</v>
      </c>
    </row>
    <row r="34077">
      <c r="Y34077" s="372">
        <v>0.0</v>
      </c>
      <c r="Z34077" s="372">
        <v>0.0</v>
      </c>
    </row>
    <row r="34078">
      <c r="Y34078" s="372">
        <v>0.0</v>
      </c>
      <c r="Z34078" s="372">
        <v>0.0</v>
      </c>
    </row>
    <row r="34079">
      <c r="Y34079" s="372">
        <v>0.0</v>
      </c>
      <c r="Z34079" s="372">
        <v>0.0</v>
      </c>
    </row>
    <row r="34080">
      <c r="Y34080" s="372">
        <v>0.0</v>
      </c>
      <c r="Z34080" s="372">
        <v>0.0</v>
      </c>
    </row>
    <row r="34081">
      <c r="Y34081" s="372">
        <v>0.0</v>
      </c>
      <c r="Z34081" s="372">
        <v>0.0</v>
      </c>
    </row>
    <row r="34082">
      <c r="Y34082" s="372">
        <v>0.0</v>
      </c>
      <c r="Z34082" s="372">
        <v>0.0</v>
      </c>
    </row>
    <row r="34083">
      <c r="Y34083" s="372">
        <v>0.0</v>
      </c>
      <c r="Z34083" s="372">
        <v>0.0</v>
      </c>
    </row>
    <row r="34084">
      <c r="Y34084" s="372">
        <v>0.0</v>
      </c>
      <c r="Z34084" s="372">
        <v>0.0</v>
      </c>
    </row>
    <row r="34085">
      <c r="Y34085" s="372">
        <v>0.0</v>
      </c>
      <c r="Z34085" s="372">
        <v>0.0</v>
      </c>
    </row>
    <row r="34086">
      <c r="Y34086" s="372">
        <v>0.0</v>
      </c>
      <c r="Z34086" s="372">
        <v>0.0</v>
      </c>
    </row>
    <row r="34087">
      <c r="Y34087" s="372">
        <v>0.0</v>
      </c>
      <c r="Z34087" s="372">
        <v>0.0</v>
      </c>
    </row>
    <row r="34088">
      <c r="Y34088" s="372">
        <v>0.0</v>
      </c>
      <c r="Z34088" s="372">
        <v>0.0</v>
      </c>
    </row>
    <row r="34089">
      <c r="Y34089" s="372">
        <v>0.0</v>
      </c>
      <c r="Z34089" s="372">
        <v>0.0</v>
      </c>
    </row>
    <row r="34090">
      <c r="Y34090" s="372">
        <v>0.0</v>
      </c>
      <c r="Z34090" s="372">
        <v>0.0</v>
      </c>
    </row>
    <row r="34091">
      <c r="Y34091" s="372">
        <v>0.0</v>
      </c>
      <c r="Z34091" s="372">
        <v>0.0</v>
      </c>
    </row>
    <row r="34092">
      <c r="Y34092" s="372">
        <v>0.0</v>
      </c>
      <c r="Z34092" s="372">
        <v>0.0</v>
      </c>
    </row>
    <row r="34093">
      <c r="Y34093" s="372">
        <v>0.0</v>
      </c>
      <c r="Z34093" s="372">
        <v>0.0</v>
      </c>
    </row>
    <row r="34094">
      <c r="Y34094" s="372">
        <v>0.0</v>
      </c>
      <c r="Z34094" s="372">
        <v>0.0</v>
      </c>
    </row>
    <row r="34095">
      <c r="Y34095" s="372">
        <v>0.0</v>
      </c>
      <c r="Z34095" s="372">
        <v>0.0</v>
      </c>
    </row>
    <row r="34096">
      <c r="Y34096" s="372">
        <v>0.0</v>
      </c>
      <c r="Z34096" s="372">
        <v>0.0</v>
      </c>
    </row>
    <row r="34097">
      <c r="Y34097" s="372">
        <v>0.0</v>
      </c>
      <c r="Z34097" s="372">
        <v>0.0</v>
      </c>
    </row>
    <row r="34098">
      <c r="Y34098" s="372">
        <v>0.0</v>
      </c>
      <c r="Z34098" s="372">
        <v>0.0</v>
      </c>
    </row>
    <row r="34099">
      <c r="Y34099" s="372">
        <v>0.0</v>
      </c>
      <c r="Z34099" s="372">
        <v>0.0</v>
      </c>
    </row>
    <row r="34100">
      <c r="Y34100" s="372">
        <v>0.0</v>
      </c>
      <c r="Z34100" s="372">
        <v>0.0</v>
      </c>
    </row>
    <row r="34101">
      <c r="Y34101" s="372">
        <v>0.0</v>
      </c>
      <c r="Z34101" s="372">
        <v>0.0</v>
      </c>
    </row>
    <row r="34102">
      <c r="Y34102" s="372">
        <v>0.0</v>
      </c>
      <c r="Z34102" s="372">
        <v>0.0</v>
      </c>
    </row>
    <row r="34103">
      <c r="Y34103" s="372">
        <v>0.0</v>
      </c>
      <c r="Z34103" s="372">
        <v>0.0</v>
      </c>
    </row>
    <row r="34104">
      <c r="Y34104" s="372">
        <v>0.0</v>
      </c>
      <c r="Z34104" s="372">
        <v>0.0</v>
      </c>
    </row>
    <row r="34105">
      <c r="Y34105" s="372">
        <v>0.0</v>
      </c>
      <c r="Z34105" s="372">
        <v>0.0</v>
      </c>
    </row>
    <row r="34106">
      <c r="Y34106" s="372">
        <v>0.0</v>
      </c>
      <c r="Z34106" s="372">
        <v>0.0</v>
      </c>
    </row>
    <row r="34107">
      <c r="Y34107" s="372">
        <v>0.0</v>
      </c>
      <c r="Z34107" s="372">
        <v>0.0</v>
      </c>
    </row>
    <row r="34108">
      <c r="Y34108" s="372">
        <v>0.0</v>
      </c>
      <c r="Z34108" s="372">
        <v>0.0</v>
      </c>
    </row>
    <row r="34109">
      <c r="Y34109" s="372">
        <v>0.0</v>
      </c>
      <c r="Z34109" s="372">
        <v>0.0</v>
      </c>
    </row>
    <row r="34110">
      <c r="Y34110" s="372">
        <v>0.0</v>
      </c>
      <c r="Z34110" s="372">
        <v>0.0</v>
      </c>
    </row>
    <row r="34111">
      <c r="Y34111" s="372">
        <v>0.0</v>
      </c>
      <c r="Z34111" s="372">
        <v>0.0</v>
      </c>
    </row>
    <row r="34112">
      <c r="Y34112" s="372">
        <v>0.0</v>
      </c>
      <c r="Z34112" s="372">
        <v>0.0</v>
      </c>
    </row>
    <row r="34113">
      <c r="Y34113" s="372">
        <v>0.0</v>
      </c>
      <c r="Z34113" s="372">
        <v>0.0</v>
      </c>
    </row>
    <row r="34114">
      <c r="Y34114" s="372">
        <v>0.0</v>
      </c>
      <c r="Z34114" s="372">
        <v>0.0</v>
      </c>
    </row>
    <row r="34115">
      <c r="Y34115" s="372">
        <v>0.0</v>
      </c>
      <c r="Z34115" s="372">
        <v>0.0</v>
      </c>
    </row>
    <row r="34116">
      <c r="Y34116" s="372">
        <v>0.0</v>
      </c>
      <c r="Z34116" s="372">
        <v>0.0</v>
      </c>
    </row>
    <row r="34117">
      <c r="Y34117" s="372">
        <v>0.0</v>
      </c>
      <c r="Z34117" s="372">
        <v>0.0</v>
      </c>
    </row>
    <row r="34118">
      <c r="Y34118" s="372">
        <v>0.0</v>
      </c>
      <c r="Z34118" s="372">
        <v>0.0</v>
      </c>
    </row>
    <row r="34119">
      <c r="Y34119" s="372">
        <v>0.0</v>
      </c>
      <c r="Z34119" s="372">
        <v>0.0</v>
      </c>
    </row>
    <row r="34120">
      <c r="Y34120" s="372">
        <v>0.0</v>
      </c>
      <c r="Z34120" s="372">
        <v>0.0</v>
      </c>
    </row>
    <row r="34121">
      <c r="Y34121" s="372">
        <v>0.0</v>
      </c>
      <c r="Z34121" s="372">
        <v>0.0</v>
      </c>
    </row>
    <row r="34122">
      <c r="Y34122" s="372">
        <v>0.0</v>
      </c>
      <c r="Z34122" s="372">
        <v>0.0</v>
      </c>
    </row>
    <row r="34123">
      <c r="Y34123" s="372">
        <v>0.0</v>
      </c>
      <c r="Z34123" s="372">
        <v>0.0</v>
      </c>
    </row>
    <row r="34124">
      <c r="Y34124" s="372">
        <v>0.0</v>
      </c>
      <c r="Z34124" s="372">
        <v>0.0</v>
      </c>
    </row>
    <row r="34125">
      <c r="Y34125" s="372">
        <v>0.0</v>
      </c>
      <c r="Z34125" s="372">
        <v>0.0</v>
      </c>
    </row>
    <row r="34126">
      <c r="Y34126" s="372">
        <v>0.0</v>
      </c>
      <c r="Z34126" s="372">
        <v>0.0</v>
      </c>
    </row>
    <row r="34127">
      <c r="Y34127" s="372">
        <v>0.0</v>
      </c>
      <c r="Z34127" s="372">
        <v>0.0</v>
      </c>
    </row>
    <row r="34128">
      <c r="Y34128" s="372">
        <v>0.0</v>
      </c>
      <c r="Z34128" s="372">
        <v>0.0</v>
      </c>
    </row>
    <row r="34129">
      <c r="Y34129" s="372">
        <v>0.0</v>
      </c>
      <c r="Z34129" s="372">
        <v>0.0</v>
      </c>
    </row>
    <row r="34130">
      <c r="Y34130" s="372">
        <v>0.0</v>
      </c>
      <c r="Z34130" s="372">
        <v>0.0</v>
      </c>
    </row>
    <row r="34131">
      <c r="Y34131" s="372">
        <v>0.0</v>
      </c>
      <c r="Z34131" s="372">
        <v>0.0</v>
      </c>
    </row>
    <row r="34132">
      <c r="Y34132" s="372">
        <v>0.0</v>
      </c>
      <c r="Z34132" s="372">
        <v>0.0</v>
      </c>
    </row>
    <row r="34133">
      <c r="Y34133" s="372">
        <v>0.0</v>
      </c>
      <c r="Z34133" s="372">
        <v>0.0</v>
      </c>
    </row>
    <row r="34134">
      <c r="Y34134" s="372">
        <v>0.0</v>
      </c>
      <c r="Z34134" s="372">
        <v>0.0</v>
      </c>
    </row>
    <row r="34135">
      <c r="Y34135" s="372">
        <v>0.0</v>
      </c>
      <c r="Z34135" s="372">
        <v>0.0</v>
      </c>
    </row>
    <row r="34136">
      <c r="Y34136" s="372">
        <v>0.0</v>
      </c>
      <c r="Z34136" s="372">
        <v>0.0</v>
      </c>
    </row>
    <row r="34137">
      <c r="Y34137" s="372">
        <v>0.0</v>
      </c>
      <c r="Z34137" s="372">
        <v>0.0</v>
      </c>
    </row>
    <row r="34138">
      <c r="Y34138" s="372">
        <v>0.0</v>
      </c>
      <c r="Z34138" s="372">
        <v>0.0</v>
      </c>
    </row>
    <row r="34139">
      <c r="Y34139" s="372">
        <v>0.0</v>
      </c>
      <c r="Z34139" s="372">
        <v>0.0</v>
      </c>
    </row>
    <row r="34140">
      <c r="Y34140" s="372">
        <v>0.0</v>
      </c>
      <c r="Z34140" s="372">
        <v>0.0</v>
      </c>
    </row>
    <row r="34141">
      <c r="Y34141" s="372">
        <v>0.0</v>
      </c>
      <c r="Z34141" s="372">
        <v>0.0</v>
      </c>
    </row>
    <row r="34142">
      <c r="Y34142" s="372">
        <v>0.0</v>
      </c>
      <c r="Z34142" s="372">
        <v>0.0</v>
      </c>
    </row>
    <row r="34143">
      <c r="Y34143" s="372">
        <v>0.0</v>
      </c>
      <c r="Z34143" s="372">
        <v>0.0</v>
      </c>
    </row>
    <row r="34144">
      <c r="Y34144" s="372">
        <v>0.0</v>
      </c>
      <c r="Z34144" s="372">
        <v>0.0</v>
      </c>
    </row>
    <row r="34145">
      <c r="Y34145" s="372">
        <v>0.0</v>
      </c>
      <c r="Z34145" s="372">
        <v>0.0</v>
      </c>
    </row>
    <row r="34146">
      <c r="Y34146" s="372">
        <v>0.0</v>
      </c>
      <c r="Z34146" s="372">
        <v>0.0</v>
      </c>
    </row>
    <row r="34147">
      <c r="Y34147" s="372">
        <v>0.0</v>
      </c>
      <c r="Z34147" s="372">
        <v>0.0</v>
      </c>
    </row>
    <row r="34148">
      <c r="Y34148" s="372">
        <v>0.0</v>
      </c>
      <c r="Z34148" s="372">
        <v>0.0</v>
      </c>
    </row>
    <row r="34149">
      <c r="Y34149" s="372">
        <v>0.0</v>
      </c>
      <c r="Z34149" s="372">
        <v>0.0</v>
      </c>
    </row>
    <row r="34150">
      <c r="Y34150" s="372">
        <v>0.0</v>
      </c>
      <c r="Z34150" s="372">
        <v>0.0</v>
      </c>
    </row>
    <row r="34151">
      <c r="Y34151" s="372">
        <v>0.0</v>
      </c>
      <c r="Z34151" s="372">
        <v>0.0</v>
      </c>
    </row>
    <row r="34152">
      <c r="Y34152" s="372">
        <v>0.0</v>
      </c>
      <c r="Z34152" s="372">
        <v>0.0</v>
      </c>
    </row>
    <row r="34153">
      <c r="Y34153" s="372">
        <v>0.0</v>
      </c>
      <c r="Z34153" s="372">
        <v>0.0</v>
      </c>
    </row>
    <row r="34154">
      <c r="Y34154" s="372">
        <v>0.0</v>
      </c>
      <c r="Z34154" s="372">
        <v>0.0</v>
      </c>
    </row>
    <row r="34155">
      <c r="Y34155" s="372">
        <v>0.0</v>
      </c>
      <c r="Z34155" s="372">
        <v>0.0</v>
      </c>
    </row>
    <row r="34156">
      <c r="Y34156" s="372">
        <v>0.0</v>
      </c>
      <c r="Z34156" s="372">
        <v>0.0</v>
      </c>
    </row>
    <row r="34157">
      <c r="Y34157" s="372">
        <v>0.0</v>
      </c>
      <c r="Z34157" s="372">
        <v>0.0</v>
      </c>
    </row>
    <row r="34158">
      <c r="Y34158" s="372">
        <v>0.0</v>
      </c>
      <c r="Z34158" s="372">
        <v>0.0</v>
      </c>
    </row>
    <row r="34159">
      <c r="Y34159" s="372">
        <v>0.0</v>
      </c>
      <c r="Z34159" s="372">
        <v>0.0</v>
      </c>
    </row>
    <row r="34160">
      <c r="Y34160" s="372">
        <v>0.0</v>
      </c>
      <c r="Z34160" s="372">
        <v>0.0</v>
      </c>
    </row>
    <row r="34161">
      <c r="Y34161" s="372">
        <v>0.0</v>
      </c>
      <c r="Z34161" s="372">
        <v>0.0</v>
      </c>
    </row>
    <row r="34162">
      <c r="Y34162" s="372">
        <v>0.0</v>
      </c>
      <c r="Z34162" s="372">
        <v>0.0</v>
      </c>
    </row>
    <row r="34163">
      <c r="Y34163" s="372">
        <v>0.0</v>
      </c>
      <c r="Z34163" s="372">
        <v>0.0</v>
      </c>
    </row>
    <row r="34164">
      <c r="Y34164" s="372">
        <v>0.0</v>
      </c>
      <c r="Z34164" s="372">
        <v>0.0</v>
      </c>
    </row>
    <row r="34165">
      <c r="Y34165" s="372">
        <v>0.0</v>
      </c>
      <c r="Z34165" s="372">
        <v>0.0</v>
      </c>
    </row>
    <row r="34166">
      <c r="Y34166" s="372">
        <v>0.0</v>
      </c>
      <c r="Z34166" s="372">
        <v>0.0</v>
      </c>
    </row>
    <row r="34167">
      <c r="Y34167" s="372">
        <v>0.0</v>
      </c>
      <c r="Z34167" s="372">
        <v>0.0</v>
      </c>
    </row>
    <row r="34168">
      <c r="Y34168" s="372">
        <v>0.0</v>
      </c>
      <c r="Z34168" s="372">
        <v>0.0</v>
      </c>
    </row>
    <row r="34169">
      <c r="Y34169" s="372">
        <v>0.0</v>
      </c>
      <c r="Z34169" s="372">
        <v>0.0</v>
      </c>
    </row>
    <row r="34170">
      <c r="Y34170" s="372">
        <v>0.0</v>
      </c>
      <c r="Z34170" s="372">
        <v>0.0</v>
      </c>
    </row>
    <row r="34171">
      <c r="Y34171" s="372">
        <v>0.0</v>
      </c>
      <c r="Z34171" s="372">
        <v>0.0</v>
      </c>
    </row>
    <row r="34172">
      <c r="Y34172" s="372">
        <v>0.0</v>
      </c>
      <c r="Z34172" s="372">
        <v>0.0</v>
      </c>
    </row>
    <row r="34173">
      <c r="Y34173" s="372">
        <v>0.0</v>
      </c>
      <c r="Z34173" s="372">
        <v>0.0</v>
      </c>
    </row>
    <row r="34174">
      <c r="Y34174" s="372">
        <v>0.0</v>
      </c>
      <c r="Z34174" s="372">
        <v>0.0</v>
      </c>
    </row>
    <row r="34175">
      <c r="Y34175" s="372">
        <v>0.0</v>
      </c>
      <c r="Z34175" s="372">
        <v>0.0</v>
      </c>
    </row>
    <row r="34176">
      <c r="Y34176" s="372">
        <v>0.0</v>
      </c>
      <c r="Z34176" s="372">
        <v>0.0</v>
      </c>
    </row>
    <row r="34177">
      <c r="Y34177" s="372">
        <v>0.0</v>
      </c>
      <c r="Z34177" s="372">
        <v>0.0</v>
      </c>
    </row>
    <row r="34178">
      <c r="Y34178" s="372">
        <v>0.0</v>
      </c>
      <c r="Z34178" s="372">
        <v>0.0</v>
      </c>
    </row>
    <row r="34179">
      <c r="Y34179" s="372">
        <v>0.0</v>
      </c>
      <c r="Z34179" s="372">
        <v>0.0</v>
      </c>
    </row>
    <row r="34180">
      <c r="Y34180" s="372">
        <v>0.0</v>
      </c>
      <c r="Z34180" s="372">
        <v>0.0</v>
      </c>
    </row>
    <row r="34181">
      <c r="Y34181" s="372">
        <v>0.0</v>
      </c>
      <c r="Z34181" s="372">
        <v>0.0</v>
      </c>
    </row>
    <row r="34182">
      <c r="Y34182" s="372">
        <v>0.0</v>
      </c>
      <c r="Z34182" s="372">
        <v>0.0</v>
      </c>
    </row>
    <row r="34183">
      <c r="Y34183" s="372">
        <v>0.0</v>
      </c>
      <c r="Z34183" s="372">
        <v>0.0</v>
      </c>
    </row>
    <row r="34184">
      <c r="Y34184" s="372">
        <v>0.0</v>
      </c>
      <c r="Z34184" s="372">
        <v>0.0</v>
      </c>
    </row>
    <row r="34185">
      <c r="Y34185" s="372">
        <v>0.0</v>
      </c>
      <c r="Z34185" s="372">
        <v>0.0</v>
      </c>
    </row>
    <row r="34186">
      <c r="Y34186" s="372">
        <v>0.0</v>
      </c>
      <c r="Z34186" s="372">
        <v>0.0</v>
      </c>
    </row>
    <row r="34187">
      <c r="Y34187" s="372">
        <v>0.0</v>
      </c>
      <c r="Z34187" s="372">
        <v>0.0</v>
      </c>
    </row>
    <row r="34188">
      <c r="Y34188" s="372">
        <v>0.0</v>
      </c>
      <c r="Z34188" s="372">
        <v>0.0</v>
      </c>
    </row>
    <row r="34189">
      <c r="Y34189" s="372">
        <v>0.0</v>
      </c>
      <c r="Z34189" s="372">
        <v>0.0</v>
      </c>
    </row>
    <row r="34190">
      <c r="Y34190" s="372">
        <v>0.0</v>
      </c>
      <c r="Z34190" s="372">
        <v>0.0</v>
      </c>
    </row>
    <row r="34191">
      <c r="Y34191" s="372">
        <v>0.0</v>
      </c>
      <c r="Z34191" s="372">
        <v>0.0</v>
      </c>
    </row>
    <row r="34192">
      <c r="Y34192" s="372">
        <v>0.0</v>
      </c>
      <c r="Z34192" s="372">
        <v>0.0</v>
      </c>
    </row>
    <row r="34193">
      <c r="Y34193" s="372">
        <v>0.0</v>
      </c>
      <c r="Z34193" s="372">
        <v>0.0</v>
      </c>
    </row>
    <row r="34194">
      <c r="Y34194" s="372">
        <v>0.0</v>
      </c>
      <c r="Z34194" s="372">
        <v>0.0</v>
      </c>
    </row>
    <row r="34195">
      <c r="Y34195" s="372">
        <v>0.0</v>
      </c>
      <c r="Z34195" s="372">
        <v>0.0</v>
      </c>
    </row>
    <row r="34196">
      <c r="Y34196" s="372">
        <v>0.0</v>
      </c>
      <c r="Z34196" s="372">
        <v>0.0</v>
      </c>
    </row>
    <row r="34197">
      <c r="Y34197" s="372">
        <v>0.0</v>
      </c>
      <c r="Z34197" s="372">
        <v>0.0</v>
      </c>
    </row>
    <row r="34198">
      <c r="Y34198" s="372">
        <v>0.0</v>
      </c>
      <c r="Z34198" s="372">
        <v>0.0</v>
      </c>
    </row>
    <row r="34199">
      <c r="Y34199" s="372">
        <v>0.0</v>
      </c>
      <c r="Z34199" s="372">
        <v>0.0</v>
      </c>
    </row>
    <row r="34200">
      <c r="Y34200" s="372">
        <v>0.0</v>
      </c>
      <c r="Z34200" s="372">
        <v>0.0</v>
      </c>
    </row>
    <row r="34201">
      <c r="Y34201" s="372">
        <v>0.0</v>
      </c>
      <c r="Z34201" s="372">
        <v>0.0</v>
      </c>
    </row>
    <row r="34202">
      <c r="Y34202" s="372">
        <v>0.0</v>
      </c>
      <c r="Z34202" s="372">
        <v>0.0</v>
      </c>
    </row>
    <row r="34203">
      <c r="Y34203" s="372">
        <v>0.0</v>
      </c>
      <c r="Z34203" s="372">
        <v>0.0</v>
      </c>
    </row>
    <row r="34204">
      <c r="Y34204" s="372">
        <v>0.0</v>
      </c>
      <c r="Z34204" s="372">
        <v>0.0</v>
      </c>
    </row>
    <row r="34205">
      <c r="Y34205" s="372">
        <v>0.0</v>
      </c>
      <c r="Z34205" s="372">
        <v>0.0</v>
      </c>
    </row>
    <row r="34206">
      <c r="Y34206" s="372">
        <v>0.0</v>
      </c>
      <c r="Z34206" s="372">
        <v>0.0</v>
      </c>
    </row>
    <row r="34207">
      <c r="Y34207" s="372">
        <v>0.0</v>
      </c>
      <c r="Z34207" s="372">
        <v>0.0</v>
      </c>
    </row>
    <row r="34208">
      <c r="Y34208" s="372">
        <v>0.0</v>
      </c>
      <c r="Z34208" s="372">
        <v>0.0</v>
      </c>
    </row>
    <row r="34209">
      <c r="Y34209" s="372">
        <v>0.0</v>
      </c>
      <c r="Z34209" s="372">
        <v>0.0</v>
      </c>
    </row>
    <row r="34210">
      <c r="Y34210" s="372">
        <v>0.0</v>
      </c>
      <c r="Z34210" s="372">
        <v>0.0</v>
      </c>
    </row>
    <row r="34211">
      <c r="Y34211" s="372">
        <v>0.0</v>
      </c>
      <c r="Z34211" s="372">
        <v>0.0</v>
      </c>
    </row>
    <row r="34212">
      <c r="Y34212" s="372">
        <v>0.0</v>
      </c>
      <c r="Z34212" s="372">
        <v>0.0</v>
      </c>
    </row>
    <row r="34213">
      <c r="Y34213" s="372">
        <v>0.0</v>
      </c>
      <c r="Z34213" s="372">
        <v>0.0</v>
      </c>
    </row>
    <row r="34214">
      <c r="Y34214" s="372">
        <v>0.0</v>
      </c>
      <c r="Z34214" s="372">
        <v>0.0</v>
      </c>
    </row>
    <row r="34215">
      <c r="Y34215" s="372">
        <v>0.0</v>
      </c>
      <c r="Z34215" s="372">
        <v>0.0</v>
      </c>
    </row>
    <row r="34216">
      <c r="Y34216" s="372">
        <v>0.0</v>
      </c>
      <c r="Z34216" s="372">
        <v>0.0</v>
      </c>
    </row>
    <row r="34217">
      <c r="Y34217" s="372">
        <v>0.0</v>
      </c>
      <c r="Z34217" s="372">
        <v>0.0</v>
      </c>
    </row>
    <row r="34218">
      <c r="Y34218" s="372">
        <v>0.0</v>
      </c>
      <c r="Z34218" s="372">
        <v>0.0</v>
      </c>
    </row>
    <row r="34219">
      <c r="Y34219" s="372">
        <v>0.0</v>
      </c>
      <c r="Z34219" s="372">
        <v>0.0</v>
      </c>
    </row>
    <row r="34220">
      <c r="Y34220" s="372">
        <v>0.0</v>
      </c>
      <c r="Z34220" s="372">
        <v>0.0</v>
      </c>
    </row>
    <row r="34221">
      <c r="Y34221" s="372">
        <v>0.0</v>
      </c>
      <c r="Z34221" s="372">
        <v>0.0</v>
      </c>
    </row>
    <row r="34222">
      <c r="Y34222" s="372">
        <v>0.0</v>
      </c>
      <c r="Z34222" s="372">
        <v>0.0</v>
      </c>
    </row>
    <row r="34223">
      <c r="Y34223" s="372">
        <v>0.0</v>
      </c>
      <c r="Z34223" s="372">
        <v>0.0</v>
      </c>
    </row>
    <row r="34224">
      <c r="Y34224" s="372">
        <v>0.0</v>
      </c>
      <c r="Z34224" s="372">
        <v>0.0</v>
      </c>
    </row>
    <row r="34225">
      <c r="Y34225" s="372">
        <v>0.0</v>
      </c>
      <c r="Z34225" s="372">
        <v>0.0</v>
      </c>
    </row>
    <row r="34226">
      <c r="Y34226" s="372">
        <v>0.0</v>
      </c>
      <c r="Z34226" s="372">
        <v>0.0</v>
      </c>
    </row>
    <row r="34227">
      <c r="Y34227" s="372">
        <v>0.0</v>
      </c>
      <c r="Z34227" s="372">
        <v>0.0</v>
      </c>
    </row>
    <row r="34228">
      <c r="Y34228" s="372">
        <v>0.0</v>
      </c>
      <c r="Z34228" s="372">
        <v>0.0</v>
      </c>
    </row>
    <row r="34229">
      <c r="Y34229" s="372">
        <v>0.0</v>
      </c>
      <c r="Z34229" s="372">
        <v>0.0</v>
      </c>
    </row>
    <row r="34230">
      <c r="Y34230" s="372">
        <v>0.0</v>
      </c>
      <c r="Z34230" s="372">
        <v>0.0</v>
      </c>
    </row>
    <row r="34231">
      <c r="Y34231" s="372">
        <v>0.0</v>
      </c>
      <c r="Z34231" s="372">
        <v>0.0</v>
      </c>
    </row>
    <row r="34232">
      <c r="Y34232" s="372">
        <v>0.0</v>
      </c>
      <c r="Z34232" s="372">
        <v>0.0</v>
      </c>
    </row>
    <row r="34233">
      <c r="Y34233" s="372">
        <v>0.0</v>
      </c>
      <c r="Z34233" s="372">
        <v>0.0</v>
      </c>
    </row>
    <row r="34234">
      <c r="Y34234" s="372">
        <v>0.0</v>
      </c>
      <c r="Z34234" s="372">
        <v>0.0</v>
      </c>
    </row>
    <row r="34235">
      <c r="Y34235" s="372">
        <v>0.0</v>
      </c>
      <c r="Z34235" s="372">
        <v>0.0</v>
      </c>
    </row>
    <row r="34236">
      <c r="Y34236" s="372">
        <v>0.0</v>
      </c>
      <c r="Z34236" s="372">
        <v>0.0</v>
      </c>
    </row>
    <row r="34237">
      <c r="Y34237" s="372">
        <v>0.0</v>
      </c>
      <c r="Z34237" s="372">
        <v>0.0</v>
      </c>
    </row>
    <row r="34238">
      <c r="Y34238" s="372">
        <v>0.0</v>
      </c>
      <c r="Z34238" s="372">
        <v>0.0</v>
      </c>
    </row>
    <row r="34239">
      <c r="Y34239" s="372">
        <v>0.0</v>
      </c>
      <c r="Z34239" s="372">
        <v>0.0</v>
      </c>
    </row>
    <row r="34240">
      <c r="Y34240" s="372">
        <v>0.0</v>
      </c>
      <c r="Z34240" s="372">
        <v>0.0</v>
      </c>
    </row>
    <row r="34241">
      <c r="Y34241" s="372">
        <v>0.0</v>
      </c>
      <c r="Z34241" s="372">
        <v>0.0</v>
      </c>
    </row>
    <row r="34242">
      <c r="Y34242" s="372">
        <v>0.0</v>
      </c>
      <c r="Z34242" s="372">
        <v>0.0</v>
      </c>
    </row>
    <row r="34243">
      <c r="Y34243" s="372">
        <v>0.0</v>
      </c>
      <c r="Z34243" s="372">
        <v>0.0</v>
      </c>
    </row>
    <row r="34244">
      <c r="Y34244" s="372">
        <v>0.0</v>
      </c>
      <c r="Z34244" s="372">
        <v>0.0</v>
      </c>
    </row>
    <row r="34245">
      <c r="Y34245" s="372">
        <v>0.0</v>
      </c>
      <c r="Z34245" s="372">
        <v>0.0</v>
      </c>
    </row>
    <row r="34246">
      <c r="Y34246" s="372">
        <v>0.0</v>
      </c>
      <c r="Z34246" s="372">
        <v>0.0</v>
      </c>
    </row>
    <row r="34247">
      <c r="Y34247" s="372">
        <v>0.0</v>
      </c>
      <c r="Z34247" s="372">
        <v>0.0</v>
      </c>
    </row>
    <row r="34248">
      <c r="Y34248" s="372">
        <v>0.0</v>
      </c>
      <c r="Z34248" s="372">
        <v>0.0</v>
      </c>
    </row>
    <row r="34249">
      <c r="Y34249" s="372">
        <v>0.0</v>
      </c>
      <c r="Z34249" s="372">
        <v>0.0</v>
      </c>
    </row>
    <row r="34250">
      <c r="Y34250" s="372">
        <v>0.0</v>
      </c>
      <c r="Z34250" s="372">
        <v>0.0</v>
      </c>
    </row>
    <row r="34251">
      <c r="Y34251" s="372">
        <v>0.0</v>
      </c>
      <c r="Z34251" s="372">
        <v>0.0</v>
      </c>
    </row>
    <row r="34252">
      <c r="Y34252" s="372">
        <v>0.0</v>
      </c>
      <c r="Z34252" s="372">
        <v>0.0</v>
      </c>
    </row>
    <row r="34253">
      <c r="Y34253" s="372">
        <v>0.0</v>
      </c>
      <c r="Z34253" s="372">
        <v>0.0</v>
      </c>
    </row>
    <row r="34254">
      <c r="Y34254" s="372">
        <v>0.0</v>
      </c>
      <c r="Z34254" s="372">
        <v>0.0</v>
      </c>
    </row>
    <row r="34255">
      <c r="Y34255" s="372">
        <v>0.0</v>
      </c>
      <c r="Z34255" s="372">
        <v>0.0</v>
      </c>
    </row>
    <row r="34256">
      <c r="Y34256" s="372">
        <v>0.0</v>
      </c>
      <c r="Z34256" s="372">
        <v>0.0</v>
      </c>
    </row>
    <row r="34257">
      <c r="Y34257" s="372">
        <v>0.0</v>
      </c>
      <c r="Z34257" s="372">
        <v>0.0</v>
      </c>
    </row>
    <row r="34258">
      <c r="Y34258" s="372">
        <v>0.0</v>
      </c>
      <c r="Z34258" s="372">
        <v>0.0</v>
      </c>
    </row>
    <row r="34259">
      <c r="Y34259" s="372">
        <v>0.0</v>
      </c>
      <c r="Z34259" s="372">
        <v>0.0</v>
      </c>
    </row>
    <row r="34260">
      <c r="Y34260" s="372">
        <v>0.0</v>
      </c>
      <c r="Z34260" s="372">
        <v>0.0</v>
      </c>
    </row>
    <row r="34261">
      <c r="Y34261" s="372">
        <v>0.0</v>
      </c>
      <c r="Z34261" s="372">
        <v>0.0</v>
      </c>
    </row>
    <row r="34262">
      <c r="Y34262" s="372">
        <v>0.0</v>
      </c>
      <c r="Z34262" s="372">
        <v>0.0</v>
      </c>
    </row>
    <row r="34263">
      <c r="Y34263" s="372">
        <v>0.0</v>
      </c>
      <c r="Z34263" s="372">
        <v>0.0</v>
      </c>
    </row>
    <row r="34264">
      <c r="Y34264" s="372">
        <v>0.0</v>
      </c>
      <c r="Z34264" s="372">
        <v>0.0</v>
      </c>
    </row>
    <row r="34265">
      <c r="Y34265" s="372">
        <v>0.0</v>
      </c>
      <c r="Z34265" s="372">
        <v>0.0</v>
      </c>
    </row>
    <row r="34266">
      <c r="Y34266" s="372">
        <v>0.0</v>
      </c>
      <c r="Z34266" s="372">
        <v>0.0</v>
      </c>
    </row>
    <row r="34267">
      <c r="Y34267" s="372">
        <v>0.0</v>
      </c>
      <c r="Z34267" s="372">
        <v>0.0</v>
      </c>
    </row>
    <row r="34268">
      <c r="Y34268" s="372">
        <v>0.0</v>
      </c>
      <c r="Z34268" s="372">
        <v>0.0</v>
      </c>
    </row>
    <row r="34269">
      <c r="Y34269" s="372">
        <v>0.0</v>
      </c>
      <c r="Z34269" s="372">
        <v>0.0</v>
      </c>
    </row>
    <row r="34270">
      <c r="Y34270" s="372">
        <v>0.0</v>
      </c>
      <c r="Z34270" s="372">
        <v>0.0</v>
      </c>
    </row>
    <row r="34271">
      <c r="Y34271" s="372">
        <v>0.0</v>
      </c>
      <c r="Z34271" s="372">
        <v>0.0</v>
      </c>
    </row>
    <row r="34272">
      <c r="Y34272" s="372">
        <v>0.0</v>
      </c>
      <c r="Z34272" s="372">
        <v>0.0</v>
      </c>
    </row>
    <row r="34273">
      <c r="Y34273" s="372">
        <v>0.0</v>
      </c>
      <c r="Z34273" s="372">
        <v>0.0</v>
      </c>
    </row>
    <row r="34274">
      <c r="Y34274" s="372">
        <v>0.0</v>
      </c>
      <c r="Z34274" s="372">
        <v>0.0</v>
      </c>
    </row>
    <row r="34275">
      <c r="Y34275" s="372">
        <v>0.0</v>
      </c>
      <c r="Z34275" s="372">
        <v>0.0</v>
      </c>
    </row>
    <row r="34276">
      <c r="Y34276" s="372">
        <v>0.0</v>
      </c>
      <c r="Z34276" s="372">
        <v>0.0</v>
      </c>
    </row>
    <row r="34277">
      <c r="Y34277" s="372">
        <v>0.0</v>
      </c>
      <c r="Z34277" s="372">
        <v>0.0</v>
      </c>
    </row>
    <row r="34278">
      <c r="Y34278" s="372">
        <v>0.0</v>
      </c>
      <c r="Z34278" s="372">
        <v>0.0</v>
      </c>
    </row>
    <row r="34279">
      <c r="Y34279" s="372">
        <v>0.0</v>
      </c>
      <c r="Z34279" s="372">
        <v>0.0</v>
      </c>
    </row>
    <row r="34280">
      <c r="Y34280" s="372">
        <v>0.0</v>
      </c>
      <c r="Z34280" s="372">
        <v>0.0</v>
      </c>
    </row>
    <row r="34281">
      <c r="Y34281" s="372">
        <v>0.0</v>
      </c>
      <c r="Z34281" s="372">
        <v>0.0</v>
      </c>
    </row>
    <row r="34282">
      <c r="Y34282" s="372">
        <v>0.0</v>
      </c>
      <c r="Z34282" s="372">
        <v>0.0</v>
      </c>
    </row>
    <row r="34283">
      <c r="Y34283" s="372">
        <v>0.0</v>
      </c>
      <c r="Z34283" s="372">
        <v>0.0</v>
      </c>
    </row>
    <row r="34284">
      <c r="Y34284" s="372">
        <v>0.0</v>
      </c>
      <c r="Z34284" s="372">
        <v>0.0</v>
      </c>
    </row>
    <row r="34285">
      <c r="Y34285" s="372">
        <v>0.0</v>
      </c>
      <c r="Z34285" s="372">
        <v>0.0</v>
      </c>
    </row>
    <row r="34286">
      <c r="Y34286" s="372">
        <v>0.0</v>
      </c>
      <c r="Z34286" s="372">
        <v>0.0</v>
      </c>
    </row>
    <row r="34287">
      <c r="Y34287" s="372">
        <v>0.0</v>
      </c>
      <c r="Z34287" s="372">
        <v>0.0</v>
      </c>
    </row>
    <row r="34288">
      <c r="Y34288" s="372">
        <v>0.0</v>
      </c>
      <c r="Z34288" s="372">
        <v>0.0</v>
      </c>
    </row>
    <row r="34289">
      <c r="Y34289" s="372">
        <v>0.0</v>
      </c>
      <c r="Z34289" s="372">
        <v>0.0</v>
      </c>
    </row>
    <row r="34290">
      <c r="Y34290" s="372">
        <v>0.0</v>
      </c>
      <c r="Z34290" s="372">
        <v>0.0</v>
      </c>
    </row>
    <row r="34291">
      <c r="Y34291" s="372">
        <v>0.0</v>
      </c>
      <c r="Z34291" s="372">
        <v>0.0</v>
      </c>
    </row>
    <row r="34292">
      <c r="Y34292" s="372">
        <v>0.0</v>
      </c>
      <c r="Z34292" s="372">
        <v>0.0</v>
      </c>
    </row>
    <row r="34293">
      <c r="Y34293" s="372">
        <v>0.0</v>
      </c>
      <c r="Z34293" s="372">
        <v>0.0</v>
      </c>
    </row>
    <row r="34294">
      <c r="Y34294" s="372">
        <v>0.0</v>
      </c>
      <c r="Z34294" s="372">
        <v>0.0</v>
      </c>
    </row>
    <row r="34295">
      <c r="Y34295" s="372">
        <v>0.0</v>
      </c>
      <c r="Z34295" s="372">
        <v>0.0</v>
      </c>
    </row>
    <row r="34296">
      <c r="Y34296" s="372">
        <v>0.0</v>
      </c>
      <c r="Z34296" s="372">
        <v>0.0</v>
      </c>
    </row>
    <row r="34297">
      <c r="Y34297" s="372">
        <v>0.0</v>
      </c>
      <c r="Z34297" s="372">
        <v>0.0</v>
      </c>
    </row>
    <row r="34298">
      <c r="Y34298" s="372">
        <v>0.0</v>
      </c>
      <c r="Z34298" s="372">
        <v>0.0</v>
      </c>
    </row>
    <row r="34299">
      <c r="Y34299" s="372">
        <v>0.0</v>
      </c>
      <c r="Z34299" s="372">
        <v>0.0</v>
      </c>
    </row>
    <row r="34300">
      <c r="Y34300" s="372">
        <v>0.0</v>
      </c>
      <c r="Z34300" s="372">
        <v>0.0</v>
      </c>
    </row>
    <row r="34301">
      <c r="Y34301" s="372">
        <v>0.0</v>
      </c>
      <c r="Z34301" s="372">
        <v>0.0</v>
      </c>
    </row>
    <row r="34302">
      <c r="Y34302" s="372">
        <v>0.0</v>
      </c>
      <c r="Z34302" s="372">
        <v>0.0</v>
      </c>
    </row>
    <row r="34303">
      <c r="Y34303" s="372">
        <v>0.0</v>
      </c>
      <c r="Z34303" s="372">
        <v>0.0</v>
      </c>
    </row>
    <row r="34304">
      <c r="Y34304" s="372">
        <v>0.0</v>
      </c>
      <c r="Z34304" s="372">
        <v>0.0</v>
      </c>
    </row>
    <row r="34305">
      <c r="Y34305" s="372">
        <v>0.0</v>
      </c>
      <c r="Z34305" s="372">
        <v>0.0</v>
      </c>
    </row>
    <row r="34306">
      <c r="Y34306" s="372">
        <v>0.0</v>
      </c>
      <c r="Z34306" s="372">
        <v>0.0</v>
      </c>
    </row>
    <row r="34307">
      <c r="Y34307" s="372">
        <v>0.0</v>
      </c>
      <c r="Z34307" s="372">
        <v>0.0</v>
      </c>
    </row>
    <row r="34308">
      <c r="Y34308" s="372">
        <v>0.0</v>
      </c>
      <c r="Z34308" s="372">
        <v>0.0</v>
      </c>
    </row>
    <row r="34309">
      <c r="Y34309" s="372">
        <v>0.0</v>
      </c>
      <c r="Z34309" s="372">
        <v>0.0</v>
      </c>
    </row>
    <row r="34310">
      <c r="Y34310" s="372">
        <v>0.0</v>
      </c>
      <c r="Z34310" s="372">
        <v>0.0</v>
      </c>
    </row>
    <row r="34311">
      <c r="Y34311" s="372">
        <v>0.0</v>
      </c>
      <c r="Z34311" s="372">
        <v>0.0</v>
      </c>
    </row>
    <row r="34312">
      <c r="Y34312" s="372">
        <v>0.0</v>
      </c>
      <c r="Z34312" s="372">
        <v>0.0</v>
      </c>
    </row>
    <row r="34313">
      <c r="Y34313" s="372">
        <v>0.0</v>
      </c>
      <c r="Z34313" s="372">
        <v>0.0</v>
      </c>
    </row>
    <row r="34314">
      <c r="Y34314" s="372">
        <v>0.0</v>
      </c>
      <c r="Z34314" s="372">
        <v>0.0</v>
      </c>
    </row>
    <row r="34315">
      <c r="Y34315" s="372">
        <v>0.0</v>
      </c>
      <c r="Z34315" s="372">
        <v>0.0</v>
      </c>
    </row>
    <row r="34316">
      <c r="Y34316" s="372">
        <v>0.0</v>
      </c>
      <c r="Z34316" s="372">
        <v>0.0</v>
      </c>
    </row>
    <row r="34317">
      <c r="Y34317" s="372">
        <v>0.0</v>
      </c>
      <c r="Z34317" s="372">
        <v>0.0</v>
      </c>
    </row>
    <row r="34318">
      <c r="Y34318" s="372">
        <v>0.0</v>
      </c>
      <c r="Z34318" s="372">
        <v>0.0</v>
      </c>
    </row>
    <row r="34319">
      <c r="Y34319" s="372">
        <v>0.0</v>
      </c>
      <c r="Z34319" s="372">
        <v>0.0</v>
      </c>
    </row>
    <row r="34320">
      <c r="Y34320" s="372">
        <v>0.0</v>
      </c>
      <c r="Z34320" s="372">
        <v>0.0</v>
      </c>
    </row>
    <row r="34321">
      <c r="Y34321" s="372">
        <v>0.0</v>
      </c>
      <c r="Z34321" s="372">
        <v>0.0</v>
      </c>
    </row>
    <row r="34322">
      <c r="Y34322" s="372">
        <v>0.0</v>
      </c>
      <c r="Z34322" s="372">
        <v>0.0</v>
      </c>
    </row>
    <row r="34323">
      <c r="Y34323" s="372">
        <v>0.0</v>
      </c>
      <c r="Z34323" s="372">
        <v>0.0</v>
      </c>
    </row>
    <row r="34324">
      <c r="Y34324" s="372">
        <v>0.0</v>
      </c>
      <c r="Z34324" s="372">
        <v>0.0</v>
      </c>
    </row>
    <row r="34325">
      <c r="Y34325" s="372">
        <v>0.0</v>
      </c>
      <c r="Z34325" s="372">
        <v>0.0</v>
      </c>
    </row>
    <row r="34326">
      <c r="Y34326" s="372">
        <v>0.0</v>
      </c>
      <c r="Z34326" s="372">
        <v>0.0</v>
      </c>
    </row>
    <row r="34327">
      <c r="Y34327" s="372">
        <v>0.0</v>
      </c>
      <c r="Z34327" s="372">
        <v>0.0</v>
      </c>
    </row>
    <row r="34328">
      <c r="Y34328" s="372">
        <v>0.0</v>
      </c>
      <c r="Z34328" s="372">
        <v>0.0</v>
      </c>
    </row>
    <row r="34329">
      <c r="Y34329" s="372">
        <v>0.0</v>
      </c>
      <c r="Z34329" s="372">
        <v>0.0</v>
      </c>
    </row>
    <row r="34330">
      <c r="Y34330" s="372">
        <v>0.0</v>
      </c>
      <c r="Z34330" s="372">
        <v>0.0</v>
      </c>
    </row>
    <row r="34331">
      <c r="Y34331" s="372">
        <v>0.0</v>
      </c>
      <c r="Z34331" s="372">
        <v>0.0</v>
      </c>
    </row>
    <row r="34332">
      <c r="Y34332" s="372">
        <v>0.0</v>
      </c>
      <c r="Z34332" s="372">
        <v>0.0</v>
      </c>
    </row>
    <row r="34333">
      <c r="Y34333" s="372">
        <v>0.0</v>
      </c>
      <c r="Z34333" s="372">
        <v>0.0</v>
      </c>
    </row>
    <row r="34334">
      <c r="Y34334" s="372">
        <v>0.0</v>
      </c>
      <c r="Z34334" s="372">
        <v>0.0</v>
      </c>
    </row>
    <row r="34335">
      <c r="Y34335" s="372">
        <v>0.0</v>
      </c>
      <c r="Z34335" s="372">
        <v>0.0</v>
      </c>
    </row>
    <row r="34336">
      <c r="Y34336" s="372">
        <v>0.0</v>
      </c>
      <c r="Z34336" s="372">
        <v>0.0</v>
      </c>
    </row>
    <row r="34337">
      <c r="Y34337" s="372">
        <v>0.0</v>
      </c>
      <c r="Z34337" s="372">
        <v>0.0</v>
      </c>
    </row>
    <row r="34338">
      <c r="Y34338" s="372">
        <v>0.0</v>
      </c>
      <c r="Z34338" s="372">
        <v>0.0</v>
      </c>
    </row>
    <row r="34339">
      <c r="Y34339" s="372">
        <v>0.0</v>
      </c>
      <c r="Z34339" s="372">
        <v>0.0</v>
      </c>
    </row>
    <row r="34340">
      <c r="Y34340" s="372">
        <v>0.0</v>
      </c>
      <c r="Z34340" s="372">
        <v>0.0</v>
      </c>
    </row>
    <row r="34341">
      <c r="Y34341" s="372">
        <v>0.0</v>
      </c>
      <c r="Z34341" s="372">
        <v>0.0</v>
      </c>
    </row>
    <row r="34342">
      <c r="Y34342" s="372">
        <v>0.0</v>
      </c>
      <c r="Z34342" s="372">
        <v>0.0</v>
      </c>
    </row>
    <row r="34343">
      <c r="Y34343" s="372">
        <v>0.0</v>
      </c>
      <c r="Z34343" s="372">
        <v>0.0</v>
      </c>
    </row>
    <row r="34344">
      <c r="Y34344" s="372">
        <v>0.0</v>
      </c>
      <c r="Z34344" s="372">
        <v>0.0</v>
      </c>
    </row>
    <row r="34345">
      <c r="Y34345" s="372">
        <v>0.0</v>
      </c>
      <c r="Z34345" s="372">
        <v>0.0</v>
      </c>
    </row>
    <row r="34346">
      <c r="Y34346" s="372">
        <v>0.0</v>
      </c>
      <c r="Z34346" s="372">
        <v>0.0</v>
      </c>
    </row>
    <row r="34347">
      <c r="Y34347" s="372">
        <v>0.0</v>
      </c>
      <c r="Z34347" s="372">
        <v>0.0</v>
      </c>
    </row>
    <row r="34348">
      <c r="Y34348" s="372">
        <v>0.0</v>
      </c>
      <c r="Z34348" s="372">
        <v>0.0</v>
      </c>
    </row>
    <row r="34349">
      <c r="Y34349" s="372">
        <v>0.0</v>
      </c>
      <c r="Z34349" s="372">
        <v>0.0</v>
      </c>
    </row>
    <row r="34350">
      <c r="Y34350" s="372">
        <v>0.0</v>
      </c>
      <c r="Z34350" s="372">
        <v>0.0</v>
      </c>
    </row>
    <row r="34351">
      <c r="Y34351" s="372">
        <v>0.0</v>
      </c>
      <c r="Z34351" s="372">
        <v>0.0</v>
      </c>
    </row>
    <row r="34352">
      <c r="Y34352" s="372">
        <v>0.0</v>
      </c>
      <c r="Z34352" s="372">
        <v>0.0</v>
      </c>
    </row>
    <row r="34353">
      <c r="Y34353" s="372">
        <v>0.0</v>
      </c>
      <c r="Z34353" s="372">
        <v>0.0</v>
      </c>
    </row>
    <row r="34354">
      <c r="Y34354" s="372">
        <v>0.0</v>
      </c>
      <c r="Z34354" s="372">
        <v>0.0</v>
      </c>
    </row>
    <row r="34355">
      <c r="Y34355" s="372">
        <v>0.0</v>
      </c>
      <c r="Z34355" s="372">
        <v>0.0</v>
      </c>
    </row>
    <row r="34356">
      <c r="Y34356" s="372">
        <v>0.0</v>
      </c>
      <c r="Z34356" s="372">
        <v>0.0</v>
      </c>
    </row>
    <row r="34357">
      <c r="Y34357" s="372">
        <v>0.0</v>
      </c>
      <c r="Z34357" s="372">
        <v>0.0</v>
      </c>
    </row>
    <row r="34358">
      <c r="Y34358" s="372">
        <v>0.0</v>
      </c>
      <c r="Z34358" s="372">
        <v>0.0</v>
      </c>
    </row>
    <row r="34359">
      <c r="Y34359" s="372">
        <v>0.0</v>
      </c>
      <c r="Z34359" s="372">
        <v>0.0</v>
      </c>
    </row>
    <row r="34360">
      <c r="Y34360" s="372">
        <v>0.0</v>
      </c>
      <c r="Z34360" s="372">
        <v>0.0</v>
      </c>
    </row>
    <row r="34361">
      <c r="Y34361" s="372">
        <v>0.0</v>
      </c>
      <c r="Z34361" s="372">
        <v>0.0</v>
      </c>
    </row>
    <row r="34362">
      <c r="Y34362" s="372">
        <v>0.0</v>
      </c>
      <c r="Z34362" s="372">
        <v>0.0</v>
      </c>
    </row>
    <row r="34363">
      <c r="Y34363" s="372">
        <v>0.0</v>
      </c>
      <c r="Z34363" s="372">
        <v>0.0</v>
      </c>
    </row>
    <row r="34364">
      <c r="Y34364" s="372">
        <v>0.0</v>
      </c>
      <c r="Z34364" s="372">
        <v>0.0</v>
      </c>
    </row>
    <row r="34365">
      <c r="Y34365" s="372">
        <v>0.0</v>
      </c>
      <c r="Z34365" s="372">
        <v>0.0</v>
      </c>
    </row>
    <row r="34366">
      <c r="Y34366" s="372">
        <v>0.0</v>
      </c>
      <c r="Z34366" s="372">
        <v>0.0</v>
      </c>
    </row>
    <row r="34367">
      <c r="Y34367" s="372">
        <v>0.0</v>
      </c>
      <c r="Z34367" s="372">
        <v>0.0</v>
      </c>
    </row>
    <row r="34368">
      <c r="Y34368" s="372">
        <v>0.0</v>
      </c>
      <c r="Z34368" s="372">
        <v>0.0</v>
      </c>
    </row>
    <row r="34369">
      <c r="Y34369" s="372">
        <v>0.0</v>
      </c>
      <c r="Z34369" s="372">
        <v>0.0</v>
      </c>
    </row>
    <row r="34370">
      <c r="Y34370" s="372">
        <v>0.0</v>
      </c>
      <c r="Z34370" s="372">
        <v>0.0</v>
      </c>
    </row>
    <row r="34371">
      <c r="Y34371" s="372">
        <v>0.0</v>
      </c>
      <c r="Z34371" s="372">
        <v>0.0</v>
      </c>
    </row>
    <row r="34372">
      <c r="Y34372" s="372">
        <v>0.0</v>
      </c>
      <c r="Z34372" s="372">
        <v>0.0</v>
      </c>
    </row>
    <row r="34373">
      <c r="Y34373" s="372">
        <v>0.0</v>
      </c>
      <c r="Z34373" s="372">
        <v>0.0</v>
      </c>
    </row>
    <row r="34374">
      <c r="Y34374" s="372">
        <v>0.0</v>
      </c>
      <c r="Z34374" s="372">
        <v>0.0</v>
      </c>
    </row>
    <row r="34375">
      <c r="Y34375" s="372">
        <v>0.0</v>
      </c>
      <c r="Z34375" s="372">
        <v>0.0</v>
      </c>
    </row>
    <row r="34376">
      <c r="Y34376" s="372">
        <v>0.0</v>
      </c>
      <c r="Z34376" s="372">
        <v>0.0</v>
      </c>
    </row>
    <row r="34377">
      <c r="Y34377" s="372">
        <v>0.0</v>
      </c>
      <c r="Z34377" s="372">
        <v>0.0</v>
      </c>
    </row>
    <row r="34378">
      <c r="Y34378" s="372">
        <v>0.0</v>
      </c>
      <c r="Z34378" s="372">
        <v>0.0</v>
      </c>
    </row>
    <row r="34379">
      <c r="Y34379" s="372">
        <v>0.0</v>
      </c>
      <c r="Z34379" s="372">
        <v>0.0</v>
      </c>
    </row>
    <row r="34380">
      <c r="Y34380" s="372">
        <v>0.0</v>
      </c>
      <c r="Z34380" s="372">
        <v>0.0</v>
      </c>
    </row>
    <row r="34381">
      <c r="Y34381" s="372">
        <v>0.0</v>
      </c>
      <c r="Z34381" s="372">
        <v>0.0</v>
      </c>
    </row>
    <row r="34382">
      <c r="Y34382" s="372">
        <v>0.0</v>
      </c>
      <c r="Z34382" s="372">
        <v>0.0</v>
      </c>
    </row>
    <row r="34383">
      <c r="Y34383" s="372">
        <v>0.0</v>
      </c>
      <c r="Z34383" s="372">
        <v>0.0</v>
      </c>
    </row>
    <row r="34384">
      <c r="Y34384" s="372">
        <v>0.0</v>
      </c>
      <c r="Z34384" s="372">
        <v>0.0</v>
      </c>
    </row>
    <row r="34385">
      <c r="Y34385" s="372">
        <v>0.0</v>
      </c>
      <c r="Z34385" s="372">
        <v>0.0</v>
      </c>
    </row>
    <row r="34386">
      <c r="Y34386" s="372">
        <v>0.0</v>
      </c>
      <c r="Z34386" s="372">
        <v>0.0</v>
      </c>
    </row>
    <row r="34387">
      <c r="Y34387" s="372">
        <v>0.0</v>
      </c>
      <c r="Z34387" s="372">
        <v>0.0</v>
      </c>
    </row>
    <row r="34388">
      <c r="Y34388" s="372">
        <v>0.0</v>
      </c>
      <c r="Z34388" s="372">
        <v>0.0</v>
      </c>
    </row>
    <row r="34389">
      <c r="Y34389" s="372">
        <v>0.0</v>
      </c>
      <c r="Z34389" s="372">
        <v>0.0</v>
      </c>
    </row>
    <row r="34390">
      <c r="Y34390" s="372">
        <v>0.0</v>
      </c>
      <c r="Z34390" s="372">
        <v>0.0</v>
      </c>
    </row>
    <row r="34391">
      <c r="Y34391" s="372">
        <v>0.0</v>
      </c>
      <c r="Z34391" s="372">
        <v>0.0</v>
      </c>
    </row>
    <row r="34392">
      <c r="Y34392" s="372">
        <v>0.0</v>
      </c>
      <c r="Z34392" s="372">
        <v>0.0</v>
      </c>
    </row>
    <row r="34393">
      <c r="Y34393" s="372">
        <v>0.0</v>
      </c>
      <c r="Z34393" s="372">
        <v>0.0</v>
      </c>
    </row>
    <row r="34394">
      <c r="Y34394" s="372">
        <v>0.0</v>
      </c>
      <c r="Z34394" s="372">
        <v>0.0</v>
      </c>
    </row>
    <row r="34395">
      <c r="Y34395" s="372">
        <v>0.0</v>
      </c>
      <c r="Z34395" s="372">
        <v>0.0</v>
      </c>
    </row>
    <row r="34396">
      <c r="Y34396" s="372">
        <v>0.0</v>
      </c>
      <c r="Z34396" s="372">
        <v>0.0</v>
      </c>
    </row>
    <row r="34397">
      <c r="Y34397" s="372">
        <v>0.0</v>
      </c>
      <c r="Z34397" s="372">
        <v>0.0</v>
      </c>
    </row>
    <row r="34398">
      <c r="Y34398" s="372">
        <v>0.0</v>
      </c>
      <c r="Z34398" s="372">
        <v>0.0</v>
      </c>
    </row>
    <row r="34399">
      <c r="Y34399" s="372">
        <v>0.0</v>
      </c>
      <c r="Z34399" s="372">
        <v>0.0</v>
      </c>
    </row>
    <row r="34400">
      <c r="Y34400" s="372">
        <v>0.0</v>
      </c>
      <c r="Z34400" s="372">
        <v>0.0</v>
      </c>
    </row>
    <row r="34401">
      <c r="Y34401" s="372">
        <v>0.0</v>
      </c>
      <c r="Z34401" s="372">
        <v>0.0</v>
      </c>
    </row>
    <row r="34402">
      <c r="Y34402" s="372">
        <v>0.0</v>
      </c>
      <c r="Z34402" s="372">
        <v>0.0</v>
      </c>
    </row>
    <row r="34403">
      <c r="Y34403" s="372">
        <v>0.0</v>
      </c>
      <c r="Z34403" s="372">
        <v>0.0</v>
      </c>
    </row>
    <row r="34404">
      <c r="Y34404" s="372">
        <v>0.0</v>
      </c>
      <c r="Z34404" s="372">
        <v>0.0</v>
      </c>
    </row>
    <row r="34405">
      <c r="Y34405" s="372">
        <v>0.0</v>
      </c>
      <c r="Z34405" s="372">
        <v>0.0</v>
      </c>
    </row>
    <row r="34406">
      <c r="Y34406" s="372">
        <v>0.0</v>
      </c>
      <c r="Z34406" s="372">
        <v>0.0</v>
      </c>
    </row>
    <row r="34407">
      <c r="Y34407" s="372">
        <v>0.0</v>
      </c>
      <c r="Z34407" s="372">
        <v>0.0</v>
      </c>
    </row>
    <row r="34408">
      <c r="Y34408" s="372">
        <v>0.0</v>
      </c>
      <c r="Z34408" s="372">
        <v>0.0</v>
      </c>
    </row>
    <row r="34409">
      <c r="Y34409" s="372">
        <v>0.0</v>
      </c>
      <c r="Z34409" s="372">
        <v>0.0</v>
      </c>
    </row>
    <row r="34410">
      <c r="Y34410" s="372">
        <v>0.0</v>
      </c>
      <c r="Z34410" s="372">
        <v>0.0</v>
      </c>
    </row>
    <row r="34411">
      <c r="Y34411" s="372">
        <v>0.0</v>
      </c>
      <c r="Z34411" s="372">
        <v>0.0</v>
      </c>
    </row>
    <row r="34412">
      <c r="Y34412" s="372">
        <v>0.0</v>
      </c>
      <c r="Z34412" s="372">
        <v>0.0</v>
      </c>
    </row>
    <row r="34413">
      <c r="Y34413" s="372">
        <v>0.0</v>
      </c>
      <c r="Z34413" s="372">
        <v>0.0</v>
      </c>
    </row>
    <row r="34414">
      <c r="Y34414" s="372">
        <v>0.0</v>
      </c>
      <c r="Z34414" s="372">
        <v>0.0</v>
      </c>
    </row>
    <row r="34415">
      <c r="Y34415" s="372">
        <v>0.0</v>
      </c>
      <c r="Z34415" s="372">
        <v>0.0</v>
      </c>
    </row>
    <row r="34416">
      <c r="Y34416" s="372">
        <v>0.0</v>
      </c>
      <c r="Z34416" s="372">
        <v>0.0</v>
      </c>
    </row>
    <row r="34417">
      <c r="Y34417" s="372">
        <v>0.0</v>
      </c>
      <c r="Z34417" s="372">
        <v>0.0</v>
      </c>
    </row>
    <row r="34418">
      <c r="Y34418" s="372">
        <v>0.0</v>
      </c>
      <c r="Z34418" s="372">
        <v>0.0</v>
      </c>
    </row>
    <row r="34419">
      <c r="Y34419" s="372">
        <v>0.0</v>
      </c>
      <c r="Z34419" s="372">
        <v>0.0</v>
      </c>
    </row>
    <row r="34420">
      <c r="Y34420" s="372">
        <v>0.0</v>
      </c>
      <c r="Z34420" s="372">
        <v>0.0</v>
      </c>
    </row>
    <row r="34421">
      <c r="Y34421" s="372">
        <v>0.0</v>
      </c>
      <c r="Z34421" s="372">
        <v>0.0</v>
      </c>
    </row>
    <row r="34422">
      <c r="Y34422" s="372">
        <v>0.0</v>
      </c>
      <c r="Z34422" s="372">
        <v>0.0</v>
      </c>
    </row>
    <row r="34423">
      <c r="Y34423" s="372">
        <v>0.0</v>
      </c>
      <c r="Z34423" s="372">
        <v>0.0</v>
      </c>
    </row>
    <row r="34424">
      <c r="Y34424" s="372">
        <v>0.0</v>
      </c>
      <c r="Z34424" s="372">
        <v>0.0</v>
      </c>
    </row>
    <row r="34425">
      <c r="Y34425" s="372">
        <v>0.0</v>
      </c>
      <c r="Z34425" s="372">
        <v>0.0</v>
      </c>
    </row>
    <row r="34426">
      <c r="Y34426" s="372">
        <v>0.0</v>
      </c>
      <c r="Z34426" s="372">
        <v>0.0</v>
      </c>
    </row>
    <row r="34427">
      <c r="Y34427" s="372">
        <v>0.0</v>
      </c>
      <c r="Z34427" s="372">
        <v>0.0</v>
      </c>
    </row>
    <row r="34428">
      <c r="Y34428" s="372">
        <v>0.0</v>
      </c>
      <c r="Z34428" s="372">
        <v>0.0</v>
      </c>
    </row>
    <row r="34429">
      <c r="Y34429" s="372">
        <v>0.0</v>
      </c>
      <c r="Z34429" s="372">
        <v>0.0</v>
      </c>
    </row>
    <row r="34430">
      <c r="Y34430" s="372">
        <v>0.0</v>
      </c>
      <c r="Z34430" s="372">
        <v>0.0</v>
      </c>
    </row>
    <row r="34431">
      <c r="Y34431" s="372">
        <v>0.0</v>
      </c>
      <c r="Z34431" s="372">
        <v>0.0</v>
      </c>
    </row>
    <row r="34432">
      <c r="Y34432" s="372">
        <v>0.0</v>
      </c>
      <c r="Z34432" s="372">
        <v>0.0</v>
      </c>
    </row>
    <row r="34433">
      <c r="Y34433" s="372">
        <v>0.0</v>
      </c>
      <c r="Z34433" s="372">
        <v>0.0</v>
      </c>
    </row>
    <row r="34434">
      <c r="Y34434" s="372">
        <v>0.0</v>
      </c>
      <c r="Z34434" s="372">
        <v>0.0</v>
      </c>
    </row>
    <row r="34435">
      <c r="Y34435" s="372">
        <v>0.0</v>
      </c>
      <c r="Z34435" s="372">
        <v>0.0</v>
      </c>
    </row>
    <row r="34436">
      <c r="Y34436" s="372">
        <v>0.0</v>
      </c>
      <c r="Z34436" s="372">
        <v>0.0</v>
      </c>
    </row>
    <row r="34437">
      <c r="Y34437" s="372">
        <v>0.0</v>
      </c>
      <c r="Z34437" s="372">
        <v>0.0</v>
      </c>
    </row>
    <row r="34438">
      <c r="Y34438" s="372">
        <v>0.0</v>
      </c>
      <c r="Z34438" s="372">
        <v>0.0</v>
      </c>
    </row>
    <row r="34439">
      <c r="Y34439" s="372">
        <v>0.0</v>
      </c>
      <c r="Z34439" s="372">
        <v>0.0</v>
      </c>
    </row>
    <row r="34440">
      <c r="Y34440" s="372">
        <v>0.0</v>
      </c>
      <c r="Z34440" s="372">
        <v>0.0</v>
      </c>
    </row>
    <row r="34441">
      <c r="Y34441" s="372">
        <v>0.0</v>
      </c>
      <c r="Z34441" s="372">
        <v>0.0</v>
      </c>
    </row>
    <row r="34442">
      <c r="Y34442" s="372">
        <v>0.0</v>
      </c>
      <c r="Z34442" s="372">
        <v>0.0</v>
      </c>
    </row>
    <row r="34443">
      <c r="Y34443" s="372">
        <v>0.0</v>
      </c>
      <c r="Z34443" s="372">
        <v>0.0</v>
      </c>
    </row>
    <row r="34444">
      <c r="Y34444" s="372">
        <v>0.0</v>
      </c>
      <c r="Z34444" s="372">
        <v>0.0</v>
      </c>
    </row>
    <row r="34445">
      <c r="Y34445" s="372">
        <v>0.0</v>
      </c>
      <c r="Z34445" s="372">
        <v>0.0</v>
      </c>
    </row>
    <row r="34446">
      <c r="Y34446" s="372">
        <v>0.0</v>
      </c>
      <c r="Z34446" s="372">
        <v>0.0</v>
      </c>
    </row>
    <row r="34447">
      <c r="Y34447" s="372">
        <v>0.0</v>
      </c>
      <c r="Z34447" s="372">
        <v>0.0</v>
      </c>
    </row>
    <row r="34448">
      <c r="Y34448" s="372">
        <v>0.0</v>
      </c>
      <c r="Z34448" s="372">
        <v>0.0</v>
      </c>
    </row>
    <row r="34449">
      <c r="Y34449" s="372">
        <v>0.0</v>
      </c>
      <c r="Z34449" s="372">
        <v>0.0</v>
      </c>
    </row>
    <row r="34450">
      <c r="Y34450" s="372">
        <v>0.0</v>
      </c>
      <c r="Z34450" s="372">
        <v>0.0</v>
      </c>
    </row>
    <row r="34451">
      <c r="Y34451" s="372">
        <v>0.0</v>
      </c>
      <c r="Z34451" s="372">
        <v>0.0</v>
      </c>
    </row>
    <row r="34452">
      <c r="Y34452" s="372">
        <v>0.0</v>
      </c>
      <c r="Z34452" s="372">
        <v>0.0</v>
      </c>
    </row>
    <row r="34453">
      <c r="Y34453" s="372">
        <v>0.0</v>
      </c>
      <c r="Z34453" s="372">
        <v>0.0</v>
      </c>
    </row>
    <row r="34454">
      <c r="Y34454" s="372">
        <v>0.0</v>
      </c>
      <c r="Z34454" s="372">
        <v>0.0</v>
      </c>
    </row>
    <row r="34455">
      <c r="Y34455" s="372">
        <v>0.0</v>
      </c>
      <c r="Z34455" s="372">
        <v>0.0</v>
      </c>
    </row>
    <row r="34456">
      <c r="Y34456" s="372">
        <v>0.0</v>
      </c>
      <c r="Z34456" s="372">
        <v>0.0</v>
      </c>
    </row>
    <row r="34457">
      <c r="Y34457" s="372">
        <v>0.0</v>
      </c>
      <c r="Z34457" s="372">
        <v>0.0</v>
      </c>
    </row>
    <row r="34458">
      <c r="Y34458" s="372">
        <v>0.0</v>
      </c>
      <c r="Z34458" s="372">
        <v>0.0</v>
      </c>
    </row>
    <row r="34459">
      <c r="Y34459" s="372">
        <v>0.0</v>
      </c>
      <c r="Z34459" s="372">
        <v>0.0</v>
      </c>
    </row>
    <row r="34460">
      <c r="Y34460" s="372">
        <v>0.0</v>
      </c>
      <c r="Z34460" s="372">
        <v>0.0</v>
      </c>
    </row>
    <row r="34461">
      <c r="Y34461" s="372">
        <v>0.0</v>
      </c>
      <c r="Z34461" s="372">
        <v>0.0</v>
      </c>
    </row>
    <row r="34462">
      <c r="Y34462" s="372">
        <v>0.0</v>
      </c>
      <c r="Z34462" s="372">
        <v>0.0</v>
      </c>
    </row>
    <row r="34463">
      <c r="Y34463" s="372">
        <v>0.0</v>
      </c>
      <c r="Z34463" s="372">
        <v>0.0</v>
      </c>
    </row>
    <row r="34464">
      <c r="Y34464" s="372">
        <v>0.0</v>
      </c>
      <c r="Z34464" s="372">
        <v>0.0</v>
      </c>
    </row>
    <row r="34465">
      <c r="Y34465" s="372">
        <v>0.0</v>
      </c>
      <c r="Z34465" s="372">
        <v>0.0</v>
      </c>
    </row>
    <row r="34466">
      <c r="Y34466" s="372">
        <v>0.0</v>
      </c>
      <c r="Z34466" s="372">
        <v>0.0</v>
      </c>
    </row>
    <row r="34467">
      <c r="Y34467" s="372">
        <v>0.0</v>
      </c>
      <c r="Z34467" s="372">
        <v>0.0</v>
      </c>
    </row>
    <row r="34468">
      <c r="Y34468" s="372">
        <v>0.0</v>
      </c>
      <c r="Z34468" s="372">
        <v>0.0</v>
      </c>
    </row>
    <row r="34469">
      <c r="Y34469" s="372">
        <v>0.0</v>
      </c>
      <c r="Z34469" s="372">
        <v>0.0</v>
      </c>
    </row>
    <row r="34470">
      <c r="Y34470" s="372">
        <v>0.0</v>
      </c>
      <c r="Z34470" s="372">
        <v>0.0</v>
      </c>
    </row>
    <row r="34471">
      <c r="Y34471" s="372">
        <v>0.0</v>
      </c>
      <c r="Z34471" s="372">
        <v>0.0</v>
      </c>
    </row>
    <row r="34472">
      <c r="Y34472" s="372">
        <v>0.0</v>
      </c>
      <c r="Z34472" s="372">
        <v>0.0</v>
      </c>
    </row>
    <row r="34473">
      <c r="Y34473" s="372">
        <v>0.0</v>
      </c>
      <c r="Z34473" s="372">
        <v>0.0</v>
      </c>
    </row>
    <row r="34474">
      <c r="Y34474" s="372">
        <v>0.0</v>
      </c>
      <c r="Z34474" s="372">
        <v>0.0</v>
      </c>
    </row>
    <row r="34475">
      <c r="Y34475" s="372">
        <v>0.0</v>
      </c>
      <c r="Z34475" s="372">
        <v>0.0</v>
      </c>
    </row>
    <row r="34476">
      <c r="Y34476" s="372">
        <v>0.0</v>
      </c>
      <c r="Z34476" s="372">
        <v>0.0</v>
      </c>
    </row>
    <row r="34477">
      <c r="Y34477" s="372">
        <v>0.0</v>
      </c>
      <c r="Z34477" s="372">
        <v>0.0</v>
      </c>
    </row>
    <row r="34478">
      <c r="Y34478" s="372">
        <v>0.0</v>
      </c>
      <c r="Z34478" s="372">
        <v>0.0</v>
      </c>
    </row>
    <row r="34479">
      <c r="Y34479" s="372">
        <v>0.0</v>
      </c>
      <c r="Z34479" s="372">
        <v>0.0</v>
      </c>
    </row>
    <row r="34480">
      <c r="Y34480" s="372">
        <v>0.0</v>
      </c>
      <c r="Z34480" s="372">
        <v>0.0</v>
      </c>
    </row>
    <row r="34481">
      <c r="Y34481" s="372">
        <v>0.0</v>
      </c>
      <c r="Z34481" s="372">
        <v>0.0</v>
      </c>
    </row>
    <row r="34482">
      <c r="Y34482" s="372">
        <v>0.0</v>
      </c>
      <c r="Z34482" s="372">
        <v>0.0</v>
      </c>
    </row>
    <row r="34483">
      <c r="Y34483" s="372">
        <v>0.0</v>
      </c>
      <c r="Z34483" s="372">
        <v>0.0</v>
      </c>
    </row>
    <row r="34484">
      <c r="Y34484" s="372">
        <v>0.0</v>
      </c>
      <c r="Z34484" s="372">
        <v>0.0</v>
      </c>
    </row>
    <row r="34485">
      <c r="Y34485" s="372">
        <v>0.0</v>
      </c>
      <c r="Z34485" s="372">
        <v>0.0</v>
      </c>
    </row>
    <row r="34486">
      <c r="Y34486" s="372">
        <v>0.0</v>
      </c>
      <c r="Z34486" s="372">
        <v>0.0</v>
      </c>
    </row>
    <row r="34487">
      <c r="Y34487" s="372">
        <v>0.0</v>
      </c>
      <c r="Z34487" s="372">
        <v>0.0</v>
      </c>
    </row>
    <row r="34488">
      <c r="Y34488" s="372">
        <v>0.0</v>
      </c>
      <c r="Z34488" s="372">
        <v>0.0</v>
      </c>
    </row>
    <row r="34489">
      <c r="Y34489" s="372">
        <v>0.0</v>
      </c>
      <c r="Z34489" s="372">
        <v>0.0</v>
      </c>
    </row>
    <row r="34490">
      <c r="Y34490" s="372">
        <v>0.0</v>
      </c>
      <c r="Z34490" s="372">
        <v>0.0</v>
      </c>
    </row>
    <row r="34491">
      <c r="Y34491" s="372">
        <v>0.0</v>
      </c>
      <c r="Z34491" s="372">
        <v>0.0</v>
      </c>
    </row>
    <row r="34492">
      <c r="Y34492" s="372">
        <v>0.0</v>
      </c>
      <c r="Z34492" s="372">
        <v>0.0</v>
      </c>
    </row>
    <row r="34493">
      <c r="Y34493" s="372">
        <v>0.0</v>
      </c>
      <c r="Z34493" s="372">
        <v>0.0</v>
      </c>
    </row>
    <row r="34494">
      <c r="Y34494" s="372">
        <v>0.0</v>
      </c>
      <c r="Z34494" s="372">
        <v>0.0</v>
      </c>
    </row>
    <row r="34495">
      <c r="Y34495" s="372">
        <v>0.0</v>
      </c>
      <c r="Z34495" s="372">
        <v>0.0</v>
      </c>
    </row>
    <row r="34496">
      <c r="Y34496" s="372">
        <v>0.0</v>
      </c>
      <c r="Z34496" s="372">
        <v>0.0</v>
      </c>
    </row>
    <row r="34497">
      <c r="Y34497" s="372">
        <v>0.0</v>
      </c>
      <c r="Z34497" s="372">
        <v>0.0</v>
      </c>
    </row>
    <row r="34498">
      <c r="Y34498" s="372">
        <v>0.0</v>
      </c>
      <c r="Z34498" s="372">
        <v>0.0</v>
      </c>
    </row>
    <row r="34499">
      <c r="Y34499" s="372">
        <v>0.0</v>
      </c>
      <c r="Z34499" s="372">
        <v>0.0</v>
      </c>
    </row>
    <row r="34500">
      <c r="Y34500" s="372">
        <v>0.0</v>
      </c>
      <c r="Z34500" s="372">
        <v>0.0</v>
      </c>
    </row>
    <row r="34501">
      <c r="Y34501" s="372">
        <v>0.0</v>
      </c>
      <c r="Z34501" s="372">
        <v>0.0</v>
      </c>
    </row>
    <row r="34502">
      <c r="Y34502" s="372">
        <v>0.0</v>
      </c>
      <c r="Z34502" s="372">
        <v>0.0</v>
      </c>
    </row>
    <row r="34503">
      <c r="Y34503" s="372">
        <v>0.0</v>
      </c>
      <c r="Z34503" s="372">
        <v>0.0</v>
      </c>
    </row>
    <row r="34504">
      <c r="Y34504" s="372">
        <v>0.0</v>
      </c>
      <c r="Z34504" s="372">
        <v>0.0</v>
      </c>
    </row>
    <row r="34505">
      <c r="Y34505" s="372">
        <v>0.0</v>
      </c>
      <c r="Z34505" s="372">
        <v>0.0</v>
      </c>
    </row>
    <row r="34506">
      <c r="Y34506" s="372">
        <v>0.0</v>
      </c>
      <c r="Z34506" s="372">
        <v>0.0</v>
      </c>
    </row>
    <row r="34507">
      <c r="Y34507" s="372">
        <v>0.0</v>
      </c>
      <c r="Z34507" s="372">
        <v>0.0</v>
      </c>
    </row>
    <row r="34508">
      <c r="Y34508" s="372">
        <v>0.0</v>
      </c>
      <c r="Z34508" s="372">
        <v>0.0</v>
      </c>
    </row>
    <row r="34509">
      <c r="Y34509" s="372">
        <v>0.0</v>
      </c>
      <c r="Z34509" s="372">
        <v>0.0</v>
      </c>
    </row>
    <row r="34510">
      <c r="Y34510" s="372">
        <v>0.0</v>
      </c>
      <c r="Z34510" s="372">
        <v>0.0</v>
      </c>
    </row>
    <row r="34511">
      <c r="Y34511" s="372">
        <v>0.0</v>
      </c>
      <c r="Z34511" s="372">
        <v>0.0</v>
      </c>
    </row>
    <row r="34512">
      <c r="Y34512" s="372">
        <v>0.0</v>
      </c>
      <c r="Z34512" s="372">
        <v>0.0</v>
      </c>
    </row>
    <row r="34513">
      <c r="Y34513" s="372">
        <v>0.0</v>
      </c>
      <c r="Z34513" s="372">
        <v>0.0</v>
      </c>
    </row>
    <row r="34514">
      <c r="Y34514" s="372">
        <v>0.0</v>
      </c>
      <c r="Z34514" s="372">
        <v>0.0</v>
      </c>
    </row>
    <row r="34515">
      <c r="Y34515" s="372">
        <v>0.0</v>
      </c>
      <c r="Z34515" s="372">
        <v>0.0</v>
      </c>
    </row>
    <row r="34516">
      <c r="Y34516" s="372">
        <v>0.0</v>
      </c>
      <c r="Z34516" s="372">
        <v>0.0</v>
      </c>
    </row>
    <row r="34517">
      <c r="Y34517" s="372">
        <v>0.0</v>
      </c>
      <c r="Z34517" s="372">
        <v>0.0</v>
      </c>
    </row>
    <row r="34518">
      <c r="Y34518" s="372">
        <v>0.0</v>
      </c>
      <c r="Z34518" s="372">
        <v>0.0</v>
      </c>
    </row>
    <row r="34519">
      <c r="Y34519" s="372">
        <v>0.0</v>
      </c>
      <c r="Z34519" s="372">
        <v>0.0</v>
      </c>
    </row>
    <row r="34520">
      <c r="Y34520" s="372">
        <v>0.0</v>
      </c>
      <c r="Z34520" s="372">
        <v>0.0</v>
      </c>
    </row>
    <row r="34521">
      <c r="Y34521" s="372">
        <v>0.0</v>
      </c>
      <c r="Z34521" s="372">
        <v>0.0</v>
      </c>
    </row>
    <row r="34522">
      <c r="Y34522" s="372">
        <v>0.0</v>
      </c>
      <c r="Z34522" s="372">
        <v>0.0</v>
      </c>
    </row>
    <row r="34523">
      <c r="Y34523" s="372">
        <v>0.0</v>
      </c>
      <c r="Z34523" s="372">
        <v>0.0</v>
      </c>
    </row>
    <row r="34524">
      <c r="Y34524" s="372">
        <v>0.0</v>
      </c>
      <c r="Z34524" s="372">
        <v>0.0</v>
      </c>
    </row>
    <row r="34525">
      <c r="Y34525" s="372">
        <v>0.0</v>
      </c>
      <c r="Z34525" s="372">
        <v>0.0</v>
      </c>
    </row>
    <row r="34526">
      <c r="Y34526" s="372">
        <v>0.0</v>
      </c>
      <c r="Z34526" s="372">
        <v>0.0</v>
      </c>
    </row>
    <row r="34527">
      <c r="Y34527" s="372">
        <v>0.0</v>
      </c>
      <c r="Z34527" s="372">
        <v>0.0</v>
      </c>
    </row>
    <row r="34528">
      <c r="Y34528" s="372">
        <v>0.0</v>
      </c>
      <c r="Z34528" s="372">
        <v>0.0</v>
      </c>
    </row>
    <row r="34529">
      <c r="Y34529" s="372">
        <v>0.0</v>
      </c>
      <c r="Z34529" s="372">
        <v>0.0</v>
      </c>
    </row>
    <row r="34530">
      <c r="Y34530" s="372">
        <v>0.0</v>
      </c>
      <c r="Z34530" s="372">
        <v>0.0</v>
      </c>
    </row>
    <row r="34531">
      <c r="Y34531" s="372">
        <v>0.0</v>
      </c>
      <c r="Z34531" s="372">
        <v>0.0</v>
      </c>
    </row>
    <row r="34532">
      <c r="Y34532" s="372">
        <v>0.0</v>
      </c>
      <c r="Z34532" s="372">
        <v>0.0</v>
      </c>
    </row>
    <row r="34533">
      <c r="Y34533" s="372">
        <v>0.0</v>
      </c>
      <c r="Z34533" s="372">
        <v>0.0</v>
      </c>
    </row>
    <row r="34534">
      <c r="Y34534" s="372">
        <v>0.0</v>
      </c>
      <c r="Z34534" s="372">
        <v>0.0</v>
      </c>
    </row>
    <row r="34535">
      <c r="Y34535" s="372">
        <v>0.0</v>
      </c>
      <c r="Z34535" s="372">
        <v>0.0</v>
      </c>
    </row>
    <row r="34536">
      <c r="Y34536" s="372">
        <v>0.0</v>
      </c>
      <c r="Z34536" s="372">
        <v>0.0</v>
      </c>
    </row>
    <row r="34537">
      <c r="Y34537" s="372">
        <v>0.0</v>
      </c>
      <c r="Z34537" s="372">
        <v>0.0</v>
      </c>
    </row>
    <row r="34538">
      <c r="Y34538" s="372">
        <v>0.0</v>
      </c>
      <c r="Z34538" s="372">
        <v>0.0</v>
      </c>
    </row>
    <row r="34539">
      <c r="Y34539" s="372">
        <v>0.0</v>
      </c>
      <c r="Z34539" s="372">
        <v>0.0</v>
      </c>
    </row>
    <row r="34540">
      <c r="Y34540" s="372">
        <v>0.0</v>
      </c>
      <c r="Z34540" s="372">
        <v>0.0</v>
      </c>
    </row>
    <row r="34541">
      <c r="Y34541" s="372">
        <v>0.0</v>
      </c>
      <c r="Z34541" s="372">
        <v>0.0</v>
      </c>
    </row>
    <row r="34542">
      <c r="Y34542" s="372">
        <v>0.0</v>
      </c>
      <c r="Z34542" s="372">
        <v>0.0</v>
      </c>
    </row>
    <row r="34543">
      <c r="Y34543" s="372">
        <v>0.0</v>
      </c>
      <c r="Z34543" s="372">
        <v>0.0</v>
      </c>
    </row>
    <row r="34544">
      <c r="Y34544" s="372">
        <v>0.0</v>
      </c>
      <c r="Z34544" s="372">
        <v>0.0</v>
      </c>
    </row>
    <row r="34545">
      <c r="Y34545" s="372">
        <v>0.0</v>
      </c>
      <c r="Z34545" s="372">
        <v>0.0</v>
      </c>
    </row>
    <row r="34546">
      <c r="Y34546" s="372">
        <v>0.0</v>
      </c>
      <c r="Z34546" s="372">
        <v>0.0</v>
      </c>
    </row>
    <row r="34547">
      <c r="Y34547" s="372">
        <v>0.0</v>
      </c>
      <c r="Z34547" s="372">
        <v>0.0</v>
      </c>
    </row>
    <row r="34548">
      <c r="Y34548" s="372">
        <v>0.0</v>
      </c>
      <c r="Z34548" s="372">
        <v>0.0</v>
      </c>
    </row>
    <row r="34549">
      <c r="Y34549" s="372">
        <v>0.0</v>
      </c>
      <c r="Z34549" s="372">
        <v>0.0</v>
      </c>
    </row>
    <row r="34550">
      <c r="Y34550" s="372">
        <v>0.0</v>
      </c>
      <c r="Z34550" s="372">
        <v>0.0</v>
      </c>
    </row>
    <row r="34551">
      <c r="Y34551" s="372">
        <v>0.0</v>
      </c>
      <c r="Z34551" s="372">
        <v>0.0</v>
      </c>
    </row>
    <row r="34552">
      <c r="Y34552" s="372">
        <v>0.0</v>
      </c>
      <c r="Z34552" s="372">
        <v>0.0</v>
      </c>
    </row>
    <row r="34553">
      <c r="Y34553" s="372">
        <v>0.0</v>
      </c>
      <c r="Z34553" s="372">
        <v>0.0</v>
      </c>
    </row>
    <row r="34554">
      <c r="Y34554" s="372">
        <v>0.0</v>
      </c>
      <c r="Z34554" s="372">
        <v>0.0</v>
      </c>
    </row>
    <row r="34555">
      <c r="Y34555" s="372">
        <v>0.0</v>
      </c>
      <c r="Z34555" s="372">
        <v>0.0</v>
      </c>
    </row>
    <row r="34556">
      <c r="Y34556" s="372">
        <v>0.0</v>
      </c>
      <c r="Z34556" s="372">
        <v>0.0</v>
      </c>
    </row>
    <row r="34557">
      <c r="Y34557" s="372">
        <v>0.0</v>
      </c>
      <c r="Z34557" s="372">
        <v>0.0</v>
      </c>
    </row>
    <row r="34558">
      <c r="Y34558" s="372">
        <v>0.0</v>
      </c>
      <c r="Z34558" s="372">
        <v>0.0</v>
      </c>
    </row>
    <row r="34559">
      <c r="Y34559" s="372">
        <v>0.0</v>
      </c>
      <c r="Z34559" s="372">
        <v>0.0</v>
      </c>
    </row>
    <row r="34560">
      <c r="Y34560" s="372">
        <v>0.0</v>
      </c>
      <c r="Z34560" s="372">
        <v>0.0</v>
      </c>
    </row>
    <row r="34561">
      <c r="Y34561" s="372">
        <v>0.0</v>
      </c>
      <c r="Z34561" s="372">
        <v>0.0</v>
      </c>
    </row>
    <row r="34562">
      <c r="Y34562" s="372">
        <v>0.0</v>
      </c>
      <c r="Z34562" s="372">
        <v>0.0</v>
      </c>
    </row>
    <row r="34563">
      <c r="Y34563" s="372">
        <v>0.0</v>
      </c>
      <c r="Z34563" s="372">
        <v>0.0</v>
      </c>
    </row>
    <row r="34564">
      <c r="Y34564" s="372">
        <v>0.0</v>
      </c>
      <c r="Z34564" s="372">
        <v>0.0</v>
      </c>
    </row>
    <row r="34565">
      <c r="Y34565" s="372">
        <v>0.0</v>
      </c>
      <c r="Z34565" s="372">
        <v>0.0</v>
      </c>
    </row>
    <row r="34566">
      <c r="Y34566" s="372">
        <v>0.0</v>
      </c>
      <c r="Z34566" s="372">
        <v>0.0</v>
      </c>
    </row>
    <row r="34567">
      <c r="Y34567" s="372">
        <v>0.0</v>
      </c>
      <c r="Z34567" s="372">
        <v>0.0</v>
      </c>
    </row>
    <row r="34568">
      <c r="Y34568" s="372">
        <v>0.0</v>
      </c>
      <c r="Z34568" s="372">
        <v>0.0</v>
      </c>
    </row>
    <row r="34569">
      <c r="Y34569" s="372">
        <v>0.0</v>
      </c>
      <c r="Z34569" s="372">
        <v>0.0</v>
      </c>
    </row>
    <row r="34570">
      <c r="Y34570" s="372">
        <v>0.0</v>
      </c>
      <c r="Z34570" s="372">
        <v>0.0</v>
      </c>
    </row>
    <row r="34571">
      <c r="Y34571" s="372">
        <v>0.0</v>
      </c>
      <c r="Z34571" s="372">
        <v>0.0</v>
      </c>
    </row>
    <row r="34572">
      <c r="Y34572" s="372">
        <v>0.0</v>
      </c>
      <c r="Z34572" s="372">
        <v>0.0</v>
      </c>
    </row>
    <row r="34573">
      <c r="Y34573" s="372">
        <v>0.0</v>
      </c>
      <c r="Z34573" s="372">
        <v>0.0</v>
      </c>
    </row>
    <row r="34574">
      <c r="Y34574" s="372">
        <v>0.0</v>
      </c>
      <c r="Z34574" s="372">
        <v>0.0</v>
      </c>
    </row>
    <row r="34575">
      <c r="Y34575" s="372">
        <v>0.0</v>
      </c>
      <c r="Z34575" s="372">
        <v>0.0</v>
      </c>
    </row>
    <row r="34576">
      <c r="Y34576" s="372">
        <v>0.0</v>
      </c>
      <c r="Z34576" s="372">
        <v>0.0</v>
      </c>
    </row>
    <row r="34577">
      <c r="Y34577" s="372">
        <v>0.0</v>
      </c>
      <c r="Z34577" s="372">
        <v>0.0</v>
      </c>
    </row>
    <row r="34578">
      <c r="Y34578" s="372">
        <v>0.0</v>
      </c>
      <c r="Z34578" s="372">
        <v>0.0</v>
      </c>
    </row>
    <row r="34579">
      <c r="Y34579" s="372">
        <v>0.0</v>
      </c>
      <c r="Z34579" s="372">
        <v>0.0</v>
      </c>
    </row>
    <row r="34580">
      <c r="Y34580" s="372">
        <v>0.0</v>
      </c>
      <c r="Z34580" s="372">
        <v>0.0</v>
      </c>
    </row>
    <row r="34581">
      <c r="Y34581" s="372">
        <v>0.0</v>
      </c>
      <c r="Z34581" s="372">
        <v>0.0</v>
      </c>
    </row>
    <row r="34582">
      <c r="Y34582" s="372">
        <v>0.0</v>
      </c>
      <c r="Z34582" s="372">
        <v>0.0</v>
      </c>
    </row>
    <row r="34583">
      <c r="Y34583" s="372">
        <v>0.0</v>
      </c>
      <c r="Z34583" s="372">
        <v>0.0</v>
      </c>
    </row>
    <row r="34584">
      <c r="Y34584" s="372">
        <v>0.0</v>
      </c>
      <c r="Z34584" s="372">
        <v>0.0</v>
      </c>
    </row>
    <row r="34585">
      <c r="Y34585" s="372">
        <v>0.0</v>
      </c>
      <c r="Z34585" s="372">
        <v>0.0</v>
      </c>
    </row>
    <row r="34586">
      <c r="Y34586" s="372">
        <v>0.0</v>
      </c>
      <c r="Z34586" s="372">
        <v>0.0</v>
      </c>
    </row>
    <row r="34587">
      <c r="Y34587" s="372">
        <v>0.0</v>
      </c>
      <c r="Z34587" s="372">
        <v>0.0</v>
      </c>
    </row>
    <row r="34588">
      <c r="Y34588" s="372">
        <v>0.0</v>
      </c>
      <c r="Z34588" s="372">
        <v>0.0</v>
      </c>
    </row>
    <row r="34589">
      <c r="Y34589" s="372">
        <v>0.0</v>
      </c>
      <c r="Z34589" s="372">
        <v>0.0</v>
      </c>
    </row>
    <row r="34590">
      <c r="Y34590" s="372">
        <v>0.0</v>
      </c>
      <c r="Z34590" s="372">
        <v>0.0</v>
      </c>
    </row>
    <row r="34591">
      <c r="Y34591" s="372">
        <v>0.0</v>
      </c>
      <c r="Z34591" s="372">
        <v>0.0</v>
      </c>
    </row>
    <row r="34592">
      <c r="Y34592" s="372">
        <v>0.0</v>
      </c>
      <c r="Z34592" s="372">
        <v>0.0</v>
      </c>
    </row>
    <row r="34593">
      <c r="Y34593" s="372">
        <v>0.0</v>
      </c>
      <c r="Z34593" s="372">
        <v>0.0</v>
      </c>
    </row>
    <row r="34594">
      <c r="Y34594" s="372">
        <v>0.0</v>
      </c>
      <c r="Z34594" s="372">
        <v>0.0</v>
      </c>
    </row>
    <row r="34595">
      <c r="Y34595" s="372">
        <v>0.0</v>
      </c>
      <c r="Z34595" s="372">
        <v>0.0</v>
      </c>
    </row>
    <row r="34596">
      <c r="Y34596" s="372">
        <v>0.0</v>
      </c>
      <c r="Z34596" s="372">
        <v>0.0</v>
      </c>
    </row>
    <row r="34597">
      <c r="Y34597" s="372">
        <v>0.0</v>
      </c>
      <c r="Z34597" s="372">
        <v>0.0</v>
      </c>
    </row>
    <row r="34598">
      <c r="Y34598" s="372">
        <v>0.0</v>
      </c>
      <c r="Z34598" s="372">
        <v>0.0</v>
      </c>
    </row>
    <row r="34599">
      <c r="Y34599" s="372">
        <v>0.0</v>
      </c>
      <c r="Z34599" s="372">
        <v>0.0</v>
      </c>
    </row>
    <row r="34600">
      <c r="Y34600" s="372">
        <v>0.0</v>
      </c>
      <c r="Z34600" s="372">
        <v>0.0</v>
      </c>
    </row>
    <row r="34601">
      <c r="Y34601" s="372">
        <v>0.0</v>
      </c>
      <c r="Z34601" s="372">
        <v>0.0</v>
      </c>
    </row>
    <row r="34602">
      <c r="Y34602" s="372">
        <v>0.0</v>
      </c>
      <c r="Z34602" s="372">
        <v>0.0</v>
      </c>
    </row>
    <row r="34603">
      <c r="Y34603" s="372">
        <v>0.0</v>
      </c>
      <c r="Z34603" s="372">
        <v>0.0</v>
      </c>
    </row>
    <row r="34604">
      <c r="Y34604" s="372">
        <v>0.0</v>
      </c>
      <c r="Z34604" s="372">
        <v>0.0</v>
      </c>
    </row>
    <row r="34605">
      <c r="Y34605" s="372">
        <v>0.0</v>
      </c>
      <c r="Z34605" s="372">
        <v>0.0</v>
      </c>
    </row>
    <row r="34606">
      <c r="Y34606" s="372">
        <v>0.0</v>
      </c>
      <c r="Z34606" s="372">
        <v>0.0</v>
      </c>
    </row>
    <row r="34607">
      <c r="Y34607" s="372">
        <v>0.0</v>
      </c>
      <c r="Z34607" s="372">
        <v>0.0</v>
      </c>
    </row>
    <row r="34608">
      <c r="Y34608" s="372">
        <v>0.0</v>
      </c>
      <c r="Z34608" s="372">
        <v>0.0</v>
      </c>
    </row>
    <row r="34609">
      <c r="Y34609" s="372">
        <v>0.0</v>
      </c>
      <c r="Z34609" s="372">
        <v>0.0</v>
      </c>
    </row>
    <row r="34610">
      <c r="Y34610" s="372">
        <v>0.0</v>
      </c>
      <c r="Z34610" s="372">
        <v>0.0</v>
      </c>
    </row>
    <row r="34611">
      <c r="Y34611" s="372">
        <v>0.0</v>
      </c>
      <c r="Z34611" s="372">
        <v>0.0</v>
      </c>
    </row>
    <row r="34612">
      <c r="Y34612" s="372">
        <v>0.0</v>
      </c>
      <c r="Z34612" s="372">
        <v>0.0</v>
      </c>
    </row>
    <row r="34613">
      <c r="Y34613" s="372">
        <v>0.0</v>
      </c>
      <c r="Z34613" s="372">
        <v>0.0</v>
      </c>
    </row>
    <row r="34614">
      <c r="Y34614" s="372">
        <v>0.0</v>
      </c>
      <c r="Z34614" s="372">
        <v>0.0</v>
      </c>
    </row>
    <row r="34615">
      <c r="Y34615" s="372">
        <v>0.0</v>
      </c>
      <c r="Z34615" s="372">
        <v>0.0</v>
      </c>
    </row>
    <row r="34616">
      <c r="Y34616" s="372">
        <v>0.0</v>
      </c>
      <c r="Z34616" s="372">
        <v>0.0</v>
      </c>
    </row>
    <row r="34617">
      <c r="Y34617" s="372">
        <v>0.0</v>
      </c>
      <c r="Z34617" s="372">
        <v>0.0</v>
      </c>
    </row>
    <row r="34618">
      <c r="Y34618" s="372">
        <v>0.0</v>
      </c>
      <c r="Z34618" s="372">
        <v>0.0</v>
      </c>
    </row>
    <row r="34619">
      <c r="Y34619" s="372">
        <v>0.0</v>
      </c>
      <c r="Z34619" s="372">
        <v>0.0</v>
      </c>
    </row>
    <row r="34620">
      <c r="Y34620" s="372">
        <v>0.0</v>
      </c>
      <c r="Z34620" s="372">
        <v>0.0</v>
      </c>
    </row>
    <row r="34621">
      <c r="Y34621" s="372">
        <v>0.0</v>
      </c>
      <c r="Z34621" s="372">
        <v>0.0</v>
      </c>
    </row>
    <row r="34622">
      <c r="Y34622" s="372">
        <v>0.0</v>
      </c>
      <c r="Z34622" s="372">
        <v>0.0</v>
      </c>
    </row>
    <row r="34623">
      <c r="Y34623" s="372">
        <v>0.0</v>
      </c>
      <c r="Z34623" s="372">
        <v>0.0</v>
      </c>
    </row>
    <row r="34624">
      <c r="Y34624" s="372">
        <v>0.0</v>
      </c>
      <c r="Z34624" s="372">
        <v>0.0</v>
      </c>
    </row>
    <row r="34625">
      <c r="Y34625" s="372">
        <v>0.0</v>
      </c>
      <c r="Z34625" s="372">
        <v>0.0</v>
      </c>
    </row>
    <row r="34626">
      <c r="Y34626" s="372">
        <v>0.0</v>
      </c>
      <c r="Z34626" s="372">
        <v>0.0</v>
      </c>
    </row>
    <row r="34627">
      <c r="Y34627" s="372">
        <v>0.0</v>
      </c>
      <c r="Z34627" s="372">
        <v>0.0</v>
      </c>
    </row>
    <row r="34628">
      <c r="Y34628" s="372">
        <v>0.0</v>
      </c>
      <c r="Z34628" s="372">
        <v>0.0</v>
      </c>
    </row>
    <row r="34629">
      <c r="Y34629" s="372">
        <v>0.0</v>
      </c>
      <c r="Z34629" s="372">
        <v>0.0</v>
      </c>
    </row>
    <row r="34630">
      <c r="Y34630" s="372">
        <v>0.0</v>
      </c>
      <c r="Z34630" s="372">
        <v>0.0</v>
      </c>
    </row>
    <row r="34631">
      <c r="Y34631" s="372">
        <v>0.0</v>
      </c>
      <c r="Z34631" s="372">
        <v>0.0</v>
      </c>
    </row>
    <row r="34632">
      <c r="Y34632" s="372">
        <v>0.0</v>
      </c>
      <c r="Z34632" s="372">
        <v>0.0</v>
      </c>
    </row>
    <row r="34633">
      <c r="Y34633" s="372">
        <v>0.0</v>
      </c>
      <c r="Z34633" s="372">
        <v>0.0</v>
      </c>
    </row>
    <row r="34634">
      <c r="Y34634" s="372">
        <v>0.0</v>
      </c>
      <c r="Z34634" s="372">
        <v>0.0</v>
      </c>
    </row>
    <row r="34635">
      <c r="Y34635" s="372">
        <v>0.0</v>
      </c>
      <c r="Z34635" s="372">
        <v>0.0</v>
      </c>
    </row>
    <row r="34636">
      <c r="Y34636" s="372">
        <v>0.0</v>
      </c>
      <c r="Z34636" s="372">
        <v>0.0</v>
      </c>
    </row>
    <row r="34637">
      <c r="Y34637" s="372">
        <v>0.0</v>
      </c>
      <c r="Z34637" s="372">
        <v>0.0</v>
      </c>
    </row>
    <row r="34638">
      <c r="Y34638" s="372">
        <v>0.0</v>
      </c>
      <c r="Z34638" s="372">
        <v>0.0</v>
      </c>
    </row>
    <row r="34639">
      <c r="Y34639" s="372">
        <v>0.0</v>
      </c>
      <c r="Z34639" s="372">
        <v>0.0</v>
      </c>
    </row>
    <row r="34640">
      <c r="Y34640" s="372">
        <v>0.0</v>
      </c>
      <c r="Z34640" s="372">
        <v>0.0</v>
      </c>
    </row>
    <row r="34641">
      <c r="Y34641" s="372">
        <v>0.0</v>
      </c>
      <c r="Z34641" s="372">
        <v>0.0</v>
      </c>
    </row>
    <row r="34642">
      <c r="Y34642" s="372">
        <v>0.0</v>
      </c>
      <c r="Z34642" s="372">
        <v>0.0</v>
      </c>
    </row>
    <row r="34643">
      <c r="Y34643" s="372">
        <v>0.0</v>
      </c>
      <c r="Z34643" s="372">
        <v>0.0</v>
      </c>
    </row>
    <row r="34644">
      <c r="Y34644" s="372">
        <v>0.0</v>
      </c>
      <c r="Z34644" s="372">
        <v>0.0</v>
      </c>
    </row>
    <row r="34645">
      <c r="Y34645" s="372">
        <v>0.0</v>
      </c>
      <c r="Z34645" s="372">
        <v>0.0</v>
      </c>
    </row>
    <row r="34646">
      <c r="Y34646" s="372">
        <v>0.0</v>
      </c>
      <c r="Z34646" s="372">
        <v>0.0</v>
      </c>
    </row>
    <row r="34647">
      <c r="Y34647" s="372">
        <v>0.0</v>
      </c>
      <c r="Z34647" s="372">
        <v>0.0</v>
      </c>
    </row>
    <row r="34648">
      <c r="Y34648" s="372">
        <v>0.0</v>
      </c>
      <c r="Z34648" s="372">
        <v>0.0</v>
      </c>
    </row>
    <row r="34649">
      <c r="Y34649" s="372">
        <v>0.0</v>
      </c>
      <c r="Z34649" s="372">
        <v>0.0</v>
      </c>
    </row>
    <row r="34650">
      <c r="Y34650" s="372">
        <v>0.0</v>
      </c>
      <c r="Z34650" s="372">
        <v>0.0</v>
      </c>
    </row>
    <row r="34651">
      <c r="Y34651" s="372">
        <v>0.0</v>
      </c>
      <c r="Z34651" s="372">
        <v>0.0</v>
      </c>
    </row>
    <row r="34652">
      <c r="Y34652" s="372">
        <v>0.0</v>
      </c>
      <c r="Z34652" s="372">
        <v>0.0</v>
      </c>
    </row>
    <row r="34653">
      <c r="Y34653" s="372">
        <v>0.0</v>
      </c>
      <c r="Z34653" s="372">
        <v>0.0</v>
      </c>
    </row>
    <row r="34654">
      <c r="Y34654" s="372">
        <v>0.0</v>
      </c>
      <c r="Z34654" s="372">
        <v>0.0</v>
      </c>
    </row>
    <row r="34655">
      <c r="Y34655" s="372">
        <v>0.0</v>
      </c>
      <c r="Z34655" s="372">
        <v>0.0</v>
      </c>
    </row>
    <row r="34656">
      <c r="Y34656" s="372">
        <v>0.0</v>
      </c>
      <c r="Z34656" s="372">
        <v>0.0</v>
      </c>
    </row>
    <row r="34657">
      <c r="Y34657" s="372">
        <v>0.0</v>
      </c>
      <c r="Z34657" s="372">
        <v>0.0</v>
      </c>
    </row>
    <row r="34658">
      <c r="Y34658" s="372">
        <v>0.0</v>
      </c>
      <c r="Z34658" s="372">
        <v>0.0</v>
      </c>
    </row>
    <row r="34659">
      <c r="Y34659" s="372">
        <v>0.0</v>
      </c>
      <c r="Z34659" s="372">
        <v>0.0</v>
      </c>
    </row>
    <row r="34660">
      <c r="Y34660" s="372">
        <v>0.0</v>
      </c>
      <c r="Z34660" s="372">
        <v>0.0</v>
      </c>
    </row>
    <row r="34661">
      <c r="Y34661" s="372">
        <v>0.0</v>
      </c>
      <c r="Z34661" s="372">
        <v>0.0</v>
      </c>
    </row>
    <row r="34662">
      <c r="Y34662" s="372">
        <v>0.0</v>
      </c>
      <c r="Z34662" s="372">
        <v>0.0</v>
      </c>
    </row>
    <row r="34663">
      <c r="Y34663" s="372">
        <v>0.0</v>
      </c>
      <c r="Z34663" s="372">
        <v>0.0</v>
      </c>
    </row>
    <row r="34664">
      <c r="Y34664" s="372">
        <v>0.0</v>
      </c>
      <c r="Z34664" s="372">
        <v>0.0</v>
      </c>
    </row>
    <row r="34665">
      <c r="Y34665" s="372">
        <v>0.0</v>
      </c>
      <c r="Z34665" s="372">
        <v>0.0</v>
      </c>
    </row>
    <row r="34666">
      <c r="Y34666" s="372">
        <v>0.0</v>
      </c>
      <c r="Z34666" s="372">
        <v>0.0</v>
      </c>
    </row>
    <row r="34667">
      <c r="Y34667" s="372">
        <v>0.0</v>
      </c>
      <c r="Z34667" s="372">
        <v>0.0</v>
      </c>
    </row>
    <row r="34668">
      <c r="Y34668" s="372">
        <v>0.0</v>
      </c>
      <c r="Z34668" s="372">
        <v>0.0</v>
      </c>
    </row>
    <row r="34669">
      <c r="Y34669" s="372">
        <v>0.0</v>
      </c>
      <c r="Z34669" s="372">
        <v>0.0</v>
      </c>
    </row>
    <row r="34670">
      <c r="Y34670" s="372">
        <v>0.0</v>
      </c>
      <c r="Z34670" s="372">
        <v>0.0</v>
      </c>
    </row>
    <row r="34671">
      <c r="Y34671" s="372">
        <v>0.0</v>
      </c>
      <c r="Z34671" s="372">
        <v>0.0</v>
      </c>
    </row>
    <row r="34672">
      <c r="Y34672" s="372">
        <v>0.0</v>
      </c>
      <c r="Z34672" s="372">
        <v>0.0</v>
      </c>
    </row>
    <row r="34673">
      <c r="Y34673" s="372">
        <v>0.0</v>
      </c>
      <c r="Z34673" s="372">
        <v>0.0</v>
      </c>
    </row>
    <row r="34674">
      <c r="Y34674" s="372">
        <v>0.0</v>
      </c>
      <c r="Z34674" s="372">
        <v>0.0</v>
      </c>
    </row>
    <row r="34675">
      <c r="Y34675" s="372">
        <v>0.0</v>
      </c>
      <c r="Z34675" s="372">
        <v>0.0</v>
      </c>
    </row>
    <row r="34676">
      <c r="Y34676" s="372">
        <v>0.0</v>
      </c>
      <c r="Z34676" s="372">
        <v>0.0</v>
      </c>
    </row>
    <row r="34677">
      <c r="Y34677" s="372">
        <v>0.0</v>
      </c>
      <c r="Z34677" s="372">
        <v>0.0</v>
      </c>
    </row>
    <row r="34678">
      <c r="Y34678" s="372">
        <v>0.0</v>
      </c>
      <c r="Z34678" s="372">
        <v>0.0</v>
      </c>
    </row>
    <row r="34679">
      <c r="Y34679" s="372">
        <v>0.0</v>
      </c>
      <c r="Z34679" s="372">
        <v>0.0</v>
      </c>
    </row>
    <row r="34680">
      <c r="Y34680" s="372">
        <v>0.0</v>
      </c>
      <c r="Z34680" s="372">
        <v>0.0</v>
      </c>
    </row>
    <row r="34681">
      <c r="Y34681" s="372">
        <v>0.0</v>
      </c>
      <c r="Z34681" s="372">
        <v>0.0</v>
      </c>
    </row>
    <row r="34682">
      <c r="Y34682" s="372">
        <v>0.0</v>
      </c>
      <c r="Z34682" s="372">
        <v>0.0</v>
      </c>
    </row>
    <row r="34683">
      <c r="Y34683" s="372">
        <v>0.0</v>
      </c>
      <c r="Z34683" s="372">
        <v>0.0</v>
      </c>
    </row>
    <row r="34684">
      <c r="Y34684" s="372">
        <v>0.0</v>
      </c>
      <c r="Z34684" s="372">
        <v>0.0</v>
      </c>
    </row>
    <row r="34685">
      <c r="Y34685" s="372">
        <v>0.0</v>
      </c>
      <c r="Z34685" s="372">
        <v>0.0</v>
      </c>
    </row>
    <row r="34686">
      <c r="Y34686" s="372">
        <v>0.0</v>
      </c>
      <c r="Z34686" s="372">
        <v>0.0</v>
      </c>
    </row>
    <row r="34687">
      <c r="Y34687" s="372">
        <v>0.0</v>
      </c>
      <c r="Z34687" s="372">
        <v>0.0</v>
      </c>
    </row>
    <row r="34688">
      <c r="Y34688" s="372">
        <v>0.0</v>
      </c>
      <c r="Z34688" s="372">
        <v>0.0</v>
      </c>
    </row>
    <row r="34689">
      <c r="Y34689" s="372">
        <v>0.0</v>
      </c>
      <c r="Z34689" s="372">
        <v>0.0</v>
      </c>
    </row>
    <row r="34690">
      <c r="Y34690" s="372">
        <v>0.0</v>
      </c>
      <c r="Z34690" s="372">
        <v>0.0</v>
      </c>
    </row>
    <row r="34691">
      <c r="Y34691" s="372">
        <v>0.0</v>
      </c>
      <c r="Z34691" s="372">
        <v>0.0</v>
      </c>
    </row>
    <row r="34692">
      <c r="Y34692" s="372">
        <v>0.0</v>
      </c>
      <c r="Z34692" s="372">
        <v>0.0</v>
      </c>
    </row>
    <row r="34693">
      <c r="Y34693" s="372">
        <v>0.0</v>
      </c>
      <c r="Z34693" s="372">
        <v>0.0</v>
      </c>
    </row>
    <row r="34694">
      <c r="Y34694" s="372">
        <v>0.0</v>
      </c>
      <c r="Z34694" s="372">
        <v>0.0</v>
      </c>
    </row>
    <row r="34695">
      <c r="Y34695" s="372">
        <v>0.0</v>
      </c>
      <c r="Z34695" s="372">
        <v>0.0</v>
      </c>
    </row>
    <row r="34696">
      <c r="Y34696" s="372">
        <v>0.0</v>
      </c>
      <c r="Z34696" s="372">
        <v>0.0</v>
      </c>
    </row>
    <row r="34697">
      <c r="Y34697" s="372">
        <v>0.0</v>
      </c>
      <c r="Z34697" s="372">
        <v>0.0</v>
      </c>
    </row>
    <row r="34698">
      <c r="Y34698" s="372">
        <v>0.0</v>
      </c>
      <c r="Z34698" s="372">
        <v>0.0</v>
      </c>
    </row>
    <row r="34699">
      <c r="Y34699" s="372">
        <v>0.0</v>
      </c>
      <c r="Z34699" s="372">
        <v>0.0</v>
      </c>
    </row>
    <row r="34700">
      <c r="Y34700" s="372">
        <v>0.0</v>
      </c>
      <c r="Z34700" s="372">
        <v>0.0</v>
      </c>
    </row>
    <row r="34701">
      <c r="Y34701" s="372">
        <v>0.0</v>
      </c>
      <c r="Z34701" s="372">
        <v>0.0</v>
      </c>
    </row>
    <row r="34702">
      <c r="Y34702" s="372">
        <v>0.0</v>
      </c>
      <c r="Z34702" s="372">
        <v>0.0</v>
      </c>
    </row>
    <row r="34703">
      <c r="Y34703" s="372">
        <v>0.0</v>
      </c>
      <c r="Z34703" s="372">
        <v>0.0</v>
      </c>
    </row>
    <row r="34704">
      <c r="Y34704" s="372">
        <v>0.0</v>
      </c>
      <c r="Z34704" s="372">
        <v>0.0</v>
      </c>
    </row>
    <row r="34705">
      <c r="Y34705" s="372">
        <v>0.0</v>
      </c>
      <c r="Z34705" s="372">
        <v>0.0</v>
      </c>
    </row>
    <row r="34706">
      <c r="Y34706" s="372">
        <v>0.0</v>
      </c>
      <c r="Z34706" s="372">
        <v>0.0</v>
      </c>
    </row>
    <row r="34707">
      <c r="Y34707" s="372">
        <v>0.0</v>
      </c>
      <c r="Z34707" s="372">
        <v>0.0</v>
      </c>
    </row>
    <row r="34708">
      <c r="Y34708" s="372">
        <v>0.0</v>
      </c>
      <c r="Z34708" s="372">
        <v>0.0</v>
      </c>
    </row>
    <row r="34709">
      <c r="Y34709" s="372">
        <v>0.0</v>
      </c>
      <c r="Z34709" s="372">
        <v>0.0</v>
      </c>
    </row>
    <row r="34710">
      <c r="Y34710" s="372">
        <v>0.0</v>
      </c>
      <c r="Z34710" s="372">
        <v>0.0</v>
      </c>
    </row>
    <row r="34711">
      <c r="Y34711" s="372">
        <v>0.0</v>
      </c>
      <c r="Z34711" s="372">
        <v>0.0</v>
      </c>
    </row>
    <row r="34712">
      <c r="Y34712" s="372">
        <v>0.0</v>
      </c>
      <c r="Z34712" s="372">
        <v>0.0</v>
      </c>
    </row>
    <row r="34713">
      <c r="Y34713" s="372">
        <v>0.0</v>
      </c>
      <c r="Z34713" s="372">
        <v>0.0</v>
      </c>
    </row>
    <row r="34714">
      <c r="Y34714" s="372">
        <v>0.0</v>
      </c>
      <c r="Z34714" s="372">
        <v>0.0</v>
      </c>
    </row>
    <row r="34715">
      <c r="Y34715" s="372">
        <v>0.0</v>
      </c>
      <c r="Z34715" s="372">
        <v>0.0</v>
      </c>
    </row>
    <row r="34716">
      <c r="Y34716" s="372">
        <v>0.0</v>
      </c>
      <c r="Z34716" s="372">
        <v>0.0</v>
      </c>
    </row>
    <row r="34717">
      <c r="Y34717" s="372">
        <v>0.0</v>
      </c>
      <c r="Z34717" s="372">
        <v>0.0</v>
      </c>
    </row>
    <row r="34718">
      <c r="Y34718" s="372">
        <v>0.0</v>
      </c>
      <c r="Z34718" s="372">
        <v>0.0</v>
      </c>
    </row>
    <row r="34719">
      <c r="Y34719" s="372">
        <v>0.0</v>
      </c>
      <c r="Z34719" s="372">
        <v>0.0</v>
      </c>
    </row>
    <row r="34720">
      <c r="Y34720" s="372">
        <v>0.0</v>
      </c>
      <c r="Z34720" s="372">
        <v>0.0</v>
      </c>
    </row>
    <row r="34721">
      <c r="Y34721" s="372">
        <v>0.0</v>
      </c>
      <c r="Z34721" s="372">
        <v>0.0</v>
      </c>
    </row>
    <row r="34722">
      <c r="Y34722" s="372">
        <v>0.0</v>
      </c>
      <c r="Z34722" s="372">
        <v>0.0</v>
      </c>
    </row>
    <row r="34723">
      <c r="Y34723" s="372">
        <v>0.0</v>
      </c>
      <c r="Z34723" s="372">
        <v>0.0</v>
      </c>
    </row>
    <row r="34724">
      <c r="Y34724" s="372">
        <v>0.0</v>
      </c>
      <c r="Z34724" s="372">
        <v>0.0</v>
      </c>
    </row>
    <row r="34725">
      <c r="Y34725" s="372">
        <v>0.0</v>
      </c>
      <c r="Z34725" s="372">
        <v>0.0</v>
      </c>
    </row>
    <row r="34726">
      <c r="Y34726" s="372">
        <v>0.0</v>
      </c>
      <c r="Z34726" s="372">
        <v>0.0</v>
      </c>
    </row>
    <row r="34727">
      <c r="Y34727" s="372">
        <v>0.0</v>
      </c>
      <c r="Z34727" s="372">
        <v>0.0</v>
      </c>
    </row>
    <row r="34728">
      <c r="Y34728" s="372">
        <v>0.0</v>
      </c>
      <c r="Z34728" s="372">
        <v>0.0</v>
      </c>
    </row>
    <row r="34729">
      <c r="Y34729" s="372">
        <v>0.0</v>
      </c>
      <c r="Z34729" s="372">
        <v>0.0</v>
      </c>
    </row>
    <row r="34730">
      <c r="Y34730" s="372">
        <v>0.0</v>
      </c>
      <c r="Z34730" s="372">
        <v>0.0</v>
      </c>
    </row>
    <row r="34731">
      <c r="Y34731" s="372">
        <v>0.0</v>
      </c>
      <c r="Z34731" s="372">
        <v>0.0</v>
      </c>
    </row>
    <row r="34732">
      <c r="Y34732" s="372">
        <v>0.0</v>
      </c>
      <c r="Z34732" s="372">
        <v>0.0</v>
      </c>
    </row>
    <row r="34733">
      <c r="Y34733" s="372">
        <v>0.0</v>
      </c>
      <c r="Z34733" s="372">
        <v>0.0</v>
      </c>
    </row>
    <row r="34734">
      <c r="Y34734" s="372">
        <v>0.0</v>
      </c>
      <c r="Z34734" s="372">
        <v>0.0</v>
      </c>
    </row>
    <row r="34735">
      <c r="Y34735" s="372">
        <v>0.0</v>
      </c>
      <c r="Z34735" s="372">
        <v>0.0</v>
      </c>
    </row>
    <row r="34736">
      <c r="Y34736" s="372">
        <v>0.0</v>
      </c>
      <c r="Z34736" s="372">
        <v>0.0</v>
      </c>
    </row>
    <row r="34737">
      <c r="Y34737" s="372">
        <v>0.0</v>
      </c>
      <c r="Z34737" s="372">
        <v>0.0</v>
      </c>
    </row>
    <row r="34738">
      <c r="Y34738" s="372">
        <v>0.0</v>
      </c>
      <c r="Z34738" s="372">
        <v>0.0</v>
      </c>
    </row>
    <row r="34739">
      <c r="Y34739" s="372">
        <v>0.0</v>
      </c>
      <c r="Z34739" s="372">
        <v>0.0</v>
      </c>
    </row>
    <row r="34740">
      <c r="Y34740" s="372">
        <v>0.0</v>
      </c>
      <c r="Z34740" s="372">
        <v>0.0</v>
      </c>
    </row>
    <row r="34741">
      <c r="Y34741" s="372">
        <v>0.0</v>
      </c>
      <c r="Z34741" s="372">
        <v>0.0</v>
      </c>
    </row>
    <row r="34742">
      <c r="Y34742" s="372">
        <v>0.0</v>
      </c>
      <c r="Z34742" s="372">
        <v>0.0</v>
      </c>
    </row>
    <row r="34743">
      <c r="Y34743" s="372">
        <v>0.0</v>
      </c>
      <c r="Z34743" s="372">
        <v>0.0</v>
      </c>
    </row>
    <row r="34744">
      <c r="Y34744" s="372">
        <v>0.0</v>
      </c>
      <c r="Z34744" s="372">
        <v>0.0</v>
      </c>
    </row>
    <row r="34745">
      <c r="Y34745" s="372">
        <v>0.0</v>
      </c>
      <c r="Z34745" s="372">
        <v>0.0</v>
      </c>
    </row>
    <row r="34746">
      <c r="Y34746" s="372">
        <v>0.0</v>
      </c>
      <c r="Z34746" s="372">
        <v>0.0</v>
      </c>
    </row>
    <row r="34747">
      <c r="Y34747" s="372">
        <v>0.0</v>
      </c>
      <c r="Z34747" s="372">
        <v>0.0</v>
      </c>
    </row>
    <row r="34748">
      <c r="Y34748" s="372">
        <v>0.0</v>
      </c>
      <c r="Z34748" s="372">
        <v>0.0</v>
      </c>
    </row>
    <row r="34749">
      <c r="Y34749" s="372">
        <v>0.0</v>
      </c>
      <c r="Z34749" s="372">
        <v>0.0</v>
      </c>
    </row>
    <row r="34750">
      <c r="Y34750" s="372">
        <v>0.0</v>
      </c>
      <c r="Z34750" s="372">
        <v>0.0</v>
      </c>
    </row>
    <row r="34751">
      <c r="Y34751" s="372">
        <v>0.0</v>
      </c>
      <c r="Z34751" s="372">
        <v>0.0</v>
      </c>
    </row>
    <row r="34752">
      <c r="Y34752" s="372">
        <v>0.0</v>
      </c>
      <c r="Z34752" s="372">
        <v>0.0</v>
      </c>
    </row>
    <row r="34753">
      <c r="Y34753" s="372">
        <v>0.0</v>
      </c>
      <c r="Z34753" s="372">
        <v>0.0</v>
      </c>
    </row>
    <row r="34754">
      <c r="Y34754" s="372">
        <v>0.0</v>
      </c>
      <c r="Z34754" s="372">
        <v>0.0</v>
      </c>
    </row>
    <row r="34755">
      <c r="Y34755" s="372">
        <v>0.0</v>
      </c>
      <c r="Z34755" s="372">
        <v>0.0</v>
      </c>
    </row>
    <row r="34756">
      <c r="Y34756" s="372">
        <v>0.0</v>
      </c>
      <c r="Z34756" s="372">
        <v>0.0</v>
      </c>
    </row>
    <row r="34757">
      <c r="Y34757" s="372">
        <v>0.0</v>
      </c>
      <c r="Z34757" s="372">
        <v>0.0</v>
      </c>
    </row>
    <row r="34758">
      <c r="Y34758" s="372">
        <v>0.0</v>
      </c>
      <c r="Z34758" s="372">
        <v>0.0</v>
      </c>
    </row>
    <row r="34759">
      <c r="Y34759" s="372">
        <v>0.0</v>
      </c>
      <c r="Z34759" s="372">
        <v>0.0</v>
      </c>
    </row>
    <row r="34760">
      <c r="Y34760" s="372">
        <v>0.0</v>
      </c>
      <c r="Z34760" s="372">
        <v>0.0</v>
      </c>
    </row>
    <row r="34761">
      <c r="Y34761" s="372">
        <v>0.0</v>
      </c>
      <c r="Z34761" s="372">
        <v>0.0</v>
      </c>
    </row>
    <row r="34762">
      <c r="Y34762" s="372">
        <v>0.0</v>
      </c>
      <c r="Z34762" s="372">
        <v>0.0</v>
      </c>
    </row>
    <row r="34763">
      <c r="Y34763" s="372">
        <v>0.0</v>
      </c>
      <c r="Z34763" s="372">
        <v>0.0</v>
      </c>
    </row>
    <row r="34764">
      <c r="Y34764" s="372">
        <v>0.0</v>
      </c>
      <c r="Z34764" s="372">
        <v>0.0</v>
      </c>
    </row>
    <row r="34765">
      <c r="Y34765" s="372">
        <v>0.0</v>
      </c>
      <c r="Z34765" s="372">
        <v>0.0</v>
      </c>
    </row>
    <row r="34766">
      <c r="Y34766" s="372">
        <v>0.0</v>
      </c>
      <c r="Z34766" s="372">
        <v>0.0</v>
      </c>
    </row>
    <row r="34767">
      <c r="Y34767" s="372">
        <v>0.0</v>
      </c>
      <c r="Z34767" s="372">
        <v>0.0</v>
      </c>
    </row>
    <row r="34768">
      <c r="Y34768" s="372">
        <v>0.0</v>
      </c>
      <c r="Z34768" s="372">
        <v>0.0</v>
      </c>
    </row>
    <row r="34769">
      <c r="Y34769" s="372">
        <v>0.0</v>
      </c>
      <c r="Z34769" s="372">
        <v>0.0</v>
      </c>
    </row>
    <row r="34770">
      <c r="Y34770" s="372">
        <v>0.0</v>
      </c>
      <c r="Z34770" s="372">
        <v>0.0</v>
      </c>
    </row>
    <row r="34771">
      <c r="Y34771" s="372">
        <v>0.0</v>
      </c>
      <c r="Z34771" s="372">
        <v>0.0</v>
      </c>
    </row>
    <row r="34772">
      <c r="Y34772" s="372">
        <v>0.0</v>
      </c>
      <c r="Z34772" s="372">
        <v>0.0</v>
      </c>
    </row>
    <row r="34773">
      <c r="Y34773" s="372">
        <v>0.0</v>
      </c>
      <c r="Z34773" s="372">
        <v>0.0</v>
      </c>
    </row>
    <row r="34774">
      <c r="Y34774" s="372">
        <v>0.0</v>
      </c>
      <c r="Z34774" s="372">
        <v>0.0</v>
      </c>
    </row>
    <row r="34775">
      <c r="Y34775" s="372">
        <v>0.0</v>
      </c>
      <c r="Z34775" s="372">
        <v>0.0</v>
      </c>
    </row>
    <row r="34776">
      <c r="Y34776" s="372">
        <v>0.0</v>
      </c>
      <c r="Z34776" s="372">
        <v>0.0</v>
      </c>
    </row>
    <row r="34777">
      <c r="Y34777" s="372">
        <v>0.0</v>
      </c>
      <c r="Z34777" s="372">
        <v>0.0</v>
      </c>
    </row>
    <row r="34778">
      <c r="Y34778" s="372">
        <v>0.0</v>
      </c>
      <c r="Z34778" s="372">
        <v>0.0</v>
      </c>
    </row>
    <row r="34779">
      <c r="Y34779" s="372">
        <v>0.0</v>
      </c>
      <c r="Z34779" s="372">
        <v>0.0</v>
      </c>
    </row>
    <row r="34780">
      <c r="Y34780" s="372">
        <v>0.0</v>
      </c>
      <c r="Z34780" s="372">
        <v>0.0</v>
      </c>
    </row>
    <row r="34781">
      <c r="Y34781" s="372">
        <v>0.0</v>
      </c>
      <c r="Z34781" s="372">
        <v>0.0</v>
      </c>
    </row>
    <row r="34782">
      <c r="Y34782" s="372">
        <v>0.0</v>
      </c>
      <c r="Z34782" s="372">
        <v>0.0</v>
      </c>
    </row>
    <row r="34783">
      <c r="Y34783" s="372">
        <v>0.0</v>
      </c>
      <c r="Z34783" s="372">
        <v>0.0</v>
      </c>
    </row>
    <row r="34784">
      <c r="Y34784" s="372">
        <v>0.0</v>
      </c>
      <c r="Z34784" s="372">
        <v>0.0</v>
      </c>
    </row>
    <row r="34785">
      <c r="Y34785" s="372">
        <v>0.0</v>
      </c>
      <c r="Z34785" s="372">
        <v>0.0</v>
      </c>
    </row>
    <row r="34786">
      <c r="Y34786" s="372">
        <v>0.0</v>
      </c>
      <c r="Z34786" s="372">
        <v>0.0</v>
      </c>
    </row>
    <row r="34787">
      <c r="Y34787" s="372">
        <v>0.0</v>
      </c>
      <c r="Z34787" s="372">
        <v>0.0</v>
      </c>
    </row>
    <row r="34788">
      <c r="Y34788" s="372">
        <v>0.0</v>
      </c>
      <c r="Z34788" s="372">
        <v>0.0</v>
      </c>
    </row>
    <row r="34789">
      <c r="Y34789" s="372">
        <v>0.0</v>
      </c>
      <c r="Z34789" s="372">
        <v>0.0</v>
      </c>
    </row>
    <row r="34790">
      <c r="Y34790" s="372">
        <v>0.0</v>
      </c>
      <c r="Z34790" s="372">
        <v>0.0</v>
      </c>
    </row>
    <row r="34791">
      <c r="Y34791" s="372">
        <v>0.0</v>
      </c>
      <c r="Z34791" s="372">
        <v>0.0</v>
      </c>
    </row>
    <row r="34792">
      <c r="Y34792" s="372">
        <v>0.0</v>
      </c>
      <c r="Z34792" s="372">
        <v>0.0</v>
      </c>
    </row>
    <row r="34793">
      <c r="Y34793" s="372">
        <v>0.0</v>
      </c>
      <c r="Z34793" s="372">
        <v>0.0</v>
      </c>
    </row>
    <row r="34794">
      <c r="Y34794" s="372">
        <v>0.0</v>
      </c>
      <c r="Z34794" s="372">
        <v>0.0</v>
      </c>
    </row>
    <row r="34795">
      <c r="Y34795" s="372">
        <v>0.0</v>
      </c>
      <c r="Z34795" s="372">
        <v>0.0</v>
      </c>
    </row>
    <row r="34796">
      <c r="Y34796" s="372">
        <v>0.0</v>
      </c>
      <c r="Z34796" s="372">
        <v>0.0</v>
      </c>
    </row>
    <row r="34797">
      <c r="Y34797" s="372">
        <v>0.0</v>
      </c>
      <c r="Z34797" s="372">
        <v>0.0</v>
      </c>
    </row>
    <row r="34798">
      <c r="Y34798" s="372">
        <v>0.0</v>
      </c>
      <c r="Z34798" s="372">
        <v>0.0</v>
      </c>
    </row>
    <row r="34799">
      <c r="Y34799" s="372">
        <v>0.0</v>
      </c>
      <c r="Z34799" s="372">
        <v>0.0</v>
      </c>
    </row>
    <row r="34800">
      <c r="Y34800" s="372">
        <v>0.0</v>
      </c>
      <c r="Z34800" s="372">
        <v>0.0</v>
      </c>
    </row>
    <row r="34801">
      <c r="Y34801" s="372">
        <v>0.0</v>
      </c>
      <c r="Z34801" s="372">
        <v>0.0</v>
      </c>
    </row>
    <row r="34802">
      <c r="Y34802" s="372">
        <v>0.0</v>
      </c>
      <c r="Z34802" s="372">
        <v>0.0</v>
      </c>
    </row>
    <row r="34803">
      <c r="Y34803" s="372">
        <v>0.0</v>
      </c>
      <c r="Z34803" s="372">
        <v>0.0</v>
      </c>
    </row>
    <row r="34804">
      <c r="Y34804" s="372">
        <v>0.0</v>
      </c>
      <c r="Z34804" s="372">
        <v>0.0</v>
      </c>
    </row>
    <row r="34805">
      <c r="Y34805" s="372">
        <v>0.0</v>
      </c>
      <c r="Z34805" s="372">
        <v>0.0</v>
      </c>
    </row>
    <row r="34806">
      <c r="Y34806" s="372">
        <v>0.0</v>
      </c>
      <c r="Z34806" s="372">
        <v>0.0</v>
      </c>
    </row>
    <row r="34807">
      <c r="Y34807" s="372">
        <v>0.0</v>
      </c>
      <c r="Z34807" s="372">
        <v>0.0</v>
      </c>
    </row>
    <row r="34808">
      <c r="Y34808" s="372">
        <v>0.0</v>
      </c>
      <c r="Z34808" s="372">
        <v>0.0</v>
      </c>
    </row>
    <row r="34809">
      <c r="Y34809" s="372">
        <v>0.0</v>
      </c>
      <c r="Z34809" s="372">
        <v>0.0</v>
      </c>
    </row>
    <row r="34810">
      <c r="Y34810" s="372">
        <v>0.0</v>
      </c>
      <c r="Z34810" s="372">
        <v>0.0</v>
      </c>
    </row>
    <row r="34811">
      <c r="Y34811" s="372">
        <v>0.0</v>
      </c>
      <c r="Z34811" s="372">
        <v>0.0</v>
      </c>
    </row>
    <row r="34812">
      <c r="Y34812" s="372">
        <v>0.0</v>
      </c>
      <c r="Z34812" s="372">
        <v>0.0</v>
      </c>
    </row>
    <row r="34813">
      <c r="Y34813" s="372">
        <v>0.0</v>
      </c>
      <c r="Z34813" s="372">
        <v>0.0</v>
      </c>
    </row>
    <row r="34814">
      <c r="Y34814" s="372">
        <v>0.0</v>
      </c>
      <c r="Z34814" s="372">
        <v>0.0</v>
      </c>
    </row>
    <row r="34815">
      <c r="Y34815" s="372">
        <v>0.0</v>
      </c>
      <c r="Z34815" s="372">
        <v>0.0</v>
      </c>
    </row>
    <row r="34816">
      <c r="Y34816" s="372">
        <v>0.0</v>
      </c>
      <c r="Z34816" s="372">
        <v>0.0</v>
      </c>
    </row>
    <row r="34817">
      <c r="Y34817" s="372">
        <v>0.0</v>
      </c>
      <c r="Z34817" s="372">
        <v>0.0</v>
      </c>
    </row>
    <row r="34818">
      <c r="Y34818" s="372">
        <v>0.0</v>
      </c>
      <c r="Z34818" s="372">
        <v>0.0</v>
      </c>
    </row>
    <row r="34819">
      <c r="Y34819" s="372">
        <v>0.0</v>
      </c>
      <c r="Z34819" s="372">
        <v>0.0</v>
      </c>
    </row>
    <row r="34820">
      <c r="Y34820" s="372">
        <v>0.0</v>
      </c>
      <c r="Z34820" s="372">
        <v>0.0</v>
      </c>
    </row>
    <row r="34821">
      <c r="Y34821" s="372">
        <v>0.0</v>
      </c>
      <c r="Z34821" s="372">
        <v>0.0</v>
      </c>
    </row>
    <row r="34822">
      <c r="Y34822" s="372">
        <v>0.0</v>
      </c>
      <c r="Z34822" s="372">
        <v>0.0</v>
      </c>
    </row>
    <row r="34823">
      <c r="Y34823" s="372">
        <v>0.0</v>
      </c>
      <c r="Z34823" s="372">
        <v>0.0</v>
      </c>
    </row>
    <row r="34824">
      <c r="Y34824" s="372">
        <v>0.0</v>
      </c>
      <c r="Z34824" s="372">
        <v>0.0</v>
      </c>
    </row>
    <row r="34825">
      <c r="Y34825" s="372">
        <v>0.0</v>
      </c>
      <c r="Z34825" s="372">
        <v>0.0</v>
      </c>
    </row>
    <row r="34826">
      <c r="Y34826" s="372">
        <v>0.0</v>
      </c>
      <c r="Z34826" s="372">
        <v>0.0</v>
      </c>
    </row>
    <row r="34827">
      <c r="Y34827" s="372">
        <v>0.0</v>
      </c>
      <c r="Z34827" s="372">
        <v>0.0</v>
      </c>
    </row>
    <row r="34828">
      <c r="Y34828" s="372">
        <v>0.0</v>
      </c>
      <c r="Z34828" s="372">
        <v>0.0</v>
      </c>
    </row>
    <row r="34829">
      <c r="Y34829" s="372">
        <v>0.0</v>
      </c>
      <c r="Z34829" s="372">
        <v>0.0</v>
      </c>
    </row>
    <row r="34830">
      <c r="Y34830" s="372">
        <v>0.0</v>
      </c>
      <c r="Z34830" s="372">
        <v>0.0</v>
      </c>
    </row>
    <row r="34831">
      <c r="Y34831" s="372">
        <v>0.0</v>
      </c>
      <c r="Z34831" s="372">
        <v>0.0</v>
      </c>
    </row>
    <row r="34832">
      <c r="Y34832" s="372">
        <v>0.0</v>
      </c>
      <c r="Z34832" s="372">
        <v>0.0</v>
      </c>
    </row>
    <row r="34833">
      <c r="Y34833" s="372">
        <v>0.0</v>
      </c>
      <c r="Z34833" s="372">
        <v>0.0</v>
      </c>
    </row>
    <row r="34834">
      <c r="Y34834" s="372">
        <v>0.0</v>
      </c>
      <c r="Z34834" s="372">
        <v>0.0</v>
      </c>
    </row>
    <row r="34835">
      <c r="Y34835" s="372">
        <v>0.0</v>
      </c>
      <c r="Z34835" s="372">
        <v>0.0</v>
      </c>
    </row>
    <row r="34836">
      <c r="Y34836" s="372">
        <v>0.0</v>
      </c>
      <c r="Z34836" s="372">
        <v>0.0</v>
      </c>
    </row>
    <row r="34837">
      <c r="Y34837" s="372">
        <v>0.0</v>
      </c>
      <c r="Z34837" s="372">
        <v>0.0</v>
      </c>
    </row>
    <row r="34838">
      <c r="Y34838" s="372">
        <v>0.0</v>
      </c>
      <c r="Z34838" s="372">
        <v>0.0</v>
      </c>
    </row>
    <row r="34839">
      <c r="Y34839" s="372">
        <v>0.0</v>
      </c>
      <c r="Z34839" s="372">
        <v>0.0</v>
      </c>
    </row>
    <row r="34840">
      <c r="Y34840" s="372">
        <v>0.0</v>
      </c>
      <c r="Z34840" s="372">
        <v>0.0</v>
      </c>
    </row>
    <row r="34841">
      <c r="Y34841" s="372">
        <v>0.0</v>
      </c>
      <c r="Z34841" s="372">
        <v>0.0</v>
      </c>
    </row>
    <row r="34842">
      <c r="Y34842" s="372">
        <v>0.0</v>
      </c>
      <c r="Z34842" s="372">
        <v>0.0</v>
      </c>
    </row>
    <row r="34843">
      <c r="Y34843" s="372">
        <v>0.0</v>
      </c>
      <c r="Z34843" s="372">
        <v>0.0</v>
      </c>
    </row>
    <row r="34844">
      <c r="Y34844" s="372">
        <v>0.0</v>
      </c>
      <c r="Z34844" s="372">
        <v>0.0</v>
      </c>
    </row>
    <row r="34845">
      <c r="Y34845" s="372">
        <v>0.0</v>
      </c>
      <c r="Z34845" s="372">
        <v>0.0</v>
      </c>
    </row>
    <row r="34846">
      <c r="Y34846" s="372">
        <v>0.0</v>
      </c>
      <c r="Z34846" s="372">
        <v>0.0</v>
      </c>
    </row>
    <row r="34847">
      <c r="Y34847" s="372">
        <v>0.0</v>
      </c>
      <c r="Z34847" s="372">
        <v>0.0</v>
      </c>
    </row>
    <row r="34848">
      <c r="Y34848" s="372">
        <v>0.0</v>
      </c>
      <c r="Z34848" s="372">
        <v>0.0</v>
      </c>
    </row>
    <row r="34849">
      <c r="Y34849" s="372">
        <v>0.0</v>
      </c>
      <c r="Z34849" s="372">
        <v>0.0</v>
      </c>
    </row>
    <row r="34850">
      <c r="Y34850" s="372">
        <v>0.0</v>
      </c>
      <c r="Z34850" s="372">
        <v>0.0</v>
      </c>
    </row>
    <row r="34851">
      <c r="Y34851" s="372">
        <v>0.0</v>
      </c>
      <c r="Z34851" s="372">
        <v>0.0</v>
      </c>
    </row>
    <row r="34852">
      <c r="Y34852" s="372">
        <v>0.0</v>
      </c>
      <c r="Z34852" s="372">
        <v>0.0</v>
      </c>
    </row>
    <row r="34853">
      <c r="Y34853" s="372">
        <v>0.0</v>
      </c>
      <c r="Z34853" s="372">
        <v>0.0</v>
      </c>
    </row>
    <row r="34854">
      <c r="Y34854" s="372">
        <v>0.0</v>
      </c>
      <c r="Z34854" s="372">
        <v>0.0</v>
      </c>
    </row>
    <row r="34855">
      <c r="Y34855" s="372">
        <v>0.0</v>
      </c>
      <c r="Z34855" s="372">
        <v>0.0</v>
      </c>
    </row>
    <row r="34856">
      <c r="Y34856" s="372">
        <v>0.0</v>
      </c>
      <c r="Z34856" s="372">
        <v>0.0</v>
      </c>
    </row>
    <row r="34857">
      <c r="Y34857" s="372">
        <v>0.0</v>
      </c>
      <c r="Z34857" s="372">
        <v>0.0</v>
      </c>
    </row>
    <row r="34858">
      <c r="Y34858" s="372">
        <v>0.0</v>
      </c>
      <c r="Z34858" s="372">
        <v>0.0</v>
      </c>
    </row>
    <row r="34859">
      <c r="Y34859" s="372">
        <v>0.0</v>
      </c>
      <c r="Z34859" s="372">
        <v>0.0</v>
      </c>
    </row>
    <row r="34860">
      <c r="Y34860" s="372">
        <v>0.0</v>
      </c>
      <c r="Z34860" s="372">
        <v>0.0</v>
      </c>
    </row>
    <row r="34861">
      <c r="Y34861" s="372">
        <v>0.0</v>
      </c>
      <c r="Z34861" s="372">
        <v>0.0</v>
      </c>
    </row>
    <row r="34862">
      <c r="Y34862" s="372">
        <v>0.0</v>
      </c>
      <c r="Z34862" s="372">
        <v>0.0</v>
      </c>
    </row>
    <row r="34863">
      <c r="Y34863" s="372">
        <v>0.0</v>
      </c>
      <c r="Z34863" s="372">
        <v>0.0</v>
      </c>
    </row>
    <row r="34864">
      <c r="Y34864" s="372">
        <v>0.0</v>
      </c>
      <c r="Z34864" s="372">
        <v>0.0</v>
      </c>
    </row>
    <row r="34865">
      <c r="Y34865" s="372">
        <v>0.0</v>
      </c>
      <c r="Z34865" s="372">
        <v>0.0</v>
      </c>
    </row>
    <row r="34866">
      <c r="Y34866" s="372">
        <v>0.0</v>
      </c>
      <c r="Z34866" s="372">
        <v>0.0</v>
      </c>
    </row>
    <row r="34867">
      <c r="Y34867" s="372">
        <v>0.0</v>
      </c>
      <c r="Z34867" s="372">
        <v>0.0</v>
      </c>
    </row>
    <row r="34868">
      <c r="Y34868" s="372">
        <v>0.0</v>
      </c>
      <c r="Z34868" s="372">
        <v>0.0</v>
      </c>
    </row>
    <row r="34869">
      <c r="Y34869" s="372">
        <v>0.0</v>
      </c>
      <c r="Z34869" s="372">
        <v>0.0</v>
      </c>
    </row>
    <row r="34870">
      <c r="Y34870" s="372">
        <v>0.0</v>
      </c>
      <c r="Z34870" s="372">
        <v>0.0</v>
      </c>
    </row>
    <row r="34871">
      <c r="Y34871" s="372">
        <v>0.0</v>
      </c>
      <c r="Z34871" s="372">
        <v>0.0</v>
      </c>
    </row>
    <row r="34872">
      <c r="Y34872" s="372">
        <v>0.0</v>
      </c>
      <c r="Z34872" s="372">
        <v>0.0</v>
      </c>
    </row>
    <row r="34873">
      <c r="Y34873" s="372">
        <v>0.0</v>
      </c>
      <c r="Z34873" s="372">
        <v>0.0</v>
      </c>
    </row>
    <row r="34874">
      <c r="Y34874" s="372">
        <v>0.0</v>
      </c>
      <c r="Z34874" s="372">
        <v>0.0</v>
      </c>
    </row>
    <row r="34875">
      <c r="Y34875" s="372">
        <v>0.0</v>
      </c>
      <c r="Z34875" s="372">
        <v>0.0</v>
      </c>
    </row>
    <row r="34876">
      <c r="Y34876" s="372">
        <v>0.0</v>
      </c>
      <c r="Z34876" s="372">
        <v>0.0</v>
      </c>
    </row>
    <row r="34877">
      <c r="Y34877" s="372">
        <v>0.0</v>
      </c>
      <c r="Z34877" s="372">
        <v>0.0</v>
      </c>
    </row>
    <row r="34878">
      <c r="Y34878" s="372">
        <v>0.0</v>
      </c>
      <c r="Z34878" s="372">
        <v>0.0</v>
      </c>
    </row>
    <row r="34879">
      <c r="Y34879" s="372">
        <v>0.0</v>
      </c>
      <c r="Z34879" s="372">
        <v>0.0</v>
      </c>
    </row>
    <row r="34880">
      <c r="Y34880" s="372">
        <v>0.0</v>
      </c>
      <c r="Z34880" s="372">
        <v>0.0</v>
      </c>
    </row>
    <row r="34881">
      <c r="Y34881" s="372">
        <v>0.0</v>
      </c>
      <c r="Z34881" s="372">
        <v>0.0</v>
      </c>
    </row>
    <row r="34882">
      <c r="Y34882" s="372">
        <v>0.0</v>
      </c>
      <c r="Z34882" s="372">
        <v>0.0</v>
      </c>
    </row>
    <row r="34883">
      <c r="Y34883" s="372">
        <v>0.0</v>
      </c>
      <c r="Z34883" s="372">
        <v>0.0</v>
      </c>
    </row>
    <row r="34884">
      <c r="Y34884" s="372">
        <v>0.0</v>
      </c>
      <c r="Z34884" s="372">
        <v>0.0</v>
      </c>
    </row>
    <row r="34885">
      <c r="Y34885" s="372">
        <v>0.0</v>
      </c>
      <c r="Z34885" s="372">
        <v>0.0</v>
      </c>
    </row>
    <row r="34886">
      <c r="Y34886" s="372">
        <v>0.0</v>
      </c>
      <c r="Z34886" s="372">
        <v>0.0</v>
      </c>
    </row>
    <row r="34887">
      <c r="Y34887" s="372">
        <v>0.0</v>
      </c>
      <c r="Z34887" s="372">
        <v>0.0</v>
      </c>
    </row>
    <row r="34888">
      <c r="Y34888" s="372">
        <v>0.0</v>
      </c>
      <c r="Z34888" s="372">
        <v>0.0</v>
      </c>
    </row>
    <row r="34889">
      <c r="Y34889" s="372">
        <v>0.0</v>
      </c>
      <c r="Z34889" s="372">
        <v>0.0</v>
      </c>
    </row>
    <row r="34890">
      <c r="Y34890" s="372">
        <v>0.0</v>
      </c>
      <c r="Z34890" s="372">
        <v>0.0</v>
      </c>
    </row>
    <row r="34891">
      <c r="Y34891" s="372">
        <v>0.0</v>
      </c>
      <c r="Z34891" s="372">
        <v>0.0</v>
      </c>
    </row>
    <row r="34892">
      <c r="Y34892" s="372">
        <v>0.0</v>
      </c>
      <c r="Z34892" s="372">
        <v>0.0</v>
      </c>
    </row>
    <row r="34893">
      <c r="Y34893" s="372">
        <v>0.0</v>
      </c>
      <c r="Z34893" s="372">
        <v>0.0</v>
      </c>
    </row>
    <row r="34894">
      <c r="Y34894" s="372">
        <v>0.0</v>
      </c>
      <c r="Z34894" s="372">
        <v>0.0</v>
      </c>
    </row>
    <row r="34895">
      <c r="Y34895" s="372">
        <v>0.0</v>
      </c>
      <c r="Z34895" s="372">
        <v>0.0</v>
      </c>
    </row>
    <row r="34896">
      <c r="Y34896" s="372">
        <v>0.0</v>
      </c>
      <c r="Z34896" s="372">
        <v>0.0</v>
      </c>
    </row>
    <row r="34897">
      <c r="Y34897" s="372">
        <v>0.0</v>
      </c>
      <c r="Z34897" s="372">
        <v>0.0</v>
      </c>
    </row>
    <row r="34898">
      <c r="Y34898" s="372">
        <v>0.0</v>
      </c>
      <c r="Z34898" s="372">
        <v>0.0</v>
      </c>
    </row>
    <row r="34899">
      <c r="Y34899" s="372">
        <v>0.0</v>
      </c>
      <c r="Z34899" s="372">
        <v>0.0</v>
      </c>
    </row>
    <row r="34900">
      <c r="Y34900" s="372">
        <v>0.0</v>
      </c>
      <c r="Z34900" s="372">
        <v>0.0</v>
      </c>
    </row>
    <row r="34901">
      <c r="Y34901" s="372">
        <v>0.0</v>
      </c>
      <c r="Z34901" s="372">
        <v>0.0</v>
      </c>
    </row>
    <row r="34902">
      <c r="Y34902" s="372">
        <v>0.0</v>
      </c>
      <c r="Z34902" s="372">
        <v>0.0</v>
      </c>
    </row>
    <row r="34903">
      <c r="Y34903" s="372">
        <v>0.0</v>
      </c>
      <c r="Z34903" s="372">
        <v>0.0</v>
      </c>
    </row>
    <row r="34904">
      <c r="Y34904" s="372">
        <v>0.0</v>
      </c>
      <c r="Z34904" s="372">
        <v>0.0</v>
      </c>
    </row>
    <row r="34905">
      <c r="Y34905" s="372">
        <v>0.0</v>
      </c>
      <c r="Z34905" s="372">
        <v>0.0</v>
      </c>
    </row>
    <row r="34906">
      <c r="Y34906" s="372">
        <v>0.0</v>
      </c>
      <c r="Z34906" s="372">
        <v>0.0</v>
      </c>
    </row>
    <row r="34907">
      <c r="Y34907" s="372">
        <v>0.0</v>
      </c>
      <c r="Z34907" s="372">
        <v>0.0</v>
      </c>
    </row>
    <row r="34908">
      <c r="Y34908" s="372">
        <v>0.0</v>
      </c>
      <c r="Z34908" s="372">
        <v>0.0</v>
      </c>
    </row>
    <row r="34909">
      <c r="Y34909" s="372">
        <v>0.0</v>
      </c>
      <c r="Z34909" s="372">
        <v>0.0</v>
      </c>
    </row>
    <row r="34910">
      <c r="Y34910" s="372">
        <v>0.0</v>
      </c>
      <c r="Z34910" s="372">
        <v>0.0</v>
      </c>
    </row>
    <row r="34911">
      <c r="Y34911" s="372">
        <v>0.0</v>
      </c>
      <c r="Z34911" s="372">
        <v>0.0</v>
      </c>
    </row>
    <row r="34912">
      <c r="Y34912" s="372">
        <v>0.0</v>
      </c>
      <c r="Z34912" s="372">
        <v>0.0</v>
      </c>
    </row>
    <row r="34913">
      <c r="Y34913" s="372">
        <v>0.0</v>
      </c>
      <c r="Z34913" s="372">
        <v>0.0</v>
      </c>
    </row>
    <row r="34914">
      <c r="Y34914" s="372">
        <v>0.0</v>
      </c>
      <c r="Z34914" s="372">
        <v>0.0</v>
      </c>
    </row>
    <row r="34915">
      <c r="Y34915" s="372">
        <v>0.0</v>
      </c>
      <c r="Z34915" s="372">
        <v>0.0</v>
      </c>
    </row>
    <row r="34916">
      <c r="Y34916" s="372">
        <v>0.0</v>
      </c>
      <c r="Z34916" s="372">
        <v>0.0</v>
      </c>
    </row>
    <row r="34917">
      <c r="Y34917" s="372">
        <v>0.0</v>
      </c>
      <c r="Z34917" s="372">
        <v>0.0</v>
      </c>
    </row>
    <row r="34918">
      <c r="Y34918" s="372">
        <v>0.0</v>
      </c>
      <c r="Z34918" s="372">
        <v>0.0</v>
      </c>
    </row>
    <row r="34919">
      <c r="Y34919" s="372">
        <v>0.0</v>
      </c>
      <c r="Z34919" s="372">
        <v>0.0</v>
      </c>
    </row>
    <row r="34920">
      <c r="Y34920" s="372">
        <v>0.0</v>
      </c>
      <c r="Z34920" s="372">
        <v>0.0</v>
      </c>
    </row>
    <row r="34921">
      <c r="Y34921" s="372">
        <v>0.0</v>
      </c>
      <c r="Z34921" s="372">
        <v>0.0</v>
      </c>
    </row>
    <row r="34922">
      <c r="Y34922" s="372">
        <v>0.0</v>
      </c>
      <c r="Z34922" s="372">
        <v>0.0</v>
      </c>
    </row>
    <row r="34923">
      <c r="Y34923" s="372">
        <v>0.0</v>
      </c>
      <c r="Z34923" s="372">
        <v>0.0</v>
      </c>
    </row>
    <row r="34924">
      <c r="Y34924" s="372">
        <v>0.0</v>
      </c>
      <c r="Z34924" s="372">
        <v>0.0</v>
      </c>
    </row>
    <row r="34925">
      <c r="Y34925" s="372">
        <v>0.0</v>
      </c>
      <c r="Z34925" s="372">
        <v>0.0</v>
      </c>
    </row>
    <row r="34926">
      <c r="Y34926" s="372">
        <v>0.0</v>
      </c>
      <c r="Z34926" s="372">
        <v>0.0</v>
      </c>
    </row>
    <row r="34927">
      <c r="Y34927" s="372">
        <v>0.0</v>
      </c>
      <c r="Z34927" s="372">
        <v>0.0</v>
      </c>
    </row>
    <row r="34928">
      <c r="Y34928" s="372">
        <v>0.0</v>
      </c>
      <c r="Z34928" s="372">
        <v>0.0</v>
      </c>
    </row>
    <row r="34929">
      <c r="Y34929" s="372">
        <v>0.0</v>
      </c>
      <c r="Z34929" s="372">
        <v>0.0</v>
      </c>
    </row>
    <row r="34930">
      <c r="Y34930" s="372">
        <v>0.0</v>
      </c>
      <c r="Z34930" s="372">
        <v>0.0</v>
      </c>
    </row>
    <row r="34931">
      <c r="Y34931" s="372">
        <v>0.0</v>
      </c>
      <c r="Z34931" s="372">
        <v>0.0</v>
      </c>
    </row>
    <row r="34932">
      <c r="Y34932" s="372">
        <v>0.0</v>
      </c>
      <c r="Z34932" s="372">
        <v>0.0</v>
      </c>
    </row>
    <row r="34933">
      <c r="Y34933" s="372">
        <v>0.0</v>
      </c>
      <c r="Z34933" s="372">
        <v>0.0</v>
      </c>
    </row>
    <row r="34934">
      <c r="Y34934" s="372">
        <v>0.0</v>
      </c>
      <c r="Z34934" s="372">
        <v>0.0</v>
      </c>
    </row>
    <row r="34935">
      <c r="Y34935" s="372">
        <v>0.0</v>
      </c>
      <c r="Z34935" s="372">
        <v>0.0</v>
      </c>
    </row>
    <row r="34936">
      <c r="Y34936" s="372">
        <v>0.0</v>
      </c>
      <c r="Z34936" s="372">
        <v>0.0</v>
      </c>
    </row>
    <row r="34937">
      <c r="Y34937" s="372">
        <v>0.0</v>
      </c>
      <c r="Z34937" s="372">
        <v>0.0</v>
      </c>
    </row>
    <row r="34938">
      <c r="Y34938" s="372">
        <v>0.0</v>
      </c>
      <c r="Z34938" s="372">
        <v>0.0</v>
      </c>
    </row>
    <row r="34939">
      <c r="Y34939" s="372">
        <v>0.0</v>
      </c>
      <c r="Z34939" s="372">
        <v>0.0</v>
      </c>
    </row>
    <row r="34940">
      <c r="Y34940" s="372">
        <v>0.0</v>
      </c>
      <c r="Z34940" s="372">
        <v>0.0</v>
      </c>
    </row>
    <row r="34941">
      <c r="Y34941" s="372">
        <v>0.0</v>
      </c>
      <c r="Z34941" s="372">
        <v>0.0</v>
      </c>
    </row>
    <row r="34942">
      <c r="Y34942" s="372">
        <v>0.0</v>
      </c>
      <c r="Z34942" s="372">
        <v>0.0</v>
      </c>
    </row>
    <row r="34943">
      <c r="Y34943" s="372">
        <v>0.0</v>
      </c>
      <c r="Z34943" s="372">
        <v>0.0</v>
      </c>
    </row>
    <row r="34944">
      <c r="Y34944" s="372">
        <v>0.0</v>
      </c>
      <c r="Z34944" s="372">
        <v>0.0</v>
      </c>
    </row>
    <row r="34945">
      <c r="Y34945" s="372">
        <v>0.0</v>
      </c>
      <c r="Z34945" s="372">
        <v>0.0</v>
      </c>
    </row>
    <row r="34946">
      <c r="Y34946" s="372">
        <v>0.0</v>
      </c>
      <c r="Z34946" s="372">
        <v>0.0</v>
      </c>
    </row>
    <row r="34947">
      <c r="Y34947" s="372">
        <v>0.0</v>
      </c>
      <c r="Z34947" s="372">
        <v>0.0</v>
      </c>
    </row>
    <row r="34948">
      <c r="Y34948" s="372">
        <v>0.0</v>
      </c>
      <c r="Z34948" s="372">
        <v>0.0</v>
      </c>
    </row>
    <row r="34949">
      <c r="Y34949" s="372">
        <v>0.0</v>
      </c>
      <c r="Z34949" s="372">
        <v>0.0</v>
      </c>
    </row>
    <row r="34950">
      <c r="Y34950" s="372">
        <v>0.0</v>
      </c>
      <c r="Z34950" s="372">
        <v>0.0</v>
      </c>
    </row>
    <row r="34951">
      <c r="Y34951" s="372">
        <v>0.0</v>
      </c>
      <c r="Z34951" s="372">
        <v>0.0</v>
      </c>
    </row>
    <row r="34952">
      <c r="Y34952" s="372">
        <v>0.0</v>
      </c>
      <c r="Z34952" s="372">
        <v>0.0</v>
      </c>
    </row>
    <row r="34953">
      <c r="Y34953" s="372">
        <v>0.0</v>
      </c>
      <c r="Z34953" s="372">
        <v>0.0</v>
      </c>
    </row>
    <row r="34954">
      <c r="Y34954" s="372">
        <v>0.0</v>
      </c>
      <c r="Z34954" s="372">
        <v>0.0</v>
      </c>
    </row>
    <row r="34955">
      <c r="Y34955" s="372">
        <v>0.0</v>
      </c>
      <c r="Z34955" s="372">
        <v>0.0</v>
      </c>
    </row>
    <row r="34956">
      <c r="Y34956" s="372">
        <v>0.0</v>
      </c>
      <c r="Z34956" s="372">
        <v>0.0</v>
      </c>
    </row>
    <row r="34957">
      <c r="Y34957" s="372">
        <v>0.0</v>
      </c>
      <c r="Z34957" s="372">
        <v>0.0</v>
      </c>
    </row>
    <row r="34958">
      <c r="Y34958" s="372">
        <v>0.0</v>
      </c>
      <c r="Z34958" s="372">
        <v>0.0</v>
      </c>
    </row>
    <row r="34959">
      <c r="Y34959" s="372">
        <v>0.0</v>
      </c>
      <c r="Z34959" s="372">
        <v>0.0</v>
      </c>
    </row>
    <row r="34960">
      <c r="Y34960" s="372">
        <v>0.0</v>
      </c>
      <c r="Z34960" s="372">
        <v>0.0</v>
      </c>
    </row>
    <row r="34961">
      <c r="Y34961" s="372">
        <v>0.0</v>
      </c>
      <c r="Z34961" s="372">
        <v>0.0</v>
      </c>
    </row>
    <row r="34962">
      <c r="Y34962" s="372">
        <v>0.0</v>
      </c>
      <c r="Z34962" s="372">
        <v>0.0</v>
      </c>
    </row>
    <row r="34963">
      <c r="Y34963" s="372">
        <v>0.0</v>
      </c>
      <c r="Z34963" s="372">
        <v>0.0</v>
      </c>
    </row>
    <row r="34964">
      <c r="Y34964" s="372">
        <v>0.0</v>
      </c>
      <c r="Z34964" s="372">
        <v>0.0</v>
      </c>
    </row>
    <row r="34965">
      <c r="Y34965" s="372">
        <v>0.0</v>
      </c>
      <c r="Z34965" s="372">
        <v>0.0</v>
      </c>
    </row>
    <row r="34966">
      <c r="Y34966" s="372">
        <v>0.0</v>
      </c>
      <c r="Z34966" s="372">
        <v>0.0</v>
      </c>
    </row>
    <row r="34967">
      <c r="Y34967" s="372">
        <v>0.0</v>
      </c>
      <c r="Z34967" s="372">
        <v>0.0</v>
      </c>
    </row>
    <row r="34968">
      <c r="Y34968" s="372">
        <v>0.0</v>
      </c>
      <c r="Z34968" s="372">
        <v>0.0</v>
      </c>
    </row>
    <row r="34969">
      <c r="Y34969" s="372">
        <v>0.0</v>
      </c>
      <c r="Z34969" s="372">
        <v>0.0</v>
      </c>
    </row>
    <row r="34970">
      <c r="Y34970" s="372">
        <v>0.0</v>
      </c>
      <c r="Z34970" s="372">
        <v>0.0</v>
      </c>
    </row>
    <row r="34971">
      <c r="Y34971" s="372">
        <v>0.0</v>
      </c>
      <c r="Z34971" s="372">
        <v>0.0</v>
      </c>
    </row>
    <row r="34972">
      <c r="Y34972" s="372">
        <v>0.0</v>
      </c>
      <c r="Z34972" s="372">
        <v>0.0</v>
      </c>
    </row>
    <row r="34973">
      <c r="Y34973" s="372">
        <v>0.0</v>
      </c>
      <c r="Z34973" s="372">
        <v>0.0</v>
      </c>
    </row>
    <row r="34974">
      <c r="Y34974" s="372">
        <v>0.0</v>
      </c>
      <c r="Z34974" s="372">
        <v>0.0</v>
      </c>
    </row>
    <row r="34975">
      <c r="Y34975" s="372">
        <v>0.0</v>
      </c>
      <c r="Z34975" s="372">
        <v>0.0</v>
      </c>
    </row>
    <row r="34976">
      <c r="Y34976" s="372">
        <v>0.0</v>
      </c>
      <c r="Z34976" s="372">
        <v>0.0</v>
      </c>
    </row>
    <row r="34977">
      <c r="Y34977" s="372">
        <v>0.0</v>
      </c>
      <c r="Z34977" s="372">
        <v>0.0</v>
      </c>
    </row>
    <row r="34978">
      <c r="Y34978" s="372">
        <v>0.0</v>
      </c>
      <c r="Z34978" s="372">
        <v>0.0</v>
      </c>
    </row>
    <row r="34979">
      <c r="Y34979" s="372">
        <v>0.0</v>
      </c>
      <c r="Z34979" s="372">
        <v>0.0</v>
      </c>
    </row>
    <row r="34980">
      <c r="Y34980" s="372">
        <v>0.0</v>
      </c>
      <c r="Z34980" s="372">
        <v>0.0</v>
      </c>
    </row>
    <row r="34981">
      <c r="Y34981" s="372">
        <v>0.0</v>
      </c>
      <c r="Z34981" s="372">
        <v>0.0</v>
      </c>
    </row>
    <row r="34982">
      <c r="Y34982" s="372">
        <v>0.0</v>
      </c>
      <c r="Z34982" s="372">
        <v>0.0</v>
      </c>
    </row>
    <row r="34983">
      <c r="Y34983" s="372">
        <v>0.0</v>
      </c>
      <c r="Z34983" s="372">
        <v>0.0</v>
      </c>
    </row>
    <row r="34984">
      <c r="Y34984" s="372">
        <v>0.0</v>
      </c>
      <c r="Z34984" s="372">
        <v>0.0</v>
      </c>
    </row>
    <row r="34985">
      <c r="Y34985" s="372">
        <v>0.0</v>
      </c>
      <c r="Z34985" s="372">
        <v>0.0</v>
      </c>
    </row>
    <row r="34986">
      <c r="Y34986" s="372">
        <v>0.0</v>
      </c>
      <c r="Z34986" s="372">
        <v>0.0</v>
      </c>
    </row>
    <row r="34987">
      <c r="Y34987" s="372">
        <v>0.0</v>
      </c>
      <c r="Z34987" s="372">
        <v>0.0</v>
      </c>
    </row>
    <row r="34988">
      <c r="Y34988" s="372">
        <v>0.0</v>
      </c>
      <c r="Z34988" s="372">
        <v>0.0</v>
      </c>
    </row>
    <row r="34989">
      <c r="Y34989" s="372">
        <v>0.0</v>
      </c>
      <c r="Z34989" s="372">
        <v>0.0</v>
      </c>
    </row>
    <row r="34990">
      <c r="Y34990" s="372">
        <v>0.0</v>
      </c>
      <c r="Z34990" s="372">
        <v>0.0</v>
      </c>
    </row>
    <row r="34991">
      <c r="Y34991" s="372">
        <v>0.0</v>
      </c>
      <c r="Z34991" s="372">
        <v>0.0</v>
      </c>
    </row>
    <row r="34992">
      <c r="Y34992" s="372">
        <v>0.0</v>
      </c>
      <c r="Z34992" s="372">
        <v>0.0</v>
      </c>
    </row>
    <row r="34993">
      <c r="Y34993" s="372">
        <v>0.0</v>
      </c>
      <c r="Z34993" s="372">
        <v>0.0</v>
      </c>
    </row>
    <row r="34994">
      <c r="Y34994" s="372">
        <v>0.0</v>
      </c>
      <c r="Z34994" s="372">
        <v>0.0</v>
      </c>
    </row>
    <row r="34995">
      <c r="Y34995" s="372">
        <v>0.0</v>
      </c>
      <c r="Z34995" s="372">
        <v>0.0</v>
      </c>
    </row>
    <row r="34996">
      <c r="Y34996" s="372">
        <v>0.0</v>
      </c>
      <c r="Z34996" s="372">
        <v>0.0</v>
      </c>
    </row>
    <row r="34997">
      <c r="Y34997" s="372">
        <v>0.0</v>
      </c>
      <c r="Z34997" s="372">
        <v>0.0</v>
      </c>
    </row>
    <row r="34998">
      <c r="Y34998" s="372">
        <v>0.0</v>
      </c>
      <c r="Z34998" s="372">
        <v>0.0</v>
      </c>
    </row>
    <row r="34999">
      <c r="Y34999" s="372">
        <v>0.0</v>
      </c>
      <c r="Z34999" s="372">
        <v>0.0</v>
      </c>
    </row>
    <row r="35000">
      <c r="Y35000" s="372">
        <v>0.0</v>
      </c>
      <c r="Z35000" s="372">
        <v>0.0</v>
      </c>
    </row>
    <row r="35001">
      <c r="Y35001" s="372">
        <v>0.0</v>
      </c>
      <c r="Z35001" s="372">
        <v>0.0</v>
      </c>
    </row>
    <row r="35002">
      <c r="Y35002" s="372">
        <v>0.0</v>
      </c>
      <c r="Z35002" s="372">
        <v>0.0</v>
      </c>
    </row>
    <row r="35003">
      <c r="Y35003" s="372">
        <v>0.0</v>
      </c>
      <c r="Z35003" s="372">
        <v>0.0</v>
      </c>
    </row>
    <row r="35004">
      <c r="Y35004" s="372">
        <v>0.0</v>
      </c>
      <c r="Z35004" s="372">
        <v>0.0</v>
      </c>
    </row>
    <row r="35005">
      <c r="Y35005" s="372">
        <v>0.0</v>
      </c>
      <c r="Z35005" s="372">
        <v>0.0</v>
      </c>
    </row>
    <row r="35006">
      <c r="Y35006" s="372">
        <v>0.0</v>
      </c>
      <c r="Z35006" s="372">
        <v>0.0</v>
      </c>
    </row>
    <row r="35007">
      <c r="Y35007" s="372">
        <v>0.0</v>
      </c>
      <c r="Z35007" s="372">
        <v>0.0</v>
      </c>
    </row>
    <row r="35008">
      <c r="Y35008" s="372">
        <v>0.0</v>
      </c>
      <c r="Z35008" s="372">
        <v>0.0</v>
      </c>
    </row>
    <row r="35009">
      <c r="Y35009" s="372">
        <v>0.0</v>
      </c>
      <c r="Z35009" s="372">
        <v>0.0</v>
      </c>
    </row>
    <row r="35010">
      <c r="Y35010" s="372">
        <v>0.0</v>
      </c>
      <c r="Z35010" s="372">
        <v>0.0</v>
      </c>
    </row>
    <row r="35011">
      <c r="Y35011" s="372">
        <v>0.0</v>
      </c>
      <c r="Z35011" s="372">
        <v>0.0</v>
      </c>
    </row>
    <row r="35012">
      <c r="Y35012" s="372">
        <v>0.0</v>
      </c>
      <c r="Z35012" s="372">
        <v>0.0</v>
      </c>
    </row>
    <row r="35013">
      <c r="Y35013" s="372">
        <v>0.0</v>
      </c>
      <c r="Z35013" s="372">
        <v>0.0</v>
      </c>
    </row>
    <row r="35014">
      <c r="Y35014" s="372">
        <v>0.0</v>
      </c>
      <c r="Z35014" s="372">
        <v>0.0</v>
      </c>
    </row>
    <row r="35015">
      <c r="Y35015" s="372">
        <v>0.0</v>
      </c>
      <c r="Z35015" s="372">
        <v>0.0</v>
      </c>
    </row>
    <row r="35016">
      <c r="Y35016" s="372">
        <v>0.0</v>
      </c>
      <c r="Z35016" s="372">
        <v>0.0</v>
      </c>
    </row>
    <row r="35017">
      <c r="Y35017" s="372">
        <v>0.0</v>
      </c>
      <c r="Z35017" s="372">
        <v>0.0</v>
      </c>
    </row>
    <row r="35018">
      <c r="Y35018" s="372">
        <v>0.0</v>
      </c>
      <c r="Z35018" s="372">
        <v>0.0</v>
      </c>
    </row>
    <row r="35019">
      <c r="Y35019" s="372">
        <v>0.0</v>
      </c>
      <c r="Z35019" s="372">
        <v>0.0</v>
      </c>
    </row>
    <row r="35020">
      <c r="Y35020" s="372">
        <v>0.0</v>
      </c>
      <c r="Z35020" s="372">
        <v>0.0</v>
      </c>
    </row>
    <row r="35021">
      <c r="Y35021" s="372">
        <v>0.0</v>
      </c>
      <c r="Z35021" s="372">
        <v>0.0</v>
      </c>
    </row>
    <row r="35022">
      <c r="Y35022" s="372">
        <v>0.0</v>
      </c>
      <c r="Z35022" s="372">
        <v>0.0</v>
      </c>
    </row>
    <row r="35023">
      <c r="Y35023" s="372">
        <v>0.0</v>
      </c>
      <c r="Z35023" s="372">
        <v>0.0</v>
      </c>
    </row>
    <row r="35024">
      <c r="Y35024" s="372">
        <v>0.0</v>
      </c>
      <c r="Z35024" s="372">
        <v>0.0</v>
      </c>
    </row>
    <row r="35025">
      <c r="Y35025" s="372">
        <v>0.0</v>
      </c>
      <c r="Z35025" s="372">
        <v>0.0</v>
      </c>
    </row>
    <row r="35026">
      <c r="Y35026" s="372">
        <v>0.0</v>
      </c>
      <c r="Z35026" s="372">
        <v>0.0</v>
      </c>
    </row>
    <row r="35027">
      <c r="Y35027" s="372">
        <v>0.0</v>
      </c>
      <c r="Z35027" s="372">
        <v>0.0</v>
      </c>
    </row>
    <row r="35028">
      <c r="Y35028" s="372">
        <v>0.0</v>
      </c>
      <c r="Z35028" s="372">
        <v>0.0</v>
      </c>
    </row>
    <row r="35029">
      <c r="Y35029" s="372">
        <v>0.0</v>
      </c>
      <c r="Z35029" s="372">
        <v>0.0</v>
      </c>
    </row>
    <row r="35030">
      <c r="Y35030" s="372">
        <v>0.0</v>
      </c>
      <c r="Z35030" s="372">
        <v>0.0</v>
      </c>
    </row>
    <row r="35031">
      <c r="Y35031" s="372">
        <v>0.0</v>
      </c>
      <c r="Z35031" s="372">
        <v>0.0</v>
      </c>
    </row>
    <row r="35032">
      <c r="Y35032" s="372">
        <v>0.0</v>
      </c>
      <c r="Z35032" s="372">
        <v>0.0</v>
      </c>
    </row>
    <row r="35033">
      <c r="Y35033" s="372">
        <v>0.0</v>
      </c>
      <c r="Z35033" s="372">
        <v>0.0</v>
      </c>
    </row>
    <row r="35034">
      <c r="Y35034" s="372">
        <v>0.0</v>
      </c>
      <c r="Z35034" s="372">
        <v>0.0</v>
      </c>
    </row>
    <row r="35035">
      <c r="Y35035" s="372">
        <v>0.0</v>
      </c>
      <c r="Z35035" s="372">
        <v>0.0</v>
      </c>
    </row>
    <row r="35036">
      <c r="Y35036" s="372">
        <v>0.0</v>
      </c>
      <c r="Z35036" s="372">
        <v>0.0</v>
      </c>
    </row>
    <row r="35037">
      <c r="Y35037" s="372">
        <v>0.0</v>
      </c>
      <c r="Z35037" s="372">
        <v>0.0</v>
      </c>
    </row>
    <row r="35038">
      <c r="Y35038" s="372">
        <v>0.0</v>
      </c>
      <c r="Z35038" s="372">
        <v>0.0</v>
      </c>
    </row>
    <row r="35039">
      <c r="Y35039" s="372">
        <v>0.0</v>
      </c>
      <c r="Z35039" s="372">
        <v>0.0</v>
      </c>
    </row>
    <row r="35040">
      <c r="Y35040" s="372">
        <v>0.0</v>
      </c>
      <c r="Z35040" s="372">
        <v>0.0</v>
      </c>
    </row>
    <row r="35041">
      <c r="Y35041" s="372">
        <v>0.0</v>
      </c>
      <c r="Z35041" s="372">
        <v>0.0</v>
      </c>
    </row>
    <row r="35042">
      <c r="Y35042" s="372">
        <v>0.0</v>
      </c>
      <c r="Z35042" s="372">
        <v>0.0</v>
      </c>
    </row>
    <row r="35043">
      <c r="Y35043" s="372">
        <v>0.0</v>
      </c>
      <c r="Z35043" s="372">
        <v>0.0</v>
      </c>
    </row>
    <row r="35044">
      <c r="Y35044" s="372">
        <v>0.0</v>
      </c>
      <c r="Z35044" s="372">
        <v>0.0</v>
      </c>
    </row>
    <row r="35045">
      <c r="Y35045" s="372">
        <v>0.0</v>
      </c>
      <c r="Z35045" s="372">
        <v>0.0</v>
      </c>
    </row>
    <row r="35046">
      <c r="Y35046" s="372">
        <v>0.0</v>
      </c>
      <c r="Z35046" s="372">
        <v>0.0</v>
      </c>
    </row>
    <row r="35047">
      <c r="Y35047" s="372">
        <v>0.0</v>
      </c>
      <c r="Z35047" s="372">
        <v>0.0</v>
      </c>
    </row>
    <row r="35048">
      <c r="Y35048" s="372">
        <v>0.0</v>
      </c>
      <c r="Z35048" s="372">
        <v>0.0</v>
      </c>
    </row>
    <row r="35049">
      <c r="Y35049" s="372">
        <v>0.0</v>
      </c>
      <c r="Z35049" s="372">
        <v>0.0</v>
      </c>
    </row>
    <row r="35050">
      <c r="Y35050" s="372">
        <v>0.0</v>
      </c>
      <c r="Z35050" s="372">
        <v>0.0</v>
      </c>
    </row>
    <row r="35051">
      <c r="Y35051" s="372">
        <v>0.0</v>
      </c>
      <c r="Z35051" s="372">
        <v>0.0</v>
      </c>
    </row>
    <row r="35052">
      <c r="Y35052" s="372">
        <v>0.0</v>
      </c>
      <c r="Z35052" s="372">
        <v>0.0</v>
      </c>
    </row>
    <row r="35053">
      <c r="Y35053" s="372">
        <v>0.0</v>
      </c>
      <c r="Z35053" s="372">
        <v>0.0</v>
      </c>
    </row>
    <row r="35054">
      <c r="Y35054" s="372">
        <v>0.0</v>
      </c>
      <c r="Z35054" s="372">
        <v>0.0</v>
      </c>
    </row>
    <row r="35055">
      <c r="Y35055" s="372">
        <v>0.0</v>
      </c>
      <c r="Z35055" s="372">
        <v>0.0</v>
      </c>
    </row>
    <row r="35056">
      <c r="Y35056" s="372">
        <v>0.0</v>
      </c>
      <c r="Z35056" s="372">
        <v>0.0</v>
      </c>
    </row>
    <row r="35057">
      <c r="Y35057" s="372">
        <v>0.0</v>
      </c>
      <c r="Z35057" s="372">
        <v>0.0</v>
      </c>
    </row>
    <row r="35058">
      <c r="Y35058" s="372">
        <v>0.0</v>
      </c>
      <c r="Z35058" s="372">
        <v>0.0</v>
      </c>
    </row>
    <row r="35059">
      <c r="Y35059" s="372">
        <v>0.0</v>
      </c>
      <c r="Z35059" s="372">
        <v>0.0</v>
      </c>
    </row>
    <row r="35060">
      <c r="Y35060" s="372">
        <v>0.0</v>
      </c>
      <c r="Z35060" s="372">
        <v>0.0</v>
      </c>
    </row>
    <row r="35061">
      <c r="Y35061" s="372">
        <v>0.0</v>
      </c>
      <c r="Z35061" s="372">
        <v>0.0</v>
      </c>
    </row>
    <row r="35062">
      <c r="Y35062" s="372">
        <v>0.0</v>
      </c>
      <c r="Z35062" s="372">
        <v>0.0</v>
      </c>
    </row>
    <row r="35063">
      <c r="Y35063" s="372">
        <v>0.0</v>
      </c>
      <c r="Z35063" s="372">
        <v>0.0</v>
      </c>
    </row>
    <row r="35064">
      <c r="Y35064" s="372">
        <v>0.0</v>
      </c>
      <c r="Z35064" s="372">
        <v>0.0</v>
      </c>
    </row>
    <row r="35065">
      <c r="Y35065" s="372">
        <v>0.0</v>
      </c>
      <c r="Z35065" s="372">
        <v>0.0</v>
      </c>
    </row>
    <row r="35066">
      <c r="Y35066" s="372">
        <v>0.0</v>
      </c>
      <c r="Z35066" s="372">
        <v>0.0</v>
      </c>
    </row>
    <row r="35067">
      <c r="Y35067" s="372">
        <v>0.0</v>
      </c>
      <c r="Z35067" s="372">
        <v>0.0</v>
      </c>
    </row>
    <row r="35068">
      <c r="Y35068" s="372">
        <v>0.0</v>
      </c>
      <c r="Z35068" s="372">
        <v>0.0</v>
      </c>
    </row>
    <row r="35069">
      <c r="Y35069" s="372">
        <v>0.0</v>
      </c>
      <c r="Z35069" s="372">
        <v>0.0</v>
      </c>
    </row>
    <row r="35070">
      <c r="Y35070" s="372">
        <v>0.0</v>
      </c>
      <c r="Z35070" s="372">
        <v>0.0</v>
      </c>
    </row>
    <row r="35071">
      <c r="Y35071" s="372">
        <v>0.0</v>
      </c>
      <c r="Z35071" s="372">
        <v>0.0</v>
      </c>
    </row>
    <row r="35072">
      <c r="Y35072" s="372">
        <v>0.0</v>
      </c>
      <c r="Z35072" s="372">
        <v>0.0</v>
      </c>
    </row>
    <row r="35073">
      <c r="Y35073" s="372">
        <v>0.0</v>
      </c>
      <c r="Z35073" s="372">
        <v>0.0</v>
      </c>
    </row>
    <row r="35074">
      <c r="Y35074" s="372">
        <v>0.0</v>
      </c>
      <c r="Z35074" s="372">
        <v>0.0</v>
      </c>
    </row>
    <row r="35075">
      <c r="Y35075" s="372">
        <v>0.0</v>
      </c>
      <c r="Z35075" s="372">
        <v>0.0</v>
      </c>
    </row>
    <row r="35076">
      <c r="Y35076" s="372">
        <v>0.0</v>
      </c>
      <c r="Z35076" s="372">
        <v>0.0</v>
      </c>
    </row>
    <row r="35077">
      <c r="Y35077" s="372">
        <v>0.0</v>
      </c>
      <c r="Z35077" s="372">
        <v>0.0</v>
      </c>
    </row>
    <row r="35078">
      <c r="Y35078" s="372">
        <v>0.0</v>
      </c>
      <c r="Z35078" s="372">
        <v>0.0</v>
      </c>
    </row>
    <row r="35079">
      <c r="Y35079" s="372">
        <v>0.0</v>
      </c>
      <c r="Z35079" s="372">
        <v>0.0</v>
      </c>
    </row>
    <row r="35080">
      <c r="Y35080" s="372">
        <v>0.0</v>
      </c>
      <c r="Z35080" s="372">
        <v>0.0</v>
      </c>
    </row>
    <row r="35081">
      <c r="Y35081" s="372">
        <v>0.0</v>
      </c>
      <c r="Z35081" s="372">
        <v>0.0</v>
      </c>
    </row>
    <row r="35082">
      <c r="Y35082" s="372">
        <v>0.0</v>
      </c>
      <c r="Z35082" s="372">
        <v>0.0</v>
      </c>
    </row>
    <row r="35083">
      <c r="Y35083" s="372">
        <v>0.0</v>
      </c>
      <c r="Z35083" s="372">
        <v>0.0</v>
      </c>
    </row>
    <row r="35084">
      <c r="Y35084" s="372">
        <v>0.0</v>
      </c>
      <c r="Z35084" s="372">
        <v>0.0</v>
      </c>
    </row>
    <row r="35085">
      <c r="Y35085" s="372">
        <v>0.0</v>
      </c>
      <c r="Z35085" s="372">
        <v>0.0</v>
      </c>
    </row>
    <row r="35086">
      <c r="Y35086" s="372">
        <v>0.0</v>
      </c>
      <c r="Z35086" s="372">
        <v>0.0</v>
      </c>
    </row>
    <row r="35087">
      <c r="Y35087" s="372">
        <v>0.0</v>
      </c>
      <c r="Z35087" s="372">
        <v>0.0</v>
      </c>
    </row>
    <row r="35088">
      <c r="Y35088" s="372">
        <v>0.0</v>
      </c>
      <c r="Z35088" s="372">
        <v>0.0</v>
      </c>
    </row>
    <row r="35089">
      <c r="Y35089" s="372">
        <v>0.0</v>
      </c>
      <c r="Z35089" s="372">
        <v>0.0</v>
      </c>
    </row>
    <row r="35090">
      <c r="Y35090" s="372">
        <v>0.0</v>
      </c>
      <c r="Z35090" s="372">
        <v>0.0</v>
      </c>
    </row>
    <row r="35091">
      <c r="Y35091" s="372">
        <v>0.0</v>
      </c>
      <c r="Z35091" s="372">
        <v>0.0</v>
      </c>
    </row>
    <row r="35092">
      <c r="Y35092" s="372">
        <v>0.0</v>
      </c>
      <c r="Z35092" s="372">
        <v>0.0</v>
      </c>
    </row>
    <row r="35093">
      <c r="Y35093" s="372">
        <v>0.0</v>
      </c>
      <c r="Z35093" s="372">
        <v>0.0</v>
      </c>
    </row>
    <row r="35094">
      <c r="Y35094" s="372">
        <v>0.0</v>
      </c>
      <c r="Z35094" s="372">
        <v>0.0</v>
      </c>
    </row>
    <row r="35095">
      <c r="Y35095" s="372">
        <v>0.0</v>
      </c>
      <c r="Z35095" s="372">
        <v>0.0</v>
      </c>
    </row>
    <row r="35096">
      <c r="Y35096" s="372">
        <v>0.0</v>
      </c>
      <c r="Z35096" s="372">
        <v>0.0</v>
      </c>
    </row>
    <row r="35097">
      <c r="Y35097" s="372">
        <v>0.0</v>
      </c>
      <c r="Z35097" s="372">
        <v>0.0</v>
      </c>
    </row>
    <row r="35098">
      <c r="Y35098" s="372">
        <v>0.0</v>
      </c>
      <c r="Z35098" s="372">
        <v>0.0</v>
      </c>
    </row>
    <row r="35099">
      <c r="Y35099" s="372">
        <v>0.0</v>
      </c>
      <c r="Z35099" s="372">
        <v>0.0</v>
      </c>
    </row>
    <row r="35100">
      <c r="Y35100" s="372">
        <v>0.0</v>
      </c>
      <c r="Z35100" s="372">
        <v>0.0</v>
      </c>
    </row>
    <row r="35101">
      <c r="Y35101" s="372">
        <v>0.0</v>
      </c>
      <c r="Z35101" s="372">
        <v>0.0</v>
      </c>
    </row>
    <row r="35102">
      <c r="Y35102" s="372">
        <v>0.0</v>
      </c>
      <c r="Z35102" s="372">
        <v>0.0</v>
      </c>
    </row>
    <row r="35103">
      <c r="Y35103" s="372">
        <v>0.0</v>
      </c>
      <c r="Z35103" s="372">
        <v>0.0</v>
      </c>
    </row>
    <row r="35104">
      <c r="Y35104" s="372">
        <v>0.0</v>
      </c>
      <c r="Z35104" s="372">
        <v>0.0</v>
      </c>
    </row>
    <row r="35105">
      <c r="Y35105" s="372">
        <v>0.0</v>
      </c>
      <c r="Z35105" s="372">
        <v>0.0</v>
      </c>
    </row>
    <row r="35106">
      <c r="Y35106" s="372">
        <v>0.0</v>
      </c>
      <c r="Z35106" s="372">
        <v>0.0</v>
      </c>
    </row>
    <row r="35107">
      <c r="Y35107" s="372">
        <v>0.0</v>
      </c>
      <c r="Z35107" s="372">
        <v>0.0</v>
      </c>
    </row>
    <row r="35108">
      <c r="Y35108" s="372">
        <v>0.0</v>
      </c>
      <c r="Z35108" s="372">
        <v>0.0</v>
      </c>
    </row>
    <row r="35109">
      <c r="Y35109" s="372">
        <v>0.0</v>
      </c>
      <c r="Z35109" s="372">
        <v>0.0</v>
      </c>
    </row>
    <row r="35110">
      <c r="Y35110" s="372">
        <v>0.0</v>
      </c>
      <c r="Z35110" s="372">
        <v>0.0</v>
      </c>
    </row>
    <row r="35111">
      <c r="Y35111" s="372">
        <v>0.0</v>
      </c>
      <c r="Z35111" s="372">
        <v>0.0</v>
      </c>
    </row>
    <row r="35112">
      <c r="Y35112" s="372">
        <v>0.0</v>
      </c>
      <c r="Z35112" s="372">
        <v>0.0</v>
      </c>
    </row>
    <row r="35113">
      <c r="Y35113" s="372">
        <v>0.0</v>
      </c>
      <c r="Z35113" s="372">
        <v>0.0</v>
      </c>
    </row>
    <row r="35114">
      <c r="Y35114" s="372">
        <v>0.0</v>
      </c>
      <c r="Z35114" s="372">
        <v>0.0</v>
      </c>
    </row>
    <row r="35115">
      <c r="Y35115" s="372">
        <v>0.0</v>
      </c>
      <c r="Z35115" s="372">
        <v>0.0</v>
      </c>
    </row>
    <row r="35116">
      <c r="Y35116" s="372">
        <v>0.0</v>
      </c>
      <c r="Z35116" s="372">
        <v>0.0</v>
      </c>
    </row>
    <row r="35117">
      <c r="Y35117" s="372">
        <v>0.0</v>
      </c>
      <c r="Z35117" s="372">
        <v>0.0</v>
      </c>
    </row>
    <row r="35118">
      <c r="Y35118" s="372">
        <v>0.0</v>
      </c>
      <c r="Z35118" s="372">
        <v>0.0</v>
      </c>
    </row>
    <row r="35119">
      <c r="Y35119" s="372">
        <v>0.0</v>
      </c>
      <c r="Z35119" s="372">
        <v>0.0</v>
      </c>
    </row>
    <row r="35120">
      <c r="Y35120" s="372">
        <v>0.0</v>
      </c>
      <c r="Z35120" s="372">
        <v>0.0</v>
      </c>
    </row>
    <row r="35121">
      <c r="Y35121" s="372">
        <v>0.0</v>
      </c>
      <c r="Z35121" s="372">
        <v>0.0</v>
      </c>
    </row>
    <row r="35122">
      <c r="Y35122" s="372">
        <v>0.0</v>
      </c>
      <c r="Z35122" s="372">
        <v>0.0</v>
      </c>
    </row>
    <row r="35123">
      <c r="Y35123" s="372">
        <v>0.0</v>
      </c>
      <c r="Z35123" s="372">
        <v>0.0</v>
      </c>
    </row>
    <row r="35124">
      <c r="Y35124" s="372">
        <v>0.0</v>
      </c>
      <c r="Z35124" s="372">
        <v>0.0</v>
      </c>
    </row>
    <row r="35125">
      <c r="Y35125" s="372">
        <v>0.0</v>
      </c>
      <c r="Z35125" s="372">
        <v>0.0</v>
      </c>
    </row>
    <row r="35126">
      <c r="Y35126" s="372">
        <v>0.0</v>
      </c>
      <c r="Z35126" s="372">
        <v>0.0</v>
      </c>
    </row>
    <row r="35127">
      <c r="Y35127" s="372">
        <v>0.0</v>
      </c>
      <c r="Z35127" s="372">
        <v>0.0</v>
      </c>
    </row>
    <row r="35128">
      <c r="Y35128" s="372">
        <v>0.0</v>
      </c>
      <c r="Z35128" s="372">
        <v>0.0</v>
      </c>
    </row>
    <row r="35129">
      <c r="Y35129" s="372">
        <v>0.0</v>
      </c>
      <c r="Z35129" s="372">
        <v>0.0</v>
      </c>
    </row>
    <row r="35130">
      <c r="Y35130" s="372">
        <v>0.0</v>
      </c>
      <c r="Z35130" s="372">
        <v>0.0</v>
      </c>
    </row>
    <row r="35131">
      <c r="Y35131" s="372">
        <v>0.0</v>
      </c>
      <c r="Z35131" s="372">
        <v>0.0</v>
      </c>
    </row>
    <row r="35132">
      <c r="Y35132" s="372">
        <v>0.0</v>
      </c>
      <c r="Z35132" s="372">
        <v>0.0</v>
      </c>
    </row>
    <row r="35133">
      <c r="Y35133" s="372">
        <v>0.0</v>
      </c>
      <c r="Z35133" s="372">
        <v>0.0</v>
      </c>
    </row>
    <row r="35134">
      <c r="Y35134" s="372">
        <v>0.0</v>
      </c>
      <c r="Z35134" s="372">
        <v>0.0</v>
      </c>
    </row>
    <row r="35135">
      <c r="Y35135" s="372">
        <v>0.0</v>
      </c>
      <c r="Z35135" s="372">
        <v>0.0</v>
      </c>
    </row>
    <row r="35136">
      <c r="Y35136" s="372">
        <v>0.0</v>
      </c>
      <c r="Z35136" s="372">
        <v>0.0</v>
      </c>
    </row>
    <row r="35137">
      <c r="Y35137" s="372">
        <v>0.0</v>
      </c>
      <c r="Z35137" s="372">
        <v>0.0</v>
      </c>
    </row>
    <row r="35138">
      <c r="Y35138" s="372">
        <v>0.0</v>
      </c>
      <c r="Z35138" s="372">
        <v>0.0</v>
      </c>
    </row>
    <row r="35139">
      <c r="Y35139" s="372">
        <v>0.0</v>
      </c>
      <c r="Z35139" s="372">
        <v>0.0</v>
      </c>
    </row>
    <row r="35140">
      <c r="Y35140" s="372">
        <v>0.0</v>
      </c>
      <c r="Z35140" s="372">
        <v>0.0</v>
      </c>
    </row>
    <row r="35141">
      <c r="Y35141" s="372">
        <v>0.0</v>
      </c>
      <c r="Z35141" s="372">
        <v>0.0</v>
      </c>
    </row>
    <row r="35142">
      <c r="Y35142" s="372">
        <v>0.0</v>
      </c>
      <c r="Z35142" s="372">
        <v>0.0</v>
      </c>
    </row>
    <row r="35143">
      <c r="Y35143" s="372">
        <v>0.0</v>
      </c>
      <c r="Z35143" s="372">
        <v>0.0</v>
      </c>
    </row>
    <row r="35144">
      <c r="Y35144" s="372">
        <v>0.0</v>
      </c>
      <c r="Z35144" s="372">
        <v>0.0</v>
      </c>
    </row>
    <row r="35145">
      <c r="Y35145" s="372">
        <v>0.0</v>
      </c>
      <c r="Z35145" s="372">
        <v>0.0</v>
      </c>
    </row>
    <row r="35146">
      <c r="Y35146" s="372">
        <v>0.0</v>
      </c>
      <c r="Z35146" s="372">
        <v>0.0</v>
      </c>
    </row>
    <row r="35147">
      <c r="Y35147" s="372">
        <v>0.0</v>
      </c>
      <c r="Z35147" s="372">
        <v>0.0</v>
      </c>
    </row>
    <row r="35148">
      <c r="Y35148" s="372">
        <v>0.0</v>
      </c>
      <c r="Z35148" s="372">
        <v>0.0</v>
      </c>
    </row>
    <row r="35149">
      <c r="Y35149" s="372">
        <v>0.0</v>
      </c>
      <c r="Z35149" s="372">
        <v>0.0</v>
      </c>
    </row>
    <row r="35150">
      <c r="Y35150" s="372">
        <v>0.0</v>
      </c>
      <c r="Z35150" s="372">
        <v>0.0</v>
      </c>
    </row>
    <row r="35151">
      <c r="Y35151" s="372">
        <v>0.0</v>
      </c>
      <c r="Z35151" s="372">
        <v>0.0</v>
      </c>
    </row>
    <row r="35152">
      <c r="Y35152" s="372">
        <v>0.0</v>
      </c>
      <c r="Z35152" s="372">
        <v>0.0</v>
      </c>
    </row>
    <row r="35153">
      <c r="Y35153" s="372">
        <v>0.0</v>
      </c>
      <c r="Z35153" s="372">
        <v>0.0</v>
      </c>
    </row>
    <row r="35154">
      <c r="Y35154" s="372">
        <v>0.0</v>
      </c>
      <c r="Z35154" s="372">
        <v>0.0</v>
      </c>
    </row>
    <row r="35155">
      <c r="Y35155" s="372">
        <v>0.0</v>
      </c>
      <c r="Z35155" s="372">
        <v>0.0</v>
      </c>
    </row>
    <row r="35156">
      <c r="Y35156" s="372">
        <v>0.0</v>
      </c>
      <c r="Z35156" s="372">
        <v>0.0</v>
      </c>
    </row>
    <row r="35157">
      <c r="Y35157" s="372">
        <v>0.0</v>
      </c>
      <c r="Z35157" s="372">
        <v>0.0</v>
      </c>
    </row>
    <row r="35158">
      <c r="Y35158" s="372">
        <v>0.0</v>
      </c>
      <c r="Z35158" s="372">
        <v>0.0</v>
      </c>
    </row>
    <row r="35159">
      <c r="Y35159" s="372">
        <v>0.0</v>
      </c>
      <c r="Z35159" s="372">
        <v>0.0</v>
      </c>
    </row>
    <row r="35160">
      <c r="Y35160" s="372">
        <v>0.0</v>
      </c>
      <c r="Z35160" s="372">
        <v>0.0</v>
      </c>
    </row>
    <row r="35161">
      <c r="Y35161" s="372">
        <v>0.0</v>
      </c>
      <c r="Z35161" s="372">
        <v>0.0</v>
      </c>
    </row>
    <row r="35162">
      <c r="Y35162" s="372">
        <v>0.0</v>
      </c>
      <c r="Z35162" s="372">
        <v>0.0</v>
      </c>
    </row>
    <row r="35163">
      <c r="Y35163" s="372">
        <v>0.0</v>
      </c>
      <c r="Z35163" s="372">
        <v>0.0</v>
      </c>
    </row>
    <row r="35164">
      <c r="Y35164" s="372">
        <v>0.0</v>
      </c>
      <c r="Z35164" s="372">
        <v>0.0</v>
      </c>
    </row>
    <row r="35165">
      <c r="Y35165" s="372">
        <v>0.0</v>
      </c>
      <c r="Z35165" s="372">
        <v>0.0</v>
      </c>
    </row>
    <row r="35166">
      <c r="Y35166" s="372">
        <v>0.0</v>
      </c>
      <c r="Z35166" s="372">
        <v>0.0</v>
      </c>
    </row>
    <row r="35167">
      <c r="Y35167" s="372">
        <v>0.0</v>
      </c>
      <c r="Z35167" s="372">
        <v>0.0</v>
      </c>
    </row>
    <row r="35168">
      <c r="Y35168" s="372">
        <v>0.0</v>
      </c>
      <c r="Z35168" s="372">
        <v>0.0</v>
      </c>
    </row>
    <row r="35169">
      <c r="Y35169" s="372">
        <v>0.0</v>
      </c>
      <c r="Z35169" s="372">
        <v>0.0</v>
      </c>
    </row>
    <row r="35170">
      <c r="Y35170" s="372">
        <v>0.0</v>
      </c>
      <c r="Z35170" s="372">
        <v>0.0</v>
      </c>
    </row>
    <row r="35171">
      <c r="Y35171" s="372">
        <v>0.0</v>
      </c>
      <c r="Z35171" s="372">
        <v>0.0</v>
      </c>
    </row>
    <row r="35172">
      <c r="Y35172" s="372">
        <v>0.0</v>
      </c>
      <c r="Z35172" s="372">
        <v>0.0</v>
      </c>
    </row>
    <row r="35173">
      <c r="Y35173" s="372">
        <v>0.0</v>
      </c>
      <c r="Z35173" s="372">
        <v>0.0</v>
      </c>
    </row>
    <row r="35174">
      <c r="Y35174" s="372">
        <v>0.0</v>
      </c>
      <c r="Z35174" s="372">
        <v>0.0</v>
      </c>
    </row>
    <row r="35175">
      <c r="Y35175" s="372">
        <v>0.0</v>
      </c>
      <c r="Z35175" s="372">
        <v>0.0</v>
      </c>
    </row>
    <row r="35176">
      <c r="Y35176" s="372">
        <v>0.0</v>
      </c>
      <c r="Z35176" s="372">
        <v>0.0</v>
      </c>
    </row>
    <row r="35177">
      <c r="Y35177" s="372">
        <v>0.0</v>
      </c>
      <c r="Z35177" s="372">
        <v>0.0</v>
      </c>
    </row>
    <row r="35178">
      <c r="Y35178" s="372">
        <v>0.0</v>
      </c>
      <c r="Z35178" s="372">
        <v>0.0</v>
      </c>
    </row>
    <row r="35179">
      <c r="Y35179" s="372">
        <v>0.0</v>
      </c>
      <c r="Z35179" s="372">
        <v>0.0</v>
      </c>
    </row>
    <row r="35180">
      <c r="Y35180" s="372">
        <v>0.0</v>
      </c>
      <c r="Z35180" s="372">
        <v>0.0</v>
      </c>
    </row>
    <row r="35181">
      <c r="Y35181" s="372">
        <v>0.0</v>
      </c>
      <c r="Z35181" s="372">
        <v>0.0</v>
      </c>
    </row>
    <row r="35182">
      <c r="Y35182" s="372">
        <v>0.0</v>
      </c>
      <c r="Z35182" s="372">
        <v>0.0</v>
      </c>
    </row>
    <row r="35183">
      <c r="Y35183" s="372">
        <v>0.0</v>
      </c>
      <c r="Z35183" s="372">
        <v>0.0</v>
      </c>
    </row>
    <row r="35184">
      <c r="Y35184" s="372">
        <v>0.0</v>
      </c>
      <c r="Z35184" s="372">
        <v>0.0</v>
      </c>
    </row>
    <row r="35185">
      <c r="Y35185" s="372">
        <v>0.0</v>
      </c>
      <c r="Z35185" s="372">
        <v>0.0</v>
      </c>
    </row>
    <row r="35186">
      <c r="Y35186" s="372">
        <v>0.0</v>
      </c>
      <c r="Z35186" s="372">
        <v>0.0</v>
      </c>
    </row>
    <row r="35187">
      <c r="Y35187" s="372">
        <v>0.0</v>
      </c>
      <c r="Z35187" s="372">
        <v>0.0</v>
      </c>
    </row>
    <row r="35188">
      <c r="Y35188" s="372">
        <v>0.0</v>
      </c>
      <c r="Z35188" s="372">
        <v>0.0</v>
      </c>
    </row>
    <row r="35189">
      <c r="Y35189" s="372">
        <v>0.0</v>
      </c>
      <c r="Z35189" s="372">
        <v>0.0</v>
      </c>
    </row>
    <row r="35190">
      <c r="Y35190" s="372">
        <v>0.0</v>
      </c>
      <c r="Z35190" s="372">
        <v>0.0</v>
      </c>
    </row>
    <row r="35191">
      <c r="Y35191" s="372">
        <v>0.0</v>
      </c>
      <c r="Z35191" s="372">
        <v>0.0</v>
      </c>
    </row>
    <row r="35192">
      <c r="Y35192" s="372">
        <v>0.0</v>
      </c>
      <c r="Z35192" s="372">
        <v>0.0</v>
      </c>
    </row>
    <row r="35193">
      <c r="Y35193" s="372">
        <v>0.0</v>
      </c>
      <c r="Z35193" s="372">
        <v>0.0</v>
      </c>
    </row>
    <row r="35194">
      <c r="Y35194" s="372">
        <v>0.0</v>
      </c>
      <c r="Z35194" s="372">
        <v>0.0</v>
      </c>
    </row>
    <row r="35195">
      <c r="Y35195" s="372">
        <v>0.0</v>
      </c>
      <c r="Z35195" s="372">
        <v>0.0</v>
      </c>
    </row>
    <row r="35196">
      <c r="Y35196" s="372">
        <v>0.0</v>
      </c>
      <c r="Z35196" s="372">
        <v>0.0</v>
      </c>
    </row>
    <row r="35197">
      <c r="Y35197" s="372">
        <v>0.0</v>
      </c>
      <c r="Z35197" s="372">
        <v>0.0</v>
      </c>
    </row>
    <row r="35198">
      <c r="Y35198" s="372">
        <v>0.0</v>
      </c>
      <c r="Z35198" s="372">
        <v>0.0</v>
      </c>
    </row>
    <row r="35199">
      <c r="Y35199" s="372">
        <v>0.0</v>
      </c>
      <c r="Z35199" s="372">
        <v>0.0</v>
      </c>
    </row>
    <row r="35200">
      <c r="Y35200" s="372">
        <v>0.0</v>
      </c>
      <c r="Z35200" s="372">
        <v>0.0</v>
      </c>
    </row>
    <row r="35201">
      <c r="Y35201" s="372">
        <v>0.0</v>
      </c>
      <c r="Z35201" s="372">
        <v>0.0</v>
      </c>
    </row>
    <row r="35202">
      <c r="Y35202" s="372">
        <v>0.0</v>
      </c>
      <c r="Z35202" s="372">
        <v>0.0</v>
      </c>
    </row>
    <row r="35203">
      <c r="Y35203" s="372">
        <v>0.0</v>
      </c>
      <c r="Z35203" s="372">
        <v>0.0</v>
      </c>
    </row>
    <row r="35204">
      <c r="Y35204" s="372">
        <v>0.0</v>
      </c>
      <c r="Z35204" s="372">
        <v>0.0</v>
      </c>
    </row>
    <row r="35205">
      <c r="Y35205" s="372">
        <v>0.0</v>
      </c>
      <c r="Z35205" s="372">
        <v>0.0</v>
      </c>
    </row>
    <row r="35206">
      <c r="Y35206" s="372">
        <v>0.0</v>
      </c>
      <c r="Z35206" s="372">
        <v>0.0</v>
      </c>
    </row>
    <row r="35207">
      <c r="Y35207" s="372">
        <v>0.0</v>
      </c>
      <c r="Z35207" s="372">
        <v>0.0</v>
      </c>
    </row>
    <row r="35208">
      <c r="Y35208" s="372">
        <v>0.0</v>
      </c>
      <c r="Z35208" s="372">
        <v>0.0</v>
      </c>
    </row>
    <row r="35209">
      <c r="Y35209" s="372">
        <v>0.0</v>
      </c>
      <c r="Z35209" s="372">
        <v>0.0</v>
      </c>
    </row>
    <row r="35210">
      <c r="Y35210" s="372">
        <v>0.0</v>
      </c>
      <c r="Z35210" s="372">
        <v>0.0</v>
      </c>
    </row>
    <row r="35211">
      <c r="Y35211" s="372">
        <v>0.0</v>
      </c>
      <c r="Z35211" s="372">
        <v>0.0</v>
      </c>
    </row>
    <row r="35212">
      <c r="Y35212" s="372">
        <v>0.0</v>
      </c>
      <c r="Z35212" s="372">
        <v>0.0</v>
      </c>
    </row>
    <row r="35213">
      <c r="Y35213" s="372">
        <v>0.0</v>
      </c>
      <c r="Z35213" s="372">
        <v>0.0</v>
      </c>
    </row>
    <row r="35214">
      <c r="Y35214" s="372">
        <v>0.0</v>
      </c>
      <c r="Z35214" s="372">
        <v>0.0</v>
      </c>
    </row>
    <row r="35215">
      <c r="Y35215" s="372">
        <v>0.0</v>
      </c>
      <c r="Z35215" s="372">
        <v>0.0</v>
      </c>
    </row>
    <row r="35216">
      <c r="Y35216" s="372">
        <v>0.0</v>
      </c>
      <c r="Z35216" s="372">
        <v>0.0</v>
      </c>
    </row>
    <row r="35217">
      <c r="Y35217" s="372">
        <v>0.0</v>
      </c>
      <c r="Z35217" s="372">
        <v>0.0</v>
      </c>
    </row>
    <row r="35218">
      <c r="Y35218" s="372">
        <v>0.0</v>
      </c>
      <c r="Z35218" s="372">
        <v>0.0</v>
      </c>
    </row>
    <row r="35219">
      <c r="Y35219" s="372">
        <v>0.0</v>
      </c>
      <c r="Z35219" s="372">
        <v>0.0</v>
      </c>
    </row>
    <row r="35220">
      <c r="Y35220" s="372">
        <v>0.0</v>
      </c>
      <c r="Z35220" s="372">
        <v>0.0</v>
      </c>
    </row>
    <row r="35221">
      <c r="Y35221" s="372">
        <v>0.0</v>
      </c>
      <c r="Z35221" s="372">
        <v>0.0</v>
      </c>
    </row>
    <row r="35222">
      <c r="Y35222" s="372">
        <v>0.0</v>
      </c>
      <c r="Z35222" s="372">
        <v>0.0</v>
      </c>
    </row>
    <row r="35223">
      <c r="Y35223" s="372">
        <v>0.0</v>
      </c>
      <c r="Z35223" s="372">
        <v>0.0</v>
      </c>
    </row>
    <row r="35224">
      <c r="Y35224" s="372">
        <v>0.0</v>
      </c>
      <c r="Z35224" s="372">
        <v>0.0</v>
      </c>
    </row>
    <row r="35225">
      <c r="Y35225" s="372">
        <v>0.0</v>
      </c>
      <c r="Z35225" s="372">
        <v>0.0</v>
      </c>
    </row>
    <row r="35226">
      <c r="Y35226" s="372">
        <v>0.0</v>
      </c>
      <c r="Z35226" s="372">
        <v>0.0</v>
      </c>
    </row>
    <row r="35227">
      <c r="Y35227" s="372">
        <v>0.0</v>
      </c>
      <c r="Z35227" s="372">
        <v>0.0</v>
      </c>
    </row>
    <row r="35228">
      <c r="Y35228" s="372">
        <v>0.0</v>
      </c>
      <c r="Z35228" s="372">
        <v>0.0</v>
      </c>
    </row>
    <row r="35229">
      <c r="Y35229" s="372">
        <v>0.0</v>
      </c>
      <c r="Z35229" s="372">
        <v>0.0</v>
      </c>
    </row>
    <row r="35230">
      <c r="Y35230" s="372">
        <v>0.0</v>
      </c>
      <c r="Z35230" s="372">
        <v>0.0</v>
      </c>
    </row>
    <row r="35231">
      <c r="Y35231" s="372">
        <v>0.0</v>
      </c>
      <c r="Z35231" s="372">
        <v>0.0</v>
      </c>
    </row>
    <row r="35232">
      <c r="Y35232" s="372">
        <v>0.0</v>
      </c>
      <c r="Z35232" s="372">
        <v>0.0</v>
      </c>
    </row>
    <row r="35233">
      <c r="Y35233" s="372">
        <v>0.0</v>
      </c>
      <c r="Z35233" s="372">
        <v>0.0</v>
      </c>
    </row>
    <row r="35234">
      <c r="Y35234" s="372">
        <v>0.0</v>
      </c>
      <c r="Z35234" s="372">
        <v>0.0</v>
      </c>
    </row>
    <row r="35235">
      <c r="Y35235" s="372">
        <v>0.0</v>
      </c>
      <c r="Z35235" s="372">
        <v>0.0</v>
      </c>
    </row>
    <row r="35236">
      <c r="Y35236" s="372">
        <v>0.0</v>
      </c>
      <c r="Z35236" s="372">
        <v>0.0</v>
      </c>
    </row>
    <row r="35237">
      <c r="Y35237" s="372">
        <v>0.0</v>
      </c>
      <c r="Z35237" s="372">
        <v>0.0</v>
      </c>
    </row>
    <row r="35238">
      <c r="Y35238" s="372">
        <v>0.0</v>
      </c>
      <c r="Z35238" s="372">
        <v>0.0</v>
      </c>
    </row>
    <row r="35239">
      <c r="Y35239" s="372">
        <v>0.0</v>
      </c>
      <c r="Z35239" s="372">
        <v>0.0</v>
      </c>
    </row>
    <row r="35240">
      <c r="Y35240" s="372">
        <v>0.0</v>
      </c>
      <c r="Z35240" s="372">
        <v>0.0</v>
      </c>
    </row>
    <row r="35241">
      <c r="Y35241" s="372">
        <v>0.0</v>
      </c>
      <c r="Z35241" s="372">
        <v>0.0</v>
      </c>
    </row>
    <row r="35242">
      <c r="Y35242" s="372">
        <v>0.0</v>
      </c>
      <c r="Z35242" s="372">
        <v>0.0</v>
      </c>
    </row>
    <row r="35243">
      <c r="Y35243" s="372">
        <v>0.0</v>
      </c>
      <c r="Z35243" s="372">
        <v>0.0</v>
      </c>
    </row>
    <row r="35244">
      <c r="Y35244" s="372">
        <v>0.0</v>
      </c>
      <c r="Z35244" s="372">
        <v>0.0</v>
      </c>
    </row>
    <row r="35245">
      <c r="Y35245" s="372">
        <v>0.0</v>
      </c>
      <c r="Z35245" s="372">
        <v>0.0</v>
      </c>
    </row>
    <row r="35246">
      <c r="Y35246" s="372">
        <v>0.0</v>
      </c>
      <c r="Z35246" s="372">
        <v>0.0</v>
      </c>
    </row>
    <row r="35247">
      <c r="Y35247" s="372">
        <v>0.0</v>
      </c>
      <c r="Z35247" s="372">
        <v>0.0</v>
      </c>
    </row>
    <row r="35248">
      <c r="Y35248" s="372">
        <v>0.0</v>
      </c>
      <c r="Z35248" s="372">
        <v>0.0</v>
      </c>
    </row>
    <row r="35249">
      <c r="Y35249" s="372">
        <v>0.0</v>
      </c>
      <c r="Z35249" s="372">
        <v>0.0</v>
      </c>
    </row>
    <row r="35250">
      <c r="Y35250" s="372">
        <v>0.0</v>
      </c>
      <c r="Z35250" s="372">
        <v>0.0</v>
      </c>
    </row>
    <row r="35251">
      <c r="Y35251" s="372">
        <v>0.0</v>
      </c>
      <c r="Z35251" s="372">
        <v>0.0</v>
      </c>
    </row>
    <row r="35252">
      <c r="Y35252" s="372">
        <v>0.0</v>
      </c>
      <c r="Z35252" s="372">
        <v>0.0</v>
      </c>
    </row>
    <row r="35253">
      <c r="Y35253" s="372">
        <v>0.0</v>
      </c>
      <c r="Z35253" s="372">
        <v>0.0</v>
      </c>
    </row>
    <row r="35254">
      <c r="Y35254" s="372">
        <v>0.0</v>
      </c>
      <c r="Z35254" s="372">
        <v>0.0</v>
      </c>
    </row>
    <row r="35255">
      <c r="Y35255" s="372">
        <v>0.0</v>
      </c>
      <c r="Z35255" s="372">
        <v>0.0</v>
      </c>
    </row>
    <row r="35256">
      <c r="Y35256" s="372">
        <v>0.0</v>
      </c>
      <c r="Z35256" s="372">
        <v>0.0</v>
      </c>
    </row>
    <row r="35257">
      <c r="Y35257" s="372">
        <v>0.0</v>
      </c>
      <c r="Z35257" s="372">
        <v>0.0</v>
      </c>
    </row>
    <row r="35258">
      <c r="Y35258" s="372">
        <v>0.0</v>
      </c>
      <c r="Z35258" s="372">
        <v>0.0</v>
      </c>
    </row>
    <row r="35259">
      <c r="Y35259" s="372">
        <v>0.0</v>
      </c>
      <c r="Z35259" s="372">
        <v>0.0</v>
      </c>
    </row>
    <row r="35260">
      <c r="Y35260" s="372">
        <v>0.0</v>
      </c>
      <c r="Z35260" s="372">
        <v>0.0</v>
      </c>
    </row>
    <row r="35261">
      <c r="Y35261" s="372">
        <v>0.0</v>
      </c>
      <c r="Z35261" s="372">
        <v>0.0</v>
      </c>
    </row>
    <row r="35262">
      <c r="Y35262" s="372">
        <v>0.0</v>
      </c>
      <c r="Z35262" s="372">
        <v>0.0</v>
      </c>
    </row>
    <row r="35263">
      <c r="Y35263" s="372">
        <v>0.0</v>
      </c>
      <c r="Z35263" s="372">
        <v>0.0</v>
      </c>
    </row>
    <row r="35264">
      <c r="Y35264" s="372">
        <v>0.0</v>
      </c>
      <c r="Z35264" s="372">
        <v>0.0</v>
      </c>
    </row>
    <row r="35265">
      <c r="Y35265" s="372">
        <v>0.0</v>
      </c>
      <c r="Z35265" s="372">
        <v>0.0</v>
      </c>
    </row>
    <row r="35266">
      <c r="Y35266" s="372">
        <v>0.0</v>
      </c>
      <c r="Z35266" s="372">
        <v>0.0</v>
      </c>
    </row>
    <row r="35267">
      <c r="Y35267" s="372">
        <v>0.0</v>
      </c>
      <c r="Z35267" s="372">
        <v>0.0</v>
      </c>
    </row>
    <row r="35268">
      <c r="Y35268" s="372">
        <v>0.0</v>
      </c>
      <c r="Z35268" s="372">
        <v>0.0</v>
      </c>
    </row>
    <row r="35269">
      <c r="Y35269" s="372">
        <v>0.0</v>
      </c>
      <c r="Z35269" s="372">
        <v>0.0</v>
      </c>
    </row>
    <row r="35270">
      <c r="Y35270" s="372">
        <v>0.0</v>
      </c>
      <c r="Z35270" s="372">
        <v>0.0</v>
      </c>
    </row>
    <row r="35271">
      <c r="Y35271" s="372">
        <v>0.0</v>
      </c>
      <c r="Z35271" s="372">
        <v>0.0</v>
      </c>
    </row>
    <row r="35272">
      <c r="Y35272" s="372">
        <v>0.0</v>
      </c>
      <c r="Z35272" s="372">
        <v>0.0</v>
      </c>
    </row>
    <row r="35273">
      <c r="Y35273" s="372">
        <v>0.0</v>
      </c>
      <c r="Z35273" s="372">
        <v>0.0</v>
      </c>
    </row>
    <row r="35274">
      <c r="Y35274" s="372">
        <v>0.0</v>
      </c>
      <c r="Z35274" s="372">
        <v>0.0</v>
      </c>
    </row>
    <row r="35275">
      <c r="Y35275" s="372">
        <v>0.0</v>
      </c>
      <c r="Z35275" s="372">
        <v>0.0</v>
      </c>
    </row>
    <row r="35276">
      <c r="Y35276" s="372">
        <v>0.0</v>
      </c>
      <c r="Z35276" s="372">
        <v>0.0</v>
      </c>
    </row>
    <row r="35277">
      <c r="Y35277" s="372">
        <v>0.0</v>
      </c>
      <c r="Z35277" s="372">
        <v>0.0</v>
      </c>
    </row>
    <row r="35278">
      <c r="Y35278" s="372">
        <v>0.0</v>
      </c>
      <c r="Z35278" s="372">
        <v>0.0</v>
      </c>
    </row>
    <row r="35279">
      <c r="Y35279" s="372">
        <v>0.0</v>
      </c>
      <c r="Z35279" s="372">
        <v>0.0</v>
      </c>
    </row>
    <row r="35280">
      <c r="Y35280" s="372">
        <v>0.0</v>
      </c>
      <c r="Z35280" s="372">
        <v>0.0</v>
      </c>
    </row>
    <row r="35281">
      <c r="Y35281" s="372">
        <v>0.0</v>
      </c>
      <c r="Z35281" s="372">
        <v>0.0</v>
      </c>
    </row>
    <row r="35282">
      <c r="Y35282" s="372">
        <v>0.0</v>
      </c>
      <c r="Z35282" s="372">
        <v>0.0</v>
      </c>
    </row>
    <row r="35283">
      <c r="Y35283" s="372">
        <v>0.0</v>
      </c>
      <c r="Z35283" s="372">
        <v>0.0</v>
      </c>
    </row>
    <row r="35284">
      <c r="Y35284" s="372">
        <v>0.0</v>
      </c>
      <c r="Z35284" s="372">
        <v>0.0</v>
      </c>
    </row>
    <row r="35285">
      <c r="Y35285" s="372">
        <v>0.0</v>
      </c>
      <c r="Z35285" s="372">
        <v>0.0</v>
      </c>
    </row>
    <row r="35286">
      <c r="Y35286" s="372">
        <v>0.0</v>
      </c>
      <c r="Z35286" s="372">
        <v>0.0</v>
      </c>
    </row>
    <row r="35287">
      <c r="Y35287" s="372">
        <v>0.0</v>
      </c>
      <c r="Z35287" s="372">
        <v>0.0</v>
      </c>
    </row>
    <row r="35288">
      <c r="Y35288" s="372">
        <v>0.0</v>
      </c>
      <c r="Z35288" s="372">
        <v>0.0</v>
      </c>
    </row>
    <row r="35289">
      <c r="Y35289" s="372">
        <v>0.0</v>
      </c>
      <c r="Z35289" s="372">
        <v>0.0</v>
      </c>
    </row>
    <row r="35290">
      <c r="Y35290" s="372">
        <v>0.0</v>
      </c>
      <c r="Z35290" s="372">
        <v>0.0</v>
      </c>
    </row>
    <row r="35291">
      <c r="Y35291" s="372">
        <v>0.0</v>
      </c>
      <c r="Z35291" s="372">
        <v>0.0</v>
      </c>
    </row>
    <row r="35292">
      <c r="Y35292" s="372">
        <v>0.0</v>
      </c>
      <c r="Z35292" s="372">
        <v>0.0</v>
      </c>
    </row>
    <row r="35293">
      <c r="Y35293" s="372">
        <v>0.0</v>
      </c>
      <c r="Z35293" s="372">
        <v>0.0</v>
      </c>
    </row>
    <row r="35294">
      <c r="Y35294" s="372">
        <v>0.0</v>
      </c>
      <c r="Z35294" s="372">
        <v>0.0</v>
      </c>
    </row>
    <row r="35295">
      <c r="Y35295" s="372">
        <v>0.0</v>
      </c>
      <c r="Z35295" s="372">
        <v>0.0</v>
      </c>
    </row>
    <row r="35296">
      <c r="Y35296" s="372">
        <v>0.0</v>
      </c>
      <c r="Z35296" s="372">
        <v>0.0</v>
      </c>
    </row>
    <row r="35297">
      <c r="Y35297" s="372">
        <v>0.0</v>
      </c>
      <c r="Z35297" s="372">
        <v>0.0</v>
      </c>
    </row>
    <row r="35298">
      <c r="Y35298" s="372">
        <v>0.0</v>
      </c>
      <c r="Z35298" s="372">
        <v>0.0</v>
      </c>
    </row>
    <row r="35299">
      <c r="Y35299" s="372">
        <v>0.0</v>
      </c>
      <c r="Z35299" s="372">
        <v>0.0</v>
      </c>
    </row>
    <row r="35300">
      <c r="Y35300" s="372">
        <v>0.0</v>
      </c>
      <c r="Z35300" s="372">
        <v>0.0</v>
      </c>
    </row>
    <row r="35301">
      <c r="Y35301" s="372">
        <v>0.0</v>
      </c>
      <c r="Z35301" s="372">
        <v>0.0</v>
      </c>
    </row>
    <row r="35302">
      <c r="Y35302" s="372">
        <v>0.0</v>
      </c>
      <c r="Z35302" s="372">
        <v>0.0</v>
      </c>
    </row>
    <row r="35303">
      <c r="Y35303" s="372">
        <v>0.0</v>
      </c>
      <c r="Z35303" s="372">
        <v>0.0</v>
      </c>
    </row>
    <row r="35304">
      <c r="Y35304" s="372">
        <v>0.0</v>
      </c>
      <c r="Z35304" s="372">
        <v>0.0</v>
      </c>
    </row>
    <row r="35305">
      <c r="Y35305" s="372">
        <v>0.0</v>
      </c>
      <c r="Z35305" s="372">
        <v>0.0</v>
      </c>
    </row>
    <row r="35306">
      <c r="Y35306" s="372">
        <v>0.0</v>
      </c>
      <c r="Z35306" s="372">
        <v>0.0</v>
      </c>
    </row>
    <row r="35307">
      <c r="Y35307" s="372">
        <v>0.0</v>
      </c>
      <c r="Z35307" s="372">
        <v>0.0</v>
      </c>
    </row>
    <row r="35308">
      <c r="Y35308" s="372">
        <v>0.0</v>
      </c>
      <c r="Z35308" s="372">
        <v>0.0</v>
      </c>
    </row>
    <row r="35309">
      <c r="Y35309" s="372">
        <v>0.0</v>
      </c>
      <c r="Z35309" s="372">
        <v>0.0</v>
      </c>
    </row>
    <row r="35310">
      <c r="Y35310" s="372">
        <v>0.0</v>
      </c>
      <c r="Z35310" s="372">
        <v>0.0</v>
      </c>
    </row>
    <row r="35311">
      <c r="Y35311" s="372">
        <v>0.0</v>
      </c>
      <c r="Z35311" s="372">
        <v>0.0</v>
      </c>
    </row>
    <row r="35312">
      <c r="Y35312" s="372">
        <v>0.0</v>
      </c>
      <c r="Z35312" s="372">
        <v>0.0</v>
      </c>
    </row>
    <row r="35313">
      <c r="Y35313" s="372">
        <v>0.0</v>
      </c>
      <c r="Z35313" s="372">
        <v>0.0</v>
      </c>
    </row>
    <row r="35314">
      <c r="Y35314" s="372">
        <v>0.0</v>
      </c>
      <c r="Z35314" s="372">
        <v>0.0</v>
      </c>
    </row>
    <row r="35315">
      <c r="Y35315" s="372">
        <v>0.0</v>
      </c>
      <c r="Z35315" s="372">
        <v>0.0</v>
      </c>
    </row>
    <row r="35316">
      <c r="Y35316" s="372">
        <v>0.0</v>
      </c>
      <c r="Z35316" s="372">
        <v>0.0</v>
      </c>
    </row>
    <row r="35317">
      <c r="Y35317" s="372">
        <v>0.0</v>
      </c>
      <c r="Z35317" s="372">
        <v>0.0</v>
      </c>
    </row>
    <row r="35318">
      <c r="Y35318" s="372">
        <v>0.0</v>
      </c>
      <c r="Z35318" s="372">
        <v>0.0</v>
      </c>
    </row>
    <row r="35319">
      <c r="Y35319" s="372">
        <v>0.0</v>
      </c>
      <c r="Z35319" s="372">
        <v>0.0</v>
      </c>
    </row>
    <row r="35320">
      <c r="Y35320" s="372">
        <v>0.0</v>
      </c>
      <c r="Z35320" s="372">
        <v>0.0</v>
      </c>
    </row>
    <row r="35321">
      <c r="Y35321" s="372">
        <v>0.0</v>
      </c>
      <c r="Z35321" s="372">
        <v>0.0</v>
      </c>
    </row>
    <row r="35322">
      <c r="Y35322" s="372">
        <v>0.0</v>
      </c>
      <c r="Z35322" s="372">
        <v>0.0</v>
      </c>
    </row>
    <row r="35323">
      <c r="Y35323" s="372">
        <v>0.0</v>
      </c>
      <c r="Z35323" s="372">
        <v>0.0</v>
      </c>
    </row>
    <row r="35324">
      <c r="Y35324" s="372">
        <v>0.0</v>
      </c>
      <c r="Z35324" s="372">
        <v>0.0</v>
      </c>
    </row>
    <row r="35325">
      <c r="Y35325" s="372">
        <v>0.0</v>
      </c>
      <c r="Z35325" s="372">
        <v>0.0</v>
      </c>
    </row>
    <row r="35326">
      <c r="Y35326" s="372">
        <v>0.0</v>
      </c>
      <c r="Z35326" s="372">
        <v>0.0</v>
      </c>
    </row>
    <row r="35327">
      <c r="Y35327" s="372">
        <v>0.0</v>
      </c>
      <c r="Z35327" s="372">
        <v>0.0</v>
      </c>
    </row>
    <row r="35328">
      <c r="Y35328" s="372">
        <v>0.0</v>
      </c>
      <c r="Z35328" s="372">
        <v>0.0</v>
      </c>
    </row>
    <row r="35329">
      <c r="Y35329" s="372">
        <v>0.0</v>
      </c>
      <c r="Z35329" s="372">
        <v>0.0</v>
      </c>
    </row>
    <row r="35330">
      <c r="Y35330" s="372">
        <v>0.0</v>
      </c>
      <c r="Z35330" s="372">
        <v>0.0</v>
      </c>
    </row>
    <row r="35331">
      <c r="Y35331" s="372">
        <v>0.0</v>
      </c>
      <c r="Z35331" s="372">
        <v>0.0</v>
      </c>
    </row>
    <row r="35332">
      <c r="Y35332" s="372">
        <v>0.0</v>
      </c>
      <c r="Z35332" s="372">
        <v>0.0</v>
      </c>
    </row>
    <row r="35333">
      <c r="Y35333" s="372">
        <v>0.0</v>
      </c>
      <c r="Z35333" s="372">
        <v>0.0</v>
      </c>
    </row>
    <row r="35334">
      <c r="Y35334" s="372">
        <v>0.0</v>
      </c>
      <c r="Z35334" s="372">
        <v>0.0</v>
      </c>
    </row>
    <row r="35335">
      <c r="Y35335" s="372">
        <v>0.0</v>
      </c>
      <c r="Z35335" s="372">
        <v>0.0</v>
      </c>
    </row>
    <row r="35336">
      <c r="Y35336" s="372">
        <v>0.0</v>
      </c>
      <c r="Z35336" s="372">
        <v>0.0</v>
      </c>
    </row>
    <row r="35337">
      <c r="Y35337" s="372">
        <v>0.0</v>
      </c>
      <c r="Z35337" s="372">
        <v>0.0</v>
      </c>
    </row>
    <row r="35338">
      <c r="Y35338" s="372">
        <v>0.0</v>
      </c>
      <c r="Z35338" s="372">
        <v>0.0</v>
      </c>
    </row>
    <row r="35339">
      <c r="Y35339" s="372">
        <v>0.0</v>
      </c>
      <c r="Z35339" s="372">
        <v>0.0</v>
      </c>
    </row>
    <row r="35340">
      <c r="Y35340" s="372">
        <v>0.0</v>
      </c>
      <c r="Z35340" s="372">
        <v>0.0</v>
      </c>
    </row>
    <row r="35341">
      <c r="Y35341" s="372">
        <v>0.0</v>
      </c>
      <c r="Z35341" s="372">
        <v>0.0</v>
      </c>
    </row>
    <row r="35342">
      <c r="Y35342" s="372">
        <v>0.0</v>
      </c>
      <c r="Z35342" s="372">
        <v>0.0</v>
      </c>
    </row>
    <row r="35343">
      <c r="Y35343" s="372">
        <v>0.0</v>
      </c>
      <c r="Z35343" s="372">
        <v>0.0</v>
      </c>
    </row>
    <row r="35344">
      <c r="Y35344" s="372">
        <v>0.0</v>
      </c>
      <c r="Z35344" s="372">
        <v>0.0</v>
      </c>
    </row>
    <row r="35345">
      <c r="Y35345" s="372">
        <v>0.0</v>
      </c>
      <c r="Z35345" s="372">
        <v>0.0</v>
      </c>
    </row>
    <row r="35346">
      <c r="Y35346" s="372">
        <v>0.0</v>
      </c>
      <c r="Z35346" s="372">
        <v>0.0</v>
      </c>
    </row>
    <row r="35347">
      <c r="Y35347" s="372">
        <v>0.0</v>
      </c>
      <c r="Z35347" s="372">
        <v>0.0</v>
      </c>
    </row>
    <row r="35348">
      <c r="Y35348" s="372">
        <v>0.0</v>
      </c>
      <c r="Z35348" s="372">
        <v>0.0</v>
      </c>
    </row>
    <row r="35349">
      <c r="Y35349" s="372">
        <v>0.0</v>
      </c>
      <c r="Z35349" s="372">
        <v>0.0</v>
      </c>
    </row>
    <row r="35350">
      <c r="Y35350" s="372">
        <v>0.0</v>
      </c>
      <c r="Z35350" s="372">
        <v>0.0</v>
      </c>
    </row>
    <row r="35351">
      <c r="Y35351" s="372">
        <v>0.0</v>
      </c>
      <c r="Z35351" s="372">
        <v>0.0</v>
      </c>
    </row>
    <row r="35352">
      <c r="Y35352" s="372">
        <v>0.0</v>
      </c>
      <c r="Z35352" s="372">
        <v>0.0</v>
      </c>
    </row>
    <row r="35353">
      <c r="Y35353" s="372">
        <v>0.0</v>
      </c>
      <c r="Z35353" s="372">
        <v>0.0</v>
      </c>
    </row>
    <row r="35354">
      <c r="Y35354" s="372">
        <v>0.0</v>
      </c>
      <c r="Z35354" s="372">
        <v>0.0</v>
      </c>
    </row>
    <row r="35355">
      <c r="Y35355" s="372">
        <v>0.0</v>
      </c>
      <c r="Z35355" s="372">
        <v>0.0</v>
      </c>
    </row>
    <row r="35356">
      <c r="Y35356" s="372">
        <v>0.0</v>
      </c>
      <c r="Z35356" s="372">
        <v>0.0</v>
      </c>
    </row>
    <row r="35357">
      <c r="Y35357" s="372">
        <v>0.0</v>
      </c>
      <c r="Z35357" s="372">
        <v>0.0</v>
      </c>
    </row>
    <row r="35358">
      <c r="Y35358" s="372">
        <v>0.0</v>
      </c>
      <c r="Z35358" s="372">
        <v>0.0</v>
      </c>
    </row>
    <row r="35359">
      <c r="Y35359" s="372">
        <v>0.0</v>
      </c>
      <c r="Z35359" s="372">
        <v>0.0</v>
      </c>
    </row>
    <row r="35360">
      <c r="Y35360" s="372">
        <v>0.0</v>
      </c>
      <c r="Z35360" s="372">
        <v>0.0</v>
      </c>
    </row>
    <row r="35361">
      <c r="Y35361" s="372">
        <v>0.0</v>
      </c>
      <c r="Z35361" s="372">
        <v>0.0</v>
      </c>
    </row>
    <row r="35362">
      <c r="Y35362" s="372">
        <v>0.0</v>
      </c>
      <c r="Z35362" s="372">
        <v>0.0</v>
      </c>
    </row>
    <row r="35363">
      <c r="Y35363" s="372">
        <v>0.0</v>
      </c>
      <c r="Z35363" s="372">
        <v>0.0</v>
      </c>
    </row>
    <row r="35364">
      <c r="Y35364" s="372">
        <v>0.0</v>
      </c>
      <c r="Z35364" s="372">
        <v>0.0</v>
      </c>
    </row>
    <row r="35365">
      <c r="Y35365" s="372">
        <v>0.0</v>
      </c>
      <c r="Z35365" s="372">
        <v>0.0</v>
      </c>
    </row>
    <row r="35366">
      <c r="Y35366" s="372">
        <v>0.0</v>
      </c>
      <c r="Z35366" s="372">
        <v>0.0</v>
      </c>
    </row>
    <row r="35367">
      <c r="Y35367" s="372">
        <v>0.0</v>
      </c>
      <c r="Z35367" s="372">
        <v>0.0</v>
      </c>
    </row>
    <row r="35368">
      <c r="Y35368" s="372">
        <v>0.0</v>
      </c>
      <c r="Z35368" s="372">
        <v>0.0</v>
      </c>
    </row>
    <row r="35369">
      <c r="Y35369" s="372">
        <v>0.0</v>
      </c>
      <c r="Z35369" s="372">
        <v>0.0</v>
      </c>
    </row>
    <row r="35370">
      <c r="Y35370" s="372">
        <v>0.0</v>
      </c>
      <c r="Z35370" s="372">
        <v>0.0</v>
      </c>
    </row>
    <row r="35371">
      <c r="Y35371" s="372">
        <v>0.0</v>
      </c>
      <c r="Z35371" s="372">
        <v>0.0</v>
      </c>
    </row>
    <row r="35372">
      <c r="Y35372" s="372">
        <v>0.0</v>
      </c>
      <c r="Z35372" s="372">
        <v>0.0</v>
      </c>
    </row>
    <row r="35373">
      <c r="Y35373" s="372">
        <v>0.0</v>
      </c>
      <c r="Z35373" s="372">
        <v>0.0</v>
      </c>
    </row>
    <row r="35374">
      <c r="Y35374" s="372">
        <v>0.0</v>
      </c>
      <c r="Z35374" s="372">
        <v>0.0</v>
      </c>
    </row>
    <row r="35375">
      <c r="Y35375" s="372">
        <v>0.0</v>
      </c>
      <c r="Z35375" s="372">
        <v>0.0</v>
      </c>
    </row>
    <row r="35376">
      <c r="Y35376" s="372">
        <v>0.0</v>
      </c>
      <c r="Z35376" s="372">
        <v>0.0</v>
      </c>
    </row>
    <row r="35377">
      <c r="Y35377" s="372">
        <v>0.0</v>
      </c>
      <c r="Z35377" s="372">
        <v>0.0</v>
      </c>
    </row>
    <row r="35378">
      <c r="Y35378" s="372">
        <v>0.0</v>
      </c>
      <c r="Z35378" s="372">
        <v>0.0</v>
      </c>
    </row>
    <row r="35379">
      <c r="Y35379" s="372">
        <v>0.0</v>
      </c>
      <c r="Z35379" s="372">
        <v>0.0</v>
      </c>
    </row>
    <row r="35380">
      <c r="Y35380" s="372">
        <v>0.0</v>
      </c>
      <c r="Z35380" s="372">
        <v>0.0</v>
      </c>
    </row>
    <row r="35381">
      <c r="Y35381" s="372">
        <v>0.0</v>
      </c>
      <c r="Z35381" s="372">
        <v>0.0</v>
      </c>
    </row>
    <row r="35382">
      <c r="Y35382" s="372">
        <v>0.0</v>
      </c>
      <c r="Z35382" s="372">
        <v>0.0</v>
      </c>
    </row>
    <row r="35383">
      <c r="Y35383" s="372">
        <v>0.0</v>
      </c>
      <c r="Z35383" s="372">
        <v>0.0</v>
      </c>
    </row>
    <row r="35384">
      <c r="Y35384" s="372">
        <v>0.0</v>
      </c>
      <c r="Z35384" s="372">
        <v>0.0</v>
      </c>
    </row>
    <row r="35385">
      <c r="Y35385" s="372">
        <v>0.0</v>
      </c>
      <c r="Z35385" s="372">
        <v>0.0</v>
      </c>
    </row>
    <row r="35386">
      <c r="Y35386" s="372">
        <v>0.0</v>
      </c>
      <c r="Z35386" s="372">
        <v>0.0</v>
      </c>
    </row>
    <row r="35387">
      <c r="Y35387" s="372">
        <v>0.0</v>
      </c>
      <c r="Z35387" s="372">
        <v>0.0</v>
      </c>
    </row>
    <row r="35388">
      <c r="Y35388" s="372">
        <v>0.0</v>
      </c>
      <c r="Z35388" s="372">
        <v>0.0</v>
      </c>
    </row>
    <row r="35389">
      <c r="Y35389" s="372">
        <v>0.0</v>
      </c>
      <c r="Z35389" s="372">
        <v>0.0</v>
      </c>
    </row>
    <row r="35390">
      <c r="Y35390" s="372">
        <v>0.0</v>
      </c>
      <c r="Z35390" s="372">
        <v>0.0</v>
      </c>
    </row>
    <row r="35391">
      <c r="Y35391" s="372">
        <v>0.0</v>
      </c>
      <c r="Z35391" s="372">
        <v>0.0</v>
      </c>
    </row>
    <row r="35392">
      <c r="Y35392" s="372">
        <v>0.0</v>
      </c>
      <c r="Z35392" s="372">
        <v>0.0</v>
      </c>
    </row>
    <row r="35393">
      <c r="Y35393" s="372">
        <v>0.0</v>
      </c>
      <c r="Z35393" s="372">
        <v>0.0</v>
      </c>
    </row>
    <row r="35394">
      <c r="Y35394" s="372">
        <v>0.0</v>
      </c>
      <c r="Z35394" s="372">
        <v>0.0</v>
      </c>
    </row>
    <row r="35395">
      <c r="Y35395" s="372">
        <v>0.0</v>
      </c>
      <c r="Z35395" s="372">
        <v>0.0</v>
      </c>
    </row>
    <row r="35396">
      <c r="Y35396" s="372">
        <v>0.0</v>
      </c>
      <c r="Z35396" s="372">
        <v>0.0</v>
      </c>
    </row>
    <row r="35397">
      <c r="Y35397" s="372">
        <v>0.0</v>
      </c>
      <c r="Z35397" s="372">
        <v>0.0</v>
      </c>
    </row>
    <row r="35398">
      <c r="Y35398" s="372">
        <v>0.0</v>
      </c>
      <c r="Z35398" s="372">
        <v>0.0</v>
      </c>
    </row>
    <row r="35399">
      <c r="Y35399" s="372">
        <v>0.0</v>
      </c>
      <c r="Z35399" s="372">
        <v>0.0</v>
      </c>
    </row>
    <row r="35400">
      <c r="Y35400" s="372">
        <v>0.0</v>
      </c>
      <c r="Z35400" s="372">
        <v>0.0</v>
      </c>
    </row>
    <row r="35401">
      <c r="Y35401" s="372">
        <v>0.0</v>
      </c>
      <c r="Z35401" s="372">
        <v>0.0</v>
      </c>
    </row>
    <row r="35402">
      <c r="Y35402" s="372">
        <v>0.0</v>
      </c>
      <c r="Z35402" s="372">
        <v>0.0</v>
      </c>
    </row>
    <row r="35403">
      <c r="Y35403" s="372">
        <v>0.0</v>
      </c>
      <c r="Z35403" s="372">
        <v>0.0</v>
      </c>
    </row>
    <row r="35404">
      <c r="Y35404" s="372">
        <v>0.0</v>
      </c>
      <c r="Z35404" s="372">
        <v>0.0</v>
      </c>
    </row>
    <row r="35405">
      <c r="Y35405" s="372">
        <v>0.0</v>
      </c>
      <c r="Z35405" s="372">
        <v>0.0</v>
      </c>
    </row>
    <row r="35406">
      <c r="Y35406" s="372">
        <v>0.0</v>
      </c>
      <c r="Z35406" s="372">
        <v>0.0</v>
      </c>
    </row>
    <row r="35407">
      <c r="Y35407" s="372">
        <v>0.0</v>
      </c>
      <c r="Z35407" s="372">
        <v>0.0</v>
      </c>
    </row>
    <row r="35408">
      <c r="Y35408" s="372">
        <v>0.0</v>
      </c>
      <c r="Z35408" s="372">
        <v>0.0</v>
      </c>
    </row>
    <row r="35409">
      <c r="Y35409" s="372">
        <v>0.0</v>
      </c>
      <c r="Z35409" s="372">
        <v>0.0</v>
      </c>
    </row>
    <row r="35410">
      <c r="Y35410" s="372">
        <v>0.0</v>
      </c>
      <c r="Z35410" s="372">
        <v>0.0</v>
      </c>
    </row>
    <row r="35411">
      <c r="Y35411" s="372">
        <v>0.0</v>
      </c>
      <c r="Z35411" s="372">
        <v>0.0</v>
      </c>
    </row>
    <row r="35412">
      <c r="Y35412" s="372">
        <v>0.0</v>
      </c>
      <c r="Z35412" s="372">
        <v>0.0</v>
      </c>
    </row>
    <row r="35413">
      <c r="Y35413" s="372">
        <v>0.0</v>
      </c>
      <c r="Z35413" s="372">
        <v>0.0</v>
      </c>
    </row>
    <row r="35414">
      <c r="Y35414" s="372">
        <v>0.0</v>
      </c>
      <c r="Z35414" s="372">
        <v>0.0</v>
      </c>
    </row>
    <row r="35415">
      <c r="Y35415" s="372">
        <v>0.0</v>
      </c>
      <c r="Z35415" s="372">
        <v>0.0</v>
      </c>
    </row>
    <row r="35416">
      <c r="Y35416" s="372">
        <v>0.0</v>
      </c>
      <c r="Z35416" s="372">
        <v>0.0</v>
      </c>
    </row>
    <row r="35417">
      <c r="Y35417" s="372">
        <v>0.0</v>
      </c>
      <c r="Z35417" s="372">
        <v>0.0</v>
      </c>
    </row>
    <row r="35418">
      <c r="Y35418" s="372">
        <v>0.0</v>
      </c>
      <c r="Z35418" s="372">
        <v>0.0</v>
      </c>
    </row>
    <row r="35419">
      <c r="Y35419" s="372">
        <v>0.0</v>
      </c>
      <c r="Z35419" s="372">
        <v>0.0</v>
      </c>
    </row>
    <row r="35420">
      <c r="Y35420" s="372">
        <v>0.0</v>
      </c>
      <c r="Z35420" s="372">
        <v>0.0</v>
      </c>
    </row>
    <row r="35421">
      <c r="Y35421" s="372">
        <v>0.0</v>
      </c>
      <c r="Z35421" s="372">
        <v>0.0</v>
      </c>
    </row>
    <row r="35422">
      <c r="Y35422" s="372">
        <v>0.0</v>
      </c>
      <c r="Z35422" s="372">
        <v>0.0</v>
      </c>
    </row>
    <row r="35423">
      <c r="Y35423" s="372">
        <v>0.0</v>
      </c>
      <c r="Z35423" s="372">
        <v>0.0</v>
      </c>
    </row>
    <row r="35424">
      <c r="Y35424" s="372">
        <v>0.0</v>
      </c>
      <c r="Z35424" s="372">
        <v>0.0</v>
      </c>
    </row>
    <row r="35425">
      <c r="Y35425" s="372">
        <v>0.0</v>
      </c>
      <c r="Z35425" s="372">
        <v>0.0</v>
      </c>
    </row>
    <row r="35426">
      <c r="Y35426" s="372">
        <v>0.0</v>
      </c>
      <c r="Z35426" s="372">
        <v>0.0</v>
      </c>
    </row>
    <row r="35427">
      <c r="Y35427" s="372">
        <v>0.0</v>
      </c>
      <c r="Z35427" s="372">
        <v>0.0</v>
      </c>
    </row>
    <row r="35428">
      <c r="Y35428" s="372">
        <v>0.0</v>
      </c>
      <c r="Z35428" s="372">
        <v>0.0</v>
      </c>
    </row>
    <row r="35429">
      <c r="Y35429" s="372">
        <v>0.0</v>
      </c>
      <c r="Z35429" s="372">
        <v>0.0</v>
      </c>
    </row>
    <row r="35430">
      <c r="Y35430" s="372">
        <v>0.0</v>
      </c>
      <c r="Z35430" s="372">
        <v>0.0</v>
      </c>
    </row>
    <row r="35431">
      <c r="Y35431" s="372">
        <v>0.0</v>
      </c>
      <c r="Z35431" s="372">
        <v>0.0</v>
      </c>
    </row>
    <row r="35432">
      <c r="Y35432" s="372">
        <v>0.0</v>
      </c>
      <c r="Z35432" s="372">
        <v>0.0</v>
      </c>
    </row>
    <row r="35433">
      <c r="Y35433" s="372">
        <v>0.0</v>
      </c>
      <c r="Z35433" s="372">
        <v>0.0</v>
      </c>
    </row>
    <row r="35434">
      <c r="Y35434" s="372">
        <v>0.0</v>
      </c>
      <c r="Z35434" s="372">
        <v>0.0</v>
      </c>
    </row>
    <row r="35435">
      <c r="Y35435" s="372">
        <v>0.0</v>
      </c>
      <c r="Z35435" s="372">
        <v>0.0</v>
      </c>
    </row>
    <row r="35436">
      <c r="Y35436" s="372">
        <v>0.0</v>
      </c>
      <c r="Z35436" s="372">
        <v>0.0</v>
      </c>
    </row>
    <row r="35437">
      <c r="Y35437" s="372">
        <v>0.0</v>
      </c>
      <c r="Z35437" s="372">
        <v>0.0</v>
      </c>
    </row>
    <row r="35438">
      <c r="Y35438" s="372">
        <v>0.0</v>
      </c>
      <c r="Z35438" s="372">
        <v>0.0</v>
      </c>
    </row>
    <row r="35439">
      <c r="Y35439" s="372">
        <v>0.0</v>
      </c>
      <c r="Z35439" s="372">
        <v>0.0</v>
      </c>
    </row>
    <row r="35440">
      <c r="Y35440" s="372">
        <v>0.0</v>
      </c>
      <c r="Z35440" s="372">
        <v>0.0</v>
      </c>
    </row>
    <row r="35441">
      <c r="Y35441" s="372">
        <v>0.0</v>
      </c>
      <c r="Z35441" s="372">
        <v>0.0</v>
      </c>
    </row>
    <row r="35442">
      <c r="Y35442" s="372">
        <v>0.0</v>
      </c>
      <c r="Z35442" s="372">
        <v>0.0</v>
      </c>
    </row>
    <row r="35443">
      <c r="Y35443" s="372">
        <v>0.0</v>
      </c>
      <c r="Z35443" s="372">
        <v>0.0</v>
      </c>
    </row>
    <row r="35444">
      <c r="Y35444" s="372">
        <v>0.0</v>
      </c>
      <c r="Z35444" s="372">
        <v>0.0</v>
      </c>
    </row>
    <row r="35445">
      <c r="Y35445" s="372">
        <v>0.0</v>
      </c>
      <c r="Z35445" s="372">
        <v>0.0</v>
      </c>
    </row>
    <row r="35446">
      <c r="Y35446" s="372">
        <v>0.0</v>
      </c>
      <c r="Z35446" s="372">
        <v>0.0</v>
      </c>
    </row>
    <row r="35447">
      <c r="Y35447" s="372">
        <v>0.0</v>
      </c>
      <c r="Z35447" s="372">
        <v>0.0</v>
      </c>
    </row>
    <row r="35448">
      <c r="Y35448" s="372">
        <v>0.0</v>
      </c>
      <c r="Z35448" s="372">
        <v>0.0</v>
      </c>
    </row>
    <row r="35449">
      <c r="Y35449" s="372">
        <v>0.0</v>
      </c>
      <c r="Z35449" s="372">
        <v>0.0</v>
      </c>
    </row>
    <row r="35450">
      <c r="Y35450" s="372">
        <v>0.0</v>
      </c>
      <c r="Z35450" s="372">
        <v>0.0</v>
      </c>
    </row>
    <row r="35451">
      <c r="Y35451" s="372">
        <v>0.0</v>
      </c>
      <c r="Z35451" s="372">
        <v>0.0</v>
      </c>
    </row>
    <row r="35452">
      <c r="Y35452" s="372">
        <v>0.0</v>
      </c>
      <c r="Z35452" s="372">
        <v>0.0</v>
      </c>
    </row>
    <row r="35453">
      <c r="Y35453" s="372">
        <v>0.0</v>
      </c>
      <c r="Z35453" s="372">
        <v>0.0</v>
      </c>
    </row>
    <row r="35454">
      <c r="Y35454" s="372">
        <v>0.0</v>
      </c>
      <c r="Z35454" s="372">
        <v>0.0</v>
      </c>
    </row>
    <row r="35455">
      <c r="Y35455" s="372">
        <v>0.0</v>
      </c>
      <c r="Z35455" s="372">
        <v>0.0</v>
      </c>
    </row>
    <row r="35456">
      <c r="Y35456" s="372">
        <v>0.0</v>
      </c>
      <c r="Z35456" s="372">
        <v>0.0</v>
      </c>
    </row>
    <row r="35457">
      <c r="Y35457" s="372">
        <v>0.0</v>
      </c>
      <c r="Z35457" s="372">
        <v>0.0</v>
      </c>
    </row>
    <row r="35458">
      <c r="Y35458" s="372">
        <v>0.0</v>
      </c>
      <c r="Z35458" s="372">
        <v>0.0</v>
      </c>
    </row>
    <row r="35459">
      <c r="Y35459" s="372">
        <v>0.0</v>
      </c>
      <c r="Z35459" s="372">
        <v>0.0</v>
      </c>
    </row>
    <row r="35460">
      <c r="Y35460" s="372">
        <v>0.0</v>
      </c>
      <c r="Z35460" s="372">
        <v>0.0</v>
      </c>
    </row>
    <row r="35461">
      <c r="Y35461" s="372">
        <v>0.0</v>
      </c>
      <c r="Z35461" s="372">
        <v>0.0</v>
      </c>
    </row>
    <row r="35462">
      <c r="Y35462" s="372">
        <v>0.0</v>
      </c>
      <c r="Z35462" s="372">
        <v>0.0</v>
      </c>
    </row>
    <row r="35463">
      <c r="Y35463" s="372">
        <v>0.0</v>
      </c>
      <c r="Z35463" s="372">
        <v>0.0</v>
      </c>
    </row>
    <row r="35464">
      <c r="Y35464" s="372">
        <v>0.0</v>
      </c>
      <c r="Z35464" s="372">
        <v>0.0</v>
      </c>
    </row>
    <row r="35465">
      <c r="Y35465" s="372">
        <v>0.0</v>
      </c>
      <c r="Z35465" s="372">
        <v>0.0</v>
      </c>
    </row>
    <row r="35466">
      <c r="Y35466" s="372">
        <v>0.0</v>
      </c>
      <c r="Z35466" s="372">
        <v>0.0</v>
      </c>
    </row>
    <row r="35467">
      <c r="Y35467" s="372">
        <v>0.0</v>
      </c>
      <c r="Z35467" s="372">
        <v>0.0</v>
      </c>
    </row>
    <row r="35468">
      <c r="Y35468" s="372">
        <v>0.0</v>
      </c>
      <c r="Z35468" s="372">
        <v>0.0</v>
      </c>
    </row>
    <row r="35469">
      <c r="Y35469" s="372">
        <v>0.0</v>
      </c>
      <c r="Z35469" s="372">
        <v>0.0</v>
      </c>
    </row>
    <row r="35470">
      <c r="Y35470" s="372">
        <v>0.0</v>
      </c>
      <c r="Z35470" s="372">
        <v>0.0</v>
      </c>
    </row>
    <row r="35471">
      <c r="Y35471" s="372">
        <v>0.0</v>
      </c>
      <c r="Z35471" s="372">
        <v>0.0</v>
      </c>
    </row>
    <row r="35472">
      <c r="Y35472" s="372">
        <v>0.0</v>
      </c>
      <c r="Z35472" s="372">
        <v>0.0</v>
      </c>
    </row>
    <row r="35473">
      <c r="Y35473" s="372">
        <v>0.0</v>
      </c>
      <c r="Z35473" s="372">
        <v>0.0</v>
      </c>
    </row>
    <row r="35474">
      <c r="Y35474" s="372">
        <v>0.0</v>
      </c>
      <c r="Z35474" s="372">
        <v>0.0</v>
      </c>
    </row>
    <row r="35475">
      <c r="Y35475" s="372">
        <v>0.0</v>
      </c>
      <c r="Z35475" s="372">
        <v>0.0</v>
      </c>
    </row>
    <row r="35476">
      <c r="Y35476" s="372">
        <v>0.0</v>
      </c>
      <c r="Z35476" s="372">
        <v>0.0</v>
      </c>
    </row>
    <row r="35477">
      <c r="Y35477" s="372">
        <v>0.0</v>
      </c>
      <c r="Z35477" s="372">
        <v>0.0</v>
      </c>
    </row>
    <row r="35478">
      <c r="Y35478" s="372">
        <v>0.0</v>
      </c>
      <c r="Z35478" s="372">
        <v>0.0</v>
      </c>
    </row>
    <row r="35479">
      <c r="Y35479" s="372">
        <v>0.0</v>
      </c>
      <c r="Z35479" s="372">
        <v>0.0</v>
      </c>
    </row>
    <row r="35480">
      <c r="Y35480" s="372">
        <v>0.0</v>
      </c>
      <c r="Z35480" s="372">
        <v>0.0</v>
      </c>
    </row>
    <row r="35481">
      <c r="Y35481" s="372">
        <v>0.0</v>
      </c>
      <c r="Z35481" s="372">
        <v>0.0</v>
      </c>
    </row>
    <row r="35482">
      <c r="Y35482" s="372">
        <v>0.0</v>
      </c>
      <c r="Z35482" s="372">
        <v>0.0</v>
      </c>
    </row>
    <row r="35483">
      <c r="Y35483" s="372">
        <v>0.0</v>
      </c>
      <c r="Z35483" s="372">
        <v>0.0</v>
      </c>
    </row>
    <row r="35484">
      <c r="Y35484" s="372">
        <v>0.0</v>
      </c>
      <c r="Z35484" s="372">
        <v>0.0</v>
      </c>
    </row>
    <row r="35485">
      <c r="Y35485" s="372">
        <v>0.0</v>
      </c>
      <c r="Z35485" s="372">
        <v>0.0</v>
      </c>
    </row>
    <row r="35486">
      <c r="Y35486" s="372">
        <v>0.0</v>
      </c>
      <c r="Z35486" s="372">
        <v>0.0</v>
      </c>
    </row>
    <row r="35487">
      <c r="Y35487" s="372">
        <v>0.0</v>
      </c>
      <c r="Z35487" s="372">
        <v>0.0</v>
      </c>
    </row>
    <row r="35488">
      <c r="Y35488" s="372">
        <v>0.0</v>
      </c>
      <c r="Z35488" s="372">
        <v>0.0</v>
      </c>
    </row>
    <row r="35489">
      <c r="Y35489" s="372">
        <v>0.0</v>
      </c>
      <c r="Z35489" s="372">
        <v>0.0</v>
      </c>
    </row>
    <row r="35490">
      <c r="Y35490" s="372">
        <v>0.0</v>
      </c>
      <c r="Z35490" s="372">
        <v>0.0</v>
      </c>
    </row>
    <row r="35491">
      <c r="Y35491" s="372">
        <v>0.0</v>
      </c>
      <c r="Z35491" s="372">
        <v>0.0</v>
      </c>
    </row>
    <row r="35492">
      <c r="Y35492" s="372">
        <v>0.0</v>
      </c>
      <c r="Z35492" s="372">
        <v>0.0</v>
      </c>
    </row>
    <row r="35493">
      <c r="Y35493" s="372">
        <v>0.0</v>
      </c>
      <c r="Z35493" s="372">
        <v>0.0</v>
      </c>
    </row>
    <row r="35494">
      <c r="Y35494" s="372">
        <v>0.0</v>
      </c>
      <c r="Z35494" s="372">
        <v>0.0</v>
      </c>
    </row>
    <row r="35495">
      <c r="Y35495" s="372">
        <v>0.0</v>
      </c>
      <c r="Z35495" s="372">
        <v>0.0</v>
      </c>
    </row>
    <row r="35496">
      <c r="Y35496" s="372">
        <v>0.0</v>
      </c>
      <c r="Z35496" s="372">
        <v>0.0</v>
      </c>
    </row>
    <row r="35497">
      <c r="Y35497" s="372">
        <v>0.0</v>
      </c>
      <c r="Z35497" s="372">
        <v>0.0</v>
      </c>
    </row>
    <row r="35498">
      <c r="Y35498" s="372">
        <v>0.0</v>
      </c>
      <c r="Z35498" s="372">
        <v>0.0</v>
      </c>
    </row>
    <row r="35499">
      <c r="Y35499" s="372">
        <v>0.0</v>
      </c>
      <c r="Z35499" s="372">
        <v>0.0</v>
      </c>
    </row>
    <row r="35500">
      <c r="Y35500" s="372">
        <v>0.0</v>
      </c>
      <c r="Z35500" s="372">
        <v>0.0</v>
      </c>
    </row>
    <row r="35501">
      <c r="Y35501" s="372">
        <v>0.0</v>
      </c>
      <c r="Z35501" s="372">
        <v>0.0</v>
      </c>
    </row>
    <row r="35502">
      <c r="Y35502" s="372">
        <v>0.0</v>
      </c>
      <c r="Z35502" s="372">
        <v>0.0</v>
      </c>
    </row>
    <row r="35503">
      <c r="Y35503" s="372">
        <v>0.0</v>
      </c>
      <c r="Z35503" s="372">
        <v>0.0</v>
      </c>
    </row>
    <row r="35504">
      <c r="Y35504" s="372">
        <v>0.0</v>
      </c>
      <c r="Z35504" s="372">
        <v>0.0</v>
      </c>
    </row>
    <row r="35505">
      <c r="Y35505" s="372">
        <v>0.0</v>
      </c>
      <c r="Z35505" s="372">
        <v>0.0</v>
      </c>
    </row>
    <row r="35506">
      <c r="Y35506" s="372">
        <v>0.0</v>
      </c>
      <c r="Z35506" s="372">
        <v>0.0</v>
      </c>
    </row>
    <row r="35507">
      <c r="Y35507" s="372">
        <v>0.0</v>
      </c>
      <c r="Z35507" s="372">
        <v>0.0</v>
      </c>
    </row>
    <row r="35508">
      <c r="Y35508" s="372">
        <v>0.0</v>
      </c>
      <c r="Z35508" s="372">
        <v>0.0</v>
      </c>
    </row>
    <row r="35509">
      <c r="Y35509" s="372">
        <v>0.0</v>
      </c>
      <c r="Z35509" s="372">
        <v>0.0</v>
      </c>
    </row>
    <row r="35510">
      <c r="Y35510" s="372">
        <v>0.0</v>
      </c>
      <c r="Z35510" s="372">
        <v>0.0</v>
      </c>
    </row>
    <row r="35511">
      <c r="Y35511" s="372">
        <v>0.0</v>
      </c>
      <c r="Z35511" s="372">
        <v>0.0</v>
      </c>
    </row>
    <row r="35512">
      <c r="Y35512" s="372">
        <v>0.0</v>
      </c>
      <c r="Z35512" s="372">
        <v>0.0</v>
      </c>
    </row>
    <row r="35513">
      <c r="Y35513" s="372">
        <v>0.0</v>
      </c>
      <c r="Z35513" s="372">
        <v>0.0</v>
      </c>
    </row>
    <row r="35514">
      <c r="Y35514" s="372">
        <v>0.0</v>
      </c>
      <c r="Z35514" s="372">
        <v>0.0</v>
      </c>
    </row>
    <row r="35515">
      <c r="Y35515" s="372">
        <v>0.0</v>
      </c>
      <c r="Z35515" s="372">
        <v>0.0</v>
      </c>
    </row>
    <row r="35516">
      <c r="Y35516" s="372">
        <v>0.0</v>
      </c>
      <c r="Z35516" s="372">
        <v>0.0</v>
      </c>
    </row>
    <row r="35517">
      <c r="Y35517" s="372">
        <v>0.0</v>
      </c>
      <c r="Z35517" s="372">
        <v>0.0</v>
      </c>
    </row>
    <row r="35518">
      <c r="Y35518" s="372">
        <v>0.0</v>
      </c>
      <c r="Z35518" s="372">
        <v>0.0</v>
      </c>
    </row>
    <row r="35519">
      <c r="Y35519" s="372">
        <v>0.0</v>
      </c>
      <c r="Z35519" s="372">
        <v>0.0</v>
      </c>
    </row>
    <row r="35520">
      <c r="Y35520" s="372">
        <v>0.0</v>
      </c>
      <c r="Z35520" s="372">
        <v>0.0</v>
      </c>
    </row>
    <row r="35521">
      <c r="Y35521" s="372">
        <v>0.0</v>
      </c>
      <c r="Z35521" s="372">
        <v>0.0</v>
      </c>
    </row>
    <row r="35522">
      <c r="Y35522" s="372">
        <v>0.0</v>
      </c>
      <c r="Z35522" s="372">
        <v>0.0</v>
      </c>
    </row>
    <row r="35523">
      <c r="Y35523" s="372">
        <v>0.0</v>
      </c>
      <c r="Z35523" s="372">
        <v>0.0</v>
      </c>
    </row>
    <row r="35524">
      <c r="Y35524" s="372">
        <v>0.0</v>
      </c>
      <c r="Z35524" s="372">
        <v>0.0</v>
      </c>
    </row>
    <row r="35525">
      <c r="Y35525" s="372">
        <v>0.0</v>
      </c>
      <c r="Z35525" s="372">
        <v>0.0</v>
      </c>
    </row>
    <row r="35526">
      <c r="Y35526" s="372">
        <v>0.0</v>
      </c>
      <c r="Z35526" s="372">
        <v>0.0</v>
      </c>
    </row>
    <row r="35527">
      <c r="Y35527" s="372">
        <v>0.0</v>
      </c>
      <c r="Z35527" s="372">
        <v>0.0</v>
      </c>
    </row>
    <row r="35528">
      <c r="Y35528" s="372">
        <v>0.0</v>
      </c>
      <c r="Z35528" s="372">
        <v>0.0</v>
      </c>
    </row>
    <row r="35529">
      <c r="Y35529" s="372">
        <v>0.0</v>
      </c>
      <c r="Z35529" s="372">
        <v>0.0</v>
      </c>
    </row>
    <row r="35530">
      <c r="Y35530" s="372">
        <v>0.0</v>
      </c>
      <c r="Z35530" s="372">
        <v>0.0</v>
      </c>
    </row>
    <row r="35531">
      <c r="Y35531" s="372">
        <v>0.0</v>
      </c>
      <c r="Z35531" s="372">
        <v>0.0</v>
      </c>
    </row>
    <row r="35532">
      <c r="Y35532" s="372">
        <v>0.0</v>
      </c>
      <c r="Z35532" s="372">
        <v>0.0</v>
      </c>
    </row>
    <row r="35533">
      <c r="Y35533" s="372">
        <v>0.0</v>
      </c>
      <c r="Z35533" s="372">
        <v>0.0</v>
      </c>
    </row>
    <row r="35534">
      <c r="Y35534" s="372">
        <v>0.0</v>
      </c>
      <c r="Z35534" s="372">
        <v>0.0</v>
      </c>
    </row>
    <row r="35535">
      <c r="Y35535" s="372">
        <v>0.0</v>
      </c>
      <c r="Z35535" s="372">
        <v>0.0</v>
      </c>
    </row>
    <row r="35536">
      <c r="Y35536" s="372">
        <v>0.0</v>
      </c>
      <c r="Z35536" s="372">
        <v>0.0</v>
      </c>
    </row>
    <row r="35537">
      <c r="Y35537" s="372">
        <v>0.0</v>
      </c>
      <c r="Z35537" s="372">
        <v>0.0</v>
      </c>
    </row>
    <row r="35538">
      <c r="Y35538" s="372">
        <v>0.0</v>
      </c>
      <c r="Z35538" s="372">
        <v>0.0</v>
      </c>
    </row>
    <row r="35539">
      <c r="Y35539" s="372">
        <v>0.0</v>
      </c>
      <c r="Z35539" s="372">
        <v>0.0</v>
      </c>
    </row>
    <row r="35540">
      <c r="Y35540" s="372">
        <v>0.0</v>
      </c>
      <c r="Z35540" s="372">
        <v>0.0</v>
      </c>
    </row>
    <row r="35541">
      <c r="Y35541" s="372">
        <v>0.0</v>
      </c>
      <c r="Z35541" s="372">
        <v>0.0</v>
      </c>
    </row>
    <row r="35542">
      <c r="Y35542" s="372">
        <v>0.0</v>
      </c>
      <c r="Z35542" s="372">
        <v>0.0</v>
      </c>
    </row>
    <row r="35543">
      <c r="Y35543" s="372">
        <v>0.0</v>
      </c>
      <c r="Z35543" s="372">
        <v>0.0</v>
      </c>
    </row>
    <row r="35544">
      <c r="Y35544" s="372">
        <v>0.0</v>
      </c>
      <c r="Z35544" s="372">
        <v>0.0</v>
      </c>
    </row>
    <row r="35545">
      <c r="Y35545" s="372">
        <v>0.0</v>
      </c>
      <c r="Z35545" s="372">
        <v>0.0</v>
      </c>
    </row>
    <row r="35546">
      <c r="Y35546" s="372">
        <v>0.0</v>
      </c>
      <c r="Z35546" s="372">
        <v>0.0</v>
      </c>
    </row>
    <row r="35547">
      <c r="Y35547" s="372">
        <v>0.0</v>
      </c>
      <c r="Z35547" s="372">
        <v>0.0</v>
      </c>
    </row>
    <row r="35548">
      <c r="Y35548" s="372">
        <v>0.0</v>
      </c>
      <c r="Z35548" s="372">
        <v>0.0</v>
      </c>
    </row>
    <row r="35549">
      <c r="Y35549" s="372">
        <v>0.0</v>
      </c>
      <c r="Z35549" s="372">
        <v>0.0</v>
      </c>
    </row>
    <row r="35550">
      <c r="Y35550" s="372">
        <v>0.0</v>
      </c>
      <c r="Z35550" s="372">
        <v>0.0</v>
      </c>
    </row>
    <row r="35551">
      <c r="Y35551" s="372">
        <v>0.0</v>
      </c>
      <c r="Z35551" s="372">
        <v>0.0</v>
      </c>
    </row>
    <row r="35552">
      <c r="Y35552" s="372">
        <v>0.0</v>
      </c>
      <c r="Z35552" s="372">
        <v>0.0</v>
      </c>
    </row>
    <row r="35553">
      <c r="Y35553" s="372">
        <v>0.0</v>
      </c>
      <c r="Z35553" s="372">
        <v>0.0</v>
      </c>
    </row>
    <row r="35554">
      <c r="Y35554" s="372">
        <v>0.0</v>
      </c>
      <c r="Z35554" s="372">
        <v>0.0</v>
      </c>
    </row>
    <row r="35555">
      <c r="Y35555" s="372">
        <v>0.0</v>
      </c>
      <c r="Z35555" s="372">
        <v>0.0</v>
      </c>
    </row>
    <row r="35556">
      <c r="Y35556" s="372">
        <v>0.0</v>
      </c>
      <c r="Z35556" s="372">
        <v>0.0</v>
      </c>
    </row>
    <row r="35557">
      <c r="Y35557" s="372">
        <v>0.0</v>
      </c>
      <c r="Z35557" s="372">
        <v>0.0</v>
      </c>
    </row>
    <row r="35558">
      <c r="Y35558" s="372">
        <v>0.0</v>
      </c>
      <c r="Z35558" s="372">
        <v>0.0</v>
      </c>
    </row>
    <row r="35559">
      <c r="Y35559" s="372">
        <v>0.0</v>
      </c>
      <c r="Z35559" s="372">
        <v>0.0</v>
      </c>
    </row>
    <row r="35560">
      <c r="Y35560" s="372">
        <v>0.0</v>
      </c>
      <c r="Z35560" s="372">
        <v>0.0</v>
      </c>
    </row>
    <row r="35561">
      <c r="Y35561" s="372">
        <v>0.0</v>
      </c>
      <c r="Z35561" s="372">
        <v>0.0</v>
      </c>
    </row>
    <row r="35562">
      <c r="Y35562" s="372">
        <v>0.0</v>
      </c>
      <c r="Z35562" s="372">
        <v>0.0</v>
      </c>
    </row>
    <row r="35563">
      <c r="Y35563" s="372">
        <v>0.0</v>
      </c>
      <c r="Z35563" s="372">
        <v>0.0</v>
      </c>
    </row>
    <row r="35564">
      <c r="Y35564" s="372">
        <v>0.0</v>
      </c>
      <c r="Z35564" s="372">
        <v>0.0</v>
      </c>
    </row>
    <row r="35565">
      <c r="Y35565" s="372">
        <v>0.0</v>
      </c>
      <c r="Z35565" s="372">
        <v>0.0</v>
      </c>
    </row>
    <row r="35566">
      <c r="Y35566" s="372">
        <v>0.0</v>
      </c>
      <c r="Z35566" s="372">
        <v>0.0</v>
      </c>
    </row>
    <row r="35567">
      <c r="Y35567" s="372">
        <v>0.0</v>
      </c>
      <c r="Z35567" s="372">
        <v>0.0</v>
      </c>
    </row>
    <row r="35568">
      <c r="Y35568" s="372">
        <v>0.0</v>
      </c>
      <c r="Z35568" s="372">
        <v>0.0</v>
      </c>
    </row>
    <row r="35569">
      <c r="Y35569" s="372">
        <v>0.0</v>
      </c>
      <c r="Z35569" s="372">
        <v>0.0</v>
      </c>
    </row>
    <row r="35570">
      <c r="Y35570" s="372">
        <v>0.0</v>
      </c>
      <c r="Z35570" s="372">
        <v>0.0</v>
      </c>
    </row>
    <row r="35571">
      <c r="Y35571" s="372">
        <v>0.0</v>
      </c>
      <c r="Z35571" s="372">
        <v>0.0</v>
      </c>
    </row>
    <row r="35572">
      <c r="Y35572" s="372">
        <v>0.0</v>
      </c>
      <c r="Z35572" s="372">
        <v>0.0</v>
      </c>
    </row>
    <row r="35573">
      <c r="Y35573" s="372">
        <v>0.0</v>
      </c>
      <c r="Z35573" s="372">
        <v>0.0</v>
      </c>
    </row>
    <row r="35574">
      <c r="Y35574" s="372">
        <v>0.0</v>
      </c>
      <c r="Z35574" s="372">
        <v>0.0</v>
      </c>
    </row>
    <row r="35575">
      <c r="Y35575" s="372">
        <v>0.0</v>
      </c>
      <c r="Z35575" s="372">
        <v>0.0</v>
      </c>
    </row>
    <row r="35576">
      <c r="Y35576" s="372">
        <v>0.0</v>
      </c>
      <c r="Z35576" s="372">
        <v>0.0</v>
      </c>
    </row>
    <row r="35577">
      <c r="Y35577" s="372">
        <v>0.0</v>
      </c>
      <c r="Z35577" s="372">
        <v>0.0</v>
      </c>
    </row>
    <row r="35578">
      <c r="Y35578" s="372">
        <v>0.0</v>
      </c>
      <c r="Z35578" s="372">
        <v>0.0</v>
      </c>
    </row>
    <row r="35579">
      <c r="Y35579" s="372">
        <v>0.0</v>
      </c>
      <c r="Z35579" s="372">
        <v>0.0</v>
      </c>
    </row>
    <row r="35580">
      <c r="Y35580" s="372">
        <v>0.0</v>
      </c>
      <c r="Z35580" s="372">
        <v>0.0</v>
      </c>
    </row>
    <row r="35581">
      <c r="Y35581" s="372">
        <v>0.0</v>
      </c>
      <c r="Z35581" s="372">
        <v>0.0</v>
      </c>
    </row>
    <row r="35582">
      <c r="Y35582" s="372">
        <v>0.0</v>
      </c>
      <c r="Z35582" s="372">
        <v>0.0</v>
      </c>
    </row>
    <row r="35583">
      <c r="Y35583" s="372">
        <v>0.0</v>
      </c>
      <c r="Z35583" s="372">
        <v>0.0</v>
      </c>
    </row>
    <row r="35584">
      <c r="Y35584" s="372">
        <v>0.0</v>
      </c>
      <c r="Z35584" s="372">
        <v>0.0</v>
      </c>
    </row>
    <row r="35585">
      <c r="Y35585" s="372">
        <v>0.0</v>
      </c>
      <c r="Z35585" s="372">
        <v>0.0</v>
      </c>
    </row>
    <row r="35586">
      <c r="Y35586" s="372">
        <v>0.0</v>
      </c>
      <c r="Z35586" s="372">
        <v>0.0</v>
      </c>
    </row>
    <row r="35587">
      <c r="Y35587" s="372">
        <v>0.0</v>
      </c>
      <c r="Z35587" s="372">
        <v>0.0</v>
      </c>
    </row>
    <row r="35588">
      <c r="Y35588" s="372">
        <v>0.0</v>
      </c>
      <c r="Z35588" s="372">
        <v>0.0</v>
      </c>
    </row>
    <row r="35589">
      <c r="Y35589" s="372">
        <v>0.0</v>
      </c>
      <c r="Z35589" s="372">
        <v>0.0</v>
      </c>
    </row>
    <row r="35590">
      <c r="Y35590" s="372">
        <v>0.0</v>
      </c>
      <c r="Z35590" s="372">
        <v>0.0</v>
      </c>
    </row>
    <row r="35591">
      <c r="Y35591" s="372">
        <v>0.0</v>
      </c>
      <c r="Z35591" s="372">
        <v>0.0</v>
      </c>
    </row>
    <row r="35592">
      <c r="Y35592" s="372">
        <v>0.0</v>
      </c>
      <c r="Z35592" s="372">
        <v>0.0</v>
      </c>
    </row>
    <row r="35593">
      <c r="Y35593" s="372">
        <v>0.0</v>
      </c>
      <c r="Z35593" s="372">
        <v>0.0</v>
      </c>
    </row>
    <row r="35594">
      <c r="Y35594" s="372">
        <v>0.0</v>
      </c>
      <c r="Z35594" s="372">
        <v>0.0</v>
      </c>
    </row>
    <row r="35595">
      <c r="Y35595" s="372">
        <v>0.0</v>
      </c>
      <c r="Z35595" s="372">
        <v>0.0</v>
      </c>
    </row>
    <row r="35596">
      <c r="Y35596" s="372">
        <v>0.0</v>
      </c>
      <c r="Z35596" s="372">
        <v>0.0</v>
      </c>
    </row>
    <row r="35597">
      <c r="Y35597" s="372">
        <v>0.0</v>
      </c>
      <c r="Z35597" s="372">
        <v>0.0</v>
      </c>
    </row>
    <row r="35598">
      <c r="Y35598" s="372">
        <v>0.0</v>
      </c>
      <c r="Z35598" s="372">
        <v>0.0</v>
      </c>
    </row>
    <row r="35599">
      <c r="Y35599" s="372">
        <v>0.0</v>
      </c>
      <c r="Z35599" s="372">
        <v>0.0</v>
      </c>
    </row>
    <row r="35600">
      <c r="Y35600" s="372">
        <v>0.0</v>
      </c>
      <c r="Z35600" s="372">
        <v>0.0</v>
      </c>
    </row>
    <row r="35601">
      <c r="Y35601" s="372">
        <v>0.0</v>
      </c>
      <c r="Z35601" s="372">
        <v>0.0</v>
      </c>
    </row>
    <row r="35602">
      <c r="Y35602" s="372">
        <v>0.0</v>
      </c>
      <c r="Z35602" s="372">
        <v>0.0</v>
      </c>
    </row>
    <row r="35603">
      <c r="Y35603" s="372">
        <v>0.0</v>
      </c>
      <c r="Z35603" s="372">
        <v>0.0</v>
      </c>
    </row>
    <row r="35604">
      <c r="Y35604" s="372">
        <v>0.0</v>
      </c>
      <c r="Z35604" s="372">
        <v>0.0</v>
      </c>
    </row>
    <row r="35605">
      <c r="Y35605" s="372">
        <v>0.0</v>
      </c>
      <c r="Z35605" s="372">
        <v>0.0</v>
      </c>
    </row>
    <row r="35606">
      <c r="Y35606" s="372">
        <v>0.0</v>
      </c>
      <c r="Z35606" s="372">
        <v>0.0</v>
      </c>
    </row>
    <row r="35607">
      <c r="Y35607" s="372">
        <v>0.0</v>
      </c>
      <c r="Z35607" s="372">
        <v>0.0</v>
      </c>
    </row>
    <row r="35608">
      <c r="Y35608" s="372">
        <v>0.0</v>
      </c>
      <c r="Z35608" s="372">
        <v>0.0</v>
      </c>
    </row>
    <row r="35609">
      <c r="Y35609" s="372">
        <v>0.0</v>
      </c>
      <c r="Z35609" s="372">
        <v>0.0</v>
      </c>
    </row>
    <row r="35610">
      <c r="Y35610" s="372">
        <v>0.0</v>
      </c>
      <c r="Z35610" s="372">
        <v>0.0</v>
      </c>
    </row>
    <row r="35611">
      <c r="Y35611" s="372">
        <v>0.0</v>
      </c>
      <c r="Z35611" s="372">
        <v>0.0</v>
      </c>
    </row>
    <row r="35612">
      <c r="Y35612" s="372">
        <v>0.0</v>
      </c>
      <c r="Z35612" s="372">
        <v>0.0</v>
      </c>
    </row>
    <row r="35613">
      <c r="Y35613" s="372">
        <v>0.0</v>
      </c>
      <c r="Z35613" s="372">
        <v>0.0</v>
      </c>
    </row>
    <row r="35614">
      <c r="Y35614" s="372">
        <v>0.0</v>
      </c>
      <c r="Z35614" s="372">
        <v>0.0</v>
      </c>
    </row>
    <row r="35615">
      <c r="Y35615" s="372">
        <v>0.0</v>
      </c>
      <c r="Z35615" s="372">
        <v>0.0</v>
      </c>
    </row>
    <row r="35616">
      <c r="Y35616" s="372">
        <v>0.0</v>
      </c>
      <c r="Z35616" s="372">
        <v>0.0</v>
      </c>
    </row>
    <row r="35617">
      <c r="Y35617" s="372">
        <v>0.0</v>
      </c>
      <c r="Z35617" s="372">
        <v>0.0</v>
      </c>
    </row>
    <row r="35618">
      <c r="Y35618" s="372">
        <v>0.0</v>
      </c>
      <c r="Z35618" s="372">
        <v>0.0</v>
      </c>
    </row>
    <row r="35619">
      <c r="Y35619" s="372">
        <v>0.0</v>
      </c>
      <c r="Z35619" s="372">
        <v>0.0</v>
      </c>
    </row>
    <row r="35620">
      <c r="Y35620" s="372">
        <v>0.0</v>
      </c>
      <c r="Z35620" s="372">
        <v>0.0</v>
      </c>
    </row>
    <row r="35621">
      <c r="Y35621" s="372">
        <v>0.0</v>
      </c>
      <c r="Z35621" s="372">
        <v>0.0</v>
      </c>
    </row>
    <row r="35622">
      <c r="Y35622" s="372">
        <v>0.0</v>
      </c>
      <c r="Z35622" s="372">
        <v>0.0</v>
      </c>
    </row>
    <row r="35623">
      <c r="Y35623" s="372">
        <v>0.0</v>
      </c>
      <c r="Z35623" s="372">
        <v>0.0</v>
      </c>
    </row>
    <row r="35624">
      <c r="Y35624" s="372">
        <v>0.0</v>
      </c>
      <c r="Z35624" s="372">
        <v>0.0</v>
      </c>
    </row>
    <row r="35625">
      <c r="Y35625" s="372">
        <v>0.0</v>
      </c>
      <c r="Z35625" s="372">
        <v>0.0</v>
      </c>
    </row>
    <row r="35626">
      <c r="Y35626" s="372">
        <v>0.0</v>
      </c>
      <c r="Z35626" s="372">
        <v>0.0</v>
      </c>
    </row>
    <row r="35627">
      <c r="Y35627" s="372">
        <v>0.0</v>
      </c>
      <c r="Z35627" s="372">
        <v>0.0</v>
      </c>
    </row>
    <row r="35628">
      <c r="Y35628" s="372">
        <v>0.0</v>
      </c>
      <c r="Z35628" s="372">
        <v>0.0</v>
      </c>
    </row>
    <row r="35629">
      <c r="Y35629" s="372">
        <v>0.0</v>
      </c>
      <c r="Z35629" s="372">
        <v>0.0</v>
      </c>
    </row>
    <row r="35630">
      <c r="Y35630" s="372">
        <v>0.0</v>
      </c>
      <c r="Z35630" s="372">
        <v>0.0</v>
      </c>
    </row>
    <row r="35631">
      <c r="Y35631" s="372">
        <v>0.0</v>
      </c>
      <c r="Z35631" s="372">
        <v>0.0</v>
      </c>
    </row>
    <row r="35632">
      <c r="Y35632" s="372">
        <v>0.0</v>
      </c>
      <c r="Z35632" s="372">
        <v>0.0</v>
      </c>
    </row>
    <row r="35633">
      <c r="Y35633" s="372">
        <v>0.0</v>
      </c>
      <c r="Z35633" s="372">
        <v>0.0</v>
      </c>
    </row>
    <row r="35634">
      <c r="Y35634" s="372">
        <v>0.0</v>
      </c>
      <c r="Z35634" s="372">
        <v>0.0</v>
      </c>
    </row>
    <row r="35635">
      <c r="Y35635" s="372">
        <v>0.0</v>
      </c>
      <c r="Z35635" s="372">
        <v>0.0</v>
      </c>
    </row>
    <row r="35636">
      <c r="Y35636" s="372">
        <v>0.0</v>
      </c>
      <c r="Z35636" s="372">
        <v>0.0</v>
      </c>
    </row>
    <row r="35637">
      <c r="Y35637" s="372">
        <v>0.0</v>
      </c>
      <c r="Z35637" s="372">
        <v>0.0</v>
      </c>
    </row>
    <row r="35638">
      <c r="Y35638" s="372">
        <v>0.0</v>
      </c>
      <c r="Z35638" s="372">
        <v>0.0</v>
      </c>
    </row>
    <row r="35639">
      <c r="Y35639" s="372">
        <v>0.0</v>
      </c>
      <c r="Z35639" s="372">
        <v>0.0</v>
      </c>
    </row>
    <row r="35640">
      <c r="Y35640" s="372">
        <v>0.0</v>
      </c>
      <c r="Z35640" s="372">
        <v>0.0</v>
      </c>
    </row>
    <row r="35641">
      <c r="Y35641" s="372">
        <v>0.0</v>
      </c>
      <c r="Z35641" s="372">
        <v>0.0</v>
      </c>
    </row>
    <row r="35642">
      <c r="Y35642" s="372">
        <v>0.0</v>
      </c>
      <c r="Z35642" s="372">
        <v>0.0</v>
      </c>
    </row>
    <row r="35643">
      <c r="Y35643" s="372">
        <v>0.0</v>
      </c>
      <c r="Z35643" s="372">
        <v>0.0</v>
      </c>
    </row>
    <row r="35644">
      <c r="Y35644" s="372">
        <v>0.0</v>
      </c>
      <c r="Z35644" s="372">
        <v>0.0</v>
      </c>
    </row>
    <row r="35645">
      <c r="Y35645" s="372">
        <v>0.0</v>
      </c>
      <c r="Z35645" s="372">
        <v>0.0</v>
      </c>
    </row>
    <row r="35646">
      <c r="Y35646" s="372">
        <v>0.0</v>
      </c>
      <c r="Z35646" s="372">
        <v>0.0</v>
      </c>
    </row>
    <row r="35647">
      <c r="Y35647" s="372">
        <v>0.0</v>
      </c>
      <c r="Z35647" s="372">
        <v>0.0</v>
      </c>
    </row>
    <row r="35648">
      <c r="Y35648" s="372">
        <v>0.0</v>
      </c>
      <c r="Z35648" s="372">
        <v>0.0</v>
      </c>
    </row>
    <row r="35649">
      <c r="Y35649" s="372">
        <v>0.0</v>
      </c>
      <c r="Z35649" s="372">
        <v>0.0</v>
      </c>
    </row>
    <row r="35650">
      <c r="Y35650" s="372">
        <v>0.0</v>
      </c>
      <c r="Z35650" s="372">
        <v>0.0</v>
      </c>
    </row>
    <row r="35651">
      <c r="Y35651" s="372">
        <v>0.0</v>
      </c>
      <c r="Z35651" s="372">
        <v>0.0</v>
      </c>
    </row>
    <row r="35652">
      <c r="Y35652" s="372">
        <v>0.0</v>
      </c>
      <c r="Z35652" s="372">
        <v>0.0</v>
      </c>
    </row>
    <row r="35653">
      <c r="Y35653" s="372">
        <v>0.0</v>
      </c>
      <c r="Z35653" s="372">
        <v>0.0</v>
      </c>
    </row>
    <row r="35654">
      <c r="Y35654" s="372">
        <v>0.0</v>
      </c>
      <c r="Z35654" s="372">
        <v>0.0</v>
      </c>
    </row>
    <row r="35655">
      <c r="Y35655" s="372">
        <v>0.0</v>
      </c>
      <c r="Z35655" s="372">
        <v>0.0</v>
      </c>
    </row>
    <row r="35656">
      <c r="Y35656" s="372">
        <v>0.0</v>
      </c>
      <c r="Z35656" s="372">
        <v>0.0</v>
      </c>
    </row>
    <row r="35657">
      <c r="Y35657" s="372">
        <v>0.0</v>
      </c>
      <c r="Z35657" s="372">
        <v>0.0</v>
      </c>
    </row>
    <row r="35658">
      <c r="Y35658" s="372">
        <v>0.0</v>
      </c>
      <c r="Z35658" s="372">
        <v>0.0</v>
      </c>
    </row>
    <row r="35659">
      <c r="Y35659" s="372">
        <v>0.0</v>
      </c>
      <c r="Z35659" s="372">
        <v>0.0</v>
      </c>
    </row>
    <row r="35660">
      <c r="Y35660" s="372">
        <v>0.0</v>
      </c>
      <c r="Z35660" s="372">
        <v>0.0</v>
      </c>
    </row>
    <row r="35661">
      <c r="Y35661" s="372">
        <v>0.0</v>
      </c>
      <c r="Z35661" s="372">
        <v>0.0</v>
      </c>
    </row>
    <row r="35662">
      <c r="Y35662" s="372">
        <v>0.0</v>
      </c>
      <c r="Z35662" s="372">
        <v>0.0</v>
      </c>
    </row>
    <row r="35663">
      <c r="Y35663" s="372">
        <v>0.0</v>
      </c>
      <c r="Z35663" s="372">
        <v>0.0</v>
      </c>
    </row>
    <row r="35664">
      <c r="Y35664" s="372">
        <v>0.0</v>
      </c>
      <c r="Z35664" s="372">
        <v>0.0</v>
      </c>
    </row>
    <row r="35665">
      <c r="Y35665" s="372">
        <v>0.0</v>
      </c>
      <c r="Z35665" s="372">
        <v>0.0</v>
      </c>
    </row>
    <row r="35666">
      <c r="Y35666" s="372">
        <v>0.0</v>
      </c>
      <c r="Z35666" s="372">
        <v>0.0</v>
      </c>
    </row>
    <row r="35667">
      <c r="Y35667" s="372">
        <v>0.0</v>
      </c>
      <c r="Z35667" s="372">
        <v>0.0</v>
      </c>
    </row>
    <row r="35668">
      <c r="Y35668" s="372">
        <v>0.0</v>
      </c>
      <c r="Z35668" s="372">
        <v>0.0</v>
      </c>
    </row>
    <row r="35669">
      <c r="Y35669" s="372">
        <v>0.0</v>
      </c>
      <c r="Z35669" s="372">
        <v>0.0</v>
      </c>
    </row>
    <row r="35670">
      <c r="Y35670" s="372">
        <v>0.0</v>
      </c>
      <c r="Z35670" s="372">
        <v>0.0</v>
      </c>
    </row>
    <row r="35671">
      <c r="Y35671" s="372">
        <v>0.0</v>
      </c>
      <c r="Z35671" s="372">
        <v>0.0</v>
      </c>
    </row>
    <row r="35672">
      <c r="Y35672" s="372">
        <v>0.0</v>
      </c>
      <c r="Z35672" s="372">
        <v>0.0</v>
      </c>
    </row>
    <row r="35673">
      <c r="Y35673" s="372">
        <v>0.0</v>
      </c>
      <c r="Z35673" s="372">
        <v>0.0</v>
      </c>
    </row>
    <row r="35674">
      <c r="Y35674" s="372">
        <v>0.0</v>
      </c>
      <c r="Z35674" s="372">
        <v>0.0</v>
      </c>
    </row>
    <row r="35675">
      <c r="Y35675" s="372">
        <v>0.0</v>
      </c>
      <c r="Z35675" s="372">
        <v>0.0</v>
      </c>
    </row>
    <row r="35676">
      <c r="Y35676" s="372">
        <v>0.0</v>
      </c>
      <c r="Z35676" s="372">
        <v>0.0</v>
      </c>
    </row>
    <row r="35677">
      <c r="Y35677" s="372">
        <v>0.0</v>
      </c>
      <c r="Z35677" s="372">
        <v>0.0</v>
      </c>
    </row>
    <row r="35678">
      <c r="Y35678" s="372">
        <v>0.0</v>
      </c>
      <c r="Z35678" s="372">
        <v>0.0</v>
      </c>
    </row>
    <row r="35679">
      <c r="Y35679" s="372">
        <v>0.0</v>
      </c>
      <c r="Z35679" s="372">
        <v>0.0</v>
      </c>
    </row>
    <row r="35680">
      <c r="Y35680" s="372">
        <v>0.0</v>
      </c>
      <c r="Z35680" s="372">
        <v>0.0</v>
      </c>
    </row>
    <row r="35681">
      <c r="Y35681" s="372">
        <v>0.0</v>
      </c>
      <c r="Z35681" s="372">
        <v>0.0</v>
      </c>
    </row>
    <row r="35682">
      <c r="Y35682" s="372">
        <v>0.0</v>
      </c>
      <c r="Z35682" s="372">
        <v>0.0</v>
      </c>
    </row>
    <row r="35683">
      <c r="Y35683" s="372">
        <v>0.0</v>
      </c>
      <c r="Z35683" s="372">
        <v>0.0</v>
      </c>
    </row>
    <row r="35684">
      <c r="Y35684" s="372">
        <v>0.0</v>
      </c>
      <c r="Z35684" s="372">
        <v>0.0</v>
      </c>
    </row>
    <row r="35685">
      <c r="Y35685" s="372">
        <v>0.0</v>
      </c>
      <c r="Z35685" s="372">
        <v>0.0</v>
      </c>
    </row>
    <row r="35686">
      <c r="Y35686" s="372">
        <v>0.0</v>
      </c>
      <c r="Z35686" s="372">
        <v>0.0</v>
      </c>
    </row>
    <row r="35687">
      <c r="Y35687" s="372">
        <v>0.0</v>
      </c>
      <c r="Z35687" s="372">
        <v>0.0</v>
      </c>
    </row>
    <row r="35688">
      <c r="Y35688" s="372">
        <v>0.0</v>
      </c>
      <c r="Z35688" s="372">
        <v>0.0</v>
      </c>
    </row>
    <row r="35689">
      <c r="Y35689" s="372">
        <v>0.0</v>
      </c>
      <c r="Z35689" s="372">
        <v>0.0</v>
      </c>
    </row>
    <row r="35690">
      <c r="Y35690" s="372">
        <v>0.0</v>
      </c>
      <c r="Z35690" s="372">
        <v>0.0</v>
      </c>
    </row>
    <row r="35691">
      <c r="Y35691" s="372">
        <v>0.0</v>
      </c>
      <c r="Z35691" s="372">
        <v>0.0</v>
      </c>
    </row>
    <row r="35692">
      <c r="Y35692" s="372">
        <v>0.0</v>
      </c>
      <c r="Z35692" s="372">
        <v>0.0</v>
      </c>
    </row>
    <row r="35693">
      <c r="Y35693" s="372">
        <v>0.0</v>
      </c>
      <c r="Z35693" s="372">
        <v>0.0</v>
      </c>
    </row>
    <row r="35694">
      <c r="Y35694" s="372">
        <v>0.0</v>
      </c>
      <c r="Z35694" s="372">
        <v>0.0</v>
      </c>
    </row>
    <row r="35695">
      <c r="Y35695" s="372">
        <v>0.0</v>
      </c>
      <c r="Z35695" s="372">
        <v>0.0</v>
      </c>
    </row>
    <row r="35696">
      <c r="Y35696" s="372">
        <v>0.0</v>
      </c>
      <c r="Z35696" s="372">
        <v>0.0</v>
      </c>
    </row>
    <row r="35697">
      <c r="Y35697" s="372">
        <v>0.0</v>
      </c>
      <c r="Z35697" s="372">
        <v>0.0</v>
      </c>
    </row>
    <row r="35698">
      <c r="Y35698" s="372">
        <v>0.0</v>
      </c>
      <c r="Z35698" s="372">
        <v>0.0</v>
      </c>
    </row>
    <row r="35699">
      <c r="Y35699" s="372">
        <v>0.0</v>
      </c>
      <c r="Z35699" s="372">
        <v>0.0</v>
      </c>
    </row>
    <row r="35700">
      <c r="Y35700" s="372">
        <v>0.0</v>
      </c>
      <c r="Z35700" s="372">
        <v>0.0</v>
      </c>
    </row>
    <row r="35701">
      <c r="Y35701" s="372">
        <v>0.0</v>
      </c>
      <c r="Z35701" s="372">
        <v>0.0</v>
      </c>
    </row>
    <row r="35702">
      <c r="Y35702" s="372">
        <v>0.0</v>
      </c>
      <c r="Z35702" s="372">
        <v>0.0</v>
      </c>
    </row>
    <row r="35703">
      <c r="Y35703" s="372">
        <v>0.0</v>
      </c>
      <c r="Z35703" s="372">
        <v>0.0</v>
      </c>
    </row>
    <row r="35704">
      <c r="Y35704" s="372">
        <v>0.0</v>
      </c>
      <c r="Z35704" s="372">
        <v>0.0</v>
      </c>
    </row>
    <row r="35705">
      <c r="Y35705" s="372">
        <v>0.0</v>
      </c>
      <c r="Z35705" s="372">
        <v>0.0</v>
      </c>
    </row>
    <row r="35706">
      <c r="Y35706" s="372">
        <v>0.0</v>
      </c>
      <c r="Z35706" s="372">
        <v>0.0</v>
      </c>
    </row>
    <row r="35707">
      <c r="Y35707" s="372">
        <v>0.0</v>
      </c>
      <c r="Z35707" s="372">
        <v>0.0</v>
      </c>
    </row>
    <row r="35708">
      <c r="Y35708" s="372">
        <v>0.0</v>
      </c>
      <c r="Z35708" s="372">
        <v>0.0</v>
      </c>
    </row>
    <row r="35709">
      <c r="Y35709" s="372">
        <v>0.0</v>
      </c>
      <c r="Z35709" s="372">
        <v>0.0</v>
      </c>
    </row>
    <row r="35710">
      <c r="Y35710" s="372">
        <v>0.0</v>
      </c>
      <c r="Z35710" s="372">
        <v>0.0</v>
      </c>
    </row>
    <row r="35711">
      <c r="Y35711" s="372">
        <v>0.0</v>
      </c>
      <c r="Z35711" s="372">
        <v>0.0</v>
      </c>
    </row>
    <row r="35712">
      <c r="Y35712" s="372">
        <v>0.0</v>
      </c>
      <c r="Z35712" s="372">
        <v>0.0</v>
      </c>
    </row>
    <row r="35713">
      <c r="Y35713" s="372">
        <v>0.0</v>
      </c>
      <c r="Z35713" s="372">
        <v>0.0</v>
      </c>
    </row>
    <row r="35714">
      <c r="Y35714" s="372">
        <v>0.0</v>
      </c>
      <c r="Z35714" s="372">
        <v>0.0</v>
      </c>
    </row>
    <row r="35715">
      <c r="Y35715" s="372">
        <v>0.0</v>
      </c>
      <c r="Z35715" s="372">
        <v>0.0</v>
      </c>
    </row>
    <row r="35716">
      <c r="Y35716" s="372">
        <v>0.0</v>
      </c>
      <c r="Z35716" s="372">
        <v>0.0</v>
      </c>
    </row>
    <row r="35717">
      <c r="Y35717" s="372">
        <v>0.0</v>
      </c>
      <c r="Z35717" s="372">
        <v>0.0</v>
      </c>
    </row>
    <row r="35718">
      <c r="Y35718" s="372">
        <v>0.0</v>
      </c>
      <c r="Z35718" s="372">
        <v>0.0</v>
      </c>
    </row>
    <row r="35719">
      <c r="Y35719" s="372">
        <v>0.0</v>
      </c>
      <c r="Z35719" s="372">
        <v>0.0</v>
      </c>
    </row>
    <row r="35720">
      <c r="Y35720" s="372">
        <v>0.0</v>
      </c>
      <c r="Z35720" s="372">
        <v>0.0</v>
      </c>
    </row>
    <row r="35721">
      <c r="Y35721" s="372">
        <v>0.0</v>
      </c>
      <c r="Z35721" s="372">
        <v>0.0</v>
      </c>
    </row>
    <row r="35722">
      <c r="Y35722" s="372">
        <v>0.0</v>
      </c>
      <c r="Z35722" s="372">
        <v>0.0</v>
      </c>
    </row>
    <row r="35723">
      <c r="Y35723" s="372">
        <v>0.0</v>
      </c>
      <c r="Z35723" s="372">
        <v>0.0</v>
      </c>
    </row>
    <row r="35724">
      <c r="Y35724" s="372">
        <v>0.0</v>
      </c>
      <c r="Z35724" s="372">
        <v>0.0</v>
      </c>
    </row>
    <row r="35725">
      <c r="Y35725" s="372">
        <v>0.0</v>
      </c>
      <c r="Z35725" s="372">
        <v>0.0</v>
      </c>
    </row>
    <row r="35726">
      <c r="Y35726" s="372">
        <v>0.0</v>
      </c>
      <c r="Z35726" s="372">
        <v>0.0</v>
      </c>
    </row>
    <row r="35727">
      <c r="Y35727" s="372">
        <v>0.0</v>
      </c>
      <c r="Z35727" s="372">
        <v>0.0</v>
      </c>
    </row>
    <row r="35728">
      <c r="Y35728" s="372">
        <v>0.0</v>
      </c>
      <c r="Z35728" s="372">
        <v>0.0</v>
      </c>
    </row>
    <row r="35729">
      <c r="Y35729" s="372">
        <v>0.0</v>
      </c>
      <c r="Z35729" s="372">
        <v>0.0</v>
      </c>
    </row>
    <row r="35730">
      <c r="Y35730" s="372">
        <v>0.0</v>
      </c>
      <c r="Z35730" s="372">
        <v>0.0</v>
      </c>
    </row>
    <row r="35731">
      <c r="Y35731" s="372">
        <v>0.0</v>
      </c>
      <c r="Z35731" s="372">
        <v>0.0</v>
      </c>
    </row>
    <row r="35732">
      <c r="Y35732" s="372">
        <v>0.0</v>
      </c>
      <c r="Z35732" s="372">
        <v>0.0</v>
      </c>
    </row>
    <row r="35733">
      <c r="Y35733" s="372">
        <v>0.0</v>
      </c>
      <c r="Z35733" s="372">
        <v>0.0</v>
      </c>
    </row>
    <row r="35734">
      <c r="Y35734" s="372">
        <v>0.0</v>
      </c>
      <c r="Z35734" s="372">
        <v>0.0</v>
      </c>
    </row>
    <row r="35735">
      <c r="Y35735" s="372">
        <v>0.0</v>
      </c>
      <c r="Z35735" s="372">
        <v>0.0</v>
      </c>
    </row>
    <row r="35736">
      <c r="Y35736" s="372">
        <v>0.0</v>
      </c>
      <c r="Z35736" s="372">
        <v>0.0</v>
      </c>
    </row>
    <row r="35737">
      <c r="Y35737" s="372">
        <v>0.0</v>
      </c>
      <c r="Z35737" s="372">
        <v>0.0</v>
      </c>
    </row>
    <row r="35738">
      <c r="Y35738" s="372">
        <v>0.0</v>
      </c>
      <c r="Z35738" s="372">
        <v>0.0</v>
      </c>
    </row>
    <row r="35739">
      <c r="Y35739" s="372">
        <v>0.0</v>
      </c>
      <c r="Z35739" s="372">
        <v>0.0</v>
      </c>
    </row>
    <row r="35740">
      <c r="Y35740" s="372">
        <v>0.0</v>
      </c>
      <c r="Z35740" s="372">
        <v>0.0</v>
      </c>
    </row>
    <row r="35741">
      <c r="Y35741" s="372">
        <v>0.0</v>
      </c>
      <c r="Z35741" s="372">
        <v>0.0</v>
      </c>
    </row>
    <row r="35742">
      <c r="Y35742" s="372">
        <v>0.0</v>
      </c>
      <c r="Z35742" s="372">
        <v>0.0</v>
      </c>
    </row>
    <row r="35743">
      <c r="Y35743" s="372">
        <v>0.0</v>
      </c>
      <c r="Z35743" s="372">
        <v>0.0</v>
      </c>
    </row>
    <row r="35744">
      <c r="Y35744" s="372">
        <v>0.0</v>
      </c>
      <c r="Z35744" s="372">
        <v>0.0</v>
      </c>
    </row>
    <row r="35745">
      <c r="Y35745" s="372">
        <v>0.0</v>
      </c>
      <c r="Z35745" s="372">
        <v>0.0</v>
      </c>
    </row>
    <row r="35746">
      <c r="Y35746" s="372">
        <v>0.0</v>
      </c>
      <c r="Z35746" s="372">
        <v>0.0</v>
      </c>
    </row>
    <row r="35747">
      <c r="Y35747" s="372">
        <v>0.0</v>
      </c>
      <c r="Z35747" s="372">
        <v>0.0</v>
      </c>
    </row>
    <row r="35748">
      <c r="Y35748" s="372">
        <v>0.0</v>
      </c>
      <c r="Z35748" s="372">
        <v>0.0</v>
      </c>
    </row>
    <row r="35749">
      <c r="Y35749" s="372">
        <v>0.0</v>
      </c>
      <c r="Z35749" s="372">
        <v>0.0</v>
      </c>
    </row>
    <row r="35750">
      <c r="Y35750" s="372">
        <v>0.0</v>
      </c>
      <c r="Z35750" s="372">
        <v>0.0</v>
      </c>
    </row>
    <row r="35751">
      <c r="Y35751" s="372">
        <v>0.0</v>
      </c>
      <c r="Z35751" s="372">
        <v>0.0</v>
      </c>
    </row>
    <row r="35752">
      <c r="Y35752" s="372">
        <v>0.0</v>
      </c>
      <c r="Z35752" s="372">
        <v>0.0</v>
      </c>
    </row>
    <row r="35753">
      <c r="Y35753" s="372">
        <v>0.0</v>
      </c>
      <c r="Z35753" s="372">
        <v>0.0</v>
      </c>
    </row>
    <row r="35754">
      <c r="Y35754" s="372">
        <v>0.0</v>
      </c>
      <c r="Z35754" s="372">
        <v>0.0</v>
      </c>
    </row>
    <row r="35755">
      <c r="Y35755" s="372">
        <v>0.0</v>
      </c>
      <c r="Z35755" s="372">
        <v>0.0</v>
      </c>
    </row>
    <row r="35756">
      <c r="Y35756" s="372">
        <v>0.0</v>
      </c>
      <c r="Z35756" s="372">
        <v>0.0</v>
      </c>
    </row>
    <row r="35757">
      <c r="Y35757" s="372">
        <v>0.0</v>
      </c>
      <c r="Z35757" s="372">
        <v>0.0</v>
      </c>
    </row>
    <row r="35758">
      <c r="Y35758" s="372">
        <v>0.0</v>
      </c>
      <c r="Z35758" s="372">
        <v>0.0</v>
      </c>
    </row>
    <row r="35759">
      <c r="Y35759" s="372">
        <v>0.0</v>
      </c>
      <c r="Z35759" s="372">
        <v>0.0</v>
      </c>
    </row>
    <row r="35760">
      <c r="Y35760" s="372">
        <v>0.0</v>
      </c>
      <c r="Z35760" s="372">
        <v>0.0</v>
      </c>
    </row>
    <row r="35761">
      <c r="Y35761" s="372">
        <v>0.0</v>
      </c>
      <c r="Z35761" s="372">
        <v>0.0</v>
      </c>
    </row>
    <row r="35762">
      <c r="Y35762" s="372">
        <v>0.0</v>
      </c>
      <c r="Z35762" s="372">
        <v>0.0</v>
      </c>
    </row>
    <row r="35763">
      <c r="Y35763" s="372">
        <v>0.0</v>
      </c>
      <c r="Z35763" s="372">
        <v>0.0</v>
      </c>
    </row>
    <row r="35764">
      <c r="Y35764" s="372">
        <v>0.0</v>
      </c>
      <c r="Z35764" s="372">
        <v>0.0</v>
      </c>
    </row>
    <row r="35765">
      <c r="Y35765" s="372">
        <v>0.0</v>
      </c>
      <c r="Z35765" s="372">
        <v>0.0</v>
      </c>
    </row>
    <row r="35766">
      <c r="Y35766" s="372">
        <v>0.0</v>
      </c>
      <c r="Z35766" s="372">
        <v>0.0</v>
      </c>
    </row>
    <row r="35767">
      <c r="Y35767" s="372">
        <v>0.0</v>
      </c>
      <c r="Z35767" s="372">
        <v>0.0</v>
      </c>
    </row>
    <row r="35768">
      <c r="Y35768" s="372">
        <v>0.0</v>
      </c>
      <c r="Z35768" s="372">
        <v>0.0</v>
      </c>
    </row>
    <row r="35769">
      <c r="Y35769" s="372">
        <v>0.0</v>
      </c>
      <c r="Z35769" s="372">
        <v>0.0</v>
      </c>
    </row>
    <row r="35770">
      <c r="Y35770" s="372">
        <v>0.0</v>
      </c>
      <c r="Z35770" s="372">
        <v>0.0</v>
      </c>
    </row>
    <row r="35771">
      <c r="Y35771" s="372">
        <v>0.0</v>
      </c>
      <c r="Z35771" s="372">
        <v>0.0</v>
      </c>
    </row>
    <row r="35772">
      <c r="Y35772" s="372">
        <v>0.0</v>
      </c>
      <c r="Z35772" s="372">
        <v>0.0</v>
      </c>
    </row>
    <row r="35773">
      <c r="Y35773" s="372">
        <v>0.0</v>
      </c>
      <c r="Z35773" s="372">
        <v>0.0</v>
      </c>
    </row>
    <row r="35774">
      <c r="Y35774" s="372">
        <v>0.0</v>
      </c>
      <c r="Z35774" s="372">
        <v>0.0</v>
      </c>
    </row>
    <row r="35775">
      <c r="Y35775" s="372">
        <v>0.0</v>
      </c>
      <c r="Z35775" s="372">
        <v>0.0</v>
      </c>
    </row>
    <row r="35776">
      <c r="Y35776" s="372">
        <v>0.0</v>
      </c>
      <c r="Z35776" s="372">
        <v>0.0</v>
      </c>
    </row>
    <row r="35777">
      <c r="Y35777" s="372">
        <v>0.0</v>
      </c>
      <c r="Z35777" s="372">
        <v>0.0</v>
      </c>
    </row>
    <row r="35778">
      <c r="Y35778" s="372">
        <v>0.0</v>
      </c>
      <c r="Z35778" s="372">
        <v>0.0</v>
      </c>
    </row>
    <row r="35779">
      <c r="Y35779" s="372">
        <v>0.0</v>
      </c>
      <c r="Z35779" s="372">
        <v>0.0</v>
      </c>
    </row>
    <row r="35780">
      <c r="Y35780" s="372">
        <v>0.0</v>
      </c>
      <c r="Z35780" s="372">
        <v>0.0</v>
      </c>
    </row>
    <row r="35781">
      <c r="Y35781" s="372">
        <v>0.0</v>
      </c>
      <c r="Z35781" s="372">
        <v>0.0</v>
      </c>
    </row>
    <row r="35782">
      <c r="Y35782" s="372">
        <v>0.0</v>
      </c>
      <c r="Z35782" s="372">
        <v>0.0</v>
      </c>
    </row>
    <row r="35783">
      <c r="Y35783" s="372">
        <v>0.0</v>
      </c>
      <c r="Z35783" s="372">
        <v>0.0</v>
      </c>
    </row>
    <row r="35784">
      <c r="Y35784" s="372">
        <v>0.0</v>
      </c>
      <c r="Z35784" s="372">
        <v>0.0</v>
      </c>
    </row>
    <row r="35785">
      <c r="Y35785" s="372">
        <v>0.0</v>
      </c>
      <c r="Z35785" s="372">
        <v>0.0</v>
      </c>
    </row>
    <row r="35786">
      <c r="Y35786" s="372">
        <v>0.0</v>
      </c>
      <c r="Z35786" s="372">
        <v>0.0</v>
      </c>
    </row>
    <row r="35787">
      <c r="Y35787" s="372">
        <v>0.0</v>
      </c>
      <c r="Z35787" s="372">
        <v>0.0</v>
      </c>
    </row>
    <row r="35788">
      <c r="Y35788" s="372">
        <v>0.0</v>
      </c>
      <c r="Z35788" s="372">
        <v>0.0</v>
      </c>
    </row>
    <row r="35789">
      <c r="Y35789" s="372">
        <v>0.0</v>
      </c>
      <c r="Z35789" s="372">
        <v>0.0</v>
      </c>
    </row>
    <row r="35790">
      <c r="Y35790" s="372">
        <v>0.0</v>
      </c>
      <c r="Z35790" s="372">
        <v>0.0</v>
      </c>
    </row>
    <row r="35791">
      <c r="Y35791" s="372">
        <v>0.0</v>
      </c>
      <c r="Z35791" s="372">
        <v>0.0</v>
      </c>
    </row>
    <row r="35792">
      <c r="Y35792" s="372">
        <v>0.0</v>
      </c>
      <c r="Z35792" s="372">
        <v>0.0</v>
      </c>
    </row>
    <row r="35793">
      <c r="Y35793" s="372">
        <v>0.0</v>
      </c>
      <c r="Z35793" s="372">
        <v>0.0</v>
      </c>
    </row>
    <row r="35794">
      <c r="Y35794" s="372">
        <v>0.0</v>
      </c>
      <c r="Z35794" s="372">
        <v>0.0</v>
      </c>
    </row>
    <row r="35795">
      <c r="Y35795" s="372">
        <v>0.0</v>
      </c>
      <c r="Z35795" s="372">
        <v>0.0</v>
      </c>
    </row>
    <row r="35796">
      <c r="Y35796" s="372">
        <v>0.0</v>
      </c>
      <c r="Z35796" s="372">
        <v>0.0</v>
      </c>
    </row>
    <row r="35797">
      <c r="Y35797" s="372">
        <v>0.0</v>
      </c>
      <c r="Z35797" s="372">
        <v>0.0</v>
      </c>
    </row>
    <row r="35798">
      <c r="Y35798" s="372">
        <v>0.0</v>
      </c>
      <c r="Z35798" s="372">
        <v>0.0</v>
      </c>
    </row>
    <row r="35799">
      <c r="Y35799" s="372">
        <v>0.0</v>
      </c>
      <c r="Z35799" s="372">
        <v>0.0</v>
      </c>
    </row>
    <row r="35800">
      <c r="Y35800" s="372">
        <v>0.0</v>
      </c>
      <c r="Z35800" s="372">
        <v>0.0</v>
      </c>
    </row>
    <row r="35801">
      <c r="Y35801" s="372">
        <v>0.0</v>
      </c>
      <c r="Z35801" s="372">
        <v>0.0</v>
      </c>
    </row>
    <row r="35802">
      <c r="Y35802" s="372">
        <v>0.0</v>
      </c>
      <c r="Z35802" s="372">
        <v>0.0</v>
      </c>
    </row>
    <row r="35803">
      <c r="Y35803" s="372">
        <v>0.0</v>
      </c>
      <c r="Z35803" s="372">
        <v>0.0</v>
      </c>
    </row>
    <row r="35804">
      <c r="Y35804" s="372">
        <v>0.0</v>
      </c>
      <c r="Z35804" s="372">
        <v>0.0</v>
      </c>
    </row>
    <row r="35805">
      <c r="Y35805" s="372">
        <v>0.0</v>
      </c>
      <c r="Z35805" s="372">
        <v>0.0</v>
      </c>
    </row>
    <row r="35806">
      <c r="Y35806" s="372">
        <v>0.0</v>
      </c>
      <c r="Z35806" s="372">
        <v>0.0</v>
      </c>
    </row>
    <row r="35807">
      <c r="Y35807" s="372">
        <v>0.0</v>
      </c>
      <c r="Z35807" s="372">
        <v>0.0</v>
      </c>
    </row>
    <row r="35808">
      <c r="Y35808" s="372">
        <v>0.0</v>
      </c>
      <c r="Z35808" s="372">
        <v>0.0</v>
      </c>
    </row>
    <row r="35809">
      <c r="Y35809" s="372">
        <v>0.0</v>
      </c>
      <c r="Z35809" s="372">
        <v>0.0</v>
      </c>
    </row>
    <row r="35810">
      <c r="Y35810" s="372">
        <v>0.0</v>
      </c>
      <c r="Z35810" s="372">
        <v>0.0</v>
      </c>
    </row>
    <row r="35811">
      <c r="Y35811" s="372">
        <v>0.0</v>
      </c>
      <c r="Z35811" s="372">
        <v>0.0</v>
      </c>
    </row>
    <row r="35812">
      <c r="Y35812" s="372">
        <v>0.0</v>
      </c>
      <c r="Z35812" s="372">
        <v>0.0</v>
      </c>
    </row>
    <row r="35813">
      <c r="Y35813" s="372">
        <v>0.0</v>
      </c>
      <c r="Z35813" s="372">
        <v>0.0</v>
      </c>
    </row>
    <row r="35814">
      <c r="Y35814" s="372">
        <v>0.0</v>
      </c>
      <c r="Z35814" s="372">
        <v>0.0</v>
      </c>
    </row>
    <row r="35815">
      <c r="Y35815" s="372">
        <v>0.0</v>
      </c>
      <c r="Z35815" s="372">
        <v>0.0</v>
      </c>
    </row>
    <row r="35816">
      <c r="Y35816" s="372">
        <v>0.0</v>
      </c>
      <c r="Z35816" s="372">
        <v>0.0</v>
      </c>
    </row>
    <row r="35817">
      <c r="Y35817" s="372">
        <v>0.0</v>
      </c>
      <c r="Z35817" s="372">
        <v>0.0</v>
      </c>
    </row>
    <row r="35818">
      <c r="Y35818" s="372">
        <v>0.0</v>
      </c>
      <c r="Z35818" s="372">
        <v>0.0</v>
      </c>
    </row>
    <row r="35819">
      <c r="Y35819" s="372">
        <v>0.0</v>
      </c>
      <c r="Z35819" s="372">
        <v>0.0</v>
      </c>
    </row>
    <row r="35820">
      <c r="Y35820" s="372">
        <v>0.0</v>
      </c>
      <c r="Z35820" s="372">
        <v>0.0</v>
      </c>
    </row>
    <row r="35821">
      <c r="Y35821" s="372">
        <v>0.0</v>
      </c>
      <c r="Z35821" s="372">
        <v>0.0</v>
      </c>
    </row>
    <row r="35822">
      <c r="Y35822" s="372">
        <v>0.0</v>
      </c>
      <c r="Z35822" s="372">
        <v>0.0</v>
      </c>
    </row>
    <row r="35823">
      <c r="Y35823" s="372">
        <v>0.0</v>
      </c>
      <c r="Z35823" s="372">
        <v>0.0</v>
      </c>
    </row>
    <row r="35824">
      <c r="Y35824" s="372">
        <v>0.0</v>
      </c>
      <c r="Z35824" s="372">
        <v>0.0</v>
      </c>
    </row>
    <row r="35825">
      <c r="Y35825" s="372">
        <v>0.0</v>
      </c>
      <c r="Z35825" s="372">
        <v>0.0</v>
      </c>
    </row>
    <row r="35826">
      <c r="Y35826" s="372">
        <v>0.0</v>
      </c>
      <c r="Z35826" s="372">
        <v>0.0</v>
      </c>
    </row>
    <row r="35827">
      <c r="Y35827" s="372">
        <v>0.0</v>
      </c>
      <c r="Z35827" s="372">
        <v>0.0</v>
      </c>
    </row>
    <row r="35828">
      <c r="Y35828" s="372">
        <v>0.0</v>
      </c>
      <c r="Z35828" s="372">
        <v>0.0</v>
      </c>
    </row>
    <row r="35829">
      <c r="Y35829" s="372">
        <v>0.0</v>
      </c>
      <c r="Z35829" s="372">
        <v>0.0</v>
      </c>
    </row>
    <row r="35830">
      <c r="Y35830" s="372">
        <v>0.0</v>
      </c>
      <c r="Z35830" s="372">
        <v>0.0</v>
      </c>
    </row>
    <row r="35831">
      <c r="Y35831" s="372">
        <v>0.0</v>
      </c>
      <c r="Z35831" s="372">
        <v>0.0</v>
      </c>
    </row>
    <row r="35832">
      <c r="Y35832" s="372">
        <v>0.0</v>
      </c>
      <c r="Z35832" s="372">
        <v>0.0</v>
      </c>
    </row>
    <row r="35833">
      <c r="Y35833" s="372">
        <v>0.0</v>
      </c>
      <c r="Z35833" s="372">
        <v>0.0</v>
      </c>
    </row>
    <row r="35834">
      <c r="Y35834" s="372">
        <v>0.0</v>
      </c>
      <c r="Z35834" s="372">
        <v>0.0</v>
      </c>
    </row>
    <row r="35835">
      <c r="Y35835" s="372">
        <v>0.0</v>
      </c>
      <c r="Z35835" s="372">
        <v>0.0</v>
      </c>
    </row>
    <row r="35836">
      <c r="Y35836" s="372">
        <v>0.0</v>
      </c>
      <c r="Z35836" s="372">
        <v>0.0</v>
      </c>
    </row>
    <row r="35837">
      <c r="Y35837" s="372">
        <v>0.0</v>
      </c>
      <c r="Z35837" s="372">
        <v>0.0</v>
      </c>
    </row>
    <row r="35838">
      <c r="Y35838" s="372">
        <v>0.0</v>
      </c>
      <c r="Z35838" s="372">
        <v>0.0</v>
      </c>
    </row>
    <row r="35839">
      <c r="Y35839" s="372">
        <v>0.0</v>
      </c>
      <c r="Z35839" s="372">
        <v>0.0</v>
      </c>
    </row>
    <row r="35840">
      <c r="Y35840" s="372">
        <v>0.0</v>
      </c>
      <c r="Z35840" s="372">
        <v>0.0</v>
      </c>
    </row>
    <row r="35841">
      <c r="Y35841" s="372">
        <v>0.0</v>
      </c>
      <c r="Z35841" s="372">
        <v>0.0</v>
      </c>
    </row>
    <row r="35842">
      <c r="Y35842" s="372">
        <v>0.0</v>
      </c>
      <c r="Z35842" s="372">
        <v>0.0</v>
      </c>
    </row>
    <row r="35843">
      <c r="Y35843" s="372">
        <v>0.0</v>
      </c>
      <c r="Z35843" s="372">
        <v>0.0</v>
      </c>
    </row>
    <row r="35844">
      <c r="Y35844" s="372">
        <v>0.0</v>
      </c>
      <c r="Z35844" s="372">
        <v>0.0</v>
      </c>
    </row>
    <row r="35845">
      <c r="Y35845" s="372">
        <v>0.0</v>
      </c>
      <c r="Z35845" s="372">
        <v>0.0</v>
      </c>
    </row>
    <row r="35846">
      <c r="Y35846" s="372">
        <v>0.0</v>
      </c>
      <c r="Z35846" s="372">
        <v>0.0</v>
      </c>
    </row>
    <row r="35847">
      <c r="Y35847" s="372">
        <v>0.0</v>
      </c>
      <c r="Z35847" s="372">
        <v>0.0</v>
      </c>
    </row>
    <row r="35848">
      <c r="Y35848" s="372">
        <v>0.0</v>
      </c>
      <c r="Z35848" s="372">
        <v>0.0</v>
      </c>
    </row>
    <row r="35849">
      <c r="Y35849" s="372">
        <v>0.0</v>
      </c>
      <c r="Z35849" s="372">
        <v>0.0</v>
      </c>
    </row>
    <row r="35850">
      <c r="Y35850" s="372">
        <v>0.0</v>
      </c>
      <c r="Z35850" s="372">
        <v>0.0</v>
      </c>
    </row>
    <row r="35851">
      <c r="Y35851" s="372">
        <v>0.0</v>
      </c>
      <c r="Z35851" s="372">
        <v>0.0</v>
      </c>
    </row>
    <row r="35852">
      <c r="Y35852" s="372">
        <v>0.0</v>
      </c>
      <c r="Z35852" s="372">
        <v>0.0</v>
      </c>
    </row>
    <row r="35853">
      <c r="Y35853" s="372">
        <v>0.0</v>
      </c>
      <c r="Z35853" s="372">
        <v>0.0</v>
      </c>
    </row>
    <row r="35854">
      <c r="Y35854" s="372">
        <v>0.0</v>
      </c>
      <c r="Z35854" s="372">
        <v>0.0</v>
      </c>
    </row>
    <row r="35855">
      <c r="Y35855" s="372">
        <v>0.0</v>
      </c>
      <c r="Z35855" s="372">
        <v>0.0</v>
      </c>
    </row>
    <row r="35856">
      <c r="Y35856" s="372">
        <v>0.0</v>
      </c>
      <c r="Z35856" s="372">
        <v>0.0</v>
      </c>
    </row>
    <row r="35857">
      <c r="Y35857" s="372">
        <v>0.0</v>
      </c>
      <c r="Z35857" s="372">
        <v>0.0</v>
      </c>
    </row>
    <row r="35858">
      <c r="Y35858" s="372">
        <v>0.0</v>
      </c>
      <c r="Z35858" s="372">
        <v>0.0</v>
      </c>
    </row>
    <row r="35859">
      <c r="Y35859" s="372">
        <v>0.0</v>
      </c>
      <c r="Z35859" s="372">
        <v>0.0</v>
      </c>
    </row>
    <row r="35860">
      <c r="Y35860" s="372">
        <v>0.0</v>
      </c>
      <c r="Z35860" s="372">
        <v>0.0</v>
      </c>
    </row>
    <row r="35861">
      <c r="Y35861" s="372">
        <v>0.0</v>
      </c>
      <c r="Z35861" s="372">
        <v>0.0</v>
      </c>
    </row>
    <row r="35862">
      <c r="Y35862" s="372">
        <v>0.0</v>
      </c>
      <c r="Z35862" s="372">
        <v>0.0</v>
      </c>
    </row>
    <row r="35863">
      <c r="Y35863" s="372">
        <v>0.0</v>
      </c>
      <c r="Z35863" s="372">
        <v>0.0</v>
      </c>
    </row>
    <row r="35864">
      <c r="Y35864" s="372">
        <v>0.0</v>
      </c>
      <c r="Z35864" s="372">
        <v>0.0</v>
      </c>
    </row>
    <row r="35865">
      <c r="Y35865" s="372">
        <v>0.0</v>
      </c>
      <c r="Z35865" s="372">
        <v>0.0</v>
      </c>
    </row>
    <row r="35866">
      <c r="Y35866" s="372">
        <v>0.0</v>
      </c>
      <c r="Z35866" s="372">
        <v>0.0</v>
      </c>
    </row>
    <row r="35867">
      <c r="Y35867" s="372">
        <v>0.0</v>
      </c>
      <c r="Z35867" s="372">
        <v>0.0</v>
      </c>
    </row>
    <row r="35868">
      <c r="Y35868" s="372">
        <v>0.0</v>
      </c>
      <c r="Z35868" s="372">
        <v>0.0</v>
      </c>
    </row>
    <row r="35869">
      <c r="Y35869" s="372">
        <v>0.0</v>
      </c>
      <c r="Z35869" s="372">
        <v>0.0</v>
      </c>
    </row>
    <row r="35870">
      <c r="Y35870" s="372">
        <v>0.0</v>
      </c>
      <c r="Z35870" s="372">
        <v>0.0</v>
      </c>
    </row>
    <row r="35871">
      <c r="Y35871" s="372">
        <v>0.0</v>
      </c>
      <c r="Z35871" s="372">
        <v>0.0</v>
      </c>
    </row>
    <row r="35872">
      <c r="Y35872" s="372">
        <v>0.0</v>
      </c>
      <c r="Z35872" s="372">
        <v>0.0</v>
      </c>
    </row>
    <row r="35873">
      <c r="Y35873" s="372">
        <v>0.0</v>
      </c>
      <c r="Z35873" s="372">
        <v>0.0</v>
      </c>
    </row>
    <row r="35874">
      <c r="Y35874" s="372">
        <v>0.0</v>
      </c>
      <c r="Z35874" s="372">
        <v>0.0</v>
      </c>
    </row>
    <row r="35875">
      <c r="Y35875" s="372">
        <v>0.0</v>
      </c>
      <c r="Z35875" s="372">
        <v>0.0</v>
      </c>
    </row>
    <row r="35876">
      <c r="Y35876" s="372">
        <v>0.0</v>
      </c>
      <c r="Z35876" s="372">
        <v>0.0</v>
      </c>
    </row>
    <row r="35877">
      <c r="Y35877" s="372">
        <v>0.0</v>
      </c>
      <c r="Z35877" s="372">
        <v>0.0</v>
      </c>
    </row>
    <row r="35878">
      <c r="Y35878" s="372">
        <v>0.0</v>
      </c>
      <c r="Z35878" s="372">
        <v>0.0</v>
      </c>
    </row>
    <row r="35879">
      <c r="Y35879" s="372">
        <v>0.0</v>
      </c>
      <c r="Z35879" s="372">
        <v>0.0</v>
      </c>
    </row>
    <row r="35880">
      <c r="Y35880" s="372">
        <v>0.0</v>
      </c>
      <c r="Z35880" s="372">
        <v>0.0</v>
      </c>
    </row>
    <row r="35881">
      <c r="Y35881" s="372">
        <v>0.0</v>
      </c>
      <c r="Z35881" s="372">
        <v>0.0</v>
      </c>
    </row>
    <row r="35882">
      <c r="Y35882" s="372">
        <v>0.0</v>
      </c>
      <c r="Z35882" s="372">
        <v>0.0</v>
      </c>
    </row>
    <row r="35883">
      <c r="Y35883" s="372">
        <v>0.0</v>
      </c>
      <c r="Z35883" s="372">
        <v>0.0</v>
      </c>
    </row>
    <row r="35884">
      <c r="Y35884" s="372">
        <v>0.0</v>
      </c>
      <c r="Z35884" s="372">
        <v>0.0</v>
      </c>
    </row>
    <row r="35885">
      <c r="Y35885" s="372">
        <v>0.0</v>
      </c>
      <c r="Z35885" s="372">
        <v>0.0</v>
      </c>
    </row>
    <row r="35886">
      <c r="Y35886" s="372">
        <v>0.0</v>
      </c>
      <c r="Z35886" s="372">
        <v>0.0</v>
      </c>
    </row>
    <row r="35887">
      <c r="Y35887" s="372">
        <v>0.0</v>
      </c>
      <c r="Z35887" s="372">
        <v>0.0</v>
      </c>
    </row>
    <row r="35888">
      <c r="Y35888" s="372">
        <v>0.0</v>
      </c>
      <c r="Z35888" s="372">
        <v>0.0</v>
      </c>
    </row>
    <row r="35889">
      <c r="Y35889" s="372">
        <v>0.0</v>
      </c>
      <c r="Z35889" s="372">
        <v>0.0</v>
      </c>
    </row>
    <row r="35890">
      <c r="Y35890" s="372">
        <v>0.0</v>
      </c>
      <c r="Z35890" s="372">
        <v>0.0</v>
      </c>
    </row>
    <row r="35891">
      <c r="Y35891" s="372">
        <v>0.0</v>
      </c>
      <c r="Z35891" s="372">
        <v>0.0</v>
      </c>
    </row>
    <row r="35892">
      <c r="Y35892" s="372">
        <v>0.0</v>
      </c>
      <c r="Z35892" s="372">
        <v>0.0</v>
      </c>
    </row>
    <row r="35893">
      <c r="Y35893" s="372">
        <v>0.0</v>
      </c>
      <c r="Z35893" s="372">
        <v>0.0</v>
      </c>
    </row>
    <row r="35894">
      <c r="Y35894" s="372">
        <v>0.0</v>
      </c>
      <c r="Z35894" s="372">
        <v>0.0</v>
      </c>
    </row>
    <row r="35895">
      <c r="Y35895" s="372">
        <v>0.0</v>
      </c>
      <c r="Z35895" s="372">
        <v>0.0</v>
      </c>
    </row>
    <row r="35896">
      <c r="Y35896" s="372">
        <v>0.0</v>
      </c>
      <c r="Z35896" s="372">
        <v>0.0</v>
      </c>
    </row>
    <row r="35897">
      <c r="Y35897" s="372">
        <v>0.0</v>
      </c>
      <c r="Z35897" s="372">
        <v>0.0</v>
      </c>
    </row>
    <row r="35898">
      <c r="Y35898" s="372">
        <v>0.0</v>
      </c>
      <c r="Z35898" s="372">
        <v>0.0</v>
      </c>
    </row>
    <row r="35899">
      <c r="Y35899" s="372">
        <v>0.0</v>
      </c>
      <c r="Z35899" s="372">
        <v>0.0</v>
      </c>
    </row>
    <row r="35900">
      <c r="Y35900" s="372">
        <v>0.0</v>
      </c>
      <c r="Z35900" s="372">
        <v>0.0</v>
      </c>
    </row>
    <row r="35901">
      <c r="Y35901" s="372">
        <v>0.0</v>
      </c>
      <c r="Z35901" s="372">
        <v>0.0</v>
      </c>
    </row>
    <row r="35902">
      <c r="Y35902" s="372">
        <v>0.0</v>
      </c>
      <c r="Z35902" s="372">
        <v>0.0</v>
      </c>
    </row>
    <row r="35903">
      <c r="Y35903" s="372">
        <v>0.0</v>
      </c>
      <c r="Z35903" s="372">
        <v>0.0</v>
      </c>
    </row>
    <row r="35904">
      <c r="Y35904" s="372">
        <v>0.0</v>
      </c>
      <c r="Z35904" s="372">
        <v>0.0</v>
      </c>
    </row>
    <row r="35905">
      <c r="Y35905" s="372">
        <v>0.0</v>
      </c>
      <c r="Z35905" s="372">
        <v>0.0</v>
      </c>
    </row>
    <row r="35906">
      <c r="Y35906" s="372">
        <v>0.0</v>
      </c>
      <c r="Z35906" s="372">
        <v>0.0</v>
      </c>
    </row>
    <row r="35907">
      <c r="Y35907" s="372">
        <v>0.0</v>
      </c>
      <c r="Z35907" s="372">
        <v>0.0</v>
      </c>
    </row>
    <row r="35908">
      <c r="Y35908" s="372">
        <v>0.0</v>
      </c>
      <c r="Z35908" s="372">
        <v>0.0</v>
      </c>
    </row>
    <row r="35909">
      <c r="Y35909" s="372">
        <v>0.0</v>
      </c>
      <c r="Z35909" s="372">
        <v>0.0</v>
      </c>
    </row>
    <row r="35910">
      <c r="Y35910" s="372">
        <v>0.0</v>
      </c>
      <c r="Z35910" s="372">
        <v>0.0</v>
      </c>
    </row>
    <row r="35911">
      <c r="Y35911" s="372">
        <v>0.0</v>
      </c>
      <c r="Z35911" s="372">
        <v>0.0</v>
      </c>
    </row>
    <row r="35912">
      <c r="Y35912" s="372">
        <v>0.0</v>
      </c>
      <c r="Z35912" s="372">
        <v>0.0</v>
      </c>
    </row>
    <row r="35913">
      <c r="Y35913" s="372">
        <v>0.0</v>
      </c>
      <c r="Z35913" s="372">
        <v>0.0</v>
      </c>
    </row>
    <row r="35914">
      <c r="Y35914" s="372">
        <v>0.0</v>
      </c>
      <c r="Z35914" s="372">
        <v>0.0</v>
      </c>
    </row>
    <row r="35915">
      <c r="Y35915" s="372">
        <v>0.0</v>
      </c>
      <c r="Z35915" s="372">
        <v>0.0</v>
      </c>
    </row>
    <row r="35916">
      <c r="Y35916" s="372">
        <v>0.0</v>
      </c>
      <c r="Z35916" s="372">
        <v>0.0</v>
      </c>
    </row>
    <row r="35917">
      <c r="Y35917" s="372">
        <v>0.0</v>
      </c>
      <c r="Z35917" s="372">
        <v>0.0</v>
      </c>
    </row>
    <row r="35918">
      <c r="Y35918" s="372">
        <v>0.0</v>
      </c>
      <c r="Z35918" s="372">
        <v>0.0</v>
      </c>
    </row>
    <row r="35919">
      <c r="Y35919" s="372">
        <v>0.0</v>
      </c>
      <c r="Z35919" s="372">
        <v>0.0</v>
      </c>
    </row>
    <row r="35920">
      <c r="Y35920" s="372">
        <v>0.0</v>
      </c>
      <c r="Z35920" s="372">
        <v>0.0</v>
      </c>
    </row>
    <row r="35921">
      <c r="Y35921" s="372">
        <v>0.0</v>
      </c>
      <c r="Z35921" s="372">
        <v>0.0</v>
      </c>
    </row>
    <row r="35922">
      <c r="Y35922" s="372">
        <v>0.0</v>
      </c>
      <c r="Z35922" s="372">
        <v>0.0</v>
      </c>
    </row>
    <row r="35923">
      <c r="Y35923" s="372">
        <v>0.0</v>
      </c>
      <c r="Z35923" s="372">
        <v>0.0</v>
      </c>
    </row>
    <row r="35924">
      <c r="Y35924" s="372">
        <v>0.0</v>
      </c>
      <c r="Z35924" s="372">
        <v>0.0</v>
      </c>
    </row>
    <row r="35925">
      <c r="Y35925" s="372">
        <v>0.0</v>
      </c>
      <c r="Z35925" s="372">
        <v>0.0</v>
      </c>
    </row>
    <row r="35926">
      <c r="Y35926" s="372">
        <v>0.0</v>
      </c>
      <c r="Z35926" s="372">
        <v>0.0</v>
      </c>
    </row>
    <row r="35927">
      <c r="Y35927" s="372">
        <v>0.0</v>
      </c>
      <c r="Z35927" s="372">
        <v>0.0</v>
      </c>
    </row>
    <row r="35928">
      <c r="Y35928" s="372">
        <v>0.0</v>
      </c>
      <c r="Z35928" s="372">
        <v>0.0</v>
      </c>
    </row>
    <row r="35929">
      <c r="Y35929" s="372">
        <v>0.0</v>
      </c>
      <c r="Z35929" s="372">
        <v>0.0</v>
      </c>
    </row>
    <row r="35930">
      <c r="Y35930" s="372">
        <v>0.0</v>
      </c>
      <c r="Z35930" s="372">
        <v>0.0</v>
      </c>
    </row>
    <row r="35931">
      <c r="Y35931" s="372">
        <v>0.0</v>
      </c>
      <c r="Z35931" s="372">
        <v>0.0</v>
      </c>
    </row>
    <row r="35932">
      <c r="Y35932" s="372">
        <v>0.0</v>
      </c>
      <c r="Z35932" s="372">
        <v>0.0</v>
      </c>
    </row>
    <row r="35933">
      <c r="Y35933" s="372">
        <v>0.0</v>
      </c>
      <c r="Z35933" s="372">
        <v>0.0</v>
      </c>
    </row>
    <row r="35934">
      <c r="Y35934" s="372">
        <v>0.0</v>
      </c>
      <c r="Z35934" s="372">
        <v>0.0</v>
      </c>
    </row>
    <row r="35935">
      <c r="Y35935" s="372">
        <v>0.0</v>
      </c>
      <c r="Z35935" s="372">
        <v>0.0</v>
      </c>
    </row>
    <row r="35936">
      <c r="Y35936" s="372">
        <v>0.0</v>
      </c>
      <c r="Z35936" s="372">
        <v>0.0</v>
      </c>
    </row>
    <row r="35937">
      <c r="Y35937" s="372">
        <v>0.0</v>
      </c>
      <c r="Z35937" s="372">
        <v>0.0</v>
      </c>
    </row>
    <row r="35938">
      <c r="Y35938" s="372">
        <v>0.0</v>
      </c>
      <c r="Z35938" s="372">
        <v>0.0</v>
      </c>
    </row>
    <row r="35939">
      <c r="Y35939" s="372">
        <v>0.0</v>
      </c>
      <c r="Z35939" s="372">
        <v>0.0</v>
      </c>
    </row>
    <row r="35940">
      <c r="Y35940" s="372">
        <v>0.0</v>
      </c>
      <c r="Z35940" s="372">
        <v>0.0</v>
      </c>
    </row>
    <row r="35941">
      <c r="Y35941" s="372">
        <v>0.0</v>
      </c>
      <c r="Z35941" s="372">
        <v>0.0</v>
      </c>
    </row>
    <row r="35942">
      <c r="Y35942" s="372">
        <v>0.0</v>
      </c>
      <c r="Z35942" s="372">
        <v>0.0</v>
      </c>
    </row>
    <row r="35943">
      <c r="Y35943" s="372">
        <v>0.0</v>
      </c>
      <c r="Z35943" s="372">
        <v>0.0</v>
      </c>
    </row>
    <row r="35944">
      <c r="Y35944" s="372">
        <v>0.0</v>
      </c>
      <c r="Z35944" s="372">
        <v>0.0</v>
      </c>
    </row>
    <row r="35945">
      <c r="Y35945" s="372">
        <v>0.0</v>
      </c>
      <c r="Z35945" s="372">
        <v>0.0</v>
      </c>
    </row>
    <row r="35946">
      <c r="Y35946" s="372">
        <v>0.0</v>
      </c>
      <c r="Z35946" s="372">
        <v>0.0</v>
      </c>
    </row>
    <row r="35947">
      <c r="Y35947" s="372">
        <v>0.0</v>
      </c>
      <c r="Z35947" s="372">
        <v>0.0</v>
      </c>
    </row>
    <row r="35948">
      <c r="Y35948" s="372">
        <v>0.0</v>
      </c>
      <c r="Z35948" s="372">
        <v>0.0</v>
      </c>
    </row>
    <row r="35949">
      <c r="Y35949" s="372">
        <v>0.0</v>
      </c>
      <c r="Z35949" s="372">
        <v>0.0</v>
      </c>
    </row>
    <row r="35950">
      <c r="Y35950" s="372">
        <v>0.0</v>
      </c>
      <c r="Z35950" s="372">
        <v>0.0</v>
      </c>
    </row>
    <row r="35951">
      <c r="Y35951" s="372">
        <v>0.0</v>
      </c>
      <c r="Z35951" s="372">
        <v>0.0</v>
      </c>
    </row>
    <row r="35952">
      <c r="Y35952" s="372">
        <v>0.0</v>
      </c>
      <c r="Z35952" s="372">
        <v>0.0</v>
      </c>
    </row>
    <row r="35953">
      <c r="Y35953" s="372">
        <v>0.0</v>
      </c>
      <c r="Z35953" s="372">
        <v>0.0</v>
      </c>
    </row>
    <row r="35954">
      <c r="Y35954" s="372">
        <v>0.0</v>
      </c>
      <c r="Z35954" s="372">
        <v>0.0</v>
      </c>
    </row>
    <row r="35955">
      <c r="Y35955" s="372">
        <v>0.0</v>
      </c>
      <c r="Z35955" s="372">
        <v>0.0</v>
      </c>
    </row>
    <row r="35956">
      <c r="Y35956" s="372">
        <v>0.0</v>
      </c>
      <c r="Z35956" s="372">
        <v>0.0</v>
      </c>
    </row>
    <row r="35957">
      <c r="Y35957" s="372">
        <v>0.0</v>
      </c>
      <c r="Z35957" s="372">
        <v>0.0</v>
      </c>
    </row>
    <row r="35958">
      <c r="Y35958" s="372">
        <v>0.0</v>
      </c>
      <c r="Z35958" s="372">
        <v>0.0</v>
      </c>
    </row>
    <row r="35959">
      <c r="Y35959" s="372">
        <v>0.0</v>
      </c>
      <c r="Z35959" s="372">
        <v>0.0</v>
      </c>
    </row>
    <row r="35960">
      <c r="Y35960" s="372">
        <v>0.0</v>
      </c>
      <c r="Z35960" s="372">
        <v>0.0</v>
      </c>
    </row>
    <row r="35961">
      <c r="Y35961" s="372">
        <v>0.0</v>
      </c>
      <c r="Z35961" s="372">
        <v>0.0</v>
      </c>
    </row>
    <row r="35962">
      <c r="Y35962" s="372">
        <v>0.0</v>
      </c>
      <c r="Z35962" s="372">
        <v>0.0</v>
      </c>
    </row>
    <row r="35963">
      <c r="Y35963" s="372">
        <v>0.0</v>
      </c>
      <c r="Z35963" s="372">
        <v>0.0</v>
      </c>
    </row>
    <row r="35964">
      <c r="Y35964" s="372">
        <v>0.0</v>
      </c>
      <c r="Z35964" s="372">
        <v>0.0</v>
      </c>
    </row>
    <row r="35965">
      <c r="Y35965" s="372">
        <v>0.0</v>
      </c>
      <c r="Z35965" s="372">
        <v>0.0</v>
      </c>
    </row>
    <row r="35966">
      <c r="Y35966" s="372">
        <v>0.0</v>
      </c>
      <c r="Z35966" s="372">
        <v>0.0</v>
      </c>
    </row>
    <row r="35967">
      <c r="Y35967" s="372">
        <v>0.0</v>
      </c>
      <c r="Z35967" s="372">
        <v>0.0</v>
      </c>
    </row>
    <row r="35968">
      <c r="Y35968" s="372">
        <v>0.0</v>
      </c>
      <c r="Z35968" s="372">
        <v>0.0</v>
      </c>
    </row>
    <row r="35969">
      <c r="Y35969" s="372">
        <v>0.0</v>
      </c>
      <c r="Z35969" s="372">
        <v>0.0</v>
      </c>
    </row>
    <row r="35970">
      <c r="Y35970" s="372">
        <v>0.0</v>
      </c>
      <c r="Z35970" s="372">
        <v>0.0</v>
      </c>
    </row>
    <row r="35971">
      <c r="Y35971" s="372">
        <v>0.0</v>
      </c>
      <c r="Z35971" s="372">
        <v>0.0</v>
      </c>
    </row>
    <row r="35972">
      <c r="Y35972" s="372">
        <v>0.0</v>
      </c>
      <c r="Z35972" s="372">
        <v>0.0</v>
      </c>
    </row>
    <row r="35973">
      <c r="Y35973" s="372">
        <v>0.0</v>
      </c>
      <c r="Z35973" s="372">
        <v>0.0</v>
      </c>
    </row>
    <row r="35974">
      <c r="Y35974" s="372">
        <v>0.0</v>
      </c>
      <c r="Z35974" s="372">
        <v>0.0</v>
      </c>
    </row>
    <row r="35975">
      <c r="Y35975" s="372">
        <v>0.0</v>
      </c>
      <c r="Z35975" s="372">
        <v>0.0</v>
      </c>
    </row>
    <row r="35976">
      <c r="Y35976" s="372">
        <v>0.0</v>
      </c>
      <c r="Z35976" s="372">
        <v>0.0</v>
      </c>
    </row>
    <row r="35977">
      <c r="Y35977" s="372">
        <v>0.0</v>
      </c>
      <c r="Z35977" s="372">
        <v>0.0</v>
      </c>
    </row>
    <row r="35978">
      <c r="Y35978" s="372">
        <v>0.0</v>
      </c>
      <c r="Z35978" s="372">
        <v>0.0</v>
      </c>
    </row>
    <row r="35979">
      <c r="Y35979" s="372">
        <v>0.0</v>
      </c>
      <c r="Z35979" s="372">
        <v>0.0</v>
      </c>
    </row>
    <row r="35980">
      <c r="Y35980" s="372">
        <v>0.0</v>
      </c>
      <c r="Z35980" s="372">
        <v>0.0</v>
      </c>
    </row>
    <row r="35981">
      <c r="Y35981" s="372">
        <v>0.0</v>
      </c>
      <c r="Z35981" s="372">
        <v>0.0</v>
      </c>
    </row>
    <row r="35982">
      <c r="Y35982" s="372">
        <v>0.0</v>
      </c>
      <c r="Z35982" s="372">
        <v>0.0</v>
      </c>
    </row>
    <row r="35983">
      <c r="Y35983" s="372">
        <v>0.0</v>
      </c>
      <c r="Z35983" s="372">
        <v>0.0</v>
      </c>
    </row>
    <row r="35984">
      <c r="Y35984" s="372">
        <v>0.0</v>
      </c>
      <c r="Z35984" s="372">
        <v>0.0</v>
      </c>
    </row>
    <row r="35985">
      <c r="Y35985" s="372">
        <v>0.0</v>
      </c>
      <c r="Z35985" s="372">
        <v>0.0</v>
      </c>
    </row>
    <row r="35986">
      <c r="Y35986" s="372">
        <v>0.0</v>
      </c>
      <c r="Z35986" s="372">
        <v>0.0</v>
      </c>
    </row>
    <row r="35987">
      <c r="Y35987" s="372">
        <v>0.0</v>
      </c>
      <c r="Z35987" s="372">
        <v>0.0</v>
      </c>
    </row>
    <row r="35988">
      <c r="Y35988" s="372">
        <v>0.0</v>
      </c>
      <c r="Z35988" s="372">
        <v>0.0</v>
      </c>
    </row>
    <row r="35989">
      <c r="Y35989" s="372">
        <v>0.0</v>
      </c>
      <c r="Z35989" s="372">
        <v>0.0</v>
      </c>
    </row>
    <row r="35990">
      <c r="Y35990" s="372">
        <v>0.0</v>
      </c>
      <c r="Z35990" s="372">
        <v>0.0</v>
      </c>
    </row>
    <row r="35991">
      <c r="Y35991" s="372">
        <v>0.0</v>
      </c>
      <c r="Z35991" s="372">
        <v>0.0</v>
      </c>
    </row>
    <row r="35992">
      <c r="Y35992" s="372">
        <v>0.0</v>
      </c>
      <c r="Z35992" s="372">
        <v>0.0</v>
      </c>
    </row>
    <row r="35993">
      <c r="Y35993" s="372">
        <v>0.0</v>
      </c>
      <c r="Z35993" s="372">
        <v>0.0</v>
      </c>
    </row>
    <row r="35994">
      <c r="Y35994" s="372">
        <v>0.0</v>
      </c>
      <c r="Z35994" s="372">
        <v>0.0</v>
      </c>
    </row>
    <row r="35995">
      <c r="Y35995" s="372">
        <v>0.0</v>
      </c>
      <c r="Z35995" s="372">
        <v>0.0</v>
      </c>
    </row>
    <row r="35996">
      <c r="Y35996" s="372">
        <v>0.0</v>
      </c>
      <c r="Z35996" s="372">
        <v>0.0</v>
      </c>
    </row>
    <row r="35997">
      <c r="Y35997" s="372">
        <v>0.0</v>
      </c>
      <c r="Z35997" s="372">
        <v>0.0</v>
      </c>
    </row>
    <row r="35998">
      <c r="Y35998" s="372">
        <v>0.0</v>
      </c>
      <c r="Z35998" s="372">
        <v>0.0</v>
      </c>
    </row>
    <row r="35999">
      <c r="Y35999" s="372">
        <v>0.0</v>
      </c>
      <c r="Z35999" s="372">
        <v>0.0</v>
      </c>
    </row>
    <row r="36000">
      <c r="Y36000" s="372">
        <v>0.0</v>
      </c>
      <c r="Z36000" s="372">
        <v>0.0</v>
      </c>
    </row>
    <row r="36001">
      <c r="Y36001" s="372">
        <v>0.0</v>
      </c>
      <c r="Z36001" s="372">
        <v>0.0</v>
      </c>
    </row>
    <row r="36002">
      <c r="Y36002" s="372">
        <v>0.0</v>
      </c>
      <c r="Z36002" s="372">
        <v>0.0</v>
      </c>
    </row>
    <row r="36003">
      <c r="Y36003" s="372">
        <v>0.0</v>
      </c>
      <c r="Z36003" s="372">
        <v>0.0</v>
      </c>
    </row>
    <row r="36004">
      <c r="Y36004" s="372">
        <v>0.0</v>
      </c>
      <c r="Z36004" s="372">
        <v>0.0</v>
      </c>
    </row>
    <row r="36005">
      <c r="Y36005" s="372">
        <v>0.0</v>
      </c>
      <c r="Z36005" s="372">
        <v>0.0</v>
      </c>
    </row>
    <row r="36006">
      <c r="Y36006" s="372">
        <v>0.0</v>
      </c>
      <c r="Z36006" s="372">
        <v>0.0</v>
      </c>
    </row>
    <row r="36007">
      <c r="Y36007" s="372">
        <v>0.0</v>
      </c>
      <c r="Z36007" s="372">
        <v>0.0</v>
      </c>
    </row>
    <row r="36008">
      <c r="Y36008" s="372">
        <v>0.0</v>
      </c>
      <c r="Z36008" s="372">
        <v>0.0</v>
      </c>
    </row>
    <row r="36009">
      <c r="Y36009" s="372">
        <v>0.0</v>
      </c>
      <c r="Z36009" s="372">
        <v>0.0</v>
      </c>
    </row>
    <row r="36010">
      <c r="Y36010" s="372">
        <v>0.0</v>
      </c>
      <c r="Z36010" s="372">
        <v>0.0</v>
      </c>
    </row>
    <row r="36011">
      <c r="Y36011" s="372">
        <v>0.0</v>
      </c>
      <c r="Z36011" s="372">
        <v>0.0</v>
      </c>
    </row>
    <row r="36012">
      <c r="Y36012" s="372">
        <v>0.0</v>
      </c>
      <c r="Z36012" s="372">
        <v>0.0</v>
      </c>
    </row>
    <row r="36013">
      <c r="Y36013" s="372">
        <v>0.0</v>
      </c>
      <c r="Z36013" s="372">
        <v>0.0</v>
      </c>
    </row>
    <row r="36014">
      <c r="Y36014" s="372">
        <v>0.0</v>
      </c>
      <c r="Z36014" s="372">
        <v>0.0</v>
      </c>
    </row>
    <row r="36015">
      <c r="Y36015" s="372">
        <v>0.0</v>
      </c>
      <c r="Z36015" s="372">
        <v>0.0</v>
      </c>
    </row>
    <row r="36016">
      <c r="Y36016" s="372">
        <v>0.0</v>
      </c>
      <c r="Z36016" s="372">
        <v>0.0</v>
      </c>
    </row>
    <row r="36017">
      <c r="Y36017" s="372">
        <v>0.0</v>
      </c>
      <c r="Z36017" s="372">
        <v>0.0</v>
      </c>
    </row>
    <row r="36018">
      <c r="Y36018" s="372">
        <v>0.0</v>
      </c>
      <c r="Z36018" s="372">
        <v>0.0</v>
      </c>
    </row>
    <row r="36019">
      <c r="Y36019" s="372">
        <v>0.0</v>
      </c>
      <c r="Z36019" s="372">
        <v>0.0</v>
      </c>
    </row>
    <row r="36020">
      <c r="Y36020" s="372">
        <v>0.0</v>
      </c>
      <c r="Z36020" s="372">
        <v>0.0</v>
      </c>
    </row>
    <row r="36021">
      <c r="Y36021" s="372">
        <v>0.0</v>
      </c>
      <c r="Z36021" s="372">
        <v>0.0</v>
      </c>
    </row>
    <row r="36022">
      <c r="Y36022" s="372">
        <v>0.0</v>
      </c>
      <c r="Z36022" s="372">
        <v>0.0</v>
      </c>
    </row>
    <row r="36023">
      <c r="Y36023" s="372">
        <v>0.0</v>
      </c>
      <c r="Z36023" s="372">
        <v>0.0</v>
      </c>
    </row>
    <row r="36024">
      <c r="Y36024" s="372">
        <v>0.0</v>
      </c>
      <c r="Z36024" s="372">
        <v>0.0</v>
      </c>
    </row>
    <row r="36025">
      <c r="Y36025" s="372">
        <v>0.0</v>
      </c>
      <c r="Z36025" s="372">
        <v>0.0</v>
      </c>
    </row>
    <row r="36026">
      <c r="Y36026" s="372">
        <v>0.0</v>
      </c>
      <c r="Z36026" s="372">
        <v>0.0</v>
      </c>
    </row>
    <row r="36027">
      <c r="Y36027" s="372">
        <v>0.0</v>
      </c>
      <c r="Z36027" s="372">
        <v>0.0</v>
      </c>
    </row>
    <row r="36028">
      <c r="Y36028" s="372">
        <v>0.0</v>
      </c>
      <c r="Z36028" s="372">
        <v>0.0</v>
      </c>
    </row>
    <row r="36029">
      <c r="Y36029" s="372">
        <v>0.0</v>
      </c>
      <c r="Z36029" s="372">
        <v>0.0</v>
      </c>
    </row>
    <row r="36030">
      <c r="Y36030" s="372">
        <v>0.0</v>
      </c>
      <c r="Z36030" s="372">
        <v>0.0</v>
      </c>
    </row>
    <row r="36031">
      <c r="Y36031" s="372">
        <v>0.0</v>
      </c>
      <c r="Z36031" s="372">
        <v>0.0</v>
      </c>
    </row>
    <row r="36032">
      <c r="Y36032" s="372">
        <v>0.0</v>
      </c>
      <c r="Z36032" s="372">
        <v>0.0</v>
      </c>
    </row>
    <row r="36033">
      <c r="Y36033" s="372">
        <v>0.0</v>
      </c>
      <c r="Z36033" s="372">
        <v>0.0</v>
      </c>
    </row>
    <row r="36034">
      <c r="Y36034" s="372">
        <v>0.0</v>
      </c>
      <c r="Z36034" s="372">
        <v>0.0</v>
      </c>
    </row>
    <row r="36035">
      <c r="Y36035" s="372">
        <v>0.0</v>
      </c>
      <c r="Z36035" s="372">
        <v>0.0</v>
      </c>
    </row>
    <row r="36036">
      <c r="Y36036" s="372">
        <v>0.0</v>
      </c>
      <c r="Z36036" s="372">
        <v>0.0</v>
      </c>
    </row>
    <row r="36037">
      <c r="Y36037" s="372">
        <v>0.0</v>
      </c>
      <c r="Z36037" s="372">
        <v>0.0</v>
      </c>
    </row>
    <row r="36038">
      <c r="Y36038" s="372">
        <v>0.0</v>
      </c>
      <c r="Z36038" s="372">
        <v>0.0</v>
      </c>
    </row>
    <row r="36039">
      <c r="Y36039" s="372">
        <v>0.0</v>
      </c>
      <c r="Z36039" s="372">
        <v>0.0</v>
      </c>
    </row>
    <row r="36040">
      <c r="Y36040" s="372">
        <v>0.0</v>
      </c>
      <c r="Z36040" s="372">
        <v>0.0</v>
      </c>
    </row>
    <row r="36041">
      <c r="Y36041" s="372">
        <v>0.0</v>
      </c>
      <c r="Z36041" s="372">
        <v>0.0</v>
      </c>
    </row>
    <row r="36042">
      <c r="Y36042" s="372">
        <v>0.0</v>
      </c>
      <c r="Z36042" s="372">
        <v>0.0</v>
      </c>
    </row>
    <row r="36043">
      <c r="Y36043" s="372">
        <v>0.0</v>
      </c>
      <c r="Z36043" s="372">
        <v>0.0</v>
      </c>
    </row>
    <row r="36044">
      <c r="Y36044" s="372">
        <v>0.0</v>
      </c>
      <c r="Z36044" s="372">
        <v>0.0</v>
      </c>
    </row>
    <row r="36045">
      <c r="Y36045" s="372">
        <v>0.0</v>
      </c>
      <c r="Z36045" s="372">
        <v>0.0</v>
      </c>
    </row>
    <row r="36046">
      <c r="Y36046" s="372">
        <v>0.0</v>
      </c>
      <c r="Z36046" s="372">
        <v>0.0</v>
      </c>
    </row>
    <row r="36047">
      <c r="Y36047" s="372">
        <v>0.0</v>
      </c>
      <c r="Z36047" s="372">
        <v>0.0</v>
      </c>
    </row>
    <row r="36048">
      <c r="Y36048" s="372">
        <v>0.0</v>
      </c>
      <c r="Z36048" s="372">
        <v>0.0</v>
      </c>
    </row>
    <row r="36049">
      <c r="Y36049" s="372">
        <v>0.0</v>
      </c>
      <c r="Z36049" s="372">
        <v>0.0</v>
      </c>
    </row>
    <row r="36050">
      <c r="Y36050" s="372">
        <v>0.0</v>
      </c>
      <c r="Z36050" s="372">
        <v>0.0</v>
      </c>
    </row>
    <row r="36051">
      <c r="Y36051" s="372">
        <v>0.0</v>
      </c>
      <c r="Z36051" s="372">
        <v>0.0</v>
      </c>
    </row>
    <row r="36052">
      <c r="Y36052" s="372">
        <v>0.0</v>
      </c>
      <c r="Z36052" s="372">
        <v>0.0</v>
      </c>
    </row>
    <row r="36053">
      <c r="Y36053" s="372">
        <v>0.0</v>
      </c>
      <c r="Z36053" s="372">
        <v>0.0</v>
      </c>
    </row>
    <row r="36054">
      <c r="Y36054" s="372">
        <v>0.0</v>
      </c>
      <c r="Z36054" s="372">
        <v>0.0</v>
      </c>
    </row>
    <row r="36055">
      <c r="Y36055" s="372">
        <v>0.0</v>
      </c>
      <c r="Z36055" s="372">
        <v>0.0</v>
      </c>
    </row>
    <row r="36056">
      <c r="Y36056" s="372">
        <v>0.0</v>
      </c>
      <c r="Z36056" s="372">
        <v>0.0</v>
      </c>
    </row>
    <row r="36057">
      <c r="Y36057" s="372">
        <v>0.0</v>
      </c>
      <c r="Z36057" s="372">
        <v>0.0</v>
      </c>
    </row>
    <row r="36058">
      <c r="Y36058" s="372">
        <v>0.0</v>
      </c>
      <c r="Z36058" s="372">
        <v>0.0</v>
      </c>
    </row>
    <row r="36059">
      <c r="Y36059" s="372">
        <v>0.0</v>
      </c>
      <c r="Z36059" s="372">
        <v>0.0</v>
      </c>
    </row>
    <row r="36060">
      <c r="Y36060" s="372">
        <v>0.0</v>
      </c>
      <c r="Z36060" s="372">
        <v>0.0</v>
      </c>
    </row>
    <row r="36061">
      <c r="Y36061" s="372">
        <v>0.0</v>
      </c>
      <c r="Z36061" s="372">
        <v>0.0</v>
      </c>
    </row>
    <row r="36062">
      <c r="Y36062" s="372">
        <v>0.0</v>
      </c>
      <c r="Z36062" s="372">
        <v>0.0</v>
      </c>
    </row>
    <row r="36063">
      <c r="Y36063" s="372">
        <v>0.0</v>
      </c>
      <c r="Z36063" s="372">
        <v>0.0</v>
      </c>
    </row>
    <row r="36064">
      <c r="Y36064" s="372">
        <v>0.0</v>
      </c>
      <c r="Z36064" s="372">
        <v>0.0</v>
      </c>
    </row>
    <row r="36065">
      <c r="Y36065" s="372">
        <v>0.0</v>
      </c>
      <c r="Z36065" s="372">
        <v>0.0</v>
      </c>
    </row>
    <row r="36066">
      <c r="Y36066" s="372">
        <v>0.0</v>
      </c>
      <c r="Z36066" s="372">
        <v>0.0</v>
      </c>
    </row>
    <row r="36067">
      <c r="Y36067" s="372">
        <v>0.0</v>
      </c>
      <c r="Z36067" s="372">
        <v>0.0</v>
      </c>
    </row>
    <row r="36068">
      <c r="Y36068" s="372">
        <v>0.0</v>
      </c>
      <c r="Z36068" s="372">
        <v>0.0</v>
      </c>
    </row>
    <row r="36069">
      <c r="Y36069" s="372">
        <v>0.0</v>
      </c>
      <c r="Z36069" s="372">
        <v>0.0</v>
      </c>
    </row>
    <row r="36070">
      <c r="Y36070" s="372">
        <v>0.0</v>
      </c>
      <c r="Z36070" s="372">
        <v>0.0</v>
      </c>
    </row>
    <row r="36071">
      <c r="Y36071" s="372">
        <v>0.0</v>
      </c>
      <c r="Z36071" s="372">
        <v>0.0</v>
      </c>
    </row>
    <row r="36072">
      <c r="Y36072" s="372">
        <v>0.0</v>
      </c>
      <c r="Z36072" s="372">
        <v>0.0</v>
      </c>
    </row>
    <row r="36073">
      <c r="Y36073" s="372">
        <v>0.0</v>
      </c>
      <c r="Z36073" s="372">
        <v>0.0</v>
      </c>
    </row>
    <row r="36074">
      <c r="Y36074" s="372">
        <v>0.0</v>
      </c>
      <c r="Z36074" s="372">
        <v>0.0</v>
      </c>
    </row>
    <row r="36075">
      <c r="Y36075" s="372">
        <v>0.0</v>
      </c>
      <c r="Z36075" s="372">
        <v>0.0</v>
      </c>
    </row>
    <row r="36076">
      <c r="Y36076" s="372">
        <v>0.0</v>
      </c>
      <c r="Z36076" s="372">
        <v>0.0</v>
      </c>
    </row>
    <row r="36077">
      <c r="Y36077" s="372">
        <v>0.0</v>
      </c>
      <c r="Z36077" s="372">
        <v>0.0</v>
      </c>
    </row>
    <row r="36078">
      <c r="Y36078" s="372">
        <v>0.0</v>
      </c>
      <c r="Z36078" s="372">
        <v>0.0</v>
      </c>
    </row>
    <row r="36079">
      <c r="Y36079" s="372">
        <v>0.0</v>
      </c>
      <c r="Z36079" s="372">
        <v>0.0</v>
      </c>
    </row>
    <row r="36080">
      <c r="Y36080" s="372">
        <v>0.0</v>
      </c>
      <c r="Z36080" s="372">
        <v>0.0</v>
      </c>
    </row>
    <row r="36081">
      <c r="Y36081" s="372">
        <v>0.0</v>
      </c>
      <c r="Z36081" s="372">
        <v>0.0</v>
      </c>
    </row>
    <row r="36082">
      <c r="Y36082" s="372">
        <v>0.0</v>
      </c>
      <c r="Z36082" s="372">
        <v>0.0</v>
      </c>
    </row>
    <row r="36083">
      <c r="Y36083" s="372">
        <v>0.0</v>
      </c>
      <c r="Z36083" s="372">
        <v>0.0</v>
      </c>
    </row>
    <row r="36084">
      <c r="Y36084" s="372">
        <v>0.0</v>
      </c>
      <c r="Z36084" s="372">
        <v>0.0</v>
      </c>
    </row>
    <row r="36085">
      <c r="Y36085" s="372">
        <v>0.0</v>
      </c>
      <c r="Z36085" s="372">
        <v>0.0</v>
      </c>
    </row>
    <row r="36086">
      <c r="Y36086" s="372">
        <v>0.0</v>
      </c>
      <c r="Z36086" s="372">
        <v>0.0</v>
      </c>
    </row>
    <row r="36087">
      <c r="Y36087" s="372">
        <v>0.0</v>
      </c>
      <c r="Z36087" s="372">
        <v>0.0</v>
      </c>
    </row>
    <row r="36088">
      <c r="Y36088" s="372">
        <v>0.0</v>
      </c>
      <c r="Z36088" s="372">
        <v>0.0</v>
      </c>
    </row>
    <row r="36089">
      <c r="Y36089" s="372">
        <v>0.0</v>
      </c>
      <c r="Z36089" s="372">
        <v>0.0</v>
      </c>
    </row>
    <row r="36090">
      <c r="Y36090" s="372">
        <v>0.0</v>
      </c>
      <c r="Z36090" s="372">
        <v>0.0</v>
      </c>
    </row>
    <row r="36091">
      <c r="Y36091" s="372">
        <v>0.0</v>
      </c>
      <c r="Z36091" s="372">
        <v>0.0</v>
      </c>
    </row>
    <row r="36092">
      <c r="Y36092" s="372">
        <v>0.0</v>
      </c>
      <c r="Z36092" s="372">
        <v>0.0</v>
      </c>
    </row>
    <row r="36093">
      <c r="Y36093" s="372">
        <v>0.0</v>
      </c>
      <c r="Z36093" s="372">
        <v>0.0</v>
      </c>
    </row>
    <row r="36094">
      <c r="Y36094" s="372">
        <v>0.0</v>
      </c>
      <c r="Z36094" s="372">
        <v>0.0</v>
      </c>
    </row>
    <row r="36095">
      <c r="Y36095" s="372">
        <v>0.0</v>
      </c>
      <c r="Z36095" s="372">
        <v>0.0</v>
      </c>
    </row>
    <row r="36096">
      <c r="Y36096" s="372">
        <v>0.0</v>
      </c>
      <c r="Z36096" s="372">
        <v>0.0</v>
      </c>
    </row>
    <row r="36097">
      <c r="Y36097" s="372">
        <v>0.0</v>
      </c>
      <c r="Z36097" s="372">
        <v>0.0</v>
      </c>
    </row>
    <row r="36098">
      <c r="Y36098" s="372">
        <v>0.0</v>
      </c>
      <c r="Z36098" s="372">
        <v>0.0</v>
      </c>
    </row>
    <row r="36099">
      <c r="Y36099" s="372">
        <v>0.0</v>
      </c>
      <c r="Z36099" s="372">
        <v>0.0</v>
      </c>
    </row>
    <row r="36100">
      <c r="Y36100" s="372">
        <v>0.0</v>
      </c>
      <c r="Z36100" s="372">
        <v>0.0</v>
      </c>
    </row>
    <row r="36101">
      <c r="Y36101" s="372">
        <v>0.0</v>
      </c>
      <c r="Z36101" s="372">
        <v>0.0</v>
      </c>
    </row>
    <row r="36102">
      <c r="Y36102" s="372">
        <v>0.0</v>
      </c>
      <c r="Z36102" s="372">
        <v>0.0</v>
      </c>
    </row>
    <row r="36103">
      <c r="Y36103" s="372">
        <v>0.0</v>
      </c>
      <c r="Z36103" s="372">
        <v>0.0</v>
      </c>
    </row>
    <row r="36104">
      <c r="Y36104" s="372">
        <v>0.0</v>
      </c>
      <c r="Z36104" s="372">
        <v>0.0</v>
      </c>
    </row>
    <row r="36105">
      <c r="Y36105" s="372">
        <v>0.0</v>
      </c>
      <c r="Z36105" s="372">
        <v>0.0</v>
      </c>
    </row>
    <row r="36106">
      <c r="Y36106" s="372">
        <v>0.0</v>
      </c>
      <c r="Z36106" s="372">
        <v>0.0</v>
      </c>
    </row>
    <row r="36107">
      <c r="Y36107" s="372">
        <v>0.0</v>
      </c>
      <c r="Z36107" s="372">
        <v>0.0</v>
      </c>
    </row>
    <row r="36108">
      <c r="Y36108" s="372">
        <v>0.0</v>
      </c>
      <c r="Z36108" s="372">
        <v>0.0</v>
      </c>
    </row>
    <row r="36109">
      <c r="Y36109" s="372">
        <v>0.0</v>
      </c>
      <c r="Z36109" s="372">
        <v>0.0</v>
      </c>
    </row>
    <row r="36110">
      <c r="Y36110" s="372">
        <v>0.0</v>
      </c>
      <c r="Z36110" s="372">
        <v>0.0</v>
      </c>
    </row>
    <row r="36111">
      <c r="Y36111" s="372">
        <v>0.0</v>
      </c>
      <c r="Z36111" s="372">
        <v>0.0</v>
      </c>
    </row>
    <row r="36112">
      <c r="Y36112" s="372">
        <v>0.0</v>
      </c>
      <c r="Z36112" s="372">
        <v>0.0</v>
      </c>
    </row>
    <row r="36113">
      <c r="Y36113" s="372">
        <v>0.0</v>
      </c>
      <c r="Z36113" s="372">
        <v>0.0</v>
      </c>
    </row>
    <row r="36114">
      <c r="Y36114" s="372">
        <v>0.0</v>
      </c>
      <c r="Z36114" s="372">
        <v>0.0</v>
      </c>
    </row>
    <row r="36115">
      <c r="Y36115" s="372">
        <v>0.0</v>
      </c>
      <c r="Z36115" s="372">
        <v>0.0</v>
      </c>
    </row>
    <row r="36116">
      <c r="Y36116" s="372">
        <v>0.0</v>
      </c>
      <c r="Z36116" s="372">
        <v>0.0</v>
      </c>
    </row>
    <row r="36117">
      <c r="Y36117" s="372">
        <v>0.0</v>
      </c>
      <c r="Z36117" s="372">
        <v>0.0</v>
      </c>
    </row>
    <row r="36118">
      <c r="Y36118" s="372">
        <v>0.0</v>
      </c>
      <c r="Z36118" s="372">
        <v>0.0</v>
      </c>
    </row>
    <row r="36119">
      <c r="Y36119" s="372">
        <v>0.0</v>
      </c>
      <c r="Z36119" s="372">
        <v>0.0</v>
      </c>
    </row>
    <row r="36120">
      <c r="Y36120" s="372">
        <v>0.0</v>
      </c>
      <c r="Z36120" s="372">
        <v>0.0</v>
      </c>
    </row>
    <row r="36121">
      <c r="Y36121" s="372">
        <v>0.0</v>
      </c>
      <c r="Z36121" s="372">
        <v>0.0</v>
      </c>
    </row>
    <row r="36122">
      <c r="Y36122" s="372">
        <v>0.0</v>
      </c>
      <c r="Z36122" s="372">
        <v>0.0</v>
      </c>
    </row>
    <row r="36123">
      <c r="Y36123" s="372">
        <v>0.0</v>
      </c>
      <c r="Z36123" s="372">
        <v>0.0</v>
      </c>
    </row>
    <row r="36124">
      <c r="Y36124" s="372">
        <v>0.0</v>
      </c>
      <c r="Z36124" s="372">
        <v>0.0</v>
      </c>
    </row>
    <row r="36125">
      <c r="Y36125" s="372">
        <v>0.0</v>
      </c>
      <c r="Z36125" s="372">
        <v>0.0</v>
      </c>
    </row>
    <row r="36126">
      <c r="Y36126" s="372">
        <v>0.0</v>
      </c>
      <c r="Z36126" s="372">
        <v>0.0</v>
      </c>
    </row>
    <row r="36127">
      <c r="Y36127" s="372">
        <v>0.0</v>
      </c>
      <c r="Z36127" s="372">
        <v>0.0</v>
      </c>
    </row>
    <row r="36128">
      <c r="Y36128" s="372">
        <v>0.0</v>
      </c>
      <c r="Z36128" s="372">
        <v>0.0</v>
      </c>
    </row>
    <row r="36129">
      <c r="Y36129" s="372">
        <v>0.0</v>
      </c>
      <c r="Z36129" s="372">
        <v>0.0</v>
      </c>
    </row>
    <row r="36130">
      <c r="Y36130" s="372">
        <v>0.0</v>
      </c>
      <c r="Z36130" s="372">
        <v>0.0</v>
      </c>
    </row>
    <row r="36131">
      <c r="Y36131" s="372">
        <v>0.0</v>
      </c>
      <c r="Z36131" s="372">
        <v>0.0</v>
      </c>
    </row>
    <row r="36132">
      <c r="Y36132" s="372">
        <v>0.0</v>
      </c>
      <c r="Z36132" s="372">
        <v>0.0</v>
      </c>
    </row>
    <row r="36133">
      <c r="Y36133" s="372">
        <v>0.0</v>
      </c>
      <c r="Z36133" s="372">
        <v>0.0</v>
      </c>
    </row>
    <row r="36134">
      <c r="Y36134" s="372">
        <v>0.0</v>
      </c>
      <c r="Z36134" s="372">
        <v>0.0</v>
      </c>
    </row>
    <row r="36135">
      <c r="Y36135" s="372">
        <v>0.0</v>
      </c>
      <c r="Z36135" s="372">
        <v>0.0</v>
      </c>
    </row>
    <row r="36136">
      <c r="Y36136" s="372">
        <v>0.0</v>
      </c>
      <c r="Z36136" s="372">
        <v>0.0</v>
      </c>
    </row>
    <row r="36137">
      <c r="Y36137" s="372">
        <v>0.0</v>
      </c>
      <c r="Z36137" s="372">
        <v>0.0</v>
      </c>
    </row>
    <row r="36138">
      <c r="Y36138" s="372">
        <v>0.0</v>
      </c>
      <c r="Z36138" s="372">
        <v>0.0</v>
      </c>
    </row>
    <row r="36139">
      <c r="Y36139" s="372">
        <v>0.0</v>
      </c>
      <c r="Z36139" s="372">
        <v>0.0</v>
      </c>
    </row>
    <row r="36140">
      <c r="Y36140" s="372">
        <v>0.0</v>
      </c>
      <c r="Z36140" s="372">
        <v>0.0</v>
      </c>
    </row>
    <row r="36141">
      <c r="Y36141" s="372">
        <v>0.0</v>
      </c>
      <c r="Z36141" s="372">
        <v>0.0</v>
      </c>
    </row>
    <row r="36142">
      <c r="Y36142" s="372">
        <v>0.0</v>
      </c>
      <c r="Z36142" s="372">
        <v>0.0</v>
      </c>
    </row>
    <row r="36143">
      <c r="Y36143" s="372">
        <v>0.0</v>
      </c>
      <c r="Z36143" s="372">
        <v>0.0</v>
      </c>
    </row>
    <row r="36144">
      <c r="Y36144" s="372">
        <v>0.0</v>
      </c>
      <c r="Z36144" s="372">
        <v>0.0</v>
      </c>
    </row>
    <row r="36145">
      <c r="Y36145" s="372">
        <v>0.0</v>
      </c>
      <c r="Z36145" s="372">
        <v>0.0</v>
      </c>
    </row>
    <row r="36146">
      <c r="Y36146" s="372">
        <v>0.0</v>
      </c>
      <c r="Z36146" s="372">
        <v>0.0</v>
      </c>
    </row>
    <row r="36147">
      <c r="Y36147" s="372">
        <v>0.0</v>
      </c>
      <c r="Z36147" s="372">
        <v>0.0</v>
      </c>
    </row>
    <row r="36148">
      <c r="Y36148" s="372">
        <v>0.0</v>
      </c>
      <c r="Z36148" s="372">
        <v>0.0</v>
      </c>
    </row>
    <row r="36149">
      <c r="Y36149" s="372">
        <v>0.0</v>
      </c>
      <c r="Z36149" s="372">
        <v>0.0</v>
      </c>
    </row>
    <row r="36150">
      <c r="Y36150" s="372">
        <v>0.0</v>
      </c>
      <c r="Z36150" s="372">
        <v>0.0</v>
      </c>
    </row>
    <row r="36151">
      <c r="Y36151" s="372">
        <v>0.0</v>
      </c>
      <c r="Z36151" s="372">
        <v>0.0</v>
      </c>
    </row>
    <row r="36152">
      <c r="Y36152" s="372">
        <v>0.0</v>
      </c>
      <c r="Z36152" s="372">
        <v>0.0</v>
      </c>
    </row>
    <row r="36153">
      <c r="Y36153" s="372">
        <v>0.0</v>
      </c>
      <c r="Z36153" s="372">
        <v>0.0</v>
      </c>
    </row>
    <row r="36154">
      <c r="Y36154" s="372">
        <v>0.0</v>
      </c>
      <c r="Z36154" s="372">
        <v>0.0</v>
      </c>
    </row>
    <row r="36155">
      <c r="Y36155" s="372">
        <v>0.0</v>
      </c>
      <c r="Z36155" s="372">
        <v>0.0</v>
      </c>
    </row>
    <row r="36156">
      <c r="Y36156" s="372">
        <v>0.0</v>
      </c>
      <c r="Z36156" s="372">
        <v>0.0</v>
      </c>
    </row>
    <row r="36157">
      <c r="Y36157" s="372">
        <v>0.0</v>
      </c>
      <c r="Z36157" s="372">
        <v>0.0</v>
      </c>
    </row>
    <row r="36158">
      <c r="Y36158" s="372">
        <v>0.0</v>
      </c>
      <c r="Z36158" s="372">
        <v>0.0</v>
      </c>
    </row>
    <row r="36159">
      <c r="Y36159" s="372">
        <v>0.0</v>
      </c>
      <c r="Z36159" s="372">
        <v>0.0</v>
      </c>
    </row>
    <row r="36160">
      <c r="Y36160" s="372">
        <v>0.0</v>
      </c>
      <c r="Z36160" s="372">
        <v>0.0</v>
      </c>
    </row>
    <row r="36161">
      <c r="Y36161" s="372">
        <v>0.0</v>
      </c>
      <c r="Z36161" s="372">
        <v>0.0</v>
      </c>
    </row>
    <row r="36162">
      <c r="Y36162" s="372">
        <v>0.0</v>
      </c>
      <c r="Z36162" s="372">
        <v>0.0</v>
      </c>
    </row>
    <row r="36163">
      <c r="Y36163" s="372">
        <v>0.0</v>
      </c>
      <c r="Z36163" s="372">
        <v>0.0</v>
      </c>
    </row>
    <row r="36164">
      <c r="Y36164" s="372">
        <v>0.0</v>
      </c>
      <c r="Z36164" s="372">
        <v>0.0</v>
      </c>
    </row>
    <row r="36165">
      <c r="Y36165" s="372">
        <v>0.0</v>
      </c>
      <c r="Z36165" s="372">
        <v>0.0</v>
      </c>
    </row>
    <row r="36166">
      <c r="Y36166" s="372">
        <v>0.0</v>
      </c>
      <c r="Z36166" s="372">
        <v>0.0</v>
      </c>
    </row>
    <row r="36167">
      <c r="Y36167" s="372">
        <v>0.0</v>
      </c>
      <c r="Z36167" s="372">
        <v>0.0</v>
      </c>
    </row>
    <row r="36168">
      <c r="Y36168" s="372">
        <v>0.0</v>
      </c>
      <c r="Z36168" s="372">
        <v>0.0</v>
      </c>
    </row>
    <row r="36169">
      <c r="Y36169" s="372">
        <v>0.0</v>
      </c>
      <c r="Z36169" s="372">
        <v>0.0</v>
      </c>
    </row>
    <row r="36170">
      <c r="Y36170" s="372">
        <v>0.0</v>
      </c>
      <c r="Z36170" s="372">
        <v>0.0</v>
      </c>
    </row>
    <row r="36171">
      <c r="Y36171" s="372">
        <v>0.0</v>
      </c>
      <c r="Z36171" s="372">
        <v>0.0</v>
      </c>
    </row>
    <row r="36172">
      <c r="Y36172" s="372">
        <v>0.0</v>
      </c>
      <c r="Z36172" s="372">
        <v>0.0</v>
      </c>
    </row>
    <row r="36173">
      <c r="Y36173" s="372">
        <v>0.0</v>
      </c>
      <c r="Z36173" s="372">
        <v>0.0</v>
      </c>
    </row>
    <row r="36174">
      <c r="Y36174" s="372">
        <v>0.0</v>
      </c>
      <c r="Z36174" s="372">
        <v>0.0</v>
      </c>
    </row>
    <row r="36175">
      <c r="Y36175" s="372">
        <v>0.0</v>
      </c>
      <c r="Z36175" s="372">
        <v>0.0</v>
      </c>
    </row>
    <row r="36176">
      <c r="Y36176" s="372">
        <v>0.0</v>
      </c>
      <c r="Z36176" s="372">
        <v>0.0</v>
      </c>
    </row>
    <row r="36177">
      <c r="Y36177" s="372">
        <v>0.0</v>
      </c>
      <c r="Z36177" s="372">
        <v>0.0</v>
      </c>
    </row>
    <row r="36178">
      <c r="Y36178" s="372">
        <v>0.0</v>
      </c>
      <c r="Z36178" s="372">
        <v>0.0</v>
      </c>
    </row>
    <row r="36179">
      <c r="Y36179" s="372">
        <v>0.0</v>
      </c>
      <c r="Z36179" s="372">
        <v>0.0</v>
      </c>
    </row>
    <row r="36180">
      <c r="Y36180" s="372">
        <v>0.0</v>
      </c>
      <c r="Z36180" s="372">
        <v>0.0</v>
      </c>
    </row>
    <row r="36181">
      <c r="Y36181" s="372">
        <v>0.0</v>
      </c>
      <c r="Z36181" s="372">
        <v>0.0</v>
      </c>
    </row>
    <row r="36182">
      <c r="Y36182" s="372">
        <v>0.0</v>
      </c>
      <c r="Z36182" s="372">
        <v>0.0</v>
      </c>
    </row>
    <row r="36183">
      <c r="Y36183" s="372">
        <v>0.0</v>
      </c>
      <c r="Z36183" s="372">
        <v>0.0</v>
      </c>
    </row>
    <row r="36184">
      <c r="Y36184" s="372">
        <v>0.0</v>
      </c>
      <c r="Z36184" s="372">
        <v>0.0</v>
      </c>
    </row>
    <row r="36185">
      <c r="Y36185" s="372">
        <v>0.0</v>
      </c>
      <c r="Z36185" s="372">
        <v>0.0</v>
      </c>
    </row>
    <row r="36186">
      <c r="Y36186" s="372">
        <v>0.0</v>
      </c>
      <c r="Z36186" s="372">
        <v>0.0</v>
      </c>
    </row>
    <row r="36187">
      <c r="Y36187" s="372">
        <v>0.0</v>
      </c>
      <c r="Z36187" s="372">
        <v>0.0</v>
      </c>
    </row>
    <row r="36188">
      <c r="Y36188" s="372">
        <v>0.0</v>
      </c>
      <c r="Z36188" s="372">
        <v>0.0</v>
      </c>
    </row>
    <row r="36189">
      <c r="Y36189" s="372">
        <v>0.0</v>
      </c>
      <c r="Z36189" s="372">
        <v>0.0</v>
      </c>
    </row>
    <row r="36190">
      <c r="Y36190" s="372">
        <v>0.0</v>
      </c>
      <c r="Z36190" s="372">
        <v>0.0</v>
      </c>
    </row>
    <row r="36191">
      <c r="Y36191" s="372">
        <v>0.0</v>
      </c>
      <c r="Z36191" s="372">
        <v>0.0</v>
      </c>
    </row>
    <row r="36192">
      <c r="Y36192" s="372">
        <v>0.0</v>
      </c>
      <c r="Z36192" s="372">
        <v>0.0</v>
      </c>
    </row>
    <row r="36193">
      <c r="Y36193" s="372">
        <v>0.0</v>
      </c>
      <c r="Z36193" s="372">
        <v>0.0</v>
      </c>
    </row>
    <row r="36194">
      <c r="Y36194" s="372">
        <v>0.0</v>
      </c>
      <c r="Z36194" s="372">
        <v>0.0</v>
      </c>
    </row>
    <row r="36195">
      <c r="Y36195" s="372">
        <v>0.0</v>
      </c>
      <c r="Z36195" s="372">
        <v>0.0</v>
      </c>
    </row>
    <row r="36196">
      <c r="Y36196" s="372">
        <v>0.0</v>
      </c>
      <c r="Z36196" s="372">
        <v>0.0</v>
      </c>
    </row>
    <row r="36197">
      <c r="Y36197" s="372">
        <v>0.0</v>
      </c>
      <c r="Z36197" s="372">
        <v>0.0</v>
      </c>
    </row>
    <row r="36198">
      <c r="Y36198" s="372">
        <v>0.0</v>
      </c>
      <c r="Z36198" s="372">
        <v>0.0</v>
      </c>
    </row>
    <row r="36199">
      <c r="Y36199" s="372">
        <v>0.0</v>
      </c>
      <c r="Z36199" s="372">
        <v>0.0</v>
      </c>
    </row>
    <row r="36200">
      <c r="Y36200" s="372">
        <v>0.0</v>
      </c>
      <c r="Z36200" s="372">
        <v>0.0</v>
      </c>
    </row>
    <row r="36201">
      <c r="Y36201" s="372">
        <v>0.0</v>
      </c>
      <c r="Z36201" s="372">
        <v>0.0</v>
      </c>
    </row>
    <row r="36202">
      <c r="Y36202" s="372">
        <v>0.0</v>
      </c>
      <c r="Z36202" s="372">
        <v>0.0</v>
      </c>
    </row>
    <row r="36203">
      <c r="Y36203" s="372">
        <v>0.0</v>
      </c>
      <c r="Z36203" s="372">
        <v>0.0</v>
      </c>
    </row>
    <row r="36204">
      <c r="Y36204" s="372">
        <v>0.0</v>
      </c>
      <c r="Z36204" s="372">
        <v>0.0</v>
      </c>
    </row>
    <row r="36205">
      <c r="Y36205" s="372">
        <v>0.0</v>
      </c>
      <c r="Z36205" s="372">
        <v>0.0</v>
      </c>
    </row>
    <row r="36206">
      <c r="Y36206" s="372">
        <v>0.0</v>
      </c>
      <c r="Z36206" s="372">
        <v>0.0</v>
      </c>
    </row>
    <row r="36207">
      <c r="Y36207" s="372">
        <v>0.0</v>
      </c>
      <c r="Z36207" s="372">
        <v>0.0</v>
      </c>
    </row>
    <row r="36208">
      <c r="Y36208" s="372">
        <v>0.0</v>
      </c>
      <c r="Z36208" s="372">
        <v>0.0</v>
      </c>
    </row>
    <row r="36209">
      <c r="Y36209" s="372">
        <v>0.0</v>
      </c>
      <c r="Z36209" s="372">
        <v>0.0</v>
      </c>
    </row>
    <row r="36210">
      <c r="Y36210" s="372">
        <v>0.0</v>
      </c>
      <c r="Z36210" s="372">
        <v>0.0</v>
      </c>
    </row>
    <row r="36211">
      <c r="Y36211" s="372">
        <v>0.0</v>
      </c>
      <c r="Z36211" s="372">
        <v>0.0</v>
      </c>
    </row>
    <row r="36212">
      <c r="Y36212" s="372">
        <v>0.0</v>
      </c>
      <c r="Z36212" s="372">
        <v>0.0</v>
      </c>
    </row>
    <row r="36213">
      <c r="Y36213" s="372">
        <v>0.0</v>
      </c>
      <c r="Z36213" s="372">
        <v>0.0</v>
      </c>
    </row>
    <row r="36214">
      <c r="Y36214" s="372">
        <v>0.0</v>
      </c>
      <c r="Z36214" s="372">
        <v>0.0</v>
      </c>
    </row>
    <row r="36215">
      <c r="Y36215" s="372">
        <v>0.0</v>
      </c>
      <c r="Z36215" s="372">
        <v>0.0</v>
      </c>
    </row>
    <row r="36216">
      <c r="Y36216" s="372">
        <v>0.0</v>
      </c>
      <c r="Z36216" s="372">
        <v>0.0</v>
      </c>
    </row>
    <row r="36217">
      <c r="Y36217" s="372">
        <v>0.0</v>
      </c>
      <c r="Z36217" s="372">
        <v>0.0</v>
      </c>
    </row>
    <row r="36218">
      <c r="Y36218" s="372">
        <v>0.0</v>
      </c>
      <c r="Z36218" s="372">
        <v>0.0</v>
      </c>
    </row>
    <row r="36219">
      <c r="Y36219" s="372">
        <v>0.0</v>
      </c>
      <c r="Z36219" s="372">
        <v>0.0</v>
      </c>
    </row>
    <row r="36220">
      <c r="Y36220" s="372">
        <v>0.0</v>
      </c>
      <c r="Z36220" s="372">
        <v>0.0</v>
      </c>
    </row>
    <row r="36221">
      <c r="Y36221" s="372">
        <v>0.0</v>
      </c>
      <c r="Z36221" s="372">
        <v>0.0</v>
      </c>
    </row>
    <row r="36222">
      <c r="Y36222" s="372">
        <v>0.0</v>
      </c>
      <c r="Z36222" s="372">
        <v>0.0</v>
      </c>
    </row>
    <row r="36223">
      <c r="Y36223" s="372">
        <v>0.0</v>
      </c>
      <c r="Z36223" s="372">
        <v>0.0</v>
      </c>
    </row>
    <row r="36224">
      <c r="Y36224" s="372">
        <v>0.0</v>
      </c>
      <c r="Z36224" s="372">
        <v>0.0</v>
      </c>
    </row>
    <row r="36225">
      <c r="Y36225" s="372">
        <v>0.0</v>
      </c>
      <c r="Z36225" s="372">
        <v>0.0</v>
      </c>
    </row>
    <row r="36226">
      <c r="Y36226" s="372">
        <v>0.0</v>
      </c>
      <c r="Z36226" s="372">
        <v>0.0</v>
      </c>
    </row>
    <row r="36227">
      <c r="Y36227" s="372">
        <v>0.0</v>
      </c>
      <c r="Z36227" s="372">
        <v>0.0</v>
      </c>
    </row>
    <row r="36228">
      <c r="Y36228" s="372">
        <v>0.0</v>
      </c>
      <c r="Z36228" s="372">
        <v>0.0</v>
      </c>
    </row>
    <row r="36229">
      <c r="Y36229" s="372">
        <v>0.0</v>
      </c>
      <c r="Z36229" s="372">
        <v>0.0</v>
      </c>
    </row>
    <row r="36230">
      <c r="Y36230" s="372">
        <v>0.0</v>
      </c>
      <c r="Z36230" s="372">
        <v>0.0</v>
      </c>
    </row>
    <row r="36231">
      <c r="Y36231" s="372">
        <v>0.0</v>
      </c>
      <c r="Z36231" s="372">
        <v>0.0</v>
      </c>
    </row>
    <row r="36232">
      <c r="Y36232" s="372">
        <v>0.0</v>
      </c>
      <c r="Z36232" s="372">
        <v>0.0</v>
      </c>
    </row>
    <row r="36233">
      <c r="Y36233" s="372">
        <v>0.0</v>
      </c>
      <c r="Z36233" s="372">
        <v>0.0</v>
      </c>
    </row>
    <row r="36234">
      <c r="Y36234" s="372">
        <v>0.0</v>
      </c>
      <c r="Z36234" s="372">
        <v>0.0</v>
      </c>
    </row>
    <row r="36235">
      <c r="Y36235" s="372">
        <v>0.0</v>
      </c>
      <c r="Z36235" s="372">
        <v>0.0</v>
      </c>
    </row>
    <row r="36236">
      <c r="Y36236" s="372">
        <v>0.0</v>
      </c>
      <c r="Z36236" s="372">
        <v>0.0</v>
      </c>
    </row>
    <row r="36237">
      <c r="Y36237" s="372">
        <v>0.0</v>
      </c>
      <c r="Z36237" s="372">
        <v>0.0</v>
      </c>
    </row>
    <row r="36238">
      <c r="Y36238" s="372">
        <v>0.0</v>
      </c>
      <c r="Z36238" s="372">
        <v>0.0</v>
      </c>
    </row>
    <row r="36239">
      <c r="Y36239" s="372">
        <v>0.0</v>
      </c>
      <c r="Z36239" s="372">
        <v>0.0</v>
      </c>
    </row>
    <row r="36240">
      <c r="Y36240" s="372">
        <v>0.0</v>
      </c>
      <c r="Z36240" s="372">
        <v>0.0</v>
      </c>
    </row>
    <row r="36241">
      <c r="Y36241" s="372">
        <v>0.0</v>
      </c>
      <c r="Z36241" s="372">
        <v>0.0</v>
      </c>
    </row>
    <row r="36242">
      <c r="Y36242" s="372">
        <v>0.0</v>
      </c>
      <c r="Z36242" s="372">
        <v>0.0</v>
      </c>
    </row>
    <row r="36243">
      <c r="Y36243" s="372">
        <v>0.0</v>
      </c>
      <c r="Z36243" s="372">
        <v>0.0</v>
      </c>
    </row>
    <row r="36244">
      <c r="Y36244" s="372">
        <v>0.0</v>
      </c>
      <c r="Z36244" s="372">
        <v>0.0</v>
      </c>
    </row>
    <row r="36245">
      <c r="Y36245" s="372">
        <v>0.0</v>
      </c>
      <c r="Z36245" s="372">
        <v>0.0</v>
      </c>
    </row>
    <row r="36246">
      <c r="Y36246" s="372">
        <v>0.0</v>
      </c>
      <c r="Z36246" s="372">
        <v>0.0</v>
      </c>
    </row>
    <row r="36247">
      <c r="Y36247" s="372">
        <v>0.0</v>
      </c>
      <c r="Z36247" s="372">
        <v>0.0</v>
      </c>
    </row>
    <row r="36248">
      <c r="Y36248" s="372">
        <v>0.0</v>
      </c>
      <c r="Z36248" s="372">
        <v>0.0</v>
      </c>
    </row>
    <row r="36249">
      <c r="Y36249" s="372">
        <v>0.0</v>
      </c>
      <c r="Z36249" s="372">
        <v>0.0</v>
      </c>
    </row>
    <row r="36250">
      <c r="Y36250" s="372">
        <v>0.0</v>
      </c>
      <c r="Z36250" s="372">
        <v>0.0</v>
      </c>
    </row>
    <row r="36251">
      <c r="Y36251" s="372">
        <v>0.0</v>
      </c>
      <c r="Z36251" s="372">
        <v>0.0</v>
      </c>
    </row>
    <row r="36252">
      <c r="Y36252" s="372">
        <v>0.0</v>
      </c>
      <c r="Z36252" s="372">
        <v>0.0</v>
      </c>
    </row>
    <row r="36253">
      <c r="Y36253" s="372">
        <v>0.0</v>
      </c>
      <c r="Z36253" s="372">
        <v>0.0</v>
      </c>
    </row>
    <row r="36254">
      <c r="Y36254" s="372">
        <v>0.0</v>
      </c>
      <c r="Z36254" s="372">
        <v>0.0</v>
      </c>
    </row>
    <row r="36255">
      <c r="Y36255" s="372">
        <v>0.0</v>
      </c>
      <c r="Z36255" s="372">
        <v>0.0</v>
      </c>
    </row>
    <row r="36256">
      <c r="Y36256" s="372">
        <v>0.0</v>
      </c>
      <c r="Z36256" s="372">
        <v>0.0</v>
      </c>
    </row>
    <row r="36257">
      <c r="Y36257" s="372">
        <v>0.0</v>
      </c>
      <c r="Z36257" s="372">
        <v>0.0</v>
      </c>
    </row>
    <row r="36258">
      <c r="Y36258" s="372">
        <v>0.0</v>
      </c>
      <c r="Z36258" s="372">
        <v>0.0</v>
      </c>
    </row>
    <row r="36259">
      <c r="Y36259" s="372">
        <v>0.0</v>
      </c>
      <c r="Z36259" s="372">
        <v>0.0</v>
      </c>
    </row>
    <row r="36260">
      <c r="Y36260" s="372">
        <v>0.0</v>
      </c>
      <c r="Z36260" s="372">
        <v>0.0</v>
      </c>
    </row>
    <row r="36261">
      <c r="Y36261" s="372">
        <v>0.0</v>
      </c>
      <c r="Z36261" s="372">
        <v>0.0</v>
      </c>
    </row>
    <row r="36262">
      <c r="Y36262" s="372">
        <v>0.0</v>
      </c>
      <c r="Z36262" s="372">
        <v>0.0</v>
      </c>
    </row>
    <row r="36263">
      <c r="Y36263" s="372">
        <v>0.0</v>
      </c>
      <c r="Z36263" s="372">
        <v>0.0</v>
      </c>
    </row>
    <row r="36264">
      <c r="Y36264" s="372">
        <v>0.0</v>
      </c>
      <c r="Z36264" s="372">
        <v>0.0</v>
      </c>
    </row>
    <row r="36265">
      <c r="Y36265" s="372">
        <v>0.0</v>
      </c>
      <c r="Z36265" s="372">
        <v>0.0</v>
      </c>
    </row>
    <row r="36266">
      <c r="Y36266" s="372">
        <v>0.0</v>
      </c>
      <c r="Z36266" s="372">
        <v>0.0</v>
      </c>
    </row>
    <row r="36267">
      <c r="Y36267" s="372">
        <v>0.0</v>
      </c>
      <c r="Z36267" s="372">
        <v>0.0</v>
      </c>
    </row>
    <row r="36268">
      <c r="Y36268" s="372">
        <v>0.0</v>
      </c>
      <c r="Z36268" s="372">
        <v>0.0</v>
      </c>
    </row>
    <row r="36269">
      <c r="Y36269" s="372">
        <v>0.0</v>
      </c>
      <c r="Z36269" s="372">
        <v>0.0</v>
      </c>
    </row>
    <row r="36270">
      <c r="Y36270" s="372">
        <v>0.0</v>
      </c>
      <c r="Z36270" s="372">
        <v>0.0</v>
      </c>
    </row>
    <row r="36271">
      <c r="Y36271" s="372">
        <v>0.0</v>
      </c>
      <c r="Z36271" s="372">
        <v>0.0</v>
      </c>
    </row>
    <row r="36272">
      <c r="Y36272" s="372">
        <v>0.0</v>
      </c>
      <c r="Z36272" s="372">
        <v>0.0</v>
      </c>
    </row>
    <row r="36273">
      <c r="Y36273" s="372">
        <v>0.0</v>
      </c>
      <c r="Z36273" s="372">
        <v>0.0</v>
      </c>
    </row>
    <row r="36274">
      <c r="Y36274" s="372">
        <v>0.0</v>
      </c>
      <c r="Z36274" s="372">
        <v>0.0</v>
      </c>
    </row>
    <row r="36275">
      <c r="Y36275" s="372">
        <v>0.0</v>
      </c>
      <c r="Z36275" s="372">
        <v>0.0</v>
      </c>
    </row>
    <row r="36276">
      <c r="Y36276" s="372">
        <v>0.0</v>
      </c>
      <c r="Z36276" s="372">
        <v>0.0</v>
      </c>
    </row>
    <row r="36277">
      <c r="Y36277" s="372">
        <v>0.0</v>
      </c>
      <c r="Z36277" s="372">
        <v>0.0</v>
      </c>
    </row>
    <row r="36278">
      <c r="Y36278" s="372">
        <v>0.0</v>
      </c>
      <c r="Z36278" s="372">
        <v>0.0</v>
      </c>
    </row>
    <row r="36279">
      <c r="Y36279" s="372">
        <v>0.0</v>
      </c>
      <c r="Z36279" s="372">
        <v>0.0</v>
      </c>
    </row>
    <row r="36280">
      <c r="Y36280" s="372">
        <v>0.0</v>
      </c>
      <c r="Z36280" s="372">
        <v>0.0</v>
      </c>
    </row>
    <row r="36281">
      <c r="Y36281" s="372">
        <v>0.0</v>
      </c>
      <c r="Z36281" s="372">
        <v>0.0</v>
      </c>
    </row>
    <row r="36282">
      <c r="Y36282" s="372">
        <v>0.0</v>
      </c>
      <c r="Z36282" s="372">
        <v>0.0</v>
      </c>
    </row>
    <row r="36283">
      <c r="Y36283" s="372">
        <v>0.0</v>
      </c>
      <c r="Z36283" s="372">
        <v>0.0</v>
      </c>
    </row>
    <row r="36284">
      <c r="Y36284" s="372">
        <v>0.0</v>
      </c>
      <c r="Z36284" s="372">
        <v>0.0</v>
      </c>
    </row>
    <row r="36285">
      <c r="Y36285" s="372">
        <v>0.0</v>
      </c>
      <c r="Z36285" s="372">
        <v>0.0</v>
      </c>
    </row>
    <row r="36286">
      <c r="Y36286" s="372">
        <v>0.0</v>
      </c>
      <c r="Z36286" s="372">
        <v>0.0</v>
      </c>
    </row>
    <row r="36287">
      <c r="Y36287" s="372">
        <v>0.0</v>
      </c>
      <c r="Z36287" s="372">
        <v>0.0</v>
      </c>
    </row>
    <row r="36288">
      <c r="Y36288" s="372">
        <v>0.0</v>
      </c>
      <c r="Z36288" s="372">
        <v>0.0</v>
      </c>
    </row>
    <row r="36289">
      <c r="Y36289" s="372">
        <v>0.0</v>
      </c>
      <c r="Z36289" s="372">
        <v>0.0</v>
      </c>
    </row>
    <row r="36290">
      <c r="Y36290" s="372">
        <v>0.0</v>
      </c>
      <c r="Z36290" s="372">
        <v>0.0</v>
      </c>
    </row>
    <row r="36291">
      <c r="Y36291" s="372">
        <v>0.0</v>
      </c>
      <c r="Z36291" s="372">
        <v>0.0</v>
      </c>
    </row>
    <row r="36292">
      <c r="Y36292" s="372">
        <v>0.0</v>
      </c>
      <c r="Z36292" s="372">
        <v>0.0</v>
      </c>
    </row>
    <row r="36293">
      <c r="Y36293" s="372">
        <v>0.0</v>
      </c>
      <c r="Z36293" s="372">
        <v>0.0</v>
      </c>
    </row>
    <row r="36294">
      <c r="Y36294" s="372">
        <v>0.0</v>
      </c>
      <c r="Z36294" s="372">
        <v>0.0</v>
      </c>
    </row>
    <row r="36295">
      <c r="Y36295" s="372">
        <v>0.0</v>
      </c>
      <c r="Z36295" s="372">
        <v>0.0</v>
      </c>
    </row>
    <row r="36296">
      <c r="Y36296" s="372">
        <v>0.0</v>
      </c>
      <c r="Z36296" s="372">
        <v>0.0</v>
      </c>
    </row>
    <row r="36297">
      <c r="Y36297" s="372">
        <v>0.0</v>
      </c>
      <c r="Z36297" s="372">
        <v>0.0</v>
      </c>
    </row>
    <row r="36298">
      <c r="Y36298" s="372">
        <v>0.0</v>
      </c>
      <c r="Z36298" s="372">
        <v>0.0</v>
      </c>
    </row>
    <row r="36299">
      <c r="Y36299" s="372">
        <v>0.0</v>
      </c>
      <c r="Z36299" s="372">
        <v>0.0</v>
      </c>
    </row>
    <row r="36300">
      <c r="Y36300" s="372">
        <v>0.0</v>
      </c>
      <c r="Z36300" s="372">
        <v>0.0</v>
      </c>
    </row>
    <row r="36301">
      <c r="Y36301" s="372">
        <v>0.0</v>
      </c>
      <c r="Z36301" s="372">
        <v>0.0</v>
      </c>
    </row>
    <row r="36302">
      <c r="Y36302" s="372">
        <v>0.0</v>
      </c>
      <c r="Z36302" s="372">
        <v>0.0</v>
      </c>
    </row>
    <row r="36303">
      <c r="Y36303" s="372">
        <v>0.0</v>
      </c>
      <c r="Z36303" s="372">
        <v>0.0</v>
      </c>
    </row>
    <row r="36304">
      <c r="Y36304" s="372">
        <v>0.0</v>
      </c>
      <c r="Z36304" s="372">
        <v>0.0</v>
      </c>
    </row>
    <row r="36305">
      <c r="Y36305" s="372">
        <v>0.0</v>
      </c>
      <c r="Z36305" s="372">
        <v>0.0</v>
      </c>
    </row>
    <row r="36306">
      <c r="Y36306" s="372">
        <v>0.0</v>
      </c>
      <c r="Z36306" s="372">
        <v>0.0</v>
      </c>
    </row>
    <row r="36307">
      <c r="Y36307" s="372">
        <v>0.0</v>
      </c>
      <c r="Z36307" s="372">
        <v>0.0</v>
      </c>
    </row>
    <row r="36308">
      <c r="Y36308" s="372">
        <v>0.0</v>
      </c>
      <c r="Z36308" s="372">
        <v>0.0</v>
      </c>
    </row>
    <row r="36309">
      <c r="Y36309" s="372">
        <v>0.0</v>
      </c>
      <c r="Z36309" s="372">
        <v>0.0</v>
      </c>
    </row>
    <row r="36310">
      <c r="Y36310" s="372">
        <v>0.0</v>
      </c>
      <c r="Z36310" s="372">
        <v>0.0</v>
      </c>
    </row>
    <row r="36311">
      <c r="Y36311" s="372">
        <v>0.0</v>
      </c>
      <c r="Z36311" s="372">
        <v>0.0</v>
      </c>
    </row>
    <row r="36312">
      <c r="Y36312" s="372">
        <v>0.0</v>
      </c>
      <c r="Z36312" s="372">
        <v>0.0</v>
      </c>
    </row>
    <row r="36313">
      <c r="Y36313" s="372">
        <v>0.0</v>
      </c>
      <c r="Z36313" s="372">
        <v>0.0</v>
      </c>
    </row>
    <row r="36314">
      <c r="Y36314" s="372">
        <v>0.0</v>
      </c>
      <c r="Z36314" s="372">
        <v>0.0</v>
      </c>
    </row>
    <row r="36315">
      <c r="Y36315" s="372">
        <v>0.0</v>
      </c>
      <c r="Z36315" s="372">
        <v>0.0</v>
      </c>
    </row>
    <row r="36316">
      <c r="Y36316" s="372">
        <v>0.0</v>
      </c>
      <c r="Z36316" s="372">
        <v>0.0</v>
      </c>
    </row>
    <row r="36317">
      <c r="Y36317" s="372">
        <v>0.0</v>
      </c>
      <c r="Z36317" s="372">
        <v>0.0</v>
      </c>
    </row>
    <row r="36318">
      <c r="Y36318" s="372">
        <v>0.0</v>
      </c>
      <c r="Z36318" s="372">
        <v>0.0</v>
      </c>
    </row>
    <row r="36319">
      <c r="Y36319" s="372">
        <v>0.0</v>
      </c>
      <c r="Z36319" s="372">
        <v>0.0</v>
      </c>
    </row>
    <row r="36320">
      <c r="Y36320" s="372">
        <v>0.0</v>
      </c>
      <c r="Z36320" s="372">
        <v>0.0</v>
      </c>
    </row>
    <row r="36321">
      <c r="Y36321" s="372">
        <v>0.0</v>
      </c>
      <c r="Z36321" s="372">
        <v>0.0</v>
      </c>
    </row>
    <row r="36322">
      <c r="Y36322" s="372">
        <v>0.0</v>
      </c>
      <c r="Z36322" s="372">
        <v>0.0</v>
      </c>
    </row>
    <row r="36323">
      <c r="Y36323" s="372">
        <v>0.0</v>
      </c>
      <c r="Z36323" s="372">
        <v>0.0</v>
      </c>
    </row>
    <row r="36324">
      <c r="Y36324" s="372">
        <v>0.0</v>
      </c>
      <c r="Z36324" s="372">
        <v>0.0</v>
      </c>
    </row>
    <row r="36325">
      <c r="Y36325" s="372">
        <v>0.0</v>
      </c>
      <c r="Z36325" s="372">
        <v>0.0</v>
      </c>
    </row>
    <row r="36326">
      <c r="Y36326" s="372">
        <v>0.0</v>
      </c>
      <c r="Z36326" s="372">
        <v>0.0</v>
      </c>
    </row>
    <row r="36327">
      <c r="Y36327" s="372">
        <v>0.0</v>
      </c>
      <c r="Z36327" s="372">
        <v>0.0</v>
      </c>
    </row>
    <row r="36328">
      <c r="Y36328" s="372">
        <v>0.0</v>
      </c>
      <c r="Z36328" s="372">
        <v>0.0</v>
      </c>
    </row>
    <row r="36329">
      <c r="Y36329" s="372">
        <v>0.0</v>
      </c>
      <c r="Z36329" s="372">
        <v>0.0</v>
      </c>
    </row>
    <row r="36330">
      <c r="Y36330" s="372">
        <v>0.0</v>
      </c>
      <c r="Z36330" s="372">
        <v>0.0</v>
      </c>
    </row>
    <row r="36331">
      <c r="Y36331" s="372">
        <v>0.0</v>
      </c>
      <c r="Z36331" s="372">
        <v>0.0</v>
      </c>
    </row>
    <row r="36332">
      <c r="Y36332" s="372">
        <v>0.0</v>
      </c>
      <c r="Z36332" s="372">
        <v>0.0</v>
      </c>
    </row>
    <row r="36333">
      <c r="Y36333" s="372">
        <v>0.0</v>
      </c>
      <c r="Z36333" s="372">
        <v>0.0</v>
      </c>
    </row>
    <row r="36334">
      <c r="Y36334" s="372">
        <v>0.0</v>
      </c>
      <c r="Z36334" s="372">
        <v>0.0</v>
      </c>
    </row>
    <row r="36335">
      <c r="Y36335" s="372">
        <v>0.0</v>
      </c>
      <c r="Z36335" s="372">
        <v>0.0</v>
      </c>
    </row>
    <row r="36336">
      <c r="Y36336" s="372">
        <v>0.0</v>
      </c>
      <c r="Z36336" s="372">
        <v>0.0</v>
      </c>
    </row>
    <row r="36337">
      <c r="Y36337" s="372">
        <v>0.0</v>
      </c>
      <c r="Z36337" s="372">
        <v>0.0</v>
      </c>
    </row>
    <row r="36338">
      <c r="Y36338" s="372">
        <v>0.0</v>
      </c>
      <c r="Z36338" s="372">
        <v>0.0</v>
      </c>
    </row>
    <row r="36339">
      <c r="Y36339" s="372">
        <v>0.0</v>
      </c>
      <c r="Z36339" s="372">
        <v>0.0</v>
      </c>
    </row>
    <row r="36340">
      <c r="Y36340" s="372">
        <v>0.0</v>
      </c>
      <c r="Z36340" s="372">
        <v>0.0</v>
      </c>
    </row>
    <row r="36341">
      <c r="Y36341" s="372">
        <v>0.0</v>
      </c>
      <c r="Z36341" s="372">
        <v>0.0</v>
      </c>
    </row>
    <row r="36342">
      <c r="Y36342" s="372">
        <v>0.0</v>
      </c>
      <c r="Z36342" s="372">
        <v>0.0</v>
      </c>
    </row>
    <row r="36343">
      <c r="Y36343" s="372">
        <v>0.0</v>
      </c>
      <c r="Z36343" s="372">
        <v>0.0</v>
      </c>
    </row>
    <row r="36344">
      <c r="Y36344" s="372">
        <v>0.0</v>
      </c>
      <c r="Z36344" s="372">
        <v>0.0</v>
      </c>
    </row>
    <row r="36345">
      <c r="Y36345" s="372">
        <v>0.0</v>
      </c>
      <c r="Z36345" s="372">
        <v>0.0</v>
      </c>
    </row>
    <row r="36346">
      <c r="Y36346" s="372">
        <v>0.0</v>
      </c>
      <c r="Z36346" s="372">
        <v>0.0</v>
      </c>
    </row>
    <row r="36347">
      <c r="Y36347" s="372">
        <v>0.0</v>
      </c>
      <c r="Z36347" s="372">
        <v>0.0</v>
      </c>
    </row>
    <row r="36348">
      <c r="Y36348" s="372">
        <v>0.0</v>
      </c>
      <c r="Z36348" s="372">
        <v>0.0</v>
      </c>
    </row>
    <row r="36349">
      <c r="Y36349" s="372">
        <v>0.0</v>
      </c>
      <c r="Z36349" s="372">
        <v>0.0</v>
      </c>
    </row>
    <row r="36350">
      <c r="Y36350" s="372">
        <v>0.0</v>
      </c>
      <c r="Z36350" s="372">
        <v>0.0</v>
      </c>
    </row>
    <row r="36351">
      <c r="Y36351" s="372">
        <v>0.0</v>
      </c>
      <c r="Z36351" s="372">
        <v>0.0</v>
      </c>
    </row>
    <row r="36352">
      <c r="Y36352" s="372">
        <v>0.0</v>
      </c>
      <c r="Z36352" s="372">
        <v>0.0</v>
      </c>
    </row>
    <row r="36353">
      <c r="Y36353" s="372">
        <v>0.0</v>
      </c>
      <c r="Z36353" s="372">
        <v>0.0</v>
      </c>
    </row>
    <row r="36354">
      <c r="Y36354" s="372">
        <v>0.0</v>
      </c>
      <c r="Z36354" s="372">
        <v>0.0</v>
      </c>
    </row>
    <row r="36355">
      <c r="Y36355" s="372">
        <v>0.0</v>
      </c>
      <c r="Z36355" s="372">
        <v>0.0</v>
      </c>
    </row>
    <row r="36356">
      <c r="Y36356" s="372">
        <v>0.0</v>
      </c>
      <c r="Z36356" s="372">
        <v>0.0</v>
      </c>
    </row>
    <row r="36357">
      <c r="Y36357" s="372">
        <v>0.0</v>
      </c>
      <c r="Z36357" s="372">
        <v>0.0</v>
      </c>
    </row>
    <row r="36358">
      <c r="Y36358" s="372">
        <v>0.0</v>
      </c>
      <c r="Z36358" s="372">
        <v>0.0</v>
      </c>
    </row>
    <row r="36359">
      <c r="Y36359" s="372">
        <v>0.0</v>
      </c>
      <c r="Z36359" s="372">
        <v>0.0</v>
      </c>
    </row>
    <row r="36360">
      <c r="Y36360" s="372">
        <v>0.0</v>
      </c>
      <c r="Z36360" s="372">
        <v>0.0</v>
      </c>
    </row>
    <row r="36361">
      <c r="Y36361" s="372">
        <v>0.0</v>
      </c>
      <c r="Z36361" s="372">
        <v>0.0</v>
      </c>
    </row>
    <row r="36362">
      <c r="Y36362" s="372">
        <v>0.0</v>
      </c>
      <c r="Z36362" s="372">
        <v>0.0</v>
      </c>
    </row>
    <row r="36363">
      <c r="Y36363" s="372">
        <v>0.0</v>
      </c>
      <c r="Z36363" s="372">
        <v>0.0</v>
      </c>
    </row>
    <row r="36364">
      <c r="Y36364" s="372">
        <v>0.0</v>
      </c>
      <c r="Z36364" s="372">
        <v>0.0</v>
      </c>
    </row>
    <row r="36365">
      <c r="Y36365" s="372">
        <v>0.0</v>
      </c>
      <c r="Z36365" s="372">
        <v>0.0</v>
      </c>
    </row>
    <row r="36366">
      <c r="Y36366" s="372">
        <v>0.0</v>
      </c>
      <c r="Z36366" s="372">
        <v>0.0</v>
      </c>
    </row>
    <row r="36367">
      <c r="Y36367" s="372">
        <v>0.0</v>
      </c>
      <c r="Z36367" s="372">
        <v>0.0</v>
      </c>
    </row>
    <row r="36368">
      <c r="Y36368" s="372">
        <v>0.0</v>
      </c>
      <c r="Z36368" s="372">
        <v>0.0</v>
      </c>
    </row>
    <row r="36369">
      <c r="Y36369" s="372">
        <v>0.0</v>
      </c>
      <c r="Z36369" s="372">
        <v>0.0</v>
      </c>
    </row>
    <row r="36370">
      <c r="Y36370" s="372">
        <v>0.0</v>
      </c>
      <c r="Z36370" s="372">
        <v>0.0</v>
      </c>
    </row>
    <row r="36371">
      <c r="Y36371" s="372">
        <v>0.0</v>
      </c>
      <c r="Z36371" s="372">
        <v>0.0</v>
      </c>
    </row>
    <row r="36372">
      <c r="Y36372" s="372">
        <v>0.0</v>
      </c>
      <c r="Z36372" s="372">
        <v>0.0</v>
      </c>
    </row>
    <row r="36373">
      <c r="Y36373" s="372">
        <v>0.0</v>
      </c>
      <c r="Z36373" s="372">
        <v>0.0</v>
      </c>
    </row>
    <row r="36374">
      <c r="Y36374" s="372">
        <v>0.0</v>
      </c>
      <c r="Z36374" s="372">
        <v>0.0</v>
      </c>
    </row>
    <row r="36375">
      <c r="Y36375" s="372">
        <v>0.0</v>
      </c>
      <c r="Z36375" s="372">
        <v>0.0</v>
      </c>
    </row>
    <row r="36376">
      <c r="Y36376" s="372">
        <v>0.0</v>
      </c>
      <c r="Z36376" s="372">
        <v>0.0</v>
      </c>
    </row>
    <row r="36377">
      <c r="Y36377" s="372">
        <v>0.0</v>
      </c>
      <c r="Z36377" s="372">
        <v>0.0</v>
      </c>
    </row>
    <row r="36378">
      <c r="Y36378" s="372">
        <v>0.0</v>
      </c>
      <c r="Z36378" s="372">
        <v>0.0</v>
      </c>
    </row>
    <row r="36379">
      <c r="Y36379" s="372">
        <v>0.0</v>
      </c>
      <c r="Z36379" s="372">
        <v>0.0</v>
      </c>
    </row>
    <row r="36380">
      <c r="Y36380" s="372">
        <v>0.0</v>
      </c>
      <c r="Z36380" s="372">
        <v>0.0</v>
      </c>
    </row>
    <row r="36381">
      <c r="Y36381" s="372">
        <v>0.0</v>
      </c>
      <c r="Z36381" s="372">
        <v>0.0</v>
      </c>
    </row>
    <row r="36382">
      <c r="Y36382" s="372">
        <v>0.0</v>
      </c>
      <c r="Z36382" s="372">
        <v>0.0</v>
      </c>
    </row>
    <row r="36383">
      <c r="Y36383" s="372">
        <v>0.0</v>
      </c>
      <c r="Z36383" s="372">
        <v>0.0</v>
      </c>
    </row>
    <row r="36384">
      <c r="Y36384" s="372">
        <v>0.0</v>
      </c>
      <c r="Z36384" s="372">
        <v>0.0</v>
      </c>
    </row>
    <row r="36385">
      <c r="Y36385" s="372">
        <v>0.0</v>
      </c>
      <c r="Z36385" s="372">
        <v>0.0</v>
      </c>
    </row>
    <row r="36386">
      <c r="Y36386" s="372">
        <v>0.0</v>
      </c>
      <c r="Z36386" s="372">
        <v>0.0</v>
      </c>
    </row>
    <row r="36387">
      <c r="Y36387" s="372">
        <v>0.0</v>
      </c>
      <c r="Z36387" s="372">
        <v>0.0</v>
      </c>
    </row>
    <row r="36388">
      <c r="Y36388" s="372">
        <v>0.0</v>
      </c>
      <c r="Z36388" s="372">
        <v>0.0</v>
      </c>
    </row>
    <row r="36389">
      <c r="Y36389" s="372">
        <v>0.0</v>
      </c>
      <c r="Z36389" s="372">
        <v>0.0</v>
      </c>
    </row>
    <row r="36390">
      <c r="Y36390" s="372">
        <v>0.0</v>
      </c>
      <c r="Z36390" s="372">
        <v>0.0</v>
      </c>
    </row>
    <row r="36391">
      <c r="Y36391" s="372">
        <v>0.0</v>
      </c>
      <c r="Z36391" s="372">
        <v>0.0</v>
      </c>
    </row>
    <row r="36392">
      <c r="Y36392" s="372">
        <v>0.0</v>
      </c>
      <c r="Z36392" s="372">
        <v>0.0</v>
      </c>
    </row>
    <row r="36393">
      <c r="Y36393" s="372">
        <v>0.0</v>
      </c>
      <c r="Z36393" s="372">
        <v>0.0</v>
      </c>
    </row>
    <row r="36394">
      <c r="Y36394" s="372">
        <v>0.0</v>
      </c>
      <c r="Z36394" s="372">
        <v>0.0</v>
      </c>
    </row>
    <row r="36395">
      <c r="Y36395" s="372">
        <v>0.0</v>
      </c>
      <c r="Z36395" s="372">
        <v>0.0</v>
      </c>
    </row>
    <row r="36396">
      <c r="Y36396" s="372">
        <v>0.0</v>
      </c>
      <c r="Z36396" s="372">
        <v>0.0</v>
      </c>
    </row>
    <row r="36397">
      <c r="Y36397" s="372">
        <v>0.0</v>
      </c>
      <c r="Z36397" s="372">
        <v>0.0</v>
      </c>
    </row>
    <row r="36398">
      <c r="Y36398" s="372">
        <v>0.0</v>
      </c>
      <c r="Z36398" s="372">
        <v>0.0</v>
      </c>
    </row>
    <row r="36399">
      <c r="Y36399" s="372">
        <v>0.0</v>
      </c>
      <c r="Z36399" s="372">
        <v>0.0</v>
      </c>
    </row>
    <row r="36400">
      <c r="Y36400" s="372">
        <v>0.0</v>
      </c>
      <c r="Z36400" s="372">
        <v>0.0</v>
      </c>
    </row>
    <row r="36401">
      <c r="Y36401" s="372">
        <v>0.0</v>
      </c>
      <c r="Z36401" s="372">
        <v>0.0</v>
      </c>
    </row>
    <row r="36402">
      <c r="Y36402" s="372">
        <v>0.0</v>
      </c>
      <c r="Z36402" s="372">
        <v>0.0</v>
      </c>
    </row>
    <row r="36403">
      <c r="Y36403" s="372">
        <v>0.0</v>
      </c>
      <c r="Z36403" s="372">
        <v>0.0</v>
      </c>
    </row>
    <row r="36404">
      <c r="Y36404" s="372">
        <v>0.0</v>
      </c>
      <c r="Z36404" s="372">
        <v>0.0</v>
      </c>
    </row>
    <row r="36405">
      <c r="Y36405" s="372">
        <v>0.0</v>
      </c>
      <c r="Z36405" s="372">
        <v>0.0</v>
      </c>
    </row>
    <row r="36406">
      <c r="Y36406" s="372">
        <v>0.0</v>
      </c>
      <c r="Z36406" s="372">
        <v>0.0</v>
      </c>
    </row>
    <row r="36407">
      <c r="Y36407" s="372">
        <v>0.0</v>
      </c>
      <c r="Z36407" s="372">
        <v>0.0</v>
      </c>
    </row>
    <row r="36408">
      <c r="Y36408" s="372">
        <v>0.0</v>
      </c>
      <c r="Z36408" s="372">
        <v>0.0</v>
      </c>
    </row>
    <row r="36409">
      <c r="Y36409" s="372">
        <v>0.0</v>
      </c>
      <c r="Z36409" s="372">
        <v>0.0</v>
      </c>
    </row>
    <row r="36410">
      <c r="Y36410" s="372">
        <v>0.0</v>
      </c>
      <c r="Z36410" s="372">
        <v>0.0</v>
      </c>
    </row>
    <row r="36411">
      <c r="Y36411" s="372">
        <v>0.0</v>
      </c>
      <c r="Z36411" s="372">
        <v>0.0</v>
      </c>
    </row>
    <row r="36412">
      <c r="Y36412" s="372">
        <v>0.0</v>
      </c>
      <c r="Z36412" s="372">
        <v>0.0</v>
      </c>
    </row>
    <row r="36413">
      <c r="Y36413" s="372">
        <v>0.0</v>
      </c>
      <c r="Z36413" s="372">
        <v>0.0</v>
      </c>
    </row>
    <row r="36414">
      <c r="Y36414" s="372">
        <v>0.0</v>
      </c>
      <c r="Z36414" s="372">
        <v>0.0</v>
      </c>
    </row>
    <row r="36415">
      <c r="Y36415" s="372">
        <v>0.0</v>
      </c>
      <c r="Z36415" s="372">
        <v>0.0</v>
      </c>
    </row>
    <row r="36416">
      <c r="Y36416" s="372">
        <v>0.0</v>
      </c>
      <c r="Z36416" s="372">
        <v>0.0</v>
      </c>
    </row>
    <row r="36417">
      <c r="Y36417" s="372">
        <v>0.0</v>
      </c>
      <c r="Z36417" s="372">
        <v>0.0</v>
      </c>
    </row>
    <row r="36418">
      <c r="Y36418" s="372">
        <v>0.0</v>
      </c>
      <c r="Z36418" s="372">
        <v>0.0</v>
      </c>
    </row>
    <row r="36419">
      <c r="Y36419" s="372">
        <v>0.0</v>
      </c>
      <c r="Z36419" s="372">
        <v>0.0</v>
      </c>
    </row>
    <row r="36420">
      <c r="Y36420" s="372">
        <v>0.0</v>
      </c>
      <c r="Z36420" s="372">
        <v>0.0</v>
      </c>
    </row>
    <row r="36421">
      <c r="Y36421" s="372">
        <v>0.0</v>
      </c>
      <c r="Z36421" s="372">
        <v>0.0</v>
      </c>
    </row>
    <row r="36422">
      <c r="Y36422" s="372">
        <v>0.0</v>
      </c>
      <c r="Z36422" s="372">
        <v>0.0</v>
      </c>
    </row>
    <row r="36423">
      <c r="Y36423" s="372">
        <v>0.0</v>
      </c>
      <c r="Z36423" s="372">
        <v>0.0</v>
      </c>
    </row>
    <row r="36424">
      <c r="Y36424" s="372">
        <v>0.0</v>
      </c>
      <c r="Z36424" s="372">
        <v>0.0</v>
      </c>
    </row>
    <row r="36425">
      <c r="Y36425" s="372">
        <v>0.0</v>
      </c>
      <c r="Z36425" s="372">
        <v>0.0</v>
      </c>
    </row>
    <row r="36426">
      <c r="Y36426" s="372">
        <v>0.0</v>
      </c>
      <c r="Z36426" s="372">
        <v>0.0</v>
      </c>
    </row>
    <row r="36427">
      <c r="Y36427" s="372">
        <v>0.0</v>
      </c>
      <c r="Z36427" s="372">
        <v>0.0</v>
      </c>
    </row>
    <row r="36428">
      <c r="Y36428" s="372">
        <v>0.0</v>
      </c>
      <c r="Z36428" s="372">
        <v>0.0</v>
      </c>
    </row>
    <row r="36429">
      <c r="Y36429" s="372">
        <v>0.0</v>
      </c>
      <c r="Z36429" s="372">
        <v>0.0</v>
      </c>
    </row>
    <row r="36430">
      <c r="Y36430" s="372">
        <v>0.0</v>
      </c>
      <c r="Z36430" s="372">
        <v>0.0</v>
      </c>
    </row>
    <row r="36431">
      <c r="Y36431" s="372">
        <v>0.0</v>
      </c>
      <c r="Z36431" s="372">
        <v>0.0</v>
      </c>
    </row>
    <row r="36432">
      <c r="Y36432" s="372">
        <v>0.0</v>
      </c>
      <c r="Z36432" s="372">
        <v>0.0</v>
      </c>
    </row>
    <row r="36433">
      <c r="Y36433" s="372">
        <v>0.0</v>
      </c>
      <c r="Z36433" s="372">
        <v>0.0</v>
      </c>
    </row>
    <row r="36434">
      <c r="Y36434" s="372">
        <v>0.0</v>
      </c>
      <c r="Z36434" s="372">
        <v>0.0</v>
      </c>
    </row>
    <row r="36435">
      <c r="Y36435" s="372">
        <v>0.0</v>
      </c>
      <c r="Z36435" s="372">
        <v>0.0</v>
      </c>
    </row>
    <row r="36436">
      <c r="Y36436" s="372">
        <v>0.0</v>
      </c>
      <c r="Z36436" s="372">
        <v>0.0</v>
      </c>
    </row>
    <row r="36437">
      <c r="Y36437" s="372">
        <v>0.0</v>
      </c>
      <c r="Z36437" s="372">
        <v>0.0</v>
      </c>
    </row>
    <row r="36438">
      <c r="Y36438" s="372">
        <v>0.0</v>
      </c>
      <c r="Z36438" s="372">
        <v>0.0</v>
      </c>
    </row>
    <row r="36439">
      <c r="Y36439" s="372">
        <v>0.0</v>
      </c>
      <c r="Z36439" s="372">
        <v>0.0</v>
      </c>
    </row>
    <row r="36440">
      <c r="Y36440" s="372">
        <v>0.0</v>
      </c>
      <c r="Z36440" s="372">
        <v>0.0</v>
      </c>
    </row>
    <row r="36441">
      <c r="Y36441" s="372">
        <v>0.0</v>
      </c>
      <c r="Z36441" s="372">
        <v>0.0</v>
      </c>
    </row>
    <row r="36442">
      <c r="Y36442" s="372">
        <v>0.0</v>
      </c>
      <c r="Z36442" s="372">
        <v>0.0</v>
      </c>
    </row>
    <row r="36443">
      <c r="Y36443" s="372">
        <v>0.0</v>
      </c>
      <c r="Z36443" s="372">
        <v>0.0</v>
      </c>
    </row>
    <row r="36444">
      <c r="Y36444" s="372">
        <v>0.0</v>
      </c>
      <c r="Z36444" s="372">
        <v>0.0</v>
      </c>
    </row>
    <row r="36445">
      <c r="Y36445" s="372">
        <v>0.0</v>
      </c>
      <c r="Z36445" s="372">
        <v>0.0</v>
      </c>
    </row>
    <row r="36446">
      <c r="Y36446" s="372">
        <v>0.0</v>
      </c>
      <c r="Z36446" s="372">
        <v>0.0</v>
      </c>
    </row>
    <row r="36447">
      <c r="Y36447" s="372">
        <v>0.0</v>
      </c>
      <c r="Z36447" s="372">
        <v>0.0</v>
      </c>
    </row>
    <row r="36448">
      <c r="Y36448" s="372">
        <v>0.0</v>
      </c>
      <c r="Z36448" s="372">
        <v>0.0</v>
      </c>
    </row>
    <row r="36449">
      <c r="Y36449" s="372">
        <v>0.0</v>
      </c>
      <c r="Z36449" s="372">
        <v>0.0</v>
      </c>
    </row>
    <row r="36450">
      <c r="Y36450" s="372">
        <v>0.0</v>
      </c>
      <c r="Z36450" s="372">
        <v>0.0</v>
      </c>
    </row>
    <row r="36451">
      <c r="Y36451" s="372">
        <v>0.0</v>
      </c>
      <c r="Z36451" s="372">
        <v>0.0</v>
      </c>
    </row>
    <row r="36452">
      <c r="Y36452" s="372">
        <v>0.0</v>
      </c>
      <c r="Z36452" s="372">
        <v>0.0</v>
      </c>
    </row>
    <row r="36453">
      <c r="Y36453" s="372">
        <v>0.0</v>
      </c>
      <c r="Z36453" s="372">
        <v>0.0</v>
      </c>
    </row>
    <row r="36454">
      <c r="Y36454" s="372">
        <v>0.0</v>
      </c>
      <c r="Z36454" s="372">
        <v>0.0</v>
      </c>
    </row>
    <row r="36455">
      <c r="Y36455" s="372">
        <v>0.0</v>
      </c>
      <c r="Z36455" s="372">
        <v>0.0</v>
      </c>
    </row>
    <row r="36456">
      <c r="Y36456" s="372">
        <v>0.0</v>
      </c>
      <c r="Z36456" s="372">
        <v>0.0</v>
      </c>
    </row>
    <row r="36457">
      <c r="Y36457" s="372">
        <v>0.0</v>
      </c>
      <c r="Z36457" s="372">
        <v>0.0</v>
      </c>
    </row>
    <row r="36458">
      <c r="Y36458" s="372">
        <v>0.0</v>
      </c>
      <c r="Z36458" s="372">
        <v>0.0</v>
      </c>
    </row>
    <row r="36459">
      <c r="Y36459" s="372">
        <v>0.0</v>
      </c>
      <c r="Z36459" s="372">
        <v>0.0</v>
      </c>
    </row>
    <row r="36460">
      <c r="Y36460" s="372">
        <v>0.0</v>
      </c>
      <c r="Z36460" s="372">
        <v>0.0</v>
      </c>
    </row>
    <row r="36461">
      <c r="Y36461" s="372">
        <v>0.0</v>
      </c>
      <c r="Z36461" s="372">
        <v>0.0</v>
      </c>
    </row>
    <row r="36462">
      <c r="Y36462" s="372">
        <v>0.0</v>
      </c>
      <c r="Z36462" s="372">
        <v>0.0</v>
      </c>
    </row>
    <row r="36463">
      <c r="Y36463" s="372">
        <v>0.0</v>
      </c>
      <c r="Z36463" s="372">
        <v>0.0</v>
      </c>
    </row>
    <row r="36464">
      <c r="Y36464" s="372">
        <v>0.0</v>
      </c>
      <c r="Z36464" s="372">
        <v>0.0</v>
      </c>
    </row>
    <row r="36465">
      <c r="Y36465" s="372">
        <v>0.0</v>
      </c>
      <c r="Z36465" s="372">
        <v>0.0</v>
      </c>
    </row>
    <row r="36466">
      <c r="Y36466" s="372">
        <v>0.0</v>
      </c>
      <c r="Z36466" s="372">
        <v>0.0</v>
      </c>
    </row>
    <row r="36467">
      <c r="Y36467" s="372">
        <v>0.0</v>
      </c>
      <c r="Z36467" s="372">
        <v>0.0</v>
      </c>
    </row>
    <row r="36468">
      <c r="Y36468" s="372">
        <v>0.0</v>
      </c>
      <c r="Z36468" s="372">
        <v>0.0</v>
      </c>
    </row>
    <row r="36469">
      <c r="Y36469" s="372">
        <v>0.0</v>
      </c>
      <c r="Z36469" s="372">
        <v>0.0</v>
      </c>
    </row>
    <row r="36470">
      <c r="Y36470" s="372">
        <v>0.0</v>
      </c>
      <c r="Z36470" s="372">
        <v>0.0</v>
      </c>
    </row>
    <row r="36471">
      <c r="Y36471" s="372">
        <v>0.0</v>
      </c>
      <c r="Z36471" s="372">
        <v>0.0</v>
      </c>
    </row>
    <row r="36472">
      <c r="Y36472" s="372">
        <v>0.0</v>
      </c>
      <c r="Z36472" s="372">
        <v>0.0</v>
      </c>
    </row>
    <row r="36473">
      <c r="Y36473" s="372">
        <v>0.0</v>
      </c>
      <c r="Z36473" s="372">
        <v>0.0</v>
      </c>
    </row>
    <row r="36474">
      <c r="Y36474" s="372">
        <v>0.0</v>
      </c>
      <c r="Z36474" s="372">
        <v>0.0</v>
      </c>
    </row>
    <row r="36475">
      <c r="Y36475" s="372">
        <v>0.0</v>
      </c>
      <c r="Z36475" s="372">
        <v>0.0</v>
      </c>
    </row>
    <row r="36476">
      <c r="Y36476" s="372">
        <v>0.0</v>
      </c>
      <c r="Z36476" s="372">
        <v>0.0</v>
      </c>
    </row>
    <row r="36477">
      <c r="Y36477" s="372">
        <v>0.0</v>
      </c>
      <c r="Z36477" s="372">
        <v>0.0</v>
      </c>
    </row>
    <row r="36478">
      <c r="Y36478" s="372">
        <v>0.0</v>
      </c>
      <c r="Z36478" s="372">
        <v>0.0</v>
      </c>
    </row>
    <row r="36479">
      <c r="Y36479" s="372">
        <v>0.0</v>
      </c>
      <c r="Z36479" s="372">
        <v>0.0</v>
      </c>
    </row>
    <row r="36480">
      <c r="Y36480" s="372">
        <v>0.0</v>
      </c>
      <c r="Z36480" s="372">
        <v>0.0</v>
      </c>
    </row>
    <row r="36481">
      <c r="Y36481" s="372">
        <v>0.0</v>
      </c>
      <c r="Z36481" s="372">
        <v>0.0</v>
      </c>
    </row>
    <row r="36482">
      <c r="Y36482" s="372">
        <v>0.0</v>
      </c>
      <c r="Z36482" s="372">
        <v>0.0</v>
      </c>
    </row>
    <row r="36483">
      <c r="Y36483" s="372">
        <v>0.0</v>
      </c>
      <c r="Z36483" s="372">
        <v>0.0</v>
      </c>
    </row>
    <row r="36484">
      <c r="Y36484" s="372">
        <v>0.0</v>
      </c>
      <c r="Z36484" s="372">
        <v>0.0</v>
      </c>
    </row>
    <row r="36485">
      <c r="Y36485" s="372">
        <v>0.0</v>
      </c>
      <c r="Z36485" s="372">
        <v>0.0</v>
      </c>
    </row>
    <row r="36486">
      <c r="Y36486" s="372">
        <v>0.0</v>
      </c>
      <c r="Z36486" s="372">
        <v>0.0</v>
      </c>
    </row>
    <row r="36487">
      <c r="Y36487" s="372">
        <v>0.0</v>
      </c>
      <c r="Z36487" s="372">
        <v>0.0</v>
      </c>
    </row>
    <row r="36488">
      <c r="Y36488" s="372">
        <v>0.0</v>
      </c>
      <c r="Z36488" s="372">
        <v>0.0</v>
      </c>
    </row>
    <row r="36489">
      <c r="Y36489" s="372">
        <v>0.0</v>
      </c>
      <c r="Z36489" s="372">
        <v>0.0</v>
      </c>
    </row>
    <row r="36490">
      <c r="Y36490" s="372">
        <v>0.0</v>
      </c>
      <c r="Z36490" s="372">
        <v>0.0</v>
      </c>
    </row>
    <row r="36491">
      <c r="Y36491" s="372">
        <v>0.0</v>
      </c>
      <c r="Z36491" s="372">
        <v>0.0</v>
      </c>
    </row>
    <row r="36492">
      <c r="Y36492" s="372">
        <v>0.0</v>
      </c>
      <c r="Z36492" s="372">
        <v>0.0</v>
      </c>
    </row>
    <row r="36493">
      <c r="Y36493" s="372">
        <v>0.0</v>
      </c>
      <c r="Z36493" s="372">
        <v>0.0</v>
      </c>
    </row>
    <row r="36494">
      <c r="Y36494" s="372">
        <v>0.0</v>
      </c>
      <c r="Z36494" s="372">
        <v>0.0</v>
      </c>
    </row>
    <row r="36495">
      <c r="Y36495" s="372">
        <v>0.0</v>
      </c>
      <c r="Z36495" s="372">
        <v>0.0</v>
      </c>
    </row>
    <row r="36496">
      <c r="Y36496" s="372">
        <v>0.0</v>
      </c>
      <c r="Z36496" s="372">
        <v>0.0</v>
      </c>
    </row>
    <row r="36497">
      <c r="Y36497" s="372">
        <v>0.0</v>
      </c>
      <c r="Z36497" s="372">
        <v>0.0</v>
      </c>
    </row>
    <row r="36498">
      <c r="Y36498" s="372">
        <v>0.0</v>
      </c>
      <c r="Z36498" s="372">
        <v>0.0</v>
      </c>
    </row>
    <row r="36499">
      <c r="Y36499" s="372">
        <v>0.0</v>
      </c>
      <c r="Z36499" s="372">
        <v>0.0</v>
      </c>
    </row>
    <row r="36500">
      <c r="Y36500" s="372">
        <v>0.0</v>
      </c>
      <c r="Z36500" s="372">
        <v>0.0</v>
      </c>
    </row>
    <row r="36501">
      <c r="Y36501" s="372">
        <v>0.0</v>
      </c>
      <c r="Z36501" s="372">
        <v>0.0</v>
      </c>
    </row>
    <row r="36502">
      <c r="Y36502" s="372">
        <v>0.0</v>
      </c>
      <c r="Z36502" s="372">
        <v>0.0</v>
      </c>
    </row>
    <row r="36503">
      <c r="Y36503" s="372">
        <v>0.0</v>
      </c>
      <c r="Z36503" s="372">
        <v>0.0</v>
      </c>
    </row>
    <row r="36504">
      <c r="Y36504" s="372">
        <v>0.0</v>
      </c>
      <c r="Z36504" s="372">
        <v>0.0</v>
      </c>
    </row>
    <row r="36505">
      <c r="Y36505" s="372">
        <v>0.0</v>
      </c>
      <c r="Z36505" s="372">
        <v>0.0</v>
      </c>
    </row>
    <row r="36506">
      <c r="Y36506" s="372">
        <v>0.0</v>
      </c>
      <c r="Z36506" s="372">
        <v>0.0</v>
      </c>
    </row>
    <row r="36507">
      <c r="Y36507" s="372">
        <v>0.0</v>
      </c>
      <c r="Z36507" s="372">
        <v>0.0</v>
      </c>
    </row>
    <row r="36508">
      <c r="Y36508" s="372">
        <v>0.0</v>
      </c>
      <c r="Z36508" s="372">
        <v>0.0</v>
      </c>
    </row>
    <row r="36509">
      <c r="Y36509" s="372">
        <v>0.0</v>
      </c>
      <c r="Z36509" s="372">
        <v>0.0</v>
      </c>
    </row>
    <row r="36510">
      <c r="Y36510" s="372">
        <v>0.0</v>
      </c>
      <c r="Z36510" s="372">
        <v>0.0</v>
      </c>
    </row>
    <row r="36511">
      <c r="Y36511" s="372">
        <v>0.0</v>
      </c>
      <c r="Z36511" s="372">
        <v>0.0</v>
      </c>
    </row>
    <row r="36512">
      <c r="Y36512" s="372">
        <v>0.0</v>
      </c>
      <c r="Z36512" s="372">
        <v>0.0</v>
      </c>
    </row>
    <row r="36513">
      <c r="Y36513" s="372">
        <v>0.0</v>
      </c>
      <c r="Z36513" s="372">
        <v>0.0</v>
      </c>
    </row>
    <row r="36514">
      <c r="Y36514" s="372">
        <v>0.0</v>
      </c>
      <c r="Z36514" s="372">
        <v>0.0</v>
      </c>
    </row>
    <row r="36515">
      <c r="Y36515" s="372">
        <v>0.0</v>
      </c>
      <c r="Z36515" s="372">
        <v>0.0</v>
      </c>
    </row>
    <row r="36516">
      <c r="Y36516" s="372">
        <v>0.0</v>
      </c>
      <c r="Z36516" s="372">
        <v>0.0</v>
      </c>
    </row>
    <row r="36517">
      <c r="Y36517" s="372">
        <v>0.0</v>
      </c>
      <c r="Z36517" s="372">
        <v>0.0</v>
      </c>
    </row>
    <row r="36518">
      <c r="Y36518" s="372">
        <v>0.0</v>
      </c>
      <c r="Z36518" s="372">
        <v>0.0</v>
      </c>
    </row>
    <row r="36519">
      <c r="Y36519" s="372">
        <v>0.0</v>
      </c>
      <c r="Z36519" s="372">
        <v>0.0</v>
      </c>
    </row>
    <row r="36520">
      <c r="Y36520" s="372">
        <v>0.0</v>
      </c>
      <c r="Z36520" s="372">
        <v>0.0</v>
      </c>
    </row>
    <row r="36521">
      <c r="Y36521" s="372">
        <v>0.0</v>
      </c>
      <c r="Z36521" s="372">
        <v>0.0</v>
      </c>
    </row>
    <row r="36522">
      <c r="Y36522" s="372">
        <v>0.0</v>
      </c>
      <c r="Z36522" s="372">
        <v>0.0</v>
      </c>
    </row>
    <row r="36523">
      <c r="Y36523" s="372">
        <v>0.0</v>
      </c>
      <c r="Z36523" s="372">
        <v>0.0</v>
      </c>
    </row>
    <row r="36524">
      <c r="Y36524" s="372">
        <v>0.0</v>
      </c>
      <c r="Z36524" s="372">
        <v>0.0</v>
      </c>
    </row>
    <row r="36525">
      <c r="Y36525" s="372">
        <v>0.0</v>
      </c>
      <c r="Z36525" s="372">
        <v>0.0</v>
      </c>
    </row>
    <row r="36526">
      <c r="Y36526" s="372">
        <v>0.0</v>
      </c>
      <c r="Z36526" s="372">
        <v>0.0</v>
      </c>
    </row>
    <row r="36527">
      <c r="Y36527" s="372">
        <v>0.0</v>
      </c>
      <c r="Z36527" s="372">
        <v>0.0</v>
      </c>
    </row>
    <row r="36528">
      <c r="Y36528" s="372">
        <v>0.0</v>
      </c>
      <c r="Z36528" s="372">
        <v>0.0</v>
      </c>
    </row>
    <row r="36529">
      <c r="Y36529" s="372">
        <v>0.0</v>
      </c>
      <c r="Z36529" s="372">
        <v>0.0</v>
      </c>
    </row>
    <row r="36530">
      <c r="Y36530" s="372">
        <v>0.0</v>
      </c>
      <c r="Z36530" s="372">
        <v>0.0</v>
      </c>
    </row>
    <row r="36531">
      <c r="Y36531" s="372">
        <v>0.0</v>
      </c>
      <c r="Z36531" s="372">
        <v>0.0</v>
      </c>
    </row>
    <row r="36532">
      <c r="Y36532" s="372">
        <v>0.0</v>
      </c>
      <c r="Z36532" s="372">
        <v>0.0</v>
      </c>
    </row>
    <row r="36533">
      <c r="Y36533" s="372">
        <v>0.0</v>
      </c>
      <c r="Z36533" s="372">
        <v>0.0</v>
      </c>
    </row>
    <row r="36534">
      <c r="Y36534" s="372">
        <v>0.0</v>
      </c>
      <c r="Z36534" s="372">
        <v>0.0</v>
      </c>
    </row>
    <row r="36535">
      <c r="Y36535" s="372">
        <v>0.0</v>
      </c>
      <c r="Z36535" s="372">
        <v>0.0</v>
      </c>
    </row>
    <row r="36536">
      <c r="Y36536" s="372">
        <v>0.0</v>
      </c>
      <c r="Z36536" s="372">
        <v>0.0</v>
      </c>
    </row>
    <row r="36537">
      <c r="Y36537" s="372">
        <v>0.0</v>
      </c>
      <c r="Z36537" s="372">
        <v>0.0</v>
      </c>
    </row>
    <row r="36538">
      <c r="Y36538" s="372">
        <v>0.0</v>
      </c>
      <c r="Z36538" s="372">
        <v>0.0</v>
      </c>
    </row>
    <row r="36539">
      <c r="Y36539" s="372">
        <v>0.0</v>
      </c>
      <c r="Z36539" s="372">
        <v>0.0</v>
      </c>
    </row>
    <row r="36540">
      <c r="Y36540" s="372">
        <v>0.0</v>
      </c>
      <c r="Z36540" s="372">
        <v>0.0</v>
      </c>
    </row>
    <row r="36541">
      <c r="Y36541" s="372">
        <v>0.0</v>
      </c>
      <c r="Z36541" s="372">
        <v>0.0</v>
      </c>
    </row>
    <row r="36542">
      <c r="Y36542" s="372">
        <v>0.0</v>
      </c>
      <c r="Z36542" s="372">
        <v>0.0</v>
      </c>
    </row>
    <row r="36543">
      <c r="Y36543" s="372">
        <v>0.0</v>
      </c>
      <c r="Z36543" s="372">
        <v>0.0</v>
      </c>
    </row>
    <row r="36544">
      <c r="Y36544" s="372">
        <v>0.0</v>
      </c>
      <c r="Z36544" s="372">
        <v>0.0</v>
      </c>
    </row>
    <row r="36545">
      <c r="Y36545" s="372">
        <v>0.0</v>
      </c>
      <c r="Z36545" s="372">
        <v>0.0</v>
      </c>
    </row>
    <row r="36546">
      <c r="Y36546" s="372">
        <v>0.0</v>
      </c>
      <c r="Z36546" s="372">
        <v>0.0</v>
      </c>
    </row>
    <row r="36547">
      <c r="Y36547" s="372">
        <v>0.0</v>
      </c>
      <c r="Z36547" s="372">
        <v>0.0</v>
      </c>
    </row>
    <row r="36548">
      <c r="Y36548" s="372">
        <v>0.0</v>
      </c>
      <c r="Z36548" s="372">
        <v>0.0</v>
      </c>
    </row>
    <row r="36549">
      <c r="Y36549" s="372">
        <v>0.0</v>
      </c>
      <c r="Z36549" s="372">
        <v>0.0</v>
      </c>
    </row>
    <row r="36550">
      <c r="Y36550" s="372">
        <v>0.0</v>
      </c>
      <c r="Z36550" s="372">
        <v>0.0</v>
      </c>
    </row>
    <row r="36551">
      <c r="Y36551" s="372">
        <v>0.0</v>
      </c>
      <c r="Z36551" s="372">
        <v>0.0</v>
      </c>
    </row>
    <row r="36552">
      <c r="Y36552" s="372">
        <v>0.0</v>
      </c>
      <c r="Z36552" s="372">
        <v>0.0</v>
      </c>
    </row>
    <row r="36553">
      <c r="Y36553" s="372">
        <v>0.0</v>
      </c>
      <c r="Z36553" s="372">
        <v>0.0</v>
      </c>
    </row>
    <row r="36554">
      <c r="Y36554" s="372">
        <v>0.0</v>
      </c>
      <c r="Z36554" s="372">
        <v>0.0</v>
      </c>
    </row>
    <row r="36555">
      <c r="Y36555" s="372">
        <v>0.0</v>
      </c>
      <c r="Z36555" s="372">
        <v>0.0</v>
      </c>
    </row>
    <row r="36556">
      <c r="Y36556" s="372">
        <v>0.0</v>
      </c>
      <c r="Z36556" s="372">
        <v>0.0</v>
      </c>
    </row>
    <row r="36557">
      <c r="Y36557" s="372">
        <v>0.0</v>
      </c>
      <c r="Z36557" s="372">
        <v>0.0</v>
      </c>
    </row>
    <row r="36558">
      <c r="Y36558" s="372">
        <v>0.0</v>
      </c>
      <c r="Z36558" s="372">
        <v>0.0</v>
      </c>
    </row>
    <row r="36559">
      <c r="Y36559" s="372">
        <v>0.0</v>
      </c>
      <c r="Z36559" s="372">
        <v>0.0</v>
      </c>
    </row>
    <row r="36560">
      <c r="Y36560" s="372">
        <v>0.0</v>
      </c>
      <c r="Z36560" s="372">
        <v>0.0</v>
      </c>
    </row>
    <row r="36561">
      <c r="Y36561" s="372">
        <v>0.0</v>
      </c>
      <c r="Z36561" s="372">
        <v>0.0</v>
      </c>
    </row>
    <row r="36562">
      <c r="Y36562" s="372">
        <v>0.0</v>
      </c>
      <c r="Z36562" s="372">
        <v>0.0</v>
      </c>
    </row>
    <row r="36563">
      <c r="Y36563" s="372">
        <v>0.0</v>
      </c>
      <c r="Z36563" s="372">
        <v>0.0</v>
      </c>
    </row>
    <row r="36564">
      <c r="Y36564" s="372">
        <v>0.0</v>
      </c>
      <c r="Z36564" s="372">
        <v>0.0</v>
      </c>
    </row>
    <row r="36565">
      <c r="Y36565" s="372">
        <v>0.0</v>
      </c>
      <c r="Z36565" s="372">
        <v>0.0</v>
      </c>
    </row>
    <row r="36566">
      <c r="Y36566" s="372">
        <v>0.0</v>
      </c>
      <c r="Z36566" s="372">
        <v>0.0</v>
      </c>
    </row>
    <row r="36567">
      <c r="Y36567" s="372">
        <v>0.0</v>
      </c>
      <c r="Z36567" s="372">
        <v>0.0</v>
      </c>
    </row>
    <row r="36568">
      <c r="Y36568" s="372">
        <v>0.0</v>
      </c>
      <c r="Z36568" s="372">
        <v>0.0</v>
      </c>
    </row>
    <row r="36569">
      <c r="Y36569" s="372">
        <v>0.0</v>
      </c>
      <c r="Z36569" s="372">
        <v>0.0</v>
      </c>
    </row>
    <row r="36570">
      <c r="Y36570" s="372">
        <v>0.0</v>
      </c>
      <c r="Z36570" s="372">
        <v>0.0</v>
      </c>
    </row>
    <row r="36571">
      <c r="Y36571" s="372">
        <v>0.0</v>
      </c>
      <c r="Z36571" s="372">
        <v>0.0</v>
      </c>
    </row>
    <row r="36572">
      <c r="Y36572" s="372">
        <v>0.0</v>
      </c>
      <c r="Z36572" s="372">
        <v>0.0</v>
      </c>
    </row>
    <row r="36573">
      <c r="Y36573" s="372">
        <v>0.0</v>
      </c>
      <c r="Z36573" s="372">
        <v>0.0</v>
      </c>
    </row>
    <row r="36574">
      <c r="Y36574" s="372">
        <v>0.0</v>
      </c>
      <c r="Z36574" s="372">
        <v>0.0</v>
      </c>
    </row>
    <row r="36575">
      <c r="Y36575" s="372">
        <v>0.0</v>
      </c>
      <c r="Z36575" s="372">
        <v>0.0</v>
      </c>
    </row>
    <row r="36576">
      <c r="Y36576" s="372">
        <v>0.0</v>
      </c>
      <c r="Z36576" s="372">
        <v>0.0</v>
      </c>
    </row>
    <row r="36577">
      <c r="Y36577" s="372">
        <v>0.0</v>
      </c>
      <c r="Z36577" s="372">
        <v>0.0</v>
      </c>
    </row>
    <row r="36578">
      <c r="Y36578" s="372">
        <v>0.0</v>
      </c>
      <c r="Z36578" s="372">
        <v>0.0</v>
      </c>
    </row>
    <row r="36579">
      <c r="Y36579" s="372">
        <v>0.0</v>
      </c>
      <c r="Z36579" s="372">
        <v>0.0</v>
      </c>
    </row>
    <row r="36580">
      <c r="Y36580" s="372">
        <v>0.0</v>
      </c>
      <c r="Z36580" s="372">
        <v>0.0</v>
      </c>
    </row>
    <row r="36581">
      <c r="Y36581" s="372">
        <v>0.0</v>
      </c>
      <c r="Z36581" s="372">
        <v>0.0</v>
      </c>
    </row>
    <row r="36582">
      <c r="Y36582" s="372">
        <v>0.0</v>
      </c>
      <c r="Z36582" s="372">
        <v>0.0</v>
      </c>
    </row>
    <row r="36583">
      <c r="Y36583" s="372">
        <v>0.0</v>
      </c>
      <c r="Z36583" s="372">
        <v>0.0</v>
      </c>
    </row>
    <row r="36584">
      <c r="Y36584" s="372">
        <v>0.0</v>
      </c>
      <c r="Z36584" s="372">
        <v>0.0</v>
      </c>
    </row>
    <row r="36585">
      <c r="Y36585" s="372">
        <v>0.0</v>
      </c>
      <c r="Z36585" s="372">
        <v>0.0</v>
      </c>
    </row>
    <row r="36586">
      <c r="Y36586" s="372">
        <v>0.0</v>
      </c>
      <c r="Z36586" s="372">
        <v>0.0</v>
      </c>
    </row>
    <row r="36587">
      <c r="Y36587" s="372">
        <v>0.0</v>
      </c>
      <c r="Z36587" s="372">
        <v>0.0</v>
      </c>
    </row>
    <row r="36588">
      <c r="Y36588" s="372">
        <v>0.0</v>
      </c>
      <c r="Z36588" s="372">
        <v>0.0</v>
      </c>
    </row>
    <row r="36589">
      <c r="Y36589" s="372">
        <v>0.0</v>
      </c>
      <c r="Z36589" s="372">
        <v>0.0</v>
      </c>
    </row>
    <row r="36590">
      <c r="Y36590" s="372">
        <v>0.0</v>
      </c>
      <c r="Z36590" s="372">
        <v>0.0</v>
      </c>
    </row>
    <row r="36591">
      <c r="Y36591" s="372">
        <v>0.0</v>
      </c>
      <c r="Z36591" s="372">
        <v>0.0</v>
      </c>
    </row>
    <row r="36592">
      <c r="Y36592" s="372">
        <v>0.0</v>
      </c>
      <c r="Z36592" s="372">
        <v>0.0</v>
      </c>
    </row>
    <row r="36593">
      <c r="Y36593" s="372">
        <v>0.0</v>
      </c>
      <c r="Z36593" s="372">
        <v>0.0</v>
      </c>
    </row>
    <row r="36594">
      <c r="Y36594" s="372">
        <v>0.0</v>
      </c>
      <c r="Z36594" s="372">
        <v>0.0</v>
      </c>
    </row>
    <row r="36595">
      <c r="Y36595" s="372">
        <v>0.0</v>
      </c>
      <c r="Z36595" s="372">
        <v>0.0</v>
      </c>
    </row>
    <row r="36596">
      <c r="Y36596" s="372">
        <v>0.0</v>
      </c>
      <c r="Z36596" s="372">
        <v>0.0</v>
      </c>
    </row>
    <row r="36597">
      <c r="Y36597" s="372">
        <v>0.0</v>
      </c>
      <c r="Z36597" s="372">
        <v>0.0</v>
      </c>
    </row>
    <row r="36598">
      <c r="Y36598" s="372">
        <v>0.0</v>
      </c>
      <c r="Z36598" s="372">
        <v>0.0</v>
      </c>
    </row>
    <row r="36599">
      <c r="Y36599" s="372">
        <v>0.0</v>
      </c>
      <c r="Z36599" s="372">
        <v>0.0</v>
      </c>
    </row>
    <row r="36600">
      <c r="Y36600" s="372">
        <v>0.0</v>
      </c>
      <c r="Z36600" s="372">
        <v>0.0</v>
      </c>
    </row>
    <row r="36601">
      <c r="Y36601" s="372">
        <v>0.0</v>
      </c>
      <c r="Z36601" s="372">
        <v>0.0</v>
      </c>
    </row>
    <row r="36602">
      <c r="Y36602" s="372">
        <v>0.0</v>
      </c>
      <c r="Z36602" s="372">
        <v>0.0</v>
      </c>
    </row>
    <row r="36603">
      <c r="Y36603" s="372">
        <v>0.0</v>
      </c>
      <c r="Z36603" s="372">
        <v>0.0</v>
      </c>
    </row>
    <row r="36604">
      <c r="Y36604" s="372">
        <v>0.0</v>
      </c>
      <c r="Z36604" s="372">
        <v>0.0</v>
      </c>
    </row>
    <row r="36605">
      <c r="Y36605" s="372">
        <v>0.0</v>
      </c>
      <c r="Z36605" s="372">
        <v>0.0</v>
      </c>
    </row>
    <row r="36606">
      <c r="Y36606" s="372">
        <v>0.0</v>
      </c>
      <c r="Z36606" s="372">
        <v>0.0</v>
      </c>
    </row>
    <row r="36607">
      <c r="Y36607" s="372">
        <v>0.0</v>
      </c>
      <c r="Z36607" s="372">
        <v>0.0</v>
      </c>
    </row>
    <row r="36608">
      <c r="Y36608" s="372">
        <v>0.0</v>
      </c>
      <c r="Z36608" s="372">
        <v>0.0</v>
      </c>
    </row>
    <row r="36609">
      <c r="Y36609" s="372">
        <v>0.0</v>
      </c>
      <c r="Z36609" s="372">
        <v>0.0</v>
      </c>
    </row>
    <row r="36610">
      <c r="Y36610" s="372">
        <v>0.0</v>
      </c>
      <c r="Z36610" s="372">
        <v>0.0</v>
      </c>
    </row>
    <row r="36611">
      <c r="Y36611" s="372">
        <v>0.0</v>
      </c>
      <c r="Z36611" s="372">
        <v>0.0</v>
      </c>
    </row>
    <row r="36612">
      <c r="Y36612" s="372">
        <v>0.0</v>
      </c>
      <c r="Z36612" s="372">
        <v>0.0</v>
      </c>
    </row>
    <row r="36613">
      <c r="Y36613" s="372">
        <v>0.0</v>
      </c>
      <c r="Z36613" s="372">
        <v>0.0</v>
      </c>
    </row>
    <row r="36614">
      <c r="Y36614" s="372">
        <v>0.0</v>
      </c>
      <c r="Z36614" s="372">
        <v>0.0</v>
      </c>
    </row>
    <row r="36615">
      <c r="Y36615" s="372">
        <v>0.0</v>
      </c>
      <c r="Z36615" s="372">
        <v>0.0</v>
      </c>
    </row>
    <row r="36616">
      <c r="Y36616" s="372">
        <v>0.0</v>
      </c>
      <c r="Z36616" s="372">
        <v>0.0</v>
      </c>
    </row>
    <row r="36617">
      <c r="Y36617" s="372">
        <v>0.0</v>
      </c>
      <c r="Z36617" s="372">
        <v>0.0</v>
      </c>
    </row>
    <row r="36618">
      <c r="Y36618" s="372">
        <v>0.0</v>
      </c>
      <c r="Z36618" s="372">
        <v>0.0</v>
      </c>
    </row>
    <row r="36619">
      <c r="Y36619" s="372">
        <v>0.0</v>
      </c>
      <c r="Z36619" s="372">
        <v>0.0</v>
      </c>
    </row>
    <row r="36620">
      <c r="Y36620" s="372">
        <v>0.0</v>
      </c>
      <c r="Z36620" s="372">
        <v>0.0</v>
      </c>
    </row>
    <row r="36621">
      <c r="Y36621" s="372">
        <v>0.0</v>
      </c>
      <c r="Z36621" s="372">
        <v>0.0</v>
      </c>
    </row>
    <row r="36622">
      <c r="Y36622" s="372">
        <v>0.0</v>
      </c>
      <c r="Z36622" s="372">
        <v>0.0</v>
      </c>
    </row>
    <row r="36623">
      <c r="Y36623" s="372">
        <v>0.0</v>
      </c>
      <c r="Z36623" s="372">
        <v>0.0</v>
      </c>
    </row>
    <row r="36624">
      <c r="Y36624" s="372">
        <v>0.0</v>
      </c>
      <c r="Z36624" s="372">
        <v>0.0</v>
      </c>
    </row>
    <row r="36625">
      <c r="Y36625" s="372">
        <v>0.0</v>
      </c>
      <c r="Z36625" s="372">
        <v>0.0</v>
      </c>
    </row>
    <row r="36626">
      <c r="Y36626" s="372">
        <v>0.0</v>
      </c>
      <c r="Z36626" s="372">
        <v>0.0</v>
      </c>
    </row>
    <row r="36627">
      <c r="Y36627" s="372">
        <v>0.0</v>
      </c>
      <c r="Z36627" s="372">
        <v>0.0</v>
      </c>
    </row>
    <row r="36628">
      <c r="Y36628" s="372">
        <v>0.0</v>
      </c>
      <c r="Z36628" s="372">
        <v>0.0</v>
      </c>
    </row>
    <row r="36629">
      <c r="Y36629" s="372">
        <v>0.0</v>
      </c>
      <c r="Z36629" s="372">
        <v>0.0</v>
      </c>
    </row>
    <row r="36630">
      <c r="Y36630" s="372">
        <v>0.0</v>
      </c>
      <c r="Z36630" s="372">
        <v>0.0</v>
      </c>
    </row>
    <row r="36631">
      <c r="Y36631" s="372">
        <v>0.0</v>
      </c>
      <c r="Z36631" s="372">
        <v>0.0</v>
      </c>
    </row>
    <row r="36632">
      <c r="Y36632" s="372">
        <v>0.0</v>
      </c>
      <c r="Z36632" s="372">
        <v>0.0</v>
      </c>
    </row>
    <row r="36633">
      <c r="Y36633" s="372">
        <v>0.0</v>
      </c>
      <c r="Z36633" s="372">
        <v>0.0</v>
      </c>
    </row>
    <row r="36634">
      <c r="Y36634" s="372">
        <v>0.0</v>
      </c>
      <c r="Z36634" s="372">
        <v>0.0</v>
      </c>
    </row>
    <row r="36635">
      <c r="Y36635" s="372">
        <v>0.0</v>
      </c>
      <c r="Z36635" s="372">
        <v>0.0</v>
      </c>
    </row>
    <row r="36636">
      <c r="Y36636" s="372">
        <v>0.0</v>
      </c>
      <c r="Z36636" s="372">
        <v>0.0</v>
      </c>
    </row>
    <row r="36637">
      <c r="Y36637" s="372">
        <v>0.0</v>
      </c>
      <c r="Z36637" s="372">
        <v>0.0</v>
      </c>
    </row>
    <row r="36638">
      <c r="Y36638" s="372">
        <v>0.0</v>
      </c>
      <c r="Z36638" s="372">
        <v>0.0</v>
      </c>
    </row>
    <row r="36639">
      <c r="Y36639" s="372">
        <v>0.0</v>
      </c>
      <c r="Z36639" s="372">
        <v>0.0</v>
      </c>
    </row>
    <row r="36640">
      <c r="Y36640" s="372">
        <v>0.0</v>
      </c>
      <c r="Z36640" s="372">
        <v>0.0</v>
      </c>
    </row>
    <row r="36641">
      <c r="Y36641" s="372">
        <v>0.0</v>
      </c>
      <c r="Z36641" s="372">
        <v>0.0</v>
      </c>
    </row>
    <row r="36642">
      <c r="Y36642" s="372">
        <v>0.0</v>
      </c>
      <c r="Z36642" s="372">
        <v>0.0</v>
      </c>
    </row>
    <row r="36643">
      <c r="Y36643" s="372">
        <v>0.0</v>
      </c>
      <c r="Z36643" s="372">
        <v>0.0</v>
      </c>
    </row>
    <row r="36644">
      <c r="Y36644" s="372">
        <v>0.0</v>
      </c>
      <c r="Z36644" s="372">
        <v>0.0</v>
      </c>
    </row>
    <row r="36645">
      <c r="Y36645" s="372">
        <v>0.0</v>
      </c>
      <c r="Z36645" s="372">
        <v>0.0</v>
      </c>
    </row>
    <row r="36646">
      <c r="Y36646" s="372">
        <v>0.0</v>
      </c>
      <c r="Z36646" s="372">
        <v>0.0</v>
      </c>
    </row>
    <row r="36647">
      <c r="Y36647" s="372">
        <v>0.0</v>
      </c>
      <c r="Z36647" s="372">
        <v>0.0</v>
      </c>
    </row>
    <row r="36648">
      <c r="Y36648" s="372">
        <v>0.0</v>
      </c>
      <c r="Z36648" s="372">
        <v>0.0</v>
      </c>
    </row>
    <row r="36649">
      <c r="Y36649" s="372">
        <v>0.0</v>
      </c>
      <c r="Z36649" s="372">
        <v>0.0</v>
      </c>
    </row>
    <row r="36650">
      <c r="Y36650" s="372">
        <v>0.0</v>
      </c>
      <c r="Z36650" s="372">
        <v>0.0</v>
      </c>
    </row>
    <row r="36651">
      <c r="Y36651" s="372">
        <v>0.0</v>
      </c>
      <c r="Z36651" s="372">
        <v>0.0</v>
      </c>
    </row>
    <row r="36652">
      <c r="Y36652" s="372">
        <v>0.0</v>
      </c>
      <c r="Z36652" s="372">
        <v>0.0</v>
      </c>
    </row>
    <row r="36653">
      <c r="Y36653" s="372">
        <v>0.0</v>
      </c>
      <c r="Z36653" s="372">
        <v>0.0</v>
      </c>
    </row>
    <row r="36654">
      <c r="Y36654" s="372">
        <v>0.0</v>
      </c>
      <c r="Z36654" s="372">
        <v>0.0</v>
      </c>
    </row>
    <row r="36655">
      <c r="Y36655" s="372">
        <v>0.0</v>
      </c>
      <c r="Z36655" s="372">
        <v>0.0</v>
      </c>
    </row>
    <row r="36656">
      <c r="Y36656" s="372">
        <v>0.0</v>
      </c>
      <c r="Z36656" s="372">
        <v>0.0</v>
      </c>
    </row>
    <row r="36657">
      <c r="Y36657" s="372">
        <v>0.0</v>
      </c>
      <c r="Z36657" s="372">
        <v>0.0</v>
      </c>
    </row>
    <row r="36658">
      <c r="Y36658" s="372">
        <v>0.0</v>
      </c>
      <c r="Z36658" s="372">
        <v>0.0</v>
      </c>
    </row>
    <row r="36659">
      <c r="Y36659" s="372">
        <v>0.0</v>
      </c>
      <c r="Z36659" s="372">
        <v>0.0</v>
      </c>
    </row>
    <row r="36660">
      <c r="Y36660" s="372">
        <v>0.0</v>
      </c>
      <c r="Z36660" s="372">
        <v>0.0</v>
      </c>
    </row>
    <row r="36661">
      <c r="Y36661" s="372">
        <v>0.0</v>
      </c>
      <c r="Z36661" s="372">
        <v>0.0</v>
      </c>
    </row>
    <row r="36662">
      <c r="Y36662" s="372">
        <v>0.0</v>
      </c>
      <c r="Z36662" s="372">
        <v>0.0</v>
      </c>
    </row>
    <row r="36663">
      <c r="Y36663" s="372">
        <v>0.0</v>
      </c>
      <c r="Z36663" s="372">
        <v>0.0</v>
      </c>
    </row>
    <row r="36664">
      <c r="Y36664" s="372">
        <v>0.0</v>
      </c>
      <c r="Z36664" s="372">
        <v>0.0</v>
      </c>
    </row>
    <row r="36665">
      <c r="Y36665" s="372">
        <v>0.0</v>
      </c>
      <c r="Z36665" s="372">
        <v>0.0</v>
      </c>
    </row>
    <row r="36666">
      <c r="Y36666" s="372">
        <v>0.0</v>
      </c>
      <c r="Z36666" s="372">
        <v>0.0</v>
      </c>
    </row>
    <row r="36667">
      <c r="Y36667" s="372">
        <v>0.0</v>
      </c>
      <c r="Z36667" s="372">
        <v>0.0</v>
      </c>
    </row>
    <row r="36668">
      <c r="Y36668" s="372">
        <v>0.0</v>
      </c>
      <c r="Z36668" s="372">
        <v>0.0</v>
      </c>
    </row>
    <row r="36669">
      <c r="Y36669" s="372">
        <v>0.0</v>
      </c>
      <c r="Z36669" s="372">
        <v>0.0</v>
      </c>
    </row>
    <row r="36670">
      <c r="Y36670" s="372">
        <v>0.0</v>
      </c>
      <c r="Z36670" s="372">
        <v>0.0</v>
      </c>
    </row>
    <row r="36671">
      <c r="Y36671" s="372">
        <v>0.0</v>
      </c>
      <c r="Z36671" s="372">
        <v>0.0</v>
      </c>
    </row>
    <row r="36672">
      <c r="Y36672" s="372">
        <v>0.0</v>
      </c>
      <c r="Z36672" s="372">
        <v>0.0</v>
      </c>
    </row>
    <row r="36673">
      <c r="Y36673" s="372">
        <v>0.0</v>
      </c>
      <c r="Z36673" s="372">
        <v>0.0</v>
      </c>
    </row>
    <row r="36674">
      <c r="Y36674" s="372">
        <v>0.0</v>
      </c>
      <c r="Z36674" s="372">
        <v>0.0</v>
      </c>
    </row>
    <row r="36675">
      <c r="Y36675" s="372">
        <v>0.0</v>
      </c>
      <c r="Z36675" s="372">
        <v>0.0</v>
      </c>
    </row>
    <row r="36676">
      <c r="Y36676" s="372">
        <v>0.0</v>
      </c>
      <c r="Z36676" s="372">
        <v>0.0</v>
      </c>
    </row>
    <row r="36677">
      <c r="Y36677" s="372">
        <v>0.0</v>
      </c>
      <c r="Z36677" s="372">
        <v>0.0</v>
      </c>
    </row>
    <row r="36678">
      <c r="Y36678" s="372">
        <v>0.0</v>
      </c>
      <c r="Z36678" s="372">
        <v>0.0</v>
      </c>
    </row>
    <row r="36679">
      <c r="Y36679" s="372">
        <v>0.0</v>
      </c>
      <c r="Z36679" s="372">
        <v>0.0</v>
      </c>
    </row>
    <row r="36680">
      <c r="Y36680" s="372">
        <v>0.0</v>
      </c>
      <c r="Z36680" s="372">
        <v>0.0</v>
      </c>
    </row>
    <row r="36681">
      <c r="Y36681" s="372">
        <v>0.0</v>
      </c>
      <c r="Z36681" s="372">
        <v>0.0</v>
      </c>
    </row>
    <row r="36682">
      <c r="Y36682" s="372">
        <v>0.0</v>
      </c>
      <c r="Z36682" s="372">
        <v>0.0</v>
      </c>
    </row>
    <row r="36683">
      <c r="Y36683" s="372">
        <v>0.0</v>
      </c>
      <c r="Z36683" s="372">
        <v>0.0</v>
      </c>
    </row>
    <row r="36684">
      <c r="Y36684" s="372">
        <v>0.0</v>
      </c>
      <c r="Z36684" s="372">
        <v>0.0</v>
      </c>
    </row>
    <row r="36685">
      <c r="Y36685" s="372">
        <v>0.0</v>
      </c>
      <c r="Z36685" s="372">
        <v>0.0</v>
      </c>
    </row>
    <row r="36686">
      <c r="Y36686" s="372">
        <v>0.0</v>
      </c>
      <c r="Z36686" s="372">
        <v>0.0</v>
      </c>
    </row>
    <row r="36687">
      <c r="Y36687" s="372">
        <v>0.0</v>
      </c>
      <c r="Z36687" s="372">
        <v>0.0</v>
      </c>
    </row>
    <row r="36688">
      <c r="Y36688" s="372">
        <v>0.0</v>
      </c>
      <c r="Z36688" s="372">
        <v>0.0</v>
      </c>
    </row>
    <row r="36689">
      <c r="Y36689" s="372">
        <v>0.0</v>
      </c>
      <c r="Z36689" s="372">
        <v>0.0</v>
      </c>
    </row>
    <row r="36690">
      <c r="Y36690" s="372">
        <v>0.0</v>
      </c>
      <c r="Z36690" s="372">
        <v>0.0</v>
      </c>
    </row>
    <row r="36691">
      <c r="Y36691" s="372">
        <v>0.0</v>
      </c>
      <c r="Z36691" s="372">
        <v>0.0</v>
      </c>
    </row>
    <row r="36692">
      <c r="Y36692" s="372">
        <v>0.0</v>
      </c>
      <c r="Z36692" s="372">
        <v>0.0</v>
      </c>
    </row>
    <row r="36693">
      <c r="Y36693" s="372">
        <v>0.0</v>
      </c>
      <c r="Z36693" s="372">
        <v>0.0</v>
      </c>
    </row>
    <row r="36694">
      <c r="Y36694" s="372">
        <v>0.0</v>
      </c>
      <c r="Z36694" s="372">
        <v>0.0</v>
      </c>
    </row>
    <row r="36695">
      <c r="Y36695" s="372">
        <v>0.0</v>
      </c>
      <c r="Z36695" s="372">
        <v>0.0</v>
      </c>
    </row>
    <row r="36696">
      <c r="Y36696" s="372">
        <v>0.0</v>
      </c>
      <c r="Z36696" s="372">
        <v>0.0</v>
      </c>
    </row>
    <row r="36697">
      <c r="Y36697" s="372">
        <v>0.0</v>
      </c>
      <c r="Z36697" s="372">
        <v>0.0</v>
      </c>
    </row>
    <row r="36698">
      <c r="Y36698" s="372">
        <v>0.0</v>
      </c>
      <c r="Z36698" s="372">
        <v>0.0</v>
      </c>
    </row>
    <row r="36699">
      <c r="Y36699" s="372">
        <v>0.0</v>
      </c>
      <c r="Z36699" s="372">
        <v>0.0</v>
      </c>
    </row>
    <row r="36700">
      <c r="Y36700" s="372">
        <v>0.0</v>
      </c>
      <c r="Z36700" s="372">
        <v>0.0</v>
      </c>
    </row>
    <row r="36701">
      <c r="Y36701" s="372">
        <v>0.0</v>
      </c>
      <c r="Z36701" s="372">
        <v>0.0</v>
      </c>
    </row>
    <row r="36702">
      <c r="Y36702" s="372">
        <v>0.0</v>
      </c>
      <c r="Z36702" s="372">
        <v>0.0</v>
      </c>
    </row>
    <row r="36703">
      <c r="Y36703" s="372">
        <v>0.0</v>
      </c>
      <c r="Z36703" s="372">
        <v>0.0</v>
      </c>
    </row>
    <row r="36704">
      <c r="Y36704" s="372">
        <v>0.0</v>
      </c>
      <c r="Z36704" s="372">
        <v>0.0</v>
      </c>
    </row>
    <row r="36705">
      <c r="Y36705" s="372">
        <v>0.0</v>
      </c>
      <c r="Z36705" s="372">
        <v>0.0</v>
      </c>
    </row>
    <row r="36706">
      <c r="Y36706" s="372">
        <v>0.0</v>
      </c>
      <c r="Z36706" s="372">
        <v>0.0</v>
      </c>
    </row>
    <row r="36707">
      <c r="Y36707" s="372">
        <v>0.0</v>
      </c>
      <c r="Z36707" s="372">
        <v>0.0</v>
      </c>
    </row>
    <row r="36708">
      <c r="Y36708" s="372">
        <v>0.0</v>
      </c>
      <c r="Z36708" s="372">
        <v>0.0</v>
      </c>
    </row>
    <row r="36709">
      <c r="Y36709" s="372">
        <v>0.0</v>
      </c>
      <c r="Z36709" s="372">
        <v>0.0</v>
      </c>
    </row>
    <row r="36710">
      <c r="Y36710" s="372">
        <v>0.0</v>
      </c>
      <c r="Z36710" s="372">
        <v>0.0</v>
      </c>
    </row>
    <row r="36711">
      <c r="Y36711" s="372">
        <v>0.0</v>
      </c>
      <c r="Z36711" s="372">
        <v>0.0</v>
      </c>
    </row>
    <row r="36712">
      <c r="Y36712" s="372">
        <v>0.0</v>
      </c>
      <c r="Z36712" s="372">
        <v>0.0</v>
      </c>
    </row>
    <row r="36713">
      <c r="Y36713" s="372">
        <v>0.0</v>
      </c>
      <c r="Z36713" s="372">
        <v>0.0</v>
      </c>
    </row>
    <row r="36714">
      <c r="Y36714" s="372">
        <v>0.0</v>
      </c>
      <c r="Z36714" s="372">
        <v>0.0</v>
      </c>
    </row>
    <row r="36715">
      <c r="Y36715" s="372">
        <v>0.0</v>
      </c>
      <c r="Z36715" s="372">
        <v>0.0</v>
      </c>
    </row>
    <row r="36716">
      <c r="Y36716" s="372">
        <v>0.0</v>
      </c>
      <c r="Z36716" s="372">
        <v>0.0</v>
      </c>
    </row>
    <row r="36717">
      <c r="Y36717" s="372">
        <v>0.0</v>
      </c>
      <c r="Z36717" s="372">
        <v>0.0</v>
      </c>
    </row>
    <row r="36718">
      <c r="Y36718" s="372">
        <v>0.0</v>
      </c>
      <c r="Z36718" s="372">
        <v>0.0</v>
      </c>
    </row>
    <row r="36719">
      <c r="Y36719" s="372">
        <v>0.0</v>
      </c>
      <c r="Z36719" s="372">
        <v>0.0</v>
      </c>
    </row>
    <row r="36720">
      <c r="Y36720" s="372">
        <v>0.0</v>
      </c>
      <c r="Z36720" s="372">
        <v>0.0</v>
      </c>
    </row>
    <row r="36721">
      <c r="Y36721" s="372">
        <v>0.0</v>
      </c>
      <c r="Z36721" s="372">
        <v>0.0</v>
      </c>
    </row>
    <row r="36722">
      <c r="Y36722" s="372">
        <v>0.0</v>
      </c>
      <c r="Z36722" s="372">
        <v>0.0</v>
      </c>
    </row>
    <row r="36723">
      <c r="Y36723" s="372">
        <v>0.0</v>
      </c>
      <c r="Z36723" s="372">
        <v>0.0</v>
      </c>
    </row>
    <row r="36724">
      <c r="Y36724" s="372">
        <v>0.0</v>
      </c>
      <c r="Z36724" s="372">
        <v>0.0</v>
      </c>
    </row>
    <row r="36725">
      <c r="Y36725" s="372">
        <v>0.0</v>
      </c>
      <c r="Z36725" s="372">
        <v>0.0</v>
      </c>
    </row>
    <row r="36726">
      <c r="Y36726" s="372">
        <v>0.0</v>
      </c>
      <c r="Z36726" s="372">
        <v>0.0</v>
      </c>
    </row>
    <row r="36727">
      <c r="Y36727" s="372">
        <v>0.0</v>
      </c>
      <c r="Z36727" s="372">
        <v>0.0</v>
      </c>
    </row>
    <row r="36728">
      <c r="Y36728" s="372">
        <v>0.0</v>
      </c>
      <c r="Z36728" s="372">
        <v>0.0</v>
      </c>
    </row>
    <row r="36729">
      <c r="Y36729" s="372">
        <v>0.0</v>
      </c>
      <c r="Z36729" s="372">
        <v>0.0</v>
      </c>
    </row>
    <row r="36730">
      <c r="Y36730" s="372">
        <v>0.0</v>
      </c>
      <c r="Z36730" s="372">
        <v>0.0</v>
      </c>
    </row>
    <row r="36731">
      <c r="Y36731" s="372">
        <v>0.0</v>
      </c>
      <c r="Z36731" s="372">
        <v>0.0</v>
      </c>
    </row>
    <row r="36732">
      <c r="Y36732" s="372">
        <v>0.0</v>
      </c>
      <c r="Z36732" s="372">
        <v>0.0</v>
      </c>
    </row>
    <row r="36733">
      <c r="Y36733" s="372">
        <v>0.0</v>
      </c>
      <c r="Z36733" s="372">
        <v>0.0</v>
      </c>
    </row>
    <row r="36734">
      <c r="Y36734" s="372">
        <v>0.0</v>
      </c>
      <c r="Z36734" s="372">
        <v>0.0</v>
      </c>
    </row>
    <row r="36735">
      <c r="Y36735" s="372">
        <v>0.0</v>
      </c>
      <c r="Z36735" s="372">
        <v>0.0</v>
      </c>
    </row>
    <row r="36736">
      <c r="Y36736" s="372">
        <v>0.0</v>
      </c>
      <c r="Z36736" s="372">
        <v>0.0</v>
      </c>
    </row>
    <row r="36737">
      <c r="Y36737" s="372">
        <v>0.0</v>
      </c>
      <c r="Z36737" s="372">
        <v>0.0</v>
      </c>
    </row>
    <row r="36738">
      <c r="Y36738" s="372">
        <v>0.0</v>
      </c>
      <c r="Z36738" s="372">
        <v>0.0</v>
      </c>
    </row>
    <row r="36739">
      <c r="Y36739" s="372">
        <v>0.0</v>
      </c>
      <c r="Z36739" s="372">
        <v>0.0</v>
      </c>
    </row>
    <row r="36740">
      <c r="Y36740" s="372">
        <v>0.0</v>
      </c>
      <c r="Z36740" s="372">
        <v>0.0</v>
      </c>
    </row>
    <row r="36741">
      <c r="Y36741" s="372">
        <v>0.0</v>
      </c>
      <c r="Z36741" s="372">
        <v>0.0</v>
      </c>
    </row>
    <row r="36742">
      <c r="Y36742" s="372">
        <v>0.0</v>
      </c>
      <c r="Z36742" s="372">
        <v>0.0</v>
      </c>
    </row>
    <row r="36743">
      <c r="Y36743" s="372">
        <v>0.0</v>
      </c>
      <c r="Z36743" s="372">
        <v>0.0</v>
      </c>
    </row>
    <row r="36744">
      <c r="Y36744" s="372">
        <v>0.0</v>
      </c>
      <c r="Z36744" s="372">
        <v>0.0</v>
      </c>
    </row>
    <row r="36745">
      <c r="Y36745" s="372">
        <v>0.0</v>
      </c>
      <c r="Z36745" s="372">
        <v>0.0</v>
      </c>
    </row>
    <row r="36746">
      <c r="Y36746" s="372">
        <v>0.0</v>
      </c>
      <c r="Z36746" s="372">
        <v>0.0</v>
      </c>
    </row>
    <row r="36747">
      <c r="Y36747" s="372">
        <v>0.0</v>
      </c>
      <c r="Z36747" s="372">
        <v>0.0</v>
      </c>
    </row>
    <row r="36748">
      <c r="Y36748" s="372">
        <v>0.0</v>
      </c>
      <c r="Z36748" s="372">
        <v>0.0</v>
      </c>
    </row>
    <row r="36749">
      <c r="Y36749" s="372">
        <v>0.0</v>
      </c>
      <c r="Z36749" s="372">
        <v>0.0</v>
      </c>
    </row>
    <row r="36750">
      <c r="Y36750" s="372">
        <v>0.0</v>
      </c>
      <c r="Z36750" s="372">
        <v>0.0</v>
      </c>
    </row>
    <row r="36751">
      <c r="Y36751" s="372">
        <v>0.0</v>
      </c>
      <c r="Z36751" s="372">
        <v>0.0</v>
      </c>
    </row>
    <row r="36752">
      <c r="Y36752" s="372">
        <v>0.0</v>
      </c>
      <c r="Z36752" s="372">
        <v>0.0</v>
      </c>
    </row>
    <row r="36753">
      <c r="Y36753" s="372">
        <v>0.0</v>
      </c>
      <c r="Z36753" s="372">
        <v>0.0</v>
      </c>
    </row>
    <row r="36754">
      <c r="Y36754" s="372">
        <v>0.0</v>
      </c>
      <c r="Z36754" s="372">
        <v>0.0</v>
      </c>
    </row>
    <row r="36755">
      <c r="Y36755" s="372">
        <v>0.0</v>
      </c>
      <c r="Z36755" s="372">
        <v>0.0</v>
      </c>
    </row>
    <row r="36756">
      <c r="Y36756" s="372">
        <v>0.0</v>
      </c>
      <c r="Z36756" s="372">
        <v>0.0</v>
      </c>
    </row>
    <row r="36757">
      <c r="Y36757" s="372">
        <v>0.0</v>
      </c>
      <c r="Z36757" s="372">
        <v>0.0</v>
      </c>
    </row>
    <row r="36758">
      <c r="Y36758" s="372">
        <v>0.0</v>
      </c>
      <c r="Z36758" s="372">
        <v>0.0</v>
      </c>
    </row>
    <row r="36759">
      <c r="Y36759" s="372">
        <v>0.0</v>
      </c>
      <c r="Z36759" s="372">
        <v>0.0</v>
      </c>
    </row>
    <row r="36760">
      <c r="Y36760" s="372">
        <v>0.0</v>
      </c>
      <c r="Z36760" s="372">
        <v>0.0</v>
      </c>
    </row>
    <row r="36761">
      <c r="Y36761" s="372">
        <v>0.0</v>
      </c>
      <c r="Z36761" s="372">
        <v>0.0</v>
      </c>
    </row>
    <row r="36762">
      <c r="Y36762" s="372">
        <v>0.0</v>
      </c>
      <c r="Z36762" s="372">
        <v>0.0</v>
      </c>
    </row>
    <row r="36763">
      <c r="Y36763" s="372">
        <v>0.0</v>
      </c>
      <c r="Z36763" s="372">
        <v>0.0</v>
      </c>
    </row>
    <row r="36764">
      <c r="Y36764" s="372">
        <v>0.0</v>
      </c>
      <c r="Z36764" s="372">
        <v>0.0</v>
      </c>
    </row>
    <row r="36765">
      <c r="Y36765" s="372">
        <v>0.0</v>
      </c>
      <c r="Z36765" s="372">
        <v>0.0</v>
      </c>
    </row>
    <row r="36766">
      <c r="Y36766" s="372">
        <v>0.0</v>
      </c>
      <c r="Z36766" s="372">
        <v>0.0</v>
      </c>
    </row>
    <row r="36767">
      <c r="Y36767" s="372">
        <v>0.0</v>
      </c>
      <c r="Z36767" s="372">
        <v>0.0</v>
      </c>
    </row>
    <row r="36768">
      <c r="Y36768" s="372">
        <v>0.0</v>
      </c>
      <c r="Z36768" s="372">
        <v>0.0</v>
      </c>
    </row>
    <row r="36769">
      <c r="Y36769" s="372">
        <v>0.0</v>
      </c>
      <c r="Z36769" s="372">
        <v>0.0</v>
      </c>
    </row>
    <row r="36770">
      <c r="Y36770" s="372">
        <v>0.0</v>
      </c>
      <c r="Z36770" s="372">
        <v>0.0</v>
      </c>
    </row>
    <row r="36771">
      <c r="Y36771" s="372">
        <v>0.0</v>
      </c>
      <c r="Z36771" s="372">
        <v>0.0</v>
      </c>
    </row>
    <row r="36772">
      <c r="Y36772" s="372">
        <v>0.0</v>
      </c>
      <c r="Z36772" s="372">
        <v>0.0</v>
      </c>
    </row>
    <row r="36773">
      <c r="Y36773" s="372">
        <v>0.0</v>
      </c>
      <c r="Z36773" s="372">
        <v>0.0</v>
      </c>
    </row>
    <row r="36774">
      <c r="Y36774" s="372">
        <v>0.0</v>
      </c>
      <c r="Z36774" s="372">
        <v>0.0</v>
      </c>
    </row>
    <row r="36775">
      <c r="Y36775" s="372">
        <v>0.0</v>
      </c>
      <c r="Z36775" s="372">
        <v>0.0</v>
      </c>
    </row>
    <row r="36776">
      <c r="Y36776" s="372">
        <v>0.0</v>
      </c>
      <c r="Z36776" s="372">
        <v>0.0</v>
      </c>
    </row>
    <row r="36777">
      <c r="Y36777" s="372">
        <v>0.0</v>
      </c>
      <c r="Z36777" s="372">
        <v>0.0</v>
      </c>
    </row>
    <row r="36778">
      <c r="Y36778" s="372">
        <v>0.0</v>
      </c>
      <c r="Z36778" s="372">
        <v>0.0</v>
      </c>
    </row>
    <row r="36779">
      <c r="Y36779" s="372">
        <v>0.0</v>
      </c>
      <c r="Z36779" s="372">
        <v>0.0</v>
      </c>
    </row>
    <row r="36780">
      <c r="Y36780" s="372">
        <v>0.0</v>
      </c>
      <c r="Z36780" s="372">
        <v>0.0</v>
      </c>
    </row>
    <row r="36781">
      <c r="Y36781" s="372">
        <v>0.0</v>
      </c>
      <c r="Z36781" s="372">
        <v>0.0</v>
      </c>
    </row>
    <row r="36782">
      <c r="Y36782" s="372">
        <v>0.0</v>
      </c>
      <c r="Z36782" s="372">
        <v>0.0</v>
      </c>
    </row>
    <row r="36783">
      <c r="Y36783" s="372">
        <v>0.0</v>
      </c>
      <c r="Z36783" s="372">
        <v>0.0</v>
      </c>
    </row>
    <row r="36784">
      <c r="Y36784" s="372">
        <v>0.0</v>
      </c>
      <c r="Z36784" s="372">
        <v>0.0</v>
      </c>
    </row>
    <row r="36785">
      <c r="Y36785" s="372">
        <v>0.0</v>
      </c>
      <c r="Z36785" s="372">
        <v>0.0</v>
      </c>
    </row>
    <row r="36786">
      <c r="Y36786" s="372">
        <v>0.0</v>
      </c>
      <c r="Z36786" s="372">
        <v>0.0</v>
      </c>
    </row>
    <row r="36787">
      <c r="Y36787" s="372">
        <v>0.0</v>
      </c>
      <c r="Z36787" s="372">
        <v>0.0</v>
      </c>
    </row>
    <row r="36788">
      <c r="Y36788" s="372">
        <v>0.0</v>
      </c>
      <c r="Z36788" s="372">
        <v>0.0</v>
      </c>
    </row>
    <row r="36789">
      <c r="Y36789" s="372">
        <v>0.0</v>
      </c>
      <c r="Z36789" s="372">
        <v>0.0</v>
      </c>
    </row>
    <row r="36790">
      <c r="Y36790" s="372">
        <v>0.0</v>
      </c>
      <c r="Z36790" s="372">
        <v>0.0</v>
      </c>
    </row>
    <row r="36791">
      <c r="Y36791" s="372">
        <v>0.0</v>
      </c>
      <c r="Z36791" s="372">
        <v>0.0</v>
      </c>
    </row>
    <row r="36792">
      <c r="Y36792" s="372">
        <v>0.0</v>
      </c>
      <c r="Z36792" s="372">
        <v>0.0</v>
      </c>
    </row>
    <row r="36793">
      <c r="Y36793" s="372">
        <v>0.0</v>
      </c>
      <c r="Z36793" s="372">
        <v>0.0</v>
      </c>
    </row>
    <row r="36794">
      <c r="Y36794" s="372">
        <v>0.0</v>
      </c>
      <c r="Z36794" s="372">
        <v>0.0</v>
      </c>
    </row>
    <row r="36795">
      <c r="Y36795" s="372">
        <v>0.0</v>
      </c>
      <c r="Z36795" s="372">
        <v>0.0</v>
      </c>
    </row>
    <row r="36796">
      <c r="Y36796" s="372">
        <v>0.0</v>
      </c>
      <c r="Z36796" s="372">
        <v>0.0</v>
      </c>
    </row>
    <row r="36797">
      <c r="Y36797" s="372">
        <v>0.0</v>
      </c>
      <c r="Z36797" s="372">
        <v>0.0</v>
      </c>
    </row>
    <row r="36798">
      <c r="Y36798" s="372">
        <v>0.0</v>
      </c>
      <c r="Z36798" s="372">
        <v>0.0</v>
      </c>
    </row>
    <row r="36799">
      <c r="Y36799" s="372">
        <v>0.0</v>
      </c>
      <c r="Z36799" s="372">
        <v>0.0</v>
      </c>
    </row>
    <row r="36800">
      <c r="Y36800" s="372">
        <v>0.0</v>
      </c>
      <c r="Z36800" s="372">
        <v>0.0</v>
      </c>
    </row>
    <row r="36801">
      <c r="Y36801" s="372">
        <v>0.0</v>
      </c>
      <c r="Z36801" s="372">
        <v>0.0</v>
      </c>
    </row>
    <row r="36802">
      <c r="Y36802" s="372">
        <v>0.0</v>
      </c>
      <c r="Z36802" s="372">
        <v>0.0</v>
      </c>
    </row>
    <row r="36803">
      <c r="Y36803" s="372">
        <v>0.0</v>
      </c>
      <c r="Z36803" s="372">
        <v>0.0</v>
      </c>
    </row>
    <row r="36804">
      <c r="Y36804" s="372">
        <v>0.0</v>
      </c>
      <c r="Z36804" s="372">
        <v>0.0</v>
      </c>
    </row>
    <row r="36805">
      <c r="Y36805" s="372">
        <v>0.0</v>
      </c>
      <c r="Z36805" s="372">
        <v>0.0</v>
      </c>
    </row>
    <row r="36806">
      <c r="Y36806" s="372">
        <v>0.0</v>
      </c>
      <c r="Z36806" s="372">
        <v>0.0</v>
      </c>
    </row>
    <row r="36807">
      <c r="Y36807" s="372">
        <v>0.0</v>
      </c>
      <c r="Z36807" s="372">
        <v>0.0</v>
      </c>
    </row>
    <row r="36808">
      <c r="Y36808" s="372">
        <v>0.0</v>
      </c>
      <c r="Z36808" s="372">
        <v>0.0</v>
      </c>
    </row>
    <row r="36809">
      <c r="Y36809" s="372">
        <v>0.0</v>
      </c>
      <c r="Z36809" s="372">
        <v>0.0</v>
      </c>
    </row>
    <row r="36810">
      <c r="Y36810" s="372">
        <v>0.0</v>
      </c>
      <c r="Z36810" s="372">
        <v>0.0</v>
      </c>
    </row>
    <row r="36811">
      <c r="Y36811" s="372">
        <v>0.0</v>
      </c>
      <c r="Z36811" s="372">
        <v>0.0</v>
      </c>
    </row>
    <row r="36812">
      <c r="Y36812" s="372">
        <v>0.0</v>
      </c>
      <c r="Z36812" s="372">
        <v>0.0</v>
      </c>
    </row>
    <row r="36813">
      <c r="Y36813" s="372">
        <v>0.0</v>
      </c>
      <c r="Z36813" s="372">
        <v>0.0</v>
      </c>
    </row>
    <row r="36814">
      <c r="Y36814" s="372">
        <v>0.0</v>
      </c>
      <c r="Z36814" s="372">
        <v>0.0</v>
      </c>
    </row>
    <row r="36815">
      <c r="Y36815" s="372">
        <v>0.0</v>
      </c>
      <c r="Z36815" s="372">
        <v>0.0</v>
      </c>
    </row>
    <row r="36816">
      <c r="Y36816" s="372">
        <v>0.0</v>
      </c>
      <c r="Z36816" s="372">
        <v>0.0</v>
      </c>
    </row>
    <row r="36817">
      <c r="Y36817" s="372">
        <v>0.0</v>
      </c>
      <c r="Z36817" s="372">
        <v>0.0</v>
      </c>
    </row>
    <row r="36818">
      <c r="Y36818" s="372">
        <v>0.0</v>
      </c>
      <c r="Z36818" s="372">
        <v>0.0</v>
      </c>
    </row>
    <row r="36819">
      <c r="Y36819" s="372">
        <v>0.0</v>
      </c>
      <c r="Z36819" s="372">
        <v>0.0</v>
      </c>
    </row>
    <row r="36820">
      <c r="Y36820" s="372">
        <v>0.0</v>
      </c>
      <c r="Z36820" s="372">
        <v>0.0</v>
      </c>
    </row>
    <row r="36821">
      <c r="Y36821" s="372">
        <v>0.0</v>
      </c>
      <c r="Z36821" s="372">
        <v>0.0</v>
      </c>
    </row>
    <row r="36822">
      <c r="Y36822" s="372">
        <v>0.0</v>
      </c>
      <c r="Z36822" s="372">
        <v>0.0</v>
      </c>
    </row>
    <row r="36823">
      <c r="Y36823" s="372">
        <v>0.0</v>
      </c>
      <c r="Z36823" s="372">
        <v>0.0</v>
      </c>
    </row>
    <row r="36824">
      <c r="Y36824" s="372">
        <v>0.0</v>
      </c>
      <c r="Z36824" s="372">
        <v>0.0</v>
      </c>
    </row>
    <row r="36825">
      <c r="Y36825" s="372">
        <v>0.0</v>
      </c>
      <c r="Z36825" s="372">
        <v>0.0</v>
      </c>
    </row>
    <row r="36826">
      <c r="Y36826" s="372">
        <v>0.0</v>
      </c>
      <c r="Z36826" s="372">
        <v>0.0</v>
      </c>
    </row>
    <row r="36827">
      <c r="Y36827" s="372">
        <v>0.0</v>
      </c>
      <c r="Z36827" s="372">
        <v>0.0</v>
      </c>
    </row>
    <row r="36828">
      <c r="Y36828" s="372">
        <v>0.0</v>
      </c>
      <c r="Z36828" s="372">
        <v>0.0</v>
      </c>
    </row>
    <row r="36829">
      <c r="Y36829" s="372">
        <v>0.0</v>
      </c>
      <c r="Z36829" s="372">
        <v>0.0</v>
      </c>
    </row>
    <row r="36830">
      <c r="Y36830" s="372">
        <v>0.0</v>
      </c>
      <c r="Z36830" s="372">
        <v>0.0</v>
      </c>
    </row>
    <row r="36831">
      <c r="Y36831" s="372">
        <v>0.0</v>
      </c>
      <c r="Z36831" s="372">
        <v>0.0</v>
      </c>
    </row>
    <row r="36832">
      <c r="Y36832" s="372">
        <v>0.0</v>
      </c>
      <c r="Z36832" s="372">
        <v>0.0</v>
      </c>
    </row>
    <row r="36833">
      <c r="Y36833" s="372">
        <v>0.0</v>
      </c>
      <c r="Z36833" s="372">
        <v>0.0</v>
      </c>
    </row>
    <row r="36834">
      <c r="Y36834" s="372">
        <v>0.0</v>
      </c>
      <c r="Z36834" s="372">
        <v>0.0</v>
      </c>
    </row>
    <row r="36835">
      <c r="Y36835" s="372">
        <v>0.0</v>
      </c>
      <c r="Z36835" s="372">
        <v>0.0</v>
      </c>
    </row>
    <row r="36836">
      <c r="Y36836" s="372">
        <v>0.0</v>
      </c>
      <c r="Z36836" s="372">
        <v>0.0</v>
      </c>
    </row>
    <row r="36837">
      <c r="Y36837" s="372">
        <v>0.0</v>
      </c>
      <c r="Z36837" s="372">
        <v>0.0</v>
      </c>
    </row>
    <row r="36838">
      <c r="Y36838" s="372">
        <v>0.0</v>
      </c>
      <c r="Z36838" s="372">
        <v>0.0</v>
      </c>
    </row>
    <row r="36839">
      <c r="Y36839" s="372">
        <v>0.0</v>
      </c>
      <c r="Z36839" s="372">
        <v>0.0</v>
      </c>
    </row>
    <row r="36840">
      <c r="Y36840" s="372">
        <v>0.0</v>
      </c>
      <c r="Z36840" s="372">
        <v>0.0</v>
      </c>
    </row>
    <row r="36841">
      <c r="Y36841" s="372">
        <v>0.0</v>
      </c>
      <c r="Z36841" s="372">
        <v>0.0</v>
      </c>
    </row>
    <row r="36842">
      <c r="Y36842" s="372">
        <v>0.0</v>
      </c>
      <c r="Z36842" s="372">
        <v>0.0</v>
      </c>
    </row>
    <row r="36843">
      <c r="Y36843" s="372">
        <v>0.0</v>
      </c>
      <c r="Z36843" s="372">
        <v>0.0</v>
      </c>
    </row>
    <row r="36844">
      <c r="Y36844" s="372">
        <v>0.0</v>
      </c>
      <c r="Z36844" s="372">
        <v>0.0</v>
      </c>
    </row>
    <row r="36845">
      <c r="Y36845" s="372">
        <v>0.0</v>
      </c>
      <c r="Z36845" s="372">
        <v>0.0</v>
      </c>
    </row>
    <row r="36846">
      <c r="Y36846" s="372">
        <v>0.0</v>
      </c>
      <c r="Z36846" s="372">
        <v>0.0</v>
      </c>
    </row>
    <row r="36847">
      <c r="Y36847" s="372">
        <v>0.0</v>
      </c>
      <c r="Z36847" s="372">
        <v>0.0</v>
      </c>
    </row>
    <row r="36848">
      <c r="Y36848" s="372">
        <v>0.0</v>
      </c>
      <c r="Z36848" s="372">
        <v>0.0</v>
      </c>
    </row>
    <row r="36849">
      <c r="Y36849" s="372">
        <v>0.0</v>
      </c>
      <c r="Z36849" s="372">
        <v>0.0</v>
      </c>
    </row>
    <row r="36850">
      <c r="Y36850" s="372">
        <v>0.0</v>
      </c>
      <c r="Z36850" s="372">
        <v>0.0</v>
      </c>
    </row>
    <row r="36851">
      <c r="Y36851" s="372">
        <v>0.0</v>
      </c>
      <c r="Z36851" s="372">
        <v>0.0</v>
      </c>
    </row>
    <row r="36852">
      <c r="Y36852" s="372">
        <v>0.0</v>
      </c>
      <c r="Z36852" s="372">
        <v>0.0</v>
      </c>
    </row>
    <row r="36853">
      <c r="Y36853" s="372">
        <v>0.0</v>
      </c>
      <c r="Z36853" s="372">
        <v>0.0</v>
      </c>
    </row>
    <row r="36854">
      <c r="Y36854" s="372">
        <v>0.0</v>
      </c>
      <c r="Z36854" s="372">
        <v>0.0</v>
      </c>
    </row>
    <row r="36855">
      <c r="Y36855" s="372">
        <v>0.0</v>
      </c>
      <c r="Z36855" s="372">
        <v>0.0</v>
      </c>
    </row>
    <row r="36856">
      <c r="Y36856" s="372">
        <v>0.0</v>
      </c>
      <c r="Z36856" s="372">
        <v>0.0</v>
      </c>
    </row>
    <row r="36857">
      <c r="Y36857" s="372">
        <v>0.0</v>
      </c>
      <c r="Z36857" s="372">
        <v>0.0</v>
      </c>
    </row>
    <row r="36858">
      <c r="Y36858" s="372">
        <v>0.0</v>
      </c>
      <c r="Z36858" s="372">
        <v>0.0</v>
      </c>
    </row>
    <row r="36859">
      <c r="Y36859" s="372">
        <v>0.0</v>
      </c>
      <c r="Z36859" s="372">
        <v>0.0</v>
      </c>
    </row>
    <row r="36860">
      <c r="Y36860" s="372">
        <v>0.0</v>
      </c>
      <c r="Z36860" s="372">
        <v>0.0</v>
      </c>
    </row>
    <row r="36861">
      <c r="Y36861" s="372">
        <v>0.0</v>
      </c>
      <c r="Z36861" s="372">
        <v>0.0</v>
      </c>
    </row>
    <row r="36862">
      <c r="Y36862" s="372">
        <v>0.0</v>
      </c>
      <c r="Z36862" s="372">
        <v>0.0</v>
      </c>
    </row>
    <row r="36863">
      <c r="Y36863" s="372">
        <v>0.0</v>
      </c>
      <c r="Z36863" s="372">
        <v>0.0</v>
      </c>
    </row>
    <row r="36864">
      <c r="Y36864" s="372">
        <v>0.0</v>
      </c>
      <c r="Z36864" s="372">
        <v>0.0</v>
      </c>
    </row>
    <row r="36865">
      <c r="Y36865" s="372">
        <v>0.0</v>
      </c>
      <c r="Z36865" s="372">
        <v>0.0</v>
      </c>
    </row>
    <row r="36866">
      <c r="Y36866" s="372">
        <v>0.0</v>
      </c>
      <c r="Z36866" s="372">
        <v>0.0</v>
      </c>
    </row>
    <row r="36867">
      <c r="Y36867" s="372">
        <v>0.0</v>
      </c>
      <c r="Z36867" s="372">
        <v>0.0</v>
      </c>
    </row>
    <row r="36868">
      <c r="Y36868" s="372">
        <v>0.0</v>
      </c>
      <c r="Z36868" s="372">
        <v>0.0</v>
      </c>
    </row>
    <row r="36869">
      <c r="Y36869" s="372">
        <v>0.0</v>
      </c>
      <c r="Z36869" s="372">
        <v>0.0</v>
      </c>
    </row>
    <row r="36870">
      <c r="Y36870" s="372">
        <v>0.0</v>
      </c>
      <c r="Z36870" s="372">
        <v>0.0</v>
      </c>
    </row>
    <row r="36871">
      <c r="Y36871" s="372">
        <v>0.0</v>
      </c>
      <c r="Z36871" s="372">
        <v>0.0</v>
      </c>
    </row>
    <row r="36872">
      <c r="Y36872" s="372">
        <v>0.0</v>
      </c>
      <c r="Z36872" s="372">
        <v>0.0</v>
      </c>
    </row>
    <row r="36873">
      <c r="Y36873" s="372">
        <v>0.0</v>
      </c>
      <c r="Z36873" s="372">
        <v>0.0</v>
      </c>
    </row>
    <row r="36874">
      <c r="Y36874" s="372">
        <v>0.0</v>
      </c>
      <c r="Z36874" s="372">
        <v>0.0</v>
      </c>
    </row>
    <row r="36875">
      <c r="Y36875" s="372">
        <v>0.0</v>
      </c>
      <c r="Z36875" s="372">
        <v>0.0</v>
      </c>
    </row>
    <row r="36876">
      <c r="Y36876" s="372">
        <v>0.0</v>
      </c>
      <c r="Z36876" s="372">
        <v>0.0</v>
      </c>
    </row>
    <row r="36877">
      <c r="Y36877" s="372">
        <v>0.0</v>
      </c>
      <c r="Z36877" s="372">
        <v>0.0</v>
      </c>
    </row>
    <row r="36878">
      <c r="Y36878" s="372">
        <v>0.0</v>
      </c>
      <c r="Z36878" s="372">
        <v>0.0</v>
      </c>
    </row>
    <row r="36879">
      <c r="Y36879" s="372">
        <v>0.0</v>
      </c>
      <c r="Z36879" s="372">
        <v>0.0</v>
      </c>
    </row>
    <row r="36880">
      <c r="Y36880" s="372">
        <v>0.0</v>
      </c>
      <c r="Z36880" s="372">
        <v>0.0</v>
      </c>
    </row>
    <row r="36881">
      <c r="Y36881" s="372">
        <v>0.0</v>
      </c>
      <c r="Z36881" s="372">
        <v>0.0</v>
      </c>
    </row>
    <row r="36882">
      <c r="Y36882" s="372">
        <v>0.0</v>
      </c>
      <c r="Z36882" s="372">
        <v>0.0</v>
      </c>
    </row>
    <row r="36883">
      <c r="Y36883" s="372">
        <v>0.0</v>
      </c>
      <c r="Z36883" s="372">
        <v>0.0</v>
      </c>
    </row>
    <row r="36884">
      <c r="Y36884" s="372">
        <v>0.0</v>
      </c>
      <c r="Z36884" s="372">
        <v>0.0</v>
      </c>
    </row>
    <row r="36885">
      <c r="Y36885" s="372">
        <v>0.0</v>
      </c>
      <c r="Z36885" s="372">
        <v>0.0</v>
      </c>
    </row>
    <row r="36886">
      <c r="Y36886" s="372">
        <v>0.0</v>
      </c>
      <c r="Z36886" s="372">
        <v>0.0</v>
      </c>
    </row>
    <row r="36887">
      <c r="Y36887" s="372">
        <v>0.0</v>
      </c>
      <c r="Z36887" s="372">
        <v>0.0</v>
      </c>
    </row>
    <row r="36888">
      <c r="Y36888" s="372">
        <v>0.0</v>
      </c>
      <c r="Z36888" s="372">
        <v>0.0</v>
      </c>
    </row>
    <row r="36889">
      <c r="Y36889" s="372">
        <v>0.0</v>
      </c>
      <c r="Z36889" s="372">
        <v>0.0</v>
      </c>
    </row>
    <row r="36890">
      <c r="Y36890" s="372">
        <v>0.0</v>
      </c>
      <c r="Z36890" s="372">
        <v>0.0</v>
      </c>
    </row>
    <row r="36891">
      <c r="Y36891" s="372">
        <v>0.0</v>
      </c>
      <c r="Z36891" s="372">
        <v>0.0</v>
      </c>
    </row>
    <row r="36892">
      <c r="Y36892" s="372">
        <v>0.0</v>
      </c>
      <c r="Z36892" s="372">
        <v>0.0</v>
      </c>
    </row>
    <row r="36893">
      <c r="Y36893" s="372">
        <v>0.0</v>
      </c>
      <c r="Z36893" s="372">
        <v>0.0</v>
      </c>
    </row>
    <row r="36894">
      <c r="Y36894" s="372">
        <v>0.0</v>
      </c>
      <c r="Z36894" s="372">
        <v>0.0</v>
      </c>
    </row>
    <row r="36895">
      <c r="Y36895" s="372">
        <v>0.0</v>
      </c>
      <c r="Z36895" s="372">
        <v>0.0</v>
      </c>
    </row>
    <row r="36896">
      <c r="Y36896" s="372">
        <v>0.0</v>
      </c>
      <c r="Z36896" s="372">
        <v>0.0</v>
      </c>
    </row>
    <row r="36897">
      <c r="Y36897" s="372">
        <v>0.0</v>
      </c>
      <c r="Z36897" s="372">
        <v>0.0</v>
      </c>
    </row>
    <row r="36898">
      <c r="Y36898" s="372">
        <v>0.0</v>
      </c>
      <c r="Z36898" s="372">
        <v>0.0</v>
      </c>
    </row>
    <row r="36899">
      <c r="Y36899" s="372">
        <v>0.0</v>
      </c>
      <c r="Z36899" s="372">
        <v>0.0</v>
      </c>
    </row>
    <row r="36900">
      <c r="Y36900" s="372">
        <v>0.0</v>
      </c>
      <c r="Z36900" s="372">
        <v>0.0</v>
      </c>
    </row>
    <row r="36901">
      <c r="Y36901" s="372">
        <v>0.0</v>
      </c>
      <c r="Z36901" s="372">
        <v>0.0</v>
      </c>
    </row>
    <row r="36902">
      <c r="Y36902" s="372">
        <v>0.0</v>
      </c>
      <c r="Z36902" s="372">
        <v>0.0</v>
      </c>
    </row>
    <row r="36903">
      <c r="Y36903" s="372">
        <v>0.0</v>
      </c>
      <c r="Z36903" s="372">
        <v>0.0</v>
      </c>
    </row>
    <row r="36904">
      <c r="Y36904" s="372">
        <v>0.0</v>
      </c>
      <c r="Z36904" s="372">
        <v>0.0</v>
      </c>
    </row>
    <row r="36905">
      <c r="Y36905" s="372">
        <v>0.0</v>
      </c>
      <c r="Z36905" s="372">
        <v>0.0</v>
      </c>
    </row>
    <row r="36906">
      <c r="Y36906" s="372">
        <v>0.0</v>
      </c>
      <c r="Z36906" s="372">
        <v>0.0</v>
      </c>
    </row>
    <row r="36907">
      <c r="Y36907" s="372">
        <v>0.0</v>
      </c>
      <c r="Z36907" s="372">
        <v>0.0</v>
      </c>
    </row>
    <row r="36908">
      <c r="Y36908" s="372">
        <v>0.0</v>
      </c>
      <c r="Z36908" s="372">
        <v>0.0</v>
      </c>
    </row>
    <row r="36909">
      <c r="Y36909" s="372">
        <v>0.0</v>
      </c>
      <c r="Z36909" s="372">
        <v>0.0</v>
      </c>
    </row>
    <row r="36910">
      <c r="Y36910" s="372">
        <v>0.0</v>
      </c>
      <c r="Z36910" s="372">
        <v>0.0</v>
      </c>
    </row>
    <row r="36911">
      <c r="Y36911" s="372">
        <v>0.0</v>
      </c>
      <c r="Z36911" s="372">
        <v>0.0</v>
      </c>
    </row>
    <row r="36912">
      <c r="Y36912" s="372">
        <v>0.0</v>
      </c>
      <c r="Z36912" s="372">
        <v>0.0</v>
      </c>
    </row>
    <row r="36913">
      <c r="Y36913" s="372">
        <v>0.0</v>
      </c>
      <c r="Z36913" s="372">
        <v>0.0</v>
      </c>
    </row>
    <row r="36914">
      <c r="Y36914" s="372">
        <v>0.0</v>
      </c>
      <c r="Z36914" s="372">
        <v>0.0</v>
      </c>
    </row>
    <row r="36915">
      <c r="Y36915" s="372">
        <v>0.0</v>
      </c>
      <c r="Z36915" s="372">
        <v>0.0</v>
      </c>
    </row>
    <row r="36916">
      <c r="Y36916" s="372">
        <v>0.0</v>
      </c>
      <c r="Z36916" s="372">
        <v>0.0</v>
      </c>
    </row>
    <row r="36917">
      <c r="Y36917" s="372">
        <v>0.0</v>
      </c>
      <c r="Z36917" s="372">
        <v>0.0</v>
      </c>
    </row>
    <row r="36918">
      <c r="Y36918" s="372">
        <v>0.0</v>
      </c>
      <c r="Z36918" s="372">
        <v>0.0</v>
      </c>
    </row>
    <row r="36919">
      <c r="Y36919" s="372">
        <v>0.0</v>
      </c>
      <c r="Z36919" s="372">
        <v>0.0</v>
      </c>
    </row>
    <row r="36920">
      <c r="Y36920" s="372">
        <v>0.0</v>
      </c>
      <c r="Z36920" s="372">
        <v>0.0</v>
      </c>
    </row>
    <row r="36921">
      <c r="Y36921" s="372">
        <v>0.0</v>
      </c>
      <c r="Z36921" s="372">
        <v>0.0</v>
      </c>
    </row>
    <row r="36922">
      <c r="Y36922" s="372">
        <v>0.0</v>
      </c>
      <c r="Z36922" s="372">
        <v>0.0</v>
      </c>
    </row>
    <row r="36923">
      <c r="Y36923" s="372">
        <v>0.0</v>
      </c>
      <c r="Z36923" s="372">
        <v>0.0</v>
      </c>
    </row>
    <row r="36924">
      <c r="Y36924" s="372">
        <v>0.0</v>
      </c>
      <c r="Z36924" s="372">
        <v>0.0</v>
      </c>
    </row>
    <row r="36925">
      <c r="Y36925" s="372">
        <v>0.0</v>
      </c>
      <c r="Z36925" s="372">
        <v>0.0</v>
      </c>
    </row>
    <row r="36926">
      <c r="Y36926" s="372">
        <v>0.0</v>
      </c>
      <c r="Z36926" s="372">
        <v>0.0</v>
      </c>
    </row>
    <row r="36927">
      <c r="Y36927" s="372">
        <v>0.0</v>
      </c>
      <c r="Z36927" s="372">
        <v>0.0</v>
      </c>
    </row>
    <row r="36928">
      <c r="Y36928" s="372">
        <v>0.0</v>
      </c>
      <c r="Z36928" s="372">
        <v>0.0</v>
      </c>
    </row>
    <row r="36929">
      <c r="Y36929" s="372">
        <v>0.0</v>
      </c>
      <c r="Z36929" s="372">
        <v>0.0</v>
      </c>
    </row>
    <row r="36930">
      <c r="Y36930" s="372">
        <v>0.0</v>
      </c>
      <c r="Z36930" s="372">
        <v>0.0</v>
      </c>
    </row>
    <row r="36931">
      <c r="Y36931" s="372">
        <v>0.0</v>
      </c>
      <c r="Z36931" s="372">
        <v>0.0</v>
      </c>
    </row>
    <row r="36932">
      <c r="Y36932" s="372">
        <v>0.0</v>
      </c>
      <c r="Z36932" s="372">
        <v>0.0</v>
      </c>
    </row>
    <row r="36933">
      <c r="Y36933" s="372">
        <v>0.0</v>
      </c>
      <c r="Z36933" s="372">
        <v>0.0</v>
      </c>
    </row>
    <row r="36934">
      <c r="Y36934" s="372">
        <v>0.0</v>
      </c>
      <c r="Z36934" s="372">
        <v>0.0</v>
      </c>
    </row>
    <row r="36935">
      <c r="Y36935" s="372">
        <v>0.0</v>
      </c>
      <c r="Z36935" s="372">
        <v>0.0</v>
      </c>
    </row>
    <row r="36936">
      <c r="Y36936" s="372">
        <v>0.0</v>
      </c>
      <c r="Z36936" s="372">
        <v>0.0</v>
      </c>
    </row>
    <row r="36937">
      <c r="Y36937" s="372">
        <v>0.0</v>
      </c>
      <c r="Z36937" s="372">
        <v>0.0</v>
      </c>
    </row>
    <row r="36938">
      <c r="Y36938" s="372">
        <v>0.0</v>
      </c>
      <c r="Z36938" s="372">
        <v>0.0</v>
      </c>
    </row>
    <row r="36939">
      <c r="Y36939" s="372">
        <v>0.0</v>
      </c>
      <c r="Z36939" s="372">
        <v>0.0</v>
      </c>
    </row>
    <row r="36940">
      <c r="Y36940" s="372">
        <v>0.0</v>
      </c>
      <c r="Z36940" s="372">
        <v>0.0</v>
      </c>
    </row>
    <row r="36941">
      <c r="Y36941" s="372">
        <v>0.0</v>
      </c>
      <c r="Z36941" s="372">
        <v>0.0</v>
      </c>
    </row>
    <row r="36942">
      <c r="Y36942" s="372">
        <v>0.0</v>
      </c>
      <c r="Z36942" s="372">
        <v>0.0</v>
      </c>
    </row>
    <row r="36943">
      <c r="Y36943" s="372">
        <v>0.0</v>
      </c>
      <c r="Z36943" s="372">
        <v>0.0</v>
      </c>
    </row>
    <row r="36944">
      <c r="Y36944" s="372">
        <v>0.0</v>
      </c>
      <c r="Z36944" s="372">
        <v>0.0</v>
      </c>
    </row>
    <row r="36945">
      <c r="Y36945" s="372">
        <v>0.0</v>
      </c>
      <c r="Z36945" s="372">
        <v>0.0</v>
      </c>
    </row>
    <row r="36946">
      <c r="Y36946" s="372">
        <v>0.0</v>
      </c>
      <c r="Z36946" s="372">
        <v>0.0</v>
      </c>
    </row>
    <row r="36947">
      <c r="Y36947" s="372">
        <v>0.0</v>
      </c>
      <c r="Z36947" s="372">
        <v>0.0</v>
      </c>
    </row>
    <row r="36948">
      <c r="Y36948" s="372">
        <v>0.0</v>
      </c>
      <c r="Z36948" s="372">
        <v>0.0</v>
      </c>
    </row>
    <row r="36949">
      <c r="Y36949" s="372">
        <v>0.0</v>
      </c>
      <c r="Z36949" s="372">
        <v>0.0</v>
      </c>
    </row>
    <row r="36950">
      <c r="Y36950" s="372">
        <v>0.0</v>
      </c>
      <c r="Z36950" s="372">
        <v>0.0</v>
      </c>
    </row>
    <row r="36951">
      <c r="Y36951" s="372">
        <v>0.0</v>
      </c>
      <c r="Z36951" s="372">
        <v>0.0</v>
      </c>
    </row>
    <row r="36952">
      <c r="Y36952" s="372">
        <v>0.0</v>
      </c>
      <c r="Z36952" s="372">
        <v>0.0</v>
      </c>
    </row>
    <row r="36953">
      <c r="Y36953" s="372">
        <v>0.0</v>
      </c>
      <c r="Z36953" s="372">
        <v>0.0</v>
      </c>
    </row>
    <row r="36954">
      <c r="Y36954" s="372">
        <v>0.0</v>
      </c>
      <c r="Z36954" s="372">
        <v>0.0</v>
      </c>
    </row>
    <row r="36955">
      <c r="Y36955" s="372">
        <v>0.0</v>
      </c>
      <c r="Z36955" s="372">
        <v>0.0</v>
      </c>
    </row>
    <row r="36956">
      <c r="Y36956" s="372">
        <v>0.0</v>
      </c>
      <c r="Z36956" s="372">
        <v>0.0</v>
      </c>
    </row>
    <row r="36957">
      <c r="Y36957" s="372">
        <v>0.0</v>
      </c>
      <c r="Z36957" s="372">
        <v>0.0</v>
      </c>
    </row>
    <row r="36958">
      <c r="Y36958" s="372">
        <v>0.0</v>
      </c>
      <c r="Z36958" s="372">
        <v>0.0</v>
      </c>
    </row>
    <row r="36959">
      <c r="Y36959" s="372">
        <v>0.0</v>
      </c>
      <c r="Z36959" s="372">
        <v>0.0</v>
      </c>
    </row>
    <row r="36960">
      <c r="Y36960" s="372">
        <v>0.0</v>
      </c>
      <c r="Z36960" s="372">
        <v>0.0</v>
      </c>
    </row>
    <row r="36961">
      <c r="Y36961" s="372">
        <v>0.0</v>
      </c>
      <c r="Z36961" s="372">
        <v>0.0</v>
      </c>
    </row>
    <row r="36962">
      <c r="Y36962" s="372">
        <v>0.0</v>
      </c>
      <c r="Z36962" s="372">
        <v>0.0</v>
      </c>
    </row>
    <row r="36963">
      <c r="Y36963" s="372">
        <v>0.0</v>
      </c>
      <c r="Z36963" s="372">
        <v>0.0</v>
      </c>
    </row>
    <row r="36964">
      <c r="Y36964" s="372">
        <v>0.0</v>
      </c>
      <c r="Z36964" s="372">
        <v>0.0</v>
      </c>
    </row>
    <row r="36965">
      <c r="Y36965" s="372">
        <v>0.0</v>
      </c>
      <c r="Z36965" s="372">
        <v>0.0</v>
      </c>
    </row>
    <row r="36966">
      <c r="Y36966" s="372">
        <v>0.0</v>
      </c>
      <c r="Z36966" s="372">
        <v>0.0</v>
      </c>
    </row>
    <row r="36967">
      <c r="Y36967" s="372">
        <v>0.0</v>
      </c>
      <c r="Z36967" s="372">
        <v>0.0</v>
      </c>
    </row>
    <row r="36968">
      <c r="Y36968" s="372">
        <v>0.0</v>
      </c>
      <c r="Z36968" s="372">
        <v>0.0</v>
      </c>
    </row>
    <row r="36969">
      <c r="Y36969" s="372">
        <v>0.0</v>
      </c>
      <c r="Z36969" s="372">
        <v>0.0</v>
      </c>
    </row>
    <row r="36970">
      <c r="Y36970" s="372">
        <v>0.0</v>
      </c>
      <c r="Z36970" s="372">
        <v>0.0</v>
      </c>
    </row>
    <row r="36971">
      <c r="Y36971" s="372">
        <v>0.0</v>
      </c>
      <c r="Z36971" s="372">
        <v>0.0</v>
      </c>
    </row>
    <row r="36972">
      <c r="Y36972" s="372">
        <v>0.0</v>
      </c>
      <c r="Z36972" s="372">
        <v>0.0</v>
      </c>
    </row>
    <row r="36973">
      <c r="Y36973" s="372">
        <v>0.0</v>
      </c>
      <c r="Z36973" s="372">
        <v>0.0</v>
      </c>
    </row>
    <row r="36974">
      <c r="Y36974" s="372">
        <v>0.0</v>
      </c>
      <c r="Z36974" s="372">
        <v>0.0</v>
      </c>
    </row>
    <row r="36975">
      <c r="Y36975" s="372">
        <v>0.0</v>
      </c>
      <c r="Z36975" s="372">
        <v>0.0</v>
      </c>
    </row>
    <row r="36976">
      <c r="Y36976" s="372">
        <v>0.0</v>
      </c>
      <c r="Z36976" s="372">
        <v>0.0</v>
      </c>
    </row>
    <row r="36977">
      <c r="Y36977" s="372">
        <v>0.0</v>
      </c>
      <c r="Z36977" s="372">
        <v>0.0</v>
      </c>
    </row>
    <row r="36978">
      <c r="Y36978" s="372">
        <v>0.0</v>
      </c>
      <c r="Z36978" s="372">
        <v>0.0</v>
      </c>
    </row>
    <row r="36979">
      <c r="Y36979" s="372">
        <v>0.0</v>
      </c>
      <c r="Z36979" s="372">
        <v>0.0</v>
      </c>
    </row>
    <row r="36980">
      <c r="Y36980" s="372">
        <v>0.0</v>
      </c>
      <c r="Z36980" s="372">
        <v>0.0</v>
      </c>
    </row>
    <row r="36981">
      <c r="Y36981" s="372">
        <v>0.0</v>
      </c>
      <c r="Z36981" s="372">
        <v>0.0</v>
      </c>
    </row>
    <row r="36982">
      <c r="Y36982" s="372">
        <v>0.0</v>
      </c>
      <c r="Z36982" s="372">
        <v>0.0</v>
      </c>
    </row>
    <row r="36983">
      <c r="Y36983" s="372">
        <v>0.0</v>
      </c>
      <c r="Z36983" s="372">
        <v>0.0</v>
      </c>
    </row>
    <row r="36984">
      <c r="Y36984" s="372">
        <v>0.0</v>
      </c>
      <c r="Z36984" s="372">
        <v>0.0</v>
      </c>
    </row>
    <row r="36985">
      <c r="Y36985" s="372">
        <v>0.0</v>
      </c>
      <c r="Z36985" s="372">
        <v>0.0</v>
      </c>
    </row>
    <row r="36986">
      <c r="Y36986" s="372">
        <v>0.0</v>
      </c>
      <c r="Z36986" s="372">
        <v>0.0</v>
      </c>
    </row>
    <row r="36987">
      <c r="Y36987" s="372">
        <v>0.0</v>
      </c>
      <c r="Z36987" s="372">
        <v>0.0</v>
      </c>
    </row>
    <row r="36988">
      <c r="Y36988" s="372">
        <v>0.0</v>
      </c>
      <c r="Z36988" s="372">
        <v>0.0</v>
      </c>
    </row>
    <row r="36989">
      <c r="Y36989" s="372">
        <v>0.0</v>
      </c>
      <c r="Z36989" s="372">
        <v>0.0</v>
      </c>
    </row>
    <row r="36990">
      <c r="Y36990" s="372">
        <v>0.0</v>
      </c>
      <c r="Z36990" s="372">
        <v>0.0</v>
      </c>
    </row>
    <row r="36991">
      <c r="Y36991" s="372">
        <v>0.0</v>
      </c>
      <c r="Z36991" s="372">
        <v>0.0</v>
      </c>
    </row>
    <row r="36992">
      <c r="Y36992" s="372">
        <v>0.0</v>
      </c>
      <c r="Z36992" s="372">
        <v>0.0</v>
      </c>
    </row>
    <row r="36993">
      <c r="Y36993" s="372">
        <v>0.0</v>
      </c>
      <c r="Z36993" s="372">
        <v>0.0</v>
      </c>
    </row>
    <row r="36994">
      <c r="Y36994" s="372">
        <v>0.0</v>
      </c>
      <c r="Z36994" s="372">
        <v>0.0</v>
      </c>
    </row>
    <row r="36995">
      <c r="Y36995" s="372">
        <v>0.0</v>
      </c>
      <c r="Z36995" s="372">
        <v>0.0</v>
      </c>
    </row>
    <row r="36996">
      <c r="Y36996" s="372">
        <v>0.0</v>
      </c>
      <c r="Z36996" s="372">
        <v>0.0</v>
      </c>
    </row>
    <row r="36997">
      <c r="Y36997" s="372">
        <v>0.0</v>
      </c>
      <c r="Z36997" s="372">
        <v>0.0</v>
      </c>
    </row>
    <row r="36998">
      <c r="Y36998" s="372">
        <v>0.0</v>
      </c>
      <c r="Z36998" s="372">
        <v>0.0</v>
      </c>
    </row>
    <row r="36999">
      <c r="Y36999" s="372">
        <v>0.0</v>
      </c>
      <c r="Z36999" s="372">
        <v>0.0</v>
      </c>
    </row>
    <row r="37000">
      <c r="Y37000" s="372">
        <v>0.0</v>
      </c>
      <c r="Z37000" s="372">
        <v>0.0</v>
      </c>
    </row>
    <row r="37001">
      <c r="Y37001" s="372">
        <v>0.0</v>
      </c>
      <c r="Z37001" s="372">
        <v>0.0</v>
      </c>
    </row>
    <row r="37002">
      <c r="Y37002" s="372">
        <v>0.0</v>
      </c>
      <c r="Z37002" s="372">
        <v>0.0</v>
      </c>
    </row>
    <row r="37003">
      <c r="Y37003" s="372">
        <v>0.0</v>
      </c>
      <c r="Z37003" s="372">
        <v>0.0</v>
      </c>
    </row>
    <row r="37004">
      <c r="Y37004" s="372">
        <v>0.0</v>
      </c>
      <c r="Z37004" s="372">
        <v>0.0</v>
      </c>
    </row>
    <row r="37005">
      <c r="Y37005" s="372">
        <v>0.0</v>
      </c>
      <c r="Z37005" s="372">
        <v>0.0</v>
      </c>
    </row>
    <row r="37006">
      <c r="Y37006" s="372">
        <v>0.0</v>
      </c>
      <c r="Z37006" s="372">
        <v>0.0</v>
      </c>
    </row>
    <row r="37007">
      <c r="Y37007" s="372">
        <v>0.0</v>
      </c>
      <c r="Z37007" s="372">
        <v>0.0</v>
      </c>
    </row>
    <row r="37008">
      <c r="Y37008" s="372">
        <v>0.0</v>
      </c>
      <c r="Z37008" s="372">
        <v>0.0</v>
      </c>
    </row>
    <row r="37009">
      <c r="Y37009" s="372">
        <v>0.0</v>
      </c>
      <c r="Z37009" s="372">
        <v>0.0</v>
      </c>
    </row>
    <row r="37010">
      <c r="Y37010" s="372">
        <v>0.0</v>
      </c>
      <c r="Z37010" s="372">
        <v>0.0</v>
      </c>
    </row>
    <row r="37011">
      <c r="Y37011" s="372">
        <v>0.0</v>
      </c>
      <c r="Z37011" s="372">
        <v>0.0</v>
      </c>
    </row>
    <row r="37012">
      <c r="Y37012" s="372">
        <v>0.0</v>
      </c>
      <c r="Z37012" s="372">
        <v>0.0</v>
      </c>
    </row>
    <row r="37013">
      <c r="Y37013" s="372">
        <v>0.0</v>
      </c>
      <c r="Z37013" s="372">
        <v>0.0</v>
      </c>
    </row>
    <row r="37014">
      <c r="Y37014" s="372">
        <v>0.0</v>
      </c>
      <c r="Z37014" s="372">
        <v>0.0</v>
      </c>
    </row>
    <row r="37015">
      <c r="Y37015" s="372">
        <v>0.0</v>
      </c>
      <c r="Z37015" s="372">
        <v>0.0</v>
      </c>
    </row>
    <row r="37016">
      <c r="Y37016" s="372">
        <v>0.0</v>
      </c>
      <c r="Z37016" s="372">
        <v>0.0</v>
      </c>
    </row>
    <row r="37017">
      <c r="Y37017" s="372">
        <v>0.0</v>
      </c>
      <c r="Z37017" s="372">
        <v>0.0</v>
      </c>
    </row>
    <row r="37018">
      <c r="Y37018" s="372">
        <v>0.0</v>
      </c>
      <c r="Z37018" s="372">
        <v>0.0</v>
      </c>
    </row>
    <row r="37019">
      <c r="Y37019" s="372">
        <v>0.0</v>
      </c>
      <c r="Z37019" s="372">
        <v>0.0</v>
      </c>
    </row>
    <row r="37020">
      <c r="Y37020" s="372">
        <v>0.0</v>
      </c>
      <c r="Z37020" s="372">
        <v>0.0</v>
      </c>
    </row>
    <row r="37021">
      <c r="Y37021" s="372">
        <v>0.0</v>
      </c>
      <c r="Z37021" s="372">
        <v>0.0</v>
      </c>
    </row>
    <row r="37022">
      <c r="Y37022" s="372">
        <v>0.0</v>
      </c>
      <c r="Z37022" s="372">
        <v>0.0</v>
      </c>
    </row>
    <row r="37023">
      <c r="Y37023" s="372">
        <v>0.0</v>
      </c>
      <c r="Z37023" s="372">
        <v>0.0</v>
      </c>
    </row>
    <row r="37024">
      <c r="Y37024" s="372">
        <v>0.0</v>
      </c>
      <c r="Z37024" s="372">
        <v>0.0</v>
      </c>
    </row>
    <row r="37025">
      <c r="Y37025" s="372">
        <v>0.0</v>
      </c>
      <c r="Z37025" s="372">
        <v>0.0</v>
      </c>
    </row>
    <row r="37026">
      <c r="Y37026" s="372">
        <v>0.0</v>
      </c>
      <c r="Z37026" s="372">
        <v>0.0</v>
      </c>
    </row>
    <row r="37027">
      <c r="Y37027" s="372">
        <v>0.0</v>
      </c>
      <c r="Z37027" s="372">
        <v>0.0</v>
      </c>
    </row>
    <row r="37028">
      <c r="Y37028" s="372">
        <v>0.0</v>
      </c>
      <c r="Z37028" s="372">
        <v>0.0</v>
      </c>
    </row>
    <row r="37029">
      <c r="Y37029" s="372">
        <v>0.0</v>
      </c>
      <c r="Z37029" s="372">
        <v>0.0</v>
      </c>
    </row>
    <row r="37030">
      <c r="Y37030" s="372">
        <v>0.0</v>
      </c>
      <c r="Z37030" s="372">
        <v>0.0</v>
      </c>
    </row>
    <row r="37031">
      <c r="Y37031" s="372">
        <v>0.0</v>
      </c>
      <c r="Z37031" s="372">
        <v>0.0</v>
      </c>
    </row>
    <row r="37032">
      <c r="Y37032" s="372">
        <v>0.0</v>
      </c>
      <c r="Z37032" s="372">
        <v>0.0</v>
      </c>
    </row>
    <row r="37033">
      <c r="Y37033" s="372">
        <v>0.0</v>
      </c>
      <c r="Z37033" s="372">
        <v>0.0</v>
      </c>
    </row>
    <row r="37034">
      <c r="Y37034" s="372">
        <v>0.0</v>
      </c>
      <c r="Z37034" s="372">
        <v>0.0</v>
      </c>
    </row>
    <row r="37035">
      <c r="Y37035" s="372">
        <v>0.0</v>
      </c>
      <c r="Z37035" s="372">
        <v>0.0</v>
      </c>
    </row>
    <row r="37036">
      <c r="Y37036" s="372">
        <v>0.0</v>
      </c>
      <c r="Z37036" s="372">
        <v>0.0</v>
      </c>
    </row>
    <row r="37037">
      <c r="Y37037" s="372">
        <v>0.0</v>
      </c>
      <c r="Z37037" s="372">
        <v>0.0</v>
      </c>
    </row>
    <row r="37038">
      <c r="Y37038" s="372">
        <v>0.0</v>
      </c>
      <c r="Z37038" s="372">
        <v>0.0</v>
      </c>
    </row>
    <row r="37039">
      <c r="Y37039" s="372">
        <v>0.0</v>
      </c>
      <c r="Z37039" s="372">
        <v>0.0</v>
      </c>
    </row>
    <row r="37040">
      <c r="Y37040" s="372">
        <v>0.0</v>
      </c>
      <c r="Z37040" s="372">
        <v>0.0</v>
      </c>
    </row>
    <row r="37041">
      <c r="Y37041" s="372">
        <v>0.0</v>
      </c>
      <c r="Z37041" s="372">
        <v>0.0</v>
      </c>
    </row>
    <row r="37042">
      <c r="Y37042" s="372">
        <v>0.0</v>
      </c>
      <c r="Z37042" s="372">
        <v>0.0</v>
      </c>
    </row>
    <row r="37043">
      <c r="Y37043" s="372">
        <v>0.0</v>
      </c>
      <c r="Z37043" s="372">
        <v>0.0</v>
      </c>
    </row>
    <row r="37044">
      <c r="Y37044" s="372">
        <v>0.0</v>
      </c>
      <c r="Z37044" s="372">
        <v>0.0</v>
      </c>
    </row>
    <row r="37045">
      <c r="Y37045" s="372">
        <v>0.0</v>
      </c>
      <c r="Z37045" s="372">
        <v>0.0</v>
      </c>
    </row>
    <row r="37046">
      <c r="Y37046" s="372">
        <v>0.0</v>
      </c>
      <c r="Z37046" s="372">
        <v>0.0</v>
      </c>
    </row>
    <row r="37047">
      <c r="Y37047" s="372">
        <v>0.0</v>
      </c>
      <c r="Z37047" s="372">
        <v>0.0</v>
      </c>
    </row>
    <row r="37048">
      <c r="Y37048" s="372">
        <v>0.0</v>
      </c>
      <c r="Z37048" s="372">
        <v>0.0</v>
      </c>
    </row>
    <row r="37049">
      <c r="Y37049" s="372">
        <v>0.0</v>
      </c>
      <c r="Z37049" s="372">
        <v>0.0</v>
      </c>
    </row>
    <row r="37050">
      <c r="Y37050" s="372">
        <v>0.0</v>
      </c>
      <c r="Z37050" s="372">
        <v>0.0</v>
      </c>
    </row>
    <row r="37051">
      <c r="Y37051" s="372">
        <v>0.0</v>
      </c>
      <c r="Z37051" s="372">
        <v>0.0</v>
      </c>
    </row>
    <row r="37052">
      <c r="Y37052" s="372">
        <v>0.0</v>
      </c>
      <c r="Z37052" s="372">
        <v>0.0</v>
      </c>
    </row>
    <row r="37053">
      <c r="Y37053" s="372">
        <v>0.0</v>
      </c>
      <c r="Z37053" s="372">
        <v>0.0</v>
      </c>
    </row>
    <row r="37054">
      <c r="Y37054" s="372">
        <v>0.0</v>
      </c>
      <c r="Z37054" s="372">
        <v>0.0</v>
      </c>
    </row>
    <row r="37055">
      <c r="Y37055" s="372">
        <v>0.0</v>
      </c>
      <c r="Z37055" s="372">
        <v>0.0</v>
      </c>
    </row>
    <row r="37056">
      <c r="Y37056" s="372">
        <v>0.0</v>
      </c>
      <c r="Z37056" s="372">
        <v>0.0</v>
      </c>
    </row>
    <row r="37057">
      <c r="Y37057" s="372">
        <v>0.0</v>
      </c>
      <c r="Z37057" s="372">
        <v>0.0</v>
      </c>
    </row>
    <row r="37058">
      <c r="Y37058" s="372">
        <v>0.0</v>
      </c>
      <c r="Z37058" s="372">
        <v>0.0</v>
      </c>
    </row>
    <row r="37059">
      <c r="Y37059" s="372">
        <v>0.0</v>
      </c>
      <c r="Z37059" s="372">
        <v>0.0</v>
      </c>
    </row>
    <row r="37060">
      <c r="Y37060" s="372">
        <v>0.0</v>
      </c>
      <c r="Z37060" s="372">
        <v>0.0</v>
      </c>
    </row>
    <row r="37061">
      <c r="Y37061" s="372">
        <v>0.0</v>
      </c>
      <c r="Z37061" s="372">
        <v>0.0</v>
      </c>
    </row>
    <row r="37062">
      <c r="Y37062" s="372">
        <v>0.0</v>
      </c>
      <c r="Z37062" s="372">
        <v>0.0</v>
      </c>
    </row>
    <row r="37063">
      <c r="Y37063" s="372">
        <v>0.0</v>
      </c>
      <c r="Z37063" s="372">
        <v>0.0</v>
      </c>
    </row>
    <row r="37064">
      <c r="Y37064" s="372">
        <v>0.0</v>
      </c>
      <c r="Z37064" s="372">
        <v>0.0</v>
      </c>
    </row>
    <row r="37065">
      <c r="Y37065" s="372">
        <v>0.0</v>
      </c>
      <c r="Z37065" s="372">
        <v>0.0</v>
      </c>
    </row>
    <row r="37066">
      <c r="Y37066" s="372">
        <v>0.0</v>
      </c>
      <c r="Z37066" s="372">
        <v>0.0</v>
      </c>
    </row>
    <row r="37067">
      <c r="Y37067" s="372">
        <v>0.0</v>
      </c>
      <c r="Z37067" s="372">
        <v>0.0</v>
      </c>
    </row>
    <row r="37068">
      <c r="Y37068" s="372">
        <v>0.0</v>
      </c>
      <c r="Z37068" s="372">
        <v>0.0</v>
      </c>
    </row>
    <row r="37069">
      <c r="Y37069" s="372">
        <v>0.0</v>
      </c>
      <c r="Z37069" s="372">
        <v>0.0</v>
      </c>
    </row>
    <row r="37070">
      <c r="Y37070" s="372">
        <v>0.0</v>
      </c>
      <c r="Z37070" s="372">
        <v>0.0</v>
      </c>
    </row>
    <row r="37071">
      <c r="Y37071" s="372">
        <v>0.0</v>
      </c>
      <c r="Z37071" s="372">
        <v>0.0</v>
      </c>
    </row>
    <row r="37072">
      <c r="Y37072" s="372">
        <v>0.0</v>
      </c>
      <c r="Z37072" s="372">
        <v>0.0</v>
      </c>
    </row>
    <row r="37073">
      <c r="Y37073" s="372">
        <v>0.0</v>
      </c>
      <c r="Z37073" s="372">
        <v>0.0</v>
      </c>
    </row>
    <row r="37074">
      <c r="Y37074" s="372">
        <v>0.0</v>
      </c>
      <c r="Z37074" s="372">
        <v>0.0</v>
      </c>
    </row>
    <row r="37075">
      <c r="Y37075" s="372">
        <v>0.0</v>
      </c>
      <c r="Z37075" s="372">
        <v>0.0</v>
      </c>
    </row>
    <row r="37076">
      <c r="Y37076" s="372">
        <v>0.0</v>
      </c>
      <c r="Z37076" s="372">
        <v>0.0</v>
      </c>
    </row>
    <row r="37077">
      <c r="Y37077" s="372">
        <v>0.0</v>
      </c>
      <c r="Z37077" s="372">
        <v>0.0</v>
      </c>
    </row>
    <row r="37078">
      <c r="Y37078" s="372">
        <v>0.0</v>
      </c>
      <c r="Z37078" s="372">
        <v>0.0</v>
      </c>
    </row>
    <row r="37079">
      <c r="Y37079" s="372">
        <v>0.0</v>
      </c>
      <c r="Z37079" s="372">
        <v>0.0</v>
      </c>
    </row>
    <row r="37080">
      <c r="Y37080" s="372">
        <v>0.0</v>
      </c>
      <c r="Z37080" s="372">
        <v>0.0</v>
      </c>
    </row>
    <row r="37081">
      <c r="Y37081" s="372">
        <v>0.0</v>
      </c>
      <c r="Z37081" s="372">
        <v>0.0</v>
      </c>
    </row>
    <row r="37082">
      <c r="Y37082" s="372">
        <v>0.0</v>
      </c>
      <c r="Z37082" s="372">
        <v>0.0</v>
      </c>
    </row>
    <row r="37083">
      <c r="Y37083" s="372">
        <v>0.0</v>
      </c>
      <c r="Z37083" s="372">
        <v>0.0</v>
      </c>
    </row>
    <row r="37084">
      <c r="Y37084" s="372">
        <v>0.0</v>
      </c>
      <c r="Z37084" s="372">
        <v>0.0</v>
      </c>
    </row>
    <row r="37085">
      <c r="Y37085" s="372">
        <v>0.0</v>
      </c>
      <c r="Z37085" s="372">
        <v>0.0</v>
      </c>
    </row>
    <row r="37086">
      <c r="Y37086" s="372">
        <v>0.0</v>
      </c>
      <c r="Z37086" s="372">
        <v>0.0</v>
      </c>
    </row>
    <row r="37087">
      <c r="Y37087" s="372">
        <v>0.0</v>
      </c>
      <c r="Z37087" s="372">
        <v>0.0</v>
      </c>
    </row>
    <row r="37088">
      <c r="Y37088" s="372">
        <v>0.0</v>
      </c>
      <c r="Z37088" s="372">
        <v>0.0</v>
      </c>
    </row>
    <row r="37089">
      <c r="Y37089" s="372">
        <v>0.0</v>
      </c>
      <c r="Z37089" s="372">
        <v>0.0</v>
      </c>
    </row>
    <row r="37090">
      <c r="Y37090" s="372">
        <v>0.0</v>
      </c>
      <c r="Z37090" s="372">
        <v>0.0</v>
      </c>
    </row>
    <row r="37091">
      <c r="Y37091" s="372">
        <v>0.0</v>
      </c>
      <c r="Z37091" s="372">
        <v>0.0</v>
      </c>
    </row>
    <row r="37092">
      <c r="Y37092" s="372">
        <v>0.0</v>
      </c>
      <c r="Z37092" s="372">
        <v>0.0</v>
      </c>
    </row>
    <row r="37093">
      <c r="Y37093" s="372">
        <v>0.0</v>
      </c>
      <c r="Z37093" s="372">
        <v>0.0</v>
      </c>
    </row>
    <row r="37094">
      <c r="Y37094" s="372">
        <v>0.0</v>
      </c>
      <c r="Z37094" s="372">
        <v>0.0</v>
      </c>
    </row>
    <row r="37095">
      <c r="Y37095" s="372">
        <v>0.0</v>
      </c>
      <c r="Z37095" s="372">
        <v>0.0</v>
      </c>
    </row>
    <row r="37096">
      <c r="Y37096" s="372">
        <v>0.0</v>
      </c>
      <c r="Z37096" s="372">
        <v>0.0</v>
      </c>
    </row>
    <row r="37097">
      <c r="Y37097" s="372">
        <v>0.0</v>
      </c>
      <c r="Z37097" s="372">
        <v>0.0</v>
      </c>
    </row>
    <row r="37098">
      <c r="Y37098" s="372">
        <v>0.0</v>
      </c>
      <c r="Z37098" s="372">
        <v>0.0</v>
      </c>
    </row>
    <row r="37099">
      <c r="Y37099" s="372">
        <v>0.0</v>
      </c>
      <c r="Z37099" s="372">
        <v>0.0</v>
      </c>
    </row>
    <row r="37100">
      <c r="Y37100" s="372">
        <v>0.0</v>
      </c>
      <c r="Z37100" s="372">
        <v>0.0</v>
      </c>
    </row>
    <row r="37101">
      <c r="Y37101" s="372">
        <v>0.0</v>
      </c>
      <c r="Z37101" s="372">
        <v>0.0</v>
      </c>
    </row>
    <row r="37102">
      <c r="Y37102" s="372">
        <v>0.0</v>
      </c>
      <c r="Z37102" s="372">
        <v>0.0</v>
      </c>
    </row>
    <row r="37103">
      <c r="Y37103" s="372">
        <v>0.0</v>
      </c>
      <c r="Z37103" s="372">
        <v>0.0</v>
      </c>
    </row>
    <row r="37104">
      <c r="Y37104" s="372">
        <v>0.0</v>
      </c>
      <c r="Z37104" s="372">
        <v>0.0</v>
      </c>
    </row>
    <row r="37105">
      <c r="Y37105" s="372">
        <v>0.0</v>
      </c>
      <c r="Z37105" s="372">
        <v>0.0</v>
      </c>
    </row>
    <row r="37106">
      <c r="Y37106" s="372">
        <v>0.0</v>
      </c>
      <c r="Z37106" s="372">
        <v>0.0</v>
      </c>
    </row>
    <row r="37107">
      <c r="Y37107" s="372">
        <v>0.0</v>
      </c>
      <c r="Z37107" s="372">
        <v>0.0</v>
      </c>
    </row>
    <row r="37108">
      <c r="Y37108" s="372">
        <v>0.0</v>
      </c>
      <c r="Z37108" s="372">
        <v>0.0</v>
      </c>
    </row>
    <row r="37109">
      <c r="Y37109" s="372">
        <v>0.0</v>
      </c>
      <c r="Z37109" s="372">
        <v>0.0</v>
      </c>
    </row>
    <row r="37110">
      <c r="Y37110" s="372">
        <v>0.0</v>
      </c>
      <c r="Z37110" s="372">
        <v>0.0</v>
      </c>
    </row>
    <row r="37111">
      <c r="Y37111" s="372">
        <v>0.0</v>
      </c>
      <c r="Z37111" s="372">
        <v>0.0</v>
      </c>
    </row>
    <row r="37112">
      <c r="Y37112" s="372">
        <v>0.0</v>
      </c>
      <c r="Z37112" s="372">
        <v>0.0</v>
      </c>
    </row>
    <row r="37113">
      <c r="Y37113" s="372">
        <v>0.0</v>
      </c>
      <c r="Z37113" s="372">
        <v>0.0</v>
      </c>
    </row>
    <row r="37114">
      <c r="Y37114" s="372">
        <v>0.0</v>
      </c>
      <c r="Z37114" s="372">
        <v>0.0</v>
      </c>
    </row>
    <row r="37115">
      <c r="Y37115" s="372">
        <v>0.0</v>
      </c>
      <c r="Z37115" s="372">
        <v>0.0</v>
      </c>
    </row>
    <row r="37116">
      <c r="Y37116" s="372">
        <v>0.0</v>
      </c>
      <c r="Z37116" s="372">
        <v>0.0</v>
      </c>
    </row>
    <row r="37117">
      <c r="Y37117" s="372">
        <v>0.0</v>
      </c>
      <c r="Z37117" s="372">
        <v>0.0</v>
      </c>
    </row>
    <row r="37118">
      <c r="Y37118" s="372">
        <v>0.0</v>
      </c>
      <c r="Z37118" s="372">
        <v>0.0</v>
      </c>
    </row>
    <row r="37119">
      <c r="Y37119" s="372">
        <v>0.0</v>
      </c>
      <c r="Z37119" s="372">
        <v>0.0</v>
      </c>
    </row>
    <row r="37120">
      <c r="Y37120" s="372">
        <v>0.0</v>
      </c>
      <c r="Z37120" s="372">
        <v>0.0</v>
      </c>
    </row>
    <row r="37121">
      <c r="Y37121" s="372">
        <v>0.0</v>
      </c>
      <c r="Z37121" s="372">
        <v>0.0</v>
      </c>
    </row>
    <row r="37122">
      <c r="Y37122" s="372">
        <v>0.0</v>
      </c>
      <c r="Z37122" s="372">
        <v>0.0</v>
      </c>
    </row>
    <row r="37123">
      <c r="Y37123" s="372">
        <v>0.0</v>
      </c>
      <c r="Z37123" s="372">
        <v>0.0</v>
      </c>
    </row>
    <row r="37124">
      <c r="Y37124" s="372">
        <v>0.0</v>
      </c>
      <c r="Z37124" s="372">
        <v>0.0</v>
      </c>
    </row>
    <row r="37125">
      <c r="Y37125" s="372">
        <v>0.0</v>
      </c>
      <c r="Z37125" s="372">
        <v>0.0</v>
      </c>
    </row>
    <row r="37126">
      <c r="Y37126" s="372">
        <v>0.0</v>
      </c>
      <c r="Z37126" s="372">
        <v>0.0</v>
      </c>
    </row>
    <row r="37127">
      <c r="Y37127" s="372">
        <v>0.0</v>
      </c>
      <c r="Z37127" s="372">
        <v>0.0</v>
      </c>
    </row>
    <row r="37128">
      <c r="Y37128" s="372">
        <v>0.0</v>
      </c>
      <c r="Z37128" s="372">
        <v>0.0</v>
      </c>
    </row>
    <row r="37129">
      <c r="Y37129" s="372">
        <v>0.0</v>
      </c>
      <c r="Z37129" s="372">
        <v>0.0</v>
      </c>
    </row>
    <row r="37130">
      <c r="Y37130" s="372">
        <v>0.0</v>
      </c>
      <c r="Z37130" s="372">
        <v>0.0</v>
      </c>
    </row>
    <row r="37131">
      <c r="Y37131" s="372">
        <v>0.0</v>
      </c>
      <c r="Z37131" s="372">
        <v>0.0</v>
      </c>
    </row>
    <row r="37132">
      <c r="Y37132" s="372">
        <v>0.0</v>
      </c>
      <c r="Z37132" s="372">
        <v>0.0</v>
      </c>
    </row>
    <row r="37133">
      <c r="Y37133" s="372">
        <v>0.0</v>
      </c>
      <c r="Z37133" s="372">
        <v>0.0</v>
      </c>
    </row>
    <row r="37134">
      <c r="Y37134" s="372">
        <v>0.0</v>
      </c>
      <c r="Z37134" s="372">
        <v>0.0</v>
      </c>
    </row>
    <row r="37135">
      <c r="Y37135" s="372">
        <v>0.0</v>
      </c>
      <c r="Z37135" s="372">
        <v>0.0</v>
      </c>
    </row>
    <row r="37136">
      <c r="Y37136" s="372">
        <v>0.0</v>
      </c>
      <c r="Z37136" s="372">
        <v>0.0</v>
      </c>
    </row>
    <row r="37137">
      <c r="Y37137" s="372">
        <v>0.0</v>
      </c>
      <c r="Z37137" s="372">
        <v>0.0</v>
      </c>
    </row>
    <row r="37138">
      <c r="Y37138" s="372">
        <v>0.0</v>
      </c>
      <c r="Z37138" s="372">
        <v>0.0</v>
      </c>
    </row>
    <row r="37139">
      <c r="Y37139" s="372">
        <v>0.0</v>
      </c>
      <c r="Z37139" s="372">
        <v>0.0</v>
      </c>
    </row>
    <row r="37140">
      <c r="Y37140" s="372">
        <v>0.0</v>
      </c>
      <c r="Z37140" s="372">
        <v>0.0</v>
      </c>
    </row>
    <row r="37141">
      <c r="Y37141" s="372">
        <v>0.0</v>
      </c>
      <c r="Z37141" s="372">
        <v>0.0</v>
      </c>
    </row>
    <row r="37142">
      <c r="Y37142" s="372">
        <v>0.0</v>
      </c>
      <c r="Z37142" s="372">
        <v>0.0</v>
      </c>
    </row>
    <row r="37143">
      <c r="Y37143" s="372">
        <v>0.0</v>
      </c>
      <c r="Z37143" s="372">
        <v>0.0</v>
      </c>
    </row>
    <row r="37144">
      <c r="Y37144" s="372">
        <v>0.0</v>
      </c>
      <c r="Z37144" s="372">
        <v>0.0</v>
      </c>
    </row>
    <row r="37145">
      <c r="Y37145" s="372">
        <v>0.0</v>
      </c>
      <c r="Z37145" s="372">
        <v>0.0</v>
      </c>
    </row>
    <row r="37146">
      <c r="Y37146" s="372">
        <v>0.0</v>
      </c>
      <c r="Z37146" s="372">
        <v>0.0</v>
      </c>
    </row>
    <row r="37147">
      <c r="Y37147" s="372">
        <v>0.0</v>
      </c>
      <c r="Z37147" s="372">
        <v>0.0</v>
      </c>
    </row>
    <row r="37148">
      <c r="Y37148" s="372">
        <v>0.0</v>
      </c>
      <c r="Z37148" s="372">
        <v>0.0</v>
      </c>
    </row>
    <row r="37149">
      <c r="Y37149" s="372">
        <v>0.0</v>
      </c>
      <c r="Z37149" s="372">
        <v>0.0</v>
      </c>
    </row>
    <row r="37150">
      <c r="Y37150" s="372">
        <v>0.0</v>
      </c>
      <c r="Z37150" s="372">
        <v>0.0</v>
      </c>
    </row>
    <row r="37151">
      <c r="Y37151" s="372">
        <v>0.0</v>
      </c>
      <c r="Z37151" s="372">
        <v>0.0</v>
      </c>
    </row>
    <row r="37152">
      <c r="Y37152" s="372">
        <v>0.0</v>
      </c>
      <c r="Z37152" s="372">
        <v>0.0</v>
      </c>
    </row>
    <row r="37153">
      <c r="Y37153" s="372">
        <v>0.0</v>
      </c>
      <c r="Z37153" s="372">
        <v>0.0</v>
      </c>
    </row>
    <row r="37154">
      <c r="Y37154" s="372">
        <v>0.0</v>
      </c>
      <c r="Z37154" s="372">
        <v>0.0</v>
      </c>
    </row>
    <row r="37155">
      <c r="Y37155" s="372">
        <v>0.0</v>
      </c>
      <c r="Z37155" s="372">
        <v>0.0</v>
      </c>
    </row>
    <row r="37156">
      <c r="Y37156" s="372">
        <v>0.0</v>
      </c>
      <c r="Z37156" s="372">
        <v>0.0</v>
      </c>
    </row>
    <row r="37157">
      <c r="Y37157" s="372">
        <v>0.0</v>
      </c>
      <c r="Z37157" s="372">
        <v>0.0</v>
      </c>
    </row>
    <row r="37158">
      <c r="Y37158" s="372">
        <v>0.0</v>
      </c>
      <c r="Z37158" s="372">
        <v>0.0</v>
      </c>
    </row>
    <row r="37159">
      <c r="Y37159" s="372">
        <v>0.0</v>
      </c>
      <c r="Z37159" s="372">
        <v>0.0</v>
      </c>
    </row>
    <row r="37160">
      <c r="Y37160" s="372">
        <v>0.0</v>
      </c>
      <c r="Z37160" s="372">
        <v>0.0</v>
      </c>
    </row>
    <row r="37161">
      <c r="Y37161" s="372">
        <v>0.0</v>
      </c>
      <c r="Z37161" s="372">
        <v>0.0</v>
      </c>
    </row>
    <row r="37162">
      <c r="Y37162" s="372">
        <v>0.0</v>
      </c>
      <c r="Z37162" s="372">
        <v>0.0</v>
      </c>
    </row>
    <row r="37163">
      <c r="Y37163" s="372">
        <v>0.0</v>
      </c>
      <c r="Z37163" s="372">
        <v>0.0</v>
      </c>
    </row>
    <row r="37164">
      <c r="Y37164" s="372">
        <v>0.0</v>
      </c>
      <c r="Z37164" s="372">
        <v>0.0</v>
      </c>
    </row>
    <row r="37165">
      <c r="Y37165" s="372">
        <v>0.0</v>
      </c>
      <c r="Z37165" s="372">
        <v>0.0</v>
      </c>
    </row>
    <row r="37166">
      <c r="Y37166" s="372">
        <v>0.0</v>
      </c>
      <c r="Z37166" s="372">
        <v>0.0</v>
      </c>
    </row>
    <row r="37167">
      <c r="Y37167" s="372">
        <v>0.0</v>
      </c>
      <c r="Z37167" s="372">
        <v>0.0</v>
      </c>
    </row>
    <row r="37168">
      <c r="Y37168" s="372">
        <v>0.0</v>
      </c>
      <c r="Z37168" s="372">
        <v>0.0</v>
      </c>
    </row>
    <row r="37169">
      <c r="Y37169" s="372">
        <v>0.0</v>
      </c>
      <c r="Z37169" s="372">
        <v>0.0</v>
      </c>
    </row>
    <row r="37170">
      <c r="Y37170" s="372">
        <v>0.0</v>
      </c>
      <c r="Z37170" s="372">
        <v>0.0</v>
      </c>
    </row>
    <row r="37171">
      <c r="Y37171" s="372">
        <v>0.0</v>
      </c>
      <c r="Z37171" s="372">
        <v>0.0</v>
      </c>
    </row>
    <row r="37172">
      <c r="Y37172" s="372">
        <v>0.0</v>
      </c>
      <c r="Z37172" s="372">
        <v>0.0</v>
      </c>
    </row>
    <row r="37173">
      <c r="Y37173" s="372">
        <v>0.0</v>
      </c>
      <c r="Z37173" s="372">
        <v>0.0</v>
      </c>
    </row>
    <row r="37174">
      <c r="Y37174" s="372">
        <v>0.0</v>
      </c>
      <c r="Z37174" s="372">
        <v>0.0</v>
      </c>
    </row>
    <row r="37175">
      <c r="Y37175" s="372">
        <v>0.0</v>
      </c>
      <c r="Z37175" s="372">
        <v>0.0</v>
      </c>
    </row>
    <row r="37176">
      <c r="Y37176" s="372">
        <v>0.0</v>
      </c>
      <c r="Z37176" s="372">
        <v>0.0</v>
      </c>
    </row>
    <row r="37177">
      <c r="Y37177" s="372">
        <v>0.0</v>
      </c>
      <c r="Z37177" s="372">
        <v>0.0</v>
      </c>
    </row>
    <row r="37178">
      <c r="Y37178" s="372">
        <v>0.0</v>
      </c>
      <c r="Z37178" s="372">
        <v>0.0</v>
      </c>
    </row>
    <row r="37179">
      <c r="Y37179" s="372">
        <v>0.0</v>
      </c>
      <c r="Z37179" s="372">
        <v>0.0</v>
      </c>
    </row>
    <row r="37180">
      <c r="Y37180" s="372">
        <v>0.0</v>
      </c>
      <c r="Z37180" s="372">
        <v>0.0</v>
      </c>
    </row>
    <row r="37181">
      <c r="Y37181" s="372">
        <v>0.0</v>
      </c>
      <c r="Z37181" s="372">
        <v>0.0</v>
      </c>
    </row>
    <row r="37182">
      <c r="Y37182" s="372">
        <v>0.0</v>
      </c>
      <c r="Z37182" s="372">
        <v>0.0</v>
      </c>
    </row>
    <row r="37183">
      <c r="Y37183" s="372">
        <v>0.0</v>
      </c>
      <c r="Z37183" s="372">
        <v>0.0</v>
      </c>
    </row>
    <row r="37184">
      <c r="Y37184" s="372">
        <v>0.0</v>
      </c>
      <c r="Z37184" s="372">
        <v>0.0</v>
      </c>
    </row>
    <row r="37185">
      <c r="Y37185" s="372">
        <v>0.0</v>
      </c>
      <c r="Z37185" s="372">
        <v>0.0</v>
      </c>
    </row>
    <row r="37186">
      <c r="Y37186" s="372">
        <v>0.0</v>
      </c>
      <c r="Z37186" s="372">
        <v>0.0</v>
      </c>
    </row>
    <row r="37187">
      <c r="Y37187" s="372">
        <v>0.0</v>
      </c>
      <c r="Z37187" s="372">
        <v>0.0</v>
      </c>
    </row>
    <row r="37188">
      <c r="Y37188" s="372">
        <v>0.0</v>
      </c>
      <c r="Z37188" s="372">
        <v>0.0</v>
      </c>
    </row>
    <row r="37189">
      <c r="Y37189" s="372">
        <v>0.0</v>
      </c>
      <c r="Z37189" s="372">
        <v>0.0</v>
      </c>
    </row>
    <row r="37190">
      <c r="Y37190" s="372">
        <v>0.0</v>
      </c>
      <c r="Z37190" s="372">
        <v>0.0</v>
      </c>
    </row>
    <row r="37191">
      <c r="Y37191" s="372">
        <v>0.0</v>
      </c>
      <c r="Z37191" s="372">
        <v>0.0</v>
      </c>
    </row>
    <row r="37192">
      <c r="Y37192" s="372">
        <v>0.0</v>
      </c>
      <c r="Z37192" s="372">
        <v>0.0</v>
      </c>
    </row>
    <row r="37193">
      <c r="Y37193" s="372">
        <v>0.0</v>
      </c>
      <c r="Z37193" s="372">
        <v>0.0</v>
      </c>
    </row>
    <row r="37194">
      <c r="Y37194" s="372">
        <v>0.0</v>
      </c>
      <c r="Z37194" s="372">
        <v>0.0</v>
      </c>
    </row>
    <row r="37195">
      <c r="Y37195" s="372">
        <v>0.0</v>
      </c>
      <c r="Z37195" s="372">
        <v>0.0</v>
      </c>
    </row>
    <row r="37196">
      <c r="Y37196" s="372">
        <v>0.0</v>
      </c>
      <c r="Z37196" s="372">
        <v>0.0</v>
      </c>
    </row>
    <row r="37197">
      <c r="Y37197" s="372">
        <v>0.0</v>
      </c>
      <c r="Z37197" s="372">
        <v>0.0</v>
      </c>
    </row>
    <row r="37198">
      <c r="Y37198" s="372">
        <v>0.0</v>
      </c>
      <c r="Z37198" s="372">
        <v>0.0</v>
      </c>
    </row>
    <row r="37199">
      <c r="Y37199" s="372">
        <v>0.0</v>
      </c>
      <c r="Z37199" s="372">
        <v>0.0</v>
      </c>
    </row>
    <row r="37200">
      <c r="Y37200" s="372">
        <v>0.0</v>
      </c>
      <c r="Z37200" s="372">
        <v>0.0</v>
      </c>
    </row>
    <row r="37201">
      <c r="Y37201" s="372">
        <v>0.0</v>
      </c>
      <c r="Z37201" s="372">
        <v>0.0</v>
      </c>
    </row>
    <row r="37202">
      <c r="Y37202" s="372">
        <v>0.0</v>
      </c>
      <c r="Z37202" s="372">
        <v>0.0</v>
      </c>
    </row>
    <row r="37203">
      <c r="Y37203" s="372">
        <v>0.0</v>
      </c>
      <c r="Z37203" s="372">
        <v>0.0</v>
      </c>
    </row>
    <row r="37204">
      <c r="Y37204" s="372">
        <v>0.0</v>
      </c>
      <c r="Z37204" s="372">
        <v>0.0</v>
      </c>
    </row>
    <row r="37205">
      <c r="Y37205" s="372">
        <v>0.0</v>
      </c>
      <c r="Z37205" s="372">
        <v>0.0</v>
      </c>
    </row>
    <row r="37206">
      <c r="Y37206" s="372">
        <v>0.0</v>
      </c>
      <c r="Z37206" s="372">
        <v>0.0</v>
      </c>
    </row>
    <row r="37207">
      <c r="Y37207" s="372">
        <v>0.0</v>
      </c>
      <c r="Z37207" s="372">
        <v>0.0</v>
      </c>
    </row>
    <row r="37208">
      <c r="Y37208" s="372">
        <v>0.0</v>
      </c>
      <c r="Z37208" s="372">
        <v>0.0</v>
      </c>
    </row>
    <row r="37209">
      <c r="Y37209" s="372">
        <v>0.0</v>
      </c>
      <c r="Z37209" s="372">
        <v>0.0</v>
      </c>
    </row>
    <row r="37210">
      <c r="Y37210" s="372">
        <v>0.0</v>
      </c>
      <c r="Z37210" s="372">
        <v>0.0</v>
      </c>
    </row>
    <row r="37211">
      <c r="Y37211" s="372">
        <v>0.0</v>
      </c>
      <c r="Z37211" s="372">
        <v>0.0</v>
      </c>
    </row>
    <row r="37212">
      <c r="Y37212" s="372">
        <v>0.0</v>
      </c>
      <c r="Z37212" s="372">
        <v>0.0</v>
      </c>
    </row>
    <row r="37213">
      <c r="Y37213" s="372">
        <v>0.0</v>
      </c>
      <c r="Z37213" s="372">
        <v>0.0</v>
      </c>
    </row>
    <row r="37214">
      <c r="Y37214" s="372">
        <v>0.0</v>
      </c>
      <c r="Z37214" s="372">
        <v>0.0</v>
      </c>
    </row>
    <row r="37215">
      <c r="Y37215" s="372">
        <v>0.0</v>
      </c>
      <c r="Z37215" s="372">
        <v>0.0</v>
      </c>
    </row>
    <row r="37216">
      <c r="Y37216" s="372">
        <v>0.0</v>
      </c>
      <c r="Z37216" s="372">
        <v>0.0</v>
      </c>
    </row>
    <row r="37217">
      <c r="Y37217" s="372">
        <v>0.0</v>
      </c>
      <c r="Z37217" s="372">
        <v>0.0</v>
      </c>
    </row>
    <row r="37218">
      <c r="Y37218" s="372">
        <v>0.0</v>
      </c>
      <c r="Z37218" s="372">
        <v>0.0</v>
      </c>
    </row>
    <row r="37219">
      <c r="Y37219" s="372">
        <v>0.0</v>
      </c>
      <c r="Z37219" s="372">
        <v>0.0</v>
      </c>
    </row>
    <row r="37220">
      <c r="Y37220" s="372">
        <v>0.0</v>
      </c>
      <c r="Z37220" s="372">
        <v>0.0</v>
      </c>
    </row>
    <row r="37221">
      <c r="Y37221" s="372">
        <v>0.0</v>
      </c>
      <c r="Z37221" s="372">
        <v>0.0</v>
      </c>
    </row>
    <row r="37222">
      <c r="Y37222" s="372">
        <v>0.0</v>
      </c>
      <c r="Z37222" s="372">
        <v>0.0</v>
      </c>
    </row>
    <row r="37223">
      <c r="Y37223" s="372">
        <v>0.0</v>
      </c>
      <c r="Z37223" s="372">
        <v>0.0</v>
      </c>
    </row>
    <row r="37224">
      <c r="Y37224" s="372">
        <v>0.0</v>
      </c>
      <c r="Z37224" s="372">
        <v>0.0</v>
      </c>
    </row>
    <row r="37225">
      <c r="Y37225" s="372">
        <v>0.0</v>
      </c>
      <c r="Z37225" s="372">
        <v>0.0</v>
      </c>
    </row>
    <row r="37226">
      <c r="Y37226" s="372">
        <v>0.0</v>
      </c>
      <c r="Z37226" s="372">
        <v>0.0</v>
      </c>
    </row>
    <row r="37227">
      <c r="Y37227" s="372">
        <v>0.0</v>
      </c>
      <c r="Z37227" s="372">
        <v>0.0</v>
      </c>
    </row>
    <row r="37228">
      <c r="Y37228" s="372">
        <v>0.0</v>
      </c>
      <c r="Z37228" s="372">
        <v>0.0</v>
      </c>
    </row>
    <row r="37229">
      <c r="Y37229" s="372">
        <v>0.0</v>
      </c>
      <c r="Z37229" s="372">
        <v>0.0</v>
      </c>
    </row>
    <row r="37230">
      <c r="Y37230" s="372">
        <v>0.0</v>
      </c>
      <c r="Z37230" s="372">
        <v>0.0</v>
      </c>
    </row>
    <row r="37231">
      <c r="Y37231" s="372">
        <v>0.0</v>
      </c>
      <c r="Z37231" s="372">
        <v>0.0</v>
      </c>
    </row>
    <row r="37232">
      <c r="Y37232" s="372">
        <v>0.0</v>
      </c>
      <c r="Z37232" s="372">
        <v>0.0</v>
      </c>
    </row>
    <row r="37233">
      <c r="Y37233" s="372">
        <v>0.0</v>
      </c>
      <c r="Z37233" s="372">
        <v>0.0</v>
      </c>
    </row>
    <row r="37234">
      <c r="Y37234" s="372">
        <v>0.0</v>
      </c>
      <c r="Z37234" s="372">
        <v>0.0</v>
      </c>
    </row>
    <row r="37235">
      <c r="Y37235" s="372">
        <v>0.0</v>
      </c>
      <c r="Z37235" s="372">
        <v>0.0</v>
      </c>
    </row>
    <row r="37236">
      <c r="Y37236" s="372">
        <v>0.0</v>
      </c>
      <c r="Z37236" s="372">
        <v>0.0</v>
      </c>
    </row>
    <row r="37237">
      <c r="Y37237" s="372">
        <v>0.0</v>
      </c>
      <c r="Z37237" s="372">
        <v>0.0</v>
      </c>
    </row>
    <row r="37238">
      <c r="Y37238" s="372">
        <v>0.0</v>
      </c>
      <c r="Z37238" s="372">
        <v>0.0</v>
      </c>
    </row>
    <row r="37239">
      <c r="Y37239" s="372">
        <v>0.0</v>
      </c>
      <c r="Z37239" s="372">
        <v>0.0</v>
      </c>
    </row>
    <row r="37240">
      <c r="Y37240" s="372">
        <v>0.0</v>
      </c>
      <c r="Z37240" s="372">
        <v>0.0</v>
      </c>
    </row>
    <row r="37241">
      <c r="Y37241" s="372">
        <v>0.0</v>
      </c>
      <c r="Z37241" s="372">
        <v>0.0</v>
      </c>
    </row>
    <row r="37242">
      <c r="Y37242" s="372">
        <v>0.0</v>
      </c>
      <c r="Z37242" s="372">
        <v>0.0</v>
      </c>
    </row>
    <row r="37243">
      <c r="Y37243" s="372">
        <v>0.0</v>
      </c>
      <c r="Z37243" s="372">
        <v>0.0</v>
      </c>
    </row>
    <row r="37244">
      <c r="Y37244" s="372">
        <v>0.0</v>
      </c>
      <c r="Z37244" s="372">
        <v>0.0</v>
      </c>
    </row>
    <row r="37245">
      <c r="Y37245" s="372">
        <v>0.0</v>
      </c>
      <c r="Z37245" s="372">
        <v>0.0</v>
      </c>
    </row>
    <row r="37246">
      <c r="Y37246" s="372">
        <v>0.0</v>
      </c>
      <c r="Z37246" s="372">
        <v>0.0</v>
      </c>
    </row>
    <row r="37247">
      <c r="Y37247" s="372">
        <v>0.0</v>
      </c>
      <c r="Z37247" s="372">
        <v>0.0</v>
      </c>
    </row>
    <row r="37248">
      <c r="Y37248" s="372">
        <v>0.0</v>
      </c>
      <c r="Z37248" s="372">
        <v>0.0</v>
      </c>
    </row>
    <row r="37249">
      <c r="Y37249" s="372">
        <v>0.0</v>
      </c>
      <c r="Z37249" s="372">
        <v>0.0</v>
      </c>
    </row>
    <row r="37250">
      <c r="Y37250" s="372">
        <v>0.0</v>
      </c>
      <c r="Z37250" s="372">
        <v>0.0</v>
      </c>
    </row>
    <row r="37251">
      <c r="Y37251" s="372">
        <v>0.0</v>
      </c>
      <c r="Z37251" s="372">
        <v>0.0</v>
      </c>
    </row>
    <row r="37252">
      <c r="Y37252" s="372">
        <v>0.0</v>
      </c>
      <c r="Z37252" s="372">
        <v>0.0</v>
      </c>
    </row>
    <row r="37253">
      <c r="Y37253" s="372">
        <v>0.0</v>
      </c>
      <c r="Z37253" s="372">
        <v>0.0</v>
      </c>
    </row>
    <row r="37254">
      <c r="Y37254" s="372">
        <v>0.0</v>
      </c>
      <c r="Z37254" s="372">
        <v>0.0</v>
      </c>
    </row>
    <row r="37255">
      <c r="Y37255" s="372">
        <v>0.0</v>
      </c>
      <c r="Z37255" s="372">
        <v>0.0</v>
      </c>
    </row>
    <row r="37256">
      <c r="Y37256" s="372">
        <v>0.0</v>
      </c>
      <c r="Z37256" s="372">
        <v>0.0</v>
      </c>
    </row>
    <row r="37257">
      <c r="Y37257" s="372">
        <v>0.0</v>
      </c>
      <c r="Z37257" s="372">
        <v>0.0</v>
      </c>
    </row>
    <row r="37258">
      <c r="Y37258" s="372">
        <v>0.0</v>
      </c>
      <c r="Z37258" s="372">
        <v>0.0</v>
      </c>
    </row>
    <row r="37259">
      <c r="Y37259" s="372">
        <v>0.0</v>
      </c>
      <c r="Z37259" s="372">
        <v>0.0</v>
      </c>
    </row>
    <row r="37260">
      <c r="Y37260" s="372">
        <v>0.0</v>
      </c>
      <c r="Z37260" s="372">
        <v>0.0</v>
      </c>
    </row>
    <row r="37261">
      <c r="Y37261" s="372">
        <v>0.0</v>
      </c>
      <c r="Z37261" s="372">
        <v>0.0</v>
      </c>
    </row>
    <row r="37262">
      <c r="Y37262" s="372">
        <v>0.0</v>
      </c>
      <c r="Z37262" s="372">
        <v>0.0</v>
      </c>
    </row>
    <row r="37263">
      <c r="Y37263" s="372">
        <v>0.0</v>
      </c>
      <c r="Z37263" s="372">
        <v>0.0</v>
      </c>
    </row>
    <row r="37264">
      <c r="Y37264" s="372">
        <v>0.0</v>
      </c>
      <c r="Z37264" s="372">
        <v>0.0</v>
      </c>
    </row>
    <row r="37265">
      <c r="Y37265" s="372">
        <v>0.0</v>
      </c>
      <c r="Z37265" s="372">
        <v>0.0</v>
      </c>
    </row>
    <row r="37266">
      <c r="Y37266" s="372">
        <v>0.0</v>
      </c>
      <c r="Z37266" s="372">
        <v>0.0</v>
      </c>
    </row>
    <row r="37267">
      <c r="Y37267" s="372">
        <v>0.0</v>
      </c>
      <c r="Z37267" s="372">
        <v>0.0</v>
      </c>
    </row>
    <row r="37268">
      <c r="Y37268" s="372">
        <v>0.0</v>
      </c>
      <c r="Z37268" s="372">
        <v>0.0</v>
      </c>
    </row>
    <row r="37269">
      <c r="Y37269" s="372">
        <v>0.0</v>
      </c>
      <c r="Z37269" s="372">
        <v>0.0</v>
      </c>
    </row>
    <row r="37270">
      <c r="Y37270" s="372">
        <v>0.0</v>
      </c>
      <c r="Z37270" s="372">
        <v>0.0</v>
      </c>
    </row>
    <row r="37271">
      <c r="Y37271" s="372">
        <v>0.0</v>
      </c>
      <c r="Z37271" s="372">
        <v>0.0</v>
      </c>
    </row>
    <row r="37272">
      <c r="Y37272" s="372">
        <v>0.0</v>
      </c>
      <c r="Z37272" s="372">
        <v>0.0</v>
      </c>
    </row>
    <row r="37273">
      <c r="Y37273" s="372">
        <v>0.0</v>
      </c>
      <c r="Z37273" s="372">
        <v>0.0</v>
      </c>
    </row>
    <row r="37274">
      <c r="Y37274" s="372">
        <v>0.0</v>
      </c>
      <c r="Z37274" s="372">
        <v>0.0</v>
      </c>
    </row>
    <row r="37275">
      <c r="Y37275" s="372">
        <v>0.0</v>
      </c>
      <c r="Z37275" s="372">
        <v>0.0</v>
      </c>
    </row>
    <row r="37276">
      <c r="Y37276" s="372">
        <v>0.0</v>
      </c>
      <c r="Z37276" s="372">
        <v>0.0</v>
      </c>
    </row>
    <row r="37277">
      <c r="Y37277" s="372">
        <v>0.0</v>
      </c>
      <c r="Z37277" s="372">
        <v>0.0</v>
      </c>
    </row>
    <row r="37278">
      <c r="Y37278" s="372">
        <v>0.0</v>
      </c>
      <c r="Z37278" s="372">
        <v>0.0</v>
      </c>
    </row>
    <row r="37279">
      <c r="Y37279" s="372">
        <v>0.0</v>
      </c>
      <c r="Z37279" s="372">
        <v>0.0</v>
      </c>
    </row>
    <row r="37280">
      <c r="Y37280" s="372">
        <v>0.0</v>
      </c>
      <c r="Z37280" s="372">
        <v>0.0</v>
      </c>
    </row>
    <row r="37281">
      <c r="Y37281" s="372">
        <v>0.0</v>
      </c>
      <c r="Z37281" s="372">
        <v>0.0</v>
      </c>
    </row>
    <row r="37282">
      <c r="Y37282" s="372">
        <v>0.0</v>
      </c>
      <c r="Z37282" s="372">
        <v>0.0</v>
      </c>
    </row>
    <row r="37283">
      <c r="Y37283" s="372">
        <v>0.0</v>
      </c>
      <c r="Z37283" s="372">
        <v>0.0</v>
      </c>
    </row>
    <row r="37284">
      <c r="Y37284" s="372">
        <v>0.0</v>
      </c>
      <c r="Z37284" s="372">
        <v>0.0</v>
      </c>
    </row>
    <row r="37285">
      <c r="Y37285" s="372">
        <v>0.0</v>
      </c>
      <c r="Z37285" s="372">
        <v>0.0</v>
      </c>
    </row>
    <row r="37286">
      <c r="Y37286" s="372">
        <v>0.0</v>
      </c>
      <c r="Z37286" s="372">
        <v>0.0</v>
      </c>
    </row>
    <row r="37287">
      <c r="Y37287" s="372">
        <v>0.0</v>
      </c>
      <c r="Z37287" s="372">
        <v>0.0</v>
      </c>
    </row>
    <row r="37288">
      <c r="Y37288" s="372">
        <v>0.0</v>
      </c>
      <c r="Z37288" s="372">
        <v>0.0</v>
      </c>
    </row>
    <row r="37289">
      <c r="Y37289" s="372">
        <v>0.0</v>
      </c>
      <c r="Z37289" s="372">
        <v>0.0</v>
      </c>
    </row>
    <row r="37290">
      <c r="Y37290" s="372">
        <v>0.0</v>
      </c>
      <c r="Z37290" s="372">
        <v>0.0</v>
      </c>
    </row>
    <row r="37291">
      <c r="Y37291" s="372">
        <v>0.0</v>
      </c>
      <c r="Z37291" s="372">
        <v>0.0</v>
      </c>
    </row>
    <row r="37292">
      <c r="Y37292" s="372">
        <v>0.0</v>
      </c>
      <c r="Z37292" s="372">
        <v>0.0</v>
      </c>
    </row>
    <row r="37293">
      <c r="Y37293" s="372">
        <v>0.0</v>
      </c>
      <c r="Z37293" s="372">
        <v>0.0</v>
      </c>
    </row>
    <row r="37294">
      <c r="Y37294" s="372">
        <v>0.0</v>
      </c>
      <c r="Z37294" s="372">
        <v>0.0</v>
      </c>
    </row>
    <row r="37295">
      <c r="Y37295" s="372">
        <v>0.0</v>
      </c>
      <c r="Z37295" s="372">
        <v>0.0</v>
      </c>
    </row>
    <row r="37296">
      <c r="Y37296" s="372">
        <v>0.0</v>
      </c>
      <c r="Z37296" s="372">
        <v>0.0</v>
      </c>
    </row>
    <row r="37297">
      <c r="Y37297" s="372">
        <v>0.0</v>
      </c>
      <c r="Z37297" s="372">
        <v>0.0</v>
      </c>
    </row>
    <row r="37298">
      <c r="Y37298" s="372">
        <v>0.0</v>
      </c>
      <c r="Z37298" s="372">
        <v>0.0</v>
      </c>
    </row>
    <row r="37299">
      <c r="Y37299" s="372">
        <v>0.0</v>
      </c>
      <c r="Z37299" s="372">
        <v>0.0</v>
      </c>
    </row>
    <row r="37300">
      <c r="Y37300" s="372">
        <v>0.0</v>
      </c>
      <c r="Z37300" s="372">
        <v>0.0</v>
      </c>
    </row>
    <row r="37301">
      <c r="Y37301" s="372">
        <v>0.0</v>
      </c>
      <c r="Z37301" s="372">
        <v>0.0</v>
      </c>
    </row>
    <row r="37302">
      <c r="Y37302" s="372">
        <v>0.0</v>
      </c>
      <c r="Z37302" s="372">
        <v>0.0</v>
      </c>
    </row>
    <row r="37303">
      <c r="Y37303" s="372">
        <v>0.0</v>
      </c>
      <c r="Z37303" s="372">
        <v>0.0</v>
      </c>
    </row>
    <row r="37304">
      <c r="Y37304" s="372">
        <v>0.0</v>
      </c>
      <c r="Z37304" s="372">
        <v>0.0</v>
      </c>
    </row>
    <row r="37305">
      <c r="Y37305" s="372">
        <v>0.0</v>
      </c>
      <c r="Z37305" s="372">
        <v>0.0</v>
      </c>
    </row>
    <row r="37306">
      <c r="Y37306" s="372">
        <v>0.0</v>
      </c>
      <c r="Z37306" s="372">
        <v>0.0</v>
      </c>
    </row>
    <row r="37307">
      <c r="Y37307" s="372">
        <v>0.0</v>
      </c>
      <c r="Z37307" s="372">
        <v>0.0</v>
      </c>
    </row>
    <row r="37308">
      <c r="Y37308" s="372">
        <v>0.0</v>
      </c>
      <c r="Z37308" s="372">
        <v>0.0</v>
      </c>
    </row>
    <row r="37309">
      <c r="Y37309" s="372">
        <v>0.0</v>
      </c>
      <c r="Z37309" s="372">
        <v>0.0</v>
      </c>
    </row>
    <row r="37310">
      <c r="Y37310" s="372">
        <v>0.0</v>
      </c>
      <c r="Z37310" s="372">
        <v>0.0</v>
      </c>
    </row>
    <row r="37311">
      <c r="Y37311" s="372">
        <v>0.0</v>
      </c>
      <c r="Z37311" s="372">
        <v>0.0</v>
      </c>
    </row>
    <row r="37312">
      <c r="Y37312" s="372">
        <v>0.0</v>
      </c>
      <c r="Z37312" s="372">
        <v>0.0</v>
      </c>
    </row>
    <row r="37313">
      <c r="Y37313" s="372">
        <v>0.0</v>
      </c>
      <c r="Z37313" s="372">
        <v>0.0</v>
      </c>
    </row>
    <row r="37314">
      <c r="Y37314" s="372">
        <v>0.0</v>
      </c>
      <c r="Z37314" s="372">
        <v>0.0</v>
      </c>
    </row>
    <row r="37315">
      <c r="Y37315" s="372">
        <v>0.0</v>
      </c>
      <c r="Z37315" s="372">
        <v>0.0</v>
      </c>
    </row>
    <row r="37316">
      <c r="Y37316" s="372">
        <v>0.0</v>
      </c>
      <c r="Z37316" s="372">
        <v>0.0</v>
      </c>
    </row>
    <row r="37317">
      <c r="Y37317" s="372">
        <v>0.0</v>
      </c>
      <c r="Z37317" s="372">
        <v>0.0</v>
      </c>
    </row>
    <row r="37318">
      <c r="Y37318" s="372">
        <v>0.0</v>
      </c>
      <c r="Z37318" s="372">
        <v>0.0</v>
      </c>
    </row>
    <row r="37319">
      <c r="Y37319" s="372">
        <v>0.0</v>
      </c>
      <c r="Z37319" s="372">
        <v>0.0</v>
      </c>
    </row>
    <row r="37320">
      <c r="Y37320" s="372">
        <v>0.0</v>
      </c>
      <c r="Z37320" s="372">
        <v>0.0</v>
      </c>
    </row>
    <row r="37321">
      <c r="Y37321" s="372">
        <v>0.0</v>
      </c>
      <c r="Z37321" s="372">
        <v>0.0</v>
      </c>
    </row>
    <row r="37322">
      <c r="Y37322" s="372">
        <v>0.0</v>
      </c>
      <c r="Z37322" s="372">
        <v>0.0</v>
      </c>
    </row>
    <row r="37323">
      <c r="Y37323" s="372">
        <v>0.0</v>
      </c>
      <c r="Z37323" s="372">
        <v>0.0</v>
      </c>
    </row>
    <row r="37324">
      <c r="Y37324" s="372">
        <v>0.0</v>
      </c>
      <c r="Z37324" s="372">
        <v>0.0</v>
      </c>
    </row>
    <row r="37325">
      <c r="Y37325" s="372">
        <v>0.0</v>
      </c>
      <c r="Z37325" s="372">
        <v>0.0</v>
      </c>
    </row>
    <row r="37326">
      <c r="Y37326" s="372">
        <v>0.0</v>
      </c>
      <c r="Z37326" s="372">
        <v>0.0</v>
      </c>
    </row>
    <row r="37327">
      <c r="Y37327" s="372">
        <v>0.0</v>
      </c>
      <c r="Z37327" s="372">
        <v>0.0</v>
      </c>
    </row>
    <row r="37328">
      <c r="Y37328" s="372">
        <v>0.0</v>
      </c>
      <c r="Z37328" s="372">
        <v>0.0</v>
      </c>
    </row>
    <row r="37329">
      <c r="Y37329" s="372">
        <v>0.0</v>
      </c>
      <c r="Z37329" s="372">
        <v>0.0</v>
      </c>
    </row>
    <row r="37330">
      <c r="Y37330" s="372">
        <v>0.0</v>
      </c>
      <c r="Z37330" s="372">
        <v>0.0</v>
      </c>
    </row>
    <row r="37331">
      <c r="Y37331" s="372">
        <v>0.0</v>
      </c>
      <c r="Z37331" s="372">
        <v>0.0</v>
      </c>
    </row>
    <row r="37332">
      <c r="Y37332" s="372">
        <v>0.0</v>
      </c>
      <c r="Z37332" s="372">
        <v>0.0</v>
      </c>
    </row>
    <row r="37333">
      <c r="Y37333" s="372">
        <v>0.0</v>
      </c>
      <c r="Z37333" s="372">
        <v>0.0</v>
      </c>
    </row>
    <row r="37334">
      <c r="Y37334" s="372">
        <v>0.0</v>
      </c>
      <c r="Z37334" s="372">
        <v>0.0</v>
      </c>
    </row>
    <row r="37335">
      <c r="Y37335" s="372">
        <v>0.0</v>
      </c>
      <c r="Z37335" s="372">
        <v>0.0</v>
      </c>
    </row>
    <row r="37336">
      <c r="Y37336" s="372">
        <v>0.0</v>
      </c>
      <c r="Z37336" s="372">
        <v>0.0</v>
      </c>
    </row>
    <row r="37337">
      <c r="Y37337" s="372">
        <v>0.0</v>
      </c>
      <c r="Z37337" s="372">
        <v>0.0</v>
      </c>
    </row>
    <row r="37338">
      <c r="Y37338" s="372">
        <v>0.0</v>
      </c>
      <c r="Z37338" s="372">
        <v>0.0</v>
      </c>
    </row>
    <row r="37339">
      <c r="Y37339" s="372">
        <v>0.0</v>
      </c>
      <c r="Z37339" s="372">
        <v>0.0</v>
      </c>
    </row>
    <row r="37340">
      <c r="Y37340" s="372">
        <v>0.0</v>
      </c>
      <c r="Z37340" s="372">
        <v>0.0</v>
      </c>
    </row>
    <row r="37341">
      <c r="Y37341" s="372">
        <v>0.0</v>
      </c>
      <c r="Z37341" s="372">
        <v>0.0</v>
      </c>
    </row>
    <row r="37342">
      <c r="Y37342" s="372">
        <v>0.0</v>
      </c>
      <c r="Z37342" s="372">
        <v>0.0</v>
      </c>
    </row>
    <row r="37343">
      <c r="Y37343" s="372">
        <v>0.0</v>
      </c>
      <c r="Z37343" s="372">
        <v>0.0</v>
      </c>
    </row>
    <row r="37344">
      <c r="Y37344" s="372">
        <v>0.0</v>
      </c>
      <c r="Z37344" s="372">
        <v>0.0</v>
      </c>
    </row>
    <row r="37345">
      <c r="Y37345" s="372">
        <v>0.0</v>
      </c>
      <c r="Z37345" s="372">
        <v>0.0</v>
      </c>
    </row>
    <row r="37346">
      <c r="Y37346" s="372">
        <v>0.0</v>
      </c>
      <c r="Z37346" s="372">
        <v>0.0</v>
      </c>
    </row>
    <row r="37347">
      <c r="Y37347" s="372">
        <v>0.0</v>
      </c>
      <c r="Z37347" s="372">
        <v>0.0</v>
      </c>
    </row>
    <row r="37348">
      <c r="Y37348" s="372">
        <v>0.0</v>
      </c>
      <c r="Z37348" s="372">
        <v>0.0</v>
      </c>
    </row>
    <row r="37349">
      <c r="Y37349" s="372">
        <v>0.0</v>
      </c>
      <c r="Z37349" s="372">
        <v>0.0</v>
      </c>
    </row>
    <row r="37350">
      <c r="Y37350" s="372">
        <v>0.0</v>
      </c>
      <c r="Z37350" s="372">
        <v>0.0</v>
      </c>
    </row>
    <row r="37351">
      <c r="Y37351" s="372">
        <v>0.0</v>
      </c>
      <c r="Z37351" s="372">
        <v>0.0</v>
      </c>
    </row>
    <row r="37352">
      <c r="Y37352" s="372">
        <v>0.0</v>
      </c>
      <c r="Z37352" s="372">
        <v>0.0</v>
      </c>
    </row>
    <row r="37353">
      <c r="Y37353" s="372">
        <v>0.0</v>
      </c>
      <c r="Z37353" s="372">
        <v>0.0</v>
      </c>
    </row>
    <row r="37354">
      <c r="Y37354" s="372">
        <v>0.0</v>
      </c>
      <c r="Z37354" s="372">
        <v>0.0</v>
      </c>
    </row>
    <row r="37355">
      <c r="Y37355" s="372">
        <v>0.0</v>
      </c>
      <c r="Z37355" s="372">
        <v>0.0</v>
      </c>
    </row>
    <row r="37356">
      <c r="Y37356" s="372">
        <v>0.0</v>
      </c>
      <c r="Z37356" s="372">
        <v>0.0</v>
      </c>
    </row>
    <row r="37357">
      <c r="Y37357" s="372">
        <v>0.0</v>
      </c>
      <c r="Z37357" s="372">
        <v>0.0</v>
      </c>
    </row>
    <row r="37358">
      <c r="Y37358" s="372">
        <v>0.0</v>
      </c>
      <c r="Z37358" s="372">
        <v>0.0</v>
      </c>
    </row>
    <row r="37359">
      <c r="Y37359" s="372">
        <v>0.0</v>
      </c>
      <c r="Z37359" s="372">
        <v>0.0</v>
      </c>
    </row>
    <row r="37360">
      <c r="Y37360" s="372">
        <v>0.0</v>
      </c>
      <c r="Z37360" s="372">
        <v>0.0</v>
      </c>
    </row>
    <row r="37361">
      <c r="Y37361" s="372">
        <v>0.0</v>
      </c>
      <c r="Z37361" s="372">
        <v>0.0</v>
      </c>
    </row>
    <row r="37362">
      <c r="Y37362" s="372">
        <v>0.0</v>
      </c>
      <c r="Z37362" s="372">
        <v>0.0</v>
      </c>
    </row>
    <row r="37363">
      <c r="Y37363" s="372">
        <v>0.0</v>
      </c>
      <c r="Z37363" s="372">
        <v>0.0</v>
      </c>
    </row>
    <row r="37364">
      <c r="Y37364" s="372">
        <v>0.0</v>
      </c>
      <c r="Z37364" s="372">
        <v>0.0</v>
      </c>
    </row>
    <row r="37365">
      <c r="Y37365" s="372">
        <v>0.0</v>
      </c>
      <c r="Z37365" s="372">
        <v>0.0</v>
      </c>
    </row>
    <row r="37366">
      <c r="Y37366" s="372">
        <v>0.0</v>
      </c>
      <c r="Z37366" s="372">
        <v>0.0</v>
      </c>
    </row>
    <row r="37367">
      <c r="Y37367" s="372">
        <v>0.0</v>
      </c>
      <c r="Z37367" s="372">
        <v>0.0</v>
      </c>
    </row>
    <row r="37368">
      <c r="Y37368" s="372">
        <v>0.0</v>
      </c>
      <c r="Z37368" s="372">
        <v>0.0</v>
      </c>
    </row>
    <row r="37369">
      <c r="Y37369" s="372">
        <v>0.0</v>
      </c>
      <c r="Z37369" s="372">
        <v>0.0</v>
      </c>
    </row>
    <row r="37370">
      <c r="Y37370" s="372">
        <v>0.0</v>
      </c>
      <c r="Z37370" s="372">
        <v>0.0</v>
      </c>
    </row>
    <row r="37371">
      <c r="Y37371" s="372">
        <v>0.0</v>
      </c>
      <c r="Z37371" s="372">
        <v>0.0</v>
      </c>
    </row>
    <row r="37372">
      <c r="Y37372" s="372">
        <v>0.0</v>
      </c>
      <c r="Z37372" s="372">
        <v>0.0</v>
      </c>
    </row>
    <row r="37373">
      <c r="Y37373" s="372">
        <v>0.0</v>
      </c>
      <c r="Z37373" s="372">
        <v>0.0</v>
      </c>
    </row>
    <row r="37374">
      <c r="Y37374" s="372">
        <v>0.0</v>
      </c>
      <c r="Z37374" s="372">
        <v>0.0</v>
      </c>
    </row>
    <row r="37375">
      <c r="Y37375" s="372">
        <v>0.0</v>
      </c>
      <c r="Z37375" s="372">
        <v>0.0</v>
      </c>
    </row>
    <row r="37376">
      <c r="Y37376" s="372">
        <v>0.0</v>
      </c>
      <c r="Z37376" s="372">
        <v>0.0</v>
      </c>
    </row>
    <row r="37377">
      <c r="Y37377" s="372">
        <v>0.0</v>
      </c>
      <c r="Z37377" s="372">
        <v>0.0</v>
      </c>
    </row>
    <row r="37378">
      <c r="Y37378" s="372">
        <v>0.0</v>
      </c>
      <c r="Z37378" s="372">
        <v>0.0</v>
      </c>
    </row>
    <row r="37379">
      <c r="Y37379" s="372">
        <v>0.0</v>
      </c>
      <c r="Z37379" s="372">
        <v>0.0</v>
      </c>
    </row>
    <row r="37380">
      <c r="Y37380" s="372">
        <v>0.0</v>
      </c>
      <c r="Z37380" s="372">
        <v>0.0</v>
      </c>
    </row>
    <row r="37381">
      <c r="Y37381" s="372">
        <v>0.0</v>
      </c>
      <c r="Z37381" s="372">
        <v>0.0</v>
      </c>
    </row>
    <row r="37382">
      <c r="Y37382" s="372">
        <v>0.0</v>
      </c>
      <c r="Z37382" s="372">
        <v>0.0</v>
      </c>
    </row>
    <row r="37383">
      <c r="Y37383" s="372">
        <v>0.0</v>
      </c>
      <c r="Z37383" s="372">
        <v>0.0</v>
      </c>
    </row>
    <row r="37384">
      <c r="Y37384" s="372">
        <v>0.0</v>
      </c>
      <c r="Z37384" s="372">
        <v>0.0</v>
      </c>
    </row>
    <row r="37385">
      <c r="Y37385" s="372">
        <v>0.0</v>
      </c>
      <c r="Z37385" s="372">
        <v>0.0</v>
      </c>
    </row>
    <row r="37386">
      <c r="Y37386" s="372">
        <v>0.0</v>
      </c>
      <c r="Z37386" s="372">
        <v>0.0</v>
      </c>
    </row>
    <row r="37387">
      <c r="Y37387" s="372">
        <v>0.0</v>
      </c>
      <c r="Z37387" s="372">
        <v>0.0</v>
      </c>
    </row>
    <row r="37388">
      <c r="Y37388" s="372">
        <v>0.0</v>
      </c>
      <c r="Z37388" s="372">
        <v>0.0</v>
      </c>
    </row>
    <row r="37389">
      <c r="Y37389" s="372">
        <v>0.0</v>
      </c>
      <c r="Z37389" s="372">
        <v>0.0</v>
      </c>
    </row>
    <row r="37390">
      <c r="Y37390" s="372">
        <v>0.0</v>
      </c>
      <c r="Z37390" s="372">
        <v>0.0</v>
      </c>
    </row>
    <row r="37391">
      <c r="Y37391" s="372">
        <v>0.0</v>
      </c>
      <c r="Z37391" s="372">
        <v>0.0</v>
      </c>
    </row>
    <row r="37392">
      <c r="Y37392" s="372">
        <v>0.0</v>
      </c>
      <c r="Z37392" s="372">
        <v>0.0</v>
      </c>
    </row>
    <row r="37393">
      <c r="Y37393" s="372">
        <v>0.0</v>
      </c>
      <c r="Z37393" s="372">
        <v>0.0</v>
      </c>
    </row>
    <row r="37394">
      <c r="Y37394" s="372">
        <v>0.0</v>
      </c>
      <c r="Z37394" s="372">
        <v>0.0</v>
      </c>
    </row>
    <row r="37395">
      <c r="Y37395" s="372">
        <v>0.0</v>
      </c>
      <c r="Z37395" s="372">
        <v>0.0</v>
      </c>
    </row>
    <row r="37396">
      <c r="Y37396" s="372">
        <v>0.0</v>
      </c>
      <c r="Z37396" s="372">
        <v>0.0</v>
      </c>
    </row>
    <row r="37397">
      <c r="Y37397" s="372">
        <v>0.0</v>
      </c>
      <c r="Z37397" s="372">
        <v>0.0</v>
      </c>
    </row>
    <row r="37398">
      <c r="Y37398" s="372">
        <v>0.0</v>
      </c>
      <c r="Z37398" s="372">
        <v>0.0</v>
      </c>
    </row>
    <row r="37399">
      <c r="Y37399" s="372">
        <v>0.0</v>
      </c>
      <c r="Z37399" s="372">
        <v>0.0</v>
      </c>
    </row>
    <row r="37400">
      <c r="Y37400" s="372">
        <v>0.0</v>
      </c>
      <c r="Z37400" s="372">
        <v>0.0</v>
      </c>
    </row>
    <row r="37401">
      <c r="Y37401" s="372">
        <v>0.0</v>
      </c>
      <c r="Z37401" s="372">
        <v>0.0</v>
      </c>
    </row>
    <row r="37402">
      <c r="Y37402" s="372">
        <v>0.0</v>
      </c>
      <c r="Z37402" s="372">
        <v>0.0</v>
      </c>
    </row>
    <row r="37403">
      <c r="Y37403" s="372">
        <v>0.0</v>
      </c>
      <c r="Z37403" s="372">
        <v>0.0</v>
      </c>
    </row>
    <row r="37404">
      <c r="Y37404" s="372">
        <v>0.0</v>
      </c>
      <c r="Z37404" s="372">
        <v>0.0</v>
      </c>
    </row>
    <row r="37405">
      <c r="Y37405" s="372">
        <v>0.0</v>
      </c>
      <c r="Z37405" s="372">
        <v>0.0</v>
      </c>
    </row>
    <row r="37406">
      <c r="Y37406" s="372">
        <v>0.0</v>
      </c>
      <c r="Z37406" s="372">
        <v>0.0</v>
      </c>
    </row>
    <row r="37407">
      <c r="Y37407" s="372">
        <v>0.0</v>
      </c>
      <c r="Z37407" s="372">
        <v>0.0</v>
      </c>
    </row>
    <row r="37408">
      <c r="Y37408" s="372">
        <v>0.0</v>
      </c>
      <c r="Z37408" s="372">
        <v>0.0</v>
      </c>
    </row>
    <row r="37409">
      <c r="Y37409" s="372">
        <v>0.0</v>
      </c>
      <c r="Z37409" s="372">
        <v>0.0</v>
      </c>
    </row>
    <row r="37410">
      <c r="Y37410" s="372">
        <v>0.0</v>
      </c>
      <c r="Z37410" s="372">
        <v>0.0</v>
      </c>
    </row>
    <row r="37411">
      <c r="Y37411" s="372">
        <v>0.0</v>
      </c>
      <c r="Z37411" s="372">
        <v>0.0</v>
      </c>
    </row>
    <row r="37412">
      <c r="Y37412" s="372">
        <v>0.0</v>
      </c>
      <c r="Z37412" s="372">
        <v>0.0</v>
      </c>
    </row>
    <row r="37413">
      <c r="Y37413" s="372">
        <v>0.0</v>
      </c>
      <c r="Z37413" s="372">
        <v>0.0</v>
      </c>
    </row>
    <row r="37414">
      <c r="Y37414" s="372">
        <v>0.0</v>
      </c>
      <c r="Z37414" s="372">
        <v>0.0</v>
      </c>
    </row>
    <row r="37415">
      <c r="Y37415" s="372">
        <v>0.0</v>
      </c>
      <c r="Z37415" s="372">
        <v>0.0</v>
      </c>
    </row>
    <row r="37416">
      <c r="Y37416" s="372">
        <v>0.0</v>
      </c>
      <c r="Z37416" s="372">
        <v>0.0</v>
      </c>
    </row>
    <row r="37417">
      <c r="Y37417" s="372">
        <v>0.0</v>
      </c>
      <c r="Z37417" s="372">
        <v>0.0</v>
      </c>
    </row>
    <row r="37418">
      <c r="Y37418" s="372">
        <v>0.0</v>
      </c>
      <c r="Z37418" s="372">
        <v>0.0</v>
      </c>
    </row>
    <row r="37419">
      <c r="Y37419" s="372">
        <v>0.0</v>
      </c>
      <c r="Z37419" s="372">
        <v>0.0</v>
      </c>
    </row>
    <row r="37420">
      <c r="Y37420" s="372">
        <v>0.0</v>
      </c>
      <c r="Z37420" s="372">
        <v>0.0</v>
      </c>
    </row>
    <row r="37421">
      <c r="Y37421" s="372">
        <v>0.0</v>
      </c>
      <c r="Z37421" s="372">
        <v>0.0</v>
      </c>
    </row>
    <row r="37422">
      <c r="Y37422" s="372">
        <v>0.0</v>
      </c>
      <c r="Z37422" s="372">
        <v>0.0</v>
      </c>
    </row>
    <row r="37423">
      <c r="Y37423" s="372">
        <v>0.0</v>
      </c>
      <c r="Z37423" s="372">
        <v>0.0</v>
      </c>
    </row>
    <row r="37424">
      <c r="Y37424" s="372">
        <v>0.0</v>
      </c>
      <c r="Z37424" s="372">
        <v>0.0</v>
      </c>
    </row>
    <row r="37425">
      <c r="Y37425" s="372">
        <v>0.0</v>
      </c>
      <c r="Z37425" s="372">
        <v>0.0</v>
      </c>
    </row>
    <row r="37426">
      <c r="Y37426" s="372">
        <v>0.0</v>
      </c>
      <c r="Z37426" s="372">
        <v>0.0</v>
      </c>
    </row>
    <row r="37427">
      <c r="Y37427" s="372">
        <v>0.0</v>
      </c>
      <c r="Z37427" s="372">
        <v>0.0</v>
      </c>
    </row>
    <row r="37428">
      <c r="Y37428" s="372">
        <v>0.0</v>
      </c>
      <c r="Z37428" s="372">
        <v>0.0</v>
      </c>
    </row>
    <row r="37429">
      <c r="Y37429" s="372">
        <v>0.0</v>
      </c>
      <c r="Z37429" s="372">
        <v>0.0</v>
      </c>
    </row>
    <row r="37430">
      <c r="Y37430" s="372">
        <v>0.0</v>
      </c>
      <c r="Z37430" s="372">
        <v>0.0</v>
      </c>
    </row>
    <row r="37431">
      <c r="Y37431" s="372">
        <v>0.0</v>
      </c>
      <c r="Z37431" s="372">
        <v>0.0</v>
      </c>
    </row>
    <row r="37432">
      <c r="Y37432" s="372">
        <v>0.0</v>
      </c>
      <c r="Z37432" s="372">
        <v>0.0</v>
      </c>
    </row>
    <row r="37433">
      <c r="Y37433" s="372">
        <v>0.0</v>
      </c>
      <c r="Z37433" s="372">
        <v>0.0</v>
      </c>
    </row>
    <row r="37434">
      <c r="Y37434" s="372">
        <v>0.0</v>
      </c>
      <c r="Z37434" s="372">
        <v>0.0</v>
      </c>
    </row>
    <row r="37435">
      <c r="Y37435" s="372">
        <v>0.0</v>
      </c>
      <c r="Z37435" s="372">
        <v>0.0</v>
      </c>
    </row>
    <row r="37436">
      <c r="Y37436" s="372">
        <v>0.0</v>
      </c>
      <c r="Z37436" s="372">
        <v>0.0</v>
      </c>
    </row>
    <row r="37437">
      <c r="Y37437" s="372">
        <v>0.0</v>
      </c>
      <c r="Z37437" s="372">
        <v>0.0</v>
      </c>
    </row>
    <row r="37438">
      <c r="Y37438" s="372">
        <v>0.0</v>
      </c>
      <c r="Z37438" s="372">
        <v>0.0</v>
      </c>
    </row>
    <row r="37439">
      <c r="Y37439" s="372">
        <v>0.0</v>
      </c>
      <c r="Z37439" s="372">
        <v>0.0</v>
      </c>
    </row>
    <row r="37440">
      <c r="Y37440" s="372">
        <v>0.0</v>
      </c>
      <c r="Z37440" s="372">
        <v>0.0</v>
      </c>
    </row>
    <row r="37441">
      <c r="Y37441" s="372">
        <v>0.0</v>
      </c>
      <c r="Z37441" s="372">
        <v>0.0</v>
      </c>
    </row>
    <row r="37442">
      <c r="Y37442" s="372">
        <v>0.0</v>
      </c>
      <c r="Z37442" s="372">
        <v>0.0</v>
      </c>
    </row>
    <row r="37443">
      <c r="Y37443" s="372">
        <v>0.0</v>
      </c>
      <c r="Z37443" s="372">
        <v>0.0</v>
      </c>
    </row>
    <row r="37444">
      <c r="Y37444" s="372">
        <v>0.0</v>
      </c>
      <c r="Z37444" s="372">
        <v>0.0</v>
      </c>
    </row>
    <row r="37445">
      <c r="Y37445" s="372">
        <v>0.0</v>
      </c>
      <c r="Z37445" s="372">
        <v>0.0</v>
      </c>
    </row>
    <row r="37446">
      <c r="Y37446" s="372">
        <v>0.0</v>
      </c>
      <c r="Z37446" s="372">
        <v>0.0</v>
      </c>
    </row>
    <row r="37447">
      <c r="Y37447" s="372">
        <v>0.0</v>
      </c>
      <c r="Z37447" s="372">
        <v>0.0</v>
      </c>
    </row>
    <row r="37448">
      <c r="Y37448" s="372">
        <v>0.0</v>
      </c>
      <c r="Z37448" s="372">
        <v>0.0</v>
      </c>
    </row>
    <row r="37449">
      <c r="Y37449" s="372">
        <v>0.0</v>
      </c>
      <c r="Z37449" s="372">
        <v>0.0</v>
      </c>
    </row>
    <row r="37450">
      <c r="Y37450" s="372">
        <v>0.0</v>
      </c>
      <c r="Z37450" s="372">
        <v>0.0</v>
      </c>
    </row>
    <row r="37451">
      <c r="Y37451" s="372">
        <v>0.0</v>
      </c>
      <c r="Z37451" s="372">
        <v>0.0</v>
      </c>
    </row>
    <row r="37452">
      <c r="Y37452" s="372">
        <v>0.0</v>
      </c>
      <c r="Z37452" s="372">
        <v>0.0</v>
      </c>
    </row>
    <row r="37453">
      <c r="Y37453" s="372">
        <v>0.0</v>
      </c>
      <c r="Z37453" s="372">
        <v>0.0</v>
      </c>
    </row>
    <row r="37454">
      <c r="Y37454" s="372">
        <v>0.0</v>
      </c>
      <c r="Z37454" s="372">
        <v>0.0</v>
      </c>
    </row>
    <row r="37455">
      <c r="Y37455" s="372">
        <v>0.0</v>
      </c>
      <c r="Z37455" s="372">
        <v>0.0</v>
      </c>
    </row>
    <row r="37456">
      <c r="Y37456" s="372">
        <v>0.0</v>
      </c>
      <c r="Z37456" s="372">
        <v>0.0</v>
      </c>
    </row>
    <row r="37457">
      <c r="Y37457" s="372">
        <v>0.0</v>
      </c>
      <c r="Z37457" s="372">
        <v>0.0</v>
      </c>
    </row>
    <row r="37458">
      <c r="Y37458" s="372">
        <v>0.0</v>
      </c>
      <c r="Z37458" s="372">
        <v>0.0</v>
      </c>
    </row>
    <row r="37459">
      <c r="Y37459" s="372">
        <v>0.0</v>
      </c>
      <c r="Z37459" s="372">
        <v>0.0</v>
      </c>
    </row>
    <row r="37460">
      <c r="Y37460" s="372">
        <v>0.0</v>
      </c>
      <c r="Z37460" s="372">
        <v>0.0</v>
      </c>
    </row>
    <row r="37461">
      <c r="Y37461" s="372">
        <v>0.0</v>
      </c>
      <c r="Z37461" s="372">
        <v>0.0</v>
      </c>
    </row>
    <row r="37462">
      <c r="Y37462" s="372">
        <v>0.0</v>
      </c>
      <c r="Z37462" s="372">
        <v>0.0</v>
      </c>
    </row>
    <row r="37463">
      <c r="Y37463" s="372">
        <v>0.0</v>
      </c>
      <c r="Z37463" s="372">
        <v>0.0</v>
      </c>
    </row>
    <row r="37464">
      <c r="Y37464" s="372">
        <v>0.0</v>
      </c>
      <c r="Z37464" s="372">
        <v>0.0</v>
      </c>
    </row>
    <row r="37465">
      <c r="Y37465" s="372">
        <v>0.0</v>
      </c>
      <c r="Z37465" s="372">
        <v>0.0</v>
      </c>
    </row>
    <row r="37466">
      <c r="Y37466" s="372">
        <v>0.0</v>
      </c>
      <c r="Z37466" s="372">
        <v>0.0</v>
      </c>
    </row>
    <row r="37467">
      <c r="Y37467" s="372">
        <v>0.0</v>
      </c>
      <c r="Z37467" s="372">
        <v>0.0</v>
      </c>
    </row>
    <row r="37468">
      <c r="Y37468" s="372">
        <v>0.0</v>
      </c>
      <c r="Z37468" s="372">
        <v>0.0</v>
      </c>
    </row>
    <row r="37469">
      <c r="Y37469" s="372">
        <v>0.0</v>
      </c>
      <c r="Z37469" s="372">
        <v>0.0</v>
      </c>
    </row>
    <row r="37470">
      <c r="Y37470" s="372">
        <v>0.0</v>
      </c>
      <c r="Z37470" s="372">
        <v>0.0</v>
      </c>
    </row>
    <row r="37471">
      <c r="Y37471" s="372">
        <v>0.0</v>
      </c>
      <c r="Z37471" s="372">
        <v>0.0</v>
      </c>
    </row>
    <row r="37472">
      <c r="Y37472" s="372">
        <v>0.0</v>
      </c>
      <c r="Z37472" s="372">
        <v>0.0</v>
      </c>
    </row>
    <row r="37473">
      <c r="Y37473" s="372">
        <v>0.0</v>
      </c>
      <c r="Z37473" s="372">
        <v>0.0</v>
      </c>
    </row>
    <row r="37474">
      <c r="Y37474" s="372">
        <v>0.0</v>
      </c>
      <c r="Z37474" s="372">
        <v>0.0</v>
      </c>
    </row>
    <row r="37475">
      <c r="Y37475" s="372">
        <v>0.0</v>
      </c>
      <c r="Z37475" s="372">
        <v>0.0</v>
      </c>
    </row>
    <row r="37476">
      <c r="Y37476" s="372">
        <v>0.0</v>
      </c>
      <c r="Z37476" s="372">
        <v>0.0</v>
      </c>
    </row>
    <row r="37477">
      <c r="Y37477" s="372">
        <v>0.0</v>
      </c>
      <c r="Z37477" s="372">
        <v>0.0</v>
      </c>
    </row>
    <row r="37478">
      <c r="Y37478" s="372">
        <v>0.0</v>
      </c>
      <c r="Z37478" s="372">
        <v>0.0</v>
      </c>
    </row>
    <row r="37479">
      <c r="Y37479" s="372">
        <v>0.0</v>
      </c>
      <c r="Z37479" s="372">
        <v>0.0</v>
      </c>
    </row>
    <row r="37480">
      <c r="Y37480" s="372">
        <v>0.0</v>
      </c>
      <c r="Z37480" s="372">
        <v>0.0</v>
      </c>
    </row>
    <row r="37481">
      <c r="Y37481" s="372">
        <v>0.0</v>
      </c>
      <c r="Z37481" s="372">
        <v>0.0</v>
      </c>
    </row>
    <row r="37482">
      <c r="Y37482" s="372">
        <v>0.0</v>
      </c>
      <c r="Z37482" s="372">
        <v>0.0</v>
      </c>
    </row>
    <row r="37483">
      <c r="Y37483" s="372">
        <v>0.0</v>
      </c>
      <c r="Z37483" s="372">
        <v>0.0</v>
      </c>
    </row>
    <row r="37484">
      <c r="Y37484" s="372">
        <v>0.0</v>
      </c>
      <c r="Z37484" s="372">
        <v>0.0</v>
      </c>
    </row>
    <row r="37485">
      <c r="Y37485" s="372">
        <v>0.0</v>
      </c>
      <c r="Z37485" s="372">
        <v>0.0</v>
      </c>
    </row>
    <row r="37486">
      <c r="Y37486" s="372">
        <v>0.0</v>
      </c>
      <c r="Z37486" s="372">
        <v>0.0</v>
      </c>
    </row>
    <row r="37487">
      <c r="Y37487" s="372">
        <v>0.0</v>
      </c>
      <c r="Z37487" s="372">
        <v>0.0</v>
      </c>
    </row>
    <row r="37488">
      <c r="Y37488" s="372">
        <v>0.0</v>
      </c>
      <c r="Z37488" s="372">
        <v>0.0</v>
      </c>
    </row>
    <row r="37489">
      <c r="Y37489" s="372">
        <v>0.0</v>
      </c>
      <c r="Z37489" s="372">
        <v>0.0</v>
      </c>
    </row>
    <row r="37490">
      <c r="Y37490" s="372">
        <v>0.0</v>
      </c>
      <c r="Z37490" s="372">
        <v>0.0</v>
      </c>
    </row>
    <row r="37491">
      <c r="Y37491" s="372">
        <v>0.0</v>
      </c>
      <c r="Z37491" s="372">
        <v>0.0</v>
      </c>
    </row>
    <row r="37492">
      <c r="Y37492" s="372">
        <v>0.0</v>
      </c>
      <c r="Z37492" s="372">
        <v>0.0</v>
      </c>
    </row>
    <row r="37493">
      <c r="Y37493" s="372">
        <v>0.0</v>
      </c>
      <c r="Z37493" s="372">
        <v>0.0</v>
      </c>
    </row>
    <row r="37494">
      <c r="Y37494" s="372">
        <v>0.0</v>
      </c>
      <c r="Z37494" s="372">
        <v>0.0</v>
      </c>
    </row>
    <row r="37495">
      <c r="Y37495" s="372">
        <v>0.0</v>
      </c>
      <c r="Z37495" s="372">
        <v>0.0</v>
      </c>
    </row>
    <row r="37496">
      <c r="Y37496" s="372">
        <v>0.0</v>
      </c>
      <c r="Z37496" s="372">
        <v>0.0</v>
      </c>
    </row>
    <row r="37497">
      <c r="Y37497" s="372">
        <v>0.0</v>
      </c>
      <c r="Z37497" s="372">
        <v>0.0</v>
      </c>
    </row>
    <row r="37498">
      <c r="Y37498" s="372">
        <v>0.0</v>
      </c>
      <c r="Z37498" s="372">
        <v>0.0</v>
      </c>
    </row>
    <row r="37499">
      <c r="Y37499" s="372">
        <v>0.0</v>
      </c>
      <c r="Z37499" s="372">
        <v>0.0</v>
      </c>
    </row>
    <row r="37500">
      <c r="Y37500" s="372">
        <v>0.0</v>
      </c>
      <c r="Z37500" s="372">
        <v>0.0</v>
      </c>
    </row>
    <row r="37501">
      <c r="Y37501" s="372">
        <v>0.0</v>
      </c>
      <c r="Z37501" s="372">
        <v>0.0</v>
      </c>
    </row>
    <row r="37502">
      <c r="Y37502" s="372">
        <v>0.0</v>
      </c>
      <c r="Z37502" s="372">
        <v>0.0</v>
      </c>
    </row>
    <row r="37503">
      <c r="Y37503" s="372">
        <v>0.0</v>
      </c>
      <c r="Z37503" s="372">
        <v>0.0</v>
      </c>
    </row>
    <row r="37504">
      <c r="Y37504" s="372">
        <v>0.0</v>
      </c>
      <c r="Z37504" s="372">
        <v>0.0</v>
      </c>
    </row>
    <row r="37505">
      <c r="Y37505" s="372">
        <v>0.0</v>
      </c>
      <c r="Z37505" s="372">
        <v>0.0</v>
      </c>
    </row>
    <row r="37506">
      <c r="Y37506" s="372">
        <v>0.0</v>
      </c>
      <c r="Z37506" s="372">
        <v>0.0</v>
      </c>
    </row>
    <row r="37507">
      <c r="Y37507" s="372">
        <v>0.0</v>
      </c>
      <c r="Z37507" s="372">
        <v>0.0</v>
      </c>
    </row>
    <row r="37508">
      <c r="Y37508" s="372">
        <v>0.0</v>
      </c>
      <c r="Z37508" s="372">
        <v>0.0</v>
      </c>
    </row>
    <row r="37509">
      <c r="Y37509" s="372">
        <v>0.0</v>
      </c>
      <c r="Z37509" s="372">
        <v>0.0</v>
      </c>
    </row>
    <row r="37510">
      <c r="Y37510" s="372">
        <v>0.0</v>
      </c>
      <c r="Z37510" s="372">
        <v>0.0</v>
      </c>
    </row>
    <row r="37511">
      <c r="Y37511" s="372">
        <v>0.0</v>
      </c>
      <c r="Z37511" s="372">
        <v>0.0</v>
      </c>
    </row>
    <row r="37512">
      <c r="Y37512" s="372">
        <v>0.0</v>
      </c>
      <c r="Z37512" s="372">
        <v>0.0</v>
      </c>
    </row>
    <row r="37513">
      <c r="Y37513" s="372">
        <v>0.0</v>
      </c>
      <c r="Z37513" s="372">
        <v>0.0</v>
      </c>
    </row>
    <row r="37514">
      <c r="Y37514" s="372">
        <v>0.0</v>
      </c>
      <c r="Z37514" s="372">
        <v>0.0</v>
      </c>
    </row>
    <row r="37515">
      <c r="Y37515" s="372">
        <v>0.0</v>
      </c>
      <c r="Z37515" s="372">
        <v>0.0</v>
      </c>
    </row>
    <row r="37516">
      <c r="Y37516" s="372">
        <v>0.0</v>
      </c>
      <c r="Z37516" s="372">
        <v>0.0</v>
      </c>
    </row>
    <row r="37517">
      <c r="Y37517" s="372">
        <v>0.0</v>
      </c>
      <c r="Z37517" s="372">
        <v>0.0</v>
      </c>
    </row>
    <row r="37518">
      <c r="Y37518" s="372">
        <v>0.0</v>
      </c>
      <c r="Z37518" s="372">
        <v>0.0</v>
      </c>
    </row>
    <row r="37519">
      <c r="Y37519" s="372">
        <v>0.0</v>
      </c>
      <c r="Z37519" s="372">
        <v>0.0</v>
      </c>
    </row>
    <row r="37520">
      <c r="Y37520" s="372">
        <v>0.0</v>
      </c>
      <c r="Z37520" s="372">
        <v>0.0</v>
      </c>
    </row>
    <row r="37521">
      <c r="Y37521" s="372">
        <v>0.0</v>
      </c>
      <c r="Z37521" s="372">
        <v>0.0</v>
      </c>
    </row>
    <row r="37522">
      <c r="Y37522" s="372">
        <v>0.0</v>
      </c>
      <c r="Z37522" s="372">
        <v>0.0</v>
      </c>
    </row>
    <row r="37523">
      <c r="Y37523" s="372">
        <v>0.0</v>
      </c>
      <c r="Z37523" s="372">
        <v>0.0</v>
      </c>
    </row>
    <row r="37524">
      <c r="Y37524" s="372">
        <v>0.0</v>
      </c>
      <c r="Z37524" s="372">
        <v>0.0</v>
      </c>
    </row>
    <row r="37525">
      <c r="Y37525" s="372">
        <v>0.0</v>
      </c>
      <c r="Z37525" s="372">
        <v>0.0</v>
      </c>
    </row>
    <row r="37526">
      <c r="Y37526" s="372">
        <v>0.0</v>
      </c>
      <c r="Z37526" s="372">
        <v>0.0</v>
      </c>
    </row>
    <row r="37527">
      <c r="Y37527" s="372">
        <v>0.0</v>
      </c>
      <c r="Z37527" s="372">
        <v>0.0</v>
      </c>
    </row>
    <row r="37528">
      <c r="Y37528" s="372">
        <v>0.0</v>
      </c>
      <c r="Z37528" s="372">
        <v>0.0</v>
      </c>
    </row>
    <row r="37529">
      <c r="Y37529" s="372">
        <v>0.0</v>
      </c>
      <c r="Z37529" s="372">
        <v>0.0</v>
      </c>
    </row>
    <row r="37530">
      <c r="Y37530" s="372">
        <v>0.0</v>
      </c>
      <c r="Z37530" s="372">
        <v>0.0</v>
      </c>
    </row>
    <row r="37531">
      <c r="Y37531" s="372">
        <v>0.0</v>
      </c>
      <c r="Z37531" s="372">
        <v>0.0</v>
      </c>
    </row>
    <row r="37532">
      <c r="Y37532" s="372">
        <v>0.0</v>
      </c>
      <c r="Z37532" s="372">
        <v>0.0</v>
      </c>
    </row>
    <row r="37533">
      <c r="Y37533" s="372">
        <v>0.0</v>
      </c>
      <c r="Z37533" s="372">
        <v>0.0</v>
      </c>
    </row>
    <row r="37534">
      <c r="Y37534" s="372">
        <v>0.0</v>
      </c>
      <c r="Z37534" s="372">
        <v>0.0</v>
      </c>
    </row>
    <row r="37535">
      <c r="Y37535" s="372">
        <v>0.0</v>
      </c>
      <c r="Z37535" s="372">
        <v>0.0</v>
      </c>
    </row>
    <row r="37536">
      <c r="Y37536" s="372">
        <v>0.0</v>
      </c>
      <c r="Z37536" s="372">
        <v>0.0</v>
      </c>
    </row>
    <row r="37537">
      <c r="Y37537" s="372">
        <v>0.0</v>
      </c>
      <c r="Z37537" s="372">
        <v>0.0</v>
      </c>
    </row>
    <row r="37538">
      <c r="Y37538" s="372">
        <v>0.0</v>
      </c>
      <c r="Z37538" s="372">
        <v>0.0</v>
      </c>
    </row>
    <row r="37539">
      <c r="Y37539" s="372">
        <v>0.0</v>
      </c>
      <c r="Z37539" s="372">
        <v>0.0</v>
      </c>
    </row>
    <row r="37540">
      <c r="Y37540" s="372">
        <v>0.0</v>
      </c>
      <c r="Z37540" s="372">
        <v>0.0</v>
      </c>
    </row>
    <row r="37541">
      <c r="Y37541" s="372">
        <v>0.0</v>
      </c>
      <c r="Z37541" s="372">
        <v>0.0</v>
      </c>
    </row>
    <row r="37542">
      <c r="Y37542" s="372">
        <v>0.0</v>
      </c>
      <c r="Z37542" s="372">
        <v>0.0</v>
      </c>
    </row>
    <row r="37543">
      <c r="Y37543" s="372">
        <v>0.0</v>
      </c>
      <c r="Z37543" s="372">
        <v>0.0</v>
      </c>
    </row>
    <row r="37544">
      <c r="Y37544" s="372">
        <v>0.0</v>
      </c>
      <c r="Z37544" s="372">
        <v>0.0</v>
      </c>
    </row>
    <row r="37545">
      <c r="Y37545" s="372">
        <v>0.0</v>
      </c>
      <c r="Z37545" s="372">
        <v>0.0</v>
      </c>
    </row>
    <row r="37546">
      <c r="Y37546" s="372">
        <v>0.0</v>
      </c>
      <c r="Z37546" s="372">
        <v>0.0</v>
      </c>
    </row>
    <row r="37547">
      <c r="Y37547" s="372">
        <v>0.0</v>
      </c>
      <c r="Z37547" s="372">
        <v>0.0</v>
      </c>
    </row>
    <row r="37548">
      <c r="Y37548" s="372">
        <v>0.0</v>
      </c>
      <c r="Z37548" s="372">
        <v>0.0</v>
      </c>
    </row>
    <row r="37549">
      <c r="Y37549" s="372">
        <v>0.0</v>
      </c>
      <c r="Z37549" s="372">
        <v>0.0</v>
      </c>
    </row>
    <row r="37550">
      <c r="Y37550" s="372">
        <v>0.0</v>
      </c>
      <c r="Z37550" s="372">
        <v>0.0</v>
      </c>
    </row>
    <row r="37551">
      <c r="Y37551" s="372">
        <v>0.0</v>
      </c>
      <c r="Z37551" s="372">
        <v>0.0</v>
      </c>
    </row>
    <row r="37552">
      <c r="Y37552" s="372">
        <v>0.0</v>
      </c>
      <c r="Z37552" s="372">
        <v>0.0</v>
      </c>
    </row>
    <row r="37553">
      <c r="Y37553" s="372">
        <v>0.0</v>
      </c>
      <c r="Z37553" s="372">
        <v>0.0</v>
      </c>
    </row>
    <row r="37554">
      <c r="Y37554" s="372">
        <v>0.0</v>
      </c>
      <c r="Z37554" s="372">
        <v>0.0</v>
      </c>
    </row>
    <row r="37555">
      <c r="Y37555" s="372">
        <v>0.0</v>
      </c>
      <c r="Z37555" s="372">
        <v>0.0</v>
      </c>
    </row>
    <row r="37556">
      <c r="Y37556" s="372">
        <v>0.0</v>
      </c>
      <c r="Z37556" s="372">
        <v>0.0</v>
      </c>
    </row>
    <row r="37557">
      <c r="Y37557" s="372">
        <v>0.0</v>
      </c>
      <c r="Z37557" s="372">
        <v>0.0</v>
      </c>
    </row>
    <row r="37558">
      <c r="Y37558" s="372">
        <v>0.0</v>
      </c>
      <c r="Z37558" s="372">
        <v>0.0</v>
      </c>
    </row>
    <row r="37559">
      <c r="Y37559" s="372">
        <v>0.0</v>
      </c>
      <c r="Z37559" s="372">
        <v>0.0</v>
      </c>
    </row>
    <row r="37560">
      <c r="Y37560" s="372">
        <v>0.0</v>
      </c>
      <c r="Z37560" s="372">
        <v>0.0</v>
      </c>
    </row>
    <row r="37561">
      <c r="Y37561" s="372">
        <v>0.0</v>
      </c>
      <c r="Z37561" s="372">
        <v>0.0</v>
      </c>
    </row>
    <row r="37562">
      <c r="Y37562" s="372">
        <v>0.0</v>
      </c>
      <c r="Z37562" s="372">
        <v>0.0</v>
      </c>
    </row>
    <row r="37563">
      <c r="Y37563" s="372">
        <v>0.0</v>
      </c>
      <c r="Z37563" s="372">
        <v>0.0</v>
      </c>
    </row>
    <row r="37564">
      <c r="Y37564" s="372">
        <v>0.0</v>
      </c>
      <c r="Z37564" s="372">
        <v>0.0</v>
      </c>
    </row>
    <row r="37565">
      <c r="Y37565" s="372">
        <v>0.0</v>
      </c>
      <c r="Z37565" s="372">
        <v>0.0</v>
      </c>
    </row>
    <row r="37566">
      <c r="Y37566" s="372">
        <v>0.0</v>
      </c>
      <c r="Z37566" s="372">
        <v>0.0</v>
      </c>
    </row>
    <row r="37567">
      <c r="Y37567" s="372">
        <v>0.0</v>
      </c>
      <c r="Z37567" s="372">
        <v>0.0</v>
      </c>
    </row>
    <row r="37568">
      <c r="Y37568" s="372">
        <v>0.0</v>
      </c>
      <c r="Z37568" s="372">
        <v>0.0</v>
      </c>
    </row>
    <row r="37569">
      <c r="Y37569" s="372">
        <v>0.0</v>
      </c>
      <c r="Z37569" s="372">
        <v>0.0</v>
      </c>
    </row>
    <row r="37570">
      <c r="Y37570" s="372">
        <v>0.0</v>
      </c>
      <c r="Z37570" s="372">
        <v>0.0</v>
      </c>
    </row>
    <row r="37571">
      <c r="Y37571" s="372">
        <v>0.0</v>
      </c>
      <c r="Z37571" s="372">
        <v>0.0</v>
      </c>
    </row>
    <row r="37572">
      <c r="Y37572" s="372">
        <v>0.0</v>
      </c>
      <c r="Z37572" s="372">
        <v>0.0</v>
      </c>
    </row>
    <row r="37573">
      <c r="Y37573" s="372">
        <v>0.0</v>
      </c>
      <c r="Z37573" s="372">
        <v>0.0</v>
      </c>
    </row>
    <row r="37574">
      <c r="Y37574" s="372">
        <v>0.0</v>
      </c>
      <c r="Z37574" s="372">
        <v>0.0</v>
      </c>
    </row>
    <row r="37575">
      <c r="Y37575" s="372">
        <v>0.0</v>
      </c>
      <c r="Z37575" s="372">
        <v>0.0</v>
      </c>
    </row>
    <row r="37576">
      <c r="Y37576" s="372">
        <v>0.0</v>
      </c>
      <c r="Z37576" s="372">
        <v>0.0</v>
      </c>
    </row>
    <row r="37577">
      <c r="Y37577" s="372">
        <v>0.0</v>
      </c>
      <c r="Z37577" s="372">
        <v>0.0</v>
      </c>
    </row>
    <row r="37578">
      <c r="Y37578" s="372">
        <v>0.0</v>
      </c>
      <c r="Z37578" s="372">
        <v>0.0</v>
      </c>
    </row>
    <row r="37579">
      <c r="Y37579" s="372">
        <v>0.0</v>
      </c>
      <c r="Z37579" s="372">
        <v>0.0</v>
      </c>
    </row>
    <row r="37580">
      <c r="Y37580" s="372">
        <v>0.0</v>
      </c>
      <c r="Z37580" s="372">
        <v>0.0</v>
      </c>
    </row>
    <row r="37581">
      <c r="Y37581" s="372">
        <v>0.0</v>
      </c>
      <c r="Z37581" s="372">
        <v>0.0</v>
      </c>
    </row>
    <row r="37582">
      <c r="Y37582" s="372">
        <v>0.0</v>
      </c>
      <c r="Z37582" s="372">
        <v>0.0</v>
      </c>
    </row>
    <row r="37583">
      <c r="Y37583" s="372">
        <v>0.0</v>
      </c>
      <c r="Z37583" s="372">
        <v>0.0</v>
      </c>
    </row>
    <row r="37584">
      <c r="Y37584" s="372">
        <v>0.0</v>
      </c>
      <c r="Z37584" s="372">
        <v>0.0</v>
      </c>
    </row>
    <row r="37585">
      <c r="Y37585" s="372">
        <v>0.0</v>
      </c>
      <c r="Z37585" s="372">
        <v>0.0</v>
      </c>
    </row>
    <row r="37586">
      <c r="Y37586" s="372">
        <v>0.0</v>
      </c>
      <c r="Z37586" s="372">
        <v>0.0</v>
      </c>
    </row>
    <row r="37587">
      <c r="Y37587" s="372">
        <v>0.0</v>
      </c>
      <c r="Z37587" s="372">
        <v>0.0</v>
      </c>
    </row>
    <row r="37588">
      <c r="Y37588" s="372">
        <v>0.0</v>
      </c>
      <c r="Z37588" s="372">
        <v>0.0</v>
      </c>
    </row>
    <row r="37589">
      <c r="Y37589" s="372">
        <v>0.0</v>
      </c>
      <c r="Z37589" s="372">
        <v>0.0</v>
      </c>
    </row>
    <row r="37590">
      <c r="Y37590" s="372">
        <v>0.0</v>
      </c>
      <c r="Z37590" s="372">
        <v>0.0</v>
      </c>
    </row>
    <row r="37591">
      <c r="Y37591" s="372">
        <v>0.0</v>
      </c>
      <c r="Z37591" s="372">
        <v>0.0</v>
      </c>
    </row>
    <row r="37592">
      <c r="Y37592" s="372">
        <v>0.0</v>
      </c>
      <c r="Z37592" s="372">
        <v>0.0</v>
      </c>
    </row>
    <row r="37593">
      <c r="Y37593" s="372">
        <v>0.0</v>
      </c>
      <c r="Z37593" s="372">
        <v>0.0</v>
      </c>
    </row>
    <row r="37594">
      <c r="Y37594" s="372">
        <v>0.0</v>
      </c>
      <c r="Z37594" s="372">
        <v>0.0</v>
      </c>
    </row>
    <row r="37595">
      <c r="Y37595" s="372">
        <v>0.0</v>
      </c>
      <c r="Z37595" s="372">
        <v>0.0</v>
      </c>
    </row>
    <row r="37596">
      <c r="Y37596" s="372">
        <v>0.0</v>
      </c>
      <c r="Z37596" s="372">
        <v>0.0</v>
      </c>
    </row>
    <row r="37597">
      <c r="Y37597" s="372">
        <v>0.0</v>
      </c>
      <c r="Z37597" s="372">
        <v>0.0</v>
      </c>
    </row>
    <row r="37598">
      <c r="Y37598" s="372">
        <v>0.0</v>
      </c>
      <c r="Z37598" s="372">
        <v>0.0</v>
      </c>
    </row>
    <row r="37599">
      <c r="Y37599" s="372">
        <v>0.0</v>
      </c>
      <c r="Z37599" s="372">
        <v>0.0</v>
      </c>
    </row>
    <row r="37600">
      <c r="Y37600" s="372">
        <v>0.0</v>
      </c>
      <c r="Z37600" s="372">
        <v>0.0</v>
      </c>
    </row>
    <row r="37601">
      <c r="Y37601" s="372">
        <v>0.0</v>
      </c>
      <c r="Z37601" s="372">
        <v>0.0</v>
      </c>
    </row>
    <row r="37602">
      <c r="Y37602" s="372">
        <v>0.0</v>
      </c>
      <c r="Z37602" s="372">
        <v>0.0</v>
      </c>
    </row>
    <row r="37603">
      <c r="Y37603" s="372">
        <v>0.0</v>
      </c>
      <c r="Z37603" s="372">
        <v>0.0</v>
      </c>
    </row>
    <row r="37604">
      <c r="Y37604" s="372">
        <v>0.0</v>
      </c>
      <c r="Z37604" s="372">
        <v>0.0</v>
      </c>
    </row>
    <row r="37605">
      <c r="Y37605" s="372">
        <v>0.0</v>
      </c>
      <c r="Z37605" s="372">
        <v>0.0</v>
      </c>
    </row>
    <row r="37606">
      <c r="Y37606" s="372">
        <v>0.0</v>
      </c>
      <c r="Z37606" s="372">
        <v>0.0</v>
      </c>
    </row>
    <row r="37607">
      <c r="Y37607" s="372">
        <v>0.0</v>
      </c>
      <c r="Z37607" s="372">
        <v>0.0</v>
      </c>
    </row>
    <row r="37608">
      <c r="Y37608" s="372">
        <v>0.0</v>
      </c>
      <c r="Z37608" s="372">
        <v>0.0</v>
      </c>
    </row>
    <row r="37609">
      <c r="Y37609" s="372">
        <v>0.0</v>
      </c>
      <c r="Z37609" s="372">
        <v>0.0</v>
      </c>
    </row>
    <row r="37610">
      <c r="Y37610" s="372">
        <v>0.0</v>
      </c>
      <c r="Z37610" s="372">
        <v>0.0</v>
      </c>
    </row>
    <row r="37611">
      <c r="Y37611" s="372">
        <v>0.0</v>
      </c>
      <c r="Z37611" s="372">
        <v>0.0</v>
      </c>
    </row>
    <row r="37612">
      <c r="Y37612" s="372">
        <v>0.0</v>
      </c>
      <c r="Z37612" s="372">
        <v>0.0</v>
      </c>
    </row>
    <row r="37613">
      <c r="Y37613" s="372">
        <v>0.0</v>
      </c>
      <c r="Z37613" s="372">
        <v>0.0</v>
      </c>
    </row>
    <row r="37614">
      <c r="Y37614" s="372">
        <v>0.0</v>
      </c>
      <c r="Z37614" s="372">
        <v>0.0</v>
      </c>
    </row>
    <row r="37615">
      <c r="Y37615" s="372">
        <v>0.0</v>
      </c>
      <c r="Z37615" s="372">
        <v>0.0</v>
      </c>
    </row>
    <row r="37616">
      <c r="Y37616" s="372">
        <v>0.0</v>
      </c>
      <c r="Z37616" s="372">
        <v>0.0</v>
      </c>
    </row>
    <row r="37617">
      <c r="Y37617" s="372">
        <v>0.0</v>
      </c>
      <c r="Z37617" s="372">
        <v>0.0</v>
      </c>
    </row>
    <row r="37618">
      <c r="Y37618" s="372">
        <v>0.0</v>
      </c>
      <c r="Z37618" s="372">
        <v>0.0</v>
      </c>
    </row>
    <row r="37619">
      <c r="Y37619" s="372">
        <v>0.0</v>
      </c>
      <c r="Z37619" s="372">
        <v>0.0</v>
      </c>
    </row>
    <row r="37620">
      <c r="Y37620" s="372">
        <v>0.0</v>
      </c>
      <c r="Z37620" s="372">
        <v>0.0</v>
      </c>
    </row>
    <row r="37621">
      <c r="Y37621" s="372">
        <v>0.0</v>
      </c>
      <c r="Z37621" s="372">
        <v>0.0</v>
      </c>
    </row>
    <row r="37622">
      <c r="Y37622" s="372">
        <v>0.0</v>
      </c>
      <c r="Z37622" s="372">
        <v>0.0</v>
      </c>
    </row>
    <row r="37623">
      <c r="Y37623" s="372">
        <v>0.0</v>
      </c>
      <c r="Z37623" s="372">
        <v>0.0</v>
      </c>
    </row>
    <row r="37624">
      <c r="Y37624" s="372">
        <v>0.0</v>
      </c>
      <c r="Z37624" s="372">
        <v>0.0</v>
      </c>
    </row>
    <row r="37625">
      <c r="Y37625" s="372">
        <v>0.0</v>
      </c>
      <c r="Z37625" s="372">
        <v>0.0</v>
      </c>
    </row>
    <row r="37626">
      <c r="Y37626" s="372">
        <v>0.0</v>
      </c>
      <c r="Z37626" s="372">
        <v>0.0</v>
      </c>
    </row>
    <row r="37627">
      <c r="Y37627" s="372">
        <v>0.0</v>
      </c>
      <c r="Z37627" s="372">
        <v>0.0</v>
      </c>
    </row>
    <row r="37628">
      <c r="Y37628" s="372">
        <v>0.0</v>
      </c>
      <c r="Z37628" s="372">
        <v>0.0</v>
      </c>
    </row>
    <row r="37629">
      <c r="Y37629" s="372">
        <v>0.0</v>
      </c>
      <c r="Z37629" s="372">
        <v>0.0</v>
      </c>
    </row>
    <row r="37630">
      <c r="Y37630" s="372">
        <v>0.0</v>
      </c>
      <c r="Z37630" s="372">
        <v>0.0</v>
      </c>
    </row>
    <row r="37631">
      <c r="Y37631" s="372">
        <v>0.0</v>
      </c>
      <c r="Z37631" s="372">
        <v>0.0</v>
      </c>
    </row>
    <row r="37632">
      <c r="Y37632" s="372">
        <v>0.0</v>
      </c>
      <c r="Z37632" s="372">
        <v>0.0</v>
      </c>
    </row>
    <row r="37633">
      <c r="Y37633" s="372">
        <v>0.0</v>
      </c>
      <c r="Z37633" s="372">
        <v>0.0</v>
      </c>
    </row>
    <row r="37634">
      <c r="Y37634" s="372">
        <v>0.0</v>
      </c>
      <c r="Z37634" s="372">
        <v>0.0</v>
      </c>
    </row>
    <row r="37635">
      <c r="Y37635" s="372">
        <v>0.0</v>
      </c>
      <c r="Z37635" s="372">
        <v>0.0</v>
      </c>
    </row>
    <row r="37636">
      <c r="Y37636" s="372">
        <v>0.0</v>
      </c>
      <c r="Z37636" s="372">
        <v>0.0</v>
      </c>
    </row>
    <row r="37637">
      <c r="Y37637" s="372">
        <v>0.0</v>
      </c>
      <c r="Z37637" s="372">
        <v>0.0</v>
      </c>
    </row>
    <row r="37638">
      <c r="Y37638" s="372">
        <v>0.0</v>
      </c>
      <c r="Z37638" s="372">
        <v>0.0</v>
      </c>
    </row>
    <row r="37639">
      <c r="Y37639" s="372">
        <v>0.0</v>
      </c>
      <c r="Z37639" s="372">
        <v>0.0</v>
      </c>
    </row>
    <row r="37640">
      <c r="Y37640" s="372">
        <v>0.0</v>
      </c>
      <c r="Z37640" s="372">
        <v>0.0</v>
      </c>
    </row>
    <row r="37641">
      <c r="Y37641" s="372">
        <v>0.0</v>
      </c>
      <c r="Z37641" s="372">
        <v>0.0</v>
      </c>
    </row>
    <row r="37642">
      <c r="Y37642" s="372">
        <v>0.0</v>
      </c>
      <c r="Z37642" s="372">
        <v>0.0</v>
      </c>
    </row>
    <row r="37643">
      <c r="Y37643" s="372">
        <v>0.0</v>
      </c>
      <c r="Z37643" s="372">
        <v>0.0</v>
      </c>
    </row>
    <row r="37644">
      <c r="Y37644" s="372">
        <v>0.0</v>
      </c>
      <c r="Z37644" s="372">
        <v>0.0</v>
      </c>
    </row>
    <row r="37645">
      <c r="Y37645" s="372">
        <v>0.0</v>
      </c>
      <c r="Z37645" s="372">
        <v>0.0</v>
      </c>
    </row>
    <row r="37646">
      <c r="Y37646" s="372">
        <v>0.0</v>
      </c>
      <c r="Z37646" s="372">
        <v>0.0</v>
      </c>
    </row>
    <row r="37647">
      <c r="Y37647" s="372">
        <v>0.0</v>
      </c>
      <c r="Z37647" s="372">
        <v>0.0</v>
      </c>
    </row>
    <row r="37648">
      <c r="Y37648" s="372">
        <v>0.0</v>
      </c>
      <c r="Z37648" s="372">
        <v>0.0</v>
      </c>
    </row>
    <row r="37649">
      <c r="Y37649" s="372">
        <v>0.0</v>
      </c>
      <c r="Z37649" s="372">
        <v>0.0</v>
      </c>
    </row>
    <row r="37650">
      <c r="Y37650" s="372">
        <v>0.0</v>
      </c>
      <c r="Z37650" s="372">
        <v>0.0</v>
      </c>
    </row>
    <row r="37651">
      <c r="Y37651" s="372">
        <v>0.0</v>
      </c>
      <c r="Z37651" s="372">
        <v>0.0</v>
      </c>
    </row>
    <row r="37652">
      <c r="Y37652" s="372">
        <v>0.0</v>
      </c>
      <c r="Z37652" s="372">
        <v>0.0</v>
      </c>
    </row>
    <row r="37653">
      <c r="Y37653" s="372">
        <v>0.0</v>
      </c>
      <c r="Z37653" s="372">
        <v>0.0</v>
      </c>
    </row>
    <row r="37654">
      <c r="Y37654" s="372">
        <v>0.0</v>
      </c>
      <c r="Z37654" s="372">
        <v>0.0</v>
      </c>
    </row>
    <row r="37655">
      <c r="Y37655" s="372">
        <v>0.0</v>
      </c>
      <c r="Z37655" s="372">
        <v>0.0</v>
      </c>
    </row>
    <row r="37656">
      <c r="Y37656" s="372">
        <v>0.0</v>
      </c>
      <c r="Z37656" s="372">
        <v>0.0</v>
      </c>
    </row>
    <row r="37657">
      <c r="Y37657" s="372">
        <v>0.0</v>
      </c>
      <c r="Z37657" s="372">
        <v>0.0</v>
      </c>
    </row>
    <row r="37658">
      <c r="Y37658" s="372">
        <v>0.0</v>
      </c>
      <c r="Z37658" s="372">
        <v>0.0</v>
      </c>
    </row>
    <row r="37659">
      <c r="Y37659" s="372">
        <v>0.0</v>
      </c>
      <c r="Z37659" s="372">
        <v>0.0</v>
      </c>
    </row>
    <row r="37660">
      <c r="Y37660" s="372">
        <v>0.0</v>
      </c>
      <c r="Z37660" s="372">
        <v>0.0</v>
      </c>
    </row>
    <row r="37661">
      <c r="Y37661" s="372">
        <v>0.0</v>
      </c>
      <c r="Z37661" s="372">
        <v>0.0</v>
      </c>
    </row>
    <row r="37662">
      <c r="Y37662" s="372">
        <v>0.0</v>
      </c>
      <c r="Z37662" s="372">
        <v>0.0</v>
      </c>
    </row>
    <row r="37663">
      <c r="Y37663" s="372">
        <v>0.0</v>
      </c>
      <c r="Z37663" s="372">
        <v>0.0</v>
      </c>
    </row>
    <row r="37664">
      <c r="Y37664" s="372">
        <v>0.0</v>
      </c>
      <c r="Z37664" s="372">
        <v>0.0</v>
      </c>
    </row>
    <row r="37665">
      <c r="Y37665" s="372">
        <v>0.0</v>
      </c>
      <c r="Z37665" s="372">
        <v>0.0</v>
      </c>
    </row>
    <row r="37666">
      <c r="Y37666" s="372">
        <v>0.0</v>
      </c>
      <c r="Z37666" s="372">
        <v>0.0</v>
      </c>
    </row>
    <row r="37667">
      <c r="Y37667" s="372">
        <v>0.0</v>
      </c>
      <c r="Z37667" s="372">
        <v>0.0</v>
      </c>
    </row>
    <row r="37668">
      <c r="Y37668" s="372">
        <v>0.0</v>
      </c>
      <c r="Z37668" s="372">
        <v>0.0</v>
      </c>
    </row>
    <row r="37669">
      <c r="Y37669" s="372">
        <v>0.0</v>
      </c>
      <c r="Z37669" s="372">
        <v>0.0</v>
      </c>
    </row>
    <row r="37670">
      <c r="Y37670" s="372">
        <v>0.0</v>
      </c>
      <c r="Z37670" s="372">
        <v>0.0</v>
      </c>
    </row>
    <row r="37671">
      <c r="Y37671" s="372">
        <v>0.0</v>
      </c>
      <c r="Z37671" s="372">
        <v>0.0</v>
      </c>
    </row>
    <row r="37672">
      <c r="Y37672" s="372">
        <v>0.0</v>
      </c>
      <c r="Z37672" s="372">
        <v>0.0</v>
      </c>
    </row>
    <row r="37673">
      <c r="Y37673" s="372">
        <v>0.0</v>
      </c>
      <c r="Z37673" s="372">
        <v>0.0</v>
      </c>
    </row>
    <row r="37674">
      <c r="Y37674" s="372">
        <v>0.0</v>
      </c>
      <c r="Z37674" s="372">
        <v>0.0</v>
      </c>
    </row>
    <row r="37675">
      <c r="Y37675" s="372">
        <v>0.0</v>
      </c>
      <c r="Z37675" s="372">
        <v>0.0</v>
      </c>
    </row>
    <row r="37676">
      <c r="Y37676" s="372">
        <v>0.0</v>
      </c>
      <c r="Z37676" s="372">
        <v>0.0</v>
      </c>
    </row>
    <row r="37677">
      <c r="Y37677" s="372">
        <v>0.0</v>
      </c>
      <c r="Z37677" s="372">
        <v>0.0</v>
      </c>
    </row>
    <row r="37678">
      <c r="Y37678" s="372">
        <v>0.0</v>
      </c>
      <c r="Z37678" s="372">
        <v>0.0</v>
      </c>
    </row>
    <row r="37679">
      <c r="Y37679" s="372">
        <v>0.0</v>
      </c>
      <c r="Z37679" s="372">
        <v>0.0</v>
      </c>
    </row>
    <row r="37680">
      <c r="Y37680" s="372">
        <v>0.0</v>
      </c>
      <c r="Z37680" s="372">
        <v>0.0</v>
      </c>
    </row>
    <row r="37681">
      <c r="Y37681" s="372">
        <v>0.0</v>
      </c>
      <c r="Z37681" s="372">
        <v>0.0</v>
      </c>
    </row>
    <row r="37682">
      <c r="Y37682" s="372">
        <v>0.0</v>
      </c>
      <c r="Z37682" s="372">
        <v>0.0</v>
      </c>
    </row>
    <row r="37683">
      <c r="Y37683" s="372">
        <v>0.0</v>
      </c>
      <c r="Z37683" s="372">
        <v>0.0</v>
      </c>
    </row>
    <row r="37684">
      <c r="Y37684" s="372">
        <v>0.0</v>
      </c>
      <c r="Z37684" s="372">
        <v>0.0</v>
      </c>
    </row>
    <row r="37685">
      <c r="Y37685" s="372">
        <v>0.0</v>
      </c>
      <c r="Z37685" s="372">
        <v>0.0</v>
      </c>
    </row>
    <row r="37686">
      <c r="Y37686" s="372">
        <v>0.0</v>
      </c>
      <c r="Z37686" s="372">
        <v>0.0</v>
      </c>
    </row>
    <row r="37687">
      <c r="Y37687" s="372">
        <v>0.0</v>
      </c>
      <c r="Z37687" s="372">
        <v>0.0</v>
      </c>
    </row>
    <row r="37688">
      <c r="Y37688" s="372">
        <v>0.0</v>
      </c>
      <c r="Z37688" s="372">
        <v>0.0</v>
      </c>
    </row>
    <row r="37689">
      <c r="Y37689" s="372">
        <v>0.0</v>
      </c>
      <c r="Z37689" s="372">
        <v>0.0</v>
      </c>
    </row>
    <row r="37690">
      <c r="Y37690" s="372">
        <v>0.0</v>
      </c>
      <c r="Z37690" s="372">
        <v>0.0</v>
      </c>
    </row>
    <row r="37691">
      <c r="Y37691" s="372">
        <v>0.0</v>
      </c>
      <c r="Z37691" s="372">
        <v>0.0</v>
      </c>
    </row>
    <row r="37692">
      <c r="Y37692" s="372">
        <v>0.0</v>
      </c>
      <c r="Z37692" s="372">
        <v>0.0</v>
      </c>
    </row>
    <row r="37693">
      <c r="Y37693" s="372">
        <v>0.0</v>
      </c>
      <c r="Z37693" s="372">
        <v>0.0</v>
      </c>
    </row>
    <row r="37694">
      <c r="Y37694" s="372">
        <v>0.0</v>
      </c>
      <c r="Z37694" s="372">
        <v>0.0</v>
      </c>
    </row>
    <row r="37695">
      <c r="Y37695" s="372">
        <v>0.0</v>
      </c>
      <c r="Z37695" s="372">
        <v>0.0</v>
      </c>
    </row>
    <row r="37696">
      <c r="Y37696" s="372">
        <v>0.0</v>
      </c>
      <c r="Z37696" s="372">
        <v>0.0</v>
      </c>
    </row>
    <row r="37697">
      <c r="Y37697" s="372">
        <v>0.0</v>
      </c>
      <c r="Z37697" s="372">
        <v>0.0</v>
      </c>
    </row>
    <row r="37698">
      <c r="Y37698" s="372">
        <v>0.0</v>
      </c>
      <c r="Z37698" s="372">
        <v>0.0</v>
      </c>
    </row>
    <row r="37699">
      <c r="Y37699" s="372">
        <v>0.0</v>
      </c>
      <c r="Z37699" s="372">
        <v>0.0</v>
      </c>
    </row>
    <row r="37700">
      <c r="Y37700" s="372">
        <v>0.0</v>
      </c>
      <c r="Z37700" s="372">
        <v>0.0</v>
      </c>
    </row>
    <row r="37701">
      <c r="Y37701" s="372">
        <v>0.0</v>
      </c>
      <c r="Z37701" s="372">
        <v>0.0</v>
      </c>
    </row>
    <row r="37702">
      <c r="Y37702" s="372">
        <v>0.0</v>
      </c>
      <c r="Z37702" s="372">
        <v>0.0</v>
      </c>
    </row>
    <row r="37703">
      <c r="Y37703" s="372">
        <v>0.0</v>
      </c>
      <c r="Z37703" s="372">
        <v>0.0</v>
      </c>
    </row>
    <row r="37704">
      <c r="Y37704" s="372">
        <v>0.0</v>
      </c>
      <c r="Z37704" s="372">
        <v>0.0</v>
      </c>
    </row>
    <row r="37705">
      <c r="Y37705" s="372">
        <v>0.0</v>
      </c>
      <c r="Z37705" s="372">
        <v>0.0</v>
      </c>
    </row>
    <row r="37706">
      <c r="Y37706" s="372">
        <v>0.0</v>
      </c>
      <c r="Z37706" s="372">
        <v>0.0</v>
      </c>
    </row>
    <row r="37707">
      <c r="Y37707" s="372">
        <v>0.0</v>
      </c>
      <c r="Z37707" s="372">
        <v>0.0</v>
      </c>
    </row>
    <row r="37708">
      <c r="Y37708" s="372">
        <v>0.0</v>
      </c>
      <c r="Z37708" s="372">
        <v>0.0</v>
      </c>
    </row>
    <row r="37709">
      <c r="Y37709" s="372">
        <v>0.0</v>
      </c>
      <c r="Z37709" s="372">
        <v>0.0</v>
      </c>
    </row>
    <row r="37710">
      <c r="Y37710" s="372">
        <v>0.0</v>
      </c>
      <c r="Z37710" s="372">
        <v>0.0</v>
      </c>
    </row>
    <row r="37711">
      <c r="Y37711" s="372">
        <v>0.0</v>
      </c>
      <c r="Z37711" s="372">
        <v>0.0</v>
      </c>
    </row>
    <row r="37712">
      <c r="Y37712" s="372">
        <v>0.0</v>
      </c>
      <c r="Z37712" s="372">
        <v>0.0</v>
      </c>
    </row>
    <row r="37713">
      <c r="Y37713" s="372">
        <v>0.0</v>
      </c>
      <c r="Z37713" s="372">
        <v>0.0</v>
      </c>
    </row>
    <row r="37714">
      <c r="Y37714" s="372">
        <v>0.0</v>
      </c>
      <c r="Z37714" s="372">
        <v>0.0</v>
      </c>
    </row>
    <row r="37715">
      <c r="Y37715" s="372">
        <v>0.0</v>
      </c>
      <c r="Z37715" s="372">
        <v>0.0</v>
      </c>
    </row>
    <row r="37716">
      <c r="Y37716" s="372">
        <v>0.0</v>
      </c>
      <c r="Z37716" s="372">
        <v>0.0</v>
      </c>
    </row>
    <row r="37717">
      <c r="Y37717" s="372">
        <v>0.0</v>
      </c>
      <c r="Z37717" s="372">
        <v>0.0</v>
      </c>
    </row>
    <row r="37718">
      <c r="Y37718" s="372">
        <v>0.0</v>
      </c>
      <c r="Z37718" s="372">
        <v>0.0</v>
      </c>
    </row>
    <row r="37719">
      <c r="Y37719" s="372">
        <v>0.0</v>
      </c>
      <c r="Z37719" s="372">
        <v>0.0</v>
      </c>
    </row>
    <row r="37720">
      <c r="Y37720" s="372">
        <v>0.0</v>
      </c>
      <c r="Z37720" s="372">
        <v>0.0</v>
      </c>
    </row>
    <row r="37721">
      <c r="Y37721" s="372">
        <v>0.0</v>
      </c>
      <c r="Z37721" s="372">
        <v>0.0</v>
      </c>
    </row>
    <row r="37722">
      <c r="Y37722" s="372">
        <v>0.0</v>
      </c>
      <c r="Z37722" s="372">
        <v>0.0</v>
      </c>
    </row>
    <row r="37723">
      <c r="Y37723" s="372">
        <v>0.0</v>
      </c>
      <c r="Z37723" s="372">
        <v>0.0</v>
      </c>
    </row>
    <row r="37724">
      <c r="Y37724" s="372">
        <v>0.0</v>
      </c>
      <c r="Z37724" s="372">
        <v>0.0</v>
      </c>
    </row>
    <row r="37725">
      <c r="Y37725" s="372">
        <v>0.0</v>
      </c>
      <c r="Z37725" s="372">
        <v>0.0</v>
      </c>
    </row>
    <row r="37726">
      <c r="Y37726" s="372">
        <v>0.0</v>
      </c>
      <c r="Z37726" s="372">
        <v>0.0</v>
      </c>
    </row>
    <row r="37727">
      <c r="Y37727" s="372">
        <v>0.0</v>
      </c>
      <c r="Z37727" s="372">
        <v>0.0</v>
      </c>
    </row>
    <row r="37728">
      <c r="Y37728" s="372">
        <v>0.0</v>
      </c>
      <c r="Z37728" s="372">
        <v>0.0</v>
      </c>
    </row>
    <row r="37729">
      <c r="Y37729" s="372">
        <v>0.0</v>
      </c>
      <c r="Z37729" s="372">
        <v>0.0</v>
      </c>
    </row>
    <row r="37730">
      <c r="Y37730" s="372">
        <v>0.0</v>
      </c>
      <c r="Z37730" s="372">
        <v>0.0</v>
      </c>
    </row>
    <row r="37731">
      <c r="Y37731" s="372">
        <v>0.0</v>
      </c>
      <c r="Z37731" s="372">
        <v>0.0</v>
      </c>
    </row>
    <row r="37732">
      <c r="Y37732" s="372">
        <v>0.0</v>
      </c>
      <c r="Z37732" s="372">
        <v>0.0</v>
      </c>
    </row>
    <row r="37733">
      <c r="Y37733" s="372">
        <v>0.0</v>
      </c>
      <c r="Z37733" s="372">
        <v>0.0</v>
      </c>
    </row>
    <row r="37734">
      <c r="Y37734" s="372">
        <v>0.0</v>
      </c>
      <c r="Z37734" s="372">
        <v>0.0</v>
      </c>
    </row>
    <row r="37735">
      <c r="Y37735" s="372">
        <v>0.0</v>
      </c>
      <c r="Z37735" s="372">
        <v>0.0</v>
      </c>
    </row>
    <row r="37736">
      <c r="Y37736" s="372">
        <v>0.0</v>
      </c>
      <c r="Z37736" s="372">
        <v>0.0</v>
      </c>
    </row>
    <row r="37737">
      <c r="Y37737" s="372">
        <v>0.0</v>
      </c>
      <c r="Z37737" s="372">
        <v>0.0</v>
      </c>
    </row>
    <row r="37738">
      <c r="Y37738" s="372">
        <v>0.0</v>
      </c>
      <c r="Z37738" s="372">
        <v>0.0</v>
      </c>
    </row>
    <row r="37739">
      <c r="Y37739" s="372">
        <v>0.0</v>
      </c>
      <c r="Z37739" s="372">
        <v>0.0</v>
      </c>
    </row>
    <row r="37740">
      <c r="Y37740" s="372">
        <v>0.0</v>
      </c>
      <c r="Z37740" s="372">
        <v>0.0</v>
      </c>
    </row>
    <row r="37741">
      <c r="Y37741" s="372">
        <v>0.0</v>
      </c>
      <c r="Z37741" s="372">
        <v>0.0</v>
      </c>
    </row>
    <row r="37742">
      <c r="Y37742" s="372">
        <v>0.0</v>
      </c>
      <c r="Z37742" s="372">
        <v>0.0</v>
      </c>
    </row>
    <row r="37743">
      <c r="Y37743" s="372">
        <v>0.0</v>
      </c>
      <c r="Z37743" s="372">
        <v>0.0</v>
      </c>
    </row>
    <row r="37744">
      <c r="Y37744" s="372">
        <v>0.0</v>
      </c>
      <c r="Z37744" s="372">
        <v>0.0</v>
      </c>
    </row>
    <row r="37745">
      <c r="Y37745" s="372">
        <v>0.0</v>
      </c>
      <c r="Z37745" s="372">
        <v>0.0</v>
      </c>
    </row>
    <row r="37746">
      <c r="Y37746" s="372">
        <v>0.0</v>
      </c>
      <c r="Z37746" s="372">
        <v>0.0</v>
      </c>
    </row>
    <row r="37747">
      <c r="Y37747" s="372">
        <v>0.0</v>
      </c>
      <c r="Z37747" s="372">
        <v>0.0</v>
      </c>
    </row>
    <row r="37748">
      <c r="Y37748" s="372">
        <v>0.0</v>
      </c>
      <c r="Z37748" s="372">
        <v>0.0</v>
      </c>
    </row>
    <row r="37749">
      <c r="Y37749" s="372">
        <v>0.0</v>
      </c>
      <c r="Z37749" s="372">
        <v>0.0</v>
      </c>
    </row>
    <row r="37750">
      <c r="Y37750" s="372">
        <v>0.0</v>
      </c>
      <c r="Z37750" s="372">
        <v>0.0</v>
      </c>
    </row>
    <row r="37751">
      <c r="Y37751" s="372">
        <v>0.0</v>
      </c>
      <c r="Z37751" s="372">
        <v>0.0</v>
      </c>
    </row>
    <row r="37752">
      <c r="Y37752" s="372">
        <v>0.0</v>
      </c>
      <c r="Z37752" s="372">
        <v>0.0</v>
      </c>
    </row>
    <row r="37753">
      <c r="Y37753" s="372">
        <v>0.0</v>
      </c>
      <c r="Z37753" s="372">
        <v>0.0</v>
      </c>
    </row>
    <row r="37754">
      <c r="Y37754" s="372">
        <v>0.0</v>
      </c>
      <c r="Z37754" s="372">
        <v>0.0</v>
      </c>
    </row>
    <row r="37755">
      <c r="Y37755" s="372">
        <v>0.0</v>
      </c>
      <c r="Z37755" s="372">
        <v>0.0</v>
      </c>
    </row>
    <row r="37756">
      <c r="Y37756" s="372">
        <v>0.0</v>
      </c>
      <c r="Z37756" s="372">
        <v>0.0</v>
      </c>
    </row>
    <row r="37757">
      <c r="Y37757" s="372">
        <v>0.0</v>
      </c>
      <c r="Z37757" s="372">
        <v>0.0</v>
      </c>
    </row>
    <row r="37758">
      <c r="Y37758" s="372">
        <v>0.0</v>
      </c>
      <c r="Z37758" s="372">
        <v>0.0</v>
      </c>
    </row>
    <row r="37759">
      <c r="Y37759" s="372">
        <v>0.0</v>
      </c>
      <c r="Z37759" s="372">
        <v>0.0</v>
      </c>
    </row>
    <row r="37760">
      <c r="Y37760" s="372">
        <v>0.0</v>
      </c>
      <c r="Z37760" s="372">
        <v>0.0</v>
      </c>
    </row>
    <row r="37761">
      <c r="Y37761" s="372">
        <v>0.0</v>
      </c>
      <c r="Z37761" s="372">
        <v>0.0</v>
      </c>
    </row>
    <row r="37762">
      <c r="Y37762" s="372">
        <v>0.0</v>
      </c>
      <c r="Z37762" s="372">
        <v>0.0</v>
      </c>
    </row>
    <row r="37763">
      <c r="Y37763" s="372">
        <v>0.0</v>
      </c>
      <c r="Z37763" s="372">
        <v>0.0</v>
      </c>
    </row>
    <row r="37764">
      <c r="Y37764" s="372">
        <v>0.0</v>
      </c>
      <c r="Z37764" s="372">
        <v>0.0</v>
      </c>
    </row>
    <row r="37765">
      <c r="Y37765" s="372">
        <v>0.0</v>
      </c>
      <c r="Z37765" s="372">
        <v>0.0</v>
      </c>
    </row>
    <row r="37766">
      <c r="Y37766" s="372">
        <v>0.0</v>
      </c>
      <c r="Z37766" s="372">
        <v>0.0</v>
      </c>
    </row>
    <row r="37767">
      <c r="Y37767" s="372">
        <v>0.0</v>
      </c>
      <c r="Z37767" s="372">
        <v>0.0</v>
      </c>
    </row>
    <row r="37768">
      <c r="Y37768" s="372">
        <v>0.0</v>
      </c>
      <c r="Z37768" s="372">
        <v>0.0</v>
      </c>
    </row>
    <row r="37769">
      <c r="Y37769" s="372">
        <v>0.0</v>
      </c>
      <c r="Z37769" s="372">
        <v>0.0</v>
      </c>
    </row>
    <row r="37770">
      <c r="Y37770" s="372">
        <v>0.0</v>
      </c>
      <c r="Z37770" s="372">
        <v>0.0</v>
      </c>
    </row>
    <row r="37771">
      <c r="Y37771" s="372">
        <v>0.0</v>
      </c>
      <c r="Z37771" s="372">
        <v>0.0</v>
      </c>
    </row>
    <row r="37772">
      <c r="Y37772" s="372">
        <v>0.0</v>
      </c>
      <c r="Z37772" s="372">
        <v>0.0</v>
      </c>
    </row>
    <row r="37773">
      <c r="Y37773" s="372">
        <v>0.0</v>
      </c>
      <c r="Z37773" s="372">
        <v>0.0</v>
      </c>
    </row>
    <row r="37774">
      <c r="Y37774" s="372">
        <v>0.0</v>
      </c>
      <c r="Z37774" s="372">
        <v>0.0</v>
      </c>
    </row>
    <row r="37775">
      <c r="Y37775" s="372">
        <v>0.0</v>
      </c>
      <c r="Z37775" s="372">
        <v>0.0</v>
      </c>
    </row>
    <row r="37776">
      <c r="Y37776" s="372">
        <v>0.0</v>
      </c>
      <c r="Z37776" s="372">
        <v>0.0</v>
      </c>
    </row>
    <row r="37777">
      <c r="Y37777" s="372">
        <v>0.0</v>
      </c>
      <c r="Z37777" s="372">
        <v>0.0</v>
      </c>
    </row>
    <row r="37778">
      <c r="Y37778" s="372">
        <v>0.0</v>
      </c>
      <c r="Z37778" s="372">
        <v>0.0</v>
      </c>
    </row>
    <row r="37779">
      <c r="Y37779" s="372">
        <v>0.0</v>
      </c>
      <c r="Z37779" s="372">
        <v>0.0</v>
      </c>
    </row>
    <row r="37780">
      <c r="Y37780" s="372">
        <v>0.0</v>
      </c>
      <c r="Z37780" s="372">
        <v>0.0</v>
      </c>
    </row>
    <row r="37781">
      <c r="Y37781" s="372">
        <v>0.0</v>
      </c>
      <c r="Z37781" s="372">
        <v>0.0</v>
      </c>
    </row>
    <row r="37782">
      <c r="Y37782" s="372">
        <v>0.0</v>
      </c>
      <c r="Z37782" s="372">
        <v>0.0</v>
      </c>
    </row>
    <row r="37783">
      <c r="Y37783" s="372">
        <v>0.0</v>
      </c>
      <c r="Z37783" s="372">
        <v>0.0</v>
      </c>
    </row>
    <row r="37784">
      <c r="Y37784" s="372">
        <v>0.0</v>
      </c>
      <c r="Z37784" s="372">
        <v>0.0</v>
      </c>
    </row>
    <row r="37785">
      <c r="Y37785" s="372">
        <v>0.0</v>
      </c>
      <c r="Z37785" s="372">
        <v>0.0</v>
      </c>
    </row>
    <row r="37786">
      <c r="Y37786" s="372">
        <v>0.0</v>
      </c>
      <c r="Z37786" s="372">
        <v>0.0</v>
      </c>
    </row>
    <row r="37787">
      <c r="Y37787" s="372">
        <v>0.0</v>
      </c>
      <c r="Z37787" s="372">
        <v>0.0</v>
      </c>
    </row>
    <row r="37788">
      <c r="Y37788" s="372">
        <v>0.0</v>
      </c>
      <c r="Z37788" s="372">
        <v>0.0</v>
      </c>
    </row>
    <row r="37789">
      <c r="Y37789" s="372">
        <v>0.0</v>
      </c>
      <c r="Z37789" s="372">
        <v>0.0</v>
      </c>
    </row>
    <row r="37790">
      <c r="Y37790" s="372">
        <v>0.0</v>
      </c>
      <c r="Z37790" s="372">
        <v>0.0</v>
      </c>
    </row>
    <row r="37791">
      <c r="Y37791" s="372">
        <v>0.0</v>
      </c>
      <c r="Z37791" s="372">
        <v>0.0</v>
      </c>
    </row>
    <row r="37792">
      <c r="Y37792" s="372">
        <v>0.0</v>
      </c>
      <c r="Z37792" s="372">
        <v>0.0</v>
      </c>
    </row>
    <row r="37793">
      <c r="Y37793" s="372">
        <v>0.0</v>
      </c>
      <c r="Z37793" s="372">
        <v>0.0</v>
      </c>
    </row>
    <row r="37794">
      <c r="Y37794" s="372">
        <v>0.0</v>
      </c>
      <c r="Z37794" s="372">
        <v>0.0</v>
      </c>
    </row>
    <row r="37795">
      <c r="Y37795" s="372">
        <v>0.0</v>
      </c>
      <c r="Z37795" s="372">
        <v>0.0</v>
      </c>
    </row>
    <row r="37796">
      <c r="Y37796" s="372">
        <v>0.0</v>
      </c>
      <c r="Z37796" s="372">
        <v>0.0</v>
      </c>
    </row>
    <row r="37797">
      <c r="Y37797" s="372">
        <v>0.0</v>
      </c>
      <c r="Z37797" s="372">
        <v>0.0</v>
      </c>
    </row>
    <row r="37798">
      <c r="Y37798" s="372">
        <v>0.0</v>
      </c>
      <c r="Z37798" s="372">
        <v>0.0</v>
      </c>
    </row>
    <row r="37799">
      <c r="Y37799" s="372">
        <v>0.0</v>
      </c>
      <c r="Z37799" s="372">
        <v>0.0</v>
      </c>
    </row>
    <row r="37800">
      <c r="Y37800" s="372">
        <v>0.0</v>
      </c>
      <c r="Z37800" s="372">
        <v>0.0</v>
      </c>
    </row>
    <row r="37801">
      <c r="Y37801" s="372">
        <v>0.0</v>
      </c>
      <c r="Z37801" s="372">
        <v>0.0</v>
      </c>
    </row>
    <row r="37802">
      <c r="Y37802" s="372">
        <v>0.0</v>
      </c>
      <c r="Z37802" s="372">
        <v>0.0</v>
      </c>
    </row>
    <row r="37803">
      <c r="Y37803" s="372">
        <v>0.0</v>
      </c>
      <c r="Z37803" s="372">
        <v>0.0</v>
      </c>
    </row>
    <row r="37804">
      <c r="Y37804" s="372">
        <v>0.0</v>
      </c>
      <c r="Z37804" s="372">
        <v>0.0</v>
      </c>
    </row>
    <row r="37805">
      <c r="Y37805" s="372">
        <v>0.0</v>
      </c>
      <c r="Z37805" s="372">
        <v>0.0</v>
      </c>
    </row>
    <row r="37806">
      <c r="Y37806" s="372">
        <v>0.0</v>
      </c>
      <c r="Z37806" s="372">
        <v>0.0</v>
      </c>
    </row>
    <row r="37807">
      <c r="Y37807" s="372">
        <v>0.0</v>
      </c>
      <c r="Z37807" s="372">
        <v>0.0</v>
      </c>
    </row>
    <row r="37808">
      <c r="Y37808" s="372">
        <v>0.0</v>
      </c>
      <c r="Z37808" s="372">
        <v>0.0</v>
      </c>
    </row>
    <row r="37809">
      <c r="Y37809" s="372">
        <v>0.0</v>
      </c>
      <c r="Z37809" s="372">
        <v>0.0</v>
      </c>
    </row>
    <row r="37810">
      <c r="Y37810" s="372">
        <v>0.0</v>
      </c>
      <c r="Z37810" s="372">
        <v>0.0</v>
      </c>
    </row>
    <row r="37811">
      <c r="Y37811" s="372">
        <v>0.0</v>
      </c>
      <c r="Z37811" s="372">
        <v>0.0</v>
      </c>
    </row>
    <row r="37812">
      <c r="Y37812" s="372">
        <v>0.0</v>
      </c>
      <c r="Z37812" s="372">
        <v>0.0</v>
      </c>
    </row>
    <row r="37813">
      <c r="Y37813" s="372">
        <v>0.0</v>
      </c>
      <c r="Z37813" s="372">
        <v>0.0</v>
      </c>
    </row>
    <row r="37814">
      <c r="Y37814" s="372">
        <v>0.0</v>
      </c>
      <c r="Z37814" s="372">
        <v>0.0</v>
      </c>
    </row>
    <row r="37815">
      <c r="Y37815" s="372">
        <v>0.0</v>
      </c>
      <c r="Z37815" s="372">
        <v>0.0</v>
      </c>
    </row>
    <row r="37816">
      <c r="Y37816" s="372">
        <v>0.0</v>
      </c>
      <c r="Z37816" s="372">
        <v>0.0</v>
      </c>
    </row>
    <row r="37817">
      <c r="Y37817" s="372">
        <v>0.0</v>
      </c>
      <c r="Z37817" s="372">
        <v>0.0</v>
      </c>
    </row>
    <row r="37818">
      <c r="Y37818" s="372">
        <v>0.0</v>
      </c>
      <c r="Z37818" s="372">
        <v>0.0</v>
      </c>
    </row>
    <row r="37819">
      <c r="Y37819" s="372">
        <v>0.0</v>
      </c>
      <c r="Z37819" s="372">
        <v>0.0</v>
      </c>
    </row>
    <row r="37820">
      <c r="Y37820" s="372">
        <v>0.0</v>
      </c>
      <c r="Z37820" s="372">
        <v>0.0</v>
      </c>
    </row>
    <row r="37821">
      <c r="Y37821" s="372">
        <v>0.0</v>
      </c>
      <c r="Z37821" s="372">
        <v>0.0</v>
      </c>
    </row>
    <row r="37822">
      <c r="Y37822" s="372">
        <v>0.0</v>
      </c>
      <c r="Z37822" s="372">
        <v>0.0</v>
      </c>
    </row>
    <row r="37823">
      <c r="Y37823" s="372">
        <v>0.0</v>
      </c>
      <c r="Z37823" s="372">
        <v>0.0</v>
      </c>
    </row>
    <row r="37824">
      <c r="Y37824" s="372">
        <v>0.0</v>
      </c>
      <c r="Z37824" s="372">
        <v>0.0</v>
      </c>
    </row>
    <row r="37825">
      <c r="Y37825" s="372">
        <v>0.0</v>
      </c>
      <c r="Z37825" s="372">
        <v>0.0</v>
      </c>
    </row>
    <row r="37826">
      <c r="Y37826" s="372">
        <v>0.0</v>
      </c>
      <c r="Z37826" s="372">
        <v>0.0</v>
      </c>
    </row>
    <row r="37827">
      <c r="Y37827" s="372">
        <v>0.0</v>
      </c>
      <c r="Z37827" s="372">
        <v>0.0</v>
      </c>
    </row>
    <row r="37828">
      <c r="Y37828" s="372">
        <v>0.0</v>
      </c>
      <c r="Z37828" s="372">
        <v>0.0</v>
      </c>
    </row>
    <row r="37829">
      <c r="Y37829" s="372">
        <v>0.0</v>
      </c>
      <c r="Z37829" s="372">
        <v>0.0</v>
      </c>
    </row>
    <row r="37830">
      <c r="Y37830" s="372">
        <v>0.0</v>
      </c>
      <c r="Z37830" s="372">
        <v>0.0</v>
      </c>
    </row>
    <row r="37831">
      <c r="Y37831" s="372">
        <v>0.0</v>
      </c>
      <c r="Z37831" s="372">
        <v>0.0</v>
      </c>
    </row>
    <row r="37832">
      <c r="Y37832" s="372">
        <v>0.0</v>
      </c>
      <c r="Z37832" s="372">
        <v>0.0</v>
      </c>
    </row>
    <row r="37833">
      <c r="Y37833" s="372">
        <v>0.0</v>
      </c>
      <c r="Z37833" s="372">
        <v>0.0</v>
      </c>
    </row>
    <row r="37834">
      <c r="Y37834" s="372">
        <v>0.0</v>
      </c>
      <c r="Z37834" s="372">
        <v>0.0</v>
      </c>
    </row>
    <row r="37835">
      <c r="Y37835" s="372">
        <v>0.0</v>
      </c>
      <c r="Z37835" s="372">
        <v>0.0</v>
      </c>
    </row>
    <row r="37836">
      <c r="Y37836" s="372">
        <v>0.0</v>
      </c>
      <c r="Z37836" s="372">
        <v>0.0</v>
      </c>
    </row>
    <row r="37837">
      <c r="Y37837" s="372">
        <v>0.0</v>
      </c>
      <c r="Z37837" s="372">
        <v>0.0</v>
      </c>
    </row>
    <row r="37838">
      <c r="Y37838" s="372">
        <v>0.0</v>
      </c>
      <c r="Z37838" s="372">
        <v>0.0</v>
      </c>
    </row>
    <row r="37839">
      <c r="Y37839" s="372">
        <v>0.0</v>
      </c>
      <c r="Z37839" s="372">
        <v>0.0</v>
      </c>
    </row>
    <row r="37840">
      <c r="Y37840" s="372">
        <v>0.0</v>
      </c>
      <c r="Z37840" s="372">
        <v>0.0</v>
      </c>
    </row>
    <row r="37841">
      <c r="Y37841" s="372">
        <v>0.0</v>
      </c>
      <c r="Z37841" s="372">
        <v>0.0</v>
      </c>
    </row>
    <row r="37842">
      <c r="Y37842" s="372">
        <v>0.0</v>
      </c>
      <c r="Z37842" s="372">
        <v>0.0</v>
      </c>
    </row>
    <row r="37843">
      <c r="Y37843" s="372">
        <v>0.0</v>
      </c>
      <c r="Z37843" s="372">
        <v>0.0</v>
      </c>
    </row>
    <row r="37844">
      <c r="Y37844" s="372">
        <v>0.0</v>
      </c>
      <c r="Z37844" s="372">
        <v>0.0</v>
      </c>
    </row>
    <row r="37845">
      <c r="Y37845" s="372">
        <v>0.0</v>
      </c>
      <c r="Z37845" s="372">
        <v>0.0</v>
      </c>
    </row>
    <row r="37846">
      <c r="Y37846" s="372">
        <v>0.0</v>
      </c>
      <c r="Z37846" s="372">
        <v>0.0</v>
      </c>
    </row>
    <row r="37847">
      <c r="Y37847" s="372">
        <v>0.0</v>
      </c>
      <c r="Z37847" s="372">
        <v>0.0</v>
      </c>
    </row>
    <row r="37848">
      <c r="Y37848" s="372">
        <v>0.0</v>
      </c>
      <c r="Z37848" s="372">
        <v>0.0</v>
      </c>
    </row>
    <row r="37849">
      <c r="Y37849" s="372">
        <v>0.0</v>
      </c>
      <c r="Z37849" s="372">
        <v>0.0</v>
      </c>
    </row>
    <row r="37850">
      <c r="Y37850" s="372">
        <v>0.0</v>
      </c>
      <c r="Z37850" s="372">
        <v>0.0</v>
      </c>
    </row>
    <row r="37851">
      <c r="Y37851" s="372">
        <v>0.0</v>
      </c>
      <c r="Z37851" s="372">
        <v>0.0</v>
      </c>
    </row>
    <row r="37852">
      <c r="Y37852" s="372">
        <v>0.0</v>
      </c>
      <c r="Z37852" s="372">
        <v>0.0</v>
      </c>
    </row>
    <row r="37853">
      <c r="Y37853" s="372">
        <v>0.0</v>
      </c>
      <c r="Z37853" s="372">
        <v>0.0</v>
      </c>
    </row>
    <row r="37854">
      <c r="Y37854" s="372">
        <v>0.0</v>
      </c>
      <c r="Z37854" s="372">
        <v>0.0</v>
      </c>
    </row>
    <row r="37855">
      <c r="Y37855" s="372">
        <v>0.0</v>
      </c>
      <c r="Z37855" s="372">
        <v>0.0</v>
      </c>
    </row>
    <row r="37856">
      <c r="Y37856" s="372">
        <v>0.0</v>
      </c>
      <c r="Z37856" s="372">
        <v>0.0</v>
      </c>
    </row>
    <row r="37857">
      <c r="Y37857" s="372">
        <v>0.0</v>
      </c>
      <c r="Z37857" s="372">
        <v>0.0</v>
      </c>
    </row>
    <row r="37858">
      <c r="Y37858" s="372">
        <v>0.0</v>
      </c>
      <c r="Z37858" s="372">
        <v>0.0</v>
      </c>
    </row>
    <row r="37859">
      <c r="Y37859" s="372">
        <v>0.0</v>
      </c>
      <c r="Z37859" s="372">
        <v>0.0</v>
      </c>
    </row>
    <row r="37860">
      <c r="Y37860" s="372">
        <v>0.0</v>
      </c>
      <c r="Z37860" s="372">
        <v>0.0</v>
      </c>
    </row>
    <row r="37861">
      <c r="Y37861" s="372">
        <v>0.0</v>
      </c>
      <c r="Z37861" s="372">
        <v>0.0</v>
      </c>
    </row>
    <row r="37862">
      <c r="Y37862" s="372">
        <v>0.0</v>
      </c>
      <c r="Z37862" s="372">
        <v>0.0</v>
      </c>
    </row>
    <row r="37863">
      <c r="Y37863" s="372">
        <v>0.0</v>
      </c>
      <c r="Z37863" s="372">
        <v>0.0</v>
      </c>
    </row>
    <row r="37864">
      <c r="Y37864" s="372">
        <v>0.0</v>
      </c>
      <c r="Z37864" s="372">
        <v>0.0</v>
      </c>
    </row>
    <row r="37865">
      <c r="Y37865" s="372">
        <v>0.0</v>
      </c>
      <c r="Z37865" s="372">
        <v>0.0</v>
      </c>
    </row>
    <row r="37866">
      <c r="Y37866" s="372">
        <v>0.0</v>
      </c>
      <c r="Z37866" s="372">
        <v>0.0</v>
      </c>
    </row>
    <row r="37867">
      <c r="Y37867" s="372">
        <v>0.0</v>
      </c>
      <c r="Z37867" s="372">
        <v>0.0</v>
      </c>
    </row>
    <row r="37868">
      <c r="Y37868" s="372">
        <v>0.0</v>
      </c>
      <c r="Z37868" s="372">
        <v>0.0</v>
      </c>
    </row>
    <row r="37869">
      <c r="Y37869" s="372">
        <v>0.0</v>
      </c>
      <c r="Z37869" s="372">
        <v>0.0</v>
      </c>
    </row>
    <row r="37870">
      <c r="Y37870" s="372">
        <v>0.0</v>
      </c>
      <c r="Z37870" s="372">
        <v>0.0</v>
      </c>
    </row>
    <row r="37871">
      <c r="Y37871" s="372">
        <v>0.0</v>
      </c>
      <c r="Z37871" s="372">
        <v>0.0</v>
      </c>
    </row>
    <row r="37872">
      <c r="Y37872" s="372">
        <v>0.0</v>
      </c>
      <c r="Z37872" s="372">
        <v>0.0</v>
      </c>
    </row>
    <row r="37873">
      <c r="Y37873" s="372">
        <v>0.0</v>
      </c>
      <c r="Z37873" s="372">
        <v>0.0</v>
      </c>
    </row>
    <row r="37874">
      <c r="Y37874" s="372">
        <v>0.0</v>
      </c>
      <c r="Z37874" s="372">
        <v>0.0</v>
      </c>
    </row>
    <row r="37875">
      <c r="Y37875" s="372">
        <v>0.0</v>
      </c>
      <c r="Z37875" s="372">
        <v>0.0</v>
      </c>
    </row>
    <row r="37876">
      <c r="Y37876" s="372">
        <v>0.0</v>
      </c>
      <c r="Z37876" s="372">
        <v>0.0</v>
      </c>
    </row>
    <row r="37877">
      <c r="Y37877" s="372">
        <v>0.0</v>
      </c>
      <c r="Z37877" s="372">
        <v>0.0</v>
      </c>
    </row>
    <row r="37878">
      <c r="Y37878" s="372">
        <v>0.0</v>
      </c>
      <c r="Z37878" s="372">
        <v>0.0</v>
      </c>
    </row>
    <row r="37879">
      <c r="Y37879" s="372">
        <v>0.0</v>
      </c>
      <c r="Z37879" s="372">
        <v>0.0</v>
      </c>
    </row>
    <row r="37880">
      <c r="Y37880" s="372">
        <v>0.0</v>
      </c>
      <c r="Z37880" s="372">
        <v>0.0</v>
      </c>
    </row>
    <row r="37881">
      <c r="Y37881" s="372">
        <v>0.0</v>
      </c>
      <c r="Z37881" s="372">
        <v>0.0</v>
      </c>
    </row>
    <row r="37882">
      <c r="Y37882" s="372">
        <v>0.0</v>
      </c>
      <c r="Z37882" s="372">
        <v>0.0</v>
      </c>
    </row>
    <row r="37883">
      <c r="Y37883" s="372">
        <v>0.0</v>
      </c>
      <c r="Z37883" s="372">
        <v>0.0</v>
      </c>
    </row>
    <row r="37884">
      <c r="Y37884" s="372">
        <v>0.0</v>
      </c>
      <c r="Z37884" s="372">
        <v>0.0</v>
      </c>
    </row>
    <row r="37885">
      <c r="Y37885" s="372">
        <v>0.0</v>
      </c>
      <c r="Z37885" s="372">
        <v>0.0</v>
      </c>
    </row>
    <row r="37886">
      <c r="Y37886" s="372">
        <v>0.0</v>
      </c>
      <c r="Z37886" s="372">
        <v>0.0</v>
      </c>
    </row>
    <row r="37887">
      <c r="Y37887" s="372">
        <v>0.0</v>
      </c>
      <c r="Z37887" s="372">
        <v>0.0</v>
      </c>
    </row>
    <row r="37888">
      <c r="Y37888" s="372">
        <v>0.0</v>
      </c>
      <c r="Z37888" s="372">
        <v>0.0</v>
      </c>
    </row>
    <row r="37889">
      <c r="Y37889" s="372">
        <v>0.0</v>
      </c>
      <c r="Z37889" s="372">
        <v>0.0</v>
      </c>
    </row>
    <row r="37890">
      <c r="Y37890" s="372">
        <v>0.0</v>
      </c>
      <c r="Z37890" s="372">
        <v>0.0</v>
      </c>
    </row>
    <row r="37891">
      <c r="Y37891" s="372">
        <v>0.0</v>
      </c>
      <c r="Z37891" s="372">
        <v>0.0</v>
      </c>
    </row>
    <row r="37892">
      <c r="Y37892" s="372">
        <v>0.0</v>
      </c>
      <c r="Z37892" s="372">
        <v>0.0</v>
      </c>
    </row>
    <row r="37893">
      <c r="Y37893" s="372">
        <v>0.0</v>
      </c>
      <c r="Z37893" s="372">
        <v>0.0</v>
      </c>
    </row>
    <row r="37894">
      <c r="Y37894" s="372">
        <v>0.0</v>
      </c>
      <c r="Z37894" s="372">
        <v>0.0</v>
      </c>
    </row>
    <row r="37895">
      <c r="Y37895" s="372">
        <v>0.0</v>
      </c>
      <c r="Z37895" s="372">
        <v>0.0</v>
      </c>
    </row>
    <row r="37896">
      <c r="Y37896" s="372">
        <v>0.0</v>
      </c>
      <c r="Z37896" s="372">
        <v>0.0</v>
      </c>
    </row>
    <row r="37897">
      <c r="Y37897" s="372">
        <v>0.0</v>
      </c>
      <c r="Z37897" s="372">
        <v>0.0</v>
      </c>
    </row>
    <row r="37898">
      <c r="Y37898" s="372">
        <v>0.0</v>
      </c>
      <c r="Z37898" s="372">
        <v>0.0</v>
      </c>
    </row>
    <row r="37899">
      <c r="Y37899" s="372">
        <v>0.0</v>
      </c>
      <c r="Z37899" s="372">
        <v>0.0</v>
      </c>
    </row>
    <row r="37900">
      <c r="Y37900" s="372">
        <v>0.0</v>
      </c>
      <c r="Z37900" s="372">
        <v>0.0</v>
      </c>
    </row>
    <row r="37901">
      <c r="Y37901" s="372">
        <v>0.0</v>
      </c>
      <c r="Z37901" s="372">
        <v>0.0</v>
      </c>
    </row>
    <row r="37902">
      <c r="Y37902" s="372">
        <v>0.0</v>
      </c>
      <c r="Z37902" s="372">
        <v>0.0</v>
      </c>
    </row>
    <row r="37903">
      <c r="Y37903" s="372">
        <v>0.0</v>
      </c>
      <c r="Z37903" s="372">
        <v>0.0</v>
      </c>
    </row>
    <row r="37904">
      <c r="Y37904" s="372">
        <v>0.0</v>
      </c>
      <c r="Z37904" s="372">
        <v>0.0</v>
      </c>
    </row>
    <row r="37905">
      <c r="Y37905" s="372">
        <v>0.0</v>
      </c>
      <c r="Z37905" s="372">
        <v>0.0</v>
      </c>
    </row>
    <row r="37906">
      <c r="Y37906" s="372">
        <v>0.0</v>
      </c>
      <c r="Z37906" s="372">
        <v>0.0</v>
      </c>
    </row>
    <row r="37907">
      <c r="Y37907" s="372">
        <v>0.0</v>
      </c>
      <c r="Z37907" s="372">
        <v>0.0</v>
      </c>
    </row>
    <row r="37908">
      <c r="Y37908" s="372">
        <v>0.0</v>
      </c>
      <c r="Z37908" s="372">
        <v>0.0</v>
      </c>
    </row>
    <row r="37909">
      <c r="Y37909" s="372">
        <v>0.0</v>
      </c>
      <c r="Z37909" s="372">
        <v>0.0</v>
      </c>
    </row>
    <row r="37910">
      <c r="Y37910" s="372">
        <v>0.0</v>
      </c>
      <c r="Z37910" s="372">
        <v>0.0</v>
      </c>
    </row>
    <row r="37911">
      <c r="Y37911" s="372">
        <v>0.0</v>
      </c>
      <c r="Z37911" s="372">
        <v>0.0</v>
      </c>
    </row>
    <row r="37912">
      <c r="Y37912" s="372">
        <v>0.0</v>
      </c>
      <c r="Z37912" s="372">
        <v>0.0</v>
      </c>
    </row>
    <row r="37913">
      <c r="Y37913" s="372">
        <v>0.0</v>
      </c>
      <c r="Z37913" s="372">
        <v>0.0</v>
      </c>
    </row>
    <row r="37914">
      <c r="Y37914" s="372">
        <v>0.0</v>
      </c>
      <c r="Z37914" s="372">
        <v>0.0</v>
      </c>
    </row>
    <row r="37915">
      <c r="Y37915" s="372">
        <v>0.0</v>
      </c>
      <c r="Z37915" s="372">
        <v>0.0</v>
      </c>
    </row>
    <row r="37916">
      <c r="Y37916" s="372">
        <v>0.0</v>
      </c>
      <c r="Z37916" s="372">
        <v>0.0</v>
      </c>
    </row>
    <row r="37917">
      <c r="Y37917" s="372">
        <v>0.0</v>
      </c>
      <c r="Z37917" s="372">
        <v>0.0</v>
      </c>
    </row>
    <row r="37918">
      <c r="Y37918" s="372">
        <v>0.0</v>
      </c>
      <c r="Z37918" s="372">
        <v>0.0</v>
      </c>
    </row>
    <row r="37919">
      <c r="Y37919" s="372">
        <v>0.0</v>
      </c>
      <c r="Z37919" s="372">
        <v>0.0</v>
      </c>
    </row>
    <row r="37920">
      <c r="Y37920" s="372">
        <v>0.0</v>
      </c>
      <c r="Z37920" s="372">
        <v>0.0</v>
      </c>
    </row>
    <row r="37921">
      <c r="Y37921" s="372">
        <v>0.0</v>
      </c>
      <c r="Z37921" s="372">
        <v>0.0</v>
      </c>
    </row>
    <row r="37922">
      <c r="Y37922" s="372">
        <v>0.0</v>
      </c>
      <c r="Z37922" s="372">
        <v>0.0</v>
      </c>
    </row>
    <row r="37923">
      <c r="Y37923" s="372">
        <v>0.0</v>
      </c>
      <c r="Z37923" s="372">
        <v>0.0</v>
      </c>
    </row>
    <row r="37924">
      <c r="Y37924" s="372">
        <v>0.0</v>
      </c>
      <c r="Z37924" s="372">
        <v>0.0</v>
      </c>
    </row>
    <row r="37925">
      <c r="Y37925" s="372">
        <v>0.0</v>
      </c>
      <c r="Z37925" s="372">
        <v>0.0</v>
      </c>
    </row>
    <row r="37926">
      <c r="Y37926" s="372">
        <v>0.0</v>
      </c>
      <c r="Z37926" s="372">
        <v>0.0</v>
      </c>
    </row>
    <row r="37927">
      <c r="Y37927" s="372">
        <v>0.0</v>
      </c>
      <c r="Z37927" s="372">
        <v>0.0</v>
      </c>
    </row>
    <row r="37928">
      <c r="Y37928" s="372">
        <v>0.0</v>
      </c>
      <c r="Z37928" s="372">
        <v>0.0</v>
      </c>
    </row>
    <row r="37929">
      <c r="Y37929" s="372">
        <v>0.0</v>
      </c>
      <c r="Z37929" s="372">
        <v>0.0</v>
      </c>
    </row>
    <row r="37930">
      <c r="Y37930" s="372">
        <v>0.0</v>
      </c>
      <c r="Z37930" s="372">
        <v>0.0</v>
      </c>
    </row>
    <row r="37931">
      <c r="Y37931" s="372">
        <v>0.0</v>
      </c>
      <c r="Z37931" s="372">
        <v>0.0</v>
      </c>
    </row>
    <row r="37932">
      <c r="Y37932" s="372">
        <v>0.0</v>
      </c>
      <c r="Z37932" s="372">
        <v>0.0</v>
      </c>
    </row>
    <row r="37933">
      <c r="Y37933" s="372">
        <v>0.0</v>
      </c>
      <c r="Z37933" s="372">
        <v>0.0</v>
      </c>
    </row>
    <row r="37934">
      <c r="Y37934" s="372">
        <v>0.0</v>
      </c>
      <c r="Z37934" s="372">
        <v>0.0</v>
      </c>
    </row>
    <row r="37935">
      <c r="Y37935" s="372">
        <v>0.0</v>
      </c>
      <c r="Z37935" s="372">
        <v>0.0</v>
      </c>
    </row>
    <row r="37936">
      <c r="Y37936" s="372">
        <v>0.0</v>
      </c>
      <c r="Z37936" s="372">
        <v>0.0</v>
      </c>
    </row>
    <row r="37937">
      <c r="Y37937" s="372">
        <v>0.0</v>
      </c>
      <c r="Z37937" s="372">
        <v>0.0</v>
      </c>
    </row>
    <row r="37938">
      <c r="Y37938" s="372">
        <v>0.0</v>
      </c>
      <c r="Z37938" s="372">
        <v>0.0</v>
      </c>
    </row>
    <row r="37939">
      <c r="Y37939" s="372">
        <v>0.0</v>
      </c>
      <c r="Z37939" s="372">
        <v>0.0</v>
      </c>
    </row>
    <row r="37940">
      <c r="Y37940" s="372">
        <v>0.0</v>
      </c>
      <c r="Z37940" s="372">
        <v>0.0</v>
      </c>
    </row>
    <row r="37941">
      <c r="Y37941" s="372">
        <v>0.0</v>
      </c>
      <c r="Z37941" s="372">
        <v>0.0</v>
      </c>
    </row>
    <row r="37942">
      <c r="Y37942" s="372">
        <v>0.0</v>
      </c>
      <c r="Z37942" s="372">
        <v>0.0</v>
      </c>
    </row>
    <row r="37943">
      <c r="Y37943" s="372">
        <v>0.0</v>
      </c>
      <c r="Z37943" s="372">
        <v>0.0</v>
      </c>
    </row>
    <row r="37944">
      <c r="Y37944" s="372">
        <v>0.0</v>
      </c>
      <c r="Z37944" s="372">
        <v>0.0</v>
      </c>
    </row>
    <row r="37945">
      <c r="Y37945" s="372">
        <v>0.0</v>
      </c>
      <c r="Z37945" s="372">
        <v>0.0</v>
      </c>
    </row>
    <row r="37946">
      <c r="Y37946" s="372">
        <v>0.0</v>
      </c>
      <c r="Z37946" s="372">
        <v>0.0</v>
      </c>
    </row>
    <row r="37947">
      <c r="Y37947" s="372">
        <v>0.0</v>
      </c>
      <c r="Z37947" s="372">
        <v>0.0</v>
      </c>
    </row>
    <row r="37948">
      <c r="Y37948" s="372">
        <v>0.0</v>
      </c>
      <c r="Z37948" s="372">
        <v>0.0</v>
      </c>
    </row>
    <row r="37949">
      <c r="Y37949" s="372">
        <v>0.0</v>
      </c>
      <c r="Z37949" s="372">
        <v>0.0</v>
      </c>
    </row>
    <row r="37950">
      <c r="Y37950" s="372">
        <v>0.0</v>
      </c>
      <c r="Z37950" s="372">
        <v>0.0</v>
      </c>
    </row>
    <row r="37951">
      <c r="Y37951" s="372">
        <v>0.0</v>
      </c>
      <c r="Z37951" s="372">
        <v>0.0</v>
      </c>
    </row>
    <row r="37952">
      <c r="Y37952" s="372">
        <v>0.0</v>
      </c>
      <c r="Z37952" s="372">
        <v>0.0</v>
      </c>
    </row>
    <row r="37953">
      <c r="Y37953" s="372">
        <v>0.0</v>
      </c>
      <c r="Z37953" s="372">
        <v>0.0</v>
      </c>
    </row>
    <row r="37954">
      <c r="Y37954" s="372">
        <v>0.0</v>
      </c>
      <c r="Z37954" s="372">
        <v>0.0</v>
      </c>
    </row>
    <row r="37955">
      <c r="Y37955" s="372">
        <v>0.0</v>
      </c>
      <c r="Z37955" s="372">
        <v>0.0</v>
      </c>
    </row>
    <row r="37956">
      <c r="Y37956" s="372">
        <v>0.0</v>
      </c>
      <c r="Z37956" s="372">
        <v>0.0</v>
      </c>
    </row>
    <row r="37957">
      <c r="Y37957" s="372">
        <v>0.0</v>
      </c>
      <c r="Z37957" s="372">
        <v>0.0</v>
      </c>
    </row>
    <row r="37958">
      <c r="Y37958" s="372">
        <v>0.0</v>
      </c>
      <c r="Z37958" s="372">
        <v>0.0</v>
      </c>
    </row>
    <row r="37959">
      <c r="Y37959" s="372">
        <v>0.0</v>
      </c>
      <c r="Z37959" s="372">
        <v>0.0</v>
      </c>
    </row>
    <row r="37960">
      <c r="Y37960" s="372">
        <v>0.0</v>
      </c>
      <c r="Z37960" s="372">
        <v>0.0</v>
      </c>
    </row>
    <row r="37961">
      <c r="Y37961" s="372">
        <v>0.0</v>
      </c>
      <c r="Z37961" s="372">
        <v>0.0</v>
      </c>
    </row>
    <row r="37962">
      <c r="Y37962" s="372">
        <v>0.0</v>
      </c>
      <c r="Z37962" s="372">
        <v>0.0</v>
      </c>
    </row>
    <row r="37963">
      <c r="Y37963" s="372">
        <v>0.0</v>
      </c>
      <c r="Z37963" s="372">
        <v>0.0</v>
      </c>
    </row>
    <row r="37964">
      <c r="Y37964" s="372">
        <v>0.0</v>
      </c>
      <c r="Z37964" s="372">
        <v>0.0</v>
      </c>
    </row>
    <row r="37965">
      <c r="Y37965" s="372">
        <v>0.0</v>
      </c>
      <c r="Z37965" s="372">
        <v>0.0</v>
      </c>
    </row>
    <row r="37966">
      <c r="Y37966" s="372">
        <v>0.0</v>
      </c>
      <c r="Z37966" s="372">
        <v>0.0</v>
      </c>
    </row>
    <row r="37967">
      <c r="Y37967" s="372">
        <v>0.0</v>
      </c>
      <c r="Z37967" s="372">
        <v>0.0</v>
      </c>
    </row>
    <row r="37968">
      <c r="Y37968" s="372">
        <v>0.0</v>
      </c>
      <c r="Z37968" s="372">
        <v>0.0</v>
      </c>
    </row>
    <row r="37969">
      <c r="Y37969" s="372">
        <v>0.0</v>
      </c>
      <c r="Z37969" s="372">
        <v>0.0</v>
      </c>
    </row>
    <row r="37970">
      <c r="Y37970" s="372">
        <v>0.0</v>
      </c>
      <c r="Z37970" s="372">
        <v>0.0</v>
      </c>
    </row>
    <row r="37971">
      <c r="Y37971" s="372">
        <v>0.0</v>
      </c>
      <c r="Z37971" s="372">
        <v>0.0</v>
      </c>
    </row>
    <row r="37972">
      <c r="Y37972" s="372">
        <v>0.0</v>
      </c>
      <c r="Z37972" s="372">
        <v>0.0</v>
      </c>
    </row>
    <row r="37973">
      <c r="Y37973" s="372">
        <v>0.0</v>
      </c>
      <c r="Z37973" s="372">
        <v>0.0</v>
      </c>
    </row>
    <row r="37974">
      <c r="Y37974" s="372">
        <v>0.0</v>
      </c>
      <c r="Z37974" s="372">
        <v>0.0</v>
      </c>
    </row>
    <row r="37975">
      <c r="Y37975" s="372">
        <v>0.0</v>
      </c>
      <c r="Z37975" s="372">
        <v>0.0</v>
      </c>
    </row>
    <row r="37976">
      <c r="Y37976" s="372">
        <v>0.0</v>
      </c>
      <c r="Z37976" s="372">
        <v>0.0</v>
      </c>
    </row>
    <row r="37977">
      <c r="Y37977" s="372">
        <v>0.0</v>
      </c>
      <c r="Z37977" s="372">
        <v>0.0</v>
      </c>
    </row>
    <row r="37978">
      <c r="Y37978" s="372">
        <v>0.0</v>
      </c>
      <c r="Z37978" s="372">
        <v>0.0</v>
      </c>
    </row>
    <row r="37979">
      <c r="Y37979" s="372">
        <v>0.0</v>
      </c>
      <c r="Z37979" s="372">
        <v>0.0</v>
      </c>
    </row>
    <row r="37980">
      <c r="Y37980" s="372">
        <v>0.0</v>
      </c>
      <c r="Z37980" s="372">
        <v>0.0</v>
      </c>
    </row>
    <row r="37981">
      <c r="Y37981" s="372">
        <v>0.0</v>
      </c>
      <c r="Z37981" s="372">
        <v>0.0</v>
      </c>
    </row>
    <row r="37982">
      <c r="Y37982" s="372">
        <v>0.0</v>
      </c>
      <c r="Z37982" s="372">
        <v>0.0</v>
      </c>
    </row>
    <row r="37983">
      <c r="Y37983" s="372">
        <v>0.0</v>
      </c>
      <c r="Z37983" s="372">
        <v>0.0</v>
      </c>
    </row>
    <row r="37984">
      <c r="Y37984" s="372">
        <v>0.0</v>
      </c>
      <c r="Z37984" s="372">
        <v>0.0</v>
      </c>
    </row>
    <row r="37985">
      <c r="Y37985" s="372">
        <v>0.0</v>
      </c>
      <c r="Z37985" s="372">
        <v>0.0</v>
      </c>
    </row>
    <row r="37986">
      <c r="Y37986" s="372">
        <v>0.0</v>
      </c>
      <c r="Z37986" s="372">
        <v>0.0</v>
      </c>
    </row>
    <row r="37987">
      <c r="Y37987" s="372">
        <v>0.0</v>
      </c>
      <c r="Z37987" s="372">
        <v>0.0</v>
      </c>
    </row>
    <row r="37988">
      <c r="Y37988" s="372">
        <v>0.0</v>
      </c>
      <c r="Z37988" s="372">
        <v>0.0</v>
      </c>
    </row>
    <row r="37989">
      <c r="Y37989" s="372">
        <v>0.0</v>
      </c>
      <c r="Z37989" s="372">
        <v>0.0</v>
      </c>
    </row>
    <row r="37990">
      <c r="Y37990" s="372">
        <v>0.0</v>
      </c>
      <c r="Z37990" s="372">
        <v>0.0</v>
      </c>
    </row>
    <row r="37991">
      <c r="Y37991" s="372">
        <v>0.0</v>
      </c>
      <c r="Z37991" s="372">
        <v>0.0</v>
      </c>
    </row>
    <row r="37992">
      <c r="Y37992" s="372">
        <v>0.0</v>
      </c>
      <c r="Z37992" s="372">
        <v>0.0</v>
      </c>
    </row>
    <row r="37993">
      <c r="Y37993" s="372">
        <v>0.0</v>
      </c>
      <c r="Z37993" s="372">
        <v>0.0</v>
      </c>
    </row>
    <row r="37994">
      <c r="Y37994" s="372">
        <v>0.0</v>
      </c>
      <c r="Z37994" s="372">
        <v>0.0</v>
      </c>
    </row>
    <row r="37995">
      <c r="Y37995" s="372">
        <v>0.0</v>
      </c>
      <c r="Z37995" s="372">
        <v>0.0</v>
      </c>
    </row>
    <row r="37996">
      <c r="Y37996" s="372">
        <v>0.0</v>
      </c>
      <c r="Z37996" s="372">
        <v>0.0</v>
      </c>
    </row>
    <row r="37997">
      <c r="Y37997" s="372">
        <v>0.0</v>
      </c>
      <c r="Z37997" s="372">
        <v>0.0</v>
      </c>
    </row>
    <row r="37998">
      <c r="Y37998" s="372">
        <v>0.0</v>
      </c>
      <c r="Z37998" s="372">
        <v>0.0</v>
      </c>
    </row>
    <row r="37999">
      <c r="Y37999" s="372">
        <v>0.0</v>
      </c>
      <c r="Z37999" s="372">
        <v>0.0</v>
      </c>
    </row>
    <row r="38000">
      <c r="Y38000" s="372">
        <v>0.0</v>
      </c>
      <c r="Z38000" s="372">
        <v>0.0</v>
      </c>
    </row>
    <row r="38001">
      <c r="Y38001" s="372">
        <v>0.0</v>
      </c>
      <c r="Z38001" s="372">
        <v>0.0</v>
      </c>
    </row>
    <row r="38002">
      <c r="Y38002" s="372">
        <v>0.0</v>
      </c>
      <c r="Z38002" s="372">
        <v>0.0</v>
      </c>
    </row>
    <row r="38003">
      <c r="Y38003" s="372">
        <v>0.0</v>
      </c>
      <c r="Z38003" s="372">
        <v>0.0</v>
      </c>
    </row>
    <row r="38004">
      <c r="Y38004" s="372">
        <v>0.0</v>
      </c>
      <c r="Z38004" s="372">
        <v>0.0</v>
      </c>
    </row>
    <row r="38005">
      <c r="Y38005" s="372">
        <v>0.0</v>
      </c>
      <c r="Z38005" s="372">
        <v>0.0</v>
      </c>
    </row>
    <row r="38006">
      <c r="Y38006" s="372">
        <v>0.0</v>
      </c>
      <c r="Z38006" s="372">
        <v>0.0</v>
      </c>
    </row>
    <row r="38007">
      <c r="Y38007" s="372">
        <v>0.0</v>
      </c>
      <c r="Z38007" s="372">
        <v>0.0</v>
      </c>
    </row>
    <row r="38008">
      <c r="Y38008" s="372">
        <v>0.0</v>
      </c>
      <c r="Z38008" s="372">
        <v>0.0</v>
      </c>
    </row>
    <row r="38009">
      <c r="Y38009" s="372">
        <v>0.0</v>
      </c>
      <c r="Z38009" s="372">
        <v>0.0</v>
      </c>
    </row>
    <row r="38010">
      <c r="Y38010" s="372">
        <v>0.0</v>
      </c>
      <c r="Z38010" s="372">
        <v>0.0</v>
      </c>
    </row>
    <row r="38011">
      <c r="Y38011" s="372">
        <v>0.0</v>
      </c>
      <c r="Z38011" s="372">
        <v>0.0</v>
      </c>
    </row>
    <row r="38012">
      <c r="Y38012" s="372">
        <v>0.0</v>
      </c>
      <c r="Z38012" s="372">
        <v>0.0</v>
      </c>
    </row>
    <row r="38013">
      <c r="Y38013" s="372">
        <v>0.0</v>
      </c>
      <c r="Z38013" s="372">
        <v>0.0</v>
      </c>
    </row>
    <row r="38014">
      <c r="Y38014" s="372">
        <v>0.0</v>
      </c>
      <c r="Z38014" s="372">
        <v>0.0</v>
      </c>
    </row>
    <row r="38015">
      <c r="Y38015" s="372">
        <v>0.0</v>
      </c>
      <c r="Z38015" s="372">
        <v>0.0</v>
      </c>
    </row>
    <row r="38016">
      <c r="Y38016" s="372">
        <v>0.0</v>
      </c>
      <c r="Z38016" s="372">
        <v>0.0</v>
      </c>
    </row>
    <row r="38017">
      <c r="Y38017" s="372">
        <v>0.0</v>
      </c>
      <c r="Z38017" s="372">
        <v>0.0</v>
      </c>
    </row>
    <row r="38018">
      <c r="Y38018" s="372">
        <v>0.0</v>
      </c>
      <c r="Z38018" s="372">
        <v>0.0</v>
      </c>
    </row>
    <row r="38019">
      <c r="Y38019" s="372">
        <v>0.0</v>
      </c>
      <c r="Z38019" s="372">
        <v>0.0</v>
      </c>
    </row>
    <row r="38020">
      <c r="Y38020" s="372">
        <v>0.0</v>
      </c>
      <c r="Z38020" s="372">
        <v>0.0</v>
      </c>
    </row>
    <row r="38021">
      <c r="Y38021" s="372">
        <v>0.0</v>
      </c>
      <c r="Z38021" s="372">
        <v>0.0</v>
      </c>
    </row>
    <row r="38022">
      <c r="Y38022" s="372">
        <v>0.0</v>
      </c>
      <c r="Z38022" s="372">
        <v>0.0</v>
      </c>
    </row>
    <row r="38023">
      <c r="Y38023" s="372">
        <v>0.0</v>
      </c>
      <c r="Z38023" s="372">
        <v>0.0</v>
      </c>
    </row>
    <row r="38024">
      <c r="Y38024" s="372">
        <v>0.0</v>
      </c>
      <c r="Z38024" s="372">
        <v>0.0</v>
      </c>
    </row>
    <row r="38025">
      <c r="Y38025" s="372">
        <v>0.0</v>
      </c>
      <c r="Z38025" s="372">
        <v>0.0</v>
      </c>
    </row>
    <row r="38026">
      <c r="Y38026" s="372">
        <v>0.0</v>
      </c>
      <c r="Z38026" s="372">
        <v>0.0</v>
      </c>
    </row>
    <row r="38027">
      <c r="Y38027" s="372">
        <v>0.0</v>
      </c>
      <c r="Z38027" s="372">
        <v>0.0</v>
      </c>
    </row>
    <row r="38028">
      <c r="Y38028" s="372">
        <v>0.0</v>
      </c>
      <c r="Z38028" s="372">
        <v>0.0</v>
      </c>
    </row>
    <row r="38029">
      <c r="Y38029" s="372">
        <v>0.0</v>
      </c>
      <c r="Z38029" s="372">
        <v>0.0</v>
      </c>
    </row>
    <row r="38030">
      <c r="Y38030" s="372">
        <v>0.0</v>
      </c>
      <c r="Z38030" s="372">
        <v>0.0</v>
      </c>
    </row>
    <row r="38031">
      <c r="Y38031" s="372">
        <v>0.0</v>
      </c>
      <c r="Z38031" s="372">
        <v>0.0</v>
      </c>
    </row>
    <row r="38032">
      <c r="Y38032" s="372">
        <v>0.0</v>
      </c>
      <c r="Z38032" s="372">
        <v>0.0</v>
      </c>
    </row>
    <row r="38033">
      <c r="Y38033" s="372">
        <v>0.0</v>
      </c>
      <c r="Z38033" s="372">
        <v>0.0</v>
      </c>
    </row>
    <row r="38034">
      <c r="Y38034" s="372">
        <v>0.0</v>
      </c>
      <c r="Z38034" s="372">
        <v>0.0</v>
      </c>
    </row>
    <row r="38035">
      <c r="Y38035" s="372">
        <v>0.0</v>
      </c>
      <c r="Z38035" s="372">
        <v>0.0</v>
      </c>
    </row>
    <row r="38036">
      <c r="Y38036" s="372">
        <v>0.0</v>
      </c>
      <c r="Z38036" s="372">
        <v>0.0</v>
      </c>
    </row>
    <row r="38037">
      <c r="Y38037" s="372">
        <v>0.0</v>
      </c>
      <c r="Z38037" s="372">
        <v>0.0</v>
      </c>
    </row>
    <row r="38038">
      <c r="Y38038" s="372">
        <v>0.0</v>
      </c>
      <c r="Z38038" s="372">
        <v>0.0</v>
      </c>
    </row>
    <row r="38039">
      <c r="Y38039" s="372">
        <v>0.0</v>
      </c>
      <c r="Z38039" s="372">
        <v>0.0</v>
      </c>
    </row>
    <row r="38040">
      <c r="Y38040" s="372">
        <v>0.0</v>
      </c>
      <c r="Z38040" s="372">
        <v>0.0</v>
      </c>
    </row>
    <row r="38041">
      <c r="Y38041" s="372">
        <v>0.0</v>
      </c>
      <c r="Z38041" s="372">
        <v>0.0</v>
      </c>
    </row>
    <row r="38042">
      <c r="Y38042" s="372">
        <v>0.0</v>
      </c>
      <c r="Z38042" s="372">
        <v>0.0</v>
      </c>
    </row>
    <row r="38043">
      <c r="Y38043" s="372">
        <v>0.0</v>
      </c>
      <c r="Z38043" s="372">
        <v>0.0</v>
      </c>
    </row>
    <row r="38044">
      <c r="Y38044" s="372">
        <v>0.0</v>
      </c>
      <c r="Z38044" s="372">
        <v>0.0</v>
      </c>
    </row>
    <row r="38045">
      <c r="Y38045" s="372">
        <v>0.0</v>
      </c>
      <c r="Z38045" s="372">
        <v>0.0</v>
      </c>
    </row>
    <row r="38046">
      <c r="Y38046" s="372">
        <v>0.0</v>
      </c>
      <c r="Z38046" s="372">
        <v>0.0</v>
      </c>
    </row>
    <row r="38047">
      <c r="Y38047" s="372">
        <v>0.0</v>
      </c>
      <c r="Z38047" s="372">
        <v>0.0</v>
      </c>
    </row>
    <row r="38048">
      <c r="Y38048" s="372">
        <v>0.0</v>
      </c>
      <c r="Z38048" s="372">
        <v>0.0</v>
      </c>
    </row>
    <row r="38049">
      <c r="Y38049" s="372">
        <v>0.0</v>
      </c>
      <c r="Z38049" s="372">
        <v>0.0</v>
      </c>
    </row>
    <row r="38050">
      <c r="Y38050" s="372">
        <v>0.0</v>
      </c>
      <c r="Z38050" s="372">
        <v>0.0</v>
      </c>
    </row>
    <row r="38051">
      <c r="Y38051" s="372">
        <v>0.0</v>
      </c>
      <c r="Z38051" s="372">
        <v>0.0</v>
      </c>
    </row>
    <row r="38052">
      <c r="Y38052" s="372">
        <v>0.0</v>
      </c>
      <c r="Z38052" s="372">
        <v>0.0</v>
      </c>
    </row>
    <row r="38053">
      <c r="Y38053" s="372">
        <v>0.0</v>
      </c>
      <c r="Z38053" s="372">
        <v>0.0</v>
      </c>
    </row>
    <row r="38054">
      <c r="Y38054" s="372">
        <v>0.0</v>
      </c>
      <c r="Z38054" s="372">
        <v>0.0</v>
      </c>
    </row>
    <row r="38055">
      <c r="Y38055" s="372">
        <v>0.0</v>
      </c>
      <c r="Z38055" s="372">
        <v>0.0</v>
      </c>
    </row>
    <row r="38056">
      <c r="Y38056" s="372">
        <v>0.0</v>
      </c>
      <c r="Z38056" s="372">
        <v>0.0</v>
      </c>
    </row>
    <row r="38057">
      <c r="Y38057" s="372">
        <v>0.0</v>
      </c>
      <c r="Z38057" s="372">
        <v>0.0</v>
      </c>
    </row>
    <row r="38058">
      <c r="Y38058" s="372">
        <v>0.0</v>
      </c>
      <c r="Z38058" s="372">
        <v>0.0</v>
      </c>
    </row>
    <row r="38059">
      <c r="Y38059" s="372">
        <v>0.0</v>
      </c>
      <c r="Z38059" s="372">
        <v>0.0</v>
      </c>
    </row>
    <row r="38060">
      <c r="Y38060" s="372">
        <v>0.0</v>
      </c>
      <c r="Z38060" s="372">
        <v>0.0</v>
      </c>
    </row>
    <row r="38061">
      <c r="Y38061" s="372">
        <v>0.0</v>
      </c>
      <c r="Z38061" s="372">
        <v>0.0</v>
      </c>
    </row>
    <row r="38062">
      <c r="Y38062" s="372">
        <v>0.0</v>
      </c>
      <c r="Z38062" s="372">
        <v>0.0</v>
      </c>
    </row>
    <row r="38063">
      <c r="Y38063" s="372">
        <v>0.0</v>
      </c>
      <c r="Z38063" s="372">
        <v>0.0</v>
      </c>
    </row>
    <row r="38064">
      <c r="Y38064" s="372">
        <v>0.0</v>
      </c>
      <c r="Z38064" s="372">
        <v>0.0</v>
      </c>
    </row>
    <row r="38065">
      <c r="Y38065" s="372">
        <v>0.0</v>
      </c>
      <c r="Z38065" s="372">
        <v>0.0</v>
      </c>
    </row>
    <row r="38066">
      <c r="Y38066" s="372">
        <v>0.0</v>
      </c>
      <c r="Z38066" s="372">
        <v>0.0</v>
      </c>
    </row>
    <row r="38067">
      <c r="Y38067" s="372">
        <v>0.0</v>
      </c>
      <c r="Z38067" s="372">
        <v>0.0</v>
      </c>
    </row>
    <row r="38068">
      <c r="Y38068" s="372">
        <v>0.0</v>
      </c>
      <c r="Z38068" s="372">
        <v>0.0</v>
      </c>
    </row>
    <row r="38069">
      <c r="Y38069" s="372">
        <v>0.0</v>
      </c>
      <c r="Z38069" s="372">
        <v>0.0</v>
      </c>
    </row>
    <row r="38070">
      <c r="Y38070" s="372">
        <v>0.0</v>
      </c>
      <c r="Z38070" s="372">
        <v>0.0</v>
      </c>
    </row>
    <row r="38071">
      <c r="Y38071" s="372">
        <v>0.0</v>
      </c>
      <c r="Z38071" s="372">
        <v>0.0</v>
      </c>
    </row>
    <row r="38072">
      <c r="Y38072" s="372">
        <v>0.0</v>
      </c>
      <c r="Z38072" s="372">
        <v>0.0</v>
      </c>
    </row>
    <row r="38073">
      <c r="Y38073" s="372">
        <v>0.0</v>
      </c>
      <c r="Z38073" s="372">
        <v>0.0</v>
      </c>
    </row>
    <row r="38074">
      <c r="Y38074" s="372">
        <v>0.0</v>
      </c>
      <c r="Z38074" s="372">
        <v>0.0</v>
      </c>
    </row>
    <row r="38075">
      <c r="Y38075" s="372">
        <v>0.0</v>
      </c>
      <c r="Z38075" s="372">
        <v>0.0</v>
      </c>
    </row>
    <row r="38076">
      <c r="Y38076" s="372">
        <v>0.0</v>
      </c>
      <c r="Z38076" s="372">
        <v>0.0</v>
      </c>
    </row>
    <row r="38077">
      <c r="Y38077" s="372">
        <v>0.0</v>
      </c>
      <c r="Z38077" s="372">
        <v>0.0</v>
      </c>
    </row>
    <row r="38078">
      <c r="Y38078" s="372">
        <v>0.0</v>
      </c>
      <c r="Z38078" s="372">
        <v>0.0</v>
      </c>
    </row>
    <row r="38079">
      <c r="Y38079" s="372">
        <v>0.0</v>
      </c>
      <c r="Z38079" s="372">
        <v>0.0</v>
      </c>
    </row>
    <row r="38080">
      <c r="Y38080" s="372">
        <v>0.0</v>
      </c>
      <c r="Z38080" s="372">
        <v>0.0</v>
      </c>
    </row>
    <row r="38081">
      <c r="Y38081" s="372">
        <v>0.0</v>
      </c>
      <c r="Z38081" s="372">
        <v>0.0</v>
      </c>
    </row>
    <row r="38082">
      <c r="Y38082" s="372">
        <v>0.0</v>
      </c>
      <c r="Z38082" s="372">
        <v>0.0</v>
      </c>
    </row>
    <row r="38083">
      <c r="Y38083" s="372">
        <v>0.0</v>
      </c>
      <c r="Z38083" s="372">
        <v>0.0</v>
      </c>
    </row>
    <row r="38084">
      <c r="Y38084" s="372">
        <v>0.0</v>
      </c>
      <c r="Z38084" s="372">
        <v>0.0</v>
      </c>
    </row>
    <row r="38085">
      <c r="Y38085" s="372">
        <v>0.0</v>
      </c>
      <c r="Z38085" s="372">
        <v>0.0</v>
      </c>
    </row>
    <row r="38086">
      <c r="Y38086" s="372">
        <v>0.0</v>
      </c>
      <c r="Z38086" s="372">
        <v>0.0</v>
      </c>
    </row>
    <row r="38087">
      <c r="Y38087" s="372">
        <v>0.0</v>
      </c>
      <c r="Z38087" s="372">
        <v>0.0</v>
      </c>
    </row>
    <row r="38088">
      <c r="Y38088" s="372">
        <v>0.0</v>
      </c>
      <c r="Z38088" s="372">
        <v>0.0</v>
      </c>
    </row>
    <row r="38089">
      <c r="Y38089" s="372">
        <v>0.0</v>
      </c>
      <c r="Z38089" s="372">
        <v>0.0</v>
      </c>
    </row>
    <row r="38090">
      <c r="Y38090" s="372">
        <v>0.0</v>
      </c>
      <c r="Z38090" s="372">
        <v>0.0</v>
      </c>
    </row>
    <row r="38091">
      <c r="Y38091" s="372">
        <v>0.0</v>
      </c>
      <c r="Z38091" s="372">
        <v>0.0</v>
      </c>
    </row>
    <row r="38092">
      <c r="Y38092" s="372">
        <v>0.0</v>
      </c>
      <c r="Z38092" s="372">
        <v>0.0</v>
      </c>
    </row>
    <row r="38093">
      <c r="Y38093" s="372">
        <v>0.0</v>
      </c>
      <c r="Z38093" s="372">
        <v>0.0</v>
      </c>
    </row>
    <row r="38094">
      <c r="Y38094" s="372">
        <v>0.0</v>
      </c>
      <c r="Z38094" s="372">
        <v>0.0</v>
      </c>
    </row>
    <row r="38095">
      <c r="Y38095" s="372">
        <v>0.0</v>
      </c>
      <c r="Z38095" s="372">
        <v>0.0</v>
      </c>
    </row>
    <row r="38096">
      <c r="Y38096" s="372">
        <v>0.0</v>
      </c>
      <c r="Z38096" s="372">
        <v>0.0</v>
      </c>
    </row>
    <row r="38097">
      <c r="Y38097" s="372">
        <v>0.0</v>
      </c>
      <c r="Z38097" s="372">
        <v>0.0</v>
      </c>
    </row>
    <row r="38098">
      <c r="Y38098" s="372">
        <v>0.0</v>
      </c>
      <c r="Z38098" s="372">
        <v>0.0</v>
      </c>
    </row>
    <row r="38099">
      <c r="Y38099" s="372">
        <v>0.0</v>
      </c>
      <c r="Z38099" s="372">
        <v>0.0</v>
      </c>
    </row>
    <row r="38100">
      <c r="Y38100" s="372">
        <v>0.0</v>
      </c>
      <c r="Z38100" s="372">
        <v>0.0</v>
      </c>
    </row>
    <row r="38101">
      <c r="Y38101" s="372">
        <v>0.0</v>
      </c>
      <c r="Z38101" s="372">
        <v>0.0</v>
      </c>
    </row>
    <row r="38102">
      <c r="Y38102" s="372">
        <v>0.0</v>
      </c>
      <c r="Z38102" s="372">
        <v>0.0</v>
      </c>
    </row>
    <row r="38103">
      <c r="Y38103" s="372">
        <v>0.0</v>
      </c>
      <c r="Z38103" s="372">
        <v>0.0</v>
      </c>
    </row>
    <row r="38104">
      <c r="Y38104" s="372">
        <v>0.0</v>
      </c>
      <c r="Z38104" s="372">
        <v>0.0</v>
      </c>
    </row>
    <row r="38105">
      <c r="Y38105" s="372">
        <v>0.0</v>
      </c>
      <c r="Z38105" s="372">
        <v>0.0</v>
      </c>
    </row>
    <row r="38106">
      <c r="Y38106" s="372">
        <v>0.0</v>
      </c>
      <c r="Z38106" s="372">
        <v>0.0</v>
      </c>
    </row>
    <row r="38107">
      <c r="Y38107" s="372">
        <v>0.0</v>
      </c>
      <c r="Z38107" s="372">
        <v>0.0</v>
      </c>
    </row>
    <row r="38108">
      <c r="Y38108" s="372">
        <v>0.0</v>
      </c>
      <c r="Z38108" s="372">
        <v>0.0</v>
      </c>
    </row>
    <row r="38109">
      <c r="Y38109" s="372">
        <v>0.0</v>
      </c>
      <c r="Z38109" s="372">
        <v>0.0</v>
      </c>
    </row>
    <row r="38110">
      <c r="Y38110" s="372">
        <v>0.0</v>
      </c>
      <c r="Z38110" s="372">
        <v>0.0</v>
      </c>
    </row>
    <row r="38111">
      <c r="Y38111" s="372">
        <v>0.0</v>
      </c>
      <c r="Z38111" s="372">
        <v>0.0</v>
      </c>
    </row>
    <row r="38112">
      <c r="Y38112" s="372">
        <v>0.0</v>
      </c>
      <c r="Z38112" s="372">
        <v>0.0</v>
      </c>
    </row>
    <row r="38113">
      <c r="Y38113" s="372">
        <v>0.0</v>
      </c>
      <c r="Z38113" s="372">
        <v>0.0</v>
      </c>
    </row>
    <row r="38114">
      <c r="Y38114" s="372">
        <v>0.0</v>
      </c>
      <c r="Z38114" s="372">
        <v>0.0</v>
      </c>
    </row>
    <row r="38115">
      <c r="Y38115" s="372">
        <v>0.0</v>
      </c>
      <c r="Z38115" s="372">
        <v>0.0</v>
      </c>
    </row>
    <row r="38116">
      <c r="Y38116" s="372">
        <v>0.0</v>
      </c>
      <c r="Z38116" s="372">
        <v>0.0</v>
      </c>
    </row>
    <row r="38117">
      <c r="Y38117" s="372">
        <v>0.0</v>
      </c>
      <c r="Z38117" s="372">
        <v>0.0</v>
      </c>
    </row>
    <row r="38118">
      <c r="Y38118" s="372">
        <v>0.0</v>
      </c>
      <c r="Z38118" s="372">
        <v>0.0</v>
      </c>
    </row>
    <row r="38119">
      <c r="Y38119" s="372">
        <v>0.0</v>
      </c>
      <c r="Z38119" s="372">
        <v>0.0</v>
      </c>
    </row>
    <row r="38120">
      <c r="Y38120" s="372">
        <v>0.0</v>
      </c>
      <c r="Z38120" s="372">
        <v>0.0</v>
      </c>
    </row>
    <row r="38121">
      <c r="Y38121" s="372">
        <v>0.0</v>
      </c>
      <c r="Z38121" s="372">
        <v>0.0</v>
      </c>
    </row>
    <row r="38122">
      <c r="Y38122" s="372">
        <v>0.0</v>
      </c>
      <c r="Z38122" s="372">
        <v>0.0</v>
      </c>
    </row>
    <row r="38123">
      <c r="Y38123" s="372">
        <v>0.0</v>
      </c>
      <c r="Z38123" s="372">
        <v>0.0</v>
      </c>
    </row>
    <row r="38124">
      <c r="Y38124" s="372">
        <v>0.0</v>
      </c>
      <c r="Z38124" s="372">
        <v>0.0</v>
      </c>
    </row>
    <row r="38125">
      <c r="Y38125" s="372">
        <v>0.0</v>
      </c>
      <c r="Z38125" s="372">
        <v>0.0</v>
      </c>
    </row>
    <row r="38126">
      <c r="Y38126" s="372">
        <v>0.0</v>
      </c>
      <c r="Z38126" s="372">
        <v>0.0</v>
      </c>
    </row>
    <row r="38127">
      <c r="Y38127" s="372">
        <v>0.0</v>
      </c>
      <c r="Z38127" s="372">
        <v>0.0</v>
      </c>
    </row>
    <row r="38128">
      <c r="Y38128" s="372">
        <v>0.0</v>
      </c>
      <c r="Z38128" s="372">
        <v>0.0</v>
      </c>
    </row>
    <row r="38129">
      <c r="Y38129" s="372">
        <v>0.0</v>
      </c>
      <c r="Z38129" s="372">
        <v>0.0</v>
      </c>
    </row>
    <row r="38130">
      <c r="Y38130" s="372">
        <v>0.0</v>
      </c>
      <c r="Z38130" s="372">
        <v>0.0</v>
      </c>
    </row>
    <row r="38131">
      <c r="Y38131" s="372">
        <v>0.0</v>
      </c>
      <c r="Z38131" s="372">
        <v>0.0</v>
      </c>
    </row>
    <row r="38132">
      <c r="Y38132" s="372">
        <v>0.0</v>
      </c>
      <c r="Z38132" s="372">
        <v>0.0</v>
      </c>
    </row>
    <row r="38133">
      <c r="Y38133" s="372">
        <v>0.0</v>
      </c>
      <c r="Z38133" s="372">
        <v>0.0</v>
      </c>
    </row>
    <row r="38134">
      <c r="Y38134" s="372">
        <v>0.0</v>
      </c>
      <c r="Z38134" s="372">
        <v>0.0</v>
      </c>
    </row>
    <row r="38135">
      <c r="Y38135" s="372">
        <v>0.0</v>
      </c>
      <c r="Z38135" s="372">
        <v>0.0</v>
      </c>
    </row>
    <row r="38136">
      <c r="Y38136" s="372">
        <v>0.0</v>
      </c>
      <c r="Z38136" s="372">
        <v>0.0</v>
      </c>
    </row>
    <row r="38137">
      <c r="Y38137" s="372">
        <v>0.0</v>
      </c>
      <c r="Z38137" s="372">
        <v>0.0</v>
      </c>
    </row>
    <row r="38138">
      <c r="Y38138" s="372">
        <v>0.0</v>
      </c>
      <c r="Z38138" s="372">
        <v>0.0</v>
      </c>
    </row>
    <row r="38139">
      <c r="Y38139" s="372">
        <v>0.0</v>
      </c>
      <c r="Z38139" s="372">
        <v>0.0</v>
      </c>
    </row>
    <row r="38140">
      <c r="Y38140" s="372">
        <v>0.0</v>
      </c>
      <c r="Z38140" s="372">
        <v>0.0</v>
      </c>
    </row>
    <row r="38141">
      <c r="Y38141" s="372">
        <v>0.0</v>
      </c>
      <c r="Z38141" s="372">
        <v>0.0</v>
      </c>
    </row>
    <row r="38142">
      <c r="Y38142" s="372">
        <v>0.0</v>
      </c>
      <c r="Z38142" s="372">
        <v>0.0</v>
      </c>
    </row>
    <row r="38143">
      <c r="Y38143" s="372">
        <v>0.0</v>
      </c>
      <c r="Z38143" s="372">
        <v>0.0</v>
      </c>
    </row>
    <row r="38144">
      <c r="Y38144" s="372">
        <v>0.0</v>
      </c>
      <c r="Z38144" s="372">
        <v>0.0</v>
      </c>
    </row>
    <row r="38145">
      <c r="Y38145" s="372">
        <v>0.0</v>
      </c>
      <c r="Z38145" s="372">
        <v>0.0</v>
      </c>
    </row>
    <row r="38146">
      <c r="Y38146" s="372">
        <v>0.0</v>
      </c>
      <c r="Z38146" s="372">
        <v>0.0</v>
      </c>
    </row>
    <row r="38147">
      <c r="Y38147" s="372">
        <v>0.0</v>
      </c>
      <c r="Z38147" s="372">
        <v>0.0</v>
      </c>
    </row>
    <row r="38148">
      <c r="Y38148" s="372">
        <v>0.0</v>
      </c>
      <c r="Z38148" s="372">
        <v>0.0</v>
      </c>
    </row>
    <row r="38149">
      <c r="Y38149" s="372">
        <v>0.0</v>
      </c>
      <c r="Z38149" s="372">
        <v>0.0</v>
      </c>
    </row>
    <row r="38150">
      <c r="Y38150" s="372">
        <v>0.0</v>
      </c>
      <c r="Z38150" s="372">
        <v>0.0</v>
      </c>
    </row>
    <row r="38151">
      <c r="Y38151" s="372">
        <v>0.0</v>
      </c>
      <c r="Z38151" s="372">
        <v>0.0</v>
      </c>
    </row>
    <row r="38152">
      <c r="Y38152" s="372">
        <v>0.0</v>
      </c>
      <c r="Z38152" s="372">
        <v>0.0</v>
      </c>
    </row>
    <row r="38153">
      <c r="Y38153" s="372">
        <v>0.0</v>
      </c>
      <c r="Z38153" s="372">
        <v>0.0</v>
      </c>
    </row>
    <row r="38154">
      <c r="Y38154" s="372">
        <v>0.0</v>
      </c>
      <c r="Z38154" s="372">
        <v>0.0</v>
      </c>
    </row>
    <row r="38155">
      <c r="Y38155" s="372">
        <v>0.0</v>
      </c>
      <c r="Z38155" s="372">
        <v>0.0</v>
      </c>
    </row>
    <row r="38156">
      <c r="Y38156" s="372">
        <v>0.0</v>
      </c>
      <c r="Z38156" s="372">
        <v>0.0</v>
      </c>
    </row>
    <row r="38157">
      <c r="Y38157" s="372">
        <v>0.0</v>
      </c>
      <c r="Z38157" s="372">
        <v>0.0</v>
      </c>
    </row>
    <row r="38158">
      <c r="Y38158" s="372">
        <v>0.0</v>
      </c>
      <c r="Z38158" s="372">
        <v>0.0</v>
      </c>
    </row>
    <row r="38159">
      <c r="Y38159" s="372">
        <v>0.0</v>
      </c>
      <c r="Z38159" s="372">
        <v>0.0</v>
      </c>
    </row>
    <row r="38160">
      <c r="Y38160" s="372">
        <v>0.0</v>
      </c>
      <c r="Z38160" s="372">
        <v>0.0</v>
      </c>
    </row>
    <row r="38161">
      <c r="Y38161" s="372">
        <v>0.0</v>
      </c>
      <c r="Z38161" s="372">
        <v>0.0</v>
      </c>
    </row>
    <row r="38162">
      <c r="Y38162" s="372">
        <v>0.0</v>
      </c>
      <c r="Z38162" s="372">
        <v>0.0</v>
      </c>
    </row>
    <row r="38163">
      <c r="Y38163" s="372">
        <v>0.0</v>
      </c>
      <c r="Z38163" s="372">
        <v>0.0</v>
      </c>
    </row>
    <row r="38164">
      <c r="Y38164" s="372">
        <v>0.0</v>
      </c>
      <c r="Z38164" s="372">
        <v>0.0</v>
      </c>
    </row>
    <row r="38165">
      <c r="Y38165" s="372">
        <v>0.0</v>
      </c>
      <c r="Z38165" s="372">
        <v>0.0</v>
      </c>
    </row>
    <row r="38166">
      <c r="Y38166" s="372">
        <v>0.0</v>
      </c>
      <c r="Z38166" s="372">
        <v>0.0</v>
      </c>
    </row>
    <row r="38167">
      <c r="Y38167" s="372">
        <v>0.0</v>
      </c>
      <c r="Z38167" s="372">
        <v>0.0</v>
      </c>
    </row>
    <row r="38168">
      <c r="Y38168" s="372">
        <v>0.0</v>
      </c>
      <c r="Z38168" s="372">
        <v>0.0</v>
      </c>
    </row>
    <row r="38169">
      <c r="Y38169" s="372">
        <v>0.0</v>
      </c>
      <c r="Z38169" s="372">
        <v>0.0</v>
      </c>
    </row>
    <row r="38170">
      <c r="Y38170" s="372">
        <v>0.0</v>
      </c>
      <c r="Z38170" s="372">
        <v>0.0</v>
      </c>
    </row>
    <row r="38171">
      <c r="Y38171" s="372">
        <v>0.0</v>
      </c>
      <c r="Z38171" s="372">
        <v>0.0</v>
      </c>
    </row>
    <row r="38172">
      <c r="Y38172" s="372">
        <v>0.0</v>
      </c>
      <c r="Z38172" s="372">
        <v>0.0</v>
      </c>
    </row>
    <row r="38173">
      <c r="Y38173" s="372">
        <v>0.0</v>
      </c>
      <c r="Z38173" s="372">
        <v>0.0</v>
      </c>
    </row>
    <row r="38174">
      <c r="Y38174" s="372">
        <v>0.0</v>
      </c>
      <c r="Z38174" s="372">
        <v>0.0</v>
      </c>
    </row>
    <row r="38175">
      <c r="Y38175" s="372">
        <v>0.0</v>
      </c>
      <c r="Z38175" s="372">
        <v>0.0</v>
      </c>
    </row>
    <row r="38176">
      <c r="Y38176" s="372">
        <v>0.0</v>
      </c>
      <c r="Z38176" s="372">
        <v>0.0</v>
      </c>
    </row>
    <row r="38177">
      <c r="Y38177" s="372">
        <v>0.0</v>
      </c>
      <c r="Z38177" s="372">
        <v>0.0</v>
      </c>
    </row>
    <row r="38178">
      <c r="Y38178" s="372">
        <v>0.0</v>
      </c>
      <c r="Z38178" s="372">
        <v>0.0</v>
      </c>
    </row>
    <row r="38179">
      <c r="Y38179" s="372">
        <v>0.0</v>
      </c>
      <c r="Z38179" s="372">
        <v>0.0</v>
      </c>
    </row>
    <row r="38180">
      <c r="Y38180" s="372">
        <v>0.0</v>
      </c>
      <c r="Z38180" s="372">
        <v>0.0</v>
      </c>
    </row>
    <row r="38181">
      <c r="Y38181" s="372">
        <v>0.0</v>
      </c>
      <c r="Z38181" s="372">
        <v>0.0</v>
      </c>
    </row>
    <row r="38182">
      <c r="Y38182" s="372">
        <v>0.0</v>
      </c>
      <c r="Z38182" s="372">
        <v>0.0</v>
      </c>
    </row>
    <row r="38183">
      <c r="Y38183" s="372">
        <v>0.0</v>
      </c>
      <c r="Z38183" s="372">
        <v>0.0</v>
      </c>
    </row>
    <row r="38184">
      <c r="Y38184" s="372">
        <v>0.0</v>
      </c>
      <c r="Z38184" s="372">
        <v>0.0</v>
      </c>
    </row>
    <row r="38185">
      <c r="Y38185" s="372">
        <v>0.0</v>
      </c>
      <c r="Z38185" s="372">
        <v>0.0</v>
      </c>
    </row>
    <row r="38186">
      <c r="Y38186" s="372">
        <v>0.0</v>
      </c>
      <c r="Z38186" s="372">
        <v>0.0</v>
      </c>
    </row>
    <row r="38187">
      <c r="Y38187" s="372">
        <v>0.0</v>
      </c>
      <c r="Z38187" s="372">
        <v>0.0</v>
      </c>
    </row>
    <row r="38188">
      <c r="Y38188" s="372">
        <v>0.0</v>
      </c>
      <c r="Z38188" s="372">
        <v>0.0</v>
      </c>
    </row>
    <row r="38189">
      <c r="Y38189" s="372">
        <v>0.0</v>
      </c>
      <c r="Z38189" s="372">
        <v>0.0</v>
      </c>
    </row>
    <row r="38190">
      <c r="Y38190" s="372">
        <v>0.0</v>
      </c>
      <c r="Z38190" s="372">
        <v>0.0</v>
      </c>
    </row>
    <row r="38191">
      <c r="Y38191" s="372">
        <v>0.0</v>
      </c>
      <c r="Z38191" s="372">
        <v>0.0</v>
      </c>
    </row>
    <row r="38192">
      <c r="Y38192" s="372">
        <v>0.0</v>
      </c>
      <c r="Z38192" s="372">
        <v>0.0</v>
      </c>
    </row>
    <row r="38193">
      <c r="Y38193" s="372">
        <v>0.0</v>
      </c>
      <c r="Z38193" s="372">
        <v>0.0</v>
      </c>
    </row>
    <row r="38194">
      <c r="Y38194" s="372">
        <v>0.0</v>
      </c>
      <c r="Z38194" s="372">
        <v>0.0</v>
      </c>
    </row>
    <row r="38195">
      <c r="Y38195" s="372">
        <v>0.0</v>
      </c>
      <c r="Z38195" s="372">
        <v>0.0</v>
      </c>
    </row>
    <row r="38196">
      <c r="Y38196" s="372">
        <v>0.0</v>
      </c>
      <c r="Z38196" s="372">
        <v>0.0</v>
      </c>
    </row>
    <row r="38197">
      <c r="Y38197" s="372">
        <v>0.0</v>
      </c>
      <c r="Z38197" s="372">
        <v>0.0</v>
      </c>
    </row>
    <row r="38198">
      <c r="Y38198" s="372">
        <v>0.0</v>
      </c>
      <c r="Z38198" s="372">
        <v>0.0</v>
      </c>
    </row>
    <row r="38199">
      <c r="Y38199" s="372">
        <v>0.0</v>
      </c>
      <c r="Z38199" s="372">
        <v>0.0</v>
      </c>
    </row>
    <row r="38200">
      <c r="Y38200" s="372">
        <v>0.0</v>
      </c>
      <c r="Z38200" s="372">
        <v>0.0</v>
      </c>
    </row>
    <row r="38201">
      <c r="Y38201" s="372">
        <v>0.0</v>
      </c>
      <c r="Z38201" s="372">
        <v>0.0</v>
      </c>
    </row>
    <row r="38202">
      <c r="Y38202" s="372">
        <v>0.0</v>
      </c>
      <c r="Z38202" s="372">
        <v>0.0</v>
      </c>
    </row>
    <row r="38203">
      <c r="Y38203" s="372">
        <v>0.0</v>
      </c>
      <c r="Z38203" s="372">
        <v>0.0</v>
      </c>
    </row>
    <row r="38204">
      <c r="Y38204" s="372">
        <v>0.0</v>
      </c>
      <c r="Z38204" s="372">
        <v>0.0</v>
      </c>
    </row>
    <row r="38205">
      <c r="Y38205" s="372">
        <v>0.0</v>
      </c>
      <c r="Z38205" s="372">
        <v>0.0</v>
      </c>
    </row>
    <row r="38206">
      <c r="Y38206" s="372">
        <v>0.0</v>
      </c>
      <c r="Z38206" s="372">
        <v>0.0</v>
      </c>
    </row>
    <row r="38207">
      <c r="Y38207" s="372">
        <v>0.0</v>
      </c>
      <c r="Z38207" s="372">
        <v>0.0</v>
      </c>
    </row>
    <row r="38208">
      <c r="Y38208" s="372">
        <v>0.0</v>
      </c>
      <c r="Z38208" s="372">
        <v>0.0</v>
      </c>
    </row>
    <row r="38209">
      <c r="Y38209" s="372">
        <v>0.0</v>
      </c>
      <c r="Z38209" s="372">
        <v>0.0</v>
      </c>
    </row>
    <row r="38210">
      <c r="Y38210" s="372">
        <v>0.0</v>
      </c>
      <c r="Z38210" s="372">
        <v>0.0</v>
      </c>
    </row>
    <row r="38211">
      <c r="Y38211" s="372">
        <v>0.0</v>
      </c>
      <c r="Z38211" s="372">
        <v>0.0</v>
      </c>
    </row>
    <row r="38212">
      <c r="Y38212" s="372">
        <v>0.0</v>
      </c>
      <c r="Z38212" s="372">
        <v>0.0</v>
      </c>
    </row>
    <row r="38213">
      <c r="Y38213" s="372">
        <v>0.0</v>
      </c>
      <c r="Z38213" s="372">
        <v>0.0</v>
      </c>
    </row>
    <row r="38214">
      <c r="Y38214" s="372">
        <v>0.0</v>
      </c>
      <c r="Z38214" s="372">
        <v>0.0</v>
      </c>
    </row>
    <row r="38215">
      <c r="Y38215" s="372">
        <v>0.0</v>
      </c>
      <c r="Z38215" s="372">
        <v>0.0</v>
      </c>
    </row>
    <row r="38216">
      <c r="Y38216" s="372">
        <v>0.0</v>
      </c>
      <c r="Z38216" s="372">
        <v>0.0</v>
      </c>
    </row>
    <row r="38217">
      <c r="Y38217" s="372">
        <v>0.0</v>
      </c>
      <c r="Z38217" s="372">
        <v>0.0</v>
      </c>
    </row>
    <row r="38218">
      <c r="Y38218" s="372">
        <v>0.0</v>
      </c>
      <c r="Z38218" s="372">
        <v>0.0</v>
      </c>
    </row>
    <row r="38219">
      <c r="Y38219" s="372">
        <v>0.0</v>
      </c>
      <c r="Z38219" s="372">
        <v>0.0</v>
      </c>
    </row>
    <row r="38220">
      <c r="Y38220" s="372">
        <v>0.0</v>
      </c>
      <c r="Z38220" s="372">
        <v>0.0</v>
      </c>
    </row>
    <row r="38221">
      <c r="Y38221" s="372">
        <v>0.0</v>
      </c>
      <c r="Z38221" s="372">
        <v>0.0</v>
      </c>
    </row>
    <row r="38222">
      <c r="Y38222" s="372">
        <v>0.0</v>
      </c>
      <c r="Z38222" s="372">
        <v>0.0</v>
      </c>
    </row>
    <row r="38223">
      <c r="Y38223" s="372">
        <v>0.0</v>
      </c>
      <c r="Z38223" s="372">
        <v>0.0</v>
      </c>
    </row>
    <row r="38224">
      <c r="Y38224" s="372">
        <v>0.0</v>
      </c>
      <c r="Z38224" s="372">
        <v>0.0</v>
      </c>
    </row>
    <row r="38225">
      <c r="Y38225" s="372">
        <v>0.0</v>
      </c>
      <c r="Z38225" s="372">
        <v>0.0</v>
      </c>
    </row>
    <row r="38226">
      <c r="Y38226" s="372">
        <v>0.0</v>
      </c>
      <c r="Z38226" s="372">
        <v>0.0</v>
      </c>
    </row>
    <row r="38227">
      <c r="Y38227" s="372">
        <v>0.0</v>
      </c>
      <c r="Z38227" s="372">
        <v>0.0</v>
      </c>
    </row>
    <row r="38228">
      <c r="Y38228" s="372">
        <v>0.0</v>
      </c>
      <c r="Z38228" s="372">
        <v>0.0</v>
      </c>
    </row>
    <row r="38229">
      <c r="Y38229" s="372">
        <v>0.0</v>
      </c>
      <c r="Z38229" s="372">
        <v>0.0</v>
      </c>
    </row>
    <row r="38230">
      <c r="Y38230" s="372">
        <v>0.0</v>
      </c>
      <c r="Z38230" s="372">
        <v>0.0</v>
      </c>
    </row>
    <row r="38231">
      <c r="Y38231" s="372">
        <v>0.0</v>
      </c>
      <c r="Z38231" s="372">
        <v>0.0</v>
      </c>
    </row>
    <row r="38232">
      <c r="Y38232" s="372">
        <v>0.0</v>
      </c>
      <c r="Z38232" s="372">
        <v>0.0</v>
      </c>
    </row>
    <row r="38233">
      <c r="Y38233" s="372">
        <v>0.0</v>
      </c>
      <c r="Z38233" s="372">
        <v>0.0</v>
      </c>
    </row>
    <row r="38234">
      <c r="Y38234" s="372">
        <v>0.0</v>
      </c>
      <c r="Z38234" s="372">
        <v>0.0</v>
      </c>
    </row>
    <row r="38235">
      <c r="Y38235" s="372">
        <v>0.0</v>
      </c>
      <c r="Z38235" s="372">
        <v>0.0</v>
      </c>
    </row>
    <row r="38236">
      <c r="Y38236" s="372">
        <v>0.0</v>
      </c>
      <c r="Z38236" s="372">
        <v>0.0</v>
      </c>
    </row>
    <row r="38237">
      <c r="Y38237" s="372">
        <v>0.0</v>
      </c>
      <c r="Z38237" s="372">
        <v>0.0</v>
      </c>
    </row>
    <row r="38238">
      <c r="Y38238" s="372">
        <v>0.0</v>
      </c>
      <c r="Z38238" s="372">
        <v>0.0</v>
      </c>
    </row>
    <row r="38239">
      <c r="Y38239" s="372">
        <v>0.0</v>
      </c>
      <c r="Z38239" s="372">
        <v>0.0</v>
      </c>
    </row>
    <row r="38240">
      <c r="Y38240" s="372">
        <v>0.0</v>
      </c>
      <c r="Z38240" s="372">
        <v>0.0</v>
      </c>
    </row>
    <row r="38241">
      <c r="Y38241" s="372">
        <v>0.0</v>
      </c>
      <c r="Z38241" s="372">
        <v>0.0</v>
      </c>
    </row>
    <row r="38242">
      <c r="Y38242" s="372">
        <v>0.0</v>
      </c>
      <c r="Z38242" s="372">
        <v>0.0</v>
      </c>
    </row>
    <row r="38243">
      <c r="Y38243" s="372">
        <v>0.0</v>
      </c>
      <c r="Z38243" s="372">
        <v>0.0</v>
      </c>
    </row>
    <row r="38244">
      <c r="Y38244" s="372">
        <v>0.0</v>
      </c>
      <c r="Z38244" s="372">
        <v>0.0</v>
      </c>
    </row>
    <row r="38245">
      <c r="Y38245" s="372">
        <v>0.0</v>
      </c>
      <c r="Z38245" s="372">
        <v>0.0</v>
      </c>
    </row>
    <row r="38246">
      <c r="Y38246" s="372">
        <v>0.0</v>
      </c>
      <c r="Z38246" s="372">
        <v>0.0</v>
      </c>
    </row>
    <row r="38247">
      <c r="Y38247" s="372">
        <v>0.0</v>
      </c>
      <c r="Z38247" s="372">
        <v>0.0</v>
      </c>
    </row>
    <row r="38248">
      <c r="Y38248" s="372">
        <v>0.0</v>
      </c>
      <c r="Z38248" s="372">
        <v>0.0</v>
      </c>
    </row>
    <row r="38249">
      <c r="Y38249" s="372">
        <v>0.0</v>
      </c>
      <c r="Z38249" s="372">
        <v>0.0</v>
      </c>
    </row>
    <row r="38250">
      <c r="Y38250" s="372">
        <v>0.0</v>
      </c>
      <c r="Z38250" s="372">
        <v>0.0</v>
      </c>
    </row>
    <row r="38251">
      <c r="Y38251" s="372">
        <v>0.0</v>
      </c>
      <c r="Z38251" s="372">
        <v>0.0</v>
      </c>
    </row>
    <row r="38252">
      <c r="Y38252" s="372">
        <v>0.0</v>
      </c>
      <c r="Z38252" s="372">
        <v>0.0</v>
      </c>
    </row>
    <row r="38253">
      <c r="Y38253" s="372">
        <v>0.0</v>
      </c>
      <c r="Z38253" s="372">
        <v>0.0</v>
      </c>
    </row>
    <row r="38254">
      <c r="Y38254" s="372">
        <v>0.0</v>
      </c>
      <c r="Z38254" s="372">
        <v>0.0</v>
      </c>
    </row>
    <row r="38255">
      <c r="Y38255" s="372">
        <v>0.0</v>
      </c>
      <c r="Z38255" s="372">
        <v>0.0</v>
      </c>
    </row>
    <row r="38256">
      <c r="Y38256" s="372">
        <v>0.0</v>
      </c>
      <c r="Z38256" s="372">
        <v>0.0</v>
      </c>
    </row>
    <row r="38257">
      <c r="Y38257" s="372">
        <v>0.0</v>
      </c>
      <c r="Z38257" s="372">
        <v>0.0</v>
      </c>
    </row>
    <row r="38258">
      <c r="Y38258" s="372">
        <v>0.0</v>
      </c>
      <c r="Z38258" s="372">
        <v>0.0</v>
      </c>
    </row>
    <row r="38259">
      <c r="Y38259" s="372">
        <v>0.0</v>
      </c>
      <c r="Z38259" s="372">
        <v>0.0</v>
      </c>
    </row>
    <row r="38260">
      <c r="Y38260" s="372">
        <v>0.0</v>
      </c>
      <c r="Z38260" s="372">
        <v>0.0</v>
      </c>
    </row>
    <row r="38261">
      <c r="Y38261" s="372">
        <v>0.0</v>
      </c>
      <c r="Z38261" s="372">
        <v>0.0</v>
      </c>
    </row>
    <row r="38262">
      <c r="Y38262" s="372">
        <v>0.0</v>
      </c>
      <c r="Z38262" s="372">
        <v>0.0</v>
      </c>
    </row>
    <row r="38263">
      <c r="Y38263" s="372">
        <v>0.0</v>
      </c>
      <c r="Z38263" s="372">
        <v>0.0</v>
      </c>
    </row>
    <row r="38264">
      <c r="Y38264" s="372">
        <v>0.0</v>
      </c>
      <c r="Z38264" s="372">
        <v>0.0</v>
      </c>
    </row>
    <row r="38265">
      <c r="Y38265" s="372">
        <v>0.0</v>
      </c>
      <c r="Z38265" s="372">
        <v>0.0</v>
      </c>
    </row>
    <row r="38266">
      <c r="Y38266" s="372">
        <v>0.0</v>
      </c>
      <c r="Z38266" s="372">
        <v>0.0</v>
      </c>
    </row>
    <row r="38267">
      <c r="Y38267" s="372">
        <v>0.0</v>
      </c>
      <c r="Z38267" s="372">
        <v>0.0</v>
      </c>
    </row>
    <row r="38268">
      <c r="Y38268" s="372">
        <v>0.0</v>
      </c>
      <c r="Z38268" s="372">
        <v>0.0</v>
      </c>
    </row>
    <row r="38269">
      <c r="Y38269" s="372">
        <v>0.0</v>
      </c>
      <c r="Z38269" s="372">
        <v>0.0</v>
      </c>
    </row>
    <row r="38270">
      <c r="Y38270" s="372">
        <v>0.0</v>
      </c>
      <c r="Z38270" s="372">
        <v>0.0</v>
      </c>
    </row>
    <row r="38271">
      <c r="Y38271" s="372">
        <v>0.0</v>
      </c>
      <c r="Z38271" s="372">
        <v>0.0</v>
      </c>
    </row>
    <row r="38272">
      <c r="Y38272" s="372">
        <v>0.0</v>
      </c>
      <c r="Z38272" s="372">
        <v>0.0</v>
      </c>
    </row>
    <row r="38273">
      <c r="Y38273" s="372">
        <v>0.0</v>
      </c>
      <c r="Z38273" s="372">
        <v>0.0</v>
      </c>
    </row>
    <row r="38274">
      <c r="Y38274" s="372">
        <v>0.0</v>
      </c>
      <c r="Z38274" s="372">
        <v>0.0</v>
      </c>
    </row>
    <row r="38275">
      <c r="Y38275" s="372">
        <v>0.0</v>
      </c>
      <c r="Z38275" s="372">
        <v>0.0</v>
      </c>
    </row>
    <row r="38276">
      <c r="Y38276" s="372">
        <v>0.0</v>
      </c>
      <c r="Z38276" s="372">
        <v>0.0</v>
      </c>
    </row>
    <row r="38277">
      <c r="Y38277" s="372">
        <v>0.0</v>
      </c>
      <c r="Z38277" s="372">
        <v>0.0</v>
      </c>
    </row>
    <row r="38278">
      <c r="Y38278" s="372">
        <v>0.0</v>
      </c>
      <c r="Z38278" s="372">
        <v>0.0</v>
      </c>
    </row>
    <row r="38279">
      <c r="Y38279" s="372">
        <v>0.0</v>
      </c>
      <c r="Z38279" s="372">
        <v>0.0</v>
      </c>
    </row>
    <row r="38280">
      <c r="Y38280" s="372">
        <v>0.0</v>
      </c>
      <c r="Z38280" s="372">
        <v>0.0</v>
      </c>
    </row>
    <row r="38281">
      <c r="Y38281" s="372">
        <v>0.0</v>
      </c>
      <c r="Z38281" s="372">
        <v>0.0</v>
      </c>
    </row>
    <row r="38282">
      <c r="Y38282" s="372">
        <v>0.0</v>
      </c>
      <c r="Z38282" s="372">
        <v>0.0</v>
      </c>
    </row>
    <row r="38283">
      <c r="Y38283" s="372">
        <v>0.0</v>
      </c>
      <c r="Z38283" s="372">
        <v>0.0</v>
      </c>
    </row>
    <row r="38284">
      <c r="Y38284" s="372">
        <v>0.0</v>
      </c>
      <c r="Z38284" s="372">
        <v>0.0</v>
      </c>
    </row>
    <row r="38285">
      <c r="Y38285" s="372">
        <v>0.0</v>
      </c>
      <c r="Z38285" s="372">
        <v>0.0</v>
      </c>
    </row>
    <row r="38286">
      <c r="Y38286" s="372">
        <v>0.0</v>
      </c>
      <c r="Z38286" s="372">
        <v>0.0</v>
      </c>
    </row>
    <row r="38287">
      <c r="Y38287" s="372">
        <v>0.0</v>
      </c>
      <c r="Z38287" s="372">
        <v>0.0</v>
      </c>
    </row>
    <row r="38288">
      <c r="Y38288" s="372">
        <v>0.0</v>
      </c>
      <c r="Z38288" s="372">
        <v>0.0</v>
      </c>
    </row>
    <row r="38289">
      <c r="Y38289" s="372">
        <v>0.0</v>
      </c>
      <c r="Z38289" s="372">
        <v>0.0</v>
      </c>
    </row>
    <row r="38290">
      <c r="Y38290" s="372">
        <v>0.0</v>
      </c>
      <c r="Z38290" s="372">
        <v>0.0</v>
      </c>
    </row>
    <row r="38291">
      <c r="Y38291" s="372">
        <v>0.0</v>
      </c>
      <c r="Z38291" s="372">
        <v>0.0</v>
      </c>
    </row>
    <row r="38292">
      <c r="Y38292" s="372">
        <v>0.0</v>
      </c>
      <c r="Z38292" s="372">
        <v>0.0</v>
      </c>
    </row>
    <row r="38293">
      <c r="Y38293" s="372">
        <v>0.0</v>
      </c>
      <c r="Z38293" s="372">
        <v>0.0</v>
      </c>
    </row>
    <row r="38294">
      <c r="Y38294" s="372">
        <v>0.0</v>
      </c>
      <c r="Z38294" s="372">
        <v>0.0</v>
      </c>
    </row>
    <row r="38295">
      <c r="Y38295" s="372">
        <v>0.0</v>
      </c>
      <c r="Z38295" s="372">
        <v>0.0</v>
      </c>
    </row>
    <row r="38296">
      <c r="Y38296" s="372">
        <v>0.0</v>
      </c>
      <c r="Z38296" s="372">
        <v>0.0</v>
      </c>
    </row>
    <row r="38297">
      <c r="Y38297" s="372">
        <v>0.0</v>
      </c>
      <c r="Z38297" s="372">
        <v>0.0</v>
      </c>
    </row>
    <row r="38298">
      <c r="Y38298" s="372">
        <v>0.0</v>
      </c>
      <c r="Z38298" s="372">
        <v>0.0</v>
      </c>
    </row>
    <row r="38299">
      <c r="Y38299" s="372">
        <v>0.0</v>
      </c>
      <c r="Z38299" s="372">
        <v>0.0</v>
      </c>
    </row>
    <row r="38300">
      <c r="Y38300" s="372">
        <v>0.0</v>
      </c>
      <c r="Z38300" s="372">
        <v>0.0</v>
      </c>
    </row>
    <row r="38301">
      <c r="Y38301" s="372">
        <v>0.0</v>
      </c>
      <c r="Z38301" s="372">
        <v>0.0</v>
      </c>
    </row>
    <row r="38302">
      <c r="Y38302" s="372">
        <v>0.0</v>
      </c>
      <c r="Z38302" s="372">
        <v>0.0</v>
      </c>
    </row>
    <row r="38303">
      <c r="Y38303" s="372">
        <v>0.0</v>
      </c>
      <c r="Z38303" s="372">
        <v>0.0</v>
      </c>
    </row>
    <row r="38304">
      <c r="Y38304" s="372">
        <v>0.0</v>
      </c>
      <c r="Z38304" s="372">
        <v>0.0</v>
      </c>
    </row>
    <row r="38305">
      <c r="Y38305" s="372">
        <v>0.0</v>
      </c>
      <c r="Z38305" s="372">
        <v>0.0</v>
      </c>
    </row>
    <row r="38306">
      <c r="Y38306" s="372">
        <v>0.0</v>
      </c>
      <c r="Z38306" s="372">
        <v>0.0</v>
      </c>
    </row>
    <row r="38307">
      <c r="Y38307" s="372">
        <v>0.0</v>
      </c>
      <c r="Z38307" s="372">
        <v>0.0</v>
      </c>
    </row>
    <row r="38308">
      <c r="Y38308" s="372">
        <v>0.0</v>
      </c>
      <c r="Z38308" s="372">
        <v>0.0</v>
      </c>
    </row>
    <row r="38309">
      <c r="Y38309" s="372">
        <v>0.0</v>
      </c>
      <c r="Z38309" s="372">
        <v>0.0</v>
      </c>
    </row>
    <row r="38310">
      <c r="Y38310" s="372">
        <v>0.0</v>
      </c>
      <c r="Z38310" s="372">
        <v>0.0</v>
      </c>
    </row>
    <row r="38311">
      <c r="Y38311" s="372">
        <v>0.0</v>
      </c>
      <c r="Z38311" s="372">
        <v>0.0</v>
      </c>
    </row>
    <row r="38312">
      <c r="Y38312" s="372">
        <v>0.0</v>
      </c>
      <c r="Z38312" s="372">
        <v>0.0</v>
      </c>
    </row>
    <row r="38313">
      <c r="Y38313" s="372">
        <v>0.0</v>
      </c>
      <c r="Z38313" s="372">
        <v>0.0</v>
      </c>
    </row>
    <row r="38314">
      <c r="Y38314" s="372">
        <v>0.0</v>
      </c>
      <c r="Z38314" s="372">
        <v>0.0</v>
      </c>
    </row>
    <row r="38315">
      <c r="Y38315" s="372">
        <v>0.0</v>
      </c>
      <c r="Z38315" s="372">
        <v>0.0</v>
      </c>
    </row>
    <row r="38316">
      <c r="Y38316" s="372">
        <v>0.0</v>
      </c>
      <c r="Z38316" s="372">
        <v>0.0</v>
      </c>
    </row>
    <row r="38317">
      <c r="Y38317" s="372">
        <v>0.0</v>
      </c>
      <c r="Z38317" s="372">
        <v>0.0</v>
      </c>
    </row>
    <row r="38318">
      <c r="Y38318" s="372">
        <v>0.0</v>
      </c>
      <c r="Z38318" s="372">
        <v>0.0</v>
      </c>
    </row>
    <row r="38319">
      <c r="Y38319" s="372">
        <v>0.0</v>
      </c>
      <c r="Z38319" s="372">
        <v>0.0</v>
      </c>
    </row>
    <row r="38320">
      <c r="Y38320" s="372">
        <v>0.0</v>
      </c>
      <c r="Z38320" s="372">
        <v>0.0</v>
      </c>
    </row>
    <row r="38321">
      <c r="Y38321" s="372">
        <v>0.0</v>
      </c>
      <c r="Z38321" s="372">
        <v>0.0</v>
      </c>
    </row>
    <row r="38322">
      <c r="Y38322" s="372">
        <v>0.0</v>
      </c>
      <c r="Z38322" s="372">
        <v>0.0</v>
      </c>
    </row>
    <row r="38323">
      <c r="Y38323" s="372">
        <v>0.0</v>
      </c>
      <c r="Z38323" s="372">
        <v>0.0</v>
      </c>
    </row>
    <row r="38324">
      <c r="Y38324" s="372">
        <v>0.0</v>
      </c>
      <c r="Z38324" s="372">
        <v>0.0</v>
      </c>
    </row>
    <row r="38325">
      <c r="Y38325" s="372">
        <v>0.0</v>
      </c>
      <c r="Z38325" s="372">
        <v>0.0</v>
      </c>
    </row>
    <row r="38326">
      <c r="Y38326" s="372">
        <v>0.0</v>
      </c>
      <c r="Z38326" s="372">
        <v>0.0</v>
      </c>
    </row>
    <row r="38327">
      <c r="Y38327" s="372">
        <v>0.0</v>
      </c>
      <c r="Z38327" s="372">
        <v>0.0</v>
      </c>
    </row>
    <row r="38328">
      <c r="Y38328" s="372">
        <v>0.0</v>
      </c>
      <c r="Z38328" s="372">
        <v>0.0</v>
      </c>
    </row>
    <row r="38329">
      <c r="Y38329" s="372">
        <v>0.0</v>
      </c>
      <c r="Z38329" s="372">
        <v>0.0</v>
      </c>
    </row>
    <row r="38330">
      <c r="Y38330" s="372">
        <v>0.0</v>
      </c>
      <c r="Z38330" s="372">
        <v>0.0</v>
      </c>
    </row>
    <row r="38331">
      <c r="Y38331" s="372">
        <v>0.0</v>
      </c>
      <c r="Z38331" s="372">
        <v>0.0</v>
      </c>
    </row>
    <row r="38332">
      <c r="Y38332" s="372">
        <v>0.0</v>
      </c>
      <c r="Z38332" s="372">
        <v>0.0</v>
      </c>
    </row>
    <row r="38333">
      <c r="Y38333" s="372">
        <v>0.0</v>
      </c>
      <c r="Z38333" s="372">
        <v>0.0</v>
      </c>
    </row>
    <row r="38334">
      <c r="Y38334" s="372">
        <v>0.0</v>
      </c>
      <c r="Z38334" s="372">
        <v>0.0</v>
      </c>
    </row>
    <row r="38335">
      <c r="Y38335" s="372">
        <v>0.0</v>
      </c>
      <c r="Z38335" s="372">
        <v>0.0</v>
      </c>
    </row>
    <row r="38336">
      <c r="Y38336" s="372">
        <v>0.0</v>
      </c>
      <c r="Z38336" s="372">
        <v>0.0</v>
      </c>
    </row>
    <row r="38337">
      <c r="Y38337" s="372">
        <v>0.0</v>
      </c>
      <c r="Z38337" s="372">
        <v>0.0</v>
      </c>
    </row>
    <row r="38338">
      <c r="Y38338" s="372">
        <v>0.0</v>
      </c>
      <c r="Z38338" s="372">
        <v>0.0</v>
      </c>
    </row>
    <row r="38339">
      <c r="Y38339" s="372">
        <v>0.0</v>
      </c>
      <c r="Z38339" s="372">
        <v>0.0</v>
      </c>
    </row>
    <row r="38340">
      <c r="Y38340" s="372">
        <v>0.0</v>
      </c>
      <c r="Z38340" s="372">
        <v>0.0</v>
      </c>
    </row>
    <row r="38341">
      <c r="Y38341" s="372">
        <v>0.0</v>
      </c>
      <c r="Z38341" s="372">
        <v>0.0</v>
      </c>
    </row>
    <row r="38342">
      <c r="Y38342" s="372">
        <v>0.0</v>
      </c>
      <c r="Z38342" s="372">
        <v>0.0</v>
      </c>
    </row>
    <row r="38343">
      <c r="Y38343" s="372">
        <v>0.0</v>
      </c>
      <c r="Z38343" s="372">
        <v>0.0</v>
      </c>
    </row>
    <row r="38344">
      <c r="Y38344" s="372">
        <v>0.0</v>
      </c>
      <c r="Z38344" s="372">
        <v>0.0</v>
      </c>
    </row>
    <row r="38345">
      <c r="Y38345" s="372">
        <v>0.0</v>
      </c>
      <c r="Z38345" s="372">
        <v>0.0</v>
      </c>
    </row>
    <row r="38346">
      <c r="Y38346" s="372">
        <v>0.0</v>
      </c>
      <c r="Z38346" s="372">
        <v>0.0</v>
      </c>
    </row>
    <row r="38347">
      <c r="Y38347" s="372">
        <v>0.0</v>
      </c>
      <c r="Z38347" s="372">
        <v>0.0</v>
      </c>
    </row>
    <row r="38348">
      <c r="Y38348" s="372">
        <v>0.0</v>
      </c>
      <c r="Z38348" s="372">
        <v>0.0</v>
      </c>
    </row>
    <row r="38349">
      <c r="Y38349" s="372">
        <v>0.0</v>
      </c>
      <c r="Z38349" s="372">
        <v>0.0</v>
      </c>
    </row>
    <row r="38350">
      <c r="Y38350" s="372">
        <v>0.0</v>
      </c>
      <c r="Z38350" s="372">
        <v>0.0</v>
      </c>
    </row>
    <row r="38351">
      <c r="Y38351" s="372">
        <v>0.0</v>
      </c>
      <c r="Z38351" s="372">
        <v>0.0</v>
      </c>
    </row>
    <row r="38352">
      <c r="Y38352" s="372">
        <v>0.0</v>
      </c>
      <c r="Z38352" s="372">
        <v>0.0</v>
      </c>
    </row>
    <row r="38353">
      <c r="Y38353" s="372">
        <v>0.0</v>
      </c>
      <c r="Z38353" s="372">
        <v>0.0</v>
      </c>
    </row>
    <row r="38354">
      <c r="Y38354" s="372">
        <v>0.0</v>
      </c>
      <c r="Z38354" s="372">
        <v>0.0</v>
      </c>
    </row>
    <row r="38355">
      <c r="Y38355" s="372">
        <v>0.0</v>
      </c>
      <c r="Z38355" s="372">
        <v>0.0</v>
      </c>
    </row>
    <row r="38356">
      <c r="Y38356" s="372">
        <v>0.0</v>
      </c>
      <c r="Z38356" s="372">
        <v>0.0</v>
      </c>
    </row>
    <row r="38357">
      <c r="Y38357" s="372">
        <v>0.0</v>
      </c>
      <c r="Z38357" s="372">
        <v>0.0</v>
      </c>
    </row>
    <row r="38358">
      <c r="Y38358" s="372">
        <v>0.0</v>
      </c>
      <c r="Z38358" s="372">
        <v>0.0</v>
      </c>
    </row>
    <row r="38359">
      <c r="Y38359" s="372">
        <v>0.0</v>
      </c>
      <c r="Z38359" s="372">
        <v>0.0</v>
      </c>
    </row>
    <row r="38360">
      <c r="Y38360" s="372">
        <v>0.0</v>
      </c>
      <c r="Z38360" s="372">
        <v>0.0</v>
      </c>
    </row>
    <row r="38361">
      <c r="Y38361" s="372">
        <v>0.0</v>
      </c>
      <c r="Z38361" s="372">
        <v>0.0</v>
      </c>
    </row>
    <row r="38362">
      <c r="Y38362" s="372">
        <v>0.0</v>
      </c>
      <c r="Z38362" s="372">
        <v>0.0</v>
      </c>
    </row>
    <row r="38363">
      <c r="Y38363" s="372">
        <v>0.0</v>
      </c>
      <c r="Z38363" s="372">
        <v>0.0</v>
      </c>
    </row>
    <row r="38364">
      <c r="Y38364" s="372">
        <v>0.0</v>
      </c>
      <c r="Z38364" s="372">
        <v>0.0</v>
      </c>
    </row>
    <row r="38365">
      <c r="Y38365" s="372">
        <v>0.0</v>
      </c>
      <c r="Z38365" s="372">
        <v>0.0</v>
      </c>
    </row>
    <row r="38366">
      <c r="Y38366" s="372">
        <v>0.0</v>
      </c>
      <c r="Z38366" s="372">
        <v>0.0</v>
      </c>
    </row>
    <row r="38367">
      <c r="Y38367" s="372">
        <v>0.0</v>
      </c>
      <c r="Z38367" s="372">
        <v>0.0</v>
      </c>
    </row>
    <row r="38368">
      <c r="Y38368" s="372">
        <v>0.0</v>
      </c>
      <c r="Z38368" s="372">
        <v>0.0</v>
      </c>
    </row>
    <row r="38369">
      <c r="Y38369" s="372">
        <v>0.0</v>
      </c>
      <c r="Z38369" s="372">
        <v>0.0</v>
      </c>
    </row>
    <row r="38370">
      <c r="Y38370" s="372">
        <v>0.0</v>
      </c>
      <c r="Z38370" s="372">
        <v>0.0</v>
      </c>
    </row>
    <row r="38371">
      <c r="Y38371" s="372">
        <v>0.0</v>
      </c>
      <c r="Z38371" s="372">
        <v>0.0</v>
      </c>
    </row>
    <row r="38372">
      <c r="Y38372" s="372">
        <v>0.0</v>
      </c>
      <c r="Z38372" s="372">
        <v>0.0</v>
      </c>
    </row>
    <row r="38373">
      <c r="Y38373" s="372">
        <v>0.0</v>
      </c>
      <c r="Z38373" s="372">
        <v>0.0</v>
      </c>
    </row>
    <row r="38374">
      <c r="Y38374" s="372">
        <v>0.0</v>
      </c>
      <c r="Z38374" s="372">
        <v>0.0</v>
      </c>
    </row>
    <row r="38375">
      <c r="Y38375" s="372">
        <v>0.0</v>
      </c>
      <c r="Z38375" s="372">
        <v>0.0</v>
      </c>
    </row>
    <row r="38376">
      <c r="Y38376" s="372">
        <v>0.0</v>
      </c>
      <c r="Z38376" s="372">
        <v>0.0</v>
      </c>
    </row>
    <row r="38377">
      <c r="Y38377" s="372">
        <v>0.0</v>
      </c>
      <c r="Z38377" s="372">
        <v>0.0</v>
      </c>
    </row>
    <row r="38378">
      <c r="Y38378" s="372">
        <v>0.0</v>
      </c>
      <c r="Z38378" s="372">
        <v>0.0</v>
      </c>
    </row>
    <row r="38379">
      <c r="Y38379" s="372">
        <v>0.0</v>
      </c>
      <c r="Z38379" s="372">
        <v>0.0</v>
      </c>
    </row>
    <row r="38380">
      <c r="Y38380" s="372">
        <v>0.0</v>
      </c>
      <c r="Z38380" s="372">
        <v>0.0</v>
      </c>
    </row>
    <row r="38381">
      <c r="Y38381" s="372">
        <v>0.0</v>
      </c>
      <c r="Z38381" s="372">
        <v>0.0</v>
      </c>
    </row>
    <row r="38382">
      <c r="Y38382" s="372">
        <v>0.0</v>
      </c>
      <c r="Z38382" s="372">
        <v>0.0</v>
      </c>
    </row>
    <row r="38383">
      <c r="Y38383" s="372">
        <v>0.0</v>
      </c>
      <c r="Z38383" s="372">
        <v>0.0</v>
      </c>
    </row>
    <row r="38384">
      <c r="Y38384" s="372">
        <v>0.0</v>
      </c>
      <c r="Z38384" s="372">
        <v>0.0</v>
      </c>
    </row>
    <row r="38385">
      <c r="Y38385" s="372">
        <v>0.0</v>
      </c>
      <c r="Z38385" s="372">
        <v>0.0</v>
      </c>
    </row>
    <row r="38386">
      <c r="Y38386" s="372">
        <v>0.0</v>
      </c>
      <c r="Z38386" s="372">
        <v>0.0</v>
      </c>
    </row>
    <row r="38387">
      <c r="Y38387" s="372">
        <v>0.0</v>
      </c>
      <c r="Z38387" s="372">
        <v>0.0</v>
      </c>
    </row>
    <row r="38388">
      <c r="Y38388" s="372">
        <v>0.0</v>
      </c>
      <c r="Z38388" s="372">
        <v>0.0</v>
      </c>
    </row>
    <row r="38389">
      <c r="Y38389" s="372">
        <v>0.0</v>
      </c>
      <c r="Z38389" s="372">
        <v>0.0</v>
      </c>
    </row>
    <row r="38390">
      <c r="Y38390" s="372">
        <v>0.0</v>
      </c>
      <c r="Z38390" s="372">
        <v>0.0</v>
      </c>
    </row>
    <row r="38391">
      <c r="Y38391" s="372">
        <v>0.0</v>
      </c>
      <c r="Z38391" s="372">
        <v>0.0</v>
      </c>
    </row>
    <row r="38392">
      <c r="Y38392" s="372">
        <v>0.0</v>
      </c>
      <c r="Z38392" s="372">
        <v>0.0</v>
      </c>
    </row>
    <row r="38393">
      <c r="Y38393" s="372">
        <v>0.0</v>
      </c>
      <c r="Z38393" s="372">
        <v>0.0</v>
      </c>
    </row>
    <row r="38394">
      <c r="Y38394" s="372">
        <v>0.0</v>
      </c>
      <c r="Z38394" s="372">
        <v>0.0</v>
      </c>
    </row>
    <row r="38395">
      <c r="Y38395" s="372">
        <v>0.0</v>
      </c>
      <c r="Z38395" s="372">
        <v>0.0</v>
      </c>
    </row>
    <row r="38396">
      <c r="Y38396" s="372">
        <v>0.0</v>
      </c>
      <c r="Z38396" s="372">
        <v>0.0</v>
      </c>
    </row>
    <row r="38397">
      <c r="Y38397" s="372">
        <v>0.0</v>
      </c>
      <c r="Z38397" s="372">
        <v>0.0</v>
      </c>
    </row>
    <row r="38398">
      <c r="Y38398" s="372">
        <v>0.0</v>
      </c>
      <c r="Z38398" s="372">
        <v>0.0</v>
      </c>
    </row>
    <row r="38399">
      <c r="Y38399" s="372">
        <v>0.0</v>
      </c>
      <c r="Z38399" s="372">
        <v>0.0</v>
      </c>
    </row>
    <row r="38400">
      <c r="Y38400" s="372">
        <v>0.0</v>
      </c>
      <c r="Z38400" s="372">
        <v>0.0</v>
      </c>
    </row>
    <row r="38401">
      <c r="Y38401" s="372">
        <v>0.0</v>
      </c>
      <c r="Z38401" s="372">
        <v>0.0</v>
      </c>
    </row>
    <row r="38402">
      <c r="Y38402" s="372">
        <v>0.0</v>
      </c>
      <c r="Z38402" s="372">
        <v>0.0</v>
      </c>
    </row>
    <row r="38403">
      <c r="Y38403" s="372">
        <v>0.0</v>
      </c>
      <c r="Z38403" s="372">
        <v>0.0</v>
      </c>
    </row>
    <row r="38404">
      <c r="Y38404" s="372">
        <v>0.0</v>
      </c>
      <c r="Z38404" s="372">
        <v>0.0</v>
      </c>
    </row>
    <row r="38405">
      <c r="Y38405" s="372">
        <v>0.0</v>
      </c>
      <c r="Z38405" s="372">
        <v>0.0</v>
      </c>
    </row>
    <row r="38406">
      <c r="Y38406" s="372">
        <v>0.0</v>
      </c>
      <c r="Z38406" s="372">
        <v>0.0</v>
      </c>
    </row>
    <row r="38407">
      <c r="Y38407" s="372">
        <v>0.0</v>
      </c>
      <c r="Z38407" s="372">
        <v>0.0</v>
      </c>
    </row>
    <row r="38408">
      <c r="Y38408" s="372">
        <v>0.0</v>
      </c>
      <c r="Z38408" s="372">
        <v>0.0</v>
      </c>
    </row>
    <row r="38409">
      <c r="Y38409" s="372">
        <v>0.0</v>
      </c>
      <c r="Z38409" s="372">
        <v>0.0</v>
      </c>
    </row>
    <row r="38410">
      <c r="Y38410" s="372">
        <v>0.0</v>
      </c>
      <c r="Z38410" s="372">
        <v>0.0</v>
      </c>
    </row>
    <row r="38411">
      <c r="Y38411" s="372">
        <v>0.0</v>
      </c>
      <c r="Z38411" s="372">
        <v>0.0</v>
      </c>
    </row>
    <row r="38412">
      <c r="Y38412" s="372">
        <v>0.0</v>
      </c>
      <c r="Z38412" s="372">
        <v>0.0</v>
      </c>
    </row>
    <row r="38413">
      <c r="Y38413" s="372">
        <v>0.0</v>
      </c>
      <c r="Z38413" s="372">
        <v>0.0</v>
      </c>
    </row>
    <row r="38414">
      <c r="Y38414" s="372">
        <v>0.0</v>
      </c>
      <c r="Z38414" s="372">
        <v>0.0</v>
      </c>
    </row>
    <row r="38415">
      <c r="Y38415" s="372">
        <v>0.0</v>
      </c>
      <c r="Z38415" s="372">
        <v>0.0</v>
      </c>
    </row>
    <row r="38416">
      <c r="Y38416" s="372">
        <v>0.0</v>
      </c>
      <c r="Z38416" s="372">
        <v>0.0</v>
      </c>
    </row>
    <row r="38417">
      <c r="Y38417" s="372">
        <v>0.0</v>
      </c>
      <c r="Z38417" s="372">
        <v>0.0</v>
      </c>
    </row>
    <row r="38418">
      <c r="Y38418" s="372">
        <v>0.0</v>
      </c>
      <c r="Z38418" s="372">
        <v>0.0</v>
      </c>
    </row>
    <row r="38419">
      <c r="Y38419" s="372">
        <v>0.0</v>
      </c>
      <c r="Z38419" s="372">
        <v>0.0</v>
      </c>
    </row>
    <row r="38420">
      <c r="Y38420" s="372">
        <v>0.0</v>
      </c>
      <c r="Z38420" s="372">
        <v>0.0</v>
      </c>
    </row>
    <row r="38421">
      <c r="Y38421" s="372">
        <v>0.0</v>
      </c>
      <c r="Z38421" s="372">
        <v>0.0</v>
      </c>
    </row>
    <row r="38422">
      <c r="Y38422" s="372">
        <v>0.0</v>
      </c>
      <c r="Z38422" s="372">
        <v>0.0</v>
      </c>
    </row>
    <row r="38423">
      <c r="Y38423" s="372">
        <v>0.0</v>
      </c>
      <c r="Z38423" s="372">
        <v>0.0</v>
      </c>
    </row>
    <row r="38424">
      <c r="Y38424" s="372">
        <v>0.0</v>
      </c>
      <c r="Z38424" s="372">
        <v>0.0</v>
      </c>
    </row>
    <row r="38425">
      <c r="Y38425" s="372">
        <v>0.0</v>
      </c>
      <c r="Z38425" s="372">
        <v>0.0</v>
      </c>
    </row>
    <row r="38426">
      <c r="Y38426" s="372">
        <v>0.0</v>
      </c>
      <c r="Z38426" s="372">
        <v>0.0</v>
      </c>
    </row>
    <row r="38427">
      <c r="Y38427" s="372">
        <v>0.0</v>
      </c>
      <c r="Z38427" s="372">
        <v>0.0</v>
      </c>
    </row>
    <row r="38428">
      <c r="Y38428" s="372">
        <v>0.0</v>
      </c>
      <c r="Z38428" s="372">
        <v>0.0</v>
      </c>
    </row>
    <row r="38429">
      <c r="Y38429" s="372">
        <v>0.0</v>
      </c>
      <c r="Z38429" s="372">
        <v>0.0</v>
      </c>
    </row>
    <row r="38430">
      <c r="Y38430" s="372">
        <v>0.0</v>
      </c>
      <c r="Z38430" s="372">
        <v>0.0</v>
      </c>
    </row>
    <row r="38431">
      <c r="Y38431" s="372">
        <v>0.0</v>
      </c>
      <c r="Z38431" s="372">
        <v>0.0</v>
      </c>
    </row>
    <row r="38432">
      <c r="Y38432" s="372">
        <v>0.0</v>
      </c>
      <c r="Z38432" s="372">
        <v>0.0</v>
      </c>
    </row>
    <row r="38433">
      <c r="Y38433" s="372">
        <v>0.0</v>
      </c>
      <c r="Z38433" s="372">
        <v>0.0</v>
      </c>
    </row>
    <row r="38434">
      <c r="Y38434" s="372">
        <v>0.0</v>
      </c>
      <c r="Z38434" s="372">
        <v>0.0</v>
      </c>
    </row>
    <row r="38435">
      <c r="Y38435" s="372">
        <v>0.0</v>
      </c>
      <c r="Z38435" s="372">
        <v>0.0</v>
      </c>
    </row>
    <row r="38436">
      <c r="Y38436" s="372">
        <v>0.0</v>
      </c>
      <c r="Z38436" s="372">
        <v>0.0</v>
      </c>
    </row>
    <row r="38437">
      <c r="Y38437" s="372">
        <v>0.0</v>
      </c>
      <c r="Z38437" s="372">
        <v>0.0</v>
      </c>
    </row>
    <row r="38438">
      <c r="Y38438" s="372">
        <v>0.0</v>
      </c>
      <c r="Z38438" s="372">
        <v>0.0</v>
      </c>
    </row>
    <row r="38439">
      <c r="Y38439" s="372">
        <v>0.0</v>
      </c>
      <c r="Z38439" s="372">
        <v>0.0</v>
      </c>
    </row>
    <row r="38440">
      <c r="Y38440" s="372">
        <v>0.0</v>
      </c>
      <c r="Z38440" s="372">
        <v>0.0</v>
      </c>
    </row>
    <row r="38441">
      <c r="Y38441" s="372">
        <v>0.0</v>
      </c>
      <c r="Z38441" s="372">
        <v>0.0</v>
      </c>
    </row>
    <row r="38442">
      <c r="Y38442" s="372">
        <v>0.0</v>
      </c>
      <c r="Z38442" s="372">
        <v>0.0</v>
      </c>
    </row>
    <row r="38443">
      <c r="Y38443" s="372">
        <v>0.0</v>
      </c>
      <c r="Z38443" s="372">
        <v>0.0</v>
      </c>
    </row>
    <row r="38444">
      <c r="Y38444" s="372">
        <v>0.0</v>
      </c>
      <c r="Z38444" s="372">
        <v>0.0</v>
      </c>
    </row>
    <row r="38445">
      <c r="Y38445" s="372">
        <v>0.0</v>
      </c>
      <c r="Z38445" s="372">
        <v>0.0</v>
      </c>
    </row>
    <row r="38446">
      <c r="Y38446" s="372">
        <v>0.0</v>
      </c>
      <c r="Z38446" s="372">
        <v>0.0</v>
      </c>
    </row>
    <row r="38447">
      <c r="Y38447" s="372">
        <v>0.0</v>
      </c>
      <c r="Z38447" s="372">
        <v>0.0</v>
      </c>
    </row>
    <row r="38448">
      <c r="Y38448" s="372">
        <v>0.0</v>
      </c>
      <c r="Z38448" s="372">
        <v>0.0</v>
      </c>
    </row>
    <row r="38449">
      <c r="Y38449" s="372">
        <v>0.0</v>
      </c>
      <c r="Z38449" s="372">
        <v>0.0</v>
      </c>
    </row>
    <row r="38450">
      <c r="Y38450" s="372">
        <v>0.0</v>
      </c>
      <c r="Z38450" s="372">
        <v>0.0</v>
      </c>
    </row>
    <row r="38451">
      <c r="Y38451" s="372">
        <v>0.0</v>
      </c>
      <c r="Z38451" s="372">
        <v>0.0</v>
      </c>
    </row>
    <row r="38452">
      <c r="Y38452" s="372">
        <v>0.0</v>
      </c>
      <c r="Z38452" s="372">
        <v>0.0</v>
      </c>
    </row>
    <row r="38453">
      <c r="Y38453" s="372">
        <v>0.0</v>
      </c>
      <c r="Z38453" s="372">
        <v>0.0</v>
      </c>
    </row>
    <row r="38454">
      <c r="Y38454" s="372">
        <v>0.0</v>
      </c>
      <c r="Z38454" s="372">
        <v>0.0</v>
      </c>
    </row>
    <row r="38455">
      <c r="Y38455" s="372">
        <v>0.0</v>
      </c>
      <c r="Z38455" s="372">
        <v>0.0</v>
      </c>
    </row>
    <row r="38456">
      <c r="Y38456" s="372">
        <v>0.0</v>
      </c>
      <c r="Z38456" s="372">
        <v>0.0</v>
      </c>
    </row>
    <row r="38457">
      <c r="Y38457" s="372">
        <v>0.0</v>
      </c>
      <c r="Z38457" s="372">
        <v>0.0</v>
      </c>
    </row>
    <row r="38458">
      <c r="Y38458" s="372">
        <v>0.0</v>
      </c>
      <c r="Z38458" s="372">
        <v>0.0</v>
      </c>
    </row>
    <row r="38459">
      <c r="Y38459" s="372">
        <v>0.0</v>
      </c>
      <c r="Z38459" s="372">
        <v>0.0</v>
      </c>
    </row>
    <row r="38460">
      <c r="Y38460" s="372">
        <v>0.0</v>
      </c>
      <c r="Z38460" s="372">
        <v>0.0</v>
      </c>
    </row>
    <row r="38461">
      <c r="Y38461" s="372">
        <v>0.0</v>
      </c>
      <c r="Z38461" s="372">
        <v>0.0</v>
      </c>
    </row>
    <row r="38462">
      <c r="Y38462" s="372">
        <v>0.0</v>
      </c>
      <c r="Z38462" s="372">
        <v>0.0</v>
      </c>
    </row>
    <row r="38463">
      <c r="Y38463" s="372">
        <v>0.0</v>
      </c>
      <c r="Z38463" s="372">
        <v>0.0</v>
      </c>
    </row>
    <row r="38464">
      <c r="Y38464" s="372">
        <v>0.0</v>
      </c>
      <c r="Z38464" s="372">
        <v>0.0</v>
      </c>
    </row>
    <row r="38465">
      <c r="Y38465" s="372">
        <v>0.0</v>
      </c>
      <c r="Z38465" s="372">
        <v>0.0</v>
      </c>
    </row>
    <row r="38466">
      <c r="Y38466" s="372">
        <v>0.0</v>
      </c>
      <c r="Z38466" s="372">
        <v>0.0</v>
      </c>
    </row>
    <row r="38467">
      <c r="Y38467" s="372">
        <v>0.0</v>
      </c>
      <c r="Z38467" s="372">
        <v>0.0</v>
      </c>
    </row>
    <row r="38468">
      <c r="Y38468" s="372">
        <v>0.0</v>
      </c>
      <c r="Z38468" s="372">
        <v>0.0</v>
      </c>
    </row>
    <row r="38469">
      <c r="Y38469" s="372">
        <v>0.0</v>
      </c>
      <c r="Z38469" s="372">
        <v>0.0</v>
      </c>
    </row>
    <row r="38470">
      <c r="Y38470" s="372">
        <v>0.0</v>
      </c>
      <c r="Z38470" s="372">
        <v>0.0</v>
      </c>
    </row>
    <row r="38471">
      <c r="Y38471" s="372">
        <v>0.0</v>
      </c>
      <c r="Z38471" s="372">
        <v>0.0</v>
      </c>
    </row>
    <row r="38472">
      <c r="Y38472" s="372">
        <v>0.0</v>
      </c>
      <c r="Z38472" s="372">
        <v>0.0</v>
      </c>
    </row>
    <row r="38473">
      <c r="Y38473" s="372">
        <v>0.0</v>
      </c>
      <c r="Z38473" s="372">
        <v>0.0</v>
      </c>
    </row>
    <row r="38474">
      <c r="Y38474" s="372">
        <v>0.0</v>
      </c>
      <c r="Z38474" s="372">
        <v>0.0</v>
      </c>
    </row>
    <row r="38475">
      <c r="Y38475" s="372">
        <v>0.0</v>
      </c>
      <c r="Z38475" s="372">
        <v>0.0</v>
      </c>
    </row>
    <row r="38476">
      <c r="Y38476" s="372">
        <v>0.0</v>
      </c>
      <c r="Z38476" s="372">
        <v>0.0</v>
      </c>
    </row>
    <row r="38477">
      <c r="Y38477" s="372">
        <v>0.0</v>
      </c>
      <c r="Z38477" s="372">
        <v>0.0</v>
      </c>
    </row>
    <row r="38478">
      <c r="Y38478" s="372">
        <v>0.0</v>
      </c>
      <c r="Z38478" s="372">
        <v>0.0</v>
      </c>
    </row>
    <row r="38479">
      <c r="Y38479" s="372">
        <v>0.0</v>
      </c>
      <c r="Z38479" s="372">
        <v>0.0</v>
      </c>
    </row>
    <row r="38480">
      <c r="Y38480" s="372">
        <v>0.0</v>
      </c>
      <c r="Z38480" s="372">
        <v>0.0</v>
      </c>
    </row>
    <row r="38481">
      <c r="Y38481" s="372">
        <v>0.0</v>
      </c>
      <c r="Z38481" s="372">
        <v>0.0</v>
      </c>
    </row>
    <row r="38482">
      <c r="Y38482" s="372">
        <v>0.0</v>
      </c>
      <c r="Z38482" s="372">
        <v>0.0</v>
      </c>
    </row>
    <row r="38483">
      <c r="Y38483" s="372">
        <v>0.0</v>
      </c>
      <c r="Z38483" s="372">
        <v>0.0</v>
      </c>
    </row>
    <row r="38484">
      <c r="Y38484" s="372">
        <v>0.0</v>
      </c>
      <c r="Z38484" s="372">
        <v>0.0</v>
      </c>
    </row>
    <row r="38485">
      <c r="Y38485" s="372">
        <v>0.0</v>
      </c>
      <c r="Z38485" s="372">
        <v>0.0</v>
      </c>
    </row>
    <row r="38486">
      <c r="Y38486" s="372">
        <v>0.0</v>
      </c>
      <c r="Z38486" s="372">
        <v>0.0</v>
      </c>
    </row>
    <row r="38487">
      <c r="Y38487" s="372">
        <v>0.0</v>
      </c>
      <c r="Z38487" s="372">
        <v>0.0</v>
      </c>
    </row>
    <row r="38488">
      <c r="Y38488" s="372">
        <v>0.0</v>
      </c>
      <c r="Z38488" s="372">
        <v>0.0</v>
      </c>
    </row>
    <row r="38489">
      <c r="Y38489" s="372">
        <v>0.0</v>
      </c>
      <c r="Z38489" s="372">
        <v>0.0</v>
      </c>
    </row>
    <row r="38490">
      <c r="Y38490" s="372">
        <v>0.0</v>
      </c>
      <c r="Z38490" s="372">
        <v>0.0</v>
      </c>
    </row>
    <row r="38491">
      <c r="Y38491" s="372">
        <v>0.0</v>
      </c>
      <c r="Z38491" s="372">
        <v>0.0</v>
      </c>
    </row>
    <row r="38492">
      <c r="Y38492" s="372">
        <v>0.0</v>
      </c>
      <c r="Z38492" s="372">
        <v>0.0</v>
      </c>
    </row>
    <row r="38493">
      <c r="Y38493" s="372">
        <v>0.0</v>
      </c>
      <c r="Z38493" s="372">
        <v>0.0</v>
      </c>
    </row>
    <row r="38494">
      <c r="Y38494" s="372">
        <v>0.0</v>
      </c>
      <c r="Z38494" s="372">
        <v>0.0</v>
      </c>
    </row>
    <row r="38495">
      <c r="Y38495" s="372">
        <v>0.0</v>
      </c>
      <c r="Z38495" s="372">
        <v>0.0</v>
      </c>
    </row>
    <row r="38496">
      <c r="Y38496" s="372">
        <v>0.0</v>
      </c>
      <c r="Z38496" s="372">
        <v>0.0</v>
      </c>
    </row>
    <row r="38497">
      <c r="Y38497" s="372">
        <v>0.0</v>
      </c>
      <c r="Z38497" s="372">
        <v>0.0</v>
      </c>
    </row>
    <row r="38498">
      <c r="Y38498" s="372">
        <v>0.0</v>
      </c>
      <c r="Z38498" s="372">
        <v>0.0</v>
      </c>
    </row>
    <row r="38499">
      <c r="Y38499" s="372">
        <v>0.0</v>
      </c>
      <c r="Z38499" s="372">
        <v>0.0</v>
      </c>
    </row>
    <row r="38500">
      <c r="Y38500" s="372">
        <v>0.0</v>
      </c>
      <c r="Z38500" s="372">
        <v>0.0</v>
      </c>
    </row>
    <row r="38501">
      <c r="Y38501" s="372">
        <v>0.0</v>
      </c>
      <c r="Z38501" s="372">
        <v>0.0</v>
      </c>
    </row>
    <row r="38502">
      <c r="Y38502" s="372">
        <v>0.0</v>
      </c>
      <c r="Z38502" s="372">
        <v>0.0</v>
      </c>
    </row>
    <row r="38503">
      <c r="Y38503" s="372">
        <v>0.0</v>
      </c>
      <c r="Z38503" s="372">
        <v>0.0</v>
      </c>
    </row>
    <row r="38504">
      <c r="Y38504" s="372">
        <v>0.0</v>
      </c>
      <c r="Z38504" s="372">
        <v>0.0</v>
      </c>
    </row>
    <row r="38505">
      <c r="Y38505" s="372">
        <v>0.0</v>
      </c>
      <c r="Z38505" s="372">
        <v>0.0</v>
      </c>
    </row>
    <row r="38506">
      <c r="Y38506" s="372">
        <v>0.0</v>
      </c>
      <c r="Z38506" s="372">
        <v>0.0</v>
      </c>
    </row>
    <row r="38507">
      <c r="Y38507" s="372">
        <v>0.0</v>
      </c>
      <c r="Z38507" s="372">
        <v>0.0</v>
      </c>
    </row>
    <row r="38508">
      <c r="Y38508" s="372">
        <v>0.0</v>
      </c>
      <c r="Z38508" s="372">
        <v>0.0</v>
      </c>
    </row>
    <row r="38509">
      <c r="Y38509" s="372">
        <v>0.0</v>
      </c>
      <c r="Z38509" s="372">
        <v>0.0</v>
      </c>
    </row>
    <row r="38510">
      <c r="Y38510" s="372">
        <v>0.0</v>
      </c>
      <c r="Z38510" s="372">
        <v>0.0</v>
      </c>
    </row>
    <row r="38511">
      <c r="Y38511" s="372">
        <v>0.0</v>
      </c>
      <c r="Z38511" s="372">
        <v>0.0</v>
      </c>
    </row>
    <row r="38512">
      <c r="Y38512" s="372">
        <v>0.0</v>
      </c>
      <c r="Z38512" s="372">
        <v>0.0</v>
      </c>
    </row>
    <row r="38513">
      <c r="Y38513" s="372">
        <v>0.0</v>
      </c>
      <c r="Z38513" s="372">
        <v>0.0</v>
      </c>
    </row>
    <row r="38514">
      <c r="Y38514" s="372">
        <v>0.0</v>
      </c>
      <c r="Z38514" s="372">
        <v>0.0</v>
      </c>
    </row>
    <row r="38515">
      <c r="Y38515" s="372">
        <v>0.0</v>
      </c>
      <c r="Z38515" s="372">
        <v>0.0</v>
      </c>
    </row>
    <row r="38516">
      <c r="Y38516" s="372">
        <v>0.0</v>
      </c>
      <c r="Z38516" s="372">
        <v>0.0</v>
      </c>
    </row>
    <row r="38517">
      <c r="Y38517" s="372">
        <v>0.0</v>
      </c>
      <c r="Z38517" s="372">
        <v>0.0</v>
      </c>
    </row>
    <row r="38518">
      <c r="Y38518" s="372">
        <v>0.0</v>
      </c>
      <c r="Z38518" s="372">
        <v>0.0</v>
      </c>
    </row>
    <row r="38519">
      <c r="Y38519" s="372">
        <v>0.0</v>
      </c>
      <c r="Z38519" s="372">
        <v>0.0</v>
      </c>
    </row>
    <row r="38520">
      <c r="Y38520" s="372">
        <v>0.0</v>
      </c>
      <c r="Z38520" s="372">
        <v>0.0</v>
      </c>
    </row>
    <row r="38521">
      <c r="Y38521" s="372">
        <v>0.0</v>
      </c>
      <c r="Z38521" s="372">
        <v>0.0</v>
      </c>
    </row>
    <row r="38522">
      <c r="Y38522" s="372">
        <v>0.0</v>
      </c>
      <c r="Z38522" s="372">
        <v>0.0</v>
      </c>
    </row>
    <row r="38523">
      <c r="Y38523" s="372">
        <v>0.0</v>
      </c>
      <c r="Z38523" s="372">
        <v>0.0</v>
      </c>
    </row>
    <row r="38524">
      <c r="Y38524" s="372">
        <v>0.0</v>
      </c>
      <c r="Z38524" s="372">
        <v>0.0</v>
      </c>
    </row>
    <row r="38525">
      <c r="Y38525" s="372">
        <v>0.0</v>
      </c>
      <c r="Z38525" s="372">
        <v>0.0</v>
      </c>
    </row>
    <row r="38526">
      <c r="Y38526" s="372">
        <v>0.0</v>
      </c>
      <c r="Z38526" s="372">
        <v>0.0</v>
      </c>
    </row>
    <row r="38527">
      <c r="Y38527" s="372">
        <v>0.0</v>
      </c>
      <c r="Z38527" s="372">
        <v>0.0</v>
      </c>
    </row>
    <row r="38528">
      <c r="Y38528" s="372">
        <v>0.0</v>
      </c>
      <c r="Z38528" s="372">
        <v>0.0</v>
      </c>
    </row>
    <row r="38529">
      <c r="Y38529" s="372">
        <v>0.0</v>
      </c>
      <c r="Z38529" s="372">
        <v>0.0</v>
      </c>
    </row>
    <row r="38530">
      <c r="Y38530" s="372">
        <v>0.0</v>
      </c>
      <c r="Z38530" s="372">
        <v>0.0</v>
      </c>
    </row>
    <row r="38531">
      <c r="Y38531" s="372">
        <v>0.0</v>
      </c>
      <c r="Z38531" s="372">
        <v>0.0</v>
      </c>
    </row>
    <row r="38532">
      <c r="Y38532" s="372">
        <v>0.0</v>
      </c>
      <c r="Z38532" s="372">
        <v>0.0</v>
      </c>
    </row>
    <row r="38533">
      <c r="Y38533" s="372">
        <v>0.0</v>
      </c>
      <c r="Z38533" s="372">
        <v>0.0</v>
      </c>
    </row>
    <row r="38534">
      <c r="Y38534" s="372">
        <v>0.0</v>
      </c>
      <c r="Z38534" s="372">
        <v>0.0</v>
      </c>
    </row>
    <row r="38535">
      <c r="Y38535" s="372">
        <v>0.0</v>
      </c>
      <c r="Z38535" s="372">
        <v>0.0</v>
      </c>
    </row>
    <row r="38536">
      <c r="Y38536" s="372">
        <v>0.0</v>
      </c>
      <c r="Z38536" s="372">
        <v>0.0</v>
      </c>
    </row>
    <row r="38537">
      <c r="Y38537" s="372">
        <v>0.0</v>
      </c>
      <c r="Z38537" s="372">
        <v>0.0</v>
      </c>
    </row>
    <row r="38538">
      <c r="Y38538" s="372">
        <v>0.0</v>
      </c>
      <c r="Z38538" s="372">
        <v>0.0</v>
      </c>
    </row>
    <row r="38539">
      <c r="Y38539" s="372">
        <v>0.0</v>
      </c>
      <c r="Z38539" s="372">
        <v>0.0</v>
      </c>
    </row>
    <row r="38540">
      <c r="Y38540" s="372">
        <v>0.0</v>
      </c>
      <c r="Z38540" s="372">
        <v>0.0</v>
      </c>
    </row>
    <row r="38541">
      <c r="Y38541" s="372">
        <v>0.0</v>
      </c>
      <c r="Z38541" s="372">
        <v>0.0</v>
      </c>
    </row>
    <row r="38542">
      <c r="Y38542" s="372">
        <v>0.0</v>
      </c>
      <c r="Z38542" s="372">
        <v>0.0</v>
      </c>
    </row>
    <row r="38543">
      <c r="Y38543" s="372">
        <v>0.0</v>
      </c>
      <c r="Z38543" s="372">
        <v>0.0</v>
      </c>
    </row>
    <row r="38544">
      <c r="Y38544" s="372">
        <v>0.0</v>
      </c>
      <c r="Z38544" s="372">
        <v>0.0</v>
      </c>
    </row>
    <row r="38545">
      <c r="Y38545" s="372">
        <v>0.0</v>
      </c>
      <c r="Z38545" s="372">
        <v>0.0</v>
      </c>
    </row>
    <row r="38546">
      <c r="Y38546" s="372">
        <v>0.0</v>
      </c>
      <c r="Z38546" s="372">
        <v>0.0</v>
      </c>
    </row>
    <row r="38547">
      <c r="Y38547" s="372">
        <v>0.0</v>
      </c>
      <c r="Z38547" s="372">
        <v>0.0</v>
      </c>
    </row>
    <row r="38548">
      <c r="Y38548" s="372">
        <v>0.0</v>
      </c>
      <c r="Z38548" s="372">
        <v>0.0</v>
      </c>
    </row>
    <row r="38549">
      <c r="Y38549" s="372">
        <v>0.0</v>
      </c>
      <c r="Z38549" s="372">
        <v>0.0</v>
      </c>
    </row>
    <row r="38550">
      <c r="Y38550" s="372">
        <v>0.0</v>
      </c>
      <c r="Z38550" s="372">
        <v>0.0</v>
      </c>
    </row>
    <row r="38551">
      <c r="Y38551" s="372">
        <v>0.0</v>
      </c>
      <c r="Z38551" s="372">
        <v>0.0</v>
      </c>
    </row>
    <row r="38552">
      <c r="Y38552" s="372">
        <v>0.0</v>
      </c>
      <c r="Z38552" s="372">
        <v>0.0</v>
      </c>
    </row>
    <row r="38553">
      <c r="Y38553" s="372">
        <v>0.0</v>
      </c>
      <c r="Z38553" s="372">
        <v>0.0</v>
      </c>
    </row>
    <row r="38554">
      <c r="Y38554" s="372">
        <v>0.0</v>
      </c>
      <c r="Z38554" s="372">
        <v>0.0</v>
      </c>
    </row>
    <row r="38555">
      <c r="Y38555" s="372">
        <v>0.0</v>
      </c>
      <c r="Z38555" s="372">
        <v>0.0</v>
      </c>
    </row>
    <row r="38556">
      <c r="Y38556" s="372">
        <v>0.0</v>
      </c>
      <c r="Z38556" s="372">
        <v>0.0</v>
      </c>
    </row>
    <row r="38557">
      <c r="Y38557" s="372">
        <v>0.0</v>
      </c>
      <c r="Z38557" s="372">
        <v>0.0</v>
      </c>
    </row>
    <row r="38558">
      <c r="Y38558" s="372">
        <v>0.0</v>
      </c>
      <c r="Z38558" s="372">
        <v>0.0</v>
      </c>
    </row>
    <row r="38559">
      <c r="Y38559" s="372">
        <v>0.0</v>
      </c>
      <c r="Z38559" s="372">
        <v>0.0</v>
      </c>
    </row>
    <row r="38560">
      <c r="Y38560" s="372">
        <v>0.0</v>
      </c>
      <c r="Z38560" s="372">
        <v>0.0</v>
      </c>
    </row>
    <row r="38561">
      <c r="Y38561" s="372">
        <v>0.0</v>
      </c>
      <c r="Z38561" s="372">
        <v>0.0</v>
      </c>
    </row>
    <row r="38562">
      <c r="Y38562" s="372">
        <v>0.0</v>
      </c>
      <c r="Z38562" s="372">
        <v>0.0</v>
      </c>
    </row>
    <row r="38563">
      <c r="Y38563" s="372">
        <v>0.0</v>
      </c>
      <c r="Z38563" s="372">
        <v>0.0</v>
      </c>
    </row>
    <row r="38564">
      <c r="Y38564" s="372">
        <v>0.0</v>
      </c>
      <c r="Z38564" s="372">
        <v>0.0</v>
      </c>
    </row>
    <row r="38565">
      <c r="Y38565" s="372">
        <v>0.0</v>
      </c>
      <c r="Z38565" s="372">
        <v>0.0</v>
      </c>
    </row>
    <row r="38566">
      <c r="Y38566" s="372">
        <v>0.0</v>
      </c>
      <c r="Z38566" s="372">
        <v>0.0</v>
      </c>
    </row>
    <row r="38567">
      <c r="Y38567" s="372">
        <v>0.0</v>
      </c>
      <c r="Z38567" s="372">
        <v>0.0</v>
      </c>
    </row>
    <row r="38568">
      <c r="Y38568" s="372">
        <v>0.0</v>
      </c>
      <c r="Z38568" s="372">
        <v>0.0</v>
      </c>
    </row>
    <row r="38569">
      <c r="Y38569" s="372">
        <v>0.0</v>
      </c>
      <c r="Z38569" s="372">
        <v>0.0</v>
      </c>
    </row>
    <row r="38570">
      <c r="Y38570" s="372">
        <v>0.0</v>
      </c>
      <c r="Z38570" s="372">
        <v>0.0</v>
      </c>
    </row>
    <row r="38571">
      <c r="Y38571" s="372">
        <v>0.0</v>
      </c>
      <c r="Z38571" s="372">
        <v>0.0</v>
      </c>
    </row>
    <row r="38572">
      <c r="Y38572" s="372">
        <v>0.0</v>
      </c>
      <c r="Z38572" s="372">
        <v>0.0</v>
      </c>
    </row>
    <row r="38573">
      <c r="Y38573" s="372">
        <v>0.0</v>
      </c>
      <c r="Z38573" s="372">
        <v>0.0</v>
      </c>
    </row>
    <row r="38574">
      <c r="Y38574" s="372">
        <v>0.0</v>
      </c>
      <c r="Z38574" s="372">
        <v>0.0</v>
      </c>
    </row>
    <row r="38575">
      <c r="Y38575" s="372">
        <v>0.0</v>
      </c>
      <c r="Z38575" s="372">
        <v>0.0</v>
      </c>
    </row>
    <row r="38576">
      <c r="Y38576" s="372">
        <v>0.0</v>
      </c>
      <c r="Z38576" s="372">
        <v>0.0</v>
      </c>
    </row>
    <row r="38577">
      <c r="Y38577" s="372">
        <v>0.0</v>
      </c>
      <c r="Z38577" s="372">
        <v>0.0</v>
      </c>
    </row>
    <row r="38578">
      <c r="Y38578" s="372">
        <v>0.0</v>
      </c>
      <c r="Z38578" s="372">
        <v>0.0</v>
      </c>
    </row>
    <row r="38579">
      <c r="Y38579" s="372">
        <v>0.0</v>
      </c>
      <c r="Z38579" s="372">
        <v>0.0</v>
      </c>
    </row>
    <row r="38580">
      <c r="Y38580" s="372">
        <v>0.0</v>
      </c>
      <c r="Z38580" s="372">
        <v>0.0</v>
      </c>
    </row>
    <row r="38581">
      <c r="Y38581" s="372">
        <v>0.0</v>
      </c>
      <c r="Z38581" s="372">
        <v>0.0</v>
      </c>
    </row>
    <row r="38582">
      <c r="Y38582" s="372">
        <v>0.0</v>
      </c>
      <c r="Z38582" s="372">
        <v>0.0</v>
      </c>
    </row>
    <row r="38583">
      <c r="Y38583" s="372">
        <v>0.0</v>
      </c>
      <c r="Z38583" s="372">
        <v>0.0</v>
      </c>
    </row>
    <row r="38584">
      <c r="Y38584" s="372">
        <v>0.0</v>
      </c>
      <c r="Z38584" s="372">
        <v>0.0</v>
      </c>
    </row>
    <row r="38585">
      <c r="Y38585" s="372">
        <v>0.0</v>
      </c>
      <c r="Z38585" s="372">
        <v>0.0</v>
      </c>
    </row>
    <row r="38586">
      <c r="Y38586" s="372">
        <v>0.0</v>
      </c>
      <c r="Z38586" s="372">
        <v>0.0</v>
      </c>
    </row>
    <row r="38587">
      <c r="Y38587" s="372">
        <v>0.0</v>
      </c>
      <c r="Z38587" s="372">
        <v>0.0</v>
      </c>
    </row>
    <row r="38588">
      <c r="Y38588" s="372">
        <v>0.0</v>
      </c>
      <c r="Z38588" s="372">
        <v>0.0</v>
      </c>
    </row>
    <row r="38589">
      <c r="Y38589" s="372">
        <v>0.0</v>
      </c>
      <c r="Z38589" s="372">
        <v>0.0</v>
      </c>
    </row>
    <row r="38590">
      <c r="Y38590" s="372">
        <v>0.0</v>
      </c>
      <c r="Z38590" s="372">
        <v>0.0</v>
      </c>
    </row>
    <row r="38591">
      <c r="Y38591" s="372">
        <v>0.0</v>
      </c>
      <c r="Z38591" s="372">
        <v>0.0</v>
      </c>
    </row>
    <row r="38592">
      <c r="Y38592" s="372">
        <v>0.0</v>
      </c>
      <c r="Z38592" s="372">
        <v>0.0</v>
      </c>
    </row>
    <row r="38593">
      <c r="Y38593" s="372">
        <v>0.0</v>
      </c>
      <c r="Z38593" s="372">
        <v>0.0</v>
      </c>
    </row>
    <row r="38594">
      <c r="Y38594" s="372">
        <v>0.0</v>
      </c>
      <c r="Z38594" s="372">
        <v>0.0</v>
      </c>
    </row>
    <row r="38595">
      <c r="Y38595" s="372">
        <v>0.0</v>
      </c>
      <c r="Z38595" s="372">
        <v>0.0</v>
      </c>
    </row>
    <row r="38596">
      <c r="Y38596" s="372">
        <v>0.0</v>
      </c>
      <c r="Z38596" s="372">
        <v>0.0</v>
      </c>
    </row>
    <row r="38597">
      <c r="Y38597" s="372">
        <v>0.0</v>
      </c>
      <c r="Z38597" s="372">
        <v>0.0</v>
      </c>
    </row>
    <row r="38598">
      <c r="Y38598" s="372">
        <v>0.0</v>
      </c>
      <c r="Z38598" s="372">
        <v>0.0</v>
      </c>
    </row>
    <row r="38599">
      <c r="Y38599" s="372">
        <v>0.0</v>
      </c>
      <c r="Z38599" s="372">
        <v>0.0</v>
      </c>
    </row>
    <row r="38600">
      <c r="Y38600" s="372">
        <v>0.0</v>
      </c>
      <c r="Z38600" s="372">
        <v>0.0</v>
      </c>
    </row>
    <row r="38601">
      <c r="Y38601" s="372">
        <v>0.0</v>
      </c>
      <c r="Z38601" s="372">
        <v>0.0</v>
      </c>
    </row>
    <row r="38602">
      <c r="Y38602" s="372">
        <v>0.0</v>
      </c>
      <c r="Z38602" s="372">
        <v>0.0</v>
      </c>
    </row>
    <row r="38603">
      <c r="Y38603" s="372">
        <v>0.0</v>
      </c>
      <c r="Z38603" s="372">
        <v>0.0</v>
      </c>
    </row>
    <row r="38604">
      <c r="Y38604" s="372">
        <v>0.0</v>
      </c>
      <c r="Z38604" s="372">
        <v>0.0</v>
      </c>
    </row>
    <row r="38605">
      <c r="Y38605" s="372">
        <v>0.0</v>
      </c>
      <c r="Z38605" s="372">
        <v>0.0</v>
      </c>
    </row>
    <row r="38606">
      <c r="Y38606" s="372">
        <v>0.0</v>
      </c>
      <c r="Z38606" s="372">
        <v>0.0</v>
      </c>
    </row>
    <row r="38607">
      <c r="Y38607" s="372">
        <v>0.0</v>
      </c>
      <c r="Z38607" s="372">
        <v>0.0</v>
      </c>
    </row>
    <row r="38608">
      <c r="Y38608" s="372">
        <v>0.0</v>
      </c>
      <c r="Z38608" s="372">
        <v>0.0</v>
      </c>
    </row>
    <row r="38609">
      <c r="Y38609" s="372">
        <v>0.0</v>
      </c>
      <c r="Z38609" s="372">
        <v>0.0</v>
      </c>
    </row>
    <row r="38610">
      <c r="Y38610" s="372">
        <v>0.0</v>
      </c>
      <c r="Z38610" s="372">
        <v>0.0</v>
      </c>
    </row>
    <row r="38611">
      <c r="Y38611" s="372">
        <v>0.0</v>
      </c>
      <c r="Z38611" s="372">
        <v>0.0</v>
      </c>
    </row>
    <row r="38612">
      <c r="Y38612" s="372">
        <v>0.0</v>
      </c>
      <c r="Z38612" s="372">
        <v>0.0</v>
      </c>
    </row>
    <row r="38613">
      <c r="Y38613" s="372">
        <v>0.0</v>
      </c>
      <c r="Z38613" s="372">
        <v>0.0</v>
      </c>
    </row>
    <row r="38614">
      <c r="Y38614" s="372">
        <v>0.0</v>
      </c>
      <c r="Z38614" s="372">
        <v>0.0</v>
      </c>
    </row>
    <row r="38615">
      <c r="Y38615" s="372">
        <v>0.0</v>
      </c>
      <c r="Z38615" s="372">
        <v>0.0</v>
      </c>
    </row>
    <row r="38616">
      <c r="Y38616" s="372">
        <v>0.0</v>
      </c>
      <c r="Z38616" s="372">
        <v>0.0</v>
      </c>
    </row>
    <row r="38617">
      <c r="Y38617" s="372">
        <v>0.0</v>
      </c>
      <c r="Z38617" s="372">
        <v>0.0</v>
      </c>
    </row>
    <row r="38618">
      <c r="Y38618" s="372">
        <v>0.0</v>
      </c>
      <c r="Z38618" s="372">
        <v>0.0</v>
      </c>
    </row>
    <row r="38619">
      <c r="Y38619" s="372">
        <v>0.0</v>
      </c>
      <c r="Z38619" s="372">
        <v>0.0</v>
      </c>
    </row>
    <row r="38620">
      <c r="Y38620" s="372">
        <v>0.0</v>
      </c>
      <c r="Z38620" s="372">
        <v>0.0</v>
      </c>
    </row>
    <row r="38621">
      <c r="Y38621" s="372">
        <v>0.0</v>
      </c>
      <c r="Z38621" s="372">
        <v>0.0</v>
      </c>
    </row>
    <row r="38622">
      <c r="Y38622" s="372">
        <v>0.0</v>
      </c>
      <c r="Z38622" s="372">
        <v>0.0</v>
      </c>
    </row>
    <row r="38623">
      <c r="Y38623" s="372">
        <v>0.0</v>
      </c>
      <c r="Z38623" s="372">
        <v>0.0</v>
      </c>
    </row>
    <row r="38624">
      <c r="Y38624" s="372">
        <v>0.0</v>
      </c>
      <c r="Z38624" s="372">
        <v>0.0</v>
      </c>
    </row>
    <row r="38625">
      <c r="Y38625" s="372">
        <v>0.0</v>
      </c>
      <c r="Z38625" s="372">
        <v>0.0</v>
      </c>
    </row>
    <row r="38626">
      <c r="Y38626" s="372">
        <v>0.0</v>
      </c>
      <c r="Z38626" s="372">
        <v>0.0</v>
      </c>
    </row>
    <row r="38627">
      <c r="Y38627" s="372">
        <v>0.0</v>
      </c>
      <c r="Z38627" s="372">
        <v>0.0</v>
      </c>
    </row>
    <row r="38628">
      <c r="Y38628" s="372">
        <v>0.0</v>
      </c>
      <c r="Z38628" s="372">
        <v>0.0</v>
      </c>
    </row>
    <row r="38629">
      <c r="Y38629" s="372">
        <v>0.0</v>
      </c>
      <c r="Z38629" s="372">
        <v>0.0</v>
      </c>
    </row>
    <row r="38630">
      <c r="Y38630" s="372">
        <v>0.0</v>
      </c>
      <c r="Z38630" s="372">
        <v>0.0</v>
      </c>
    </row>
    <row r="38631">
      <c r="Y38631" s="372">
        <v>0.0</v>
      </c>
      <c r="Z38631" s="372">
        <v>0.0</v>
      </c>
    </row>
    <row r="38632">
      <c r="Y38632" s="372">
        <v>0.0</v>
      </c>
      <c r="Z38632" s="372">
        <v>0.0</v>
      </c>
    </row>
    <row r="38633">
      <c r="Y38633" s="372">
        <v>0.0</v>
      </c>
      <c r="Z38633" s="372">
        <v>0.0</v>
      </c>
    </row>
    <row r="38634">
      <c r="Y38634" s="372">
        <v>0.0</v>
      </c>
      <c r="Z38634" s="372">
        <v>0.0</v>
      </c>
    </row>
    <row r="38635">
      <c r="Y38635" s="372">
        <v>0.0</v>
      </c>
      <c r="Z38635" s="372">
        <v>0.0</v>
      </c>
    </row>
    <row r="38636">
      <c r="Y38636" s="372">
        <v>0.0</v>
      </c>
      <c r="Z38636" s="372">
        <v>0.0</v>
      </c>
    </row>
    <row r="38637">
      <c r="Y38637" s="372">
        <v>0.0</v>
      </c>
      <c r="Z38637" s="372">
        <v>0.0</v>
      </c>
    </row>
    <row r="38638">
      <c r="Y38638" s="372">
        <v>0.0</v>
      </c>
      <c r="Z38638" s="372">
        <v>0.0</v>
      </c>
    </row>
    <row r="38639">
      <c r="Y38639" s="372">
        <v>0.0</v>
      </c>
      <c r="Z38639" s="372">
        <v>0.0</v>
      </c>
    </row>
    <row r="38640">
      <c r="Y38640" s="372">
        <v>0.0</v>
      </c>
      <c r="Z38640" s="372">
        <v>0.0</v>
      </c>
    </row>
    <row r="38641">
      <c r="Y38641" s="372">
        <v>0.0</v>
      </c>
      <c r="Z38641" s="372">
        <v>0.0</v>
      </c>
    </row>
    <row r="38642">
      <c r="Y38642" s="372">
        <v>0.0</v>
      </c>
      <c r="Z38642" s="372">
        <v>0.0</v>
      </c>
    </row>
    <row r="38643">
      <c r="Y38643" s="372">
        <v>0.0</v>
      </c>
      <c r="Z38643" s="372">
        <v>0.0</v>
      </c>
    </row>
    <row r="38644">
      <c r="Y38644" s="372">
        <v>0.0</v>
      </c>
      <c r="Z38644" s="372">
        <v>0.0</v>
      </c>
    </row>
    <row r="38645">
      <c r="Y38645" s="372">
        <v>0.0</v>
      </c>
      <c r="Z38645" s="372">
        <v>0.0</v>
      </c>
    </row>
    <row r="38646">
      <c r="Y38646" s="372">
        <v>0.0</v>
      </c>
      <c r="Z38646" s="372">
        <v>0.0</v>
      </c>
    </row>
    <row r="38647">
      <c r="Y38647" s="372">
        <v>0.0</v>
      </c>
      <c r="Z38647" s="372">
        <v>0.0</v>
      </c>
    </row>
    <row r="38648">
      <c r="Y38648" s="372">
        <v>0.0</v>
      </c>
      <c r="Z38648" s="372">
        <v>0.0</v>
      </c>
    </row>
    <row r="38649">
      <c r="Y38649" s="372">
        <v>0.0</v>
      </c>
      <c r="Z38649" s="372">
        <v>0.0</v>
      </c>
    </row>
    <row r="38650">
      <c r="Y38650" s="372">
        <v>0.0</v>
      </c>
      <c r="Z38650" s="372">
        <v>0.0</v>
      </c>
    </row>
    <row r="38651">
      <c r="Y38651" s="372">
        <v>0.0</v>
      </c>
      <c r="Z38651" s="372">
        <v>0.0</v>
      </c>
    </row>
    <row r="38652">
      <c r="Y38652" s="372">
        <v>0.0</v>
      </c>
      <c r="Z38652" s="372">
        <v>0.0</v>
      </c>
    </row>
    <row r="38653">
      <c r="Y38653" s="372">
        <v>0.0</v>
      </c>
      <c r="Z38653" s="372">
        <v>0.0</v>
      </c>
    </row>
    <row r="38654">
      <c r="Y38654" s="372">
        <v>0.0</v>
      </c>
      <c r="Z38654" s="372">
        <v>0.0</v>
      </c>
    </row>
    <row r="38655">
      <c r="Y38655" s="372">
        <v>0.0</v>
      </c>
      <c r="Z38655" s="372">
        <v>0.0</v>
      </c>
    </row>
    <row r="38656">
      <c r="Y38656" s="372">
        <v>0.0</v>
      </c>
      <c r="Z38656" s="372">
        <v>0.0</v>
      </c>
    </row>
    <row r="38657">
      <c r="Y38657" s="372">
        <v>0.0</v>
      </c>
      <c r="Z38657" s="372">
        <v>0.0</v>
      </c>
    </row>
    <row r="38658">
      <c r="Y38658" s="372">
        <v>0.0</v>
      </c>
      <c r="Z38658" s="372">
        <v>0.0</v>
      </c>
    </row>
    <row r="38659">
      <c r="Y38659" s="372">
        <v>0.0</v>
      </c>
      <c r="Z38659" s="372">
        <v>0.0</v>
      </c>
    </row>
    <row r="38660">
      <c r="Y38660" s="372">
        <v>0.0</v>
      </c>
      <c r="Z38660" s="372">
        <v>0.0</v>
      </c>
    </row>
    <row r="38661">
      <c r="Y38661" s="372">
        <v>0.0</v>
      </c>
      <c r="Z38661" s="372">
        <v>0.0</v>
      </c>
    </row>
    <row r="38662">
      <c r="Y38662" s="372">
        <v>0.0</v>
      </c>
      <c r="Z38662" s="372">
        <v>0.0</v>
      </c>
    </row>
    <row r="38663">
      <c r="Y38663" s="372">
        <v>0.0</v>
      </c>
      <c r="Z38663" s="372">
        <v>0.0</v>
      </c>
    </row>
    <row r="38664">
      <c r="Y38664" s="372">
        <v>0.0</v>
      </c>
      <c r="Z38664" s="372">
        <v>0.0</v>
      </c>
    </row>
    <row r="38665">
      <c r="Y38665" s="372">
        <v>0.0</v>
      </c>
      <c r="Z38665" s="372">
        <v>0.0</v>
      </c>
    </row>
    <row r="38666">
      <c r="Y38666" s="372">
        <v>0.0</v>
      </c>
      <c r="Z38666" s="372">
        <v>0.0</v>
      </c>
    </row>
    <row r="38667">
      <c r="Y38667" s="372">
        <v>0.0</v>
      </c>
      <c r="Z38667" s="372">
        <v>0.0</v>
      </c>
    </row>
    <row r="38668">
      <c r="Y38668" s="372">
        <v>0.0</v>
      </c>
      <c r="Z38668" s="372">
        <v>0.0</v>
      </c>
    </row>
    <row r="38669">
      <c r="Y38669" s="372">
        <v>0.0</v>
      </c>
      <c r="Z38669" s="372">
        <v>0.0</v>
      </c>
    </row>
    <row r="38670">
      <c r="Y38670" s="372">
        <v>0.0</v>
      </c>
      <c r="Z38670" s="372">
        <v>0.0</v>
      </c>
    </row>
    <row r="38671">
      <c r="Y38671" s="372">
        <v>0.0</v>
      </c>
      <c r="Z38671" s="372">
        <v>0.0</v>
      </c>
    </row>
    <row r="38672">
      <c r="Y38672" s="372">
        <v>0.0</v>
      </c>
      <c r="Z38672" s="372">
        <v>0.0</v>
      </c>
    </row>
    <row r="38673">
      <c r="Y38673" s="372">
        <v>0.0</v>
      </c>
      <c r="Z38673" s="372">
        <v>0.0</v>
      </c>
    </row>
    <row r="38674">
      <c r="Y38674" s="372">
        <v>0.0</v>
      </c>
      <c r="Z38674" s="372">
        <v>0.0</v>
      </c>
    </row>
    <row r="38675">
      <c r="Y38675" s="372">
        <v>0.0</v>
      </c>
      <c r="Z38675" s="372">
        <v>0.0</v>
      </c>
    </row>
    <row r="38676">
      <c r="Y38676" s="372">
        <v>0.0</v>
      </c>
      <c r="Z38676" s="372">
        <v>0.0</v>
      </c>
    </row>
    <row r="38677">
      <c r="Y38677" s="372">
        <v>0.0</v>
      </c>
      <c r="Z38677" s="372">
        <v>0.0</v>
      </c>
    </row>
    <row r="38678">
      <c r="Y38678" s="372">
        <v>0.0</v>
      </c>
      <c r="Z38678" s="372">
        <v>0.0</v>
      </c>
    </row>
    <row r="38679">
      <c r="Y38679" s="372">
        <v>0.0</v>
      </c>
      <c r="Z38679" s="372">
        <v>0.0</v>
      </c>
    </row>
    <row r="38680">
      <c r="Y38680" s="372">
        <v>0.0</v>
      </c>
      <c r="Z38680" s="372">
        <v>0.0</v>
      </c>
    </row>
    <row r="38681">
      <c r="Y38681" s="372">
        <v>0.0</v>
      </c>
      <c r="Z38681" s="372">
        <v>0.0</v>
      </c>
    </row>
    <row r="38682">
      <c r="Y38682" s="372">
        <v>0.0</v>
      </c>
      <c r="Z38682" s="372">
        <v>0.0</v>
      </c>
    </row>
    <row r="38683">
      <c r="Y38683" s="372">
        <v>0.0</v>
      </c>
      <c r="Z38683" s="372">
        <v>0.0</v>
      </c>
    </row>
    <row r="38684">
      <c r="Y38684" s="372">
        <v>0.0</v>
      </c>
      <c r="Z38684" s="372">
        <v>0.0</v>
      </c>
    </row>
    <row r="38685">
      <c r="Y38685" s="372">
        <v>0.0</v>
      </c>
      <c r="Z38685" s="372">
        <v>0.0</v>
      </c>
    </row>
    <row r="38686">
      <c r="Y38686" s="372">
        <v>0.0</v>
      </c>
      <c r="Z38686" s="372">
        <v>0.0</v>
      </c>
    </row>
    <row r="38687">
      <c r="Y38687" s="372">
        <v>0.0</v>
      </c>
      <c r="Z38687" s="372">
        <v>0.0</v>
      </c>
    </row>
    <row r="38688">
      <c r="Y38688" s="372">
        <v>0.0</v>
      </c>
      <c r="Z38688" s="372">
        <v>0.0</v>
      </c>
    </row>
    <row r="38689">
      <c r="Y38689" s="372">
        <v>0.0</v>
      </c>
      <c r="Z38689" s="372">
        <v>0.0</v>
      </c>
    </row>
    <row r="38690">
      <c r="Y38690" s="372">
        <v>0.0</v>
      </c>
      <c r="Z38690" s="372">
        <v>0.0</v>
      </c>
    </row>
    <row r="38691">
      <c r="Y38691" s="372">
        <v>0.0</v>
      </c>
      <c r="Z38691" s="372">
        <v>0.0</v>
      </c>
    </row>
    <row r="38692">
      <c r="Y38692" s="372">
        <v>0.0</v>
      </c>
      <c r="Z38692" s="372">
        <v>0.0</v>
      </c>
    </row>
    <row r="38693">
      <c r="Y38693" s="372">
        <v>0.0</v>
      </c>
      <c r="Z38693" s="372">
        <v>0.0</v>
      </c>
    </row>
    <row r="38694">
      <c r="Y38694" s="372">
        <v>0.0</v>
      </c>
      <c r="Z38694" s="372">
        <v>0.0</v>
      </c>
    </row>
    <row r="38695">
      <c r="Y38695" s="372">
        <v>0.0</v>
      </c>
      <c r="Z38695" s="372">
        <v>0.0</v>
      </c>
    </row>
    <row r="38696">
      <c r="Y38696" s="372">
        <v>0.0</v>
      </c>
      <c r="Z38696" s="372">
        <v>0.0</v>
      </c>
    </row>
    <row r="38697">
      <c r="Y38697" s="372">
        <v>0.0</v>
      </c>
      <c r="Z38697" s="372">
        <v>0.0</v>
      </c>
    </row>
    <row r="38698">
      <c r="Y38698" s="372">
        <v>0.0</v>
      </c>
      <c r="Z38698" s="372">
        <v>0.0</v>
      </c>
    </row>
    <row r="38699">
      <c r="Y38699" s="372">
        <v>0.0</v>
      </c>
      <c r="Z38699" s="372">
        <v>0.0</v>
      </c>
    </row>
    <row r="38700">
      <c r="Y38700" s="372">
        <v>0.0</v>
      </c>
      <c r="Z38700" s="372">
        <v>0.0</v>
      </c>
    </row>
    <row r="38701">
      <c r="Y38701" s="372">
        <v>0.0</v>
      </c>
      <c r="Z38701" s="372">
        <v>0.0</v>
      </c>
    </row>
    <row r="38702">
      <c r="Y38702" s="372">
        <v>0.0</v>
      </c>
      <c r="Z38702" s="372">
        <v>0.0</v>
      </c>
    </row>
    <row r="38703">
      <c r="Y38703" s="372">
        <v>0.0</v>
      </c>
      <c r="Z38703" s="372">
        <v>0.0</v>
      </c>
    </row>
    <row r="38704">
      <c r="Y38704" s="372">
        <v>0.0</v>
      </c>
      <c r="Z38704" s="372">
        <v>0.0</v>
      </c>
    </row>
    <row r="38705">
      <c r="Y38705" s="372">
        <v>0.0</v>
      </c>
      <c r="Z38705" s="372">
        <v>0.0</v>
      </c>
    </row>
    <row r="38706">
      <c r="Y38706" s="372">
        <v>0.0</v>
      </c>
      <c r="Z38706" s="372">
        <v>0.0</v>
      </c>
    </row>
    <row r="38707">
      <c r="Y38707" s="372">
        <v>0.0</v>
      </c>
      <c r="Z38707" s="372">
        <v>0.0</v>
      </c>
    </row>
    <row r="38708">
      <c r="Y38708" s="372">
        <v>0.0</v>
      </c>
      <c r="Z38708" s="372">
        <v>0.0</v>
      </c>
    </row>
    <row r="38709">
      <c r="Y38709" s="372">
        <v>0.0</v>
      </c>
      <c r="Z38709" s="372">
        <v>0.0</v>
      </c>
    </row>
    <row r="38710">
      <c r="Y38710" s="372">
        <v>0.0</v>
      </c>
      <c r="Z38710" s="372">
        <v>0.0</v>
      </c>
    </row>
    <row r="38711">
      <c r="Y38711" s="372">
        <v>0.0</v>
      </c>
      <c r="Z38711" s="372">
        <v>0.0</v>
      </c>
    </row>
    <row r="38712">
      <c r="Y38712" s="372">
        <v>0.0</v>
      </c>
      <c r="Z38712" s="372">
        <v>0.0</v>
      </c>
    </row>
    <row r="38713">
      <c r="Y38713" s="372">
        <v>0.0</v>
      </c>
      <c r="Z38713" s="372">
        <v>0.0</v>
      </c>
    </row>
    <row r="38714">
      <c r="Y38714" s="372">
        <v>0.0</v>
      </c>
      <c r="Z38714" s="372">
        <v>0.0</v>
      </c>
    </row>
    <row r="38715">
      <c r="Y38715" s="372">
        <v>0.0</v>
      </c>
      <c r="Z38715" s="372">
        <v>0.0</v>
      </c>
    </row>
    <row r="38716">
      <c r="Y38716" s="372">
        <v>0.0</v>
      </c>
      <c r="Z38716" s="372">
        <v>0.0</v>
      </c>
    </row>
    <row r="38717">
      <c r="Y38717" s="372">
        <v>0.0</v>
      </c>
      <c r="Z38717" s="372">
        <v>0.0</v>
      </c>
    </row>
    <row r="38718">
      <c r="Y38718" s="372">
        <v>0.0</v>
      </c>
      <c r="Z38718" s="372">
        <v>0.0</v>
      </c>
    </row>
    <row r="38719">
      <c r="Y38719" s="372">
        <v>0.0</v>
      </c>
      <c r="Z38719" s="372">
        <v>0.0</v>
      </c>
    </row>
    <row r="38720">
      <c r="Y38720" s="372">
        <v>0.0</v>
      </c>
      <c r="Z38720" s="372">
        <v>0.0</v>
      </c>
    </row>
    <row r="38721">
      <c r="Y38721" s="372">
        <v>0.0</v>
      </c>
      <c r="Z38721" s="372">
        <v>0.0</v>
      </c>
    </row>
    <row r="38722">
      <c r="Y38722" s="372">
        <v>0.0</v>
      </c>
      <c r="Z38722" s="372">
        <v>0.0</v>
      </c>
    </row>
    <row r="38723">
      <c r="Y38723" s="372">
        <v>0.0</v>
      </c>
      <c r="Z38723" s="372">
        <v>0.0</v>
      </c>
    </row>
    <row r="38724">
      <c r="Y38724" s="372">
        <v>0.0</v>
      </c>
      <c r="Z38724" s="372">
        <v>0.0</v>
      </c>
    </row>
    <row r="38725">
      <c r="Y38725" s="372">
        <v>0.0</v>
      </c>
      <c r="Z38725" s="372">
        <v>0.0</v>
      </c>
    </row>
    <row r="38726">
      <c r="Y38726" s="372">
        <v>0.0</v>
      </c>
      <c r="Z38726" s="372">
        <v>0.0</v>
      </c>
    </row>
    <row r="38727">
      <c r="Y38727" s="372">
        <v>0.0</v>
      </c>
      <c r="Z38727" s="372">
        <v>0.0</v>
      </c>
    </row>
    <row r="38728">
      <c r="Y38728" s="372">
        <v>0.0</v>
      </c>
      <c r="Z38728" s="372">
        <v>0.0</v>
      </c>
    </row>
    <row r="38729">
      <c r="Y38729" s="372">
        <v>0.0</v>
      </c>
      <c r="Z38729" s="372">
        <v>0.0</v>
      </c>
    </row>
    <row r="38730">
      <c r="Y38730" s="372">
        <v>0.0</v>
      </c>
      <c r="Z38730" s="372">
        <v>0.0</v>
      </c>
    </row>
    <row r="38731">
      <c r="Y38731" s="372">
        <v>0.0</v>
      </c>
      <c r="Z38731" s="372">
        <v>0.0</v>
      </c>
    </row>
    <row r="38732">
      <c r="Y38732" s="372">
        <v>0.0</v>
      </c>
      <c r="Z38732" s="372">
        <v>0.0</v>
      </c>
    </row>
    <row r="38733">
      <c r="Y38733" s="372">
        <v>0.0</v>
      </c>
      <c r="Z38733" s="372">
        <v>0.0</v>
      </c>
    </row>
    <row r="38734">
      <c r="Y38734" s="372">
        <v>0.0</v>
      </c>
      <c r="Z38734" s="372">
        <v>0.0</v>
      </c>
    </row>
    <row r="38735">
      <c r="Y38735" s="372">
        <v>0.0</v>
      </c>
      <c r="Z38735" s="372">
        <v>0.0</v>
      </c>
    </row>
    <row r="38736">
      <c r="Y38736" s="372">
        <v>0.0</v>
      </c>
      <c r="Z38736" s="372">
        <v>0.0</v>
      </c>
    </row>
    <row r="38737">
      <c r="Y38737" s="372">
        <v>0.0</v>
      </c>
      <c r="Z38737" s="372">
        <v>0.0</v>
      </c>
    </row>
    <row r="38738">
      <c r="Y38738" s="372">
        <v>0.0</v>
      </c>
      <c r="Z38738" s="372">
        <v>0.0</v>
      </c>
    </row>
    <row r="38739">
      <c r="Y38739" s="372">
        <v>0.0</v>
      </c>
      <c r="Z38739" s="372">
        <v>0.0</v>
      </c>
    </row>
    <row r="38740">
      <c r="Y38740" s="372">
        <v>0.0</v>
      </c>
      <c r="Z38740" s="372">
        <v>0.0</v>
      </c>
    </row>
    <row r="38741">
      <c r="Y38741" s="372">
        <v>0.0</v>
      </c>
      <c r="Z38741" s="372">
        <v>0.0</v>
      </c>
    </row>
    <row r="38742">
      <c r="Y38742" s="372">
        <v>0.0</v>
      </c>
      <c r="Z38742" s="372">
        <v>0.0</v>
      </c>
    </row>
    <row r="38743">
      <c r="Y38743" s="372">
        <v>0.0</v>
      </c>
      <c r="Z38743" s="372">
        <v>0.0</v>
      </c>
    </row>
    <row r="38744">
      <c r="Y38744" s="372">
        <v>0.0</v>
      </c>
      <c r="Z38744" s="372">
        <v>0.0</v>
      </c>
    </row>
    <row r="38745">
      <c r="Y38745" s="372">
        <v>0.0</v>
      </c>
      <c r="Z38745" s="372">
        <v>0.0</v>
      </c>
    </row>
    <row r="38746">
      <c r="Y38746" s="372">
        <v>0.0</v>
      </c>
      <c r="Z38746" s="372">
        <v>0.0</v>
      </c>
    </row>
    <row r="38747">
      <c r="Y38747" s="372">
        <v>0.0</v>
      </c>
      <c r="Z38747" s="372">
        <v>0.0</v>
      </c>
    </row>
    <row r="38748">
      <c r="Y38748" s="372">
        <v>0.0</v>
      </c>
      <c r="Z38748" s="372">
        <v>0.0</v>
      </c>
    </row>
    <row r="38749">
      <c r="Y38749" s="372">
        <v>0.0</v>
      </c>
      <c r="Z38749" s="372">
        <v>0.0</v>
      </c>
    </row>
    <row r="38750">
      <c r="Y38750" s="372">
        <v>0.0</v>
      </c>
      <c r="Z38750" s="372">
        <v>0.0</v>
      </c>
    </row>
    <row r="38751">
      <c r="Y38751" s="372">
        <v>0.0</v>
      </c>
      <c r="Z38751" s="372">
        <v>0.0</v>
      </c>
    </row>
    <row r="38752">
      <c r="Y38752" s="372">
        <v>0.0</v>
      </c>
      <c r="Z38752" s="372">
        <v>0.0</v>
      </c>
    </row>
    <row r="38753">
      <c r="Y38753" s="372">
        <v>0.0</v>
      </c>
      <c r="Z38753" s="372">
        <v>0.0</v>
      </c>
    </row>
    <row r="38754">
      <c r="Y38754" s="372">
        <v>0.0</v>
      </c>
      <c r="Z38754" s="372">
        <v>0.0</v>
      </c>
    </row>
    <row r="38755">
      <c r="Y38755" s="372">
        <v>0.0</v>
      </c>
      <c r="Z38755" s="372">
        <v>0.0</v>
      </c>
    </row>
    <row r="38756">
      <c r="Y38756" s="372">
        <v>0.0</v>
      </c>
      <c r="Z38756" s="372">
        <v>0.0</v>
      </c>
    </row>
    <row r="38757">
      <c r="Y38757" s="372">
        <v>0.0</v>
      </c>
      <c r="Z38757" s="372">
        <v>0.0</v>
      </c>
    </row>
    <row r="38758">
      <c r="Y38758" s="372">
        <v>0.0</v>
      </c>
      <c r="Z38758" s="372">
        <v>0.0</v>
      </c>
    </row>
    <row r="38759">
      <c r="Y38759" s="372">
        <v>0.0</v>
      </c>
      <c r="Z38759" s="372">
        <v>0.0</v>
      </c>
    </row>
    <row r="38760">
      <c r="Y38760" s="372">
        <v>0.0</v>
      </c>
      <c r="Z38760" s="372">
        <v>0.0</v>
      </c>
    </row>
    <row r="38761">
      <c r="Y38761" s="372">
        <v>0.0</v>
      </c>
      <c r="Z38761" s="372">
        <v>0.0</v>
      </c>
    </row>
    <row r="38762">
      <c r="Y38762" s="372">
        <v>0.0</v>
      </c>
      <c r="Z38762" s="372">
        <v>0.0</v>
      </c>
    </row>
    <row r="38763">
      <c r="Y38763" s="372">
        <v>0.0</v>
      </c>
      <c r="Z38763" s="372">
        <v>0.0</v>
      </c>
    </row>
    <row r="38764">
      <c r="Y38764" s="372">
        <v>0.0</v>
      </c>
      <c r="Z38764" s="372">
        <v>0.0</v>
      </c>
    </row>
    <row r="38765">
      <c r="Y38765" s="372">
        <v>0.0</v>
      </c>
      <c r="Z38765" s="372">
        <v>0.0</v>
      </c>
    </row>
    <row r="38766">
      <c r="Y38766" s="372">
        <v>0.0</v>
      </c>
      <c r="Z38766" s="372">
        <v>0.0</v>
      </c>
    </row>
    <row r="38767">
      <c r="Y38767" s="372">
        <v>0.0</v>
      </c>
      <c r="Z38767" s="372">
        <v>0.0</v>
      </c>
    </row>
    <row r="38768">
      <c r="Y38768" s="372">
        <v>0.0</v>
      </c>
      <c r="Z38768" s="372">
        <v>0.0</v>
      </c>
    </row>
    <row r="38769">
      <c r="Y38769" s="372">
        <v>0.0</v>
      </c>
      <c r="Z38769" s="372">
        <v>0.0</v>
      </c>
    </row>
    <row r="38770">
      <c r="Y38770" s="372">
        <v>0.0</v>
      </c>
      <c r="Z38770" s="372">
        <v>0.0</v>
      </c>
    </row>
    <row r="38771">
      <c r="Y38771" s="372">
        <v>0.0</v>
      </c>
      <c r="Z38771" s="372">
        <v>0.0</v>
      </c>
    </row>
    <row r="38772">
      <c r="Y38772" s="372">
        <v>0.0</v>
      </c>
      <c r="Z38772" s="372">
        <v>0.0</v>
      </c>
    </row>
    <row r="38773">
      <c r="Y38773" s="372">
        <v>0.0</v>
      </c>
      <c r="Z38773" s="372">
        <v>0.0</v>
      </c>
    </row>
    <row r="38774">
      <c r="Y38774" s="372">
        <v>0.0</v>
      </c>
      <c r="Z38774" s="372">
        <v>0.0</v>
      </c>
    </row>
    <row r="38775">
      <c r="Y38775" s="372">
        <v>0.0</v>
      </c>
      <c r="Z38775" s="372">
        <v>0.0</v>
      </c>
    </row>
    <row r="38776">
      <c r="Y38776" s="372">
        <v>0.0</v>
      </c>
      <c r="Z38776" s="372">
        <v>0.0</v>
      </c>
    </row>
    <row r="38777">
      <c r="Y38777" s="372">
        <v>0.0</v>
      </c>
      <c r="Z38777" s="372">
        <v>0.0</v>
      </c>
    </row>
    <row r="38778">
      <c r="Y38778" s="372">
        <v>0.0</v>
      </c>
      <c r="Z38778" s="372">
        <v>0.0</v>
      </c>
    </row>
    <row r="38779">
      <c r="Y38779" s="372">
        <v>0.0</v>
      </c>
      <c r="Z38779" s="372">
        <v>0.0</v>
      </c>
    </row>
    <row r="38780">
      <c r="Y38780" s="372">
        <v>0.0</v>
      </c>
      <c r="Z38780" s="372">
        <v>0.0</v>
      </c>
    </row>
    <row r="38781">
      <c r="Y38781" s="372">
        <v>0.0</v>
      </c>
      <c r="Z38781" s="372">
        <v>0.0</v>
      </c>
    </row>
    <row r="38782">
      <c r="Y38782" s="372">
        <v>0.0</v>
      </c>
      <c r="Z38782" s="372">
        <v>0.0</v>
      </c>
    </row>
    <row r="38783">
      <c r="Y38783" s="372">
        <v>0.0</v>
      </c>
      <c r="Z38783" s="372">
        <v>0.0</v>
      </c>
    </row>
    <row r="38784">
      <c r="Y38784" s="372">
        <v>0.0</v>
      </c>
      <c r="Z38784" s="372">
        <v>0.0</v>
      </c>
    </row>
    <row r="38785">
      <c r="Y38785" s="372">
        <v>0.0</v>
      </c>
      <c r="Z38785" s="372">
        <v>0.0</v>
      </c>
    </row>
    <row r="38786">
      <c r="Y38786" s="372">
        <v>0.0</v>
      </c>
      <c r="Z38786" s="372">
        <v>0.0</v>
      </c>
    </row>
    <row r="38787">
      <c r="Y38787" s="372">
        <v>0.0</v>
      </c>
      <c r="Z38787" s="372">
        <v>0.0</v>
      </c>
    </row>
    <row r="38788">
      <c r="Y38788" s="372">
        <v>0.0</v>
      </c>
      <c r="Z38788" s="372">
        <v>0.0</v>
      </c>
    </row>
    <row r="38789">
      <c r="Y38789" s="372">
        <v>0.0</v>
      </c>
      <c r="Z38789" s="372">
        <v>0.0</v>
      </c>
    </row>
    <row r="38790">
      <c r="Y38790" s="372">
        <v>0.0</v>
      </c>
      <c r="Z38790" s="372">
        <v>0.0</v>
      </c>
    </row>
    <row r="38791">
      <c r="Y38791" s="372">
        <v>0.0</v>
      </c>
      <c r="Z38791" s="372">
        <v>0.0</v>
      </c>
    </row>
    <row r="38792">
      <c r="Y38792" s="372">
        <v>0.0</v>
      </c>
      <c r="Z38792" s="372">
        <v>0.0</v>
      </c>
    </row>
    <row r="38793">
      <c r="Y38793" s="372">
        <v>0.0</v>
      </c>
      <c r="Z38793" s="372">
        <v>0.0</v>
      </c>
    </row>
    <row r="38794">
      <c r="Y38794" s="372">
        <v>0.0</v>
      </c>
      <c r="Z38794" s="372">
        <v>0.0</v>
      </c>
    </row>
    <row r="38795">
      <c r="Y38795" s="372">
        <v>0.0</v>
      </c>
      <c r="Z38795" s="372">
        <v>0.0</v>
      </c>
    </row>
    <row r="38796">
      <c r="Y38796" s="372">
        <v>0.0</v>
      </c>
      <c r="Z38796" s="372">
        <v>0.0</v>
      </c>
    </row>
    <row r="38797">
      <c r="Y38797" s="372">
        <v>0.0</v>
      </c>
      <c r="Z38797" s="372">
        <v>0.0</v>
      </c>
    </row>
    <row r="38798">
      <c r="Y38798" s="372">
        <v>0.0</v>
      </c>
      <c r="Z38798" s="372">
        <v>0.0</v>
      </c>
    </row>
    <row r="38799">
      <c r="Y38799" s="372">
        <v>0.0</v>
      </c>
      <c r="Z38799" s="372">
        <v>0.0</v>
      </c>
    </row>
    <row r="38800">
      <c r="Y38800" s="372">
        <v>0.0</v>
      </c>
      <c r="Z38800" s="372">
        <v>0.0</v>
      </c>
    </row>
    <row r="38801">
      <c r="Y38801" s="372">
        <v>0.0</v>
      </c>
      <c r="Z38801" s="372">
        <v>0.0</v>
      </c>
    </row>
    <row r="38802">
      <c r="Y38802" s="372">
        <v>0.0</v>
      </c>
      <c r="Z38802" s="372">
        <v>0.0</v>
      </c>
    </row>
    <row r="38803">
      <c r="Y38803" s="372">
        <v>0.0</v>
      </c>
      <c r="Z38803" s="372">
        <v>0.0</v>
      </c>
    </row>
    <row r="38804">
      <c r="Y38804" s="372">
        <v>0.0</v>
      </c>
      <c r="Z38804" s="372">
        <v>0.0</v>
      </c>
    </row>
    <row r="38805">
      <c r="Y38805" s="372">
        <v>0.0</v>
      </c>
      <c r="Z38805" s="372">
        <v>0.0</v>
      </c>
    </row>
    <row r="38806">
      <c r="Y38806" s="372">
        <v>0.0</v>
      </c>
      <c r="Z38806" s="372">
        <v>0.0</v>
      </c>
    </row>
    <row r="38807">
      <c r="Y38807" s="372">
        <v>0.0</v>
      </c>
      <c r="Z38807" s="372">
        <v>0.0</v>
      </c>
    </row>
    <row r="38808">
      <c r="Y38808" s="372">
        <v>0.0</v>
      </c>
      <c r="Z38808" s="372">
        <v>0.0</v>
      </c>
    </row>
    <row r="38809">
      <c r="Y38809" s="372">
        <v>0.0</v>
      </c>
      <c r="Z38809" s="372">
        <v>0.0</v>
      </c>
    </row>
    <row r="38810">
      <c r="Y38810" s="372">
        <v>0.0</v>
      </c>
      <c r="Z38810" s="372">
        <v>0.0</v>
      </c>
    </row>
    <row r="38811">
      <c r="Y38811" s="372">
        <v>0.0</v>
      </c>
      <c r="Z38811" s="372">
        <v>0.0</v>
      </c>
    </row>
    <row r="38812">
      <c r="Y38812" s="372">
        <v>0.0</v>
      </c>
      <c r="Z38812" s="372">
        <v>0.0</v>
      </c>
    </row>
    <row r="38813">
      <c r="Y38813" s="372">
        <v>0.0</v>
      </c>
      <c r="Z38813" s="372">
        <v>0.0</v>
      </c>
    </row>
    <row r="38814">
      <c r="Y38814" s="372">
        <v>0.0</v>
      </c>
      <c r="Z38814" s="372">
        <v>0.0</v>
      </c>
    </row>
    <row r="38815">
      <c r="Y38815" s="372">
        <v>0.0</v>
      </c>
      <c r="Z38815" s="372">
        <v>0.0</v>
      </c>
    </row>
    <row r="38816">
      <c r="Y38816" s="372">
        <v>0.0</v>
      </c>
      <c r="Z38816" s="372">
        <v>0.0</v>
      </c>
    </row>
    <row r="38817">
      <c r="Y38817" s="372">
        <v>0.0</v>
      </c>
      <c r="Z38817" s="372">
        <v>0.0</v>
      </c>
    </row>
    <row r="38818">
      <c r="Y38818" s="372">
        <v>0.0</v>
      </c>
      <c r="Z38818" s="372">
        <v>0.0</v>
      </c>
    </row>
    <row r="38819">
      <c r="Y38819" s="372">
        <v>0.0</v>
      </c>
      <c r="Z38819" s="372">
        <v>0.0</v>
      </c>
    </row>
    <row r="38820">
      <c r="Y38820" s="372">
        <v>0.0</v>
      </c>
      <c r="Z38820" s="372">
        <v>0.0</v>
      </c>
    </row>
    <row r="38821">
      <c r="Y38821" s="372">
        <v>0.0</v>
      </c>
      <c r="Z38821" s="372">
        <v>0.0</v>
      </c>
    </row>
    <row r="38822">
      <c r="Y38822" s="372">
        <v>0.0</v>
      </c>
      <c r="Z38822" s="372">
        <v>0.0</v>
      </c>
    </row>
    <row r="38823">
      <c r="Y38823" s="372">
        <v>0.0</v>
      </c>
      <c r="Z38823" s="372">
        <v>0.0</v>
      </c>
    </row>
    <row r="38824">
      <c r="Y38824" s="372">
        <v>0.0</v>
      </c>
      <c r="Z38824" s="372">
        <v>0.0</v>
      </c>
    </row>
    <row r="38825">
      <c r="Y38825" s="372">
        <v>0.0</v>
      </c>
      <c r="Z38825" s="372">
        <v>0.0</v>
      </c>
    </row>
    <row r="38826">
      <c r="Y38826" s="372">
        <v>0.0</v>
      </c>
      <c r="Z38826" s="372">
        <v>0.0</v>
      </c>
    </row>
    <row r="38827">
      <c r="Y38827" s="372">
        <v>0.0</v>
      </c>
      <c r="Z38827" s="372">
        <v>0.0</v>
      </c>
    </row>
    <row r="38828">
      <c r="Y38828" s="372">
        <v>0.0</v>
      </c>
      <c r="Z38828" s="372">
        <v>0.0</v>
      </c>
    </row>
    <row r="38829">
      <c r="Y38829" s="372">
        <v>0.0</v>
      </c>
      <c r="Z38829" s="372">
        <v>0.0</v>
      </c>
    </row>
    <row r="38830">
      <c r="Y38830" s="372">
        <v>0.0</v>
      </c>
      <c r="Z38830" s="372">
        <v>0.0</v>
      </c>
    </row>
    <row r="38831">
      <c r="Y38831" s="372">
        <v>0.0</v>
      </c>
      <c r="Z38831" s="372">
        <v>0.0</v>
      </c>
    </row>
    <row r="38832">
      <c r="Y38832" s="372">
        <v>0.0</v>
      </c>
      <c r="Z38832" s="372">
        <v>0.0</v>
      </c>
    </row>
    <row r="38833">
      <c r="Y38833" s="372">
        <v>0.0</v>
      </c>
      <c r="Z38833" s="372">
        <v>0.0</v>
      </c>
    </row>
    <row r="38834">
      <c r="Y38834" s="372">
        <v>0.0</v>
      </c>
      <c r="Z38834" s="372">
        <v>0.0</v>
      </c>
    </row>
    <row r="38835">
      <c r="Y38835" s="372">
        <v>0.0</v>
      </c>
      <c r="Z38835" s="372">
        <v>0.0</v>
      </c>
    </row>
    <row r="38836">
      <c r="Y38836" s="372">
        <v>0.0</v>
      </c>
      <c r="Z38836" s="372">
        <v>0.0</v>
      </c>
    </row>
    <row r="38837">
      <c r="Y38837" s="372">
        <v>0.0</v>
      </c>
      <c r="Z38837" s="372">
        <v>0.0</v>
      </c>
    </row>
    <row r="38838">
      <c r="Y38838" s="372">
        <v>0.0</v>
      </c>
      <c r="Z38838" s="372">
        <v>0.0</v>
      </c>
    </row>
    <row r="38839">
      <c r="Y38839" s="372">
        <v>0.0</v>
      </c>
      <c r="Z38839" s="372">
        <v>0.0</v>
      </c>
    </row>
    <row r="38840">
      <c r="Y38840" s="372">
        <v>0.0</v>
      </c>
      <c r="Z38840" s="372">
        <v>0.0</v>
      </c>
    </row>
    <row r="38841">
      <c r="Y38841" s="372">
        <v>0.0</v>
      </c>
      <c r="Z38841" s="372">
        <v>0.0</v>
      </c>
    </row>
    <row r="38842">
      <c r="Y38842" s="372">
        <v>0.0</v>
      </c>
      <c r="Z38842" s="372">
        <v>0.0</v>
      </c>
    </row>
    <row r="38843">
      <c r="Y38843" s="372">
        <v>0.0</v>
      </c>
      <c r="Z38843" s="372">
        <v>0.0</v>
      </c>
    </row>
    <row r="38844">
      <c r="Y38844" s="372">
        <v>0.0</v>
      </c>
      <c r="Z38844" s="372">
        <v>0.0</v>
      </c>
    </row>
    <row r="38845">
      <c r="Y38845" s="372">
        <v>0.0</v>
      </c>
      <c r="Z38845" s="372">
        <v>0.0</v>
      </c>
    </row>
    <row r="38846">
      <c r="Y38846" s="372">
        <v>0.0</v>
      </c>
      <c r="Z38846" s="372">
        <v>0.0</v>
      </c>
    </row>
    <row r="38847">
      <c r="Y38847" s="372">
        <v>0.0</v>
      </c>
      <c r="Z38847" s="372">
        <v>0.0</v>
      </c>
    </row>
    <row r="38848">
      <c r="Y38848" s="372">
        <v>0.0</v>
      </c>
      <c r="Z38848" s="372">
        <v>0.0</v>
      </c>
    </row>
    <row r="38849">
      <c r="Y38849" s="372">
        <v>0.0</v>
      </c>
      <c r="Z38849" s="372">
        <v>0.0</v>
      </c>
    </row>
    <row r="38850">
      <c r="Y38850" s="372">
        <v>0.0</v>
      </c>
      <c r="Z38850" s="372">
        <v>0.0</v>
      </c>
    </row>
    <row r="38851">
      <c r="Y38851" s="372">
        <v>0.0</v>
      </c>
      <c r="Z38851" s="372">
        <v>0.0</v>
      </c>
    </row>
    <row r="38852">
      <c r="Y38852" s="372">
        <v>0.0</v>
      </c>
      <c r="Z38852" s="372">
        <v>0.0</v>
      </c>
    </row>
    <row r="38853">
      <c r="Y38853" s="372">
        <v>0.0</v>
      </c>
      <c r="Z38853" s="372">
        <v>0.0</v>
      </c>
    </row>
    <row r="38854">
      <c r="Y38854" s="372">
        <v>0.0</v>
      </c>
      <c r="Z38854" s="372">
        <v>0.0</v>
      </c>
    </row>
    <row r="38855">
      <c r="Y38855" s="372">
        <v>0.0</v>
      </c>
      <c r="Z38855" s="372">
        <v>0.0</v>
      </c>
    </row>
    <row r="38856">
      <c r="Y38856" s="372">
        <v>0.0</v>
      </c>
      <c r="Z38856" s="372">
        <v>0.0</v>
      </c>
    </row>
    <row r="38857">
      <c r="Y38857" s="372">
        <v>0.0</v>
      </c>
      <c r="Z38857" s="372">
        <v>0.0</v>
      </c>
    </row>
    <row r="38858">
      <c r="Y38858" s="372">
        <v>0.0</v>
      </c>
      <c r="Z38858" s="372">
        <v>0.0</v>
      </c>
    </row>
    <row r="38859">
      <c r="Y38859" s="372">
        <v>0.0</v>
      </c>
      <c r="Z38859" s="372">
        <v>0.0</v>
      </c>
    </row>
    <row r="38860">
      <c r="Y38860" s="372">
        <v>0.0</v>
      </c>
      <c r="Z38860" s="372">
        <v>0.0</v>
      </c>
    </row>
    <row r="38861">
      <c r="Y38861" s="372">
        <v>0.0</v>
      </c>
      <c r="Z38861" s="372">
        <v>0.0</v>
      </c>
    </row>
    <row r="38862">
      <c r="Y38862" s="372">
        <v>0.0</v>
      </c>
      <c r="Z38862" s="372">
        <v>0.0</v>
      </c>
    </row>
    <row r="38863">
      <c r="Y38863" s="372">
        <v>0.0</v>
      </c>
      <c r="Z38863" s="372">
        <v>0.0</v>
      </c>
    </row>
    <row r="38864">
      <c r="Y38864" s="372">
        <v>0.0</v>
      </c>
      <c r="Z38864" s="372">
        <v>0.0</v>
      </c>
    </row>
    <row r="38865">
      <c r="Y38865" s="372">
        <v>0.0</v>
      </c>
      <c r="Z38865" s="372">
        <v>0.0</v>
      </c>
    </row>
    <row r="38866">
      <c r="Y38866" s="372">
        <v>0.0</v>
      </c>
      <c r="Z38866" s="372">
        <v>0.0</v>
      </c>
    </row>
    <row r="38867">
      <c r="Y38867" s="372">
        <v>0.0</v>
      </c>
      <c r="Z38867" s="372">
        <v>0.0</v>
      </c>
    </row>
    <row r="38868">
      <c r="Y38868" s="372">
        <v>0.0</v>
      </c>
      <c r="Z38868" s="372">
        <v>0.0</v>
      </c>
    </row>
    <row r="38869">
      <c r="Y38869" s="372">
        <v>0.0</v>
      </c>
      <c r="Z38869" s="372">
        <v>0.0</v>
      </c>
    </row>
    <row r="38870">
      <c r="Y38870" s="372">
        <v>0.0</v>
      </c>
      <c r="Z38870" s="372">
        <v>0.0</v>
      </c>
    </row>
    <row r="38871">
      <c r="Y38871" s="372">
        <v>0.0</v>
      </c>
      <c r="Z38871" s="372">
        <v>0.0</v>
      </c>
    </row>
    <row r="38872">
      <c r="Y38872" s="372">
        <v>0.0</v>
      </c>
      <c r="Z38872" s="372">
        <v>0.0</v>
      </c>
    </row>
    <row r="38873">
      <c r="Y38873" s="372">
        <v>0.0</v>
      </c>
      <c r="Z38873" s="372">
        <v>0.0</v>
      </c>
    </row>
    <row r="38874">
      <c r="Y38874" s="372">
        <v>0.0</v>
      </c>
      <c r="Z38874" s="372">
        <v>0.0</v>
      </c>
    </row>
    <row r="38875">
      <c r="Y38875" s="372">
        <v>0.0</v>
      </c>
      <c r="Z38875" s="372">
        <v>0.0</v>
      </c>
    </row>
    <row r="38876">
      <c r="Y38876" s="372">
        <v>0.0</v>
      </c>
      <c r="Z38876" s="372">
        <v>0.0</v>
      </c>
    </row>
    <row r="38877">
      <c r="Y38877" s="372">
        <v>0.0</v>
      </c>
      <c r="Z38877" s="372">
        <v>0.0</v>
      </c>
    </row>
    <row r="38878">
      <c r="Y38878" s="372">
        <v>0.0</v>
      </c>
      <c r="Z38878" s="372">
        <v>0.0</v>
      </c>
    </row>
    <row r="38879">
      <c r="Y38879" s="372">
        <v>0.0</v>
      </c>
      <c r="Z38879" s="372">
        <v>0.0</v>
      </c>
    </row>
    <row r="38880">
      <c r="Y38880" s="372">
        <v>0.0</v>
      </c>
      <c r="Z38880" s="372">
        <v>0.0</v>
      </c>
    </row>
    <row r="38881">
      <c r="Y38881" s="372">
        <v>0.0</v>
      </c>
      <c r="Z38881" s="372">
        <v>0.0</v>
      </c>
    </row>
    <row r="38882">
      <c r="Y38882" s="372">
        <v>0.0</v>
      </c>
      <c r="Z38882" s="372">
        <v>0.0</v>
      </c>
    </row>
    <row r="38883">
      <c r="Y38883" s="372">
        <v>0.0</v>
      </c>
      <c r="Z38883" s="372">
        <v>0.0</v>
      </c>
    </row>
    <row r="38884">
      <c r="Y38884" s="372">
        <v>0.0</v>
      </c>
      <c r="Z38884" s="372">
        <v>0.0</v>
      </c>
    </row>
    <row r="38885">
      <c r="Y38885" s="372">
        <v>0.0</v>
      </c>
      <c r="Z38885" s="372">
        <v>0.0</v>
      </c>
    </row>
    <row r="38886">
      <c r="Y38886" s="372">
        <v>0.0</v>
      </c>
      <c r="Z38886" s="372">
        <v>0.0</v>
      </c>
    </row>
    <row r="38887">
      <c r="Y38887" s="372">
        <v>0.0</v>
      </c>
      <c r="Z38887" s="372">
        <v>0.0</v>
      </c>
    </row>
    <row r="38888">
      <c r="Y38888" s="372">
        <v>0.0</v>
      </c>
      <c r="Z38888" s="372">
        <v>0.0</v>
      </c>
    </row>
    <row r="38889">
      <c r="Y38889" s="372">
        <v>0.0</v>
      </c>
      <c r="Z38889" s="372">
        <v>0.0</v>
      </c>
    </row>
    <row r="38890">
      <c r="Y38890" s="372">
        <v>0.0</v>
      </c>
      <c r="Z38890" s="372">
        <v>0.0</v>
      </c>
    </row>
    <row r="38891">
      <c r="Y38891" s="372">
        <v>0.0</v>
      </c>
      <c r="Z38891" s="372">
        <v>0.0</v>
      </c>
    </row>
    <row r="38892">
      <c r="Y38892" s="372">
        <v>0.0</v>
      </c>
      <c r="Z38892" s="372">
        <v>0.0</v>
      </c>
    </row>
    <row r="38893">
      <c r="Y38893" s="372">
        <v>0.0</v>
      </c>
      <c r="Z38893" s="372">
        <v>0.0</v>
      </c>
    </row>
    <row r="38894">
      <c r="Y38894" s="372">
        <v>0.0</v>
      </c>
      <c r="Z38894" s="372">
        <v>0.0</v>
      </c>
    </row>
    <row r="38895">
      <c r="Y38895" s="372">
        <v>0.0</v>
      </c>
      <c r="Z38895" s="372">
        <v>0.0</v>
      </c>
    </row>
    <row r="38896">
      <c r="Y38896" s="372">
        <v>0.0</v>
      </c>
      <c r="Z38896" s="372">
        <v>0.0</v>
      </c>
    </row>
    <row r="38897">
      <c r="Y38897" s="372">
        <v>0.0</v>
      </c>
      <c r="Z38897" s="372">
        <v>0.0</v>
      </c>
    </row>
    <row r="38898">
      <c r="Y38898" s="372">
        <v>0.0</v>
      </c>
      <c r="Z38898" s="372">
        <v>0.0</v>
      </c>
    </row>
    <row r="38899">
      <c r="Y38899" s="372">
        <v>0.0</v>
      </c>
      <c r="Z38899" s="372">
        <v>0.0</v>
      </c>
    </row>
    <row r="38900">
      <c r="Y38900" s="372">
        <v>0.0</v>
      </c>
      <c r="Z38900" s="372">
        <v>0.0</v>
      </c>
    </row>
    <row r="38901">
      <c r="Y38901" s="372">
        <v>0.0</v>
      </c>
      <c r="Z38901" s="372">
        <v>0.0</v>
      </c>
    </row>
    <row r="38902">
      <c r="Y38902" s="372">
        <v>0.0</v>
      </c>
      <c r="Z38902" s="372">
        <v>0.0</v>
      </c>
    </row>
    <row r="38903">
      <c r="Y38903" s="372">
        <v>0.0</v>
      </c>
      <c r="Z38903" s="372">
        <v>0.0</v>
      </c>
    </row>
    <row r="38904">
      <c r="Y38904" s="372">
        <v>0.0</v>
      </c>
      <c r="Z38904" s="372">
        <v>0.0</v>
      </c>
    </row>
    <row r="38905">
      <c r="Y38905" s="372">
        <v>0.0</v>
      </c>
      <c r="Z38905" s="372">
        <v>0.0</v>
      </c>
    </row>
    <row r="38906">
      <c r="Y38906" s="372">
        <v>0.0</v>
      </c>
      <c r="Z38906" s="372">
        <v>0.0</v>
      </c>
    </row>
    <row r="38907">
      <c r="Y38907" s="372">
        <v>0.0</v>
      </c>
      <c r="Z38907" s="372">
        <v>0.0</v>
      </c>
    </row>
    <row r="38908">
      <c r="Y38908" s="372">
        <v>0.0</v>
      </c>
      <c r="Z38908" s="372">
        <v>0.0</v>
      </c>
    </row>
    <row r="38909">
      <c r="Y38909" s="372">
        <v>0.0</v>
      </c>
      <c r="Z38909" s="372">
        <v>0.0</v>
      </c>
    </row>
    <row r="38910">
      <c r="Y38910" s="372">
        <v>0.0</v>
      </c>
      <c r="Z38910" s="372">
        <v>0.0</v>
      </c>
    </row>
    <row r="38911">
      <c r="Y38911" s="372">
        <v>0.0</v>
      </c>
      <c r="Z38911" s="372">
        <v>0.0</v>
      </c>
    </row>
    <row r="38912">
      <c r="Y38912" s="372">
        <v>0.0</v>
      </c>
      <c r="Z38912" s="372">
        <v>0.0</v>
      </c>
    </row>
    <row r="38913">
      <c r="Y38913" s="372">
        <v>0.0</v>
      </c>
      <c r="Z38913" s="372">
        <v>0.0</v>
      </c>
    </row>
    <row r="38914">
      <c r="Y38914" s="372">
        <v>0.0</v>
      </c>
      <c r="Z38914" s="372">
        <v>0.0</v>
      </c>
    </row>
    <row r="38915">
      <c r="Y38915" s="372">
        <v>0.0</v>
      </c>
      <c r="Z38915" s="372">
        <v>0.0</v>
      </c>
    </row>
    <row r="38916">
      <c r="Y38916" s="372">
        <v>0.0</v>
      </c>
      <c r="Z38916" s="372">
        <v>0.0</v>
      </c>
    </row>
    <row r="38917">
      <c r="Y38917" s="372">
        <v>0.0</v>
      </c>
      <c r="Z38917" s="372">
        <v>0.0</v>
      </c>
    </row>
    <row r="38918">
      <c r="Y38918" s="372">
        <v>0.0</v>
      </c>
      <c r="Z38918" s="372">
        <v>0.0</v>
      </c>
    </row>
    <row r="38919">
      <c r="Y38919" s="372">
        <v>0.0</v>
      </c>
      <c r="Z38919" s="372">
        <v>0.0</v>
      </c>
    </row>
    <row r="38920">
      <c r="Y38920" s="372">
        <v>0.0</v>
      </c>
      <c r="Z38920" s="372">
        <v>0.0</v>
      </c>
    </row>
    <row r="38921">
      <c r="Y38921" s="372">
        <v>0.0</v>
      </c>
      <c r="Z38921" s="372">
        <v>0.0</v>
      </c>
    </row>
    <row r="38922">
      <c r="Y38922" s="372">
        <v>0.0</v>
      </c>
      <c r="Z38922" s="372">
        <v>0.0</v>
      </c>
    </row>
    <row r="38923">
      <c r="Y38923" s="372">
        <v>0.0</v>
      </c>
      <c r="Z38923" s="372">
        <v>0.0</v>
      </c>
    </row>
    <row r="38924">
      <c r="Y38924" s="372">
        <v>0.0</v>
      </c>
      <c r="Z38924" s="372">
        <v>0.0</v>
      </c>
    </row>
    <row r="38925">
      <c r="Y38925" s="372">
        <v>0.0</v>
      </c>
      <c r="Z38925" s="372">
        <v>0.0</v>
      </c>
    </row>
    <row r="38926">
      <c r="Y38926" s="372">
        <v>0.0</v>
      </c>
      <c r="Z38926" s="372">
        <v>0.0</v>
      </c>
    </row>
    <row r="38927">
      <c r="Y38927" s="372">
        <v>0.0</v>
      </c>
      <c r="Z38927" s="372">
        <v>0.0</v>
      </c>
    </row>
    <row r="38928">
      <c r="Y38928" s="372">
        <v>0.0</v>
      </c>
      <c r="Z38928" s="372">
        <v>0.0</v>
      </c>
    </row>
    <row r="38929">
      <c r="Y38929" s="372">
        <v>0.0</v>
      </c>
      <c r="Z38929" s="372">
        <v>0.0</v>
      </c>
    </row>
    <row r="38930">
      <c r="Y38930" s="372">
        <v>0.0</v>
      </c>
      <c r="Z38930" s="372">
        <v>0.0</v>
      </c>
    </row>
    <row r="38931">
      <c r="Y38931" s="372">
        <v>0.0</v>
      </c>
      <c r="Z38931" s="372">
        <v>0.0</v>
      </c>
    </row>
    <row r="38932">
      <c r="Y38932" s="372">
        <v>0.0</v>
      </c>
      <c r="Z38932" s="372">
        <v>0.0</v>
      </c>
    </row>
    <row r="38933">
      <c r="Y38933" s="372">
        <v>0.0</v>
      </c>
      <c r="Z38933" s="372">
        <v>0.0</v>
      </c>
    </row>
    <row r="38934">
      <c r="Y38934" s="372">
        <v>0.0</v>
      </c>
      <c r="Z38934" s="372">
        <v>0.0</v>
      </c>
    </row>
    <row r="38935">
      <c r="Y38935" s="372">
        <v>0.0</v>
      </c>
      <c r="Z38935" s="372">
        <v>0.0</v>
      </c>
    </row>
    <row r="38936">
      <c r="Y38936" s="372">
        <v>0.0</v>
      </c>
      <c r="Z38936" s="372">
        <v>0.0</v>
      </c>
    </row>
    <row r="38937">
      <c r="Y38937" s="372">
        <v>0.0</v>
      </c>
      <c r="Z38937" s="372">
        <v>0.0</v>
      </c>
    </row>
    <row r="38938">
      <c r="Y38938" s="372">
        <v>0.0</v>
      </c>
      <c r="Z38938" s="372">
        <v>0.0</v>
      </c>
    </row>
    <row r="38939">
      <c r="Y38939" s="372">
        <v>0.0</v>
      </c>
      <c r="Z38939" s="372">
        <v>0.0</v>
      </c>
    </row>
    <row r="38940">
      <c r="Y38940" s="372">
        <v>0.0</v>
      </c>
      <c r="Z38940" s="372">
        <v>0.0</v>
      </c>
    </row>
    <row r="38941">
      <c r="Y38941" s="372">
        <v>0.0</v>
      </c>
      <c r="Z38941" s="372">
        <v>0.0</v>
      </c>
    </row>
    <row r="38942">
      <c r="Y38942" s="372">
        <v>0.0</v>
      </c>
      <c r="Z38942" s="372">
        <v>0.0</v>
      </c>
    </row>
    <row r="38943">
      <c r="Y38943" s="372">
        <v>0.0</v>
      </c>
      <c r="Z38943" s="372">
        <v>0.0</v>
      </c>
    </row>
    <row r="38944">
      <c r="Y38944" s="372">
        <v>0.0</v>
      </c>
      <c r="Z38944" s="372">
        <v>0.0</v>
      </c>
    </row>
    <row r="38945">
      <c r="Y38945" s="372">
        <v>0.0</v>
      </c>
      <c r="Z38945" s="372">
        <v>0.0</v>
      </c>
    </row>
    <row r="38946">
      <c r="Y38946" s="372">
        <v>0.0</v>
      </c>
      <c r="Z38946" s="372">
        <v>0.0</v>
      </c>
    </row>
    <row r="38947">
      <c r="Y38947" s="372">
        <v>0.0</v>
      </c>
      <c r="Z38947" s="372">
        <v>0.0</v>
      </c>
    </row>
    <row r="38948">
      <c r="Y38948" s="372">
        <v>0.0</v>
      </c>
      <c r="Z38948" s="372">
        <v>0.0</v>
      </c>
    </row>
    <row r="38949">
      <c r="Y38949" s="372">
        <v>0.0</v>
      </c>
      <c r="Z38949" s="372">
        <v>0.0</v>
      </c>
    </row>
    <row r="38950">
      <c r="Y38950" s="372">
        <v>0.0</v>
      </c>
      <c r="Z38950" s="372">
        <v>0.0</v>
      </c>
    </row>
    <row r="38951">
      <c r="Y38951" s="372">
        <v>0.0</v>
      </c>
      <c r="Z38951" s="372">
        <v>0.0</v>
      </c>
    </row>
    <row r="38952">
      <c r="Y38952" s="372">
        <v>0.0</v>
      </c>
      <c r="Z38952" s="372">
        <v>0.0</v>
      </c>
    </row>
    <row r="38953">
      <c r="Y38953" s="372">
        <v>0.0</v>
      </c>
      <c r="Z38953" s="372">
        <v>0.0</v>
      </c>
    </row>
    <row r="38954">
      <c r="Y38954" s="372">
        <v>0.0</v>
      </c>
      <c r="Z38954" s="372">
        <v>0.0</v>
      </c>
    </row>
    <row r="38955">
      <c r="Y38955" s="372">
        <v>0.0</v>
      </c>
      <c r="Z38955" s="372">
        <v>0.0</v>
      </c>
    </row>
    <row r="38956">
      <c r="Y38956" s="372">
        <v>0.0</v>
      </c>
      <c r="Z38956" s="372">
        <v>0.0</v>
      </c>
    </row>
    <row r="38957">
      <c r="Y38957" s="372">
        <v>0.0</v>
      </c>
      <c r="Z38957" s="372">
        <v>0.0</v>
      </c>
    </row>
    <row r="38958">
      <c r="Y38958" s="372">
        <v>0.0</v>
      </c>
      <c r="Z38958" s="372">
        <v>0.0</v>
      </c>
    </row>
    <row r="38959">
      <c r="Y38959" s="372">
        <v>0.0</v>
      </c>
      <c r="Z38959" s="372">
        <v>0.0</v>
      </c>
    </row>
    <row r="38960">
      <c r="Y38960" s="372">
        <v>0.0</v>
      </c>
      <c r="Z38960" s="372">
        <v>0.0</v>
      </c>
    </row>
    <row r="38961">
      <c r="Y38961" s="372">
        <v>0.0</v>
      </c>
      <c r="Z38961" s="372">
        <v>0.0</v>
      </c>
    </row>
    <row r="38962">
      <c r="Y38962" s="372">
        <v>0.0</v>
      </c>
      <c r="Z38962" s="372">
        <v>0.0</v>
      </c>
    </row>
    <row r="38963">
      <c r="Y38963" s="372">
        <v>0.0</v>
      </c>
      <c r="Z38963" s="372">
        <v>0.0</v>
      </c>
    </row>
    <row r="38964">
      <c r="Y38964" s="372">
        <v>0.0</v>
      </c>
      <c r="Z38964" s="372">
        <v>0.0</v>
      </c>
    </row>
    <row r="38965">
      <c r="Y38965" s="372">
        <v>0.0</v>
      </c>
      <c r="Z38965" s="372">
        <v>0.0</v>
      </c>
    </row>
    <row r="38966">
      <c r="Y38966" s="372">
        <v>0.0</v>
      </c>
      <c r="Z38966" s="372">
        <v>0.0</v>
      </c>
    </row>
    <row r="38967">
      <c r="Y38967" s="372">
        <v>0.0</v>
      </c>
      <c r="Z38967" s="372">
        <v>0.0</v>
      </c>
    </row>
    <row r="38968">
      <c r="Y38968" s="372">
        <v>0.0</v>
      </c>
      <c r="Z38968" s="372">
        <v>0.0</v>
      </c>
    </row>
    <row r="38969">
      <c r="Y38969" s="372">
        <v>0.0</v>
      </c>
      <c r="Z38969" s="372">
        <v>0.0</v>
      </c>
    </row>
    <row r="38970">
      <c r="Y38970" s="372">
        <v>0.0</v>
      </c>
      <c r="Z38970" s="372">
        <v>0.0</v>
      </c>
    </row>
    <row r="38971">
      <c r="Y38971" s="372">
        <v>0.0</v>
      </c>
      <c r="Z38971" s="372">
        <v>0.0</v>
      </c>
    </row>
    <row r="38972">
      <c r="Y38972" s="372">
        <v>0.0</v>
      </c>
      <c r="Z38972" s="372">
        <v>0.0</v>
      </c>
    </row>
    <row r="38973">
      <c r="Y38973" s="372">
        <v>0.0</v>
      </c>
      <c r="Z38973" s="372">
        <v>0.0</v>
      </c>
    </row>
    <row r="38974">
      <c r="Y38974" s="372">
        <v>0.0</v>
      </c>
      <c r="Z38974" s="372">
        <v>0.0</v>
      </c>
    </row>
    <row r="38975">
      <c r="Y38975" s="372">
        <v>0.0</v>
      </c>
      <c r="Z38975" s="372">
        <v>0.0</v>
      </c>
    </row>
    <row r="38976">
      <c r="Y38976" s="372">
        <v>0.0</v>
      </c>
      <c r="Z38976" s="372">
        <v>0.0</v>
      </c>
    </row>
    <row r="38977">
      <c r="Y38977" s="372">
        <v>0.0</v>
      </c>
      <c r="Z38977" s="372">
        <v>0.0</v>
      </c>
    </row>
    <row r="38978">
      <c r="Y38978" s="372">
        <v>0.0</v>
      </c>
      <c r="Z38978" s="372">
        <v>0.0</v>
      </c>
    </row>
    <row r="38979">
      <c r="Y38979" s="372">
        <v>0.0</v>
      </c>
      <c r="Z38979" s="372">
        <v>0.0</v>
      </c>
    </row>
    <row r="38980">
      <c r="Y38980" s="372">
        <v>0.0</v>
      </c>
      <c r="Z38980" s="372">
        <v>0.0</v>
      </c>
    </row>
    <row r="38981">
      <c r="Y38981" s="372">
        <v>0.0</v>
      </c>
      <c r="Z38981" s="372">
        <v>0.0</v>
      </c>
    </row>
    <row r="38982">
      <c r="Y38982" s="372">
        <v>0.0</v>
      </c>
      <c r="Z38982" s="372">
        <v>0.0</v>
      </c>
    </row>
    <row r="38983">
      <c r="Y38983" s="372">
        <v>0.0</v>
      </c>
      <c r="Z38983" s="372">
        <v>0.0</v>
      </c>
    </row>
    <row r="38984">
      <c r="Y38984" s="372">
        <v>0.0</v>
      </c>
      <c r="Z38984" s="372">
        <v>0.0</v>
      </c>
    </row>
    <row r="38985">
      <c r="Y38985" s="372">
        <v>0.0</v>
      </c>
      <c r="Z38985" s="372">
        <v>0.0</v>
      </c>
    </row>
    <row r="38986">
      <c r="Y38986" s="372">
        <v>0.0</v>
      </c>
      <c r="Z38986" s="372">
        <v>0.0</v>
      </c>
    </row>
    <row r="38987">
      <c r="Y38987" s="372">
        <v>0.0</v>
      </c>
      <c r="Z38987" s="372">
        <v>0.0</v>
      </c>
    </row>
    <row r="38988">
      <c r="Y38988" s="372">
        <v>0.0</v>
      </c>
      <c r="Z38988" s="372">
        <v>0.0</v>
      </c>
    </row>
    <row r="38989">
      <c r="Y38989" s="372">
        <v>0.0</v>
      </c>
      <c r="Z38989" s="372">
        <v>0.0</v>
      </c>
    </row>
    <row r="38990">
      <c r="Y38990" s="372">
        <v>0.0</v>
      </c>
      <c r="Z38990" s="372">
        <v>0.0</v>
      </c>
    </row>
    <row r="38991">
      <c r="Y38991" s="372">
        <v>0.0</v>
      </c>
      <c r="Z38991" s="372">
        <v>0.0</v>
      </c>
    </row>
    <row r="38992">
      <c r="Y38992" s="372">
        <v>0.0</v>
      </c>
      <c r="Z38992" s="372">
        <v>0.0</v>
      </c>
    </row>
    <row r="38993">
      <c r="Y38993" s="372">
        <v>0.0</v>
      </c>
      <c r="Z38993" s="372">
        <v>0.0</v>
      </c>
    </row>
    <row r="38994">
      <c r="Y38994" s="372">
        <v>0.0</v>
      </c>
      <c r="Z38994" s="372">
        <v>0.0</v>
      </c>
    </row>
    <row r="38995">
      <c r="Y38995" s="372">
        <v>0.0</v>
      </c>
      <c r="Z38995" s="372">
        <v>0.0</v>
      </c>
    </row>
    <row r="38996">
      <c r="Y38996" s="372">
        <v>0.0</v>
      </c>
      <c r="Z38996" s="372">
        <v>0.0</v>
      </c>
    </row>
    <row r="38997">
      <c r="Y38997" s="372">
        <v>0.0</v>
      </c>
      <c r="Z38997" s="372">
        <v>0.0</v>
      </c>
    </row>
    <row r="38998">
      <c r="Y38998" s="372">
        <v>0.0</v>
      </c>
      <c r="Z38998" s="372">
        <v>0.0</v>
      </c>
    </row>
    <row r="38999">
      <c r="Y38999" s="372">
        <v>0.0</v>
      </c>
      <c r="Z38999" s="372">
        <v>0.0</v>
      </c>
    </row>
    <row r="39000">
      <c r="Y39000" s="372">
        <v>0.0</v>
      </c>
      <c r="Z39000" s="372">
        <v>0.0</v>
      </c>
    </row>
    <row r="39001">
      <c r="Y39001" s="372">
        <v>0.0</v>
      </c>
      <c r="Z39001" s="372">
        <v>0.0</v>
      </c>
    </row>
    <row r="39002">
      <c r="Y39002" s="372">
        <v>0.0</v>
      </c>
      <c r="Z39002" s="372">
        <v>0.0</v>
      </c>
    </row>
    <row r="39003">
      <c r="Y39003" s="372">
        <v>0.0</v>
      </c>
      <c r="Z39003" s="372">
        <v>0.0</v>
      </c>
    </row>
    <row r="39004">
      <c r="Y39004" s="372">
        <v>0.0</v>
      </c>
      <c r="Z39004" s="372">
        <v>0.0</v>
      </c>
    </row>
    <row r="39005">
      <c r="Y39005" s="372">
        <v>0.0</v>
      </c>
      <c r="Z39005" s="372">
        <v>0.0</v>
      </c>
    </row>
    <row r="39006">
      <c r="Y39006" s="372">
        <v>0.0</v>
      </c>
      <c r="Z39006" s="372">
        <v>0.0</v>
      </c>
    </row>
    <row r="39007">
      <c r="Y39007" s="372">
        <v>0.0</v>
      </c>
      <c r="Z39007" s="372">
        <v>0.0</v>
      </c>
    </row>
    <row r="39008">
      <c r="Y39008" s="372">
        <v>0.0</v>
      </c>
      <c r="Z39008" s="372">
        <v>0.0</v>
      </c>
    </row>
    <row r="39009">
      <c r="Y39009" s="372">
        <v>0.0</v>
      </c>
      <c r="Z39009" s="372">
        <v>0.0</v>
      </c>
    </row>
    <row r="39010">
      <c r="Y39010" s="372">
        <v>0.0</v>
      </c>
      <c r="Z39010" s="372">
        <v>0.0</v>
      </c>
    </row>
    <row r="39011">
      <c r="Y39011" s="372">
        <v>0.0</v>
      </c>
      <c r="Z39011" s="372">
        <v>0.0</v>
      </c>
    </row>
    <row r="39012">
      <c r="Y39012" s="372">
        <v>0.0</v>
      </c>
      <c r="Z39012" s="372">
        <v>0.0</v>
      </c>
    </row>
    <row r="39013">
      <c r="Y39013" s="372">
        <v>0.0</v>
      </c>
      <c r="Z39013" s="372">
        <v>0.0</v>
      </c>
    </row>
    <row r="39014">
      <c r="Y39014" s="372">
        <v>0.0</v>
      </c>
      <c r="Z39014" s="372">
        <v>0.0</v>
      </c>
    </row>
    <row r="39015">
      <c r="Y39015" s="372">
        <v>0.0</v>
      </c>
      <c r="Z39015" s="372">
        <v>0.0</v>
      </c>
    </row>
    <row r="39016">
      <c r="Y39016" s="372">
        <v>0.0</v>
      </c>
      <c r="Z39016" s="372">
        <v>0.0</v>
      </c>
    </row>
    <row r="39017">
      <c r="Y39017" s="372">
        <v>0.0</v>
      </c>
      <c r="Z39017" s="372">
        <v>0.0</v>
      </c>
    </row>
    <row r="39018">
      <c r="Y39018" s="372">
        <v>0.0</v>
      </c>
      <c r="Z39018" s="372">
        <v>0.0</v>
      </c>
    </row>
    <row r="39019">
      <c r="Y39019" s="372">
        <v>0.0</v>
      </c>
      <c r="Z39019" s="372">
        <v>0.0</v>
      </c>
    </row>
    <row r="39020">
      <c r="Y39020" s="372">
        <v>0.0</v>
      </c>
      <c r="Z39020" s="372">
        <v>0.0</v>
      </c>
    </row>
    <row r="39021">
      <c r="Y39021" s="372">
        <v>0.0</v>
      </c>
      <c r="Z39021" s="372">
        <v>0.0</v>
      </c>
    </row>
    <row r="39022">
      <c r="Y39022" s="372">
        <v>0.0</v>
      </c>
      <c r="Z39022" s="372">
        <v>0.0</v>
      </c>
    </row>
    <row r="39023">
      <c r="Y39023" s="372">
        <v>0.0</v>
      </c>
      <c r="Z39023" s="372">
        <v>0.0</v>
      </c>
    </row>
    <row r="39024">
      <c r="Y39024" s="372">
        <v>0.0</v>
      </c>
      <c r="Z39024" s="372">
        <v>0.0</v>
      </c>
    </row>
    <row r="39025">
      <c r="Y39025" s="372">
        <v>0.0</v>
      </c>
      <c r="Z39025" s="372">
        <v>0.0</v>
      </c>
    </row>
    <row r="39026">
      <c r="Y39026" s="372">
        <v>0.0</v>
      </c>
      <c r="Z39026" s="372">
        <v>0.0</v>
      </c>
    </row>
    <row r="39027">
      <c r="Y39027" s="372">
        <v>0.0</v>
      </c>
      <c r="Z39027" s="372">
        <v>0.0</v>
      </c>
    </row>
    <row r="39028">
      <c r="Y39028" s="372">
        <v>0.0</v>
      </c>
      <c r="Z39028" s="372">
        <v>0.0</v>
      </c>
    </row>
    <row r="39029">
      <c r="Y39029" s="372">
        <v>0.0</v>
      </c>
      <c r="Z39029" s="372">
        <v>0.0</v>
      </c>
    </row>
    <row r="39030">
      <c r="Y39030" s="372">
        <v>0.0</v>
      </c>
      <c r="Z39030" s="372">
        <v>0.0</v>
      </c>
    </row>
    <row r="39031">
      <c r="Y39031" s="372">
        <v>0.0</v>
      </c>
      <c r="Z39031" s="372">
        <v>0.0</v>
      </c>
    </row>
    <row r="39032">
      <c r="Y39032" s="372">
        <v>0.0</v>
      </c>
      <c r="Z39032" s="372">
        <v>0.0</v>
      </c>
    </row>
    <row r="39033">
      <c r="Y39033" s="372">
        <v>0.0</v>
      </c>
      <c r="Z39033" s="372">
        <v>0.0</v>
      </c>
    </row>
    <row r="39034">
      <c r="Y39034" s="372">
        <v>0.0</v>
      </c>
      <c r="Z39034" s="372">
        <v>0.0</v>
      </c>
    </row>
    <row r="39035">
      <c r="Y39035" s="372">
        <v>0.0</v>
      </c>
      <c r="Z39035" s="372">
        <v>0.0</v>
      </c>
    </row>
    <row r="39036">
      <c r="Y39036" s="372">
        <v>0.0</v>
      </c>
      <c r="Z39036" s="372">
        <v>0.0</v>
      </c>
    </row>
    <row r="39037">
      <c r="Y39037" s="372">
        <v>0.0</v>
      </c>
      <c r="Z39037" s="372">
        <v>0.0</v>
      </c>
    </row>
    <row r="39038">
      <c r="Y39038" s="372">
        <v>0.0</v>
      </c>
      <c r="Z39038" s="372">
        <v>0.0</v>
      </c>
    </row>
    <row r="39039">
      <c r="Y39039" s="372">
        <v>0.0</v>
      </c>
      <c r="Z39039" s="372">
        <v>0.0</v>
      </c>
    </row>
    <row r="39040">
      <c r="Y39040" s="372">
        <v>0.0</v>
      </c>
      <c r="Z39040" s="372">
        <v>0.0</v>
      </c>
    </row>
    <row r="39041">
      <c r="Y39041" s="372">
        <v>0.0</v>
      </c>
      <c r="Z39041" s="372">
        <v>0.0</v>
      </c>
    </row>
    <row r="39042">
      <c r="Y39042" s="372">
        <v>0.0</v>
      </c>
      <c r="Z39042" s="372">
        <v>0.0</v>
      </c>
    </row>
    <row r="39043">
      <c r="Y39043" s="372">
        <v>0.0</v>
      </c>
      <c r="Z39043" s="372">
        <v>0.0</v>
      </c>
    </row>
    <row r="39044">
      <c r="Y39044" s="372">
        <v>0.0</v>
      </c>
      <c r="Z39044" s="372">
        <v>0.0</v>
      </c>
    </row>
    <row r="39045">
      <c r="Y39045" s="372">
        <v>0.0</v>
      </c>
      <c r="Z39045" s="372">
        <v>0.0</v>
      </c>
    </row>
    <row r="39046">
      <c r="Y39046" s="372">
        <v>0.0</v>
      </c>
      <c r="Z39046" s="372">
        <v>0.0</v>
      </c>
    </row>
    <row r="39047">
      <c r="Y39047" s="372">
        <v>0.0</v>
      </c>
      <c r="Z39047" s="372">
        <v>0.0</v>
      </c>
    </row>
    <row r="39048">
      <c r="Y39048" s="372">
        <v>0.0</v>
      </c>
      <c r="Z39048" s="372">
        <v>0.0</v>
      </c>
    </row>
    <row r="39049">
      <c r="Y39049" s="372">
        <v>0.0</v>
      </c>
      <c r="Z39049" s="372">
        <v>0.0</v>
      </c>
    </row>
    <row r="39050">
      <c r="Y39050" s="372">
        <v>0.0</v>
      </c>
      <c r="Z39050" s="372">
        <v>0.0</v>
      </c>
    </row>
    <row r="39051">
      <c r="Y39051" s="372">
        <v>0.0</v>
      </c>
      <c r="Z39051" s="372">
        <v>0.0</v>
      </c>
    </row>
    <row r="39052">
      <c r="Y39052" s="372">
        <v>0.0</v>
      </c>
      <c r="Z39052" s="372">
        <v>0.0</v>
      </c>
    </row>
    <row r="39053">
      <c r="Y39053" s="372">
        <v>0.0</v>
      </c>
      <c r="Z39053" s="372">
        <v>0.0</v>
      </c>
    </row>
    <row r="39054">
      <c r="Y39054" s="372">
        <v>0.0</v>
      </c>
      <c r="Z39054" s="372">
        <v>0.0</v>
      </c>
    </row>
    <row r="39055">
      <c r="Y39055" s="372">
        <v>0.0</v>
      </c>
      <c r="Z39055" s="372">
        <v>0.0</v>
      </c>
    </row>
    <row r="39056">
      <c r="Y39056" s="372">
        <v>0.0</v>
      </c>
      <c r="Z39056" s="372">
        <v>0.0</v>
      </c>
    </row>
    <row r="39057">
      <c r="Y39057" s="372">
        <v>0.0</v>
      </c>
      <c r="Z39057" s="372">
        <v>0.0</v>
      </c>
    </row>
    <row r="39058">
      <c r="Y39058" s="372">
        <v>0.0</v>
      </c>
      <c r="Z39058" s="372">
        <v>0.0</v>
      </c>
    </row>
    <row r="39059">
      <c r="Y39059" s="372">
        <v>0.0</v>
      </c>
      <c r="Z39059" s="372">
        <v>0.0</v>
      </c>
    </row>
    <row r="39060">
      <c r="Y39060" s="372">
        <v>0.0</v>
      </c>
      <c r="Z39060" s="372">
        <v>0.0</v>
      </c>
    </row>
    <row r="39061">
      <c r="Y39061" s="372">
        <v>0.0</v>
      </c>
      <c r="Z39061" s="372">
        <v>0.0</v>
      </c>
    </row>
    <row r="39062">
      <c r="Y39062" s="372">
        <v>0.0</v>
      </c>
      <c r="Z39062" s="372">
        <v>0.0</v>
      </c>
    </row>
    <row r="39063">
      <c r="Y39063" s="372">
        <v>0.0</v>
      </c>
      <c r="Z39063" s="372">
        <v>0.0</v>
      </c>
    </row>
    <row r="39064">
      <c r="Y39064" s="372">
        <v>0.0</v>
      </c>
      <c r="Z39064" s="372">
        <v>0.0</v>
      </c>
    </row>
    <row r="39065">
      <c r="Y39065" s="372">
        <v>0.0</v>
      </c>
      <c r="Z39065" s="372">
        <v>0.0</v>
      </c>
    </row>
    <row r="39066">
      <c r="Y39066" s="372">
        <v>0.0</v>
      </c>
      <c r="Z39066" s="372">
        <v>0.0</v>
      </c>
    </row>
    <row r="39067">
      <c r="Y39067" s="372">
        <v>0.0</v>
      </c>
      <c r="Z39067" s="372">
        <v>0.0</v>
      </c>
    </row>
    <row r="39068">
      <c r="Y39068" s="372">
        <v>0.0</v>
      </c>
      <c r="Z39068" s="372">
        <v>0.0</v>
      </c>
    </row>
    <row r="39069">
      <c r="Y39069" s="372">
        <v>0.0</v>
      </c>
      <c r="Z39069" s="372">
        <v>0.0</v>
      </c>
    </row>
    <row r="39070">
      <c r="Y39070" s="372">
        <v>0.0</v>
      </c>
      <c r="Z39070" s="372">
        <v>0.0</v>
      </c>
    </row>
    <row r="39071">
      <c r="Y39071" s="372">
        <v>0.0</v>
      </c>
      <c r="Z39071" s="372">
        <v>0.0</v>
      </c>
    </row>
    <row r="39072">
      <c r="Y39072" s="372">
        <v>0.0</v>
      </c>
      <c r="Z39072" s="372">
        <v>0.0</v>
      </c>
    </row>
    <row r="39073">
      <c r="Y39073" s="372">
        <v>0.0</v>
      </c>
      <c r="Z39073" s="372">
        <v>0.0</v>
      </c>
    </row>
    <row r="39074">
      <c r="Y39074" s="372">
        <v>0.0</v>
      </c>
      <c r="Z39074" s="372">
        <v>0.0</v>
      </c>
    </row>
    <row r="39075">
      <c r="Y39075" s="372">
        <v>0.0</v>
      </c>
      <c r="Z39075" s="372">
        <v>0.0</v>
      </c>
    </row>
    <row r="39076">
      <c r="Y39076" s="372">
        <v>0.0</v>
      </c>
      <c r="Z39076" s="372">
        <v>0.0</v>
      </c>
    </row>
    <row r="39077">
      <c r="Y39077" s="372">
        <v>0.0</v>
      </c>
      <c r="Z39077" s="372">
        <v>0.0</v>
      </c>
    </row>
    <row r="39078">
      <c r="Y39078" s="372">
        <v>0.0</v>
      </c>
      <c r="Z39078" s="372">
        <v>0.0</v>
      </c>
    </row>
    <row r="39079">
      <c r="Y39079" s="372">
        <v>0.0</v>
      </c>
      <c r="Z39079" s="372">
        <v>0.0</v>
      </c>
    </row>
    <row r="39080">
      <c r="Y39080" s="372">
        <v>0.0</v>
      </c>
      <c r="Z39080" s="372">
        <v>0.0</v>
      </c>
    </row>
    <row r="39081">
      <c r="Y39081" s="372">
        <v>0.0</v>
      </c>
      <c r="Z39081" s="372">
        <v>0.0</v>
      </c>
    </row>
    <row r="39082">
      <c r="Y39082" s="372">
        <v>0.0</v>
      </c>
      <c r="Z39082" s="372">
        <v>0.0</v>
      </c>
    </row>
    <row r="39083">
      <c r="Y39083" s="372">
        <v>0.0</v>
      </c>
      <c r="Z39083" s="372">
        <v>0.0</v>
      </c>
    </row>
    <row r="39084">
      <c r="Y39084" s="372">
        <v>0.0</v>
      </c>
      <c r="Z39084" s="372">
        <v>0.0</v>
      </c>
    </row>
    <row r="39085">
      <c r="Y39085" s="372">
        <v>0.0</v>
      </c>
      <c r="Z39085" s="372">
        <v>0.0</v>
      </c>
    </row>
    <row r="39086">
      <c r="Y39086" s="372">
        <v>0.0</v>
      </c>
      <c r="Z39086" s="372">
        <v>0.0</v>
      </c>
    </row>
    <row r="39087">
      <c r="Y39087" s="372">
        <v>0.0</v>
      </c>
      <c r="Z39087" s="372">
        <v>0.0</v>
      </c>
    </row>
    <row r="39088">
      <c r="Y39088" s="372">
        <v>0.0</v>
      </c>
      <c r="Z39088" s="372">
        <v>0.0</v>
      </c>
    </row>
    <row r="39089">
      <c r="Y39089" s="372">
        <v>0.0</v>
      </c>
      <c r="Z39089" s="372">
        <v>0.0</v>
      </c>
    </row>
    <row r="39090">
      <c r="Y39090" s="372">
        <v>0.0</v>
      </c>
      <c r="Z39090" s="372">
        <v>0.0</v>
      </c>
    </row>
    <row r="39091">
      <c r="Y39091" s="372">
        <v>0.0</v>
      </c>
      <c r="Z39091" s="372">
        <v>0.0</v>
      </c>
    </row>
    <row r="39092">
      <c r="Y39092" s="372">
        <v>0.0</v>
      </c>
      <c r="Z39092" s="372">
        <v>0.0</v>
      </c>
    </row>
    <row r="39093">
      <c r="Y39093" s="372">
        <v>0.0</v>
      </c>
      <c r="Z39093" s="372">
        <v>0.0</v>
      </c>
    </row>
    <row r="39094">
      <c r="Y39094" s="372">
        <v>0.0</v>
      </c>
      <c r="Z39094" s="372">
        <v>0.0</v>
      </c>
    </row>
    <row r="39095">
      <c r="Y39095" s="372">
        <v>0.0</v>
      </c>
      <c r="Z39095" s="372">
        <v>0.0</v>
      </c>
    </row>
    <row r="39096">
      <c r="Y39096" s="372">
        <v>0.0</v>
      </c>
      <c r="Z39096" s="372">
        <v>0.0</v>
      </c>
    </row>
    <row r="39097">
      <c r="Y39097" s="372">
        <v>0.0</v>
      </c>
      <c r="Z39097" s="372">
        <v>0.0</v>
      </c>
    </row>
    <row r="39098">
      <c r="Y39098" s="372">
        <v>0.0</v>
      </c>
      <c r="Z39098" s="372">
        <v>0.0</v>
      </c>
    </row>
    <row r="39099">
      <c r="Y39099" s="372">
        <v>0.0</v>
      </c>
      <c r="Z39099" s="372">
        <v>0.0</v>
      </c>
    </row>
    <row r="39100">
      <c r="Y39100" s="372">
        <v>0.0</v>
      </c>
      <c r="Z39100" s="372">
        <v>0.0</v>
      </c>
    </row>
    <row r="39101">
      <c r="Y39101" s="372">
        <v>0.0</v>
      </c>
      <c r="Z39101" s="372">
        <v>0.0</v>
      </c>
    </row>
    <row r="39102">
      <c r="Y39102" s="372">
        <v>0.0</v>
      </c>
      <c r="Z39102" s="372">
        <v>0.0</v>
      </c>
    </row>
    <row r="39103">
      <c r="Y39103" s="372">
        <v>0.0</v>
      </c>
      <c r="Z39103" s="372">
        <v>0.0</v>
      </c>
    </row>
    <row r="39104">
      <c r="Y39104" s="372">
        <v>0.0</v>
      </c>
      <c r="Z39104" s="372">
        <v>0.0</v>
      </c>
    </row>
    <row r="39105">
      <c r="Y39105" s="372">
        <v>0.0</v>
      </c>
      <c r="Z39105" s="372">
        <v>0.0</v>
      </c>
    </row>
    <row r="39106">
      <c r="Y39106" s="372">
        <v>0.0</v>
      </c>
      <c r="Z39106" s="372">
        <v>0.0</v>
      </c>
    </row>
    <row r="39107">
      <c r="Y39107" s="372">
        <v>0.0</v>
      </c>
      <c r="Z39107" s="372">
        <v>0.0</v>
      </c>
    </row>
    <row r="39108">
      <c r="Y39108" s="372">
        <v>0.0</v>
      </c>
      <c r="Z39108" s="372">
        <v>0.0</v>
      </c>
    </row>
    <row r="39109">
      <c r="Y39109" s="372">
        <v>0.0</v>
      </c>
      <c r="Z39109" s="372">
        <v>0.0</v>
      </c>
    </row>
    <row r="39110">
      <c r="Y39110" s="372">
        <v>0.0</v>
      </c>
      <c r="Z39110" s="372">
        <v>0.0</v>
      </c>
    </row>
    <row r="39111">
      <c r="Y39111" s="372">
        <v>0.0</v>
      </c>
      <c r="Z39111" s="372">
        <v>0.0</v>
      </c>
    </row>
    <row r="39112">
      <c r="Y39112" s="372">
        <v>0.0</v>
      </c>
      <c r="Z39112" s="372">
        <v>0.0</v>
      </c>
    </row>
    <row r="39113">
      <c r="Y39113" s="372">
        <v>0.0</v>
      </c>
      <c r="Z39113" s="372">
        <v>0.0</v>
      </c>
    </row>
    <row r="39114">
      <c r="Y39114" s="372">
        <v>0.0</v>
      </c>
      <c r="Z39114" s="372">
        <v>0.0</v>
      </c>
    </row>
    <row r="39115">
      <c r="Y39115" s="372">
        <v>0.0</v>
      </c>
      <c r="Z39115" s="372">
        <v>0.0</v>
      </c>
    </row>
    <row r="39116">
      <c r="Y39116" s="372">
        <v>0.0</v>
      </c>
      <c r="Z39116" s="372">
        <v>0.0</v>
      </c>
    </row>
    <row r="39117">
      <c r="Y39117" s="372">
        <v>0.0</v>
      </c>
      <c r="Z39117" s="372">
        <v>0.0</v>
      </c>
    </row>
    <row r="39118">
      <c r="Y39118" s="372">
        <v>0.0</v>
      </c>
      <c r="Z39118" s="372">
        <v>0.0</v>
      </c>
    </row>
    <row r="39119">
      <c r="Y39119" s="372">
        <v>0.0</v>
      </c>
      <c r="Z39119" s="372">
        <v>0.0</v>
      </c>
    </row>
    <row r="39120">
      <c r="Y39120" s="372">
        <v>0.0</v>
      </c>
      <c r="Z39120" s="372">
        <v>0.0</v>
      </c>
    </row>
    <row r="39121">
      <c r="Y39121" s="372">
        <v>0.0</v>
      </c>
      <c r="Z39121" s="372">
        <v>0.0</v>
      </c>
    </row>
    <row r="39122">
      <c r="Y39122" s="372">
        <v>0.0</v>
      </c>
      <c r="Z39122" s="372">
        <v>0.0</v>
      </c>
    </row>
    <row r="39123">
      <c r="Y39123" s="372">
        <v>0.0</v>
      </c>
      <c r="Z39123" s="372">
        <v>0.0</v>
      </c>
    </row>
    <row r="39124">
      <c r="Y39124" s="372">
        <v>0.0</v>
      </c>
      <c r="Z39124" s="372">
        <v>0.0</v>
      </c>
    </row>
    <row r="39125">
      <c r="Y39125" s="372">
        <v>0.0</v>
      </c>
      <c r="Z39125" s="372">
        <v>0.0</v>
      </c>
    </row>
    <row r="39126">
      <c r="Y39126" s="372">
        <v>0.0</v>
      </c>
      <c r="Z39126" s="372">
        <v>0.0</v>
      </c>
    </row>
    <row r="39127">
      <c r="Y39127" s="372">
        <v>0.0</v>
      </c>
      <c r="Z39127" s="372">
        <v>0.0</v>
      </c>
    </row>
    <row r="39128">
      <c r="Y39128" s="372">
        <v>0.0</v>
      </c>
      <c r="Z39128" s="372">
        <v>0.0</v>
      </c>
    </row>
    <row r="39129">
      <c r="Y39129" s="372">
        <v>0.0</v>
      </c>
      <c r="Z39129" s="372">
        <v>0.0</v>
      </c>
    </row>
    <row r="39130">
      <c r="Y39130" s="372">
        <v>0.0</v>
      </c>
      <c r="Z39130" s="372">
        <v>0.0</v>
      </c>
    </row>
    <row r="39131">
      <c r="Y39131" s="372">
        <v>0.0</v>
      </c>
      <c r="Z39131" s="372">
        <v>0.0</v>
      </c>
    </row>
    <row r="39132">
      <c r="Y39132" s="372">
        <v>0.0</v>
      </c>
      <c r="Z39132" s="372">
        <v>0.0</v>
      </c>
    </row>
    <row r="39133">
      <c r="Y39133" s="372">
        <v>0.0</v>
      </c>
      <c r="Z39133" s="372">
        <v>0.0</v>
      </c>
    </row>
    <row r="39134">
      <c r="Y39134" s="372">
        <v>0.0</v>
      </c>
      <c r="Z39134" s="372">
        <v>0.0</v>
      </c>
    </row>
    <row r="39135">
      <c r="Y39135" s="372">
        <v>0.0</v>
      </c>
      <c r="Z39135" s="372">
        <v>0.0</v>
      </c>
    </row>
    <row r="39136">
      <c r="Y39136" s="372">
        <v>0.0</v>
      </c>
      <c r="Z39136" s="372">
        <v>0.0</v>
      </c>
    </row>
    <row r="39137">
      <c r="Y39137" s="372">
        <v>0.0</v>
      </c>
      <c r="Z39137" s="372">
        <v>0.0</v>
      </c>
    </row>
    <row r="39138">
      <c r="Y39138" s="372">
        <v>0.0</v>
      </c>
      <c r="Z39138" s="372">
        <v>0.0</v>
      </c>
    </row>
    <row r="39139">
      <c r="Y39139" s="372">
        <v>0.0</v>
      </c>
      <c r="Z39139" s="372">
        <v>0.0</v>
      </c>
    </row>
    <row r="39140">
      <c r="Y39140" s="372">
        <v>0.0</v>
      </c>
      <c r="Z39140" s="372">
        <v>0.0</v>
      </c>
    </row>
    <row r="39141">
      <c r="Y39141" s="372">
        <v>0.0</v>
      </c>
      <c r="Z39141" s="372">
        <v>0.0</v>
      </c>
    </row>
    <row r="39142">
      <c r="Y39142" s="372">
        <v>0.0</v>
      </c>
      <c r="Z39142" s="372">
        <v>0.0</v>
      </c>
    </row>
    <row r="39143">
      <c r="Y39143" s="372">
        <v>0.0</v>
      </c>
      <c r="Z39143" s="372">
        <v>0.0</v>
      </c>
    </row>
    <row r="39144">
      <c r="Y39144" s="372">
        <v>0.0</v>
      </c>
      <c r="Z39144" s="372">
        <v>0.0</v>
      </c>
    </row>
    <row r="39145">
      <c r="Y39145" s="372">
        <v>0.0</v>
      </c>
      <c r="Z39145" s="372">
        <v>0.0</v>
      </c>
    </row>
    <row r="39146">
      <c r="Y39146" s="372">
        <v>0.0</v>
      </c>
      <c r="Z39146" s="372">
        <v>0.0</v>
      </c>
    </row>
    <row r="39147">
      <c r="Y39147" s="372">
        <v>0.0</v>
      </c>
      <c r="Z39147" s="372">
        <v>0.0</v>
      </c>
    </row>
    <row r="39148">
      <c r="Y39148" s="372">
        <v>0.0</v>
      </c>
      <c r="Z39148" s="372">
        <v>0.0</v>
      </c>
    </row>
    <row r="39149">
      <c r="Y39149" s="372">
        <v>0.0</v>
      </c>
      <c r="Z39149" s="372">
        <v>0.0</v>
      </c>
    </row>
    <row r="39150">
      <c r="Y39150" s="372">
        <v>0.0</v>
      </c>
      <c r="Z39150" s="372">
        <v>0.0</v>
      </c>
    </row>
    <row r="39151">
      <c r="Y39151" s="372">
        <v>0.0</v>
      </c>
      <c r="Z39151" s="372">
        <v>0.0</v>
      </c>
    </row>
    <row r="39152">
      <c r="Y39152" s="372">
        <v>0.0</v>
      </c>
      <c r="Z39152" s="372">
        <v>0.0</v>
      </c>
    </row>
    <row r="39153">
      <c r="Y39153" s="372">
        <v>0.0</v>
      </c>
      <c r="Z39153" s="372">
        <v>0.0</v>
      </c>
    </row>
    <row r="39154">
      <c r="Y39154" s="372">
        <v>0.0</v>
      </c>
      <c r="Z39154" s="372">
        <v>0.0</v>
      </c>
    </row>
    <row r="39155">
      <c r="Y39155" s="372">
        <v>0.0</v>
      </c>
      <c r="Z39155" s="372">
        <v>0.0</v>
      </c>
    </row>
    <row r="39156">
      <c r="Y39156" s="372">
        <v>0.0</v>
      </c>
      <c r="Z39156" s="372">
        <v>0.0</v>
      </c>
    </row>
    <row r="39157">
      <c r="Y39157" s="372">
        <v>0.0</v>
      </c>
      <c r="Z39157" s="372">
        <v>0.0</v>
      </c>
    </row>
    <row r="39158">
      <c r="Y39158" s="372">
        <v>0.0</v>
      </c>
      <c r="Z39158" s="372">
        <v>0.0</v>
      </c>
    </row>
    <row r="39159">
      <c r="Y39159" s="372">
        <v>0.0</v>
      </c>
      <c r="Z39159" s="372">
        <v>0.0</v>
      </c>
    </row>
    <row r="39160">
      <c r="Y39160" s="372">
        <v>0.0</v>
      </c>
      <c r="Z39160" s="372">
        <v>0.0</v>
      </c>
    </row>
    <row r="39161">
      <c r="Y39161" s="372">
        <v>0.0</v>
      </c>
      <c r="Z39161" s="372">
        <v>0.0</v>
      </c>
    </row>
    <row r="39162">
      <c r="Y39162" s="372">
        <v>0.0</v>
      </c>
      <c r="Z39162" s="372">
        <v>0.0</v>
      </c>
    </row>
    <row r="39163">
      <c r="Y39163" s="372">
        <v>0.0</v>
      </c>
      <c r="Z39163" s="372">
        <v>0.0</v>
      </c>
    </row>
    <row r="39164">
      <c r="Y39164" s="372">
        <v>0.0</v>
      </c>
      <c r="Z39164" s="372">
        <v>0.0</v>
      </c>
    </row>
    <row r="39165">
      <c r="Y39165" s="372">
        <v>0.0</v>
      </c>
      <c r="Z39165" s="372">
        <v>0.0</v>
      </c>
    </row>
    <row r="39166">
      <c r="Y39166" s="372">
        <v>0.0</v>
      </c>
      <c r="Z39166" s="372">
        <v>0.0</v>
      </c>
    </row>
    <row r="39167">
      <c r="Y39167" s="372">
        <v>0.0</v>
      </c>
      <c r="Z39167" s="372">
        <v>0.0</v>
      </c>
    </row>
    <row r="39168">
      <c r="Y39168" s="372">
        <v>0.0</v>
      </c>
      <c r="Z39168" s="372">
        <v>0.0</v>
      </c>
    </row>
    <row r="39169">
      <c r="Y39169" s="372">
        <v>0.0</v>
      </c>
      <c r="Z39169" s="372">
        <v>0.0</v>
      </c>
    </row>
    <row r="39170">
      <c r="Y39170" s="372">
        <v>0.0</v>
      </c>
      <c r="Z39170" s="372">
        <v>0.0</v>
      </c>
    </row>
    <row r="39171">
      <c r="Y39171" s="372">
        <v>0.0</v>
      </c>
      <c r="Z39171" s="372">
        <v>0.0</v>
      </c>
    </row>
    <row r="39172">
      <c r="Y39172" s="372">
        <v>0.0</v>
      </c>
      <c r="Z39172" s="372">
        <v>0.0</v>
      </c>
    </row>
    <row r="39173">
      <c r="Y39173" s="372">
        <v>0.0</v>
      </c>
      <c r="Z39173" s="372">
        <v>0.0</v>
      </c>
    </row>
    <row r="39174">
      <c r="Y39174" s="372">
        <v>0.0</v>
      </c>
      <c r="Z39174" s="372">
        <v>0.0</v>
      </c>
    </row>
    <row r="39175">
      <c r="Y39175" s="372">
        <v>0.0</v>
      </c>
      <c r="Z39175" s="372">
        <v>0.0</v>
      </c>
    </row>
    <row r="39176">
      <c r="Y39176" s="372">
        <v>0.0</v>
      </c>
      <c r="Z39176" s="372">
        <v>0.0</v>
      </c>
    </row>
    <row r="39177">
      <c r="Y39177" s="372">
        <v>0.0</v>
      </c>
      <c r="Z39177" s="372">
        <v>0.0</v>
      </c>
    </row>
    <row r="39178">
      <c r="Y39178" s="372">
        <v>0.0</v>
      </c>
      <c r="Z39178" s="372">
        <v>0.0</v>
      </c>
    </row>
    <row r="39179">
      <c r="Y39179" s="372">
        <v>0.0</v>
      </c>
      <c r="Z39179" s="372">
        <v>0.0</v>
      </c>
    </row>
    <row r="39180">
      <c r="Y39180" s="372">
        <v>0.0</v>
      </c>
      <c r="Z39180" s="372">
        <v>0.0</v>
      </c>
    </row>
    <row r="39181">
      <c r="Y39181" s="372">
        <v>0.0</v>
      </c>
      <c r="Z39181" s="372">
        <v>0.0</v>
      </c>
    </row>
    <row r="39182">
      <c r="Y39182" s="372">
        <v>0.0</v>
      </c>
      <c r="Z39182" s="372">
        <v>0.0</v>
      </c>
    </row>
    <row r="39183">
      <c r="Y39183" s="372">
        <v>0.0</v>
      </c>
      <c r="Z39183" s="372">
        <v>0.0</v>
      </c>
    </row>
    <row r="39184">
      <c r="Y39184" s="372">
        <v>0.0</v>
      </c>
      <c r="Z39184" s="372">
        <v>0.0</v>
      </c>
    </row>
    <row r="39185">
      <c r="Y39185" s="372">
        <v>0.0</v>
      </c>
      <c r="Z39185" s="372">
        <v>0.0</v>
      </c>
    </row>
    <row r="39186">
      <c r="Y39186" s="372">
        <v>0.0</v>
      </c>
      <c r="Z39186" s="372">
        <v>0.0</v>
      </c>
    </row>
    <row r="39187">
      <c r="Y39187" s="372">
        <v>0.0</v>
      </c>
      <c r="Z39187" s="372">
        <v>0.0</v>
      </c>
    </row>
    <row r="39188">
      <c r="Y39188" s="372">
        <v>0.0</v>
      </c>
      <c r="Z39188" s="372">
        <v>0.0</v>
      </c>
    </row>
    <row r="39189">
      <c r="Y39189" s="372">
        <v>0.0</v>
      </c>
      <c r="Z39189" s="372">
        <v>0.0</v>
      </c>
    </row>
    <row r="39190">
      <c r="Y39190" s="372">
        <v>0.0</v>
      </c>
      <c r="Z39190" s="372">
        <v>0.0</v>
      </c>
    </row>
    <row r="39191">
      <c r="Y39191" s="372">
        <v>0.0</v>
      </c>
      <c r="Z39191" s="372">
        <v>0.0</v>
      </c>
    </row>
    <row r="39192">
      <c r="Y39192" s="372">
        <v>0.0</v>
      </c>
      <c r="Z39192" s="372">
        <v>0.0</v>
      </c>
    </row>
    <row r="39193">
      <c r="Y39193" s="372">
        <v>0.0</v>
      </c>
      <c r="Z39193" s="372">
        <v>0.0</v>
      </c>
    </row>
    <row r="39194">
      <c r="Y39194" s="372">
        <v>0.0</v>
      </c>
      <c r="Z39194" s="372">
        <v>0.0</v>
      </c>
    </row>
    <row r="39195">
      <c r="Y39195" s="372">
        <v>0.0</v>
      </c>
      <c r="Z39195" s="372">
        <v>0.0</v>
      </c>
    </row>
    <row r="39196">
      <c r="Y39196" s="372">
        <v>0.0</v>
      </c>
      <c r="Z39196" s="372">
        <v>0.0</v>
      </c>
    </row>
    <row r="39197">
      <c r="Y39197" s="372">
        <v>0.0</v>
      </c>
      <c r="Z39197" s="372">
        <v>0.0</v>
      </c>
    </row>
    <row r="39198">
      <c r="Y39198" s="372">
        <v>0.0</v>
      </c>
      <c r="Z39198" s="372">
        <v>0.0</v>
      </c>
    </row>
    <row r="39199">
      <c r="Y39199" s="372">
        <v>0.0</v>
      </c>
      <c r="Z39199" s="372">
        <v>0.0</v>
      </c>
    </row>
    <row r="39200">
      <c r="Y39200" s="372">
        <v>0.0</v>
      </c>
      <c r="Z39200" s="372">
        <v>0.0</v>
      </c>
    </row>
    <row r="39201">
      <c r="Y39201" s="372">
        <v>0.0</v>
      </c>
      <c r="Z39201" s="372">
        <v>0.0</v>
      </c>
    </row>
    <row r="39202">
      <c r="Y39202" s="372">
        <v>0.0</v>
      </c>
      <c r="Z39202" s="372">
        <v>0.0</v>
      </c>
    </row>
    <row r="39203">
      <c r="Y39203" s="372">
        <v>0.0</v>
      </c>
      <c r="Z39203" s="372">
        <v>0.0</v>
      </c>
    </row>
    <row r="39204">
      <c r="Y39204" s="372">
        <v>0.0</v>
      </c>
      <c r="Z39204" s="372">
        <v>0.0</v>
      </c>
    </row>
    <row r="39205">
      <c r="Y39205" s="372">
        <v>0.0</v>
      </c>
      <c r="Z39205" s="372">
        <v>0.0</v>
      </c>
    </row>
    <row r="39206">
      <c r="Y39206" s="372">
        <v>0.0</v>
      </c>
      <c r="Z39206" s="372">
        <v>0.0</v>
      </c>
    </row>
    <row r="39207">
      <c r="Y39207" s="372">
        <v>0.0</v>
      </c>
      <c r="Z39207" s="372">
        <v>0.0</v>
      </c>
    </row>
    <row r="39208">
      <c r="Y39208" s="372">
        <v>0.0</v>
      </c>
      <c r="Z39208" s="372">
        <v>0.0</v>
      </c>
    </row>
    <row r="39209">
      <c r="Y39209" s="372">
        <v>0.0</v>
      </c>
      <c r="Z39209" s="372">
        <v>0.0</v>
      </c>
    </row>
    <row r="39210">
      <c r="Y39210" s="372">
        <v>0.0</v>
      </c>
      <c r="Z39210" s="372">
        <v>0.0</v>
      </c>
    </row>
    <row r="39211">
      <c r="Y39211" s="372">
        <v>0.0</v>
      </c>
      <c r="Z39211" s="372">
        <v>0.0</v>
      </c>
    </row>
    <row r="39212">
      <c r="Y39212" s="372">
        <v>0.0</v>
      </c>
      <c r="Z39212" s="372">
        <v>0.0</v>
      </c>
    </row>
    <row r="39213">
      <c r="Y39213" s="372">
        <v>0.0</v>
      </c>
      <c r="Z39213" s="372">
        <v>0.0</v>
      </c>
    </row>
    <row r="39214">
      <c r="Y39214" s="372">
        <v>0.0</v>
      </c>
      <c r="Z39214" s="372">
        <v>0.0</v>
      </c>
    </row>
    <row r="39215">
      <c r="Y39215" s="372">
        <v>0.0</v>
      </c>
      <c r="Z39215" s="372">
        <v>0.0</v>
      </c>
    </row>
    <row r="39216">
      <c r="Y39216" s="372">
        <v>0.0</v>
      </c>
      <c r="Z39216" s="372">
        <v>0.0</v>
      </c>
    </row>
    <row r="39217">
      <c r="Y39217" s="372">
        <v>0.0</v>
      </c>
      <c r="Z39217" s="372">
        <v>0.0</v>
      </c>
    </row>
    <row r="39218">
      <c r="Y39218" s="372">
        <v>0.0</v>
      </c>
      <c r="Z39218" s="372">
        <v>0.0</v>
      </c>
    </row>
    <row r="39219">
      <c r="Y39219" s="372">
        <v>0.0</v>
      </c>
      <c r="Z39219" s="372">
        <v>0.0</v>
      </c>
    </row>
    <row r="39220">
      <c r="Y39220" s="372">
        <v>0.0</v>
      </c>
      <c r="Z39220" s="372">
        <v>0.0</v>
      </c>
    </row>
    <row r="39221">
      <c r="Y39221" s="372">
        <v>0.0</v>
      </c>
      <c r="Z39221" s="372">
        <v>0.0</v>
      </c>
    </row>
    <row r="39222">
      <c r="Y39222" s="372">
        <v>0.0</v>
      </c>
      <c r="Z39222" s="372">
        <v>0.0</v>
      </c>
    </row>
    <row r="39223">
      <c r="Y39223" s="372">
        <v>0.0</v>
      </c>
      <c r="Z39223" s="372">
        <v>0.0</v>
      </c>
    </row>
    <row r="39224">
      <c r="Y39224" s="372">
        <v>0.0</v>
      </c>
      <c r="Z39224" s="372">
        <v>0.0</v>
      </c>
    </row>
    <row r="39225">
      <c r="Y39225" s="372">
        <v>0.0</v>
      </c>
      <c r="Z39225" s="372">
        <v>0.0</v>
      </c>
    </row>
    <row r="39226">
      <c r="Y39226" s="372">
        <v>0.0</v>
      </c>
      <c r="Z39226" s="372">
        <v>0.0</v>
      </c>
    </row>
    <row r="39227">
      <c r="Y39227" s="372">
        <v>0.0</v>
      </c>
      <c r="Z39227" s="372">
        <v>0.0</v>
      </c>
    </row>
    <row r="39228">
      <c r="Y39228" s="372">
        <v>0.0</v>
      </c>
      <c r="Z39228" s="372">
        <v>0.0</v>
      </c>
    </row>
    <row r="39229">
      <c r="Y39229" s="372">
        <v>0.0</v>
      </c>
      <c r="Z39229" s="372">
        <v>0.0</v>
      </c>
    </row>
    <row r="39230">
      <c r="Y39230" s="372">
        <v>0.0</v>
      </c>
      <c r="Z39230" s="372">
        <v>0.0</v>
      </c>
    </row>
    <row r="39231">
      <c r="Y39231" s="372">
        <v>0.0</v>
      </c>
      <c r="Z39231" s="372">
        <v>0.0</v>
      </c>
    </row>
    <row r="39232">
      <c r="Y39232" s="372">
        <v>0.0</v>
      </c>
      <c r="Z39232" s="372">
        <v>0.0</v>
      </c>
    </row>
    <row r="39233">
      <c r="Y39233" s="372">
        <v>0.0</v>
      </c>
      <c r="Z39233" s="372">
        <v>0.0</v>
      </c>
    </row>
    <row r="39234">
      <c r="Y39234" s="372">
        <v>0.0</v>
      </c>
      <c r="Z39234" s="372">
        <v>0.0</v>
      </c>
    </row>
    <row r="39235">
      <c r="Y39235" s="372">
        <v>0.0</v>
      </c>
      <c r="Z39235" s="372">
        <v>0.0</v>
      </c>
    </row>
    <row r="39236">
      <c r="Y39236" s="372">
        <v>0.0</v>
      </c>
      <c r="Z39236" s="372">
        <v>0.0</v>
      </c>
    </row>
    <row r="39237">
      <c r="Y39237" s="372">
        <v>0.0</v>
      </c>
      <c r="Z39237" s="372">
        <v>0.0</v>
      </c>
    </row>
    <row r="39238">
      <c r="Y39238" s="372">
        <v>0.0</v>
      </c>
      <c r="Z39238" s="372">
        <v>0.0</v>
      </c>
    </row>
    <row r="39239">
      <c r="Y39239" s="372">
        <v>0.0</v>
      </c>
      <c r="Z39239" s="372">
        <v>0.0</v>
      </c>
    </row>
    <row r="39240">
      <c r="Y39240" s="372">
        <v>0.0</v>
      </c>
      <c r="Z39240" s="372">
        <v>0.0</v>
      </c>
    </row>
    <row r="39241">
      <c r="Y39241" s="372">
        <v>0.0</v>
      </c>
      <c r="Z39241" s="372">
        <v>0.0</v>
      </c>
    </row>
    <row r="39242">
      <c r="Y39242" s="372">
        <v>0.0</v>
      </c>
      <c r="Z39242" s="372">
        <v>0.0</v>
      </c>
    </row>
    <row r="39243">
      <c r="Y39243" s="372">
        <v>0.0</v>
      </c>
      <c r="Z39243" s="372">
        <v>0.0</v>
      </c>
    </row>
    <row r="39244">
      <c r="Y39244" s="372">
        <v>0.0</v>
      </c>
      <c r="Z39244" s="372">
        <v>0.0</v>
      </c>
    </row>
    <row r="39245">
      <c r="Y39245" s="372">
        <v>0.0</v>
      </c>
      <c r="Z39245" s="372">
        <v>0.0</v>
      </c>
    </row>
    <row r="39246">
      <c r="Y39246" s="372">
        <v>0.0</v>
      </c>
      <c r="Z39246" s="372">
        <v>0.0</v>
      </c>
    </row>
    <row r="39247">
      <c r="Y39247" s="372">
        <v>0.0</v>
      </c>
      <c r="Z39247" s="372">
        <v>0.0</v>
      </c>
    </row>
    <row r="39248">
      <c r="Y39248" s="372">
        <v>0.0</v>
      </c>
      <c r="Z39248" s="372">
        <v>0.0</v>
      </c>
    </row>
    <row r="39249">
      <c r="Y39249" s="372">
        <v>0.0</v>
      </c>
      <c r="Z39249" s="372">
        <v>0.0</v>
      </c>
    </row>
    <row r="39250">
      <c r="Y39250" s="372">
        <v>0.0</v>
      </c>
      <c r="Z39250" s="372">
        <v>0.0</v>
      </c>
    </row>
    <row r="39251">
      <c r="Y39251" s="372">
        <v>0.0</v>
      </c>
      <c r="Z39251" s="372">
        <v>0.0</v>
      </c>
    </row>
    <row r="39252">
      <c r="Y39252" s="372">
        <v>0.0</v>
      </c>
      <c r="Z39252" s="372">
        <v>0.0</v>
      </c>
    </row>
    <row r="39253">
      <c r="Y39253" s="372">
        <v>0.0</v>
      </c>
      <c r="Z39253" s="372">
        <v>0.0</v>
      </c>
    </row>
    <row r="39254">
      <c r="Y39254" s="372">
        <v>0.0</v>
      </c>
      <c r="Z39254" s="372">
        <v>0.0</v>
      </c>
    </row>
    <row r="39255">
      <c r="Y39255" s="372">
        <v>0.0</v>
      </c>
      <c r="Z39255" s="372">
        <v>0.0</v>
      </c>
    </row>
    <row r="39256">
      <c r="Y39256" s="372">
        <v>0.0</v>
      </c>
      <c r="Z39256" s="372">
        <v>0.0</v>
      </c>
    </row>
    <row r="39257">
      <c r="Y39257" s="372">
        <v>0.0</v>
      </c>
      <c r="Z39257" s="372">
        <v>0.0</v>
      </c>
    </row>
    <row r="39258">
      <c r="Y39258" s="372">
        <v>0.0</v>
      </c>
      <c r="Z39258" s="372">
        <v>0.0</v>
      </c>
    </row>
    <row r="39259">
      <c r="Y39259" s="372">
        <v>0.0</v>
      </c>
      <c r="Z39259" s="372">
        <v>0.0</v>
      </c>
    </row>
    <row r="39260">
      <c r="Y39260" s="372">
        <v>0.0</v>
      </c>
      <c r="Z39260" s="372">
        <v>0.0</v>
      </c>
    </row>
    <row r="39261">
      <c r="Y39261" s="372">
        <v>0.0</v>
      </c>
      <c r="Z39261" s="372">
        <v>0.0</v>
      </c>
    </row>
    <row r="39262">
      <c r="Y39262" s="372">
        <v>0.0</v>
      </c>
      <c r="Z39262" s="372">
        <v>0.0</v>
      </c>
    </row>
    <row r="39263">
      <c r="Y39263" s="372">
        <v>0.0</v>
      </c>
      <c r="Z39263" s="372">
        <v>0.0</v>
      </c>
    </row>
    <row r="39264">
      <c r="Y39264" s="372">
        <v>0.0</v>
      </c>
      <c r="Z39264" s="372">
        <v>0.0</v>
      </c>
    </row>
    <row r="39265">
      <c r="Y39265" s="372">
        <v>0.0</v>
      </c>
      <c r="Z39265" s="372">
        <v>0.0</v>
      </c>
    </row>
    <row r="39266">
      <c r="Y39266" s="372">
        <v>0.0</v>
      </c>
      <c r="Z39266" s="372">
        <v>0.0</v>
      </c>
    </row>
    <row r="39267">
      <c r="Y39267" s="372">
        <v>0.0</v>
      </c>
      <c r="Z39267" s="372">
        <v>0.0</v>
      </c>
    </row>
    <row r="39268">
      <c r="Y39268" s="372">
        <v>0.0</v>
      </c>
      <c r="Z39268" s="372">
        <v>0.0</v>
      </c>
    </row>
    <row r="39269">
      <c r="Y39269" s="372">
        <v>0.0</v>
      </c>
      <c r="Z39269" s="372">
        <v>0.0</v>
      </c>
    </row>
    <row r="39270">
      <c r="Y39270" s="372">
        <v>0.0</v>
      </c>
      <c r="Z39270" s="372">
        <v>0.0</v>
      </c>
    </row>
    <row r="39271">
      <c r="Y39271" s="372">
        <v>0.0</v>
      </c>
      <c r="Z39271" s="372">
        <v>0.0</v>
      </c>
    </row>
    <row r="39272">
      <c r="Y39272" s="372">
        <v>0.0</v>
      </c>
      <c r="Z39272" s="372">
        <v>0.0</v>
      </c>
    </row>
    <row r="39273">
      <c r="Y39273" s="372">
        <v>0.0</v>
      </c>
      <c r="Z39273" s="372">
        <v>0.0</v>
      </c>
    </row>
    <row r="39274">
      <c r="Y39274" s="372">
        <v>0.0</v>
      </c>
      <c r="Z39274" s="372">
        <v>0.0</v>
      </c>
    </row>
    <row r="39275">
      <c r="Y39275" s="372">
        <v>0.0</v>
      </c>
      <c r="Z39275" s="372">
        <v>0.0</v>
      </c>
    </row>
    <row r="39276">
      <c r="Y39276" s="372">
        <v>0.0</v>
      </c>
      <c r="Z39276" s="372">
        <v>0.0</v>
      </c>
    </row>
    <row r="39277">
      <c r="Y39277" s="372">
        <v>0.0</v>
      </c>
      <c r="Z39277" s="372">
        <v>0.0</v>
      </c>
    </row>
    <row r="39278">
      <c r="Y39278" s="372">
        <v>0.0</v>
      </c>
      <c r="Z39278" s="372">
        <v>0.0</v>
      </c>
    </row>
    <row r="39279">
      <c r="Y39279" s="372">
        <v>0.0</v>
      </c>
      <c r="Z39279" s="372">
        <v>0.0</v>
      </c>
    </row>
    <row r="39280">
      <c r="Y39280" s="372">
        <v>0.0</v>
      </c>
      <c r="Z39280" s="372">
        <v>0.0</v>
      </c>
    </row>
    <row r="39281">
      <c r="Y39281" s="372">
        <v>0.0</v>
      </c>
      <c r="Z39281" s="372">
        <v>0.0</v>
      </c>
    </row>
    <row r="39282">
      <c r="Y39282" s="372">
        <v>0.0</v>
      </c>
      <c r="Z39282" s="372">
        <v>0.0</v>
      </c>
    </row>
    <row r="39283">
      <c r="Y39283" s="372">
        <v>0.0</v>
      </c>
      <c r="Z39283" s="372">
        <v>0.0</v>
      </c>
    </row>
    <row r="39284">
      <c r="Y39284" s="372">
        <v>0.0</v>
      </c>
      <c r="Z39284" s="372">
        <v>0.0</v>
      </c>
    </row>
    <row r="39285">
      <c r="Y39285" s="372">
        <v>0.0</v>
      </c>
      <c r="Z39285" s="372">
        <v>0.0</v>
      </c>
    </row>
    <row r="39286">
      <c r="Y39286" s="372">
        <v>0.0</v>
      </c>
      <c r="Z39286" s="372">
        <v>0.0</v>
      </c>
    </row>
    <row r="39287">
      <c r="Y39287" s="372">
        <v>0.0</v>
      </c>
      <c r="Z39287" s="372">
        <v>0.0</v>
      </c>
    </row>
    <row r="39288">
      <c r="Y39288" s="372">
        <v>0.0</v>
      </c>
      <c r="Z39288" s="372">
        <v>0.0</v>
      </c>
    </row>
    <row r="39289">
      <c r="Y39289" s="372">
        <v>0.0</v>
      </c>
      <c r="Z39289" s="372">
        <v>0.0</v>
      </c>
    </row>
    <row r="39290">
      <c r="Y39290" s="372">
        <v>0.0</v>
      </c>
      <c r="Z39290" s="372">
        <v>0.0</v>
      </c>
    </row>
    <row r="39291">
      <c r="Y39291" s="372">
        <v>0.0</v>
      </c>
      <c r="Z39291" s="372">
        <v>0.0</v>
      </c>
    </row>
    <row r="39292">
      <c r="Y39292" s="372">
        <v>0.0</v>
      </c>
      <c r="Z39292" s="372">
        <v>0.0</v>
      </c>
    </row>
    <row r="39293">
      <c r="Y39293" s="372">
        <v>0.0</v>
      </c>
      <c r="Z39293" s="372">
        <v>0.0</v>
      </c>
    </row>
    <row r="39294">
      <c r="Y39294" s="372">
        <v>0.0</v>
      </c>
      <c r="Z39294" s="372">
        <v>0.0</v>
      </c>
    </row>
    <row r="39295">
      <c r="Y39295" s="372">
        <v>0.0</v>
      </c>
      <c r="Z39295" s="372">
        <v>0.0</v>
      </c>
    </row>
    <row r="39296">
      <c r="Y39296" s="372">
        <v>0.0</v>
      </c>
      <c r="Z39296" s="372">
        <v>0.0</v>
      </c>
    </row>
    <row r="39297">
      <c r="Y39297" s="372">
        <v>0.0</v>
      </c>
      <c r="Z39297" s="372">
        <v>0.0</v>
      </c>
    </row>
    <row r="39298">
      <c r="Y39298" s="372">
        <v>0.0</v>
      </c>
      <c r="Z39298" s="372">
        <v>0.0</v>
      </c>
    </row>
    <row r="39299">
      <c r="Y39299" s="372">
        <v>0.0</v>
      </c>
      <c r="Z39299" s="372">
        <v>0.0</v>
      </c>
    </row>
    <row r="39300">
      <c r="Y39300" s="372">
        <v>0.0</v>
      </c>
      <c r="Z39300" s="372">
        <v>0.0</v>
      </c>
    </row>
    <row r="39301">
      <c r="Y39301" s="372">
        <v>0.0</v>
      </c>
      <c r="Z39301" s="372">
        <v>0.0</v>
      </c>
    </row>
    <row r="39302">
      <c r="Y39302" s="372">
        <v>0.0</v>
      </c>
      <c r="Z39302" s="372">
        <v>0.0</v>
      </c>
    </row>
    <row r="39303">
      <c r="Y39303" s="372">
        <v>0.0</v>
      </c>
      <c r="Z39303" s="372">
        <v>0.0</v>
      </c>
    </row>
    <row r="39304">
      <c r="Y39304" s="372">
        <v>0.0</v>
      </c>
      <c r="Z39304" s="372">
        <v>0.0</v>
      </c>
    </row>
    <row r="39305">
      <c r="Y39305" s="372">
        <v>0.0</v>
      </c>
      <c r="Z39305" s="372">
        <v>0.0</v>
      </c>
    </row>
    <row r="39306">
      <c r="Y39306" s="372">
        <v>0.0</v>
      </c>
      <c r="Z39306" s="372">
        <v>0.0</v>
      </c>
    </row>
    <row r="39307">
      <c r="Y39307" s="372">
        <v>0.0</v>
      </c>
      <c r="Z39307" s="372">
        <v>0.0</v>
      </c>
    </row>
    <row r="39308">
      <c r="Y39308" s="372">
        <v>0.0</v>
      </c>
      <c r="Z39308" s="372">
        <v>0.0</v>
      </c>
    </row>
    <row r="39309">
      <c r="Y39309" s="372">
        <v>0.0</v>
      </c>
      <c r="Z39309" s="372">
        <v>0.0</v>
      </c>
    </row>
    <row r="39310">
      <c r="Y39310" s="372">
        <v>0.0</v>
      </c>
      <c r="Z39310" s="372">
        <v>0.0</v>
      </c>
    </row>
    <row r="39311">
      <c r="Y39311" s="372">
        <v>0.0</v>
      </c>
      <c r="Z39311" s="372">
        <v>0.0</v>
      </c>
    </row>
    <row r="39312">
      <c r="Y39312" s="372">
        <v>0.0</v>
      </c>
      <c r="Z39312" s="372">
        <v>0.0</v>
      </c>
    </row>
    <row r="39313">
      <c r="Y39313" s="372">
        <v>0.0</v>
      </c>
      <c r="Z39313" s="372">
        <v>0.0</v>
      </c>
    </row>
    <row r="39314">
      <c r="Y39314" s="372">
        <v>0.0</v>
      </c>
      <c r="Z39314" s="372">
        <v>0.0</v>
      </c>
    </row>
    <row r="39315">
      <c r="Y39315" s="372">
        <v>0.0</v>
      </c>
      <c r="Z39315" s="372">
        <v>0.0</v>
      </c>
    </row>
    <row r="39316">
      <c r="Y39316" s="372">
        <v>0.0</v>
      </c>
      <c r="Z39316" s="372">
        <v>0.0</v>
      </c>
    </row>
    <row r="39317">
      <c r="Y39317" s="372">
        <v>0.0</v>
      </c>
      <c r="Z39317" s="372">
        <v>0.0</v>
      </c>
    </row>
    <row r="39318">
      <c r="Y39318" s="372">
        <v>0.0</v>
      </c>
      <c r="Z39318" s="372">
        <v>0.0</v>
      </c>
    </row>
    <row r="39319">
      <c r="Y39319" s="372">
        <v>0.0</v>
      </c>
      <c r="Z39319" s="372">
        <v>0.0</v>
      </c>
    </row>
    <row r="39320">
      <c r="Y39320" s="372">
        <v>0.0</v>
      </c>
      <c r="Z39320" s="372">
        <v>0.0</v>
      </c>
    </row>
    <row r="39321">
      <c r="Y39321" s="372">
        <v>0.0</v>
      </c>
      <c r="Z39321" s="372">
        <v>0.0</v>
      </c>
    </row>
    <row r="39322">
      <c r="Y39322" s="372">
        <v>0.0</v>
      </c>
      <c r="Z39322" s="372">
        <v>0.0</v>
      </c>
    </row>
    <row r="39323">
      <c r="Y39323" s="372">
        <v>0.0</v>
      </c>
      <c r="Z39323" s="372">
        <v>0.0</v>
      </c>
    </row>
    <row r="39324">
      <c r="Y39324" s="372">
        <v>0.0</v>
      </c>
      <c r="Z39324" s="372">
        <v>0.0</v>
      </c>
    </row>
    <row r="39325">
      <c r="Y39325" s="372">
        <v>0.0</v>
      </c>
      <c r="Z39325" s="372">
        <v>0.0</v>
      </c>
    </row>
    <row r="39326">
      <c r="Y39326" s="372">
        <v>0.0</v>
      </c>
      <c r="Z39326" s="372">
        <v>0.0</v>
      </c>
    </row>
    <row r="39327">
      <c r="Y39327" s="372">
        <v>0.0</v>
      </c>
      <c r="Z39327" s="372">
        <v>0.0</v>
      </c>
    </row>
    <row r="39328">
      <c r="Y39328" s="372">
        <v>0.0</v>
      </c>
      <c r="Z39328" s="372">
        <v>0.0</v>
      </c>
    </row>
    <row r="39329">
      <c r="Y39329" s="372">
        <v>0.0</v>
      </c>
      <c r="Z39329" s="372">
        <v>0.0</v>
      </c>
    </row>
    <row r="39330">
      <c r="Y39330" s="372">
        <v>0.0</v>
      </c>
      <c r="Z39330" s="372">
        <v>0.0</v>
      </c>
    </row>
    <row r="39331">
      <c r="Y39331" s="372">
        <v>0.0</v>
      </c>
      <c r="Z39331" s="372">
        <v>0.0</v>
      </c>
    </row>
    <row r="39332">
      <c r="Y39332" s="372">
        <v>0.0</v>
      </c>
      <c r="Z39332" s="372">
        <v>0.0</v>
      </c>
    </row>
    <row r="39333">
      <c r="Y39333" s="372">
        <v>0.0</v>
      </c>
      <c r="Z39333" s="372">
        <v>0.0</v>
      </c>
    </row>
    <row r="39334">
      <c r="Y39334" s="372">
        <v>0.0</v>
      </c>
      <c r="Z39334" s="372">
        <v>0.0</v>
      </c>
    </row>
    <row r="39335">
      <c r="Y39335" s="372">
        <v>0.0</v>
      </c>
      <c r="Z39335" s="372">
        <v>0.0</v>
      </c>
    </row>
    <row r="39336">
      <c r="Y39336" s="372">
        <v>0.0</v>
      </c>
      <c r="Z39336" s="372">
        <v>0.0</v>
      </c>
    </row>
    <row r="39337">
      <c r="Y39337" s="372">
        <v>0.0</v>
      </c>
      <c r="Z39337" s="372">
        <v>0.0</v>
      </c>
    </row>
    <row r="39338">
      <c r="Y39338" s="372">
        <v>0.0</v>
      </c>
      <c r="Z39338" s="372">
        <v>0.0</v>
      </c>
    </row>
    <row r="39339">
      <c r="Y39339" s="372">
        <v>0.0</v>
      </c>
      <c r="Z39339" s="372">
        <v>0.0</v>
      </c>
    </row>
    <row r="39340">
      <c r="Y39340" s="372">
        <v>0.0</v>
      </c>
      <c r="Z39340" s="372">
        <v>0.0</v>
      </c>
    </row>
    <row r="39341">
      <c r="Y39341" s="372">
        <v>0.0</v>
      </c>
      <c r="Z39341" s="372">
        <v>0.0</v>
      </c>
    </row>
    <row r="39342">
      <c r="Y39342" s="372">
        <v>0.0</v>
      </c>
      <c r="Z39342" s="372">
        <v>0.0</v>
      </c>
    </row>
    <row r="39343">
      <c r="Y39343" s="372">
        <v>0.0</v>
      </c>
      <c r="Z39343" s="372">
        <v>0.0</v>
      </c>
    </row>
    <row r="39344">
      <c r="Y39344" s="372">
        <v>0.0</v>
      </c>
      <c r="Z39344" s="372">
        <v>0.0</v>
      </c>
    </row>
    <row r="39345">
      <c r="Y39345" s="372">
        <v>0.0</v>
      </c>
      <c r="Z39345" s="372">
        <v>0.0</v>
      </c>
    </row>
    <row r="39346">
      <c r="Y39346" s="372">
        <v>0.0</v>
      </c>
      <c r="Z39346" s="372">
        <v>0.0</v>
      </c>
    </row>
    <row r="39347">
      <c r="Y39347" s="372">
        <v>0.0</v>
      </c>
      <c r="Z39347" s="372">
        <v>0.0</v>
      </c>
    </row>
    <row r="39348">
      <c r="Y39348" s="372">
        <v>0.0</v>
      </c>
      <c r="Z39348" s="372">
        <v>0.0</v>
      </c>
    </row>
    <row r="39349">
      <c r="Y39349" s="372">
        <v>0.0</v>
      </c>
      <c r="Z39349" s="372">
        <v>0.0</v>
      </c>
    </row>
    <row r="39350">
      <c r="Y39350" s="372">
        <v>0.0</v>
      </c>
      <c r="Z39350" s="372">
        <v>0.0</v>
      </c>
    </row>
    <row r="39351">
      <c r="Y39351" s="372">
        <v>0.0</v>
      </c>
      <c r="Z39351" s="372">
        <v>0.0</v>
      </c>
    </row>
    <row r="39352">
      <c r="Y39352" s="372">
        <v>0.0</v>
      </c>
      <c r="Z39352" s="372">
        <v>0.0</v>
      </c>
    </row>
    <row r="39353">
      <c r="Y39353" s="372">
        <v>0.0</v>
      </c>
      <c r="Z39353" s="372">
        <v>0.0</v>
      </c>
    </row>
    <row r="39354">
      <c r="Y39354" s="372">
        <v>0.0</v>
      </c>
      <c r="Z39354" s="372">
        <v>0.0</v>
      </c>
    </row>
    <row r="39355">
      <c r="Y39355" s="372">
        <v>0.0</v>
      </c>
      <c r="Z39355" s="372">
        <v>0.0</v>
      </c>
    </row>
    <row r="39356">
      <c r="Y39356" s="372">
        <v>0.0</v>
      </c>
      <c r="Z39356" s="372">
        <v>0.0</v>
      </c>
    </row>
    <row r="39357">
      <c r="Y39357" s="372">
        <v>0.0</v>
      </c>
      <c r="Z39357" s="372">
        <v>0.0</v>
      </c>
    </row>
    <row r="39358">
      <c r="Y39358" s="372">
        <v>0.0</v>
      </c>
      <c r="Z39358" s="372">
        <v>0.0</v>
      </c>
    </row>
    <row r="39359">
      <c r="Y39359" s="372">
        <v>0.0</v>
      </c>
      <c r="Z39359" s="372">
        <v>0.0</v>
      </c>
    </row>
    <row r="39360">
      <c r="Y39360" s="372">
        <v>0.0</v>
      </c>
      <c r="Z39360" s="372">
        <v>0.0</v>
      </c>
    </row>
    <row r="39361">
      <c r="Y39361" s="372">
        <v>0.0</v>
      </c>
      <c r="Z39361" s="372">
        <v>0.0</v>
      </c>
    </row>
    <row r="39362">
      <c r="Y39362" s="372">
        <v>0.0</v>
      </c>
      <c r="Z39362" s="372">
        <v>0.0</v>
      </c>
    </row>
    <row r="39363">
      <c r="Y39363" s="372">
        <v>0.0</v>
      </c>
      <c r="Z39363" s="372">
        <v>0.0</v>
      </c>
    </row>
    <row r="39364">
      <c r="Y39364" s="372">
        <v>0.0</v>
      </c>
      <c r="Z39364" s="372">
        <v>0.0</v>
      </c>
    </row>
    <row r="39365">
      <c r="Y39365" s="372">
        <v>0.0</v>
      </c>
      <c r="Z39365" s="372">
        <v>0.0</v>
      </c>
    </row>
    <row r="39366">
      <c r="Y39366" s="372">
        <v>0.0</v>
      </c>
      <c r="Z39366" s="372">
        <v>0.0</v>
      </c>
    </row>
    <row r="39367">
      <c r="Y39367" s="372">
        <v>0.0</v>
      </c>
      <c r="Z39367" s="372">
        <v>0.0</v>
      </c>
    </row>
    <row r="39368">
      <c r="Y39368" s="372">
        <v>0.0</v>
      </c>
      <c r="Z39368" s="372">
        <v>0.0</v>
      </c>
    </row>
    <row r="39369">
      <c r="Y39369" s="372">
        <v>0.0</v>
      </c>
      <c r="Z39369" s="372">
        <v>0.0</v>
      </c>
    </row>
    <row r="39370">
      <c r="Y39370" s="372">
        <v>0.0</v>
      </c>
      <c r="Z39370" s="372">
        <v>0.0</v>
      </c>
    </row>
    <row r="39371">
      <c r="Y39371" s="372">
        <v>0.0</v>
      </c>
      <c r="Z39371" s="372">
        <v>0.0</v>
      </c>
    </row>
    <row r="39372">
      <c r="Y39372" s="372">
        <v>0.0</v>
      </c>
      <c r="Z39372" s="372">
        <v>0.0</v>
      </c>
    </row>
    <row r="39373">
      <c r="Y39373" s="372">
        <v>0.0</v>
      </c>
      <c r="Z39373" s="372">
        <v>0.0</v>
      </c>
    </row>
    <row r="39374">
      <c r="Y39374" s="372">
        <v>0.0</v>
      </c>
      <c r="Z39374" s="372">
        <v>0.0</v>
      </c>
    </row>
    <row r="39375">
      <c r="Y39375" s="372">
        <v>0.0</v>
      </c>
      <c r="Z39375" s="372">
        <v>0.0</v>
      </c>
    </row>
    <row r="39376">
      <c r="Y39376" s="372">
        <v>0.0</v>
      </c>
      <c r="Z39376" s="372">
        <v>0.0</v>
      </c>
    </row>
    <row r="39377">
      <c r="Y39377" s="372">
        <v>0.0</v>
      </c>
      <c r="Z39377" s="372">
        <v>0.0</v>
      </c>
    </row>
    <row r="39378">
      <c r="Y39378" s="372">
        <v>0.0</v>
      </c>
      <c r="Z39378" s="372">
        <v>0.0</v>
      </c>
    </row>
    <row r="39379">
      <c r="Y39379" s="372">
        <v>0.0</v>
      </c>
      <c r="Z39379" s="372">
        <v>0.0</v>
      </c>
    </row>
    <row r="39380">
      <c r="Y39380" s="372">
        <v>0.0</v>
      </c>
      <c r="Z39380" s="372">
        <v>0.0</v>
      </c>
    </row>
    <row r="39381">
      <c r="Y39381" s="372">
        <v>0.0</v>
      </c>
      <c r="Z39381" s="372">
        <v>0.0</v>
      </c>
    </row>
    <row r="39382">
      <c r="Y39382" s="372">
        <v>0.0</v>
      </c>
      <c r="Z39382" s="372">
        <v>0.0</v>
      </c>
    </row>
    <row r="39383">
      <c r="Y39383" s="372">
        <v>0.0</v>
      </c>
      <c r="Z39383" s="372">
        <v>0.0</v>
      </c>
    </row>
    <row r="39384">
      <c r="Y39384" s="372">
        <v>0.0</v>
      </c>
      <c r="Z39384" s="372">
        <v>0.0</v>
      </c>
    </row>
    <row r="39385">
      <c r="Y39385" s="372">
        <v>0.0</v>
      </c>
      <c r="Z39385" s="372">
        <v>0.0</v>
      </c>
    </row>
    <row r="39386">
      <c r="Y39386" s="372">
        <v>0.0</v>
      </c>
      <c r="Z39386" s="372">
        <v>0.0</v>
      </c>
    </row>
    <row r="39387">
      <c r="Y39387" s="372">
        <v>0.0</v>
      </c>
      <c r="Z39387" s="372">
        <v>0.0</v>
      </c>
    </row>
    <row r="39388">
      <c r="Y39388" s="372">
        <v>0.0</v>
      </c>
      <c r="Z39388" s="372">
        <v>0.0</v>
      </c>
    </row>
    <row r="39389">
      <c r="Y39389" s="372">
        <v>0.0</v>
      </c>
      <c r="Z39389" s="372">
        <v>0.0</v>
      </c>
    </row>
    <row r="39390">
      <c r="Y39390" s="372">
        <v>0.0</v>
      </c>
      <c r="Z39390" s="372">
        <v>0.0</v>
      </c>
    </row>
    <row r="39391">
      <c r="Y39391" s="372">
        <v>0.0</v>
      </c>
      <c r="Z39391" s="372">
        <v>0.0</v>
      </c>
    </row>
    <row r="39392">
      <c r="Y39392" s="372">
        <v>0.0</v>
      </c>
      <c r="Z39392" s="372">
        <v>0.0</v>
      </c>
    </row>
    <row r="39393">
      <c r="Y39393" s="372">
        <v>0.0</v>
      </c>
      <c r="Z39393" s="372">
        <v>0.0</v>
      </c>
    </row>
    <row r="39394">
      <c r="Y39394" s="372">
        <v>0.0</v>
      </c>
      <c r="Z39394" s="372">
        <v>0.0</v>
      </c>
    </row>
    <row r="39395">
      <c r="Y39395" s="372">
        <v>0.0</v>
      </c>
      <c r="Z39395" s="372">
        <v>0.0</v>
      </c>
    </row>
    <row r="39396">
      <c r="Y39396" s="372">
        <v>0.0</v>
      </c>
      <c r="Z39396" s="372">
        <v>0.0</v>
      </c>
    </row>
    <row r="39397">
      <c r="Y39397" s="372">
        <v>0.0</v>
      </c>
      <c r="Z39397" s="372">
        <v>0.0</v>
      </c>
    </row>
    <row r="39398">
      <c r="Y39398" s="372">
        <v>0.0</v>
      </c>
      <c r="Z39398" s="372">
        <v>0.0</v>
      </c>
    </row>
    <row r="39399">
      <c r="Y39399" s="372">
        <v>0.0</v>
      </c>
      <c r="Z39399" s="372">
        <v>0.0</v>
      </c>
    </row>
    <row r="39400">
      <c r="Y39400" s="372">
        <v>0.0</v>
      </c>
      <c r="Z39400" s="372">
        <v>0.0</v>
      </c>
    </row>
    <row r="39401">
      <c r="Y39401" s="372">
        <v>0.0</v>
      </c>
      <c r="Z39401" s="372">
        <v>0.0</v>
      </c>
    </row>
    <row r="39402">
      <c r="Y39402" s="372">
        <v>0.0</v>
      </c>
      <c r="Z39402" s="372">
        <v>0.0</v>
      </c>
    </row>
    <row r="39403">
      <c r="Y39403" s="372">
        <v>0.0</v>
      </c>
      <c r="Z39403" s="372">
        <v>0.0</v>
      </c>
    </row>
    <row r="39404">
      <c r="Y39404" s="372">
        <v>0.0</v>
      </c>
      <c r="Z39404" s="372">
        <v>0.0</v>
      </c>
    </row>
    <row r="39405">
      <c r="Y39405" s="372">
        <v>0.0</v>
      </c>
      <c r="Z39405" s="372">
        <v>0.0</v>
      </c>
    </row>
    <row r="39406">
      <c r="Y39406" s="372">
        <v>0.0</v>
      </c>
      <c r="Z39406" s="372">
        <v>0.0</v>
      </c>
    </row>
    <row r="39407">
      <c r="Y39407" s="372">
        <v>0.0</v>
      </c>
      <c r="Z39407" s="372">
        <v>0.0</v>
      </c>
    </row>
    <row r="39408">
      <c r="Y39408" s="372">
        <v>0.0</v>
      </c>
      <c r="Z39408" s="372">
        <v>0.0</v>
      </c>
    </row>
    <row r="39409">
      <c r="Y39409" s="372">
        <v>0.0</v>
      </c>
      <c r="Z39409" s="372">
        <v>0.0</v>
      </c>
    </row>
    <row r="39410">
      <c r="Y39410" s="372">
        <v>0.0</v>
      </c>
      <c r="Z39410" s="372">
        <v>0.0</v>
      </c>
    </row>
    <row r="39411">
      <c r="Y39411" s="372">
        <v>0.0</v>
      </c>
      <c r="Z39411" s="372">
        <v>0.0</v>
      </c>
    </row>
    <row r="39412">
      <c r="Y39412" s="372">
        <v>0.0</v>
      </c>
      <c r="Z39412" s="372">
        <v>0.0</v>
      </c>
    </row>
    <row r="39413">
      <c r="Y39413" s="372">
        <v>0.0</v>
      </c>
      <c r="Z39413" s="372">
        <v>0.0</v>
      </c>
    </row>
    <row r="39414">
      <c r="Y39414" s="372">
        <v>0.0</v>
      </c>
      <c r="Z39414" s="372">
        <v>0.0</v>
      </c>
    </row>
    <row r="39415">
      <c r="Y39415" s="372">
        <v>0.0</v>
      </c>
      <c r="Z39415" s="372">
        <v>0.0</v>
      </c>
    </row>
    <row r="39416">
      <c r="Y39416" s="372">
        <v>0.0</v>
      </c>
      <c r="Z39416" s="372">
        <v>0.0</v>
      </c>
    </row>
    <row r="39417">
      <c r="Y39417" s="372">
        <v>0.0</v>
      </c>
      <c r="Z39417" s="372">
        <v>0.0</v>
      </c>
    </row>
    <row r="39418">
      <c r="Y39418" s="372">
        <v>0.0</v>
      </c>
      <c r="Z39418" s="372">
        <v>0.0</v>
      </c>
    </row>
    <row r="39419">
      <c r="Y39419" s="372">
        <v>0.0</v>
      </c>
      <c r="Z39419" s="372">
        <v>0.0</v>
      </c>
    </row>
    <row r="39420">
      <c r="Y39420" s="372">
        <v>0.0</v>
      </c>
      <c r="Z39420" s="372">
        <v>0.0</v>
      </c>
    </row>
    <row r="39421">
      <c r="Y39421" s="372">
        <v>0.0</v>
      </c>
      <c r="Z39421" s="372">
        <v>0.0</v>
      </c>
    </row>
    <row r="39422">
      <c r="Y39422" s="372">
        <v>0.0</v>
      </c>
      <c r="Z39422" s="372">
        <v>0.0</v>
      </c>
    </row>
    <row r="39423">
      <c r="Y39423" s="372">
        <v>0.0</v>
      </c>
      <c r="Z39423" s="372">
        <v>0.0</v>
      </c>
    </row>
    <row r="39424">
      <c r="Y39424" s="372">
        <v>0.0</v>
      </c>
      <c r="Z39424" s="372">
        <v>0.0</v>
      </c>
    </row>
    <row r="39425">
      <c r="Y39425" s="372">
        <v>0.0</v>
      </c>
      <c r="Z39425" s="372">
        <v>0.0</v>
      </c>
    </row>
    <row r="39426">
      <c r="Y39426" s="372">
        <v>0.0</v>
      </c>
      <c r="Z39426" s="372">
        <v>0.0</v>
      </c>
    </row>
    <row r="39427">
      <c r="Y39427" s="372">
        <v>0.0</v>
      </c>
      <c r="Z39427" s="372">
        <v>0.0</v>
      </c>
    </row>
    <row r="39428">
      <c r="Y39428" s="372">
        <v>0.0</v>
      </c>
      <c r="Z39428" s="372">
        <v>0.0</v>
      </c>
    </row>
    <row r="39429">
      <c r="Y39429" s="372">
        <v>0.0</v>
      </c>
      <c r="Z39429" s="372">
        <v>0.0</v>
      </c>
    </row>
    <row r="39430">
      <c r="Y39430" s="372">
        <v>0.0</v>
      </c>
      <c r="Z39430" s="372">
        <v>0.0</v>
      </c>
    </row>
    <row r="39431">
      <c r="Y39431" s="372">
        <v>0.0</v>
      </c>
      <c r="Z39431" s="372">
        <v>0.0</v>
      </c>
    </row>
    <row r="39432">
      <c r="Y39432" s="372">
        <v>0.0</v>
      </c>
      <c r="Z39432" s="372">
        <v>0.0</v>
      </c>
    </row>
    <row r="39433">
      <c r="Y39433" s="372">
        <v>0.0</v>
      </c>
      <c r="Z39433" s="372">
        <v>0.0</v>
      </c>
    </row>
    <row r="39434">
      <c r="Y39434" s="372">
        <v>0.0</v>
      </c>
      <c r="Z39434" s="372">
        <v>0.0</v>
      </c>
    </row>
    <row r="39435">
      <c r="Y39435" s="372">
        <v>0.0</v>
      </c>
      <c r="Z39435" s="372">
        <v>0.0</v>
      </c>
    </row>
    <row r="39436">
      <c r="Y39436" s="372">
        <v>0.0</v>
      </c>
      <c r="Z39436" s="372">
        <v>0.0</v>
      </c>
    </row>
    <row r="39437">
      <c r="Y39437" s="372">
        <v>0.0</v>
      </c>
      <c r="Z39437" s="372">
        <v>0.0</v>
      </c>
    </row>
    <row r="39438">
      <c r="Y39438" s="372">
        <v>0.0</v>
      </c>
      <c r="Z39438" s="372">
        <v>0.0</v>
      </c>
    </row>
    <row r="39439">
      <c r="Y39439" s="372">
        <v>0.0</v>
      </c>
      <c r="Z39439" s="372">
        <v>0.0</v>
      </c>
    </row>
    <row r="39440">
      <c r="Y39440" s="372">
        <v>0.0</v>
      </c>
      <c r="Z39440" s="372">
        <v>0.0</v>
      </c>
    </row>
    <row r="39441">
      <c r="Y39441" s="372">
        <v>0.0</v>
      </c>
      <c r="Z39441" s="372">
        <v>0.0</v>
      </c>
    </row>
    <row r="39442">
      <c r="Y39442" s="372">
        <v>0.0</v>
      </c>
      <c r="Z39442" s="372">
        <v>0.0</v>
      </c>
    </row>
    <row r="39443">
      <c r="Y39443" s="372">
        <v>0.0</v>
      </c>
      <c r="Z39443" s="372">
        <v>0.0</v>
      </c>
    </row>
    <row r="39444">
      <c r="Y39444" s="372">
        <v>0.0</v>
      </c>
      <c r="Z39444" s="372">
        <v>0.0</v>
      </c>
    </row>
    <row r="39445">
      <c r="Y39445" s="372">
        <v>0.0</v>
      </c>
      <c r="Z39445" s="372">
        <v>0.0</v>
      </c>
    </row>
    <row r="39446">
      <c r="Y39446" s="372">
        <v>0.0</v>
      </c>
      <c r="Z39446" s="372">
        <v>0.0</v>
      </c>
    </row>
    <row r="39447">
      <c r="Y39447" s="372">
        <v>0.0</v>
      </c>
      <c r="Z39447" s="372">
        <v>0.0</v>
      </c>
    </row>
    <row r="39448">
      <c r="Y39448" s="372">
        <v>0.0</v>
      </c>
      <c r="Z39448" s="372">
        <v>0.0</v>
      </c>
    </row>
    <row r="39449">
      <c r="Y39449" s="372">
        <v>0.0</v>
      </c>
      <c r="Z39449" s="372">
        <v>0.0</v>
      </c>
    </row>
    <row r="39450">
      <c r="Y39450" s="372">
        <v>0.0</v>
      </c>
      <c r="Z39450" s="372">
        <v>0.0</v>
      </c>
    </row>
    <row r="39451">
      <c r="Y39451" s="372">
        <v>0.0</v>
      </c>
      <c r="Z39451" s="372">
        <v>0.0</v>
      </c>
    </row>
    <row r="39452">
      <c r="Y39452" s="372">
        <v>0.0</v>
      </c>
      <c r="Z39452" s="372">
        <v>0.0</v>
      </c>
    </row>
    <row r="39453">
      <c r="Y39453" s="372">
        <v>0.0</v>
      </c>
      <c r="Z39453" s="372">
        <v>0.0</v>
      </c>
    </row>
    <row r="39454">
      <c r="Y39454" s="372">
        <v>0.0</v>
      </c>
      <c r="Z39454" s="372">
        <v>0.0</v>
      </c>
    </row>
    <row r="39455">
      <c r="Y39455" s="372">
        <v>0.0</v>
      </c>
      <c r="Z39455" s="372">
        <v>0.0</v>
      </c>
    </row>
    <row r="39456">
      <c r="Y39456" s="372">
        <v>0.0</v>
      </c>
      <c r="Z39456" s="372">
        <v>0.0</v>
      </c>
    </row>
    <row r="39457">
      <c r="Y39457" s="372">
        <v>0.0</v>
      </c>
      <c r="Z39457" s="372">
        <v>0.0</v>
      </c>
    </row>
    <row r="39458">
      <c r="Y39458" s="372">
        <v>0.0</v>
      </c>
      <c r="Z39458" s="372">
        <v>0.0</v>
      </c>
    </row>
    <row r="39459">
      <c r="Y39459" s="372">
        <v>0.0</v>
      </c>
      <c r="Z39459" s="372">
        <v>0.0</v>
      </c>
    </row>
    <row r="39460">
      <c r="Y39460" s="372">
        <v>0.0</v>
      </c>
      <c r="Z39460" s="372">
        <v>0.0</v>
      </c>
    </row>
    <row r="39461">
      <c r="Y39461" s="372">
        <v>0.0</v>
      </c>
      <c r="Z39461" s="372">
        <v>0.0</v>
      </c>
    </row>
    <row r="39462">
      <c r="Y39462" s="372">
        <v>0.0</v>
      </c>
      <c r="Z39462" s="372">
        <v>0.0</v>
      </c>
    </row>
    <row r="39463">
      <c r="Y39463" s="372">
        <v>0.0</v>
      </c>
      <c r="Z39463" s="372">
        <v>0.0</v>
      </c>
    </row>
    <row r="39464">
      <c r="Y39464" s="372">
        <v>0.0</v>
      </c>
      <c r="Z39464" s="372">
        <v>0.0</v>
      </c>
    </row>
    <row r="39465">
      <c r="Y39465" s="372">
        <v>0.0</v>
      </c>
      <c r="Z39465" s="372">
        <v>0.0</v>
      </c>
    </row>
    <row r="39466">
      <c r="Y39466" s="372">
        <v>0.0</v>
      </c>
      <c r="Z39466" s="372">
        <v>0.0</v>
      </c>
    </row>
    <row r="39467">
      <c r="Y39467" s="372">
        <v>0.0</v>
      </c>
      <c r="Z39467" s="372">
        <v>0.0</v>
      </c>
    </row>
    <row r="39468">
      <c r="Y39468" s="372">
        <v>0.0</v>
      </c>
      <c r="Z39468" s="372">
        <v>0.0</v>
      </c>
    </row>
    <row r="39469">
      <c r="Y39469" s="372">
        <v>0.0</v>
      </c>
      <c r="Z39469" s="372">
        <v>0.0</v>
      </c>
    </row>
    <row r="39470">
      <c r="Y39470" s="372">
        <v>0.0</v>
      </c>
      <c r="Z39470" s="372">
        <v>0.0</v>
      </c>
    </row>
    <row r="39471">
      <c r="Y39471" s="372">
        <v>0.0</v>
      </c>
      <c r="Z39471" s="372">
        <v>0.0</v>
      </c>
    </row>
    <row r="39472">
      <c r="Y39472" s="372">
        <v>0.0</v>
      </c>
      <c r="Z39472" s="372">
        <v>0.0</v>
      </c>
    </row>
    <row r="39473">
      <c r="Y39473" s="372">
        <v>0.0</v>
      </c>
      <c r="Z39473" s="372">
        <v>0.0</v>
      </c>
    </row>
    <row r="39474">
      <c r="Y39474" s="372">
        <v>0.0</v>
      </c>
      <c r="Z39474" s="372">
        <v>0.0</v>
      </c>
    </row>
    <row r="39475">
      <c r="Y39475" s="372">
        <v>0.0</v>
      </c>
      <c r="Z39475" s="372">
        <v>0.0</v>
      </c>
    </row>
    <row r="39476">
      <c r="Y39476" s="372">
        <v>0.0</v>
      </c>
      <c r="Z39476" s="372">
        <v>0.0</v>
      </c>
    </row>
    <row r="39477">
      <c r="Y39477" s="372">
        <v>0.0</v>
      </c>
      <c r="Z39477" s="372">
        <v>0.0</v>
      </c>
    </row>
    <row r="39478">
      <c r="Y39478" s="372">
        <v>0.0</v>
      </c>
      <c r="Z39478" s="372">
        <v>0.0</v>
      </c>
    </row>
    <row r="39479">
      <c r="Y39479" s="372">
        <v>0.0</v>
      </c>
      <c r="Z39479" s="372">
        <v>0.0</v>
      </c>
    </row>
    <row r="39480">
      <c r="Y39480" s="372">
        <v>0.0</v>
      </c>
      <c r="Z39480" s="372">
        <v>0.0</v>
      </c>
    </row>
    <row r="39481">
      <c r="Y39481" s="372">
        <v>0.0</v>
      </c>
      <c r="Z39481" s="372">
        <v>0.0</v>
      </c>
    </row>
    <row r="39482">
      <c r="Y39482" s="372">
        <v>0.0</v>
      </c>
      <c r="Z39482" s="372">
        <v>0.0</v>
      </c>
    </row>
    <row r="39483">
      <c r="Y39483" s="372">
        <v>0.0</v>
      </c>
      <c r="Z39483" s="372">
        <v>0.0</v>
      </c>
    </row>
    <row r="39484">
      <c r="Y39484" s="372">
        <v>0.0</v>
      </c>
      <c r="Z39484" s="372">
        <v>0.0</v>
      </c>
    </row>
    <row r="39485">
      <c r="Y39485" s="372">
        <v>0.0</v>
      </c>
      <c r="Z39485" s="372">
        <v>0.0</v>
      </c>
    </row>
    <row r="39486">
      <c r="Y39486" s="372">
        <v>0.0</v>
      </c>
      <c r="Z39486" s="372">
        <v>0.0</v>
      </c>
    </row>
    <row r="39487">
      <c r="Y39487" s="372">
        <v>0.0</v>
      </c>
      <c r="Z39487" s="372">
        <v>0.0</v>
      </c>
    </row>
    <row r="39488">
      <c r="Y39488" s="372">
        <v>0.0</v>
      </c>
      <c r="Z39488" s="372">
        <v>0.0</v>
      </c>
    </row>
    <row r="39489">
      <c r="Y39489" s="372">
        <v>0.0</v>
      </c>
      <c r="Z39489" s="372">
        <v>0.0</v>
      </c>
    </row>
    <row r="39490">
      <c r="Y39490" s="372">
        <v>0.0</v>
      </c>
      <c r="Z39490" s="372">
        <v>0.0</v>
      </c>
    </row>
    <row r="39491">
      <c r="Y39491" s="372">
        <v>0.0</v>
      </c>
      <c r="Z39491" s="372">
        <v>0.0</v>
      </c>
    </row>
    <row r="39492">
      <c r="Y39492" s="372">
        <v>0.0</v>
      </c>
      <c r="Z39492" s="372">
        <v>0.0</v>
      </c>
    </row>
    <row r="39493">
      <c r="Y39493" s="372">
        <v>0.0</v>
      </c>
      <c r="Z39493" s="372">
        <v>0.0</v>
      </c>
    </row>
    <row r="39494">
      <c r="Y39494" s="372">
        <v>0.0</v>
      </c>
      <c r="Z39494" s="372">
        <v>0.0</v>
      </c>
    </row>
    <row r="39495">
      <c r="Y39495" s="372">
        <v>0.0</v>
      </c>
      <c r="Z39495" s="372">
        <v>0.0</v>
      </c>
    </row>
    <row r="39496">
      <c r="Y39496" s="372">
        <v>0.0</v>
      </c>
      <c r="Z39496" s="372">
        <v>0.0</v>
      </c>
    </row>
    <row r="39497">
      <c r="Y39497" s="372">
        <v>0.0</v>
      </c>
      <c r="Z39497" s="372">
        <v>0.0</v>
      </c>
    </row>
    <row r="39498">
      <c r="Y39498" s="372">
        <v>0.0</v>
      </c>
      <c r="Z39498" s="372">
        <v>0.0</v>
      </c>
    </row>
    <row r="39499">
      <c r="Y39499" s="372">
        <v>0.0</v>
      </c>
      <c r="Z39499" s="372">
        <v>0.0</v>
      </c>
    </row>
    <row r="39500">
      <c r="Y39500" s="372">
        <v>0.0</v>
      </c>
      <c r="Z39500" s="372">
        <v>0.0</v>
      </c>
    </row>
    <row r="39501">
      <c r="Y39501" s="372">
        <v>0.0</v>
      </c>
      <c r="Z39501" s="372">
        <v>0.0</v>
      </c>
    </row>
    <row r="39502">
      <c r="Y39502" s="372">
        <v>0.0</v>
      </c>
      <c r="Z39502" s="372">
        <v>0.0</v>
      </c>
    </row>
    <row r="39503">
      <c r="Y39503" s="372">
        <v>0.0</v>
      </c>
      <c r="Z39503" s="372">
        <v>0.0</v>
      </c>
    </row>
    <row r="39504">
      <c r="Y39504" s="372">
        <v>0.0</v>
      </c>
      <c r="Z39504" s="372">
        <v>0.0</v>
      </c>
    </row>
    <row r="39505">
      <c r="Y39505" s="372">
        <v>0.0</v>
      </c>
      <c r="Z39505" s="372">
        <v>0.0</v>
      </c>
    </row>
    <row r="39506">
      <c r="Y39506" s="372">
        <v>0.0</v>
      </c>
      <c r="Z39506" s="372">
        <v>0.0</v>
      </c>
    </row>
    <row r="39507">
      <c r="Y39507" s="372">
        <v>0.0</v>
      </c>
      <c r="Z39507" s="372">
        <v>0.0</v>
      </c>
    </row>
    <row r="39508">
      <c r="Y39508" s="372">
        <v>0.0</v>
      </c>
      <c r="Z39508" s="372">
        <v>0.0</v>
      </c>
    </row>
    <row r="39509">
      <c r="Y39509" s="372">
        <v>0.0</v>
      </c>
      <c r="Z39509" s="372">
        <v>0.0</v>
      </c>
    </row>
    <row r="39510">
      <c r="Y39510" s="372">
        <v>0.0</v>
      </c>
      <c r="Z39510" s="372">
        <v>0.0</v>
      </c>
    </row>
    <row r="39511">
      <c r="Y39511" s="372">
        <v>0.0</v>
      </c>
      <c r="Z39511" s="372">
        <v>0.0</v>
      </c>
    </row>
    <row r="39512">
      <c r="Y39512" s="372">
        <v>0.0</v>
      </c>
      <c r="Z39512" s="372">
        <v>0.0</v>
      </c>
    </row>
    <row r="39513">
      <c r="Y39513" s="372">
        <v>0.0</v>
      </c>
      <c r="Z39513" s="372">
        <v>0.0</v>
      </c>
    </row>
    <row r="39514">
      <c r="Y39514" s="372">
        <v>0.0</v>
      </c>
      <c r="Z39514" s="372">
        <v>0.0</v>
      </c>
    </row>
    <row r="39515">
      <c r="Y39515" s="372">
        <v>0.0</v>
      </c>
      <c r="Z39515" s="372">
        <v>0.0</v>
      </c>
    </row>
    <row r="39516">
      <c r="Y39516" s="372">
        <v>0.0</v>
      </c>
      <c r="Z39516" s="372">
        <v>0.0</v>
      </c>
    </row>
    <row r="39517">
      <c r="Y39517" s="372">
        <v>0.0</v>
      </c>
      <c r="Z39517" s="372">
        <v>0.0</v>
      </c>
    </row>
    <row r="39518">
      <c r="Y39518" s="372">
        <v>0.0</v>
      </c>
      <c r="Z39518" s="372">
        <v>0.0</v>
      </c>
    </row>
    <row r="39519">
      <c r="Y39519" s="372">
        <v>0.0</v>
      </c>
      <c r="Z39519" s="372">
        <v>0.0</v>
      </c>
    </row>
    <row r="39520">
      <c r="Y39520" s="372">
        <v>0.0</v>
      </c>
      <c r="Z39520" s="372">
        <v>0.0</v>
      </c>
    </row>
    <row r="39521">
      <c r="Y39521" s="372">
        <v>0.0</v>
      </c>
      <c r="Z39521" s="372">
        <v>0.0</v>
      </c>
    </row>
    <row r="39522">
      <c r="Y39522" s="372">
        <v>0.0</v>
      </c>
      <c r="Z39522" s="372">
        <v>0.0</v>
      </c>
    </row>
    <row r="39523">
      <c r="Y39523" s="372">
        <v>0.0</v>
      </c>
      <c r="Z39523" s="372">
        <v>0.0</v>
      </c>
    </row>
    <row r="39524">
      <c r="Y39524" s="372">
        <v>0.0</v>
      </c>
      <c r="Z39524" s="372">
        <v>0.0</v>
      </c>
    </row>
    <row r="39525">
      <c r="Y39525" s="372">
        <v>0.0</v>
      </c>
      <c r="Z39525" s="372">
        <v>0.0</v>
      </c>
    </row>
    <row r="39526">
      <c r="Y39526" s="372">
        <v>0.0</v>
      </c>
      <c r="Z39526" s="372">
        <v>0.0</v>
      </c>
    </row>
    <row r="39527">
      <c r="Y39527" s="372">
        <v>0.0</v>
      </c>
      <c r="Z39527" s="372">
        <v>0.0</v>
      </c>
    </row>
    <row r="39528">
      <c r="Y39528" s="372">
        <v>0.0</v>
      </c>
      <c r="Z39528" s="372">
        <v>0.0</v>
      </c>
    </row>
    <row r="39529">
      <c r="Y39529" s="372">
        <v>0.0</v>
      </c>
      <c r="Z39529" s="372">
        <v>0.0</v>
      </c>
    </row>
    <row r="39530">
      <c r="Y39530" s="372">
        <v>0.0</v>
      </c>
      <c r="Z39530" s="372">
        <v>0.0</v>
      </c>
    </row>
    <row r="39531">
      <c r="Y39531" s="372">
        <v>0.0</v>
      </c>
      <c r="Z39531" s="372">
        <v>0.0</v>
      </c>
    </row>
    <row r="39532">
      <c r="Y39532" s="372">
        <v>0.0</v>
      </c>
      <c r="Z39532" s="372">
        <v>0.0</v>
      </c>
    </row>
    <row r="39533">
      <c r="Y39533" s="372">
        <v>0.0</v>
      </c>
      <c r="Z39533" s="372">
        <v>0.0</v>
      </c>
    </row>
    <row r="39534">
      <c r="Y39534" s="372">
        <v>0.0</v>
      </c>
      <c r="Z39534" s="372">
        <v>0.0</v>
      </c>
    </row>
    <row r="39535">
      <c r="Y39535" s="372">
        <v>0.0</v>
      </c>
      <c r="Z39535" s="372">
        <v>0.0</v>
      </c>
    </row>
    <row r="39536">
      <c r="Y39536" s="372">
        <v>0.0</v>
      </c>
      <c r="Z39536" s="372">
        <v>0.0</v>
      </c>
    </row>
    <row r="39537">
      <c r="Y39537" s="372">
        <v>0.0</v>
      </c>
      <c r="Z39537" s="372">
        <v>0.0</v>
      </c>
    </row>
    <row r="39538">
      <c r="Y39538" s="372">
        <v>0.0</v>
      </c>
      <c r="Z39538" s="372">
        <v>0.0</v>
      </c>
    </row>
    <row r="39539">
      <c r="Y39539" s="372">
        <v>0.0</v>
      </c>
      <c r="Z39539" s="372">
        <v>0.0</v>
      </c>
    </row>
    <row r="39540">
      <c r="Y39540" s="372">
        <v>0.0</v>
      </c>
      <c r="Z39540" s="372">
        <v>0.0</v>
      </c>
    </row>
    <row r="39541">
      <c r="Y39541" s="372">
        <v>0.0</v>
      </c>
      <c r="Z39541" s="372">
        <v>0.0</v>
      </c>
    </row>
    <row r="39542">
      <c r="Y39542" s="372">
        <v>0.0</v>
      </c>
      <c r="Z39542" s="372">
        <v>0.0</v>
      </c>
    </row>
    <row r="39543">
      <c r="Y39543" s="372">
        <v>0.0</v>
      </c>
      <c r="Z39543" s="372">
        <v>0.0</v>
      </c>
    </row>
    <row r="39544">
      <c r="Y39544" s="372">
        <v>0.0</v>
      </c>
      <c r="Z39544" s="372">
        <v>0.0</v>
      </c>
    </row>
    <row r="39545">
      <c r="Y39545" s="372">
        <v>0.0</v>
      </c>
      <c r="Z39545" s="372">
        <v>0.0</v>
      </c>
    </row>
    <row r="39546">
      <c r="Y39546" s="372">
        <v>0.0</v>
      </c>
      <c r="Z39546" s="372">
        <v>0.0</v>
      </c>
    </row>
    <row r="39547">
      <c r="Y39547" s="372">
        <v>0.0</v>
      </c>
      <c r="Z39547" s="372">
        <v>0.0</v>
      </c>
    </row>
    <row r="39548">
      <c r="Y39548" s="372">
        <v>0.0</v>
      </c>
      <c r="Z39548" s="372">
        <v>0.0</v>
      </c>
    </row>
    <row r="39549">
      <c r="Y39549" s="372">
        <v>0.0</v>
      </c>
      <c r="Z39549" s="372">
        <v>0.0</v>
      </c>
    </row>
    <row r="39550">
      <c r="Y39550" s="372">
        <v>0.0</v>
      </c>
      <c r="Z39550" s="372">
        <v>0.0</v>
      </c>
    </row>
    <row r="39551">
      <c r="Y39551" s="372">
        <v>0.0</v>
      </c>
      <c r="Z39551" s="372">
        <v>0.0</v>
      </c>
    </row>
    <row r="39552">
      <c r="Y39552" s="372">
        <v>0.0</v>
      </c>
      <c r="Z39552" s="372">
        <v>0.0</v>
      </c>
    </row>
    <row r="39553">
      <c r="Y39553" s="372">
        <v>0.0</v>
      </c>
      <c r="Z39553" s="372">
        <v>0.0</v>
      </c>
    </row>
    <row r="39554">
      <c r="Y39554" s="372">
        <v>0.0</v>
      </c>
      <c r="Z39554" s="372">
        <v>0.0</v>
      </c>
    </row>
    <row r="39555">
      <c r="Y39555" s="372">
        <v>0.0</v>
      </c>
      <c r="Z39555" s="372">
        <v>0.0</v>
      </c>
    </row>
    <row r="39556">
      <c r="Y39556" s="372">
        <v>0.0</v>
      </c>
      <c r="Z39556" s="372">
        <v>0.0</v>
      </c>
    </row>
    <row r="39557">
      <c r="Y39557" s="372">
        <v>0.0</v>
      </c>
      <c r="Z39557" s="372">
        <v>0.0</v>
      </c>
    </row>
    <row r="39558">
      <c r="Y39558" s="372">
        <v>0.0</v>
      </c>
      <c r="Z39558" s="372">
        <v>0.0</v>
      </c>
    </row>
    <row r="39559">
      <c r="Y39559" s="372">
        <v>0.0</v>
      </c>
      <c r="Z39559" s="372">
        <v>0.0</v>
      </c>
    </row>
    <row r="39560">
      <c r="Y39560" s="372">
        <v>0.0</v>
      </c>
      <c r="Z39560" s="372">
        <v>0.0</v>
      </c>
    </row>
    <row r="39561">
      <c r="Y39561" s="372">
        <v>0.0</v>
      </c>
      <c r="Z39561" s="372">
        <v>0.0</v>
      </c>
    </row>
    <row r="39562">
      <c r="Y39562" s="372">
        <v>0.0</v>
      </c>
      <c r="Z39562" s="372">
        <v>0.0</v>
      </c>
    </row>
    <row r="39563">
      <c r="Y39563" s="372">
        <v>0.0</v>
      </c>
      <c r="Z39563" s="372">
        <v>0.0</v>
      </c>
    </row>
    <row r="39564">
      <c r="Y39564" s="372">
        <v>0.0</v>
      </c>
      <c r="Z39564" s="372">
        <v>0.0</v>
      </c>
    </row>
    <row r="39565">
      <c r="Y39565" s="372">
        <v>0.0</v>
      </c>
      <c r="Z39565" s="372">
        <v>0.0</v>
      </c>
    </row>
    <row r="39566">
      <c r="Y39566" s="372">
        <v>0.0</v>
      </c>
      <c r="Z39566" s="372">
        <v>0.0</v>
      </c>
    </row>
    <row r="39567">
      <c r="Y39567" s="372">
        <v>0.0</v>
      </c>
      <c r="Z39567" s="372">
        <v>0.0</v>
      </c>
    </row>
    <row r="39568">
      <c r="Y39568" s="372">
        <v>0.0</v>
      </c>
      <c r="Z39568" s="372">
        <v>0.0</v>
      </c>
    </row>
    <row r="39569">
      <c r="Y39569" s="372">
        <v>0.0</v>
      </c>
      <c r="Z39569" s="372">
        <v>0.0</v>
      </c>
    </row>
    <row r="39570">
      <c r="Y39570" s="372">
        <v>0.0</v>
      </c>
      <c r="Z39570" s="372">
        <v>0.0</v>
      </c>
    </row>
    <row r="39571">
      <c r="Y39571" s="372">
        <v>0.0</v>
      </c>
      <c r="Z39571" s="372">
        <v>0.0</v>
      </c>
    </row>
    <row r="39572">
      <c r="Y39572" s="372">
        <v>0.0</v>
      </c>
      <c r="Z39572" s="372">
        <v>0.0</v>
      </c>
    </row>
    <row r="39573">
      <c r="Y39573" s="372">
        <v>0.0</v>
      </c>
      <c r="Z39573" s="372">
        <v>0.0</v>
      </c>
    </row>
    <row r="39574">
      <c r="Y39574" s="372">
        <v>0.0</v>
      </c>
      <c r="Z39574" s="372">
        <v>0.0</v>
      </c>
    </row>
    <row r="39575">
      <c r="Y39575" s="372">
        <v>0.0</v>
      </c>
      <c r="Z39575" s="372">
        <v>0.0</v>
      </c>
    </row>
    <row r="39576">
      <c r="Y39576" s="372">
        <v>0.0</v>
      </c>
      <c r="Z39576" s="372">
        <v>0.0</v>
      </c>
    </row>
    <row r="39577">
      <c r="Y39577" s="372">
        <v>0.0</v>
      </c>
      <c r="Z39577" s="372">
        <v>0.0</v>
      </c>
    </row>
    <row r="39578">
      <c r="Y39578" s="372">
        <v>0.0</v>
      </c>
      <c r="Z39578" s="372">
        <v>0.0</v>
      </c>
    </row>
    <row r="39579">
      <c r="Y39579" s="372">
        <v>0.0</v>
      </c>
      <c r="Z39579" s="372">
        <v>0.0</v>
      </c>
    </row>
    <row r="39580">
      <c r="Y39580" s="372">
        <v>0.0</v>
      </c>
      <c r="Z39580" s="372">
        <v>0.0</v>
      </c>
    </row>
    <row r="39581">
      <c r="Y39581" s="372">
        <v>0.0</v>
      </c>
      <c r="Z39581" s="372">
        <v>0.0</v>
      </c>
    </row>
    <row r="39582">
      <c r="Y39582" s="372">
        <v>0.0</v>
      </c>
      <c r="Z39582" s="372">
        <v>0.0</v>
      </c>
    </row>
    <row r="39583">
      <c r="Y39583" s="372">
        <v>0.0</v>
      </c>
      <c r="Z39583" s="372">
        <v>0.0</v>
      </c>
    </row>
    <row r="39584">
      <c r="Y39584" s="372">
        <v>0.0</v>
      </c>
      <c r="Z39584" s="372">
        <v>0.0</v>
      </c>
    </row>
    <row r="39585">
      <c r="Y39585" s="372">
        <v>0.0</v>
      </c>
      <c r="Z39585" s="372">
        <v>0.0</v>
      </c>
    </row>
    <row r="39586">
      <c r="Y39586" s="372">
        <v>0.0</v>
      </c>
      <c r="Z39586" s="372">
        <v>0.0</v>
      </c>
    </row>
    <row r="39587">
      <c r="Y39587" s="372">
        <v>0.0</v>
      </c>
      <c r="Z39587" s="372">
        <v>0.0</v>
      </c>
    </row>
    <row r="39588">
      <c r="Y39588" s="372">
        <v>0.0</v>
      </c>
      <c r="Z39588" s="372">
        <v>0.0</v>
      </c>
    </row>
    <row r="39589">
      <c r="Y39589" s="372">
        <v>0.0</v>
      </c>
      <c r="Z39589" s="372">
        <v>0.0</v>
      </c>
    </row>
    <row r="39590">
      <c r="Y39590" s="372">
        <v>0.0</v>
      </c>
      <c r="Z39590" s="372">
        <v>0.0</v>
      </c>
    </row>
    <row r="39591">
      <c r="Y39591" s="372">
        <v>0.0</v>
      </c>
      <c r="Z39591" s="372">
        <v>0.0</v>
      </c>
    </row>
    <row r="39592">
      <c r="Y39592" s="372">
        <v>0.0</v>
      </c>
      <c r="Z39592" s="372">
        <v>0.0</v>
      </c>
    </row>
    <row r="39593">
      <c r="Y39593" s="372">
        <v>0.0</v>
      </c>
      <c r="Z39593" s="372">
        <v>0.0</v>
      </c>
    </row>
    <row r="39594">
      <c r="Y39594" s="372">
        <v>0.0</v>
      </c>
      <c r="Z39594" s="372">
        <v>0.0</v>
      </c>
    </row>
    <row r="39595">
      <c r="Y39595" s="372">
        <v>0.0</v>
      </c>
      <c r="Z39595" s="372">
        <v>0.0</v>
      </c>
    </row>
    <row r="39596">
      <c r="Y39596" s="372">
        <v>0.0</v>
      </c>
      <c r="Z39596" s="372">
        <v>0.0</v>
      </c>
    </row>
    <row r="39597">
      <c r="Y39597" s="372">
        <v>0.0</v>
      </c>
      <c r="Z39597" s="372">
        <v>0.0</v>
      </c>
    </row>
    <row r="39598">
      <c r="Y39598" s="372">
        <v>0.0</v>
      </c>
      <c r="Z39598" s="372">
        <v>0.0</v>
      </c>
    </row>
    <row r="39599">
      <c r="Y39599" s="372">
        <v>0.0</v>
      </c>
      <c r="Z39599" s="372">
        <v>0.0</v>
      </c>
    </row>
    <row r="39600">
      <c r="Y39600" s="372">
        <v>0.0</v>
      </c>
      <c r="Z39600" s="372">
        <v>0.0</v>
      </c>
    </row>
    <row r="39601">
      <c r="Y39601" s="372">
        <v>0.0</v>
      </c>
      <c r="Z39601" s="372">
        <v>0.0</v>
      </c>
    </row>
    <row r="39602">
      <c r="Y39602" s="372">
        <v>0.0</v>
      </c>
      <c r="Z39602" s="372">
        <v>0.0</v>
      </c>
    </row>
    <row r="39603">
      <c r="Y39603" s="372">
        <v>0.0</v>
      </c>
      <c r="Z39603" s="372">
        <v>0.0</v>
      </c>
    </row>
    <row r="39604">
      <c r="Y39604" s="372">
        <v>0.0</v>
      </c>
      <c r="Z39604" s="372">
        <v>0.0</v>
      </c>
    </row>
    <row r="39605">
      <c r="Y39605" s="372">
        <v>0.0</v>
      </c>
      <c r="Z39605" s="372">
        <v>0.0</v>
      </c>
    </row>
    <row r="39606">
      <c r="Y39606" s="372">
        <v>0.0</v>
      </c>
      <c r="Z39606" s="372">
        <v>0.0</v>
      </c>
    </row>
    <row r="39607">
      <c r="Y39607" s="372">
        <v>0.0</v>
      </c>
      <c r="Z39607" s="372">
        <v>0.0</v>
      </c>
    </row>
    <row r="39608">
      <c r="Y39608" s="372">
        <v>0.0</v>
      </c>
      <c r="Z39608" s="372">
        <v>0.0</v>
      </c>
    </row>
    <row r="39609">
      <c r="Y39609" s="372">
        <v>0.0</v>
      </c>
      <c r="Z39609" s="372">
        <v>0.0</v>
      </c>
    </row>
    <row r="39610">
      <c r="Y39610" s="372">
        <v>0.0</v>
      </c>
      <c r="Z39610" s="372">
        <v>0.0</v>
      </c>
    </row>
    <row r="39611">
      <c r="Y39611" s="372">
        <v>0.0</v>
      </c>
      <c r="Z39611" s="372">
        <v>0.0</v>
      </c>
    </row>
    <row r="39612">
      <c r="Y39612" s="372">
        <v>0.0</v>
      </c>
      <c r="Z39612" s="372">
        <v>0.0</v>
      </c>
    </row>
    <row r="39613">
      <c r="Y39613" s="372">
        <v>0.0</v>
      </c>
      <c r="Z39613" s="372">
        <v>0.0</v>
      </c>
    </row>
    <row r="39614">
      <c r="Y39614" s="372">
        <v>0.0</v>
      </c>
      <c r="Z39614" s="372">
        <v>0.0</v>
      </c>
    </row>
    <row r="39615">
      <c r="Y39615" s="372">
        <v>0.0</v>
      </c>
      <c r="Z39615" s="372">
        <v>0.0</v>
      </c>
    </row>
    <row r="39616">
      <c r="Y39616" s="372">
        <v>0.0</v>
      </c>
      <c r="Z39616" s="372">
        <v>0.0</v>
      </c>
    </row>
    <row r="39617">
      <c r="Y39617" s="372">
        <v>0.0</v>
      </c>
      <c r="Z39617" s="372">
        <v>0.0</v>
      </c>
    </row>
    <row r="39618">
      <c r="Y39618" s="372">
        <v>0.0</v>
      </c>
      <c r="Z39618" s="372">
        <v>0.0</v>
      </c>
    </row>
    <row r="39619">
      <c r="Y39619" s="372">
        <v>0.0</v>
      </c>
      <c r="Z39619" s="372">
        <v>0.0</v>
      </c>
    </row>
    <row r="39620">
      <c r="Y39620" s="372">
        <v>0.0</v>
      </c>
      <c r="Z39620" s="372">
        <v>0.0</v>
      </c>
    </row>
    <row r="39621">
      <c r="Y39621" s="372">
        <v>0.0</v>
      </c>
      <c r="Z39621" s="372">
        <v>0.0</v>
      </c>
    </row>
    <row r="39622">
      <c r="Y39622" s="372">
        <v>0.0</v>
      </c>
      <c r="Z39622" s="372">
        <v>0.0</v>
      </c>
    </row>
    <row r="39623">
      <c r="Y39623" s="372">
        <v>0.0</v>
      </c>
      <c r="Z39623" s="372">
        <v>0.0</v>
      </c>
    </row>
    <row r="39624">
      <c r="Y39624" s="372">
        <v>0.0</v>
      </c>
      <c r="Z39624" s="372">
        <v>0.0</v>
      </c>
    </row>
    <row r="39625">
      <c r="Y39625" s="372">
        <v>0.0</v>
      </c>
      <c r="Z39625" s="372">
        <v>0.0</v>
      </c>
    </row>
    <row r="39626">
      <c r="Y39626" s="372">
        <v>0.0</v>
      </c>
      <c r="Z39626" s="372">
        <v>0.0</v>
      </c>
    </row>
    <row r="39627">
      <c r="Y39627" s="372">
        <v>0.0</v>
      </c>
      <c r="Z39627" s="372">
        <v>0.0</v>
      </c>
    </row>
    <row r="39628">
      <c r="Y39628" s="372">
        <v>0.0</v>
      </c>
      <c r="Z39628" s="372">
        <v>0.0</v>
      </c>
    </row>
    <row r="39629">
      <c r="Y39629" s="372">
        <v>0.0</v>
      </c>
      <c r="Z39629" s="372">
        <v>0.0</v>
      </c>
    </row>
    <row r="39630">
      <c r="Y39630" s="372">
        <v>0.0</v>
      </c>
      <c r="Z39630" s="372">
        <v>0.0</v>
      </c>
    </row>
    <row r="39631">
      <c r="Y39631" s="372">
        <v>0.0</v>
      </c>
      <c r="Z39631" s="372">
        <v>0.0</v>
      </c>
    </row>
    <row r="39632">
      <c r="Y39632" s="372">
        <v>0.0</v>
      </c>
      <c r="Z39632" s="372">
        <v>0.0</v>
      </c>
    </row>
    <row r="39633">
      <c r="Y39633" s="372">
        <v>0.0</v>
      </c>
      <c r="Z39633" s="372">
        <v>0.0</v>
      </c>
    </row>
    <row r="39634">
      <c r="Y39634" s="372">
        <v>0.0</v>
      </c>
      <c r="Z39634" s="372">
        <v>0.0</v>
      </c>
    </row>
    <row r="39635">
      <c r="Y39635" s="372">
        <v>0.0</v>
      </c>
      <c r="Z39635" s="372">
        <v>0.0</v>
      </c>
    </row>
    <row r="39636">
      <c r="Y39636" s="372">
        <v>0.0</v>
      </c>
      <c r="Z39636" s="372">
        <v>0.0</v>
      </c>
    </row>
    <row r="39637">
      <c r="Y39637" s="372">
        <v>0.0</v>
      </c>
      <c r="Z39637" s="372">
        <v>0.0</v>
      </c>
    </row>
    <row r="39638">
      <c r="Y39638" s="372">
        <v>0.0</v>
      </c>
      <c r="Z39638" s="372">
        <v>0.0</v>
      </c>
    </row>
    <row r="39639">
      <c r="Y39639" s="372">
        <v>0.0</v>
      </c>
      <c r="Z39639" s="372">
        <v>0.0</v>
      </c>
    </row>
    <row r="39640">
      <c r="Y39640" s="372">
        <v>0.0</v>
      </c>
      <c r="Z39640" s="372">
        <v>0.0</v>
      </c>
    </row>
    <row r="39641">
      <c r="Y39641" s="372">
        <v>0.0</v>
      </c>
      <c r="Z39641" s="372">
        <v>0.0</v>
      </c>
    </row>
    <row r="39642">
      <c r="Y39642" s="372">
        <v>0.0</v>
      </c>
      <c r="Z39642" s="372">
        <v>0.0</v>
      </c>
    </row>
    <row r="39643">
      <c r="Y39643" s="372">
        <v>0.0</v>
      </c>
      <c r="Z39643" s="372">
        <v>0.0</v>
      </c>
    </row>
    <row r="39644">
      <c r="Y39644" s="372">
        <v>0.0</v>
      </c>
      <c r="Z39644" s="372">
        <v>0.0</v>
      </c>
    </row>
    <row r="39645">
      <c r="Y39645" s="372">
        <v>0.0</v>
      </c>
      <c r="Z39645" s="372">
        <v>0.0</v>
      </c>
    </row>
    <row r="39646">
      <c r="Y39646" s="372">
        <v>0.0</v>
      </c>
      <c r="Z39646" s="372">
        <v>0.0</v>
      </c>
    </row>
    <row r="39647">
      <c r="Y39647" s="372">
        <v>0.0</v>
      </c>
      <c r="Z39647" s="372">
        <v>0.0</v>
      </c>
    </row>
    <row r="39648">
      <c r="Y39648" s="372">
        <v>0.0</v>
      </c>
      <c r="Z39648" s="372">
        <v>0.0</v>
      </c>
    </row>
    <row r="39649">
      <c r="Y39649" s="372">
        <v>0.0</v>
      </c>
      <c r="Z39649" s="372">
        <v>0.0</v>
      </c>
    </row>
    <row r="39650">
      <c r="Y39650" s="372">
        <v>0.0</v>
      </c>
      <c r="Z39650" s="372">
        <v>0.0</v>
      </c>
    </row>
    <row r="39651">
      <c r="Y39651" s="372">
        <v>0.0</v>
      </c>
      <c r="Z39651" s="372">
        <v>0.0</v>
      </c>
    </row>
    <row r="39652">
      <c r="Y39652" s="372">
        <v>0.0</v>
      </c>
      <c r="Z39652" s="372">
        <v>0.0</v>
      </c>
    </row>
    <row r="39653">
      <c r="Y39653" s="372">
        <v>0.0</v>
      </c>
      <c r="Z39653" s="372">
        <v>0.0</v>
      </c>
    </row>
    <row r="39654">
      <c r="Y39654" s="372">
        <v>0.0</v>
      </c>
      <c r="Z39654" s="372">
        <v>0.0</v>
      </c>
    </row>
    <row r="39655">
      <c r="Y39655" s="372">
        <v>0.0</v>
      </c>
      <c r="Z39655" s="372">
        <v>0.0</v>
      </c>
    </row>
    <row r="39656">
      <c r="Y39656" s="372">
        <v>0.0</v>
      </c>
      <c r="Z39656" s="372">
        <v>0.0</v>
      </c>
    </row>
    <row r="39657">
      <c r="Y39657" s="372">
        <v>0.0</v>
      </c>
      <c r="Z39657" s="372">
        <v>0.0</v>
      </c>
    </row>
    <row r="39658">
      <c r="Y39658" s="372">
        <v>0.0</v>
      </c>
      <c r="Z39658" s="372">
        <v>0.0</v>
      </c>
    </row>
    <row r="39659">
      <c r="Y39659" s="372">
        <v>0.0</v>
      </c>
      <c r="Z39659" s="372">
        <v>0.0</v>
      </c>
    </row>
    <row r="39660">
      <c r="Y39660" s="372">
        <v>0.0</v>
      </c>
      <c r="Z39660" s="372">
        <v>0.0</v>
      </c>
    </row>
    <row r="39661">
      <c r="Y39661" s="372">
        <v>0.0</v>
      </c>
      <c r="Z39661" s="372">
        <v>0.0</v>
      </c>
    </row>
    <row r="39662">
      <c r="Y39662" s="372">
        <v>0.0</v>
      </c>
      <c r="Z39662" s="372">
        <v>0.0</v>
      </c>
    </row>
    <row r="39663">
      <c r="Y39663" s="372">
        <v>0.0</v>
      </c>
      <c r="Z39663" s="372">
        <v>0.0</v>
      </c>
    </row>
    <row r="39664">
      <c r="Y39664" s="372">
        <v>0.0</v>
      </c>
      <c r="Z39664" s="372">
        <v>0.0</v>
      </c>
    </row>
    <row r="39665">
      <c r="Y39665" s="372">
        <v>0.0</v>
      </c>
      <c r="Z39665" s="372">
        <v>0.0</v>
      </c>
    </row>
    <row r="39666">
      <c r="Y39666" s="372">
        <v>0.0</v>
      </c>
      <c r="Z39666" s="372">
        <v>0.0</v>
      </c>
    </row>
    <row r="39667">
      <c r="Y39667" s="372">
        <v>0.0</v>
      </c>
      <c r="Z39667" s="372">
        <v>0.0</v>
      </c>
    </row>
    <row r="39668">
      <c r="Y39668" s="372">
        <v>0.0</v>
      </c>
      <c r="Z39668" s="372">
        <v>0.0</v>
      </c>
    </row>
    <row r="39669">
      <c r="Y39669" s="372">
        <v>0.0</v>
      </c>
      <c r="Z39669" s="372">
        <v>0.0</v>
      </c>
    </row>
    <row r="39670">
      <c r="Y39670" s="372">
        <v>0.0</v>
      </c>
      <c r="Z39670" s="372">
        <v>0.0</v>
      </c>
    </row>
    <row r="39671">
      <c r="Y39671" s="372">
        <v>0.0</v>
      </c>
      <c r="Z39671" s="372">
        <v>0.0</v>
      </c>
    </row>
    <row r="39672">
      <c r="Y39672" s="372">
        <v>0.0</v>
      </c>
      <c r="Z39672" s="372">
        <v>0.0</v>
      </c>
    </row>
    <row r="39673">
      <c r="Y39673" s="372">
        <v>0.0</v>
      </c>
      <c r="Z39673" s="372">
        <v>0.0</v>
      </c>
    </row>
    <row r="39674">
      <c r="Y39674" s="372">
        <v>0.0</v>
      </c>
      <c r="Z39674" s="372">
        <v>0.0</v>
      </c>
    </row>
    <row r="39675">
      <c r="Y39675" s="372">
        <v>0.0</v>
      </c>
      <c r="Z39675" s="372">
        <v>0.0</v>
      </c>
    </row>
    <row r="39676">
      <c r="Y39676" s="372">
        <v>0.0</v>
      </c>
      <c r="Z39676" s="372">
        <v>0.0</v>
      </c>
    </row>
    <row r="39677">
      <c r="Y39677" s="372">
        <v>0.0</v>
      </c>
      <c r="Z39677" s="372">
        <v>0.0</v>
      </c>
    </row>
    <row r="39678">
      <c r="Y39678" s="372">
        <v>0.0</v>
      </c>
      <c r="Z39678" s="372">
        <v>0.0</v>
      </c>
    </row>
    <row r="39679">
      <c r="Y39679" s="372">
        <v>0.0</v>
      </c>
      <c r="Z39679" s="372">
        <v>0.0</v>
      </c>
    </row>
    <row r="39680">
      <c r="Y39680" s="372">
        <v>0.0</v>
      </c>
      <c r="Z39680" s="372">
        <v>0.0</v>
      </c>
    </row>
    <row r="39681">
      <c r="Y39681" s="372">
        <v>0.0</v>
      </c>
      <c r="Z39681" s="372">
        <v>0.0</v>
      </c>
    </row>
    <row r="39682">
      <c r="Y39682" s="372">
        <v>0.0</v>
      </c>
      <c r="Z39682" s="372">
        <v>0.0</v>
      </c>
    </row>
    <row r="39683">
      <c r="Y39683" s="372">
        <v>0.0</v>
      </c>
      <c r="Z39683" s="372">
        <v>0.0</v>
      </c>
    </row>
    <row r="39684">
      <c r="Y39684" s="372">
        <v>0.0</v>
      </c>
      <c r="Z39684" s="372">
        <v>0.0</v>
      </c>
    </row>
    <row r="39685">
      <c r="Y39685" s="372">
        <v>0.0</v>
      </c>
      <c r="Z39685" s="372">
        <v>0.0</v>
      </c>
    </row>
    <row r="39686">
      <c r="Y39686" s="372">
        <v>0.0</v>
      </c>
      <c r="Z39686" s="372">
        <v>0.0</v>
      </c>
    </row>
    <row r="39687">
      <c r="Y39687" s="372">
        <v>0.0</v>
      </c>
      <c r="Z39687" s="372">
        <v>0.0</v>
      </c>
    </row>
    <row r="39688">
      <c r="Y39688" s="372">
        <v>0.0</v>
      </c>
      <c r="Z39688" s="372">
        <v>0.0</v>
      </c>
    </row>
    <row r="39689">
      <c r="Y39689" s="372">
        <v>0.0</v>
      </c>
      <c r="Z39689" s="372">
        <v>0.0</v>
      </c>
    </row>
    <row r="39690">
      <c r="Y39690" s="372">
        <v>0.0</v>
      </c>
      <c r="Z39690" s="372">
        <v>0.0</v>
      </c>
    </row>
    <row r="39691">
      <c r="Y39691" s="372">
        <v>0.0</v>
      </c>
      <c r="Z39691" s="372">
        <v>0.0</v>
      </c>
    </row>
    <row r="39692">
      <c r="Y39692" s="372">
        <v>0.0</v>
      </c>
      <c r="Z39692" s="372">
        <v>0.0</v>
      </c>
    </row>
    <row r="39693">
      <c r="Y39693" s="372">
        <v>0.0</v>
      </c>
      <c r="Z39693" s="372">
        <v>0.0</v>
      </c>
    </row>
    <row r="39694">
      <c r="Y39694" s="372">
        <v>0.0</v>
      </c>
      <c r="Z39694" s="372">
        <v>0.0</v>
      </c>
    </row>
    <row r="39695">
      <c r="Y39695" s="372">
        <v>0.0</v>
      </c>
      <c r="Z39695" s="372">
        <v>0.0</v>
      </c>
    </row>
    <row r="39696">
      <c r="Y39696" s="372">
        <v>0.0</v>
      </c>
      <c r="Z39696" s="372">
        <v>0.0</v>
      </c>
    </row>
    <row r="39697">
      <c r="Y39697" s="372">
        <v>0.0</v>
      </c>
      <c r="Z39697" s="372">
        <v>0.0</v>
      </c>
    </row>
    <row r="39698">
      <c r="Y39698" s="372">
        <v>0.0</v>
      </c>
      <c r="Z39698" s="372">
        <v>0.0</v>
      </c>
    </row>
    <row r="39699">
      <c r="Y39699" s="372">
        <v>0.0</v>
      </c>
      <c r="Z39699" s="372">
        <v>0.0</v>
      </c>
    </row>
    <row r="39700">
      <c r="Y39700" s="372">
        <v>0.0</v>
      </c>
      <c r="Z39700" s="372">
        <v>0.0</v>
      </c>
    </row>
    <row r="39701">
      <c r="Y39701" s="372">
        <v>0.0</v>
      </c>
      <c r="Z39701" s="372">
        <v>0.0</v>
      </c>
    </row>
    <row r="39702">
      <c r="Y39702" s="372">
        <v>0.0</v>
      </c>
      <c r="Z39702" s="372">
        <v>0.0</v>
      </c>
    </row>
    <row r="39703">
      <c r="Y39703" s="372">
        <v>0.0</v>
      </c>
      <c r="Z39703" s="372">
        <v>0.0</v>
      </c>
    </row>
    <row r="39704">
      <c r="Y39704" s="372">
        <v>0.0</v>
      </c>
      <c r="Z39704" s="372">
        <v>0.0</v>
      </c>
    </row>
    <row r="39705">
      <c r="Y39705" s="372">
        <v>0.0</v>
      </c>
      <c r="Z39705" s="372">
        <v>0.0</v>
      </c>
    </row>
    <row r="39706">
      <c r="Y39706" s="372">
        <v>0.0</v>
      </c>
      <c r="Z39706" s="372">
        <v>0.0</v>
      </c>
    </row>
    <row r="39707">
      <c r="Y39707" s="372">
        <v>0.0</v>
      </c>
      <c r="Z39707" s="372">
        <v>0.0</v>
      </c>
    </row>
    <row r="39708">
      <c r="Y39708" s="372">
        <v>0.0</v>
      </c>
      <c r="Z39708" s="372">
        <v>0.0</v>
      </c>
    </row>
    <row r="39709">
      <c r="Y39709" s="372">
        <v>0.0</v>
      </c>
      <c r="Z39709" s="372">
        <v>0.0</v>
      </c>
    </row>
    <row r="39710">
      <c r="Y39710" s="372">
        <v>0.0</v>
      </c>
      <c r="Z39710" s="372">
        <v>0.0</v>
      </c>
    </row>
    <row r="39711">
      <c r="Y39711" s="372">
        <v>0.0</v>
      </c>
      <c r="Z39711" s="372">
        <v>0.0</v>
      </c>
    </row>
    <row r="39712">
      <c r="Y39712" s="372">
        <v>0.0</v>
      </c>
      <c r="Z39712" s="372">
        <v>0.0</v>
      </c>
    </row>
    <row r="39713">
      <c r="Y39713" s="372">
        <v>0.0</v>
      </c>
      <c r="Z39713" s="372">
        <v>0.0</v>
      </c>
    </row>
    <row r="39714">
      <c r="Y39714" s="372">
        <v>0.0</v>
      </c>
      <c r="Z39714" s="372">
        <v>0.0</v>
      </c>
    </row>
    <row r="39715">
      <c r="Y39715" s="372">
        <v>0.0</v>
      </c>
      <c r="Z39715" s="372">
        <v>0.0</v>
      </c>
    </row>
    <row r="39716">
      <c r="Y39716" s="372">
        <v>0.0</v>
      </c>
      <c r="Z39716" s="372">
        <v>0.0</v>
      </c>
    </row>
    <row r="39717">
      <c r="Y39717" s="372">
        <v>0.0</v>
      </c>
      <c r="Z39717" s="372">
        <v>0.0</v>
      </c>
    </row>
    <row r="39718">
      <c r="Y39718" s="372">
        <v>0.0</v>
      </c>
      <c r="Z39718" s="372">
        <v>0.0</v>
      </c>
    </row>
    <row r="39719">
      <c r="Y39719" s="372">
        <v>0.0</v>
      </c>
      <c r="Z39719" s="372">
        <v>0.0</v>
      </c>
    </row>
    <row r="39720">
      <c r="Y39720" s="372">
        <v>0.0</v>
      </c>
      <c r="Z39720" s="372">
        <v>0.0</v>
      </c>
    </row>
    <row r="39721">
      <c r="Y39721" s="372">
        <v>0.0</v>
      </c>
      <c r="Z39721" s="372">
        <v>0.0</v>
      </c>
    </row>
    <row r="39722">
      <c r="Y39722" s="372">
        <v>0.0</v>
      </c>
      <c r="Z39722" s="372">
        <v>0.0</v>
      </c>
    </row>
    <row r="39723">
      <c r="Y39723" s="372">
        <v>0.0</v>
      </c>
      <c r="Z39723" s="372">
        <v>0.0</v>
      </c>
    </row>
    <row r="39724">
      <c r="Y39724" s="372">
        <v>0.0</v>
      </c>
      <c r="Z39724" s="372">
        <v>0.0</v>
      </c>
    </row>
    <row r="39725">
      <c r="Y39725" s="372">
        <v>0.0</v>
      </c>
      <c r="Z39725" s="372">
        <v>0.0</v>
      </c>
    </row>
    <row r="39726">
      <c r="Y39726" s="372">
        <v>0.0</v>
      </c>
      <c r="Z39726" s="372">
        <v>0.0</v>
      </c>
    </row>
    <row r="39727">
      <c r="Y39727" s="372">
        <v>0.0</v>
      </c>
      <c r="Z39727" s="372">
        <v>0.0</v>
      </c>
    </row>
    <row r="39728">
      <c r="Y39728" s="372">
        <v>0.0</v>
      </c>
      <c r="Z39728" s="372">
        <v>0.0</v>
      </c>
    </row>
    <row r="39729">
      <c r="Y39729" s="372">
        <v>0.0</v>
      </c>
      <c r="Z39729" s="372">
        <v>0.0</v>
      </c>
    </row>
    <row r="39730">
      <c r="Y39730" s="372">
        <v>0.0</v>
      </c>
      <c r="Z39730" s="372">
        <v>0.0</v>
      </c>
    </row>
    <row r="39731">
      <c r="Y39731" s="372">
        <v>0.0</v>
      </c>
      <c r="Z39731" s="372">
        <v>0.0</v>
      </c>
    </row>
    <row r="39732">
      <c r="Y39732" s="372">
        <v>0.0</v>
      </c>
      <c r="Z39732" s="372">
        <v>0.0</v>
      </c>
    </row>
    <row r="39733">
      <c r="Y39733" s="372">
        <v>0.0</v>
      </c>
      <c r="Z39733" s="372">
        <v>0.0</v>
      </c>
    </row>
    <row r="39734">
      <c r="Y39734" s="372">
        <v>0.0</v>
      </c>
      <c r="Z39734" s="372">
        <v>0.0</v>
      </c>
    </row>
    <row r="39735">
      <c r="Y39735" s="372">
        <v>0.0</v>
      </c>
      <c r="Z39735" s="372">
        <v>0.0</v>
      </c>
    </row>
    <row r="39736">
      <c r="Y39736" s="372">
        <v>0.0</v>
      </c>
      <c r="Z39736" s="372">
        <v>0.0</v>
      </c>
    </row>
    <row r="39737">
      <c r="Y39737" s="372">
        <v>0.0</v>
      </c>
      <c r="Z39737" s="372">
        <v>0.0</v>
      </c>
    </row>
    <row r="39738">
      <c r="Y39738" s="372">
        <v>0.0</v>
      </c>
      <c r="Z39738" s="372">
        <v>0.0</v>
      </c>
    </row>
    <row r="39739">
      <c r="Y39739" s="372">
        <v>0.0</v>
      </c>
      <c r="Z39739" s="372">
        <v>0.0</v>
      </c>
    </row>
    <row r="39740">
      <c r="Y39740" s="372">
        <v>0.0</v>
      </c>
      <c r="Z39740" s="372">
        <v>0.0</v>
      </c>
    </row>
    <row r="39741">
      <c r="Y39741" s="372">
        <v>0.0</v>
      </c>
      <c r="Z39741" s="372">
        <v>0.0</v>
      </c>
    </row>
    <row r="39742">
      <c r="Y39742" s="372">
        <v>0.0</v>
      </c>
      <c r="Z39742" s="372">
        <v>0.0</v>
      </c>
    </row>
    <row r="39743">
      <c r="Y39743" s="372">
        <v>0.0</v>
      </c>
      <c r="Z39743" s="372">
        <v>0.0</v>
      </c>
    </row>
    <row r="39744">
      <c r="Y39744" s="372">
        <v>0.0</v>
      </c>
      <c r="Z39744" s="372">
        <v>0.0</v>
      </c>
    </row>
    <row r="39745">
      <c r="Y39745" s="372">
        <v>0.0</v>
      </c>
      <c r="Z39745" s="372">
        <v>0.0</v>
      </c>
    </row>
    <row r="39746">
      <c r="Y39746" s="372">
        <v>0.0</v>
      </c>
      <c r="Z39746" s="372">
        <v>0.0</v>
      </c>
    </row>
    <row r="39747">
      <c r="Y39747" s="372">
        <v>0.0</v>
      </c>
      <c r="Z39747" s="372">
        <v>0.0</v>
      </c>
    </row>
    <row r="39748">
      <c r="Y39748" s="372">
        <v>0.0</v>
      </c>
      <c r="Z39748" s="372">
        <v>0.0</v>
      </c>
    </row>
    <row r="39749">
      <c r="Y39749" s="372">
        <v>0.0</v>
      </c>
      <c r="Z39749" s="372">
        <v>0.0</v>
      </c>
    </row>
    <row r="39750">
      <c r="Y39750" s="372">
        <v>0.0</v>
      </c>
      <c r="Z39750" s="372">
        <v>0.0</v>
      </c>
    </row>
    <row r="39751">
      <c r="Y39751" s="372">
        <v>0.0</v>
      </c>
      <c r="Z39751" s="372">
        <v>0.0</v>
      </c>
    </row>
    <row r="39752">
      <c r="Y39752" s="372">
        <v>0.0</v>
      </c>
      <c r="Z39752" s="372">
        <v>0.0</v>
      </c>
    </row>
    <row r="39753">
      <c r="Y39753" s="372">
        <v>0.0</v>
      </c>
      <c r="Z39753" s="372">
        <v>0.0</v>
      </c>
    </row>
    <row r="39754">
      <c r="Y39754" s="372">
        <v>0.0</v>
      </c>
      <c r="Z39754" s="372">
        <v>0.0</v>
      </c>
    </row>
    <row r="39755">
      <c r="Y39755" s="372">
        <v>0.0</v>
      </c>
      <c r="Z39755" s="372">
        <v>0.0</v>
      </c>
    </row>
    <row r="39756">
      <c r="Y39756" s="372">
        <v>0.0</v>
      </c>
      <c r="Z39756" s="372">
        <v>0.0</v>
      </c>
    </row>
    <row r="39757">
      <c r="Y39757" s="372">
        <v>0.0</v>
      </c>
      <c r="Z39757" s="372">
        <v>0.0</v>
      </c>
    </row>
    <row r="39758">
      <c r="Y39758" s="372">
        <v>0.0</v>
      </c>
      <c r="Z39758" s="372">
        <v>0.0</v>
      </c>
    </row>
    <row r="39759">
      <c r="Y39759" s="372">
        <v>0.0</v>
      </c>
      <c r="Z39759" s="372">
        <v>0.0</v>
      </c>
    </row>
    <row r="39760">
      <c r="Y39760" s="372">
        <v>0.0</v>
      </c>
      <c r="Z39760" s="372">
        <v>0.0</v>
      </c>
    </row>
    <row r="39761">
      <c r="Y39761" s="372">
        <v>0.0</v>
      </c>
      <c r="Z39761" s="372">
        <v>0.0</v>
      </c>
    </row>
    <row r="39762">
      <c r="Y39762" s="372">
        <v>0.0</v>
      </c>
      <c r="Z39762" s="372">
        <v>0.0</v>
      </c>
    </row>
    <row r="39763">
      <c r="Y39763" s="372">
        <v>0.0</v>
      </c>
      <c r="Z39763" s="372">
        <v>0.0</v>
      </c>
    </row>
    <row r="39764">
      <c r="Y39764" s="372">
        <v>0.0</v>
      </c>
      <c r="Z39764" s="372">
        <v>0.0</v>
      </c>
    </row>
    <row r="39765">
      <c r="Y39765" s="372">
        <v>0.0</v>
      </c>
      <c r="Z39765" s="372">
        <v>0.0</v>
      </c>
    </row>
    <row r="39766">
      <c r="Y39766" s="372">
        <v>0.0</v>
      </c>
      <c r="Z39766" s="372">
        <v>0.0</v>
      </c>
    </row>
    <row r="39767">
      <c r="Y39767" s="372">
        <v>0.0</v>
      </c>
      <c r="Z39767" s="372">
        <v>0.0</v>
      </c>
    </row>
    <row r="39768">
      <c r="Y39768" s="372">
        <v>0.0</v>
      </c>
      <c r="Z39768" s="372">
        <v>0.0</v>
      </c>
    </row>
    <row r="39769">
      <c r="Y39769" s="372">
        <v>0.0</v>
      </c>
      <c r="Z39769" s="372">
        <v>0.0</v>
      </c>
    </row>
    <row r="39770">
      <c r="Y39770" s="372">
        <v>0.0</v>
      </c>
      <c r="Z39770" s="372">
        <v>0.0</v>
      </c>
    </row>
    <row r="39771">
      <c r="Y39771" s="372">
        <v>0.0</v>
      </c>
      <c r="Z39771" s="372">
        <v>0.0</v>
      </c>
    </row>
    <row r="39772">
      <c r="Y39772" s="372">
        <v>0.0</v>
      </c>
      <c r="Z39772" s="372">
        <v>0.0</v>
      </c>
    </row>
    <row r="39773">
      <c r="Y39773" s="372">
        <v>0.0</v>
      </c>
      <c r="Z39773" s="372">
        <v>0.0</v>
      </c>
    </row>
    <row r="39774">
      <c r="Y39774" s="372">
        <v>0.0</v>
      </c>
      <c r="Z39774" s="372">
        <v>0.0</v>
      </c>
    </row>
    <row r="39775">
      <c r="Y39775" s="372">
        <v>0.0</v>
      </c>
      <c r="Z39775" s="372">
        <v>0.0</v>
      </c>
    </row>
    <row r="39776">
      <c r="Y39776" s="372">
        <v>0.0</v>
      </c>
      <c r="Z39776" s="372">
        <v>0.0</v>
      </c>
    </row>
    <row r="39777">
      <c r="Y39777" s="372">
        <v>0.0</v>
      </c>
      <c r="Z39777" s="372">
        <v>0.0</v>
      </c>
    </row>
    <row r="39778">
      <c r="Y39778" s="372">
        <v>0.0</v>
      </c>
      <c r="Z39778" s="372">
        <v>0.0</v>
      </c>
    </row>
    <row r="39779">
      <c r="Y39779" s="372">
        <v>0.0</v>
      </c>
      <c r="Z39779" s="372">
        <v>0.0</v>
      </c>
    </row>
    <row r="39780">
      <c r="Y39780" s="372">
        <v>0.0</v>
      </c>
      <c r="Z39780" s="372">
        <v>0.0</v>
      </c>
    </row>
    <row r="39781">
      <c r="Y39781" s="372">
        <v>0.0</v>
      </c>
      <c r="Z39781" s="372">
        <v>0.0</v>
      </c>
    </row>
    <row r="39782">
      <c r="Y39782" s="372">
        <v>0.0</v>
      </c>
      <c r="Z39782" s="372">
        <v>0.0</v>
      </c>
    </row>
    <row r="39783">
      <c r="Y39783" s="372">
        <v>0.0</v>
      </c>
      <c r="Z39783" s="372">
        <v>0.0</v>
      </c>
    </row>
    <row r="39784">
      <c r="Y39784" s="372">
        <v>0.0</v>
      </c>
      <c r="Z39784" s="372">
        <v>0.0</v>
      </c>
    </row>
    <row r="39785">
      <c r="Y39785" s="372">
        <v>0.0</v>
      </c>
      <c r="Z39785" s="372">
        <v>0.0</v>
      </c>
    </row>
    <row r="39786">
      <c r="Y39786" s="372">
        <v>0.0</v>
      </c>
      <c r="Z39786" s="372">
        <v>0.0</v>
      </c>
    </row>
    <row r="39787">
      <c r="Y39787" s="372">
        <v>0.0</v>
      </c>
      <c r="Z39787" s="372">
        <v>0.0</v>
      </c>
    </row>
    <row r="39788">
      <c r="Y39788" s="372">
        <v>0.0</v>
      </c>
      <c r="Z39788" s="372">
        <v>0.0</v>
      </c>
    </row>
    <row r="39789">
      <c r="Y39789" s="372">
        <v>0.0</v>
      </c>
      <c r="Z39789" s="372">
        <v>0.0</v>
      </c>
    </row>
    <row r="39790">
      <c r="Y39790" s="372">
        <v>0.0</v>
      </c>
      <c r="Z39790" s="372">
        <v>0.0</v>
      </c>
    </row>
    <row r="39791">
      <c r="Y39791" s="372">
        <v>0.0</v>
      </c>
      <c r="Z39791" s="372">
        <v>0.0</v>
      </c>
    </row>
    <row r="39792">
      <c r="Y39792" s="372">
        <v>0.0</v>
      </c>
      <c r="Z39792" s="372">
        <v>0.0</v>
      </c>
    </row>
    <row r="39793">
      <c r="Y39793" s="372">
        <v>0.0</v>
      </c>
      <c r="Z39793" s="372">
        <v>0.0</v>
      </c>
    </row>
    <row r="39794">
      <c r="Y39794" s="372">
        <v>0.0</v>
      </c>
      <c r="Z39794" s="372">
        <v>0.0</v>
      </c>
    </row>
    <row r="39795">
      <c r="Y39795" s="372">
        <v>0.0</v>
      </c>
      <c r="Z39795" s="372">
        <v>0.0</v>
      </c>
    </row>
    <row r="39796">
      <c r="Y39796" s="372">
        <v>0.0</v>
      </c>
      <c r="Z39796" s="372">
        <v>0.0</v>
      </c>
    </row>
    <row r="39797">
      <c r="Y39797" s="372">
        <v>0.0</v>
      </c>
      <c r="Z39797" s="372">
        <v>0.0</v>
      </c>
    </row>
    <row r="39798">
      <c r="Y39798" s="372">
        <v>0.0</v>
      </c>
      <c r="Z39798" s="372">
        <v>0.0</v>
      </c>
    </row>
    <row r="39799">
      <c r="Y39799" s="372">
        <v>0.0</v>
      </c>
      <c r="Z39799" s="372">
        <v>0.0</v>
      </c>
    </row>
    <row r="39800">
      <c r="Y39800" s="372">
        <v>0.0</v>
      </c>
      <c r="Z39800" s="372">
        <v>0.0</v>
      </c>
    </row>
    <row r="39801">
      <c r="Y39801" s="372">
        <v>0.0</v>
      </c>
      <c r="Z39801" s="372">
        <v>0.0</v>
      </c>
    </row>
    <row r="39802">
      <c r="Y39802" s="372">
        <v>0.0</v>
      </c>
      <c r="Z39802" s="372">
        <v>0.0</v>
      </c>
    </row>
    <row r="39803">
      <c r="Y39803" s="372">
        <v>0.0</v>
      </c>
      <c r="Z39803" s="372">
        <v>0.0</v>
      </c>
    </row>
    <row r="39804">
      <c r="Y39804" s="372">
        <v>0.0</v>
      </c>
      <c r="Z39804" s="372">
        <v>0.0</v>
      </c>
    </row>
    <row r="39805">
      <c r="Y39805" s="372">
        <v>0.0</v>
      </c>
      <c r="Z39805" s="372">
        <v>0.0</v>
      </c>
    </row>
    <row r="39806">
      <c r="Y39806" s="372">
        <v>0.0</v>
      </c>
      <c r="Z39806" s="372">
        <v>0.0</v>
      </c>
    </row>
    <row r="39807">
      <c r="Y39807" s="372">
        <v>0.0</v>
      </c>
      <c r="Z39807" s="372">
        <v>0.0</v>
      </c>
    </row>
    <row r="39808">
      <c r="Y39808" s="372">
        <v>0.0</v>
      </c>
      <c r="Z39808" s="372">
        <v>0.0</v>
      </c>
    </row>
    <row r="39809">
      <c r="Y39809" s="372">
        <v>0.0</v>
      </c>
      <c r="Z39809" s="372">
        <v>0.0</v>
      </c>
    </row>
    <row r="39810">
      <c r="Y39810" s="372">
        <v>0.0</v>
      </c>
      <c r="Z39810" s="372">
        <v>0.0</v>
      </c>
    </row>
    <row r="39811">
      <c r="Y39811" s="372">
        <v>0.0</v>
      </c>
      <c r="Z39811" s="372">
        <v>0.0</v>
      </c>
    </row>
    <row r="39812">
      <c r="Y39812" s="372">
        <v>0.0</v>
      </c>
      <c r="Z39812" s="372">
        <v>0.0</v>
      </c>
    </row>
    <row r="39813">
      <c r="Y39813" s="372">
        <v>0.0</v>
      </c>
      <c r="Z39813" s="372">
        <v>0.0</v>
      </c>
    </row>
    <row r="39814">
      <c r="Y39814" s="372">
        <v>0.0</v>
      </c>
      <c r="Z39814" s="372">
        <v>0.0</v>
      </c>
    </row>
    <row r="39815">
      <c r="Y39815" s="372">
        <v>0.0</v>
      </c>
      <c r="Z39815" s="372">
        <v>0.0</v>
      </c>
    </row>
    <row r="39816">
      <c r="Y39816" s="372">
        <v>0.0</v>
      </c>
      <c r="Z39816" s="372">
        <v>0.0</v>
      </c>
    </row>
    <row r="39817">
      <c r="Y39817" s="372">
        <v>0.0</v>
      </c>
      <c r="Z39817" s="372">
        <v>0.0</v>
      </c>
    </row>
    <row r="39818">
      <c r="Y39818" s="372">
        <v>0.0</v>
      </c>
      <c r="Z39818" s="372">
        <v>0.0</v>
      </c>
    </row>
    <row r="39819">
      <c r="Y39819" s="372">
        <v>0.0</v>
      </c>
      <c r="Z39819" s="372">
        <v>0.0</v>
      </c>
    </row>
    <row r="39820">
      <c r="Y39820" s="372">
        <v>0.0</v>
      </c>
      <c r="Z39820" s="372">
        <v>0.0</v>
      </c>
    </row>
    <row r="39821">
      <c r="Y39821" s="372">
        <v>0.0</v>
      </c>
      <c r="Z39821" s="372">
        <v>0.0</v>
      </c>
    </row>
    <row r="39822">
      <c r="Y39822" s="372">
        <v>0.0</v>
      </c>
      <c r="Z39822" s="372">
        <v>0.0</v>
      </c>
    </row>
    <row r="39823">
      <c r="Y39823" s="372">
        <v>0.0</v>
      </c>
      <c r="Z39823" s="372">
        <v>0.0</v>
      </c>
    </row>
    <row r="39824">
      <c r="Y39824" s="372">
        <v>0.0</v>
      </c>
      <c r="Z39824" s="372">
        <v>0.0</v>
      </c>
    </row>
    <row r="39825">
      <c r="Y39825" s="372">
        <v>0.0</v>
      </c>
      <c r="Z39825" s="372">
        <v>0.0</v>
      </c>
    </row>
    <row r="39826">
      <c r="Y39826" s="372">
        <v>0.0</v>
      </c>
      <c r="Z39826" s="372">
        <v>0.0</v>
      </c>
    </row>
    <row r="39827">
      <c r="Y39827" s="372">
        <v>0.0</v>
      </c>
      <c r="Z39827" s="372">
        <v>0.0</v>
      </c>
    </row>
    <row r="39828">
      <c r="Y39828" s="372">
        <v>0.0</v>
      </c>
      <c r="Z39828" s="372">
        <v>0.0</v>
      </c>
    </row>
    <row r="39829">
      <c r="Y39829" s="372">
        <v>0.0</v>
      </c>
      <c r="Z39829" s="372">
        <v>0.0</v>
      </c>
    </row>
    <row r="39830">
      <c r="Y39830" s="372">
        <v>0.0</v>
      </c>
      <c r="Z39830" s="372">
        <v>0.0</v>
      </c>
    </row>
    <row r="39831">
      <c r="Y39831" s="372">
        <v>0.0</v>
      </c>
      <c r="Z39831" s="372">
        <v>0.0</v>
      </c>
    </row>
    <row r="39832">
      <c r="Y39832" s="372">
        <v>0.0</v>
      </c>
      <c r="Z39832" s="372">
        <v>0.0</v>
      </c>
    </row>
    <row r="39833">
      <c r="Y39833" s="372">
        <v>0.0</v>
      </c>
      <c r="Z39833" s="372">
        <v>0.0</v>
      </c>
    </row>
    <row r="39834">
      <c r="Y39834" s="372">
        <v>0.0</v>
      </c>
      <c r="Z39834" s="372">
        <v>0.0</v>
      </c>
    </row>
    <row r="39835">
      <c r="Y39835" s="372">
        <v>0.0</v>
      </c>
      <c r="Z39835" s="372">
        <v>0.0</v>
      </c>
    </row>
    <row r="39836">
      <c r="Y39836" s="372">
        <v>0.0</v>
      </c>
      <c r="Z39836" s="372">
        <v>0.0</v>
      </c>
    </row>
    <row r="39837">
      <c r="Y39837" s="372">
        <v>0.0</v>
      </c>
      <c r="Z39837" s="372">
        <v>0.0</v>
      </c>
    </row>
    <row r="39838">
      <c r="Y39838" s="372">
        <v>0.0</v>
      </c>
      <c r="Z39838" s="372">
        <v>0.0</v>
      </c>
    </row>
    <row r="39839">
      <c r="Y39839" s="372">
        <v>0.0</v>
      </c>
      <c r="Z39839" s="372">
        <v>0.0</v>
      </c>
    </row>
    <row r="39840">
      <c r="Y39840" s="372">
        <v>0.0</v>
      </c>
      <c r="Z39840" s="372">
        <v>0.0</v>
      </c>
    </row>
    <row r="39841">
      <c r="Y39841" s="372">
        <v>0.0</v>
      </c>
      <c r="Z39841" s="372">
        <v>0.0</v>
      </c>
    </row>
    <row r="39842">
      <c r="Y39842" s="372">
        <v>0.0</v>
      </c>
      <c r="Z39842" s="372">
        <v>0.0</v>
      </c>
    </row>
    <row r="39843">
      <c r="Y39843" s="372">
        <v>0.0</v>
      </c>
      <c r="Z39843" s="372">
        <v>0.0</v>
      </c>
    </row>
    <row r="39844">
      <c r="Y39844" s="372">
        <v>0.0</v>
      </c>
      <c r="Z39844" s="372">
        <v>0.0</v>
      </c>
    </row>
    <row r="39845">
      <c r="Y39845" s="372">
        <v>0.0</v>
      </c>
      <c r="Z39845" s="372">
        <v>0.0</v>
      </c>
    </row>
    <row r="39846">
      <c r="Y39846" s="372">
        <v>0.0</v>
      </c>
      <c r="Z39846" s="372">
        <v>0.0</v>
      </c>
    </row>
    <row r="39847">
      <c r="Y39847" s="372">
        <v>0.0</v>
      </c>
      <c r="Z39847" s="372">
        <v>0.0</v>
      </c>
    </row>
    <row r="39848">
      <c r="Y39848" s="372">
        <v>0.0</v>
      </c>
      <c r="Z39848" s="372">
        <v>0.0</v>
      </c>
    </row>
    <row r="39849">
      <c r="Y39849" s="372">
        <v>0.0</v>
      </c>
      <c r="Z39849" s="372">
        <v>0.0</v>
      </c>
    </row>
    <row r="39850">
      <c r="Y39850" s="372">
        <v>0.0</v>
      </c>
      <c r="Z39850" s="372">
        <v>0.0</v>
      </c>
    </row>
    <row r="39851">
      <c r="Y39851" s="372">
        <v>0.0</v>
      </c>
      <c r="Z39851" s="372">
        <v>0.0</v>
      </c>
    </row>
    <row r="39852">
      <c r="Y39852" s="372">
        <v>0.0</v>
      </c>
      <c r="Z39852" s="372">
        <v>0.0</v>
      </c>
    </row>
    <row r="39853">
      <c r="Y39853" s="372">
        <v>0.0</v>
      </c>
      <c r="Z39853" s="372">
        <v>0.0</v>
      </c>
    </row>
    <row r="39854">
      <c r="Y39854" s="372">
        <v>0.0</v>
      </c>
      <c r="Z39854" s="372">
        <v>0.0</v>
      </c>
    </row>
    <row r="39855">
      <c r="Y39855" s="372">
        <v>0.0</v>
      </c>
      <c r="Z39855" s="372">
        <v>0.0</v>
      </c>
    </row>
    <row r="39856">
      <c r="Y39856" s="372">
        <v>0.0</v>
      </c>
      <c r="Z39856" s="372">
        <v>0.0</v>
      </c>
    </row>
    <row r="39857">
      <c r="Y39857" s="372">
        <v>0.0</v>
      </c>
      <c r="Z39857" s="372">
        <v>0.0</v>
      </c>
    </row>
    <row r="39858">
      <c r="Y39858" s="372">
        <v>0.0</v>
      </c>
      <c r="Z39858" s="372">
        <v>0.0</v>
      </c>
    </row>
    <row r="39859">
      <c r="Y39859" s="372">
        <v>0.0</v>
      </c>
      <c r="Z39859" s="372">
        <v>0.0</v>
      </c>
    </row>
    <row r="39860">
      <c r="Y39860" s="372">
        <v>0.0</v>
      </c>
      <c r="Z39860" s="372">
        <v>0.0</v>
      </c>
    </row>
    <row r="39861">
      <c r="Y39861" s="372">
        <v>0.0</v>
      </c>
      <c r="Z39861" s="372">
        <v>0.0</v>
      </c>
    </row>
    <row r="39862">
      <c r="Y39862" s="372">
        <v>0.0</v>
      </c>
      <c r="Z39862" s="372">
        <v>0.0</v>
      </c>
    </row>
    <row r="39863">
      <c r="Y39863" s="372">
        <v>0.0</v>
      </c>
      <c r="Z39863" s="372">
        <v>0.0</v>
      </c>
    </row>
    <row r="39864">
      <c r="Y39864" s="372">
        <v>0.0</v>
      </c>
      <c r="Z39864" s="372">
        <v>0.0</v>
      </c>
    </row>
    <row r="39865">
      <c r="Y39865" s="372">
        <v>0.0</v>
      </c>
      <c r="Z39865" s="372">
        <v>0.0</v>
      </c>
    </row>
    <row r="39866">
      <c r="Y39866" s="372">
        <v>0.0</v>
      </c>
      <c r="Z39866" s="372">
        <v>0.0</v>
      </c>
    </row>
    <row r="39867">
      <c r="Y39867" s="372">
        <v>0.0</v>
      </c>
      <c r="Z39867" s="372">
        <v>0.0</v>
      </c>
    </row>
    <row r="39868">
      <c r="Y39868" s="372">
        <v>0.0</v>
      </c>
      <c r="Z39868" s="372">
        <v>0.0</v>
      </c>
    </row>
    <row r="39869">
      <c r="Y39869" s="372">
        <v>0.0</v>
      </c>
      <c r="Z39869" s="372">
        <v>0.0</v>
      </c>
    </row>
    <row r="39870">
      <c r="Y39870" s="372">
        <v>0.0</v>
      </c>
      <c r="Z39870" s="372">
        <v>0.0</v>
      </c>
    </row>
    <row r="39871">
      <c r="Y39871" s="372">
        <v>0.0</v>
      </c>
      <c r="Z39871" s="372">
        <v>0.0</v>
      </c>
    </row>
    <row r="39872">
      <c r="Y39872" s="372">
        <v>0.0</v>
      </c>
      <c r="Z39872" s="372">
        <v>0.0</v>
      </c>
    </row>
    <row r="39873">
      <c r="Y39873" s="372">
        <v>0.0</v>
      </c>
      <c r="Z39873" s="372">
        <v>0.0</v>
      </c>
    </row>
    <row r="39874">
      <c r="Y39874" s="372">
        <v>0.0</v>
      </c>
      <c r="Z39874" s="372">
        <v>0.0</v>
      </c>
    </row>
    <row r="39875">
      <c r="Y39875" s="372">
        <v>0.0</v>
      </c>
      <c r="Z39875" s="372">
        <v>0.0</v>
      </c>
    </row>
    <row r="39876">
      <c r="Y39876" s="372">
        <v>0.0</v>
      </c>
      <c r="Z39876" s="372">
        <v>0.0</v>
      </c>
    </row>
    <row r="39877">
      <c r="Y39877" s="372">
        <v>0.0</v>
      </c>
      <c r="Z39877" s="372">
        <v>0.0</v>
      </c>
    </row>
    <row r="39878">
      <c r="Y39878" s="372">
        <v>0.0</v>
      </c>
      <c r="Z39878" s="372">
        <v>0.0</v>
      </c>
    </row>
    <row r="39879">
      <c r="Y39879" s="372">
        <v>0.0</v>
      </c>
      <c r="Z39879" s="372">
        <v>0.0</v>
      </c>
    </row>
    <row r="39880">
      <c r="Y39880" s="372">
        <v>0.0</v>
      </c>
      <c r="Z39880" s="372">
        <v>0.0</v>
      </c>
    </row>
    <row r="39881">
      <c r="Y39881" s="372">
        <v>0.0</v>
      </c>
      <c r="Z39881" s="372">
        <v>0.0</v>
      </c>
    </row>
    <row r="39882">
      <c r="Y39882" s="372">
        <v>0.0</v>
      </c>
      <c r="Z39882" s="372">
        <v>0.0</v>
      </c>
    </row>
    <row r="39883">
      <c r="Y39883" s="372">
        <v>0.0</v>
      </c>
      <c r="Z39883" s="372">
        <v>0.0</v>
      </c>
    </row>
    <row r="39884">
      <c r="Y39884" s="372">
        <v>0.0</v>
      </c>
      <c r="Z39884" s="372">
        <v>0.0</v>
      </c>
    </row>
    <row r="39885">
      <c r="Y39885" s="372">
        <v>0.0</v>
      </c>
      <c r="Z39885" s="372">
        <v>0.0</v>
      </c>
    </row>
    <row r="39886">
      <c r="Y39886" s="372">
        <v>0.0</v>
      </c>
      <c r="Z39886" s="372">
        <v>0.0</v>
      </c>
    </row>
    <row r="39887">
      <c r="Y39887" s="372">
        <v>0.0</v>
      </c>
      <c r="Z39887" s="372">
        <v>0.0</v>
      </c>
    </row>
    <row r="39888">
      <c r="Y39888" s="372">
        <v>0.0</v>
      </c>
      <c r="Z39888" s="372">
        <v>0.0</v>
      </c>
    </row>
    <row r="39889">
      <c r="Y39889" s="372">
        <v>0.0</v>
      </c>
      <c r="Z39889" s="372">
        <v>0.0</v>
      </c>
    </row>
    <row r="39890">
      <c r="Y39890" s="372">
        <v>0.0</v>
      </c>
      <c r="Z39890" s="372">
        <v>0.0</v>
      </c>
    </row>
    <row r="39891">
      <c r="Y39891" s="372">
        <v>0.0</v>
      </c>
      <c r="Z39891" s="372">
        <v>0.0</v>
      </c>
    </row>
    <row r="39892">
      <c r="Y39892" s="372">
        <v>0.0</v>
      </c>
      <c r="Z39892" s="372">
        <v>0.0</v>
      </c>
    </row>
    <row r="39893">
      <c r="Y39893" s="372">
        <v>0.0</v>
      </c>
      <c r="Z39893" s="372">
        <v>0.0</v>
      </c>
    </row>
    <row r="39894">
      <c r="Y39894" s="372">
        <v>0.0</v>
      </c>
      <c r="Z39894" s="372">
        <v>0.0</v>
      </c>
    </row>
    <row r="39895">
      <c r="Y39895" s="372">
        <v>0.0</v>
      </c>
      <c r="Z39895" s="372">
        <v>0.0</v>
      </c>
    </row>
    <row r="39896">
      <c r="Y39896" s="372">
        <v>0.0</v>
      </c>
      <c r="Z39896" s="372">
        <v>0.0</v>
      </c>
    </row>
    <row r="39897">
      <c r="Y39897" s="372">
        <v>0.0</v>
      </c>
      <c r="Z39897" s="372">
        <v>0.0</v>
      </c>
    </row>
    <row r="39898">
      <c r="Y39898" s="372">
        <v>0.0</v>
      </c>
      <c r="Z39898" s="372">
        <v>0.0</v>
      </c>
    </row>
    <row r="39899">
      <c r="Y39899" s="372">
        <v>0.0</v>
      </c>
      <c r="Z39899" s="372">
        <v>0.0</v>
      </c>
    </row>
    <row r="39900">
      <c r="Y39900" s="372">
        <v>0.0</v>
      </c>
      <c r="Z39900" s="372">
        <v>0.0</v>
      </c>
    </row>
    <row r="39901">
      <c r="Y39901" s="372">
        <v>0.0</v>
      </c>
      <c r="Z39901" s="372">
        <v>0.0</v>
      </c>
    </row>
    <row r="39902">
      <c r="Y39902" s="372">
        <v>0.0</v>
      </c>
      <c r="Z39902" s="372">
        <v>0.0</v>
      </c>
    </row>
    <row r="39903">
      <c r="Y39903" s="372">
        <v>0.0</v>
      </c>
      <c r="Z39903" s="372">
        <v>0.0</v>
      </c>
    </row>
    <row r="39904">
      <c r="Y39904" s="372">
        <v>0.0</v>
      </c>
      <c r="Z39904" s="372">
        <v>0.0</v>
      </c>
    </row>
    <row r="39905">
      <c r="Y39905" s="372">
        <v>0.0</v>
      </c>
      <c r="Z39905" s="372">
        <v>0.0</v>
      </c>
    </row>
    <row r="39906">
      <c r="Y39906" s="372">
        <v>0.0</v>
      </c>
      <c r="Z39906" s="372">
        <v>0.0</v>
      </c>
    </row>
    <row r="39907">
      <c r="Y39907" s="372">
        <v>0.0</v>
      </c>
      <c r="Z39907" s="372">
        <v>0.0</v>
      </c>
    </row>
    <row r="39908">
      <c r="Y39908" s="372">
        <v>0.0</v>
      </c>
      <c r="Z39908" s="372">
        <v>0.0</v>
      </c>
    </row>
    <row r="39909">
      <c r="Y39909" s="372">
        <v>0.0</v>
      </c>
      <c r="Z39909" s="372">
        <v>0.0</v>
      </c>
    </row>
    <row r="39910">
      <c r="Y39910" s="372">
        <v>0.0</v>
      </c>
      <c r="Z39910" s="372">
        <v>0.0</v>
      </c>
    </row>
    <row r="39911">
      <c r="Y39911" s="372">
        <v>0.0</v>
      </c>
      <c r="Z39911" s="372">
        <v>0.0</v>
      </c>
    </row>
    <row r="39912">
      <c r="Y39912" s="372">
        <v>0.0</v>
      </c>
      <c r="Z39912" s="372">
        <v>0.0</v>
      </c>
    </row>
    <row r="39913">
      <c r="Y39913" s="372">
        <v>0.0</v>
      </c>
      <c r="Z39913" s="372">
        <v>0.0</v>
      </c>
    </row>
    <row r="39914">
      <c r="Y39914" s="372">
        <v>0.0</v>
      </c>
      <c r="Z39914" s="372">
        <v>0.0</v>
      </c>
    </row>
    <row r="39915">
      <c r="Y39915" s="372">
        <v>0.0</v>
      </c>
      <c r="Z39915" s="372">
        <v>0.0</v>
      </c>
    </row>
    <row r="39916">
      <c r="Y39916" s="372">
        <v>0.0</v>
      </c>
      <c r="Z39916" s="372">
        <v>0.0</v>
      </c>
    </row>
    <row r="39917">
      <c r="Y39917" s="372">
        <v>0.0</v>
      </c>
      <c r="Z39917" s="372">
        <v>0.0</v>
      </c>
    </row>
    <row r="39918">
      <c r="Y39918" s="372">
        <v>0.0</v>
      </c>
      <c r="Z39918" s="372">
        <v>0.0</v>
      </c>
    </row>
    <row r="39919">
      <c r="Y39919" s="372">
        <v>0.0</v>
      </c>
      <c r="Z39919" s="372">
        <v>0.0</v>
      </c>
    </row>
    <row r="39920">
      <c r="Y39920" s="372">
        <v>0.0</v>
      </c>
      <c r="Z39920" s="372">
        <v>0.0</v>
      </c>
    </row>
    <row r="39921">
      <c r="Y39921" s="372">
        <v>0.0</v>
      </c>
      <c r="Z39921" s="372">
        <v>0.0</v>
      </c>
    </row>
    <row r="39922">
      <c r="Y39922" s="372">
        <v>0.0</v>
      </c>
      <c r="Z39922" s="372">
        <v>0.0</v>
      </c>
    </row>
    <row r="39923">
      <c r="Y39923" s="372">
        <v>0.0</v>
      </c>
      <c r="Z39923" s="372">
        <v>0.0</v>
      </c>
    </row>
    <row r="39924">
      <c r="Y39924" s="372">
        <v>0.0</v>
      </c>
      <c r="Z39924" s="372">
        <v>0.0</v>
      </c>
    </row>
    <row r="39925">
      <c r="Y39925" s="372">
        <v>0.0</v>
      </c>
      <c r="Z39925" s="372">
        <v>0.0</v>
      </c>
    </row>
    <row r="39926">
      <c r="Y39926" s="372">
        <v>0.0</v>
      </c>
      <c r="Z39926" s="372">
        <v>0.0</v>
      </c>
    </row>
    <row r="39927">
      <c r="Y39927" s="372">
        <v>0.0</v>
      </c>
      <c r="Z39927" s="372">
        <v>0.0</v>
      </c>
    </row>
    <row r="39928">
      <c r="Y39928" s="372">
        <v>0.0</v>
      </c>
      <c r="Z39928" s="372">
        <v>0.0</v>
      </c>
    </row>
    <row r="39929">
      <c r="Y39929" s="372">
        <v>0.0</v>
      </c>
      <c r="Z39929" s="372">
        <v>0.0</v>
      </c>
    </row>
    <row r="39930">
      <c r="Y39930" s="372">
        <v>0.0</v>
      </c>
      <c r="Z39930" s="372">
        <v>0.0</v>
      </c>
    </row>
    <row r="39931">
      <c r="Y39931" s="372">
        <v>0.0</v>
      </c>
      <c r="Z39931" s="372">
        <v>0.0</v>
      </c>
    </row>
    <row r="39932">
      <c r="Y39932" s="372">
        <v>0.0</v>
      </c>
      <c r="Z39932" s="372">
        <v>0.0</v>
      </c>
    </row>
    <row r="39933">
      <c r="Y39933" s="372">
        <v>0.0</v>
      </c>
      <c r="Z39933" s="372">
        <v>0.0</v>
      </c>
    </row>
    <row r="39934">
      <c r="Y39934" s="372">
        <v>0.0</v>
      </c>
      <c r="Z39934" s="372">
        <v>0.0</v>
      </c>
    </row>
    <row r="39935">
      <c r="Y39935" s="372">
        <v>0.0</v>
      </c>
      <c r="Z39935" s="372">
        <v>0.0</v>
      </c>
    </row>
    <row r="39936">
      <c r="Y39936" s="372">
        <v>0.0</v>
      </c>
      <c r="Z39936" s="372">
        <v>0.0</v>
      </c>
    </row>
    <row r="39937">
      <c r="Y39937" s="372">
        <v>0.0</v>
      </c>
      <c r="Z39937" s="372">
        <v>0.0</v>
      </c>
    </row>
    <row r="39938">
      <c r="Y39938" s="372">
        <v>0.0</v>
      </c>
      <c r="Z39938" s="372">
        <v>0.0</v>
      </c>
    </row>
    <row r="39939">
      <c r="Y39939" s="372">
        <v>0.0</v>
      </c>
      <c r="Z39939" s="372">
        <v>0.0</v>
      </c>
    </row>
    <row r="39940">
      <c r="Y39940" s="372">
        <v>0.0</v>
      </c>
      <c r="Z39940" s="372">
        <v>0.0</v>
      </c>
    </row>
    <row r="39941">
      <c r="Y39941" s="372">
        <v>0.0</v>
      </c>
      <c r="Z39941" s="372">
        <v>0.0</v>
      </c>
    </row>
    <row r="39942">
      <c r="Y39942" s="372">
        <v>0.0</v>
      </c>
      <c r="Z39942" s="372">
        <v>0.0</v>
      </c>
    </row>
    <row r="39943">
      <c r="Y39943" s="372">
        <v>0.0</v>
      </c>
      <c r="Z39943" s="372">
        <v>0.0</v>
      </c>
    </row>
    <row r="39944">
      <c r="Y39944" s="372">
        <v>0.0</v>
      </c>
      <c r="Z39944" s="372">
        <v>0.0</v>
      </c>
    </row>
    <row r="39945">
      <c r="Y39945" s="372">
        <v>0.0</v>
      </c>
      <c r="Z39945" s="372">
        <v>0.0</v>
      </c>
    </row>
    <row r="39946">
      <c r="Y39946" s="372">
        <v>0.0</v>
      </c>
      <c r="Z39946" s="372">
        <v>0.0</v>
      </c>
    </row>
    <row r="39947">
      <c r="Y39947" s="372">
        <v>0.0</v>
      </c>
      <c r="Z39947" s="372">
        <v>0.0</v>
      </c>
    </row>
    <row r="39948">
      <c r="Y39948" s="372">
        <v>0.0</v>
      </c>
      <c r="Z39948" s="372">
        <v>0.0</v>
      </c>
    </row>
    <row r="39949">
      <c r="Y39949" s="372">
        <v>0.0</v>
      </c>
      <c r="Z39949" s="372">
        <v>0.0</v>
      </c>
    </row>
    <row r="39950">
      <c r="Y39950" s="372">
        <v>0.0</v>
      </c>
      <c r="Z39950" s="372">
        <v>0.0</v>
      </c>
    </row>
    <row r="39951">
      <c r="Y39951" s="372">
        <v>0.0</v>
      </c>
      <c r="Z39951" s="372">
        <v>0.0</v>
      </c>
    </row>
    <row r="39952">
      <c r="Y39952" s="372">
        <v>0.0</v>
      </c>
      <c r="Z39952" s="372">
        <v>0.0</v>
      </c>
    </row>
    <row r="39953">
      <c r="Y39953" s="372">
        <v>0.0</v>
      </c>
      <c r="Z39953" s="372">
        <v>0.0</v>
      </c>
    </row>
    <row r="39954">
      <c r="Y39954" s="372">
        <v>0.0</v>
      </c>
      <c r="Z39954" s="372">
        <v>0.0</v>
      </c>
    </row>
    <row r="39955">
      <c r="Y39955" s="372">
        <v>0.0</v>
      </c>
      <c r="Z39955" s="372">
        <v>0.0</v>
      </c>
    </row>
    <row r="39956">
      <c r="Y39956" s="372">
        <v>0.0</v>
      </c>
      <c r="Z39956" s="372">
        <v>0.0</v>
      </c>
    </row>
    <row r="39957">
      <c r="Y39957" s="372">
        <v>0.0</v>
      </c>
      <c r="Z39957" s="372">
        <v>0.0</v>
      </c>
    </row>
    <row r="39958">
      <c r="Y39958" s="372">
        <v>0.0</v>
      </c>
      <c r="Z39958" s="372">
        <v>0.0</v>
      </c>
    </row>
    <row r="39959">
      <c r="Y39959" s="372">
        <v>0.0</v>
      </c>
      <c r="Z39959" s="372">
        <v>0.0</v>
      </c>
    </row>
    <row r="39960">
      <c r="Y39960" s="372">
        <v>0.0</v>
      </c>
      <c r="Z39960" s="372">
        <v>0.0</v>
      </c>
    </row>
    <row r="39961">
      <c r="Y39961" s="372">
        <v>0.0</v>
      </c>
      <c r="Z39961" s="372">
        <v>0.0</v>
      </c>
    </row>
    <row r="39962">
      <c r="Y39962" s="372">
        <v>0.0</v>
      </c>
      <c r="Z39962" s="372">
        <v>0.0</v>
      </c>
    </row>
    <row r="39963">
      <c r="Y39963" s="372">
        <v>0.0</v>
      </c>
      <c r="Z39963" s="372">
        <v>0.0</v>
      </c>
    </row>
    <row r="39964">
      <c r="Y39964" s="372">
        <v>0.0</v>
      </c>
      <c r="Z39964" s="372">
        <v>0.0</v>
      </c>
    </row>
    <row r="39965">
      <c r="Y39965" s="372">
        <v>0.0</v>
      </c>
      <c r="Z39965" s="372">
        <v>0.0</v>
      </c>
    </row>
    <row r="39966">
      <c r="Y39966" s="372">
        <v>0.0</v>
      </c>
      <c r="Z39966" s="372">
        <v>0.0</v>
      </c>
    </row>
    <row r="39967">
      <c r="Y39967" s="372">
        <v>0.0</v>
      </c>
      <c r="Z39967" s="372">
        <v>0.0</v>
      </c>
    </row>
    <row r="39968">
      <c r="Y39968" s="372">
        <v>0.0</v>
      </c>
      <c r="Z39968" s="372">
        <v>0.0</v>
      </c>
    </row>
    <row r="39969">
      <c r="Y39969" s="372">
        <v>0.0</v>
      </c>
      <c r="Z39969" s="372">
        <v>0.0</v>
      </c>
    </row>
    <row r="39970">
      <c r="Y39970" s="372">
        <v>0.0</v>
      </c>
      <c r="Z39970" s="372">
        <v>0.0</v>
      </c>
    </row>
    <row r="39971">
      <c r="Y39971" s="372">
        <v>0.0</v>
      </c>
      <c r="Z39971" s="372">
        <v>0.0</v>
      </c>
    </row>
    <row r="39972">
      <c r="Y39972" s="372">
        <v>0.0</v>
      </c>
      <c r="Z39972" s="372">
        <v>0.0</v>
      </c>
    </row>
    <row r="39973">
      <c r="Y39973" s="372">
        <v>0.0</v>
      </c>
      <c r="Z39973" s="372">
        <v>0.0</v>
      </c>
    </row>
    <row r="39974">
      <c r="Y39974" s="372">
        <v>0.0</v>
      </c>
      <c r="Z39974" s="372">
        <v>0.0</v>
      </c>
    </row>
    <row r="39975">
      <c r="Y39975" s="372">
        <v>0.0</v>
      </c>
      <c r="Z39975" s="372">
        <v>0.0</v>
      </c>
    </row>
    <row r="39976">
      <c r="Y39976" s="372">
        <v>0.0</v>
      </c>
      <c r="Z39976" s="372">
        <v>0.0</v>
      </c>
    </row>
    <row r="39977">
      <c r="Y39977" s="372">
        <v>0.0</v>
      </c>
      <c r="Z39977" s="372">
        <v>0.0</v>
      </c>
    </row>
    <row r="39978">
      <c r="Y39978" s="372">
        <v>0.0</v>
      </c>
      <c r="Z39978" s="372">
        <v>0.0</v>
      </c>
    </row>
    <row r="39979">
      <c r="Y39979" s="372">
        <v>0.0</v>
      </c>
      <c r="Z39979" s="372">
        <v>0.0</v>
      </c>
    </row>
    <row r="39980">
      <c r="Y39980" s="372">
        <v>0.0</v>
      </c>
      <c r="Z39980" s="372">
        <v>0.0</v>
      </c>
    </row>
    <row r="39981">
      <c r="Y39981" s="372">
        <v>0.0</v>
      </c>
      <c r="Z39981" s="372">
        <v>0.0</v>
      </c>
    </row>
    <row r="39982">
      <c r="Y39982" s="372">
        <v>0.0</v>
      </c>
      <c r="Z39982" s="372">
        <v>0.0</v>
      </c>
    </row>
    <row r="39983">
      <c r="Y39983" s="372">
        <v>0.0</v>
      </c>
      <c r="Z39983" s="372">
        <v>0.0</v>
      </c>
    </row>
    <row r="39984">
      <c r="Y39984" s="372">
        <v>0.0</v>
      </c>
      <c r="Z39984" s="372">
        <v>0.0</v>
      </c>
    </row>
    <row r="39985">
      <c r="Y39985" s="372">
        <v>0.0</v>
      </c>
      <c r="Z39985" s="372">
        <v>0.0</v>
      </c>
    </row>
    <row r="39986">
      <c r="Y39986" s="372">
        <v>0.0</v>
      </c>
      <c r="Z39986" s="372">
        <v>0.0</v>
      </c>
    </row>
    <row r="39987">
      <c r="Y39987" s="372">
        <v>0.0</v>
      </c>
      <c r="Z39987" s="372">
        <v>0.0</v>
      </c>
    </row>
    <row r="39988">
      <c r="Y39988" s="372">
        <v>0.0</v>
      </c>
      <c r="Z39988" s="372">
        <v>0.0</v>
      </c>
    </row>
    <row r="39989">
      <c r="Y39989" s="372">
        <v>0.0</v>
      </c>
      <c r="Z39989" s="372">
        <v>0.0</v>
      </c>
    </row>
    <row r="39990">
      <c r="Y39990" s="372">
        <v>0.0</v>
      </c>
      <c r="Z39990" s="372">
        <v>0.0</v>
      </c>
    </row>
    <row r="39991">
      <c r="Y39991" s="372">
        <v>0.0</v>
      </c>
      <c r="Z39991" s="372">
        <v>0.0</v>
      </c>
    </row>
    <row r="39992">
      <c r="Y39992" s="372">
        <v>0.0</v>
      </c>
      <c r="Z39992" s="372">
        <v>0.0</v>
      </c>
    </row>
    <row r="39993">
      <c r="Y39993" s="372">
        <v>0.0</v>
      </c>
      <c r="Z39993" s="372">
        <v>0.0</v>
      </c>
    </row>
    <row r="39994">
      <c r="Y39994" s="372">
        <v>0.0</v>
      </c>
      <c r="Z39994" s="372">
        <v>0.0</v>
      </c>
    </row>
    <row r="39995">
      <c r="Y39995" s="372">
        <v>0.0</v>
      </c>
      <c r="Z39995" s="372">
        <v>0.0</v>
      </c>
    </row>
    <row r="39996">
      <c r="Y39996" s="372">
        <v>0.0</v>
      </c>
      <c r="Z39996" s="372">
        <v>0.0</v>
      </c>
    </row>
    <row r="39997">
      <c r="Y39997" s="372">
        <v>0.0</v>
      </c>
      <c r="Z39997" s="372">
        <v>0.0</v>
      </c>
    </row>
    <row r="39998">
      <c r="Y39998" s="372">
        <v>0.0</v>
      </c>
      <c r="Z39998" s="372">
        <v>0.0</v>
      </c>
    </row>
    <row r="39999">
      <c r="Y39999" s="372">
        <v>0.0</v>
      </c>
      <c r="Z39999" s="372">
        <v>0.0</v>
      </c>
    </row>
    <row r="40000">
      <c r="Y40000" s="372">
        <v>0.0</v>
      </c>
      <c r="Z40000" s="372">
        <v>0.0</v>
      </c>
    </row>
    <row r="40001">
      <c r="Y40001" s="372">
        <v>0.0</v>
      </c>
      <c r="Z40001" s="372">
        <v>0.0</v>
      </c>
    </row>
    <row r="40002">
      <c r="Y40002" s="372">
        <v>0.0</v>
      </c>
      <c r="Z40002" s="372">
        <v>0.0</v>
      </c>
    </row>
    <row r="40003">
      <c r="Y40003" s="372">
        <v>0.0</v>
      </c>
      <c r="Z40003" s="372">
        <v>0.0</v>
      </c>
    </row>
    <row r="40004">
      <c r="Y40004" s="372">
        <v>0.0</v>
      </c>
      <c r="Z40004" s="372">
        <v>0.0</v>
      </c>
    </row>
    <row r="40005">
      <c r="Y40005" s="372">
        <v>0.0</v>
      </c>
      <c r="Z40005" s="372">
        <v>0.0</v>
      </c>
    </row>
    <row r="40006">
      <c r="Y40006" s="372">
        <v>0.0</v>
      </c>
      <c r="Z40006" s="372">
        <v>0.0</v>
      </c>
    </row>
    <row r="40007">
      <c r="Y40007" s="372">
        <v>0.0</v>
      </c>
      <c r="Z40007" s="372">
        <v>0.0</v>
      </c>
    </row>
    <row r="40008">
      <c r="Y40008" s="372">
        <v>0.0</v>
      </c>
      <c r="Z40008" s="372">
        <v>0.0</v>
      </c>
    </row>
    <row r="40009">
      <c r="Y40009" s="372">
        <v>0.0</v>
      </c>
      <c r="Z40009" s="372">
        <v>0.0</v>
      </c>
    </row>
    <row r="40010">
      <c r="Y40010" s="372">
        <v>0.0</v>
      </c>
      <c r="Z40010" s="372">
        <v>0.0</v>
      </c>
    </row>
    <row r="40011">
      <c r="Y40011" s="372">
        <v>0.0</v>
      </c>
      <c r="Z40011" s="372">
        <v>0.0</v>
      </c>
    </row>
    <row r="40012">
      <c r="Y40012" s="372">
        <v>0.0</v>
      </c>
      <c r="Z40012" s="372">
        <v>0.0</v>
      </c>
    </row>
    <row r="40013">
      <c r="Y40013" s="372">
        <v>0.0</v>
      </c>
      <c r="Z40013" s="372">
        <v>0.0</v>
      </c>
    </row>
    <row r="40014">
      <c r="Y40014" s="372">
        <v>0.0</v>
      </c>
      <c r="Z40014" s="372">
        <v>0.0</v>
      </c>
    </row>
    <row r="40015">
      <c r="Y40015" s="372">
        <v>0.0</v>
      </c>
      <c r="Z40015" s="372">
        <v>0.0</v>
      </c>
    </row>
    <row r="40016">
      <c r="Y40016" s="372">
        <v>0.0</v>
      </c>
      <c r="Z40016" s="372">
        <v>0.0</v>
      </c>
    </row>
    <row r="40017">
      <c r="Y40017" s="372">
        <v>0.0</v>
      </c>
      <c r="Z40017" s="372">
        <v>0.0</v>
      </c>
    </row>
    <row r="40018">
      <c r="Y40018" s="372">
        <v>0.0</v>
      </c>
      <c r="Z40018" s="372">
        <v>0.0</v>
      </c>
    </row>
    <row r="40019">
      <c r="Y40019" s="372">
        <v>0.0</v>
      </c>
      <c r="Z40019" s="372">
        <v>0.0</v>
      </c>
    </row>
    <row r="40020">
      <c r="Y40020" s="372">
        <v>0.0</v>
      </c>
      <c r="Z40020" s="372">
        <v>0.0</v>
      </c>
    </row>
    <row r="40021">
      <c r="Y40021" s="372">
        <v>0.0</v>
      </c>
      <c r="Z40021" s="372">
        <v>0.0</v>
      </c>
    </row>
    <row r="40022">
      <c r="Y40022" s="372">
        <v>0.0</v>
      </c>
      <c r="Z40022" s="372">
        <v>0.0</v>
      </c>
    </row>
    <row r="40023">
      <c r="Y40023" s="372">
        <v>0.0</v>
      </c>
      <c r="Z40023" s="372">
        <v>0.0</v>
      </c>
    </row>
    <row r="40024">
      <c r="Y40024" s="372">
        <v>0.0</v>
      </c>
      <c r="Z40024" s="372">
        <v>0.0</v>
      </c>
    </row>
    <row r="40025">
      <c r="Y40025" s="372">
        <v>0.0</v>
      </c>
      <c r="Z40025" s="372">
        <v>0.0</v>
      </c>
    </row>
    <row r="40026">
      <c r="Y40026" s="372">
        <v>0.0</v>
      </c>
      <c r="Z40026" s="372">
        <v>0.0</v>
      </c>
    </row>
    <row r="40027">
      <c r="Y40027" s="372">
        <v>0.0</v>
      </c>
      <c r="Z40027" s="372">
        <v>0.0</v>
      </c>
    </row>
    <row r="40028">
      <c r="Y40028" s="372">
        <v>0.0</v>
      </c>
      <c r="Z40028" s="372">
        <v>0.0</v>
      </c>
    </row>
    <row r="40029">
      <c r="Y40029" s="372">
        <v>0.0</v>
      </c>
      <c r="Z40029" s="372">
        <v>0.0</v>
      </c>
    </row>
    <row r="40030">
      <c r="Y40030" s="372">
        <v>0.0</v>
      </c>
      <c r="Z40030" s="372">
        <v>0.0</v>
      </c>
    </row>
    <row r="40031">
      <c r="Y40031" s="372">
        <v>0.0</v>
      </c>
      <c r="Z40031" s="372">
        <v>0.0</v>
      </c>
    </row>
    <row r="40032">
      <c r="Y40032" s="372">
        <v>0.0</v>
      </c>
      <c r="Z40032" s="372">
        <v>0.0</v>
      </c>
    </row>
    <row r="40033">
      <c r="Y40033" s="372">
        <v>0.0</v>
      </c>
      <c r="Z40033" s="372">
        <v>0.0</v>
      </c>
    </row>
    <row r="40034">
      <c r="Y40034" s="372">
        <v>0.0</v>
      </c>
      <c r="Z40034" s="372">
        <v>0.0</v>
      </c>
    </row>
    <row r="40035">
      <c r="Y40035" s="372">
        <v>0.0</v>
      </c>
      <c r="Z40035" s="372">
        <v>0.0</v>
      </c>
    </row>
    <row r="40036">
      <c r="Y40036" s="372">
        <v>0.0</v>
      </c>
      <c r="Z40036" s="372">
        <v>0.0</v>
      </c>
    </row>
    <row r="40037">
      <c r="Y40037" s="372">
        <v>0.0</v>
      </c>
      <c r="Z40037" s="372">
        <v>0.0</v>
      </c>
    </row>
    <row r="40038">
      <c r="Y40038" s="372">
        <v>0.0</v>
      </c>
      <c r="Z40038" s="372">
        <v>0.0</v>
      </c>
    </row>
    <row r="40039">
      <c r="Y40039" s="372">
        <v>0.0</v>
      </c>
      <c r="Z40039" s="372">
        <v>0.0</v>
      </c>
    </row>
    <row r="40040">
      <c r="Y40040" s="372">
        <v>0.0</v>
      </c>
      <c r="Z40040" s="372">
        <v>0.0</v>
      </c>
    </row>
    <row r="40041">
      <c r="Y40041" s="372">
        <v>0.0</v>
      </c>
      <c r="Z40041" s="372">
        <v>0.0</v>
      </c>
    </row>
    <row r="40042">
      <c r="Y40042" s="372">
        <v>0.0</v>
      </c>
      <c r="Z40042" s="372">
        <v>0.0</v>
      </c>
    </row>
    <row r="40043">
      <c r="Y40043" s="372">
        <v>0.0</v>
      </c>
      <c r="Z40043" s="372">
        <v>0.0</v>
      </c>
    </row>
    <row r="40044">
      <c r="Y40044" s="372">
        <v>0.0</v>
      </c>
      <c r="Z40044" s="372">
        <v>0.0</v>
      </c>
    </row>
    <row r="40045">
      <c r="Y40045" s="372">
        <v>0.0</v>
      </c>
      <c r="Z40045" s="372">
        <v>0.0</v>
      </c>
    </row>
    <row r="40046">
      <c r="Y40046" s="372">
        <v>0.0</v>
      </c>
      <c r="Z40046" s="372">
        <v>0.0</v>
      </c>
    </row>
    <row r="40047">
      <c r="Y40047" s="372">
        <v>0.0</v>
      </c>
      <c r="Z40047" s="372">
        <v>0.0</v>
      </c>
    </row>
    <row r="40048">
      <c r="Y40048" s="372">
        <v>0.0</v>
      </c>
      <c r="Z40048" s="372">
        <v>0.0</v>
      </c>
    </row>
    <row r="40049">
      <c r="Y40049" s="372">
        <v>0.0</v>
      </c>
      <c r="Z40049" s="372">
        <v>0.0</v>
      </c>
    </row>
    <row r="40050">
      <c r="Y40050" s="372">
        <v>0.0</v>
      </c>
      <c r="Z40050" s="372">
        <v>0.0</v>
      </c>
    </row>
    <row r="40051">
      <c r="Y40051" s="372">
        <v>0.0</v>
      </c>
      <c r="Z40051" s="372">
        <v>0.0</v>
      </c>
    </row>
    <row r="40052">
      <c r="Y40052" s="372">
        <v>0.0</v>
      </c>
      <c r="Z40052" s="372">
        <v>0.0</v>
      </c>
    </row>
    <row r="40053">
      <c r="Y40053" s="372">
        <v>0.0</v>
      </c>
      <c r="Z40053" s="372">
        <v>0.0</v>
      </c>
    </row>
    <row r="40054">
      <c r="Y40054" s="372">
        <v>0.0</v>
      </c>
      <c r="Z40054" s="372">
        <v>0.0</v>
      </c>
    </row>
    <row r="40055">
      <c r="Y40055" s="372">
        <v>0.0</v>
      </c>
      <c r="Z40055" s="372">
        <v>0.0</v>
      </c>
    </row>
    <row r="40056">
      <c r="Y40056" s="372">
        <v>0.0</v>
      </c>
      <c r="Z40056" s="372">
        <v>0.0</v>
      </c>
    </row>
    <row r="40057">
      <c r="Y40057" s="372">
        <v>0.0</v>
      </c>
      <c r="Z40057" s="372">
        <v>0.0</v>
      </c>
    </row>
    <row r="40058">
      <c r="Y40058" s="372">
        <v>0.0</v>
      </c>
      <c r="Z40058" s="372">
        <v>0.0</v>
      </c>
    </row>
    <row r="40059">
      <c r="Y40059" s="372">
        <v>0.0</v>
      </c>
      <c r="Z40059" s="372">
        <v>0.0</v>
      </c>
    </row>
    <row r="40060">
      <c r="Y40060" s="372">
        <v>0.0</v>
      </c>
      <c r="Z40060" s="372">
        <v>0.0</v>
      </c>
    </row>
    <row r="40061">
      <c r="Y40061" s="372">
        <v>0.0</v>
      </c>
      <c r="Z40061" s="372">
        <v>0.0</v>
      </c>
    </row>
    <row r="40062">
      <c r="Y40062" s="372">
        <v>0.0</v>
      </c>
      <c r="Z40062" s="372">
        <v>0.0</v>
      </c>
    </row>
    <row r="40063">
      <c r="Y40063" s="372">
        <v>0.0</v>
      </c>
      <c r="Z40063" s="372">
        <v>0.0</v>
      </c>
    </row>
    <row r="40064">
      <c r="Y40064" s="372">
        <v>0.0</v>
      </c>
      <c r="Z40064" s="372">
        <v>0.0</v>
      </c>
    </row>
    <row r="40065">
      <c r="Y40065" s="372">
        <v>0.0</v>
      </c>
      <c r="Z40065" s="372">
        <v>0.0</v>
      </c>
    </row>
    <row r="40066">
      <c r="Y40066" s="372">
        <v>0.0</v>
      </c>
      <c r="Z40066" s="372">
        <v>0.0</v>
      </c>
    </row>
    <row r="40067">
      <c r="Y40067" s="372">
        <v>0.0</v>
      </c>
      <c r="Z40067" s="372">
        <v>0.0</v>
      </c>
    </row>
    <row r="40068">
      <c r="Y40068" s="372">
        <v>0.0</v>
      </c>
      <c r="Z40068" s="372">
        <v>0.0</v>
      </c>
    </row>
    <row r="40069">
      <c r="Y40069" s="372">
        <v>0.0</v>
      </c>
      <c r="Z40069" s="372">
        <v>0.0</v>
      </c>
    </row>
    <row r="40070">
      <c r="Y40070" s="372">
        <v>0.0</v>
      </c>
      <c r="Z40070" s="372">
        <v>0.0</v>
      </c>
    </row>
    <row r="40071">
      <c r="Y40071" s="372">
        <v>0.0</v>
      </c>
      <c r="Z40071" s="372">
        <v>0.0</v>
      </c>
    </row>
    <row r="40072">
      <c r="Y40072" s="372">
        <v>0.0</v>
      </c>
      <c r="Z40072" s="372">
        <v>0.0</v>
      </c>
    </row>
    <row r="40073">
      <c r="Y40073" s="372">
        <v>0.0</v>
      </c>
      <c r="Z40073" s="372">
        <v>0.0</v>
      </c>
    </row>
    <row r="40074">
      <c r="Y40074" s="372">
        <v>0.0</v>
      </c>
      <c r="Z40074" s="372">
        <v>0.0</v>
      </c>
    </row>
    <row r="40075">
      <c r="Y40075" s="372">
        <v>0.0</v>
      </c>
      <c r="Z40075" s="372">
        <v>0.0</v>
      </c>
    </row>
    <row r="40076">
      <c r="Y40076" s="372">
        <v>0.0</v>
      </c>
      <c r="Z40076" s="372">
        <v>0.0</v>
      </c>
    </row>
    <row r="40077">
      <c r="Y40077" s="372">
        <v>0.0</v>
      </c>
      <c r="Z40077" s="372">
        <v>0.0</v>
      </c>
    </row>
    <row r="40078">
      <c r="Y40078" s="372">
        <v>0.0</v>
      </c>
      <c r="Z40078" s="372">
        <v>0.0</v>
      </c>
    </row>
    <row r="40079">
      <c r="Y40079" s="372">
        <v>0.0</v>
      </c>
      <c r="Z40079" s="372">
        <v>0.0</v>
      </c>
    </row>
    <row r="40080">
      <c r="Y40080" s="372">
        <v>0.0</v>
      </c>
      <c r="Z40080" s="372">
        <v>0.0</v>
      </c>
    </row>
    <row r="40081">
      <c r="Y40081" s="372">
        <v>0.0</v>
      </c>
      <c r="Z40081" s="372">
        <v>0.0</v>
      </c>
    </row>
    <row r="40082">
      <c r="Y40082" s="372">
        <v>0.0</v>
      </c>
      <c r="Z40082" s="372">
        <v>0.0</v>
      </c>
    </row>
    <row r="40083">
      <c r="Y40083" s="372">
        <v>0.0</v>
      </c>
      <c r="Z40083" s="372">
        <v>0.0</v>
      </c>
    </row>
    <row r="40084">
      <c r="Y40084" s="372">
        <v>0.0</v>
      </c>
      <c r="Z40084" s="372">
        <v>0.0</v>
      </c>
    </row>
    <row r="40085">
      <c r="Y40085" s="372">
        <v>0.0</v>
      </c>
      <c r="Z40085" s="372">
        <v>0.0</v>
      </c>
    </row>
    <row r="40086">
      <c r="Y40086" s="372">
        <v>0.0</v>
      </c>
      <c r="Z40086" s="372">
        <v>0.0</v>
      </c>
    </row>
    <row r="40087">
      <c r="Y40087" s="372">
        <v>0.0</v>
      </c>
      <c r="Z40087" s="372">
        <v>0.0</v>
      </c>
    </row>
    <row r="40088">
      <c r="Y40088" s="372">
        <v>0.0</v>
      </c>
      <c r="Z40088" s="372">
        <v>0.0</v>
      </c>
    </row>
    <row r="40089">
      <c r="Y40089" s="372">
        <v>0.0</v>
      </c>
      <c r="Z40089" s="372">
        <v>0.0</v>
      </c>
    </row>
    <row r="40090">
      <c r="Y40090" s="372">
        <v>0.0</v>
      </c>
      <c r="Z40090" s="372">
        <v>0.0</v>
      </c>
    </row>
    <row r="40091">
      <c r="Y40091" s="372">
        <v>0.0</v>
      </c>
      <c r="Z40091" s="372">
        <v>0.0</v>
      </c>
    </row>
    <row r="40092">
      <c r="Y40092" s="372">
        <v>0.0</v>
      </c>
      <c r="Z40092" s="372">
        <v>0.0</v>
      </c>
    </row>
    <row r="40093">
      <c r="Y40093" s="372">
        <v>0.0</v>
      </c>
      <c r="Z40093" s="372">
        <v>0.0</v>
      </c>
    </row>
    <row r="40094">
      <c r="Y40094" s="372">
        <v>0.0</v>
      </c>
      <c r="Z40094" s="372">
        <v>0.0</v>
      </c>
    </row>
    <row r="40095">
      <c r="Y40095" s="372">
        <v>0.0</v>
      </c>
      <c r="Z40095" s="372">
        <v>0.0</v>
      </c>
    </row>
    <row r="40096">
      <c r="Y40096" s="372">
        <v>0.0</v>
      </c>
      <c r="Z40096" s="372">
        <v>0.0</v>
      </c>
    </row>
    <row r="40097">
      <c r="Y40097" s="372">
        <v>0.0</v>
      </c>
      <c r="Z40097" s="372">
        <v>0.0</v>
      </c>
    </row>
    <row r="40098">
      <c r="Y40098" s="372">
        <v>0.0</v>
      </c>
      <c r="Z40098" s="372">
        <v>0.0</v>
      </c>
    </row>
    <row r="40099">
      <c r="Y40099" s="372">
        <v>0.0</v>
      </c>
      <c r="Z40099" s="372">
        <v>0.0</v>
      </c>
    </row>
    <row r="40100">
      <c r="Y40100" s="372">
        <v>0.0</v>
      </c>
      <c r="Z40100" s="372">
        <v>0.0</v>
      </c>
    </row>
    <row r="40101">
      <c r="Y40101" s="372">
        <v>0.0</v>
      </c>
      <c r="Z40101" s="372">
        <v>0.0</v>
      </c>
    </row>
    <row r="40102">
      <c r="Y40102" s="372">
        <v>0.0</v>
      </c>
      <c r="Z40102" s="372">
        <v>0.0</v>
      </c>
    </row>
    <row r="40103">
      <c r="Y40103" s="372">
        <v>0.0</v>
      </c>
      <c r="Z40103" s="372">
        <v>0.0</v>
      </c>
    </row>
    <row r="40104">
      <c r="Y40104" s="372">
        <v>0.0</v>
      </c>
      <c r="Z40104" s="372">
        <v>0.0</v>
      </c>
    </row>
    <row r="40105">
      <c r="Y40105" s="372">
        <v>0.0</v>
      </c>
      <c r="Z40105" s="372">
        <v>0.0</v>
      </c>
    </row>
    <row r="40106">
      <c r="Y40106" s="372">
        <v>0.0</v>
      </c>
      <c r="Z40106" s="372">
        <v>0.0</v>
      </c>
    </row>
    <row r="40107">
      <c r="Y40107" s="372">
        <v>0.0</v>
      </c>
      <c r="Z40107" s="372">
        <v>0.0</v>
      </c>
    </row>
    <row r="40108">
      <c r="Y40108" s="372">
        <v>0.0</v>
      </c>
      <c r="Z40108" s="372">
        <v>0.0</v>
      </c>
    </row>
    <row r="40109">
      <c r="Y40109" s="372">
        <v>0.0</v>
      </c>
      <c r="Z40109" s="372">
        <v>0.0</v>
      </c>
    </row>
    <row r="40110">
      <c r="Y40110" s="372">
        <v>0.0</v>
      </c>
      <c r="Z40110" s="372">
        <v>0.0</v>
      </c>
    </row>
    <row r="40111">
      <c r="Y40111" s="372">
        <v>0.0</v>
      </c>
      <c r="Z40111" s="372">
        <v>0.0</v>
      </c>
    </row>
    <row r="40112">
      <c r="Y40112" s="372">
        <v>0.0</v>
      </c>
      <c r="Z40112" s="372">
        <v>0.0</v>
      </c>
    </row>
    <row r="40113">
      <c r="Y40113" s="372">
        <v>0.0</v>
      </c>
      <c r="Z40113" s="372">
        <v>0.0</v>
      </c>
    </row>
    <row r="40114">
      <c r="Y40114" s="372">
        <v>0.0</v>
      </c>
      <c r="Z40114" s="372">
        <v>0.0</v>
      </c>
    </row>
    <row r="40115">
      <c r="Y40115" s="372">
        <v>0.0</v>
      </c>
      <c r="Z40115" s="372">
        <v>0.0</v>
      </c>
    </row>
    <row r="40116">
      <c r="Y40116" s="372">
        <v>0.0</v>
      </c>
      <c r="Z40116" s="372">
        <v>0.0</v>
      </c>
    </row>
    <row r="40117">
      <c r="Y40117" s="372">
        <v>0.0</v>
      </c>
      <c r="Z40117" s="372">
        <v>0.0</v>
      </c>
    </row>
    <row r="40118">
      <c r="Y40118" s="372">
        <v>0.0</v>
      </c>
      <c r="Z40118" s="372">
        <v>0.0</v>
      </c>
    </row>
    <row r="40119">
      <c r="Y40119" s="372">
        <v>0.0</v>
      </c>
      <c r="Z40119" s="372">
        <v>0.0</v>
      </c>
    </row>
    <row r="40120">
      <c r="Y40120" s="372">
        <v>0.0</v>
      </c>
      <c r="Z40120" s="372">
        <v>0.0</v>
      </c>
    </row>
    <row r="40121">
      <c r="Y40121" s="372">
        <v>0.0</v>
      </c>
      <c r="Z40121" s="372">
        <v>0.0</v>
      </c>
    </row>
    <row r="40122">
      <c r="Y40122" s="372">
        <v>0.0</v>
      </c>
      <c r="Z40122" s="372">
        <v>0.0</v>
      </c>
    </row>
    <row r="40123">
      <c r="Y40123" s="372">
        <v>0.0</v>
      </c>
      <c r="Z40123" s="372">
        <v>0.0</v>
      </c>
    </row>
    <row r="40124">
      <c r="Y40124" s="372">
        <v>0.0</v>
      </c>
      <c r="Z40124" s="372">
        <v>0.0</v>
      </c>
    </row>
    <row r="40125">
      <c r="Y40125" s="372">
        <v>0.0</v>
      </c>
      <c r="Z40125" s="372">
        <v>0.0</v>
      </c>
    </row>
    <row r="40126">
      <c r="Y40126" s="372">
        <v>0.0</v>
      </c>
      <c r="Z40126" s="372">
        <v>0.0</v>
      </c>
    </row>
    <row r="40127">
      <c r="Y40127" s="372">
        <v>0.0</v>
      </c>
      <c r="Z40127" s="372">
        <v>0.0</v>
      </c>
    </row>
    <row r="40128">
      <c r="Y40128" s="372">
        <v>0.0</v>
      </c>
      <c r="Z40128" s="372">
        <v>0.0</v>
      </c>
    </row>
    <row r="40129">
      <c r="Y40129" s="372">
        <v>0.0</v>
      </c>
      <c r="Z40129" s="372">
        <v>0.0</v>
      </c>
    </row>
    <row r="40130">
      <c r="Y40130" s="372">
        <v>0.0</v>
      </c>
      <c r="Z40130" s="372">
        <v>0.0</v>
      </c>
    </row>
    <row r="40131">
      <c r="Y40131" s="372">
        <v>0.0</v>
      </c>
      <c r="Z40131" s="372">
        <v>0.0</v>
      </c>
    </row>
    <row r="40132">
      <c r="Y40132" s="372">
        <v>0.0</v>
      </c>
      <c r="Z40132" s="372">
        <v>0.0</v>
      </c>
    </row>
    <row r="40133">
      <c r="Y40133" s="372">
        <v>0.0</v>
      </c>
      <c r="Z40133" s="372">
        <v>0.0</v>
      </c>
    </row>
    <row r="40134">
      <c r="Y40134" s="372">
        <v>0.0</v>
      </c>
      <c r="Z40134" s="372">
        <v>0.0</v>
      </c>
    </row>
    <row r="40135">
      <c r="Y40135" s="372">
        <v>0.0</v>
      </c>
      <c r="Z40135" s="372">
        <v>0.0</v>
      </c>
    </row>
    <row r="40136">
      <c r="Y40136" s="372">
        <v>0.0</v>
      </c>
      <c r="Z40136" s="372">
        <v>0.0</v>
      </c>
    </row>
    <row r="40137">
      <c r="Y40137" s="372">
        <v>0.0</v>
      </c>
      <c r="Z40137" s="372">
        <v>0.0</v>
      </c>
    </row>
    <row r="40138">
      <c r="Y40138" s="372">
        <v>0.0</v>
      </c>
      <c r="Z40138" s="372">
        <v>0.0</v>
      </c>
    </row>
    <row r="40139">
      <c r="Y40139" s="372">
        <v>0.0</v>
      </c>
      <c r="Z40139" s="372">
        <v>0.0</v>
      </c>
    </row>
    <row r="40140">
      <c r="Y40140" s="372">
        <v>0.0</v>
      </c>
      <c r="Z40140" s="372">
        <v>0.0</v>
      </c>
    </row>
    <row r="40141">
      <c r="Y40141" s="372">
        <v>0.0</v>
      </c>
      <c r="Z40141" s="372">
        <v>0.0</v>
      </c>
    </row>
    <row r="40142">
      <c r="Y40142" s="372">
        <v>0.0</v>
      </c>
      <c r="Z40142" s="372">
        <v>0.0</v>
      </c>
    </row>
    <row r="40143">
      <c r="Y40143" s="372">
        <v>0.0</v>
      </c>
      <c r="Z40143" s="372">
        <v>0.0</v>
      </c>
    </row>
    <row r="40144">
      <c r="Y40144" s="372">
        <v>0.0</v>
      </c>
      <c r="Z40144" s="372">
        <v>0.0</v>
      </c>
    </row>
    <row r="40145">
      <c r="Y40145" s="372">
        <v>0.0</v>
      </c>
      <c r="Z40145" s="372">
        <v>0.0</v>
      </c>
    </row>
    <row r="40146">
      <c r="Y40146" s="372">
        <v>0.0</v>
      </c>
      <c r="Z40146" s="372">
        <v>0.0</v>
      </c>
    </row>
    <row r="40147">
      <c r="Y40147" s="372">
        <v>0.0</v>
      </c>
      <c r="Z40147" s="372">
        <v>0.0</v>
      </c>
    </row>
    <row r="40148">
      <c r="Y40148" s="372">
        <v>0.0</v>
      </c>
      <c r="Z40148" s="372">
        <v>0.0</v>
      </c>
    </row>
    <row r="40149">
      <c r="Y40149" s="372">
        <v>0.0</v>
      </c>
      <c r="Z40149" s="372">
        <v>0.0</v>
      </c>
    </row>
    <row r="40150">
      <c r="Y40150" s="372">
        <v>0.0</v>
      </c>
      <c r="Z40150" s="372">
        <v>0.0</v>
      </c>
    </row>
    <row r="40151">
      <c r="Y40151" s="372">
        <v>0.0</v>
      </c>
      <c r="Z40151" s="372">
        <v>0.0</v>
      </c>
    </row>
    <row r="40152">
      <c r="Y40152" s="372">
        <v>0.0</v>
      </c>
      <c r="Z40152" s="372">
        <v>0.0</v>
      </c>
    </row>
    <row r="40153">
      <c r="Y40153" s="372">
        <v>0.0</v>
      </c>
      <c r="Z40153" s="372">
        <v>0.0</v>
      </c>
    </row>
    <row r="40154">
      <c r="Y40154" s="372">
        <v>0.0</v>
      </c>
      <c r="Z40154" s="372">
        <v>0.0</v>
      </c>
    </row>
    <row r="40155">
      <c r="Y40155" s="372">
        <v>0.0</v>
      </c>
      <c r="Z40155" s="372">
        <v>0.0</v>
      </c>
    </row>
    <row r="40156">
      <c r="Y40156" s="372">
        <v>0.0</v>
      </c>
      <c r="Z40156" s="372">
        <v>0.0</v>
      </c>
    </row>
    <row r="40157">
      <c r="Y40157" s="372">
        <v>0.0</v>
      </c>
      <c r="Z40157" s="372">
        <v>0.0</v>
      </c>
    </row>
    <row r="40158">
      <c r="Y40158" s="372">
        <v>0.0</v>
      </c>
      <c r="Z40158" s="372">
        <v>0.0</v>
      </c>
    </row>
    <row r="40159">
      <c r="Y40159" s="372">
        <v>0.0</v>
      </c>
      <c r="Z40159" s="372">
        <v>0.0</v>
      </c>
    </row>
    <row r="40160">
      <c r="Y40160" s="372">
        <v>0.0</v>
      </c>
      <c r="Z40160" s="372">
        <v>0.0</v>
      </c>
    </row>
    <row r="40161">
      <c r="Y40161" s="372">
        <v>0.0</v>
      </c>
      <c r="Z40161" s="372">
        <v>0.0</v>
      </c>
    </row>
    <row r="40162">
      <c r="Y40162" s="372">
        <v>0.0</v>
      </c>
      <c r="Z40162" s="372">
        <v>0.0</v>
      </c>
    </row>
    <row r="40163">
      <c r="Y40163" s="372">
        <v>0.0</v>
      </c>
      <c r="Z40163" s="372">
        <v>0.0</v>
      </c>
    </row>
    <row r="40164">
      <c r="Y40164" s="372">
        <v>0.0</v>
      </c>
      <c r="Z40164" s="372">
        <v>0.0</v>
      </c>
    </row>
    <row r="40165">
      <c r="Y40165" s="372">
        <v>0.0</v>
      </c>
      <c r="Z40165" s="372">
        <v>0.0</v>
      </c>
    </row>
    <row r="40166">
      <c r="Y40166" s="372">
        <v>0.0</v>
      </c>
      <c r="Z40166" s="372">
        <v>0.0</v>
      </c>
    </row>
    <row r="40167">
      <c r="Y40167" s="372">
        <v>0.0</v>
      </c>
      <c r="Z40167" s="372">
        <v>0.0</v>
      </c>
    </row>
    <row r="40168">
      <c r="Y40168" s="372">
        <v>0.0</v>
      </c>
      <c r="Z40168" s="372">
        <v>0.0</v>
      </c>
    </row>
    <row r="40169">
      <c r="Y40169" s="372">
        <v>0.0</v>
      </c>
      <c r="Z40169" s="372">
        <v>0.0</v>
      </c>
    </row>
    <row r="40170">
      <c r="Y40170" s="372">
        <v>0.0</v>
      </c>
      <c r="Z40170" s="372">
        <v>0.0</v>
      </c>
    </row>
    <row r="40171">
      <c r="Y40171" s="372">
        <v>0.0</v>
      </c>
      <c r="Z40171" s="372">
        <v>0.0</v>
      </c>
    </row>
    <row r="40172">
      <c r="Y40172" s="372">
        <v>0.0</v>
      </c>
      <c r="Z40172" s="372">
        <v>0.0</v>
      </c>
    </row>
    <row r="40173">
      <c r="Y40173" s="372">
        <v>0.0</v>
      </c>
      <c r="Z40173" s="372">
        <v>0.0</v>
      </c>
    </row>
    <row r="40174">
      <c r="Y40174" s="372">
        <v>0.0</v>
      </c>
      <c r="Z40174" s="372">
        <v>0.0</v>
      </c>
    </row>
    <row r="40175">
      <c r="Y40175" s="372">
        <v>0.0</v>
      </c>
      <c r="Z40175" s="372">
        <v>0.0</v>
      </c>
    </row>
    <row r="40176">
      <c r="Y40176" s="372">
        <v>0.0</v>
      </c>
      <c r="Z40176" s="372">
        <v>0.0</v>
      </c>
    </row>
    <row r="40177">
      <c r="Y40177" s="372">
        <v>0.0</v>
      </c>
      <c r="Z40177" s="372">
        <v>0.0</v>
      </c>
    </row>
    <row r="40178">
      <c r="Y40178" s="372">
        <v>0.0</v>
      </c>
      <c r="Z40178" s="372">
        <v>0.0</v>
      </c>
    </row>
    <row r="40179">
      <c r="Y40179" s="372">
        <v>0.0</v>
      </c>
      <c r="Z40179" s="372">
        <v>0.0</v>
      </c>
    </row>
    <row r="40180">
      <c r="Y40180" s="372">
        <v>0.0</v>
      </c>
      <c r="Z40180" s="372">
        <v>0.0</v>
      </c>
    </row>
    <row r="40181">
      <c r="Y40181" s="372">
        <v>0.0</v>
      </c>
      <c r="Z40181" s="372">
        <v>0.0</v>
      </c>
    </row>
    <row r="40182">
      <c r="Y40182" s="372">
        <v>0.0</v>
      </c>
      <c r="Z40182" s="372">
        <v>0.0</v>
      </c>
    </row>
    <row r="40183">
      <c r="Y40183" s="372">
        <v>0.0</v>
      </c>
      <c r="Z40183" s="372">
        <v>0.0</v>
      </c>
    </row>
    <row r="40184">
      <c r="Y40184" s="372">
        <v>0.0</v>
      </c>
      <c r="Z40184" s="372">
        <v>0.0</v>
      </c>
    </row>
    <row r="40185">
      <c r="Y40185" s="372">
        <v>0.0</v>
      </c>
      <c r="Z40185" s="372">
        <v>0.0</v>
      </c>
    </row>
    <row r="40186">
      <c r="Y40186" s="372">
        <v>0.0</v>
      </c>
      <c r="Z40186" s="372">
        <v>0.0</v>
      </c>
    </row>
    <row r="40187">
      <c r="Y40187" s="372">
        <v>0.0</v>
      </c>
      <c r="Z40187" s="372">
        <v>0.0</v>
      </c>
    </row>
    <row r="40188">
      <c r="Y40188" s="372">
        <v>0.0</v>
      </c>
      <c r="Z40188" s="372">
        <v>0.0</v>
      </c>
    </row>
    <row r="40189">
      <c r="Y40189" s="372">
        <v>0.0</v>
      </c>
      <c r="Z40189" s="372">
        <v>0.0</v>
      </c>
    </row>
    <row r="40190">
      <c r="Y40190" s="372">
        <v>0.0</v>
      </c>
      <c r="Z40190" s="372">
        <v>0.0</v>
      </c>
    </row>
    <row r="40191">
      <c r="Y40191" s="372">
        <v>0.0</v>
      </c>
      <c r="Z40191" s="372">
        <v>0.0</v>
      </c>
    </row>
    <row r="40192">
      <c r="Y40192" s="372">
        <v>0.0</v>
      </c>
      <c r="Z40192" s="372">
        <v>0.0</v>
      </c>
    </row>
    <row r="40193">
      <c r="Y40193" s="372">
        <v>0.0</v>
      </c>
      <c r="Z40193" s="372">
        <v>0.0</v>
      </c>
    </row>
    <row r="40194">
      <c r="Y40194" s="372">
        <v>0.0</v>
      </c>
      <c r="Z40194" s="372">
        <v>0.0</v>
      </c>
    </row>
    <row r="40195">
      <c r="Y40195" s="372">
        <v>0.0</v>
      </c>
      <c r="Z40195" s="372">
        <v>0.0</v>
      </c>
    </row>
    <row r="40196">
      <c r="Y40196" s="372">
        <v>0.0</v>
      </c>
      <c r="Z40196" s="372">
        <v>0.0</v>
      </c>
    </row>
    <row r="40197">
      <c r="Y40197" s="372">
        <v>0.0</v>
      </c>
      <c r="Z40197" s="372">
        <v>0.0</v>
      </c>
    </row>
    <row r="40198">
      <c r="Y40198" s="372">
        <v>0.0</v>
      </c>
      <c r="Z40198" s="372">
        <v>0.0</v>
      </c>
    </row>
    <row r="40199">
      <c r="Y40199" s="372">
        <v>0.0</v>
      </c>
      <c r="Z40199" s="372">
        <v>0.0</v>
      </c>
    </row>
    <row r="40200">
      <c r="Y40200" s="372">
        <v>0.0</v>
      </c>
      <c r="Z40200" s="372">
        <v>0.0</v>
      </c>
    </row>
    <row r="40201">
      <c r="Y40201" s="372">
        <v>0.0</v>
      </c>
      <c r="Z40201" s="372">
        <v>0.0</v>
      </c>
    </row>
    <row r="40202">
      <c r="Y40202" s="372">
        <v>0.0</v>
      </c>
      <c r="Z40202" s="372">
        <v>0.0</v>
      </c>
    </row>
    <row r="40203">
      <c r="Y40203" s="372">
        <v>0.0</v>
      </c>
      <c r="Z40203" s="372">
        <v>0.0</v>
      </c>
    </row>
    <row r="40204">
      <c r="Y40204" s="372">
        <v>0.0</v>
      </c>
      <c r="Z40204" s="372">
        <v>0.0</v>
      </c>
    </row>
    <row r="40205">
      <c r="Y40205" s="372">
        <v>0.0</v>
      </c>
      <c r="Z40205" s="372">
        <v>0.0</v>
      </c>
    </row>
    <row r="40206">
      <c r="Y40206" s="372">
        <v>0.0</v>
      </c>
      <c r="Z40206" s="372">
        <v>0.0</v>
      </c>
    </row>
    <row r="40207">
      <c r="Y40207" s="372">
        <v>0.0</v>
      </c>
      <c r="Z40207" s="372">
        <v>0.0</v>
      </c>
    </row>
    <row r="40208">
      <c r="Y40208" s="372">
        <v>0.0</v>
      </c>
      <c r="Z40208" s="372">
        <v>0.0</v>
      </c>
    </row>
    <row r="40209">
      <c r="Y40209" s="372">
        <v>0.0</v>
      </c>
      <c r="Z40209" s="372">
        <v>0.0</v>
      </c>
    </row>
    <row r="40210">
      <c r="Y40210" s="372">
        <v>0.0</v>
      </c>
      <c r="Z40210" s="372">
        <v>0.0</v>
      </c>
    </row>
    <row r="40211">
      <c r="Y40211" s="372">
        <v>0.0</v>
      </c>
      <c r="Z40211" s="372">
        <v>0.0</v>
      </c>
    </row>
    <row r="40212">
      <c r="Y40212" s="372">
        <v>0.0</v>
      </c>
      <c r="Z40212" s="372">
        <v>0.0</v>
      </c>
    </row>
    <row r="40213">
      <c r="Y40213" s="372">
        <v>0.0</v>
      </c>
      <c r="Z40213" s="372">
        <v>0.0</v>
      </c>
    </row>
    <row r="40214">
      <c r="Y40214" s="372">
        <v>0.0</v>
      </c>
      <c r="Z40214" s="372">
        <v>0.0</v>
      </c>
    </row>
    <row r="40215">
      <c r="Y40215" s="372">
        <v>0.0</v>
      </c>
      <c r="Z40215" s="372">
        <v>0.0</v>
      </c>
    </row>
    <row r="40216">
      <c r="Y40216" s="372">
        <v>0.0</v>
      </c>
      <c r="Z40216" s="372">
        <v>0.0</v>
      </c>
    </row>
    <row r="40217">
      <c r="Y40217" s="372">
        <v>0.0</v>
      </c>
      <c r="Z40217" s="372">
        <v>0.0</v>
      </c>
    </row>
    <row r="40218">
      <c r="Y40218" s="372">
        <v>0.0</v>
      </c>
      <c r="Z40218" s="372">
        <v>0.0</v>
      </c>
    </row>
    <row r="40219">
      <c r="Y40219" s="372">
        <v>0.0</v>
      </c>
      <c r="Z40219" s="372">
        <v>0.0</v>
      </c>
    </row>
    <row r="40220">
      <c r="Y40220" s="372">
        <v>0.0</v>
      </c>
      <c r="Z40220" s="372">
        <v>0.0</v>
      </c>
    </row>
    <row r="40221">
      <c r="Y40221" s="372">
        <v>0.0</v>
      </c>
      <c r="Z40221" s="372">
        <v>0.0</v>
      </c>
    </row>
    <row r="40222">
      <c r="Y40222" s="372">
        <v>0.0</v>
      </c>
      <c r="Z40222" s="372">
        <v>0.0</v>
      </c>
    </row>
    <row r="40223">
      <c r="Y40223" s="372">
        <v>0.0</v>
      </c>
      <c r="Z40223" s="372">
        <v>0.0</v>
      </c>
    </row>
    <row r="40224">
      <c r="Y40224" s="372">
        <v>0.0</v>
      </c>
      <c r="Z40224" s="372">
        <v>0.0</v>
      </c>
    </row>
    <row r="40225">
      <c r="Y40225" s="372">
        <v>0.0</v>
      </c>
      <c r="Z40225" s="372">
        <v>0.0</v>
      </c>
    </row>
    <row r="40226">
      <c r="Y40226" s="372">
        <v>0.0</v>
      </c>
      <c r="Z40226" s="372">
        <v>0.0</v>
      </c>
    </row>
    <row r="40227">
      <c r="Y40227" s="372">
        <v>0.0</v>
      </c>
      <c r="Z40227" s="372">
        <v>0.0</v>
      </c>
    </row>
    <row r="40228">
      <c r="Y40228" s="372">
        <v>0.0</v>
      </c>
      <c r="Z40228" s="372">
        <v>0.0</v>
      </c>
    </row>
    <row r="40229">
      <c r="Y40229" s="372">
        <v>0.0</v>
      </c>
      <c r="Z40229" s="372">
        <v>0.0</v>
      </c>
    </row>
    <row r="40230">
      <c r="Y40230" s="372">
        <v>0.0</v>
      </c>
      <c r="Z40230" s="372">
        <v>0.0</v>
      </c>
    </row>
    <row r="40231">
      <c r="Y40231" s="372">
        <v>0.0</v>
      </c>
      <c r="Z40231" s="372">
        <v>0.0</v>
      </c>
    </row>
    <row r="40232">
      <c r="Y40232" s="372">
        <v>0.0</v>
      </c>
      <c r="Z40232" s="372">
        <v>0.0</v>
      </c>
    </row>
    <row r="40233">
      <c r="Y40233" s="372">
        <v>0.0</v>
      </c>
      <c r="Z40233" s="372">
        <v>0.0</v>
      </c>
    </row>
    <row r="40234">
      <c r="Y40234" s="372">
        <v>0.0</v>
      </c>
      <c r="Z40234" s="372">
        <v>0.0</v>
      </c>
    </row>
    <row r="40235">
      <c r="Y40235" s="372">
        <v>0.0</v>
      </c>
      <c r="Z40235" s="372">
        <v>0.0</v>
      </c>
    </row>
    <row r="40236">
      <c r="Y40236" s="372">
        <v>0.0</v>
      </c>
      <c r="Z40236" s="372">
        <v>0.0</v>
      </c>
    </row>
    <row r="40237">
      <c r="Y40237" s="372">
        <v>0.0</v>
      </c>
      <c r="Z40237" s="372">
        <v>0.0</v>
      </c>
    </row>
    <row r="40238">
      <c r="Y40238" s="372">
        <v>0.0</v>
      </c>
      <c r="Z40238" s="372">
        <v>0.0</v>
      </c>
    </row>
    <row r="40239">
      <c r="Y40239" s="372">
        <v>0.0</v>
      </c>
      <c r="Z40239" s="372">
        <v>0.0</v>
      </c>
    </row>
    <row r="40240">
      <c r="Y40240" s="372">
        <v>0.0</v>
      </c>
      <c r="Z40240" s="372">
        <v>0.0</v>
      </c>
    </row>
    <row r="40241">
      <c r="Y40241" s="372">
        <v>0.0</v>
      </c>
      <c r="Z40241" s="372">
        <v>0.0</v>
      </c>
    </row>
    <row r="40242">
      <c r="Y40242" s="372">
        <v>0.0</v>
      </c>
      <c r="Z40242" s="372">
        <v>0.0</v>
      </c>
    </row>
    <row r="40243">
      <c r="Y40243" s="372">
        <v>0.0</v>
      </c>
      <c r="Z40243" s="372">
        <v>0.0</v>
      </c>
    </row>
    <row r="40244">
      <c r="Y40244" s="372">
        <v>0.0</v>
      </c>
      <c r="Z40244" s="372">
        <v>0.0</v>
      </c>
    </row>
    <row r="40245">
      <c r="Y40245" s="372">
        <v>0.0</v>
      </c>
      <c r="Z40245" s="372">
        <v>0.0</v>
      </c>
    </row>
    <row r="40246">
      <c r="Y40246" s="372">
        <v>0.0</v>
      </c>
      <c r="Z40246" s="372">
        <v>0.0</v>
      </c>
    </row>
    <row r="40247">
      <c r="Y40247" s="372">
        <v>0.0</v>
      </c>
      <c r="Z40247" s="372">
        <v>0.0</v>
      </c>
    </row>
    <row r="40248">
      <c r="Y40248" s="372">
        <v>0.0</v>
      </c>
      <c r="Z40248" s="372">
        <v>0.0</v>
      </c>
    </row>
    <row r="40249">
      <c r="Y40249" s="372">
        <v>0.0</v>
      </c>
      <c r="Z40249" s="372">
        <v>0.0</v>
      </c>
    </row>
    <row r="40250">
      <c r="Y40250" s="372">
        <v>0.0</v>
      </c>
      <c r="Z40250" s="372">
        <v>0.0</v>
      </c>
    </row>
    <row r="40251">
      <c r="Y40251" s="372">
        <v>0.0</v>
      </c>
      <c r="Z40251" s="372">
        <v>0.0</v>
      </c>
    </row>
    <row r="40252">
      <c r="Y40252" s="372">
        <v>0.0</v>
      </c>
      <c r="Z40252" s="372">
        <v>0.0</v>
      </c>
    </row>
    <row r="40253">
      <c r="Y40253" s="372">
        <v>0.0</v>
      </c>
      <c r="Z40253" s="372">
        <v>0.0</v>
      </c>
    </row>
    <row r="40254">
      <c r="Y40254" s="372">
        <v>0.0</v>
      </c>
      <c r="Z40254" s="372">
        <v>0.0</v>
      </c>
    </row>
    <row r="40255">
      <c r="Y40255" s="372">
        <v>0.0</v>
      </c>
      <c r="Z40255" s="372">
        <v>0.0</v>
      </c>
    </row>
    <row r="40256">
      <c r="Y40256" s="372">
        <v>0.0</v>
      </c>
      <c r="Z40256" s="372">
        <v>0.0</v>
      </c>
    </row>
    <row r="40257">
      <c r="Y40257" s="372">
        <v>0.0</v>
      </c>
      <c r="Z40257" s="372">
        <v>0.0</v>
      </c>
    </row>
    <row r="40258">
      <c r="Y40258" s="372">
        <v>0.0</v>
      </c>
      <c r="Z40258" s="372">
        <v>0.0</v>
      </c>
    </row>
    <row r="40259">
      <c r="Y40259" s="372">
        <v>0.0</v>
      </c>
      <c r="Z40259" s="372">
        <v>0.0</v>
      </c>
    </row>
    <row r="40260">
      <c r="Y40260" s="372">
        <v>0.0</v>
      </c>
      <c r="Z40260" s="372">
        <v>0.0</v>
      </c>
    </row>
    <row r="40261">
      <c r="Y40261" s="372">
        <v>0.0</v>
      </c>
      <c r="Z40261" s="372">
        <v>0.0</v>
      </c>
    </row>
    <row r="40262">
      <c r="Y40262" s="372">
        <v>0.0</v>
      </c>
      <c r="Z40262" s="372">
        <v>0.0</v>
      </c>
    </row>
    <row r="40263">
      <c r="Y40263" s="372">
        <v>0.0</v>
      </c>
      <c r="Z40263" s="372">
        <v>0.0</v>
      </c>
    </row>
    <row r="40264">
      <c r="Y40264" s="372">
        <v>0.0</v>
      </c>
      <c r="Z40264" s="372">
        <v>0.0</v>
      </c>
    </row>
    <row r="40265">
      <c r="Y40265" s="372">
        <v>0.0</v>
      </c>
      <c r="Z40265" s="372">
        <v>0.0</v>
      </c>
    </row>
    <row r="40266">
      <c r="Y40266" s="372">
        <v>0.0</v>
      </c>
      <c r="Z40266" s="372">
        <v>0.0</v>
      </c>
    </row>
    <row r="40267">
      <c r="Y40267" s="372">
        <v>0.0</v>
      </c>
      <c r="Z40267" s="372">
        <v>0.0</v>
      </c>
    </row>
    <row r="40268">
      <c r="Y40268" s="372">
        <v>0.0</v>
      </c>
      <c r="Z40268" s="372">
        <v>0.0</v>
      </c>
    </row>
    <row r="40269">
      <c r="Y40269" s="372">
        <v>0.0</v>
      </c>
      <c r="Z40269" s="372">
        <v>0.0</v>
      </c>
    </row>
    <row r="40270">
      <c r="Y40270" s="372">
        <v>0.0</v>
      </c>
      <c r="Z40270" s="372">
        <v>0.0</v>
      </c>
    </row>
    <row r="40271">
      <c r="Y40271" s="372">
        <v>0.0</v>
      </c>
      <c r="Z40271" s="372">
        <v>0.0</v>
      </c>
    </row>
    <row r="40272">
      <c r="Y40272" s="372">
        <v>0.0</v>
      </c>
      <c r="Z40272" s="372">
        <v>0.0</v>
      </c>
    </row>
    <row r="40273">
      <c r="Y40273" s="372">
        <v>0.0</v>
      </c>
      <c r="Z40273" s="372">
        <v>0.0</v>
      </c>
    </row>
    <row r="40274">
      <c r="Y40274" s="372">
        <v>0.0</v>
      </c>
      <c r="Z40274" s="372">
        <v>0.0</v>
      </c>
    </row>
    <row r="40275">
      <c r="Y40275" s="372">
        <v>0.0</v>
      </c>
      <c r="Z40275" s="372">
        <v>0.0</v>
      </c>
    </row>
    <row r="40276">
      <c r="Y40276" s="372">
        <v>0.0</v>
      </c>
      <c r="Z40276" s="372">
        <v>0.0</v>
      </c>
    </row>
    <row r="40277">
      <c r="Y40277" s="372">
        <v>0.0</v>
      </c>
      <c r="Z40277" s="372">
        <v>0.0</v>
      </c>
    </row>
    <row r="40278">
      <c r="Y40278" s="372">
        <v>0.0</v>
      </c>
      <c r="Z40278" s="372">
        <v>0.0</v>
      </c>
    </row>
    <row r="40279">
      <c r="Y40279" s="372">
        <v>0.0</v>
      </c>
      <c r="Z40279" s="372">
        <v>0.0</v>
      </c>
    </row>
    <row r="40280">
      <c r="Y40280" s="372">
        <v>0.0</v>
      </c>
      <c r="Z40280" s="372">
        <v>0.0</v>
      </c>
    </row>
    <row r="40281">
      <c r="Y40281" s="372">
        <v>0.0</v>
      </c>
      <c r="Z40281" s="372">
        <v>0.0</v>
      </c>
    </row>
    <row r="40282">
      <c r="Y40282" s="372">
        <v>0.0</v>
      </c>
      <c r="Z40282" s="372">
        <v>0.0</v>
      </c>
    </row>
    <row r="40283">
      <c r="Y40283" s="372">
        <v>0.0</v>
      </c>
      <c r="Z40283" s="372">
        <v>0.0</v>
      </c>
    </row>
    <row r="40284">
      <c r="Y40284" s="372">
        <v>0.0</v>
      </c>
      <c r="Z40284" s="372">
        <v>0.0</v>
      </c>
    </row>
    <row r="40285">
      <c r="Y40285" s="372">
        <v>0.0</v>
      </c>
      <c r="Z40285" s="372">
        <v>0.0</v>
      </c>
    </row>
    <row r="40286">
      <c r="Y40286" s="372">
        <v>0.0</v>
      </c>
      <c r="Z40286" s="372">
        <v>0.0</v>
      </c>
    </row>
    <row r="40287">
      <c r="Y40287" s="372">
        <v>0.0</v>
      </c>
      <c r="Z40287" s="372">
        <v>0.0</v>
      </c>
    </row>
    <row r="40288">
      <c r="Y40288" s="372">
        <v>0.0</v>
      </c>
      <c r="Z40288" s="372">
        <v>0.0</v>
      </c>
    </row>
    <row r="40289">
      <c r="Y40289" s="372">
        <v>0.0</v>
      </c>
      <c r="Z40289" s="372">
        <v>0.0</v>
      </c>
    </row>
    <row r="40290">
      <c r="Y40290" s="372">
        <v>0.0</v>
      </c>
      <c r="Z40290" s="372">
        <v>0.0</v>
      </c>
    </row>
    <row r="40291">
      <c r="Y40291" s="372">
        <v>0.0</v>
      </c>
      <c r="Z40291" s="372">
        <v>0.0</v>
      </c>
    </row>
    <row r="40292">
      <c r="Y40292" s="372">
        <v>0.0</v>
      </c>
      <c r="Z40292" s="372">
        <v>0.0</v>
      </c>
    </row>
    <row r="40293">
      <c r="Y40293" s="372">
        <v>0.0</v>
      </c>
      <c r="Z40293" s="372">
        <v>0.0</v>
      </c>
    </row>
    <row r="40294">
      <c r="Y40294" s="372">
        <v>0.0</v>
      </c>
      <c r="Z40294" s="372">
        <v>0.0</v>
      </c>
    </row>
    <row r="40295">
      <c r="Y40295" s="372">
        <v>0.0</v>
      </c>
      <c r="Z40295" s="372">
        <v>0.0</v>
      </c>
    </row>
    <row r="40296">
      <c r="Y40296" s="372">
        <v>0.0</v>
      </c>
      <c r="Z40296" s="372">
        <v>0.0</v>
      </c>
    </row>
    <row r="40297">
      <c r="Y40297" s="372">
        <v>0.0</v>
      </c>
      <c r="Z40297" s="372">
        <v>0.0</v>
      </c>
    </row>
    <row r="40298">
      <c r="Y40298" s="372">
        <v>0.0</v>
      </c>
      <c r="Z40298" s="372">
        <v>0.0</v>
      </c>
    </row>
    <row r="40299">
      <c r="Y40299" s="372">
        <v>0.0</v>
      </c>
      <c r="Z40299" s="372">
        <v>0.0</v>
      </c>
    </row>
    <row r="40300">
      <c r="Y40300" s="372">
        <v>0.0</v>
      </c>
      <c r="Z40300" s="372">
        <v>0.0</v>
      </c>
    </row>
    <row r="40301">
      <c r="Y40301" s="372">
        <v>0.0</v>
      </c>
      <c r="Z40301" s="372">
        <v>0.0</v>
      </c>
    </row>
    <row r="40302">
      <c r="Y40302" s="372">
        <v>0.0</v>
      </c>
      <c r="Z40302" s="372">
        <v>0.0</v>
      </c>
    </row>
    <row r="40303">
      <c r="Y40303" s="372">
        <v>0.0</v>
      </c>
      <c r="Z40303" s="372">
        <v>0.0</v>
      </c>
    </row>
    <row r="40304">
      <c r="Y40304" s="372">
        <v>0.0</v>
      </c>
      <c r="Z40304" s="372">
        <v>0.0</v>
      </c>
    </row>
    <row r="40305">
      <c r="Y40305" s="372">
        <v>0.0</v>
      </c>
      <c r="Z40305" s="372">
        <v>0.0</v>
      </c>
    </row>
    <row r="40306">
      <c r="Y40306" s="372">
        <v>0.0</v>
      </c>
      <c r="Z40306" s="372">
        <v>0.0</v>
      </c>
    </row>
    <row r="40307">
      <c r="Y40307" s="372">
        <v>0.0</v>
      </c>
      <c r="Z40307" s="372">
        <v>0.0</v>
      </c>
    </row>
    <row r="40308">
      <c r="Y40308" s="372">
        <v>0.0</v>
      </c>
      <c r="Z40308" s="372">
        <v>0.0</v>
      </c>
    </row>
    <row r="40309">
      <c r="Y40309" s="372">
        <v>0.0</v>
      </c>
      <c r="Z40309" s="372">
        <v>0.0</v>
      </c>
    </row>
    <row r="40310">
      <c r="Y40310" s="372">
        <v>0.0</v>
      </c>
      <c r="Z40310" s="372">
        <v>0.0</v>
      </c>
    </row>
    <row r="40311">
      <c r="Y40311" s="372">
        <v>0.0</v>
      </c>
      <c r="Z40311" s="372">
        <v>0.0</v>
      </c>
    </row>
    <row r="40312">
      <c r="Y40312" s="372">
        <v>0.0</v>
      </c>
      <c r="Z40312" s="372">
        <v>0.0</v>
      </c>
    </row>
    <row r="40313">
      <c r="Y40313" s="372">
        <v>0.0</v>
      </c>
      <c r="Z40313" s="372">
        <v>0.0</v>
      </c>
    </row>
    <row r="40314">
      <c r="Y40314" s="372">
        <v>0.0</v>
      </c>
      <c r="Z40314" s="372">
        <v>0.0</v>
      </c>
    </row>
    <row r="40315">
      <c r="Y40315" s="372">
        <v>0.0</v>
      </c>
      <c r="Z40315" s="372">
        <v>0.0</v>
      </c>
    </row>
    <row r="40316">
      <c r="Y40316" s="372">
        <v>0.0</v>
      </c>
      <c r="Z40316" s="372">
        <v>0.0</v>
      </c>
    </row>
    <row r="40317">
      <c r="Y40317" s="372">
        <v>0.0</v>
      </c>
      <c r="Z40317" s="372">
        <v>0.0</v>
      </c>
    </row>
    <row r="40318">
      <c r="Y40318" s="372">
        <v>0.0</v>
      </c>
      <c r="Z40318" s="372">
        <v>0.0</v>
      </c>
    </row>
    <row r="40319">
      <c r="Y40319" s="372">
        <v>0.0</v>
      </c>
      <c r="Z40319" s="372">
        <v>0.0</v>
      </c>
    </row>
    <row r="40320">
      <c r="Y40320" s="372">
        <v>0.0</v>
      </c>
      <c r="Z40320" s="372">
        <v>0.0</v>
      </c>
    </row>
    <row r="40321">
      <c r="Y40321" s="372">
        <v>0.0</v>
      </c>
      <c r="Z40321" s="372">
        <v>0.0</v>
      </c>
    </row>
    <row r="40322">
      <c r="Y40322" s="372">
        <v>0.0</v>
      </c>
      <c r="Z40322" s="372">
        <v>0.0</v>
      </c>
    </row>
    <row r="40323">
      <c r="Y40323" s="372">
        <v>0.0</v>
      </c>
      <c r="Z40323" s="372">
        <v>0.0</v>
      </c>
    </row>
    <row r="40324">
      <c r="Y40324" s="372">
        <v>0.0</v>
      </c>
      <c r="Z40324" s="372">
        <v>0.0</v>
      </c>
    </row>
    <row r="40325">
      <c r="Y40325" s="372">
        <v>0.0</v>
      </c>
      <c r="Z40325" s="372">
        <v>0.0</v>
      </c>
    </row>
    <row r="40326">
      <c r="Y40326" s="372">
        <v>0.0</v>
      </c>
      <c r="Z40326" s="372">
        <v>0.0</v>
      </c>
    </row>
    <row r="40327">
      <c r="Y40327" s="372">
        <v>0.0</v>
      </c>
      <c r="Z40327" s="372">
        <v>0.0</v>
      </c>
    </row>
    <row r="40328">
      <c r="Y40328" s="372">
        <v>0.0</v>
      </c>
      <c r="Z40328" s="372">
        <v>0.0</v>
      </c>
    </row>
    <row r="40329">
      <c r="Y40329" s="372">
        <v>0.0</v>
      </c>
      <c r="Z40329" s="372">
        <v>0.0</v>
      </c>
    </row>
    <row r="40330">
      <c r="Y40330" s="372">
        <v>0.0</v>
      </c>
      <c r="Z40330" s="372">
        <v>0.0</v>
      </c>
    </row>
    <row r="40331">
      <c r="Y40331" s="372">
        <v>0.0</v>
      </c>
      <c r="Z40331" s="372">
        <v>0.0</v>
      </c>
    </row>
    <row r="40332">
      <c r="Y40332" s="372">
        <v>0.0</v>
      </c>
      <c r="Z40332" s="372">
        <v>0.0</v>
      </c>
    </row>
    <row r="40333">
      <c r="Y40333" s="372">
        <v>0.0</v>
      </c>
      <c r="Z40333" s="372">
        <v>0.0</v>
      </c>
    </row>
    <row r="40334">
      <c r="Y40334" s="372">
        <v>0.0</v>
      </c>
      <c r="Z40334" s="372">
        <v>0.0</v>
      </c>
    </row>
    <row r="40335">
      <c r="Y40335" s="372">
        <v>0.0</v>
      </c>
      <c r="Z40335" s="372">
        <v>0.0</v>
      </c>
    </row>
    <row r="40336">
      <c r="Y40336" s="372">
        <v>0.0</v>
      </c>
      <c r="Z40336" s="372">
        <v>0.0</v>
      </c>
    </row>
    <row r="40337">
      <c r="Y40337" s="372">
        <v>0.0</v>
      </c>
      <c r="Z40337" s="372">
        <v>0.0</v>
      </c>
    </row>
    <row r="40338">
      <c r="Y40338" s="372">
        <v>0.0</v>
      </c>
      <c r="Z40338" s="372">
        <v>0.0</v>
      </c>
    </row>
    <row r="40339">
      <c r="Y40339" s="372">
        <v>0.0</v>
      </c>
      <c r="Z40339" s="372">
        <v>0.0</v>
      </c>
    </row>
    <row r="40340">
      <c r="Y40340" s="372">
        <v>0.0</v>
      </c>
      <c r="Z40340" s="372">
        <v>0.0</v>
      </c>
    </row>
    <row r="40341">
      <c r="Y40341" s="372">
        <v>0.0</v>
      </c>
      <c r="Z40341" s="372">
        <v>0.0</v>
      </c>
    </row>
    <row r="40342">
      <c r="Y40342" s="372">
        <v>0.0</v>
      </c>
      <c r="Z40342" s="372">
        <v>0.0</v>
      </c>
    </row>
    <row r="40343">
      <c r="Y40343" s="372">
        <v>0.0</v>
      </c>
      <c r="Z40343" s="372">
        <v>0.0</v>
      </c>
    </row>
    <row r="40344">
      <c r="Y40344" s="372">
        <v>0.0</v>
      </c>
      <c r="Z40344" s="372">
        <v>0.0</v>
      </c>
    </row>
    <row r="40345">
      <c r="Y40345" s="372">
        <v>0.0</v>
      </c>
      <c r="Z40345" s="372">
        <v>0.0</v>
      </c>
    </row>
    <row r="40346">
      <c r="Y40346" s="372">
        <v>0.0</v>
      </c>
      <c r="Z40346" s="372">
        <v>0.0</v>
      </c>
    </row>
    <row r="40347">
      <c r="Y40347" s="372">
        <v>0.0</v>
      </c>
      <c r="Z40347" s="372">
        <v>0.0</v>
      </c>
    </row>
    <row r="40348">
      <c r="Y40348" s="372">
        <v>0.0</v>
      </c>
      <c r="Z40348" s="372">
        <v>0.0</v>
      </c>
    </row>
    <row r="40349">
      <c r="Y40349" s="372">
        <v>0.0</v>
      </c>
      <c r="Z40349" s="372">
        <v>0.0</v>
      </c>
    </row>
    <row r="40350">
      <c r="Y40350" s="372">
        <v>0.0</v>
      </c>
      <c r="Z40350" s="372">
        <v>0.0</v>
      </c>
    </row>
    <row r="40351">
      <c r="Y40351" s="372">
        <v>0.0</v>
      </c>
      <c r="Z40351" s="372">
        <v>0.0</v>
      </c>
    </row>
    <row r="40352">
      <c r="Y40352" s="372">
        <v>0.0</v>
      </c>
      <c r="Z40352" s="372">
        <v>0.0</v>
      </c>
    </row>
    <row r="40353">
      <c r="Y40353" s="372">
        <v>0.0</v>
      </c>
      <c r="Z40353" s="372">
        <v>0.0</v>
      </c>
    </row>
    <row r="40354">
      <c r="Y40354" s="372">
        <v>0.0</v>
      </c>
      <c r="Z40354" s="372">
        <v>0.0</v>
      </c>
    </row>
    <row r="40355">
      <c r="Y40355" s="372">
        <v>0.0</v>
      </c>
      <c r="Z40355" s="372">
        <v>0.0</v>
      </c>
    </row>
    <row r="40356">
      <c r="Y40356" s="372">
        <v>0.0</v>
      </c>
      <c r="Z40356" s="372">
        <v>0.0</v>
      </c>
    </row>
    <row r="40357">
      <c r="Y40357" s="372">
        <v>0.0</v>
      </c>
      <c r="Z40357" s="372">
        <v>0.0</v>
      </c>
    </row>
    <row r="40358">
      <c r="Y40358" s="372">
        <v>0.0</v>
      </c>
      <c r="Z40358" s="372">
        <v>0.0</v>
      </c>
    </row>
    <row r="40359">
      <c r="Y40359" s="372">
        <v>0.0</v>
      </c>
      <c r="Z40359" s="372">
        <v>0.0</v>
      </c>
    </row>
    <row r="40360">
      <c r="Y40360" s="372">
        <v>0.0</v>
      </c>
      <c r="Z40360" s="372">
        <v>0.0</v>
      </c>
    </row>
    <row r="40361">
      <c r="Y40361" s="372">
        <v>0.0</v>
      </c>
      <c r="Z40361" s="372">
        <v>0.0</v>
      </c>
    </row>
    <row r="40362">
      <c r="Y40362" s="372">
        <v>0.0</v>
      </c>
      <c r="Z40362" s="372">
        <v>0.0</v>
      </c>
    </row>
    <row r="40363">
      <c r="Y40363" s="372">
        <v>0.0</v>
      </c>
      <c r="Z40363" s="372">
        <v>0.0</v>
      </c>
    </row>
    <row r="40364">
      <c r="Y40364" s="372">
        <v>0.0</v>
      </c>
      <c r="Z40364" s="372">
        <v>0.0</v>
      </c>
    </row>
    <row r="40365">
      <c r="Y40365" s="372">
        <v>0.0</v>
      </c>
      <c r="Z40365" s="372">
        <v>0.0</v>
      </c>
    </row>
    <row r="40366">
      <c r="Y40366" s="372">
        <v>0.0</v>
      </c>
      <c r="Z40366" s="372">
        <v>0.0</v>
      </c>
    </row>
    <row r="40367">
      <c r="Y40367" s="372">
        <v>0.0</v>
      </c>
      <c r="Z40367" s="372">
        <v>0.0</v>
      </c>
    </row>
    <row r="40368">
      <c r="Y40368" s="372">
        <v>0.0</v>
      </c>
      <c r="Z40368" s="372">
        <v>0.0</v>
      </c>
    </row>
    <row r="40369">
      <c r="Y40369" s="372">
        <v>0.0</v>
      </c>
      <c r="Z40369" s="372">
        <v>0.0</v>
      </c>
    </row>
    <row r="40370">
      <c r="Y40370" s="372">
        <v>0.0</v>
      </c>
      <c r="Z40370" s="372">
        <v>0.0</v>
      </c>
    </row>
    <row r="40371">
      <c r="Y40371" s="372">
        <v>0.0</v>
      </c>
      <c r="Z40371" s="372">
        <v>0.0</v>
      </c>
    </row>
    <row r="40372">
      <c r="Y40372" s="372">
        <v>0.0</v>
      </c>
      <c r="Z40372" s="372">
        <v>0.0</v>
      </c>
    </row>
    <row r="40373">
      <c r="Y40373" s="372">
        <v>0.0</v>
      </c>
      <c r="Z40373" s="372">
        <v>0.0</v>
      </c>
    </row>
    <row r="40374">
      <c r="Y40374" s="372">
        <v>0.0</v>
      </c>
      <c r="Z40374" s="372">
        <v>0.0</v>
      </c>
    </row>
    <row r="40375">
      <c r="Y40375" s="372">
        <v>0.0</v>
      </c>
      <c r="Z40375" s="372">
        <v>0.0</v>
      </c>
    </row>
    <row r="40376">
      <c r="Y40376" s="372">
        <v>0.0</v>
      </c>
      <c r="Z40376" s="372">
        <v>0.0</v>
      </c>
    </row>
    <row r="40377">
      <c r="Y40377" s="372">
        <v>0.0</v>
      </c>
      <c r="Z40377" s="372">
        <v>0.0</v>
      </c>
    </row>
    <row r="40378">
      <c r="Y40378" s="372">
        <v>0.0</v>
      </c>
      <c r="Z40378" s="372">
        <v>0.0</v>
      </c>
    </row>
    <row r="40379">
      <c r="Y40379" s="372">
        <v>0.0</v>
      </c>
      <c r="Z40379" s="372">
        <v>0.0</v>
      </c>
    </row>
    <row r="40380">
      <c r="Y40380" s="372">
        <v>0.0</v>
      </c>
      <c r="Z40380" s="372">
        <v>0.0</v>
      </c>
    </row>
    <row r="40381">
      <c r="Y40381" s="372">
        <v>0.0</v>
      </c>
      <c r="Z40381" s="372">
        <v>0.0</v>
      </c>
    </row>
    <row r="40382">
      <c r="Y40382" s="372">
        <v>0.0</v>
      </c>
      <c r="Z40382" s="372">
        <v>0.0</v>
      </c>
    </row>
    <row r="40383">
      <c r="Y40383" s="372">
        <v>0.0</v>
      </c>
      <c r="Z40383" s="372">
        <v>0.0</v>
      </c>
    </row>
    <row r="40384">
      <c r="Y40384" s="372">
        <v>0.0</v>
      </c>
      <c r="Z40384" s="372">
        <v>0.0</v>
      </c>
    </row>
    <row r="40385">
      <c r="Y40385" s="372">
        <v>0.0</v>
      </c>
      <c r="Z40385" s="372">
        <v>0.0</v>
      </c>
    </row>
    <row r="40386">
      <c r="Y40386" s="372">
        <v>0.0</v>
      </c>
      <c r="Z40386" s="372">
        <v>0.0</v>
      </c>
    </row>
    <row r="40387">
      <c r="Y40387" s="372">
        <v>0.0</v>
      </c>
      <c r="Z40387" s="372">
        <v>0.0</v>
      </c>
    </row>
    <row r="40388">
      <c r="Y40388" s="372">
        <v>0.0</v>
      </c>
      <c r="Z40388" s="372">
        <v>0.0</v>
      </c>
    </row>
    <row r="40389">
      <c r="Y40389" s="372">
        <v>0.0</v>
      </c>
      <c r="Z40389" s="372">
        <v>0.0</v>
      </c>
    </row>
    <row r="40390">
      <c r="Y40390" s="372">
        <v>0.0</v>
      </c>
      <c r="Z40390" s="372">
        <v>0.0</v>
      </c>
    </row>
    <row r="40391">
      <c r="Y40391" s="372">
        <v>0.0</v>
      </c>
      <c r="Z40391" s="372">
        <v>0.0</v>
      </c>
    </row>
    <row r="40392">
      <c r="Y40392" s="372">
        <v>0.0</v>
      </c>
      <c r="Z40392" s="372">
        <v>0.0</v>
      </c>
    </row>
    <row r="40393">
      <c r="Y40393" s="372">
        <v>0.0</v>
      </c>
      <c r="Z40393" s="372">
        <v>0.0</v>
      </c>
    </row>
    <row r="40394">
      <c r="Y40394" s="372">
        <v>0.0</v>
      </c>
      <c r="Z40394" s="372">
        <v>0.0</v>
      </c>
    </row>
    <row r="40395">
      <c r="Y40395" s="372">
        <v>0.0</v>
      </c>
      <c r="Z40395" s="372">
        <v>0.0</v>
      </c>
    </row>
    <row r="40396">
      <c r="Y40396" s="372">
        <v>0.0</v>
      </c>
      <c r="Z40396" s="372">
        <v>0.0</v>
      </c>
    </row>
    <row r="40397">
      <c r="Y40397" s="372">
        <v>0.0</v>
      </c>
      <c r="Z40397" s="372">
        <v>0.0</v>
      </c>
    </row>
    <row r="40398">
      <c r="Y40398" s="372">
        <v>0.0</v>
      </c>
      <c r="Z40398" s="372">
        <v>0.0</v>
      </c>
    </row>
    <row r="40399">
      <c r="Y40399" s="372">
        <v>0.0</v>
      </c>
      <c r="Z40399" s="372">
        <v>0.0</v>
      </c>
    </row>
    <row r="40400">
      <c r="Y40400" s="372">
        <v>0.0</v>
      </c>
      <c r="Z40400" s="372">
        <v>0.0</v>
      </c>
    </row>
    <row r="40401">
      <c r="Y40401" s="372">
        <v>0.0</v>
      </c>
      <c r="Z40401" s="372">
        <v>0.0</v>
      </c>
    </row>
    <row r="40402">
      <c r="Y40402" s="372">
        <v>0.0</v>
      </c>
      <c r="Z40402" s="372">
        <v>0.0</v>
      </c>
    </row>
    <row r="40403">
      <c r="Y40403" s="372">
        <v>0.0</v>
      </c>
      <c r="Z40403" s="372">
        <v>0.0</v>
      </c>
    </row>
    <row r="40404">
      <c r="Y40404" s="372">
        <v>0.0</v>
      </c>
      <c r="Z40404" s="372">
        <v>0.0</v>
      </c>
    </row>
    <row r="40405">
      <c r="Y40405" s="372">
        <v>0.0</v>
      </c>
      <c r="Z40405" s="372">
        <v>0.0</v>
      </c>
    </row>
    <row r="40406">
      <c r="Y40406" s="372">
        <v>0.0</v>
      </c>
      <c r="Z40406" s="372">
        <v>0.0</v>
      </c>
    </row>
    <row r="40407">
      <c r="Y40407" s="372">
        <v>0.0</v>
      </c>
      <c r="Z40407" s="372">
        <v>0.0</v>
      </c>
    </row>
    <row r="40408">
      <c r="Y40408" s="372">
        <v>0.0</v>
      </c>
      <c r="Z40408" s="372">
        <v>0.0</v>
      </c>
    </row>
    <row r="40409">
      <c r="Y40409" s="372">
        <v>0.0</v>
      </c>
      <c r="Z40409" s="372">
        <v>0.0</v>
      </c>
    </row>
    <row r="40410">
      <c r="Y40410" s="372">
        <v>0.0</v>
      </c>
      <c r="Z40410" s="372">
        <v>0.0</v>
      </c>
    </row>
    <row r="40411">
      <c r="Y40411" s="372">
        <v>0.0</v>
      </c>
      <c r="Z40411" s="372">
        <v>0.0</v>
      </c>
    </row>
    <row r="40412">
      <c r="Y40412" s="372">
        <v>0.0</v>
      </c>
      <c r="Z40412" s="372">
        <v>0.0</v>
      </c>
    </row>
    <row r="40413">
      <c r="Y40413" s="372">
        <v>0.0</v>
      </c>
      <c r="Z40413" s="372">
        <v>0.0</v>
      </c>
    </row>
    <row r="40414">
      <c r="Y40414" s="372">
        <v>0.0</v>
      </c>
      <c r="Z40414" s="372">
        <v>0.0</v>
      </c>
    </row>
    <row r="40415">
      <c r="Y40415" s="372">
        <v>0.0</v>
      </c>
      <c r="Z40415" s="372">
        <v>0.0</v>
      </c>
    </row>
    <row r="40416">
      <c r="Y40416" s="372">
        <v>0.0</v>
      </c>
      <c r="Z40416" s="372">
        <v>0.0</v>
      </c>
    </row>
    <row r="40417">
      <c r="Y40417" s="372">
        <v>0.0</v>
      </c>
      <c r="Z40417" s="372">
        <v>0.0</v>
      </c>
    </row>
    <row r="40418">
      <c r="Y40418" s="372">
        <v>0.0</v>
      </c>
      <c r="Z40418" s="372">
        <v>0.0</v>
      </c>
    </row>
    <row r="40419">
      <c r="Y40419" s="372">
        <v>0.0</v>
      </c>
      <c r="Z40419" s="372">
        <v>0.0</v>
      </c>
    </row>
    <row r="40420">
      <c r="Y40420" s="372">
        <v>0.0</v>
      </c>
      <c r="Z40420" s="372">
        <v>0.0</v>
      </c>
    </row>
    <row r="40421">
      <c r="Y40421" s="372">
        <v>0.0</v>
      </c>
      <c r="Z40421" s="372">
        <v>0.0</v>
      </c>
    </row>
    <row r="40422">
      <c r="Y40422" s="372">
        <v>0.0</v>
      </c>
      <c r="Z40422" s="372">
        <v>0.0</v>
      </c>
    </row>
    <row r="40423">
      <c r="Y40423" s="372">
        <v>0.0</v>
      </c>
      <c r="Z40423" s="372">
        <v>0.0</v>
      </c>
    </row>
    <row r="40424">
      <c r="Y40424" s="372">
        <v>0.0</v>
      </c>
      <c r="Z40424" s="372">
        <v>0.0</v>
      </c>
    </row>
    <row r="40425">
      <c r="Y40425" s="372">
        <v>0.0</v>
      </c>
      <c r="Z40425" s="372">
        <v>0.0</v>
      </c>
    </row>
    <row r="40426">
      <c r="Y40426" s="372">
        <v>0.0</v>
      </c>
      <c r="Z40426" s="372">
        <v>0.0</v>
      </c>
    </row>
    <row r="40427">
      <c r="Y40427" s="372">
        <v>0.0</v>
      </c>
      <c r="Z40427" s="372">
        <v>0.0</v>
      </c>
    </row>
    <row r="40428">
      <c r="Y40428" s="372">
        <v>0.0</v>
      </c>
      <c r="Z40428" s="372">
        <v>0.0</v>
      </c>
    </row>
    <row r="40429">
      <c r="Y40429" s="372">
        <v>0.0</v>
      </c>
      <c r="Z40429" s="372">
        <v>0.0</v>
      </c>
    </row>
    <row r="40430">
      <c r="Y40430" s="372">
        <v>0.0</v>
      </c>
      <c r="Z40430" s="372">
        <v>0.0</v>
      </c>
    </row>
    <row r="40431">
      <c r="Y40431" s="372">
        <v>0.0</v>
      </c>
      <c r="Z40431" s="372">
        <v>0.0</v>
      </c>
    </row>
    <row r="40432">
      <c r="Y40432" s="372">
        <v>0.0</v>
      </c>
      <c r="Z40432" s="372">
        <v>0.0</v>
      </c>
    </row>
    <row r="40433">
      <c r="Y40433" s="372">
        <v>0.0</v>
      </c>
      <c r="Z40433" s="372">
        <v>0.0</v>
      </c>
    </row>
    <row r="40434">
      <c r="Y40434" s="372">
        <v>0.0</v>
      </c>
      <c r="Z40434" s="372">
        <v>0.0</v>
      </c>
    </row>
    <row r="40435">
      <c r="Y40435" s="372">
        <v>0.0</v>
      </c>
      <c r="Z40435" s="372">
        <v>0.0</v>
      </c>
    </row>
    <row r="40436">
      <c r="Y40436" s="372">
        <v>0.0</v>
      </c>
      <c r="Z40436" s="372">
        <v>0.0</v>
      </c>
    </row>
    <row r="40437">
      <c r="Y40437" s="372">
        <v>0.0</v>
      </c>
      <c r="Z40437" s="372">
        <v>0.0</v>
      </c>
    </row>
    <row r="40438">
      <c r="Y40438" s="372">
        <v>0.0</v>
      </c>
      <c r="Z40438" s="372">
        <v>0.0</v>
      </c>
    </row>
    <row r="40439">
      <c r="Y40439" s="372">
        <v>0.0</v>
      </c>
      <c r="Z40439" s="372">
        <v>0.0</v>
      </c>
    </row>
    <row r="40440">
      <c r="Y40440" s="372">
        <v>0.0</v>
      </c>
      <c r="Z40440" s="372">
        <v>0.0</v>
      </c>
    </row>
    <row r="40441">
      <c r="Y40441" s="372">
        <v>0.0</v>
      </c>
      <c r="Z40441" s="372">
        <v>0.0</v>
      </c>
    </row>
    <row r="40442">
      <c r="Y40442" s="372">
        <v>0.0</v>
      </c>
      <c r="Z40442" s="372">
        <v>0.0</v>
      </c>
    </row>
    <row r="40443">
      <c r="Y40443" s="372">
        <v>0.0</v>
      </c>
      <c r="Z40443" s="372">
        <v>0.0</v>
      </c>
    </row>
    <row r="40444">
      <c r="Y40444" s="372">
        <v>0.0</v>
      </c>
      <c r="Z40444" s="372">
        <v>0.0</v>
      </c>
    </row>
    <row r="40445">
      <c r="Y40445" s="372">
        <v>0.0</v>
      </c>
      <c r="Z40445" s="372">
        <v>0.0</v>
      </c>
    </row>
    <row r="40446">
      <c r="Y40446" s="372">
        <v>0.0</v>
      </c>
      <c r="Z40446" s="372">
        <v>0.0</v>
      </c>
    </row>
    <row r="40447">
      <c r="Y40447" s="372">
        <v>0.0</v>
      </c>
      <c r="Z40447" s="372">
        <v>0.0</v>
      </c>
    </row>
    <row r="40448">
      <c r="Y40448" s="372">
        <v>0.0</v>
      </c>
      <c r="Z40448" s="372">
        <v>0.0</v>
      </c>
    </row>
    <row r="40449">
      <c r="Y40449" s="372">
        <v>0.0</v>
      </c>
      <c r="Z40449" s="372">
        <v>0.0</v>
      </c>
    </row>
    <row r="40450">
      <c r="Y40450" s="372">
        <v>0.0</v>
      </c>
      <c r="Z40450" s="372">
        <v>0.0</v>
      </c>
    </row>
    <row r="40451">
      <c r="Y40451" s="372">
        <v>0.0</v>
      </c>
      <c r="Z40451" s="372">
        <v>0.0</v>
      </c>
    </row>
    <row r="40452">
      <c r="Y40452" s="372">
        <v>0.0</v>
      </c>
      <c r="Z40452" s="372">
        <v>0.0</v>
      </c>
    </row>
    <row r="40453">
      <c r="Y40453" s="372">
        <v>0.0</v>
      </c>
      <c r="Z40453" s="372">
        <v>0.0</v>
      </c>
    </row>
    <row r="40454">
      <c r="Y40454" s="372">
        <v>0.0</v>
      </c>
      <c r="Z40454" s="372">
        <v>0.0</v>
      </c>
    </row>
    <row r="40455">
      <c r="Y40455" s="372">
        <v>0.0</v>
      </c>
      <c r="Z40455" s="372">
        <v>0.0</v>
      </c>
    </row>
    <row r="40456">
      <c r="Y40456" s="372">
        <v>0.0</v>
      </c>
      <c r="Z40456" s="372">
        <v>0.0</v>
      </c>
    </row>
    <row r="40457">
      <c r="Y40457" s="372">
        <v>0.0</v>
      </c>
      <c r="Z40457" s="372">
        <v>0.0</v>
      </c>
    </row>
    <row r="40458">
      <c r="Y40458" s="372">
        <v>0.0</v>
      </c>
      <c r="Z40458" s="372">
        <v>0.0</v>
      </c>
    </row>
    <row r="40459">
      <c r="Y40459" s="372">
        <v>0.0</v>
      </c>
      <c r="Z40459" s="372">
        <v>0.0</v>
      </c>
    </row>
    <row r="40460">
      <c r="Y40460" s="372">
        <v>0.0</v>
      </c>
      <c r="Z40460" s="372">
        <v>0.0</v>
      </c>
    </row>
    <row r="40461">
      <c r="Y40461" s="372">
        <v>0.0</v>
      </c>
      <c r="Z40461" s="372">
        <v>0.0</v>
      </c>
    </row>
    <row r="40462">
      <c r="Y40462" s="372">
        <v>0.0</v>
      </c>
      <c r="Z40462" s="372">
        <v>0.0</v>
      </c>
    </row>
    <row r="40463">
      <c r="Y40463" s="372">
        <v>0.0</v>
      </c>
      <c r="Z40463" s="372">
        <v>0.0</v>
      </c>
    </row>
    <row r="40464">
      <c r="Y40464" s="372">
        <v>0.0</v>
      </c>
      <c r="Z40464" s="372">
        <v>0.0</v>
      </c>
    </row>
    <row r="40465">
      <c r="Y40465" s="372">
        <v>0.0</v>
      </c>
      <c r="Z40465" s="372">
        <v>0.0</v>
      </c>
    </row>
    <row r="40466">
      <c r="Y40466" s="372">
        <v>0.0</v>
      </c>
      <c r="Z40466" s="372">
        <v>0.0</v>
      </c>
    </row>
    <row r="40467">
      <c r="Y40467" s="372">
        <v>0.0</v>
      </c>
      <c r="Z40467" s="372">
        <v>0.0</v>
      </c>
    </row>
    <row r="40468">
      <c r="Y40468" s="372">
        <v>0.0</v>
      </c>
      <c r="Z40468" s="372">
        <v>0.0</v>
      </c>
    </row>
    <row r="40469">
      <c r="Y40469" s="372">
        <v>0.0</v>
      </c>
      <c r="Z40469" s="372">
        <v>0.0</v>
      </c>
    </row>
    <row r="40470">
      <c r="Y40470" s="372">
        <v>0.0</v>
      </c>
      <c r="Z40470" s="372">
        <v>0.0</v>
      </c>
    </row>
    <row r="40471">
      <c r="Y40471" s="372">
        <v>0.0</v>
      </c>
      <c r="Z40471" s="372">
        <v>0.0</v>
      </c>
    </row>
    <row r="40472">
      <c r="Y40472" s="372">
        <v>0.0</v>
      </c>
      <c r="Z40472" s="372">
        <v>0.0</v>
      </c>
    </row>
    <row r="40473">
      <c r="Y40473" s="372">
        <v>0.0</v>
      </c>
      <c r="Z40473" s="372">
        <v>0.0</v>
      </c>
    </row>
    <row r="40474">
      <c r="Y40474" s="372">
        <v>0.0</v>
      </c>
      <c r="Z40474" s="372">
        <v>0.0</v>
      </c>
    </row>
    <row r="40475">
      <c r="Y40475" s="372">
        <v>0.0</v>
      </c>
      <c r="Z40475" s="372">
        <v>0.0</v>
      </c>
    </row>
    <row r="40476">
      <c r="Y40476" s="372">
        <v>0.0</v>
      </c>
      <c r="Z40476" s="372">
        <v>0.0</v>
      </c>
    </row>
    <row r="40477">
      <c r="Y40477" s="372">
        <v>0.0</v>
      </c>
      <c r="Z40477" s="372">
        <v>0.0</v>
      </c>
    </row>
    <row r="40478">
      <c r="Y40478" s="372">
        <v>0.0</v>
      </c>
      <c r="Z40478" s="372">
        <v>0.0</v>
      </c>
    </row>
    <row r="40479">
      <c r="Y40479" s="372">
        <v>0.0</v>
      </c>
      <c r="Z40479" s="372">
        <v>0.0</v>
      </c>
    </row>
    <row r="40480">
      <c r="Y40480" s="372">
        <v>0.0</v>
      </c>
      <c r="Z40480" s="372">
        <v>0.0</v>
      </c>
    </row>
    <row r="40481">
      <c r="Y40481" s="372">
        <v>0.0</v>
      </c>
      <c r="Z40481" s="372">
        <v>0.0</v>
      </c>
    </row>
    <row r="40482">
      <c r="Y40482" s="372">
        <v>0.0</v>
      </c>
      <c r="Z40482" s="372">
        <v>0.0</v>
      </c>
    </row>
    <row r="40483">
      <c r="Y40483" s="372">
        <v>0.0</v>
      </c>
      <c r="Z40483" s="372">
        <v>0.0</v>
      </c>
    </row>
    <row r="40484">
      <c r="Y40484" s="372">
        <v>0.0</v>
      </c>
      <c r="Z40484" s="372">
        <v>0.0</v>
      </c>
    </row>
    <row r="40485">
      <c r="Y40485" s="372">
        <v>0.0</v>
      </c>
      <c r="Z40485" s="372">
        <v>0.0</v>
      </c>
    </row>
    <row r="40486">
      <c r="Y40486" s="372">
        <v>0.0</v>
      </c>
      <c r="Z40486" s="372">
        <v>0.0</v>
      </c>
    </row>
    <row r="40487">
      <c r="Y40487" s="372">
        <v>0.0</v>
      </c>
      <c r="Z40487" s="372">
        <v>0.0</v>
      </c>
    </row>
    <row r="40488">
      <c r="Y40488" s="372">
        <v>0.0</v>
      </c>
      <c r="Z40488" s="372">
        <v>0.0</v>
      </c>
    </row>
    <row r="40489">
      <c r="Y40489" s="372">
        <v>0.0</v>
      </c>
      <c r="Z40489" s="372">
        <v>0.0</v>
      </c>
    </row>
    <row r="40490">
      <c r="Y40490" s="372">
        <v>0.0</v>
      </c>
      <c r="Z40490" s="372">
        <v>0.0</v>
      </c>
    </row>
    <row r="40491">
      <c r="Y40491" s="372">
        <v>0.0</v>
      </c>
      <c r="Z40491" s="372">
        <v>0.0</v>
      </c>
    </row>
    <row r="40492">
      <c r="Y40492" s="372">
        <v>0.0</v>
      </c>
      <c r="Z40492" s="372">
        <v>0.0</v>
      </c>
    </row>
    <row r="40493">
      <c r="Y40493" s="372">
        <v>0.0</v>
      </c>
      <c r="Z40493" s="372">
        <v>0.0</v>
      </c>
    </row>
    <row r="40494">
      <c r="Y40494" s="372">
        <v>0.0</v>
      </c>
      <c r="Z40494" s="372">
        <v>0.0</v>
      </c>
    </row>
    <row r="40495">
      <c r="Y40495" s="372">
        <v>0.0</v>
      </c>
      <c r="Z40495" s="372">
        <v>0.0</v>
      </c>
    </row>
    <row r="40496">
      <c r="Y40496" s="372">
        <v>0.0</v>
      </c>
      <c r="Z40496" s="372">
        <v>0.0</v>
      </c>
    </row>
    <row r="40497">
      <c r="Y40497" s="372">
        <v>0.0</v>
      </c>
      <c r="Z40497" s="372">
        <v>0.0</v>
      </c>
    </row>
    <row r="40498">
      <c r="Y40498" s="372">
        <v>0.0</v>
      </c>
      <c r="Z40498" s="372">
        <v>0.0</v>
      </c>
    </row>
    <row r="40499">
      <c r="Y40499" s="372">
        <v>0.0</v>
      </c>
      <c r="Z40499" s="372">
        <v>0.0</v>
      </c>
    </row>
    <row r="40500">
      <c r="Y40500" s="372">
        <v>0.0</v>
      </c>
      <c r="Z40500" s="372">
        <v>0.0</v>
      </c>
    </row>
    <row r="40501">
      <c r="Y40501" s="372">
        <v>0.0</v>
      </c>
      <c r="Z40501" s="372">
        <v>0.0</v>
      </c>
    </row>
    <row r="40502">
      <c r="Y40502" s="372">
        <v>0.0</v>
      </c>
      <c r="Z40502" s="372">
        <v>0.0</v>
      </c>
    </row>
    <row r="40503">
      <c r="Y40503" s="372">
        <v>0.0</v>
      </c>
      <c r="Z40503" s="372">
        <v>0.0</v>
      </c>
    </row>
    <row r="40504">
      <c r="Y40504" s="372">
        <v>0.0</v>
      </c>
      <c r="Z40504" s="372">
        <v>0.0</v>
      </c>
    </row>
    <row r="40505">
      <c r="Y40505" s="372">
        <v>0.0</v>
      </c>
      <c r="Z40505" s="372">
        <v>0.0</v>
      </c>
    </row>
    <row r="40506">
      <c r="Y40506" s="372">
        <v>0.0</v>
      </c>
      <c r="Z40506" s="372">
        <v>0.0</v>
      </c>
    </row>
    <row r="40507">
      <c r="Y40507" s="372">
        <v>0.0</v>
      </c>
      <c r="Z40507" s="372">
        <v>0.0</v>
      </c>
    </row>
    <row r="40508">
      <c r="Y40508" s="372">
        <v>0.0</v>
      </c>
      <c r="Z40508" s="372">
        <v>0.0</v>
      </c>
    </row>
    <row r="40509">
      <c r="Y40509" s="372">
        <v>0.0</v>
      </c>
      <c r="Z40509" s="372">
        <v>0.0</v>
      </c>
    </row>
    <row r="40510">
      <c r="Y40510" s="372">
        <v>0.0</v>
      </c>
      <c r="Z40510" s="372">
        <v>0.0</v>
      </c>
    </row>
    <row r="40511">
      <c r="Y40511" s="372">
        <v>0.0</v>
      </c>
      <c r="Z40511" s="372">
        <v>0.0</v>
      </c>
    </row>
    <row r="40512">
      <c r="Y40512" s="372">
        <v>0.0</v>
      </c>
      <c r="Z40512" s="372">
        <v>0.0</v>
      </c>
    </row>
    <row r="40513">
      <c r="Y40513" s="372">
        <v>0.0</v>
      </c>
      <c r="Z40513" s="372">
        <v>0.0</v>
      </c>
    </row>
    <row r="40514">
      <c r="Y40514" s="372">
        <v>0.0</v>
      </c>
      <c r="Z40514" s="372">
        <v>0.0</v>
      </c>
    </row>
    <row r="40515">
      <c r="Y40515" s="372">
        <v>0.0</v>
      </c>
      <c r="Z40515" s="372">
        <v>0.0</v>
      </c>
    </row>
    <row r="40516">
      <c r="Y40516" s="372">
        <v>0.0</v>
      </c>
      <c r="Z40516" s="372">
        <v>0.0</v>
      </c>
    </row>
    <row r="40517">
      <c r="Y40517" s="372">
        <v>0.0</v>
      </c>
      <c r="Z40517" s="372">
        <v>0.0</v>
      </c>
    </row>
    <row r="40518">
      <c r="Y40518" s="372">
        <v>0.0</v>
      </c>
      <c r="Z40518" s="372">
        <v>0.0</v>
      </c>
    </row>
    <row r="40519">
      <c r="Y40519" s="372">
        <v>0.0</v>
      </c>
      <c r="Z40519" s="372">
        <v>0.0</v>
      </c>
    </row>
    <row r="40520">
      <c r="Y40520" s="372">
        <v>0.0</v>
      </c>
      <c r="Z40520" s="372">
        <v>0.0</v>
      </c>
    </row>
    <row r="40521">
      <c r="Y40521" s="372">
        <v>0.0</v>
      </c>
      <c r="Z40521" s="372">
        <v>0.0</v>
      </c>
    </row>
    <row r="40522">
      <c r="Y40522" s="372">
        <v>0.0</v>
      </c>
      <c r="Z40522" s="372">
        <v>0.0</v>
      </c>
    </row>
    <row r="40523">
      <c r="Y40523" s="372">
        <v>0.0</v>
      </c>
      <c r="Z40523" s="372">
        <v>0.0</v>
      </c>
    </row>
    <row r="40524">
      <c r="Y40524" s="372">
        <v>0.0</v>
      </c>
      <c r="Z40524" s="372">
        <v>0.0</v>
      </c>
    </row>
    <row r="40525">
      <c r="Y40525" s="372">
        <v>0.0</v>
      </c>
      <c r="Z40525" s="372">
        <v>0.0</v>
      </c>
    </row>
    <row r="40526">
      <c r="Y40526" s="372">
        <v>0.0</v>
      </c>
      <c r="Z40526" s="372">
        <v>0.0</v>
      </c>
    </row>
    <row r="40527">
      <c r="Y40527" s="372">
        <v>0.0</v>
      </c>
      <c r="Z40527" s="372">
        <v>0.0</v>
      </c>
    </row>
    <row r="40528">
      <c r="Y40528" s="372">
        <v>0.0</v>
      </c>
      <c r="Z40528" s="372">
        <v>0.0</v>
      </c>
    </row>
    <row r="40529">
      <c r="Y40529" s="372">
        <v>0.0</v>
      </c>
      <c r="Z40529" s="372">
        <v>0.0</v>
      </c>
    </row>
    <row r="40530">
      <c r="Y40530" s="372">
        <v>0.0</v>
      </c>
      <c r="Z40530" s="372">
        <v>0.0</v>
      </c>
    </row>
    <row r="40531">
      <c r="Y40531" s="372">
        <v>0.0</v>
      </c>
      <c r="Z40531" s="372">
        <v>0.0</v>
      </c>
    </row>
    <row r="40532">
      <c r="Y40532" s="372">
        <v>0.0</v>
      </c>
      <c r="Z40532" s="372">
        <v>0.0</v>
      </c>
    </row>
    <row r="40533">
      <c r="Y40533" s="372">
        <v>0.0</v>
      </c>
      <c r="Z40533" s="372">
        <v>0.0</v>
      </c>
    </row>
    <row r="40534">
      <c r="Y40534" s="372">
        <v>0.0</v>
      </c>
      <c r="Z40534" s="372">
        <v>0.0</v>
      </c>
    </row>
    <row r="40535">
      <c r="Y40535" s="372">
        <v>0.0</v>
      </c>
      <c r="Z40535" s="372">
        <v>0.0</v>
      </c>
    </row>
    <row r="40536">
      <c r="Y40536" s="372">
        <v>0.0</v>
      </c>
      <c r="Z40536" s="372">
        <v>0.0</v>
      </c>
    </row>
    <row r="40537">
      <c r="Y40537" s="372">
        <v>0.0</v>
      </c>
      <c r="Z40537" s="372">
        <v>0.0</v>
      </c>
    </row>
    <row r="40538">
      <c r="Y40538" s="372">
        <v>0.0</v>
      </c>
      <c r="Z40538" s="372">
        <v>0.0</v>
      </c>
    </row>
    <row r="40539">
      <c r="Y40539" s="372">
        <v>0.0</v>
      </c>
      <c r="Z40539" s="372">
        <v>0.0</v>
      </c>
    </row>
    <row r="40540">
      <c r="Y40540" s="372">
        <v>0.0</v>
      </c>
      <c r="Z40540" s="372">
        <v>0.0</v>
      </c>
    </row>
    <row r="40541">
      <c r="Y40541" s="372">
        <v>0.0</v>
      </c>
      <c r="Z40541" s="372">
        <v>0.0</v>
      </c>
    </row>
    <row r="40542">
      <c r="Y40542" s="372">
        <v>0.0</v>
      </c>
      <c r="Z40542" s="372">
        <v>0.0</v>
      </c>
    </row>
    <row r="40543">
      <c r="Y40543" s="372">
        <v>0.0</v>
      </c>
      <c r="Z40543" s="372">
        <v>0.0</v>
      </c>
    </row>
    <row r="40544">
      <c r="Y40544" s="372">
        <v>0.0</v>
      </c>
      <c r="Z40544" s="372">
        <v>0.0</v>
      </c>
    </row>
    <row r="40545">
      <c r="Y40545" s="372">
        <v>0.0</v>
      </c>
      <c r="Z40545" s="372">
        <v>0.0</v>
      </c>
    </row>
    <row r="40546">
      <c r="Y40546" s="372">
        <v>0.0</v>
      </c>
      <c r="Z40546" s="372">
        <v>0.0</v>
      </c>
    </row>
    <row r="40547">
      <c r="Y40547" s="372">
        <v>0.0</v>
      </c>
      <c r="Z40547" s="372">
        <v>0.0</v>
      </c>
    </row>
    <row r="40548">
      <c r="Y40548" s="372">
        <v>0.0</v>
      </c>
      <c r="Z40548" s="372">
        <v>0.0</v>
      </c>
    </row>
    <row r="40549">
      <c r="Y40549" s="372">
        <v>0.0</v>
      </c>
      <c r="Z40549" s="372">
        <v>0.0</v>
      </c>
    </row>
    <row r="40550">
      <c r="Y40550" s="372">
        <v>0.0</v>
      </c>
      <c r="Z40550" s="372">
        <v>0.0</v>
      </c>
    </row>
    <row r="40551">
      <c r="Y40551" s="372">
        <v>0.0</v>
      </c>
      <c r="Z40551" s="372">
        <v>0.0</v>
      </c>
    </row>
    <row r="40552">
      <c r="Y40552" s="372">
        <v>0.0</v>
      </c>
      <c r="Z40552" s="372">
        <v>0.0</v>
      </c>
    </row>
    <row r="40553">
      <c r="Y40553" s="372">
        <v>0.0</v>
      </c>
      <c r="Z40553" s="372">
        <v>0.0</v>
      </c>
    </row>
    <row r="40554">
      <c r="Y40554" s="372">
        <v>0.0</v>
      </c>
      <c r="Z40554" s="372">
        <v>0.0</v>
      </c>
    </row>
    <row r="40555">
      <c r="Y40555" s="372">
        <v>0.0</v>
      </c>
      <c r="Z40555" s="372">
        <v>0.0</v>
      </c>
    </row>
    <row r="40556">
      <c r="Y40556" s="372">
        <v>0.0</v>
      </c>
      <c r="Z40556" s="372">
        <v>0.0</v>
      </c>
    </row>
    <row r="40557">
      <c r="Y40557" s="372">
        <v>0.0</v>
      </c>
      <c r="Z40557" s="372">
        <v>0.0</v>
      </c>
    </row>
    <row r="40558">
      <c r="Y40558" s="372">
        <v>0.0</v>
      </c>
      <c r="Z40558" s="372">
        <v>0.0</v>
      </c>
    </row>
    <row r="40559">
      <c r="Y40559" s="372">
        <v>0.0</v>
      </c>
      <c r="Z40559" s="372">
        <v>0.0</v>
      </c>
    </row>
    <row r="40560">
      <c r="Y40560" s="372">
        <v>0.0</v>
      </c>
      <c r="Z40560" s="372">
        <v>0.0</v>
      </c>
    </row>
    <row r="40561">
      <c r="Y40561" s="372">
        <v>0.0</v>
      </c>
      <c r="Z40561" s="372">
        <v>0.0</v>
      </c>
    </row>
    <row r="40562">
      <c r="Y40562" s="372">
        <v>0.0</v>
      </c>
      <c r="Z40562" s="372">
        <v>0.0</v>
      </c>
    </row>
    <row r="40563">
      <c r="Y40563" s="372">
        <v>0.0</v>
      </c>
      <c r="Z40563" s="372">
        <v>0.0</v>
      </c>
    </row>
    <row r="40564">
      <c r="Y40564" s="372">
        <v>0.0</v>
      </c>
      <c r="Z40564" s="372">
        <v>0.0</v>
      </c>
    </row>
    <row r="40565">
      <c r="Y40565" s="372">
        <v>0.0</v>
      </c>
      <c r="Z40565" s="372">
        <v>0.0</v>
      </c>
    </row>
    <row r="40566">
      <c r="Y40566" s="372">
        <v>0.0</v>
      </c>
      <c r="Z40566" s="372">
        <v>0.0</v>
      </c>
    </row>
    <row r="40567">
      <c r="Y40567" s="372">
        <v>0.0</v>
      </c>
      <c r="Z40567" s="372">
        <v>0.0</v>
      </c>
    </row>
    <row r="40568">
      <c r="Y40568" s="372">
        <v>0.0</v>
      </c>
      <c r="Z40568" s="372">
        <v>0.0</v>
      </c>
    </row>
    <row r="40569">
      <c r="Y40569" s="372">
        <v>0.0</v>
      </c>
      <c r="Z40569" s="372">
        <v>0.0</v>
      </c>
    </row>
    <row r="40570">
      <c r="Y40570" s="372">
        <v>0.0</v>
      </c>
      <c r="Z40570" s="372">
        <v>0.0</v>
      </c>
    </row>
    <row r="40571">
      <c r="Y40571" s="372">
        <v>0.0</v>
      </c>
      <c r="Z40571" s="372">
        <v>0.0</v>
      </c>
    </row>
    <row r="40572">
      <c r="Y40572" s="372">
        <v>0.0</v>
      </c>
      <c r="Z40572" s="372">
        <v>0.0</v>
      </c>
    </row>
    <row r="40573">
      <c r="Y40573" s="372">
        <v>0.0</v>
      </c>
      <c r="Z40573" s="372">
        <v>0.0</v>
      </c>
    </row>
    <row r="40574">
      <c r="Y40574" s="372">
        <v>0.0</v>
      </c>
      <c r="Z40574" s="372">
        <v>0.0</v>
      </c>
    </row>
    <row r="40575">
      <c r="Y40575" s="372">
        <v>0.0</v>
      </c>
      <c r="Z40575" s="372">
        <v>0.0</v>
      </c>
    </row>
    <row r="40576">
      <c r="Y40576" s="372">
        <v>0.0</v>
      </c>
      <c r="Z40576" s="372">
        <v>0.0</v>
      </c>
    </row>
    <row r="40577">
      <c r="Y40577" s="372">
        <v>0.0</v>
      </c>
      <c r="Z40577" s="372">
        <v>0.0</v>
      </c>
    </row>
    <row r="40578">
      <c r="Y40578" s="372">
        <v>0.0</v>
      </c>
      <c r="Z40578" s="372">
        <v>0.0</v>
      </c>
    </row>
    <row r="40579">
      <c r="Y40579" s="372">
        <v>0.0</v>
      </c>
      <c r="Z40579" s="372">
        <v>0.0</v>
      </c>
    </row>
    <row r="40580">
      <c r="Y40580" s="372">
        <v>0.0</v>
      </c>
      <c r="Z40580" s="372">
        <v>0.0</v>
      </c>
    </row>
    <row r="40581">
      <c r="Y40581" s="372">
        <v>0.0</v>
      </c>
      <c r="Z40581" s="372">
        <v>0.0</v>
      </c>
    </row>
    <row r="40582">
      <c r="Y40582" s="372">
        <v>0.0</v>
      </c>
      <c r="Z40582" s="372">
        <v>0.0</v>
      </c>
    </row>
    <row r="40583">
      <c r="Y40583" s="372">
        <v>0.0</v>
      </c>
      <c r="Z40583" s="372">
        <v>0.0</v>
      </c>
    </row>
    <row r="40584">
      <c r="Y40584" s="372">
        <v>0.0</v>
      </c>
      <c r="Z40584" s="372">
        <v>0.0</v>
      </c>
    </row>
    <row r="40585">
      <c r="Y40585" s="372">
        <v>0.0</v>
      </c>
      <c r="Z40585" s="372">
        <v>0.0</v>
      </c>
    </row>
    <row r="40586">
      <c r="Y40586" s="372">
        <v>0.0</v>
      </c>
      <c r="Z40586" s="372">
        <v>0.0</v>
      </c>
    </row>
    <row r="40587">
      <c r="Y40587" s="372">
        <v>0.0</v>
      </c>
      <c r="Z40587" s="372">
        <v>0.0</v>
      </c>
    </row>
    <row r="40588">
      <c r="Y40588" s="372">
        <v>0.0</v>
      </c>
      <c r="Z40588" s="372">
        <v>0.0</v>
      </c>
    </row>
    <row r="40589">
      <c r="Y40589" s="372">
        <v>0.0</v>
      </c>
      <c r="Z40589" s="372">
        <v>0.0</v>
      </c>
    </row>
    <row r="40590">
      <c r="Y40590" s="372">
        <v>0.0</v>
      </c>
      <c r="Z40590" s="372">
        <v>0.0</v>
      </c>
    </row>
    <row r="40591">
      <c r="Y40591" s="372">
        <v>0.0</v>
      </c>
      <c r="Z40591" s="372">
        <v>0.0</v>
      </c>
    </row>
    <row r="40592">
      <c r="Y40592" s="372">
        <v>0.0</v>
      </c>
      <c r="Z40592" s="372">
        <v>0.0</v>
      </c>
    </row>
    <row r="40593">
      <c r="Y40593" s="372">
        <v>0.0</v>
      </c>
      <c r="Z40593" s="372">
        <v>0.0</v>
      </c>
    </row>
    <row r="40594">
      <c r="Y40594" s="372">
        <v>0.0</v>
      </c>
      <c r="Z40594" s="372">
        <v>0.0</v>
      </c>
    </row>
    <row r="40595">
      <c r="Y40595" s="372">
        <v>0.0</v>
      </c>
      <c r="Z40595" s="372">
        <v>0.0</v>
      </c>
    </row>
    <row r="40596">
      <c r="Y40596" s="372">
        <v>0.0</v>
      </c>
      <c r="Z40596" s="372">
        <v>0.0</v>
      </c>
    </row>
    <row r="40597">
      <c r="Y40597" s="372">
        <v>0.0</v>
      </c>
      <c r="Z40597" s="372">
        <v>0.0</v>
      </c>
    </row>
    <row r="40598">
      <c r="Y40598" s="372">
        <v>0.0</v>
      </c>
      <c r="Z40598" s="372">
        <v>0.0</v>
      </c>
    </row>
    <row r="40599">
      <c r="Y40599" s="372">
        <v>0.0</v>
      </c>
      <c r="Z40599" s="372">
        <v>0.0</v>
      </c>
    </row>
    <row r="40600">
      <c r="Y40600" s="372">
        <v>0.0</v>
      </c>
      <c r="Z40600" s="372">
        <v>0.0</v>
      </c>
    </row>
    <row r="40601">
      <c r="Y40601" s="372">
        <v>0.0</v>
      </c>
      <c r="Z40601" s="372">
        <v>0.0</v>
      </c>
    </row>
    <row r="40602">
      <c r="Y40602" s="372">
        <v>0.0</v>
      </c>
      <c r="Z40602" s="372">
        <v>0.0</v>
      </c>
    </row>
    <row r="40603">
      <c r="Y40603" s="372">
        <v>0.0</v>
      </c>
      <c r="Z40603" s="372">
        <v>0.0</v>
      </c>
    </row>
    <row r="40604">
      <c r="Y40604" s="372">
        <v>0.0</v>
      </c>
      <c r="Z40604" s="372">
        <v>0.0</v>
      </c>
    </row>
    <row r="40605">
      <c r="Y40605" s="372">
        <v>0.0</v>
      </c>
      <c r="Z40605" s="372">
        <v>0.0</v>
      </c>
    </row>
    <row r="40606">
      <c r="Y40606" s="372">
        <v>0.0</v>
      </c>
      <c r="Z40606" s="372">
        <v>0.0</v>
      </c>
    </row>
    <row r="40607">
      <c r="Y40607" s="372">
        <v>0.0</v>
      </c>
      <c r="Z40607" s="372">
        <v>0.0</v>
      </c>
    </row>
    <row r="40608">
      <c r="Y40608" s="372">
        <v>0.0</v>
      </c>
      <c r="Z40608" s="372">
        <v>0.0</v>
      </c>
    </row>
    <row r="40609">
      <c r="Y40609" s="372">
        <v>0.0</v>
      </c>
      <c r="Z40609" s="372">
        <v>0.0</v>
      </c>
    </row>
    <row r="40610">
      <c r="Y40610" s="372">
        <v>0.0</v>
      </c>
      <c r="Z40610" s="372">
        <v>0.0</v>
      </c>
    </row>
    <row r="40611">
      <c r="Y40611" s="372">
        <v>0.0</v>
      </c>
      <c r="Z40611" s="372">
        <v>0.0</v>
      </c>
    </row>
    <row r="40612">
      <c r="Y40612" s="372">
        <v>0.0</v>
      </c>
      <c r="Z40612" s="372">
        <v>0.0</v>
      </c>
    </row>
    <row r="40613">
      <c r="Y40613" s="372">
        <v>0.0</v>
      </c>
      <c r="Z40613" s="372">
        <v>0.0</v>
      </c>
    </row>
    <row r="40614">
      <c r="Y40614" s="372">
        <v>0.0</v>
      </c>
      <c r="Z40614" s="372">
        <v>0.0</v>
      </c>
    </row>
    <row r="40615">
      <c r="Y40615" s="372">
        <v>0.0</v>
      </c>
      <c r="Z40615" s="372">
        <v>0.0</v>
      </c>
    </row>
    <row r="40616">
      <c r="Y40616" s="372">
        <v>0.0</v>
      </c>
      <c r="Z40616" s="372">
        <v>0.0</v>
      </c>
    </row>
    <row r="40617">
      <c r="Y40617" s="372">
        <v>0.0</v>
      </c>
      <c r="Z40617" s="372">
        <v>0.0</v>
      </c>
    </row>
    <row r="40618">
      <c r="Y40618" s="372">
        <v>0.0</v>
      </c>
      <c r="Z40618" s="372">
        <v>0.0</v>
      </c>
    </row>
    <row r="40619">
      <c r="Y40619" s="372">
        <v>0.0</v>
      </c>
      <c r="Z40619" s="372">
        <v>0.0</v>
      </c>
    </row>
    <row r="40620">
      <c r="Y40620" s="372">
        <v>0.0</v>
      </c>
      <c r="Z40620" s="372">
        <v>0.0</v>
      </c>
    </row>
    <row r="40621">
      <c r="Y40621" s="372">
        <v>0.0</v>
      </c>
      <c r="Z40621" s="372">
        <v>0.0</v>
      </c>
    </row>
    <row r="40622">
      <c r="Y40622" s="372">
        <v>0.0</v>
      </c>
      <c r="Z40622" s="372">
        <v>0.0</v>
      </c>
    </row>
    <row r="40623">
      <c r="Y40623" s="372">
        <v>0.0</v>
      </c>
      <c r="Z40623" s="372">
        <v>0.0</v>
      </c>
    </row>
    <row r="40624">
      <c r="Y40624" s="372">
        <v>0.0</v>
      </c>
      <c r="Z40624" s="372">
        <v>0.0</v>
      </c>
    </row>
    <row r="40625">
      <c r="Y40625" s="372">
        <v>0.0</v>
      </c>
      <c r="Z40625" s="372">
        <v>0.0</v>
      </c>
    </row>
    <row r="40626">
      <c r="Y40626" s="372">
        <v>0.0</v>
      </c>
      <c r="Z40626" s="372">
        <v>0.0</v>
      </c>
    </row>
    <row r="40627">
      <c r="Y40627" s="372">
        <v>0.0</v>
      </c>
      <c r="Z40627" s="372">
        <v>0.0</v>
      </c>
    </row>
    <row r="40628">
      <c r="Y40628" s="372">
        <v>0.0</v>
      </c>
      <c r="Z40628" s="372">
        <v>0.0</v>
      </c>
    </row>
    <row r="40629">
      <c r="Y40629" s="372">
        <v>0.0</v>
      </c>
      <c r="Z40629" s="372">
        <v>0.0</v>
      </c>
    </row>
    <row r="40630">
      <c r="Y40630" s="372">
        <v>0.0</v>
      </c>
      <c r="Z40630" s="372">
        <v>0.0</v>
      </c>
    </row>
    <row r="40631">
      <c r="Y40631" s="372">
        <v>0.0</v>
      </c>
      <c r="Z40631" s="372">
        <v>0.0</v>
      </c>
    </row>
    <row r="40632">
      <c r="Y40632" s="372">
        <v>0.0</v>
      </c>
      <c r="Z40632" s="372">
        <v>0.0</v>
      </c>
    </row>
    <row r="40633">
      <c r="Y40633" s="372">
        <v>0.0</v>
      </c>
      <c r="Z40633" s="372">
        <v>0.0</v>
      </c>
    </row>
    <row r="40634">
      <c r="Y40634" s="372">
        <v>0.0</v>
      </c>
      <c r="Z40634" s="372">
        <v>0.0</v>
      </c>
    </row>
    <row r="40635">
      <c r="Y40635" s="372">
        <v>0.0</v>
      </c>
      <c r="Z40635" s="372">
        <v>0.0</v>
      </c>
    </row>
    <row r="40636">
      <c r="Y40636" s="372">
        <v>0.0</v>
      </c>
      <c r="Z40636" s="372">
        <v>0.0</v>
      </c>
    </row>
    <row r="40637">
      <c r="Y40637" s="372">
        <v>0.0</v>
      </c>
      <c r="Z40637" s="372">
        <v>0.0</v>
      </c>
    </row>
    <row r="40638">
      <c r="Y40638" s="372">
        <v>0.0</v>
      </c>
      <c r="Z40638" s="372">
        <v>0.0</v>
      </c>
    </row>
    <row r="40639">
      <c r="Y40639" s="372">
        <v>0.0</v>
      </c>
      <c r="Z40639" s="372">
        <v>0.0</v>
      </c>
    </row>
    <row r="40640">
      <c r="Y40640" s="372">
        <v>0.0</v>
      </c>
      <c r="Z40640" s="372">
        <v>0.0</v>
      </c>
    </row>
    <row r="40641">
      <c r="Y40641" s="372">
        <v>0.0</v>
      </c>
      <c r="Z40641" s="372">
        <v>0.0</v>
      </c>
    </row>
    <row r="40642">
      <c r="Y40642" s="372">
        <v>0.0</v>
      </c>
      <c r="Z40642" s="372">
        <v>0.0</v>
      </c>
    </row>
    <row r="40643">
      <c r="Y40643" s="372">
        <v>0.0</v>
      </c>
      <c r="Z40643" s="372">
        <v>0.0</v>
      </c>
    </row>
    <row r="40644">
      <c r="Y40644" s="372">
        <v>0.0</v>
      </c>
      <c r="Z40644" s="372">
        <v>0.0</v>
      </c>
    </row>
    <row r="40645">
      <c r="Y40645" s="372">
        <v>0.0</v>
      </c>
      <c r="Z40645" s="372">
        <v>0.0</v>
      </c>
    </row>
    <row r="40646">
      <c r="Y40646" s="372">
        <v>0.0</v>
      </c>
      <c r="Z40646" s="372">
        <v>0.0</v>
      </c>
    </row>
    <row r="40647">
      <c r="Y40647" s="372">
        <v>0.0</v>
      </c>
      <c r="Z40647" s="372">
        <v>0.0</v>
      </c>
    </row>
    <row r="40648">
      <c r="Y40648" s="372">
        <v>0.0</v>
      </c>
      <c r="Z40648" s="372">
        <v>0.0</v>
      </c>
    </row>
    <row r="40649">
      <c r="Y40649" s="372">
        <v>0.0</v>
      </c>
      <c r="Z40649" s="372">
        <v>0.0</v>
      </c>
    </row>
    <row r="40650">
      <c r="Y40650" s="372">
        <v>0.0</v>
      </c>
      <c r="Z40650" s="372">
        <v>0.0</v>
      </c>
    </row>
    <row r="40651">
      <c r="Y40651" s="372">
        <v>0.0</v>
      </c>
      <c r="Z40651" s="372">
        <v>0.0</v>
      </c>
    </row>
    <row r="40652">
      <c r="Y40652" s="372">
        <v>0.0</v>
      </c>
      <c r="Z40652" s="372">
        <v>0.0</v>
      </c>
    </row>
    <row r="40653">
      <c r="Y40653" s="372">
        <v>0.0</v>
      </c>
      <c r="Z40653" s="372">
        <v>0.0</v>
      </c>
    </row>
    <row r="40654">
      <c r="Y40654" s="372">
        <v>0.0</v>
      </c>
      <c r="Z40654" s="372">
        <v>0.0</v>
      </c>
    </row>
    <row r="40655">
      <c r="Y40655" s="372">
        <v>0.0</v>
      </c>
      <c r="Z40655" s="372">
        <v>0.0</v>
      </c>
    </row>
    <row r="40656">
      <c r="Y40656" s="372">
        <v>0.0</v>
      </c>
      <c r="Z40656" s="372">
        <v>0.0</v>
      </c>
    </row>
    <row r="40657">
      <c r="Y40657" s="372">
        <v>0.0</v>
      </c>
      <c r="Z40657" s="372">
        <v>0.0</v>
      </c>
    </row>
    <row r="40658">
      <c r="Y40658" s="372">
        <v>0.0</v>
      </c>
      <c r="Z40658" s="372">
        <v>0.0</v>
      </c>
    </row>
    <row r="40659">
      <c r="Y40659" s="372">
        <v>0.0</v>
      </c>
      <c r="Z40659" s="372">
        <v>0.0</v>
      </c>
    </row>
    <row r="40660">
      <c r="Y40660" s="372">
        <v>0.0</v>
      </c>
      <c r="Z40660" s="372">
        <v>0.0</v>
      </c>
    </row>
    <row r="40661">
      <c r="Y40661" s="372">
        <v>0.0</v>
      </c>
      <c r="Z40661" s="372">
        <v>0.0</v>
      </c>
    </row>
    <row r="40662">
      <c r="Y40662" s="372">
        <v>0.0</v>
      </c>
      <c r="Z40662" s="372">
        <v>0.0</v>
      </c>
    </row>
    <row r="40663">
      <c r="Y40663" s="372">
        <v>0.0</v>
      </c>
      <c r="Z40663" s="372">
        <v>0.0</v>
      </c>
    </row>
    <row r="40664">
      <c r="Y40664" s="372">
        <v>0.0</v>
      </c>
      <c r="Z40664" s="372">
        <v>0.0</v>
      </c>
    </row>
    <row r="40665">
      <c r="Y40665" s="372">
        <v>0.0</v>
      </c>
      <c r="Z40665" s="372">
        <v>0.0</v>
      </c>
    </row>
    <row r="40666">
      <c r="Y40666" s="372">
        <v>0.0</v>
      </c>
      <c r="Z40666" s="372">
        <v>0.0</v>
      </c>
    </row>
    <row r="40667">
      <c r="Y40667" s="372">
        <v>0.0</v>
      </c>
      <c r="Z40667" s="372">
        <v>0.0</v>
      </c>
    </row>
    <row r="40668">
      <c r="Y40668" s="372">
        <v>0.0</v>
      </c>
      <c r="Z40668" s="372">
        <v>0.0</v>
      </c>
    </row>
    <row r="40669">
      <c r="Y40669" s="372">
        <v>0.0</v>
      </c>
      <c r="Z40669" s="372">
        <v>0.0</v>
      </c>
    </row>
    <row r="40670">
      <c r="Y40670" s="372">
        <v>0.0</v>
      </c>
      <c r="Z40670" s="372">
        <v>0.0</v>
      </c>
    </row>
    <row r="40671">
      <c r="Y40671" s="372">
        <v>0.0</v>
      </c>
      <c r="Z40671" s="372">
        <v>0.0</v>
      </c>
    </row>
    <row r="40672">
      <c r="Y40672" s="372">
        <v>0.0</v>
      </c>
      <c r="Z40672" s="372">
        <v>0.0</v>
      </c>
    </row>
    <row r="40673">
      <c r="Y40673" s="372">
        <v>0.0</v>
      </c>
      <c r="Z40673" s="372">
        <v>0.0</v>
      </c>
    </row>
    <row r="40674">
      <c r="Y40674" s="372">
        <v>0.0</v>
      </c>
      <c r="Z40674" s="372">
        <v>0.0</v>
      </c>
    </row>
    <row r="40675">
      <c r="Y40675" s="372">
        <v>0.0</v>
      </c>
      <c r="Z40675" s="372">
        <v>0.0</v>
      </c>
    </row>
    <row r="40676">
      <c r="Y40676" s="372">
        <v>0.0</v>
      </c>
      <c r="Z40676" s="372">
        <v>0.0</v>
      </c>
    </row>
    <row r="40677">
      <c r="Y40677" s="372">
        <v>0.0</v>
      </c>
      <c r="Z40677" s="372">
        <v>0.0</v>
      </c>
    </row>
    <row r="40678">
      <c r="Y40678" s="372">
        <v>0.0</v>
      </c>
      <c r="Z40678" s="372">
        <v>0.0</v>
      </c>
    </row>
    <row r="40679">
      <c r="Y40679" s="372">
        <v>0.0</v>
      </c>
      <c r="Z40679" s="372">
        <v>0.0</v>
      </c>
    </row>
    <row r="40680">
      <c r="Y40680" s="372">
        <v>0.0</v>
      </c>
      <c r="Z40680" s="372">
        <v>0.0</v>
      </c>
    </row>
    <row r="40681">
      <c r="Y40681" s="372">
        <v>0.0</v>
      </c>
      <c r="Z40681" s="372">
        <v>0.0</v>
      </c>
    </row>
    <row r="40682">
      <c r="Y40682" s="372">
        <v>0.0</v>
      </c>
      <c r="Z40682" s="372">
        <v>0.0</v>
      </c>
    </row>
    <row r="40683">
      <c r="Y40683" s="372">
        <v>0.0</v>
      </c>
      <c r="Z40683" s="372">
        <v>0.0</v>
      </c>
    </row>
    <row r="40684">
      <c r="Y40684" s="372">
        <v>0.0</v>
      </c>
      <c r="Z40684" s="372">
        <v>0.0</v>
      </c>
    </row>
    <row r="40685">
      <c r="Y40685" s="372">
        <v>0.0</v>
      </c>
      <c r="Z40685" s="372">
        <v>0.0</v>
      </c>
    </row>
    <row r="40686">
      <c r="Y40686" s="372">
        <v>0.0</v>
      </c>
      <c r="Z40686" s="372">
        <v>0.0</v>
      </c>
    </row>
    <row r="40687">
      <c r="Y40687" s="372">
        <v>0.0</v>
      </c>
      <c r="Z40687" s="372">
        <v>0.0</v>
      </c>
    </row>
    <row r="40688">
      <c r="Y40688" s="372">
        <v>0.0</v>
      </c>
      <c r="Z40688" s="372">
        <v>0.0</v>
      </c>
    </row>
    <row r="40689">
      <c r="Y40689" s="372">
        <v>0.0</v>
      </c>
      <c r="Z40689" s="372">
        <v>0.0</v>
      </c>
    </row>
    <row r="40690">
      <c r="Y40690" s="372">
        <v>0.0</v>
      </c>
      <c r="Z40690" s="372">
        <v>0.0</v>
      </c>
    </row>
    <row r="40691">
      <c r="Y40691" s="372">
        <v>0.0</v>
      </c>
      <c r="Z40691" s="372">
        <v>0.0</v>
      </c>
    </row>
    <row r="40692">
      <c r="Y40692" s="372">
        <v>0.0</v>
      </c>
      <c r="Z40692" s="372">
        <v>0.0</v>
      </c>
    </row>
    <row r="40693">
      <c r="Y40693" s="372">
        <v>0.0</v>
      </c>
      <c r="Z40693" s="372">
        <v>0.0</v>
      </c>
    </row>
    <row r="40694">
      <c r="Y40694" s="372">
        <v>0.0</v>
      </c>
      <c r="Z40694" s="372">
        <v>0.0</v>
      </c>
    </row>
    <row r="40695">
      <c r="Y40695" s="372">
        <v>0.0</v>
      </c>
      <c r="Z40695" s="372">
        <v>0.0</v>
      </c>
    </row>
    <row r="40696">
      <c r="Y40696" s="372">
        <v>0.0</v>
      </c>
      <c r="Z40696" s="372">
        <v>0.0</v>
      </c>
    </row>
    <row r="40697">
      <c r="Y40697" s="372">
        <v>0.0</v>
      </c>
      <c r="Z40697" s="372">
        <v>0.0</v>
      </c>
    </row>
    <row r="40698">
      <c r="Y40698" s="372">
        <v>0.0</v>
      </c>
      <c r="Z40698" s="372">
        <v>0.0</v>
      </c>
    </row>
    <row r="40699">
      <c r="Y40699" s="372">
        <v>0.0</v>
      </c>
      <c r="Z40699" s="372">
        <v>0.0</v>
      </c>
    </row>
    <row r="40700">
      <c r="Y40700" s="372">
        <v>0.0</v>
      </c>
      <c r="Z40700" s="372">
        <v>0.0</v>
      </c>
    </row>
    <row r="40701">
      <c r="Y40701" s="372">
        <v>0.0</v>
      </c>
      <c r="Z40701" s="372">
        <v>0.0</v>
      </c>
    </row>
    <row r="40702">
      <c r="Y40702" s="372">
        <v>0.0</v>
      </c>
      <c r="Z40702" s="372">
        <v>0.0</v>
      </c>
    </row>
    <row r="40703">
      <c r="Y40703" s="372">
        <v>0.0</v>
      </c>
      <c r="Z40703" s="372">
        <v>0.0</v>
      </c>
    </row>
    <row r="40704">
      <c r="Y40704" s="372">
        <v>0.0</v>
      </c>
      <c r="Z40704" s="372">
        <v>0.0</v>
      </c>
    </row>
    <row r="40705">
      <c r="Y40705" s="372">
        <v>0.0</v>
      </c>
      <c r="Z40705" s="372">
        <v>0.0</v>
      </c>
    </row>
    <row r="40706">
      <c r="Y40706" s="372">
        <v>0.0</v>
      </c>
      <c r="Z40706" s="372">
        <v>0.0</v>
      </c>
    </row>
    <row r="40707">
      <c r="Y40707" s="372">
        <v>0.0</v>
      </c>
      <c r="Z40707" s="372">
        <v>0.0</v>
      </c>
    </row>
    <row r="40708">
      <c r="Y40708" s="372">
        <v>0.0</v>
      </c>
      <c r="Z40708" s="372">
        <v>0.0</v>
      </c>
    </row>
    <row r="40709">
      <c r="Y40709" s="372">
        <v>0.0</v>
      </c>
      <c r="Z40709" s="372">
        <v>0.0</v>
      </c>
    </row>
    <row r="40710">
      <c r="Y40710" s="372">
        <v>0.0</v>
      </c>
      <c r="Z40710" s="372">
        <v>0.0</v>
      </c>
    </row>
    <row r="40711">
      <c r="Y40711" s="372">
        <v>0.0</v>
      </c>
      <c r="Z40711" s="372">
        <v>0.0</v>
      </c>
    </row>
    <row r="40712">
      <c r="Y40712" s="372">
        <v>0.0</v>
      </c>
      <c r="Z40712" s="372">
        <v>0.0</v>
      </c>
    </row>
    <row r="40713">
      <c r="Y40713" s="372">
        <v>0.0</v>
      </c>
      <c r="Z40713" s="372">
        <v>0.0</v>
      </c>
    </row>
    <row r="40714">
      <c r="Y40714" s="372">
        <v>0.0</v>
      </c>
      <c r="Z40714" s="372">
        <v>0.0</v>
      </c>
    </row>
    <row r="40715">
      <c r="Y40715" s="372">
        <v>0.0</v>
      </c>
      <c r="Z40715" s="372">
        <v>0.0</v>
      </c>
    </row>
    <row r="40716">
      <c r="Y40716" s="372">
        <v>0.0</v>
      </c>
      <c r="Z40716" s="372">
        <v>0.0</v>
      </c>
    </row>
    <row r="40717">
      <c r="Y40717" s="372">
        <v>0.0</v>
      </c>
      <c r="Z40717" s="372">
        <v>0.0</v>
      </c>
    </row>
    <row r="40718">
      <c r="Y40718" s="372">
        <v>0.0</v>
      </c>
      <c r="Z40718" s="372">
        <v>0.0</v>
      </c>
    </row>
    <row r="40719">
      <c r="Y40719" s="372">
        <v>0.0</v>
      </c>
      <c r="Z40719" s="372">
        <v>0.0</v>
      </c>
    </row>
    <row r="40720">
      <c r="Y40720" s="372">
        <v>0.0</v>
      </c>
      <c r="Z40720" s="372">
        <v>0.0</v>
      </c>
    </row>
    <row r="40721">
      <c r="Y40721" s="372">
        <v>0.0</v>
      </c>
      <c r="Z40721" s="372">
        <v>0.0</v>
      </c>
    </row>
    <row r="40722">
      <c r="Y40722" s="372">
        <v>0.0</v>
      </c>
      <c r="Z40722" s="372">
        <v>0.0</v>
      </c>
    </row>
    <row r="40723">
      <c r="Y40723" s="372">
        <v>0.0</v>
      </c>
      <c r="Z40723" s="372">
        <v>0.0</v>
      </c>
    </row>
    <row r="40724">
      <c r="Y40724" s="372">
        <v>0.0</v>
      </c>
      <c r="Z40724" s="372">
        <v>0.0</v>
      </c>
    </row>
    <row r="40725">
      <c r="Y40725" s="372">
        <v>0.0</v>
      </c>
      <c r="Z40725" s="372">
        <v>0.0</v>
      </c>
    </row>
    <row r="40726">
      <c r="Y40726" s="372">
        <v>0.0</v>
      </c>
      <c r="Z40726" s="372">
        <v>0.0</v>
      </c>
    </row>
    <row r="40727">
      <c r="Y40727" s="372">
        <v>0.0</v>
      </c>
      <c r="Z40727" s="372">
        <v>0.0</v>
      </c>
    </row>
    <row r="40728">
      <c r="Y40728" s="372">
        <v>0.0</v>
      </c>
      <c r="Z40728" s="372">
        <v>0.0</v>
      </c>
    </row>
    <row r="40729">
      <c r="Y40729" s="372">
        <v>0.0</v>
      </c>
      <c r="Z40729" s="372">
        <v>0.0</v>
      </c>
    </row>
    <row r="40730">
      <c r="Y40730" s="372">
        <v>0.0</v>
      </c>
      <c r="Z40730" s="372">
        <v>0.0</v>
      </c>
    </row>
    <row r="40731">
      <c r="Y40731" s="372">
        <v>0.0</v>
      </c>
      <c r="Z40731" s="372">
        <v>0.0</v>
      </c>
    </row>
    <row r="40732">
      <c r="Y40732" s="372">
        <v>0.0</v>
      </c>
      <c r="Z40732" s="372">
        <v>0.0</v>
      </c>
    </row>
    <row r="40733">
      <c r="Y40733" s="372">
        <v>0.0</v>
      </c>
      <c r="Z40733" s="372">
        <v>0.0</v>
      </c>
    </row>
    <row r="40734">
      <c r="Y40734" s="372">
        <v>0.0</v>
      </c>
      <c r="Z40734" s="372">
        <v>0.0</v>
      </c>
    </row>
    <row r="40735">
      <c r="Y40735" s="372">
        <v>0.0</v>
      </c>
      <c r="Z40735" s="372">
        <v>0.0</v>
      </c>
    </row>
    <row r="40736">
      <c r="Y40736" s="372">
        <v>0.0</v>
      </c>
      <c r="Z40736" s="372">
        <v>0.0</v>
      </c>
    </row>
    <row r="40737">
      <c r="Y40737" s="372">
        <v>0.0</v>
      </c>
      <c r="Z40737" s="372">
        <v>0.0</v>
      </c>
    </row>
    <row r="40738">
      <c r="Y40738" s="372">
        <v>0.0</v>
      </c>
      <c r="Z40738" s="372">
        <v>0.0</v>
      </c>
    </row>
    <row r="40739">
      <c r="Y40739" s="372">
        <v>0.0</v>
      </c>
      <c r="Z40739" s="372">
        <v>0.0</v>
      </c>
    </row>
    <row r="40740">
      <c r="Y40740" s="372">
        <v>0.0</v>
      </c>
      <c r="Z40740" s="372">
        <v>0.0</v>
      </c>
    </row>
    <row r="40741">
      <c r="Y40741" s="372">
        <v>0.0</v>
      </c>
      <c r="Z40741" s="372">
        <v>0.0</v>
      </c>
    </row>
    <row r="40742">
      <c r="Y40742" s="372">
        <v>0.0</v>
      </c>
      <c r="Z40742" s="372">
        <v>0.0</v>
      </c>
    </row>
    <row r="40743">
      <c r="Y40743" s="372">
        <v>0.0</v>
      </c>
      <c r="Z40743" s="372">
        <v>0.0</v>
      </c>
    </row>
    <row r="40744">
      <c r="Y40744" s="372">
        <v>0.0</v>
      </c>
      <c r="Z40744" s="372">
        <v>0.0</v>
      </c>
    </row>
    <row r="40745">
      <c r="Y40745" s="372">
        <v>0.0</v>
      </c>
      <c r="Z40745" s="372">
        <v>0.0</v>
      </c>
    </row>
    <row r="40746">
      <c r="Y40746" s="372">
        <v>0.0</v>
      </c>
      <c r="Z40746" s="372">
        <v>0.0</v>
      </c>
    </row>
    <row r="40747">
      <c r="Y40747" s="372">
        <v>0.0</v>
      </c>
      <c r="Z40747" s="372">
        <v>0.0</v>
      </c>
    </row>
    <row r="40748">
      <c r="Y40748" s="372">
        <v>0.0</v>
      </c>
      <c r="Z40748" s="372">
        <v>0.0</v>
      </c>
    </row>
    <row r="40749">
      <c r="Y40749" s="372">
        <v>0.0</v>
      </c>
      <c r="Z40749" s="372">
        <v>0.0</v>
      </c>
    </row>
    <row r="40750">
      <c r="Y40750" s="372">
        <v>0.0</v>
      </c>
      <c r="Z40750" s="372">
        <v>0.0</v>
      </c>
    </row>
    <row r="40751">
      <c r="Y40751" s="372">
        <v>0.0</v>
      </c>
      <c r="Z40751" s="372">
        <v>0.0</v>
      </c>
    </row>
    <row r="40752">
      <c r="Y40752" s="372">
        <v>0.0</v>
      </c>
      <c r="Z40752" s="372">
        <v>0.0</v>
      </c>
    </row>
    <row r="40753">
      <c r="Y40753" s="372">
        <v>0.0</v>
      </c>
      <c r="Z40753" s="372">
        <v>0.0</v>
      </c>
    </row>
    <row r="40754">
      <c r="Y40754" s="372">
        <v>0.0</v>
      </c>
      <c r="Z40754" s="372">
        <v>0.0</v>
      </c>
    </row>
    <row r="40755">
      <c r="Y40755" s="372">
        <v>0.0</v>
      </c>
      <c r="Z40755" s="372">
        <v>0.0</v>
      </c>
    </row>
    <row r="40756">
      <c r="Y40756" s="372">
        <v>0.0</v>
      </c>
      <c r="Z40756" s="372">
        <v>0.0</v>
      </c>
    </row>
    <row r="40757">
      <c r="Y40757" s="372">
        <v>0.0</v>
      </c>
      <c r="Z40757" s="372">
        <v>0.0</v>
      </c>
    </row>
    <row r="40758">
      <c r="Y40758" s="372">
        <v>0.0</v>
      </c>
      <c r="Z40758" s="372">
        <v>0.0</v>
      </c>
    </row>
    <row r="40759">
      <c r="Y40759" s="372">
        <v>0.0</v>
      </c>
      <c r="Z40759" s="372">
        <v>0.0</v>
      </c>
    </row>
    <row r="40760">
      <c r="Y40760" s="372">
        <v>0.0</v>
      </c>
      <c r="Z40760" s="372">
        <v>0.0</v>
      </c>
    </row>
    <row r="40761">
      <c r="Y40761" s="372">
        <v>0.0</v>
      </c>
      <c r="Z40761" s="372">
        <v>0.0</v>
      </c>
    </row>
    <row r="40762">
      <c r="Y40762" s="372">
        <v>0.0</v>
      </c>
      <c r="Z40762" s="372">
        <v>0.0</v>
      </c>
    </row>
    <row r="40763">
      <c r="Y40763" s="372">
        <v>0.0</v>
      </c>
      <c r="Z40763" s="372">
        <v>0.0</v>
      </c>
    </row>
    <row r="40764">
      <c r="Y40764" s="372">
        <v>0.0</v>
      </c>
      <c r="Z40764" s="372">
        <v>0.0</v>
      </c>
    </row>
    <row r="40765">
      <c r="Y40765" s="372">
        <v>0.0</v>
      </c>
      <c r="Z40765" s="372">
        <v>0.0</v>
      </c>
    </row>
    <row r="40766">
      <c r="Y40766" s="372">
        <v>0.0</v>
      </c>
      <c r="Z40766" s="372">
        <v>0.0</v>
      </c>
    </row>
    <row r="40767">
      <c r="Y40767" s="372">
        <v>0.0</v>
      </c>
      <c r="Z40767" s="372">
        <v>0.0</v>
      </c>
    </row>
    <row r="40768">
      <c r="Y40768" s="372">
        <v>0.0</v>
      </c>
      <c r="Z40768" s="372">
        <v>0.0</v>
      </c>
    </row>
    <row r="40769">
      <c r="Y40769" s="372">
        <v>0.0</v>
      </c>
      <c r="Z40769" s="372">
        <v>0.0</v>
      </c>
    </row>
    <row r="40770">
      <c r="Y40770" s="372">
        <v>0.0</v>
      </c>
      <c r="Z40770" s="372">
        <v>0.0</v>
      </c>
    </row>
    <row r="40771">
      <c r="Y40771" s="372">
        <v>0.0</v>
      </c>
      <c r="Z40771" s="372">
        <v>0.0</v>
      </c>
    </row>
    <row r="40772">
      <c r="Y40772" s="372">
        <v>0.0</v>
      </c>
      <c r="Z40772" s="372">
        <v>0.0</v>
      </c>
    </row>
    <row r="40773">
      <c r="Y40773" s="372">
        <v>0.0</v>
      </c>
      <c r="Z40773" s="372">
        <v>0.0</v>
      </c>
    </row>
    <row r="40774">
      <c r="Y40774" s="372">
        <v>0.0</v>
      </c>
      <c r="Z40774" s="372">
        <v>0.0</v>
      </c>
    </row>
    <row r="40775">
      <c r="Y40775" s="372">
        <v>0.0</v>
      </c>
      <c r="Z40775" s="372">
        <v>0.0</v>
      </c>
    </row>
    <row r="40776">
      <c r="Y40776" s="372">
        <v>0.0</v>
      </c>
      <c r="Z40776" s="372">
        <v>0.0</v>
      </c>
    </row>
    <row r="40777">
      <c r="Y40777" s="372">
        <v>0.0</v>
      </c>
      <c r="Z40777" s="372">
        <v>0.0</v>
      </c>
    </row>
    <row r="40778">
      <c r="Y40778" s="372">
        <v>0.0</v>
      </c>
      <c r="Z40778" s="372">
        <v>0.0</v>
      </c>
    </row>
    <row r="40779">
      <c r="Y40779" s="372">
        <v>0.0</v>
      </c>
      <c r="Z40779" s="372">
        <v>0.0</v>
      </c>
    </row>
    <row r="40780">
      <c r="Y40780" s="372">
        <v>0.0</v>
      </c>
      <c r="Z40780" s="372">
        <v>0.0</v>
      </c>
    </row>
    <row r="40781">
      <c r="Y40781" s="372">
        <v>0.0</v>
      </c>
      <c r="Z40781" s="372">
        <v>0.0</v>
      </c>
    </row>
    <row r="40782">
      <c r="Y40782" s="372">
        <v>0.0</v>
      </c>
      <c r="Z40782" s="372">
        <v>0.0</v>
      </c>
    </row>
    <row r="40783">
      <c r="Y40783" s="372">
        <v>0.0</v>
      </c>
      <c r="Z40783" s="372">
        <v>0.0</v>
      </c>
    </row>
    <row r="40784">
      <c r="Y40784" s="372">
        <v>0.0</v>
      </c>
      <c r="Z40784" s="372">
        <v>0.0</v>
      </c>
    </row>
    <row r="40785">
      <c r="Y40785" s="372">
        <v>0.0</v>
      </c>
      <c r="Z40785" s="372">
        <v>0.0</v>
      </c>
    </row>
    <row r="40786">
      <c r="Y40786" s="372">
        <v>0.0</v>
      </c>
      <c r="Z40786" s="372">
        <v>0.0</v>
      </c>
    </row>
    <row r="40787">
      <c r="Y40787" s="372">
        <v>0.0</v>
      </c>
      <c r="Z40787" s="372">
        <v>0.0</v>
      </c>
    </row>
    <row r="40788">
      <c r="Y40788" s="372">
        <v>0.0</v>
      </c>
      <c r="Z40788" s="372">
        <v>0.0</v>
      </c>
    </row>
    <row r="40789">
      <c r="Y40789" s="372">
        <v>0.0</v>
      </c>
      <c r="Z40789" s="372">
        <v>0.0</v>
      </c>
    </row>
    <row r="40790">
      <c r="Y40790" s="372">
        <v>0.0</v>
      </c>
      <c r="Z40790" s="372">
        <v>0.0</v>
      </c>
    </row>
    <row r="40791">
      <c r="Y40791" s="372">
        <v>0.0</v>
      </c>
      <c r="Z40791" s="372">
        <v>0.0</v>
      </c>
    </row>
    <row r="40792">
      <c r="Y40792" s="372">
        <v>0.0</v>
      </c>
      <c r="Z40792" s="372">
        <v>0.0</v>
      </c>
    </row>
    <row r="40793">
      <c r="Y40793" s="372">
        <v>0.0</v>
      </c>
      <c r="Z40793" s="372">
        <v>0.0</v>
      </c>
    </row>
    <row r="40794">
      <c r="Y40794" s="372">
        <v>0.0</v>
      </c>
      <c r="Z40794" s="372">
        <v>0.0</v>
      </c>
    </row>
    <row r="40795">
      <c r="Y40795" s="372">
        <v>0.0</v>
      </c>
      <c r="Z40795" s="372">
        <v>0.0</v>
      </c>
    </row>
    <row r="40796">
      <c r="Y40796" s="372">
        <v>0.0</v>
      </c>
      <c r="Z40796" s="372">
        <v>0.0</v>
      </c>
    </row>
    <row r="40797">
      <c r="Y40797" s="372">
        <v>0.0</v>
      </c>
      <c r="Z40797" s="372">
        <v>0.0</v>
      </c>
    </row>
    <row r="40798">
      <c r="Y40798" s="372">
        <v>0.0</v>
      </c>
      <c r="Z40798" s="372">
        <v>0.0</v>
      </c>
    </row>
    <row r="40799">
      <c r="Y40799" s="372">
        <v>0.0</v>
      </c>
      <c r="Z40799" s="372">
        <v>0.0</v>
      </c>
    </row>
    <row r="40800">
      <c r="Y40800" s="372">
        <v>0.0</v>
      </c>
      <c r="Z40800" s="372">
        <v>0.0</v>
      </c>
    </row>
    <row r="40801">
      <c r="Y40801" s="372">
        <v>0.0</v>
      </c>
      <c r="Z40801" s="372">
        <v>0.0</v>
      </c>
    </row>
    <row r="40802">
      <c r="Y40802" s="372">
        <v>0.0</v>
      </c>
      <c r="Z40802" s="372">
        <v>0.0</v>
      </c>
    </row>
    <row r="40803">
      <c r="Y40803" s="372">
        <v>0.0</v>
      </c>
      <c r="Z40803" s="372">
        <v>0.0</v>
      </c>
    </row>
    <row r="40804">
      <c r="Y40804" s="372">
        <v>0.0</v>
      </c>
      <c r="Z40804" s="372">
        <v>0.0</v>
      </c>
    </row>
    <row r="40805">
      <c r="Y40805" s="372">
        <v>0.0</v>
      </c>
      <c r="Z40805" s="372">
        <v>0.0</v>
      </c>
    </row>
    <row r="40806">
      <c r="Y40806" s="372">
        <v>0.0</v>
      </c>
      <c r="Z40806" s="372">
        <v>0.0</v>
      </c>
    </row>
    <row r="40807">
      <c r="Y40807" s="372">
        <v>0.0</v>
      </c>
      <c r="Z40807" s="372">
        <v>0.0</v>
      </c>
    </row>
    <row r="40808">
      <c r="Y40808" s="372">
        <v>0.0</v>
      </c>
      <c r="Z40808" s="372">
        <v>0.0</v>
      </c>
    </row>
    <row r="40809">
      <c r="Y40809" s="372">
        <v>0.0</v>
      </c>
      <c r="Z40809" s="372">
        <v>0.0</v>
      </c>
    </row>
    <row r="40810">
      <c r="Y40810" s="372">
        <v>0.0</v>
      </c>
      <c r="Z40810" s="372">
        <v>0.0</v>
      </c>
    </row>
    <row r="40811">
      <c r="Y40811" s="372">
        <v>0.0</v>
      </c>
      <c r="Z40811" s="372">
        <v>0.0</v>
      </c>
    </row>
    <row r="40812">
      <c r="Y40812" s="372">
        <v>0.0</v>
      </c>
      <c r="Z40812" s="372">
        <v>0.0</v>
      </c>
    </row>
    <row r="40813">
      <c r="Y40813" s="372">
        <v>0.0</v>
      </c>
      <c r="Z40813" s="372">
        <v>0.0</v>
      </c>
    </row>
    <row r="40814">
      <c r="Y40814" s="372">
        <v>0.0</v>
      </c>
      <c r="Z40814" s="372">
        <v>0.0</v>
      </c>
    </row>
    <row r="40815">
      <c r="Y40815" s="372">
        <v>0.0</v>
      </c>
      <c r="Z40815" s="372">
        <v>0.0</v>
      </c>
    </row>
    <row r="40816">
      <c r="Y40816" s="372">
        <v>0.0</v>
      </c>
      <c r="Z40816" s="372">
        <v>0.0</v>
      </c>
    </row>
    <row r="40817">
      <c r="Y40817" s="372">
        <v>0.0</v>
      </c>
      <c r="Z40817" s="372">
        <v>0.0</v>
      </c>
    </row>
    <row r="40818">
      <c r="Y40818" s="372">
        <v>0.0</v>
      </c>
      <c r="Z40818" s="372">
        <v>0.0</v>
      </c>
    </row>
    <row r="40819">
      <c r="Y40819" s="372">
        <v>0.0</v>
      </c>
      <c r="Z40819" s="372">
        <v>0.0</v>
      </c>
    </row>
    <row r="40820">
      <c r="Y40820" s="372">
        <v>0.0</v>
      </c>
      <c r="Z40820" s="372">
        <v>0.0</v>
      </c>
    </row>
    <row r="40821">
      <c r="Y40821" s="372">
        <v>0.0</v>
      </c>
      <c r="Z40821" s="372">
        <v>0.0</v>
      </c>
    </row>
    <row r="40822">
      <c r="Y40822" s="372">
        <v>0.0</v>
      </c>
      <c r="Z40822" s="372">
        <v>0.0</v>
      </c>
    </row>
    <row r="40823">
      <c r="Y40823" s="372">
        <v>0.0</v>
      </c>
      <c r="Z40823" s="372">
        <v>0.0</v>
      </c>
    </row>
    <row r="40824">
      <c r="Y40824" s="372">
        <v>0.0</v>
      </c>
      <c r="Z40824" s="372">
        <v>0.0</v>
      </c>
    </row>
    <row r="40825">
      <c r="Y40825" s="372">
        <v>0.0</v>
      </c>
      <c r="Z40825" s="372">
        <v>0.0</v>
      </c>
    </row>
    <row r="40826">
      <c r="Y40826" s="372">
        <v>0.0</v>
      </c>
      <c r="Z40826" s="372">
        <v>0.0</v>
      </c>
    </row>
    <row r="40827">
      <c r="Y40827" s="372">
        <v>0.0</v>
      </c>
      <c r="Z40827" s="372">
        <v>0.0</v>
      </c>
    </row>
    <row r="40828">
      <c r="Y40828" s="372">
        <v>0.0</v>
      </c>
      <c r="Z40828" s="372">
        <v>0.0</v>
      </c>
    </row>
    <row r="40829">
      <c r="Y40829" s="372">
        <v>0.0</v>
      </c>
      <c r="Z40829" s="372">
        <v>0.0</v>
      </c>
    </row>
    <row r="40830">
      <c r="Y40830" s="372">
        <v>0.0</v>
      </c>
      <c r="Z40830" s="372">
        <v>0.0</v>
      </c>
    </row>
    <row r="40831">
      <c r="Y40831" s="372">
        <v>0.0</v>
      </c>
      <c r="Z40831" s="372">
        <v>0.0</v>
      </c>
    </row>
    <row r="40832">
      <c r="Y40832" s="372">
        <v>0.0</v>
      </c>
      <c r="Z40832" s="372">
        <v>0.0</v>
      </c>
    </row>
    <row r="40833">
      <c r="Y40833" s="372">
        <v>0.0</v>
      </c>
      <c r="Z40833" s="372">
        <v>0.0</v>
      </c>
    </row>
    <row r="40834">
      <c r="Y40834" s="372">
        <v>0.0</v>
      </c>
      <c r="Z40834" s="372">
        <v>0.0</v>
      </c>
    </row>
    <row r="40835">
      <c r="Y40835" s="372">
        <v>0.0</v>
      </c>
      <c r="Z40835" s="372">
        <v>0.0</v>
      </c>
    </row>
    <row r="40836">
      <c r="Y40836" s="372">
        <v>0.0</v>
      </c>
      <c r="Z40836" s="372">
        <v>0.0</v>
      </c>
    </row>
    <row r="40837">
      <c r="Y40837" s="372">
        <v>0.0</v>
      </c>
      <c r="Z40837" s="372">
        <v>0.0</v>
      </c>
    </row>
    <row r="40838">
      <c r="Y40838" s="372">
        <v>0.0</v>
      </c>
      <c r="Z40838" s="372">
        <v>0.0</v>
      </c>
    </row>
    <row r="40839">
      <c r="Y40839" s="372">
        <v>0.0</v>
      </c>
      <c r="Z40839" s="372">
        <v>0.0</v>
      </c>
    </row>
    <row r="40840">
      <c r="Y40840" s="372">
        <v>0.0</v>
      </c>
      <c r="Z40840" s="372">
        <v>0.0</v>
      </c>
    </row>
    <row r="40841">
      <c r="Y40841" s="372">
        <v>0.0</v>
      </c>
      <c r="Z40841" s="372">
        <v>0.0</v>
      </c>
    </row>
    <row r="40842">
      <c r="Y40842" s="372">
        <v>0.0</v>
      </c>
      <c r="Z40842" s="372">
        <v>0.0</v>
      </c>
    </row>
    <row r="40843">
      <c r="Y40843" s="372">
        <v>0.0</v>
      </c>
      <c r="Z40843" s="372">
        <v>0.0</v>
      </c>
    </row>
    <row r="40844">
      <c r="Y40844" s="372">
        <v>0.0</v>
      </c>
      <c r="Z40844" s="372">
        <v>0.0</v>
      </c>
    </row>
    <row r="40845">
      <c r="Y40845" s="372">
        <v>0.0</v>
      </c>
      <c r="Z40845" s="372">
        <v>0.0</v>
      </c>
    </row>
    <row r="40846">
      <c r="Y40846" s="372">
        <v>0.0</v>
      </c>
      <c r="Z40846" s="372">
        <v>0.0</v>
      </c>
    </row>
    <row r="40847">
      <c r="Y40847" s="372">
        <v>0.0</v>
      </c>
      <c r="Z40847" s="372">
        <v>0.0</v>
      </c>
    </row>
    <row r="40848">
      <c r="Y40848" s="372">
        <v>0.0</v>
      </c>
      <c r="Z40848" s="372">
        <v>0.0</v>
      </c>
    </row>
    <row r="40849">
      <c r="Y40849" s="372">
        <v>0.0</v>
      </c>
      <c r="Z40849" s="372">
        <v>0.0</v>
      </c>
    </row>
    <row r="40850">
      <c r="Y40850" s="372">
        <v>0.0</v>
      </c>
      <c r="Z40850" s="372">
        <v>0.0</v>
      </c>
    </row>
    <row r="40851">
      <c r="Y40851" s="372">
        <v>0.0</v>
      </c>
      <c r="Z40851" s="372">
        <v>0.0</v>
      </c>
    </row>
    <row r="40852">
      <c r="Y40852" s="372">
        <v>0.0</v>
      </c>
      <c r="Z40852" s="372">
        <v>0.0</v>
      </c>
    </row>
    <row r="40853">
      <c r="Y40853" s="372">
        <v>0.0</v>
      </c>
      <c r="Z40853" s="372">
        <v>0.0</v>
      </c>
    </row>
    <row r="40854">
      <c r="Y40854" s="372">
        <v>0.0</v>
      </c>
      <c r="Z40854" s="372">
        <v>0.0</v>
      </c>
    </row>
    <row r="40855">
      <c r="Y40855" s="372">
        <v>0.0</v>
      </c>
      <c r="Z40855" s="372">
        <v>0.0</v>
      </c>
    </row>
    <row r="40856">
      <c r="Y40856" s="372">
        <v>0.0</v>
      </c>
      <c r="Z40856" s="372">
        <v>0.0</v>
      </c>
    </row>
    <row r="40857">
      <c r="Y40857" s="372">
        <v>0.0</v>
      </c>
      <c r="Z40857" s="372">
        <v>0.0</v>
      </c>
    </row>
    <row r="40858">
      <c r="Y40858" s="372">
        <v>0.0</v>
      </c>
      <c r="Z40858" s="372">
        <v>0.0</v>
      </c>
    </row>
    <row r="40859">
      <c r="Y40859" s="372">
        <v>0.0</v>
      </c>
      <c r="Z40859" s="372">
        <v>0.0</v>
      </c>
    </row>
    <row r="40860">
      <c r="Y40860" s="372">
        <v>0.0</v>
      </c>
      <c r="Z40860" s="372">
        <v>0.0</v>
      </c>
    </row>
    <row r="40861">
      <c r="Y40861" s="372">
        <v>0.0</v>
      </c>
      <c r="Z40861" s="372">
        <v>0.0</v>
      </c>
    </row>
    <row r="40862">
      <c r="Y40862" s="372">
        <v>0.0</v>
      </c>
      <c r="Z40862" s="372">
        <v>0.0</v>
      </c>
    </row>
    <row r="40863">
      <c r="Y40863" s="372">
        <v>0.0</v>
      </c>
      <c r="Z40863" s="372">
        <v>0.0</v>
      </c>
    </row>
    <row r="40864">
      <c r="Y40864" s="372">
        <v>0.0</v>
      </c>
      <c r="Z40864" s="372">
        <v>0.0</v>
      </c>
    </row>
    <row r="40865">
      <c r="Y40865" s="372">
        <v>0.0</v>
      </c>
      <c r="Z40865" s="372">
        <v>0.0</v>
      </c>
    </row>
    <row r="40866">
      <c r="Y40866" s="372">
        <v>0.0</v>
      </c>
      <c r="Z40866" s="372">
        <v>0.0</v>
      </c>
    </row>
    <row r="40867">
      <c r="Y40867" s="372">
        <v>0.0</v>
      </c>
      <c r="Z40867" s="372">
        <v>0.0</v>
      </c>
    </row>
    <row r="40868">
      <c r="Y40868" s="372">
        <v>0.0</v>
      </c>
      <c r="Z40868" s="372">
        <v>0.0</v>
      </c>
    </row>
    <row r="40869">
      <c r="Y40869" s="372">
        <v>0.0</v>
      </c>
      <c r="Z40869" s="372">
        <v>0.0</v>
      </c>
    </row>
    <row r="40870">
      <c r="Y40870" s="372">
        <v>0.0</v>
      </c>
      <c r="Z40870" s="372">
        <v>0.0</v>
      </c>
    </row>
    <row r="40871">
      <c r="Y40871" s="372">
        <v>0.0</v>
      </c>
      <c r="Z40871" s="372">
        <v>0.0</v>
      </c>
    </row>
    <row r="40872">
      <c r="Y40872" s="372">
        <v>0.0</v>
      </c>
      <c r="Z40872" s="372">
        <v>0.0</v>
      </c>
    </row>
    <row r="40873">
      <c r="Y40873" s="372">
        <v>0.0</v>
      </c>
      <c r="Z40873" s="372">
        <v>0.0</v>
      </c>
    </row>
    <row r="40874">
      <c r="Y40874" s="372">
        <v>0.0</v>
      </c>
      <c r="Z40874" s="372">
        <v>0.0</v>
      </c>
    </row>
    <row r="40875">
      <c r="Y40875" s="372">
        <v>0.0</v>
      </c>
      <c r="Z40875" s="372">
        <v>0.0</v>
      </c>
    </row>
    <row r="40876">
      <c r="Y40876" s="372">
        <v>0.0</v>
      </c>
      <c r="Z40876" s="372">
        <v>0.0</v>
      </c>
    </row>
    <row r="40877">
      <c r="Y40877" s="372">
        <v>0.0</v>
      </c>
      <c r="Z40877" s="372">
        <v>0.0</v>
      </c>
    </row>
    <row r="40878">
      <c r="Y40878" s="372">
        <v>0.0</v>
      </c>
      <c r="Z40878" s="372">
        <v>0.0</v>
      </c>
    </row>
    <row r="40879">
      <c r="Y40879" s="372">
        <v>0.0</v>
      </c>
      <c r="Z40879" s="372">
        <v>0.0</v>
      </c>
    </row>
    <row r="40880">
      <c r="Y40880" s="372">
        <v>0.0</v>
      </c>
      <c r="Z40880" s="372">
        <v>0.0</v>
      </c>
    </row>
    <row r="40881">
      <c r="Y40881" s="372">
        <v>0.0</v>
      </c>
      <c r="Z40881" s="372">
        <v>0.0</v>
      </c>
    </row>
    <row r="40882">
      <c r="Y40882" s="372">
        <v>0.0</v>
      </c>
      <c r="Z40882" s="372">
        <v>0.0</v>
      </c>
    </row>
    <row r="40883">
      <c r="Y40883" s="372">
        <v>0.0</v>
      </c>
      <c r="Z40883" s="372">
        <v>0.0</v>
      </c>
    </row>
    <row r="40884">
      <c r="Y40884" s="372">
        <v>0.0</v>
      </c>
      <c r="Z40884" s="372">
        <v>0.0</v>
      </c>
    </row>
    <row r="40885">
      <c r="Y40885" s="372">
        <v>0.0</v>
      </c>
      <c r="Z40885" s="372">
        <v>0.0</v>
      </c>
    </row>
    <row r="40886">
      <c r="Y40886" s="372">
        <v>0.0</v>
      </c>
      <c r="Z40886" s="372">
        <v>0.0</v>
      </c>
    </row>
    <row r="40887">
      <c r="Y40887" s="372">
        <v>0.0</v>
      </c>
      <c r="Z40887" s="372">
        <v>0.0</v>
      </c>
    </row>
    <row r="40888">
      <c r="Y40888" s="372">
        <v>0.0</v>
      </c>
      <c r="Z40888" s="372">
        <v>0.0</v>
      </c>
    </row>
    <row r="40889">
      <c r="Y40889" s="372">
        <v>0.0</v>
      </c>
      <c r="Z40889" s="372">
        <v>0.0</v>
      </c>
    </row>
    <row r="40890">
      <c r="Y40890" s="372">
        <v>0.0</v>
      </c>
      <c r="Z40890" s="372">
        <v>0.0</v>
      </c>
    </row>
    <row r="40891">
      <c r="Y40891" s="372">
        <v>0.0</v>
      </c>
      <c r="Z40891" s="372">
        <v>0.0</v>
      </c>
    </row>
    <row r="40892">
      <c r="Y40892" s="372">
        <v>0.0</v>
      </c>
      <c r="Z40892" s="372">
        <v>0.0</v>
      </c>
    </row>
    <row r="40893">
      <c r="Y40893" s="372">
        <v>0.0</v>
      </c>
      <c r="Z40893" s="372">
        <v>0.0</v>
      </c>
    </row>
    <row r="40894">
      <c r="Y40894" s="372">
        <v>0.0</v>
      </c>
      <c r="Z40894" s="372">
        <v>0.0</v>
      </c>
    </row>
    <row r="40895">
      <c r="Y40895" s="372">
        <v>0.0</v>
      </c>
      <c r="Z40895" s="372">
        <v>0.0</v>
      </c>
    </row>
    <row r="40896">
      <c r="Y40896" s="372">
        <v>0.0</v>
      </c>
      <c r="Z40896" s="372">
        <v>0.0</v>
      </c>
    </row>
    <row r="40897">
      <c r="Y40897" s="372">
        <v>0.0</v>
      </c>
      <c r="Z40897" s="372">
        <v>0.0</v>
      </c>
    </row>
    <row r="40898">
      <c r="Y40898" s="372">
        <v>0.0</v>
      </c>
      <c r="Z40898" s="372">
        <v>0.0</v>
      </c>
    </row>
    <row r="40899">
      <c r="Y40899" s="372">
        <v>0.0</v>
      </c>
      <c r="Z40899" s="372">
        <v>0.0</v>
      </c>
    </row>
    <row r="40900">
      <c r="Y40900" s="372">
        <v>0.0</v>
      </c>
      <c r="Z40900" s="372">
        <v>0.0</v>
      </c>
    </row>
    <row r="40901">
      <c r="Y40901" s="372">
        <v>0.0</v>
      </c>
      <c r="Z40901" s="372">
        <v>0.0</v>
      </c>
    </row>
    <row r="40902">
      <c r="Y40902" s="372">
        <v>0.0</v>
      </c>
      <c r="Z40902" s="372">
        <v>0.0</v>
      </c>
    </row>
    <row r="40903">
      <c r="Y40903" s="372">
        <v>0.0</v>
      </c>
      <c r="Z40903" s="372">
        <v>0.0</v>
      </c>
    </row>
    <row r="40904">
      <c r="Y40904" s="372">
        <v>0.0</v>
      </c>
      <c r="Z40904" s="372">
        <v>0.0</v>
      </c>
    </row>
    <row r="40905">
      <c r="Y40905" s="372">
        <v>0.0</v>
      </c>
      <c r="Z40905" s="372">
        <v>0.0</v>
      </c>
    </row>
    <row r="40906">
      <c r="Y40906" s="372">
        <v>0.0</v>
      </c>
      <c r="Z40906" s="372">
        <v>0.0</v>
      </c>
    </row>
    <row r="40907">
      <c r="Y40907" s="372">
        <v>0.0</v>
      </c>
      <c r="Z40907" s="372">
        <v>0.0</v>
      </c>
    </row>
    <row r="40908">
      <c r="Y40908" s="372">
        <v>0.0</v>
      </c>
      <c r="Z40908" s="372">
        <v>0.0</v>
      </c>
    </row>
    <row r="40909">
      <c r="Y40909" s="372">
        <v>0.0</v>
      </c>
      <c r="Z40909" s="372">
        <v>0.0</v>
      </c>
    </row>
    <row r="40910">
      <c r="Y40910" s="372">
        <v>0.0</v>
      </c>
      <c r="Z40910" s="372">
        <v>0.0</v>
      </c>
    </row>
    <row r="40911">
      <c r="Y40911" s="372">
        <v>0.0</v>
      </c>
      <c r="Z40911" s="372">
        <v>0.0</v>
      </c>
    </row>
    <row r="40912">
      <c r="Y40912" s="372">
        <v>0.0</v>
      </c>
      <c r="Z40912" s="372">
        <v>0.0</v>
      </c>
    </row>
    <row r="40913">
      <c r="Y40913" s="372">
        <v>0.0</v>
      </c>
      <c r="Z40913" s="372">
        <v>0.0</v>
      </c>
    </row>
    <row r="40914">
      <c r="Y40914" s="372">
        <v>0.0</v>
      </c>
      <c r="Z40914" s="372">
        <v>0.0</v>
      </c>
    </row>
    <row r="40915">
      <c r="Y40915" s="372">
        <v>0.0</v>
      </c>
      <c r="Z40915" s="372">
        <v>0.0</v>
      </c>
    </row>
    <row r="40916">
      <c r="Y40916" s="372">
        <v>0.0</v>
      </c>
      <c r="Z40916" s="372">
        <v>0.0</v>
      </c>
    </row>
    <row r="40917">
      <c r="Y40917" s="372">
        <v>0.0</v>
      </c>
      <c r="Z40917" s="372">
        <v>0.0</v>
      </c>
    </row>
    <row r="40918">
      <c r="Y40918" s="372">
        <v>0.0</v>
      </c>
      <c r="Z40918" s="372">
        <v>0.0</v>
      </c>
    </row>
    <row r="40919">
      <c r="Y40919" s="372">
        <v>0.0</v>
      </c>
      <c r="Z40919" s="372">
        <v>0.0</v>
      </c>
    </row>
    <row r="40920">
      <c r="Y40920" s="372">
        <v>0.0</v>
      </c>
      <c r="Z40920" s="372">
        <v>0.0</v>
      </c>
    </row>
    <row r="40921">
      <c r="Y40921" s="372">
        <v>0.0</v>
      </c>
      <c r="Z40921" s="372">
        <v>0.0</v>
      </c>
    </row>
    <row r="40922">
      <c r="Y40922" s="372">
        <v>0.0</v>
      </c>
      <c r="Z40922" s="372">
        <v>0.0</v>
      </c>
    </row>
    <row r="40923">
      <c r="Y40923" s="372">
        <v>0.0</v>
      </c>
      <c r="Z40923" s="372">
        <v>0.0</v>
      </c>
    </row>
    <row r="40924">
      <c r="Y40924" s="372">
        <v>0.0</v>
      </c>
      <c r="Z40924" s="372">
        <v>0.0</v>
      </c>
    </row>
    <row r="40925">
      <c r="Y40925" s="372">
        <v>0.0</v>
      </c>
      <c r="Z40925" s="372">
        <v>0.0</v>
      </c>
    </row>
    <row r="40926">
      <c r="Y40926" s="372">
        <v>0.0</v>
      </c>
      <c r="Z40926" s="372">
        <v>0.0</v>
      </c>
    </row>
    <row r="40927">
      <c r="Y40927" s="372">
        <v>0.0</v>
      </c>
      <c r="Z40927" s="372">
        <v>0.0</v>
      </c>
    </row>
    <row r="40928">
      <c r="Y40928" s="372">
        <v>0.0</v>
      </c>
      <c r="Z40928" s="372">
        <v>0.0</v>
      </c>
    </row>
    <row r="40929">
      <c r="Y40929" s="372">
        <v>0.0</v>
      </c>
      <c r="Z40929" s="372">
        <v>0.0</v>
      </c>
    </row>
    <row r="40930">
      <c r="Y40930" s="372">
        <v>0.0</v>
      </c>
      <c r="Z40930" s="372">
        <v>0.0</v>
      </c>
    </row>
    <row r="40931">
      <c r="Y40931" s="372">
        <v>0.0</v>
      </c>
      <c r="Z40931" s="372">
        <v>0.0</v>
      </c>
    </row>
    <row r="40932">
      <c r="Y40932" s="372">
        <v>0.0</v>
      </c>
      <c r="Z40932" s="372">
        <v>0.0</v>
      </c>
    </row>
    <row r="40933">
      <c r="Y40933" s="372">
        <v>0.0</v>
      </c>
      <c r="Z40933" s="372">
        <v>0.0</v>
      </c>
    </row>
    <row r="40934">
      <c r="Y40934" s="372">
        <v>0.0</v>
      </c>
      <c r="Z40934" s="372">
        <v>0.0</v>
      </c>
    </row>
    <row r="40935">
      <c r="Y40935" s="372">
        <v>0.0</v>
      </c>
      <c r="Z40935" s="372">
        <v>0.0</v>
      </c>
    </row>
    <row r="40936">
      <c r="Y40936" s="372">
        <v>0.0</v>
      </c>
      <c r="Z40936" s="372">
        <v>0.0</v>
      </c>
    </row>
    <row r="40937">
      <c r="Y40937" s="372">
        <v>0.0</v>
      </c>
      <c r="Z40937" s="372">
        <v>0.0</v>
      </c>
    </row>
    <row r="40938">
      <c r="Y40938" s="372">
        <v>0.0</v>
      </c>
      <c r="Z40938" s="372">
        <v>0.0</v>
      </c>
    </row>
    <row r="40939">
      <c r="Y40939" s="372">
        <v>0.0</v>
      </c>
      <c r="Z40939" s="372">
        <v>0.0</v>
      </c>
    </row>
    <row r="40940">
      <c r="Y40940" s="372">
        <v>0.0</v>
      </c>
      <c r="Z40940" s="372">
        <v>0.0</v>
      </c>
    </row>
    <row r="40941">
      <c r="Y40941" s="372">
        <v>0.0</v>
      </c>
      <c r="Z40941" s="372">
        <v>0.0</v>
      </c>
    </row>
    <row r="40942">
      <c r="Y40942" s="372">
        <v>0.0</v>
      </c>
      <c r="Z40942" s="372">
        <v>0.0</v>
      </c>
    </row>
    <row r="40943">
      <c r="Y40943" s="372">
        <v>0.0</v>
      </c>
      <c r="Z40943" s="372">
        <v>0.0</v>
      </c>
    </row>
    <row r="40944">
      <c r="Y40944" s="372">
        <v>0.0</v>
      </c>
      <c r="Z40944" s="372">
        <v>0.0</v>
      </c>
    </row>
    <row r="40945">
      <c r="Y40945" s="372">
        <v>0.0</v>
      </c>
      <c r="Z40945" s="372">
        <v>0.0</v>
      </c>
    </row>
    <row r="40946">
      <c r="Y40946" s="372">
        <v>0.0</v>
      </c>
      <c r="Z40946" s="372">
        <v>0.0</v>
      </c>
    </row>
    <row r="40947">
      <c r="Y40947" s="372">
        <v>0.0</v>
      </c>
      <c r="Z40947" s="372">
        <v>0.0</v>
      </c>
    </row>
    <row r="40948">
      <c r="Y40948" s="372">
        <v>0.0</v>
      </c>
      <c r="Z40948" s="372">
        <v>0.0</v>
      </c>
    </row>
    <row r="40949">
      <c r="Y40949" s="372">
        <v>0.0</v>
      </c>
      <c r="Z40949" s="372">
        <v>0.0</v>
      </c>
    </row>
    <row r="40950">
      <c r="Y40950" s="372">
        <v>0.0</v>
      </c>
      <c r="Z40950" s="372">
        <v>0.0</v>
      </c>
    </row>
    <row r="40951">
      <c r="Y40951" s="372">
        <v>0.0</v>
      </c>
      <c r="Z40951" s="372">
        <v>0.0</v>
      </c>
    </row>
    <row r="40952">
      <c r="Y40952" s="372">
        <v>0.0</v>
      </c>
      <c r="Z40952" s="372">
        <v>0.0</v>
      </c>
    </row>
    <row r="40953">
      <c r="Y40953" s="372">
        <v>0.0</v>
      </c>
      <c r="Z40953" s="372">
        <v>0.0</v>
      </c>
    </row>
    <row r="40954">
      <c r="Y40954" s="372">
        <v>0.0</v>
      </c>
      <c r="Z40954" s="372">
        <v>0.0</v>
      </c>
    </row>
    <row r="40955">
      <c r="Y40955" s="372">
        <v>0.0</v>
      </c>
      <c r="Z40955" s="372">
        <v>0.0</v>
      </c>
    </row>
    <row r="40956">
      <c r="Y40956" s="372">
        <v>0.0</v>
      </c>
      <c r="Z40956" s="372">
        <v>0.0</v>
      </c>
    </row>
    <row r="40957">
      <c r="Y40957" s="372">
        <v>0.0</v>
      </c>
      <c r="Z40957" s="372">
        <v>0.0</v>
      </c>
    </row>
    <row r="40958">
      <c r="Y40958" s="372">
        <v>0.0</v>
      </c>
      <c r="Z40958" s="372">
        <v>0.0</v>
      </c>
    </row>
    <row r="40959">
      <c r="Y40959" s="372">
        <v>0.0</v>
      </c>
      <c r="Z40959" s="372">
        <v>0.0</v>
      </c>
    </row>
    <row r="40960">
      <c r="Y40960" s="372">
        <v>0.0</v>
      </c>
      <c r="Z40960" s="372">
        <v>0.0</v>
      </c>
    </row>
    <row r="40961">
      <c r="Y40961" s="372">
        <v>0.0</v>
      </c>
      <c r="Z40961" s="372">
        <v>0.0</v>
      </c>
    </row>
    <row r="40962">
      <c r="Y40962" s="372">
        <v>0.0</v>
      </c>
      <c r="Z40962" s="372">
        <v>0.0</v>
      </c>
    </row>
    <row r="40963">
      <c r="Y40963" s="372">
        <v>0.0</v>
      </c>
      <c r="Z40963" s="372">
        <v>0.0</v>
      </c>
    </row>
    <row r="40964">
      <c r="Y40964" s="372">
        <v>0.0</v>
      </c>
      <c r="Z40964" s="372">
        <v>0.0</v>
      </c>
    </row>
    <row r="40965">
      <c r="Y40965" s="372">
        <v>0.0</v>
      </c>
      <c r="Z40965" s="372">
        <v>0.0</v>
      </c>
    </row>
    <row r="40966">
      <c r="Y40966" s="372">
        <v>0.0</v>
      </c>
      <c r="Z40966" s="372">
        <v>0.0</v>
      </c>
    </row>
    <row r="40967">
      <c r="Y40967" s="372">
        <v>0.0</v>
      </c>
      <c r="Z40967" s="372">
        <v>0.0</v>
      </c>
    </row>
    <row r="40968">
      <c r="Y40968" s="372">
        <v>0.0</v>
      </c>
      <c r="Z40968" s="372">
        <v>0.0</v>
      </c>
    </row>
    <row r="40969">
      <c r="Y40969" s="372">
        <v>0.0</v>
      </c>
      <c r="Z40969" s="372">
        <v>0.0</v>
      </c>
    </row>
    <row r="40970">
      <c r="Y40970" s="372">
        <v>0.0</v>
      </c>
      <c r="Z40970" s="372">
        <v>0.0</v>
      </c>
    </row>
    <row r="40971">
      <c r="Y40971" s="372">
        <v>0.0</v>
      </c>
      <c r="Z40971" s="372">
        <v>0.0</v>
      </c>
    </row>
    <row r="40972">
      <c r="Y40972" s="372">
        <v>0.0</v>
      </c>
      <c r="Z40972" s="372">
        <v>0.0</v>
      </c>
    </row>
    <row r="40973">
      <c r="Y40973" s="372">
        <v>0.0</v>
      </c>
      <c r="Z40973" s="372">
        <v>0.0</v>
      </c>
    </row>
    <row r="40974">
      <c r="Y40974" s="372">
        <v>0.0</v>
      </c>
      <c r="Z40974" s="372">
        <v>0.0</v>
      </c>
    </row>
    <row r="40975">
      <c r="Y40975" s="372">
        <v>0.0</v>
      </c>
      <c r="Z40975" s="372">
        <v>0.0</v>
      </c>
    </row>
    <row r="40976">
      <c r="Y40976" s="372">
        <v>0.0</v>
      </c>
      <c r="Z40976" s="372">
        <v>0.0</v>
      </c>
    </row>
    <row r="40977">
      <c r="Y40977" s="372">
        <v>0.0</v>
      </c>
      <c r="Z40977" s="372">
        <v>0.0</v>
      </c>
    </row>
    <row r="40978">
      <c r="Y40978" s="372">
        <v>0.0</v>
      </c>
      <c r="Z40978" s="372">
        <v>0.0</v>
      </c>
    </row>
    <row r="40979">
      <c r="Y40979" s="372">
        <v>0.0</v>
      </c>
      <c r="Z40979" s="372">
        <v>0.0</v>
      </c>
    </row>
    <row r="40980">
      <c r="Y40980" s="372">
        <v>0.0</v>
      </c>
      <c r="Z40980" s="372">
        <v>0.0</v>
      </c>
    </row>
    <row r="40981">
      <c r="Y40981" s="372">
        <v>0.0</v>
      </c>
      <c r="Z40981" s="372">
        <v>0.0</v>
      </c>
    </row>
    <row r="40982">
      <c r="Y40982" s="372">
        <v>0.0</v>
      </c>
      <c r="Z40982" s="372">
        <v>0.0</v>
      </c>
    </row>
    <row r="40983">
      <c r="Y40983" s="372">
        <v>0.0</v>
      </c>
      <c r="Z40983" s="372">
        <v>0.0</v>
      </c>
    </row>
    <row r="40984">
      <c r="Y40984" s="372">
        <v>0.0</v>
      </c>
      <c r="Z40984" s="372">
        <v>0.0</v>
      </c>
    </row>
    <row r="40985">
      <c r="Y40985" s="372">
        <v>0.0</v>
      </c>
      <c r="Z40985" s="372">
        <v>0.0</v>
      </c>
    </row>
    <row r="40986">
      <c r="Y40986" s="372">
        <v>0.0</v>
      </c>
      <c r="Z40986" s="372">
        <v>0.0</v>
      </c>
    </row>
    <row r="40987">
      <c r="Y40987" s="372">
        <v>0.0</v>
      </c>
      <c r="Z40987" s="372">
        <v>0.0</v>
      </c>
    </row>
    <row r="40988">
      <c r="Y40988" s="372">
        <v>0.0</v>
      </c>
      <c r="Z40988" s="372">
        <v>0.0</v>
      </c>
    </row>
    <row r="40989">
      <c r="Y40989" s="372">
        <v>0.0</v>
      </c>
      <c r="Z40989" s="372">
        <v>0.0</v>
      </c>
    </row>
    <row r="40990">
      <c r="Y40990" s="372">
        <v>0.0</v>
      </c>
      <c r="Z40990" s="372">
        <v>0.0</v>
      </c>
    </row>
    <row r="40991">
      <c r="Y40991" s="372">
        <v>0.0</v>
      </c>
      <c r="Z40991" s="372">
        <v>0.0</v>
      </c>
    </row>
    <row r="40992">
      <c r="Y40992" s="372">
        <v>0.0</v>
      </c>
      <c r="Z40992" s="372">
        <v>0.0</v>
      </c>
    </row>
    <row r="40993">
      <c r="Y40993" s="372">
        <v>0.0</v>
      </c>
      <c r="Z40993" s="372">
        <v>0.0</v>
      </c>
    </row>
    <row r="40994">
      <c r="Y40994" s="372">
        <v>0.0</v>
      </c>
      <c r="Z40994" s="372">
        <v>0.0</v>
      </c>
    </row>
    <row r="40995">
      <c r="Y40995" s="372">
        <v>0.0</v>
      </c>
      <c r="Z40995" s="372">
        <v>0.0</v>
      </c>
    </row>
    <row r="40996">
      <c r="Y40996" s="372">
        <v>0.0</v>
      </c>
      <c r="Z40996" s="372">
        <v>0.0</v>
      </c>
    </row>
    <row r="40997">
      <c r="Y40997" s="372">
        <v>0.0</v>
      </c>
      <c r="Z40997" s="372">
        <v>0.0</v>
      </c>
    </row>
    <row r="40998">
      <c r="Y40998" s="372">
        <v>0.0</v>
      </c>
      <c r="Z40998" s="372">
        <v>0.0</v>
      </c>
    </row>
    <row r="40999">
      <c r="Y40999" s="372">
        <v>0.0</v>
      </c>
      <c r="Z40999" s="372">
        <v>0.0</v>
      </c>
    </row>
    <row r="41000">
      <c r="Y41000" s="372">
        <v>0.0</v>
      </c>
      <c r="Z41000" s="372">
        <v>0.0</v>
      </c>
    </row>
    <row r="41001">
      <c r="Y41001" s="372">
        <v>0.0</v>
      </c>
      <c r="Z41001" s="372">
        <v>0.0</v>
      </c>
    </row>
    <row r="41002">
      <c r="Y41002" s="372">
        <v>0.0</v>
      </c>
      <c r="Z41002" s="372">
        <v>0.0</v>
      </c>
    </row>
    <row r="41003">
      <c r="Y41003" s="372">
        <v>0.0</v>
      </c>
      <c r="Z41003" s="372">
        <v>0.0</v>
      </c>
    </row>
    <row r="41004">
      <c r="Y41004" s="372">
        <v>0.0</v>
      </c>
      <c r="Z41004" s="372">
        <v>0.0</v>
      </c>
    </row>
    <row r="41005">
      <c r="Y41005" s="372">
        <v>0.0</v>
      </c>
      <c r="Z41005" s="372">
        <v>0.0</v>
      </c>
    </row>
    <row r="41006">
      <c r="Y41006" s="372">
        <v>0.0</v>
      </c>
      <c r="Z41006" s="372">
        <v>0.0</v>
      </c>
    </row>
    <row r="41007">
      <c r="Y41007" s="372">
        <v>0.0</v>
      </c>
      <c r="Z41007" s="372">
        <v>0.0</v>
      </c>
    </row>
    <row r="41008">
      <c r="Y41008" s="372">
        <v>0.0</v>
      </c>
      <c r="Z41008" s="372">
        <v>0.0</v>
      </c>
    </row>
    <row r="41009">
      <c r="Y41009" s="372">
        <v>0.0</v>
      </c>
      <c r="Z41009" s="372">
        <v>0.0</v>
      </c>
    </row>
    <row r="41010">
      <c r="Y41010" s="372">
        <v>0.0</v>
      </c>
      <c r="Z41010" s="372">
        <v>0.0</v>
      </c>
    </row>
    <row r="41011">
      <c r="Y41011" s="372">
        <v>0.0</v>
      </c>
      <c r="Z41011" s="372">
        <v>0.0</v>
      </c>
    </row>
    <row r="41012">
      <c r="Y41012" s="372">
        <v>0.0</v>
      </c>
      <c r="Z41012" s="372">
        <v>0.0</v>
      </c>
    </row>
    <row r="41013">
      <c r="Y41013" s="372">
        <v>0.0</v>
      </c>
      <c r="Z41013" s="372">
        <v>0.0</v>
      </c>
    </row>
    <row r="41014">
      <c r="Y41014" s="372">
        <v>0.0</v>
      </c>
      <c r="Z41014" s="372">
        <v>0.0</v>
      </c>
    </row>
    <row r="41015">
      <c r="Y41015" s="372">
        <v>0.0</v>
      </c>
      <c r="Z41015" s="372">
        <v>0.0</v>
      </c>
    </row>
    <row r="41016">
      <c r="Y41016" s="372">
        <v>0.0</v>
      </c>
      <c r="Z41016" s="372">
        <v>0.0</v>
      </c>
    </row>
    <row r="41017">
      <c r="Y41017" s="372">
        <v>0.0</v>
      </c>
      <c r="Z41017" s="372">
        <v>0.0</v>
      </c>
    </row>
    <row r="41018">
      <c r="Y41018" s="372">
        <v>0.0</v>
      </c>
      <c r="Z41018" s="372">
        <v>0.0</v>
      </c>
    </row>
    <row r="41019">
      <c r="Y41019" s="372">
        <v>0.0</v>
      </c>
      <c r="Z41019" s="372">
        <v>0.0</v>
      </c>
    </row>
    <row r="41020">
      <c r="Y41020" s="372">
        <v>0.0</v>
      </c>
      <c r="Z41020" s="372">
        <v>0.0</v>
      </c>
    </row>
    <row r="41021">
      <c r="Y41021" s="372">
        <v>0.0</v>
      </c>
      <c r="Z41021" s="372">
        <v>0.0</v>
      </c>
    </row>
    <row r="41022">
      <c r="Y41022" s="372">
        <v>0.0</v>
      </c>
      <c r="Z41022" s="372">
        <v>0.0</v>
      </c>
    </row>
    <row r="41023">
      <c r="Y41023" s="372">
        <v>0.0</v>
      </c>
      <c r="Z41023" s="372">
        <v>0.0</v>
      </c>
    </row>
    <row r="41024">
      <c r="Y41024" s="372">
        <v>0.0</v>
      </c>
      <c r="Z41024" s="372">
        <v>0.0</v>
      </c>
    </row>
    <row r="41025">
      <c r="Y41025" s="372">
        <v>0.0</v>
      </c>
      <c r="Z41025" s="372">
        <v>0.0</v>
      </c>
    </row>
    <row r="41026">
      <c r="Y41026" s="372">
        <v>0.0</v>
      </c>
      <c r="Z41026" s="372">
        <v>0.0</v>
      </c>
    </row>
    <row r="41027">
      <c r="Y41027" s="372">
        <v>0.0</v>
      </c>
      <c r="Z41027" s="372">
        <v>0.0</v>
      </c>
    </row>
    <row r="41028">
      <c r="Y41028" s="372">
        <v>0.0</v>
      </c>
      <c r="Z41028" s="372">
        <v>0.0</v>
      </c>
    </row>
    <row r="41029">
      <c r="Y41029" s="372">
        <v>0.0</v>
      </c>
      <c r="Z41029" s="372">
        <v>0.0</v>
      </c>
    </row>
    <row r="41030">
      <c r="Y41030" s="372">
        <v>0.0</v>
      </c>
      <c r="Z41030" s="372">
        <v>0.0</v>
      </c>
    </row>
    <row r="41031">
      <c r="Y41031" s="372">
        <v>0.0</v>
      </c>
      <c r="Z41031" s="372">
        <v>0.0</v>
      </c>
    </row>
    <row r="41032">
      <c r="Y41032" s="372">
        <v>0.0</v>
      </c>
      <c r="Z41032" s="372">
        <v>0.0</v>
      </c>
    </row>
    <row r="41033">
      <c r="Y41033" s="372">
        <v>0.0</v>
      </c>
      <c r="Z41033" s="372">
        <v>0.0</v>
      </c>
    </row>
    <row r="41034">
      <c r="Y41034" s="372">
        <v>0.0</v>
      </c>
      <c r="Z41034" s="372">
        <v>0.0</v>
      </c>
    </row>
    <row r="41035">
      <c r="Y41035" s="372">
        <v>0.0</v>
      </c>
      <c r="Z41035" s="372">
        <v>0.0</v>
      </c>
    </row>
    <row r="41036">
      <c r="Y41036" s="372">
        <v>0.0</v>
      </c>
      <c r="Z41036" s="372">
        <v>0.0</v>
      </c>
    </row>
    <row r="41037">
      <c r="Y41037" s="372">
        <v>0.0</v>
      </c>
      <c r="Z41037" s="372">
        <v>0.0</v>
      </c>
    </row>
    <row r="41038">
      <c r="Y41038" s="372">
        <v>0.0</v>
      </c>
      <c r="Z41038" s="372">
        <v>0.0</v>
      </c>
    </row>
    <row r="41039">
      <c r="Y41039" s="372">
        <v>0.0</v>
      </c>
      <c r="Z41039" s="372">
        <v>0.0</v>
      </c>
    </row>
    <row r="41040">
      <c r="Y41040" s="372">
        <v>0.0</v>
      </c>
      <c r="Z41040" s="372">
        <v>0.0</v>
      </c>
    </row>
    <row r="41041">
      <c r="Y41041" s="372">
        <v>0.0</v>
      </c>
      <c r="Z41041" s="372">
        <v>0.0</v>
      </c>
    </row>
    <row r="41042">
      <c r="Y41042" s="372">
        <v>0.0</v>
      </c>
      <c r="Z41042" s="372">
        <v>0.0</v>
      </c>
    </row>
    <row r="41043">
      <c r="Y41043" s="372">
        <v>0.0</v>
      </c>
      <c r="Z41043" s="372">
        <v>0.0</v>
      </c>
    </row>
    <row r="41044">
      <c r="Y41044" s="372">
        <v>0.0</v>
      </c>
      <c r="Z41044" s="372">
        <v>0.0</v>
      </c>
    </row>
    <row r="41045">
      <c r="Y41045" s="372">
        <v>0.0</v>
      </c>
      <c r="Z41045" s="372">
        <v>0.0</v>
      </c>
    </row>
    <row r="41046">
      <c r="Y41046" s="372">
        <v>0.0</v>
      </c>
      <c r="Z41046" s="372">
        <v>0.0</v>
      </c>
    </row>
    <row r="41047">
      <c r="Y41047" s="372">
        <v>0.0</v>
      </c>
      <c r="Z41047" s="372">
        <v>0.0</v>
      </c>
    </row>
    <row r="41048">
      <c r="Y41048" s="372">
        <v>0.0</v>
      </c>
      <c r="Z41048" s="372">
        <v>0.0</v>
      </c>
    </row>
    <row r="41049">
      <c r="Y41049" s="372">
        <v>0.0</v>
      </c>
      <c r="Z41049" s="372">
        <v>0.0</v>
      </c>
    </row>
    <row r="41050">
      <c r="Y41050" s="372">
        <v>0.0</v>
      </c>
      <c r="Z41050" s="372">
        <v>0.0</v>
      </c>
    </row>
    <row r="41051">
      <c r="Y41051" s="372">
        <v>0.0</v>
      </c>
      <c r="Z41051" s="372">
        <v>0.0</v>
      </c>
    </row>
    <row r="41052">
      <c r="Y41052" s="372">
        <v>0.0</v>
      </c>
      <c r="Z41052" s="372">
        <v>0.0</v>
      </c>
    </row>
    <row r="41053">
      <c r="Y41053" s="372">
        <v>0.0</v>
      </c>
      <c r="Z41053" s="372">
        <v>0.0</v>
      </c>
    </row>
    <row r="41054">
      <c r="Y41054" s="372">
        <v>0.0</v>
      </c>
      <c r="Z41054" s="372">
        <v>0.0</v>
      </c>
    </row>
    <row r="41055">
      <c r="Y41055" s="372">
        <v>0.0</v>
      </c>
      <c r="Z41055" s="372">
        <v>0.0</v>
      </c>
    </row>
    <row r="41056">
      <c r="Y41056" s="372">
        <v>0.0</v>
      </c>
      <c r="Z41056" s="372">
        <v>0.0</v>
      </c>
    </row>
    <row r="41057">
      <c r="Y41057" s="372">
        <v>0.0</v>
      </c>
      <c r="Z41057" s="372">
        <v>0.0</v>
      </c>
    </row>
    <row r="41058">
      <c r="Y41058" s="372">
        <v>0.0</v>
      </c>
      <c r="Z41058" s="372">
        <v>0.0</v>
      </c>
    </row>
    <row r="41059">
      <c r="Y41059" s="372">
        <v>0.0</v>
      </c>
      <c r="Z41059" s="372">
        <v>0.0</v>
      </c>
    </row>
    <row r="41060">
      <c r="Y41060" s="372">
        <v>0.0</v>
      </c>
      <c r="Z41060" s="372">
        <v>0.0</v>
      </c>
    </row>
    <row r="41061">
      <c r="Y41061" s="372">
        <v>0.0</v>
      </c>
      <c r="Z41061" s="372">
        <v>0.0</v>
      </c>
    </row>
    <row r="41062">
      <c r="Y41062" s="372">
        <v>0.0</v>
      </c>
      <c r="Z41062" s="372">
        <v>0.0</v>
      </c>
    </row>
    <row r="41063">
      <c r="Y41063" s="372">
        <v>0.0</v>
      </c>
      <c r="Z41063" s="372">
        <v>0.0</v>
      </c>
    </row>
    <row r="41064">
      <c r="Y41064" s="372">
        <v>0.0</v>
      </c>
      <c r="Z41064" s="372">
        <v>0.0</v>
      </c>
    </row>
    <row r="41065">
      <c r="Y41065" s="372">
        <v>0.0</v>
      </c>
      <c r="Z41065" s="372">
        <v>0.0</v>
      </c>
    </row>
    <row r="41066">
      <c r="Y41066" s="372">
        <v>0.0</v>
      </c>
      <c r="Z41066" s="372">
        <v>0.0</v>
      </c>
    </row>
    <row r="41067">
      <c r="Y41067" s="372">
        <v>0.0</v>
      </c>
      <c r="Z41067" s="372">
        <v>0.0</v>
      </c>
    </row>
    <row r="41068">
      <c r="Y41068" s="372">
        <v>0.0</v>
      </c>
      <c r="Z41068" s="372">
        <v>0.0</v>
      </c>
    </row>
    <row r="41069">
      <c r="Y41069" s="372">
        <v>0.0</v>
      </c>
      <c r="Z41069" s="372">
        <v>0.0</v>
      </c>
    </row>
    <row r="41070">
      <c r="Y41070" s="372">
        <v>0.0</v>
      </c>
      <c r="Z41070" s="372">
        <v>0.0</v>
      </c>
    </row>
    <row r="41071">
      <c r="Y41071" s="372">
        <v>0.0</v>
      </c>
      <c r="Z41071" s="372">
        <v>0.0</v>
      </c>
    </row>
    <row r="41072">
      <c r="Y41072" s="372">
        <v>0.0</v>
      </c>
      <c r="Z41072" s="372">
        <v>0.0</v>
      </c>
    </row>
    <row r="41073">
      <c r="Y41073" s="372">
        <v>0.0</v>
      </c>
      <c r="Z41073" s="372">
        <v>0.0</v>
      </c>
    </row>
    <row r="41074">
      <c r="Y41074" s="372">
        <v>0.0</v>
      </c>
      <c r="Z41074" s="372">
        <v>0.0</v>
      </c>
    </row>
    <row r="41075">
      <c r="Y41075" s="372">
        <v>0.0</v>
      </c>
      <c r="Z41075" s="372">
        <v>0.0</v>
      </c>
    </row>
    <row r="41076">
      <c r="Y41076" s="372">
        <v>0.0</v>
      </c>
      <c r="Z41076" s="372">
        <v>0.0</v>
      </c>
    </row>
    <row r="41077">
      <c r="Y41077" s="372">
        <v>0.0</v>
      </c>
      <c r="Z41077" s="372">
        <v>0.0</v>
      </c>
    </row>
    <row r="41078">
      <c r="Y41078" s="372">
        <v>0.0</v>
      </c>
      <c r="Z41078" s="372">
        <v>0.0</v>
      </c>
    </row>
    <row r="41079">
      <c r="Y41079" s="372">
        <v>0.0</v>
      </c>
      <c r="Z41079" s="372">
        <v>0.0</v>
      </c>
    </row>
    <row r="41080">
      <c r="Y41080" s="372">
        <v>0.0</v>
      </c>
      <c r="Z41080" s="372">
        <v>0.0</v>
      </c>
    </row>
    <row r="41081">
      <c r="Y41081" s="372">
        <v>0.0</v>
      </c>
      <c r="Z41081" s="372">
        <v>0.0</v>
      </c>
    </row>
    <row r="41082">
      <c r="Y41082" s="372">
        <v>0.0</v>
      </c>
      <c r="Z41082" s="372">
        <v>0.0</v>
      </c>
    </row>
    <row r="41083">
      <c r="Y41083" s="372">
        <v>0.0</v>
      </c>
      <c r="Z41083" s="372">
        <v>0.0</v>
      </c>
    </row>
    <row r="41084">
      <c r="Y41084" s="372">
        <v>0.0</v>
      </c>
      <c r="Z41084" s="372">
        <v>0.0</v>
      </c>
    </row>
    <row r="41085">
      <c r="Y41085" s="372">
        <v>0.0</v>
      </c>
      <c r="Z41085" s="372">
        <v>0.0</v>
      </c>
    </row>
    <row r="41086">
      <c r="Y41086" s="372">
        <v>0.0</v>
      </c>
      <c r="Z41086" s="372">
        <v>0.0</v>
      </c>
    </row>
    <row r="41087">
      <c r="Y41087" s="372">
        <v>0.0</v>
      </c>
      <c r="Z41087" s="372">
        <v>0.0</v>
      </c>
    </row>
    <row r="41088">
      <c r="Y41088" s="372">
        <v>0.0</v>
      </c>
      <c r="Z41088" s="372">
        <v>0.0</v>
      </c>
    </row>
    <row r="41089">
      <c r="Y41089" s="372">
        <v>0.0</v>
      </c>
      <c r="Z41089" s="372">
        <v>0.0</v>
      </c>
    </row>
    <row r="41090">
      <c r="Y41090" s="372">
        <v>0.0</v>
      </c>
      <c r="Z41090" s="372">
        <v>0.0</v>
      </c>
    </row>
    <row r="41091">
      <c r="Y41091" s="372">
        <v>0.0</v>
      </c>
      <c r="Z41091" s="372">
        <v>0.0</v>
      </c>
    </row>
    <row r="41092">
      <c r="Y41092" s="372">
        <v>0.0</v>
      </c>
      <c r="Z41092" s="372">
        <v>0.0</v>
      </c>
    </row>
    <row r="41093">
      <c r="Y41093" s="372">
        <v>0.0</v>
      </c>
      <c r="Z41093" s="372">
        <v>0.0</v>
      </c>
    </row>
    <row r="41094">
      <c r="Y41094" s="372">
        <v>0.0</v>
      </c>
      <c r="Z41094" s="372">
        <v>0.0</v>
      </c>
    </row>
    <row r="41095">
      <c r="Y41095" s="372">
        <v>0.0</v>
      </c>
      <c r="Z41095" s="372">
        <v>0.0</v>
      </c>
    </row>
    <row r="41096">
      <c r="Y41096" s="372">
        <v>0.0</v>
      </c>
      <c r="Z41096" s="372">
        <v>0.0</v>
      </c>
    </row>
    <row r="41097">
      <c r="Y41097" s="372">
        <v>0.0</v>
      </c>
      <c r="Z41097" s="372">
        <v>0.0</v>
      </c>
    </row>
    <row r="41098">
      <c r="Y41098" s="372">
        <v>0.0</v>
      </c>
      <c r="Z41098" s="372">
        <v>0.0</v>
      </c>
    </row>
    <row r="41099">
      <c r="Y41099" s="372">
        <v>0.0</v>
      </c>
      <c r="Z41099" s="372">
        <v>0.0</v>
      </c>
    </row>
    <row r="41100">
      <c r="Y41100" s="372">
        <v>0.0</v>
      </c>
      <c r="Z41100" s="372">
        <v>0.0</v>
      </c>
    </row>
    <row r="41101">
      <c r="Y41101" s="372">
        <v>0.0</v>
      </c>
      <c r="Z41101" s="372">
        <v>0.0</v>
      </c>
    </row>
    <row r="41102">
      <c r="Y41102" s="372">
        <v>0.0</v>
      </c>
      <c r="Z41102" s="372">
        <v>0.0</v>
      </c>
    </row>
    <row r="41103">
      <c r="Y41103" s="372">
        <v>0.0</v>
      </c>
      <c r="Z41103" s="372">
        <v>0.0</v>
      </c>
    </row>
    <row r="41104">
      <c r="Y41104" s="372">
        <v>0.0</v>
      </c>
      <c r="Z41104" s="372">
        <v>0.0</v>
      </c>
    </row>
    <row r="41105">
      <c r="Y41105" s="372">
        <v>0.0</v>
      </c>
      <c r="Z41105" s="372">
        <v>0.0</v>
      </c>
    </row>
    <row r="41106">
      <c r="Y41106" s="372">
        <v>0.0</v>
      </c>
      <c r="Z41106" s="372">
        <v>0.0</v>
      </c>
    </row>
    <row r="41107">
      <c r="Y41107" s="372">
        <v>0.0</v>
      </c>
      <c r="Z41107" s="372">
        <v>0.0</v>
      </c>
    </row>
    <row r="41108">
      <c r="Y41108" s="372">
        <v>0.0</v>
      </c>
      <c r="Z41108" s="372">
        <v>0.0</v>
      </c>
    </row>
    <row r="41109">
      <c r="Y41109" s="372">
        <v>0.0</v>
      </c>
      <c r="Z41109" s="372">
        <v>0.0</v>
      </c>
    </row>
    <row r="41110">
      <c r="Y41110" s="372">
        <v>0.0</v>
      </c>
      <c r="Z41110" s="372">
        <v>0.0</v>
      </c>
    </row>
    <row r="41111">
      <c r="Y41111" s="372">
        <v>0.0</v>
      </c>
      <c r="Z41111" s="372">
        <v>0.0</v>
      </c>
    </row>
    <row r="41112">
      <c r="Y41112" s="372">
        <v>0.0</v>
      </c>
      <c r="Z41112" s="372">
        <v>0.0</v>
      </c>
    </row>
    <row r="41113">
      <c r="Y41113" s="372">
        <v>0.0</v>
      </c>
      <c r="Z41113" s="372">
        <v>0.0</v>
      </c>
    </row>
    <row r="41114">
      <c r="Y41114" s="372">
        <v>0.0</v>
      </c>
      <c r="Z41114" s="372">
        <v>0.0</v>
      </c>
    </row>
    <row r="41115">
      <c r="Y41115" s="372">
        <v>0.0</v>
      </c>
      <c r="Z41115" s="372">
        <v>0.0</v>
      </c>
    </row>
    <row r="41116">
      <c r="Y41116" s="372">
        <v>0.0</v>
      </c>
      <c r="Z41116" s="372">
        <v>0.0</v>
      </c>
    </row>
    <row r="41117">
      <c r="Y41117" s="372">
        <v>0.0</v>
      </c>
      <c r="Z41117" s="372">
        <v>0.0</v>
      </c>
    </row>
    <row r="41118">
      <c r="Y41118" s="372">
        <v>0.0</v>
      </c>
      <c r="Z41118" s="372">
        <v>0.0</v>
      </c>
    </row>
    <row r="41119">
      <c r="Y41119" s="372">
        <v>0.0</v>
      </c>
      <c r="Z41119" s="372">
        <v>0.0</v>
      </c>
    </row>
    <row r="41120">
      <c r="Y41120" s="372">
        <v>0.0</v>
      </c>
      <c r="Z41120" s="372">
        <v>0.0</v>
      </c>
    </row>
    <row r="41121">
      <c r="Y41121" s="372">
        <v>0.0</v>
      </c>
      <c r="Z41121" s="372">
        <v>0.0</v>
      </c>
    </row>
    <row r="41122">
      <c r="Y41122" s="372">
        <v>0.0</v>
      </c>
      <c r="Z41122" s="372">
        <v>0.0</v>
      </c>
    </row>
    <row r="41123">
      <c r="Y41123" s="372">
        <v>0.0</v>
      </c>
      <c r="Z41123" s="372">
        <v>0.0</v>
      </c>
    </row>
    <row r="41124">
      <c r="Y41124" s="372">
        <v>0.0</v>
      </c>
      <c r="Z41124" s="372">
        <v>0.0</v>
      </c>
    </row>
    <row r="41125">
      <c r="Y41125" s="372">
        <v>0.0</v>
      </c>
      <c r="Z41125" s="372">
        <v>0.0</v>
      </c>
    </row>
    <row r="41126">
      <c r="Y41126" s="372">
        <v>0.0</v>
      </c>
      <c r="Z41126" s="372">
        <v>0.0</v>
      </c>
    </row>
    <row r="41127">
      <c r="Y41127" s="372">
        <v>0.0</v>
      </c>
      <c r="Z41127" s="372">
        <v>0.0</v>
      </c>
    </row>
    <row r="41128">
      <c r="Y41128" s="372">
        <v>0.0</v>
      </c>
      <c r="Z41128" s="372">
        <v>0.0</v>
      </c>
    </row>
    <row r="41129">
      <c r="Y41129" s="372">
        <v>0.0</v>
      </c>
      <c r="Z41129" s="372">
        <v>0.0</v>
      </c>
    </row>
    <row r="41130">
      <c r="Y41130" s="372">
        <v>0.0</v>
      </c>
      <c r="Z41130" s="372">
        <v>0.0</v>
      </c>
    </row>
    <row r="41131">
      <c r="Y41131" s="372">
        <v>0.0</v>
      </c>
      <c r="Z41131" s="372">
        <v>0.0</v>
      </c>
    </row>
    <row r="41132">
      <c r="Y41132" s="372">
        <v>0.0</v>
      </c>
      <c r="Z41132" s="372">
        <v>0.0</v>
      </c>
    </row>
    <row r="41133">
      <c r="Y41133" s="372">
        <v>0.0</v>
      </c>
      <c r="Z41133" s="372">
        <v>0.0</v>
      </c>
    </row>
    <row r="41134">
      <c r="Y41134" s="372">
        <v>0.0</v>
      </c>
      <c r="Z41134" s="372">
        <v>0.0</v>
      </c>
    </row>
    <row r="41135">
      <c r="Y41135" s="372">
        <v>0.0</v>
      </c>
      <c r="Z41135" s="372">
        <v>0.0</v>
      </c>
    </row>
    <row r="41136">
      <c r="Y41136" s="372">
        <v>0.0</v>
      </c>
      <c r="Z41136" s="372">
        <v>0.0</v>
      </c>
    </row>
    <row r="41137">
      <c r="Y41137" s="372">
        <v>0.0</v>
      </c>
      <c r="Z41137" s="372">
        <v>0.0</v>
      </c>
    </row>
    <row r="41138">
      <c r="Y41138" s="372">
        <v>0.0</v>
      </c>
      <c r="Z41138" s="372">
        <v>0.0</v>
      </c>
    </row>
    <row r="41139">
      <c r="Y41139" s="372">
        <v>0.0</v>
      </c>
      <c r="Z41139" s="372">
        <v>0.0</v>
      </c>
    </row>
    <row r="41140">
      <c r="Y41140" s="372">
        <v>0.0</v>
      </c>
      <c r="Z41140" s="372">
        <v>0.0</v>
      </c>
    </row>
    <row r="41141">
      <c r="Y41141" s="372">
        <v>0.0</v>
      </c>
      <c r="Z41141" s="372">
        <v>0.0</v>
      </c>
    </row>
    <row r="41142">
      <c r="Y41142" s="372">
        <v>0.0</v>
      </c>
      <c r="Z41142" s="372">
        <v>0.0</v>
      </c>
    </row>
    <row r="41143">
      <c r="Y41143" s="372">
        <v>0.0</v>
      </c>
      <c r="Z41143" s="372">
        <v>0.0</v>
      </c>
    </row>
    <row r="41144">
      <c r="Y41144" s="372">
        <v>0.0</v>
      </c>
      <c r="Z41144" s="372">
        <v>0.0</v>
      </c>
    </row>
    <row r="41145">
      <c r="Y41145" s="372">
        <v>0.0</v>
      </c>
      <c r="Z41145" s="372">
        <v>0.0</v>
      </c>
    </row>
    <row r="41146">
      <c r="Y41146" s="372">
        <v>0.0</v>
      </c>
      <c r="Z41146" s="372">
        <v>0.0</v>
      </c>
    </row>
    <row r="41147">
      <c r="Y41147" s="372">
        <v>0.0</v>
      </c>
      <c r="Z41147" s="372">
        <v>0.0</v>
      </c>
    </row>
    <row r="41148">
      <c r="Y41148" s="372">
        <v>0.0</v>
      </c>
      <c r="Z41148" s="372">
        <v>0.0</v>
      </c>
    </row>
    <row r="41149">
      <c r="Y41149" s="372">
        <v>0.0</v>
      </c>
      <c r="Z41149" s="372">
        <v>0.0</v>
      </c>
    </row>
    <row r="41150">
      <c r="Y41150" s="372">
        <v>0.0</v>
      </c>
      <c r="Z41150" s="372">
        <v>0.0</v>
      </c>
    </row>
    <row r="41151">
      <c r="Y41151" s="372">
        <v>0.0</v>
      </c>
      <c r="Z41151" s="372">
        <v>0.0</v>
      </c>
    </row>
    <row r="41152">
      <c r="Y41152" s="372">
        <v>0.0</v>
      </c>
      <c r="Z41152" s="372">
        <v>0.0</v>
      </c>
    </row>
    <row r="41153">
      <c r="Y41153" s="372">
        <v>0.0</v>
      </c>
      <c r="Z41153" s="372">
        <v>0.0</v>
      </c>
    </row>
    <row r="41154">
      <c r="Y41154" s="372">
        <v>0.0</v>
      </c>
      <c r="Z41154" s="372">
        <v>0.0</v>
      </c>
    </row>
    <row r="41155">
      <c r="Y41155" s="372">
        <v>0.0</v>
      </c>
      <c r="Z41155" s="372">
        <v>0.0</v>
      </c>
    </row>
    <row r="41156">
      <c r="Y41156" s="372">
        <v>0.0</v>
      </c>
      <c r="Z41156" s="372">
        <v>0.0</v>
      </c>
    </row>
    <row r="41157">
      <c r="Y41157" s="372">
        <v>0.0</v>
      </c>
      <c r="Z41157" s="372">
        <v>0.0</v>
      </c>
    </row>
    <row r="41158">
      <c r="Y41158" s="372">
        <v>0.0</v>
      </c>
      <c r="Z41158" s="372">
        <v>0.0</v>
      </c>
    </row>
    <row r="41159">
      <c r="Y41159" s="372">
        <v>0.0</v>
      </c>
      <c r="Z41159" s="372">
        <v>0.0</v>
      </c>
    </row>
    <row r="41160">
      <c r="Y41160" s="372">
        <v>0.0</v>
      </c>
      <c r="Z41160" s="372">
        <v>0.0</v>
      </c>
    </row>
    <row r="41161">
      <c r="Y41161" s="372">
        <v>0.0</v>
      </c>
      <c r="Z41161" s="372">
        <v>0.0</v>
      </c>
    </row>
    <row r="41162">
      <c r="Y41162" s="372">
        <v>0.0</v>
      </c>
      <c r="Z41162" s="372">
        <v>0.0</v>
      </c>
    </row>
    <row r="41163">
      <c r="Y41163" s="372">
        <v>0.0</v>
      </c>
      <c r="Z41163" s="372">
        <v>0.0</v>
      </c>
    </row>
    <row r="41164">
      <c r="Y41164" s="372">
        <v>0.0</v>
      </c>
      <c r="Z41164" s="372">
        <v>0.0</v>
      </c>
    </row>
    <row r="41165">
      <c r="Y41165" s="372">
        <v>0.0</v>
      </c>
      <c r="Z41165" s="372">
        <v>0.0</v>
      </c>
    </row>
    <row r="41166">
      <c r="Y41166" s="372">
        <v>0.0</v>
      </c>
      <c r="Z41166" s="372">
        <v>0.0</v>
      </c>
    </row>
    <row r="41167">
      <c r="Y41167" s="372">
        <v>0.0</v>
      </c>
      <c r="Z41167" s="372">
        <v>0.0</v>
      </c>
    </row>
    <row r="41168">
      <c r="Y41168" s="372">
        <v>0.0</v>
      </c>
      <c r="Z41168" s="372">
        <v>0.0</v>
      </c>
    </row>
    <row r="41169">
      <c r="Y41169" s="372">
        <v>0.0</v>
      </c>
      <c r="Z41169" s="372">
        <v>0.0</v>
      </c>
    </row>
    <row r="41170">
      <c r="Y41170" s="372">
        <v>0.0</v>
      </c>
      <c r="Z41170" s="372">
        <v>0.0</v>
      </c>
    </row>
    <row r="41171">
      <c r="Y41171" s="372">
        <v>0.0</v>
      </c>
      <c r="Z41171" s="372">
        <v>0.0</v>
      </c>
    </row>
    <row r="41172">
      <c r="Y41172" s="372">
        <v>0.0</v>
      </c>
      <c r="Z41172" s="372">
        <v>0.0</v>
      </c>
    </row>
    <row r="41173">
      <c r="Y41173" s="372">
        <v>0.0</v>
      </c>
      <c r="Z41173" s="372">
        <v>0.0</v>
      </c>
    </row>
    <row r="41174">
      <c r="Y41174" s="372">
        <v>0.0</v>
      </c>
      <c r="Z41174" s="372">
        <v>0.0</v>
      </c>
    </row>
    <row r="41175">
      <c r="Y41175" s="372">
        <v>0.0</v>
      </c>
      <c r="Z41175" s="372">
        <v>0.0</v>
      </c>
    </row>
    <row r="41176">
      <c r="Y41176" s="372">
        <v>0.0</v>
      </c>
      <c r="Z41176" s="372">
        <v>0.0</v>
      </c>
    </row>
    <row r="41177">
      <c r="Y41177" s="372">
        <v>0.0</v>
      </c>
      <c r="Z41177" s="372">
        <v>0.0</v>
      </c>
    </row>
    <row r="41178">
      <c r="Y41178" s="372">
        <v>0.0</v>
      </c>
      <c r="Z41178" s="372">
        <v>0.0</v>
      </c>
    </row>
    <row r="41179">
      <c r="Y41179" s="372">
        <v>0.0</v>
      </c>
      <c r="Z41179" s="372">
        <v>0.0</v>
      </c>
    </row>
    <row r="41180">
      <c r="Y41180" s="372">
        <v>0.0</v>
      </c>
      <c r="Z41180" s="372">
        <v>0.0</v>
      </c>
    </row>
    <row r="41181">
      <c r="Y41181" s="372">
        <v>0.0</v>
      </c>
      <c r="Z41181" s="372">
        <v>0.0</v>
      </c>
    </row>
    <row r="41182">
      <c r="Y41182" s="372">
        <v>0.0</v>
      </c>
      <c r="Z41182" s="372">
        <v>0.0</v>
      </c>
    </row>
    <row r="41183">
      <c r="Y41183" s="372">
        <v>0.0</v>
      </c>
      <c r="Z41183" s="372">
        <v>0.0</v>
      </c>
    </row>
    <row r="41184">
      <c r="Y41184" s="372">
        <v>0.0</v>
      </c>
      <c r="Z41184" s="372">
        <v>0.0</v>
      </c>
    </row>
    <row r="41185">
      <c r="Y41185" s="372">
        <v>0.0</v>
      </c>
      <c r="Z41185" s="372">
        <v>0.0</v>
      </c>
    </row>
    <row r="41186">
      <c r="Y41186" s="372">
        <v>0.0</v>
      </c>
      <c r="Z41186" s="372">
        <v>0.0</v>
      </c>
    </row>
    <row r="41187">
      <c r="Y41187" s="372">
        <v>0.0</v>
      </c>
      <c r="Z41187" s="372">
        <v>0.0</v>
      </c>
    </row>
    <row r="41188">
      <c r="Y41188" s="372">
        <v>0.0</v>
      </c>
      <c r="Z41188" s="372">
        <v>0.0</v>
      </c>
    </row>
    <row r="41189">
      <c r="Y41189" s="372">
        <v>0.0</v>
      </c>
      <c r="Z41189" s="372">
        <v>0.0</v>
      </c>
    </row>
    <row r="41190">
      <c r="Y41190" s="372">
        <v>0.0</v>
      </c>
      <c r="Z41190" s="372">
        <v>0.0</v>
      </c>
    </row>
    <row r="41191">
      <c r="Y41191" s="372">
        <v>0.0</v>
      </c>
      <c r="Z41191" s="372">
        <v>0.0</v>
      </c>
    </row>
    <row r="41192">
      <c r="Y41192" s="372">
        <v>0.0</v>
      </c>
      <c r="Z41192" s="372">
        <v>0.0</v>
      </c>
    </row>
    <row r="41193">
      <c r="Y41193" s="372">
        <v>0.0</v>
      </c>
      <c r="Z41193" s="372">
        <v>0.0</v>
      </c>
    </row>
    <row r="41194">
      <c r="Y41194" s="372">
        <v>0.0</v>
      </c>
      <c r="Z41194" s="372">
        <v>0.0</v>
      </c>
    </row>
    <row r="41195">
      <c r="Y41195" s="372">
        <v>0.0</v>
      </c>
      <c r="Z41195" s="372">
        <v>0.0</v>
      </c>
    </row>
    <row r="41196">
      <c r="Y41196" s="372">
        <v>0.0</v>
      </c>
      <c r="Z41196" s="372">
        <v>0.0</v>
      </c>
    </row>
    <row r="41197">
      <c r="Y41197" s="372">
        <v>0.0</v>
      </c>
      <c r="Z41197" s="372">
        <v>0.0</v>
      </c>
    </row>
    <row r="41198">
      <c r="Y41198" s="372">
        <v>0.0</v>
      </c>
      <c r="Z41198" s="372">
        <v>0.0</v>
      </c>
    </row>
    <row r="41199">
      <c r="Y41199" s="372">
        <v>0.0</v>
      </c>
      <c r="Z41199" s="372">
        <v>0.0</v>
      </c>
    </row>
    <row r="41200">
      <c r="Y41200" s="372">
        <v>0.0</v>
      </c>
      <c r="Z41200" s="372">
        <v>0.0</v>
      </c>
    </row>
    <row r="41201">
      <c r="Y41201" s="372">
        <v>0.0</v>
      </c>
      <c r="Z41201" s="372">
        <v>0.0</v>
      </c>
    </row>
    <row r="41202">
      <c r="Y41202" s="372">
        <v>0.0</v>
      </c>
      <c r="Z41202" s="372">
        <v>0.0</v>
      </c>
    </row>
    <row r="41203">
      <c r="Y41203" s="372">
        <v>0.0</v>
      </c>
      <c r="Z41203" s="372">
        <v>0.0</v>
      </c>
    </row>
    <row r="41204">
      <c r="Y41204" s="372">
        <v>0.0</v>
      </c>
      <c r="Z41204" s="372">
        <v>0.0</v>
      </c>
    </row>
    <row r="41205">
      <c r="Y41205" s="372">
        <v>0.0</v>
      </c>
      <c r="Z41205" s="372">
        <v>0.0</v>
      </c>
    </row>
    <row r="41206">
      <c r="Y41206" s="372">
        <v>0.0</v>
      </c>
      <c r="Z41206" s="372">
        <v>0.0</v>
      </c>
    </row>
    <row r="41207">
      <c r="Y41207" s="372">
        <v>0.0</v>
      </c>
      <c r="Z41207" s="372">
        <v>0.0</v>
      </c>
    </row>
    <row r="41208">
      <c r="Y41208" s="372">
        <v>0.0</v>
      </c>
      <c r="Z41208" s="372">
        <v>0.0</v>
      </c>
    </row>
    <row r="41209">
      <c r="Y41209" s="372">
        <v>0.0</v>
      </c>
      <c r="Z41209" s="372">
        <v>0.0</v>
      </c>
    </row>
    <row r="41210">
      <c r="Y41210" s="372">
        <v>0.0</v>
      </c>
      <c r="Z41210" s="372">
        <v>0.0</v>
      </c>
    </row>
    <row r="41211">
      <c r="Y41211" s="372">
        <v>0.0</v>
      </c>
      <c r="Z41211" s="372">
        <v>0.0</v>
      </c>
    </row>
    <row r="41212">
      <c r="Y41212" s="372">
        <v>0.0</v>
      </c>
      <c r="Z41212" s="372">
        <v>0.0</v>
      </c>
    </row>
    <row r="41213">
      <c r="Y41213" s="372">
        <v>0.0</v>
      </c>
      <c r="Z41213" s="372">
        <v>0.0</v>
      </c>
    </row>
    <row r="41214">
      <c r="Y41214" s="372">
        <v>0.0</v>
      </c>
      <c r="Z41214" s="372">
        <v>0.0</v>
      </c>
    </row>
    <row r="41215">
      <c r="Y41215" s="372">
        <v>0.0</v>
      </c>
      <c r="Z41215" s="372">
        <v>0.0</v>
      </c>
    </row>
    <row r="41216">
      <c r="Y41216" s="372">
        <v>0.0</v>
      </c>
      <c r="Z41216" s="372">
        <v>0.0</v>
      </c>
    </row>
    <row r="41217">
      <c r="Y41217" s="372">
        <v>0.0</v>
      </c>
      <c r="Z41217" s="372">
        <v>0.0</v>
      </c>
    </row>
    <row r="41218">
      <c r="Y41218" s="372">
        <v>0.0</v>
      </c>
      <c r="Z41218" s="372">
        <v>0.0</v>
      </c>
    </row>
    <row r="41219">
      <c r="Y41219" s="372">
        <v>0.0</v>
      </c>
      <c r="Z41219" s="372">
        <v>0.0</v>
      </c>
    </row>
    <row r="41220">
      <c r="Y41220" s="372">
        <v>0.0</v>
      </c>
      <c r="Z41220" s="372">
        <v>0.0</v>
      </c>
    </row>
    <row r="41221">
      <c r="Y41221" s="372">
        <v>0.0</v>
      </c>
      <c r="Z41221" s="372">
        <v>0.0</v>
      </c>
    </row>
    <row r="41222">
      <c r="Y41222" s="372">
        <v>0.0</v>
      </c>
      <c r="Z41222" s="372">
        <v>0.0</v>
      </c>
    </row>
    <row r="41223">
      <c r="Y41223" s="372">
        <v>0.0</v>
      </c>
      <c r="Z41223" s="372">
        <v>0.0</v>
      </c>
    </row>
    <row r="41224">
      <c r="Y41224" s="372">
        <v>0.0</v>
      </c>
      <c r="Z41224" s="372">
        <v>0.0</v>
      </c>
    </row>
    <row r="41225">
      <c r="Y41225" s="372">
        <v>0.0</v>
      </c>
      <c r="Z41225" s="372">
        <v>0.0</v>
      </c>
    </row>
    <row r="41226">
      <c r="Y41226" s="372">
        <v>0.0</v>
      </c>
      <c r="Z41226" s="372">
        <v>0.0</v>
      </c>
    </row>
    <row r="41227">
      <c r="Y41227" s="372">
        <v>0.0</v>
      </c>
      <c r="Z41227" s="372">
        <v>0.0</v>
      </c>
    </row>
    <row r="41228">
      <c r="Y41228" s="372">
        <v>0.0</v>
      </c>
      <c r="Z41228" s="372">
        <v>0.0</v>
      </c>
    </row>
    <row r="41229">
      <c r="Y41229" s="372">
        <v>0.0</v>
      </c>
      <c r="Z41229" s="372">
        <v>0.0</v>
      </c>
    </row>
    <row r="41230">
      <c r="Y41230" s="372">
        <v>0.0</v>
      </c>
      <c r="Z41230" s="372">
        <v>0.0</v>
      </c>
    </row>
    <row r="41231">
      <c r="Y41231" s="372">
        <v>0.0</v>
      </c>
      <c r="Z41231" s="372">
        <v>0.0</v>
      </c>
    </row>
    <row r="41232">
      <c r="Y41232" s="372">
        <v>0.0</v>
      </c>
      <c r="Z41232" s="372">
        <v>0.0</v>
      </c>
    </row>
    <row r="41233">
      <c r="Y41233" s="372">
        <v>0.0</v>
      </c>
      <c r="Z41233" s="372">
        <v>0.0</v>
      </c>
    </row>
    <row r="41234">
      <c r="Y41234" s="372">
        <v>0.0</v>
      </c>
      <c r="Z41234" s="372">
        <v>0.0</v>
      </c>
    </row>
    <row r="41235">
      <c r="Y41235" s="372">
        <v>0.0</v>
      </c>
      <c r="Z41235" s="372">
        <v>0.0</v>
      </c>
    </row>
    <row r="41236">
      <c r="Y41236" s="372">
        <v>0.0</v>
      </c>
      <c r="Z41236" s="372">
        <v>0.0</v>
      </c>
    </row>
    <row r="41237">
      <c r="Y41237" s="372">
        <v>0.0</v>
      </c>
      <c r="Z41237" s="372">
        <v>0.0</v>
      </c>
    </row>
    <row r="41238">
      <c r="Y41238" s="372">
        <v>0.0</v>
      </c>
      <c r="Z41238" s="372">
        <v>0.0</v>
      </c>
    </row>
    <row r="41239">
      <c r="Y41239" s="372">
        <v>0.0</v>
      </c>
      <c r="Z41239" s="372">
        <v>0.0</v>
      </c>
    </row>
    <row r="41240">
      <c r="Y41240" s="372">
        <v>0.0</v>
      </c>
      <c r="Z41240" s="372">
        <v>0.0</v>
      </c>
    </row>
    <row r="41241">
      <c r="Y41241" s="372">
        <v>0.0</v>
      </c>
      <c r="Z41241" s="372">
        <v>0.0</v>
      </c>
    </row>
    <row r="41242">
      <c r="Y41242" s="372">
        <v>0.0</v>
      </c>
      <c r="Z41242" s="372">
        <v>0.0</v>
      </c>
    </row>
    <row r="41243">
      <c r="Y41243" s="372">
        <v>0.0</v>
      </c>
      <c r="Z41243" s="372">
        <v>0.0</v>
      </c>
    </row>
    <row r="41244">
      <c r="Y41244" s="372">
        <v>0.0</v>
      </c>
      <c r="Z41244" s="372">
        <v>0.0</v>
      </c>
    </row>
    <row r="41245">
      <c r="Y41245" s="372">
        <v>0.0</v>
      </c>
      <c r="Z41245" s="372">
        <v>0.0</v>
      </c>
    </row>
    <row r="41246">
      <c r="Y41246" s="372">
        <v>0.0</v>
      </c>
      <c r="Z41246" s="372">
        <v>0.0</v>
      </c>
    </row>
    <row r="41247">
      <c r="Y41247" s="372">
        <v>0.0</v>
      </c>
      <c r="Z41247" s="372">
        <v>0.0</v>
      </c>
    </row>
    <row r="41248">
      <c r="Y41248" s="372">
        <v>0.0</v>
      </c>
      <c r="Z41248" s="372">
        <v>0.0</v>
      </c>
    </row>
    <row r="41249">
      <c r="Y41249" s="372">
        <v>0.0</v>
      </c>
      <c r="Z41249" s="372">
        <v>0.0</v>
      </c>
    </row>
    <row r="41250">
      <c r="Y41250" s="372">
        <v>0.0</v>
      </c>
      <c r="Z41250" s="372">
        <v>0.0</v>
      </c>
    </row>
    <row r="41251">
      <c r="Y41251" s="372">
        <v>0.0</v>
      </c>
      <c r="Z41251" s="372">
        <v>0.0</v>
      </c>
    </row>
    <row r="41252">
      <c r="Y41252" s="372">
        <v>0.0</v>
      </c>
      <c r="Z41252" s="372">
        <v>0.0</v>
      </c>
    </row>
    <row r="41253">
      <c r="Y41253" s="372">
        <v>0.0</v>
      </c>
      <c r="Z41253" s="372">
        <v>0.0</v>
      </c>
    </row>
    <row r="41254">
      <c r="Y41254" s="372">
        <v>0.0</v>
      </c>
      <c r="Z41254" s="372">
        <v>0.0</v>
      </c>
    </row>
    <row r="41255">
      <c r="Y41255" s="372">
        <v>0.0</v>
      </c>
      <c r="Z41255" s="372">
        <v>0.0</v>
      </c>
    </row>
    <row r="41256">
      <c r="Y41256" s="372">
        <v>0.0</v>
      </c>
      <c r="Z41256" s="372">
        <v>0.0</v>
      </c>
    </row>
    <row r="41257">
      <c r="Y41257" s="372">
        <v>0.0</v>
      </c>
      <c r="Z41257" s="372">
        <v>0.0</v>
      </c>
    </row>
    <row r="41258">
      <c r="Y41258" s="372">
        <v>0.0</v>
      </c>
      <c r="Z41258" s="372">
        <v>0.0</v>
      </c>
    </row>
    <row r="41259">
      <c r="Y41259" s="372">
        <v>0.0</v>
      </c>
      <c r="Z41259" s="372">
        <v>0.0</v>
      </c>
    </row>
    <row r="41260">
      <c r="Y41260" s="372">
        <v>0.0</v>
      </c>
      <c r="Z41260" s="372">
        <v>0.0</v>
      </c>
    </row>
    <row r="41261">
      <c r="Y41261" s="372">
        <v>0.0</v>
      </c>
      <c r="Z41261" s="372">
        <v>0.0</v>
      </c>
    </row>
    <row r="41262">
      <c r="Y41262" s="372">
        <v>0.0</v>
      </c>
      <c r="Z41262" s="372">
        <v>0.0</v>
      </c>
    </row>
    <row r="41263">
      <c r="Y41263" s="372">
        <v>0.0</v>
      </c>
      <c r="Z41263" s="372">
        <v>0.0</v>
      </c>
    </row>
    <row r="41264">
      <c r="Y41264" s="372">
        <v>0.0</v>
      </c>
      <c r="Z41264" s="372">
        <v>0.0</v>
      </c>
    </row>
    <row r="41265">
      <c r="Y41265" s="372">
        <v>0.0</v>
      </c>
      <c r="Z41265" s="372">
        <v>0.0</v>
      </c>
    </row>
    <row r="41266">
      <c r="Y41266" s="372">
        <v>0.0</v>
      </c>
      <c r="Z41266" s="372">
        <v>0.0</v>
      </c>
    </row>
    <row r="41267">
      <c r="Y41267" s="372">
        <v>0.0</v>
      </c>
      <c r="Z41267" s="372">
        <v>0.0</v>
      </c>
    </row>
    <row r="41268">
      <c r="Y41268" s="372">
        <v>0.0</v>
      </c>
      <c r="Z41268" s="372">
        <v>0.0</v>
      </c>
    </row>
    <row r="41269">
      <c r="Y41269" s="372">
        <v>0.0</v>
      </c>
      <c r="Z41269" s="372">
        <v>0.0</v>
      </c>
    </row>
    <row r="41270">
      <c r="Y41270" s="372">
        <v>0.0</v>
      </c>
      <c r="Z41270" s="372">
        <v>0.0</v>
      </c>
    </row>
    <row r="41271">
      <c r="Y41271" s="372">
        <v>0.0</v>
      </c>
      <c r="Z41271" s="372">
        <v>0.0</v>
      </c>
    </row>
    <row r="41272">
      <c r="Y41272" s="372">
        <v>0.0</v>
      </c>
      <c r="Z41272" s="372">
        <v>0.0</v>
      </c>
    </row>
    <row r="41273">
      <c r="Y41273" s="372">
        <v>0.0</v>
      </c>
      <c r="Z41273" s="372">
        <v>0.0</v>
      </c>
    </row>
    <row r="41274">
      <c r="Y41274" s="372">
        <v>0.0</v>
      </c>
      <c r="Z41274" s="372">
        <v>0.0</v>
      </c>
    </row>
    <row r="41275">
      <c r="Y41275" s="372">
        <v>0.0</v>
      </c>
      <c r="Z41275" s="372">
        <v>0.0</v>
      </c>
    </row>
    <row r="41276">
      <c r="Y41276" s="372">
        <v>0.0</v>
      </c>
      <c r="Z41276" s="372">
        <v>0.0</v>
      </c>
    </row>
    <row r="41277">
      <c r="Y41277" s="372">
        <v>0.0</v>
      </c>
      <c r="Z41277" s="372">
        <v>0.0</v>
      </c>
    </row>
    <row r="41278">
      <c r="Y41278" s="372">
        <v>0.0</v>
      </c>
      <c r="Z41278" s="372">
        <v>0.0</v>
      </c>
    </row>
    <row r="41279">
      <c r="Y41279" s="372">
        <v>0.0</v>
      </c>
      <c r="Z41279" s="372">
        <v>0.0</v>
      </c>
    </row>
    <row r="41280">
      <c r="Y41280" s="372">
        <v>0.0</v>
      </c>
      <c r="Z41280" s="372">
        <v>0.0</v>
      </c>
    </row>
    <row r="41281">
      <c r="Y41281" s="372">
        <v>0.0</v>
      </c>
      <c r="Z41281" s="372">
        <v>0.0</v>
      </c>
    </row>
    <row r="41282">
      <c r="Y41282" s="372">
        <v>0.0</v>
      </c>
      <c r="Z41282" s="372">
        <v>0.0</v>
      </c>
    </row>
    <row r="41283">
      <c r="Y41283" s="372">
        <v>0.0</v>
      </c>
      <c r="Z41283" s="372">
        <v>0.0</v>
      </c>
    </row>
    <row r="41284">
      <c r="Y41284" s="372">
        <v>0.0</v>
      </c>
      <c r="Z41284" s="372">
        <v>0.0</v>
      </c>
    </row>
    <row r="41285">
      <c r="Y41285" s="372">
        <v>0.0</v>
      </c>
      <c r="Z41285" s="372">
        <v>0.0</v>
      </c>
    </row>
    <row r="41286">
      <c r="Y41286" s="372">
        <v>0.0</v>
      </c>
      <c r="Z41286" s="372">
        <v>0.0</v>
      </c>
    </row>
    <row r="41287">
      <c r="Y41287" s="372">
        <v>0.0</v>
      </c>
      <c r="Z41287" s="372">
        <v>0.0</v>
      </c>
    </row>
    <row r="41288">
      <c r="Y41288" s="372">
        <v>0.0</v>
      </c>
      <c r="Z41288" s="372">
        <v>0.0</v>
      </c>
    </row>
    <row r="41289">
      <c r="Y41289" s="372">
        <v>0.0</v>
      </c>
      <c r="Z41289" s="372">
        <v>0.0</v>
      </c>
    </row>
    <row r="41290">
      <c r="Y41290" s="372">
        <v>0.0</v>
      </c>
      <c r="Z41290" s="372">
        <v>0.0</v>
      </c>
    </row>
    <row r="41291">
      <c r="Y41291" s="372">
        <v>0.0</v>
      </c>
      <c r="Z41291" s="372">
        <v>0.0</v>
      </c>
    </row>
    <row r="41292">
      <c r="Y41292" s="372">
        <v>0.0</v>
      </c>
      <c r="Z41292" s="372">
        <v>0.0</v>
      </c>
    </row>
    <row r="41293">
      <c r="Y41293" s="372">
        <v>0.0</v>
      </c>
      <c r="Z41293" s="372">
        <v>0.0</v>
      </c>
    </row>
    <row r="41294">
      <c r="Y41294" s="372">
        <v>0.0</v>
      </c>
      <c r="Z41294" s="372">
        <v>0.0</v>
      </c>
    </row>
    <row r="41295">
      <c r="Y41295" s="372">
        <v>0.0</v>
      </c>
      <c r="Z41295" s="372">
        <v>0.0</v>
      </c>
    </row>
    <row r="41296">
      <c r="Y41296" s="372">
        <v>0.0</v>
      </c>
      <c r="Z41296" s="372">
        <v>0.0</v>
      </c>
    </row>
    <row r="41297">
      <c r="Y41297" s="372">
        <v>0.0</v>
      </c>
      <c r="Z41297" s="372">
        <v>0.0</v>
      </c>
    </row>
    <row r="41298">
      <c r="Y41298" s="372">
        <v>0.0</v>
      </c>
      <c r="Z41298" s="372">
        <v>0.0</v>
      </c>
    </row>
    <row r="41299">
      <c r="Y41299" s="372">
        <v>0.0</v>
      </c>
      <c r="Z41299" s="372">
        <v>0.0</v>
      </c>
    </row>
    <row r="41300">
      <c r="Y41300" s="372">
        <v>0.0</v>
      </c>
      <c r="Z41300" s="372">
        <v>0.0</v>
      </c>
    </row>
    <row r="41301">
      <c r="Y41301" s="372">
        <v>0.0</v>
      </c>
      <c r="Z41301" s="372">
        <v>0.0</v>
      </c>
    </row>
    <row r="41302">
      <c r="Y41302" s="372">
        <v>0.0</v>
      </c>
      <c r="Z41302" s="372">
        <v>0.0</v>
      </c>
    </row>
    <row r="41303">
      <c r="Y41303" s="372">
        <v>0.0</v>
      </c>
      <c r="Z41303" s="372">
        <v>0.0</v>
      </c>
    </row>
    <row r="41304">
      <c r="Y41304" s="372">
        <v>0.0</v>
      </c>
      <c r="Z41304" s="372">
        <v>0.0</v>
      </c>
    </row>
    <row r="41305">
      <c r="Y41305" s="372">
        <v>0.0</v>
      </c>
      <c r="Z41305" s="372">
        <v>0.0</v>
      </c>
    </row>
    <row r="41306">
      <c r="Y41306" s="372">
        <v>0.0</v>
      </c>
      <c r="Z41306" s="372">
        <v>0.0</v>
      </c>
    </row>
    <row r="41307">
      <c r="Y41307" s="372">
        <v>0.0</v>
      </c>
      <c r="Z41307" s="372">
        <v>0.0</v>
      </c>
    </row>
    <row r="41308">
      <c r="Y41308" s="372">
        <v>0.0</v>
      </c>
      <c r="Z41308" s="372">
        <v>0.0</v>
      </c>
    </row>
    <row r="41309">
      <c r="Y41309" s="372">
        <v>0.0</v>
      </c>
      <c r="Z41309" s="372">
        <v>0.0</v>
      </c>
    </row>
    <row r="41310">
      <c r="Y41310" s="372">
        <v>0.0</v>
      </c>
      <c r="Z41310" s="372">
        <v>0.0</v>
      </c>
    </row>
    <row r="41311">
      <c r="Y41311" s="372">
        <v>0.0</v>
      </c>
      <c r="Z41311" s="372">
        <v>0.0</v>
      </c>
    </row>
    <row r="41312">
      <c r="Y41312" s="372">
        <v>0.0</v>
      </c>
      <c r="Z41312" s="372">
        <v>0.0</v>
      </c>
    </row>
    <row r="41313">
      <c r="Y41313" s="372">
        <v>0.0</v>
      </c>
      <c r="Z41313" s="372">
        <v>0.0</v>
      </c>
    </row>
    <row r="41314">
      <c r="Y41314" s="372">
        <v>0.0</v>
      </c>
      <c r="Z41314" s="372">
        <v>0.0</v>
      </c>
    </row>
    <row r="41315">
      <c r="Y41315" s="372">
        <v>0.0</v>
      </c>
      <c r="Z41315" s="372">
        <v>0.0</v>
      </c>
    </row>
    <row r="41316">
      <c r="Y41316" s="372">
        <v>0.0</v>
      </c>
      <c r="Z41316" s="372">
        <v>0.0</v>
      </c>
    </row>
    <row r="41317">
      <c r="Y41317" s="372">
        <v>0.0</v>
      </c>
      <c r="Z41317" s="372">
        <v>0.0</v>
      </c>
    </row>
    <row r="41318">
      <c r="Y41318" s="372">
        <v>0.0</v>
      </c>
      <c r="Z41318" s="372">
        <v>0.0</v>
      </c>
    </row>
    <row r="41319">
      <c r="Y41319" s="372">
        <v>0.0</v>
      </c>
      <c r="Z41319" s="372">
        <v>0.0</v>
      </c>
    </row>
    <row r="41320">
      <c r="Y41320" s="372">
        <v>0.0</v>
      </c>
      <c r="Z41320" s="372">
        <v>0.0</v>
      </c>
    </row>
    <row r="41321">
      <c r="Y41321" s="372">
        <v>0.0</v>
      </c>
      <c r="Z41321" s="372">
        <v>0.0</v>
      </c>
    </row>
    <row r="41322">
      <c r="Y41322" s="372">
        <v>0.0</v>
      </c>
      <c r="Z41322" s="372">
        <v>0.0</v>
      </c>
    </row>
    <row r="41323">
      <c r="Y41323" s="372">
        <v>0.0</v>
      </c>
      <c r="Z41323" s="372">
        <v>0.0</v>
      </c>
    </row>
    <row r="41324">
      <c r="Y41324" s="372">
        <v>0.0</v>
      </c>
      <c r="Z41324" s="372">
        <v>0.0</v>
      </c>
    </row>
    <row r="41325">
      <c r="Y41325" s="372">
        <v>0.0</v>
      </c>
      <c r="Z41325" s="372">
        <v>0.0</v>
      </c>
    </row>
    <row r="41326">
      <c r="Y41326" s="372">
        <v>0.0</v>
      </c>
      <c r="Z41326" s="372">
        <v>0.0</v>
      </c>
    </row>
    <row r="41327">
      <c r="Y41327" s="372">
        <v>0.0</v>
      </c>
      <c r="Z41327" s="372">
        <v>0.0</v>
      </c>
    </row>
    <row r="41328">
      <c r="Y41328" s="372">
        <v>0.0</v>
      </c>
      <c r="Z41328" s="372">
        <v>0.0</v>
      </c>
    </row>
    <row r="41329">
      <c r="Y41329" s="372">
        <v>0.0</v>
      </c>
      <c r="Z41329" s="372">
        <v>0.0</v>
      </c>
    </row>
    <row r="41330">
      <c r="Y41330" s="372">
        <v>0.0</v>
      </c>
      <c r="Z41330" s="372">
        <v>0.0</v>
      </c>
    </row>
    <row r="41331">
      <c r="Y41331" s="372">
        <v>0.0</v>
      </c>
      <c r="Z41331" s="372">
        <v>0.0</v>
      </c>
    </row>
    <row r="41332">
      <c r="Y41332" s="372">
        <v>0.0</v>
      </c>
      <c r="Z41332" s="372">
        <v>0.0</v>
      </c>
    </row>
    <row r="41333">
      <c r="Y41333" s="372">
        <v>0.0</v>
      </c>
      <c r="Z41333" s="372">
        <v>0.0</v>
      </c>
    </row>
    <row r="41334">
      <c r="Y41334" s="372">
        <v>0.0</v>
      </c>
      <c r="Z41334" s="372">
        <v>0.0</v>
      </c>
    </row>
    <row r="41335">
      <c r="Y41335" s="372">
        <v>0.0</v>
      </c>
      <c r="Z41335" s="372">
        <v>0.0</v>
      </c>
    </row>
    <row r="41336">
      <c r="Y41336" s="372">
        <v>0.0</v>
      </c>
      <c r="Z41336" s="372">
        <v>0.0</v>
      </c>
    </row>
    <row r="41337">
      <c r="Y41337" s="372">
        <v>0.0</v>
      </c>
      <c r="Z41337" s="372">
        <v>0.0</v>
      </c>
    </row>
    <row r="41338">
      <c r="Y41338" s="372">
        <v>0.0</v>
      </c>
      <c r="Z41338" s="372">
        <v>0.0</v>
      </c>
    </row>
    <row r="41339">
      <c r="Y41339" s="372">
        <v>0.0</v>
      </c>
      <c r="Z41339" s="372">
        <v>0.0</v>
      </c>
    </row>
    <row r="41340">
      <c r="Y41340" s="372">
        <v>0.0</v>
      </c>
      <c r="Z41340" s="372">
        <v>0.0</v>
      </c>
    </row>
    <row r="41341">
      <c r="Y41341" s="372">
        <v>0.0</v>
      </c>
      <c r="Z41341" s="372">
        <v>0.0</v>
      </c>
    </row>
    <row r="41342">
      <c r="Y41342" s="372">
        <v>0.0</v>
      </c>
      <c r="Z41342" s="372">
        <v>0.0</v>
      </c>
    </row>
    <row r="41343">
      <c r="Y41343" s="372">
        <v>0.0</v>
      </c>
      <c r="Z41343" s="372">
        <v>0.0</v>
      </c>
    </row>
    <row r="41344">
      <c r="Y41344" s="372">
        <v>0.0</v>
      </c>
      <c r="Z41344" s="372">
        <v>0.0</v>
      </c>
    </row>
    <row r="41345">
      <c r="Y41345" s="372">
        <v>0.0</v>
      </c>
      <c r="Z41345" s="372">
        <v>0.0</v>
      </c>
    </row>
    <row r="41346">
      <c r="Y41346" s="372">
        <v>0.0</v>
      </c>
      <c r="Z41346" s="372">
        <v>0.0</v>
      </c>
    </row>
    <row r="41347">
      <c r="Y41347" s="372">
        <v>0.0</v>
      </c>
      <c r="Z41347" s="372">
        <v>0.0</v>
      </c>
    </row>
    <row r="41348">
      <c r="Y41348" s="372">
        <v>0.0</v>
      </c>
      <c r="Z41348" s="372">
        <v>0.0</v>
      </c>
    </row>
    <row r="41349">
      <c r="Y41349" s="372">
        <v>0.0</v>
      </c>
      <c r="Z41349" s="372">
        <v>0.0</v>
      </c>
    </row>
    <row r="41350">
      <c r="Y41350" s="372">
        <v>0.0</v>
      </c>
      <c r="Z41350" s="372">
        <v>0.0</v>
      </c>
    </row>
    <row r="41351">
      <c r="Y41351" s="372">
        <v>0.0</v>
      </c>
      <c r="Z41351" s="372">
        <v>0.0</v>
      </c>
    </row>
    <row r="41352">
      <c r="Y41352" s="372">
        <v>0.0</v>
      </c>
      <c r="Z41352" s="372">
        <v>0.0</v>
      </c>
    </row>
    <row r="41353">
      <c r="Y41353" s="372">
        <v>0.0</v>
      </c>
      <c r="Z41353" s="372">
        <v>0.0</v>
      </c>
    </row>
    <row r="41354">
      <c r="Y41354" s="372">
        <v>0.0</v>
      </c>
      <c r="Z41354" s="372">
        <v>0.0</v>
      </c>
    </row>
    <row r="41355">
      <c r="Y41355" s="372">
        <v>0.0</v>
      </c>
      <c r="Z41355" s="372">
        <v>0.0</v>
      </c>
    </row>
    <row r="41356">
      <c r="Y41356" s="372">
        <v>0.0</v>
      </c>
      <c r="Z41356" s="372">
        <v>0.0</v>
      </c>
    </row>
    <row r="41357">
      <c r="Y41357" s="372">
        <v>0.0</v>
      </c>
      <c r="Z41357" s="372">
        <v>0.0</v>
      </c>
    </row>
    <row r="41358">
      <c r="Y41358" s="372">
        <v>0.0</v>
      </c>
      <c r="Z41358" s="372">
        <v>0.0</v>
      </c>
    </row>
    <row r="41359">
      <c r="Y41359" s="372">
        <v>0.0</v>
      </c>
      <c r="Z41359" s="372">
        <v>0.0</v>
      </c>
    </row>
    <row r="41360">
      <c r="Y41360" s="372">
        <v>0.0</v>
      </c>
      <c r="Z41360" s="372">
        <v>0.0</v>
      </c>
    </row>
    <row r="41361">
      <c r="Y41361" s="372">
        <v>0.0</v>
      </c>
      <c r="Z41361" s="372">
        <v>0.0</v>
      </c>
    </row>
    <row r="41362">
      <c r="Y41362" s="372">
        <v>0.0</v>
      </c>
      <c r="Z41362" s="372">
        <v>0.0</v>
      </c>
    </row>
    <row r="41363">
      <c r="Y41363" s="372">
        <v>0.0</v>
      </c>
      <c r="Z41363" s="372">
        <v>0.0</v>
      </c>
    </row>
    <row r="41364">
      <c r="Y41364" s="372">
        <v>0.0</v>
      </c>
      <c r="Z41364" s="372">
        <v>0.0</v>
      </c>
    </row>
    <row r="41365">
      <c r="Y41365" s="372">
        <v>0.0</v>
      </c>
      <c r="Z41365" s="372">
        <v>0.0</v>
      </c>
    </row>
    <row r="41366">
      <c r="Y41366" s="372">
        <v>0.0</v>
      </c>
      <c r="Z41366" s="372">
        <v>0.0</v>
      </c>
    </row>
    <row r="41367">
      <c r="Y41367" s="372">
        <v>0.0</v>
      </c>
      <c r="Z41367" s="372">
        <v>0.0</v>
      </c>
    </row>
    <row r="41368">
      <c r="Y41368" s="372">
        <v>0.0</v>
      </c>
      <c r="Z41368" s="372">
        <v>0.0</v>
      </c>
    </row>
    <row r="41369">
      <c r="Y41369" s="372">
        <v>0.0</v>
      </c>
      <c r="Z41369" s="372">
        <v>0.0</v>
      </c>
    </row>
    <row r="41370">
      <c r="Y41370" s="372">
        <v>0.0</v>
      </c>
      <c r="Z41370" s="372">
        <v>0.0</v>
      </c>
    </row>
    <row r="41371">
      <c r="Y41371" s="372">
        <v>0.0</v>
      </c>
      <c r="Z41371" s="372">
        <v>0.0</v>
      </c>
    </row>
    <row r="41372">
      <c r="Y41372" s="372">
        <v>0.0</v>
      </c>
      <c r="Z41372" s="372">
        <v>0.0</v>
      </c>
    </row>
    <row r="41373">
      <c r="Y41373" s="372">
        <v>0.0</v>
      </c>
      <c r="Z41373" s="372">
        <v>0.0</v>
      </c>
    </row>
    <row r="41374">
      <c r="Y41374" s="372">
        <v>0.0</v>
      </c>
      <c r="Z41374" s="372">
        <v>0.0</v>
      </c>
    </row>
    <row r="41375">
      <c r="Y41375" s="372">
        <v>0.0</v>
      </c>
      <c r="Z41375" s="372">
        <v>0.0</v>
      </c>
    </row>
    <row r="41376">
      <c r="Y41376" s="372">
        <v>0.0</v>
      </c>
      <c r="Z41376" s="372">
        <v>0.0</v>
      </c>
    </row>
    <row r="41377">
      <c r="Y41377" s="372">
        <v>0.0</v>
      </c>
      <c r="Z41377" s="372">
        <v>0.0</v>
      </c>
    </row>
    <row r="41378">
      <c r="Y41378" s="372">
        <v>0.0</v>
      </c>
      <c r="Z41378" s="372">
        <v>0.0</v>
      </c>
    </row>
    <row r="41379">
      <c r="Y41379" s="372">
        <v>0.0</v>
      </c>
      <c r="Z41379" s="372">
        <v>0.0</v>
      </c>
    </row>
    <row r="41380">
      <c r="Y41380" s="372">
        <v>0.0</v>
      </c>
      <c r="Z41380" s="372">
        <v>0.0</v>
      </c>
    </row>
    <row r="41381">
      <c r="Y41381" s="372">
        <v>0.0</v>
      </c>
      <c r="Z41381" s="372">
        <v>0.0</v>
      </c>
    </row>
    <row r="41382">
      <c r="Y41382" s="372">
        <v>0.0</v>
      </c>
      <c r="Z41382" s="372">
        <v>0.0</v>
      </c>
    </row>
    <row r="41383">
      <c r="Y41383" s="372">
        <v>0.0</v>
      </c>
      <c r="Z41383" s="372">
        <v>0.0</v>
      </c>
    </row>
    <row r="41384">
      <c r="Y41384" s="372">
        <v>0.0</v>
      </c>
      <c r="Z41384" s="372">
        <v>0.0</v>
      </c>
    </row>
    <row r="41385">
      <c r="Y41385" s="372">
        <v>0.0</v>
      </c>
      <c r="Z41385" s="372">
        <v>0.0</v>
      </c>
    </row>
    <row r="41386">
      <c r="Y41386" s="372">
        <v>0.0</v>
      </c>
      <c r="Z41386" s="372">
        <v>0.0</v>
      </c>
    </row>
    <row r="41387">
      <c r="Y41387" s="372">
        <v>0.0</v>
      </c>
      <c r="Z41387" s="372">
        <v>0.0</v>
      </c>
    </row>
    <row r="41388">
      <c r="Y41388" s="372">
        <v>0.0</v>
      </c>
      <c r="Z41388" s="372">
        <v>0.0</v>
      </c>
    </row>
    <row r="41389">
      <c r="Y41389" s="372">
        <v>0.0</v>
      </c>
      <c r="Z41389" s="372">
        <v>0.0</v>
      </c>
    </row>
    <row r="41390">
      <c r="Y41390" s="372">
        <v>0.0</v>
      </c>
      <c r="Z41390" s="372">
        <v>0.0</v>
      </c>
    </row>
    <row r="41391">
      <c r="Y41391" s="372">
        <v>0.0</v>
      </c>
      <c r="Z41391" s="372">
        <v>0.0</v>
      </c>
    </row>
    <row r="41392">
      <c r="Y41392" s="372">
        <v>0.0</v>
      </c>
      <c r="Z41392" s="372">
        <v>0.0</v>
      </c>
    </row>
    <row r="41393">
      <c r="Y41393" s="372">
        <v>0.0</v>
      </c>
      <c r="Z41393" s="372">
        <v>0.0</v>
      </c>
    </row>
    <row r="41394">
      <c r="Y41394" s="372">
        <v>0.0</v>
      </c>
      <c r="Z41394" s="372">
        <v>0.0</v>
      </c>
    </row>
    <row r="41395">
      <c r="Y41395" s="372">
        <v>0.0</v>
      </c>
      <c r="Z41395" s="372">
        <v>0.0</v>
      </c>
    </row>
    <row r="41396">
      <c r="Y41396" s="372">
        <v>0.0</v>
      </c>
      <c r="Z41396" s="372">
        <v>0.0</v>
      </c>
    </row>
    <row r="41397">
      <c r="Y41397" s="372">
        <v>0.0</v>
      </c>
      <c r="Z41397" s="372">
        <v>0.0</v>
      </c>
    </row>
    <row r="41398">
      <c r="Y41398" s="372">
        <v>0.0</v>
      </c>
      <c r="Z41398" s="372">
        <v>0.0</v>
      </c>
    </row>
    <row r="41399">
      <c r="Y41399" s="372">
        <v>0.0</v>
      </c>
      <c r="Z41399" s="372">
        <v>0.0</v>
      </c>
    </row>
    <row r="41400">
      <c r="Y41400" s="372">
        <v>0.0</v>
      </c>
      <c r="Z41400" s="372">
        <v>0.0</v>
      </c>
    </row>
    <row r="41401">
      <c r="Y41401" s="372">
        <v>0.0</v>
      </c>
      <c r="Z41401" s="372">
        <v>0.0</v>
      </c>
    </row>
    <row r="41402">
      <c r="Y41402" s="372">
        <v>0.0</v>
      </c>
      <c r="Z41402" s="372">
        <v>0.0</v>
      </c>
    </row>
    <row r="41403">
      <c r="Y41403" s="372">
        <v>0.0</v>
      </c>
      <c r="Z41403" s="372">
        <v>0.0</v>
      </c>
    </row>
    <row r="41404">
      <c r="Y41404" s="372">
        <v>0.0</v>
      </c>
      <c r="Z41404" s="372">
        <v>0.0</v>
      </c>
    </row>
    <row r="41405">
      <c r="Y41405" s="372">
        <v>0.0</v>
      </c>
      <c r="Z41405" s="372">
        <v>0.0</v>
      </c>
    </row>
    <row r="41406">
      <c r="Y41406" s="372">
        <v>0.0</v>
      </c>
      <c r="Z41406" s="372">
        <v>0.0</v>
      </c>
    </row>
    <row r="41407">
      <c r="Y41407" s="372">
        <v>0.0</v>
      </c>
      <c r="Z41407" s="372">
        <v>0.0</v>
      </c>
    </row>
    <row r="41408">
      <c r="Y41408" s="372">
        <v>0.0</v>
      </c>
      <c r="Z41408" s="372">
        <v>0.0</v>
      </c>
    </row>
    <row r="41409">
      <c r="Y41409" s="372">
        <v>0.0</v>
      </c>
      <c r="Z41409" s="372">
        <v>0.0</v>
      </c>
    </row>
    <row r="41410">
      <c r="Y41410" s="372">
        <v>0.0</v>
      </c>
      <c r="Z41410" s="372">
        <v>0.0</v>
      </c>
    </row>
    <row r="41411">
      <c r="Y41411" s="372">
        <v>0.0</v>
      </c>
      <c r="Z41411" s="372">
        <v>0.0</v>
      </c>
    </row>
    <row r="41412">
      <c r="Y41412" s="372">
        <v>0.0</v>
      </c>
      <c r="Z41412" s="372">
        <v>0.0</v>
      </c>
    </row>
    <row r="41413">
      <c r="Y41413" s="372">
        <v>0.0</v>
      </c>
      <c r="Z41413" s="372">
        <v>0.0</v>
      </c>
    </row>
    <row r="41414">
      <c r="Y41414" s="372">
        <v>0.0</v>
      </c>
      <c r="Z41414" s="372">
        <v>0.0</v>
      </c>
    </row>
    <row r="41415">
      <c r="Y41415" s="372">
        <v>0.0</v>
      </c>
      <c r="Z41415" s="372">
        <v>0.0</v>
      </c>
    </row>
    <row r="41416">
      <c r="Y41416" s="372">
        <v>0.0</v>
      </c>
      <c r="Z41416" s="372">
        <v>0.0</v>
      </c>
    </row>
    <row r="41417">
      <c r="Y41417" s="372">
        <v>0.0</v>
      </c>
      <c r="Z41417" s="372">
        <v>0.0</v>
      </c>
    </row>
    <row r="41418">
      <c r="Y41418" s="372">
        <v>0.0</v>
      </c>
      <c r="Z41418" s="372">
        <v>0.0</v>
      </c>
    </row>
    <row r="41419">
      <c r="Y41419" s="372">
        <v>0.0</v>
      </c>
      <c r="Z41419" s="372">
        <v>0.0</v>
      </c>
    </row>
    <row r="41420">
      <c r="Y41420" s="372">
        <v>0.0</v>
      </c>
      <c r="Z41420" s="372">
        <v>0.0</v>
      </c>
    </row>
    <row r="41421">
      <c r="Y41421" s="372">
        <v>0.0</v>
      </c>
      <c r="Z41421" s="372">
        <v>0.0</v>
      </c>
    </row>
    <row r="41422">
      <c r="Y41422" s="372">
        <v>0.0</v>
      </c>
      <c r="Z41422" s="372">
        <v>0.0</v>
      </c>
    </row>
    <row r="41423">
      <c r="Y41423" s="372">
        <v>0.0</v>
      </c>
      <c r="Z41423" s="372">
        <v>0.0</v>
      </c>
    </row>
    <row r="41424">
      <c r="Y41424" s="372">
        <v>0.0</v>
      </c>
      <c r="Z41424" s="372">
        <v>0.0</v>
      </c>
    </row>
    <row r="41425">
      <c r="Y41425" s="372">
        <v>0.0</v>
      </c>
      <c r="Z41425" s="372">
        <v>0.0</v>
      </c>
    </row>
    <row r="41426">
      <c r="Y41426" s="372">
        <v>0.0</v>
      </c>
      <c r="Z41426" s="372">
        <v>0.0</v>
      </c>
    </row>
    <row r="41427">
      <c r="Y41427" s="372">
        <v>0.0</v>
      </c>
      <c r="Z41427" s="372">
        <v>0.0</v>
      </c>
    </row>
    <row r="41428">
      <c r="Y41428" s="372">
        <v>0.0</v>
      </c>
      <c r="Z41428" s="372">
        <v>0.0</v>
      </c>
    </row>
    <row r="41429">
      <c r="Y41429" s="372">
        <v>0.0</v>
      </c>
      <c r="Z41429" s="372">
        <v>0.0</v>
      </c>
    </row>
    <row r="41430">
      <c r="Y41430" s="372">
        <v>0.0</v>
      </c>
      <c r="Z41430" s="372">
        <v>0.0</v>
      </c>
    </row>
    <row r="41431">
      <c r="Y41431" s="372">
        <v>0.0</v>
      </c>
      <c r="Z41431" s="372">
        <v>0.0</v>
      </c>
    </row>
    <row r="41432">
      <c r="Y41432" s="372">
        <v>0.0</v>
      </c>
      <c r="Z41432" s="372">
        <v>0.0</v>
      </c>
    </row>
    <row r="41433">
      <c r="Y41433" s="372">
        <v>0.0</v>
      </c>
      <c r="Z41433" s="372">
        <v>0.0</v>
      </c>
    </row>
    <row r="41434">
      <c r="Y41434" s="372">
        <v>0.0</v>
      </c>
      <c r="Z41434" s="372">
        <v>0.0</v>
      </c>
    </row>
    <row r="41435">
      <c r="Y41435" s="372">
        <v>0.0</v>
      </c>
      <c r="Z41435" s="372">
        <v>0.0</v>
      </c>
    </row>
    <row r="41436">
      <c r="Y41436" s="372">
        <v>0.0</v>
      </c>
      <c r="Z41436" s="372">
        <v>0.0</v>
      </c>
    </row>
    <row r="41437">
      <c r="Y41437" s="372">
        <v>0.0</v>
      </c>
      <c r="Z41437" s="372">
        <v>0.0</v>
      </c>
    </row>
    <row r="41438">
      <c r="Y41438" s="372">
        <v>0.0</v>
      </c>
      <c r="Z41438" s="372">
        <v>0.0</v>
      </c>
    </row>
    <row r="41439">
      <c r="Y41439" s="372">
        <v>0.0</v>
      </c>
      <c r="Z41439" s="372">
        <v>0.0</v>
      </c>
    </row>
    <row r="41440">
      <c r="Y41440" s="372">
        <v>0.0</v>
      </c>
      <c r="Z41440" s="372">
        <v>0.0</v>
      </c>
    </row>
    <row r="41441">
      <c r="Y41441" s="372">
        <v>0.0</v>
      </c>
      <c r="Z41441" s="372">
        <v>0.0</v>
      </c>
    </row>
    <row r="41442">
      <c r="Y41442" s="372">
        <v>0.0</v>
      </c>
      <c r="Z41442" s="372">
        <v>0.0</v>
      </c>
    </row>
    <row r="41443">
      <c r="Y41443" s="372">
        <v>0.0</v>
      </c>
      <c r="Z41443" s="372">
        <v>0.0</v>
      </c>
    </row>
    <row r="41444">
      <c r="Y41444" s="372">
        <v>0.0</v>
      </c>
      <c r="Z41444" s="372">
        <v>0.0</v>
      </c>
    </row>
    <row r="41445">
      <c r="Y41445" s="372">
        <v>0.0</v>
      </c>
      <c r="Z41445" s="372">
        <v>0.0</v>
      </c>
    </row>
    <row r="41446">
      <c r="Y41446" s="372">
        <v>0.0</v>
      </c>
      <c r="Z41446" s="372">
        <v>0.0</v>
      </c>
    </row>
    <row r="41447">
      <c r="Y41447" s="372">
        <v>0.0</v>
      </c>
      <c r="Z41447" s="372">
        <v>0.0</v>
      </c>
    </row>
    <row r="41448">
      <c r="Y41448" s="372">
        <v>0.0</v>
      </c>
      <c r="Z41448" s="372">
        <v>0.0</v>
      </c>
    </row>
    <row r="41449">
      <c r="Y41449" s="372">
        <v>0.0</v>
      </c>
      <c r="Z41449" s="372">
        <v>0.0</v>
      </c>
    </row>
    <row r="41450">
      <c r="Y41450" s="372">
        <v>0.0</v>
      </c>
      <c r="Z41450" s="372">
        <v>0.0</v>
      </c>
    </row>
    <row r="41451">
      <c r="Y41451" s="372">
        <v>0.0</v>
      </c>
      <c r="Z41451" s="372">
        <v>0.0</v>
      </c>
    </row>
    <row r="41452">
      <c r="Y41452" s="372">
        <v>0.0</v>
      </c>
      <c r="Z41452" s="372">
        <v>0.0</v>
      </c>
    </row>
    <row r="41453">
      <c r="Y41453" s="372">
        <v>0.0</v>
      </c>
      <c r="Z41453" s="372">
        <v>0.0</v>
      </c>
    </row>
    <row r="41454">
      <c r="Y41454" s="372">
        <v>0.0</v>
      </c>
      <c r="Z41454" s="372">
        <v>0.0</v>
      </c>
    </row>
    <row r="41455">
      <c r="Y41455" s="372">
        <v>0.0</v>
      </c>
      <c r="Z41455" s="372">
        <v>0.0</v>
      </c>
    </row>
    <row r="41456">
      <c r="Y41456" s="372">
        <v>0.0</v>
      </c>
      <c r="Z41456" s="372">
        <v>0.0</v>
      </c>
    </row>
    <row r="41457">
      <c r="Y41457" s="372">
        <v>0.0</v>
      </c>
      <c r="Z41457" s="372">
        <v>0.0</v>
      </c>
    </row>
    <row r="41458">
      <c r="Y41458" s="372">
        <v>0.0</v>
      </c>
      <c r="Z41458" s="372">
        <v>0.0</v>
      </c>
    </row>
    <row r="41459">
      <c r="Y41459" s="372">
        <v>0.0</v>
      </c>
      <c r="Z41459" s="372">
        <v>0.0</v>
      </c>
    </row>
    <row r="41460">
      <c r="Y41460" s="372">
        <v>0.0</v>
      </c>
      <c r="Z41460" s="372">
        <v>0.0</v>
      </c>
    </row>
    <row r="41461">
      <c r="Y41461" s="372">
        <v>0.0</v>
      </c>
      <c r="Z41461" s="372">
        <v>0.0</v>
      </c>
    </row>
    <row r="41462">
      <c r="Y41462" s="372">
        <v>0.0</v>
      </c>
      <c r="Z41462" s="372">
        <v>0.0</v>
      </c>
    </row>
    <row r="41463">
      <c r="Y41463" s="372">
        <v>0.0</v>
      </c>
      <c r="Z41463" s="372">
        <v>0.0</v>
      </c>
    </row>
    <row r="41464">
      <c r="Y41464" s="372">
        <v>0.0</v>
      </c>
      <c r="Z41464" s="372">
        <v>0.0</v>
      </c>
    </row>
    <row r="41465">
      <c r="Y41465" s="372">
        <v>0.0</v>
      </c>
      <c r="Z41465" s="372">
        <v>0.0</v>
      </c>
    </row>
    <row r="41466">
      <c r="Y41466" s="372">
        <v>0.0</v>
      </c>
      <c r="Z41466" s="372">
        <v>0.0</v>
      </c>
    </row>
    <row r="41467">
      <c r="Y41467" s="372">
        <v>0.0</v>
      </c>
      <c r="Z41467" s="372">
        <v>0.0</v>
      </c>
    </row>
    <row r="41468">
      <c r="Y41468" s="372">
        <v>0.0</v>
      </c>
      <c r="Z41468" s="372">
        <v>0.0</v>
      </c>
    </row>
    <row r="41469">
      <c r="Y41469" s="372">
        <v>0.0</v>
      </c>
      <c r="Z41469" s="372">
        <v>0.0</v>
      </c>
    </row>
    <row r="41470">
      <c r="Y41470" s="372">
        <v>0.0</v>
      </c>
      <c r="Z41470" s="372">
        <v>0.0</v>
      </c>
    </row>
    <row r="41471">
      <c r="Y41471" s="372">
        <v>0.0</v>
      </c>
      <c r="Z41471" s="372">
        <v>0.0</v>
      </c>
    </row>
    <row r="41472">
      <c r="Y41472" s="372">
        <v>0.0</v>
      </c>
      <c r="Z41472" s="372">
        <v>0.0</v>
      </c>
    </row>
    <row r="41473">
      <c r="Y41473" s="372">
        <v>0.0</v>
      </c>
      <c r="Z41473" s="372">
        <v>0.0</v>
      </c>
    </row>
    <row r="41474">
      <c r="Y41474" s="372">
        <v>0.0</v>
      </c>
      <c r="Z41474" s="372">
        <v>0.0</v>
      </c>
    </row>
    <row r="41475">
      <c r="Y41475" s="372">
        <v>0.0</v>
      </c>
      <c r="Z41475" s="372">
        <v>0.0</v>
      </c>
    </row>
    <row r="41476">
      <c r="Y41476" s="372">
        <v>0.0</v>
      </c>
      <c r="Z41476" s="372">
        <v>0.0</v>
      </c>
    </row>
    <row r="41477">
      <c r="Y41477" s="372">
        <v>0.0</v>
      </c>
      <c r="Z41477" s="372">
        <v>0.0</v>
      </c>
    </row>
    <row r="41478">
      <c r="Y41478" s="372">
        <v>0.0</v>
      </c>
      <c r="Z41478" s="372">
        <v>0.0</v>
      </c>
    </row>
    <row r="41479">
      <c r="Y41479" s="372">
        <v>0.0</v>
      </c>
      <c r="Z41479" s="372">
        <v>0.0</v>
      </c>
    </row>
    <row r="41480">
      <c r="Y41480" s="372">
        <v>0.0</v>
      </c>
      <c r="Z41480" s="372">
        <v>0.0</v>
      </c>
    </row>
    <row r="41481">
      <c r="Y41481" s="372">
        <v>0.0</v>
      </c>
      <c r="Z41481" s="372">
        <v>0.0</v>
      </c>
    </row>
    <row r="41482">
      <c r="Y41482" s="372">
        <v>0.0</v>
      </c>
      <c r="Z41482" s="372">
        <v>0.0</v>
      </c>
    </row>
    <row r="41483">
      <c r="Y41483" s="372">
        <v>0.0</v>
      </c>
      <c r="Z41483" s="372">
        <v>0.0</v>
      </c>
    </row>
    <row r="41484">
      <c r="Y41484" s="372">
        <v>0.0</v>
      </c>
      <c r="Z41484" s="372">
        <v>0.0</v>
      </c>
    </row>
    <row r="41485">
      <c r="Y41485" s="372">
        <v>0.0</v>
      </c>
      <c r="Z41485" s="372">
        <v>0.0</v>
      </c>
    </row>
    <row r="41486">
      <c r="Y41486" s="372">
        <v>0.0</v>
      </c>
      <c r="Z41486" s="372">
        <v>0.0</v>
      </c>
    </row>
    <row r="41487">
      <c r="Y41487" s="372">
        <v>0.0</v>
      </c>
      <c r="Z41487" s="372">
        <v>0.0</v>
      </c>
    </row>
    <row r="41488">
      <c r="Y41488" s="372">
        <v>0.0</v>
      </c>
      <c r="Z41488" s="372">
        <v>0.0</v>
      </c>
    </row>
    <row r="41489">
      <c r="Y41489" s="372">
        <v>0.0</v>
      </c>
      <c r="Z41489" s="372">
        <v>0.0</v>
      </c>
    </row>
    <row r="41490">
      <c r="Y41490" s="372">
        <v>0.0</v>
      </c>
      <c r="Z41490" s="372">
        <v>0.0</v>
      </c>
    </row>
    <row r="41491">
      <c r="Y41491" s="372">
        <v>0.0</v>
      </c>
      <c r="Z41491" s="372">
        <v>0.0</v>
      </c>
    </row>
    <row r="41492">
      <c r="Y41492" s="372">
        <v>0.0</v>
      </c>
      <c r="Z41492" s="372">
        <v>0.0</v>
      </c>
    </row>
    <row r="41493">
      <c r="Y41493" s="372">
        <v>0.0</v>
      </c>
      <c r="Z41493" s="372">
        <v>0.0</v>
      </c>
    </row>
    <row r="41494">
      <c r="Y41494" s="372">
        <v>0.0</v>
      </c>
      <c r="Z41494" s="372">
        <v>0.0</v>
      </c>
    </row>
    <row r="41495">
      <c r="Y41495" s="372">
        <v>0.0</v>
      </c>
      <c r="Z41495" s="372">
        <v>0.0</v>
      </c>
    </row>
    <row r="41496">
      <c r="Y41496" s="372">
        <v>0.0</v>
      </c>
      <c r="Z41496" s="372">
        <v>0.0</v>
      </c>
    </row>
    <row r="41497">
      <c r="Y41497" s="372">
        <v>0.0</v>
      </c>
      <c r="Z41497" s="372">
        <v>0.0</v>
      </c>
    </row>
    <row r="41498">
      <c r="Y41498" s="372">
        <v>0.0</v>
      </c>
      <c r="Z41498" s="372">
        <v>0.0</v>
      </c>
    </row>
    <row r="41499">
      <c r="Y41499" s="372">
        <v>0.0</v>
      </c>
      <c r="Z41499" s="372">
        <v>0.0</v>
      </c>
    </row>
    <row r="41500">
      <c r="Y41500" s="372">
        <v>0.0</v>
      </c>
      <c r="Z41500" s="372">
        <v>0.0</v>
      </c>
    </row>
    <row r="41501">
      <c r="Y41501" s="372">
        <v>0.0</v>
      </c>
      <c r="Z41501" s="372">
        <v>0.0</v>
      </c>
    </row>
    <row r="41502">
      <c r="Y41502" s="372">
        <v>0.0</v>
      </c>
      <c r="Z41502" s="372">
        <v>0.0</v>
      </c>
    </row>
    <row r="41503">
      <c r="Y41503" s="372">
        <v>0.0</v>
      </c>
      <c r="Z41503" s="372">
        <v>0.0</v>
      </c>
    </row>
    <row r="41504">
      <c r="Y41504" s="372">
        <v>0.0</v>
      </c>
      <c r="Z41504" s="372">
        <v>0.0</v>
      </c>
    </row>
    <row r="41505">
      <c r="Y41505" s="372">
        <v>0.0</v>
      </c>
      <c r="Z41505" s="372">
        <v>0.0</v>
      </c>
    </row>
    <row r="41506">
      <c r="Y41506" s="372">
        <v>0.0</v>
      </c>
      <c r="Z41506" s="372">
        <v>0.0</v>
      </c>
    </row>
    <row r="41507">
      <c r="Y41507" s="372">
        <v>0.0</v>
      </c>
      <c r="Z41507" s="372">
        <v>0.0</v>
      </c>
    </row>
    <row r="41508">
      <c r="Y41508" s="372">
        <v>0.0</v>
      </c>
      <c r="Z41508" s="372">
        <v>0.0</v>
      </c>
    </row>
    <row r="41509">
      <c r="Y41509" s="372">
        <v>0.0</v>
      </c>
      <c r="Z41509" s="372">
        <v>0.0</v>
      </c>
    </row>
    <row r="41510">
      <c r="Y41510" s="372">
        <v>0.0</v>
      </c>
      <c r="Z41510" s="372">
        <v>0.0</v>
      </c>
    </row>
    <row r="41511">
      <c r="Y41511" s="372">
        <v>0.0</v>
      </c>
      <c r="Z41511" s="372">
        <v>0.0</v>
      </c>
    </row>
    <row r="41512">
      <c r="Y41512" s="372">
        <v>0.0</v>
      </c>
      <c r="Z41512" s="372">
        <v>0.0</v>
      </c>
    </row>
    <row r="41513">
      <c r="Y41513" s="372">
        <v>0.0</v>
      </c>
      <c r="Z41513" s="372">
        <v>0.0</v>
      </c>
    </row>
    <row r="41514">
      <c r="Y41514" s="372">
        <v>0.0</v>
      </c>
      <c r="Z41514" s="372">
        <v>0.0</v>
      </c>
    </row>
    <row r="41515">
      <c r="Y41515" s="372">
        <v>0.0</v>
      </c>
      <c r="Z41515" s="372">
        <v>0.0</v>
      </c>
    </row>
    <row r="41516">
      <c r="Y41516" s="372">
        <v>0.0</v>
      </c>
      <c r="Z41516" s="372">
        <v>0.0</v>
      </c>
    </row>
    <row r="41517">
      <c r="Y41517" s="372">
        <v>0.0</v>
      </c>
      <c r="Z41517" s="372">
        <v>0.0</v>
      </c>
    </row>
    <row r="41518">
      <c r="Y41518" s="372">
        <v>0.0</v>
      </c>
      <c r="Z41518" s="372">
        <v>0.0</v>
      </c>
    </row>
    <row r="41519">
      <c r="Y41519" s="372">
        <v>0.0</v>
      </c>
      <c r="Z41519" s="372">
        <v>0.0</v>
      </c>
    </row>
    <row r="41520">
      <c r="Y41520" s="372">
        <v>0.0</v>
      </c>
      <c r="Z41520" s="372">
        <v>0.0</v>
      </c>
    </row>
    <row r="41521">
      <c r="Y41521" s="372">
        <v>0.0</v>
      </c>
      <c r="Z41521" s="372">
        <v>0.0</v>
      </c>
    </row>
    <row r="41522">
      <c r="Y41522" s="372">
        <v>0.0</v>
      </c>
      <c r="Z41522" s="372">
        <v>0.0</v>
      </c>
    </row>
    <row r="41523">
      <c r="Y41523" s="372">
        <v>0.0</v>
      </c>
      <c r="Z41523" s="372">
        <v>0.0</v>
      </c>
    </row>
    <row r="41524">
      <c r="Y41524" s="372">
        <v>0.0</v>
      </c>
      <c r="Z41524" s="372">
        <v>0.0</v>
      </c>
    </row>
    <row r="41525">
      <c r="Y41525" s="372">
        <v>0.0</v>
      </c>
      <c r="Z41525" s="372">
        <v>0.0</v>
      </c>
    </row>
    <row r="41526">
      <c r="Y41526" s="372">
        <v>0.0</v>
      </c>
      <c r="Z41526" s="372">
        <v>0.0</v>
      </c>
    </row>
    <row r="41527">
      <c r="Y41527" s="372">
        <v>0.0</v>
      </c>
      <c r="Z41527" s="372">
        <v>0.0</v>
      </c>
    </row>
    <row r="41528">
      <c r="Y41528" s="372">
        <v>0.0</v>
      </c>
      <c r="Z41528" s="372">
        <v>0.0</v>
      </c>
    </row>
    <row r="41529">
      <c r="Y41529" s="372">
        <v>0.0</v>
      </c>
      <c r="Z41529" s="372">
        <v>0.0</v>
      </c>
    </row>
    <row r="41530">
      <c r="Y41530" s="372">
        <v>0.0</v>
      </c>
      <c r="Z41530" s="372">
        <v>0.0</v>
      </c>
    </row>
    <row r="41531">
      <c r="Y41531" s="372">
        <v>0.0</v>
      </c>
      <c r="Z41531" s="372">
        <v>0.0</v>
      </c>
    </row>
    <row r="41532">
      <c r="Y41532" s="372">
        <v>0.0</v>
      </c>
      <c r="Z41532" s="372">
        <v>0.0</v>
      </c>
    </row>
    <row r="41533">
      <c r="Y41533" s="372">
        <v>0.0</v>
      </c>
      <c r="Z41533" s="372">
        <v>0.0</v>
      </c>
    </row>
    <row r="41534">
      <c r="Y41534" s="372">
        <v>0.0</v>
      </c>
      <c r="Z41534" s="372">
        <v>0.0</v>
      </c>
    </row>
    <row r="41535">
      <c r="Y41535" s="372">
        <v>0.0</v>
      </c>
      <c r="Z41535" s="372">
        <v>0.0</v>
      </c>
    </row>
    <row r="41536">
      <c r="Y41536" s="372">
        <v>0.0</v>
      </c>
      <c r="Z41536" s="372">
        <v>0.0</v>
      </c>
    </row>
    <row r="41537">
      <c r="Y41537" s="372">
        <v>0.0</v>
      </c>
      <c r="Z41537" s="372">
        <v>0.0</v>
      </c>
    </row>
    <row r="41538">
      <c r="Y41538" s="372">
        <v>0.0</v>
      </c>
      <c r="Z41538" s="372">
        <v>0.0</v>
      </c>
    </row>
    <row r="41539">
      <c r="Y41539" s="372">
        <v>0.0</v>
      </c>
      <c r="Z41539" s="372">
        <v>0.0</v>
      </c>
    </row>
    <row r="41540">
      <c r="Y41540" s="372">
        <v>0.0</v>
      </c>
      <c r="Z41540" s="372">
        <v>0.0</v>
      </c>
    </row>
    <row r="41541">
      <c r="Y41541" s="372">
        <v>0.0</v>
      </c>
      <c r="Z41541" s="372">
        <v>0.0</v>
      </c>
    </row>
    <row r="41542">
      <c r="Y41542" s="372">
        <v>0.0</v>
      </c>
      <c r="Z41542" s="372">
        <v>0.0</v>
      </c>
    </row>
    <row r="41543">
      <c r="Y41543" s="372">
        <v>0.0</v>
      </c>
      <c r="Z41543" s="372">
        <v>0.0</v>
      </c>
    </row>
    <row r="41544">
      <c r="Y41544" s="372">
        <v>0.0</v>
      </c>
      <c r="Z41544" s="372">
        <v>0.0</v>
      </c>
    </row>
    <row r="41545">
      <c r="Y41545" s="372">
        <v>0.0</v>
      </c>
      <c r="Z41545" s="372">
        <v>0.0</v>
      </c>
    </row>
    <row r="41546">
      <c r="Y41546" s="372">
        <v>0.0</v>
      </c>
      <c r="Z41546" s="372">
        <v>0.0</v>
      </c>
    </row>
    <row r="41547">
      <c r="Y41547" s="372">
        <v>0.0</v>
      </c>
      <c r="Z41547" s="372">
        <v>0.0</v>
      </c>
    </row>
    <row r="41548">
      <c r="Y41548" s="372">
        <v>0.0</v>
      </c>
      <c r="Z41548" s="372">
        <v>0.0</v>
      </c>
    </row>
    <row r="41549">
      <c r="Y41549" s="372">
        <v>0.0</v>
      </c>
      <c r="Z41549" s="372">
        <v>0.0</v>
      </c>
    </row>
    <row r="41550">
      <c r="Y41550" s="372">
        <v>0.0</v>
      </c>
      <c r="Z41550" s="372">
        <v>0.0</v>
      </c>
    </row>
    <row r="41551">
      <c r="Y41551" s="372">
        <v>0.0</v>
      </c>
      <c r="Z41551" s="372">
        <v>0.0</v>
      </c>
    </row>
    <row r="41552">
      <c r="Y41552" s="372">
        <v>0.0</v>
      </c>
      <c r="Z41552" s="372">
        <v>0.0</v>
      </c>
    </row>
    <row r="41553">
      <c r="Y41553" s="372">
        <v>0.0</v>
      </c>
      <c r="Z41553" s="372">
        <v>0.0</v>
      </c>
    </row>
    <row r="41554">
      <c r="Y41554" s="372">
        <v>0.0</v>
      </c>
      <c r="Z41554" s="372">
        <v>0.0</v>
      </c>
    </row>
    <row r="41555">
      <c r="Y41555" s="372">
        <v>0.0</v>
      </c>
      <c r="Z41555" s="372">
        <v>0.0</v>
      </c>
    </row>
    <row r="41556">
      <c r="Y41556" s="372">
        <v>0.0</v>
      </c>
      <c r="Z41556" s="372">
        <v>0.0</v>
      </c>
    </row>
    <row r="41557">
      <c r="Y41557" s="372">
        <v>0.0</v>
      </c>
      <c r="Z41557" s="372">
        <v>0.0</v>
      </c>
    </row>
    <row r="41558">
      <c r="Y41558" s="372">
        <v>0.0</v>
      </c>
      <c r="Z41558" s="372">
        <v>0.0</v>
      </c>
    </row>
    <row r="41559">
      <c r="Y41559" s="372">
        <v>0.0</v>
      </c>
      <c r="Z41559" s="372">
        <v>0.0</v>
      </c>
    </row>
    <row r="41560">
      <c r="Y41560" s="372">
        <v>0.0</v>
      </c>
      <c r="Z41560" s="372">
        <v>0.0</v>
      </c>
    </row>
    <row r="41561">
      <c r="Y41561" s="372">
        <v>0.0</v>
      </c>
      <c r="Z41561" s="372">
        <v>0.0</v>
      </c>
    </row>
    <row r="41562">
      <c r="Y41562" s="372">
        <v>0.0</v>
      </c>
      <c r="Z41562" s="372">
        <v>0.0</v>
      </c>
    </row>
    <row r="41563">
      <c r="Y41563" s="372">
        <v>0.0</v>
      </c>
      <c r="Z41563" s="372">
        <v>0.0</v>
      </c>
    </row>
    <row r="41564">
      <c r="Y41564" s="372">
        <v>0.0</v>
      </c>
      <c r="Z41564" s="372">
        <v>0.0</v>
      </c>
    </row>
    <row r="41565">
      <c r="Y41565" s="372">
        <v>0.0</v>
      </c>
      <c r="Z41565" s="372">
        <v>0.0</v>
      </c>
    </row>
    <row r="41566">
      <c r="Y41566" s="372">
        <v>0.0</v>
      </c>
      <c r="Z41566" s="372">
        <v>0.0</v>
      </c>
    </row>
    <row r="41567">
      <c r="Y41567" s="372">
        <v>0.0</v>
      </c>
      <c r="Z41567" s="372">
        <v>0.0</v>
      </c>
    </row>
    <row r="41568">
      <c r="Y41568" s="372">
        <v>0.0</v>
      </c>
      <c r="Z41568" s="372">
        <v>0.0</v>
      </c>
    </row>
    <row r="41569">
      <c r="Y41569" s="372">
        <v>0.0</v>
      </c>
      <c r="Z41569" s="372">
        <v>0.0</v>
      </c>
    </row>
    <row r="41570">
      <c r="Y41570" s="372">
        <v>0.0</v>
      </c>
      <c r="Z41570" s="372">
        <v>0.0</v>
      </c>
    </row>
    <row r="41571">
      <c r="Y41571" s="372">
        <v>0.0</v>
      </c>
      <c r="Z41571" s="372">
        <v>0.0</v>
      </c>
    </row>
    <row r="41572">
      <c r="Y41572" s="372">
        <v>0.0</v>
      </c>
      <c r="Z41572" s="372">
        <v>0.0</v>
      </c>
    </row>
    <row r="41573">
      <c r="Y41573" s="372">
        <v>0.0</v>
      </c>
      <c r="Z41573" s="372">
        <v>0.0</v>
      </c>
    </row>
    <row r="41574">
      <c r="Y41574" s="372">
        <v>0.0</v>
      </c>
      <c r="Z41574" s="372">
        <v>0.0</v>
      </c>
    </row>
    <row r="41575">
      <c r="Y41575" s="372">
        <v>0.0</v>
      </c>
      <c r="Z41575" s="372">
        <v>0.0</v>
      </c>
    </row>
    <row r="41576">
      <c r="Y41576" s="372">
        <v>0.0</v>
      </c>
      <c r="Z41576" s="372">
        <v>0.0</v>
      </c>
    </row>
    <row r="41577">
      <c r="Y41577" s="372">
        <v>0.0</v>
      </c>
      <c r="Z41577" s="372">
        <v>0.0</v>
      </c>
    </row>
    <row r="41578">
      <c r="Y41578" s="372">
        <v>0.0</v>
      </c>
      <c r="Z41578" s="372">
        <v>0.0</v>
      </c>
    </row>
    <row r="41579">
      <c r="Y41579" s="372">
        <v>0.0</v>
      </c>
      <c r="Z41579" s="372">
        <v>0.0</v>
      </c>
    </row>
    <row r="41580">
      <c r="Y41580" s="372">
        <v>0.0</v>
      </c>
      <c r="Z41580" s="372">
        <v>0.0</v>
      </c>
    </row>
    <row r="41581">
      <c r="Y41581" s="372">
        <v>0.0</v>
      </c>
      <c r="Z41581" s="372">
        <v>0.0</v>
      </c>
    </row>
    <row r="41582">
      <c r="Y41582" s="372">
        <v>0.0</v>
      </c>
      <c r="Z41582" s="372">
        <v>0.0</v>
      </c>
    </row>
    <row r="41583">
      <c r="Y41583" s="372">
        <v>0.0</v>
      </c>
      <c r="Z41583" s="372">
        <v>0.0</v>
      </c>
    </row>
    <row r="41584">
      <c r="Y41584" s="372">
        <v>0.0</v>
      </c>
      <c r="Z41584" s="372">
        <v>0.0</v>
      </c>
    </row>
    <row r="41585">
      <c r="Y41585" s="372">
        <v>0.0</v>
      </c>
      <c r="Z41585" s="372">
        <v>0.0</v>
      </c>
    </row>
    <row r="41586">
      <c r="Y41586" s="372">
        <v>0.0</v>
      </c>
      <c r="Z41586" s="372">
        <v>0.0</v>
      </c>
    </row>
    <row r="41587">
      <c r="Y41587" s="372">
        <v>0.0</v>
      </c>
      <c r="Z41587" s="372">
        <v>0.0</v>
      </c>
    </row>
    <row r="41588">
      <c r="Y41588" s="372">
        <v>0.0</v>
      </c>
      <c r="Z41588" s="372">
        <v>0.0</v>
      </c>
    </row>
    <row r="41589">
      <c r="Y41589" s="372">
        <v>0.0</v>
      </c>
      <c r="Z41589" s="372">
        <v>0.0</v>
      </c>
    </row>
    <row r="41590">
      <c r="Y41590" s="372">
        <v>0.0</v>
      </c>
      <c r="Z41590" s="372">
        <v>0.0</v>
      </c>
    </row>
    <row r="41591">
      <c r="Y41591" s="372">
        <v>0.0</v>
      </c>
      <c r="Z41591" s="372">
        <v>0.0</v>
      </c>
    </row>
    <row r="41592">
      <c r="Y41592" s="372">
        <v>0.0</v>
      </c>
      <c r="Z41592" s="372">
        <v>0.0</v>
      </c>
    </row>
    <row r="41593">
      <c r="Y41593" s="372">
        <v>0.0</v>
      </c>
      <c r="Z41593" s="372">
        <v>0.0</v>
      </c>
    </row>
    <row r="41594">
      <c r="Y41594" s="372">
        <v>0.0</v>
      </c>
      <c r="Z41594" s="372">
        <v>0.0</v>
      </c>
    </row>
    <row r="41595">
      <c r="Y41595" s="372">
        <v>0.0</v>
      </c>
      <c r="Z41595" s="372">
        <v>0.0</v>
      </c>
    </row>
    <row r="41596">
      <c r="Y41596" s="372">
        <v>0.0</v>
      </c>
      <c r="Z41596" s="372">
        <v>0.0</v>
      </c>
    </row>
    <row r="41597">
      <c r="Y41597" s="372">
        <v>0.0</v>
      </c>
      <c r="Z41597" s="372">
        <v>0.0</v>
      </c>
    </row>
    <row r="41598">
      <c r="Y41598" s="372">
        <v>0.0</v>
      </c>
      <c r="Z41598" s="372">
        <v>0.0</v>
      </c>
    </row>
    <row r="41599">
      <c r="Y41599" s="372">
        <v>0.0</v>
      </c>
      <c r="Z41599" s="372">
        <v>0.0</v>
      </c>
    </row>
    <row r="41600">
      <c r="Y41600" s="372">
        <v>0.0</v>
      </c>
      <c r="Z41600" s="372">
        <v>0.0</v>
      </c>
    </row>
    <row r="41601">
      <c r="Y41601" s="372">
        <v>0.0</v>
      </c>
      <c r="Z41601" s="372">
        <v>0.0</v>
      </c>
    </row>
    <row r="41602">
      <c r="Y41602" s="372">
        <v>0.0</v>
      </c>
      <c r="Z41602" s="372">
        <v>0.0</v>
      </c>
    </row>
    <row r="41603">
      <c r="Y41603" s="372">
        <v>0.0</v>
      </c>
      <c r="Z41603" s="372">
        <v>0.0</v>
      </c>
    </row>
    <row r="41604">
      <c r="Y41604" s="372">
        <v>0.0</v>
      </c>
      <c r="Z41604" s="372">
        <v>0.0</v>
      </c>
    </row>
    <row r="41605">
      <c r="Y41605" s="372">
        <v>0.0</v>
      </c>
      <c r="Z41605" s="372">
        <v>0.0</v>
      </c>
    </row>
    <row r="41606">
      <c r="Y41606" s="372">
        <v>0.0</v>
      </c>
      <c r="Z41606" s="372">
        <v>0.0</v>
      </c>
    </row>
    <row r="41607">
      <c r="Y41607" s="372">
        <v>0.0</v>
      </c>
      <c r="Z41607" s="372">
        <v>0.0</v>
      </c>
    </row>
    <row r="41608">
      <c r="Y41608" s="372">
        <v>0.0</v>
      </c>
      <c r="Z41608" s="372">
        <v>0.0</v>
      </c>
    </row>
    <row r="41609">
      <c r="Y41609" s="372">
        <v>0.0</v>
      </c>
      <c r="Z41609" s="372">
        <v>0.0</v>
      </c>
    </row>
    <row r="41610">
      <c r="Y41610" s="372">
        <v>0.0</v>
      </c>
      <c r="Z41610" s="372">
        <v>0.0</v>
      </c>
    </row>
    <row r="41611">
      <c r="Y41611" s="372">
        <v>0.0</v>
      </c>
      <c r="Z41611" s="372">
        <v>0.0</v>
      </c>
    </row>
    <row r="41612">
      <c r="Y41612" s="372">
        <v>0.0</v>
      </c>
      <c r="Z41612" s="372">
        <v>0.0</v>
      </c>
    </row>
    <row r="41613">
      <c r="Y41613" s="372">
        <v>0.0</v>
      </c>
      <c r="Z41613" s="372">
        <v>0.0</v>
      </c>
    </row>
    <row r="41614">
      <c r="Y41614" s="372">
        <v>0.0</v>
      </c>
      <c r="Z41614" s="372">
        <v>0.0</v>
      </c>
    </row>
    <row r="41615">
      <c r="Y41615" s="372">
        <v>0.0</v>
      </c>
      <c r="Z41615" s="372">
        <v>0.0</v>
      </c>
    </row>
    <row r="41616">
      <c r="Y41616" s="372">
        <v>0.0</v>
      </c>
      <c r="Z41616" s="372">
        <v>0.0</v>
      </c>
    </row>
    <row r="41617">
      <c r="Y41617" s="372">
        <v>0.0</v>
      </c>
      <c r="Z41617" s="372">
        <v>0.0</v>
      </c>
    </row>
    <row r="41618">
      <c r="Y41618" s="372">
        <v>0.0</v>
      </c>
      <c r="Z41618" s="372">
        <v>0.0</v>
      </c>
    </row>
    <row r="41619">
      <c r="Y41619" s="372">
        <v>0.0</v>
      </c>
      <c r="Z41619" s="372">
        <v>0.0</v>
      </c>
    </row>
    <row r="41620">
      <c r="Y41620" s="372">
        <v>0.0</v>
      </c>
      <c r="Z41620" s="372">
        <v>0.0</v>
      </c>
    </row>
    <row r="41621">
      <c r="Y41621" s="372">
        <v>0.0</v>
      </c>
      <c r="Z41621" s="372">
        <v>0.0</v>
      </c>
    </row>
    <row r="41622">
      <c r="Y41622" s="372">
        <v>0.0</v>
      </c>
      <c r="Z41622" s="372">
        <v>0.0</v>
      </c>
    </row>
    <row r="41623">
      <c r="Y41623" s="372">
        <v>0.0</v>
      </c>
      <c r="Z41623" s="372">
        <v>0.0</v>
      </c>
    </row>
    <row r="41624">
      <c r="Y41624" s="372">
        <v>0.0</v>
      </c>
      <c r="Z41624" s="372">
        <v>0.0</v>
      </c>
    </row>
    <row r="41625">
      <c r="Y41625" s="372">
        <v>0.0</v>
      </c>
      <c r="Z41625" s="372">
        <v>0.0</v>
      </c>
    </row>
    <row r="41626">
      <c r="Y41626" s="372">
        <v>0.0</v>
      </c>
      <c r="Z41626" s="372">
        <v>0.0</v>
      </c>
    </row>
    <row r="41627">
      <c r="Y41627" s="372">
        <v>0.0</v>
      </c>
      <c r="Z41627" s="372">
        <v>0.0</v>
      </c>
    </row>
    <row r="41628">
      <c r="Y41628" s="372">
        <v>0.0</v>
      </c>
      <c r="Z41628" s="372">
        <v>0.0</v>
      </c>
    </row>
    <row r="41629">
      <c r="Y41629" s="372">
        <v>0.0</v>
      </c>
      <c r="Z41629" s="372">
        <v>0.0</v>
      </c>
    </row>
    <row r="41630">
      <c r="Y41630" s="372">
        <v>0.0</v>
      </c>
      <c r="Z41630" s="372">
        <v>0.0</v>
      </c>
    </row>
    <row r="41631">
      <c r="Y41631" s="372">
        <v>0.0</v>
      </c>
      <c r="Z41631" s="372">
        <v>0.0</v>
      </c>
    </row>
    <row r="41632">
      <c r="Y41632" s="372">
        <v>0.0</v>
      </c>
      <c r="Z41632" s="372">
        <v>0.0</v>
      </c>
    </row>
    <row r="41633">
      <c r="Y41633" s="372">
        <v>0.0</v>
      </c>
      <c r="Z41633" s="372">
        <v>0.0</v>
      </c>
    </row>
    <row r="41634">
      <c r="Y41634" s="372">
        <v>0.0</v>
      </c>
      <c r="Z41634" s="372">
        <v>0.0</v>
      </c>
    </row>
    <row r="41635">
      <c r="Y41635" s="372">
        <v>0.0</v>
      </c>
      <c r="Z41635" s="372">
        <v>0.0</v>
      </c>
    </row>
    <row r="41636">
      <c r="Y41636" s="372">
        <v>0.0</v>
      </c>
      <c r="Z41636" s="372">
        <v>0.0</v>
      </c>
    </row>
    <row r="41637">
      <c r="Y41637" s="372">
        <v>0.0</v>
      </c>
      <c r="Z41637" s="372">
        <v>0.0</v>
      </c>
    </row>
    <row r="41638">
      <c r="Y41638" s="372">
        <v>0.0</v>
      </c>
      <c r="Z41638" s="372">
        <v>0.0</v>
      </c>
    </row>
    <row r="41639">
      <c r="Y41639" s="372">
        <v>0.0</v>
      </c>
      <c r="Z41639" s="372">
        <v>0.0</v>
      </c>
    </row>
    <row r="41640">
      <c r="Y41640" s="372">
        <v>0.0</v>
      </c>
      <c r="Z41640" s="372">
        <v>0.0</v>
      </c>
    </row>
    <row r="41641">
      <c r="Y41641" s="372">
        <v>0.0</v>
      </c>
      <c r="Z41641" s="372">
        <v>0.0</v>
      </c>
    </row>
    <row r="41642">
      <c r="Y41642" s="372">
        <v>0.0</v>
      </c>
      <c r="Z41642" s="372">
        <v>0.0</v>
      </c>
    </row>
    <row r="41643">
      <c r="Y41643" s="372">
        <v>0.0</v>
      </c>
      <c r="Z41643" s="372">
        <v>0.0</v>
      </c>
    </row>
    <row r="41644">
      <c r="Y41644" s="372">
        <v>0.0</v>
      </c>
      <c r="Z41644" s="372">
        <v>0.0</v>
      </c>
    </row>
    <row r="41645">
      <c r="Y41645" s="372">
        <v>0.0</v>
      </c>
      <c r="Z41645" s="372">
        <v>0.0</v>
      </c>
    </row>
    <row r="41646">
      <c r="Y41646" s="372">
        <v>0.0</v>
      </c>
      <c r="Z41646" s="372">
        <v>0.0</v>
      </c>
    </row>
    <row r="41647">
      <c r="Y41647" s="372">
        <v>0.0</v>
      </c>
      <c r="Z41647" s="372">
        <v>0.0</v>
      </c>
    </row>
    <row r="41648">
      <c r="Y41648" s="372">
        <v>0.0</v>
      </c>
      <c r="Z41648" s="372">
        <v>0.0</v>
      </c>
    </row>
    <row r="41649">
      <c r="Y41649" s="372">
        <v>0.0</v>
      </c>
      <c r="Z41649" s="372">
        <v>0.0</v>
      </c>
    </row>
    <row r="41650">
      <c r="Y41650" s="372">
        <v>0.0</v>
      </c>
      <c r="Z41650" s="372">
        <v>0.0</v>
      </c>
    </row>
    <row r="41651">
      <c r="Y41651" s="372">
        <v>0.0</v>
      </c>
      <c r="Z41651" s="372">
        <v>0.0</v>
      </c>
    </row>
    <row r="41652">
      <c r="Y41652" s="372">
        <v>0.0</v>
      </c>
      <c r="Z41652" s="372">
        <v>0.0</v>
      </c>
    </row>
    <row r="41653">
      <c r="Y41653" s="372">
        <v>0.0</v>
      </c>
      <c r="Z41653" s="372">
        <v>0.0</v>
      </c>
    </row>
    <row r="41654">
      <c r="Y41654" s="372">
        <v>0.0</v>
      </c>
      <c r="Z41654" s="372">
        <v>0.0</v>
      </c>
    </row>
    <row r="41655">
      <c r="Y41655" s="372">
        <v>0.0</v>
      </c>
      <c r="Z41655" s="372">
        <v>0.0</v>
      </c>
    </row>
    <row r="41656">
      <c r="Y41656" s="372">
        <v>0.0</v>
      </c>
      <c r="Z41656" s="372">
        <v>0.0</v>
      </c>
    </row>
    <row r="41657">
      <c r="Y41657" s="372">
        <v>0.0</v>
      </c>
      <c r="Z41657" s="372">
        <v>0.0</v>
      </c>
    </row>
    <row r="41658">
      <c r="Y41658" s="372">
        <v>0.0</v>
      </c>
      <c r="Z41658" s="372">
        <v>0.0</v>
      </c>
    </row>
    <row r="41659">
      <c r="Y41659" s="372">
        <v>0.0</v>
      </c>
      <c r="Z41659" s="372">
        <v>0.0</v>
      </c>
    </row>
    <row r="41660">
      <c r="Y41660" s="372">
        <v>0.0</v>
      </c>
      <c r="Z41660" s="372">
        <v>0.0</v>
      </c>
    </row>
    <row r="41661">
      <c r="Y41661" s="372">
        <v>0.0</v>
      </c>
      <c r="Z41661" s="372">
        <v>0.0</v>
      </c>
    </row>
    <row r="41662">
      <c r="Y41662" s="372">
        <v>0.0</v>
      </c>
      <c r="Z41662" s="372">
        <v>0.0</v>
      </c>
    </row>
    <row r="41663">
      <c r="Y41663" s="372">
        <v>0.0</v>
      </c>
      <c r="Z41663" s="372">
        <v>0.0</v>
      </c>
    </row>
    <row r="41664">
      <c r="Y41664" s="372">
        <v>0.0</v>
      </c>
      <c r="Z41664" s="372">
        <v>0.0</v>
      </c>
    </row>
    <row r="41665">
      <c r="Y41665" s="372">
        <v>0.0</v>
      </c>
      <c r="Z41665" s="372">
        <v>0.0</v>
      </c>
    </row>
    <row r="41666">
      <c r="Y41666" s="372">
        <v>0.0</v>
      </c>
      <c r="Z41666" s="372">
        <v>0.0</v>
      </c>
    </row>
    <row r="41667">
      <c r="Y41667" s="372">
        <v>0.0</v>
      </c>
      <c r="Z41667" s="372">
        <v>0.0</v>
      </c>
    </row>
    <row r="41668">
      <c r="Y41668" s="372">
        <v>0.0</v>
      </c>
      <c r="Z41668" s="372">
        <v>0.0</v>
      </c>
    </row>
    <row r="41669">
      <c r="Y41669" s="372">
        <v>0.0</v>
      </c>
      <c r="Z41669" s="372">
        <v>0.0</v>
      </c>
    </row>
    <row r="41670">
      <c r="Y41670" s="372">
        <v>0.0</v>
      </c>
      <c r="Z41670" s="372">
        <v>0.0</v>
      </c>
    </row>
    <row r="41671">
      <c r="Y41671" s="372">
        <v>0.0</v>
      </c>
      <c r="Z41671" s="372">
        <v>0.0</v>
      </c>
    </row>
    <row r="41672">
      <c r="Y41672" s="372">
        <v>0.0</v>
      </c>
      <c r="Z41672" s="372">
        <v>0.0</v>
      </c>
    </row>
    <row r="41673">
      <c r="Y41673" s="372">
        <v>0.0</v>
      </c>
      <c r="Z41673" s="372">
        <v>0.0</v>
      </c>
    </row>
    <row r="41674">
      <c r="Y41674" s="372">
        <v>0.0</v>
      </c>
      <c r="Z41674" s="372">
        <v>0.0</v>
      </c>
    </row>
    <row r="41675">
      <c r="Y41675" s="372">
        <v>0.0</v>
      </c>
      <c r="Z41675" s="372">
        <v>0.0</v>
      </c>
    </row>
    <row r="41676">
      <c r="Y41676" s="372">
        <v>0.0</v>
      </c>
      <c r="Z41676" s="372">
        <v>0.0</v>
      </c>
    </row>
    <row r="41677">
      <c r="Y41677" s="372">
        <v>0.0</v>
      </c>
      <c r="Z41677" s="372">
        <v>0.0</v>
      </c>
    </row>
    <row r="41678">
      <c r="Y41678" s="372">
        <v>0.0</v>
      </c>
      <c r="Z41678" s="372">
        <v>0.0</v>
      </c>
    </row>
    <row r="41679">
      <c r="Y41679" s="372">
        <v>0.0</v>
      </c>
      <c r="Z41679" s="372">
        <v>0.0</v>
      </c>
    </row>
    <row r="41680">
      <c r="Y41680" s="372">
        <v>0.0</v>
      </c>
      <c r="Z41680" s="372">
        <v>0.0</v>
      </c>
    </row>
    <row r="41681">
      <c r="Y41681" s="372">
        <v>0.0</v>
      </c>
      <c r="Z41681" s="372">
        <v>0.0</v>
      </c>
    </row>
    <row r="41682">
      <c r="Y41682" s="372">
        <v>0.0</v>
      </c>
      <c r="Z41682" s="372">
        <v>0.0</v>
      </c>
    </row>
    <row r="41683">
      <c r="Y41683" s="372">
        <v>0.0</v>
      </c>
      <c r="Z41683" s="372">
        <v>0.0</v>
      </c>
    </row>
    <row r="41684">
      <c r="Y41684" s="372">
        <v>0.0</v>
      </c>
      <c r="Z41684" s="372">
        <v>0.0</v>
      </c>
    </row>
    <row r="41685">
      <c r="Y41685" s="372">
        <v>0.0</v>
      </c>
      <c r="Z41685" s="372">
        <v>0.0</v>
      </c>
    </row>
    <row r="41686">
      <c r="Y41686" s="372">
        <v>0.0</v>
      </c>
      <c r="Z41686" s="372">
        <v>0.0</v>
      </c>
    </row>
    <row r="41687">
      <c r="Y41687" s="372">
        <v>0.0</v>
      </c>
      <c r="Z41687" s="372">
        <v>0.0</v>
      </c>
    </row>
    <row r="41688">
      <c r="Y41688" s="372">
        <v>0.0</v>
      </c>
      <c r="Z41688" s="372">
        <v>0.0</v>
      </c>
    </row>
    <row r="41689">
      <c r="Y41689" s="372">
        <v>0.0</v>
      </c>
      <c r="Z41689" s="372">
        <v>0.0</v>
      </c>
    </row>
    <row r="41690">
      <c r="Y41690" s="372">
        <v>0.0</v>
      </c>
      <c r="Z41690" s="372">
        <v>0.0</v>
      </c>
    </row>
    <row r="41691">
      <c r="Y41691" s="372">
        <v>0.0</v>
      </c>
      <c r="Z41691" s="372">
        <v>0.0</v>
      </c>
    </row>
    <row r="41692">
      <c r="Y41692" s="372">
        <v>0.0</v>
      </c>
      <c r="Z41692" s="372">
        <v>0.0</v>
      </c>
    </row>
    <row r="41693">
      <c r="Y41693" s="372">
        <v>0.0</v>
      </c>
      <c r="Z41693" s="372">
        <v>0.0</v>
      </c>
    </row>
    <row r="41694">
      <c r="Y41694" s="372">
        <v>0.0</v>
      </c>
      <c r="Z41694" s="372">
        <v>0.0</v>
      </c>
    </row>
    <row r="41695">
      <c r="Y41695" s="372">
        <v>0.0</v>
      </c>
      <c r="Z41695" s="372">
        <v>0.0</v>
      </c>
    </row>
    <row r="41696">
      <c r="Y41696" s="372">
        <v>0.0</v>
      </c>
      <c r="Z41696" s="372">
        <v>0.0</v>
      </c>
    </row>
    <row r="41697">
      <c r="Y41697" s="372">
        <v>0.0</v>
      </c>
      <c r="Z41697" s="372">
        <v>0.0</v>
      </c>
    </row>
    <row r="41698">
      <c r="Y41698" s="372">
        <v>0.0</v>
      </c>
      <c r="Z41698" s="372">
        <v>0.0</v>
      </c>
    </row>
    <row r="41699">
      <c r="Y41699" s="372">
        <v>0.0</v>
      </c>
      <c r="Z41699" s="372">
        <v>0.0</v>
      </c>
    </row>
    <row r="41700">
      <c r="Y41700" s="372">
        <v>0.0</v>
      </c>
      <c r="Z41700" s="372">
        <v>0.0</v>
      </c>
    </row>
    <row r="41701">
      <c r="Y41701" s="372">
        <v>0.0</v>
      </c>
      <c r="Z41701" s="372">
        <v>0.0</v>
      </c>
    </row>
    <row r="41702">
      <c r="Y41702" s="372">
        <v>0.0</v>
      </c>
      <c r="Z41702" s="372">
        <v>0.0</v>
      </c>
    </row>
    <row r="41703">
      <c r="Y41703" s="372">
        <v>0.0</v>
      </c>
      <c r="Z41703" s="372">
        <v>0.0</v>
      </c>
    </row>
    <row r="41704">
      <c r="Y41704" s="372">
        <v>0.0</v>
      </c>
      <c r="Z41704" s="372">
        <v>0.0</v>
      </c>
    </row>
    <row r="41705">
      <c r="Y41705" s="372">
        <v>0.0</v>
      </c>
      <c r="Z41705" s="372">
        <v>0.0</v>
      </c>
    </row>
    <row r="41706">
      <c r="Y41706" s="372">
        <v>0.0</v>
      </c>
      <c r="Z41706" s="372">
        <v>0.0</v>
      </c>
    </row>
    <row r="41707">
      <c r="Y41707" s="372">
        <v>0.0</v>
      </c>
      <c r="Z41707" s="372">
        <v>0.0</v>
      </c>
    </row>
    <row r="41708">
      <c r="Y41708" s="372">
        <v>0.0</v>
      </c>
      <c r="Z41708" s="372">
        <v>0.0</v>
      </c>
    </row>
    <row r="41709">
      <c r="Y41709" s="372">
        <v>0.0</v>
      </c>
      <c r="Z41709" s="372">
        <v>0.0</v>
      </c>
    </row>
    <row r="41710">
      <c r="Y41710" s="372">
        <v>0.0</v>
      </c>
      <c r="Z41710" s="372">
        <v>0.0</v>
      </c>
    </row>
    <row r="41711">
      <c r="Y41711" s="372">
        <v>0.0</v>
      </c>
      <c r="Z41711" s="372">
        <v>0.0</v>
      </c>
    </row>
    <row r="41712">
      <c r="Y41712" s="372">
        <v>0.0</v>
      </c>
      <c r="Z41712" s="372">
        <v>0.0</v>
      </c>
    </row>
    <row r="41713">
      <c r="Y41713" s="372">
        <v>0.0</v>
      </c>
      <c r="Z41713" s="372">
        <v>0.0</v>
      </c>
    </row>
    <row r="41714">
      <c r="Y41714" s="372">
        <v>0.0</v>
      </c>
      <c r="Z41714" s="372">
        <v>0.0</v>
      </c>
    </row>
    <row r="41715">
      <c r="Y41715" s="372">
        <v>0.0</v>
      </c>
      <c r="Z41715" s="372">
        <v>0.0</v>
      </c>
    </row>
    <row r="41716">
      <c r="Y41716" s="372">
        <v>0.0</v>
      </c>
      <c r="Z41716" s="372">
        <v>0.0</v>
      </c>
    </row>
    <row r="41717">
      <c r="Y41717" s="372">
        <v>0.0</v>
      </c>
      <c r="Z41717" s="372">
        <v>0.0</v>
      </c>
    </row>
    <row r="41718">
      <c r="Y41718" s="372">
        <v>0.0</v>
      </c>
      <c r="Z41718" s="372">
        <v>0.0</v>
      </c>
    </row>
    <row r="41719">
      <c r="Y41719" s="372">
        <v>0.0</v>
      </c>
      <c r="Z41719" s="372">
        <v>0.0</v>
      </c>
    </row>
    <row r="41720">
      <c r="Y41720" s="372">
        <v>0.0</v>
      </c>
      <c r="Z41720" s="372">
        <v>0.0</v>
      </c>
    </row>
    <row r="41721">
      <c r="Y41721" s="372">
        <v>0.0</v>
      </c>
      <c r="Z41721" s="372">
        <v>0.0</v>
      </c>
    </row>
    <row r="41722">
      <c r="Y41722" s="372">
        <v>0.0</v>
      </c>
      <c r="Z41722" s="372">
        <v>0.0</v>
      </c>
    </row>
    <row r="41723">
      <c r="Y41723" s="372">
        <v>0.0</v>
      </c>
      <c r="Z41723" s="372">
        <v>0.0</v>
      </c>
    </row>
    <row r="41724">
      <c r="Y41724" s="372">
        <v>0.0</v>
      </c>
      <c r="Z41724" s="372">
        <v>0.0</v>
      </c>
    </row>
    <row r="41725">
      <c r="Y41725" s="372">
        <v>0.0</v>
      </c>
      <c r="Z41725" s="372">
        <v>0.0</v>
      </c>
    </row>
    <row r="41726">
      <c r="Y41726" s="372">
        <v>0.0</v>
      </c>
      <c r="Z41726" s="372">
        <v>0.0</v>
      </c>
    </row>
    <row r="41727">
      <c r="Y41727" s="372">
        <v>0.0</v>
      </c>
      <c r="Z41727" s="372">
        <v>0.0</v>
      </c>
    </row>
    <row r="41728">
      <c r="Y41728" s="372">
        <v>0.0</v>
      </c>
      <c r="Z41728" s="372">
        <v>0.0</v>
      </c>
    </row>
    <row r="41729">
      <c r="Y41729" s="372">
        <v>0.0</v>
      </c>
      <c r="Z41729" s="372">
        <v>0.0</v>
      </c>
    </row>
    <row r="41730">
      <c r="Y41730" s="372">
        <v>0.0</v>
      </c>
      <c r="Z41730" s="372">
        <v>0.0</v>
      </c>
    </row>
    <row r="41731">
      <c r="Y41731" s="372">
        <v>0.0</v>
      </c>
      <c r="Z41731" s="372">
        <v>0.0</v>
      </c>
    </row>
    <row r="41732">
      <c r="Y41732" s="372">
        <v>0.0</v>
      </c>
      <c r="Z41732" s="372">
        <v>0.0</v>
      </c>
    </row>
    <row r="41733">
      <c r="Y41733" s="372">
        <v>0.0</v>
      </c>
      <c r="Z41733" s="372">
        <v>0.0</v>
      </c>
    </row>
    <row r="41734">
      <c r="Y41734" s="372">
        <v>0.0</v>
      </c>
      <c r="Z41734" s="372">
        <v>0.0</v>
      </c>
    </row>
    <row r="41735">
      <c r="Y41735" s="372">
        <v>0.0</v>
      </c>
      <c r="Z41735" s="372">
        <v>0.0</v>
      </c>
    </row>
    <row r="41736">
      <c r="Y41736" s="372">
        <v>0.0</v>
      </c>
      <c r="Z41736" s="372">
        <v>0.0</v>
      </c>
    </row>
    <row r="41737">
      <c r="Y41737" s="372">
        <v>0.0</v>
      </c>
      <c r="Z41737" s="372">
        <v>0.0</v>
      </c>
    </row>
    <row r="41738">
      <c r="Y41738" s="372">
        <v>0.0</v>
      </c>
      <c r="Z41738" s="372">
        <v>0.0</v>
      </c>
    </row>
    <row r="41739">
      <c r="Y41739" s="372">
        <v>0.0</v>
      </c>
      <c r="Z41739" s="372">
        <v>0.0</v>
      </c>
    </row>
    <row r="41740">
      <c r="Y41740" s="372">
        <v>0.0</v>
      </c>
      <c r="Z41740" s="372">
        <v>0.0</v>
      </c>
    </row>
    <row r="41741">
      <c r="Y41741" s="372">
        <v>0.0</v>
      </c>
      <c r="Z41741" s="372">
        <v>0.0</v>
      </c>
    </row>
    <row r="41742">
      <c r="Y41742" s="372">
        <v>0.0</v>
      </c>
      <c r="Z41742" s="372">
        <v>0.0</v>
      </c>
    </row>
    <row r="41743">
      <c r="Y41743" s="372">
        <v>0.0</v>
      </c>
      <c r="Z41743" s="372">
        <v>0.0</v>
      </c>
    </row>
    <row r="41744">
      <c r="Y41744" s="372">
        <v>0.0</v>
      </c>
      <c r="Z41744" s="372">
        <v>0.0</v>
      </c>
    </row>
    <row r="41745">
      <c r="Y41745" s="372">
        <v>0.0</v>
      </c>
      <c r="Z41745" s="372">
        <v>0.0</v>
      </c>
    </row>
    <row r="41746">
      <c r="Y41746" s="372">
        <v>0.0</v>
      </c>
      <c r="Z41746" s="372">
        <v>0.0</v>
      </c>
    </row>
    <row r="41747">
      <c r="Y41747" s="372">
        <v>0.0</v>
      </c>
      <c r="Z41747" s="372">
        <v>0.0</v>
      </c>
    </row>
    <row r="41748">
      <c r="Y41748" s="372">
        <v>0.0</v>
      </c>
      <c r="Z41748" s="372">
        <v>0.0</v>
      </c>
    </row>
    <row r="41749">
      <c r="Y41749" s="372">
        <v>0.0</v>
      </c>
      <c r="Z41749" s="372">
        <v>0.0</v>
      </c>
    </row>
    <row r="41750">
      <c r="Y41750" s="372">
        <v>0.0</v>
      </c>
      <c r="Z41750" s="372">
        <v>0.0</v>
      </c>
    </row>
    <row r="41751">
      <c r="Y41751" s="372">
        <v>0.0</v>
      </c>
      <c r="Z41751" s="372">
        <v>0.0</v>
      </c>
    </row>
    <row r="41752">
      <c r="Y41752" s="372">
        <v>0.0</v>
      </c>
      <c r="Z41752" s="372">
        <v>0.0</v>
      </c>
    </row>
    <row r="41753">
      <c r="Y41753" s="372">
        <v>0.0</v>
      </c>
      <c r="Z41753" s="372">
        <v>0.0</v>
      </c>
    </row>
    <row r="41754">
      <c r="Y41754" s="372">
        <v>0.0</v>
      </c>
      <c r="Z41754" s="372">
        <v>0.0</v>
      </c>
    </row>
    <row r="41755">
      <c r="Y41755" s="372">
        <v>0.0</v>
      </c>
      <c r="Z41755" s="372">
        <v>0.0</v>
      </c>
    </row>
    <row r="41756">
      <c r="Y41756" s="372">
        <v>0.0</v>
      </c>
      <c r="Z41756" s="372">
        <v>0.0</v>
      </c>
    </row>
    <row r="41757">
      <c r="Y41757" s="372">
        <v>0.0</v>
      </c>
      <c r="Z41757" s="372">
        <v>0.0</v>
      </c>
    </row>
    <row r="41758">
      <c r="Y41758" s="372">
        <v>0.0</v>
      </c>
      <c r="Z41758" s="372">
        <v>0.0</v>
      </c>
    </row>
    <row r="41759">
      <c r="Y41759" s="372">
        <v>0.0</v>
      </c>
      <c r="Z41759" s="372">
        <v>0.0</v>
      </c>
    </row>
    <row r="41760">
      <c r="Y41760" s="372">
        <v>0.0</v>
      </c>
      <c r="Z41760" s="372">
        <v>0.0</v>
      </c>
    </row>
    <row r="41761">
      <c r="Y41761" s="372">
        <v>0.0</v>
      </c>
      <c r="Z41761" s="372">
        <v>0.0</v>
      </c>
    </row>
    <row r="41762">
      <c r="Y41762" s="372">
        <v>0.0</v>
      </c>
      <c r="Z41762" s="372">
        <v>0.0</v>
      </c>
    </row>
    <row r="41763">
      <c r="Y41763" s="372">
        <v>0.0</v>
      </c>
      <c r="Z41763" s="372">
        <v>0.0</v>
      </c>
    </row>
    <row r="41764">
      <c r="Y41764" s="372">
        <v>0.0</v>
      </c>
      <c r="Z41764" s="372">
        <v>0.0</v>
      </c>
    </row>
    <row r="41765">
      <c r="Y41765" s="372">
        <v>0.0</v>
      </c>
      <c r="Z41765" s="372">
        <v>0.0</v>
      </c>
    </row>
    <row r="41766">
      <c r="Y41766" s="372">
        <v>0.0</v>
      </c>
      <c r="Z41766" s="372">
        <v>0.0</v>
      </c>
    </row>
    <row r="41767">
      <c r="Y41767" s="372">
        <v>0.0</v>
      </c>
      <c r="Z41767" s="372">
        <v>0.0</v>
      </c>
    </row>
    <row r="41768">
      <c r="Y41768" s="372">
        <v>0.0</v>
      </c>
      <c r="Z41768" s="372">
        <v>0.0</v>
      </c>
    </row>
    <row r="41769">
      <c r="Y41769" s="372">
        <v>0.0</v>
      </c>
      <c r="Z41769" s="372">
        <v>0.0</v>
      </c>
    </row>
    <row r="41770">
      <c r="Y41770" s="372">
        <v>0.0</v>
      </c>
      <c r="Z41770" s="372">
        <v>0.0</v>
      </c>
    </row>
    <row r="41771">
      <c r="Y41771" s="372">
        <v>0.0</v>
      </c>
      <c r="Z41771" s="372">
        <v>0.0</v>
      </c>
    </row>
    <row r="41772">
      <c r="Y41772" s="372">
        <v>0.0</v>
      </c>
      <c r="Z41772" s="372">
        <v>0.0</v>
      </c>
    </row>
    <row r="41773">
      <c r="Y41773" s="372">
        <v>0.0</v>
      </c>
      <c r="Z41773" s="372">
        <v>0.0</v>
      </c>
    </row>
    <row r="41774">
      <c r="Y41774" s="372">
        <v>0.0</v>
      </c>
      <c r="Z41774" s="372">
        <v>0.0</v>
      </c>
    </row>
    <row r="41775">
      <c r="Y41775" s="372">
        <v>0.0</v>
      </c>
      <c r="Z41775" s="372">
        <v>0.0</v>
      </c>
    </row>
    <row r="41776">
      <c r="Y41776" s="372">
        <v>0.0</v>
      </c>
      <c r="Z41776" s="372">
        <v>0.0</v>
      </c>
    </row>
    <row r="41777">
      <c r="Y41777" s="372">
        <v>0.0</v>
      </c>
      <c r="Z41777" s="372">
        <v>0.0</v>
      </c>
    </row>
    <row r="41778">
      <c r="Y41778" s="372">
        <v>0.0</v>
      </c>
      <c r="Z41778" s="372">
        <v>0.0</v>
      </c>
    </row>
    <row r="41779">
      <c r="Y41779" s="372">
        <v>0.0</v>
      </c>
      <c r="Z41779" s="372">
        <v>0.0</v>
      </c>
    </row>
    <row r="41780">
      <c r="Y41780" s="372">
        <v>0.0</v>
      </c>
      <c r="Z41780" s="372">
        <v>0.0</v>
      </c>
    </row>
    <row r="41781">
      <c r="Y41781" s="372">
        <v>0.0</v>
      </c>
      <c r="Z41781" s="372">
        <v>0.0</v>
      </c>
    </row>
    <row r="41782">
      <c r="Y41782" s="372">
        <v>0.0</v>
      </c>
      <c r="Z41782" s="372">
        <v>0.0</v>
      </c>
    </row>
    <row r="41783">
      <c r="Y41783" s="372">
        <v>0.0</v>
      </c>
      <c r="Z41783" s="372">
        <v>0.0</v>
      </c>
    </row>
    <row r="41784">
      <c r="Y41784" s="372">
        <v>0.0</v>
      </c>
      <c r="Z41784" s="372">
        <v>0.0</v>
      </c>
    </row>
    <row r="41785">
      <c r="Y41785" s="372">
        <v>0.0</v>
      </c>
      <c r="Z41785" s="372">
        <v>0.0</v>
      </c>
    </row>
    <row r="41786">
      <c r="Y41786" s="372">
        <v>0.0</v>
      </c>
      <c r="Z41786" s="372">
        <v>0.0</v>
      </c>
    </row>
    <row r="41787">
      <c r="Y41787" s="372">
        <v>0.0</v>
      </c>
      <c r="Z41787" s="372">
        <v>0.0</v>
      </c>
    </row>
    <row r="41788">
      <c r="Y41788" s="372">
        <v>0.0</v>
      </c>
      <c r="Z41788" s="372">
        <v>0.0</v>
      </c>
    </row>
    <row r="41789">
      <c r="Y41789" s="372">
        <v>0.0</v>
      </c>
      <c r="Z41789" s="372">
        <v>0.0</v>
      </c>
    </row>
    <row r="41790">
      <c r="Y41790" s="372">
        <v>0.0</v>
      </c>
      <c r="Z41790" s="372">
        <v>0.0</v>
      </c>
    </row>
    <row r="41791">
      <c r="Y41791" s="372">
        <v>0.0</v>
      </c>
      <c r="Z41791" s="372">
        <v>0.0</v>
      </c>
    </row>
    <row r="41792">
      <c r="Y41792" s="372">
        <v>0.0</v>
      </c>
      <c r="Z41792" s="372">
        <v>0.0</v>
      </c>
    </row>
    <row r="41793">
      <c r="Y41793" s="372">
        <v>0.0</v>
      </c>
      <c r="Z41793" s="372">
        <v>0.0</v>
      </c>
    </row>
    <row r="41794">
      <c r="Y41794" s="372">
        <v>0.0</v>
      </c>
      <c r="Z41794" s="372">
        <v>0.0</v>
      </c>
    </row>
    <row r="41795">
      <c r="Y41795" s="372">
        <v>0.0</v>
      </c>
      <c r="Z41795" s="372">
        <v>0.0</v>
      </c>
    </row>
    <row r="41796">
      <c r="Y41796" s="372">
        <v>0.0</v>
      </c>
      <c r="Z41796" s="372">
        <v>0.0</v>
      </c>
    </row>
    <row r="41797">
      <c r="Y41797" s="372">
        <v>0.0</v>
      </c>
      <c r="Z41797" s="372">
        <v>0.0</v>
      </c>
    </row>
    <row r="41798">
      <c r="Y41798" s="372">
        <v>0.0</v>
      </c>
      <c r="Z41798" s="372">
        <v>0.0</v>
      </c>
    </row>
    <row r="41799">
      <c r="Y41799" s="372">
        <v>0.0</v>
      </c>
      <c r="Z41799" s="372">
        <v>0.0</v>
      </c>
    </row>
    <row r="41800">
      <c r="Y41800" s="372">
        <v>0.0</v>
      </c>
      <c r="Z41800" s="372">
        <v>0.0</v>
      </c>
    </row>
    <row r="41801">
      <c r="Y41801" s="372">
        <v>0.0</v>
      </c>
      <c r="Z41801" s="372">
        <v>0.0</v>
      </c>
    </row>
    <row r="41802">
      <c r="Y41802" s="372">
        <v>0.0</v>
      </c>
      <c r="Z41802" s="372">
        <v>0.0</v>
      </c>
    </row>
    <row r="41803">
      <c r="Y41803" s="372">
        <v>0.0</v>
      </c>
      <c r="Z41803" s="372">
        <v>0.0</v>
      </c>
    </row>
    <row r="41804">
      <c r="Y41804" s="372">
        <v>0.0</v>
      </c>
      <c r="Z41804" s="372">
        <v>0.0</v>
      </c>
    </row>
    <row r="41805">
      <c r="Y41805" s="372">
        <v>0.0</v>
      </c>
      <c r="Z41805" s="372">
        <v>0.0</v>
      </c>
    </row>
    <row r="41806">
      <c r="Y41806" s="372">
        <v>0.0</v>
      </c>
      <c r="Z41806" s="372">
        <v>0.0</v>
      </c>
    </row>
    <row r="41807">
      <c r="Y41807" s="372">
        <v>0.0</v>
      </c>
      <c r="Z41807" s="372">
        <v>0.0</v>
      </c>
    </row>
    <row r="41808">
      <c r="Y41808" s="372">
        <v>0.0</v>
      </c>
      <c r="Z41808" s="372">
        <v>0.0</v>
      </c>
    </row>
    <row r="41809">
      <c r="Y41809" s="372">
        <v>0.0</v>
      </c>
      <c r="Z41809" s="372">
        <v>0.0</v>
      </c>
    </row>
    <row r="41810">
      <c r="Y41810" s="372">
        <v>0.0</v>
      </c>
      <c r="Z41810" s="372">
        <v>0.0</v>
      </c>
    </row>
    <row r="41811">
      <c r="Y41811" s="372">
        <v>0.0</v>
      </c>
      <c r="Z41811" s="372">
        <v>0.0</v>
      </c>
    </row>
    <row r="41812">
      <c r="Y41812" s="372">
        <v>0.0</v>
      </c>
      <c r="Z41812" s="372">
        <v>0.0</v>
      </c>
    </row>
    <row r="41813">
      <c r="Y41813" s="372">
        <v>0.0</v>
      </c>
      <c r="Z41813" s="372">
        <v>0.0</v>
      </c>
    </row>
    <row r="41814">
      <c r="Y41814" s="372">
        <v>0.0</v>
      </c>
      <c r="Z41814" s="372">
        <v>0.0</v>
      </c>
    </row>
    <row r="41815">
      <c r="Y41815" s="372">
        <v>0.0</v>
      </c>
      <c r="Z41815" s="372">
        <v>0.0</v>
      </c>
    </row>
    <row r="41816">
      <c r="Y41816" s="372">
        <v>0.0</v>
      </c>
      <c r="Z41816" s="372">
        <v>0.0</v>
      </c>
    </row>
    <row r="41817">
      <c r="Y41817" s="372">
        <v>0.0</v>
      </c>
      <c r="Z41817" s="372">
        <v>0.0</v>
      </c>
    </row>
    <row r="41818">
      <c r="Y41818" s="372">
        <v>0.0</v>
      </c>
      <c r="Z41818" s="372">
        <v>0.0</v>
      </c>
    </row>
    <row r="41819">
      <c r="Y41819" s="372">
        <v>0.0</v>
      </c>
      <c r="Z41819" s="372">
        <v>0.0</v>
      </c>
    </row>
    <row r="41820">
      <c r="Y41820" s="372">
        <v>0.0</v>
      </c>
      <c r="Z41820" s="372">
        <v>0.0</v>
      </c>
    </row>
    <row r="41821">
      <c r="Y41821" s="372">
        <v>0.0</v>
      </c>
      <c r="Z41821" s="372">
        <v>0.0</v>
      </c>
    </row>
    <row r="41822">
      <c r="Y41822" s="372">
        <v>0.0</v>
      </c>
      <c r="Z41822" s="372">
        <v>0.0</v>
      </c>
    </row>
    <row r="41823">
      <c r="Y41823" s="372">
        <v>0.0</v>
      </c>
      <c r="Z41823" s="372">
        <v>0.0</v>
      </c>
    </row>
    <row r="41824">
      <c r="Y41824" s="372">
        <v>0.0</v>
      </c>
      <c r="Z41824" s="372">
        <v>0.0</v>
      </c>
    </row>
    <row r="41825">
      <c r="Y41825" s="372">
        <v>0.0</v>
      </c>
      <c r="Z41825" s="372">
        <v>0.0</v>
      </c>
    </row>
    <row r="41826">
      <c r="Y41826" s="372">
        <v>0.0</v>
      </c>
      <c r="Z41826" s="372">
        <v>0.0</v>
      </c>
    </row>
    <row r="41827">
      <c r="Y41827" s="372">
        <v>0.0</v>
      </c>
      <c r="Z41827" s="372">
        <v>0.0</v>
      </c>
    </row>
    <row r="41828">
      <c r="Y41828" s="372">
        <v>0.0</v>
      </c>
      <c r="Z41828" s="372">
        <v>0.0</v>
      </c>
    </row>
    <row r="41829">
      <c r="Y41829" s="372">
        <v>0.0</v>
      </c>
      <c r="Z41829" s="372">
        <v>0.0</v>
      </c>
    </row>
    <row r="41830">
      <c r="Y41830" s="372">
        <v>0.0</v>
      </c>
      <c r="Z41830" s="372">
        <v>0.0</v>
      </c>
    </row>
    <row r="41831">
      <c r="Y41831" s="372">
        <v>0.0</v>
      </c>
      <c r="Z41831" s="372">
        <v>0.0</v>
      </c>
    </row>
    <row r="41832">
      <c r="Y41832" s="372">
        <v>0.0</v>
      </c>
      <c r="Z41832" s="372">
        <v>0.0</v>
      </c>
    </row>
    <row r="41833">
      <c r="Y41833" s="372">
        <v>0.0</v>
      </c>
      <c r="Z41833" s="372">
        <v>0.0</v>
      </c>
    </row>
    <row r="41834">
      <c r="Y41834" s="372">
        <v>0.0</v>
      </c>
      <c r="Z41834" s="372">
        <v>0.0</v>
      </c>
    </row>
    <row r="41835">
      <c r="Y41835" s="372">
        <v>0.0</v>
      </c>
      <c r="Z41835" s="372">
        <v>0.0</v>
      </c>
    </row>
    <row r="41836">
      <c r="Y41836" s="372">
        <v>0.0</v>
      </c>
      <c r="Z41836" s="372">
        <v>0.0</v>
      </c>
    </row>
    <row r="41837">
      <c r="Y41837" s="372">
        <v>0.0</v>
      </c>
      <c r="Z41837" s="372">
        <v>0.0</v>
      </c>
    </row>
    <row r="41838">
      <c r="Y41838" s="372">
        <v>0.0</v>
      </c>
      <c r="Z41838" s="372">
        <v>0.0</v>
      </c>
    </row>
    <row r="41839">
      <c r="Y41839" s="372">
        <v>0.0</v>
      </c>
      <c r="Z41839" s="372">
        <v>0.0</v>
      </c>
    </row>
    <row r="41840">
      <c r="Y41840" s="372">
        <v>0.0</v>
      </c>
      <c r="Z41840" s="372">
        <v>0.0</v>
      </c>
    </row>
    <row r="41841">
      <c r="Y41841" s="372">
        <v>0.0</v>
      </c>
      <c r="Z41841" s="372">
        <v>0.0</v>
      </c>
    </row>
    <row r="41842">
      <c r="Y41842" s="372">
        <v>0.0</v>
      </c>
      <c r="Z41842" s="372">
        <v>0.0</v>
      </c>
    </row>
    <row r="41843">
      <c r="Y41843" s="372">
        <v>0.0</v>
      </c>
      <c r="Z41843" s="372">
        <v>0.0</v>
      </c>
    </row>
    <row r="41844">
      <c r="Y41844" s="372">
        <v>0.0</v>
      </c>
      <c r="Z41844" s="372">
        <v>0.0</v>
      </c>
    </row>
    <row r="41845">
      <c r="Y41845" s="372">
        <v>0.0</v>
      </c>
      <c r="Z41845" s="372">
        <v>0.0</v>
      </c>
    </row>
    <row r="41846">
      <c r="Y41846" s="372">
        <v>0.0</v>
      </c>
      <c r="Z41846" s="372">
        <v>0.0</v>
      </c>
    </row>
    <row r="41847">
      <c r="Y41847" s="372">
        <v>0.0</v>
      </c>
      <c r="Z41847" s="372">
        <v>0.0</v>
      </c>
    </row>
    <row r="41848">
      <c r="Y41848" s="372">
        <v>0.0</v>
      </c>
      <c r="Z41848" s="372">
        <v>0.0</v>
      </c>
    </row>
    <row r="41849">
      <c r="Y41849" s="372">
        <v>0.0</v>
      </c>
      <c r="Z41849" s="372">
        <v>0.0</v>
      </c>
    </row>
    <row r="41850">
      <c r="Y41850" s="372">
        <v>0.0</v>
      </c>
      <c r="Z41850" s="372">
        <v>0.0</v>
      </c>
    </row>
    <row r="41851">
      <c r="Y41851" s="372">
        <v>0.0</v>
      </c>
      <c r="Z41851" s="372">
        <v>0.0</v>
      </c>
    </row>
    <row r="41852">
      <c r="Y41852" s="372">
        <v>0.0</v>
      </c>
      <c r="Z41852" s="372">
        <v>0.0</v>
      </c>
    </row>
    <row r="41853">
      <c r="Y41853" s="372">
        <v>0.0</v>
      </c>
      <c r="Z41853" s="372">
        <v>0.0</v>
      </c>
    </row>
    <row r="41854">
      <c r="Y41854" s="372">
        <v>0.0</v>
      </c>
      <c r="Z41854" s="372">
        <v>0.0</v>
      </c>
    </row>
    <row r="41855">
      <c r="Y41855" s="372">
        <v>0.0</v>
      </c>
      <c r="Z41855" s="372">
        <v>0.0</v>
      </c>
    </row>
    <row r="41856">
      <c r="Y41856" s="372">
        <v>0.0</v>
      </c>
      <c r="Z41856" s="372">
        <v>0.0</v>
      </c>
    </row>
    <row r="41857">
      <c r="Y41857" s="372">
        <v>0.0</v>
      </c>
      <c r="Z41857" s="372">
        <v>0.0</v>
      </c>
    </row>
    <row r="41858">
      <c r="Y41858" s="372">
        <v>0.0</v>
      </c>
      <c r="Z41858" s="372">
        <v>0.0</v>
      </c>
    </row>
    <row r="41859">
      <c r="Y41859" s="372">
        <v>0.0</v>
      </c>
      <c r="Z41859" s="372">
        <v>0.0</v>
      </c>
    </row>
    <row r="41860">
      <c r="Y41860" s="372">
        <v>0.0</v>
      </c>
      <c r="Z41860" s="372">
        <v>0.0</v>
      </c>
    </row>
    <row r="41861">
      <c r="Y41861" s="372">
        <v>0.0</v>
      </c>
      <c r="Z41861" s="372">
        <v>0.0</v>
      </c>
    </row>
    <row r="41862">
      <c r="Y41862" s="372">
        <v>0.0</v>
      </c>
      <c r="Z41862" s="372">
        <v>0.0</v>
      </c>
    </row>
    <row r="41863">
      <c r="Y41863" s="372">
        <v>0.0</v>
      </c>
      <c r="Z41863" s="372">
        <v>0.0</v>
      </c>
    </row>
    <row r="41864">
      <c r="Y41864" s="372">
        <v>0.0</v>
      </c>
      <c r="Z41864" s="372">
        <v>0.0</v>
      </c>
    </row>
    <row r="41865">
      <c r="Y41865" s="372">
        <v>0.0</v>
      </c>
      <c r="Z41865" s="372">
        <v>0.0</v>
      </c>
    </row>
    <row r="41866">
      <c r="Y41866" s="372">
        <v>0.0</v>
      </c>
      <c r="Z41866" s="372">
        <v>0.0</v>
      </c>
    </row>
    <row r="41867">
      <c r="Y41867" s="372">
        <v>0.0</v>
      </c>
      <c r="Z41867" s="372">
        <v>0.0</v>
      </c>
    </row>
    <row r="41868">
      <c r="Y41868" s="372">
        <v>0.0</v>
      </c>
      <c r="Z41868" s="372">
        <v>0.0</v>
      </c>
    </row>
    <row r="41869">
      <c r="Y41869" s="372">
        <v>0.0</v>
      </c>
      <c r="Z41869" s="372">
        <v>0.0</v>
      </c>
    </row>
    <row r="41870">
      <c r="Y41870" s="372">
        <v>0.0</v>
      </c>
      <c r="Z41870" s="372">
        <v>0.0</v>
      </c>
    </row>
    <row r="41871">
      <c r="Y41871" s="372">
        <v>0.0</v>
      </c>
      <c r="Z41871" s="372">
        <v>0.0</v>
      </c>
    </row>
    <row r="41872">
      <c r="Y41872" s="372">
        <v>0.0</v>
      </c>
      <c r="Z41872" s="372">
        <v>0.0</v>
      </c>
    </row>
    <row r="41873">
      <c r="Y41873" s="372">
        <v>0.0</v>
      </c>
      <c r="Z41873" s="372">
        <v>0.0</v>
      </c>
    </row>
    <row r="41874">
      <c r="Y41874" s="372">
        <v>0.0</v>
      </c>
      <c r="Z41874" s="372">
        <v>0.0</v>
      </c>
    </row>
    <row r="41875">
      <c r="Y41875" s="372">
        <v>0.0</v>
      </c>
      <c r="Z41875" s="372">
        <v>0.0</v>
      </c>
    </row>
    <row r="41876">
      <c r="Y41876" s="372">
        <v>0.0</v>
      </c>
      <c r="Z41876" s="372">
        <v>0.0</v>
      </c>
    </row>
    <row r="41877">
      <c r="Y41877" s="372">
        <v>0.0</v>
      </c>
      <c r="Z41877" s="372">
        <v>0.0</v>
      </c>
    </row>
    <row r="41878">
      <c r="Y41878" s="372">
        <v>0.0</v>
      </c>
      <c r="Z41878" s="372">
        <v>0.0</v>
      </c>
    </row>
    <row r="41879">
      <c r="Y41879" s="372">
        <v>0.0</v>
      </c>
      <c r="Z41879" s="372">
        <v>0.0</v>
      </c>
    </row>
    <row r="41880">
      <c r="Y41880" s="372">
        <v>0.0</v>
      </c>
      <c r="Z41880" s="372">
        <v>0.0</v>
      </c>
    </row>
    <row r="41881">
      <c r="Y41881" s="372">
        <v>0.0</v>
      </c>
      <c r="Z41881" s="372">
        <v>0.0</v>
      </c>
    </row>
    <row r="41882">
      <c r="Y41882" s="372">
        <v>0.0</v>
      </c>
      <c r="Z41882" s="372">
        <v>0.0</v>
      </c>
    </row>
    <row r="41883">
      <c r="Y41883" s="372">
        <v>0.0</v>
      </c>
      <c r="Z41883" s="372">
        <v>0.0</v>
      </c>
    </row>
    <row r="41884">
      <c r="Y41884" s="372">
        <v>0.0</v>
      </c>
      <c r="Z41884" s="372">
        <v>0.0</v>
      </c>
    </row>
    <row r="41885">
      <c r="Y41885" s="372">
        <v>0.0</v>
      </c>
      <c r="Z41885" s="372">
        <v>0.0</v>
      </c>
    </row>
    <row r="41886">
      <c r="Y41886" s="372">
        <v>0.0</v>
      </c>
      <c r="Z41886" s="372">
        <v>0.0</v>
      </c>
    </row>
    <row r="41887">
      <c r="Y41887" s="372">
        <v>0.0</v>
      </c>
      <c r="Z41887" s="372">
        <v>0.0</v>
      </c>
    </row>
    <row r="41888">
      <c r="Y41888" s="372">
        <v>0.0</v>
      </c>
      <c r="Z41888" s="372">
        <v>0.0</v>
      </c>
    </row>
    <row r="41889">
      <c r="Y41889" s="372">
        <v>0.0</v>
      </c>
      <c r="Z41889" s="372">
        <v>0.0</v>
      </c>
    </row>
    <row r="41890">
      <c r="Y41890" s="372">
        <v>0.0</v>
      </c>
      <c r="Z41890" s="372">
        <v>0.0</v>
      </c>
    </row>
    <row r="41891">
      <c r="Y41891" s="372">
        <v>0.0</v>
      </c>
      <c r="Z41891" s="372">
        <v>0.0</v>
      </c>
    </row>
    <row r="41892">
      <c r="Y41892" s="372">
        <v>0.0</v>
      </c>
      <c r="Z41892" s="372">
        <v>0.0</v>
      </c>
    </row>
    <row r="41893">
      <c r="Y41893" s="372">
        <v>0.0</v>
      </c>
      <c r="Z41893" s="372">
        <v>0.0</v>
      </c>
    </row>
    <row r="41894">
      <c r="Y41894" s="372">
        <v>0.0</v>
      </c>
      <c r="Z41894" s="372">
        <v>0.0</v>
      </c>
    </row>
    <row r="41895">
      <c r="Y41895" s="372">
        <v>0.0</v>
      </c>
      <c r="Z41895" s="372">
        <v>0.0</v>
      </c>
    </row>
    <row r="41896">
      <c r="Y41896" s="372">
        <v>0.0</v>
      </c>
      <c r="Z41896" s="372">
        <v>0.0</v>
      </c>
    </row>
    <row r="41897">
      <c r="Y41897" s="372">
        <v>0.0</v>
      </c>
      <c r="Z41897" s="372">
        <v>0.0</v>
      </c>
    </row>
    <row r="41898">
      <c r="Y41898" s="372">
        <v>0.0</v>
      </c>
      <c r="Z41898" s="372">
        <v>0.0</v>
      </c>
    </row>
    <row r="41899">
      <c r="Y41899" s="372">
        <v>0.0</v>
      </c>
      <c r="Z41899" s="372">
        <v>0.0</v>
      </c>
    </row>
    <row r="41900">
      <c r="Y41900" s="372">
        <v>0.0</v>
      </c>
      <c r="Z41900" s="372">
        <v>0.0</v>
      </c>
    </row>
    <row r="41901">
      <c r="Y41901" s="372">
        <v>0.0</v>
      </c>
      <c r="Z41901" s="372">
        <v>0.0</v>
      </c>
    </row>
    <row r="41902">
      <c r="Y41902" s="372">
        <v>0.0</v>
      </c>
      <c r="Z41902" s="372">
        <v>0.0</v>
      </c>
    </row>
    <row r="41903">
      <c r="Y41903" s="372">
        <v>0.0</v>
      </c>
      <c r="Z41903" s="372">
        <v>0.0</v>
      </c>
    </row>
    <row r="41904">
      <c r="Y41904" s="372">
        <v>0.0</v>
      </c>
      <c r="Z41904" s="372">
        <v>0.0</v>
      </c>
    </row>
    <row r="41905">
      <c r="Y41905" s="372">
        <v>0.0</v>
      </c>
      <c r="Z41905" s="372">
        <v>0.0</v>
      </c>
    </row>
    <row r="41906">
      <c r="Y41906" s="372">
        <v>0.0</v>
      </c>
      <c r="Z41906" s="372">
        <v>0.0</v>
      </c>
    </row>
    <row r="41907">
      <c r="Y41907" s="372">
        <v>0.0</v>
      </c>
      <c r="Z41907" s="372">
        <v>0.0</v>
      </c>
    </row>
    <row r="41908">
      <c r="Y41908" s="372">
        <v>0.0</v>
      </c>
      <c r="Z41908" s="372">
        <v>0.0</v>
      </c>
    </row>
    <row r="41909">
      <c r="Y41909" s="372">
        <v>0.0</v>
      </c>
      <c r="Z41909" s="372">
        <v>0.0</v>
      </c>
    </row>
    <row r="41910">
      <c r="Y41910" s="372">
        <v>0.0</v>
      </c>
      <c r="Z41910" s="372">
        <v>0.0</v>
      </c>
    </row>
    <row r="41911">
      <c r="Y41911" s="372">
        <v>0.0</v>
      </c>
      <c r="Z41911" s="372">
        <v>0.0</v>
      </c>
    </row>
    <row r="41912">
      <c r="Y41912" s="372">
        <v>0.0</v>
      </c>
      <c r="Z41912" s="372">
        <v>0.0</v>
      </c>
    </row>
    <row r="41913">
      <c r="Y41913" s="372">
        <v>0.0</v>
      </c>
      <c r="Z41913" s="372">
        <v>0.0</v>
      </c>
    </row>
    <row r="41914">
      <c r="Y41914" s="372">
        <v>0.0</v>
      </c>
      <c r="Z41914" s="372">
        <v>0.0</v>
      </c>
    </row>
    <row r="41915">
      <c r="Y41915" s="372">
        <v>0.0</v>
      </c>
      <c r="Z41915" s="372">
        <v>0.0</v>
      </c>
    </row>
    <row r="41916">
      <c r="Y41916" s="372">
        <v>0.0</v>
      </c>
      <c r="Z41916" s="372">
        <v>0.0</v>
      </c>
    </row>
    <row r="41917">
      <c r="Y41917" s="372">
        <v>0.0</v>
      </c>
      <c r="Z41917" s="372">
        <v>0.0</v>
      </c>
    </row>
    <row r="41918">
      <c r="Y41918" s="372">
        <v>0.0</v>
      </c>
      <c r="Z41918" s="372">
        <v>0.0</v>
      </c>
    </row>
    <row r="41919">
      <c r="Y41919" s="372">
        <v>0.0</v>
      </c>
      <c r="Z41919" s="372">
        <v>0.0</v>
      </c>
    </row>
    <row r="41920">
      <c r="Y41920" s="372">
        <v>0.0</v>
      </c>
      <c r="Z41920" s="372">
        <v>0.0</v>
      </c>
    </row>
    <row r="41921">
      <c r="Y41921" s="372">
        <v>0.0</v>
      </c>
      <c r="Z41921" s="372">
        <v>0.0</v>
      </c>
    </row>
    <row r="41922">
      <c r="Y41922" s="372">
        <v>0.0</v>
      </c>
      <c r="Z41922" s="372">
        <v>0.0</v>
      </c>
    </row>
    <row r="41923">
      <c r="Y41923" s="372">
        <v>0.0</v>
      </c>
      <c r="Z41923" s="372">
        <v>0.0</v>
      </c>
    </row>
    <row r="41924">
      <c r="Y41924" s="372">
        <v>0.0</v>
      </c>
      <c r="Z41924" s="372">
        <v>0.0</v>
      </c>
    </row>
    <row r="41925">
      <c r="Y41925" s="372">
        <v>0.0</v>
      </c>
      <c r="Z41925" s="372">
        <v>0.0</v>
      </c>
    </row>
    <row r="41926">
      <c r="Y41926" s="372">
        <v>0.0</v>
      </c>
      <c r="Z41926" s="372">
        <v>0.0</v>
      </c>
    </row>
    <row r="41927">
      <c r="Y41927" s="372">
        <v>0.0</v>
      </c>
      <c r="Z41927" s="372">
        <v>0.0</v>
      </c>
    </row>
    <row r="41928">
      <c r="Y41928" s="372">
        <v>0.0</v>
      </c>
      <c r="Z41928" s="372">
        <v>0.0</v>
      </c>
    </row>
    <row r="41929">
      <c r="Y41929" s="372">
        <v>0.0</v>
      </c>
      <c r="Z41929" s="372">
        <v>0.0</v>
      </c>
    </row>
    <row r="41930">
      <c r="Y41930" s="372">
        <v>0.0</v>
      </c>
      <c r="Z41930" s="372">
        <v>0.0</v>
      </c>
    </row>
    <row r="41931">
      <c r="Y41931" s="372">
        <v>0.0</v>
      </c>
      <c r="Z41931" s="372">
        <v>0.0</v>
      </c>
    </row>
    <row r="41932">
      <c r="Y41932" s="372">
        <v>0.0</v>
      </c>
      <c r="Z41932" s="372">
        <v>0.0</v>
      </c>
    </row>
    <row r="41933">
      <c r="Y41933" s="372">
        <v>0.0</v>
      </c>
      <c r="Z41933" s="372">
        <v>0.0</v>
      </c>
    </row>
    <row r="41934">
      <c r="Y41934" s="372">
        <v>0.0</v>
      </c>
      <c r="Z41934" s="372">
        <v>0.0</v>
      </c>
    </row>
    <row r="41935">
      <c r="Y41935" s="372">
        <v>0.0</v>
      </c>
      <c r="Z41935" s="372">
        <v>0.0</v>
      </c>
    </row>
    <row r="41936">
      <c r="Y41936" s="372">
        <v>0.0</v>
      </c>
      <c r="Z41936" s="372">
        <v>0.0</v>
      </c>
    </row>
    <row r="41937">
      <c r="Y41937" s="372">
        <v>0.0</v>
      </c>
      <c r="Z41937" s="372">
        <v>0.0</v>
      </c>
    </row>
    <row r="41938">
      <c r="Y41938" s="372">
        <v>0.0</v>
      </c>
      <c r="Z41938" s="372">
        <v>0.0</v>
      </c>
    </row>
    <row r="41939">
      <c r="Y41939" s="372">
        <v>0.0</v>
      </c>
      <c r="Z41939" s="372">
        <v>0.0</v>
      </c>
    </row>
    <row r="41940">
      <c r="Y41940" s="372">
        <v>0.0</v>
      </c>
      <c r="Z41940" s="372">
        <v>0.0</v>
      </c>
    </row>
    <row r="41941">
      <c r="Y41941" s="372">
        <v>0.0</v>
      </c>
      <c r="Z41941" s="372">
        <v>0.0</v>
      </c>
    </row>
    <row r="41942">
      <c r="Y41942" s="372">
        <v>0.0</v>
      </c>
      <c r="Z41942" s="372">
        <v>0.0</v>
      </c>
    </row>
    <row r="41943">
      <c r="Y41943" s="372">
        <v>0.0</v>
      </c>
      <c r="Z41943" s="372">
        <v>0.0</v>
      </c>
    </row>
    <row r="41944">
      <c r="Y41944" s="372">
        <v>0.0</v>
      </c>
      <c r="Z41944" s="372">
        <v>0.0</v>
      </c>
    </row>
    <row r="41945">
      <c r="Y41945" s="372">
        <v>0.0</v>
      </c>
      <c r="Z41945" s="372">
        <v>0.0</v>
      </c>
    </row>
    <row r="41946">
      <c r="Y41946" s="372">
        <v>0.0</v>
      </c>
      <c r="Z41946" s="372">
        <v>0.0</v>
      </c>
    </row>
    <row r="41947">
      <c r="Y41947" s="372">
        <v>0.0</v>
      </c>
      <c r="Z41947" s="372">
        <v>0.0</v>
      </c>
    </row>
    <row r="41948">
      <c r="Y41948" s="372">
        <v>0.0</v>
      </c>
      <c r="Z41948" s="372">
        <v>0.0</v>
      </c>
    </row>
    <row r="41949">
      <c r="Y41949" s="372">
        <v>0.0</v>
      </c>
      <c r="Z41949" s="372">
        <v>0.0</v>
      </c>
    </row>
    <row r="41950">
      <c r="Y41950" s="372">
        <v>0.0</v>
      </c>
      <c r="Z41950" s="372">
        <v>0.0</v>
      </c>
    </row>
    <row r="41951">
      <c r="Y41951" s="372">
        <v>0.0</v>
      </c>
      <c r="Z41951" s="372">
        <v>0.0</v>
      </c>
    </row>
    <row r="41952">
      <c r="Y41952" s="372">
        <v>0.0</v>
      </c>
      <c r="Z41952" s="372">
        <v>0.0</v>
      </c>
    </row>
    <row r="41953">
      <c r="Y41953" s="372">
        <v>0.0</v>
      </c>
      <c r="Z41953" s="372">
        <v>0.0</v>
      </c>
    </row>
    <row r="41954">
      <c r="Y41954" s="372">
        <v>0.0</v>
      </c>
      <c r="Z41954" s="372">
        <v>0.0</v>
      </c>
    </row>
    <row r="41955">
      <c r="Y41955" s="372">
        <v>0.0</v>
      </c>
      <c r="Z41955" s="372">
        <v>0.0</v>
      </c>
    </row>
    <row r="41956">
      <c r="Y41956" s="372">
        <v>0.0</v>
      </c>
      <c r="Z41956" s="372">
        <v>0.0</v>
      </c>
    </row>
    <row r="41957">
      <c r="Y41957" s="372">
        <v>0.0</v>
      </c>
      <c r="Z41957" s="372">
        <v>0.0</v>
      </c>
    </row>
    <row r="41958">
      <c r="Y41958" s="372">
        <v>0.0</v>
      </c>
      <c r="Z41958" s="372">
        <v>0.0</v>
      </c>
    </row>
    <row r="41959">
      <c r="Y41959" s="372">
        <v>0.0</v>
      </c>
      <c r="Z41959" s="372">
        <v>0.0</v>
      </c>
    </row>
    <row r="41960">
      <c r="Y41960" s="372">
        <v>0.0</v>
      </c>
      <c r="Z41960" s="372">
        <v>0.0</v>
      </c>
    </row>
    <row r="41961">
      <c r="Y41961" s="372">
        <v>0.0</v>
      </c>
      <c r="Z41961" s="372">
        <v>0.0</v>
      </c>
    </row>
    <row r="41962">
      <c r="Y41962" s="372">
        <v>0.0</v>
      </c>
      <c r="Z41962" s="372">
        <v>0.0</v>
      </c>
    </row>
    <row r="41963">
      <c r="Y41963" s="372">
        <v>0.0</v>
      </c>
      <c r="Z41963" s="372">
        <v>0.0</v>
      </c>
    </row>
    <row r="41964">
      <c r="Y41964" s="372">
        <v>0.0</v>
      </c>
      <c r="Z41964" s="372">
        <v>0.0</v>
      </c>
    </row>
    <row r="41965">
      <c r="Y41965" s="372">
        <v>0.0</v>
      </c>
      <c r="Z41965" s="372">
        <v>0.0</v>
      </c>
    </row>
    <row r="41966">
      <c r="Y41966" s="372">
        <v>0.0</v>
      </c>
      <c r="Z41966" s="372">
        <v>0.0</v>
      </c>
    </row>
    <row r="41967">
      <c r="Y41967" s="372">
        <v>0.0</v>
      </c>
      <c r="Z41967" s="372">
        <v>0.0</v>
      </c>
    </row>
    <row r="41968">
      <c r="Y41968" s="372">
        <v>0.0</v>
      </c>
      <c r="Z41968" s="372">
        <v>0.0</v>
      </c>
    </row>
    <row r="41969">
      <c r="Y41969" s="372">
        <v>0.0</v>
      </c>
      <c r="Z41969" s="372">
        <v>0.0</v>
      </c>
    </row>
    <row r="41970">
      <c r="Y41970" s="372">
        <v>0.0</v>
      </c>
      <c r="Z41970" s="372">
        <v>0.0</v>
      </c>
    </row>
    <row r="41971">
      <c r="Y41971" s="372">
        <v>0.0</v>
      </c>
      <c r="Z41971" s="372">
        <v>0.0</v>
      </c>
    </row>
    <row r="41972">
      <c r="Y41972" s="372">
        <v>0.0</v>
      </c>
      <c r="Z41972" s="372">
        <v>0.0</v>
      </c>
    </row>
    <row r="41973">
      <c r="Y41973" s="372">
        <v>0.0</v>
      </c>
      <c r="Z41973" s="372">
        <v>0.0</v>
      </c>
    </row>
    <row r="41974">
      <c r="Y41974" s="372">
        <v>0.0</v>
      </c>
      <c r="Z41974" s="372">
        <v>0.0</v>
      </c>
    </row>
    <row r="41975">
      <c r="Y41975" s="372">
        <v>0.0</v>
      </c>
      <c r="Z41975" s="372">
        <v>0.0</v>
      </c>
    </row>
    <row r="41976">
      <c r="Y41976" s="372">
        <v>0.0</v>
      </c>
      <c r="Z41976" s="372">
        <v>0.0</v>
      </c>
    </row>
    <row r="41977">
      <c r="Y41977" s="372">
        <v>0.0</v>
      </c>
      <c r="Z41977" s="372">
        <v>0.0</v>
      </c>
    </row>
    <row r="41978">
      <c r="Y41978" s="372">
        <v>0.0</v>
      </c>
      <c r="Z41978" s="372">
        <v>0.0</v>
      </c>
    </row>
    <row r="41979">
      <c r="Y41979" s="372">
        <v>0.0</v>
      </c>
      <c r="Z41979" s="372">
        <v>0.0</v>
      </c>
    </row>
    <row r="41980">
      <c r="Y41980" s="372">
        <v>0.0</v>
      </c>
      <c r="Z41980" s="372">
        <v>0.0</v>
      </c>
    </row>
    <row r="41981">
      <c r="Y41981" s="372">
        <v>0.0</v>
      </c>
      <c r="Z41981" s="372">
        <v>0.0</v>
      </c>
    </row>
    <row r="41982">
      <c r="Y41982" s="372">
        <v>0.0</v>
      </c>
      <c r="Z41982" s="372">
        <v>0.0</v>
      </c>
    </row>
    <row r="41983">
      <c r="Y41983" s="372">
        <v>0.0</v>
      </c>
      <c r="Z41983" s="372">
        <v>0.0</v>
      </c>
    </row>
    <row r="41984">
      <c r="Y41984" s="372">
        <v>0.0</v>
      </c>
      <c r="Z41984" s="372">
        <v>0.0</v>
      </c>
    </row>
    <row r="41985">
      <c r="Y41985" s="372">
        <v>0.0</v>
      </c>
      <c r="Z41985" s="372">
        <v>0.0</v>
      </c>
    </row>
    <row r="41986">
      <c r="Y41986" s="372">
        <v>0.0</v>
      </c>
      <c r="Z41986" s="372">
        <v>0.0</v>
      </c>
    </row>
    <row r="41987">
      <c r="Y41987" s="372">
        <v>0.0</v>
      </c>
      <c r="Z41987" s="372">
        <v>0.0</v>
      </c>
    </row>
    <row r="41988">
      <c r="Y41988" s="372">
        <v>0.0</v>
      </c>
      <c r="Z41988" s="372">
        <v>0.0</v>
      </c>
    </row>
    <row r="41989">
      <c r="Y41989" s="372">
        <v>0.0</v>
      </c>
      <c r="Z41989" s="372">
        <v>0.0</v>
      </c>
    </row>
    <row r="41990">
      <c r="Y41990" s="372">
        <v>0.0</v>
      </c>
      <c r="Z41990" s="372">
        <v>0.0</v>
      </c>
    </row>
    <row r="41991">
      <c r="Y41991" s="372">
        <v>0.0</v>
      </c>
      <c r="Z41991" s="372">
        <v>0.0</v>
      </c>
    </row>
    <row r="41992">
      <c r="Y41992" s="372">
        <v>0.0</v>
      </c>
      <c r="Z41992" s="372">
        <v>0.0</v>
      </c>
    </row>
    <row r="41993">
      <c r="Y41993" s="372">
        <v>0.0</v>
      </c>
      <c r="Z41993" s="372">
        <v>0.0</v>
      </c>
    </row>
    <row r="41994">
      <c r="Y41994" s="372">
        <v>0.0</v>
      </c>
      <c r="Z41994" s="372">
        <v>0.0</v>
      </c>
    </row>
    <row r="41995">
      <c r="Y41995" s="372">
        <v>0.0</v>
      </c>
      <c r="Z41995" s="372">
        <v>0.0</v>
      </c>
    </row>
    <row r="41996">
      <c r="Y41996" s="372">
        <v>0.0</v>
      </c>
      <c r="Z41996" s="372">
        <v>0.0</v>
      </c>
    </row>
    <row r="41997">
      <c r="Y41997" s="372">
        <v>0.0</v>
      </c>
      <c r="Z41997" s="372">
        <v>0.0</v>
      </c>
    </row>
    <row r="41998">
      <c r="Y41998" s="372">
        <v>0.0</v>
      </c>
      <c r="Z41998" s="372">
        <v>0.0</v>
      </c>
    </row>
    <row r="41999">
      <c r="Y41999" s="372">
        <v>0.0</v>
      </c>
      <c r="Z41999" s="372">
        <v>0.0</v>
      </c>
    </row>
    <row r="42000">
      <c r="Y42000" s="372">
        <v>0.0</v>
      </c>
      <c r="Z42000" s="372">
        <v>0.0</v>
      </c>
    </row>
    <row r="42001">
      <c r="Y42001" s="372">
        <v>0.0</v>
      </c>
      <c r="Z42001" s="372">
        <v>0.0</v>
      </c>
    </row>
    <row r="42002">
      <c r="Y42002" s="372">
        <v>0.0</v>
      </c>
      <c r="Z42002" s="372">
        <v>0.0</v>
      </c>
    </row>
    <row r="42003">
      <c r="Y42003" s="372">
        <v>0.0</v>
      </c>
      <c r="Z42003" s="372">
        <v>0.0</v>
      </c>
    </row>
    <row r="42004">
      <c r="Y42004" s="372">
        <v>0.0</v>
      </c>
      <c r="Z42004" s="372">
        <v>0.0</v>
      </c>
    </row>
    <row r="42005">
      <c r="Y42005" s="372">
        <v>0.0</v>
      </c>
      <c r="Z42005" s="372">
        <v>0.0</v>
      </c>
    </row>
    <row r="42006">
      <c r="Y42006" s="372">
        <v>0.0</v>
      </c>
      <c r="Z42006" s="372">
        <v>0.0</v>
      </c>
    </row>
    <row r="42007">
      <c r="Y42007" s="372">
        <v>0.0</v>
      </c>
      <c r="Z42007" s="372">
        <v>0.0</v>
      </c>
    </row>
    <row r="42008">
      <c r="Y42008" s="372">
        <v>0.0</v>
      </c>
      <c r="Z42008" s="372">
        <v>0.0</v>
      </c>
    </row>
    <row r="42009">
      <c r="Y42009" s="372">
        <v>0.0</v>
      </c>
      <c r="Z42009" s="372">
        <v>0.0</v>
      </c>
    </row>
    <row r="42010">
      <c r="Y42010" s="372">
        <v>0.0</v>
      </c>
      <c r="Z42010" s="372">
        <v>0.0</v>
      </c>
    </row>
    <row r="42011">
      <c r="Y42011" s="372">
        <v>0.0</v>
      </c>
      <c r="Z42011" s="372">
        <v>0.0</v>
      </c>
    </row>
    <row r="42012">
      <c r="Y42012" s="372">
        <v>0.0</v>
      </c>
      <c r="Z42012" s="372">
        <v>0.0</v>
      </c>
    </row>
    <row r="42013">
      <c r="Y42013" s="372">
        <v>0.0</v>
      </c>
      <c r="Z42013" s="372">
        <v>0.0</v>
      </c>
    </row>
    <row r="42014">
      <c r="Y42014" s="372">
        <v>0.0</v>
      </c>
      <c r="Z42014" s="372">
        <v>0.0</v>
      </c>
    </row>
    <row r="42015">
      <c r="Y42015" s="372">
        <v>0.0</v>
      </c>
      <c r="Z42015" s="372">
        <v>0.0</v>
      </c>
    </row>
    <row r="42016">
      <c r="Y42016" s="372">
        <v>0.0</v>
      </c>
      <c r="Z42016" s="372">
        <v>0.0</v>
      </c>
    </row>
    <row r="42017">
      <c r="Y42017" s="372">
        <v>0.0</v>
      </c>
      <c r="Z42017" s="372">
        <v>0.0</v>
      </c>
    </row>
    <row r="42018">
      <c r="Y42018" s="372">
        <v>0.0</v>
      </c>
      <c r="Z42018" s="372">
        <v>0.0</v>
      </c>
    </row>
    <row r="42019">
      <c r="Y42019" s="372">
        <v>0.0</v>
      </c>
      <c r="Z42019" s="372">
        <v>0.0</v>
      </c>
    </row>
    <row r="42020">
      <c r="Y42020" s="372">
        <v>0.0</v>
      </c>
      <c r="Z42020" s="372">
        <v>0.0</v>
      </c>
    </row>
    <row r="42021">
      <c r="Y42021" s="372">
        <v>0.0</v>
      </c>
      <c r="Z42021" s="372">
        <v>0.0</v>
      </c>
    </row>
    <row r="42022">
      <c r="Y42022" s="372">
        <v>0.0</v>
      </c>
      <c r="Z42022" s="372">
        <v>0.0</v>
      </c>
    </row>
    <row r="42023">
      <c r="Y42023" s="372">
        <v>0.0</v>
      </c>
      <c r="Z42023" s="372">
        <v>0.0</v>
      </c>
    </row>
    <row r="42024">
      <c r="Y42024" s="372">
        <v>0.0</v>
      </c>
      <c r="Z42024" s="372">
        <v>0.0</v>
      </c>
    </row>
    <row r="42025">
      <c r="Y42025" s="372">
        <v>0.0</v>
      </c>
      <c r="Z42025" s="372">
        <v>0.0</v>
      </c>
    </row>
    <row r="42026">
      <c r="Y42026" s="372">
        <v>0.0</v>
      </c>
      <c r="Z42026" s="372">
        <v>0.0</v>
      </c>
    </row>
    <row r="42027">
      <c r="Y42027" s="372">
        <v>0.0</v>
      </c>
      <c r="Z42027" s="372">
        <v>0.0</v>
      </c>
    </row>
    <row r="42028">
      <c r="Y42028" s="372">
        <v>0.0</v>
      </c>
      <c r="Z42028" s="372">
        <v>0.0</v>
      </c>
    </row>
    <row r="42029">
      <c r="Y42029" s="372">
        <v>0.0</v>
      </c>
      <c r="Z42029" s="372">
        <v>0.0</v>
      </c>
    </row>
    <row r="42030">
      <c r="Y42030" s="372">
        <v>0.0</v>
      </c>
      <c r="Z42030" s="372">
        <v>0.0</v>
      </c>
    </row>
    <row r="42031">
      <c r="Y42031" s="372">
        <v>0.0</v>
      </c>
      <c r="Z42031" s="372">
        <v>0.0</v>
      </c>
    </row>
    <row r="42032">
      <c r="Y42032" s="372">
        <v>0.0</v>
      </c>
      <c r="Z42032" s="372">
        <v>0.0</v>
      </c>
    </row>
    <row r="42033">
      <c r="Y42033" s="372">
        <v>0.0</v>
      </c>
      <c r="Z42033" s="372">
        <v>0.0</v>
      </c>
    </row>
    <row r="42034">
      <c r="Y42034" s="372">
        <v>0.0</v>
      </c>
      <c r="Z42034" s="372">
        <v>0.0</v>
      </c>
    </row>
    <row r="42035">
      <c r="Y42035" s="372">
        <v>0.0</v>
      </c>
      <c r="Z42035" s="372">
        <v>0.0</v>
      </c>
    </row>
    <row r="42036">
      <c r="Y42036" s="372">
        <v>0.0</v>
      </c>
      <c r="Z42036" s="372">
        <v>0.0</v>
      </c>
    </row>
    <row r="42037">
      <c r="Y42037" s="372">
        <v>0.0</v>
      </c>
      <c r="Z42037" s="372">
        <v>0.0</v>
      </c>
    </row>
    <row r="42038">
      <c r="Y42038" s="372">
        <v>0.0</v>
      </c>
      <c r="Z42038" s="372">
        <v>0.0</v>
      </c>
    </row>
    <row r="42039">
      <c r="Y42039" s="372">
        <v>0.0</v>
      </c>
      <c r="Z42039" s="372">
        <v>0.0</v>
      </c>
    </row>
    <row r="42040">
      <c r="Y42040" s="372">
        <v>0.0</v>
      </c>
      <c r="Z42040" s="372">
        <v>0.0</v>
      </c>
    </row>
    <row r="42041">
      <c r="Y42041" s="372">
        <v>0.0</v>
      </c>
      <c r="Z42041" s="372">
        <v>0.0</v>
      </c>
    </row>
    <row r="42042">
      <c r="Y42042" s="372">
        <v>0.0</v>
      </c>
      <c r="Z42042" s="372">
        <v>0.0</v>
      </c>
    </row>
    <row r="42043">
      <c r="Y42043" s="372">
        <v>0.0</v>
      </c>
      <c r="Z42043" s="372">
        <v>0.0</v>
      </c>
    </row>
    <row r="42044">
      <c r="Y42044" s="372">
        <v>0.0</v>
      </c>
      <c r="Z42044" s="372">
        <v>0.0</v>
      </c>
    </row>
    <row r="42045">
      <c r="Y42045" s="372">
        <v>0.0</v>
      </c>
      <c r="Z42045" s="372">
        <v>0.0</v>
      </c>
    </row>
    <row r="42046">
      <c r="Y42046" s="372">
        <v>0.0</v>
      </c>
      <c r="Z42046" s="372">
        <v>0.0</v>
      </c>
    </row>
    <row r="42047">
      <c r="Y42047" s="372">
        <v>0.0</v>
      </c>
      <c r="Z42047" s="372">
        <v>0.0</v>
      </c>
    </row>
    <row r="42048">
      <c r="Y42048" s="372">
        <v>0.0</v>
      </c>
      <c r="Z42048" s="372">
        <v>0.0</v>
      </c>
    </row>
    <row r="42049">
      <c r="Y42049" s="372">
        <v>0.0</v>
      </c>
      <c r="Z42049" s="372">
        <v>0.0</v>
      </c>
    </row>
    <row r="42050">
      <c r="Y42050" s="372">
        <v>0.0</v>
      </c>
      <c r="Z42050" s="372">
        <v>0.0</v>
      </c>
    </row>
    <row r="42051">
      <c r="Y42051" s="372">
        <v>0.0</v>
      </c>
      <c r="Z42051" s="372">
        <v>0.0</v>
      </c>
    </row>
    <row r="42052">
      <c r="Y42052" s="372">
        <v>0.0</v>
      </c>
      <c r="Z42052" s="372">
        <v>0.0</v>
      </c>
    </row>
    <row r="42053">
      <c r="Y42053" s="372">
        <v>0.0</v>
      </c>
      <c r="Z42053" s="372">
        <v>0.0</v>
      </c>
    </row>
    <row r="42054">
      <c r="Y42054" s="372">
        <v>0.0</v>
      </c>
      <c r="Z42054" s="372">
        <v>0.0</v>
      </c>
    </row>
    <row r="42055">
      <c r="Y42055" s="372">
        <v>0.0</v>
      </c>
      <c r="Z42055" s="372">
        <v>0.0</v>
      </c>
    </row>
    <row r="42056">
      <c r="Y42056" s="372">
        <v>0.0</v>
      </c>
      <c r="Z42056" s="372">
        <v>0.0</v>
      </c>
    </row>
    <row r="42057">
      <c r="Y42057" s="372">
        <v>0.0</v>
      </c>
      <c r="Z42057" s="372">
        <v>0.0</v>
      </c>
    </row>
    <row r="42058">
      <c r="Y42058" s="372">
        <v>0.0</v>
      </c>
      <c r="Z42058" s="372">
        <v>0.0</v>
      </c>
    </row>
    <row r="42059">
      <c r="Y42059" s="372">
        <v>0.0</v>
      </c>
      <c r="Z42059" s="372">
        <v>0.0</v>
      </c>
    </row>
    <row r="42060">
      <c r="Y42060" s="372">
        <v>0.0</v>
      </c>
      <c r="Z42060" s="372">
        <v>0.0</v>
      </c>
    </row>
    <row r="42061">
      <c r="Y42061" s="372">
        <v>0.0</v>
      </c>
      <c r="Z42061" s="372">
        <v>0.0</v>
      </c>
    </row>
    <row r="42062">
      <c r="Y42062" s="372">
        <v>0.0</v>
      </c>
      <c r="Z42062" s="372">
        <v>0.0</v>
      </c>
    </row>
    <row r="42063">
      <c r="Y42063" s="372">
        <v>0.0</v>
      </c>
      <c r="Z42063" s="372">
        <v>0.0</v>
      </c>
    </row>
    <row r="42064">
      <c r="Y42064" s="372">
        <v>0.0</v>
      </c>
      <c r="Z42064" s="372">
        <v>0.0</v>
      </c>
    </row>
    <row r="42065">
      <c r="Y42065" s="372">
        <v>0.0</v>
      </c>
      <c r="Z42065" s="372">
        <v>0.0</v>
      </c>
    </row>
    <row r="42066">
      <c r="Y42066" s="372">
        <v>0.0</v>
      </c>
      <c r="Z42066" s="372">
        <v>0.0</v>
      </c>
    </row>
    <row r="42067">
      <c r="Y42067" s="372">
        <v>0.0</v>
      </c>
      <c r="Z42067" s="372">
        <v>0.0</v>
      </c>
    </row>
    <row r="42068">
      <c r="Y42068" s="372">
        <v>0.0</v>
      </c>
      <c r="Z42068" s="372">
        <v>0.0</v>
      </c>
    </row>
    <row r="42069">
      <c r="Y42069" s="372">
        <v>0.0</v>
      </c>
      <c r="Z42069" s="372">
        <v>0.0</v>
      </c>
    </row>
    <row r="42070">
      <c r="Y42070" s="372">
        <v>0.0</v>
      </c>
      <c r="Z42070" s="372">
        <v>0.0</v>
      </c>
    </row>
    <row r="42071">
      <c r="Y42071" s="372">
        <v>0.0</v>
      </c>
      <c r="Z42071" s="372">
        <v>0.0</v>
      </c>
    </row>
    <row r="42072">
      <c r="Y42072" s="372">
        <v>0.0</v>
      </c>
      <c r="Z42072" s="372">
        <v>0.0</v>
      </c>
    </row>
    <row r="42073">
      <c r="Y42073" s="372">
        <v>0.0</v>
      </c>
      <c r="Z42073" s="372">
        <v>0.0</v>
      </c>
    </row>
    <row r="42074">
      <c r="Y42074" s="372">
        <v>0.0</v>
      </c>
      <c r="Z42074" s="372">
        <v>0.0</v>
      </c>
    </row>
    <row r="42075">
      <c r="Y42075" s="372">
        <v>0.0</v>
      </c>
      <c r="Z42075" s="372">
        <v>0.0</v>
      </c>
    </row>
    <row r="42076">
      <c r="Y42076" s="372">
        <v>0.0</v>
      </c>
      <c r="Z42076" s="372">
        <v>0.0</v>
      </c>
    </row>
    <row r="42077">
      <c r="Y42077" s="372">
        <v>0.0</v>
      </c>
      <c r="Z42077" s="372">
        <v>0.0</v>
      </c>
    </row>
    <row r="42078">
      <c r="Y42078" s="372">
        <v>0.0</v>
      </c>
      <c r="Z42078" s="372">
        <v>0.0</v>
      </c>
    </row>
    <row r="42079">
      <c r="Y42079" s="372">
        <v>0.0</v>
      </c>
      <c r="Z42079" s="372">
        <v>0.0</v>
      </c>
    </row>
    <row r="42080">
      <c r="Y42080" s="372">
        <v>0.0</v>
      </c>
      <c r="Z42080" s="372">
        <v>0.0</v>
      </c>
    </row>
    <row r="42081">
      <c r="Y42081" s="372">
        <v>0.0</v>
      </c>
      <c r="Z42081" s="372">
        <v>0.0</v>
      </c>
    </row>
    <row r="42082">
      <c r="Y42082" s="372">
        <v>0.0</v>
      </c>
      <c r="Z42082" s="372">
        <v>0.0</v>
      </c>
    </row>
    <row r="42083">
      <c r="Y42083" s="372">
        <v>0.0</v>
      </c>
      <c r="Z42083" s="372">
        <v>0.0</v>
      </c>
    </row>
    <row r="42084">
      <c r="Y42084" s="372">
        <v>0.0</v>
      </c>
      <c r="Z42084" s="372">
        <v>0.0</v>
      </c>
    </row>
    <row r="42085">
      <c r="Y42085" s="372">
        <v>0.0</v>
      </c>
      <c r="Z42085" s="372">
        <v>0.0</v>
      </c>
    </row>
    <row r="42086">
      <c r="Y42086" s="372">
        <v>0.0</v>
      </c>
      <c r="Z42086" s="372">
        <v>0.0</v>
      </c>
    </row>
    <row r="42087">
      <c r="Y42087" s="372">
        <v>0.0</v>
      </c>
      <c r="Z42087" s="372">
        <v>0.0</v>
      </c>
    </row>
    <row r="42088">
      <c r="Y42088" s="372">
        <v>0.0</v>
      </c>
      <c r="Z42088" s="372">
        <v>0.0</v>
      </c>
    </row>
    <row r="42089">
      <c r="Y42089" s="372">
        <v>0.0</v>
      </c>
      <c r="Z42089" s="372">
        <v>0.0</v>
      </c>
    </row>
    <row r="42090">
      <c r="Y42090" s="372">
        <v>0.0</v>
      </c>
      <c r="Z42090" s="372">
        <v>0.0</v>
      </c>
    </row>
    <row r="42091">
      <c r="Y42091" s="372">
        <v>0.0</v>
      </c>
      <c r="Z42091" s="372">
        <v>0.0</v>
      </c>
    </row>
    <row r="42092">
      <c r="Y42092" s="372">
        <v>0.0</v>
      </c>
      <c r="Z42092" s="372">
        <v>0.0</v>
      </c>
    </row>
    <row r="42093">
      <c r="Y42093" s="372">
        <v>0.0</v>
      </c>
      <c r="Z42093" s="372">
        <v>0.0</v>
      </c>
    </row>
    <row r="42094">
      <c r="Y42094" s="372">
        <v>0.0</v>
      </c>
      <c r="Z42094" s="372">
        <v>0.0</v>
      </c>
    </row>
    <row r="42095">
      <c r="Y42095" s="372">
        <v>0.0</v>
      </c>
      <c r="Z42095" s="372">
        <v>0.0</v>
      </c>
    </row>
    <row r="42096">
      <c r="Y42096" s="372">
        <v>0.0</v>
      </c>
      <c r="Z42096" s="372">
        <v>0.0</v>
      </c>
    </row>
    <row r="42097">
      <c r="Y42097" s="372">
        <v>0.0</v>
      </c>
      <c r="Z42097" s="372">
        <v>0.0</v>
      </c>
    </row>
    <row r="42098">
      <c r="Y42098" s="372">
        <v>0.0</v>
      </c>
      <c r="Z42098" s="372">
        <v>0.0</v>
      </c>
    </row>
    <row r="42099">
      <c r="Y42099" s="372">
        <v>0.0</v>
      </c>
      <c r="Z42099" s="372">
        <v>0.0</v>
      </c>
    </row>
    <row r="42100">
      <c r="Y42100" s="372">
        <v>0.0</v>
      </c>
      <c r="Z42100" s="372">
        <v>0.0</v>
      </c>
    </row>
    <row r="42101">
      <c r="Y42101" s="372">
        <v>0.0</v>
      </c>
      <c r="Z42101" s="372">
        <v>0.0</v>
      </c>
    </row>
    <row r="42102">
      <c r="Y42102" s="372">
        <v>0.0</v>
      </c>
      <c r="Z42102" s="372">
        <v>0.0</v>
      </c>
    </row>
    <row r="42103">
      <c r="Y42103" s="372">
        <v>0.0</v>
      </c>
      <c r="Z42103" s="372">
        <v>0.0</v>
      </c>
    </row>
    <row r="42104">
      <c r="Y42104" s="372">
        <v>0.0</v>
      </c>
      <c r="Z42104" s="372">
        <v>0.0</v>
      </c>
    </row>
    <row r="42105">
      <c r="Y42105" s="372">
        <v>0.0</v>
      </c>
      <c r="Z42105" s="372">
        <v>0.0</v>
      </c>
    </row>
    <row r="42106">
      <c r="Y42106" s="372">
        <v>0.0</v>
      </c>
      <c r="Z42106" s="372">
        <v>0.0</v>
      </c>
    </row>
    <row r="42107">
      <c r="Y42107" s="372">
        <v>0.0</v>
      </c>
      <c r="Z42107" s="372">
        <v>0.0</v>
      </c>
    </row>
    <row r="42108">
      <c r="Y42108" s="372">
        <v>0.0</v>
      </c>
      <c r="Z42108" s="372">
        <v>0.0</v>
      </c>
    </row>
    <row r="42109">
      <c r="Y42109" s="372">
        <v>0.0</v>
      </c>
      <c r="Z42109" s="372">
        <v>0.0</v>
      </c>
    </row>
    <row r="42110">
      <c r="Y42110" s="372">
        <v>0.0</v>
      </c>
      <c r="Z42110" s="372">
        <v>0.0</v>
      </c>
    </row>
    <row r="42111">
      <c r="Y42111" s="372">
        <v>0.0</v>
      </c>
      <c r="Z42111" s="372">
        <v>0.0</v>
      </c>
    </row>
    <row r="42112">
      <c r="Y42112" s="372">
        <v>0.0</v>
      </c>
      <c r="Z42112" s="372">
        <v>0.0</v>
      </c>
    </row>
    <row r="42113">
      <c r="Y42113" s="372">
        <v>0.0</v>
      </c>
      <c r="Z42113" s="372">
        <v>0.0</v>
      </c>
    </row>
    <row r="42114">
      <c r="Y42114" s="372">
        <v>0.0</v>
      </c>
      <c r="Z42114" s="372">
        <v>0.0</v>
      </c>
    </row>
    <row r="42115">
      <c r="Y42115" s="372">
        <v>0.0</v>
      </c>
      <c r="Z42115" s="372">
        <v>0.0</v>
      </c>
    </row>
    <row r="42116">
      <c r="Y42116" s="372">
        <v>0.0</v>
      </c>
      <c r="Z42116" s="372">
        <v>0.0</v>
      </c>
    </row>
    <row r="42117">
      <c r="Y42117" s="372">
        <v>0.0</v>
      </c>
      <c r="Z42117" s="372">
        <v>0.0</v>
      </c>
    </row>
    <row r="42118">
      <c r="Y42118" s="372">
        <v>0.0</v>
      </c>
      <c r="Z42118" s="372">
        <v>0.0</v>
      </c>
    </row>
    <row r="42119">
      <c r="Y42119" s="372">
        <v>0.0</v>
      </c>
      <c r="Z42119" s="372">
        <v>0.0</v>
      </c>
    </row>
    <row r="42120">
      <c r="Y42120" s="372">
        <v>0.0</v>
      </c>
      <c r="Z42120" s="372">
        <v>0.0</v>
      </c>
    </row>
    <row r="42121">
      <c r="Y42121" s="372">
        <v>0.0</v>
      </c>
      <c r="Z42121" s="372">
        <v>0.0</v>
      </c>
    </row>
    <row r="42122">
      <c r="Y42122" s="372">
        <v>0.0</v>
      </c>
      <c r="Z42122" s="372">
        <v>0.0</v>
      </c>
    </row>
    <row r="42123">
      <c r="Y42123" s="372">
        <v>0.0</v>
      </c>
      <c r="Z42123" s="372">
        <v>0.0</v>
      </c>
    </row>
    <row r="42124">
      <c r="Y42124" s="372">
        <v>0.0</v>
      </c>
      <c r="Z42124" s="372">
        <v>0.0</v>
      </c>
    </row>
    <row r="42125">
      <c r="Y42125" s="372">
        <v>0.0</v>
      </c>
      <c r="Z42125" s="372">
        <v>0.0</v>
      </c>
    </row>
    <row r="42126">
      <c r="Y42126" s="372">
        <v>0.0</v>
      </c>
      <c r="Z42126" s="372">
        <v>0.0</v>
      </c>
    </row>
    <row r="42127">
      <c r="Y42127" s="372">
        <v>0.0</v>
      </c>
      <c r="Z42127" s="372">
        <v>0.0</v>
      </c>
    </row>
    <row r="42128">
      <c r="Y42128" s="372">
        <v>0.0</v>
      </c>
      <c r="Z42128" s="372">
        <v>0.0</v>
      </c>
    </row>
    <row r="42129">
      <c r="Y42129" s="372">
        <v>0.0</v>
      </c>
      <c r="Z42129" s="372">
        <v>0.0</v>
      </c>
    </row>
    <row r="42130">
      <c r="Y42130" s="372">
        <v>0.0</v>
      </c>
      <c r="Z42130" s="372">
        <v>0.0</v>
      </c>
    </row>
    <row r="42131">
      <c r="Y42131" s="372">
        <v>0.0</v>
      </c>
      <c r="Z42131" s="372">
        <v>0.0</v>
      </c>
    </row>
    <row r="42132">
      <c r="Y42132" s="372">
        <v>0.0</v>
      </c>
      <c r="Z42132" s="372">
        <v>0.0</v>
      </c>
    </row>
    <row r="42133">
      <c r="Y42133" s="372">
        <v>0.0</v>
      </c>
      <c r="Z42133" s="372">
        <v>0.0</v>
      </c>
    </row>
    <row r="42134">
      <c r="Y42134" s="372">
        <v>0.0</v>
      </c>
      <c r="Z42134" s="372">
        <v>0.0</v>
      </c>
    </row>
    <row r="42135">
      <c r="Y42135" s="372">
        <v>0.0</v>
      </c>
      <c r="Z42135" s="372">
        <v>0.0</v>
      </c>
    </row>
    <row r="42136">
      <c r="Y42136" s="372">
        <v>0.0</v>
      </c>
      <c r="Z42136" s="372">
        <v>0.0</v>
      </c>
    </row>
    <row r="42137">
      <c r="Y42137" s="372">
        <v>0.0</v>
      </c>
      <c r="Z42137" s="372">
        <v>0.0</v>
      </c>
    </row>
    <row r="42138">
      <c r="Y42138" s="372">
        <v>0.0</v>
      </c>
      <c r="Z42138" s="372">
        <v>0.0</v>
      </c>
    </row>
    <row r="42139">
      <c r="Y42139" s="372">
        <v>0.0</v>
      </c>
      <c r="Z42139" s="372">
        <v>0.0</v>
      </c>
    </row>
    <row r="42140">
      <c r="Y42140" s="372">
        <v>0.0</v>
      </c>
      <c r="Z42140" s="372">
        <v>0.0</v>
      </c>
    </row>
    <row r="42141">
      <c r="Y42141" s="372">
        <v>0.0</v>
      </c>
      <c r="Z42141" s="372">
        <v>0.0</v>
      </c>
    </row>
    <row r="42142">
      <c r="Y42142" s="372">
        <v>0.0</v>
      </c>
      <c r="Z42142" s="372">
        <v>0.0</v>
      </c>
    </row>
    <row r="42143">
      <c r="Y42143" s="372">
        <v>0.0</v>
      </c>
      <c r="Z42143" s="372">
        <v>0.0</v>
      </c>
    </row>
    <row r="42144">
      <c r="Y42144" s="372">
        <v>0.0</v>
      </c>
      <c r="Z42144" s="372">
        <v>0.0</v>
      </c>
    </row>
    <row r="42145">
      <c r="Y42145" s="372">
        <v>0.0</v>
      </c>
      <c r="Z42145" s="372">
        <v>0.0</v>
      </c>
    </row>
    <row r="42146">
      <c r="Y42146" s="372">
        <v>0.0</v>
      </c>
      <c r="Z42146" s="372">
        <v>0.0</v>
      </c>
    </row>
    <row r="42147">
      <c r="Y42147" s="372">
        <v>0.0</v>
      </c>
      <c r="Z42147" s="372">
        <v>0.0</v>
      </c>
    </row>
    <row r="42148">
      <c r="Y42148" s="372">
        <v>0.0</v>
      </c>
      <c r="Z42148" s="372">
        <v>0.0</v>
      </c>
    </row>
    <row r="42149">
      <c r="Y42149" s="372">
        <v>0.0</v>
      </c>
      <c r="Z42149" s="372">
        <v>0.0</v>
      </c>
    </row>
    <row r="42150">
      <c r="Y42150" s="372">
        <v>0.0</v>
      </c>
      <c r="Z42150" s="372">
        <v>0.0</v>
      </c>
    </row>
    <row r="42151">
      <c r="Y42151" s="372">
        <v>0.0</v>
      </c>
      <c r="Z42151" s="372">
        <v>0.0</v>
      </c>
    </row>
    <row r="42152">
      <c r="Y42152" s="372">
        <v>0.0</v>
      </c>
      <c r="Z42152" s="372">
        <v>0.0</v>
      </c>
    </row>
    <row r="42153">
      <c r="Y42153" s="372">
        <v>0.0</v>
      </c>
      <c r="Z42153" s="372">
        <v>0.0</v>
      </c>
    </row>
    <row r="42154">
      <c r="Y42154" s="372">
        <v>0.0</v>
      </c>
      <c r="Z42154" s="372">
        <v>0.0</v>
      </c>
    </row>
    <row r="42155">
      <c r="Y42155" s="372">
        <v>0.0</v>
      </c>
      <c r="Z42155" s="372">
        <v>0.0</v>
      </c>
    </row>
    <row r="42156">
      <c r="Y42156" s="372">
        <v>0.0</v>
      </c>
      <c r="Z42156" s="372">
        <v>0.0</v>
      </c>
    </row>
    <row r="42157">
      <c r="Y42157" s="372">
        <v>0.0</v>
      </c>
      <c r="Z42157" s="372">
        <v>0.0</v>
      </c>
    </row>
    <row r="42158">
      <c r="Y42158" s="372">
        <v>0.0</v>
      </c>
      <c r="Z42158" s="372">
        <v>0.0</v>
      </c>
    </row>
    <row r="42159">
      <c r="Y42159" s="372">
        <v>0.0</v>
      </c>
      <c r="Z42159" s="372">
        <v>0.0</v>
      </c>
    </row>
    <row r="42160">
      <c r="Y42160" s="372">
        <v>0.0</v>
      </c>
      <c r="Z42160" s="372">
        <v>0.0</v>
      </c>
    </row>
    <row r="42161">
      <c r="Y42161" s="372">
        <v>0.0</v>
      </c>
      <c r="Z42161" s="372">
        <v>0.0</v>
      </c>
    </row>
    <row r="42162">
      <c r="Y42162" s="372">
        <v>0.0</v>
      </c>
      <c r="Z42162" s="372">
        <v>0.0</v>
      </c>
    </row>
    <row r="42163">
      <c r="Y42163" s="372">
        <v>0.0</v>
      </c>
      <c r="Z42163" s="372">
        <v>0.0</v>
      </c>
    </row>
    <row r="42164">
      <c r="Y42164" s="372">
        <v>0.0</v>
      </c>
      <c r="Z42164" s="372">
        <v>0.0</v>
      </c>
    </row>
    <row r="42165">
      <c r="Y42165" s="372">
        <v>0.0</v>
      </c>
      <c r="Z42165" s="372">
        <v>0.0</v>
      </c>
    </row>
    <row r="42166">
      <c r="Y42166" s="372">
        <v>0.0</v>
      </c>
      <c r="Z42166" s="372">
        <v>0.0</v>
      </c>
    </row>
    <row r="42167">
      <c r="Y42167" s="372">
        <v>0.0</v>
      </c>
      <c r="Z42167" s="372">
        <v>0.0</v>
      </c>
    </row>
    <row r="42168">
      <c r="Y42168" s="372">
        <v>0.0</v>
      </c>
      <c r="Z42168" s="372">
        <v>0.0</v>
      </c>
    </row>
    <row r="42169">
      <c r="Y42169" s="372">
        <v>0.0</v>
      </c>
      <c r="Z42169" s="372">
        <v>0.0</v>
      </c>
    </row>
    <row r="42170">
      <c r="Y42170" s="372">
        <v>0.0</v>
      </c>
      <c r="Z42170" s="372">
        <v>0.0</v>
      </c>
    </row>
    <row r="42171">
      <c r="Y42171" s="372">
        <v>0.0</v>
      </c>
      <c r="Z42171" s="372">
        <v>0.0</v>
      </c>
    </row>
    <row r="42172">
      <c r="Y42172" s="372">
        <v>0.0</v>
      </c>
      <c r="Z42172" s="372">
        <v>0.0</v>
      </c>
    </row>
    <row r="42173">
      <c r="Y42173" s="372">
        <v>0.0</v>
      </c>
      <c r="Z42173" s="372">
        <v>0.0</v>
      </c>
    </row>
    <row r="42174">
      <c r="Y42174" s="372">
        <v>0.0</v>
      </c>
      <c r="Z42174" s="372">
        <v>0.0</v>
      </c>
    </row>
    <row r="42175">
      <c r="Y42175" s="372">
        <v>0.0</v>
      </c>
      <c r="Z42175" s="372">
        <v>0.0</v>
      </c>
    </row>
    <row r="42176">
      <c r="Y42176" s="372">
        <v>0.0</v>
      </c>
      <c r="Z42176" s="372">
        <v>0.0</v>
      </c>
    </row>
    <row r="42177">
      <c r="Y42177" s="372">
        <v>0.0</v>
      </c>
      <c r="Z42177" s="372">
        <v>0.0</v>
      </c>
    </row>
    <row r="42178">
      <c r="Y42178" s="372">
        <v>0.0</v>
      </c>
      <c r="Z42178" s="372">
        <v>0.0</v>
      </c>
    </row>
    <row r="42179">
      <c r="Y42179" s="372">
        <v>0.0</v>
      </c>
      <c r="Z42179" s="372">
        <v>0.0</v>
      </c>
    </row>
    <row r="42180">
      <c r="Y42180" s="372">
        <v>0.0</v>
      </c>
      <c r="Z42180" s="372">
        <v>0.0</v>
      </c>
    </row>
    <row r="42181">
      <c r="Y42181" s="372">
        <v>0.0</v>
      </c>
      <c r="Z42181" s="372">
        <v>0.0</v>
      </c>
    </row>
    <row r="42182">
      <c r="Y42182" s="372">
        <v>0.0</v>
      </c>
      <c r="Z42182" s="372">
        <v>0.0</v>
      </c>
    </row>
    <row r="42183">
      <c r="Y42183" s="372">
        <v>0.0</v>
      </c>
      <c r="Z42183" s="372">
        <v>0.0</v>
      </c>
    </row>
    <row r="42184">
      <c r="Y42184" s="372">
        <v>0.0</v>
      </c>
      <c r="Z42184" s="372">
        <v>0.0</v>
      </c>
    </row>
    <row r="42185">
      <c r="Y42185" s="372">
        <v>0.0</v>
      </c>
      <c r="Z42185" s="372">
        <v>0.0</v>
      </c>
    </row>
    <row r="42186">
      <c r="Y42186" s="372">
        <v>0.0</v>
      </c>
      <c r="Z42186" s="372">
        <v>0.0</v>
      </c>
    </row>
    <row r="42187">
      <c r="Y42187" s="372">
        <v>0.0</v>
      </c>
      <c r="Z42187" s="372">
        <v>0.0</v>
      </c>
    </row>
    <row r="42188">
      <c r="Y42188" s="372">
        <v>0.0</v>
      </c>
      <c r="Z42188" s="372">
        <v>0.0</v>
      </c>
    </row>
    <row r="42189">
      <c r="Y42189" s="372">
        <v>0.0</v>
      </c>
      <c r="Z42189" s="372">
        <v>0.0</v>
      </c>
    </row>
    <row r="42190">
      <c r="Y42190" s="372">
        <v>0.0</v>
      </c>
      <c r="Z42190" s="372">
        <v>0.0</v>
      </c>
    </row>
    <row r="42191">
      <c r="Y42191" s="372">
        <v>0.0</v>
      </c>
      <c r="Z42191" s="372">
        <v>0.0</v>
      </c>
    </row>
    <row r="42192">
      <c r="Y42192" s="372">
        <v>0.0</v>
      </c>
      <c r="Z42192" s="372">
        <v>0.0</v>
      </c>
    </row>
    <row r="42193">
      <c r="Y42193" s="372">
        <v>0.0</v>
      </c>
      <c r="Z42193" s="372">
        <v>0.0</v>
      </c>
    </row>
    <row r="42194">
      <c r="Y42194" s="372">
        <v>0.0</v>
      </c>
      <c r="Z42194" s="372">
        <v>0.0</v>
      </c>
    </row>
    <row r="42195">
      <c r="Y42195" s="372">
        <v>0.0</v>
      </c>
      <c r="Z42195" s="372">
        <v>0.0</v>
      </c>
    </row>
    <row r="42196">
      <c r="Y42196" s="372">
        <v>0.0</v>
      </c>
      <c r="Z42196" s="372">
        <v>0.0</v>
      </c>
    </row>
    <row r="42197">
      <c r="Y42197" s="372">
        <v>0.0</v>
      </c>
      <c r="Z42197" s="372">
        <v>0.0</v>
      </c>
    </row>
    <row r="42198">
      <c r="Y42198" s="372">
        <v>0.0</v>
      </c>
      <c r="Z42198" s="372">
        <v>0.0</v>
      </c>
    </row>
    <row r="42199">
      <c r="Y42199" s="372">
        <v>0.0</v>
      </c>
      <c r="Z42199" s="372">
        <v>0.0</v>
      </c>
    </row>
    <row r="42200">
      <c r="Y42200" s="372">
        <v>0.0</v>
      </c>
      <c r="Z42200" s="372">
        <v>0.0</v>
      </c>
    </row>
    <row r="42201">
      <c r="Y42201" s="372">
        <v>0.0</v>
      </c>
      <c r="Z42201" s="372">
        <v>0.0</v>
      </c>
    </row>
    <row r="42202">
      <c r="Y42202" s="372">
        <v>0.0</v>
      </c>
      <c r="Z42202" s="372">
        <v>0.0</v>
      </c>
    </row>
    <row r="42203">
      <c r="Y42203" s="372">
        <v>0.0</v>
      </c>
      <c r="Z42203" s="372">
        <v>0.0</v>
      </c>
    </row>
    <row r="42204">
      <c r="Y42204" s="372">
        <v>0.0</v>
      </c>
      <c r="Z42204" s="372">
        <v>0.0</v>
      </c>
    </row>
    <row r="42205">
      <c r="Y42205" s="372">
        <v>0.0</v>
      </c>
      <c r="Z42205" s="372">
        <v>0.0</v>
      </c>
    </row>
    <row r="42206">
      <c r="Y42206" s="372">
        <v>0.0</v>
      </c>
      <c r="Z42206" s="372">
        <v>0.0</v>
      </c>
    </row>
    <row r="42207">
      <c r="Y42207" s="372">
        <v>0.0</v>
      </c>
      <c r="Z42207" s="372">
        <v>0.0</v>
      </c>
    </row>
    <row r="42208">
      <c r="Y42208" s="372">
        <v>0.0</v>
      </c>
      <c r="Z42208" s="372">
        <v>0.0</v>
      </c>
    </row>
    <row r="42209">
      <c r="Y42209" s="372">
        <v>0.0</v>
      </c>
      <c r="Z42209" s="372">
        <v>0.0</v>
      </c>
    </row>
    <row r="42210">
      <c r="Y42210" s="372">
        <v>0.0</v>
      </c>
      <c r="Z42210" s="372">
        <v>0.0</v>
      </c>
    </row>
    <row r="42211">
      <c r="Y42211" s="372">
        <v>0.0</v>
      </c>
      <c r="Z42211" s="372">
        <v>0.0</v>
      </c>
    </row>
    <row r="42212">
      <c r="Y42212" s="372">
        <v>0.0</v>
      </c>
      <c r="Z42212" s="372">
        <v>0.0</v>
      </c>
    </row>
    <row r="42213">
      <c r="Y42213" s="372">
        <v>0.0</v>
      </c>
      <c r="Z42213" s="372">
        <v>0.0</v>
      </c>
    </row>
    <row r="42214">
      <c r="Y42214" s="372">
        <v>0.0</v>
      </c>
      <c r="Z42214" s="372">
        <v>0.0</v>
      </c>
    </row>
    <row r="42215">
      <c r="Y42215" s="372">
        <v>0.0</v>
      </c>
      <c r="Z42215" s="372">
        <v>0.0</v>
      </c>
    </row>
    <row r="42216">
      <c r="Y42216" s="372">
        <v>0.0</v>
      </c>
      <c r="Z42216" s="372">
        <v>0.0</v>
      </c>
    </row>
    <row r="42217">
      <c r="Y42217" s="372">
        <v>0.0</v>
      </c>
      <c r="Z42217" s="372">
        <v>0.0</v>
      </c>
    </row>
    <row r="42218">
      <c r="Y42218" s="372">
        <v>0.0</v>
      </c>
      <c r="Z42218" s="372">
        <v>0.0</v>
      </c>
    </row>
    <row r="42219">
      <c r="Y42219" s="372">
        <v>0.0</v>
      </c>
      <c r="Z42219" s="372">
        <v>0.0</v>
      </c>
    </row>
    <row r="42220">
      <c r="Y42220" s="372">
        <v>0.0</v>
      </c>
      <c r="Z42220" s="372">
        <v>0.0</v>
      </c>
    </row>
    <row r="42221">
      <c r="Y42221" s="372">
        <v>0.0</v>
      </c>
      <c r="Z42221" s="372">
        <v>0.0</v>
      </c>
    </row>
    <row r="42222">
      <c r="Y42222" s="372">
        <v>0.0</v>
      </c>
      <c r="Z42222" s="372">
        <v>0.0</v>
      </c>
    </row>
    <row r="42223">
      <c r="Y42223" s="372">
        <v>0.0</v>
      </c>
      <c r="Z42223" s="372">
        <v>0.0</v>
      </c>
    </row>
    <row r="42224">
      <c r="Y42224" s="372">
        <v>0.0</v>
      </c>
      <c r="Z42224" s="372">
        <v>0.0</v>
      </c>
    </row>
    <row r="42225">
      <c r="Y42225" s="372">
        <v>0.0</v>
      </c>
      <c r="Z42225" s="372">
        <v>0.0</v>
      </c>
    </row>
    <row r="42226">
      <c r="Y42226" s="372">
        <v>0.0</v>
      </c>
      <c r="Z42226" s="372">
        <v>0.0</v>
      </c>
    </row>
    <row r="42227">
      <c r="Y42227" s="372">
        <v>0.0</v>
      </c>
      <c r="Z42227" s="372">
        <v>0.0</v>
      </c>
    </row>
    <row r="42228">
      <c r="Y42228" s="372">
        <v>0.0</v>
      </c>
      <c r="Z42228" s="372">
        <v>0.0</v>
      </c>
    </row>
    <row r="42229">
      <c r="Y42229" s="372">
        <v>0.0</v>
      </c>
      <c r="Z42229" s="372">
        <v>0.0</v>
      </c>
    </row>
    <row r="42230">
      <c r="Y42230" s="372">
        <v>0.0</v>
      </c>
      <c r="Z42230" s="372">
        <v>0.0</v>
      </c>
    </row>
    <row r="42231">
      <c r="Y42231" s="372">
        <v>0.0</v>
      </c>
      <c r="Z42231" s="372">
        <v>0.0</v>
      </c>
    </row>
    <row r="42232">
      <c r="Y42232" s="372">
        <v>0.0</v>
      </c>
      <c r="Z42232" s="372">
        <v>0.0</v>
      </c>
    </row>
    <row r="42233">
      <c r="Y42233" s="372">
        <v>0.0</v>
      </c>
      <c r="Z42233" s="372">
        <v>0.0</v>
      </c>
    </row>
    <row r="42234">
      <c r="Y42234" s="372">
        <v>0.0</v>
      </c>
      <c r="Z42234" s="372">
        <v>0.0</v>
      </c>
    </row>
    <row r="42235">
      <c r="Y42235" s="372">
        <v>0.0</v>
      </c>
      <c r="Z42235" s="372">
        <v>0.0</v>
      </c>
    </row>
    <row r="42236">
      <c r="Y42236" s="372">
        <v>0.0</v>
      </c>
      <c r="Z42236" s="372">
        <v>0.0</v>
      </c>
    </row>
    <row r="42237">
      <c r="Y42237" s="372">
        <v>0.0</v>
      </c>
      <c r="Z42237" s="372">
        <v>0.0</v>
      </c>
    </row>
    <row r="42238">
      <c r="Y42238" s="372">
        <v>0.0</v>
      </c>
      <c r="Z42238" s="372">
        <v>0.0</v>
      </c>
    </row>
    <row r="42239">
      <c r="Y42239" s="372">
        <v>0.0</v>
      </c>
      <c r="Z42239" s="372">
        <v>0.0</v>
      </c>
    </row>
    <row r="42240">
      <c r="Y42240" s="372">
        <v>0.0</v>
      </c>
      <c r="Z42240" s="372">
        <v>0.0</v>
      </c>
    </row>
    <row r="42241">
      <c r="Y42241" s="372">
        <v>0.0</v>
      </c>
      <c r="Z42241" s="372">
        <v>0.0</v>
      </c>
    </row>
    <row r="42242">
      <c r="Y42242" s="372">
        <v>0.0</v>
      </c>
      <c r="Z42242" s="372">
        <v>0.0</v>
      </c>
    </row>
    <row r="42243">
      <c r="Y42243" s="372">
        <v>0.0</v>
      </c>
      <c r="Z42243" s="372">
        <v>0.0</v>
      </c>
    </row>
    <row r="42244">
      <c r="Y42244" s="372">
        <v>0.0</v>
      </c>
      <c r="Z42244" s="372">
        <v>0.0</v>
      </c>
    </row>
    <row r="42245">
      <c r="Y42245" s="372">
        <v>0.0</v>
      </c>
      <c r="Z42245" s="372">
        <v>0.0</v>
      </c>
    </row>
    <row r="42246">
      <c r="Y42246" s="372">
        <v>0.0</v>
      </c>
      <c r="Z42246" s="372">
        <v>0.0</v>
      </c>
    </row>
    <row r="42247">
      <c r="Y42247" s="372">
        <v>0.0</v>
      </c>
      <c r="Z42247" s="372">
        <v>0.0</v>
      </c>
    </row>
    <row r="42248">
      <c r="Y42248" s="372">
        <v>0.0</v>
      </c>
      <c r="Z42248" s="372">
        <v>0.0</v>
      </c>
    </row>
    <row r="42249">
      <c r="Y42249" s="372">
        <v>0.0</v>
      </c>
      <c r="Z42249" s="372">
        <v>0.0</v>
      </c>
    </row>
    <row r="42250">
      <c r="Y42250" s="372">
        <v>0.0</v>
      </c>
      <c r="Z42250" s="372">
        <v>0.0</v>
      </c>
    </row>
    <row r="42251">
      <c r="Y42251" s="372">
        <v>0.0</v>
      </c>
      <c r="Z42251" s="372">
        <v>0.0</v>
      </c>
    </row>
    <row r="42252">
      <c r="Y42252" s="372">
        <v>0.0</v>
      </c>
      <c r="Z42252" s="372">
        <v>0.0</v>
      </c>
    </row>
    <row r="42253">
      <c r="Y42253" s="372">
        <v>0.0</v>
      </c>
      <c r="Z42253" s="372">
        <v>0.0</v>
      </c>
    </row>
    <row r="42254">
      <c r="Y42254" s="372">
        <v>0.0</v>
      </c>
      <c r="Z42254" s="372">
        <v>0.0</v>
      </c>
    </row>
    <row r="42255">
      <c r="Y42255" s="372">
        <v>0.0</v>
      </c>
      <c r="Z42255" s="372">
        <v>0.0</v>
      </c>
    </row>
    <row r="42256">
      <c r="Y42256" s="372">
        <v>0.0</v>
      </c>
      <c r="Z42256" s="372">
        <v>0.0</v>
      </c>
    </row>
    <row r="42257">
      <c r="Y42257" s="372">
        <v>0.0</v>
      </c>
      <c r="Z42257" s="372">
        <v>0.0</v>
      </c>
    </row>
    <row r="42258">
      <c r="Y42258" s="372">
        <v>0.0</v>
      </c>
      <c r="Z42258" s="372">
        <v>0.0</v>
      </c>
    </row>
    <row r="42259">
      <c r="Y42259" s="372">
        <v>0.0</v>
      </c>
      <c r="Z42259" s="372">
        <v>0.0</v>
      </c>
    </row>
    <row r="42260">
      <c r="Y42260" s="372">
        <v>0.0</v>
      </c>
      <c r="Z42260" s="372">
        <v>0.0</v>
      </c>
    </row>
    <row r="42261">
      <c r="Y42261" s="372">
        <v>0.0</v>
      </c>
      <c r="Z42261" s="372">
        <v>0.0</v>
      </c>
    </row>
    <row r="42262">
      <c r="Y42262" s="372">
        <v>0.0</v>
      </c>
      <c r="Z42262" s="372">
        <v>0.0</v>
      </c>
    </row>
    <row r="42263">
      <c r="Y42263" s="372">
        <v>0.0</v>
      </c>
      <c r="Z42263" s="372">
        <v>0.0</v>
      </c>
    </row>
    <row r="42264">
      <c r="Y42264" s="372">
        <v>0.0</v>
      </c>
      <c r="Z42264" s="372">
        <v>0.0</v>
      </c>
    </row>
    <row r="42265">
      <c r="Y42265" s="372">
        <v>0.0</v>
      </c>
      <c r="Z42265" s="372">
        <v>0.0</v>
      </c>
    </row>
    <row r="42266">
      <c r="Y42266" s="372">
        <v>0.0</v>
      </c>
      <c r="Z42266" s="372">
        <v>0.0</v>
      </c>
    </row>
    <row r="42267">
      <c r="Y42267" s="372">
        <v>0.0</v>
      </c>
      <c r="Z42267" s="372">
        <v>0.0</v>
      </c>
    </row>
    <row r="42268">
      <c r="Y42268" s="372">
        <v>0.0</v>
      </c>
      <c r="Z42268" s="372">
        <v>0.0</v>
      </c>
    </row>
    <row r="42269">
      <c r="Y42269" s="372">
        <v>0.0</v>
      </c>
      <c r="Z42269" s="372">
        <v>0.0</v>
      </c>
    </row>
    <row r="42270">
      <c r="Y42270" s="372">
        <v>0.0</v>
      </c>
      <c r="Z42270" s="372">
        <v>0.0</v>
      </c>
    </row>
    <row r="42271">
      <c r="Y42271" s="372">
        <v>0.0</v>
      </c>
      <c r="Z42271" s="372">
        <v>0.0</v>
      </c>
    </row>
    <row r="42272">
      <c r="Y42272" s="372">
        <v>0.0</v>
      </c>
      <c r="Z42272" s="372">
        <v>0.0</v>
      </c>
    </row>
    <row r="42273">
      <c r="Y42273" s="372">
        <v>0.0</v>
      </c>
      <c r="Z42273" s="372">
        <v>0.0</v>
      </c>
    </row>
    <row r="42274">
      <c r="Y42274" s="372">
        <v>0.0</v>
      </c>
      <c r="Z42274" s="372">
        <v>0.0</v>
      </c>
    </row>
    <row r="42275">
      <c r="Y42275" s="372">
        <v>0.0</v>
      </c>
      <c r="Z42275" s="372">
        <v>0.0</v>
      </c>
    </row>
    <row r="42276">
      <c r="Y42276" s="372">
        <v>0.0</v>
      </c>
      <c r="Z42276" s="372">
        <v>0.0</v>
      </c>
    </row>
    <row r="42277">
      <c r="Y42277" s="372">
        <v>0.0</v>
      </c>
      <c r="Z42277" s="372">
        <v>0.0</v>
      </c>
    </row>
    <row r="42278">
      <c r="Y42278" s="372">
        <v>0.0</v>
      </c>
      <c r="Z42278" s="372">
        <v>0.0</v>
      </c>
    </row>
    <row r="42279">
      <c r="Y42279" s="372">
        <v>0.0</v>
      </c>
      <c r="Z42279" s="372">
        <v>0.0</v>
      </c>
    </row>
    <row r="42280">
      <c r="Y42280" s="372">
        <v>0.0</v>
      </c>
      <c r="Z42280" s="372">
        <v>0.0</v>
      </c>
    </row>
    <row r="42281">
      <c r="Y42281" s="372">
        <v>0.0</v>
      </c>
      <c r="Z42281" s="372">
        <v>0.0</v>
      </c>
    </row>
    <row r="42282">
      <c r="Y42282" s="372">
        <v>0.0</v>
      </c>
      <c r="Z42282" s="372">
        <v>0.0</v>
      </c>
    </row>
    <row r="42283">
      <c r="Y42283" s="372">
        <v>0.0</v>
      </c>
      <c r="Z42283" s="372">
        <v>0.0</v>
      </c>
    </row>
    <row r="42284">
      <c r="Y42284" s="372">
        <v>0.0</v>
      </c>
      <c r="Z42284" s="372">
        <v>0.0</v>
      </c>
    </row>
    <row r="42285">
      <c r="Y42285" s="372">
        <v>0.0</v>
      </c>
      <c r="Z42285" s="372">
        <v>0.0</v>
      </c>
    </row>
    <row r="42286">
      <c r="Y42286" s="372">
        <v>0.0</v>
      </c>
      <c r="Z42286" s="372">
        <v>0.0</v>
      </c>
    </row>
    <row r="42287">
      <c r="Y42287" s="372">
        <v>0.0</v>
      </c>
      <c r="Z42287" s="372">
        <v>0.0</v>
      </c>
    </row>
    <row r="42288">
      <c r="Y42288" s="372">
        <v>0.0</v>
      </c>
      <c r="Z42288" s="372">
        <v>0.0</v>
      </c>
    </row>
    <row r="42289">
      <c r="Y42289" s="372">
        <v>0.0</v>
      </c>
      <c r="Z42289" s="372">
        <v>0.0</v>
      </c>
    </row>
    <row r="42290">
      <c r="Y42290" s="372">
        <v>0.0</v>
      </c>
      <c r="Z42290" s="372">
        <v>0.0</v>
      </c>
    </row>
    <row r="42291">
      <c r="Y42291" s="372">
        <v>0.0</v>
      </c>
      <c r="Z42291" s="372">
        <v>0.0</v>
      </c>
    </row>
    <row r="42292">
      <c r="Y42292" s="372">
        <v>0.0</v>
      </c>
      <c r="Z42292" s="372">
        <v>0.0</v>
      </c>
    </row>
    <row r="42293">
      <c r="Y42293" s="372">
        <v>0.0</v>
      </c>
      <c r="Z42293" s="372">
        <v>0.0</v>
      </c>
    </row>
    <row r="42294">
      <c r="Y42294" s="372">
        <v>0.0</v>
      </c>
      <c r="Z42294" s="372">
        <v>0.0</v>
      </c>
    </row>
    <row r="42295">
      <c r="Y42295" s="372">
        <v>0.0</v>
      </c>
      <c r="Z42295" s="372">
        <v>0.0</v>
      </c>
    </row>
    <row r="42296">
      <c r="Y42296" s="372">
        <v>0.0</v>
      </c>
      <c r="Z42296" s="372">
        <v>0.0</v>
      </c>
    </row>
    <row r="42297">
      <c r="Y42297" s="372">
        <v>0.0</v>
      </c>
      <c r="Z42297" s="372">
        <v>0.0</v>
      </c>
    </row>
    <row r="42298">
      <c r="Y42298" s="372">
        <v>0.0</v>
      </c>
      <c r="Z42298" s="372">
        <v>0.0</v>
      </c>
    </row>
    <row r="42299">
      <c r="Y42299" s="372">
        <v>0.0</v>
      </c>
      <c r="Z42299" s="372">
        <v>0.0</v>
      </c>
    </row>
    <row r="42300">
      <c r="Y42300" s="372">
        <v>0.0</v>
      </c>
      <c r="Z42300" s="372">
        <v>0.0</v>
      </c>
    </row>
    <row r="42301">
      <c r="Y42301" s="372">
        <v>0.0</v>
      </c>
      <c r="Z42301" s="372">
        <v>0.0</v>
      </c>
    </row>
    <row r="42302">
      <c r="Y42302" s="372">
        <v>0.0</v>
      </c>
      <c r="Z42302" s="372">
        <v>0.0</v>
      </c>
    </row>
    <row r="42303">
      <c r="Y42303" s="372">
        <v>0.0</v>
      </c>
      <c r="Z42303" s="372">
        <v>0.0</v>
      </c>
    </row>
    <row r="42304">
      <c r="Y42304" s="372">
        <v>0.0</v>
      </c>
      <c r="Z42304" s="372">
        <v>0.0</v>
      </c>
    </row>
    <row r="42305">
      <c r="Y42305" s="372">
        <v>0.0</v>
      </c>
      <c r="Z42305" s="372">
        <v>0.0</v>
      </c>
    </row>
    <row r="42306">
      <c r="Y42306" s="372">
        <v>0.0</v>
      </c>
      <c r="Z42306" s="372">
        <v>0.0</v>
      </c>
    </row>
    <row r="42307">
      <c r="Y42307" s="372">
        <v>0.0</v>
      </c>
      <c r="Z42307" s="372">
        <v>0.0</v>
      </c>
    </row>
    <row r="42308">
      <c r="Y42308" s="372">
        <v>0.0</v>
      </c>
      <c r="Z42308" s="372">
        <v>0.0</v>
      </c>
    </row>
    <row r="42309">
      <c r="Y42309" s="372">
        <v>0.0</v>
      </c>
      <c r="Z42309" s="372">
        <v>0.0</v>
      </c>
    </row>
    <row r="42310">
      <c r="Y42310" s="372">
        <v>0.0</v>
      </c>
      <c r="Z42310" s="372">
        <v>0.0</v>
      </c>
    </row>
    <row r="42311">
      <c r="Y42311" s="372">
        <v>0.0</v>
      </c>
      <c r="Z42311" s="372">
        <v>0.0</v>
      </c>
    </row>
    <row r="42312">
      <c r="Y42312" s="372">
        <v>0.0</v>
      </c>
      <c r="Z42312" s="372">
        <v>0.0</v>
      </c>
    </row>
    <row r="42313">
      <c r="Y42313" s="372">
        <v>0.0</v>
      </c>
      <c r="Z42313" s="372">
        <v>0.0</v>
      </c>
    </row>
    <row r="42314">
      <c r="Y42314" s="372">
        <v>0.0</v>
      </c>
      <c r="Z42314" s="372">
        <v>0.0</v>
      </c>
    </row>
    <row r="42315">
      <c r="Y42315" s="372">
        <v>0.0</v>
      </c>
      <c r="Z42315" s="372">
        <v>0.0</v>
      </c>
    </row>
    <row r="42316">
      <c r="Y42316" s="372">
        <v>0.0</v>
      </c>
      <c r="Z42316" s="372">
        <v>0.0</v>
      </c>
    </row>
    <row r="42317">
      <c r="Y42317" s="372">
        <v>0.0</v>
      </c>
      <c r="Z42317" s="372">
        <v>0.0</v>
      </c>
    </row>
    <row r="42318">
      <c r="Y42318" s="372">
        <v>0.0</v>
      </c>
      <c r="Z42318" s="372">
        <v>0.0</v>
      </c>
    </row>
    <row r="42319">
      <c r="Y42319" s="372">
        <v>0.0</v>
      </c>
      <c r="Z42319" s="372">
        <v>0.0</v>
      </c>
    </row>
    <row r="42320">
      <c r="Y42320" s="372">
        <v>0.0</v>
      </c>
      <c r="Z42320" s="372">
        <v>0.0</v>
      </c>
    </row>
    <row r="42321">
      <c r="Y42321" s="372">
        <v>0.0</v>
      </c>
      <c r="Z42321" s="372">
        <v>0.0</v>
      </c>
    </row>
    <row r="42322">
      <c r="Y42322" s="372">
        <v>0.0</v>
      </c>
      <c r="Z42322" s="372">
        <v>0.0</v>
      </c>
    </row>
    <row r="42323">
      <c r="Y42323" s="372">
        <v>0.0</v>
      </c>
      <c r="Z42323" s="372">
        <v>0.0</v>
      </c>
    </row>
    <row r="42324">
      <c r="Y42324" s="372">
        <v>0.0</v>
      </c>
      <c r="Z42324" s="372">
        <v>0.0</v>
      </c>
    </row>
    <row r="42325">
      <c r="Y42325" s="372">
        <v>0.0</v>
      </c>
      <c r="Z42325" s="372">
        <v>0.0</v>
      </c>
    </row>
    <row r="42326">
      <c r="Y42326" s="372">
        <v>0.0</v>
      </c>
      <c r="Z42326" s="372">
        <v>0.0</v>
      </c>
    </row>
    <row r="42327">
      <c r="Y42327" s="372">
        <v>0.0</v>
      </c>
      <c r="Z42327" s="372">
        <v>0.0</v>
      </c>
    </row>
    <row r="42328">
      <c r="Y42328" s="372">
        <v>0.0</v>
      </c>
      <c r="Z42328" s="372">
        <v>0.0</v>
      </c>
    </row>
    <row r="42329">
      <c r="Y42329" s="372">
        <v>0.0</v>
      </c>
      <c r="Z42329" s="372">
        <v>0.0</v>
      </c>
    </row>
    <row r="42330">
      <c r="Y42330" s="372">
        <v>0.0</v>
      </c>
      <c r="Z42330" s="372">
        <v>0.0</v>
      </c>
    </row>
    <row r="42331">
      <c r="Y42331" s="372">
        <v>0.0</v>
      </c>
      <c r="Z42331" s="372">
        <v>0.0</v>
      </c>
    </row>
    <row r="42332">
      <c r="Y42332" s="372">
        <v>0.0</v>
      </c>
      <c r="Z42332" s="372">
        <v>0.0</v>
      </c>
    </row>
    <row r="42333">
      <c r="Y42333" s="372">
        <v>0.0</v>
      </c>
      <c r="Z42333" s="372">
        <v>0.0</v>
      </c>
    </row>
    <row r="42334">
      <c r="Y42334" s="372">
        <v>0.0</v>
      </c>
      <c r="Z42334" s="372">
        <v>0.0</v>
      </c>
    </row>
    <row r="42335">
      <c r="Y42335" s="372">
        <v>0.0</v>
      </c>
      <c r="Z42335" s="372">
        <v>0.0</v>
      </c>
    </row>
    <row r="42336">
      <c r="Y42336" s="372">
        <v>0.0</v>
      </c>
      <c r="Z42336" s="372">
        <v>0.0</v>
      </c>
    </row>
    <row r="42337">
      <c r="Y42337" s="372">
        <v>0.0</v>
      </c>
      <c r="Z42337" s="372">
        <v>0.0</v>
      </c>
    </row>
    <row r="42338">
      <c r="Y42338" s="372">
        <v>0.0</v>
      </c>
      <c r="Z42338" s="372">
        <v>0.0</v>
      </c>
    </row>
    <row r="42339">
      <c r="Y42339" s="372">
        <v>0.0</v>
      </c>
      <c r="Z42339" s="372">
        <v>0.0</v>
      </c>
    </row>
    <row r="42340">
      <c r="Y42340" s="372">
        <v>0.0</v>
      </c>
      <c r="Z42340" s="372">
        <v>0.0</v>
      </c>
    </row>
    <row r="42341">
      <c r="Y42341" s="372">
        <v>0.0</v>
      </c>
      <c r="Z42341" s="372">
        <v>0.0</v>
      </c>
    </row>
    <row r="42342">
      <c r="Y42342" s="372">
        <v>0.0</v>
      </c>
      <c r="Z42342" s="372">
        <v>0.0</v>
      </c>
    </row>
    <row r="42343">
      <c r="Y42343" s="372">
        <v>0.0</v>
      </c>
      <c r="Z42343" s="372">
        <v>0.0</v>
      </c>
    </row>
    <row r="42344">
      <c r="Y42344" s="372">
        <v>0.0</v>
      </c>
      <c r="Z42344" s="372">
        <v>0.0</v>
      </c>
    </row>
    <row r="42345">
      <c r="Y42345" s="372">
        <v>0.0</v>
      </c>
      <c r="Z42345" s="372">
        <v>0.0</v>
      </c>
    </row>
    <row r="42346">
      <c r="Y42346" s="372">
        <v>0.0</v>
      </c>
      <c r="Z42346" s="372">
        <v>0.0</v>
      </c>
    </row>
    <row r="42347">
      <c r="Y42347" s="372">
        <v>0.0</v>
      </c>
      <c r="Z42347" s="372">
        <v>0.0</v>
      </c>
    </row>
    <row r="42348">
      <c r="Y42348" s="372">
        <v>0.0</v>
      </c>
      <c r="Z42348" s="372">
        <v>0.0</v>
      </c>
    </row>
    <row r="42349">
      <c r="Y42349" s="372">
        <v>0.0</v>
      </c>
      <c r="Z42349" s="372">
        <v>0.0</v>
      </c>
    </row>
    <row r="42350">
      <c r="Y42350" s="372">
        <v>0.0</v>
      </c>
      <c r="Z42350" s="372">
        <v>0.0</v>
      </c>
    </row>
    <row r="42351">
      <c r="Y42351" s="372">
        <v>0.0</v>
      </c>
      <c r="Z42351" s="372">
        <v>0.0</v>
      </c>
    </row>
    <row r="42352">
      <c r="Y42352" s="372">
        <v>0.0</v>
      </c>
      <c r="Z42352" s="372">
        <v>0.0</v>
      </c>
    </row>
    <row r="42353">
      <c r="Y42353" s="372">
        <v>0.0</v>
      </c>
      <c r="Z42353" s="372">
        <v>0.0</v>
      </c>
    </row>
    <row r="42354">
      <c r="Y42354" s="372">
        <v>0.0</v>
      </c>
      <c r="Z42354" s="372">
        <v>0.0</v>
      </c>
    </row>
    <row r="42355">
      <c r="Y42355" s="372">
        <v>0.0</v>
      </c>
      <c r="Z42355" s="372">
        <v>0.0</v>
      </c>
    </row>
    <row r="42356">
      <c r="Y42356" s="372">
        <v>0.0</v>
      </c>
      <c r="Z42356" s="372">
        <v>0.0</v>
      </c>
    </row>
    <row r="42357">
      <c r="Y42357" s="372">
        <v>0.0</v>
      </c>
      <c r="Z42357" s="372">
        <v>0.0</v>
      </c>
    </row>
    <row r="42358">
      <c r="Y42358" s="372">
        <v>0.0</v>
      </c>
      <c r="Z42358" s="372">
        <v>0.0</v>
      </c>
    </row>
    <row r="42359">
      <c r="Y42359" s="372">
        <v>0.0</v>
      </c>
      <c r="Z42359" s="372">
        <v>0.0</v>
      </c>
    </row>
    <row r="42360">
      <c r="Y42360" s="372">
        <v>0.0</v>
      </c>
      <c r="Z42360" s="372">
        <v>0.0</v>
      </c>
    </row>
    <row r="42361">
      <c r="Y42361" s="372">
        <v>0.0</v>
      </c>
      <c r="Z42361" s="372">
        <v>0.0</v>
      </c>
    </row>
    <row r="42362">
      <c r="Y42362" s="372">
        <v>0.0</v>
      </c>
      <c r="Z42362" s="372">
        <v>0.0</v>
      </c>
    </row>
    <row r="42363">
      <c r="Y42363" s="372">
        <v>0.0</v>
      </c>
      <c r="Z42363" s="372">
        <v>0.0</v>
      </c>
    </row>
    <row r="42364">
      <c r="Y42364" s="372">
        <v>0.0</v>
      </c>
      <c r="Z42364" s="372">
        <v>0.0</v>
      </c>
    </row>
    <row r="42365">
      <c r="Y42365" s="372">
        <v>0.0</v>
      </c>
      <c r="Z42365" s="372">
        <v>0.0</v>
      </c>
    </row>
    <row r="42366">
      <c r="Y42366" s="372">
        <v>0.0</v>
      </c>
      <c r="Z42366" s="372">
        <v>0.0</v>
      </c>
    </row>
    <row r="42367">
      <c r="Y42367" s="372">
        <v>0.0</v>
      </c>
      <c r="Z42367" s="372">
        <v>0.0</v>
      </c>
    </row>
    <row r="42368">
      <c r="Y42368" s="372">
        <v>0.0</v>
      </c>
      <c r="Z42368" s="372">
        <v>0.0</v>
      </c>
    </row>
    <row r="42369">
      <c r="Y42369" s="372">
        <v>0.0</v>
      </c>
      <c r="Z42369" s="372">
        <v>0.0</v>
      </c>
    </row>
    <row r="42370">
      <c r="Y42370" s="372">
        <v>0.0</v>
      </c>
      <c r="Z42370" s="372">
        <v>0.0</v>
      </c>
    </row>
    <row r="42371">
      <c r="Y42371" s="372">
        <v>0.0</v>
      </c>
      <c r="Z42371" s="372">
        <v>0.0</v>
      </c>
    </row>
    <row r="42372">
      <c r="Y42372" s="372">
        <v>0.0</v>
      </c>
      <c r="Z42372" s="372">
        <v>0.0</v>
      </c>
    </row>
    <row r="42373">
      <c r="Y42373" s="372">
        <v>0.0</v>
      </c>
      <c r="Z42373" s="372">
        <v>0.0</v>
      </c>
    </row>
    <row r="42374">
      <c r="Y42374" s="372">
        <v>0.0</v>
      </c>
      <c r="Z42374" s="372">
        <v>0.0</v>
      </c>
    </row>
    <row r="42375">
      <c r="Y42375" s="372">
        <v>0.0</v>
      </c>
      <c r="Z42375" s="372">
        <v>0.0</v>
      </c>
    </row>
    <row r="42376">
      <c r="Y42376" s="372">
        <v>0.0</v>
      </c>
      <c r="Z42376" s="372">
        <v>0.0</v>
      </c>
    </row>
    <row r="42377">
      <c r="Y42377" s="372">
        <v>0.0</v>
      </c>
      <c r="Z42377" s="372">
        <v>0.0</v>
      </c>
    </row>
    <row r="42378">
      <c r="Y42378" s="372">
        <v>0.0</v>
      </c>
      <c r="Z42378" s="372">
        <v>0.0</v>
      </c>
    </row>
    <row r="42379">
      <c r="Y42379" s="372">
        <v>0.0</v>
      </c>
      <c r="Z42379" s="372">
        <v>0.0</v>
      </c>
    </row>
    <row r="42380">
      <c r="Y42380" s="372">
        <v>0.0</v>
      </c>
      <c r="Z42380" s="372">
        <v>0.0</v>
      </c>
    </row>
    <row r="42381">
      <c r="Y42381" s="372">
        <v>0.0</v>
      </c>
      <c r="Z42381" s="372">
        <v>0.0</v>
      </c>
    </row>
    <row r="42382">
      <c r="Y42382" s="372">
        <v>0.0</v>
      </c>
      <c r="Z42382" s="372">
        <v>0.0</v>
      </c>
    </row>
    <row r="42383">
      <c r="Y42383" s="372">
        <v>0.0</v>
      </c>
      <c r="Z42383" s="372">
        <v>0.0</v>
      </c>
    </row>
    <row r="42384">
      <c r="Y42384" s="372">
        <v>0.0</v>
      </c>
      <c r="Z42384" s="372">
        <v>0.0</v>
      </c>
    </row>
    <row r="42385">
      <c r="Y42385" s="372">
        <v>0.0</v>
      </c>
      <c r="Z42385" s="372">
        <v>0.0</v>
      </c>
    </row>
    <row r="42386">
      <c r="Y42386" s="372">
        <v>0.0</v>
      </c>
      <c r="Z42386" s="372">
        <v>0.0</v>
      </c>
    </row>
    <row r="42387">
      <c r="Y42387" s="372">
        <v>0.0</v>
      </c>
      <c r="Z42387" s="372">
        <v>0.0</v>
      </c>
    </row>
    <row r="42388">
      <c r="Y42388" s="372">
        <v>0.0</v>
      </c>
      <c r="Z42388" s="372">
        <v>0.0</v>
      </c>
    </row>
    <row r="42389">
      <c r="Y42389" s="372">
        <v>0.0</v>
      </c>
      <c r="Z42389" s="372">
        <v>0.0</v>
      </c>
    </row>
    <row r="42390">
      <c r="Y42390" s="372">
        <v>0.0</v>
      </c>
      <c r="Z42390" s="372">
        <v>0.0</v>
      </c>
    </row>
    <row r="42391">
      <c r="Y42391" s="372">
        <v>0.0</v>
      </c>
      <c r="Z42391" s="372">
        <v>0.0</v>
      </c>
    </row>
    <row r="42392">
      <c r="Y42392" s="372">
        <v>0.0</v>
      </c>
      <c r="Z42392" s="372">
        <v>0.0</v>
      </c>
    </row>
    <row r="42393">
      <c r="Y42393" s="372">
        <v>0.0</v>
      </c>
      <c r="Z42393" s="372">
        <v>0.0</v>
      </c>
    </row>
    <row r="42394">
      <c r="Y42394" s="372">
        <v>0.0</v>
      </c>
      <c r="Z42394" s="372">
        <v>0.0</v>
      </c>
    </row>
    <row r="42395">
      <c r="Y42395" s="372">
        <v>0.0</v>
      </c>
      <c r="Z42395" s="372">
        <v>0.0</v>
      </c>
    </row>
    <row r="42396">
      <c r="Y42396" s="372">
        <v>0.0</v>
      </c>
      <c r="Z42396" s="372">
        <v>0.0</v>
      </c>
    </row>
    <row r="42397">
      <c r="Y42397" s="372">
        <v>0.0</v>
      </c>
      <c r="Z42397" s="372">
        <v>0.0</v>
      </c>
    </row>
    <row r="42398">
      <c r="Y42398" s="372">
        <v>0.0</v>
      </c>
      <c r="Z42398" s="372">
        <v>0.0</v>
      </c>
    </row>
    <row r="42399">
      <c r="Y42399" s="372">
        <v>0.0</v>
      </c>
      <c r="Z42399" s="372">
        <v>0.0</v>
      </c>
    </row>
    <row r="42400">
      <c r="Y42400" s="372">
        <v>0.0</v>
      </c>
      <c r="Z42400" s="372">
        <v>0.0</v>
      </c>
    </row>
    <row r="42401">
      <c r="Y42401" s="372">
        <v>0.0</v>
      </c>
      <c r="Z42401" s="372">
        <v>0.0</v>
      </c>
    </row>
    <row r="42402">
      <c r="Y42402" s="372">
        <v>0.0</v>
      </c>
      <c r="Z42402" s="372">
        <v>0.0</v>
      </c>
    </row>
    <row r="42403">
      <c r="Y42403" s="372">
        <v>0.0</v>
      </c>
      <c r="Z42403" s="372">
        <v>0.0</v>
      </c>
    </row>
    <row r="42404">
      <c r="Y42404" s="372">
        <v>0.0</v>
      </c>
      <c r="Z42404" s="372">
        <v>0.0</v>
      </c>
    </row>
    <row r="42405">
      <c r="Y42405" s="372">
        <v>0.0</v>
      </c>
      <c r="Z42405" s="372">
        <v>0.0</v>
      </c>
    </row>
    <row r="42406">
      <c r="Y42406" s="372">
        <v>0.0</v>
      </c>
      <c r="Z42406" s="372">
        <v>0.0</v>
      </c>
    </row>
    <row r="42407">
      <c r="Y42407" s="372">
        <v>0.0</v>
      </c>
      <c r="Z42407" s="372">
        <v>0.0</v>
      </c>
    </row>
    <row r="42408">
      <c r="Y42408" s="372">
        <v>0.0</v>
      </c>
      <c r="Z42408" s="372">
        <v>0.0</v>
      </c>
    </row>
    <row r="42409">
      <c r="Y42409" s="372">
        <v>0.0</v>
      </c>
      <c r="Z42409" s="372">
        <v>0.0</v>
      </c>
    </row>
    <row r="42410">
      <c r="Y42410" s="372">
        <v>0.0</v>
      </c>
      <c r="Z42410" s="372">
        <v>0.0</v>
      </c>
    </row>
    <row r="42411">
      <c r="Y42411" s="372">
        <v>0.0</v>
      </c>
      <c r="Z42411" s="372">
        <v>0.0</v>
      </c>
    </row>
    <row r="42412">
      <c r="Y42412" s="372">
        <v>0.0</v>
      </c>
      <c r="Z42412" s="372">
        <v>0.0</v>
      </c>
    </row>
    <row r="42413">
      <c r="Y42413" s="372">
        <v>0.0</v>
      </c>
      <c r="Z42413" s="372">
        <v>0.0</v>
      </c>
    </row>
    <row r="42414">
      <c r="Y42414" s="372">
        <v>0.0</v>
      </c>
      <c r="Z42414" s="372">
        <v>0.0</v>
      </c>
    </row>
    <row r="42415">
      <c r="Y42415" s="372">
        <v>0.0</v>
      </c>
      <c r="Z42415" s="372">
        <v>0.0</v>
      </c>
    </row>
    <row r="42416">
      <c r="Y42416" s="372">
        <v>0.0</v>
      </c>
      <c r="Z42416" s="372">
        <v>0.0</v>
      </c>
    </row>
    <row r="42417">
      <c r="Y42417" s="372">
        <v>0.0</v>
      </c>
      <c r="Z42417" s="372">
        <v>0.0</v>
      </c>
    </row>
    <row r="42418">
      <c r="Y42418" s="372">
        <v>0.0</v>
      </c>
      <c r="Z42418" s="372">
        <v>0.0</v>
      </c>
    </row>
    <row r="42419">
      <c r="Y42419" s="372">
        <v>0.0</v>
      </c>
      <c r="Z42419" s="372">
        <v>0.0</v>
      </c>
    </row>
    <row r="42420">
      <c r="Y42420" s="372">
        <v>0.0</v>
      </c>
      <c r="Z42420" s="372">
        <v>0.0</v>
      </c>
    </row>
    <row r="42421">
      <c r="Y42421" s="372">
        <v>0.0</v>
      </c>
      <c r="Z42421" s="372">
        <v>0.0</v>
      </c>
    </row>
    <row r="42422">
      <c r="Y42422" s="372">
        <v>0.0</v>
      </c>
      <c r="Z42422" s="372">
        <v>0.0</v>
      </c>
    </row>
    <row r="42423">
      <c r="Y42423" s="372">
        <v>0.0</v>
      </c>
      <c r="Z42423" s="372">
        <v>0.0</v>
      </c>
    </row>
    <row r="42424">
      <c r="Y42424" s="372">
        <v>0.0</v>
      </c>
      <c r="Z42424" s="372">
        <v>0.0</v>
      </c>
    </row>
    <row r="42425">
      <c r="Y42425" s="372">
        <v>0.0</v>
      </c>
      <c r="Z42425" s="372">
        <v>0.0</v>
      </c>
    </row>
    <row r="42426">
      <c r="Y42426" s="372">
        <v>0.0</v>
      </c>
      <c r="Z42426" s="372">
        <v>0.0</v>
      </c>
    </row>
    <row r="42427">
      <c r="Y42427" s="372">
        <v>0.0</v>
      </c>
      <c r="Z42427" s="372">
        <v>0.0</v>
      </c>
    </row>
    <row r="42428">
      <c r="Y42428" s="372">
        <v>0.0</v>
      </c>
      <c r="Z42428" s="372">
        <v>0.0</v>
      </c>
    </row>
    <row r="42429">
      <c r="Y42429" s="372">
        <v>0.0</v>
      </c>
      <c r="Z42429" s="372">
        <v>0.0</v>
      </c>
    </row>
    <row r="42430">
      <c r="Y42430" s="372">
        <v>0.0</v>
      </c>
      <c r="Z42430" s="372">
        <v>0.0</v>
      </c>
    </row>
    <row r="42431">
      <c r="Y42431" s="372">
        <v>0.0</v>
      </c>
      <c r="Z42431" s="372">
        <v>0.0</v>
      </c>
    </row>
    <row r="42432">
      <c r="Y42432" s="372">
        <v>0.0</v>
      </c>
      <c r="Z42432" s="372">
        <v>0.0</v>
      </c>
    </row>
    <row r="42433">
      <c r="Y42433" s="372">
        <v>0.0</v>
      </c>
      <c r="Z42433" s="372">
        <v>0.0</v>
      </c>
    </row>
    <row r="42434">
      <c r="Y42434" s="372">
        <v>0.0</v>
      </c>
      <c r="Z42434" s="372">
        <v>0.0</v>
      </c>
    </row>
    <row r="42435">
      <c r="Y42435" s="372">
        <v>0.0</v>
      </c>
      <c r="Z42435" s="372">
        <v>0.0</v>
      </c>
    </row>
    <row r="42436">
      <c r="Y42436" s="372">
        <v>0.0</v>
      </c>
      <c r="Z42436" s="372">
        <v>0.0</v>
      </c>
    </row>
    <row r="42437">
      <c r="Y42437" s="372">
        <v>0.0</v>
      </c>
      <c r="Z42437" s="372">
        <v>0.0</v>
      </c>
    </row>
    <row r="42438">
      <c r="Y42438" s="372">
        <v>0.0</v>
      </c>
      <c r="Z42438" s="372">
        <v>0.0</v>
      </c>
    </row>
    <row r="42439">
      <c r="Y42439" s="372">
        <v>0.0</v>
      </c>
      <c r="Z42439" s="372">
        <v>0.0</v>
      </c>
    </row>
    <row r="42440">
      <c r="Y42440" s="372">
        <v>0.0</v>
      </c>
      <c r="Z42440" s="372">
        <v>0.0</v>
      </c>
    </row>
    <row r="42441">
      <c r="Y42441" s="372">
        <v>0.0</v>
      </c>
      <c r="Z42441" s="372">
        <v>0.0</v>
      </c>
    </row>
    <row r="42442">
      <c r="Y42442" s="372">
        <v>0.0</v>
      </c>
      <c r="Z42442" s="372">
        <v>0.0</v>
      </c>
    </row>
    <row r="42443">
      <c r="Y42443" s="372">
        <v>0.0</v>
      </c>
      <c r="Z42443" s="372">
        <v>0.0</v>
      </c>
    </row>
    <row r="42444">
      <c r="Y42444" s="372">
        <v>0.0</v>
      </c>
      <c r="Z42444" s="372">
        <v>0.0</v>
      </c>
    </row>
    <row r="42445">
      <c r="Y42445" s="372">
        <v>0.0</v>
      </c>
      <c r="Z42445" s="372">
        <v>0.0</v>
      </c>
    </row>
    <row r="42446">
      <c r="Y42446" s="372">
        <v>0.0</v>
      </c>
      <c r="Z42446" s="372">
        <v>0.0</v>
      </c>
    </row>
    <row r="42447">
      <c r="Y42447" s="372">
        <v>0.0</v>
      </c>
      <c r="Z42447" s="372">
        <v>0.0</v>
      </c>
    </row>
    <row r="42448">
      <c r="Y42448" s="372">
        <v>0.0</v>
      </c>
      <c r="Z42448" s="372">
        <v>0.0</v>
      </c>
    </row>
    <row r="42449">
      <c r="Y42449" s="372">
        <v>0.0</v>
      </c>
      <c r="Z42449" s="372">
        <v>0.0</v>
      </c>
    </row>
    <row r="42450">
      <c r="Y42450" s="372">
        <v>0.0</v>
      </c>
      <c r="Z42450" s="372">
        <v>0.0</v>
      </c>
    </row>
    <row r="42451">
      <c r="Y42451" s="372">
        <v>0.0</v>
      </c>
      <c r="Z42451" s="372">
        <v>0.0</v>
      </c>
    </row>
    <row r="42452">
      <c r="Y42452" s="372">
        <v>0.0</v>
      </c>
      <c r="Z42452" s="372">
        <v>0.0</v>
      </c>
    </row>
    <row r="42453">
      <c r="Y42453" s="372">
        <v>0.0</v>
      </c>
      <c r="Z42453" s="372">
        <v>0.0</v>
      </c>
    </row>
    <row r="42454">
      <c r="Y42454" s="372">
        <v>0.0</v>
      </c>
      <c r="Z42454" s="372">
        <v>0.0</v>
      </c>
    </row>
    <row r="42455">
      <c r="Y42455" s="372">
        <v>0.0</v>
      </c>
      <c r="Z42455" s="372">
        <v>0.0</v>
      </c>
    </row>
    <row r="42456">
      <c r="Y42456" s="372">
        <v>0.0</v>
      </c>
      <c r="Z42456" s="372">
        <v>0.0</v>
      </c>
    </row>
    <row r="42457">
      <c r="Y42457" s="372">
        <v>0.0</v>
      </c>
      <c r="Z42457" s="372">
        <v>0.0</v>
      </c>
    </row>
    <row r="42458">
      <c r="Y42458" s="372">
        <v>0.0</v>
      </c>
      <c r="Z42458" s="372">
        <v>0.0</v>
      </c>
    </row>
    <row r="42459">
      <c r="Y42459" s="372">
        <v>0.0</v>
      </c>
      <c r="Z42459" s="372">
        <v>0.0</v>
      </c>
    </row>
    <row r="42460">
      <c r="Y42460" s="372">
        <v>0.0</v>
      </c>
      <c r="Z42460" s="372">
        <v>0.0</v>
      </c>
    </row>
    <row r="42461">
      <c r="Y42461" s="372">
        <v>0.0</v>
      </c>
      <c r="Z42461" s="372">
        <v>0.0</v>
      </c>
    </row>
    <row r="42462">
      <c r="Y42462" s="372">
        <v>0.0</v>
      </c>
      <c r="Z42462" s="372">
        <v>0.0</v>
      </c>
    </row>
    <row r="42463">
      <c r="Y42463" s="372">
        <v>0.0</v>
      </c>
      <c r="Z42463" s="372">
        <v>0.0</v>
      </c>
    </row>
    <row r="42464">
      <c r="Y42464" s="372">
        <v>0.0</v>
      </c>
      <c r="Z42464" s="372">
        <v>0.0</v>
      </c>
    </row>
    <row r="42465">
      <c r="Y42465" s="372">
        <v>0.0</v>
      </c>
      <c r="Z42465" s="372">
        <v>0.0</v>
      </c>
    </row>
    <row r="42466">
      <c r="Y42466" s="372">
        <v>0.0</v>
      </c>
      <c r="Z42466" s="372">
        <v>0.0</v>
      </c>
    </row>
    <row r="42467">
      <c r="Y42467" s="372">
        <v>0.0</v>
      </c>
      <c r="Z42467" s="372">
        <v>0.0</v>
      </c>
    </row>
    <row r="42468">
      <c r="Y42468" s="372">
        <v>0.0</v>
      </c>
      <c r="Z42468" s="372">
        <v>0.0</v>
      </c>
    </row>
    <row r="42469">
      <c r="Y42469" s="372">
        <v>0.0</v>
      </c>
      <c r="Z42469" s="372">
        <v>0.0</v>
      </c>
    </row>
    <row r="42470">
      <c r="Y42470" s="372">
        <v>0.0</v>
      </c>
      <c r="Z42470" s="372">
        <v>0.0</v>
      </c>
    </row>
    <row r="42471">
      <c r="Y42471" s="372">
        <v>0.0</v>
      </c>
      <c r="Z42471" s="372">
        <v>0.0</v>
      </c>
    </row>
    <row r="42472">
      <c r="Y42472" s="372">
        <v>0.0</v>
      </c>
      <c r="Z42472" s="372">
        <v>0.0</v>
      </c>
    </row>
    <row r="42473">
      <c r="Y42473" s="372">
        <v>0.0</v>
      </c>
      <c r="Z42473" s="372">
        <v>0.0</v>
      </c>
    </row>
    <row r="42474">
      <c r="Y42474" s="372">
        <v>0.0</v>
      </c>
      <c r="Z42474" s="372">
        <v>0.0</v>
      </c>
    </row>
    <row r="42475">
      <c r="Y42475" s="372">
        <v>0.0</v>
      </c>
      <c r="Z42475" s="372">
        <v>0.0</v>
      </c>
    </row>
    <row r="42476">
      <c r="Y42476" s="372">
        <v>0.0</v>
      </c>
      <c r="Z42476" s="372">
        <v>0.0</v>
      </c>
    </row>
    <row r="42477">
      <c r="Y42477" s="372">
        <v>0.0</v>
      </c>
      <c r="Z42477" s="372">
        <v>0.0</v>
      </c>
    </row>
    <row r="42478">
      <c r="Y42478" s="372">
        <v>0.0</v>
      </c>
      <c r="Z42478" s="372">
        <v>0.0</v>
      </c>
    </row>
    <row r="42479">
      <c r="Y42479" s="372">
        <v>0.0</v>
      </c>
      <c r="Z42479" s="372">
        <v>0.0</v>
      </c>
    </row>
    <row r="42480">
      <c r="Y42480" s="372">
        <v>0.0</v>
      </c>
      <c r="Z42480" s="372">
        <v>0.0</v>
      </c>
    </row>
    <row r="42481">
      <c r="Y42481" s="372">
        <v>0.0</v>
      </c>
      <c r="Z42481" s="372">
        <v>0.0</v>
      </c>
    </row>
    <row r="42482">
      <c r="Y42482" s="372">
        <v>0.0</v>
      </c>
      <c r="Z42482" s="372">
        <v>0.0</v>
      </c>
    </row>
    <row r="42483">
      <c r="Y42483" s="372">
        <v>0.0</v>
      </c>
      <c r="Z42483" s="372">
        <v>0.0</v>
      </c>
    </row>
    <row r="42484">
      <c r="Y42484" s="372">
        <v>0.0</v>
      </c>
      <c r="Z42484" s="372">
        <v>0.0</v>
      </c>
    </row>
    <row r="42485">
      <c r="Y42485" s="372">
        <v>0.0</v>
      </c>
      <c r="Z42485" s="372">
        <v>0.0</v>
      </c>
    </row>
    <row r="42486">
      <c r="Y42486" s="372">
        <v>0.0</v>
      </c>
      <c r="Z42486" s="372">
        <v>0.0</v>
      </c>
    </row>
    <row r="42487">
      <c r="Y42487" s="372">
        <v>0.0</v>
      </c>
      <c r="Z42487" s="372">
        <v>0.0</v>
      </c>
    </row>
    <row r="42488">
      <c r="Y42488" s="372">
        <v>0.0</v>
      </c>
      <c r="Z42488" s="372">
        <v>0.0</v>
      </c>
    </row>
    <row r="42489">
      <c r="Y42489" s="372">
        <v>0.0</v>
      </c>
      <c r="Z42489" s="372">
        <v>0.0</v>
      </c>
    </row>
    <row r="42490">
      <c r="Y42490" s="372">
        <v>0.0</v>
      </c>
      <c r="Z42490" s="372">
        <v>0.0</v>
      </c>
    </row>
    <row r="42491">
      <c r="Y42491" s="372">
        <v>0.0</v>
      </c>
      <c r="Z42491" s="372">
        <v>0.0</v>
      </c>
    </row>
    <row r="42492">
      <c r="Y42492" s="372">
        <v>0.0</v>
      </c>
      <c r="Z42492" s="372">
        <v>0.0</v>
      </c>
    </row>
    <row r="42493">
      <c r="Y42493" s="372">
        <v>0.0</v>
      </c>
      <c r="Z42493" s="372">
        <v>0.0</v>
      </c>
    </row>
    <row r="42494">
      <c r="Y42494" s="372">
        <v>0.0</v>
      </c>
      <c r="Z42494" s="372">
        <v>0.0</v>
      </c>
    </row>
    <row r="42495">
      <c r="Y42495" s="372">
        <v>0.0</v>
      </c>
      <c r="Z42495" s="372">
        <v>0.0</v>
      </c>
    </row>
    <row r="42496">
      <c r="Y42496" s="372">
        <v>0.0</v>
      </c>
      <c r="Z42496" s="372">
        <v>0.0</v>
      </c>
    </row>
    <row r="42497">
      <c r="Y42497" s="372">
        <v>0.0</v>
      </c>
      <c r="Z42497" s="372">
        <v>0.0</v>
      </c>
    </row>
    <row r="42498">
      <c r="Y42498" s="372">
        <v>0.0</v>
      </c>
      <c r="Z42498" s="372">
        <v>0.0</v>
      </c>
    </row>
    <row r="42499">
      <c r="Y42499" s="372">
        <v>0.0</v>
      </c>
      <c r="Z42499" s="372">
        <v>0.0</v>
      </c>
    </row>
    <row r="42500">
      <c r="Y42500" s="372">
        <v>0.0</v>
      </c>
      <c r="Z42500" s="372">
        <v>0.0</v>
      </c>
    </row>
    <row r="42501">
      <c r="Y42501" s="372">
        <v>0.0</v>
      </c>
      <c r="Z42501" s="372">
        <v>0.0</v>
      </c>
    </row>
    <row r="42502">
      <c r="Y42502" s="372">
        <v>0.0</v>
      </c>
      <c r="Z42502" s="372">
        <v>0.0</v>
      </c>
    </row>
    <row r="42503">
      <c r="Y42503" s="372">
        <v>0.0</v>
      </c>
      <c r="Z42503" s="372">
        <v>0.0</v>
      </c>
    </row>
    <row r="42504">
      <c r="Y42504" s="372">
        <v>0.0</v>
      </c>
      <c r="Z42504" s="372">
        <v>0.0</v>
      </c>
    </row>
    <row r="42505">
      <c r="Y42505" s="372">
        <v>0.0</v>
      </c>
      <c r="Z42505" s="372">
        <v>0.0</v>
      </c>
    </row>
    <row r="42506">
      <c r="Y42506" s="372">
        <v>0.0</v>
      </c>
      <c r="Z42506" s="372">
        <v>0.0</v>
      </c>
    </row>
    <row r="42507">
      <c r="Y42507" s="372">
        <v>0.0</v>
      </c>
      <c r="Z42507" s="372">
        <v>0.0</v>
      </c>
    </row>
    <row r="42508">
      <c r="Y42508" s="372">
        <v>0.0</v>
      </c>
      <c r="Z42508" s="372">
        <v>0.0</v>
      </c>
    </row>
    <row r="42509">
      <c r="Y42509" s="372">
        <v>0.0</v>
      </c>
      <c r="Z42509" s="372">
        <v>0.0</v>
      </c>
    </row>
    <row r="42510">
      <c r="Y42510" s="372">
        <v>0.0</v>
      </c>
      <c r="Z42510" s="372">
        <v>0.0</v>
      </c>
    </row>
    <row r="42511">
      <c r="Y42511" s="372">
        <v>0.0</v>
      </c>
      <c r="Z42511" s="372">
        <v>0.0</v>
      </c>
    </row>
    <row r="42512">
      <c r="Y42512" s="372">
        <v>0.0</v>
      </c>
      <c r="Z42512" s="372">
        <v>0.0</v>
      </c>
    </row>
    <row r="42513">
      <c r="Y42513" s="372">
        <v>0.0</v>
      </c>
      <c r="Z42513" s="372">
        <v>0.0</v>
      </c>
    </row>
    <row r="42514">
      <c r="Y42514" s="372">
        <v>0.0</v>
      </c>
      <c r="Z42514" s="372">
        <v>0.0</v>
      </c>
    </row>
    <row r="42515">
      <c r="Y42515" s="372">
        <v>0.0</v>
      </c>
      <c r="Z42515" s="372">
        <v>0.0</v>
      </c>
    </row>
    <row r="42516">
      <c r="Y42516" s="372">
        <v>0.0</v>
      </c>
      <c r="Z42516" s="372">
        <v>0.0</v>
      </c>
    </row>
    <row r="42517">
      <c r="Y42517" s="372">
        <v>0.0</v>
      </c>
      <c r="Z42517" s="372">
        <v>0.0</v>
      </c>
    </row>
    <row r="42518">
      <c r="Y42518" s="372">
        <v>0.0</v>
      </c>
      <c r="Z42518" s="372">
        <v>0.0</v>
      </c>
    </row>
    <row r="42519">
      <c r="Y42519" s="372">
        <v>0.0</v>
      </c>
      <c r="Z42519" s="372">
        <v>0.0</v>
      </c>
    </row>
    <row r="42520">
      <c r="Y42520" s="372">
        <v>0.0</v>
      </c>
      <c r="Z42520" s="372">
        <v>0.0</v>
      </c>
    </row>
    <row r="42521">
      <c r="Y42521" s="372">
        <v>0.0</v>
      </c>
      <c r="Z42521" s="372">
        <v>0.0</v>
      </c>
    </row>
    <row r="42522">
      <c r="Y42522" s="372">
        <v>0.0</v>
      </c>
      <c r="Z42522" s="372">
        <v>0.0</v>
      </c>
    </row>
    <row r="42523">
      <c r="Y42523" s="372">
        <v>0.0</v>
      </c>
      <c r="Z42523" s="372">
        <v>0.0</v>
      </c>
    </row>
    <row r="42524">
      <c r="Y42524" s="372">
        <v>0.0</v>
      </c>
      <c r="Z42524" s="372">
        <v>0.0</v>
      </c>
    </row>
    <row r="42525">
      <c r="Y42525" s="372">
        <v>0.0</v>
      </c>
      <c r="Z42525" s="372">
        <v>0.0</v>
      </c>
    </row>
    <row r="42526">
      <c r="Y42526" s="372">
        <v>0.0</v>
      </c>
      <c r="Z42526" s="372">
        <v>0.0</v>
      </c>
    </row>
    <row r="42527">
      <c r="Y42527" s="372">
        <v>0.0</v>
      </c>
      <c r="Z42527" s="372">
        <v>0.0</v>
      </c>
    </row>
    <row r="42528">
      <c r="Y42528" s="372">
        <v>0.0</v>
      </c>
      <c r="Z42528" s="372">
        <v>0.0</v>
      </c>
    </row>
    <row r="42529">
      <c r="Y42529" s="372">
        <v>0.0</v>
      </c>
      <c r="Z42529" s="372">
        <v>0.0</v>
      </c>
    </row>
    <row r="42530">
      <c r="Y42530" s="372">
        <v>0.0</v>
      </c>
      <c r="Z42530" s="372">
        <v>0.0</v>
      </c>
    </row>
    <row r="42531">
      <c r="Y42531" s="372">
        <v>0.0</v>
      </c>
      <c r="Z42531" s="372">
        <v>0.0</v>
      </c>
    </row>
    <row r="42532">
      <c r="Y42532" s="372">
        <v>0.0</v>
      </c>
      <c r="Z42532" s="372">
        <v>0.0</v>
      </c>
    </row>
    <row r="42533">
      <c r="Y42533" s="372">
        <v>0.0</v>
      </c>
      <c r="Z42533" s="372">
        <v>0.0</v>
      </c>
    </row>
    <row r="42534">
      <c r="Y42534" s="372">
        <v>0.0</v>
      </c>
      <c r="Z42534" s="372">
        <v>0.0</v>
      </c>
    </row>
    <row r="42535">
      <c r="Y42535" s="372">
        <v>0.0</v>
      </c>
      <c r="Z42535" s="372">
        <v>0.0</v>
      </c>
    </row>
    <row r="42536">
      <c r="Y42536" s="372">
        <v>0.0</v>
      </c>
      <c r="Z42536" s="372">
        <v>0.0</v>
      </c>
    </row>
    <row r="42537">
      <c r="Y42537" s="372">
        <v>0.0</v>
      </c>
      <c r="Z42537" s="372">
        <v>0.0</v>
      </c>
    </row>
    <row r="42538">
      <c r="Y42538" s="372">
        <v>0.0</v>
      </c>
      <c r="Z42538" s="372">
        <v>0.0</v>
      </c>
    </row>
    <row r="42539">
      <c r="Y42539" s="372">
        <v>0.0</v>
      </c>
      <c r="Z42539" s="372">
        <v>0.0</v>
      </c>
    </row>
    <row r="42540">
      <c r="Y42540" s="372">
        <v>0.0</v>
      </c>
      <c r="Z42540" s="372">
        <v>0.0</v>
      </c>
    </row>
    <row r="42541">
      <c r="Y42541" s="372">
        <v>0.0</v>
      </c>
      <c r="Z42541" s="372">
        <v>0.0</v>
      </c>
    </row>
    <row r="42542">
      <c r="Y42542" s="372">
        <v>0.0</v>
      </c>
      <c r="Z42542" s="372">
        <v>0.0</v>
      </c>
    </row>
    <row r="42543">
      <c r="Y42543" s="372">
        <v>0.0</v>
      </c>
      <c r="Z42543" s="372">
        <v>0.0</v>
      </c>
    </row>
    <row r="42544">
      <c r="Y42544" s="372">
        <v>0.0</v>
      </c>
      <c r="Z42544" s="372">
        <v>0.0</v>
      </c>
    </row>
    <row r="42545">
      <c r="Y42545" s="372">
        <v>0.0</v>
      </c>
      <c r="Z42545" s="372">
        <v>0.0</v>
      </c>
    </row>
    <row r="42546">
      <c r="Y42546" s="372">
        <v>0.0</v>
      </c>
      <c r="Z42546" s="372">
        <v>0.0</v>
      </c>
    </row>
    <row r="42547">
      <c r="Y42547" s="372">
        <v>0.0</v>
      </c>
      <c r="Z42547" s="372">
        <v>0.0</v>
      </c>
    </row>
    <row r="42548">
      <c r="Y42548" s="372">
        <v>0.0</v>
      </c>
      <c r="Z42548" s="372">
        <v>0.0</v>
      </c>
    </row>
    <row r="42549">
      <c r="Y42549" s="372">
        <v>0.0</v>
      </c>
      <c r="Z42549" s="372">
        <v>0.0</v>
      </c>
    </row>
    <row r="42550">
      <c r="Y42550" s="372">
        <v>0.0</v>
      </c>
      <c r="Z42550" s="372">
        <v>0.0</v>
      </c>
    </row>
    <row r="42551">
      <c r="Y42551" s="372">
        <v>0.0</v>
      </c>
      <c r="Z42551" s="372">
        <v>0.0</v>
      </c>
    </row>
    <row r="42552">
      <c r="Y42552" s="372">
        <v>0.0</v>
      </c>
      <c r="Z42552" s="372">
        <v>0.0</v>
      </c>
    </row>
    <row r="42553">
      <c r="Y42553" s="372">
        <v>0.0</v>
      </c>
      <c r="Z42553" s="372">
        <v>0.0</v>
      </c>
    </row>
    <row r="42554">
      <c r="Y42554" s="372">
        <v>0.0</v>
      </c>
      <c r="Z42554" s="372">
        <v>0.0</v>
      </c>
    </row>
    <row r="42555">
      <c r="Y42555" s="372">
        <v>0.0</v>
      </c>
      <c r="Z42555" s="372">
        <v>0.0</v>
      </c>
    </row>
    <row r="42556">
      <c r="Y42556" s="372">
        <v>0.0</v>
      </c>
      <c r="Z42556" s="372">
        <v>0.0</v>
      </c>
    </row>
    <row r="42557">
      <c r="Y42557" s="372">
        <v>0.0</v>
      </c>
      <c r="Z42557" s="372">
        <v>0.0</v>
      </c>
    </row>
    <row r="42558">
      <c r="Y42558" s="372">
        <v>0.0</v>
      </c>
      <c r="Z42558" s="372">
        <v>0.0</v>
      </c>
    </row>
    <row r="42559">
      <c r="Y42559" s="372">
        <v>0.0</v>
      </c>
      <c r="Z42559" s="372">
        <v>0.0</v>
      </c>
    </row>
    <row r="42560">
      <c r="Y42560" s="372">
        <v>0.0</v>
      </c>
      <c r="Z42560" s="372">
        <v>0.0</v>
      </c>
    </row>
    <row r="42561">
      <c r="Y42561" s="372">
        <v>0.0</v>
      </c>
      <c r="Z42561" s="372">
        <v>0.0</v>
      </c>
    </row>
    <row r="42562">
      <c r="Y42562" s="372">
        <v>0.0</v>
      </c>
      <c r="Z42562" s="372">
        <v>0.0</v>
      </c>
    </row>
    <row r="42563">
      <c r="Y42563" s="372">
        <v>0.0</v>
      </c>
      <c r="Z42563" s="372">
        <v>0.0</v>
      </c>
    </row>
    <row r="42564">
      <c r="Y42564" s="372">
        <v>0.0</v>
      </c>
      <c r="Z42564" s="372">
        <v>0.0</v>
      </c>
    </row>
    <row r="42565">
      <c r="Y42565" s="372">
        <v>0.0</v>
      </c>
      <c r="Z42565" s="372">
        <v>0.0</v>
      </c>
    </row>
    <row r="42566">
      <c r="Y42566" s="372">
        <v>0.0</v>
      </c>
      <c r="Z42566" s="372">
        <v>0.0</v>
      </c>
    </row>
    <row r="42567">
      <c r="Y42567" s="372">
        <v>0.0</v>
      </c>
      <c r="Z42567" s="372">
        <v>0.0</v>
      </c>
    </row>
    <row r="42568">
      <c r="Y42568" s="372">
        <v>0.0</v>
      </c>
      <c r="Z42568" s="372">
        <v>0.0</v>
      </c>
    </row>
    <row r="42569">
      <c r="Y42569" s="372">
        <v>0.0</v>
      </c>
      <c r="Z42569" s="372">
        <v>0.0</v>
      </c>
    </row>
    <row r="42570">
      <c r="Y42570" s="372">
        <v>0.0</v>
      </c>
      <c r="Z42570" s="372">
        <v>0.0</v>
      </c>
    </row>
    <row r="42571">
      <c r="Y42571" s="372">
        <v>0.0</v>
      </c>
      <c r="Z42571" s="372">
        <v>0.0</v>
      </c>
    </row>
    <row r="42572">
      <c r="Y42572" s="372">
        <v>0.0</v>
      </c>
      <c r="Z42572" s="372">
        <v>0.0</v>
      </c>
    </row>
    <row r="42573">
      <c r="Y42573" s="372">
        <v>0.0</v>
      </c>
      <c r="Z42573" s="372">
        <v>0.0</v>
      </c>
    </row>
    <row r="42574">
      <c r="Y42574" s="372">
        <v>0.0</v>
      </c>
      <c r="Z42574" s="372">
        <v>0.0</v>
      </c>
    </row>
    <row r="42575">
      <c r="Y42575" s="372">
        <v>0.0</v>
      </c>
      <c r="Z42575" s="372">
        <v>0.0</v>
      </c>
    </row>
    <row r="42576">
      <c r="Y42576" s="372">
        <v>0.0</v>
      </c>
      <c r="Z42576" s="372">
        <v>0.0</v>
      </c>
    </row>
    <row r="42577">
      <c r="Y42577" s="372">
        <v>0.0</v>
      </c>
      <c r="Z42577" s="372">
        <v>0.0</v>
      </c>
    </row>
    <row r="42578">
      <c r="Y42578" s="372">
        <v>0.0</v>
      </c>
      <c r="Z42578" s="372">
        <v>0.0</v>
      </c>
    </row>
    <row r="42579">
      <c r="Y42579" s="372">
        <v>0.0</v>
      </c>
      <c r="Z42579" s="372">
        <v>0.0</v>
      </c>
    </row>
    <row r="42580">
      <c r="Y42580" s="372">
        <v>0.0</v>
      </c>
      <c r="Z42580" s="372">
        <v>0.0</v>
      </c>
    </row>
    <row r="42581">
      <c r="Y42581" s="372">
        <v>0.0</v>
      </c>
      <c r="Z42581" s="372">
        <v>0.0</v>
      </c>
    </row>
    <row r="42582">
      <c r="Y42582" s="372">
        <v>0.0</v>
      </c>
      <c r="Z42582" s="372">
        <v>0.0</v>
      </c>
    </row>
    <row r="42583">
      <c r="Y42583" s="372">
        <v>0.0</v>
      </c>
      <c r="Z42583" s="372">
        <v>0.0</v>
      </c>
    </row>
    <row r="42584">
      <c r="Y42584" s="372">
        <v>0.0</v>
      </c>
      <c r="Z42584" s="372">
        <v>0.0</v>
      </c>
    </row>
    <row r="42585">
      <c r="Y42585" s="372">
        <v>0.0</v>
      </c>
      <c r="Z42585" s="372">
        <v>0.0</v>
      </c>
    </row>
    <row r="42586">
      <c r="Y42586" s="372">
        <v>0.0</v>
      </c>
      <c r="Z42586" s="372">
        <v>0.0</v>
      </c>
    </row>
    <row r="42587">
      <c r="Y42587" s="372">
        <v>0.0</v>
      </c>
      <c r="Z42587" s="372">
        <v>0.0</v>
      </c>
    </row>
    <row r="42588">
      <c r="Y42588" s="372">
        <v>0.0</v>
      </c>
      <c r="Z42588" s="372">
        <v>0.0</v>
      </c>
    </row>
    <row r="42589">
      <c r="Y42589" s="372">
        <v>0.0</v>
      </c>
      <c r="Z42589" s="372">
        <v>0.0</v>
      </c>
    </row>
    <row r="42590">
      <c r="Y42590" s="372">
        <v>0.0</v>
      </c>
      <c r="Z42590" s="372">
        <v>0.0</v>
      </c>
    </row>
    <row r="42591">
      <c r="Y42591" s="372">
        <v>0.0</v>
      </c>
      <c r="Z42591" s="372">
        <v>0.0</v>
      </c>
    </row>
    <row r="42592">
      <c r="Y42592" s="372">
        <v>0.0</v>
      </c>
      <c r="Z42592" s="372">
        <v>0.0</v>
      </c>
    </row>
    <row r="42593">
      <c r="Y42593" s="372">
        <v>0.0</v>
      </c>
      <c r="Z42593" s="372">
        <v>0.0</v>
      </c>
    </row>
    <row r="42594">
      <c r="Y42594" s="372">
        <v>0.0</v>
      </c>
      <c r="Z42594" s="372">
        <v>0.0</v>
      </c>
    </row>
    <row r="42595">
      <c r="Y42595" s="372">
        <v>0.0</v>
      </c>
      <c r="Z42595" s="372">
        <v>0.0</v>
      </c>
    </row>
    <row r="42596">
      <c r="Y42596" s="372">
        <v>0.0</v>
      </c>
      <c r="Z42596" s="372">
        <v>0.0</v>
      </c>
    </row>
    <row r="42597">
      <c r="Y42597" s="372">
        <v>0.0</v>
      </c>
      <c r="Z42597" s="372">
        <v>0.0</v>
      </c>
    </row>
    <row r="42598">
      <c r="Y42598" s="372">
        <v>0.0</v>
      </c>
      <c r="Z42598" s="372">
        <v>0.0</v>
      </c>
    </row>
    <row r="42599">
      <c r="Y42599" s="372">
        <v>0.0</v>
      </c>
      <c r="Z42599" s="372">
        <v>0.0</v>
      </c>
    </row>
    <row r="42600">
      <c r="Y42600" s="372">
        <v>0.0</v>
      </c>
      <c r="Z42600" s="372">
        <v>0.0</v>
      </c>
    </row>
    <row r="42601">
      <c r="Y42601" s="372">
        <v>0.0</v>
      </c>
      <c r="Z42601" s="372">
        <v>0.0</v>
      </c>
    </row>
    <row r="42602">
      <c r="Y42602" s="372">
        <v>0.0</v>
      </c>
      <c r="Z42602" s="372">
        <v>0.0</v>
      </c>
    </row>
    <row r="42603">
      <c r="Y42603" s="372">
        <v>0.0</v>
      </c>
      <c r="Z42603" s="372">
        <v>0.0</v>
      </c>
    </row>
    <row r="42604">
      <c r="Y42604" s="372">
        <v>0.0</v>
      </c>
      <c r="Z42604" s="372">
        <v>0.0</v>
      </c>
    </row>
    <row r="42605">
      <c r="Y42605" s="372">
        <v>0.0</v>
      </c>
      <c r="Z42605" s="372">
        <v>0.0</v>
      </c>
    </row>
    <row r="42606">
      <c r="Y42606" s="372">
        <v>0.0</v>
      </c>
      <c r="Z42606" s="372">
        <v>0.0</v>
      </c>
    </row>
    <row r="42607">
      <c r="Y42607" s="372">
        <v>0.0</v>
      </c>
      <c r="Z42607" s="372">
        <v>0.0</v>
      </c>
    </row>
    <row r="42608">
      <c r="Y42608" s="372">
        <v>0.0</v>
      </c>
      <c r="Z42608" s="372">
        <v>0.0</v>
      </c>
    </row>
    <row r="42609">
      <c r="Y42609" s="372">
        <v>0.0</v>
      </c>
      <c r="Z42609" s="372">
        <v>0.0</v>
      </c>
    </row>
    <row r="42610">
      <c r="Y42610" s="372">
        <v>0.0</v>
      </c>
      <c r="Z42610" s="372">
        <v>0.0</v>
      </c>
    </row>
    <row r="42611">
      <c r="Y42611" s="372">
        <v>0.0</v>
      </c>
      <c r="Z42611" s="372">
        <v>0.0</v>
      </c>
    </row>
    <row r="42612">
      <c r="Y42612" s="372">
        <v>0.0</v>
      </c>
      <c r="Z42612" s="372">
        <v>0.0</v>
      </c>
    </row>
    <row r="42613">
      <c r="Y42613" s="372">
        <v>0.0</v>
      </c>
      <c r="Z42613" s="372">
        <v>0.0</v>
      </c>
    </row>
    <row r="42614">
      <c r="Y42614" s="372">
        <v>0.0</v>
      </c>
      <c r="Z42614" s="372">
        <v>0.0</v>
      </c>
    </row>
    <row r="42615">
      <c r="Y42615" s="372">
        <v>0.0</v>
      </c>
      <c r="Z42615" s="372">
        <v>0.0</v>
      </c>
    </row>
    <row r="42616">
      <c r="Y42616" s="372">
        <v>0.0</v>
      </c>
      <c r="Z42616" s="372">
        <v>0.0</v>
      </c>
    </row>
    <row r="42617">
      <c r="Y42617" s="372">
        <v>0.0</v>
      </c>
      <c r="Z42617" s="372">
        <v>0.0</v>
      </c>
    </row>
    <row r="42618">
      <c r="Y42618" s="372">
        <v>0.0</v>
      </c>
      <c r="Z42618" s="372">
        <v>0.0</v>
      </c>
    </row>
    <row r="42619">
      <c r="Y42619" s="372">
        <v>0.0</v>
      </c>
      <c r="Z42619" s="372">
        <v>0.0</v>
      </c>
    </row>
    <row r="42620">
      <c r="Y42620" s="372">
        <v>0.0</v>
      </c>
      <c r="Z42620" s="372">
        <v>0.0</v>
      </c>
    </row>
    <row r="42621">
      <c r="Y42621" s="372">
        <v>0.0</v>
      </c>
      <c r="Z42621" s="372">
        <v>0.0</v>
      </c>
    </row>
    <row r="42622">
      <c r="Y42622" s="372">
        <v>0.0</v>
      </c>
      <c r="Z42622" s="372">
        <v>0.0</v>
      </c>
    </row>
    <row r="42623">
      <c r="Y42623" s="372">
        <v>0.0</v>
      </c>
      <c r="Z42623" s="372">
        <v>0.0</v>
      </c>
    </row>
    <row r="42624">
      <c r="Y42624" s="372">
        <v>0.0</v>
      </c>
      <c r="Z42624" s="372">
        <v>0.0</v>
      </c>
    </row>
    <row r="42625">
      <c r="Y42625" s="372">
        <v>0.0</v>
      </c>
      <c r="Z42625" s="372">
        <v>0.0</v>
      </c>
    </row>
    <row r="42626">
      <c r="Y42626" s="372">
        <v>0.0</v>
      </c>
      <c r="Z42626" s="372">
        <v>0.0</v>
      </c>
    </row>
    <row r="42627">
      <c r="Y42627" s="372">
        <v>0.0</v>
      </c>
      <c r="Z42627" s="372">
        <v>0.0</v>
      </c>
    </row>
    <row r="42628">
      <c r="Y42628" s="372">
        <v>0.0</v>
      </c>
      <c r="Z42628" s="372">
        <v>0.0</v>
      </c>
    </row>
    <row r="42629">
      <c r="Y42629" s="372">
        <v>0.0</v>
      </c>
      <c r="Z42629" s="372">
        <v>0.0</v>
      </c>
    </row>
    <row r="42630">
      <c r="Y42630" s="372">
        <v>0.0</v>
      </c>
      <c r="Z42630" s="372">
        <v>0.0</v>
      </c>
    </row>
    <row r="42631">
      <c r="Y42631" s="372">
        <v>0.0</v>
      </c>
      <c r="Z42631" s="372">
        <v>0.0</v>
      </c>
    </row>
    <row r="42632">
      <c r="Y42632" s="372">
        <v>0.0</v>
      </c>
      <c r="Z42632" s="372">
        <v>0.0</v>
      </c>
    </row>
    <row r="42633">
      <c r="Y42633" s="372">
        <v>0.0</v>
      </c>
      <c r="Z42633" s="372">
        <v>0.0</v>
      </c>
    </row>
    <row r="42634">
      <c r="Y42634" s="372">
        <v>0.0</v>
      </c>
      <c r="Z42634" s="372">
        <v>0.0</v>
      </c>
    </row>
    <row r="42635">
      <c r="Y42635" s="372">
        <v>0.0</v>
      </c>
      <c r="Z42635" s="372">
        <v>0.0</v>
      </c>
    </row>
    <row r="42636">
      <c r="Y42636" s="372">
        <v>0.0</v>
      </c>
      <c r="Z42636" s="372">
        <v>0.0</v>
      </c>
    </row>
    <row r="42637">
      <c r="Y42637" s="372">
        <v>0.0</v>
      </c>
      <c r="Z42637" s="372">
        <v>0.0</v>
      </c>
    </row>
    <row r="42638">
      <c r="Y42638" s="372">
        <v>0.0</v>
      </c>
      <c r="Z42638" s="372">
        <v>0.0</v>
      </c>
    </row>
    <row r="42639">
      <c r="Y42639" s="372">
        <v>0.0</v>
      </c>
      <c r="Z42639" s="372">
        <v>0.0</v>
      </c>
    </row>
    <row r="42640">
      <c r="Y42640" s="372">
        <v>0.0</v>
      </c>
      <c r="Z42640" s="372">
        <v>0.0</v>
      </c>
    </row>
    <row r="42641">
      <c r="Y42641" s="372">
        <v>0.0</v>
      </c>
      <c r="Z42641" s="372">
        <v>0.0</v>
      </c>
    </row>
    <row r="42642">
      <c r="Y42642" s="372">
        <v>0.0</v>
      </c>
      <c r="Z42642" s="372">
        <v>0.0</v>
      </c>
    </row>
    <row r="42643">
      <c r="Y42643" s="372">
        <v>0.0</v>
      </c>
      <c r="Z42643" s="372">
        <v>0.0</v>
      </c>
    </row>
    <row r="42644">
      <c r="Y42644" s="372">
        <v>0.0</v>
      </c>
      <c r="Z42644" s="372">
        <v>0.0</v>
      </c>
    </row>
    <row r="42645">
      <c r="Y42645" s="372">
        <v>0.0</v>
      </c>
      <c r="Z42645" s="372">
        <v>0.0</v>
      </c>
    </row>
    <row r="42646">
      <c r="Y42646" s="372">
        <v>0.0</v>
      </c>
      <c r="Z42646" s="372">
        <v>0.0</v>
      </c>
    </row>
    <row r="42647">
      <c r="Y42647" s="372">
        <v>0.0</v>
      </c>
      <c r="Z42647" s="372">
        <v>0.0</v>
      </c>
    </row>
    <row r="42648">
      <c r="Y42648" s="372">
        <v>0.0</v>
      </c>
      <c r="Z42648" s="372">
        <v>0.0</v>
      </c>
    </row>
    <row r="42649">
      <c r="Y42649" s="372">
        <v>0.0</v>
      </c>
      <c r="Z42649" s="372">
        <v>0.0</v>
      </c>
    </row>
    <row r="42650">
      <c r="Y42650" s="372">
        <v>0.0</v>
      </c>
      <c r="Z42650" s="372">
        <v>0.0</v>
      </c>
    </row>
    <row r="42651">
      <c r="Y42651" s="372">
        <v>0.0</v>
      </c>
      <c r="Z42651" s="372">
        <v>0.0</v>
      </c>
    </row>
    <row r="42652">
      <c r="Y42652" s="372">
        <v>0.0</v>
      </c>
      <c r="Z42652" s="372">
        <v>0.0</v>
      </c>
    </row>
    <row r="42653">
      <c r="Y42653" s="372">
        <v>0.0</v>
      </c>
      <c r="Z42653" s="372">
        <v>0.0</v>
      </c>
    </row>
    <row r="42654">
      <c r="Y42654" s="372">
        <v>0.0</v>
      </c>
      <c r="Z42654" s="372">
        <v>0.0</v>
      </c>
    </row>
    <row r="42655">
      <c r="Y42655" s="372">
        <v>0.0</v>
      </c>
      <c r="Z42655" s="372">
        <v>0.0</v>
      </c>
    </row>
    <row r="42656">
      <c r="Y42656" s="372">
        <v>0.0</v>
      </c>
      <c r="Z42656" s="372">
        <v>0.0</v>
      </c>
    </row>
    <row r="42657">
      <c r="Y42657" s="372">
        <v>0.0</v>
      </c>
      <c r="Z42657" s="372">
        <v>0.0</v>
      </c>
    </row>
    <row r="42658">
      <c r="Y42658" s="372">
        <v>0.0</v>
      </c>
      <c r="Z42658" s="372">
        <v>0.0</v>
      </c>
    </row>
    <row r="42659">
      <c r="Y42659" s="372">
        <v>0.0</v>
      </c>
      <c r="Z42659" s="372">
        <v>0.0</v>
      </c>
    </row>
    <row r="42660">
      <c r="Y42660" s="372">
        <v>0.0</v>
      </c>
      <c r="Z42660" s="372">
        <v>0.0</v>
      </c>
    </row>
    <row r="42661">
      <c r="Y42661" s="372">
        <v>0.0</v>
      </c>
      <c r="Z42661" s="372">
        <v>0.0</v>
      </c>
    </row>
    <row r="42662">
      <c r="Y42662" s="372">
        <v>0.0</v>
      </c>
      <c r="Z42662" s="372">
        <v>0.0</v>
      </c>
    </row>
    <row r="42663">
      <c r="Y42663" s="372">
        <v>0.0</v>
      </c>
      <c r="Z42663" s="372">
        <v>0.0</v>
      </c>
    </row>
    <row r="42664">
      <c r="Y42664" s="372">
        <v>0.0</v>
      </c>
      <c r="Z42664" s="372">
        <v>0.0</v>
      </c>
    </row>
    <row r="42665">
      <c r="Y42665" s="372">
        <v>0.0</v>
      </c>
      <c r="Z42665" s="372">
        <v>0.0</v>
      </c>
    </row>
    <row r="42666">
      <c r="Y42666" s="372">
        <v>0.0</v>
      </c>
      <c r="Z42666" s="372">
        <v>0.0</v>
      </c>
    </row>
    <row r="42667">
      <c r="Y42667" s="372">
        <v>0.0</v>
      </c>
      <c r="Z42667" s="372">
        <v>0.0</v>
      </c>
    </row>
    <row r="42668">
      <c r="Y42668" s="372">
        <v>0.0</v>
      </c>
      <c r="Z42668" s="372">
        <v>0.0</v>
      </c>
    </row>
    <row r="42669">
      <c r="Y42669" s="372">
        <v>0.0</v>
      </c>
      <c r="Z42669" s="372">
        <v>0.0</v>
      </c>
    </row>
    <row r="42670">
      <c r="Y42670" s="372">
        <v>0.0</v>
      </c>
      <c r="Z42670" s="372">
        <v>0.0</v>
      </c>
    </row>
    <row r="42671">
      <c r="Y42671" s="372">
        <v>0.0</v>
      </c>
      <c r="Z42671" s="372">
        <v>0.0</v>
      </c>
    </row>
    <row r="42672">
      <c r="Y42672" s="372">
        <v>0.0</v>
      </c>
      <c r="Z42672" s="372">
        <v>0.0</v>
      </c>
    </row>
    <row r="42673">
      <c r="Y42673" s="372">
        <v>0.0</v>
      </c>
      <c r="Z42673" s="372">
        <v>0.0</v>
      </c>
    </row>
    <row r="42674">
      <c r="Y42674" s="372">
        <v>0.0</v>
      </c>
      <c r="Z42674" s="372">
        <v>0.0</v>
      </c>
    </row>
    <row r="42675">
      <c r="Y42675" s="372">
        <v>0.0</v>
      </c>
      <c r="Z42675" s="372">
        <v>0.0</v>
      </c>
    </row>
    <row r="42676">
      <c r="Y42676" s="372">
        <v>0.0</v>
      </c>
      <c r="Z42676" s="372">
        <v>0.0</v>
      </c>
    </row>
    <row r="42677">
      <c r="Y42677" s="372">
        <v>0.0</v>
      </c>
      <c r="Z42677" s="372">
        <v>0.0</v>
      </c>
    </row>
    <row r="42678">
      <c r="Y42678" s="372">
        <v>0.0</v>
      </c>
      <c r="Z42678" s="372">
        <v>0.0</v>
      </c>
    </row>
    <row r="42679">
      <c r="Y42679" s="372">
        <v>0.0</v>
      </c>
      <c r="Z42679" s="372">
        <v>0.0</v>
      </c>
    </row>
    <row r="42680">
      <c r="Y42680" s="372">
        <v>0.0</v>
      </c>
      <c r="Z42680" s="372">
        <v>0.0</v>
      </c>
    </row>
    <row r="42681">
      <c r="Y42681" s="372">
        <v>0.0</v>
      </c>
      <c r="Z42681" s="372">
        <v>0.0</v>
      </c>
    </row>
    <row r="42682">
      <c r="Y42682" s="372">
        <v>0.0</v>
      </c>
      <c r="Z42682" s="372">
        <v>0.0</v>
      </c>
    </row>
    <row r="42683">
      <c r="Y42683" s="372">
        <v>0.0</v>
      </c>
      <c r="Z42683" s="372">
        <v>0.0</v>
      </c>
    </row>
    <row r="42684">
      <c r="Y42684" s="372">
        <v>0.0</v>
      </c>
      <c r="Z42684" s="372">
        <v>0.0</v>
      </c>
    </row>
    <row r="42685">
      <c r="Y42685" s="372">
        <v>0.0</v>
      </c>
      <c r="Z42685" s="372">
        <v>0.0</v>
      </c>
    </row>
    <row r="42686">
      <c r="Y42686" s="372">
        <v>0.0</v>
      </c>
      <c r="Z42686" s="372">
        <v>0.0</v>
      </c>
    </row>
    <row r="42687">
      <c r="Y42687" s="372">
        <v>0.0</v>
      </c>
      <c r="Z42687" s="372">
        <v>0.0</v>
      </c>
    </row>
    <row r="42688">
      <c r="Y42688" s="372">
        <v>0.0</v>
      </c>
      <c r="Z42688" s="372">
        <v>0.0</v>
      </c>
    </row>
    <row r="42689">
      <c r="Y42689" s="372">
        <v>0.0</v>
      </c>
      <c r="Z42689" s="372">
        <v>0.0</v>
      </c>
    </row>
    <row r="42690">
      <c r="Y42690" s="372">
        <v>0.0</v>
      </c>
      <c r="Z42690" s="372">
        <v>0.0</v>
      </c>
    </row>
    <row r="42691">
      <c r="Y42691" s="372">
        <v>0.0</v>
      </c>
      <c r="Z42691" s="372">
        <v>0.0</v>
      </c>
    </row>
    <row r="42692">
      <c r="Y42692" s="372">
        <v>0.0</v>
      </c>
      <c r="Z42692" s="372">
        <v>0.0</v>
      </c>
    </row>
    <row r="42693">
      <c r="Y42693" s="372">
        <v>0.0</v>
      </c>
      <c r="Z42693" s="372">
        <v>0.0</v>
      </c>
    </row>
    <row r="42694">
      <c r="Y42694" s="372">
        <v>0.0</v>
      </c>
      <c r="Z42694" s="372">
        <v>0.0</v>
      </c>
    </row>
    <row r="42695">
      <c r="Y42695" s="372">
        <v>0.0</v>
      </c>
      <c r="Z42695" s="372">
        <v>0.0</v>
      </c>
    </row>
    <row r="42696">
      <c r="Y42696" s="372">
        <v>0.0</v>
      </c>
      <c r="Z42696" s="372">
        <v>0.0</v>
      </c>
    </row>
    <row r="42697">
      <c r="Y42697" s="372">
        <v>0.0</v>
      </c>
      <c r="Z42697" s="372">
        <v>0.0</v>
      </c>
    </row>
    <row r="42698">
      <c r="Y42698" s="372">
        <v>0.0</v>
      </c>
      <c r="Z42698" s="372">
        <v>0.0</v>
      </c>
    </row>
    <row r="42699">
      <c r="Y42699" s="372">
        <v>0.0</v>
      </c>
      <c r="Z42699" s="372">
        <v>0.0</v>
      </c>
    </row>
    <row r="42700">
      <c r="Y42700" s="372">
        <v>0.0</v>
      </c>
      <c r="Z42700" s="372">
        <v>0.0</v>
      </c>
    </row>
    <row r="42701">
      <c r="Y42701" s="372">
        <v>0.0</v>
      </c>
      <c r="Z42701" s="372">
        <v>0.0</v>
      </c>
    </row>
    <row r="42702">
      <c r="Y42702" s="372">
        <v>0.0</v>
      </c>
      <c r="Z42702" s="372">
        <v>0.0</v>
      </c>
    </row>
    <row r="42703">
      <c r="Y42703" s="372">
        <v>0.0</v>
      </c>
      <c r="Z42703" s="372">
        <v>0.0</v>
      </c>
    </row>
    <row r="42704">
      <c r="Y42704" s="372">
        <v>0.0</v>
      </c>
      <c r="Z42704" s="372">
        <v>0.0</v>
      </c>
    </row>
    <row r="42705">
      <c r="Y42705" s="372">
        <v>0.0</v>
      </c>
      <c r="Z42705" s="372">
        <v>0.0</v>
      </c>
    </row>
    <row r="42706">
      <c r="Y42706" s="372">
        <v>0.0</v>
      </c>
      <c r="Z42706" s="372">
        <v>0.0</v>
      </c>
    </row>
    <row r="42707">
      <c r="Y42707" s="372">
        <v>0.0</v>
      </c>
      <c r="Z42707" s="372">
        <v>0.0</v>
      </c>
    </row>
    <row r="42708">
      <c r="Y42708" s="372">
        <v>0.0</v>
      </c>
      <c r="Z42708" s="372">
        <v>0.0</v>
      </c>
    </row>
    <row r="42709">
      <c r="Y42709" s="372">
        <v>0.0</v>
      </c>
      <c r="Z42709" s="372">
        <v>0.0</v>
      </c>
    </row>
    <row r="42710">
      <c r="Y42710" s="372">
        <v>0.0</v>
      </c>
      <c r="Z42710" s="372">
        <v>0.0</v>
      </c>
    </row>
    <row r="42711">
      <c r="Y42711" s="372">
        <v>0.0</v>
      </c>
      <c r="Z42711" s="372">
        <v>0.0</v>
      </c>
    </row>
    <row r="42712">
      <c r="Y42712" s="372">
        <v>0.0</v>
      </c>
      <c r="Z42712" s="372">
        <v>0.0</v>
      </c>
    </row>
    <row r="42713">
      <c r="Y42713" s="372">
        <v>0.0</v>
      </c>
      <c r="Z42713" s="372">
        <v>0.0</v>
      </c>
    </row>
    <row r="42714">
      <c r="Y42714" s="372">
        <v>0.0</v>
      </c>
      <c r="Z42714" s="372">
        <v>0.0</v>
      </c>
    </row>
    <row r="42715">
      <c r="Y42715" s="372">
        <v>0.0</v>
      </c>
      <c r="Z42715" s="372">
        <v>0.0</v>
      </c>
    </row>
    <row r="42716">
      <c r="Y42716" s="372">
        <v>0.0</v>
      </c>
      <c r="Z42716" s="372">
        <v>0.0</v>
      </c>
    </row>
    <row r="42717">
      <c r="Y42717" s="372">
        <v>0.0</v>
      </c>
      <c r="Z42717" s="372">
        <v>0.0</v>
      </c>
    </row>
    <row r="42718">
      <c r="Y42718" s="372">
        <v>0.0</v>
      </c>
      <c r="Z42718" s="372">
        <v>0.0</v>
      </c>
    </row>
    <row r="42719">
      <c r="Y42719" s="372">
        <v>0.0</v>
      </c>
      <c r="Z42719" s="372">
        <v>0.0</v>
      </c>
    </row>
    <row r="42720">
      <c r="Y42720" s="372">
        <v>0.0</v>
      </c>
      <c r="Z42720" s="372">
        <v>0.0</v>
      </c>
    </row>
    <row r="42721">
      <c r="Y42721" s="372">
        <v>0.0</v>
      </c>
      <c r="Z42721" s="372">
        <v>0.0</v>
      </c>
    </row>
    <row r="42722">
      <c r="Y42722" s="372">
        <v>0.0</v>
      </c>
      <c r="Z42722" s="372">
        <v>0.0</v>
      </c>
    </row>
    <row r="42723">
      <c r="Y42723" s="372">
        <v>0.0</v>
      </c>
      <c r="Z42723" s="372">
        <v>0.0</v>
      </c>
    </row>
    <row r="42724">
      <c r="Y42724" s="372">
        <v>0.0</v>
      </c>
      <c r="Z42724" s="372">
        <v>0.0</v>
      </c>
    </row>
    <row r="42725">
      <c r="Y42725" s="372">
        <v>0.0</v>
      </c>
      <c r="Z42725" s="372">
        <v>0.0</v>
      </c>
    </row>
    <row r="42726">
      <c r="Y42726" s="372">
        <v>0.0</v>
      </c>
      <c r="Z42726" s="372">
        <v>0.0</v>
      </c>
    </row>
    <row r="42727">
      <c r="Y42727" s="372">
        <v>0.0</v>
      </c>
      <c r="Z42727" s="372">
        <v>0.0</v>
      </c>
    </row>
    <row r="42728">
      <c r="Y42728" s="372">
        <v>0.0</v>
      </c>
      <c r="Z42728" s="372">
        <v>0.0</v>
      </c>
    </row>
    <row r="42729">
      <c r="Y42729" s="372">
        <v>0.0</v>
      </c>
      <c r="Z42729" s="372">
        <v>0.0</v>
      </c>
    </row>
    <row r="42730">
      <c r="Y42730" s="372">
        <v>0.0</v>
      </c>
      <c r="Z42730" s="372">
        <v>0.0</v>
      </c>
    </row>
    <row r="42731">
      <c r="Y42731" s="372">
        <v>0.0</v>
      </c>
      <c r="Z42731" s="372">
        <v>0.0</v>
      </c>
    </row>
    <row r="42732">
      <c r="Y42732" s="372">
        <v>0.0</v>
      </c>
      <c r="Z42732" s="372">
        <v>0.0</v>
      </c>
    </row>
    <row r="42733">
      <c r="Y42733" s="372">
        <v>0.0</v>
      </c>
      <c r="Z42733" s="372">
        <v>0.0</v>
      </c>
    </row>
    <row r="42734">
      <c r="Y42734" s="372">
        <v>0.0</v>
      </c>
      <c r="Z42734" s="372">
        <v>0.0</v>
      </c>
    </row>
    <row r="42735">
      <c r="Y42735" s="372">
        <v>0.0</v>
      </c>
      <c r="Z42735" s="372">
        <v>0.0</v>
      </c>
    </row>
    <row r="42736">
      <c r="Y42736" s="372">
        <v>0.0</v>
      </c>
      <c r="Z42736" s="372">
        <v>0.0</v>
      </c>
    </row>
    <row r="42737">
      <c r="Y42737" s="372">
        <v>0.0</v>
      </c>
      <c r="Z42737" s="372">
        <v>0.0</v>
      </c>
    </row>
    <row r="42738">
      <c r="Y42738" s="372">
        <v>0.0</v>
      </c>
      <c r="Z42738" s="372">
        <v>0.0</v>
      </c>
    </row>
    <row r="42739">
      <c r="Y42739" s="372">
        <v>0.0</v>
      </c>
      <c r="Z42739" s="372">
        <v>0.0</v>
      </c>
    </row>
    <row r="42740">
      <c r="Y42740" s="372">
        <v>0.0</v>
      </c>
      <c r="Z42740" s="372">
        <v>0.0</v>
      </c>
    </row>
    <row r="42741">
      <c r="Y42741" s="372">
        <v>0.0</v>
      </c>
      <c r="Z42741" s="372">
        <v>0.0</v>
      </c>
    </row>
    <row r="42742">
      <c r="Y42742" s="372">
        <v>0.0</v>
      </c>
      <c r="Z42742" s="372">
        <v>0.0</v>
      </c>
    </row>
    <row r="42743">
      <c r="Y42743" s="372">
        <v>0.0</v>
      </c>
      <c r="Z42743" s="372">
        <v>0.0</v>
      </c>
    </row>
    <row r="42744">
      <c r="Y42744" s="372">
        <v>0.0</v>
      </c>
      <c r="Z42744" s="372">
        <v>0.0</v>
      </c>
    </row>
    <row r="42745">
      <c r="Y42745" s="372">
        <v>0.0</v>
      </c>
      <c r="Z42745" s="372">
        <v>0.0</v>
      </c>
    </row>
    <row r="42746">
      <c r="Y42746" s="372">
        <v>0.0</v>
      </c>
      <c r="Z42746" s="372">
        <v>0.0</v>
      </c>
    </row>
    <row r="42747">
      <c r="Y42747" s="372">
        <v>0.0</v>
      </c>
      <c r="Z42747" s="372">
        <v>0.0</v>
      </c>
    </row>
    <row r="42748">
      <c r="Y42748" s="372">
        <v>0.0</v>
      </c>
      <c r="Z42748" s="372">
        <v>0.0</v>
      </c>
    </row>
    <row r="42749">
      <c r="Y42749" s="372">
        <v>0.0</v>
      </c>
      <c r="Z42749" s="372">
        <v>0.0</v>
      </c>
    </row>
    <row r="42750">
      <c r="Y42750" s="372">
        <v>0.0</v>
      </c>
      <c r="Z42750" s="372">
        <v>0.0</v>
      </c>
    </row>
    <row r="42751">
      <c r="Y42751" s="372">
        <v>0.0</v>
      </c>
      <c r="Z42751" s="372">
        <v>0.0</v>
      </c>
    </row>
    <row r="42752">
      <c r="Y42752" s="372">
        <v>0.0</v>
      </c>
      <c r="Z42752" s="372">
        <v>0.0</v>
      </c>
    </row>
    <row r="42753">
      <c r="Y42753" s="372">
        <v>0.0</v>
      </c>
      <c r="Z42753" s="372">
        <v>0.0</v>
      </c>
    </row>
    <row r="42754">
      <c r="Y42754" s="372">
        <v>0.0</v>
      </c>
      <c r="Z42754" s="372">
        <v>0.0</v>
      </c>
    </row>
    <row r="42755">
      <c r="Y42755" s="372">
        <v>0.0</v>
      </c>
      <c r="Z42755" s="372">
        <v>0.0</v>
      </c>
    </row>
    <row r="42756">
      <c r="Y42756" s="372">
        <v>0.0</v>
      </c>
      <c r="Z42756" s="372">
        <v>0.0</v>
      </c>
    </row>
    <row r="42757">
      <c r="Y42757" s="372">
        <v>0.0</v>
      </c>
      <c r="Z42757" s="372">
        <v>0.0</v>
      </c>
    </row>
    <row r="42758">
      <c r="Y42758" s="372">
        <v>0.0</v>
      </c>
      <c r="Z42758" s="372">
        <v>0.0</v>
      </c>
    </row>
    <row r="42759">
      <c r="Y42759" s="372">
        <v>0.0</v>
      </c>
      <c r="Z42759" s="372">
        <v>0.0</v>
      </c>
    </row>
    <row r="42760">
      <c r="Y42760" s="372">
        <v>0.0</v>
      </c>
      <c r="Z42760" s="372">
        <v>0.0</v>
      </c>
    </row>
    <row r="42761">
      <c r="Y42761" s="372">
        <v>0.0</v>
      </c>
      <c r="Z42761" s="372">
        <v>0.0</v>
      </c>
    </row>
    <row r="42762">
      <c r="Y42762" s="372">
        <v>0.0</v>
      </c>
      <c r="Z42762" s="372">
        <v>0.0</v>
      </c>
    </row>
    <row r="42763">
      <c r="Y42763" s="372">
        <v>0.0</v>
      </c>
      <c r="Z42763" s="372">
        <v>0.0</v>
      </c>
    </row>
    <row r="42764">
      <c r="Y42764" s="372">
        <v>0.0</v>
      </c>
      <c r="Z42764" s="372">
        <v>0.0</v>
      </c>
    </row>
    <row r="42765">
      <c r="Y42765" s="372">
        <v>0.0</v>
      </c>
      <c r="Z42765" s="372">
        <v>0.0</v>
      </c>
    </row>
    <row r="42766">
      <c r="Y42766" s="372">
        <v>0.0</v>
      </c>
      <c r="Z42766" s="372">
        <v>0.0</v>
      </c>
    </row>
    <row r="42767">
      <c r="Y42767" s="372">
        <v>0.0</v>
      </c>
      <c r="Z42767" s="372">
        <v>0.0</v>
      </c>
    </row>
    <row r="42768">
      <c r="Y42768" s="372">
        <v>0.0</v>
      </c>
      <c r="Z42768" s="372">
        <v>0.0</v>
      </c>
    </row>
    <row r="42769">
      <c r="Y42769" s="372">
        <v>0.0</v>
      </c>
      <c r="Z42769" s="372">
        <v>0.0</v>
      </c>
    </row>
    <row r="42770">
      <c r="Y42770" s="372">
        <v>0.0</v>
      </c>
      <c r="Z42770" s="372">
        <v>0.0</v>
      </c>
    </row>
    <row r="42771">
      <c r="Y42771" s="372">
        <v>0.0</v>
      </c>
      <c r="Z42771" s="372">
        <v>0.0</v>
      </c>
    </row>
    <row r="42772">
      <c r="Y42772" s="372">
        <v>0.0</v>
      </c>
      <c r="Z42772" s="372">
        <v>0.0</v>
      </c>
    </row>
    <row r="42773">
      <c r="Y42773" s="372">
        <v>0.0</v>
      </c>
      <c r="Z42773" s="372">
        <v>0.0</v>
      </c>
    </row>
    <row r="42774">
      <c r="Y42774" s="372">
        <v>0.0</v>
      </c>
      <c r="Z42774" s="372">
        <v>0.0</v>
      </c>
    </row>
    <row r="42775">
      <c r="Y42775" s="372">
        <v>0.0</v>
      </c>
      <c r="Z42775" s="372">
        <v>0.0</v>
      </c>
    </row>
    <row r="42776">
      <c r="Y42776" s="372">
        <v>0.0</v>
      </c>
      <c r="Z42776" s="372">
        <v>0.0</v>
      </c>
    </row>
    <row r="42777">
      <c r="Y42777" s="372">
        <v>0.0</v>
      </c>
      <c r="Z42777" s="372">
        <v>0.0</v>
      </c>
    </row>
    <row r="42778">
      <c r="Y42778" s="372">
        <v>0.0</v>
      </c>
      <c r="Z42778" s="372">
        <v>0.0</v>
      </c>
    </row>
    <row r="42779">
      <c r="Y42779" s="372">
        <v>0.0</v>
      </c>
      <c r="Z42779" s="372">
        <v>0.0</v>
      </c>
    </row>
    <row r="42780">
      <c r="Y42780" s="372">
        <v>0.0</v>
      </c>
      <c r="Z42780" s="372">
        <v>0.0</v>
      </c>
    </row>
    <row r="42781">
      <c r="Y42781" s="372">
        <v>0.0</v>
      </c>
      <c r="Z42781" s="372">
        <v>0.0</v>
      </c>
    </row>
    <row r="42782">
      <c r="Y42782" s="372">
        <v>0.0</v>
      </c>
      <c r="Z42782" s="372">
        <v>0.0</v>
      </c>
    </row>
    <row r="42783">
      <c r="Y42783" s="372">
        <v>0.0</v>
      </c>
      <c r="Z42783" s="372">
        <v>0.0</v>
      </c>
    </row>
    <row r="42784">
      <c r="Y42784" s="372">
        <v>0.0</v>
      </c>
      <c r="Z42784" s="372">
        <v>0.0</v>
      </c>
    </row>
    <row r="42785">
      <c r="Y42785" s="372">
        <v>0.0</v>
      </c>
      <c r="Z42785" s="372">
        <v>0.0</v>
      </c>
    </row>
    <row r="42786">
      <c r="Y42786" s="372">
        <v>0.0</v>
      </c>
      <c r="Z42786" s="372">
        <v>0.0</v>
      </c>
    </row>
    <row r="42787">
      <c r="Y42787" s="372">
        <v>0.0</v>
      </c>
      <c r="Z42787" s="372">
        <v>0.0</v>
      </c>
    </row>
    <row r="42788">
      <c r="Y42788" s="372">
        <v>0.0</v>
      </c>
      <c r="Z42788" s="372">
        <v>0.0</v>
      </c>
    </row>
    <row r="42789">
      <c r="Y42789" s="372">
        <v>0.0</v>
      </c>
      <c r="Z42789" s="372">
        <v>0.0</v>
      </c>
    </row>
    <row r="42790">
      <c r="Y42790" s="372">
        <v>0.0</v>
      </c>
      <c r="Z42790" s="372">
        <v>0.0</v>
      </c>
    </row>
    <row r="42791">
      <c r="Y42791" s="372">
        <v>0.0</v>
      </c>
      <c r="Z42791" s="372">
        <v>0.0</v>
      </c>
    </row>
    <row r="42792">
      <c r="Y42792" s="372">
        <v>0.0</v>
      </c>
      <c r="Z42792" s="372">
        <v>0.0</v>
      </c>
    </row>
    <row r="42793">
      <c r="Y42793" s="372">
        <v>0.0</v>
      </c>
      <c r="Z42793" s="372">
        <v>0.0</v>
      </c>
    </row>
    <row r="42794">
      <c r="Y42794" s="372">
        <v>0.0</v>
      </c>
      <c r="Z42794" s="372">
        <v>0.0</v>
      </c>
    </row>
    <row r="42795">
      <c r="Y42795" s="372">
        <v>0.0</v>
      </c>
      <c r="Z42795" s="372">
        <v>0.0</v>
      </c>
    </row>
    <row r="42796">
      <c r="Y42796" s="372">
        <v>0.0</v>
      </c>
      <c r="Z42796" s="372">
        <v>0.0</v>
      </c>
    </row>
    <row r="42797">
      <c r="Y42797" s="372">
        <v>0.0</v>
      </c>
      <c r="Z42797" s="372">
        <v>0.0</v>
      </c>
    </row>
    <row r="42798">
      <c r="Y42798" s="372">
        <v>0.0</v>
      </c>
      <c r="Z42798" s="372">
        <v>0.0</v>
      </c>
    </row>
    <row r="42799">
      <c r="Y42799" s="372">
        <v>0.0</v>
      </c>
      <c r="Z42799" s="372">
        <v>0.0</v>
      </c>
    </row>
    <row r="42800">
      <c r="Y42800" s="372">
        <v>0.0</v>
      </c>
      <c r="Z42800" s="372">
        <v>0.0</v>
      </c>
    </row>
    <row r="42801">
      <c r="Y42801" s="372">
        <v>0.0</v>
      </c>
      <c r="Z42801" s="372">
        <v>0.0</v>
      </c>
    </row>
    <row r="42802">
      <c r="Y42802" s="372">
        <v>0.0</v>
      </c>
      <c r="Z42802" s="372">
        <v>0.0</v>
      </c>
    </row>
    <row r="42803">
      <c r="Y42803" s="372">
        <v>0.0</v>
      </c>
      <c r="Z42803" s="372">
        <v>0.0</v>
      </c>
    </row>
    <row r="42804">
      <c r="Y42804" s="372">
        <v>0.0</v>
      </c>
      <c r="Z42804" s="372">
        <v>0.0</v>
      </c>
    </row>
    <row r="42805">
      <c r="Y42805" s="372">
        <v>0.0</v>
      </c>
      <c r="Z42805" s="372">
        <v>0.0</v>
      </c>
    </row>
    <row r="42806">
      <c r="Y42806" s="372">
        <v>0.0</v>
      </c>
      <c r="Z42806" s="372">
        <v>0.0</v>
      </c>
    </row>
    <row r="42807">
      <c r="Y42807" s="372">
        <v>0.0</v>
      </c>
      <c r="Z42807" s="372">
        <v>0.0</v>
      </c>
    </row>
    <row r="42808">
      <c r="Y42808" s="372">
        <v>0.0</v>
      </c>
      <c r="Z42808" s="372">
        <v>0.0</v>
      </c>
    </row>
    <row r="42809">
      <c r="Y42809" s="372">
        <v>0.0</v>
      </c>
      <c r="Z42809" s="372">
        <v>0.0</v>
      </c>
    </row>
    <row r="42810">
      <c r="Y42810" s="372">
        <v>0.0</v>
      </c>
      <c r="Z42810" s="372">
        <v>0.0</v>
      </c>
    </row>
    <row r="42811">
      <c r="Y42811" s="372">
        <v>0.0</v>
      </c>
      <c r="Z42811" s="372">
        <v>0.0</v>
      </c>
    </row>
    <row r="42812">
      <c r="Y42812" s="372">
        <v>0.0</v>
      </c>
      <c r="Z42812" s="372">
        <v>0.0</v>
      </c>
    </row>
    <row r="42813">
      <c r="Y42813" s="372">
        <v>0.0</v>
      </c>
      <c r="Z42813" s="372">
        <v>0.0</v>
      </c>
    </row>
    <row r="42814">
      <c r="Y42814" s="372">
        <v>0.0</v>
      </c>
      <c r="Z42814" s="372">
        <v>0.0</v>
      </c>
    </row>
    <row r="42815">
      <c r="Y42815" s="372">
        <v>0.0</v>
      </c>
      <c r="Z42815" s="372">
        <v>0.0</v>
      </c>
    </row>
    <row r="42816">
      <c r="Y42816" s="372">
        <v>0.0</v>
      </c>
      <c r="Z42816" s="372">
        <v>0.0</v>
      </c>
    </row>
    <row r="42817">
      <c r="Y42817" s="372">
        <v>0.0</v>
      </c>
      <c r="Z42817" s="372">
        <v>0.0</v>
      </c>
    </row>
    <row r="42818">
      <c r="Y42818" s="372">
        <v>0.0</v>
      </c>
      <c r="Z42818" s="372">
        <v>0.0</v>
      </c>
    </row>
    <row r="42819">
      <c r="Y42819" s="372">
        <v>0.0</v>
      </c>
      <c r="Z42819" s="372">
        <v>0.0</v>
      </c>
    </row>
    <row r="42820">
      <c r="Y42820" s="372">
        <v>0.0</v>
      </c>
      <c r="Z42820" s="372">
        <v>0.0</v>
      </c>
    </row>
    <row r="42821">
      <c r="Y42821" s="372">
        <v>0.0</v>
      </c>
      <c r="Z42821" s="372">
        <v>0.0</v>
      </c>
    </row>
    <row r="42822">
      <c r="Y42822" s="372">
        <v>0.0</v>
      </c>
      <c r="Z42822" s="372">
        <v>0.0</v>
      </c>
    </row>
    <row r="42823">
      <c r="Y42823" s="372">
        <v>0.0</v>
      </c>
      <c r="Z42823" s="372">
        <v>0.0</v>
      </c>
    </row>
    <row r="42824">
      <c r="Y42824" s="372">
        <v>0.0</v>
      </c>
      <c r="Z42824" s="372">
        <v>0.0</v>
      </c>
    </row>
    <row r="42825">
      <c r="Y42825" s="372">
        <v>0.0</v>
      </c>
      <c r="Z42825" s="372">
        <v>0.0</v>
      </c>
    </row>
    <row r="42826">
      <c r="Y42826" s="372">
        <v>0.0</v>
      </c>
      <c r="Z42826" s="372">
        <v>0.0</v>
      </c>
    </row>
    <row r="42827">
      <c r="Y42827" s="372">
        <v>0.0</v>
      </c>
      <c r="Z42827" s="372">
        <v>0.0</v>
      </c>
    </row>
    <row r="42828">
      <c r="Y42828" s="372">
        <v>0.0</v>
      </c>
      <c r="Z42828" s="372">
        <v>0.0</v>
      </c>
    </row>
    <row r="42829">
      <c r="Y42829" s="372">
        <v>0.0</v>
      </c>
      <c r="Z42829" s="372">
        <v>0.0</v>
      </c>
    </row>
    <row r="42830">
      <c r="Y42830" s="372">
        <v>0.0</v>
      </c>
      <c r="Z42830" s="372">
        <v>0.0</v>
      </c>
    </row>
    <row r="42831">
      <c r="Y42831" s="372">
        <v>0.0</v>
      </c>
      <c r="Z42831" s="372">
        <v>0.0</v>
      </c>
    </row>
    <row r="42832">
      <c r="Y42832" s="372">
        <v>0.0</v>
      </c>
      <c r="Z42832" s="372">
        <v>0.0</v>
      </c>
    </row>
    <row r="42833">
      <c r="Y42833" s="372">
        <v>0.0</v>
      </c>
      <c r="Z42833" s="372">
        <v>0.0</v>
      </c>
    </row>
    <row r="42834">
      <c r="Y42834" s="372">
        <v>0.0</v>
      </c>
      <c r="Z42834" s="372">
        <v>0.0</v>
      </c>
    </row>
    <row r="42835">
      <c r="Y42835" s="372">
        <v>0.0</v>
      </c>
      <c r="Z42835" s="372">
        <v>0.0</v>
      </c>
    </row>
    <row r="42836">
      <c r="Y42836" s="372">
        <v>0.0</v>
      </c>
      <c r="Z42836" s="372">
        <v>0.0</v>
      </c>
    </row>
    <row r="42837">
      <c r="Y42837" s="372">
        <v>0.0</v>
      </c>
      <c r="Z42837" s="372">
        <v>0.0</v>
      </c>
    </row>
    <row r="42838">
      <c r="Y42838" s="372">
        <v>0.0</v>
      </c>
      <c r="Z42838" s="372">
        <v>0.0</v>
      </c>
    </row>
    <row r="42839">
      <c r="Y42839" s="372">
        <v>0.0</v>
      </c>
      <c r="Z42839" s="372">
        <v>0.0</v>
      </c>
    </row>
    <row r="42840">
      <c r="Y42840" s="372">
        <v>0.0</v>
      </c>
      <c r="Z42840" s="372">
        <v>0.0</v>
      </c>
    </row>
    <row r="42841">
      <c r="Y42841" s="372">
        <v>0.0</v>
      </c>
      <c r="Z42841" s="372">
        <v>0.0</v>
      </c>
    </row>
    <row r="42842">
      <c r="Y42842" s="372">
        <v>0.0</v>
      </c>
      <c r="Z42842" s="372">
        <v>0.0</v>
      </c>
    </row>
    <row r="42843">
      <c r="Y42843" s="372">
        <v>0.0</v>
      </c>
      <c r="Z42843" s="372">
        <v>0.0</v>
      </c>
    </row>
    <row r="42844">
      <c r="Y42844" s="372">
        <v>0.0</v>
      </c>
      <c r="Z42844" s="372">
        <v>0.0</v>
      </c>
    </row>
    <row r="42845">
      <c r="Y42845" s="372">
        <v>0.0</v>
      </c>
      <c r="Z42845" s="372">
        <v>0.0</v>
      </c>
    </row>
    <row r="42846">
      <c r="Y42846" s="372">
        <v>0.0</v>
      </c>
      <c r="Z42846" s="372">
        <v>0.0</v>
      </c>
    </row>
    <row r="42847">
      <c r="Y42847" s="372">
        <v>0.0</v>
      </c>
      <c r="Z42847" s="372">
        <v>0.0</v>
      </c>
    </row>
    <row r="42848">
      <c r="Y42848" s="372">
        <v>0.0</v>
      </c>
      <c r="Z42848" s="372">
        <v>0.0</v>
      </c>
    </row>
    <row r="42849">
      <c r="Y42849" s="372">
        <v>0.0</v>
      </c>
      <c r="Z42849" s="372">
        <v>0.0</v>
      </c>
    </row>
    <row r="42850">
      <c r="Y42850" s="372">
        <v>0.0</v>
      </c>
      <c r="Z42850" s="372">
        <v>0.0</v>
      </c>
    </row>
    <row r="42851">
      <c r="Y42851" s="372">
        <v>0.0</v>
      </c>
      <c r="Z42851" s="372">
        <v>0.0</v>
      </c>
    </row>
    <row r="42852">
      <c r="Y42852" s="372">
        <v>0.0</v>
      </c>
      <c r="Z42852" s="372">
        <v>0.0</v>
      </c>
    </row>
    <row r="42853">
      <c r="Y42853" s="372">
        <v>0.0</v>
      </c>
      <c r="Z42853" s="372">
        <v>0.0</v>
      </c>
    </row>
    <row r="42854">
      <c r="Y42854" s="372">
        <v>0.0</v>
      </c>
      <c r="Z42854" s="372">
        <v>0.0</v>
      </c>
    </row>
    <row r="42855">
      <c r="Y42855" s="372">
        <v>0.0</v>
      </c>
      <c r="Z42855" s="372">
        <v>0.0</v>
      </c>
    </row>
    <row r="42856">
      <c r="Y42856" s="372">
        <v>0.0</v>
      </c>
      <c r="Z42856" s="372">
        <v>0.0</v>
      </c>
    </row>
    <row r="42857">
      <c r="Y42857" s="372">
        <v>0.0</v>
      </c>
      <c r="Z42857" s="372">
        <v>0.0</v>
      </c>
    </row>
    <row r="42858">
      <c r="Y42858" s="372">
        <v>0.0</v>
      </c>
      <c r="Z42858" s="372">
        <v>0.0</v>
      </c>
    </row>
    <row r="42859">
      <c r="Y42859" s="372">
        <v>0.0</v>
      </c>
      <c r="Z42859" s="372">
        <v>0.0</v>
      </c>
    </row>
    <row r="42860">
      <c r="Y42860" s="372">
        <v>0.0</v>
      </c>
      <c r="Z42860" s="372">
        <v>0.0</v>
      </c>
    </row>
    <row r="42861">
      <c r="Y42861" s="372">
        <v>0.0</v>
      </c>
      <c r="Z42861" s="372">
        <v>0.0</v>
      </c>
    </row>
    <row r="42862">
      <c r="Y42862" s="372">
        <v>0.0</v>
      </c>
      <c r="Z42862" s="372">
        <v>0.0</v>
      </c>
    </row>
    <row r="42863">
      <c r="Y42863" s="372">
        <v>0.0</v>
      </c>
      <c r="Z42863" s="372">
        <v>0.0</v>
      </c>
    </row>
    <row r="42864">
      <c r="Y42864" s="372">
        <v>0.0</v>
      </c>
      <c r="Z42864" s="372">
        <v>0.0</v>
      </c>
    </row>
    <row r="42865">
      <c r="Y42865" s="372">
        <v>0.0</v>
      </c>
      <c r="Z42865" s="372">
        <v>0.0</v>
      </c>
    </row>
    <row r="42866">
      <c r="Y42866" s="372">
        <v>0.0</v>
      </c>
      <c r="Z42866" s="372">
        <v>0.0</v>
      </c>
    </row>
    <row r="42867">
      <c r="Y42867" s="372">
        <v>0.0</v>
      </c>
      <c r="Z42867" s="372">
        <v>0.0</v>
      </c>
    </row>
    <row r="42868">
      <c r="Y42868" s="372">
        <v>0.0</v>
      </c>
      <c r="Z42868" s="372">
        <v>0.0</v>
      </c>
    </row>
    <row r="42869">
      <c r="Y42869" s="372">
        <v>0.0</v>
      </c>
      <c r="Z42869" s="372">
        <v>0.0</v>
      </c>
    </row>
    <row r="42870">
      <c r="Y42870" s="372">
        <v>0.0</v>
      </c>
      <c r="Z42870" s="372">
        <v>0.0</v>
      </c>
    </row>
    <row r="42871">
      <c r="Y42871" s="372">
        <v>0.0</v>
      </c>
      <c r="Z42871" s="372">
        <v>0.0</v>
      </c>
    </row>
    <row r="42872">
      <c r="Y42872" s="372">
        <v>0.0</v>
      </c>
      <c r="Z42872" s="372">
        <v>0.0</v>
      </c>
    </row>
    <row r="42873">
      <c r="Y42873" s="372">
        <v>0.0</v>
      </c>
      <c r="Z42873" s="372">
        <v>0.0</v>
      </c>
    </row>
    <row r="42874">
      <c r="Y42874" s="372">
        <v>0.0</v>
      </c>
      <c r="Z42874" s="372">
        <v>0.0</v>
      </c>
    </row>
    <row r="42875">
      <c r="Y42875" s="372">
        <v>0.0</v>
      </c>
      <c r="Z42875" s="372">
        <v>0.0</v>
      </c>
    </row>
    <row r="42876">
      <c r="Y42876" s="372">
        <v>0.0</v>
      </c>
      <c r="Z42876" s="372">
        <v>0.0</v>
      </c>
    </row>
    <row r="42877">
      <c r="Y42877" s="372">
        <v>0.0</v>
      </c>
      <c r="Z42877" s="372">
        <v>0.0</v>
      </c>
    </row>
    <row r="42878">
      <c r="Y42878" s="372">
        <v>0.0</v>
      </c>
      <c r="Z42878" s="372">
        <v>0.0</v>
      </c>
    </row>
    <row r="42879">
      <c r="Y42879" s="372">
        <v>0.0</v>
      </c>
      <c r="Z42879" s="372">
        <v>0.0</v>
      </c>
    </row>
    <row r="42880">
      <c r="Y42880" s="372">
        <v>0.0</v>
      </c>
      <c r="Z42880" s="372">
        <v>0.0</v>
      </c>
    </row>
    <row r="42881">
      <c r="Y42881" s="372">
        <v>0.0</v>
      </c>
      <c r="Z42881" s="372">
        <v>0.0</v>
      </c>
    </row>
    <row r="42882">
      <c r="Y42882" s="372">
        <v>0.0</v>
      </c>
      <c r="Z42882" s="372">
        <v>0.0</v>
      </c>
    </row>
    <row r="42883">
      <c r="Y42883" s="372">
        <v>0.0</v>
      </c>
      <c r="Z42883" s="372">
        <v>0.0</v>
      </c>
    </row>
    <row r="42884">
      <c r="Y42884" s="372">
        <v>0.0</v>
      </c>
      <c r="Z42884" s="372">
        <v>0.0</v>
      </c>
    </row>
    <row r="42885">
      <c r="Y42885" s="372">
        <v>0.0</v>
      </c>
      <c r="Z42885" s="372">
        <v>0.0</v>
      </c>
    </row>
    <row r="42886">
      <c r="Y42886" s="372">
        <v>0.0</v>
      </c>
      <c r="Z42886" s="372">
        <v>0.0</v>
      </c>
    </row>
    <row r="42887">
      <c r="Y42887" s="372">
        <v>0.0</v>
      </c>
      <c r="Z42887" s="372">
        <v>0.0</v>
      </c>
    </row>
    <row r="42888">
      <c r="Y42888" s="372">
        <v>0.0</v>
      </c>
      <c r="Z42888" s="372">
        <v>0.0</v>
      </c>
    </row>
    <row r="42889">
      <c r="Y42889" s="372">
        <v>0.0</v>
      </c>
      <c r="Z42889" s="372">
        <v>0.0</v>
      </c>
    </row>
    <row r="42890">
      <c r="Y42890" s="372">
        <v>0.0</v>
      </c>
      <c r="Z42890" s="372">
        <v>0.0</v>
      </c>
    </row>
    <row r="42891">
      <c r="Y42891" s="372">
        <v>0.0</v>
      </c>
      <c r="Z42891" s="372">
        <v>0.0</v>
      </c>
    </row>
    <row r="42892">
      <c r="Y42892" s="372">
        <v>0.0</v>
      </c>
      <c r="Z42892" s="372">
        <v>0.0</v>
      </c>
    </row>
    <row r="42893">
      <c r="Y42893" s="372">
        <v>0.0</v>
      </c>
      <c r="Z42893" s="372">
        <v>0.0</v>
      </c>
    </row>
    <row r="42894">
      <c r="Y42894" s="372">
        <v>0.0</v>
      </c>
      <c r="Z42894" s="372">
        <v>0.0</v>
      </c>
    </row>
    <row r="42895">
      <c r="Y42895" s="372">
        <v>0.0</v>
      </c>
      <c r="Z42895" s="372">
        <v>0.0</v>
      </c>
    </row>
    <row r="42896">
      <c r="Y42896" s="372">
        <v>0.0</v>
      </c>
      <c r="Z42896" s="372">
        <v>0.0</v>
      </c>
    </row>
    <row r="42897">
      <c r="Y42897" s="372">
        <v>0.0</v>
      </c>
      <c r="Z42897" s="372">
        <v>0.0</v>
      </c>
    </row>
    <row r="42898">
      <c r="Y42898" s="372">
        <v>0.0</v>
      </c>
      <c r="Z42898" s="372">
        <v>0.0</v>
      </c>
    </row>
    <row r="42899">
      <c r="Y42899" s="372">
        <v>0.0</v>
      </c>
      <c r="Z42899" s="372">
        <v>0.0</v>
      </c>
    </row>
    <row r="42900">
      <c r="Y42900" s="372">
        <v>0.0</v>
      </c>
      <c r="Z42900" s="372">
        <v>0.0</v>
      </c>
    </row>
    <row r="42901">
      <c r="Y42901" s="372">
        <v>0.0</v>
      </c>
      <c r="Z42901" s="372">
        <v>0.0</v>
      </c>
    </row>
    <row r="42902">
      <c r="Y42902" s="372">
        <v>0.0</v>
      </c>
      <c r="Z42902" s="372">
        <v>0.0</v>
      </c>
    </row>
    <row r="42903">
      <c r="Y42903" s="372">
        <v>0.0</v>
      </c>
      <c r="Z42903" s="372">
        <v>0.0</v>
      </c>
    </row>
    <row r="42904">
      <c r="Y42904" s="372">
        <v>0.0</v>
      </c>
      <c r="Z42904" s="372">
        <v>0.0</v>
      </c>
    </row>
    <row r="42905">
      <c r="Y42905" s="372">
        <v>0.0</v>
      </c>
      <c r="Z42905" s="372">
        <v>0.0</v>
      </c>
    </row>
    <row r="42906">
      <c r="Y42906" s="372">
        <v>0.0</v>
      </c>
      <c r="Z42906" s="372">
        <v>0.0</v>
      </c>
    </row>
    <row r="42907">
      <c r="Y42907" s="372">
        <v>0.0</v>
      </c>
      <c r="Z42907" s="372">
        <v>0.0</v>
      </c>
    </row>
    <row r="42908">
      <c r="Y42908" s="372">
        <v>0.0</v>
      </c>
      <c r="Z42908" s="372">
        <v>0.0</v>
      </c>
    </row>
    <row r="42909">
      <c r="Y42909" s="372">
        <v>0.0</v>
      </c>
      <c r="Z42909" s="372">
        <v>0.0</v>
      </c>
    </row>
    <row r="42910">
      <c r="Y42910" s="372">
        <v>0.0</v>
      </c>
      <c r="Z42910" s="372">
        <v>0.0</v>
      </c>
    </row>
    <row r="42911">
      <c r="Y42911" s="372">
        <v>0.0</v>
      </c>
      <c r="Z42911" s="372">
        <v>0.0</v>
      </c>
    </row>
    <row r="42912">
      <c r="Y42912" s="372">
        <v>0.0</v>
      </c>
      <c r="Z42912" s="372">
        <v>0.0</v>
      </c>
    </row>
    <row r="42913">
      <c r="Y42913" s="372">
        <v>0.0</v>
      </c>
      <c r="Z42913" s="372">
        <v>0.0</v>
      </c>
    </row>
    <row r="42914">
      <c r="Y42914" s="372">
        <v>0.0</v>
      </c>
      <c r="Z42914" s="372">
        <v>0.0</v>
      </c>
    </row>
    <row r="42915">
      <c r="Y42915" s="372">
        <v>0.0</v>
      </c>
      <c r="Z42915" s="372">
        <v>0.0</v>
      </c>
    </row>
    <row r="42916">
      <c r="Y42916" s="372">
        <v>0.0</v>
      </c>
      <c r="Z42916" s="372">
        <v>0.0</v>
      </c>
    </row>
    <row r="42917">
      <c r="Y42917" s="372">
        <v>0.0</v>
      </c>
      <c r="Z42917" s="372">
        <v>0.0</v>
      </c>
    </row>
    <row r="42918">
      <c r="Y42918" s="372">
        <v>0.0</v>
      </c>
      <c r="Z42918" s="372">
        <v>0.0</v>
      </c>
    </row>
    <row r="42919">
      <c r="Y42919" s="372">
        <v>0.0</v>
      </c>
      <c r="Z42919" s="372">
        <v>0.0</v>
      </c>
    </row>
    <row r="42920">
      <c r="Y42920" s="372">
        <v>0.0</v>
      </c>
      <c r="Z42920" s="372">
        <v>0.0</v>
      </c>
    </row>
    <row r="42921">
      <c r="Y42921" s="372">
        <v>0.0</v>
      </c>
      <c r="Z42921" s="372">
        <v>0.0</v>
      </c>
    </row>
    <row r="42922">
      <c r="Y42922" s="372">
        <v>0.0</v>
      </c>
      <c r="Z42922" s="372">
        <v>0.0</v>
      </c>
    </row>
    <row r="42923">
      <c r="Y42923" s="372">
        <v>0.0</v>
      </c>
      <c r="Z42923" s="372">
        <v>0.0</v>
      </c>
    </row>
    <row r="42924">
      <c r="Y42924" s="372">
        <v>0.0</v>
      </c>
      <c r="Z42924" s="372">
        <v>0.0</v>
      </c>
    </row>
    <row r="42925">
      <c r="Y42925" s="372">
        <v>0.0</v>
      </c>
      <c r="Z42925" s="372">
        <v>0.0</v>
      </c>
    </row>
    <row r="42926">
      <c r="Y42926" s="372">
        <v>0.0</v>
      </c>
      <c r="Z42926" s="372">
        <v>0.0</v>
      </c>
    </row>
    <row r="42927">
      <c r="Y42927" s="372">
        <v>0.0</v>
      </c>
      <c r="Z42927" s="372">
        <v>0.0</v>
      </c>
    </row>
    <row r="42928">
      <c r="Y42928" s="372">
        <v>0.0</v>
      </c>
      <c r="Z42928" s="372">
        <v>0.0</v>
      </c>
    </row>
    <row r="42929">
      <c r="Y42929" s="372">
        <v>0.0</v>
      </c>
      <c r="Z42929" s="372">
        <v>0.0</v>
      </c>
    </row>
    <row r="42930">
      <c r="Y42930" s="372">
        <v>0.0</v>
      </c>
      <c r="Z42930" s="372">
        <v>0.0</v>
      </c>
    </row>
    <row r="42931">
      <c r="Y42931" s="372">
        <v>0.0</v>
      </c>
      <c r="Z42931" s="372">
        <v>0.0</v>
      </c>
    </row>
    <row r="42932">
      <c r="Y42932" s="372">
        <v>0.0</v>
      </c>
      <c r="Z42932" s="372">
        <v>0.0</v>
      </c>
    </row>
    <row r="42933">
      <c r="Y42933" s="372">
        <v>0.0</v>
      </c>
      <c r="Z42933" s="372">
        <v>0.0</v>
      </c>
    </row>
    <row r="42934">
      <c r="Y42934" s="372">
        <v>0.0</v>
      </c>
      <c r="Z42934" s="372">
        <v>0.0</v>
      </c>
    </row>
    <row r="42935">
      <c r="Y42935" s="372">
        <v>0.0</v>
      </c>
      <c r="Z42935" s="372">
        <v>0.0</v>
      </c>
    </row>
    <row r="42936">
      <c r="Y42936" s="372">
        <v>0.0</v>
      </c>
      <c r="Z42936" s="372">
        <v>0.0</v>
      </c>
    </row>
    <row r="42937">
      <c r="Y42937" s="372">
        <v>0.0</v>
      </c>
      <c r="Z42937" s="372">
        <v>0.0</v>
      </c>
    </row>
    <row r="42938">
      <c r="Y42938" s="372">
        <v>0.0</v>
      </c>
      <c r="Z42938" s="372">
        <v>0.0</v>
      </c>
    </row>
    <row r="42939">
      <c r="Y42939" s="372">
        <v>0.0</v>
      </c>
      <c r="Z42939" s="372">
        <v>0.0</v>
      </c>
    </row>
    <row r="42940">
      <c r="Y42940" s="372">
        <v>0.0</v>
      </c>
      <c r="Z42940" s="372">
        <v>0.0</v>
      </c>
    </row>
    <row r="42941">
      <c r="Y42941" s="372">
        <v>0.0</v>
      </c>
      <c r="Z42941" s="372">
        <v>0.0</v>
      </c>
    </row>
    <row r="42942">
      <c r="Y42942" s="372">
        <v>0.0</v>
      </c>
      <c r="Z42942" s="372">
        <v>0.0</v>
      </c>
    </row>
    <row r="42943">
      <c r="Y42943" s="372">
        <v>0.0</v>
      </c>
      <c r="Z42943" s="372">
        <v>0.0</v>
      </c>
    </row>
    <row r="42944">
      <c r="Y42944" s="372">
        <v>0.0</v>
      </c>
      <c r="Z42944" s="372">
        <v>0.0</v>
      </c>
    </row>
    <row r="42945">
      <c r="Y42945" s="372">
        <v>0.0</v>
      </c>
      <c r="Z42945" s="372">
        <v>0.0</v>
      </c>
    </row>
    <row r="42946">
      <c r="Y42946" s="372">
        <v>0.0</v>
      </c>
      <c r="Z42946" s="372">
        <v>0.0</v>
      </c>
    </row>
    <row r="42947">
      <c r="Y42947" s="372">
        <v>0.0</v>
      </c>
      <c r="Z42947" s="372">
        <v>0.0</v>
      </c>
    </row>
    <row r="42948">
      <c r="Y42948" s="372">
        <v>0.0</v>
      </c>
      <c r="Z42948" s="372">
        <v>0.0</v>
      </c>
    </row>
    <row r="42949">
      <c r="Y42949" s="372">
        <v>0.0</v>
      </c>
      <c r="Z42949" s="372">
        <v>0.0</v>
      </c>
    </row>
    <row r="42950">
      <c r="Y42950" s="372">
        <v>0.0</v>
      </c>
      <c r="Z42950" s="372">
        <v>0.0</v>
      </c>
    </row>
    <row r="42951">
      <c r="Y42951" s="372">
        <v>0.0</v>
      </c>
      <c r="Z42951" s="372">
        <v>0.0</v>
      </c>
    </row>
    <row r="42952">
      <c r="Y42952" s="372">
        <v>0.0</v>
      </c>
      <c r="Z42952" s="372">
        <v>0.0</v>
      </c>
    </row>
    <row r="42953">
      <c r="Y42953" s="372">
        <v>0.0</v>
      </c>
      <c r="Z42953" s="372">
        <v>0.0</v>
      </c>
    </row>
    <row r="42954">
      <c r="Y42954" s="372">
        <v>0.0</v>
      </c>
      <c r="Z42954" s="372">
        <v>0.0</v>
      </c>
    </row>
    <row r="42955">
      <c r="Y42955" s="372">
        <v>0.0</v>
      </c>
      <c r="Z42955" s="372">
        <v>0.0</v>
      </c>
    </row>
    <row r="42956">
      <c r="Y42956" s="372">
        <v>0.0</v>
      </c>
      <c r="Z42956" s="372">
        <v>0.0</v>
      </c>
    </row>
    <row r="42957">
      <c r="Y42957" s="372">
        <v>0.0</v>
      </c>
      <c r="Z42957" s="372">
        <v>0.0</v>
      </c>
    </row>
    <row r="42958">
      <c r="Y42958" s="372">
        <v>0.0</v>
      </c>
      <c r="Z42958" s="372">
        <v>0.0</v>
      </c>
    </row>
    <row r="42959">
      <c r="Y42959" s="372">
        <v>0.0</v>
      </c>
      <c r="Z42959" s="372">
        <v>0.0</v>
      </c>
    </row>
    <row r="42960">
      <c r="Y42960" s="372">
        <v>0.0</v>
      </c>
      <c r="Z42960" s="372">
        <v>0.0</v>
      </c>
    </row>
    <row r="42961">
      <c r="Y42961" s="372">
        <v>0.0</v>
      </c>
      <c r="Z42961" s="372">
        <v>0.0</v>
      </c>
    </row>
    <row r="42962">
      <c r="Y42962" s="372">
        <v>0.0</v>
      </c>
      <c r="Z42962" s="372">
        <v>0.0</v>
      </c>
    </row>
    <row r="42963">
      <c r="Y42963" s="372">
        <v>0.0</v>
      </c>
      <c r="Z42963" s="372">
        <v>0.0</v>
      </c>
    </row>
    <row r="42964">
      <c r="Y42964" s="372">
        <v>0.0</v>
      </c>
      <c r="Z42964" s="372">
        <v>0.0</v>
      </c>
    </row>
    <row r="42965">
      <c r="Y42965" s="372">
        <v>0.0</v>
      </c>
      <c r="Z42965" s="372">
        <v>0.0</v>
      </c>
    </row>
    <row r="42966">
      <c r="Y42966" s="372">
        <v>0.0</v>
      </c>
      <c r="Z42966" s="372">
        <v>0.0</v>
      </c>
    </row>
    <row r="42967">
      <c r="Y42967" s="372">
        <v>0.0</v>
      </c>
      <c r="Z42967" s="372">
        <v>0.0</v>
      </c>
    </row>
    <row r="42968">
      <c r="Y42968" s="372">
        <v>0.0</v>
      </c>
      <c r="Z42968" s="372">
        <v>0.0</v>
      </c>
    </row>
    <row r="42969">
      <c r="Y42969" s="372">
        <v>0.0</v>
      </c>
      <c r="Z42969" s="372">
        <v>0.0</v>
      </c>
    </row>
    <row r="42970">
      <c r="Y42970" s="372">
        <v>0.0</v>
      </c>
      <c r="Z42970" s="372">
        <v>0.0</v>
      </c>
    </row>
    <row r="42971">
      <c r="Y42971" s="372">
        <v>0.0</v>
      </c>
      <c r="Z42971" s="372">
        <v>0.0</v>
      </c>
    </row>
    <row r="42972">
      <c r="Y42972" s="372">
        <v>0.0</v>
      </c>
      <c r="Z42972" s="372">
        <v>0.0</v>
      </c>
    </row>
    <row r="42973">
      <c r="Y42973" s="372">
        <v>0.0</v>
      </c>
      <c r="Z42973" s="372">
        <v>0.0</v>
      </c>
    </row>
    <row r="42974">
      <c r="Y42974" s="372">
        <v>0.0</v>
      </c>
      <c r="Z42974" s="372">
        <v>0.0</v>
      </c>
    </row>
    <row r="42975">
      <c r="Y42975" s="372">
        <v>0.0</v>
      </c>
      <c r="Z42975" s="372">
        <v>0.0</v>
      </c>
    </row>
    <row r="42976">
      <c r="Y42976" s="372">
        <v>0.0</v>
      </c>
      <c r="Z42976" s="372">
        <v>0.0</v>
      </c>
    </row>
    <row r="42977">
      <c r="Y42977" s="372">
        <v>0.0</v>
      </c>
      <c r="Z42977" s="372">
        <v>0.0</v>
      </c>
    </row>
    <row r="42978">
      <c r="Y42978" s="372">
        <v>0.0</v>
      </c>
      <c r="Z42978" s="372">
        <v>0.0</v>
      </c>
    </row>
    <row r="42979">
      <c r="Y42979" s="372">
        <v>0.0</v>
      </c>
      <c r="Z42979" s="372">
        <v>0.0</v>
      </c>
    </row>
    <row r="42980">
      <c r="Y42980" s="372">
        <v>0.0</v>
      </c>
      <c r="Z42980" s="372">
        <v>0.0</v>
      </c>
    </row>
    <row r="42981">
      <c r="Y42981" s="372">
        <v>0.0</v>
      </c>
      <c r="Z42981" s="372">
        <v>0.0</v>
      </c>
    </row>
    <row r="42982">
      <c r="Y42982" s="372">
        <v>0.0</v>
      </c>
      <c r="Z42982" s="372">
        <v>0.0</v>
      </c>
    </row>
    <row r="42983">
      <c r="Y42983" s="372">
        <v>0.0</v>
      </c>
      <c r="Z42983" s="372">
        <v>0.0</v>
      </c>
    </row>
    <row r="42984">
      <c r="Y42984" s="372">
        <v>0.0</v>
      </c>
      <c r="Z42984" s="372">
        <v>0.0</v>
      </c>
    </row>
    <row r="42985">
      <c r="Y42985" s="372">
        <v>0.0</v>
      </c>
      <c r="Z42985" s="372">
        <v>0.0</v>
      </c>
    </row>
    <row r="42986">
      <c r="Y42986" s="372">
        <v>0.0</v>
      </c>
      <c r="Z42986" s="372">
        <v>0.0</v>
      </c>
    </row>
    <row r="42987">
      <c r="Y42987" s="372">
        <v>0.0</v>
      </c>
      <c r="Z42987" s="372">
        <v>0.0</v>
      </c>
    </row>
    <row r="42988">
      <c r="Y42988" s="372">
        <v>0.0</v>
      </c>
      <c r="Z42988" s="372">
        <v>0.0</v>
      </c>
    </row>
    <row r="42989">
      <c r="Y42989" s="372">
        <v>0.0</v>
      </c>
      <c r="Z42989" s="372">
        <v>0.0</v>
      </c>
    </row>
    <row r="42990">
      <c r="Y42990" s="372">
        <v>0.0</v>
      </c>
      <c r="Z42990" s="372">
        <v>0.0</v>
      </c>
    </row>
    <row r="42991">
      <c r="Y42991" s="372">
        <v>0.0</v>
      </c>
      <c r="Z42991" s="372">
        <v>0.0</v>
      </c>
    </row>
    <row r="42992">
      <c r="Y42992" s="372">
        <v>0.0</v>
      </c>
      <c r="Z42992" s="372">
        <v>0.0</v>
      </c>
    </row>
    <row r="42993">
      <c r="Y42993" s="372">
        <v>0.0</v>
      </c>
      <c r="Z42993" s="372">
        <v>0.0</v>
      </c>
    </row>
    <row r="42994">
      <c r="Y42994" s="372">
        <v>0.0</v>
      </c>
      <c r="Z42994" s="372">
        <v>0.0</v>
      </c>
    </row>
    <row r="42995">
      <c r="Y42995" s="372">
        <v>0.0</v>
      </c>
      <c r="Z42995" s="372">
        <v>0.0</v>
      </c>
    </row>
    <row r="42996">
      <c r="Y42996" s="372">
        <v>0.0</v>
      </c>
      <c r="Z42996" s="372">
        <v>0.0</v>
      </c>
    </row>
    <row r="42997">
      <c r="Y42997" s="372">
        <v>0.0</v>
      </c>
      <c r="Z42997" s="372">
        <v>0.0</v>
      </c>
    </row>
    <row r="42998">
      <c r="Y42998" s="372">
        <v>0.0</v>
      </c>
      <c r="Z42998" s="372">
        <v>0.0</v>
      </c>
    </row>
    <row r="42999">
      <c r="Y42999" s="372">
        <v>0.0</v>
      </c>
      <c r="Z42999" s="372">
        <v>0.0</v>
      </c>
    </row>
    <row r="43000">
      <c r="Y43000" s="372">
        <v>0.0</v>
      </c>
      <c r="Z43000" s="372">
        <v>0.0</v>
      </c>
    </row>
    <row r="43001">
      <c r="Y43001" s="372">
        <v>0.0</v>
      </c>
      <c r="Z43001" s="372">
        <v>0.0</v>
      </c>
    </row>
    <row r="43002">
      <c r="Y43002" s="372">
        <v>0.0</v>
      </c>
      <c r="Z43002" s="372">
        <v>0.0</v>
      </c>
    </row>
    <row r="43003">
      <c r="Y43003" s="372">
        <v>0.0</v>
      </c>
      <c r="Z43003" s="372">
        <v>0.0</v>
      </c>
    </row>
    <row r="43004">
      <c r="Y43004" s="372">
        <v>0.0</v>
      </c>
      <c r="Z43004" s="372">
        <v>0.0</v>
      </c>
    </row>
    <row r="43005">
      <c r="Y43005" s="372">
        <v>0.0</v>
      </c>
      <c r="Z43005" s="372">
        <v>0.0</v>
      </c>
    </row>
    <row r="43006">
      <c r="Y43006" s="372">
        <v>0.0</v>
      </c>
      <c r="Z43006" s="372">
        <v>0.0</v>
      </c>
    </row>
    <row r="43007">
      <c r="Y43007" s="372">
        <v>0.0</v>
      </c>
      <c r="Z43007" s="372">
        <v>0.0</v>
      </c>
    </row>
    <row r="43008">
      <c r="Y43008" s="372">
        <v>0.0</v>
      </c>
      <c r="Z43008" s="372">
        <v>0.0</v>
      </c>
    </row>
    <row r="43009">
      <c r="Y43009" s="372">
        <v>0.0</v>
      </c>
      <c r="Z43009" s="372">
        <v>0.0</v>
      </c>
    </row>
    <row r="43010">
      <c r="Y43010" s="372">
        <v>0.0</v>
      </c>
      <c r="Z43010" s="372">
        <v>0.0</v>
      </c>
    </row>
    <row r="43011">
      <c r="Y43011" s="372">
        <v>0.0</v>
      </c>
      <c r="Z43011" s="372">
        <v>0.0</v>
      </c>
    </row>
    <row r="43012">
      <c r="Y43012" s="372">
        <v>0.0</v>
      </c>
      <c r="Z43012" s="372">
        <v>0.0</v>
      </c>
    </row>
    <row r="43013">
      <c r="Y43013" s="372">
        <v>0.0</v>
      </c>
      <c r="Z43013" s="372">
        <v>0.0</v>
      </c>
    </row>
    <row r="43014">
      <c r="Y43014" s="372">
        <v>0.0</v>
      </c>
      <c r="Z43014" s="372">
        <v>0.0</v>
      </c>
    </row>
    <row r="43015">
      <c r="Y43015" s="372">
        <v>0.0</v>
      </c>
      <c r="Z43015" s="372">
        <v>0.0</v>
      </c>
    </row>
    <row r="43016">
      <c r="Y43016" s="372">
        <v>0.0</v>
      </c>
      <c r="Z43016" s="372">
        <v>0.0</v>
      </c>
    </row>
    <row r="43017">
      <c r="Y43017" s="372">
        <v>0.0</v>
      </c>
      <c r="Z43017" s="372">
        <v>0.0</v>
      </c>
    </row>
    <row r="43018">
      <c r="Y43018" s="372">
        <v>0.0</v>
      </c>
      <c r="Z43018" s="372">
        <v>0.0</v>
      </c>
    </row>
    <row r="43019">
      <c r="Y43019" s="372">
        <v>0.0</v>
      </c>
      <c r="Z43019" s="372">
        <v>0.0</v>
      </c>
    </row>
    <row r="43020">
      <c r="Y43020" s="372">
        <v>0.0</v>
      </c>
      <c r="Z43020" s="372">
        <v>0.0</v>
      </c>
    </row>
    <row r="43021">
      <c r="Y43021" s="372">
        <v>0.0</v>
      </c>
      <c r="Z43021" s="372">
        <v>0.0</v>
      </c>
    </row>
    <row r="43022">
      <c r="Y43022" s="372">
        <v>0.0</v>
      </c>
      <c r="Z43022" s="372">
        <v>0.0</v>
      </c>
    </row>
    <row r="43023">
      <c r="Y43023" s="372">
        <v>0.0</v>
      </c>
      <c r="Z43023" s="372">
        <v>0.0</v>
      </c>
    </row>
    <row r="43024">
      <c r="Y43024" s="372">
        <v>0.0</v>
      </c>
      <c r="Z43024" s="372">
        <v>0.0</v>
      </c>
    </row>
    <row r="43025">
      <c r="Y43025" s="372">
        <v>0.0</v>
      </c>
      <c r="Z43025" s="372">
        <v>0.0</v>
      </c>
    </row>
    <row r="43026">
      <c r="Y43026" s="372">
        <v>0.0</v>
      </c>
      <c r="Z43026" s="372">
        <v>0.0</v>
      </c>
    </row>
    <row r="43027">
      <c r="Y43027" s="372">
        <v>0.0</v>
      </c>
      <c r="Z43027" s="372">
        <v>0.0</v>
      </c>
    </row>
    <row r="43028">
      <c r="Y43028" s="372">
        <v>0.0</v>
      </c>
      <c r="Z43028" s="372">
        <v>0.0</v>
      </c>
    </row>
    <row r="43029">
      <c r="Y43029" s="372">
        <v>0.0</v>
      </c>
      <c r="Z43029" s="372">
        <v>0.0</v>
      </c>
    </row>
    <row r="43030">
      <c r="Y43030" s="372">
        <v>0.0</v>
      </c>
      <c r="Z43030" s="372">
        <v>0.0</v>
      </c>
    </row>
    <row r="43031">
      <c r="Y43031" s="372">
        <v>0.0</v>
      </c>
      <c r="Z43031" s="372">
        <v>0.0</v>
      </c>
    </row>
    <row r="43032">
      <c r="Y43032" s="372">
        <v>0.0</v>
      </c>
      <c r="Z43032" s="372">
        <v>0.0</v>
      </c>
    </row>
    <row r="43033">
      <c r="Y43033" s="372">
        <v>0.0</v>
      </c>
      <c r="Z43033" s="372">
        <v>0.0</v>
      </c>
    </row>
    <row r="43034">
      <c r="Y43034" s="372">
        <v>0.0</v>
      </c>
      <c r="Z43034" s="372">
        <v>0.0</v>
      </c>
    </row>
    <row r="43035">
      <c r="Y43035" s="372">
        <v>0.0</v>
      </c>
      <c r="Z43035" s="372">
        <v>0.0</v>
      </c>
    </row>
    <row r="43036">
      <c r="Y43036" s="372">
        <v>0.0</v>
      </c>
      <c r="Z43036" s="372">
        <v>0.0</v>
      </c>
    </row>
    <row r="43037">
      <c r="Y43037" s="372">
        <v>0.0</v>
      </c>
      <c r="Z43037" s="372">
        <v>0.0</v>
      </c>
    </row>
    <row r="43038">
      <c r="Y43038" s="372">
        <v>0.0</v>
      </c>
      <c r="Z43038" s="372">
        <v>0.0</v>
      </c>
    </row>
    <row r="43039">
      <c r="Y43039" s="372">
        <v>0.0</v>
      </c>
      <c r="Z43039" s="372">
        <v>0.0</v>
      </c>
    </row>
    <row r="43040">
      <c r="Y43040" s="372">
        <v>0.0</v>
      </c>
      <c r="Z43040" s="372">
        <v>0.0</v>
      </c>
    </row>
    <row r="43041">
      <c r="Y43041" s="372">
        <v>0.0</v>
      </c>
      <c r="Z43041" s="372">
        <v>0.0</v>
      </c>
    </row>
    <row r="43042">
      <c r="Y43042" s="372">
        <v>0.0</v>
      </c>
      <c r="Z43042" s="372">
        <v>0.0</v>
      </c>
    </row>
    <row r="43043">
      <c r="Y43043" s="372">
        <v>0.0</v>
      </c>
      <c r="Z43043" s="372">
        <v>0.0</v>
      </c>
    </row>
    <row r="43044">
      <c r="Y43044" s="372">
        <v>0.0</v>
      </c>
      <c r="Z43044" s="372">
        <v>0.0</v>
      </c>
    </row>
    <row r="43045">
      <c r="Y43045" s="372">
        <v>0.0</v>
      </c>
      <c r="Z43045" s="372">
        <v>0.0</v>
      </c>
    </row>
    <row r="43046">
      <c r="Y43046" s="372">
        <v>0.0</v>
      </c>
      <c r="Z43046" s="372">
        <v>0.0</v>
      </c>
    </row>
    <row r="43047">
      <c r="Y43047" s="372">
        <v>0.0</v>
      </c>
      <c r="Z43047" s="372">
        <v>0.0</v>
      </c>
    </row>
    <row r="43048">
      <c r="Y43048" s="372">
        <v>0.0</v>
      </c>
      <c r="Z43048" s="372">
        <v>0.0</v>
      </c>
    </row>
    <row r="43049">
      <c r="Y43049" s="372">
        <v>0.0</v>
      </c>
      <c r="Z43049" s="372">
        <v>0.0</v>
      </c>
    </row>
    <row r="43050">
      <c r="Y43050" s="372">
        <v>0.0</v>
      </c>
      <c r="Z43050" s="372">
        <v>0.0</v>
      </c>
    </row>
    <row r="43051">
      <c r="Y43051" s="372">
        <v>0.0</v>
      </c>
      <c r="Z43051" s="372">
        <v>0.0</v>
      </c>
    </row>
    <row r="43052">
      <c r="Y43052" s="372">
        <v>0.0</v>
      </c>
      <c r="Z43052" s="372">
        <v>0.0</v>
      </c>
    </row>
    <row r="43053">
      <c r="Y43053" s="372">
        <v>0.0</v>
      </c>
      <c r="Z43053" s="372">
        <v>0.0</v>
      </c>
    </row>
    <row r="43054">
      <c r="Y43054" s="372">
        <v>0.0</v>
      </c>
      <c r="Z43054" s="372">
        <v>0.0</v>
      </c>
    </row>
    <row r="43055">
      <c r="Y43055" s="372">
        <v>0.0</v>
      </c>
      <c r="Z43055" s="372">
        <v>0.0</v>
      </c>
    </row>
    <row r="43056">
      <c r="Y43056" s="372">
        <v>0.0</v>
      </c>
      <c r="Z43056" s="372">
        <v>0.0</v>
      </c>
    </row>
    <row r="43057">
      <c r="Y43057" s="372">
        <v>0.0</v>
      </c>
      <c r="Z43057" s="372">
        <v>0.0</v>
      </c>
    </row>
    <row r="43058">
      <c r="Y43058" s="372">
        <v>0.0</v>
      </c>
      <c r="Z43058" s="372">
        <v>0.0</v>
      </c>
    </row>
    <row r="43059">
      <c r="Y43059" s="372">
        <v>0.0</v>
      </c>
      <c r="Z43059" s="372">
        <v>0.0</v>
      </c>
    </row>
    <row r="43060">
      <c r="Y43060" s="372">
        <v>0.0</v>
      </c>
      <c r="Z43060" s="372">
        <v>0.0</v>
      </c>
    </row>
    <row r="43061">
      <c r="Y43061" s="372">
        <v>0.0</v>
      </c>
      <c r="Z43061" s="372">
        <v>0.0</v>
      </c>
    </row>
    <row r="43062">
      <c r="Y43062" s="372">
        <v>0.0</v>
      </c>
      <c r="Z43062" s="372">
        <v>0.0</v>
      </c>
    </row>
    <row r="43063">
      <c r="Y43063" s="372">
        <v>0.0</v>
      </c>
      <c r="Z43063" s="372">
        <v>0.0</v>
      </c>
    </row>
    <row r="43064">
      <c r="Y43064" s="372">
        <v>0.0</v>
      </c>
      <c r="Z43064" s="372">
        <v>0.0</v>
      </c>
    </row>
    <row r="43065">
      <c r="Y43065" s="372">
        <v>0.0</v>
      </c>
      <c r="Z43065" s="372">
        <v>0.0</v>
      </c>
    </row>
    <row r="43066">
      <c r="Y43066" s="372">
        <v>0.0</v>
      </c>
      <c r="Z43066" s="372">
        <v>0.0</v>
      </c>
    </row>
    <row r="43067">
      <c r="Y43067" s="372">
        <v>0.0</v>
      </c>
      <c r="Z43067" s="372">
        <v>0.0</v>
      </c>
    </row>
    <row r="43068">
      <c r="Y43068" s="372">
        <v>0.0</v>
      </c>
      <c r="Z43068" s="372">
        <v>0.0</v>
      </c>
    </row>
    <row r="43069">
      <c r="Y43069" s="372">
        <v>0.0</v>
      </c>
      <c r="Z43069" s="372">
        <v>0.0</v>
      </c>
    </row>
    <row r="43070">
      <c r="Y43070" s="372">
        <v>0.0</v>
      </c>
      <c r="Z43070" s="372">
        <v>0.0</v>
      </c>
    </row>
    <row r="43071">
      <c r="Y43071" s="372">
        <v>0.0</v>
      </c>
      <c r="Z43071" s="372">
        <v>0.0</v>
      </c>
    </row>
    <row r="43072">
      <c r="Y43072" s="372">
        <v>0.0</v>
      </c>
      <c r="Z43072" s="372">
        <v>0.0</v>
      </c>
    </row>
    <row r="43073">
      <c r="Y43073" s="372">
        <v>0.0</v>
      </c>
      <c r="Z43073" s="372">
        <v>0.0</v>
      </c>
    </row>
    <row r="43074">
      <c r="Y43074" s="372">
        <v>0.0</v>
      </c>
      <c r="Z43074" s="372">
        <v>0.0</v>
      </c>
    </row>
    <row r="43075">
      <c r="Y43075" s="372">
        <v>0.0</v>
      </c>
      <c r="Z43075" s="372">
        <v>0.0</v>
      </c>
    </row>
    <row r="43076">
      <c r="Y43076" s="372">
        <v>0.0</v>
      </c>
      <c r="Z43076" s="372">
        <v>0.0</v>
      </c>
    </row>
    <row r="43077">
      <c r="Y43077" s="372">
        <v>0.0</v>
      </c>
      <c r="Z43077" s="372">
        <v>0.0</v>
      </c>
    </row>
    <row r="43078">
      <c r="Y43078" s="372">
        <v>0.0</v>
      </c>
      <c r="Z43078" s="372">
        <v>0.0</v>
      </c>
    </row>
    <row r="43079">
      <c r="Y43079" s="372">
        <v>0.0</v>
      </c>
      <c r="Z43079" s="372">
        <v>0.0</v>
      </c>
    </row>
    <row r="43080">
      <c r="Y43080" s="372">
        <v>0.0</v>
      </c>
      <c r="Z43080" s="372">
        <v>0.0</v>
      </c>
    </row>
    <row r="43081">
      <c r="Y43081" s="372">
        <v>0.0</v>
      </c>
      <c r="Z43081" s="372">
        <v>0.0</v>
      </c>
    </row>
    <row r="43082">
      <c r="Y43082" s="372">
        <v>0.0</v>
      </c>
      <c r="Z43082" s="372">
        <v>0.0</v>
      </c>
    </row>
    <row r="43083">
      <c r="Y43083" s="372">
        <v>0.0</v>
      </c>
      <c r="Z43083" s="372">
        <v>0.0</v>
      </c>
    </row>
    <row r="43084">
      <c r="Y43084" s="372">
        <v>0.0</v>
      </c>
      <c r="Z43084" s="372">
        <v>0.0</v>
      </c>
    </row>
    <row r="43085">
      <c r="Y43085" s="372">
        <v>0.0</v>
      </c>
      <c r="Z43085" s="372">
        <v>0.0</v>
      </c>
    </row>
    <row r="43086">
      <c r="Y43086" s="372">
        <v>0.0</v>
      </c>
      <c r="Z43086" s="372">
        <v>0.0</v>
      </c>
    </row>
    <row r="43087">
      <c r="Y43087" s="372">
        <v>0.0</v>
      </c>
      <c r="Z43087" s="372">
        <v>0.0</v>
      </c>
    </row>
    <row r="43088">
      <c r="Y43088" s="372">
        <v>0.0</v>
      </c>
      <c r="Z43088" s="372">
        <v>0.0</v>
      </c>
    </row>
    <row r="43089">
      <c r="Y43089" s="372">
        <v>0.0</v>
      </c>
      <c r="Z43089" s="372">
        <v>0.0</v>
      </c>
    </row>
    <row r="43090">
      <c r="Y43090" s="372">
        <v>0.0</v>
      </c>
      <c r="Z43090" s="372">
        <v>0.0</v>
      </c>
    </row>
    <row r="43091">
      <c r="Y43091" s="372">
        <v>0.0</v>
      </c>
      <c r="Z43091" s="372">
        <v>0.0</v>
      </c>
    </row>
    <row r="43092">
      <c r="Y43092" s="372">
        <v>0.0</v>
      </c>
      <c r="Z43092" s="372">
        <v>0.0</v>
      </c>
    </row>
    <row r="43093">
      <c r="Y43093" s="372">
        <v>0.0</v>
      </c>
      <c r="Z43093" s="372">
        <v>0.0</v>
      </c>
    </row>
    <row r="43094">
      <c r="Y43094" s="372">
        <v>0.0</v>
      </c>
      <c r="Z43094" s="372">
        <v>0.0</v>
      </c>
    </row>
    <row r="43095">
      <c r="Y43095" s="372">
        <v>0.0</v>
      </c>
      <c r="Z43095" s="372">
        <v>0.0</v>
      </c>
    </row>
    <row r="43096">
      <c r="Y43096" s="372">
        <v>0.0</v>
      </c>
      <c r="Z43096" s="372">
        <v>0.0</v>
      </c>
    </row>
    <row r="43097">
      <c r="Y43097" s="372">
        <v>0.0</v>
      </c>
      <c r="Z43097" s="372">
        <v>0.0</v>
      </c>
    </row>
    <row r="43098">
      <c r="Y43098" s="372">
        <v>0.0</v>
      </c>
      <c r="Z43098" s="372">
        <v>0.0</v>
      </c>
    </row>
    <row r="43099">
      <c r="Y43099" s="372">
        <v>0.0</v>
      </c>
      <c r="Z43099" s="372">
        <v>0.0</v>
      </c>
    </row>
    <row r="43100">
      <c r="Y43100" s="372">
        <v>0.0</v>
      </c>
      <c r="Z43100" s="372">
        <v>0.0</v>
      </c>
    </row>
    <row r="43101">
      <c r="Y43101" s="372">
        <v>0.0</v>
      </c>
      <c r="Z43101" s="372">
        <v>0.0</v>
      </c>
    </row>
    <row r="43102">
      <c r="Y43102" s="372">
        <v>0.0</v>
      </c>
      <c r="Z43102" s="372">
        <v>0.0</v>
      </c>
    </row>
    <row r="43103">
      <c r="Y43103" s="372">
        <v>0.0</v>
      </c>
      <c r="Z43103" s="372">
        <v>0.0</v>
      </c>
    </row>
    <row r="43104">
      <c r="Y43104" s="372">
        <v>0.0</v>
      </c>
      <c r="Z43104" s="372">
        <v>0.0</v>
      </c>
    </row>
    <row r="43105">
      <c r="Y43105" s="372">
        <v>0.0</v>
      </c>
      <c r="Z43105" s="372">
        <v>0.0</v>
      </c>
    </row>
    <row r="43106">
      <c r="Y43106" s="372">
        <v>0.0</v>
      </c>
      <c r="Z43106" s="372">
        <v>0.0</v>
      </c>
    </row>
    <row r="43107">
      <c r="Y43107" s="372">
        <v>0.0</v>
      </c>
      <c r="Z43107" s="372">
        <v>0.0</v>
      </c>
    </row>
    <row r="43108">
      <c r="Y43108" s="372">
        <v>0.0</v>
      </c>
      <c r="Z43108" s="372">
        <v>0.0</v>
      </c>
    </row>
    <row r="43109">
      <c r="Y43109" s="372">
        <v>0.0</v>
      </c>
      <c r="Z43109" s="372">
        <v>0.0</v>
      </c>
    </row>
    <row r="43110">
      <c r="Y43110" s="372">
        <v>0.0</v>
      </c>
      <c r="Z43110" s="372">
        <v>0.0</v>
      </c>
    </row>
    <row r="43111">
      <c r="Y43111" s="372">
        <v>0.0</v>
      </c>
      <c r="Z43111" s="372">
        <v>0.0</v>
      </c>
    </row>
    <row r="43112">
      <c r="Y43112" s="372">
        <v>0.0</v>
      </c>
      <c r="Z43112" s="372">
        <v>0.0</v>
      </c>
    </row>
    <row r="43113">
      <c r="Y43113" s="372">
        <v>0.0</v>
      </c>
      <c r="Z43113" s="372">
        <v>0.0</v>
      </c>
    </row>
    <row r="43114">
      <c r="Y43114" s="372">
        <v>0.0</v>
      </c>
      <c r="Z43114" s="372">
        <v>0.0</v>
      </c>
    </row>
    <row r="43115">
      <c r="Y43115" s="372">
        <v>0.0</v>
      </c>
      <c r="Z43115" s="372">
        <v>0.0</v>
      </c>
    </row>
    <row r="43116">
      <c r="Y43116" s="372">
        <v>0.0</v>
      </c>
      <c r="Z43116" s="372">
        <v>0.0</v>
      </c>
    </row>
    <row r="43117">
      <c r="Y43117" s="372">
        <v>0.0</v>
      </c>
      <c r="Z43117" s="372">
        <v>0.0</v>
      </c>
    </row>
    <row r="43118">
      <c r="Y43118" s="372">
        <v>0.0</v>
      </c>
      <c r="Z43118" s="372">
        <v>0.0</v>
      </c>
    </row>
    <row r="43119">
      <c r="Y43119" s="372">
        <v>0.0</v>
      </c>
      <c r="Z43119" s="372">
        <v>0.0</v>
      </c>
    </row>
    <row r="43120">
      <c r="Y43120" s="372">
        <v>0.0</v>
      </c>
      <c r="Z43120" s="372">
        <v>0.0</v>
      </c>
    </row>
    <row r="43121">
      <c r="Y43121" s="372">
        <v>0.0</v>
      </c>
      <c r="Z43121" s="372">
        <v>0.0</v>
      </c>
    </row>
    <row r="43122">
      <c r="Y43122" s="372">
        <v>0.0</v>
      </c>
      <c r="Z43122" s="372">
        <v>0.0</v>
      </c>
    </row>
    <row r="43123">
      <c r="Y43123" s="372">
        <v>0.0</v>
      </c>
      <c r="Z43123" s="372">
        <v>0.0</v>
      </c>
    </row>
    <row r="43124">
      <c r="Y43124" s="372">
        <v>0.0</v>
      </c>
      <c r="Z43124" s="372">
        <v>0.0</v>
      </c>
    </row>
    <row r="43125">
      <c r="Y43125" s="372">
        <v>0.0</v>
      </c>
      <c r="Z43125" s="372">
        <v>0.0</v>
      </c>
    </row>
    <row r="43126">
      <c r="Y43126" s="372">
        <v>0.0</v>
      </c>
      <c r="Z43126" s="372">
        <v>0.0</v>
      </c>
    </row>
    <row r="43127">
      <c r="Y43127" s="372">
        <v>0.0</v>
      </c>
      <c r="Z43127" s="372">
        <v>0.0</v>
      </c>
    </row>
    <row r="43128">
      <c r="Y43128" s="372">
        <v>0.0</v>
      </c>
      <c r="Z43128" s="372">
        <v>0.0</v>
      </c>
    </row>
    <row r="43129">
      <c r="Y43129" s="372">
        <v>0.0</v>
      </c>
      <c r="Z43129" s="372">
        <v>0.0</v>
      </c>
    </row>
    <row r="43130">
      <c r="Y43130" s="372">
        <v>0.0</v>
      </c>
      <c r="Z43130" s="372">
        <v>0.0</v>
      </c>
    </row>
    <row r="43131">
      <c r="Y43131" s="372">
        <v>0.0</v>
      </c>
      <c r="Z43131" s="372">
        <v>0.0</v>
      </c>
    </row>
    <row r="43132">
      <c r="Y43132" s="372">
        <v>0.0</v>
      </c>
      <c r="Z43132" s="372">
        <v>0.0</v>
      </c>
    </row>
    <row r="43133">
      <c r="Y43133" s="372">
        <v>0.0</v>
      </c>
      <c r="Z43133" s="372">
        <v>0.0</v>
      </c>
    </row>
    <row r="43134">
      <c r="Y43134" s="372">
        <v>0.0</v>
      </c>
      <c r="Z43134" s="372">
        <v>0.0</v>
      </c>
    </row>
    <row r="43135">
      <c r="Y43135" s="372">
        <v>0.0</v>
      </c>
      <c r="Z43135" s="372">
        <v>0.0</v>
      </c>
    </row>
    <row r="43136">
      <c r="Y43136" s="372">
        <v>0.0</v>
      </c>
      <c r="Z43136" s="372">
        <v>0.0</v>
      </c>
    </row>
    <row r="43137">
      <c r="Y43137" s="372">
        <v>0.0</v>
      </c>
      <c r="Z43137" s="372">
        <v>0.0</v>
      </c>
    </row>
    <row r="43138">
      <c r="Y43138" s="372">
        <v>0.0</v>
      </c>
      <c r="Z43138" s="372">
        <v>0.0</v>
      </c>
    </row>
    <row r="43139">
      <c r="Y43139" s="372">
        <v>0.0</v>
      </c>
      <c r="Z43139" s="372">
        <v>0.0</v>
      </c>
    </row>
    <row r="43140">
      <c r="Y43140" s="372">
        <v>0.0</v>
      </c>
      <c r="Z43140" s="372">
        <v>0.0</v>
      </c>
    </row>
    <row r="43141">
      <c r="Y43141" s="372">
        <v>0.0</v>
      </c>
      <c r="Z43141" s="372">
        <v>0.0</v>
      </c>
    </row>
    <row r="43142">
      <c r="Y43142" s="372">
        <v>0.0</v>
      </c>
      <c r="Z43142" s="372">
        <v>0.0</v>
      </c>
    </row>
    <row r="43143">
      <c r="Y43143" s="372">
        <v>0.0</v>
      </c>
      <c r="Z43143" s="372">
        <v>0.0</v>
      </c>
    </row>
    <row r="43144">
      <c r="Y43144" s="372">
        <v>0.0</v>
      </c>
      <c r="Z43144" s="372">
        <v>0.0</v>
      </c>
    </row>
    <row r="43145">
      <c r="Y43145" s="372">
        <v>0.0</v>
      </c>
      <c r="Z43145" s="372">
        <v>0.0</v>
      </c>
    </row>
    <row r="43146">
      <c r="Y43146" s="372">
        <v>0.0</v>
      </c>
      <c r="Z43146" s="372">
        <v>0.0</v>
      </c>
    </row>
    <row r="43147">
      <c r="Y43147" s="372">
        <v>0.0</v>
      </c>
      <c r="Z43147" s="372">
        <v>0.0</v>
      </c>
    </row>
    <row r="43148">
      <c r="Y43148" s="372">
        <v>0.0</v>
      </c>
      <c r="Z43148" s="372">
        <v>0.0</v>
      </c>
    </row>
    <row r="43149">
      <c r="Y43149" s="372">
        <v>0.0</v>
      </c>
      <c r="Z43149" s="372">
        <v>0.0</v>
      </c>
    </row>
    <row r="43150">
      <c r="Y43150" s="372">
        <v>0.0</v>
      </c>
      <c r="Z43150" s="372">
        <v>0.0</v>
      </c>
    </row>
    <row r="43151">
      <c r="Y43151" s="372">
        <v>0.0</v>
      </c>
      <c r="Z43151" s="372">
        <v>0.0</v>
      </c>
    </row>
    <row r="43152">
      <c r="Y43152" s="372">
        <v>0.0</v>
      </c>
      <c r="Z43152" s="372">
        <v>0.0</v>
      </c>
    </row>
    <row r="43153">
      <c r="Y43153" s="372">
        <v>0.0</v>
      </c>
      <c r="Z43153" s="372">
        <v>0.0</v>
      </c>
    </row>
    <row r="43154">
      <c r="Y43154" s="372">
        <v>0.0</v>
      </c>
      <c r="Z43154" s="372">
        <v>0.0</v>
      </c>
    </row>
    <row r="43155">
      <c r="Y43155" s="372">
        <v>0.0</v>
      </c>
      <c r="Z43155" s="372">
        <v>0.0</v>
      </c>
    </row>
    <row r="43156">
      <c r="Y43156" s="372">
        <v>0.0</v>
      </c>
      <c r="Z43156" s="372">
        <v>0.0</v>
      </c>
    </row>
    <row r="43157">
      <c r="Y43157" s="372">
        <v>0.0</v>
      </c>
      <c r="Z43157" s="372">
        <v>0.0</v>
      </c>
    </row>
    <row r="43158">
      <c r="Y43158" s="372">
        <v>0.0</v>
      </c>
      <c r="Z43158" s="372">
        <v>0.0</v>
      </c>
    </row>
    <row r="43159">
      <c r="Y43159" s="372">
        <v>0.0</v>
      </c>
      <c r="Z43159" s="372">
        <v>0.0</v>
      </c>
    </row>
    <row r="43160">
      <c r="Y43160" s="372">
        <v>0.0</v>
      </c>
      <c r="Z43160" s="372">
        <v>0.0</v>
      </c>
    </row>
    <row r="43161">
      <c r="Y43161" s="372">
        <v>0.0</v>
      </c>
      <c r="Z43161" s="372">
        <v>0.0</v>
      </c>
    </row>
    <row r="43162">
      <c r="Y43162" s="372">
        <v>0.0</v>
      </c>
      <c r="Z43162" s="372">
        <v>0.0</v>
      </c>
    </row>
    <row r="43163">
      <c r="Y43163" s="372">
        <v>0.0</v>
      </c>
      <c r="Z43163" s="372">
        <v>0.0</v>
      </c>
    </row>
    <row r="43164">
      <c r="Y43164" s="372">
        <v>0.0</v>
      </c>
      <c r="Z43164" s="372">
        <v>0.0</v>
      </c>
    </row>
    <row r="43165">
      <c r="Y43165" s="372">
        <v>0.0</v>
      </c>
      <c r="Z43165" s="372">
        <v>0.0</v>
      </c>
    </row>
    <row r="43166">
      <c r="Y43166" s="372">
        <v>0.0</v>
      </c>
      <c r="Z43166" s="372">
        <v>0.0</v>
      </c>
    </row>
    <row r="43167">
      <c r="Y43167" s="372">
        <v>0.0</v>
      </c>
      <c r="Z43167" s="372">
        <v>0.0</v>
      </c>
    </row>
    <row r="43168">
      <c r="Y43168" s="372">
        <v>0.0</v>
      </c>
      <c r="Z43168" s="372">
        <v>0.0</v>
      </c>
    </row>
    <row r="43169">
      <c r="Y43169" s="372">
        <v>0.0</v>
      </c>
      <c r="Z43169" s="372">
        <v>0.0</v>
      </c>
    </row>
    <row r="43170">
      <c r="Y43170" s="372">
        <v>0.0</v>
      </c>
      <c r="Z43170" s="372">
        <v>0.0</v>
      </c>
    </row>
    <row r="43171">
      <c r="Y43171" s="372">
        <v>0.0</v>
      </c>
      <c r="Z43171" s="372">
        <v>0.0</v>
      </c>
    </row>
    <row r="43172">
      <c r="Y43172" s="372">
        <v>0.0</v>
      </c>
      <c r="Z43172" s="372">
        <v>0.0</v>
      </c>
    </row>
    <row r="43173">
      <c r="Y43173" s="372">
        <v>0.0</v>
      </c>
      <c r="Z43173" s="372">
        <v>0.0</v>
      </c>
    </row>
    <row r="43174">
      <c r="Y43174" s="372">
        <v>0.0</v>
      </c>
      <c r="Z43174" s="372">
        <v>0.0</v>
      </c>
    </row>
    <row r="43175">
      <c r="Y43175" s="372">
        <v>0.0</v>
      </c>
      <c r="Z43175" s="372">
        <v>0.0</v>
      </c>
    </row>
    <row r="43176">
      <c r="Y43176" s="372">
        <v>0.0</v>
      </c>
      <c r="Z43176" s="372">
        <v>0.0</v>
      </c>
    </row>
    <row r="43177">
      <c r="Y43177" s="372">
        <v>0.0</v>
      </c>
      <c r="Z43177" s="372">
        <v>0.0</v>
      </c>
    </row>
    <row r="43178">
      <c r="Y43178" s="372">
        <v>0.0</v>
      </c>
      <c r="Z43178" s="372">
        <v>0.0</v>
      </c>
    </row>
    <row r="43179">
      <c r="Y43179" s="372">
        <v>0.0</v>
      </c>
      <c r="Z43179" s="372">
        <v>0.0</v>
      </c>
    </row>
    <row r="43180">
      <c r="Y43180" s="372">
        <v>0.0</v>
      </c>
      <c r="Z43180" s="372">
        <v>0.0</v>
      </c>
    </row>
    <row r="43181">
      <c r="Y43181" s="372">
        <v>0.0</v>
      </c>
      <c r="Z43181" s="372">
        <v>0.0</v>
      </c>
    </row>
    <row r="43182">
      <c r="Y43182" s="372">
        <v>0.0</v>
      </c>
      <c r="Z43182" s="372">
        <v>0.0</v>
      </c>
    </row>
    <row r="43183">
      <c r="Y43183" s="372">
        <v>0.0</v>
      </c>
      <c r="Z43183" s="372">
        <v>0.0</v>
      </c>
    </row>
    <row r="43184">
      <c r="Y43184" s="372">
        <v>0.0</v>
      </c>
      <c r="Z43184" s="372">
        <v>0.0</v>
      </c>
    </row>
    <row r="43185">
      <c r="Y43185" s="372">
        <v>0.0</v>
      </c>
      <c r="Z43185" s="372">
        <v>0.0</v>
      </c>
    </row>
    <row r="43186">
      <c r="Y43186" s="372">
        <v>0.0</v>
      </c>
      <c r="Z43186" s="372">
        <v>0.0</v>
      </c>
    </row>
    <row r="43187">
      <c r="Y43187" s="372">
        <v>0.0</v>
      </c>
      <c r="Z43187" s="372">
        <v>0.0</v>
      </c>
    </row>
    <row r="43188">
      <c r="Y43188" s="372">
        <v>0.0</v>
      </c>
      <c r="Z43188" s="372">
        <v>0.0</v>
      </c>
    </row>
    <row r="43189">
      <c r="Y43189" s="372">
        <v>0.0</v>
      </c>
      <c r="Z43189" s="372">
        <v>0.0</v>
      </c>
    </row>
    <row r="43190">
      <c r="Y43190" s="372">
        <v>0.0</v>
      </c>
      <c r="Z43190" s="372">
        <v>0.0</v>
      </c>
    </row>
    <row r="43191">
      <c r="Y43191" s="372">
        <v>0.0</v>
      </c>
      <c r="Z43191" s="372">
        <v>0.0</v>
      </c>
    </row>
    <row r="43192">
      <c r="Y43192" s="372">
        <v>0.0</v>
      </c>
      <c r="Z43192" s="372">
        <v>0.0</v>
      </c>
    </row>
    <row r="43193">
      <c r="Y43193" s="372">
        <v>0.0</v>
      </c>
      <c r="Z43193" s="372">
        <v>0.0</v>
      </c>
    </row>
    <row r="43194">
      <c r="Y43194" s="372">
        <v>0.0</v>
      </c>
      <c r="Z43194" s="372">
        <v>0.0</v>
      </c>
    </row>
    <row r="43195">
      <c r="Y43195" s="372">
        <v>0.0</v>
      </c>
      <c r="Z43195" s="372">
        <v>0.0</v>
      </c>
    </row>
    <row r="43196">
      <c r="Y43196" s="372">
        <v>0.0</v>
      </c>
      <c r="Z43196" s="372">
        <v>0.0</v>
      </c>
    </row>
    <row r="43197">
      <c r="Y43197" s="372">
        <v>0.0</v>
      </c>
      <c r="Z43197" s="372">
        <v>0.0</v>
      </c>
    </row>
    <row r="43198">
      <c r="Y43198" s="372">
        <v>0.0</v>
      </c>
      <c r="Z43198" s="372">
        <v>0.0</v>
      </c>
    </row>
    <row r="43199">
      <c r="Y43199" s="372">
        <v>0.0</v>
      </c>
      <c r="Z43199" s="372">
        <v>0.0</v>
      </c>
    </row>
    <row r="43200">
      <c r="Y43200" s="372">
        <v>0.0</v>
      </c>
      <c r="Z43200" s="372">
        <v>0.0</v>
      </c>
    </row>
    <row r="43201">
      <c r="Y43201" s="372">
        <v>0.0</v>
      </c>
      <c r="Z43201" s="372">
        <v>0.0</v>
      </c>
    </row>
    <row r="43202">
      <c r="Y43202" s="372">
        <v>0.0</v>
      </c>
      <c r="Z43202" s="372">
        <v>0.0</v>
      </c>
    </row>
    <row r="43203">
      <c r="Y43203" s="372">
        <v>0.0</v>
      </c>
      <c r="Z43203" s="372">
        <v>0.0</v>
      </c>
    </row>
    <row r="43204">
      <c r="Y43204" s="372">
        <v>0.0</v>
      </c>
      <c r="Z43204" s="372">
        <v>0.0</v>
      </c>
    </row>
    <row r="43205">
      <c r="Y43205" s="372">
        <v>0.0</v>
      </c>
      <c r="Z43205" s="372">
        <v>0.0</v>
      </c>
    </row>
    <row r="43206">
      <c r="Y43206" s="372">
        <v>0.0</v>
      </c>
      <c r="Z43206" s="372">
        <v>0.0</v>
      </c>
    </row>
    <row r="43207">
      <c r="Y43207" s="372">
        <v>0.0</v>
      </c>
      <c r="Z43207" s="372">
        <v>0.0</v>
      </c>
    </row>
    <row r="43208">
      <c r="Y43208" s="372">
        <v>0.0</v>
      </c>
      <c r="Z43208" s="372">
        <v>0.0</v>
      </c>
    </row>
    <row r="43209">
      <c r="Y43209" s="372">
        <v>0.0</v>
      </c>
      <c r="Z43209" s="372">
        <v>0.0</v>
      </c>
    </row>
    <row r="43210">
      <c r="Y43210" s="372">
        <v>0.0</v>
      </c>
      <c r="Z43210" s="372">
        <v>0.0</v>
      </c>
    </row>
    <row r="43211">
      <c r="Y43211" s="372">
        <v>0.0</v>
      </c>
      <c r="Z43211" s="372">
        <v>0.0</v>
      </c>
    </row>
    <row r="43212">
      <c r="Y43212" s="372">
        <v>0.0</v>
      </c>
      <c r="Z43212" s="372">
        <v>0.0</v>
      </c>
    </row>
    <row r="43213">
      <c r="Y43213" s="372">
        <v>0.0</v>
      </c>
      <c r="Z43213" s="372">
        <v>0.0</v>
      </c>
    </row>
    <row r="43214">
      <c r="Y43214" s="372">
        <v>0.0</v>
      </c>
      <c r="Z43214" s="372">
        <v>0.0</v>
      </c>
    </row>
    <row r="43215">
      <c r="Y43215" s="372">
        <v>0.0</v>
      </c>
      <c r="Z43215" s="372">
        <v>0.0</v>
      </c>
    </row>
    <row r="43216">
      <c r="Y43216" s="372">
        <v>0.0</v>
      </c>
      <c r="Z43216" s="372">
        <v>0.0</v>
      </c>
    </row>
    <row r="43217">
      <c r="Y43217" s="372">
        <v>0.0</v>
      </c>
      <c r="Z43217" s="372">
        <v>0.0</v>
      </c>
    </row>
    <row r="43218">
      <c r="Y43218" s="372">
        <v>0.0</v>
      </c>
      <c r="Z43218" s="372">
        <v>0.0</v>
      </c>
    </row>
    <row r="43219">
      <c r="Y43219" s="372">
        <v>0.0</v>
      </c>
      <c r="Z43219" s="372">
        <v>0.0</v>
      </c>
    </row>
    <row r="43220">
      <c r="Y43220" s="372">
        <v>0.0</v>
      </c>
      <c r="Z43220" s="372">
        <v>0.0</v>
      </c>
    </row>
    <row r="43221">
      <c r="Y43221" s="372">
        <v>0.0</v>
      </c>
      <c r="Z43221" s="372">
        <v>0.0</v>
      </c>
    </row>
    <row r="43222">
      <c r="Y43222" s="372">
        <v>0.0</v>
      </c>
      <c r="Z43222" s="372">
        <v>0.0</v>
      </c>
    </row>
    <row r="43223">
      <c r="Y43223" s="372">
        <v>0.0</v>
      </c>
      <c r="Z43223" s="372">
        <v>0.0</v>
      </c>
    </row>
    <row r="43224">
      <c r="Y43224" s="372">
        <v>0.0</v>
      </c>
      <c r="Z43224" s="372">
        <v>0.0</v>
      </c>
    </row>
    <row r="43225">
      <c r="Y43225" s="372">
        <v>0.0</v>
      </c>
      <c r="Z43225" s="372">
        <v>0.0</v>
      </c>
    </row>
    <row r="43226">
      <c r="Y43226" s="372">
        <v>0.0</v>
      </c>
      <c r="Z43226" s="372">
        <v>0.0</v>
      </c>
    </row>
    <row r="43227">
      <c r="Y43227" s="372">
        <v>0.0</v>
      </c>
      <c r="Z43227" s="372">
        <v>0.0</v>
      </c>
    </row>
    <row r="43228">
      <c r="Y43228" s="372">
        <v>0.0</v>
      </c>
      <c r="Z43228" s="372">
        <v>0.0</v>
      </c>
    </row>
    <row r="43229">
      <c r="Y43229" s="372">
        <v>0.0</v>
      </c>
      <c r="Z43229" s="372">
        <v>0.0</v>
      </c>
    </row>
    <row r="43230">
      <c r="Y43230" s="372">
        <v>0.0</v>
      </c>
      <c r="Z43230" s="372">
        <v>0.0</v>
      </c>
    </row>
    <row r="43231">
      <c r="Y43231" s="372">
        <v>0.0</v>
      </c>
      <c r="Z43231" s="372">
        <v>0.0</v>
      </c>
    </row>
    <row r="43232">
      <c r="Y43232" s="372">
        <v>0.0</v>
      </c>
      <c r="Z43232" s="372">
        <v>0.0</v>
      </c>
    </row>
    <row r="43233">
      <c r="Y43233" s="372">
        <v>0.0</v>
      </c>
      <c r="Z43233" s="372">
        <v>0.0</v>
      </c>
    </row>
    <row r="43234">
      <c r="Y43234" s="372">
        <v>0.0</v>
      </c>
      <c r="Z43234" s="372">
        <v>0.0</v>
      </c>
    </row>
    <row r="43235">
      <c r="Y43235" s="372">
        <v>0.0</v>
      </c>
      <c r="Z43235" s="372">
        <v>0.0</v>
      </c>
    </row>
    <row r="43236">
      <c r="Y43236" s="372">
        <v>0.0</v>
      </c>
      <c r="Z43236" s="372">
        <v>0.0</v>
      </c>
    </row>
    <row r="43237">
      <c r="Y43237" s="372">
        <v>0.0</v>
      </c>
      <c r="Z43237" s="372">
        <v>0.0</v>
      </c>
    </row>
    <row r="43238">
      <c r="Y43238" s="372">
        <v>0.0</v>
      </c>
      <c r="Z43238" s="372">
        <v>0.0</v>
      </c>
    </row>
    <row r="43239">
      <c r="Y43239" s="372">
        <v>0.0</v>
      </c>
      <c r="Z43239" s="372">
        <v>0.0</v>
      </c>
    </row>
    <row r="43240">
      <c r="Y43240" s="372">
        <v>0.0</v>
      </c>
      <c r="Z43240" s="372">
        <v>0.0</v>
      </c>
    </row>
    <row r="43241">
      <c r="Y43241" s="372">
        <v>0.0</v>
      </c>
      <c r="Z43241" s="372">
        <v>0.0</v>
      </c>
    </row>
    <row r="43242">
      <c r="Y43242" s="372">
        <v>0.0</v>
      </c>
      <c r="Z43242" s="372">
        <v>0.0</v>
      </c>
    </row>
    <row r="43243">
      <c r="Y43243" s="372">
        <v>0.0</v>
      </c>
      <c r="Z43243" s="372">
        <v>0.0</v>
      </c>
    </row>
    <row r="43244">
      <c r="Y43244" s="372">
        <v>0.0</v>
      </c>
      <c r="Z43244" s="372">
        <v>0.0</v>
      </c>
    </row>
    <row r="43245">
      <c r="Y43245" s="372">
        <v>0.0</v>
      </c>
      <c r="Z43245" s="372">
        <v>0.0</v>
      </c>
    </row>
    <row r="43246">
      <c r="Y43246" s="372">
        <v>0.0</v>
      </c>
      <c r="Z43246" s="372">
        <v>0.0</v>
      </c>
    </row>
    <row r="43247">
      <c r="Y43247" s="372">
        <v>0.0</v>
      </c>
      <c r="Z43247" s="372">
        <v>0.0</v>
      </c>
    </row>
    <row r="43248">
      <c r="Y43248" s="372">
        <v>0.0</v>
      </c>
      <c r="Z43248" s="372">
        <v>0.0</v>
      </c>
    </row>
    <row r="43249">
      <c r="Y43249" s="372">
        <v>0.0</v>
      </c>
      <c r="Z43249" s="372">
        <v>0.0</v>
      </c>
    </row>
    <row r="43250">
      <c r="Y43250" s="372">
        <v>0.0</v>
      </c>
      <c r="Z43250" s="372">
        <v>0.0</v>
      </c>
    </row>
    <row r="43251">
      <c r="Y43251" s="372">
        <v>0.0</v>
      </c>
      <c r="Z43251" s="372">
        <v>0.0</v>
      </c>
    </row>
    <row r="43252">
      <c r="Y43252" s="372">
        <v>0.0</v>
      </c>
      <c r="Z43252" s="372">
        <v>0.0</v>
      </c>
    </row>
    <row r="43253">
      <c r="Y43253" s="372">
        <v>0.0</v>
      </c>
      <c r="Z43253" s="372">
        <v>0.0</v>
      </c>
    </row>
    <row r="43254">
      <c r="Y43254" s="372">
        <v>0.0</v>
      </c>
      <c r="Z43254" s="372">
        <v>0.0</v>
      </c>
    </row>
    <row r="43255">
      <c r="Y43255" s="372">
        <v>0.0</v>
      </c>
      <c r="Z43255" s="372">
        <v>0.0</v>
      </c>
    </row>
    <row r="43256">
      <c r="Y43256" s="372">
        <v>0.0</v>
      </c>
      <c r="Z43256" s="372">
        <v>0.0</v>
      </c>
    </row>
    <row r="43257">
      <c r="Y43257" s="372">
        <v>0.0</v>
      </c>
      <c r="Z43257" s="372">
        <v>0.0</v>
      </c>
    </row>
    <row r="43258">
      <c r="Y43258" s="372">
        <v>0.0</v>
      </c>
      <c r="Z43258" s="372">
        <v>0.0</v>
      </c>
    </row>
    <row r="43259">
      <c r="Y43259" s="372">
        <v>0.0</v>
      </c>
      <c r="Z43259" s="372">
        <v>0.0</v>
      </c>
    </row>
    <row r="43260">
      <c r="Y43260" s="372">
        <v>0.0</v>
      </c>
      <c r="Z43260" s="372">
        <v>0.0</v>
      </c>
    </row>
    <row r="43261">
      <c r="Y43261" s="372">
        <v>0.0</v>
      </c>
      <c r="Z43261" s="372">
        <v>0.0</v>
      </c>
    </row>
    <row r="43262">
      <c r="Y43262" s="372">
        <v>0.0</v>
      </c>
      <c r="Z43262" s="372">
        <v>0.0</v>
      </c>
    </row>
    <row r="43263">
      <c r="Y43263" s="372">
        <v>0.0</v>
      </c>
      <c r="Z43263" s="372">
        <v>0.0</v>
      </c>
    </row>
    <row r="43264">
      <c r="Y43264" s="372">
        <v>0.0</v>
      </c>
      <c r="Z43264" s="372">
        <v>0.0</v>
      </c>
    </row>
    <row r="43265">
      <c r="Y43265" s="372">
        <v>0.0</v>
      </c>
      <c r="Z43265" s="372">
        <v>0.0</v>
      </c>
    </row>
    <row r="43266">
      <c r="Y43266" s="372">
        <v>0.0</v>
      </c>
      <c r="Z43266" s="372">
        <v>0.0</v>
      </c>
    </row>
    <row r="43267">
      <c r="Y43267" s="372">
        <v>0.0</v>
      </c>
      <c r="Z43267" s="372">
        <v>0.0</v>
      </c>
    </row>
    <row r="43268">
      <c r="Y43268" s="372">
        <v>0.0</v>
      </c>
      <c r="Z43268" s="372">
        <v>0.0</v>
      </c>
    </row>
    <row r="43269">
      <c r="Y43269" s="372">
        <v>0.0</v>
      </c>
      <c r="Z43269" s="372">
        <v>0.0</v>
      </c>
    </row>
    <row r="43270">
      <c r="Y43270" s="372">
        <v>0.0</v>
      </c>
      <c r="Z43270" s="372">
        <v>0.0</v>
      </c>
    </row>
    <row r="43271">
      <c r="Y43271" s="372">
        <v>0.0</v>
      </c>
      <c r="Z43271" s="372">
        <v>0.0</v>
      </c>
    </row>
    <row r="43272">
      <c r="Y43272" s="372">
        <v>0.0</v>
      </c>
      <c r="Z43272" s="372">
        <v>0.0</v>
      </c>
    </row>
    <row r="43273">
      <c r="Y43273" s="372">
        <v>0.0</v>
      </c>
      <c r="Z43273" s="372">
        <v>0.0</v>
      </c>
    </row>
    <row r="43274">
      <c r="Y43274" s="372">
        <v>0.0</v>
      </c>
      <c r="Z43274" s="372">
        <v>0.0</v>
      </c>
    </row>
    <row r="43275">
      <c r="Y43275" s="372">
        <v>0.0</v>
      </c>
      <c r="Z43275" s="372">
        <v>0.0</v>
      </c>
    </row>
    <row r="43276">
      <c r="Y43276" s="372">
        <v>0.0</v>
      </c>
      <c r="Z43276" s="372">
        <v>0.0</v>
      </c>
    </row>
    <row r="43277">
      <c r="Y43277" s="372">
        <v>0.0</v>
      </c>
      <c r="Z43277" s="372">
        <v>0.0</v>
      </c>
    </row>
    <row r="43278">
      <c r="Y43278" s="372">
        <v>0.0</v>
      </c>
      <c r="Z43278" s="372">
        <v>0.0</v>
      </c>
    </row>
    <row r="43279">
      <c r="Y43279" s="372">
        <v>0.0</v>
      </c>
      <c r="Z43279" s="372">
        <v>0.0</v>
      </c>
    </row>
    <row r="43280">
      <c r="Y43280" s="372">
        <v>0.0</v>
      </c>
      <c r="Z43280" s="372">
        <v>0.0</v>
      </c>
    </row>
    <row r="43281">
      <c r="Y43281" s="372">
        <v>0.0</v>
      </c>
      <c r="Z43281" s="372">
        <v>0.0</v>
      </c>
    </row>
    <row r="43282">
      <c r="Y43282" s="372">
        <v>0.0</v>
      </c>
      <c r="Z43282" s="372">
        <v>0.0</v>
      </c>
    </row>
    <row r="43283">
      <c r="Y43283" s="372">
        <v>0.0</v>
      </c>
      <c r="Z43283" s="372">
        <v>0.0</v>
      </c>
    </row>
    <row r="43284">
      <c r="Y43284" s="372">
        <v>0.0</v>
      </c>
      <c r="Z43284" s="372">
        <v>0.0</v>
      </c>
    </row>
    <row r="43285">
      <c r="Y43285" s="372">
        <v>0.0</v>
      </c>
      <c r="Z43285" s="372">
        <v>0.0</v>
      </c>
    </row>
    <row r="43286">
      <c r="Y43286" s="372">
        <v>0.0</v>
      </c>
      <c r="Z43286" s="372">
        <v>0.0</v>
      </c>
    </row>
    <row r="43287">
      <c r="Y43287" s="372">
        <v>0.0</v>
      </c>
      <c r="Z43287" s="372">
        <v>0.0</v>
      </c>
    </row>
    <row r="43288">
      <c r="Y43288" s="372">
        <v>0.0</v>
      </c>
      <c r="Z43288" s="372">
        <v>0.0</v>
      </c>
    </row>
    <row r="43289">
      <c r="Y43289" s="372">
        <v>0.0</v>
      </c>
      <c r="Z43289" s="372">
        <v>0.0</v>
      </c>
    </row>
    <row r="43290">
      <c r="Y43290" s="372">
        <v>0.0</v>
      </c>
      <c r="Z43290" s="372">
        <v>0.0</v>
      </c>
    </row>
    <row r="43291">
      <c r="Y43291" s="372">
        <v>0.0</v>
      </c>
      <c r="Z43291" s="372">
        <v>0.0</v>
      </c>
    </row>
    <row r="43292">
      <c r="Y43292" s="372">
        <v>0.0</v>
      </c>
      <c r="Z43292" s="372">
        <v>0.0</v>
      </c>
    </row>
    <row r="43293">
      <c r="Y43293" s="372">
        <v>0.0</v>
      </c>
      <c r="Z43293" s="372">
        <v>0.0</v>
      </c>
    </row>
    <row r="43294">
      <c r="Y43294" s="372">
        <v>0.0</v>
      </c>
      <c r="Z43294" s="372">
        <v>0.0</v>
      </c>
    </row>
    <row r="43295">
      <c r="Y43295" s="372">
        <v>0.0</v>
      </c>
      <c r="Z43295" s="372">
        <v>0.0</v>
      </c>
    </row>
    <row r="43296">
      <c r="Y43296" s="372">
        <v>0.0</v>
      </c>
      <c r="Z43296" s="372">
        <v>0.0</v>
      </c>
    </row>
    <row r="43297">
      <c r="Y43297" s="372">
        <v>0.0</v>
      </c>
      <c r="Z43297" s="372">
        <v>0.0</v>
      </c>
    </row>
    <row r="43298">
      <c r="Y43298" s="372">
        <v>0.0</v>
      </c>
      <c r="Z43298" s="372">
        <v>0.0</v>
      </c>
    </row>
    <row r="43299">
      <c r="Y43299" s="372">
        <v>0.0</v>
      </c>
      <c r="Z43299" s="372">
        <v>0.0</v>
      </c>
    </row>
    <row r="43300">
      <c r="Y43300" s="372">
        <v>0.0</v>
      </c>
      <c r="Z43300" s="372">
        <v>0.0</v>
      </c>
    </row>
    <row r="43301">
      <c r="Y43301" s="372">
        <v>0.0</v>
      </c>
      <c r="Z43301" s="372">
        <v>0.0</v>
      </c>
    </row>
    <row r="43302">
      <c r="Y43302" s="372">
        <v>0.0</v>
      </c>
      <c r="Z43302" s="372">
        <v>0.0</v>
      </c>
    </row>
    <row r="43303">
      <c r="Y43303" s="372">
        <v>0.0</v>
      </c>
      <c r="Z43303" s="372">
        <v>0.0</v>
      </c>
    </row>
    <row r="43304">
      <c r="Y43304" s="372">
        <v>0.0</v>
      </c>
      <c r="Z43304" s="372">
        <v>0.0</v>
      </c>
    </row>
    <row r="43305">
      <c r="Y43305" s="372">
        <v>0.0</v>
      </c>
      <c r="Z43305" s="372">
        <v>0.0</v>
      </c>
    </row>
    <row r="43306">
      <c r="Y43306" s="372">
        <v>0.0</v>
      </c>
      <c r="Z43306" s="372">
        <v>0.0</v>
      </c>
    </row>
    <row r="43307">
      <c r="Y43307" s="372">
        <v>0.0</v>
      </c>
      <c r="Z43307" s="372">
        <v>0.0</v>
      </c>
    </row>
    <row r="43308">
      <c r="Y43308" s="372">
        <v>0.0</v>
      </c>
      <c r="Z43308" s="372">
        <v>0.0</v>
      </c>
    </row>
    <row r="43309">
      <c r="Y43309" s="372">
        <v>0.0</v>
      </c>
      <c r="Z43309" s="372">
        <v>0.0</v>
      </c>
    </row>
    <row r="43310">
      <c r="Y43310" s="372">
        <v>0.0</v>
      </c>
      <c r="Z43310" s="372">
        <v>0.0</v>
      </c>
    </row>
    <row r="43311">
      <c r="Y43311" s="372">
        <v>0.0</v>
      </c>
      <c r="Z43311" s="372">
        <v>0.0</v>
      </c>
    </row>
    <row r="43312">
      <c r="Y43312" s="372">
        <v>0.0</v>
      </c>
      <c r="Z43312" s="372">
        <v>0.0</v>
      </c>
    </row>
    <row r="43313">
      <c r="Y43313" s="372">
        <v>0.0</v>
      </c>
      <c r="Z43313" s="372">
        <v>0.0</v>
      </c>
    </row>
    <row r="43314">
      <c r="Y43314" s="372">
        <v>0.0</v>
      </c>
      <c r="Z43314" s="372">
        <v>0.0</v>
      </c>
    </row>
    <row r="43315">
      <c r="Y43315" s="372">
        <v>0.0</v>
      </c>
      <c r="Z43315" s="372">
        <v>0.0</v>
      </c>
    </row>
    <row r="43316">
      <c r="Y43316" s="372">
        <v>0.0</v>
      </c>
      <c r="Z43316" s="372">
        <v>0.0</v>
      </c>
    </row>
    <row r="43317">
      <c r="Y43317" s="372">
        <v>0.0</v>
      </c>
      <c r="Z43317" s="372">
        <v>0.0</v>
      </c>
    </row>
    <row r="43318">
      <c r="Y43318" s="372">
        <v>0.0</v>
      </c>
      <c r="Z43318" s="372">
        <v>0.0</v>
      </c>
    </row>
    <row r="43319">
      <c r="Y43319" s="372">
        <v>0.0</v>
      </c>
      <c r="Z43319" s="372">
        <v>0.0</v>
      </c>
    </row>
    <row r="43320">
      <c r="Y43320" s="372">
        <v>0.0</v>
      </c>
      <c r="Z43320" s="372">
        <v>0.0</v>
      </c>
    </row>
    <row r="43321">
      <c r="Y43321" s="372">
        <v>0.0</v>
      </c>
      <c r="Z43321" s="372">
        <v>0.0</v>
      </c>
    </row>
    <row r="43322">
      <c r="Y43322" s="372">
        <v>0.0</v>
      </c>
      <c r="Z43322" s="372">
        <v>0.0</v>
      </c>
    </row>
    <row r="43323">
      <c r="Y43323" s="372">
        <v>0.0</v>
      </c>
      <c r="Z43323" s="372">
        <v>0.0</v>
      </c>
    </row>
    <row r="43324">
      <c r="Y43324" s="372">
        <v>0.0</v>
      </c>
      <c r="Z43324" s="372">
        <v>0.0</v>
      </c>
    </row>
    <row r="43325">
      <c r="Y43325" s="372">
        <v>0.0</v>
      </c>
      <c r="Z43325" s="372">
        <v>0.0</v>
      </c>
    </row>
    <row r="43326">
      <c r="Y43326" s="372">
        <v>0.0</v>
      </c>
      <c r="Z43326" s="372">
        <v>0.0</v>
      </c>
    </row>
    <row r="43327">
      <c r="Y43327" s="372">
        <v>0.0</v>
      </c>
      <c r="Z43327" s="372">
        <v>0.0</v>
      </c>
    </row>
    <row r="43328">
      <c r="Y43328" s="372">
        <v>0.0</v>
      </c>
      <c r="Z43328" s="372">
        <v>0.0</v>
      </c>
    </row>
    <row r="43329">
      <c r="Y43329" s="372">
        <v>0.0</v>
      </c>
      <c r="Z43329" s="372">
        <v>0.0</v>
      </c>
    </row>
    <row r="43330">
      <c r="Y43330" s="372">
        <v>0.0</v>
      </c>
      <c r="Z43330" s="372">
        <v>0.0</v>
      </c>
    </row>
    <row r="43331">
      <c r="Y43331" s="372">
        <v>0.0</v>
      </c>
      <c r="Z43331" s="372">
        <v>0.0</v>
      </c>
    </row>
    <row r="43332">
      <c r="Y43332" s="372">
        <v>0.0</v>
      </c>
      <c r="Z43332" s="372">
        <v>0.0</v>
      </c>
    </row>
    <row r="43333">
      <c r="Y43333" s="372">
        <v>0.0</v>
      </c>
      <c r="Z43333" s="372">
        <v>0.0</v>
      </c>
    </row>
    <row r="43334">
      <c r="Y43334" s="372">
        <v>0.0</v>
      </c>
      <c r="Z43334" s="372">
        <v>0.0</v>
      </c>
    </row>
    <row r="43335">
      <c r="Y43335" s="372">
        <v>0.0</v>
      </c>
      <c r="Z43335" s="372">
        <v>0.0</v>
      </c>
    </row>
    <row r="43336">
      <c r="Y43336" s="372">
        <v>0.0</v>
      </c>
      <c r="Z43336" s="372">
        <v>0.0</v>
      </c>
    </row>
    <row r="43337">
      <c r="Y43337" s="372">
        <v>0.0</v>
      </c>
      <c r="Z43337" s="372">
        <v>0.0</v>
      </c>
    </row>
    <row r="43338">
      <c r="Y43338" s="372">
        <v>0.0</v>
      </c>
      <c r="Z43338" s="372">
        <v>0.0</v>
      </c>
    </row>
    <row r="43339">
      <c r="Y43339" s="372">
        <v>0.0</v>
      </c>
      <c r="Z43339" s="372">
        <v>0.0</v>
      </c>
    </row>
    <row r="43340">
      <c r="Y43340" s="372">
        <v>0.0</v>
      </c>
      <c r="Z43340" s="372">
        <v>0.0</v>
      </c>
    </row>
    <row r="43341">
      <c r="Y43341" s="372">
        <v>0.0</v>
      </c>
      <c r="Z43341" s="372">
        <v>0.0</v>
      </c>
    </row>
    <row r="43342">
      <c r="Y43342" s="372">
        <v>0.0</v>
      </c>
      <c r="Z43342" s="372">
        <v>0.0</v>
      </c>
    </row>
    <row r="43343">
      <c r="Y43343" s="372">
        <v>0.0</v>
      </c>
      <c r="Z43343" s="372">
        <v>0.0</v>
      </c>
    </row>
    <row r="43344">
      <c r="Y43344" s="372">
        <v>0.0</v>
      </c>
      <c r="Z43344" s="372">
        <v>0.0</v>
      </c>
    </row>
    <row r="43345">
      <c r="Y43345" s="372">
        <v>0.0</v>
      </c>
      <c r="Z43345" s="372">
        <v>0.0</v>
      </c>
    </row>
    <row r="43346">
      <c r="Y43346" s="372">
        <v>0.0</v>
      </c>
      <c r="Z43346" s="372">
        <v>0.0</v>
      </c>
    </row>
    <row r="43347">
      <c r="Y43347" s="372">
        <v>0.0</v>
      </c>
      <c r="Z43347" s="372">
        <v>0.0</v>
      </c>
    </row>
    <row r="43348">
      <c r="Y43348" s="372">
        <v>0.0</v>
      </c>
      <c r="Z43348" s="372">
        <v>0.0</v>
      </c>
    </row>
    <row r="43349">
      <c r="Y43349" s="372">
        <v>0.0</v>
      </c>
      <c r="Z43349" s="372">
        <v>0.0</v>
      </c>
    </row>
    <row r="43350">
      <c r="Y43350" s="372">
        <v>0.0</v>
      </c>
      <c r="Z43350" s="372">
        <v>0.0</v>
      </c>
    </row>
    <row r="43351">
      <c r="Y43351" s="372">
        <v>0.0</v>
      </c>
      <c r="Z43351" s="372">
        <v>0.0</v>
      </c>
    </row>
    <row r="43352">
      <c r="Y43352" s="372">
        <v>0.0</v>
      </c>
      <c r="Z43352" s="372">
        <v>0.0</v>
      </c>
    </row>
    <row r="43353">
      <c r="Y43353" s="372">
        <v>0.0</v>
      </c>
      <c r="Z43353" s="372">
        <v>0.0</v>
      </c>
    </row>
    <row r="43354">
      <c r="Y43354" s="372">
        <v>0.0</v>
      </c>
      <c r="Z43354" s="372">
        <v>0.0</v>
      </c>
    </row>
    <row r="43355">
      <c r="Y43355" s="372">
        <v>0.0</v>
      </c>
      <c r="Z43355" s="372">
        <v>0.0</v>
      </c>
    </row>
    <row r="43356">
      <c r="Y43356" s="372">
        <v>0.0</v>
      </c>
      <c r="Z43356" s="372">
        <v>0.0</v>
      </c>
    </row>
    <row r="43357">
      <c r="Y43357" s="372">
        <v>0.0</v>
      </c>
      <c r="Z43357" s="372">
        <v>0.0</v>
      </c>
    </row>
    <row r="43358">
      <c r="Y43358" s="372">
        <v>0.0</v>
      </c>
      <c r="Z43358" s="372">
        <v>0.0</v>
      </c>
    </row>
    <row r="43359">
      <c r="Y43359" s="372">
        <v>0.0</v>
      </c>
      <c r="Z43359" s="372">
        <v>0.0</v>
      </c>
    </row>
    <row r="43360">
      <c r="Y43360" s="372">
        <v>0.0</v>
      </c>
      <c r="Z43360" s="372">
        <v>0.0</v>
      </c>
    </row>
    <row r="43361">
      <c r="Y43361" s="372">
        <v>0.0</v>
      </c>
      <c r="Z43361" s="372">
        <v>0.0</v>
      </c>
    </row>
    <row r="43362">
      <c r="Y43362" s="372">
        <v>0.0</v>
      </c>
      <c r="Z43362" s="372">
        <v>0.0</v>
      </c>
    </row>
    <row r="43363">
      <c r="Y43363" s="372">
        <v>0.0</v>
      </c>
      <c r="Z43363" s="372">
        <v>0.0</v>
      </c>
    </row>
    <row r="43364">
      <c r="Y43364" s="372">
        <v>0.0</v>
      </c>
      <c r="Z43364" s="372">
        <v>0.0</v>
      </c>
    </row>
    <row r="43365">
      <c r="Y43365" s="372">
        <v>0.0</v>
      </c>
      <c r="Z43365" s="372">
        <v>0.0</v>
      </c>
    </row>
    <row r="43366">
      <c r="Y43366" s="372">
        <v>0.0</v>
      </c>
      <c r="Z43366" s="372">
        <v>0.0</v>
      </c>
    </row>
    <row r="43367">
      <c r="Y43367" s="372">
        <v>0.0</v>
      </c>
      <c r="Z43367" s="372">
        <v>0.0</v>
      </c>
    </row>
    <row r="43368">
      <c r="Y43368" s="372">
        <v>0.0</v>
      </c>
      <c r="Z43368" s="372">
        <v>0.0</v>
      </c>
    </row>
    <row r="43369">
      <c r="Y43369" s="372">
        <v>0.0</v>
      </c>
      <c r="Z43369" s="372">
        <v>0.0</v>
      </c>
    </row>
    <row r="43370">
      <c r="Y43370" s="372">
        <v>0.0</v>
      </c>
      <c r="Z43370" s="372">
        <v>0.0</v>
      </c>
    </row>
    <row r="43371">
      <c r="Y43371" s="372">
        <v>0.0</v>
      </c>
      <c r="Z43371" s="372">
        <v>0.0</v>
      </c>
    </row>
    <row r="43372">
      <c r="Y43372" s="372">
        <v>0.0</v>
      </c>
      <c r="Z43372" s="372">
        <v>0.0</v>
      </c>
    </row>
    <row r="43373">
      <c r="Y43373" s="372">
        <v>0.0</v>
      </c>
      <c r="Z43373" s="372">
        <v>0.0</v>
      </c>
    </row>
    <row r="43374">
      <c r="Y43374" s="372">
        <v>0.0</v>
      </c>
      <c r="Z43374" s="372">
        <v>0.0</v>
      </c>
    </row>
    <row r="43375">
      <c r="Y43375" s="372">
        <v>0.0</v>
      </c>
      <c r="Z43375" s="372">
        <v>0.0</v>
      </c>
    </row>
    <row r="43376">
      <c r="Y43376" s="372">
        <v>0.0</v>
      </c>
      <c r="Z43376" s="372">
        <v>0.0</v>
      </c>
    </row>
    <row r="43377">
      <c r="Y43377" s="372">
        <v>0.0</v>
      </c>
      <c r="Z43377" s="372">
        <v>0.0</v>
      </c>
    </row>
    <row r="43378">
      <c r="Y43378" s="372">
        <v>0.0</v>
      </c>
      <c r="Z43378" s="372">
        <v>0.0</v>
      </c>
    </row>
    <row r="43379">
      <c r="Y43379" s="372">
        <v>0.0</v>
      </c>
      <c r="Z43379" s="372">
        <v>0.0</v>
      </c>
    </row>
    <row r="43380">
      <c r="Y43380" s="372">
        <v>0.0</v>
      </c>
      <c r="Z43380" s="372">
        <v>0.0</v>
      </c>
    </row>
    <row r="43381">
      <c r="Y43381" s="372">
        <v>0.0</v>
      </c>
      <c r="Z43381" s="372">
        <v>0.0</v>
      </c>
    </row>
    <row r="43382">
      <c r="Y43382" s="372">
        <v>0.0</v>
      </c>
      <c r="Z43382" s="372">
        <v>0.0</v>
      </c>
    </row>
    <row r="43383">
      <c r="Y43383" s="372">
        <v>0.0</v>
      </c>
      <c r="Z43383" s="372">
        <v>0.0</v>
      </c>
    </row>
    <row r="43384">
      <c r="Y43384" s="372">
        <v>0.0</v>
      </c>
      <c r="Z43384" s="372">
        <v>0.0</v>
      </c>
    </row>
    <row r="43385">
      <c r="Y43385" s="372">
        <v>0.0</v>
      </c>
      <c r="Z43385" s="372">
        <v>0.0</v>
      </c>
    </row>
    <row r="43386">
      <c r="Y43386" s="372">
        <v>0.0</v>
      </c>
      <c r="Z43386" s="372">
        <v>0.0</v>
      </c>
    </row>
    <row r="43387">
      <c r="Y43387" s="372">
        <v>0.0</v>
      </c>
      <c r="Z43387" s="372">
        <v>0.0</v>
      </c>
    </row>
    <row r="43388">
      <c r="Y43388" s="372">
        <v>0.0</v>
      </c>
      <c r="Z43388" s="372">
        <v>0.0</v>
      </c>
    </row>
    <row r="43389">
      <c r="Y43389" s="372">
        <v>0.0</v>
      </c>
      <c r="Z43389" s="372">
        <v>0.0</v>
      </c>
    </row>
    <row r="43390">
      <c r="Y43390" s="372">
        <v>0.0</v>
      </c>
      <c r="Z43390" s="372">
        <v>0.0</v>
      </c>
    </row>
    <row r="43391">
      <c r="Y43391" s="372">
        <v>0.0</v>
      </c>
      <c r="Z43391" s="372">
        <v>0.0</v>
      </c>
    </row>
    <row r="43392">
      <c r="Y43392" s="372">
        <v>0.0</v>
      </c>
      <c r="Z43392" s="372">
        <v>0.0</v>
      </c>
    </row>
    <row r="43393">
      <c r="Y43393" s="372">
        <v>0.0</v>
      </c>
      <c r="Z43393" s="372">
        <v>0.0</v>
      </c>
    </row>
    <row r="43394">
      <c r="Y43394" s="372">
        <v>0.0</v>
      </c>
      <c r="Z43394" s="372">
        <v>0.0</v>
      </c>
    </row>
    <row r="43395">
      <c r="Y43395" s="372">
        <v>0.0</v>
      </c>
      <c r="Z43395" s="372">
        <v>0.0</v>
      </c>
    </row>
    <row r="43396">
      <c r="Y43396" s="372">
        <v>0.0</v>
      </c>
      <c r="Z43396" s="372">
        <v>0.0</v>
      </c>
    </row>
    <row r="43397">
      <c r="Y43397" s="372">
        <v>0.0</v>
      </c>
      <c r="Z43397" s="372">
        <v>0.0</v>
      </c>
    </row>
    <row r="43398">
      <c r="Y43398" s="372">
        <v>0.0</v>
      </c>
      <c r="Z43398" s="372">
        <v>0.0</v>
      </c>
    </row>
    <row r="43399">
      <c r="Y43399" s="372">
        <v>0.0</v>
      </c>
      <c r="Z43399" s="372">
        <v>0.0</v>
      </c>
    </row>
    <row r="43400">
      <c r="Y43400" s="372">
        <v>0.0</v>
      </c>
      <c r="Z43400" s="372">
        <v>0.0</v>
      </c>
    </row>
    <row r="43401">
      <c r="Y43401" s="372">
        <v>0.0</v>
      </c>
      <c r="Z43401" s="372">
        <v>0.0</v>
      </c>
    </row>
    <row r="43402">
      <c r="Y43402" s="372">
        <v>0.0</v>
      </c>
      <c r="Z43402" s="372">
        <v>0.0</v>
      </c>
    </row>
    <row r="43403">
      <c r="Y43403" s="372">
        <v>0.0</v>
      </c>
      <c r="Z43403" s="372">
        <v>0.0</v>
      </c>
    </row>
    <row r="43404">
      <c r="Y43404" s="372">
        <v>0.0</v>
      </c>
      <c r="Z43404" s="372">
        <v>0.0</v>
      </c>
    </row>
    <row r="43405">
      <c r="Y43405" s="372">
        <v>0.0</v>
      </c>
      <c r="Z43405" s="372">
        <v>0.0</v>
      </c>
    </row>
    <row r="43406">
      <c r="Y43406" s="372">
        <v>0.0</v>
      </c>
      <c r="Z43406" s="372">
        <v>0.0</v>
      </c>
    </row>
    <row r="43407">
      <c r="Y43407" s="372">
        <v>0.0</v>
      </c>
      <c r="Z43407" s="372">
        <v>0.0</v>
      </c>
    </row>
    <row r="43408">
      <c r="Y43408" s="372">
        <v>0.0</v>
      </c>
      <c r="Z43408" s="372">
        <v>0.0</v>
      </c>
    </row>
    <row r="43409">
      <c r="Y43409" s="372">
        <v>0.0</v>
      </c>
      <c r="Z43409" s="372">
        <v>0.0</v>
      </c>
    </row>
    <row r="43410">
      <c r="Y43410" s="372">
        <v>0.0</v>
      </c>
      <c r="Z43410" s="372">
        <v>0.0</v>
      </c>
    </row>
    <row r="43411">
      <c r="Y43411" s="372">
        <v>0.0</v>
      </c>
      <c r="Z43411" s="372">
        <v>0.0</v>
      </c>
    </row>
    <row r="43412">
      <c r="Y43412" s="372">
        <v>0.0</v>
      </c>
      <c r="Z43412" s="372">
        <v>0.0</v>
      </c>
    </row>
    <row r="43413">
      <c r="Y43413" s="372">
        <v>0.0</v>
      </c>
      <c r="Z43413" s="372">
        <v>0.0</v>
      </c>
    </row>
    <row r="43414">
      <c r="Y43414" s="372">
        <v>0.0</v>
      </c>
      <c r="Z43414" s="372">
        <v>0.0</v>
      </c>
    </row>
    <row r="43415">
      <c r="Y43415" s="372">
        <v>0.0</v>
      </c>
      <c r="Z43415" s="372">
        <v>0.0</v>
      </c>
    </row>
    <row r="43416">
      <c r="Y43416" s="372">
        <v>0.0</v>
      </c>
      <c r="Z43416" s="372">
        <v>0.0</v>
      </c>
    </row>
    <row r="43417">
      <c r="Y43417" s="372">
        <v>0.0</v>
      </c>
      <c r="Z43417" s="372">
        <v>0.0</v>
      </c>
    </row>
    <row r="43418">
      <c r="Y43418" s="372">
        <v>0.0</v>
      </c>
      <c r="Z43418" s="372">
        <v>0.0</v>
      </c>
    </row>
    <row r="43419">
      <c r="Y43419" s="372">
        <v>0.0</v>
      </c>
      <c r="Z43419" s="372">
        <v>0.0</v>
      </c>
    </row>
    <row r="43420">
      <c r="Y43420" s="372">
        <v>0.0</v>
      </c>
      <c r="Z43420" s="372">
        <v>0.0</v>
      </c>
    </row>
    <row r="43421">
      <c r="Y43421" s="372">
        <v>0.0</v>
      </c>
      <c r="Z43421" s="372">
        <v>0.0</v>
      </c>
    </row>
    <row r="43422">
      <c r="Y43422" s="372">
        <v>0.0</v>
      </c>
      <c r="Z43422" s="372">
        <v>0.0</v>
      </c>
    </row>
    <row r="43423">
      <c r="Y43423" s="372">
        <v>0.0</v>
      </c>
      <c r="Z43423" s="372">
        <v>0.0</v>
      </c>
    </row>
    <row r="43424">
      <c r="Y43424" s="372">
        <v>0.0</v>
      </c>
      <c r="Z43424" s="372">
        <v>0.0</v>
      </c>
    </row>
    <row r="43425">
      <c r="Y43425" s="372">
        <v>0.0</v>
      </c>
      <c r="Z43425" s="372">
        <v>0.0</v>
      </c>
    </row>
    <row r="43426">
      <c r="Y43426" s="372">
        <v>0.0</v>
      </c>
      <c r="Z43426" s="372">
        <v>0.0</v>
      </c>
    </row>
    <row r="43427">
      <c r="Y43427" s="372">
        <v>0.0</v>
      </c>
      <c r="Z43427" s="372">
        <v>0.0</v>
      </c>
    </row>
    <row r="43428">
      <c r="Y43428" s="372">
        <v>0.0</v>
      </c>
      <c r="Z43428" s="372">
        <v>0.0</v>
      </c>
    </row>
    <row r="43429">
      <c r="Y43429" s="372">
        <v>0.0</v>
      </c>
      <c r="Z43429" s="372">
        <v>0.0</v>
      </c>
    </row>
    <row r="43430">
      <c r="Y43430" s="372">
        <v>0.0</v>
      </c>
      <c r="Z43430" s="372">
        <v>0.0</v>
      </c>
    </row>
    <row r="43431">
      <c r="Y43431" s="372">
        <v>0.0</v>
      </c>
      <c r="Z43431" s="372">
        <v>0.0</v>
      </c>
    </row>
    <row r="43432">
      <c r="Y43432" s="372">
        <v>0.0</v>
      </c>
      <c r="Z43432" s="372">
        <v>0.0</v>
      </c>
    </row>
    <row r="43433">
      <c r="Y43433" s="372">
        <v>0.0</v>
      </c>
      <c r="Z43433" s="372">
        <v>0.0</v>
      </c>
    </row>
    <row r="43434">
      <c r="Y43434" s="372">
        <v>0.0</v>
      </c>
      <c r="Z43434" s="372">
        <v>0.0</v>
      </c>
    </row>
    <row r="43435">
      <c r="Y43435" s="372">
        <v>0.0</v>
      </c>
      <c r="Z43435" s="372">
        <v>0.0</v>
      </c>
    </row>
    <row r="43436">
      <c r="Y43436" s="372">
        <v>0.0</v>
      </c>
      <c r="Z43436" s="372">
        <v>0.0</v>
      </c>
    </row>
    <row r="43437">
      <c r="Y43437" s="372">
        <v>0.0</v>
      </c>
      <c r="Z43437" s="372">
        <v>0.0</v>
      </c>
    </row>
    <row r="43438">
      <c r="Y43438" s="372">
        <v>0.0</v>
      </c>
      <c r="Z43438" s="372">
        <v>0.0</v>
      </c>
    </row>
    <row r="43439">
      <c r="Y43439" s="372">
        <v>0.0</v>
      </c>
      <c r="Z43439" s="372">
        <v>0.0</v>
      </c>
    </row>
    <row r="43440">
      <c r="Y43440" s="372">
        <v>0.0</v>
      </c>
      <c r="Z43440" s="372">
        <v>0.0</v>
      </c>
    </row>
    <row r="43441">
      <c r="Y43441" s="372">
        <v>0.0</v>
      </c>
      <c r="Z43441" s="372">
        <v>0.0</v>
      </c>
    </row>
    <row r="43442">
      <c r="Y43442" s="372">
        <v>0.0</v>
      </c>
      <c r="Z43442" s="372">
        <v>0.0</v>
      </c>
    </row>
    <row r="43443">
      <c r="Y43443" s="372">
        <v>0.0</v>
      </c>
      <c r="Z43443" s="372">
        <v>0.0</v>
      </c>
    </row>
    <row r="43444">
      <c r="Y43444" s="372">
        <v>0.0</v>
      </c>
      <c r="Z43444" s="372">
        <v>0.0</v>
      </c>
    </row>
    <row r="43445">
      <c r="Y43445" s="372">
        <v>0.0</v>
      </c>
      <c r="Z43445" s="372">
        <v>0.0</v>
      </c>
    </row>
    <row r="43446">
      <c r="Y43446" s="372">
        <v>0.0</v>
      </c>
      <c r="Z43446" s="372">
        <v>0.0</v>
      </c>
    </row>
    <row r="43447">
      <c r="Y43447" s="372">
        <v>0.0</v>
      </c>
      <c r="Z43447" s="372">
        <v>0.0</v>
      </c>
    </row>
    <row r="43448">
      <c r="Y43448" s="372">
        <v>0.0</v>
      </c>
      <c r="Z43448" s="372">
        <v>0.0</v>
      </c>
    </row>
    <row r="43449">
      <c r="Y43449" s="372">
        <v>0.0</v>
      </c>
      <c r="Z43449" s="372">
        <v>0.0</v>
      </c>
    </row>
    <row r="43450">
      <c r="Y43450" s="372">
        <v>0.0</v>
      </c>
      <c r="Z43450" s="372">
        <v>0.0</v>
      </c>
    </row>
    <row r="43451">
      <c r="Y43451" s="372">
        <v>0.0</v>
      </c>
      <c r="Z43451" s="372">
        <v>0.0</v>
      </c>
    </row>
    <row r="43452">
      <c r="Y43452" s="372">
        <v>0.0</v>
      </c>
      <c r="Z43452" s="372">
        <v>0.0</v>
      </c>
    </row>
    <row r="43453">
      <c r="Y43453" s="372">
        <v>0.0</v>
      </c>
      <c r="Z43453" s="372">
        <v>0.0</v>
      </c>
    </row>
    <row r="43454">
      <c r="Y43454" s="372">
        <v>0.0</v>
      </c>
      <c r="Z43454" s="372">
        <v>0.0</v>
      </c>
    </row>
    <row r="43455">
      <c r="Y43455" s="372">
        <v>0.0</v>
      </c>
      <c r="Z43455" s="372">
        <v>0.0</v>
      </c>
    </row>
    <row r="43456">
      <c r="Y43456" s="372">
        <v>0.0</v>
      </c>
      <c r="Z43456" s="372">
        <v>0.0</v>
      </c>
    </row>
    <row r="43457">
      <c r="Y43457" s="372">
        <v>0.0</v>
      </c>
      <c r="Z43457" s="372">
        <v>0.0</v>
      </c>
    </row>
    <row r="43458">
      <c r="Y43458" s="372">
        <v>0.0</v>
      </c>
      <c r="Z43458" s="372">
        <v>0.0</v>
      </c>
    </row>
    <row r="43459">
      <c r="Y43459" s="372">
        <v>0.0</v>
      </c>
      <c r="Z43459" s="372">
        <v>0.0</v>
      </c>
    </row>
    <row r="43460">
      <c r="Y43460" s="372">
        <v>0.0</v>
      </c>
      <c r="Z43460" s="372">
        <v>0.0</v>
      </c>
    </row>
    <row r="43461">
      <c r="Y43461" s="372">
        <v>0.0</v>
      </c>
      <c r="Z43461" s="372">
        <v>0.0</v>
      </c>
    </row>
    <row r="43462">
      <c r="Y43462" s="372">
        <v>0.0</v>
      </c>
      <c r="Z43462" s="372">
        <v>0.0</v>
      </c>
    </row>
    <row r="43463">
      <c r="Y43463" s="372">
        <v>0.0</v>
      </c>
      <c r="Z43463" s="372">
        <v>0.0</v>
      </c>
    </row>
    <row r="43464">
      <c r="Y43464" s="372">
        <v>0.0</v>
      </c>
      <c r="Z43464" s="372">
        <v>0.0</v>
      </c>
    </row>
    <row r="43465">
      <c r="Y43465" s="372">
        <v>0.0</v>
      </c>
      <c r="Z43465" s="372">
        <v>0.0</v>
      </c>
    </row>
    <row r="43466">
      <c r="Y43466" s="372">
        <v>0.0</v>
      </c>
      <c r="Z43466" s="372">
        <v>0.0</v>
      </c>
    </row>
    <row r="43467">
      <c r="Y43467" s="372">
        <v>0.0</v>
      </c>
      <c r="Z43467" s="372">
        <v>0.0</v>
      </c>
    </row>
    <row r="43468">
      <c r="Y43468" s="372">
        <v>0.0</v>
      </c>
      <c r="Z43468" s="372">
        <v>0.0</v>
      </c>
    </row>
    <row r="43469">
      <c r="Y43469" s="372">
        <v>0.0</v>
      </c>
      <c r="Z43469" s="372">
        <v>0.0</v>
      </c>
    </row>
    <row r="43470">
      <c r="Y43470" s="372">
        <v>0.0</v>
      </c>
      <c r="Z43470" s="372">
        <v>0.0</v>
      </c>
    </row>
    <row r="43471">
      <c r="Y43471" s="372">
        <v>0.0</v>
      </c>
      <c r="Z43471" s="372">
        <v>0.0</v>
      </c>
    </row>
    <row r="43472">
      <c r="Y43472" s="372">
        <v>0.0</v>
      </c>
      <c r="Z43472" s="372">
        <v>0.0</v>
      </c>
    </row>
    <row r="43473">
      <c r="Y43473" s="372">
        <v>0.0</v>
      </c>
      <c r="Z43473" s="372">
        <v>0.0</v>
      </c>
    </row>
    <row r="43474">
      <c r="Y43474" s="372">
        <v>0.0</v>
      </c>
      <c r="Z43474" s="372">
        <v>0.0</v>
      </c>
    </row>
    <row r="43475">
      <c r="Y43475" s="372">
        <v>0.0</v>
      </c>
      <c r="Z43475" s="372">
        <v>0.0</v>
      </c>
    </row>
    <row r="43476">
      <c r="Y43476" s="372">
        <v>0.0</v>
      </c>
      <c r="Z43476" s="372">
        <v>0.0</v>
      </c>
    </row>
    <row r="43477">
      <c r="Y43477" s="372">
        <v>0.0</v>
      </c>
      <c r="Z43477" s="372">
        <v>0.0</v>
      </c>
    </row>
    <row r="43478">
      <c r="Y43478" s="372">
        <v>0.0</v>
      </c>
      <c r="Z43478" s="372">
        <v>0.0</v>
      </c>
    </row>
    <row r="43479">
      <c r="Y43479" s="372">
        <v>0.0</v>
      </c>
      <c r="Z43479" s="372">
        <v>0.0</v>
      </c>
    </row>
    <row r="43480">
      <c r="Y43480" s="372">
        <v>0.0</v>
      </c>
      <c r="Z43480" s="372">
        <v>0.0</v>
      </c>
    </row>
    <row r="43481">
      <c r="Y43481" s="372">
        <v>0.0</v>
      </c>
      <c r="Z43481" s="372">
        <v>0.0</v>
      </c>
    </row>
    <row r="43482">
      <c r="Y43482" s="372">
        <v>0.0</v>
      </c>
      <c r="Z43482" s="372">
        <v>0.0</v>
      </c>
    </row>
    <row r="43483">
      <c r="Y43483" s="372">
        <v>0.0</v>
      </c>
      <c r="Z43483" s="372">
        <v>0.0</v>
      </c>
    </row>
    <row r="43484">
      <c r="Y43484" s="372">
        <v>0.0</v>
      </c>
      <c r="Z43484" s="372">
        <v>0.0</v>
      </c>
    </row>
    <row r="43485">
      <c r="Y43485" s="372">
        <v>0.0</v>
      </c>
      <c r="Z43485" s="372">
        <v>0.0</v>
      </c>
    </row>
    <row r="43486">
      <c r="Y43486" s="372">
        <v>0.0</v>
      </c>
      <c r="Z43486" s="372">
        <v>0.0</v>
      </c>
    </row>
    <row r="43487">
      <c r="Y43487" s="372">
        <v>0.0</v>
      </c>
      <c r="Z43487" s="372">
        <v>0.0</v>
      </c>
    </row>
    <row r="43488">
      <c r="Y43488" s="372">
        <v>0.0</v>
      </c>
      <c r="Z43488" s="372">
        <v>0.0</v>
      </c>
    </row>
    <row r="43489">
      <c r="Y43489" s="372">
        <v>0.0</v>
      </c>
      <c r="Z43489" s="372">
        <v>0.0</v>
      </c>
    </row>
    <row r="43490">
      <c r="Y43490" s="372">
        <v>0.0</v>
      </c>
      <c r="Z43490" s="372">
        <v>0.0</v>
      </c>
    </row>
    <row r="43491">
      <c r="Y43491" s="372">
        <v>0.0</v>
      </c>
      <c r="Z43491" s="372">
        <v>0.0</v>
      </c>
    </row>
    <row r="43492">
      <c r="Y43492" s="372">
        <v>0.0</v>
      </c>
      <c r="Z43492" s="372">
        <v>0.0</v>
      </c>
    </row>
    <row r="43493">
      <c r="Y43493" s="372">
        <v>0.0</v>
      </c>
      <c r="Z43493" s="372">
        <v>0.0</v>
      </c>
    </row>
    <row r="43494">
      <c r="Y43494" s="372">
        <v>0.0</v>
      </c>
      <c r="Z43494" s="372">
        <v>0.0</v>
      </c>
    </row>
    <row r="43495">
      <c r="Y43495" s="372">
        <v>0.0</v>
      </c>
      <c r="Z43495" s="372">
        <v>0.0</v>
      </c>
    </row>
    <row r="43496">
      <c r="Y43496" s="372">
        <v>0.0</v>
      </c>
      <c r="Z43496" s="372">
        <v>0.0</v>
      </c>
    </row>
    <row r="43497">
      <c r="Y43497" s="372">
        <v>0.0</v>
      </c>
      <c r="Z43497" s="372">
        <v>0.0</v>
      </c>
    </row>
    <row r="43498">
      <c r="Y43498" s="372">
        <v>0.0</v>
      </c>
      <c r="Z43498" s="372">
        <v>0.0</v>
      </c>
    </row>
    <row r="43499">
      <c r="Y43499" s="372">
        <v>0.0</v>
      </c>
      <c r="Z43499" s="372">
        <v>0.0</v>
      </c>
    </row>
    <row r="43500">
      <c r="Y43500" s="372">
        <v>0.0</v>
      </c>
      <c r="Z43500" s="372">
        <v>0.0</v>
      </c>
    </row>
    <row r="43501">
      <c r="Y43501" s="372">
        <v>0.0</v>
      </c>
      <c r="Z43501" s="372">
        <v>0.0</v>
      </c>
    </row>
    <row r="43502">
      <c r="Y43502" s="372">
        <v>0.0</v>
      </c>
      <c r="Z43502" s="372">
        <v>0.0</v>
      </c>
    </row>
    <row r="43503">
      <c r="Y43503" s="372">
        <v>0.0</v>
      </c>
      <c r="Z43503" s="372">
        <v>0.0</v>
      </c>
    </row>
    <row r="43504">
      <c r="Y43504" s="372">
        <v>0.0</v>
      </c>
      <c r="Z43504" s="372">
        <v>0.0</v>
      </c>
    </row>
    <row r="43505">
      <c r="Y43505" s="372">
        <v>0.0</v>
      </c>
      <c r="Z43505" s="372">
        <v>0.0</v>
      </c>
    </row>
    <row r="43506">
      <c r="Y43506" s="372">
        <v>0.0</v>
      </c>
      <c r="Z43506" s="372">
        <v>0.0</v>
      </c>
    </row>
    <row r="43507">
      <c r="Y43507" s="372">
        <v>0.0</v>
      </c>
      <c r="Z43507" s="372">
        <v>0.0</v>
      </c>
    </row>
    <row r="43508">
      <c r="Y43508" s="372">
        <v>0.0</v>
      </c>
      <c r="Z43508" s="372">
        <v>0.0</v>
      </c>
    </row>
    <row r="43509">
      <c r="Y43509" s="372">
        <v>0.0</v>
      </c>
      <c r="Z43509" s="372">
        <v>0.0</v>
      </c>
    </row>
    <row r="43510">
      <c r="Y43510" s="372">
        <v>0.0</v>
      </c>
      <c r="Z43510" s="372">
        <v>0.0</v>
      </c>
    </row>
    <row r="43511">
      <c r="Y43511" s="372">
        <v>0.0</v>
      </c>
      <c r="Z43511" s="372">
        <v>0.0</v>
      </c>
    </row>
    <row r="43512">
      <c r="Y43512" s="372">
        <v>0.0</v>
      </c>
      <c r="Z43512" s="372">
        <v>0.0</v>
      </c>
    </row>
    <row r="43513">
      <c r="Y43513" s="372">
        <v>0.0</v>
      </c>
      <c r="Z43513" s="372">
        <v>0.0</v>
      </c>
    </row>
    <row r="43514">
      <c r="Y43514" s="372">
        <v>0.0</v>
      </c>
      <c r="Z43514" s="372">
        <v>0.0</v>
      </c>
    </row>
    <row r="43515">
      <c r="Y43515" s="372">
        <v>0.0</v>
      </c>
      <c r="Z43515" s="372">
        <v>0.0</v>
      </c>
    </row>
    <row r="43516">
      <c r="Y43516" s="372">
        <v>0.0</v>
      </c>
      <c r="Z43516" s="372">
        <v>0.0</v>
      </c>
    </row>
    <row r="43517">
      <c r="Y43517" s="372">
        <v>0.0</v>
      </c>
      <c r="Z43517" s="372">
        <v>0.0</v>
      </c>
    </row>
    <row r="43518">
      <c r="Y43518" s="372">
        <v>0.0</v>
      </c>
      <c r="Z43518" s="372">
        <v>0.0</v>
      </c>
    </row>
    <row r="43519">
      <c r="Y43519" s="372">
        <v>0.0</v>
      </c>
      <c r="Z43519" s="372">
        <v>0.0</v>
      </c>
    </row>
    <row r="43520">
      <c r="Y43520" s="372">
        <v>0.0</v>
      </c>
      <c r="Z43520" s="372">
        <v>0.0</v>
      </c>
    </row>
    <row r="43521">
      <c r="Y43521" s="372">
        <v>0.0</v>
      </c>
      <c r="Z43521" s="372">
        <v>0.0</v>
      </c>
    </row>
    <row r="43522">
      <c r="Y43522" s="372">
        <v>0.0</v>
      </c>
      <c r="Z43522" s="372">
        <v>0.0</v>
      </c>
    </row>
    <row r="43523">
      <c r="Y43523" s="372">
        <v>0.0</v>
      </c>
      <c r="Z43523" s="372">
        <v>0.0</v>
      </c>
    </row>
    <row r="43524">
      <c r="Y43524" s="372">
        <v>0.0</v>
      </c>
      <c r="Z43524" s="372">
        <v>0.0</v>
      </c>
    </row>
    <row r="43525">
      <c r="Y43525" s="372">
        <v>0.0</v>
      </c>
      <c r="Z43525" s="372">
        <v>0.0</v>
      </c>
    </row>
    <row r="43526">
      <c r="Y43526" s="372">
        <v>0.0</v>
      </c>
      <c r="Z43526" s="372">
        <v>0.0</v>
      </c>
    </row>
    <row r="43527">
      <c r="Y43527" s="372">
        <v>0.0</v>
      </c>
      <c r="Z43527" s="372">
        <v>0.0</v>
      </c>
    </row>
    <row r="43528">
      <c r="Y43528" s="372">
        <v>0.0</v>
      </c>
      <c r="Z43528" s="372">
        <v>0.0</v>
      </c>
    </row>
    <row r="43529">
      <c r="Y43529" s="372">
        <v>0.0</v>
      </c>
      <c r="Z43529" s="372">
        <v>0.0</v>
      </c>
    </row>
    <row r="43530">
      <c r="Y43530" s="372">
        <v>0.0</v>
      </c>
      <c r="Z43530" s="372">
        <v>0.0</v>
      </c>
    </row>
    <row r="43531">
      <c r="Y43531" s="372">
        <v>0.0</v>
      </c>
      <c r="Z43531" s="372">
        <v>0.0</v>
      </c>
    </row>
    <row r="43532">
      <c r="Y43532" s="372">
        <v>0.0</v>
      </c>
      <c r="Z43532" s="372">
        <v>0.0</v>
      </c>
    </row>
    <row r="43533">
      <c r="Y43533" s="372">
        <v>0.0</v>
      </c>
      <c r="Z43533" s="372">
        <v>0.0</v>
      </c>
    </row>
    <row r="43534">
      <c r="Y43534" s="372">
        <v>0.0</v>
      </c>
      <c r="Z43534" s="372">
        <v>0.0</v>
      </c>
    </row>
    <row r="43535">
      <c r="Y43535" s="372">
        <v>0.0</v>
      </c>
      <c r="Z43535" s="372">
        <v>0.0</v>
      </c>
    </row>
    <row r="43536">
      <c r="Y43536" s="372">
        <v>0.0</v>
      </c>
      <c r="Z43536" s="372">
        <v>0.0</v>
      </c>
    </row>
    <row r="43537">
      <c r="Y43537" s="372">
        <v>0.0</v>
      </c>
      <c r="Z43537" s="372">
        <v>0.0</v>
      </c>
    </row>
    <row r="43538">
      <c r="Y43538" s="372">
        <v>0.0</v>
      </c>
      <c r="Z43538" s="372">
        <v>0.0</v>
      </c>
    </row>
    <row r="43539">
      <c r="Y43539" s="372">
        <v>0.0</v>
      </c>
      <c r="Z43539" s="372">
        <v>0.0</v>
      </c>
    </row>
    <row r="43540">
      <c r="Y43540" s="372">
        <v>0.0</v>
      </c>
      <c r="Z43540" s="372">
        <v>0.0</v>
      </c>
    </row>
    <row r="43541">
      <c r="Y43541" s="372">
        <v>0.0</v>
      </c>
      <c r="Z43541" s="372">
        <v>0.0</v>
      </c>
    </row>
    <row r="43542">
      <c r="Y43542" s="372">
        <v>0.0</v>
      </c>
      <c r="Z43542" s="372">
        <v>0.0</v>
      </c>
    </row>
    <row r="43543">
      <c r="Y43543" s="372">
        <v>0.0</v>
      </c>
      <c r="Z43543" s="372">
        <v>0.0</v>
      </c>
    </row>
    <row r="43544">
      <c r="Y43544" s="372">
        <v>0.0</v>
      </c>
      <c r="Z43544" s="372">
        <v>0.0</v>
      </c>
    </row>
    <row r="43545">
      <c r="Y43545" s="372">
        <v>0.0</v>
      </c>
      <c r="Z43545" s="372">
        <v>0.0</v>
      </c>
    </row>
    <row r="43546">
      <c r="Y43546" s="372">
        <v>0.0</v>
      </c>
      <c r="Z43546" s="372">
        <v>0.0</v>
      </c>
    </row>
    <row r="43547">
      <c r="Y43547" s="372">
        <v>0.0</v>
      </c>
      <c r="Z43547" s="372">
        <v>0.0</v>
      </c>
    </row>
    <row r="43548">
      <c r="Y43548" s="372">
        <v>0.0</v>
      </c>
      <c r="Z43548" s="372">
        <v>0.0</v>
      </c>
    </row>
    <row r="43549">
      <c r="Y43549" s="372">
        <v>0.0</v>
      </c>
      <c r="Z43549" s="372">
        <v>0.0</v>
      </c>
    </row>
    <row r="43550">
      <c r="Y43550" s="372">
        <v>0.0</v>
      </c>
      <c r="Z43550" s="372">
        <v>0.0</v>
      </c>
    </row>
    <row r="43551">
      <c r="Y43551" s="372">
        <v>0.0</v>
      </c>
      <c r="Z43551" s="372">
        <v>0.0</v>
      </c>
    </row>
    <row r="43552">
      <c r="Y43552" s="372">
        <v>0.0</v>
      </c>
      <c r="Z43552" s="372">
        <v>0.0</v>
      </c>
    </row>
    <row r="43553">
      <c r="Y43553" s="372">
        <v>0.0</v>
      </c>
      <c r="Z43553" s="372">
        <v>0.0</v>
      </c>
    </row>
    <row r="43554">
      <c r="Y43554" s="372">
        <v>0.0</v>
      </c>
      <c r="Z43554" s="372">
        <v>0.0</v>
      </c>
    </row>
    <row r="43555">
      <c r="Y43555" s="372">
        <v>0.0</v>
      </c>
      <c r="Z43555" s="372">
        <v>0.0</v>
      </c>
    </row>
    <row r="43556">
      <c r="Y43556" s="372">
        <v>0.0</v>
      </c>
      <c r="Z43556" s="372">
        <v>0.0</v>
      </c>
    </row>
    <row r="43557">
      <c r="Y43557" s="372">
        <v>0.0</v>
      </c>
      <c r="Z43557" s="372">
        <v>0.0</v>
      </c>
    </row>
    <row r="43558">
      <c r="Y43558" s="372">
        <v>0.0</v>
      </c>
      <c r="Z43558" s="372">
        <v>0.0</v>
      </c>
    </row>
    <row r="43559">
      <c r="Y43559" s="372">
        <v>0.0</v>
      </c>
      <c r="Z43559" s="372">
        <v>0.0</v>
      </c>
    </row>
    <row r="43560">
      <c r="Y43560" s="372">
        <v>0.0</v>
      </c>
      <c r="Z43560" s="372">
        <v>0.0</v>
      </c>
    </row>
    <row r="43561">
      <c r="Y43561" s="372">
        <v>0.0</v>
      </c>
      <c r="Z43561" s="372">
        <v>0.0</v>
      </c>
    </row>
    <row r="43562">
      <c r="Y43562" s="372">
        <v>0.0</v>
      </c>
      <c r="Z43562" s="372">
        <v>0.0</v>
      </c>
    </row>
    <row r="43563">
      <c r="Y43563" s="372">
        <v>0.0</v>
      </c>
      <c r="Z43563" s="372">
        <v>0.0</v>
      </c>
    </row>
    <row r="43564">
      <c r="Y43564" s="372">
        <v>0.0</v>
      </c>
      <c r="Z43564" s="372">
        <v>0.0</v>
      </c>
    </row>
    <row r="43565">
      <c r="Y43565" s="372">
        <v>0.0</v>
      </c>
      <c r="Z43565" s="372">
        <v>0.0</v>
      </c>
    </row>
    <row r="43566">
      <c r="Y43566" s="372">
        <v>0.0</v>
      </c>
      <c r="Z43566" s="372">
        <v>0.0</v>
      </c>
    </row>
    <row r="43567">
      <c r="Y43567" s="372">
        <v>0.0</v>
      </c>
      <c r="Z43567" s="372">
        <v>0.0</v>
      </c>
    </row>
    <row r="43568">
      <c r="Y43568" s="372">
        <v>0.0</v>
      </c>
      <c r="Z43568" s="372">
        <v>0.0</v>
      </c>
    </row>
    <row r="43569">
      <c r="Y43569" s="372">
        <v>0.0</v>
      </c>
      <c r="Z43569" s="372">
        <v>0.0</v>
      </c>
    </row>
    <row r="43570">
      <c r="Y43570" s="372">
        <v>0.0</v>
      </c>
      <c r="Z43570" s="372">
        <v>0.0</v>
      </c>
    </row>
    <row r="43571">
      <c r="Y43571" s="372">
        <v>0.0</v>
      </c>
      <c r="Z43571" s="372">
        <v>0.0</v>
      </c>
    </row>
    <row r="43572">
      <c r="Y43572" s="372">
        <v>0.0</v>
      </c>
      <c r="Z43572" s="372">
        <v>0.0</v>
      </c>
    </row>
    <row r="43573">
      <c r="Y43573" s="372">
        <v>0.0</v>
      </c>
      <c r="Z43573" s="372">
        <v>0.0</v>
      </c>
    </row>
    <row r="43574">
      <c r="Y43574" s="372">
        <v>0.0</v>
      </c>
      <c r="Z43574" s="372">
        <v>0.0</v>
      </c>
    </row>
    <row r="43575">
      <c r="Y43575" s="372">
        <v>0.0</v>
      </c>
      <c r="Z43575" s="372">
        <v>0.0</v>
      </c>
    </row>
    <row r="43576">
      <c r="Y43576" s="372">
        <v>0.0</v>
      </c>
      <c r="Z43576" s="372">
        <v>0.0</v>
      </c>
    </row>
    <row r="43577">
      <c r="Y43577" s="372">
        <v>0.0</v>
      </c>
      <c r="Z43577" s="372">
        <v>0.0</v>
      </c>
    </row>
    <row r="43578">
      <c r="Y43578" s="372">
        <v>0.0</v>
      </c>
      <c r="Z43578" s="372">
        <v>0.0</v>
      </c>
    </row>
    <row r="43579">
      <c r="Y43579" s="372">
        <v>0.0</v>
      </c>
      <c r="Z43579" s="372">
        <v>0.0</v>
      </c>
    </row>
    <row r="43580">
      <c r="Y43580" s="372">
        <v>0.0</v>
      </c>
      <c r="Z43580" s="372">
        <v>0.0</v>
      </c>
    </row>
    <row r="43581">
      <c r="Y43581" s="372">
        <v>0.0</v>
      </c>
      <c r="Z43581" s="372">
        <v>0.0</v>
      </c>
    </row>
    <row r="43582">
      <c r="Y43582" s="372">
        <v>0.0</v>
      </c>
      <c r="Z43582" s="372">
        <v>0.0</v>
      </c>
    </row>
    <row r="43583">
      <c r="Y43583" s="372">
        <v>0.0</v>
      </c>
      <c r="Z43583" s="372">
        <v>0.0</v>
      </c>
    </row>
    <row r="43584">
      <c r="Y43584" s="372">
        <v>0.0</v>
      </c>
      <c r="Z43584" s="372">
        <v>0.0</v>
      </c>
    </row>
    <row r="43585">
      <c r="Y43585" s="372">
        <v>0.0</v>
      </c>
      <c r="Z43585" s="372">
        <v>0.0</v>
      </c>
    </row>
    <row r="43586">
      <c r="Y43586" s="372">
        <v>0.0</v>
      </c>
      <c r="Z43586" s="372">
        <v>0.0</v>
      </c>
    </row>
    <row r="43587">
      <c r="Y43587" s="372">
        <v>0.0</v>
      </c>
      <c r="Z43587" s="372">
        <v>0.0</v>
      </c>
    </row>
    <row r="43588">
      <c r="Y43588" s="372">
        <v>0.0</v>
      </c>
      <c r="Z43588" s="372">
        <v>0.0</v>
      </c>
    </row>
    <row r="43589">
      <c r="Y43589" s="372">
        <v>0.0</v>
      </c>
      <c r="Z43589" s="372">
        <v>0.0</v>
      </c>
    </row>
    <row r="43590">
      <c r="Y43590" s="372">
        <v>0.0</v>
      </c>
      <c r="Z43590" s="372">
        <v>0.0</v>
      </c>
    </row>
    <row r="43591">
      <c r="Y43591" s="372">
        <v>0.0</v>
      </c>
      <c r="Z43591" s="372">
        <v>0.0</v>
      </c>
    </row>
    <row r="43592">
      <c r="Y43592" s="372">
        <v>0.0</v>
      </c>
      <c r="Z43592" s="372">
        <v>0.0</v>
      </c>
    </row>
    <row r="43593">
      <c r="Y43593" s="372">
        <v>0.0</v>
      </c>
      <c r="Z43593" s="372">
        <v>0.0</v>
      </c>
    </row>
    <row r="43594">
      <c r="Y43594" s="372">
        <v>0.0</v>
      </c>
      <c r="Z43594" s="372">
        <v>0.0</v>
      </c>
    </row>
    <row r="43595">
      <c r="Y43595" s="372">
        <v>0.0</v>
      </c>
      <c r="Z43595" s="372">
        <v>0.0</v>
      </c>
    </row>
    <row r="43596">
      <c r="Y43596" s="372">
        <v>0.0</v>
      </c>
      <c r="Z43596" s="372">
        <v>0.0</v>
      </c>
    </row>
    <row r="43597">
      <c r="Y43597" s="372">
        <v>0.0</v>
      </c>
      <c r="Z43597" s="372">
        <v>0.0</v>
      </c>
    </row>
    <row r="43598">
      <c r="Y43598" s="372">
        <v>0.0</v>
      </c>
      <c r="Z43598" s="372">
        <v>0.0</v>
      </c>
    </row>
    <row r="43599">
      <c r="Y43599" s="372">
        <v>0.0</v>
      </c>
      <c r="Z43599" s="372">
        <v>0.0</v>
      </c>
    </row>
    <row r="43600">
      <c r="Y43600" s="372">
        <v>0.0</v>
      </c>
      <c r="Z43600" s="372">
        <v>0.0</v>
      </c>
    </row>
    <row r="43601">
      <c r="Y43601" s="372">
        <v>0.0</v>
      </c>
      <c r="Z43601" s="372">
        <v>0.0</v>
      </c>
    </row>
    <row r="43602">
      <c r="Y43602" s="372">
        <v>0.0</v>
      </c>
      <c r="Z43602" s="372">
        <v>0.0</v>
      </c>
    </row>
    <row r="43603">
      <c r="Y43603" s="372">
        <v>0.0</v>
      </c>
      <c r="Z43603" s="372">
        <v>0.0</v>
      </c>
    </row>
    <row r="43604">
      <c r="Y43604" s="372">
        <v>0.0</v>
      </c>
      <c r="Z43604" s="372">
        <v>0.0</v>
      </c>
    </row>
    <row r="43605">
      <c r="Y43605" s="372">
        <v>0.0</v>
      </c>
      <c r="Z43605" s="372">
        <v>0.0</v>
      </c>
    </row>
    <row r="43606">
      <c r="Y43606" s="372">
        <v>0.0</v>
      </c>
      <c r="Z43606" s="372">
        <v>0.0</v>
      </c>
    </row>
    <row r="43607">
      <c r="Y43607" s="372">
        <v>0.0</v>
      </c>
      <c r="Z43607" s="372">
        <v>0.0</v>
      </c>
    </row>
    <row r="43608">
      <c r="Y43608" s="372">
        <v>0.0</v>
      </c>
      <c r="Z43608" s="372">
        <v>0.0</v>
      </c>
    </row>
    <row r="43609">
      <c r="Y43609" s="372">
        <v>0.0</v>
      </c>
      <c r="Z43609" s="372">
        <v>0.0</v>
      </c>
    </row>
    <row r="43610">
      <c r="Y43610" s="372">
        <v>0.0</v>
      </c>
      <c r="Z43610" s="372">
        <v>0.0</v>
      </c>
    </row>
    <row r="43611">
      <c r="Y43611" s="372">
        <v>0.0</v>
      </c>
      <c r="Z43611" s="372">
        <v>0.0</v>
      </c>
    </row>
    <row r="43612">
      <c r="Y43612" s="372">
        <v>0.0</v>
      </c>
      <c r="Z43612" s="372">
        <v>0.0</v>
      </c>
    </row>
    <row r="43613">
      <c r="Y43613" s="372">
        <v>0.0</v>
      </c>
      <c r="Z43613" s="372">
        <v>0.0</v>
      </c>
    </row>
    <row r="43614">
      <c r="Y43614" s="372">
        <v>0.0</v>
      </c>
      <c r="Z43614" s="372">
        <v>0.0</v>
      </c>
    </row>
    <row r="43615">
      <c r="Y43615" s="372">
        <v>0.0</v>
      </c>
      <c r="Z43615" s="372">
        <v>0.0</v>
      </c>
    </row>
    <row r="43616">
      <c r="Y43616" s="372">
        <v>0.0</v>
      </c>
      <c r="Z43616" s="372">
        <v>0.0</v>
      </c>
    </row>
    <row r="43617">
      <c r="Y43617" s="372">
        <v>0.0</v>
      </c>
      <c r="Z43617" s="372">
        <v>0.0</v>
      </c>
    </row>
    <row r="43618">
      <c r="Y43618" s="372">
        <v>0.0</v>
      </c>
      <c r="Z43618" s="372">
        <v>0.0</v>
      </c>
    </row>
    <row r="43619">
      <c r="Y43619" s="372">
        <v>0.0</v>
      </c>
      <c r="Z43619" s="372">
        <v>0.0</v>
      </c>
    </row>
    <row r="43620">
      <c r="Y43620" s="372">
        <v>0.0</v>
      </c>
      <c r="Z43620" s="372">
        <v>0.0</v>
      </c>
    </row>
    <row r="43621">
      <c r="Y43621" s="372">
        <v>0.0</v>
      </c>
      <c r="Z43621" s="372">
        <v>0.0</v>
      </c>
    </row>
    <row r="43622">
      <c r="Y43622" s="372">
        <v>0.0</v>
      </c>
      <c r="Z43622" s="372">
        <v>0.0</v>
      </c>
    </row>
    <row r="43623">
      <c r="Y43623" s="372">
        <v>0.0</v>
      </c>
      <c r="Z43623" s="372">
        <v>0.0</v>
      </c>
    </row>
    <row r="43624">
      <c r="Y43624" s="372">
        <v>0.0</v>
      </c>
      <c r="Z43624" s="372">
        <v>0.0</v>
      </c>
    </row>
    <row r="43625">
      <c r="Y43625" s="372">
        <v>0.0</v>
      </c>
      <c r="Z43625" s="372">
        <v>0.0</v>
      </c>
    </row>
    <row r="43626">
      <c r="Y43626" s="372">
        <v>0.0</v>
      </c>
      <c r="Z43626" s="372">
        <v>0.0</v>
      </c>
    </row>
    <row r="43627">
      <c r="Y43627" s="372">
        <v>0.0</v>
      </c>
      <c r="Z43627" s="372">
        <v>0.0</v>
      </c>
    </row>
    <row r="43628">
      <c r="Y43628" s="372">
        <v>0.0</v>
      </c>
      <c r="Z43628" s="372">
        <v>0.0</v>
      </c>
    </row>
    <row r="43629">
      <c r="Y43629" s="372">
        <v>0.0</v>
      </c>
      <c r="Z43629" s="372">
        <v>0.0</v>
      </c>
    </row>
    <row r="43630">
      <c r="Y43630" s="372">
        <v>0.0</v>
      </c>
      <c r="Z43630" s="372">
        <v>0.0</v>
      </c>
    </row>
    <row r="43631">
      <c r="Y43631" s="372">
        <v>0.0</v>
      </c>
      <c r="Z43631" s="372">
        <v>0.0</v>
      </c>
    </row>
    <row r="43632">
      <c r="Y43632" s="372">
        <v>0.0</v>
      </c>
      <c r="Z43632" s="372">
        <v>0.0</v>
      </c>
    </row>
    <row r="43633">
      <c r="Y43633" s="372">
        <v>0.0</v>
      </c>
      <c r="Z43633" s="372">
        <v>0.0</v>
      </c>
    </row>
    <row r="43634">
      <c r="Y43634" s="372">
        <v>0.0</v>
      </c>
      <c r="Z43634" s="372">
        <v>0.0</v>
      </c>
    </row>
    <row r="43635">
      <c r="Y43635" s="372">
        <v>0.0</v>
      </c>
      <c r="Z43635" s="372">
        <v>0.0</v>
      </c>
    </row>
    <row r="43636">
      <c r="Y43636" s="372">
        <v>0.0</v>
      </c>
      <c r="Z43636" s="372">
        <v>0.0</v>
      </c>
    </row>
    <row r="43637">
      <c r="Y43637" s="372">
        <v>0.0</v>
      </c>
      <c r="Z43637" s="372">
        <v>0.0</v>
      </c>
    </row>
    <row r="43638">
      <c r="Y43638" s="372">
        <v>0.0</v>
      </c>
      <c r="Z43638" s="372">
        <v>0.0</v>
      </c>
    </row>
    <row r="43639">
      <c r="Y43639" s="372">
        <v>0.0</v>
      </c>
      <c r="Z43639" s="372">
        <v>0.0</v>
      </c>
    </row>
    <row r="43640">
      <c r="Y43640" s="372">
        <v>0.0</v>
      </c>
      <c r="Z43640" s="372">
        <v>0.0</v>
      </c>
    </row>
    <row r="43641">
      <c r="Y43641" s="372">
        <v>0.0</v>
      </c>
      <c r="Z43641" s="372">
        <v>0.0</v>
      </c>
    </row>
    <row r="43642">
      <c r="Y43642" s="372">
        <v>0.0</v>
      </c>
      <c r="Z43642" s="372">
        <v>0.0</v>
      </c>
    </row>
    <row r="43643">
      <c r="Y43643" s="372">
        <v>0.0</v>
      </c>
      <c r="Z43643" s="372">
        <v>0.0</v>
      </c>
    </row>
    <row r="43644">
      <c r="Y43644" s="372">
        <v>0.0</v>
      </c>
      <c r="Z43644" s="372">
        <v>0.0</v>
      </c>
    </row>
    <row r="43645">
      <c r="Y43645" s="372">
        <v>0.0</v>
      </c>
      <c r="Z43645" s="372">
        <v>0.0</v>
      </c>
    </row>
    <row r="43646">
      <c r="Y43646" s="372">
        <v>0.0</v>
      </c>
      <c r="Z43646" s="372">
        <v>0.0</v>
      </c>
    </row>
    <row r="43647">
      <c r="Y43647" s="372">
        <v>0.0</v>
      </c>
      <c r="Z43647" s="372">
        <v>0.0</v>
      </c>
    </row>
    <row r="43648">
      <c r="Y43648" s="372">
        <v>0.0</v>
      </c>
      <c r="Z43648" s="372">
        <v>0.0</v>
      </c>
    </row>
    <row r="43649">
      <c r="Y43649" s="372">
        <v>0.0</v>
      </c>
      <c r="Z43649" s="372">
        <v>0.0</v>
      </c>
    </row>
    <row r="43650">
      <c r="Y43650" s="372">
        <v>0.0</v>
      </c>
      <c r="Z43650" s="372">
        <v>0.0</v>
      </c>
    </row>
    <row r="43651">
      <c r="Y43651" s="372">
        <v>0.0</v>
      </c>
      <c r="Z43651" s="372">
        <v>0.0</v>
      </c>
    </row>
    <row r="43652">
      <c r="Y43652" s="372">
        <v>0.0</v>
      </c>
      <c r="Z43652" s="372">
        <v>0.0</v>
      </c>
    </row>
    <row r="43653">
      <c r="Y43653" s="372">
        <v>0.0</v>
      </c>
      <c r="Z43653" s="372">
        <v>0.0</v>
      </c>
    </row>
    <row r="43654">
      <c r="Y43654" s="372">
        <v>0.0</v>
      </c>
      <c r="Z43654" s="372">
        <v>0.0</v>
      </c>
    </row>
    <row r="43655">
      <c r="Y43655" s="372">
        <v>0.0</v>
      </c>
      <c r="Z43655" s="372">
        <v>0.0</v>
      </c>
    </row>
    <row r="43656">
      <c r="Y43656" s="372">
        <v>0.0</v>
      </c>
      <c r="Z43656" s="372">
        <v>0.0</v>
      </c>
    </row>
    <row r="43657">
      <c r="Y43657" s="372">
        <v>0.0</v>
      </c>
      <c r="Z43657" s="372">
        <v>0.0</v>
      </c>
    </row>
    <row r="43658">
      <c r="Y43658" s="372">
        <v>0.0</v>
      </c>
      <c r="Z43658" s="372">
        <v>0.0</v>
      </c>
    </row>
    <row r="43659">
      <c r="Y43659" s="372">
        <v>0.0</v>
      </c>
      <c r="Z43659" s="372">
        <v>0.0</v>
      </c>
    </row>
    <row r="43660">
      <c r="Y43660" s="372">
        <v>0.0</v>
      </c>
      <c r="Z43660" s="372">
        <v>0.0</v>
      </c>
    </row>
    <row r="43661">
      <c r="Y43661" s="372">
        <v>0.0</v>
      </c>
      <c r="Z43661" s="372">
        <v>0.0</v>
      </c>
    </row>
    <row r="43662">
      <c r="Y43662" s="372">
        <v>0.0</v>
      </c>
      <c r="Z43662" s="372">
        <v>0.0</v>
      </c>
    </row>
    <row r="43663">
      <c r="Y43663" s="372">
        <v>0.0</v>
      </c>
      <c r="Z43663" s="372">
        <v>0.0</v>
      </c>
    </row>
    <row r="43664">
      <c r="Y43664" s="372">
        <v>0.0</v>
      </c>
      <c r="Z43664" s="372">
        <v>0.0</v>
      </c>
    </row>
    <row r="43665">
      <c r="Y43665" s="372">
        <v>0.0</v>
      </c>
      <c r="Z43665" s="372">
        <v>0.0</v>
      </c>
    </row>
    <row r="43666">
      <c r="Y43666" s="372">
        <v>0.0</v>
      </c>
      <c r="Z43666" s="372">
        <v>0.0</v>
      </c>
    </row>
    <row r="43667">
      <c r="Y43667" s="372">
        <v>0.0</v>
      </c>
      <c r="Z43667" s="372">
        <v>0.0</v>
      </c>
    </row>
    <row r="43668">
      <c r="Y43668" s="372">
        <v>0.0</v>
      </c>
      <c r="Z43668" s="372">
        <v>0.0</v>
      </c>
    </row>
    <row r="43669">
      <c r="Y43669" s="372">
        <v>0.0</v>
      </c>
      <c r="Z43669" s="372">
        <v>0.0</v>
      </c>
    </row>
    <row r="43670">
      <c r="Y43670" s="372">
        <v>0.0</v>
      </c>
      <c r="Z43670" s="372">
        <v>0.0</v>
      </c>
    </row>
    <row r="43671">
      <c r="Y43671" s="372">
        <v>0.0</v>
      </c>
      <c r="Z43671" s="372">
        <v>0.0</v>
      </c>
    </row>
    <row r="43672">
      <c r="Y43672" s="372">
        <v>0.0</v>
      </c>
      <c r="Z43672" s="372">
        <v>0.0</v>
      </c>
    </row>
    <row r="43673">
      <c r="Y43673" s="372">
        <v>0.0</v>
      </c>
      <c r="Z43673" s="372">
        <v>0.0</v>
      </c>
    </row>
    <row r="43674">
      <c r="Y43674" s="372">
        <v>0.0</v>
      </c>
      <c r="Z43674" s="372">
        <v>0.0</v>
      </c>
    </row>
    <row r="43675">
      <c r="Y43675" s="372">
        <v>0.0</v>
      </c>
      <c r="Z43675" s="372">
        <v>0.0</v>
      </c>
    </row>
    <row r="43676">
      <c r="Y43676" s="372">
        <v>0.0</v>
      </c>
      <c r="Z43676" s="372">
        <v>0.0</v>
      </c>
    </row>
    <row r="43677">
      <c r="Y43677" s="372">
        <v>0.0</v>
      </c>
      <c r="Z43677" s="372">
        <v>0.0</v>
      </c>
    </row>
    <row r="43678">
      <c r="Y43678" s="372">
        <v>0.0</v>
      </c>
      <c r="Z43678" s="372">
        <v>0.0</v>
      </c>
    </row>
    <row r="43679">
      <c r="Y43679" s="372">
        <v>0.0</v>
      </c>
      <c r="Z43679" s="372">
        <v>0.0</v>
      </c>
    </row>
    <row r="43680">
      <c r="Y43680" s="372">
        <v>0.0</v>
      </c>
      <c r="Z43680" s="372">
        <v>0.0</v>
      </c>
    </row>
    <row r="43681">
      <c r="Y43681" s="372">
        <v>0.0</v>
      </c>
      <c r="Z43681" s="372">
        <v>0.0</v>
      </c>
    </row>
    <row r="43682">
      <c r="Y43682" s="372">
        <v>0.0</v>
      </c>
      <c r="Z43682" s="372">
        <v>0.0</v>
      </c>
    </row>
    <row r="43683">
      <c r="Y43683" s="372">
        <v>0.0</v>
      </c>
      <c r="Z43683" s="372">
        <v>0.0</v>
      </c>
    </row>
    <row r="43684">
      <c r="Y43684" s="372">
        <v>0.0</v>
      </c>
      <c r="Z43684" s="372">
        <v>0.0</v>
      </c>
    </row>
    <row r="43685">
      <c r="Y43685" s="372">
        <v>0.0</v>
      </c>
      <c r="Z43685" s="372">
        <v>0.0</v>
      </c>
    </row>
    <row r="43686">
      <c r="Y43686" s="372">
        <v>0.0</v>
      </c>
      <c r="Z43686" s="372">
        <v>0.0</v>
      </c>
    </row>
    <row r="43687">
      <c r="Y43687" s="372">
        <v>0.0</v>
      </c>
      <c r="Z43687" s="372">
        <v>0.0</v>
      </c>
    </row>
    <row r="43688">
      <c r="Y43688" s="372">
        <v>0.0</v>
      </c>
      <c r="Z43688" s="372">
        <v>0.0</v>
      </c>
    </row>
    <row r="43689">
      <c r="Y43689" s="372">
        <v>0.0</v>
      </c>
      <c r="Z43689" s="372">
        <v>0.0</v>
      </c>
    </row>
    <row r="43690">
      <c r="Y43690" s="372">
        <v>0.0</v>
      </c>
      <c r="Z43690" s="372">
        <v>0.0</v>
      </c>
    </row>
    <row r="43691">
      <c r="Y43691" s="372">
        <v>0.0</v>
      </c>
      <c r="Z43691" s="372">
        <v>0.0</v>
      </c>
    </row>
    <row r="43692">
      <c r="Y43692" s="372">
        <v>0.0</v>
      </c>
      <c r="Z43692" s="372">
        <v>0.0</v>
      </c>
    </row>
    <row r="43693">
      <c r="Y43693" s="372">
        <v>0.0</v>
      </c>
      <c r="Z43693" s="372">
        <v>0.0</v>
      </c>
    </row>
    <row r="43694">
      <c r="Y43694" s="372">
        <v>0.0</v>
      </c>
      <c r="Z43694" s="372">
        <v>0.0</v>
      </c>
    </row>
    <row r="43695">
      <c r="Y43695" s="372">
        <v>0.0</v>
      </c>
      <c r="Z43695" s="372">
        <v>0.0</v>
      </c>
    </row>
    <row r="43696">
      <c r="Y43696" s="372">
        <v>0.0</v>
      </c>
      <c r="Z43696" s="372">
        <v>0.0</v>
      </c>
    </row>
    <row r="43697">
      <c r="Y43697" s="372">
        <v>0.0</v>
      </c>
      <c r="Z43697" s="372">
        <v>0.0</v>
      </c>
    </row>
    <row r="43698">
      <c r="Y43698" s="372">
        <v>0.0</v>
      </c>
      <c r="Z43698" s="372">
        <v>0.0</v>
      </c>
    </row>
    <row r="43699">
      <c r="Y43699" s="372">
        <v>0.0</v>
      </c>
      <c r="Z43699" s="372">
        <v>0.0</v>
      </c>
    </row>
    <row r="43700">
      <c r="Y43700" s="372">
        <v>0.0</v>
      </c>
      <c r="Z43700" s="372">
        <v>0.0</v>
      </c>
    </row>
    <row r="43701">
      <c r="Y43701" s="372">
        <v>0.0</v>
      </c>
      <c r="Z43701" s="372">
        <v>0.0</v>
      </c>
    </row>
    <row r="43702">
      <c r="Y43702" s="372">
        <v>0.0</v>
      </c>
      <c r="Z43702" s="372">
        <v>0.0</v>
      </c>
    </row>
    <row r="43703">
      <c r="Y43703" s="372">
        <v>0.0</v>
      </c>
      <c r="Z43703" s="372">
        <v>0.0</v>
      </c>
    </row>
    <row r="43704">
      <c r="Y43704" s="372">
        <v>0.0</v>
      </c>
      <c r="Z43704" s="372">
        <v>0.0</v>
      </c>
    </row>
    <row r="43705">
      <c r="Y43705" s="372">
        <v>0.0</v>
      </c>
      <c r="Z43705" s="372">
        <v>0.0</v>
      </c>
    </row>
    <row r="43706">
      <c r="Y43706" s="372">
        <v>0.0</v>
      </c>
      <c r="Z43706" s="372">
        <v>0.0</v>
      </c>
    </row>
    <row r="43707">
      <c r="Y43707" s="372">
        <v>0.0</v>
      </c>
      <c r="Z43707" s="372">
        <v>0.0</v>
      </c>
    </row>
    <row r="43708">
      <c r="Y43708" s="372">
        <v>0.0</v>
      </c>
      <c r="Z43708" s="372">
        <v>0.0</v>
      </c>
    </row>
    <row r="43709">
      <c r="Y43709" s="372">
        <v>0.0</v>
      </c>
      <c r="Z43709" s="372">
        <v>0.0</v>
      </c>
    </row>
    <row r="43710">
      <c r="Y43710" s="372">
        <v>0.0</v>
      </c>
      <c r="Z43710" s="372">
        <v>0.0</v>
      </c>
    </row>
    <row r="43711">
      <c r="Y43711" s="372">
        <v>0.0</v>
      </c>
      <c r="Z43711" s="372">
        <v>0.0</v>
      </c>
    </row>
    <row r="43712">
      <c r="Y43712" s="372">
        <v>0.0</v>
      </c>
      <c r="Z43712" s="372">
        <v>0.0</v>
      </c>
    </row>
    <row r="43713">
      <c r="Y43713" s="372">
        <v>0.0</v>
      </c>
      <c r="Z43713" s="372">
        <v>0.0</v>
      </c>
    </row>
    <row r="43714">
      <c r="Y43714" s="372">
        <v>0.0</v>
      </c>
      <c r="Z43714" s="372">
        <v>0.0</v>
      </c>
    </row>
    <row r="43715">
      <c r="Y43715" s="372">
        <v>0.0</v>
      </c>
      <c r="Z43715" s="372">
        <v>0.0</v>
      </c>
    </row>
    <row r="43716">
      <c r="Y43716" s="372">
        <v>0.0</v>
      </c>
      <c r="Z43716" s="372">
        <v>0.0</v>
      </c>
    </row>
    <row r="43717">
      <c r="Y43717" s="372">
        <v>0.0</v>
      </c>
      <c r="Z43717" s="372">
        <v>0.0</v>
      </c>
    </row>
    <row r="43718">
      <c r="Y43718" s="372">
        <v>0.0</v>
      </c>
      <c r="Z43718" s="372">
        <v>0.0</v>
      </c>
    </row>
    <row r="43719">
      <c r="Y43719" s="372">
        <v>0.0</v>
      </c>
      <c r="Z43719" s="372">
        <v>0.0</v>
      </c>
    </row>
    <row r="43720">
      <c r="Y43720" s="372">
        <v>0.0</v>
      </c>
      <c r="Z43720" s="372">
        <v>0.0</v>
      </c>
    </row>
    <row r="43721">
      <c r="Y43721" s="372">
        <v>0.0</v>
      </c>
      <c r="Z43721" s="372">
        <v>0.0</v>
      </c>
    </row>
    <row r="43722">
      <c r="Y43722" s="372">
        <v>0.0</v>
      </c>
      <c r="Z43722" s="372">
        <v>0.0</v>
      </c>
    </row>
    <row r="43723">
      <c r="Y43723" s="372">
        <v>0.0</v>
      </c>
      <c r="Z43723" s="372">
        <v>0.0</v>
      </c>
    </row>
    <row r="43724">
      <c r="Y43724" s="372">
        <v>0.0</v>
      </c>
      <c r="Z43724" s="372">
        <v>0.0</v>
      </c>
    </row>
    <row r="43725">
      <c r="Y43725" s="372">
        <v>0.0</v>
      </c>
      <c r="Z43725" s="372">
        <v>0.0</v>
      </c>
    </row>
    <row r="43726">
      <c r="Y43726" s="372">
        <v>0.0</v>
      </c>
      <c r="Z43726" s="372">
        <v>0.0</v>
      </c>
    </row>
    <row r="43727">
      <c r="Y43727" s="372">
        <v>0.0</v>
      </c>
      <c r="Z43727" s="372">
        <v>0.0</v>
      </c>
    </row>
    <row r="43728">
      <c r="Y43728" s="372">
        <v>0.0</v>
      </c>
      <c r="Z43728" s="372">
        <v>0.0</v>
      </c>
    </row>
    <row r="43729">
      <c r="Y43729" s="372">
        <v>0.0</v>
      </c>
      <c r="Z43729" s="372">
        <v>0.0</v>
      </c>
    </row>
    <row r="43730">
      <c r="Y43730" s="372">
        <v>0.0</v>
      </c>
      <c r="Z43730" s="372">
        <v>0.0</v>
      </c>
    </row>
    <row r="43731">
      <c r="Y43731" s="372">
        <v>0.0</v>
      </c>
      <c r="Z43731" s="372">
        <v>0.0</v>
      </c>
    </row>
    <row r="43732">
      <c r="Y43732" s="372">
        <v>0.0</v>
      </c>
      <c r="Z43732" s="372">
        <v>0.0</v>
      </c>
    </row>
    <row r="43733">
      <c r="Y43733" s="372">
        <v>0.0</v>
      </c>
      <c r="Z43733" s="372">
        <v>0.0</v>
      </c>
    </row>
    <row r="43734">
      <c r="Y43734" s="372">
        <v>0.0</v>
      </c>
      <c r="Z43734" s="372">
        <v>0.0</v>
      </c>
    </row>
    <row r="43735">
      <c r="Y43735" s="372">
        <v>0.0</v>
      </c>
      <c r="Z43735" s="372">
        <v>0.0</v>
      </c>
    </row>
    <row r="43736">
      <c r="Y43736" s="372">
        <v>0.0</v>
      </c>
      <c r="Z43736" s="372">
        <v>0.0</v>
      </c>
    </row>
    <row r="43737">
      <c r="Y43737" s="372">
        <v>0.0</v>
      </c>
      <c r="Z43737" s="372">
        <v>0.0</v>
      </c>
    </row>
    <row r="43738">
      <c r="Y43738" s="372">
        <v>0.0</v>
      </c>
      <c r="Z43738" s="372">
        <v>0.0</v>
      </c>
    </row>
    <row r="43739">
      <c r="Y43739" s="372">
        <v>0.0</v>
      </c>
      <c r="Z43739" s="372">
        <v>0.0</v>
      </c>
    </row>
    <row r="43740">
      <c r="Y43740" s="372">
        <v>0.0</v>
      </c>
      <c r="Z43740" s="372">
        <v>0.0</v>
      </c>
    </row>
    <row r="43741">
      <c r="Y43741" s="372">
        <v>0.0</v>
      </c>
      <c r="Z43741" s="372">
        <v>0.0</v>
      </c>
    </row>
    <row r="43742">
      <c r="Y43742" s="372">
        <v>0.0</v>
      </c>
      <c r="Z43742" s="372">
        <v>0.0</v>
      </c>
    </row>
    <row r="43743">
      <c r="Y43743" s="372">
        <v>0.0</v>
      </c>
      <c r="Z43743" s="372">
        <v>0.0</v>
      </c>
    </row>
    <row r="43744">
      <c r="Y43744" s="372">
        <v>0.0</v>
      </c>
      <c r="Z43744" s="372">
        <v>0.0</v>
      </c>
    </row>
    <row r="43745">
      <c r="Y43745" s="372">
        <v>0.0</v>
      </c>
      <c r="Z43745" s="372">
        <v>0.0</v>
      </c>
    </row>
    <row r="43746">
      <c r="Y43746" s="372">
        <v>0.0</v>
      </c>
      <c r="Z43746" s="372">
        <v>0.0</v>
      </c>
    </row>
    <row r="43747">
      <c r="Y43747" s="372">
        <v>0.0</v>
      </c>
      <c r="Z43747" s="372">
        <v>0.0</v>
      </c>
    </row>
    <row r="43748">
      <c r="Y43748" s="372">
        <v>0.0</v>
      </c>
      <c r="Z43748" s="372">
        <v>0.0</v>
      </c>
    </row>
    <row r="43749">
      <c r="Y43749" s="372">
        <v>0.0</v>
      </c>
      <c r="Z43749" s="372">
        <v>0.0</v>
      </c>
    </row>
    <row r="43750">
      <c r="Y43750" s="372">
        <v>0.0</v>
      </c>
      <c r="Z43750" s="372">
        <v>0.0</v>
      </c>
    </row>
    <row r="43751">
      <c r="Y43751" s="372">
        <v>0.0</v>
      </c>
      <c r="Z43751" s="372">
        <v>0.0</v>
      </c>
    </row>
    <row r="43752">
      <c r="Y43752" s="372">
        <v>0.0</v>
      </c>
      <c r="Z43752" s="372">
        <v>0.0</v>
      </c>
    </row>
    <row r="43753">
      <c r="Y43753" s="372">
        <v>0.0</v>
      </c>
      <c r="Z43753" s="372">
        <v>0.0</v>
      </c>
    </row>
    <row r="43754">
      <c r="Y43754" s="372">
        <v>0.0</v>
      </c>
      <c r="Z43754" s="372">
        <v>0.0</v>
      </c>
    </row>
    <row r="43755">
      <c r="Y43755" s="372">
        <v>0.0</v>
      </c>
      <c r="Z43755" s="372">
        <v>0.0</v>
      </c>
    </row>
    <row r="43756">
      <c r="Y43756" s="372">
        <v>0.0</v>
      </c>
      <c r="Z43756" s="372">
        <v>0.0</v>
      </c>
    </row>
    <row r="43757">
      <c r="Y43757" s="372">
        <v>0.0</v>
      </c>
      <c r="Z43757" s="372">
        <v>0.0</v>
      </c>
    </row>
    <row r="43758">
      <c r="Y43758" s="372">
        <v>0.0</v>
      </c>
      <c r="Z43758" s="372">
        <v>0.0</v>
      </c>
    </row>
    <row r="43759">
      <c r="Y43759" s="372">
        <v>0.0</v>
      </c>
      <c r="Z43759" s="372">
        <v>0.0</v>
      </c>
    </row>
    <row r="43760">
      <c r="Y43760" s="372">
        <v>0.0</v>
      </c>
      <c r="Z43760" s="372">
        <v>0.0</v>
      </c>
    </row>
    <row r="43761">
      <c r="Y43761" s="372">
        <v>0.0</v>
      </c>
      <c r="Z43761" s="372">
        <v>0.0</v>
      </c>
    </row>
    <row r="43762">
      <c r="Y43762" s="372">
        <v>0.0</v>
      </c>
      <c r="Z43762" s="372">
        <v>0.0</v>
      </c>
    </row>
    <row r="43763">
      <c r="Y43763" s="372">
        <v>0.0</v>
      </c>
      <c r="Z43763" s="372">
        <v>0.0</v>
      </c>
    </row>
    <row r="43764">
      <c r="Y43764" s="372">
        <v>0.0</v>
      </c>
      <c r="Z43764" s="372">
        <v>0.0</v>
      </c>
    </row>
    <row r="43765">
      <c r="Y43765" s="372">
        <v>0.0</v>
      </c>
      <c r="Z43765" s="372">
        <v>0.0</v>
      </c>
    </row>
    <row r="43766">
      <c r="Y43766" s="372">
        <v>0.0</v>
      </c>
      <c r="Z43766" s="372">
        <v>0.0</v>
      </c>
    </row>
    <row r="43767">
      <c r="Y43767" s="372">
        <v>0.0</v>
      </c>
      <c r="Z43767" s="372">
        <v>0.0</v>
      </c>
    </row>
    <row r="43768">
      <c r="Y43768" s="372">
        <v>0.0</v>
      </c>
      <c r="Z43768" s="372">
        <v>0.0</v>
      </c>
    </row>
    <row r="43769">
      <c r="Y43769" s="372">
        <v>0.0</v>
      </c>
      <c r="Z43769" s="372">
        <v>0.0</v>
      </c>
    </row>
    <row r="43770">
      <c r="Y43770" s="372">
        <v>0.0</v>
      </c>
      <c r="Z43770" s="372">
        <v>0.0</v>
      </c>
    </row>
    <row r="43771">
      <c r="Y43771" s="372">
        <v>0.0</v>
      </c>
      <c r="Z43771" s="372">
        <v>0.0</v>
      </c>
    </row>
    <row r="43772">
      <c r="Y43772" s="372">
        <v>0.0</v>
      </c>
      <c r="Z43772" s="372">
        <v>0.0</v>
      </c>
    </row>
    <row r="43773">
      <c r="Y43773" s="372">
        <v>0.0</v>
      </c>
      <c r="Z43773" s="372">
        <v>0.0</v>
      </c>
    </row>
    <row r="43774">
      <c r="Y43774" s="372">
        <v>0.0</v>
      </c>
      <c r="Z43774" s="372">
        <v>0.0</v>
      </c>
    </row>
    <row r="43775">
      <c r="Y43775" s="372">
        <v>0.0</v>
      </c>
      <c r="Z43775" s="372">
        <v>0.0</v>
      </c>
    </row>
    <row r="43776">
      <c r="Y43776" s="372">
        <v>0.0</v>
      </c>
      <c r="Z43776" s="372">
        <v>0.0</v>
      </c>
    </row>
    <row r="43777">
      <c r="Y43777" s="372">
        <v>0.0</v>
      </c>
      <c r="Z43777" s="372">
        <v>0.0</v>
      </c>
    </row>
    <row r="43778">
      <c r="Y43778" s="372">
        <v>0.0</v>
      </c>
      <c r="Z43778" s="372">
        <v>0.0</v>
      </c>
    </row>
    <row r="43779">
      <c r="Y43779" s="372">
        <v>0.0</v>
      </c>
      <c r="Z43779" s="372">
        <v>0.0</v>
      </c>
    </row>
    <row r="43780">
      <c r="Y43780" s="372">
        <v>0.0</v>
      </c>
      <c r="Z43780" s="372">
        <v>0.0</v>
      </c>
    </row>
    <row r="43781">
      <c r="Y43781" s="372">
        <v>0.0</v>
      </c>
      <c r="Z43781" s="372">
        <v>0.0</v>
      </c>
    </row>
    <row r="43782">
      <c r="Y43782" s="372">
        <v>0.0</v>
      </c>
      <c r="Z43782" s="372">
        <v>0.0</v>
      </c>
    </row>
    <row r="43783">
      <c r="Y43783" s="372">
        <v>0.0</v>
      </c>
      <c r="Z43783" s="372">
        <v>0.0</v>
      </c>
    </row>
    <row r="43784">
      <c r="Y43784" s="372">
        <v>0.0</v>
      </c>
      <c r="Z43784" s="372">
        <v>0.0</v>
      </c>
    </row>
    <row r="43785">
      <c r="Y43785" s="372">
        <v>0.0</v>
      </c>
      <c r="Z43785" s="372">
        <v>0.0</v>
      </c>
    </row>
    <row r="43786">
      <c r="Y43786" s="372">
        <v>0.0</v>
      </c>
      <c r="Z43786" s="372">
        <v>0.0</v>
      </c>
    </row>
    <row r="43787">
      <c r="Y43787" s="372">
        <v>0.0</v>
      </c>
      <c r="Z43787" s="372">
        <v>0.0</v>
      </c>
    </row>
    <row r="43788">
      <c r="Y43788" s="372">
        <v>0.0</v>
      </c>
      <c r="Z43788" s="372">
        <v>0.0</v>
      </c>
    </row>
    <row r="43789">
      <c r="Y43789" s="372">
        <v>0.0</v>
      </c>
      <c r="Z43789" s="372">
        <v>0.0</v>
      </c>
    </row>
    <row r="43790">
      <c r="Y43790" s="372">
        <v>0.0</v>
      </c>
      <c r="Z43790" s="372">
        <v>0.0</v>
      </c>
    </row>
    <row r="43791">
      <c r="Y43791" s="372">
        <v>0.0</v>
      </c>
      <c r="Z43791" s="372">
        <v>0.0</v>
      </c>
    </row>
    <row r="43792">
      <c r="Y43792" s="372">
        <v>0.0</v>
      </c>
      <c r="Z43792" s="372">
        <v>0.0</v>
      </c>
    </row>
    <row r="43793">
      <c r="Y43793" s="372">
        <v>0.0</v>
      </c>
      <c r="Z43793" s="372">
        <v>0.0</v>
      </c>
    </row>
    <row r="43794">
      <c r="Y43794" s="372">
        <v>0.0</v>
      </c>
      <c r="Z43794" s="372">
        <v>0.0</v>
      </c>
    </row>
    <row r="43795">
      <c r="Y43795" s="372">
        <v>0.0</v>
      </c>
      <c r="Z43795" s="372">
        <v>0.0</v>
      </c>
    </row>
    <row r="43796">
      <c r="Y43796" s="372">
        <v>0.0</v>
      </c>
      <c r="Z43796" s="372">
        <v>0.0</v>
      </c>
    </row>
    <row r="43797">
      <c r="Y43797" s="372">
        <v>0.0</v>
      </c>
      <c r="Z43797" s="372">
        <v>0.0</v>
      </c>
    </row>
    <row r="43798">
      <c r="Y43798" s="372">
        <v>0.0</v>
      </c>
      <c r="Z43798" s="372">
        <v>0.0</v>
      </c>
    </row>
    <row r="43799">
      <c r="Y43799" s="372">
        <v>0.0</v>
      </c>
      <c r="Z43799" s="372">
        <v>0.0</v>
      </c>
    </row>
    <row r="43800">
      <c r="Y43800" s="372">
        <v>0.0</v>
      </c>
      <c r="Z43800" s="372">
        <v>0.0</v>
      </c>
    </row>
    <row r="43801">
      <c r="Y43801" s="372">
        <v>0.0</v>
      </c>
      <c r="Z43801" s="372">
        <v>0.0</v>
      </c>
    </row>
    <row r="43802">
      <c r="Y43802" s="372">
        <v>0.0</v>
      </c>
      <c r="Z43802" s="372">
        <v>0.0</v>
      </c>
    </row>
    <row r="43803">
      <c r="Y43803" s="372">
        <v>0.0</v>
      </c>
      <c r="Z43803" s="372">
        <v>0.0</v>
      </c>
    </row>
    <row r="43804">
      <c r="Y43804" s="372">
        <v>0.0</v>
      </c>
      <c r="Z43804" s="372">
        <v>0.0</v>
      </c>
    </row>
    <row r="43805">
      <c r="Y43805" s="372">
        <v>0.0</v>
      </c>
      <c r="Z43805" s="372">
        <v>0.0</v>
      </c>
    </row>
    <row r="43806">
      <c r="Y43806" s="372">
        <v>0.0</v>
      </c>
      <c r="Z43806" s="372">
        <v>0.0</v>
      </c>
    </row>
    <row r="43807">
      <c r="Y43807" s="372">
        <v>0.0</v>
      </c>
      <c r="Z43807" s="372">
        <v>0.0</v>
      </c>
    </row>
    <row r="43808">
      <c r="Y43808" s="372">
        <v>0.0</v>
      </c>
      <c r="Z43808" s="372">
        <v>0.0</v>
      </c>
    </row>
    <row r="43809">
      <c r="Y43809" s="372">
        <v>0.0</v>
      </c>
      <c r="Z43809" s="372">
        <v>0.0</v>
      </c>
    </row>
    <row r="43810">
      <c r="Y43810" s="372">
        <v>0.0</v>
      </c>
      <c r="Z43810" s="372">
        <v>0.0</v>
      </c>
    </row>
    <row r="43811">
      <c r="Y43811" s="372">
        <v>0.0</v>
      </c>
      <c r="Z43811" s="372">
        <v>0.0</v>
      </c>
    </row>
    <row r="43812">
      <c r="Y43812" s="372">
        <v>0.0</v>
      </c>
      <c r="Z43812" s="372">
        <v>0.0</v>
      </c>
    </row>
    <row r="43813">
      <c r="Y43813" s="372">
        <v>0.0</v>
      </c>
      <c r="Z43813" s="372">
        <v>0.0</v>
      </c>
    </row>
    <row r="43814">
      <c r="Y43814" s="372">
        <v>0.0</v>
      </c>
      <c r="Z43814" s="372">
        <v>0.0</v>
      </c>
    </row>
    <row r="43815">
      <c r="Y43815" s="372">
        <v>0.0</v>
      </c>
      <c r="Z43815" s="372">
        <v>0.0</v>
      </c>
    </row>
    <row r="43816">
      <c r="Y43816" s="372">
        <v>0.0</v>
      </c>
      <c r="Z43816" s="372">
        <v>0.0</v>
      </c>
    </row>
    <row r="43817">
      <c r="Y43817" s="372">
        <v>0.0</v>
      </c>
      <c r="Z43817" s="372">
        <v>0.0</v>
      </c>
    </row>
    <row r="43818">
      <c r="Y43818" s="372">
        <v>0.0</v>
      </c>
      <c r="Z43818" s="372">
        <v>0.0</v>
      </c>
    </row>
    <row r="43819">
      <c r="Y43819" s="372">
        <v>0.0</v>
      </c>
      <c r="Z43819" s="372">
        <v>0.0</v>
      </c>
    </row>
    <row r="43820">
      <c r="Y43820" s="372">
        <v>0.0</v>
      </c>
      <c r="Z43820" s="372">
        <v>0.0</v>
      </c>
    </row>
    <row r="43821">
      <c r="Y43821" s="372">
        <v>0.0</v>
      </c>
      <c r="Z43821" s="372">
        <v>0.0</v>
      </c>
    </row>
    <row r="43822">
      <c r="Y43822" s="372">
        <v>0.0</v>
      </c>
      <c r="Z43822" s="372">
        <v>0.0</v>
      </c>
    </row>
    <row r="43823">
      <c r="Y43823" s="372">
        <v>0.0</v>
      </c>
      <c r="Z43823" s="372">
        <v>0.0</v>
      </c>
    </row>
    <row r="43824">
      <c r="Y43824" s="372">
        <v>0.0</v>
      </c>
      <c r="Z43824" s="372">
        <v>0.0</v>
      </c>
    </row>
    <row r="43825">
      <c r="Y43825" s="372">
        <v>0.0</v>
      </c>
      <c r="Z43825" s="372">
        <v>0.0</v>
      </c>
    </row>
    <row r="43826">
      <c r="Y43826" s="372">
        <v>0.0</v>
      </c>
      <c r="Z43826" s="372">
        <v>0.0</v>
      </c>
    </row>
    <row r="43827">
      <c r="Y43827" s="372">
        <v>0.0</v>
      </c>
      <c r="Z43827" s="372">
        <v>0.0</v>
      </c>
    </row>
    <row r="43828">
      <c r="Y43828" s="372">
        <v>0.0</v>
      </c>
      <c r="Z43828" s="372">
        <v>0.0</v>
      </c>
    </row>
    <row r="43829">
      <c r="Y43829" s="372">
        <v>0.0</v>
      </c>
      <c r="Z43829" s="372">
        <v>0.0</v>
      </c>
    </row>
    <row r="43830">
      <c r="Y43830" s="372">
        <v>0.0</v>
      </c>
      <c r="Z43830" s="372">
        <v>0.0</v>
      </c>
    </row>
    <row r="43831">
      <c r="Y43831" s="372">
        <v>0.0</v>
      </c>
      <c r="Z43831" s="372">
        <v>0.0</v>
      </c>
    </row>
    <row r="43832">
      <c r="Y43832" s="372">
        <v>0.0</v>
      </c>
      <c r="Z43832" s="372">
        <v>0.0</v>
      </c>
    </row>
    <row r="43833">
      <c r="Y43833" s="372">
        <v>0.0</v>
      </c>
      <c r="Z43833" s="372">
        <v>0.0</v>
      </c>
    </row>
    <row r="43834">
      <c r="Y43834" s="372">
        <v>0.0</v>
      </c>
      <c r="Z43834" s="372">
        <v>0.0</v>
      </c>
    </row>
    <row r="43835">
      <c r="Y43835" s="372">
        <v>0.0</v>
      </c>
      <c r="Z43835" s="372">
        <v>0.0</v>
      </c>
    </row>
    <row r="43836">
      <c r="Y43836" s="372">
        <v>0.0</v>
      </c>
      <c r="Z43836" s="372">
        <v>0.0</v>
      </c>
    </row>
    <row r="43837">
      <c r="Y43837" s="372">
        <v>0.0</v>
      </c>
      <c r="Z43837" s="372">
        <v>0.0</v>
      </c>
    </row>
    <row r="43838">
      <c r="Y43838" s="372">
        <v>0.0</v>
      </c>
      <c r="Z43838" s="372">
        <v>0.0</v>
      </c>
    </row>
    <row r="43839">
      <c r="Y43839" s="372">
        <v>0.0</v>
      </c>
      <c r="Z43839" s="372">
        <v>0.0</v>
      </c>
    </row>
    <row r="43840">
      <c r="Y43840" s="372">
        <v>0.0</v>
      </c>
      <c r="Z43840" s="372">
        <v>0.0</v>
      </c>
    </row>
    <row r="43841">
      <c r="Y43841" s="372">
        <v>0.0</v>
      </c>
      <c r="Z43841" s="372">
        <v>0.0</v>
      </c>
    </row>
    <row r="43842">
      <c r="Y43842" s="372">
        <v>0.0</v>
      </c>
      <c r="Z43842" s="372">
        <v>0.0</v>
      </c>
    </row>
    <row r="43843">
      <c r="Y43843" s="372">
        <v>0.0</v>
      </c>
      <c r="Z43843" s="372">
        <v>0.0</v>
      </c>
    </row>
    <row r="43844">
      <c r="Y43844" s="372">
        <v>0.0</v>
      </c>
      <c r="Z43844" s="372">
        <v>0.0</v>
      </c>
    </row>
    <row r="43845">
      <c r="Y43845" s="372">
        <v>0.0</v>
      </c>
      <c r="Z43845" s="372">
        <v>0.0</v>
      </c>
    </row>
    <row r="43846">
      <c r="Y43846" s="372">
        <v>0.0</v>
      </c>
      <c r="Z43846" s="372">
        <v>0.0</v>
      </c>
    </row>
    <row r="43847">
      <c r="Y43847" s="372">
        <v>0.0</v>
      </c>
      <c r="Z43847" s="372">
        <v>0.0</v>
      </c>
    </row>
    <row r="43848">
      <c r="Y43848" s="372">
        <v>0.0</v>
      </c>
      <c r="Z43848" s="372">
        <v>0.0</v>
      </c>
    </row>
    <row r="43849">
      <c r="Y43849" s="372">
        <v>0.0</v>
      </c>
      <c r="Z43849" s="372">
        <v>0.0</v>
      </c>
    </row>
    <row r="43850">
      <c r="Y43850" s="372">
        <v>0.0</v>
      </c>
      <c r="Z43850" s="372">
        <v>0.0</v>
      </c>
    </row>
    <row r="43851">
      <c r="Y43851" s="372">
        <v>0.0</v>
      </c>
      <c r="Z43851" s="372">
        <v>0.0</v>
      </c>
    </row>
    <row r="43852">
      <c r="Y43852" s="372">
        <v>0.0</v>
      </c>
      <c r="Z43852" s="372">
        <v>0.0</v>
      </c>
    </row>
    <row r="43853">
      <c r="Y43853" s="372">
        <v>0.0</v>
      </c>
      <c r="Z43853" s="372">
        <v>0.0</v>
      </c>
    </row>
    <row r="43854">
      <c r="Y43854" s="372">
        <v>0.0</v>
      </c>
      <c r="Z43854" s="372">
        <v>0.0</v>
      </c>
    </row>
    <row r="43855">
      <c r="Y43855" s="372">
        <v>0.0</v>
      </c>
      <c r="Z43855" s="372">
        <v>0.0</v>
      </c>
    </row>
    <row r="43856">
      <c r="Y43856" s="372">
        <v>0.0</v>
      </c>
      <c r="Z43856" s="372">
        <v>0.0</v>
      </c>
    </row>
    <row r="43857">
      <c r="Y43857" s="372">
        <v>0.0</v>
      </c>
      <c r="Z43857" s="372">
        <v>0.0</v>
      </c>
    </row>
    <row r="43858">
      <c r="Y43858" s="372">
        <v>0.0</v>
      </c>
      <c r="Z43858" s="372">
        <v>0.0</v>
      </c>
    </row>
    <row r="43859">
      <c r="Y43859" s="372">
        <v>0.0</v>
      </c>
      <c r="Z43859" s="372">
        <v>0.0</v>
      </c>
    </row>
    <row r="43860">
      <c r="Y43860" s="372">
        <v>0.0</v>
      </c>
      <c r="Z43860" s="372">
        <v>0.0</v>
      </c>
    </row>
    <row r="43861">
      <c r="Y43861" s="372">
        <v>0.0</v>
      </c>
      <c r="Z43861" s="372">
        <v>0.0</v>
      </c>
    </row>
    <row r="43862">
      <c r="Y43862" s="372">
        <v>0.0</v>
      </c>
      <c r="Z43862" s="372">
        <v>0.0</v>
      </c>
    </row>
    <row r="43863">
      <c r="Y43863" s="372">
        <v>0.0</v>
      </c>
      <c r="Z43863" s="372">
        <v>0.0</v>
      </c>
    </row>
    <row r="43864">
      <c r="Y43864" s="372">
        <v>0.0</v>
      </c>
      <c r="Z43864" s="372">
        <v>0.0</v>
      </c>
    </row>
    <row r="43865">
      <c r="Y43865" s="372">
        <v>0.0</v>
      </c>
      <c r="Z43865" s="372">
        <v>0.0</v>
      </c>
    </row>
    <row r="43866">
      <c r="Y43866" s="372">
        <v>0.0</v>
      </c>
      <c r="Z43866" s="372">
        <v>0.0</v>
      </c>
    </row>
    <row r="43867">
      <c r="Y43867" s="372">
        <v>0.0</v>
      </c>
      <c r="Z43867" s="372">
        <v>0.0</v>
      </c>
    </row>
    <row r="43868">
      <c r="Y43868" s="372">
        <v>0.0</v>
      </c>
      <c r="Z43868" s="372">
        <v>0.0</v>
      </c>
    </row>
    <row r="43869">
      <c r="Y43869" s="372">
        <v>0.0</v>
      </c>
      <c r="Z43869" s="372">
        <v>0.0</v>
      </c>
    </row>
    <row r="43870">
      <c r="Y43870" s="372">
        <v>0.0</v>
      </c>
      <c r="Z43870" s="372">
        <v>0.0</v>
      </c>
    </row>
    <row r="43871">
      <c r="Y43871" s="372">
        <v>0.0</v>
      </c>
      <c r="Z43871" s="372">
        <v>0.0</v>
      </c>
    </row>
    <row r="43872">
      <c r="Y43872" s="372">
        <v>0.0</v>
      </c>
      <c r="Z43872" s="372">
        <v>0.0</v>
      </c>
    </row>
    <row r="43873">
      <c r="Y43873" s="372">
        <v>0.0</v>
      </c>
      <c r="Z43873" s="372">
        <v>0.0</v>
      </c>
    </row>
    <row r="43874">
      <c r="Y43874" s="372">
        <v>0.0</v>
      </c>
      <c r="Z43874" s="372">
        <v>0.0</v>
      </c>
    </row>
    <row r="43875">
      <c r="Y43875" s="372">
        <v>0.0</v>
      </c>
      <c r="Z43875" s="372">
        <v>0.0</v>
      </c>
    </row>
    <row r="43876">
      <c r="Y43876" s="372">
        <v>0.0</v>
      </c>
      <c r="Z43876" s="372">
        <v>0.0</v>
      </c>
    </row>
    <row r="43877">
      <c r="Y43877" s="372">
        <v>0.0</v>
      </c>
      <c r="Z43877" s="372">
        <v>0.0</v>
      </c>
    </row>
    <row r="43878">
      <c r="Y43878" s="372">
        <v>0.0</v>
      </c>
      <c r="Z43878" s="372">
        <v>0.0</v>
      </c>
    </row>
    <row r="43879">
      <c r="Y43879" s="372">
        <v>0.0</v>
      </c>
      <c r="Z43879" s="372">
        <v>0.0</v>
      </c>
    </row>
    <row r="43880">
      <c r="Y43880" s="372">
        <v>0.0</v>
      </c>
      <c r="Z43880" s="372">
        <v>0.0</v>
      </c>
    </row>
    <row r="43881">
      <c r="Y43881" s="372">
        <v>0.0</v>
      </c>
      <c r="Z43881" s="372">
        <v>0.0</v>
      </c>
    </row>
    <row r="43882">
      <c r="Y43882" s="372">
        <v>0.0</v>
      </c>
      <c r="Z43882" s="372">
        <v>0.0</v>
      </c>
    </row>
    <row r="43883">
      <c r="Y43883" s="372">
        <v>0.0</v>
      </c>
      <c r="Z43883" s="372">
        <v>0.0</v>
      </c>
    </row>
    <row r="43884">
      <c r="Y43884" s="372">
        <v>0.0</v>
      </c>
      <c r="Z43884" s="372">
        <v>0.0</v>
      </c>
    </row>
    <row r="43885">
      <c r="Y43885" s="372">
        <v>0.0</v>
      </c>
      <c r="Z43885" s="372">
        <v>0.0</v>
      </c>
    </row>
    <row r="43886">
      <c r="Y43886" s="372">
        <v>0.0</v>
      </c>
      <c r="Z43886" s="372">
        <v>0.0</v>
      </c>
    </row>
    <row r="43887">
      <c r="Y43887" s="372">
        <v>0.0</v>
      </c>
      <c r="Z43887" s="372">
        <v>0.0</v>
      </c>
    </row>
    <row r="43888">
      <c r="Y43888" s="372">
        <v>0.0</v>
      </c>
      <c r="Z43888" s="372">
        <v>0.0</v>
      </c>
    </row>
    <row r="43889">
      <c r="Y43889" s="372">
        <v>0.0</v>
      </c>
      <c r="Z43889" s="372">
        <v>0.0</v>
      </c>
    </row>
    <row r="43890">
      <c r="Y43890" s="372">
        <v>0.0</v>
      </c>
      <c r="Z43890" s="372">
        <v>0.0</v>
      </c>
    </row>
    <row r="43891">
      <c r="Y43891" s="372">
        <v>0.0</v>
      </c>
      <c r="Z43891" s="372">
        <v>0.0</v>
      </c>
    </row>
    <row r="43892">
      <c r="Y43892" s="372">
        <v>0.0</v>
      </c>
      <c r="Z43892" s="372">
        <v>0.0</v>
      </c>
    </row>
    <row r="43893">
      <c r="Y43893" s="372">
        <v>0.0</v>
      </c>
      <c r="Z43893" s="372">
        <v>0.0</v>
      </c>
    </row>
    <row r="43894">
      <c r="Y43894" s="372">
        <v>0.0</v>
      </c>
      <c r="Z43894" s="372">
        <v>0.0</v>
      </c>
    </row>
    <row r="43895">
      <c r="Y43895" s="372">
        <v>0.0</v>
      </c>
      <c r="Z43895" s="372">
        <v>0.0</v>
      </c>
    </row>
    <row r="43896">
      <c r="Y43896" s="372">
        <v>0.0</v>
      </c>
      <c r="Z43896" s="372">
        <v>0.0</v>
      </c>
    </row>
    <row r="43897">
      <c r="Y43897" s="372">
        <v>0.0</v>
      </c>
      <c r="Z43897" s="372">
        <v>0.0</v>
      </c>
    </row>
    <row r="43898">
      <c r="Y43898" s="372">
        <v>0.0</v>
      </c>
      <c r="Z43898" s="372">
        <v>0.0</v>
      </c>
    </row>
    <row r="43899">
      <c r="Y43899" s="372">
        <v>0.0</v>
      </c>
      <c r="Z43899" s="372">
        <v>0.0</v>
      </c>
    </row>
    <row r="43900">
      <c r="Y43900" s="372">
        <v>0.0</v>
      </c>
      <c r="Z43900" s="372">
        <v>0.0</v>
      </c>
    </row>
    <row r="43901">
      <c r="Y43901" s="372">
        <v>0.0</v>
      </c>
      <c r="Z43901" s="372">
        <v>0.0</v>
      </c>
    </row>
    <row r="43902">
      <c r="Y43902" s="372">
        <v>0.0</v>
      </c>
      <c r="Z43902" s="372">
        <v>0.0</v>
      </c>
    </row>
    <row r="43903">
      <c r="Y43903" s="372">
        <v>0.0</v>
      </c>
      <c r="Z43903" s="372">
        <v>0.0</v>
      </c>
    </row>
    <row r="43904">
      <c r="Y43904" s="372">
        <v>0.0</v>
      </c>
      <c r="Z43904" s="372">
        <v>0.0</v>
      </c>
    </row>
    <row r="43905">
      <c r="Y43905" s="372">
        <v>0.0</v>
      </c>
      <c r="Z43905" s="372">
        <v>0.0</v>
      </c>
    </row>
    <row r="43906">
      <c r="Y43906" s="372">
        <v>0.0</v>
      </c>
      <c r="Z43906" s="372">
        <v>0.0</v>
      </c>
    </row>
    <row r="43907">
      <c r="Y43907" s="372">
        <v>0.0</v>
      </c>
      <c r="Z43907" s="372">
        <v>0.0</v>
      </c>
    </row>
    <row r="43908">
      <c r="Y43908" s="372">
        <v>0.0</v>
      </c>
      <c r="Z43908" s="372">
        <v>0.0</v>
      </c>
    </row>
    <row r="43909">
      <c r="Y43909" s="372">
        <v>0.0</v>
      </c>
      <c r="Z43909" s="372">
        <v>0.0</v>
      </c>
    </row>
    <row r="43910">
      <c r="Y43910" s="372">
        <v>0.0</v>
      </c>
      <c r="Z43910" s="372">
        <v>0.0</v>
      </c>
    </row>
    <row r="43911">
      <c r="Y43911" s="372">
        <v>0.0</v>
      </c>
      <c r="Z43911" s="372">
        <v>0.0</v>
      </c>
    </row>
    <row r="43912">
      <c r="Y43912" s="372">
        <v>0.0</v>
      </c>
      <c r="Z43912" s="372">
        <v>0.0</v>
      </c>
    </row>
    <row r="43913">
      <c r="Y43913" s="372">
        <v>0.0</v>
      </c>
      <c r="Z43913" s="372">
        <v>0.0</v>
      </c>
    </row>
    <row r="43914">
      <c r="Y43914" s="372">
        <v>0.0</v>
      </c>
      <c r="Z43914" s="372">
        <v>0.0</v>
      </c>
    </row>
    <row r="43915">
      <c r="Y43915" s="372">
        <v>0.0</v>
      </c>
      <c r="Z43915" s="372">
        <v>0.0</v>
      </c>
    </row>
    <row r="43916">
      <c r="Y43916" s="372">
        <v>0.0</v>
      </c>
      <c r="Z43916" s="372">
        <v>0.0</v>
      </c>
    </row>
    <row r="43917">
      <c r="Y43917" s="372">
        <v>0.0</v>
      </c>
      <c r="Z43917" s="372">
        <v>0.0</v>
      </c>
    </row>
    <row r="43918">
      <c r="Y43918" s="372">
        <v>0.0</v>
      </c>
      <c r="Z43918" s="372">
        <v>0.0</v>
      </c>
    </row>
    <row r="43919">
      <c r="Y43919" s="372">
        <v>0.0</v>
      </c>
      <c r="Z43919" s="372">
        <v>0.0</v>
      </c>
    </row>
    <row r="43920">
      <c r="Y43920" s="372">
        <v>0.0</v>
      </c>
      <c r="Z43920" s="372">
        <v>0.0</v>
      </c>
    </row>
    <row r="43921">
      <c r="Y43921" s="372">
        <v>0.0</v>
      </c>
      <c r="Z43921" s="372">
        <v>0.0</v>
      </c>
    </row>
    <row r="43922">
      <c r="Y43922" s="372">
        <v>0.0</v>
      </c>
      <c r="Z43922" s="372">
        <v>0.0</v>
      </c>
    </row>
    <row r="43923">
      <c r="Y43923" s="372">
        <v>0.0</v>
      </c>
      <c r="Z43923" s="372">
        <v>0.0</v>
      </c>
    </row>
    <row r="43924">
      <c r="Y43924" s="372">
        <v>0.0</v>
      </c>
      <c r="Z43924" s="372">
        <v>0.0</v>
      </c>
    </row>
    <row r="43925">
      <c r="Y43925" s="372">
        <v>0.0</v>
      </c>
      <c r="Z43925" s="372">
        <v>0.0</v>
      </c>
    </row>
    <row r="43926">
      <c r="Y43926" s="372">
        <v>0.0</v>
      </c>
      <c r="Z43926" s="372">
        <v>0.0</v>
      </c>
    </row>
    <row r="43927">
      <c r="Y43927" s="372">
        <v>0.0</v>
      </c>
      <c r="Z43927" s="372">
        <v>0.0</v>
      </c>
    </row>
    <row r="43928">
      <c r="Y43928" s="372">
        <v>0.0</v>
      </c>
      <c r="Z43928" s="372">
        <v>0.0</v>
      </c>
    </row>
    <row r="43929">
      <c r="Y43929" s="372">
        <v>0.0</v>
      </c>
      <c r="Z43929" s="372">
        <v>0.0</v>
      </c>
    </row>
    <row r="43930">
      <c r="Y43930" s="372">
        <v>0.0</v>
      </c>
      <c r="Z43930" s="372">
        <v>0.0</v>
      </c>
    </row>
    <row r="43931">
      <c r="Y43931" s="372">
        <v>0.0</v>
      </c>
      <c r="Z43931" s="372">
        <v>0.0</v>
      </c>
    </row>
    <row r="43932">
      <c r="Y43932" s="372">
        <v>0.0</v>
      </c>
      <c r="Z43932" s="372">
        <v>0.0</v>
      </c>
    </row>
    <row r="43933">
      <c r="Y43933" s="372">
        <v>0.0</v>
      </c>
      <c r="Z43933" s="372">
        <v>0.0</v>
      </c>
    </row>
    <row r="43934">
      <c r="Y43934" s="372">
        <v>0.0</v>
      </c>
      <c r="Z43934" s="372">
        <v>0.0</v>
      </c>
    </row>
    <row r="43935">
      <c r="Y43935" s="372">
        <v>0.0</v>
      </c>
      <c r="Z43935" s="372">
        <v>0.0</v>
      </c>
    </row>
    <row r="43936">
      <c r="Y43936" s="372">
        <v>0.0</v>
      </c>
      <c r="Z43936" s="372">
        <v>0.0</v>
      </c>
    </row>
    <row r="43937">
      <c r="Y43937" s="372">
        <v>0.0</v>
      </c>
      <c r="Z43937" s="372">
        <v>0.0</v>
      </c>
    </row>
    <row r="43938">
      <c r="Y43938" s="372">
        <v>0.0</v>
      </c>
      <c r="Z43938" s="372">
        <v>0.0</v>
      </c>
    </row>
    <row r="43939">
      <c r="Y43939" s="372">
        <v>0.0</v>
      </c>
      <c r="Z43939" s="372">
        <v>0.0</v>
      </c>
    </row>
    <row r="43940">
      <c r="Y43940" s="372">
        <v>0.0</v>
      </c>
      <c r="Z43940" s="372">
        <v>0.0</v>
      </c>
    </row>
    <row r="43941">
      <c r="Y43941" s="372">
        <v>0.0</v>
      </c>
      <c r="Z43941" s="372">
        <v>0.0</v>
      </c>
    </row>
    <row r="43942">
      <c r="Y43942" s="372">
        <v>0.0</v>
      </c>
      <c r="Z43942" s="372">
        <v>0.0</v>
      </c>
    </row>
    <row r="43943">
      <c r="Y43943" s="372">
        <v>0.0</v>
      </c>
      <c r="Z43943" s="372">
        <v>0.0</v>
      </c>
    </row>
    <row r="43944">
      <c r="Y43944" s="372">
        <v>0.0</v>
      </c>
      <c r="Z43944" s="372">
        <v>0.0</v>
      </c>
    </row>
    <row r="43945">
      <c r="Y43945" s="372">
        <v>0.0</v>
      </c>
      <c r="Z43945" s="372">
        <v>0.0</v>
      </c>
    </row>
    <row r="43946">
      <c r="Y43946" s="372">
        <v>0.0</v>
      </c>
      <c r="Z43946" s="372">
        <v>0.0</v>
      </c>
    </row>
    <row r="43947">
      <c r="Y43947" s="372">
        <v>0.0</v>
      </c>
      <c r="Z43947" s="372">
        <v>0.0</v>
      </c>
    </row>
    <row r="43948">
      <c r="Y43948" s="372">
        <v>0.0</v>
      </c>
      <c r="Z43948" s="372">
        <v>0.0</v>
      </c>
    </row>
    <row r="43949">
      <c r="Y43949" s="372">
        <v>0.0</v>
      </c>
      <c r="Z43949" s="372">
        <v>0.0</v>
      </c>
    </row>
    <row r="43950">
      <c r="Y43950" s="372">
        <v>0.0</v>
      </c>
      <c r="Z43950" s="372">
        <v>0.0</v>
      </c>
    </row>
    <row r="43951">
      <c r="Y43951" s="372">
        <v>0.0</v>
      </c>
      <c r="Z43951" s="372">
        <v>0.0</v>
      </c>
    </row>
    <row r="43952">
      <c r="Y43952" s="372">
        <v>0.0</v>
      </c>
      <c r="Z43952" s="372">
        <v>0.0</v>
      </c>
    </row>
    <row r="43953">
      <c r="Y43953" s="372">
        <v>0.0</v>
      </c>
      <c r="Z43953" s="372">
        <v>0.0</v>
      </c>
    </row>
    <row r="43954">
      <c r="Y43954" s="372">
        <v>0.0</v>
      </c>
      <c r="Z43954" s="372">
        <v>0.0</v>
      </c>
    </row>
    <row r="43955">
      <c r="Y43955" s="372">
        <v>0.0</v>
      </c>
      <c r="Z43955" s="372">
        <v>0.0</v>
      </c>
    </row>
    <row r="43956">
      <c r="Y43956" s="372">
        <v>0.0</v>
      </c>
      <c r="Z43956" s="372">
        <v>0.0</v>
      </c>
    </row>
    <row r="43957">
      <c r="Y43957" s="372">
        <v>0.0</v>
      </c>
      <c r="Z43957" s="372">
        <v>0.0</v>
      </c>
    </row>
    <row r="43958">
      <c r="Y43958" s="372">
        <v>0.0</v>
      </c>
      <c r="Z43958" s="372">
        <v>0.0</v>
      </c>
    </row>
    <row r="43959">
      <c r="Y43959" s="372">
        <v>0.0</v>
      </c>
      <c r="Z43959" s="372">
        <v>0.0</v>
      </c>
    </row>
    <row r="43960">
      <c r="Y43960" s="372">
        <v>0.0</v>
      </c>
      <c r="Z43960" s="372">
        <v>0.0</v>
      </c>
    </row>
    <row r="43961">
      <c r="Y43961" s="372">
        <v>0.0</v>
      </c>
      <c r="Z43961" s="372">
        <v>0.0</v>
      </c>
    </row>
    <row r="43962">
      <c r="Y43962" s="372">
        <v>0.0</v>
      </c>
      <c r="Z43962" s="372">
        <v>0.0</v>
      </c>
    </row>
    <row r="43963">
      <c r="Y43963" s="372">
        <v>0.0</v>
      </c>
      <c r="Z43963" s="372">
        <v>0.0</v>
      </c>
    </row>
    <row r="43964">
      <c r="Y43964" s="372">
        <v>0.0</v>
      </c>
      <c r="Z43964" s="372">
        <v>0.0</v>
      </c>
    </row>
    <row r="43965">
      <c r="Y43965" s="372">
        <v>0.0</v>
      </c>
      <c r="Z43965" s="372">
        <v>0.0</v>
      </c>
    </row>
    <row r="43966">
      <c r="Y43966" s="372">
        <v>0.0</v>
      </c>
      <c r="Z43966" s="372">
        <v>0.0</v>
      </c>
    </row>
    <row r="43967">
      <c r="Y43967" s="372">
        <v>0.0</v>
      </c>
      <c r="Z43967" s="372">
        <v>0.0</v>
      </c>
    </row>
    <row r="43968">
      <c r="Y43968" s="372">
        <v>0.0</v>
      </c>
      <c r="Z43968" s="372">
        <v>0.0</v>
      </c>
    </row>
    <row r="43969">
      <c r="Y43969" s="372">
        <v>0.0</v>
      </c>
      <c r="Z43969" s="372">
        <v>0.0</v>
      </c>
    </row>
    <row r="43970">
      <c r="Y43970" s="372">
        <v>0.0</v>
      </c>
      <c r="Z43970" s="372">
        <v>0.0</v>
      </c>
    </row>
    <row r="43971">
      <c r="Y43971" s="372">
        <v>0.0</v>
      </c>
      <c r="Z43971" s="372">
        <v>0.0</v>
      </c>
    </row>
    <row r="43972">
      <c r="Y43972" s="372">
        <v>0.0</v>
      </c>
      <c r="Z43972" s="372">
        <v>0.0</v>
      </c>
    </row>
    <row r="43973">
      <c r="Y43973" s="372">
        <v>0.0</v>
      </c>
      <c r="Z43973" s="372">
        <v>0.0</v>
      </c>
    </row>
    <row r="43974">
      <c r="Y43974" s="372">
        <v>0.0</v>
      </c>
      <c r="Z43974" s="372">
        <v>0.0</v>
      </c>
    </row>
    <row r="43975">
      <c r="Y43975" s="372">
        <v>0.0</v>
      </c>
      <c r="Z43975" s="372">
        <v>0.0</v>
      </c>
    </row>
    <row r="43976">
      <c r="Y43976" s="372">
        <v>0.0</v>
      </c>
      <c r="Z43976" s="372">
        <v>0.0</v>
      </c>
    </row>
    <row r="43977">
      <c r="Y43977" s="372">
        <v>0.0</v>
      </c>
      <c r="Z43977" s="372">
        <v>0.0</v>
      </c>
    </row>
    <row r="43978">
      <c r="Y43978" s="372">
        <v>0.0</v>
      </c>
      <c r="Z43978" s="372">
        <v>0.0</v>
      </c>
    </row>
    <row r="43979">
      <c r="Y43979" s="372">
        <v>0.0</v>
      </c>
      <c r="Z43979" s="372">
        <v>0.0</v>
      </c>
    </row>
    <row r="43980">
      <c r="Y43980" s="372">
        <v>0.0</v>
      </c>
      <c r="Z43980" s="372">
        <v>0.0</v>
      </c>
    </row>
    <row r="43981">
      <c r="Y43981" s="372">
        <v>0.0</v>
      </c>
      <c r="Z43981" s="372">
        <v>0.0</v>
      </c>
    </row>
    <row r="43982">
      <c r="Y43982" s="372">
        <v>0.0</v>
      </c>
      <c r="Z43982" s="372">
        <v>0.0</v>
      </c>
    </row>
    <row r="43983">
      <c r="Y43983" s="372">
        <v>0.0</v>
      </c>
      <c r="Z43983" s="372">
        <v>0.0</v>
      </c>
    </row>
    <row r="43984">
      <c r="Y43984" s="372">
        <v>0.0</v>
      </c>
      <c r="Z43984" s="372">
        <v>0.0</v>
      </c>
    </row>
    <row r="43985">
      <c r="Y43985" s="372">
        <v>0.0</v>
      </c>
      <c r="Z43985" s="372">
        <v>0.0</v>
      </c>
    </row>
    <row r="43986">
      <c r="Y43986" s="372">
        <v>0.0</v>
      </c>
      <c r="Z43986" s="372">
        <v>0.0</v>
      </c>
    </row>
    <row r="43987">
      <c r="Y43987" s="372">
        <v>0.0</v>
      </c>
      <c r="Z43987" s="372">
        <v>0.0</v>
      </c>
    </row>
    <row r="43988">
      <c r="Y43988" s="372">
        <v>0.0</v>
      </c>
      <c r="Z43988" s="372">
        <v>0.0</v>
      </c>
    </row>
    <row r="43989">
      <c r="Y43989" s="372">
        <v>0.0</v>
      </c>
      <c r="Z43989" s="372">
        <v>0.0</v>
      </c>
    </row>
    <row r="43990">
      <c r="Y43990" s="372">
        <v>0.0</v>
      </c>
      <c r="Z43990" s="372">
        <v>0.0</v>
      </c>
    </row>
    <row r="43991">
      <c r="Y43991" s="372">
        <v>0.0</v>
      </c>
      <c r="Z43991" s="372">
        <v>0.0</v>
      </c>
    </row>
    <row r="43992">
      <c r="Y43992" s="372">
        <v>0.0</v>
      </c>
      <c r="Z43992" s="372">
        <v>0.0</v>
      </c>
    </row>
    <row r="43993">
      <c r="Y43993" s="372">
        <v>0.0</v>
      </c>
      <c r="Z43993" s="372">
        <v>0.0</v>
      </c>
    </row>
    <row r="43994">
      <c r="Y43994" s="372">
        <v>0.0</v>
      </c>
      <c r="Z43994" s="372">
        <v>0.0</v>
      </c>
    </row>
    <row r="43995">
      <c r="Y43995" s="372">
        <v>0.0</v>
      </c>
      <c r="Z43995" s="372">
        <v>0.0</v>
      </c>
    </row>
    <row r="43996">
      <c r="Y43996" s="372">
        <v>0.0</v>
      </c>
      <c r="Z43996" s="372">
        <v>0.0</v>
      </c>
    </row>
    <row r="43997">
      <c r="Y43997" s="372">
        <v>0.0</v>
      </c>
      <c r="Z43997" s="372">
        <v>0.0</v>
      </c>
    </row>
    <row r="43998">
      <c r="Y43998" s="372">
        <v>0.0</v>
      </c>
      <c r="Z43998" s="372">
        <v>0.0</v>
      </c>
    </row>
    <row r="43999">
      <c r="Y43999" s="372">
        <v>0.0</v>
      </c>
      <c r="Z43999" s="372">
        <v>0.0</v>
      </c>
    </row>
    <row r="44000">
      <c r="Y44000" s="372">
        <v>0.0</v>
      </c>
      <c r="Z44000" s="372">
        <v>0.0</v>
      </c>
    </row>
    <row r="44001">
      <c r="Y44001" s="372">
        <v>0.0</v>
      </c>
      <c r="Z44001" s="372">
        <v>0.0</v>
      </c>
    </row>
    <row r="44002">
      <c r="Y44002" s="372">
        <v>0.0</v>
      </c>
      <c r="Z44002" s="372">
        <v>0.0</v>
      </c>
    </row>
    <row r="44003">
      <c r="Y44003" s="372">
        <v>0.0</v>
      </c>
      <c r="Z44003" s="372">
        <v>0.0</v>
      </c>
    </row>
    <row r="44004">
      <c r="Y44004" s="372">
        <v>0.0</v>
      </c>
      <c r="Z44004" s="372">
        <v>0.0</v>
      </c>
    </row>
    <row r="44005">
      <c r="Y44005" s="372">
        <v>0.0</v>
      </c>
      <c r="Z44005" s="372">
        <v>0.0</v>
      </c>
    </row>
    <row r="44006">
      <c r="Y44006" s="372">
        <v>0.0</v>
      </c>
      <c r="Z44006" s="372">
        <v>0.0</v>
      </c>
    </row>
    <row r="44007">
      <c r="Y44007" s="372">
        <v>0.0</v>
      </c>
      <c r="Z44007" s="372">
        <v>0.0</v>
      </c>
    </row>
    <row r="44008">
      <c r="Y44008" s="372">
        <v>0.0</v>
      </c>
      <c r="Z44008" s="372">
        <v>0.0</v>
      </c>
    </row>
    <row r="44009">
      <c r="Y44009" s="372">
        <v>0.0</v>
      </c>
      <c r="Z44009" s="372">
        <v>0.0</v>
      </c>
    </row>
    <row r="44010">
      <c r="Y44010" s="372">
        <v>0.0</v>
      </c>
      <c r="Z44010" s="372">
        <v>0.0</v>
      </c>
    </row>
    <row r="44011">
      <c r="Y44011" s="372">
        <v>0.0</v>
      </c>
      <c r="Z44011" s="372">
        <v>0.0</v>
      </c>
    </row>
    <row r="44012">
      <c r="Y44012" s="372">
        <v>0.0</v>
      </c>
      <c r="Z44012" s="372">
        <v>0.0</v>
      </c>
    </row>
    <row r="44013">
      <c r="Y44013" s="372">
        <v>0.0</v>
      </c>
      <c r="Z44013" s="372">
        <v>0.0</v>
      </c>
    </row>
    <row r="44014">
      <c r="Y44014" s="372">
        <v>0.0</v>
      </c>
      <c r="Z44014" s="372">
        <v>0.0</v>
      </c>
    </row>
    <row r="44015">
      <c r="Y44015" s="372">
        <v>0.0</v>
      </c>
      <c r="Z44015" s="372">
        <v>0.0</v>
      </c>
    </row>
    <row r="44016">
      <c r="Y44016" s="372">
        <v>0.0</v>
      </c>
      <c r="Z44016" s="372">
        <v>0.0</v>
      </c>
    </row>
    <row r="44017">
      <c r="Y44017" s="372">
        <v>0.0</v>
      </c>
      <c r="Z44017" s="372">
        <v>0.0</v>
      </c>
    </row>
    <row r="44018">
      <c r="Y44018" s="372">
        <v>0.0</v>
      </c>
      <c r="Z44018" s="372">
        <v>0.0</v>
      </c>
    </row>
    <row r="44019">
      <c r="Y44019" s="372">
        <v>0.0</v>
      </c>
      <c r="Z44019" s="372">
        <v>0.0</v>
      </c>
    </row>
    <row r="44020">
      <c r="Y44020" s="372">
        <v>0.0</v>
      </c>
      <c r="Z44020" s="372">
        <v>0.0</v>
      </c>
    </row>
    <row r="44021">
      <c r="Y44021" s="372">
        <v>0.0</v>
      </c>
      <c r="Z44021" s="372">
        <v>0.0</v>
      </c>
    </row>
    <row r="44022">
      <c r="Y44022" s="372">
        <v>0.0</v>
      </c>
      <c r="Z44022" s="372">
        <v>0.0</v>
      </c>
    </row>
    <row r="44023">
      <c r="Y44023" s="372">
        <v>0.0</v>
      </c>
      <c r="Z44023" s="372">
        <v>0.0</v>
      </c>
    </row>
    <row r="44024">
      <c r="Y44024" s="372">
        <v>0.0</v>
      </c>
      <c r="Z44024" s="372">
        <v>0.0</v>
      </c>
    </row>
    <row r="44025">
      <c r="Y44025" s="372">
        <v>0.0</v>
      </c>
      <c r="Z44025" s="372">
        <v>0.0</v>
      </c>
    </row>
    <row r="44026">
      <c r="Y44026" s="372">
        <v>0.0</v>
      </c>
      <c r="Z44026" s="372">
        <v>0.0</v>
      </c>
    </row>
    <row r="44027">
      <c r="Y44027" s="372">
        <v>0.0</v>
      </c>
      <c r="Z44027" s="372">
        <v>0.0</v>
      </c>
    </row>
    <row r="44028">
      <c r="Y44028" s="372">
        <v>0.0</v>
      </c>
      <c r="Z44028" s="372">
        <v>0.0</v>
      </c>
    </row>
    <row r="44029">
      <c r="Y44029" s="372">
        <v>0.0</v>
      </c>
      <c r="Z44029" s="372">
        <v>0.0</v>
      </c>
    </row>
    <row r="44030">
      <c r="Y44030" s="372">
        <v>0.0</v>
      </c>
      <c r="Z44030" s="372">
        <v>0.0</v>
      </c>
    </row>
    <row r="44031">
      <c r="Y44031" s="372">
        <v>0.0</v>
      </c>
      <c r="Z44031" s="372">
        <v>0.0</v>
      </c>
    </row>
    <row r="44032">
      <c r="Y44032" s="372">
        <v>0.0</v>
      </c>
      <c r="Z44032" s="372">
        <v>0.0</v>
      </c>
    </row>
    <row r="44033">
      <c r="Y44033" s="372">
        <v>0.0</v>
      </c>
      <c r="Z44033" s="372">
        <v>0.0</v>
      </c>
    </row>
    <row r="44034">
      <c r="Y44034" s="372">
        <v>0.0</v>
      </c>
      <c r="Z44034" s="372">
        <v>0.0</v>
      </c>
    </row>
    <row r="44035">
      <c r="Y44035" s="372">
        <v>0.0</v>
      </c>
      <c r="Z44035" s="372">
        <v>0.0</v>
      </c>
    </row>
    <row r="44036">
      <c r="Y44036" s="372">
        <v>0.0</v>
      </c>
      <c r="Z44036" s="372">
        <v>0.0</v>
      </c>
    </row>
    <row r="44037">
      <c r="Y44037" s="372">
        <v>0.0</v>
      </c>
      <c r="Z44037" s="372">
        <v>0.0</v>
      </c>
    </row>
    <row r="44038">
      <c r="Y44038" s="372">
        <v>0.0</v>
      </c>
      <c r="Z44038" s="372">
        <v>0.0</v>
      </c>
    </row>
    <row r="44039">
      <c r="Y44039" s="372">
        <v>0.0</v>
      </c>
      <c r="Z44039" s="372">
        <v>0.0</v>
      </c>
    </row>
    <row r="44040">
      <c r="Y44040" s="372">
        <v>0.0</v>
      </c>
      <c r="Z44040" s="372">
        <v>0.0</v>
      </c>
    </row>
    <row r="44041">
      <c r="Y44041" s="372">
        <v>0.0</v>
      </c>
      <c r="Z44041" s="372">
        <v>0.0</v>
      </c>
    </row>
    <row r="44042">
      <c r="Y44042" s="372">
        <v>0.0</v>
      </c>
      <c r="Z44042" s="372">
        <v>0.0</v>
      </c>
    </row>
    <row r="44043">
      <c r="Y44043" s="372">
        <v>0.0</v>
      </c>
      <c r="Z44043" s="372">
        <v>0.0</v>
      </c>
    </row>
    <row r="44044">
      <c r="Y44044" s="372">
        <v>0.0</v>
      </c>
      <c r="Z44044" s="372">
        <v>0.0</v>
      </c>
    </row>
    <row r="44045">
      <c r="Y44045" s="372">
        <v>0.0</v>
      </c>
      <c r="Z44045" s="372">
        <v>0.0</v>
      </c>
    </row>
    <row r="44046">
      <c r="Y44046" s="372">
        <v>0.0</v>
      </c>
      <c r="Z44046" s="372">
        <v>0.0</v>
      </c>
    </row>
    <row r="44047">
      <c r="Y44047" s="372">
        <v>0.0</v>
      </c>
      <c r="Z44047" s="372">
        <v>0.0</v>
      </c>
    </row>
    <row r="44048">
      <c r="Y44048" s="372">
        <v>0.0</v>
      </c>
      <c r="Z44048" s="372">
        <v>0.0</v>
      </c>
    </row>
    <row r="44049">
      <c r="Y44049" s="372">
        <v>0.0</v>
      </c>
      <c r="Z44049" s="372">
        <v>0.0</v>
      </c>
    </row>
    <row r="44050">
      <c r="Y44050" s="372">
        <v>0.0</v>
      </c>
      <c r="Z44050" s="372">
        <v>0.0</v>
      </c>
    </row>
    <row r="44051">
      <c r="Y44051" s="372">
        <v>0.0</v>
      </c>
      <c r="Z44051" s="372">
        <v>0.0</v>
      </c>
    </row>
    <row r="44052">
      <c r="Y44052" s="372">
        <v>0.0</v>
      </c>
      <c r="Z44052" s="372">
        <v>0.0</v>
      </c>
    </row>
    <row r="44053">
      <c r="Y44053" s="372">
        <v>0.0</v>
      </c>
      <c r="Z44053" s="372">
        <v>0.0</v>
      </c>
    </row>
    <row r="44054">
      <c r="Y44054" s="372">
        <v>0.0</v>
      </c>
      <c r="Z44054" s="372">
        <v>0.0</v>
      </c>
    </row>
    <row r="44055">
      <c r="Y44055" s="372">
        <v>0.0</v>
      </c>
      <c r="Z44055" s="372">
        <v>0.0</v>
      </c>
    </row>
    <row r="44056">
      <c r="Y44056" s="372">
        <v>0.0</v>
      </c>
      <c r="Z44056" s="372">
        <v>0.0</v>
      </c>
    </row>
    <row r="44057">
      <c r="Y44057" s="372">
        <v>0.0</v>
      </c>
      <c r="Z44057" s="372">
        <v>0.0</v>
      </c>
    </row>
    <row r="44058">
      <c r="Y44058" s="372">
        <v>0.0</v>
      </c>
      <c r="Z44058" s="372">
        <v>0.0</v>
      </c>
    </row>
    <row r="44059">
      <c r="Y44059" s="372">
        <v>0.0</v>
      </c>
      <c r="Z44059" s="372">
        <v>0.0</v>
      </c>
    </row>
    <row r="44060">
      <c r="Y44060" s="372">
        <v>0.0</v>
      </c>
      <c r="Z44060" s="372">
        <v>0.0</v>
      </c>
    </row>
    <row r="44061">
      <c r="Y44061" s="372">
        <v>0.0</v>
      </c>
      <c r="Z44061" s="372">
        <v>0.0</v>
      </c>
    </row>
    <row r="44062">
      <c r="Y44062" s="372">
        <v>0.0</v>
      </c>
      <c r="Z44062" s="372">
        <v>0.0</v>
      </c>
    </row>
    <row r="44063">
      <c r="Y44063" s="372">
        <v>0.0</v>
      </c>
      <c r="Z44063" s="372">
        <v>0.0</v>
      </c>
    </row>
    <row r="44064">
      <c r="Y44064" s="372">
        <v>0.0</v>
      </c>
      <c r="Z44064" s="372">
        <v>0.0</v>
      </c>
    </row>
    <row r="44065">
      <c r="Y44065" s="372">
        <v>0.0</v>
      </c>
      <c r="Z44065" s="372">
        <v>0.0</v>
      </c>
    </row>
    <row r="44066">
      <c r="Y44066" s="372">
        <v>0.0</v>
      </c>
      <c r="Z44066" s="372">
        <v>0.0</v>
      </c>
    </row>
    <row r="44067">
      <c r="Y44067" s="372">
        <v>0.0</v>
      </c>
      <c r="Z44067" s="372">
        <v>0.0</v>
      </c>
    </row>
    <row r="44068">
      <c r="Y44068" s="372">
        <v>0.0</v>
      </c>
      <c r="Z44068" s="372">
        <v>0.0</v>
      </c>
    </row>
    <row r="44069">
      <c r="Y44069" s="372">
        <v>0.0</v>
      </c>
      <c r="Z44069" s="372">
        <v>0.0</v>
      </c>
    </row>
    <row r="44070">
      <c r="Y44070" s="372">
        <v>0.0</v>
      </c>
      <c r="Z44070" s="372">
        <v>0.0</v>
      </c>
    </row>
    <row r="44071">
      <c r="Y44071" s="372">
        <v>0.0</v>
      </c>
      <c r="Z44071" s="372">
        <v>0.0</v>
      </c>
    </row>
    <row r="44072">
      <c r="Y44072" s="372">
        <v>0.0</v>
      </c>
      <c r="Z44072" s="372">
        <v>0.0</v>
      </c>
    </row>
    <row r="44073">
      <c r="Y44073" s="372">
        <v>0.0</v>
      </c>
      <c r="Z44073" s="372">
        <v>0.0</v>
      </c>
    </row>
    <row r="44074">
      <c r="Y44074" s="372">
        <v>0.0</v>
      </c>
      <c r="Z44074" s="372">
        <v>0.0</v>
      </c>
    </row>
    <row r="44075">
      <c r="Y44075" s="372">
        <v>0.0</v>
      </c>
      <c r="Z44075" s="372">
        <v>0.0</v>
      </c>
    </row>
    <row r="44076">
      <c r="Y44076" s="372">
        <v>0.0</v>
      </c>
      <c r="Z44076" s="372">
        <v>0.0</v>
      </c>
    </row>
    <row r="44077">
      <c r="Y44077" s="372">
        <v>0.0</v>
      </c>
      <c r="Z44077" s="372">
        <v>0.0</v>
      </c>
    </row>
    <row r="44078">
      <c r="Y44078" s="372">
        <v>0.0</v>
      </c>
      <c r="Z44078" s="372">
        <v>0.0</v>
      </c>
    </row>
    <row r="44079">
      <c r="Y44079" s="372">
        <v>0.0</v>
      </c>
      <c r="Z44079" s="372">
        <v>0.0</v>
      </c>
    </row>
    <row r="44080">
      <c r="Y44080" s="372">
        <v>0.0</v>
      </c>
      <c r="Z44080" s="372">
        <v>0.0</v>
      </c>
    </row>
    <row r="44081">
      <c r="Y44081" s="372">
        <v>0.0</v>
      </c>
      <c r="Z44081" s="372">
        <v>0.0</v>
      </c>
    </row>
    <row r="44082">
      <c r="Y44082" s="372">
        <v>0.0</v>
      </c>
      <c r="Z44082" s="372">
        <v>0.0</v>
      </c>
    </row>
    <row r="44083">
      <c r="Y44083" s="372">
        <v>0.0</v>
      </c>
      <c r="Z44083" s="372">
        <v>0.0</v>
      </c>
    </row>
    <row r="44084">
      <c r="Y44084" s="372">
        <v>0.0</v>
      </c>
      <c r="Z44084" s="372">
        <v>0.0</v>
      </c>
    </row>
    <row r="44085">
      <c r="Y44085" s="372">
        <v>0.0</v>
      </c>
      <c r="Z44085" s="372">
        <v>0.0</v>
      </c>
    </row>
    <row r="44086">
      <c r="Y44086" s="372">
        <v>0.0</v>
      </c>
      <c r="Z44086" s="372">
        <v>0.0</v>
      </c>
    </row>
    <row r="44087">
      <c r="Y44087" s="372">
        <v>0.0</v>
      </c>
      <c r="Z44087" s="372">
        <v>0.0</v>
      </c>
    </row>
    <row r="44088">
      <c r="Y44088" s="372">
        <v>0.0</v>
      </c>
      <c r="Z44088" s="372">
        <v>0.0</v>
      </c>
    </row>
    <row r="44089">
      <c r="Y44089" s="372">
        <v>0.0</v>
      </c>
      <c r="Z44089" s="372">
        <v>0.0</v>
      </c>
    </row>
    <row r="44090">
      <c r="Y44090" s="372">
        <v>0.0</v>
      </c>
      <c r="Z44090" s="372">
        <v>0.0</v>
      </c>
    </row>
    <row r="44091">
      <c r="Y44091" s="372">
        <v>0.0</v>
      </c>
      <c r="Z44091" s="372">
        <v>0.0</v>
      </c>
    </row>
    <row r="44092">
      <c r="Y44092" s="372">
        <v>0.0</v>
      </c>
      <c r="Z44092" s="372">
        <v>0.0</v>
      </c>
    </row>
    <row r="44093">
      <c r="Y44093" s="372">
        <v>0.0</v>
      </c>
      <c r="Z44093" s="372">
        <v>0.0</v>
      </c>
    </row>
    <row r="44094">
      <c r="Y44094" s="372">
        <v>0.0</v>
      </c>
      <c r="Z44094" s="372">
        <v>0.0</v>
      </c>
    </row>
    <row r="44095">
      <c r="Y44095" s="372">
        <v>0.0</v>
      </c>
      <c r="Z44095" s="372">
        <v>0.0</v>
      </c>
    </row>
    <row r="44096">
      <c r="Y44096" s="372">
        <v>0.0</v>
      </c>
      <c r="Z44096" s="372">
        <v>0.0</v>
      </c>
    </row>
    <row r="44097">
      <c r="Y44097" s="372">
        <v>0.0</v>
      </c>
      <c r="Z44097" s="372">
        <v>0.0</v>
      </c>
    </row>
    <row r="44098">
      <c r="Y44098" s="372">
        <v>0.0</v>
      </c>
      <c r="Z44098" s="372">
        <v>0.0</v>
      </c>
    </row>
    <row r="44099">
      <c r="Y44099" s="372">
        <v>0.0</v>
      </c>
      <c r="Z44099" s="372">
        <v>0.0</v>
      </c>
    </row>
    <row r="44100">
      <c r="Y44100" s="372">
        <v>0.0</v>
      </c>
      <c r="Z44100" s="372">
        <v>0.0</v>
      </c>
    </row>
    <row r="44101">
      <c r="Y44101" s="372">
        <v>0.0</v>
      </c>
      <c r="Z44101" s="372">
        <v>0.0</v>
      </c>
    </row>
    <row r="44102">
      <c r="Y44102" s="372">
        <v>0.0</v>
      </c>
      <c r="Z44102" s="372">
        <v>0.0</v>
      </c>
    </row>
    <row r="44103">
      <c r="Y44103" s="372">
        <v>0.0</v>
      </c>
      <c r="Z44103" s="372">
        <v>0.0</v>
      </c>
    </row>
    <row r="44104">
      <c r="Y44104" s="372">
        <v>0.0</v>
      </c>
      <c r="Z44104" s="372">
        <v>0.0</v>
      </c>
    </row>
    <row r="44105">
      <c r="Y44105" s="372">
        <v>0.0</v>
      </c>
      <c r="Z44105" s="372">
        <v>0.0</v>
      </c>
    </row>
    <row r="44106">
      <c r="Y44106" s="372">
        <v>0.0</v>
      </c>
      <c r="Z44106" s="372">
        <v>0.0</v>
      </c>
    </row>
    <row r="44107">
      <c r="Y44107" s="372">
        <v>0.0</v>
      </c>
      <c r="Z44107" s="372">
        <v>0.0</v>
      </c>
    </row>
    <row r="44108">
      <c r="Y44108" s="372">
        <v>0.0</v>
      </c>
      <c r="Z44108" s="372">
        <v>0.0</v>
      </c>
    </row>
    <row r="44109">
      <c r="Y44109" s="372">
        <v>0.0</v>
      </c>
      <c r="Z44109" s="372">
        <v>0.0</v>
      </c>
    </row>
    <row r="44110">
      <c r="Y44110" s="372">
        <v>0.0</v>
      </c>
      <c r="Z44110" s="372">
        <v>0.0</v>
      </c>
    </row>
    <row r="44111">
      <c r="Y44111" s="372">
        <v>0.0</v>
      </c>
      <c r="Z44111" s="372">
        <v>0.0</v>
      </c>
    </row>
    <row r="44112">
      <c r="Y44112" s="372">
        <v>0.0</v>
      </c>
      <c r="Z44112" s="372">
        <v>0.0</v>
      </c>
    </row>
    <row r="44113">
      <c r="Y44113" s="372">
        <v>0.0</v>
      </c>
      <c r="Z44113" s="372">
        <v>0.0</v>
      </c>
    </row>
    <row r="44114">
      <c r="Y44114" s="372">
        <v>0.0</v>
      </c>
      <c r="Z44114" s="372">
        <v>0.0</v>
      </c>
    </row>
    <row r="44115">
      <c r="Y44115" s="372">
        <v>0.0</v>
      </c>
      <c r="Z44115" s="372">
        <v>0.0</v>
      </c>
    </row>
    <row r="44116">
      <c r="Y44116" s="372">
        <v>0.0</v>
      </c>
      <c r="Z44116" s="372">
        <v>0.0</v>
      </c>
    </row>
    <row r="44117">
      <c r="Y44117" s="372">
        <v>0.0</v>
      </c>
      <c r="Z44117" s="372">
        <v>0.0</v>
      </c>
    </row>
    <row r="44118">
      <c r="Y44118" s="372">
        <v>0.0</v>
      </c>
      <c r="Z44118" s="372">
        <v>0.0</v>
      </c>
    </row>
    <row r="44119">
      <c r="Y44119" s="372">
        <v>0.0</v>
      </c>
      <c r="Z44119" s="372">
        <v>0.0</v>
      </c>
    </row>
    <row r="44120">
      <c r="Y44120" s="372">
        <v>0.0</v>
      </c>
      <c r="Z44120" s="372">
        <v>0.0</v>
      </c>
    </row>
    <row r="44121">
      <c r="Y44121" s="372">
        <v>0.0</v>
      </c>
      <c r="Z44121" s="372">
        <v>0.0</v>
      </c>
    </row>
    <row r="44122">
      <c r="Y44122" s="372">
        <v>0.0</v>
      </c>
      <c r="Z44122" s="372">
        <v>0.0</v>
      </c>
    </row>
    <row r="44123">
      <c r="Y44123" s="372">
        <v>0.0</v>
      </c>
      <c r="Z44123" s="372">
        <v>0.0</v>
      </c>
    </row>
    <row r="44124">
      <c r="Y44124" s="372">
        <v>0.0</v>
      </c>
      <c r="Z44124" s="372">
        <v>0.0</v>
      </c>
    </row>
    <row r="44125">
      <c r="Y44125" s="372">
        <v>0.0</v>
      </c>
      <c r="Z44125" s="372">
        <v>0.0</v>
      </c>
    </row>
    <row r="44126">
      <c r="Y44126" s="372">
        <v>0.0</v>
      </c>
      <c r="Z44126" s="372">
        <v>0.0</v>
      </c>
    </row>
    <row r="44127">
      <c r="Y44127" s="372">
        <v>0.0</v>
      </c>
      <c r="Z44127" s="372">
        <v>0.0</v>
      </c>
    </row>
    <row r="44128">
      <c r="Y44128" s="372">
        <v>0.0</v>
      </c>
      <c r="Z44128" s="372">
        <v>0.0</v>
      </c>
    </row>
    <row r="44129">
      <c r="Y44129" s="372">
        <v>0.0</v>
      </c>
      <c r="Z44129" s="372">
        <v>0.0</v>
      </c>
    </row>
    <row r="44130">
      <c r="Y44130" s="372">
        <v>0.0</v>
      </c>
      <c r="Z44130" s="372">
        <v>0.0</v>
      </c>
    </row>
    <row r="44131">
      <c r="Y44131" s="372">
        <v>0.0</v>
      </c>
      <c r="Z44131" s="372">
        <v>0.0</v>
      </c>
    </row>
    <row r="44132">
      <c r="Y44132" s="372">
        <v>0.0</v>
      </c>
      <c r="Z44132" s="372">
        <v>0.0</v>
      </c>
    </row>
    <row r="44133">
      <c r="Y44133" s="372">
        <v>0.0</v>
      </c>
      <c r="Z44133" s="372">
        <v>0.0</v>
      </c>
    </row>
    <row r="44134">
      <c r="Y44134" s="372">
        <v>0.0</v>
      </c>
      <c r="Z44134" s="372">
        <v>0.0</v>
      </c>
    </row>
    <row r="44135">
      <c r="Y44135" s="372">
        <v>0.0</v>
      </c>
      <c r="Z44135" s="372">
        <v>0.0</v>
      </c>
    </row>
    <row r="44136">
      <c r="Y44136" s="372">
        <v>0.0</v>
      </c>
      <c r="Z44136" s="372">
        <v>0.0</v>
      </c>
    </row>
    <row r="44137">
      <c r="Y44137" s="372">
        <v>0.0</v>
      </c>
      <c r="Z44137" s="372">
        <v>0.0</v>
      </c>
    </row>
    <row r="44138">
      <c r="Y44138" s="372">
        <v>0.0</v>
      </c>
      <c r="Z44138" s="372">
        <v>0.0</v>
      </c>
    </row>
    <row r="44139">
      <c r="Y44139" s="372">
        <v>0.0</v>
      </c>
      <c r="Z44139" s="372">
        <v>0.0</v>
      </c>
    </row>
    <row r="44140">
      <c r="Y44140" s="372">
        <v>0.0</v>
      </c>
      <c r="Z44140" s="372">
        <v>0.0</v>
      </c>
    </row>
    <row r="44141">
      <c r="Y44141" s="372">
        <v>0.0</v>
      </c>
      <c r="Z44141" s="372">
        <v>0.0</v>
      </c>
    </row>
    <row r="44142">
      <c r="Y44142" s="372">
        <v>0.0</v>
      </c>
      <c r="Z44142" s="372">
        <v>0.0</v>
      </c>
    </row>
    <row r="44143">
      <c r="Y44143" s="372">
        <v>0.0</v>
      </c>
      <c r="Z44143" s="372">
        <v>0.0</v>
      </c>
    </row>
    <row r="44144">
      <c r="Y44144" s="372">
        <v>0.0</v>
      </c>
      <c r="Z44144" s="372">
        <v>0.0</v>
      </c>
    </row>
    <row r="44145">
      <c r="Y44145" s="372">
        <v>0.0</v>
      </c>
      <c r="Z44145" s="372">
        <v>0.0</v>
      </c>
    </row>
    <row r="44146">
      <c r="Y44146" s="372">
        <v>0.0</v>
      </c>
      <c r="Z44146" s="372">
        <v>0.0</v>
      </c>
    </row>
    <row r="44147">
      <c r="Y44147" s="372">
        <v>0.0</v>
      </c>
      <c r="Z44147" s="372">
        <v>0.0</v>
      </c>
    </row>
    <row r="44148">
      <c r="Y44148" s="372">
        <v>0.0</v>
      </c>
      <c r="Z44148" s="372">
        <v>0.0</v>
      </c>
    </row>
    <row r="44149">
      <c r="Y44149" s="372">
        <v>0.0</v>
      </c>
      <c r="Z44149" s="372">
        <v>0.0</v>
      </c>
    </row>
    <row r="44150">
      <c r="Y44150" s="372">
        <v>0.0</v>
      </c>
      <c r="Z44150" s="372">
        <v>0.0</v>
      </c>
    </row>
    <row r="44151">
      <c r="Y44151" s="372">
        <v>0.0</v>
      </c>
      <c r="Z44151" s="372">
        <v>0.0</v>
      </c>
    </row>
    <row r="44152">
      <c r="Y44152" s="372">
        <v>0.0</v>
      </c>
      <c r="Z44152" s="372">
        <v>0.0</v>
      </c>
    </row>
    <row r="44153">
      <c r="Y44153" s="372">
        <v>0.0</v>
      </c>
      <c r="Z44153" s="372">
        <v>0.0</v>
      </c>
    </row>
    <row r="44154">
      <c r="Y44154" s="372">
        <v>0.0</v>
      </c>
      <c r="Z44154" s="372">
        <v>0.0</v>
      </c>
    </row>
    <row r="44155">
      <c r="Y44155" s="372">
        <v>0.0</v>
      </c>
      <c r="Z44155" s="372">
        <v>0.0</v>
      </c>
    </row>
    <row r="44156">
      <c r="Y44156" s="372">
        <v>0.0</v>
      </c>
      <c r="Z44156" s="372">
        <v>0.0</v>
      </c>
    </row>
    <row r="44157">
      <c r="Y44157" s="372">
        <v>0.0</v>
      </c>
      <c r="Z44157" s="372">
        <v>0.0</v>
      </c>
    </row>
    <row r="44158">
      <c r="Y44158" s="372">
        <v>0.0</v>
      </c>
      <c r="Z44158" s="372">
        <v>0.0</v>
      </c>
    </row>
    <row r="44159">
      <c r="Y44159" s="372">
        <v>0.0</v>
      </c>
      <c r="Z44159" s="372">
        <v>0.0</v>
      </c>
    </row>
    <row r="44160">
      <c r="Y44160" s="372">
        <v>0.0</v>
      </c>
      <c r="Z44160" s="372">
        <v>0.0</v>
      </c>
    </row>
    <row r="44161">
      <c r="Y44161" s="372">
        <v>0.0</v>
      </c>
      <c r="Z44161" s="372">
        <v>0.0</v>
      </c>
    </row>
    <row r="44162">
      <c r="Y44162" s="372">
        <v>0.0</v>
      </c>
      <c r="Z44162" s="372">
        <v>0.0</v>
      </c>
    </row>
    <row r="44163">
      <c r="Y44163" s="372">
        <v>0.0</v>
      </c>
      <c r="Z44163" s="372">
        <v>0.0</v>
      </c>
    </row>
    <row r="44164">
      <c r="Y44164" s="372">
        <v>0.0</v>
      </c>
      <c r="Z44164" s="372">
        <v>0.0</v>
      </c>
    </row>
    <row r="44165">
      <c r="Y44165" s="372">
        <v>0.0</v>
      </c>
      <c r="Z44165" s="372">
        <v>0.0</v>
      </c>
    </row>
    <row r="44166">
      <c r="Y44166" s="372">
        <v>0.0</v>
      </c>
      <c r="Z44166" s="372">
        <v>0.0</v>
      </c>
    </row>
    <row r="44167">
      <c r="Y44167" s="372">
        <v>0.0</v>
      </c>
      <c r="Z44167" s="372">
        <v>0.0</v>
      </c>
    </row>
    <row r="44168">
      <c r="Y44168" s="372">
        <v>0.0</v>
      </c>
      <c r="Z44168" s="372">
        <v>0.0</v>
      </c>
    </row>
    <row r="44169">
      <c r="Y44169" s="372">
        <v>0.0</v>
      </c>
      <c r="Z44169" s="372">
        <v>0.0</v>
      </c>
    </row>
    <row r="44170">
      <c r="Y44170" s="372">
        <v>0.0</v>
      </c>
      <c r="Z44170" s="372">
        <v>0.0</v>
      </c>
    </row>
    <row r="44171">
      <c r="Y44171" s="372">
        <v>0.0</v>
      </c>
      <c r="Z44171" s="372">
        <v>0.0</v>
      </c>
    </row>
    <row r="44172">
      <c r="Y44172" s="372">
        <v>0.0</v>
      </c>
      <c r="Z44172" s="372">
        <v>0.0</v>
      </c>
    </row>
    <row r="44173">
      <c r="Y44173" s="372">
        <v>0.0</v>
      </c>
      <c r="Z44173" s="372">
        <v>0.0</v>
      </c>
    </row>
    <row r="44174">
      <c r="Y44174" s="372">
        <v>0.0</v>
      </c>
      <c r="Z44174" s="372">
        <v>0.0</v>
      </c>
    </row>
    <row r="44175">
      <c r="Y44175" s="372">
        <v>0.0</v>
      </c>
      <c r="Z44175" s="372">
        <v>0.0</v>
      </c>
    </row>
    <row r="44176">
      <c r="Y44176" s="372">
        <v>0.0</v>
      </c>
      <c r="Z44176" s="372">
        <v>0.0</v>
      </c>
    </row>
    <row r="44177">
      <c r="Y44177" s="372">
        <v>0.0</v>
      </c>
      <c r="Z44177" s="372">
        <v>0.0</v>
      </c>
    </row>
    <row r="44178">
      <c r="Y44178" s="372">
        <v>0.0</v>
      </c>
      <c r="Z44178" s="372">
        <v>0.0</v>
      </c>
    </row>
    <row r="44179">
      <c r="Y44179" s="372">
        <v>0.0</v>
      </c>
      <c r="Z44179" s="372">
        <v>0.0</v>
      </c>
    </row>
    <row r="44180">
      <c r="Y44180" s="372">
        <v>0.0</v>
      </c>
      <c r="Z44180" s="372">
        <v>0.0</v>
      </c>
    </row>
    <row r="44181">
      <c r="Y44181" s="372">
        <v>0.0</v>
      </c>
      <c r="Z44181" s="372">
        <v>0.0</v>
      </c>
    </row>
    <row r="44182">
      <c r="Y44182" s="372">
        <v>0.0</v>
      </c>
      <c r="Z44182" s="372">
        <v>0.0</v>
      </c>
    </row>
    <row r="44183">
      <c r="Y44183" s="372">
        <v>0.0</v>
      </c>
      <c r="Z44183" s="372">
        <v>0.0</v>
      </c>
    </row>
    <row r="44184">
      <c r="Y44184" s="372">
        <v>0.0</v>
      </c>
      <c r="Z44184" s="372">
        <v>0.0</v>
      </c>
    </row>
    <row r="44185">
      <c r="Y44185" s="372">
        <v>0.0</v>
      </c>
      <c r="Z44185" s="372">
        <v>0.0</v>
      </c>
    </row>
    <row r="44186">
      <c r="Y44186" s="372">
        <v>0.0</v>
      </c>
      <c r="Z44186" s="372">
        <v>0.0</v>
      </c>
    </row>
    <row r="44187">
      <c r="Y44187" s="372">
        <v>0.0</v>
      </c>
      <c r="Z44187" s="372">
        <v>0.0</v>
      </c>
    </row>
    <row r="44188">
      <c r="Y44188" s="372">
        <v>0.0</v>
      </c>
      <c r="Z44188" s="372">
        <v>0.0</v>
      </c>
    </row>
    <row r="44189">
      <c r="Y44189" s="372">
        <v>0.0</v>
      </c>
      <c r="Z44189" s="372">
        <v>0.0</v>
      </c>
    </row>
    <row r="44190">
      <c r="Y44190" s="372">
        <v>0.0</v>
      </c>
      <c r="Z44190" s="372">
        <v>0.0</v>
      </c>
    </row>
    <row r="44191">
      <c r="Y44191" s="372">
        <v>0.0</v>
      </c>
      <c r="Z44191" s="372">
        <v>0.0</v>
      </c>
    </row>
    <row r="44192">
      <c r="Y44192" s="372">
        <v>0.0</v>
      </c>
      <c r="Z44192" s="372">
        <v>0.0</v>
      </c>
    </row>
    <row r="44193">
      <c r="Y44193" s="372">
        <v>0.0</v>
      </c>
      <c r="Z44193" s="372">
        <v>0.0</v>
      </c>
    </row>
    <row r="44194">
      <c r="Y44194" s="372">
        <v>0.0</v>
      </c>
      <c r="Z44194" s="372">
        <v>0.0</v>
      </c>
    </row>
    <row r="44195">
      <c r="Y44195" s="372">
        <v>0.0</v>
      </c>
      <c r="Z44195" s="372">
        <v>0.0</v>
      </c>
    </row>
    <row r="44196">
      <c r="Y44196" s="372">
        <v>0.0</v>
      </c>
      <c r="Z44196" s="372">
        <v>0.0</v>
      </c>
    </row>
    <row r="44197">
      <c r="Y44197" s="372">
        <v>0.0</v>
      </c>
      <c r="Z44197" s="372">
        <v>0.0</v>
      </c>
    </row>
    <row r="44198">
      <c r="Y44198" s="372">
        <v>0.0</v>
      </c>
      <c r="Z44198" s="372">
        <v>0.0</v>
      </c>
    </row>
    <row r="44199">
      <c r="Y44199" s="372">
        <v>0.0</v>
      </c>
      <c r="Z44199" s="372">
        <v>0.0</v>
      </c>
    </row>
    <row r="44200">
      <c r="Y44200" s="372">
        <v>0.0</v>
      </c>
      <c r="Z44200" s="372">
        <v>0.0</v>
      </c>
    </row>
    <row r="44201">
      <c r="Y44201" s="372">
        <v>0.0</v>
      </c>
      <c r="Z44201" s="372">
        <v>0.0</v>
      </c>
    </row>
    <row r="44202">
      <c r="Y44202" s="372">
        <v>0.0</v>
      </c>
      <c r="Z44202" s="372">
        <v>0.0</v>
      </c>
    </row>
    <row r="44203">
      <c r="Y44203" s="372">
        <v>0.0</v>
      </c>
      <c r="Z44203" s="372">
        <v>0.0</v>
      </c>
    </row>
    <row r="44204">
      <c r="Y44204" s="372">
        <v>0.0</v>
      </c>
      <c r="Z44204" s="372">
        <v>0.0</v>
      </c>
    </row>
    <row r="44205">
      <c r="Y44205" s="372">
        <v>0.0</v>
      </c>
      <c r="Z44205" s="372">
        <v>0.0</v>
      </c>
    </row>
    <row r="44206">
      <c r="Y44206" s="372">
        <v>0.0</v>
      </c>
      <c r="Z44206" s="372">
        <v>0.0</v>
      </c>
    </row>
    <row r="44207">
      <c r="Y44207" s="372">
        <v>0.0</v>
      </c>
      <c r="Z44207" s="372">
        <v>0.0</v>
      </c>
    </row>
    <row r="44208">
      <c r="Y44208" s="372">
        <v>0.0</v>
      </c>
      <c r="Z44208" s="372">
        <v>0.0</v>
      </c>
    </row>
    <row r="44209">
      <c r="Y44209" s="372">
        <v>0.0</v>
      </c>
      <c r="Z44209" s="372">
        <v>0.0</v>
      </c>
    </row>
    <row r="44210">
      <c r="Y44210" s="372">
        <v>0.0</v>
      </c>
      <c r="Z44210" s="372">
        <v>0.0</v>
      </c>
    </row>
    <row r="44211">
      <c r="Y44211" s="372">
        <v>0.0</v>
      </c>
      <c r="Z44211" s="372">
        <v>0.0</v>
      </c>
    </row>
    <row r="44212">
      <c r="Y44212" s="372">
        <v>0.0</v>
      </c>
      <c r="Z44212" s="372">
        <v>0.0</v>
      </c>
    </row>
    <row r="44213">
      <c r="Y44213" s="372">
        <v>0.0</v>
      </c>
      <c r="Z44213" s="372">
        <v>0.0</v>
      </c>
    </row>
    <row r="44214">
      <c r="Y44214" s="372">
        <v>0.0</v>
      </c>
      <c r="Z44214" s="372">
        <v>0.0</v>
      </c>
    </row>
    <row r="44215">
      <c r="Y44215" s="372">
        <v>0.0</v>
      </c>
      <c r="Z44215" s="372">
        <v>0.0</v>
      </c>
    </row>
    <row r="44216">
      <c r="Y44216" s="372">
        <v>0.0</v>
      </c>
      <c r="Z44216" s="372">
        <v>0.0</v>
      </c>
    </row>
    <row r="44217">
      <c r="Y44217" s="372">
        <v>0.0</v>
      </c>
      <c r="Z44217" s="372">
        <v>0.0</v>
      </c>
    </row>
    <row r="44218">
      <c r="Y44218" s="372">
        <v>0.0</v>
      </c>
      <c r="Z44218" s="372">
        <v>0.0</v>
      </c>
    </row>
    <row r="44219">
      <c r="Y44219" s="372">
        <v>0.0</v>
      </c>
      <c r="Z44219" s="372">
        <v>0.0</v>
      </c>
    </row>
    <row r="44220">
      <c r="Y44220" s="372">
        <v>0.0</v>
      </c>
      <c r="Z44220" s="372">
        <v>0.0</v>
      </c>
    </row>
    <row r="44221">
      <c r="Y44221" s="372">
        <v>0.0</v>
      </c>
      <c r="Z44221" s="372">
        <v>0.0</v>
      </c>
    </row>
    <row r="44222">
      <c r="Y44222" s="372">
        <v>0.0</v>
      </c>
      <c r="Z44222" s="372">
        <v>0.0</v>
      </c>
    </row>
    <row r="44223">
      <c r="Y44223" s="372">
        <v>0.0</v>
      </c>
      <c r="Z44223" s="372">
        <v>0.0</v>
      </c>
    </row>
    <row r="44224">
      <c r="Y44224" s="372">
        <v>0.0</v>
      </c>
      <c r="Z44224" s="372">
        <v>0.0</v>
      </c>
    </row>
    <row r="44225">
      <c r="Y44225" s="372">
        <v>0.0</v>
      </c>
      <c r="Z44225" s="372">
        <v>0.0</v>
      </c>
    </row>
    <row r="44226">
      <c r="Y44226" s="372">
        <v>0.0</v>
      </c>
      <c r="Z44226" s="372">
        <v>0.0</v>
      </c>
    </row>
    <row r="44227">
      <c r="Y44227" s="372">
        <v>0.0</v>
      </c>
      <c r="Z44227" s="372">
        <v>0.0</v>
      </c>
    </row>
    <row r="44228">
      <c r="Y44228" s="372">
        <v>0.0</v>
      </c>
      <c r="Z44228" s="372">
        <v>0.0</v>
      </c>
    </row>
    <row r="44229">
      <c r="Y44229" s="372">
        <v>0.0</v>
      </c>
      <c r="Z44229" s="372">
        <v>0.0</v>
      </c>
    </row>
    <row r="44230">
      <c r="Y44230" s="372">
        <v>0.0</v>
      </c>
      <c r="Z44230" s="372">
        <v>0.0</v>
      </c>
    </row>
    <row r="44231">
      <c r="Y44231" s="372">
        <v>0.0</v>
      </c>
      <c r="Z44231" s="372">
        <v>0.0</v>
      </c>
    </row>
    <row r="44232">
      <c r="Y44232" s="372">
        <v>0.0</v>
      </c>
      <c r="Z44232" s="372">
        <v>0.0</v>
      </c>
    </row>
    <row r="44233">
      <c r="Y44233" s="372">
        <v>0.0</v>
      </c>
      <c r="Z44233" s="372">
        <v>0.0</v>
      </c>
    </row>
    <row r="44234">
      <c r="Y44234" s="372">
        <v>0.0</v>
      </c>
      <c r="Z44234" s="372">
        <v>0.0</v>
      </c>
    </row>
    <row r="44235">
      <c r="Y44235" s="372">
        <v>0.0</v>
      </c>
      <c r="Z44235" s="372">
        <v>0.0</v>
      </c>
    </row>
    <row r="44236">
      <c r="Y44236" s="372">
        <v>0.0</v>
      </c>
      <c r="Z44236" s="372">
        <v>0.0</v>
      </c>
    </row>
    <row r="44237">
      <c r="Y44237" s="372">
        <v>0.0</v>
      </c>
      <c r="Z44237" s="372">
        <v>0.0</v>
      </c>
    </row>
    <row r="44238">
      <c r="Y44238" s="372">
        <v>0.0</v>
      </c>
      <c r="Z44238" s="372">
        <v>0.0</v>
      </c>
    </row>
    <row r="44239">
      <c r="Y44239" s="372">
        <v>0.0</v>
      </c>
      <c r="Z44239" s="372">
        <v>0.0</v>
      </c>
    </row>
    <row r="44240">
      <c r="Y44240" s="372">
        <v>0.0</v>
      </c>
      <c r="Z44240" s="372">
        <v>0.0</v>
      </c>
    </row>
    <row r="44241">
      <c r="Y44241" s="372">
        <v>0.0</v>
      </c>
      <c r="Z44241" s="372">
        <v>0.0</v>
      </c>
    </row>
    <row r="44242">
      <c r="Y44242" s="372">
        <v>0.0</v>
      </c>
      <c r="Z44242" s="372">
        <v>0.0</v>
      </c>
    </row>
    <row r="44243">
      <c r="Y44243" s="372">
        <v>0.0</v>
      </c>
      <c r="Z44243" s="372">
        <v>0.0</v>
      </c>
    </row>
    <row r="44244">
      <c r="Y44244" s="372">
        <v>0.0</v>
      </c>
      <c r="Z44244" s="372">
        <v>0.0</v>
      </c>
    </row>
    <row r="44245">
      <c r="Y44245" s="372">
        <v>0.0</v>
      </c>
      <c r="Z44245" s="372">
        <v>0.0</v>
      </c>
    </row>
    <row r="44246">
      <c r="Y44246" s="372">
        <v>0.0</v>
      </c>
      <c r="Z44246" s="372">
        <v>0.0</v>
      </c>
    </row>
    <row r="44247">
      <c r="Y44247" s="372">
        <v>0.0</v>
      </c>
      <c r="Z44247" s="372">
        <v>0.0</v>
      </c>
    </row>
    <row r="44248">
      <c r="Y44248" s="372">
        <v>0.0</v>
      </c>
      <c r="Z44248" s="372">
        <v>0.0</v>
      </c>
    </row>
    <row r="44249">
      <c r="Y44249" s="372">
        <v>0.0</v>
      </c>
      <c r="Z44249" s="372">
        <v>0.0</v>
      </c>
    </row>
    <row r="44250">
      <c r="Y44250" s="372">
        <v>0.0</v>
      </c>
      <c r="Z44250" s="372">
        <v>0.0</v>
      </c>
    </row>
    <row r="44251">
      <c r="Y44251" s="372">
        <v>0.0</v>
      </c>
      <c r="Z44251" s="372">
        <v>0.0</v>
      </c>
    </row>
    <row r="44252">
      <c r="Y44252" s="372">
        <v>0.0</v>
      </c>
      <c r="Z44252" s="372">
        <v>0.0</v>
      </c>
    </row>
    <row r="44253">
      <c r="Y44253" s="372">
        <v>0.0</v>
      </c>
      <c r="Z44253" s="372">
        <v>0.0</v>
      </c>
    </row>
    <row r="44254">
      <c r="Y44254" s="372">
        <v>0.0</v>
      </c>
      <c r="Z44254" s="372">
        <v>0.0</v>
      </c>
    </row>
    <row r="44255">
      <c r="Y44255" s="372">
        <v>0.0</v>
      </c>
      <c r="Z44255" s="372">
        <v>0.0</v>
      </c>
    </row>
    <row r="44256">
      <c r="Y44256" s="372">
        <v>0.0</v>
      </c>
      <c r="Z44256" s="372">
        <v>0.0</v>
      </c>
    </row>
    <row r="44257">
      <c r="Y44257" s="372">
        <v>0.0</v>
      </c>
      <c r="Z44257" s="372">
        <v>0.0</v>
      </c>
    </row>
    <row r="44258">
      <c r="Y44258" s="372">
        <v>0.0</v>
      </c>
      <c r="Z44258" s="372">
        <v>0.0</v>
      </c>
    </row>
    <row r="44259">
      <c r="Y44259" s="372">
        <v>0.0</v>
      </c>
      <c r="Z44259" s="372">
        <v>0.0</v>
      </c>
    </row>
    <row r="44260">
      <c r="Y44260" s="372">
        <v>0.0</v>
      </c>
      <c r="Z44260" s="372">
        <v>0.0</v>
      </c>
    </row>
    <row r="44261">
      <c r="Y44261" s="372">
        <v>0.0</v>
      </c>
      <c r="Z44261" s="372">
        <v>0.0</v>
      </c>
    </row>
    <row r="44262">
      <c r="Y44262" s="372">
        <v>0.0</v>
      </c>
      <c r="Z44262" s="372">
        <v>0.0</v>
      </c>
    </row>
    <row r="44263">
      <c r="Y44263" s="372">
        <v>0.0</v>
      </c>
      <c r="Z44263" s="372">
        <v>0.0</v>
      </c>
    </row>
    <row r="44264">
      <c r="Y44264" s="372">
        <v>0.0</v>
      </c>
      <c r="Z44264" s="372">
        <v>0.0</v>
      </c>
    </row>
    <row r="44265">
      <c r="Y44265" s="372">
        <v>0.0</v>
      </c>
      <c r="Z44265" s="372">
        <v>0.0</v>
      </c>
    </row>
    <row r="44266">
      <c r="Y44266" s="372">
        <v>0.0</v>
      </c>
      <c r="Z44266" s="372">
        <v>0.0</v>
      </c>
    </row>
    <row r="44267">
      <c r="Y44267" s="372">
        <v>0.0</v>
      </c>
      <c r="Z44267" s="372">
        <v>0.0</v>
      </c>
    </row>
    <row r="44268">
      <c r="Y44268" s="372">
        <v>0.0</v>
      </c>
      <c r="Z44268" s="372">
        <v>0.0</v>
      </c>
    </row>
    <row r="44269">
      <c r="Y44269" s="372">
        <v>0.0</v>
      </c>
      <c r="Z44269" s="372">
        <v>0.0</v>
      </c>
    </row>
    <row r="44270">
      <c r="Y44270" s="372">
        <v>0.0</v>
      </c>
      <c r="Z44270" s="372">
        <v>0.0</v>
      </c>
    </row>
    <row r="44271">
      <c r="Y44271" s="372">
        <v>0.0</v>
      </c>
      <c r="Z44271" s="372">
        <v>0.0</v>
      </c>
    </row>
    <row r="44272">
      <c r="Y44272" s="372">
        <v>0.0</v>
      </c>
      <c r="Z44272" s="372">
        <v>0.0</v>
      </c>
    </row>
    <row r="44273">
      <c r="Y44273" s="372">
        <v>0.0</v>
      </c>
      <c r="Z44273" s="372">
        <v>0.0</v>
      </c>
    </row>
    <row r="44274">
      <c r="Y44274" s="372">
        <v>0.0</v>
      </c>
      <c r="Z44274" s="372">
        <v>0.0</v>
      </c>
    </row>
    <row r="44275">
      <c r="Y44275" s="372">
        <v>0.0</v>
      </c>
      <c r="Z44275" s="372">
        <v>0.0</v>
      </c>
    </row>
    <row r="44276">
      <c r="Y44276" s="372">
        <v>0.0</v>
      </c>
      <c r="Z44276" s="372">
        <v>0.0</v>
      </c>
    </row>
    <row r="44277">
      <c r="Y44277" s="372">
        <v>0.0</v>
      </c>
      <c r="Z44277" s="372">
        <v>0.0</v>
      </c>
    </row>
    <row r="44278">
      <c r="Y44278" s="372">
        <v>0.0</v>
      </c>
      <c r="Z44278" s="372">
        <v>0.0</v>
      </c>
    </row>
    <row r="44279">
      <c r="Y44279" s="372">
        <v>0.0</v>
      </c>
      <c r="Z44279" s="372">
        <v>0.0</v>
      </c>
    </row>
    <row r="44280">
      <c r="Y44280" s="372">
        <v>0.0</v>
      </c>
      <c r="Z44280" s="372">
        <v>0.0</v>
      </c>
    </row>
    <row r="44281">
      <c r="Y44281" s="372">
        <v>0.0</v>
      </c>
      <c r="Z44281" s="372">
        <v>0.0</v>
      </c>
    </row>
    <row r="44282">
      <c r="Y44282" s="372">
        <v>0.0</v>
      </c>
      <c r="Z44282" s="372">
        <v>0.0</v>
      </c>
    </row>
    <row r="44283">
      <c r="Y44283" s="372">
        <v>0.0</v>
      </c>
      <c r="Z44283" s="372">
        <v>0.0</v>
      </c>
    </row>
    <row r="44284">
      <c r="Y44284" s="372">
        <v>0.0</v>
      </c>
      <c r="Z44284" s="372">
        <v>0.0</v>
      </c>
    </row>
    <row r="44285">
      <c r="Y44285" s="372">
        <v>0.0</v>
      </c>
      <c r="Z44285" s="372">
        <v>0.0</v>
      </c>
    </row>
    <row r="44286">
      <c r="Y44286" s="372">
        <v>0.0</v>
      </c>
      <c r="Z44286" s="372">
        <v>0.0</v>
      </c>
    </row>
    <row r="44287">
      <c r="Y44287" s="372">
        <v>0.0</v>
      </c>
      <c r="Z44287" s="372">
        <v>0.0</v>
      </c>
    </row>
    <row r="44288">
      <c r="Y44288" s="372">
        <v>0.0</v>
      </c>
      <c r="Z44288" s="372">
        <v>0.0</v>
      </c>
    </row>
    <row r="44289">
      <c r="Y44289" s="372">
        <v>0.0</v>
      </c>
      <c r="Z44289" s="372">
        <v>0.0</v>
      </c>
    </row>
    <row r="44290">
      <c r="Y44290" s="372">
        <v>0.0</v>
      </c>
      <c r="Z44290" s="372">
        <v>0.0</v>
      </c>
    </row>
    <row r="44291">
      <c r="Y44291" s="372">
        <v>0.0</v>
      </c>
      <c r="Z44291" s="372">
        <v>0.0</v>
      </c>
    </row>
    <row r="44292">
      <c r="Y44292" s="372">
        <v>0.0</v>
      </c>
      <c r="Z44292" s="372">
        <v>0.0</v>
      </c>
    </row>
    <row r="44293">
      <c r="Y44293" s="372">
        <v>0.0</v>
      </c>
      <c r="Z44293" s="372">
        <v>0.0</v>
      </c>
    </row>
    <row r="44294">
      <c r="Y44294" s="372">
        <v>0.0</v>
      </c>
      <c r="Z44294" s="372">
        <v>0.0</v>
      </c>
    </row>
    <row r="44295">
      <c r="Y44295" s="372">
        <v>0.0</v>
      </c>
      <c r="Z44295" s="372">
        <v>0.0</v>
      </c>
    </row>
    <row r="44296">
      <c r="Y44296" s="372">
        <v>0.0</v>
      </c>
      <c r="Z44296" s="372">
        <v>0.0</v>
      </c>
    </row>
    <row r="44297">
      <c r="Y44297" s="372">
        <v>0.0</v>
      </c>
      <c r="Z44297" s="372">
        <v>0.0</v>
      </c>
    </row>
    <row r="44298">
      <c r="Y44298" s="372">
        <v>0.0</v>
      </c>
      <c r="Z44298" s="372">
        <v>0.0</v>
      </c>
    </row>
    <row r="44299">
      <c r="Y44299" s="372">
        <v>0.0</v>
      </c>
      <c r="Z44299" s="372">
        <v>0.0</v>
      </c>
    </row>
    <row r="44300">
      <c r="Y44300" s="372">
        <v>0.0</v>
      </c>
      <c r="Z44300" s="372">
        <v>0.0</v>
      </c>
    </row>
    <row r="44301">
      <c r="Y44301" s="372">
        <v>0.0</v>
      </c>
      <c r="Z44301" s="372">
        <v>0.0</v>
      </c>
    </row>
    <row r="44302">
      <c r="Y44302" s="372">
        <v>0.0</v>
      </c>
      <c r="Z44302" s="372">
        <v>0.0</v>
      </c>
    </row>
    <row r="44303">
      <c r="Y44303" s="372">
        <v>0.0</v>
      </c>
      <c r="Z44303" s="372">
        <v>0.0</v>
      </c>
    </row>
    <row r="44304">
      <c r="Y44304" s="372">
        <v>0.0</v>
      </c>
      <c r="Z44304" s="372">
        <v>0.0</v>
      </c>
    </row>
    <row r="44305">
      <c r="Y44305" s="372">
        <v>0.0</v>
      </c>
      <c r="Z44305" s="372">
        <v>0.0</v>
      </c>
    </row>
    <row r="44306">
      <c r="Y44306" s="372">
        <v>0.0</v>
      </c>
      <c r="Z44306" s="372">
        <v>0.0</v>
      </c>
    </row>
    <row r="44307">
      <c r="Y44307" s="372">
        <v>0.0</v>
      </c>
      <c r="Z44307" s="372">
        <v>0.0</v>
      </c>
    </row>
    <row r="44308">
      <c r="Y44308" s="372">
        <v>0.0</v>
      </c>
      <c r="Z44308" s="372">
        <v>0.0</v>
      </c>
    </row>
    <row r="44309">
      <c r="Y44309" s="372">
        <v>0.0</v>
      </c>
      <c r="Z44309" s="372">
        <v>0.0</v>
      </c>
    </row>
    <row r="44310">
      <c r="Y44310" s="372">
        <v>0.0</v>
      </c>
      <c r="Z44310" s="372">
        <v>0.0</v>
      </c>
    </row>
    <row r="44311">
      <c r="Y44311" s="372">
        <v>0.0</v>
      </c>
      <c r="Z44311" s="372">
        <v>0.0</v>
      </c>
    </row>
    <row r="44312">
      <c r="Y44312" s="372">
        <v>0.0</v>
      </c>
      <c r="Z44312" s="372">
        <v>0.0</v>
      </c>
    </row>
    <row r="44313">
      <c r="Y44313" s="372">
        <v>0.0</v>
      </c>
      <c r="Z44313" s="372">
        <v>0.0</v>
      </c>
    </row>
    <row r="44314">
      <c r="Y44314" s="372">
        <v>0.0</v>
      </c>
      <c r="Z44314" s="372">
        <v>0.0</v>
      </c>
    </row>
    <row r="44315">
      <c r="Y44315" s="372">
        <v>0.0</v>
      </c>
      <c r="Z44315" s="372">
        <v>0.0</v>
      </c>
    </row>
    <row r="44316">
      <c r="Y44316" s="372">
        <v>0.0</v>
      </c>
      <c r="Z44316" s="372">
        <v>0.0</v>
      </c>
    </row>
    <row r="44317">
      <c r="Y44317" s="372">
        <v>0.0</v>
      </c>
      <c r="Z44317" s="372">
        <v>0.0</v>
      </c>
    </row>
    <row r="44318">
      <c r="Y44318" s="372">
        <v>0.0</v>
      </c>
      <c r="Z44318" s="372">
        <v>0.0</v>
      </c>
    </row>
    <row r="44319">
      <c r="Y44319" s="372">
        <v>0.0</v>
      </c>
      <c r="Z44319" s="372">
        <v>0.0</v>
      </c>
    </row>
    <row r="44320">
      <c r="Y44320" s="372">
        <v>0.0</v>
      </c>
      <c r="Z44320" s="372">
        <v>0.0</v>
      </c>
    </row>
    <row r="44321">
      <c r="Y44321" s="372">
        <v>0.0</v>
      </c>
      <c r="Z44321" s="372">
        <v>0.0</v>
      </c>
    </row>
    <row r="44322">
      <c r="Y44322" s="372">
        <v>0.0</v>
      </c>
      <c r="Z44322" s="372">
        <v>0.0</v>
      </c>
    </row>
    <row r="44323">
      <c r="Y44323" s="372">
        <v>0.0</v>
      </c>
      <c r="Z44323" s="372">
        <v>0.0</v>
      </c>
    </row>
    <row r="44324">
      <c r="Y44324" s="372">
        <v>0.0</v>
      </c>
      <c r="Z44324" s="372">
        <v>0.0</v>
      </c>
    </row>
    <row r="44325">
      <c r="Y44325" s="372">
        <v>0.0</v>
      </c>
      <c r="Z44325" s="372">
        <v>0.0</v>
      </c>
    </row>
    <row r="44326">
      <c r="Y44326" s="372">
        <v>0.0</v>
      </c>
      <c r="Z44326" s="372">
        <v>0.0</v>
      </c>
    </row>
    <row r="44327">
      <c r="Y44327" s="372">
        <v>0.0</v>
      </c>
      <c r="Z44327" s="372">
        <v>0.0</v>
      </c>
    </row>
    <row r="44328">
      <c r="Y44328" s="372">
        <v>0.0</v>
      </c>
      <c r="Z44328" s="372">
        <v>0.0</v>
      </c>
    </row>
    <row r="44329">
      <c r="Y44329" s="372">
        <v>0.0</v>
      </c>
      <c r="Z44329" s="372">
        <v>0.0</v>
      </c>
    </row>
    <row r="44330">
      <c r="Y44330" s="372">
        <v>0.0</v>
      </c>
      <c r="Z44330" s="372">
        <v>0.0</v>
      </c>
    </row>
    <row r="44331">
      <c r="Y44331" s="372">
        <v>0.0</v>
      </c>
      <c r="Z44331" s="372">
        <v>0.0</v>
      </c>
    </row>
    <row r="44332">
      <c r="Y44332" s="372">
        <v>0.0</v>
      </c>
      <c r="Z44332" s="372">
        <v>0.0</v>
      </c>
    </row>
    <row r="44333">
      <c r="Y44333" s="372">
        <v>0.0</v>
      </c>
      <c r="Z44333" s="372">
        <v>0.0</v>
      </c>
    </row>
    <row r="44334">
      <c r="Y44334" s="372">
        <v>0.0</v>
      </c>
      <c r="Z44334" s="372">
        <v>0.0</v>
      </c>
    </row>
    <row r="44335">
      <c r="Y44335" s="372">
        <v>0.0</v>
      </c>
      <c r="Z44335" s="372">
        <v>0.0</v>
      </c>
    </row>
    <row r="44336">
      <c r="Y44336" s="372">
        <v>0.0</v>
      </c>
      <c r="Z44336" s="372">
        <v>0.0</v>
      </c>
    </row>
    <row r="44337">
      <c r="Y44337" s="372">
        <v>0.0</v>
      </c>
      <c r="Z44337" s="372">
        <v>0.0</v>
      </c>
    </row>
    <row r="44338">
      <c r="Y44338" s="372">
        <v>0.0</v>
      </c>
      <c r="Z44338" s="372">
        <v>0.0</v>
      </c>
    </row>
    <row r="44339">
      <c r="Y44339" s="372">
        <v>0.0</v>
      </c>
      <c r="Z44339" s="372">
        <v>0.0</v>
      </c>
    </row>
    <row r="44340">
      <c r="Y44340" s="372">
        <v>0.0</v>
      </c>
      <c r="Z44340" s="372">
        <v>0.0</v>
      </c>
    </row>
    <row r="44341">
      <c r="Y44341" s="372">
        <v>0.0</v>
      </c>
      <c r="Z44341" s="372">
        <v>0.0</v>
      </c>
    </row>
    <row r="44342">
      <c r="Y44342" s="372">
        <v>0.0</v>
      </c>
      <c r="Z44342" s="372">
        <v>0.0</v>
      </c>
    </row>
    <row r="44343">
      <c r="Y44343" s="372">
        <v>0.0</v>
      </c>
      <c r="Z44343" s="372">
        <v>0.0</v>
      </c>
    </row>
    <row r="44344">
      <c r="Y44344" s="372">
        <v>0.0</v>
      </c>
      <c r="Z44344" s="372">
        <v>0.0</v>
      </c>
    </row>
    <row r="44345">
      <c r="Y44345" s="372">
        <v>0.0</v>
      </c>
      <c r="Z44345" s="372">
        <v>0.0</v>
      </c>
    </row>
    <row r="44346">
      <c r="Y44346" s="372">
        <v>0.0</v>
      </c>
      <c r="Z44346" s="372">
        <v>0.0</v>
      </c>
    </row>
    <row r="44347">
      <c r="Y44347" s="372">
        <v>0.0</v>
      </c>
      <c r="Z44347" s="372">
        <v>0.0</v>
      </c>
    </row>
    <row r="44348">
      <c r="Y44348" s="372">
        <v>0.0</v>
      </c>
      <c r="Z44348" s="372">
        <v>0.0</v>
      </c>
    </row>
    <row r="44349">
      <c r="Y44349" s="372">
        <v>0.0</v>
      </c>
      <c r="Z44349" s="372">
        <v>0.0</v>
      </c>
    </row>
    <row r="44350">
      <c r="Y44350" s="372">
        <v>0.0</v>
      </c>
      <c r="Z44350" s="372">
        <v>0.0</v>
      </c>
    </row>
    <row r="44351">
      <c r="Y44351" s="372">
        <v>0.0</v>
      </c>
      <c r="Z44351" s="372">
        <v>0.0</v>
      </c>
    </row>
    <row r="44352">
      <c r="Y44352" s="372">
        <v>0.0</v>
      </c>
      <c r="Z44352" s="372">
        <v>0.0</v>
      </c>
    </row>
    <row r="44353">
      <c r="Y44353" s="372">
        <v>0.0</v>
      </c>
      <c r="Z44353" s="372">
        <v>0.0</v>
      </c>
    </row>
    <row r="44354">
      <c r="Y44354" s="372">
        <v>0.0</v>
      </c>
      <c r="Z44354" s="372">
        <v>0.0</v>
      </c>
    </row>
    <row r="44355">
      <c r="Y44355" s="372">
        <v>0.0</v>
      </c>
      <c r="Z44355" s="372">
        <v>0.0</v>
      </c>
    </row>
    <row r="44356">
      <c r="Y44356" s="372">
        <v>0.0</v>
      </c>
      <c r="Z44356" s="372">
        <v>0.0</v>
      </c>
    </row>
    <row r="44357">
      <c r="Y44357" s="372">
        <v>0.0</v>
      </c>
      <c r="Z44357" s="372">
        <v>0.0</v>
      </c>
    </row>
    <row r="44358">
      <c r="Y44358" s="372">
        <v>0.0</v>
      </c>
      <c r="Z44358" s="372">
        <v>0.0</v>
      </c>
    </row>
    <row r="44359">
      <c r="Y44359" s="372">
        <v>0.0</v>
      </c>
      <c r="Z44359" s="372">
        <v>0.0</v>
      </c>
    </row>
    <row r="44360">
      <c r="Y44360" s="372">
        <v>0.0</v>
      </c>
      <c r="Z44360" s="372">
        <v>0.0</v>
      </c>
    </row>
    <row r="44361">
      <c r="Y44361" s="372">
        <v>0.0</v>
      </c>
      <c r="Z44361" s="372">
        <v>0.0</v>
      </c>
    </row>
    <row r="44362">
      <c r="Y44362" s="372">
        <v>0.0</v>
      </c>
      <c r="Z44362" s="372">
        <v>0.0</v>
      </c>
    </row>
    <row r="44363">
      <c r="Y44363" s="372">
        <v>0.0</v>
      </c>
      <c r="Z44363" s="372">
        <v>0.0</v>
      </c>
    </row>
    <row r="44364">
      <c r="Y44364" s="372">
        <v>0.0</v>
      </c>
      <c r="Z44364" s="372">
        <v>0.0</v>
      </c>
    </row>
    <row r="44365">
      <c r="Y44365" s="372">
        <v>0.0</v>
      </c>
      <c r="Z44365" s="372">
        <v>0.0</v>
      </c>
    </row>
    <row r="44366">
      <c r="Y44366" s="372">
        <v>0.0</v>
      </c>
      <c r="Z44366" s="372">
        <v>0.0</v>
      </c>
    </row>
    <row r="44367">
      <c r="Y44367" s="372">
        <v>0.0</v>
      </c>
      <c r="Z44367" s="372">
        <v>0.0</v>
      </c>
    </row>
    <row r="44368">
      <c r="Y44368" s="372">
        <v>0.0</v>
      </c>
      <c r="Z44368" s="372">
        <v>0.0</v>
      </c>
    </row>
    <row r="44369">
      <c r="Y44369" s="372">
        <v>0.0</v>
      </c>
      <c r="Z44369" s="372">
        <v>0.0</v>
      </c>
    </row>
    <row r="44370">
      <c r="Y44370" s="372">
        <v>0.0</v>
      </c>
      <c r="Z44370" s="372">
        <v>0.0</v>
      </c>
    </row>
    <row r="44371">
      <c r="Y44371" s="372">
        <v>0.0</v>
      </c>
      <c r="Z44371" s="372">
        <v>0.0</v>
      </c>
    </row>
    <row r="44372">
      <c r="Y44372" s="372">
        <v>0.0</v>
      </c>
      <c r="Z44372" s="372">
        <v>0.0</v>
      </c>
    </row>
    <row r="44373">
      <c r="Y44373" s="372">
        <v>0.0</v>
      </c>
      <c r="Z44373" s="372">
        <v>0.0</v>
      </c>
    </row>
    <row r="44374">
      <c r="Y44374" s="372">
        <v>0.0</v>
      </c>
      <c r="Z44374" s="372">
        <v>0.0</v>
      </c>
    </row>
    <row r="44375">
      <c r="Y44375" s="372">
        <v>0.0</v>
      </c>
      <c r="Z44375" s="372">
        <v>0.0</v>
      </c>
    </row>
    <row r="44376">
      <c r="Y44376" s="372">
        <v>0.0</v>
      </c>
      <c r="Z44376" s="372">
        <v>0.0</v>
      </c>
    </row>
    <row r="44377">
      <c r="Y44377" s="372">
        <v>0.0</v>
      </c>
      <c r="Z44377" s="372">
        <v>0.0</v>
      </c>
    </row>
    <row r="44378">
      <c r="Y44378" s="372">
        <v>0.0</v>
      </c>
      <c r="Z44378" s="372">
        <v>0.0</v>
      </c>
    </row>
    <row r="44379">
      <c r="Y44379" s="372">
        <v>0.0</v>
      </c>
      <c r="Z44379" s="372">
        <v>0.0</v>
      </c>
    </row>
    <row r="44380">
      <c r="Y44380" s="372">
        <v>0.0</v>
      </c>
      <c r="Z44380" s="372">
        <v>0.0</v>
      </c>
    </row>
    <row r="44381">
      <c r="Y44381" s="372">
        <v>0.0</v>
      </c>
      <c r="Z44381" s="372">
        <v>0.0</v>
      </c>
    </row>
    <row r="44382">
      <c r="Y44382" s="372">
        <v>0.0</v>
      </c>
      <c r="Z44382" s="372">
        <v>0.0</v>
      </c>
    </row>
    <row r="44383">
      <c r="Y44383" s="372">
        <v>0.0</v>
      </c>
      <c r="Z44383" s="372">
        <v>0.0</v>
      </c>
    </row>
    <row r="44384">
      <c r="Y44384" s="372">
        <v>0.0</v>
      </c>
      <c r="Z44384" s="372">
        <v>0.0</v>
      </c>
    </row>
    <row r="44385">
      <c r="Y44385" s="372">
        <v>0.0</v>
      </c>
      <c r="Z44385" s="372">
        <v>0.0</v>
      </c>
    </row>
    <row r="44386">
      <c r="Y44386" s="372">
        <v>0.0</v>
      </c>
      <c r="Z44386" s="372">
        <v>0.0</v>
      </c>
    </row>
    <row r="44387">
      <c r="Y44387" s="372">
        <v>0.0</v>
      </c>
      <c r="Z44387" s="372">
        <v>0.0</v>
      </c>
    </row>
    <row r="44388">
      <c r="Y44388" s="372">
        <v>0.0</v>
      </c>
      <c r="Z44388" s="372">
        <v>0.0</v>
      </c>
    </row>
    <row r="44389">
      <c r="Y44389" s="372">
        <v>0.0</v>
      </c>
      <c r="Z44389" s="372">
        <v>0.0</v>
      </c>
    </row>
    <row r="44390">
      <c r="Y44390" s="372">
        <v>0.0</v>
      </c>
      <c r="Z44390" s="372">
        <v>0.0</v>
      </c>
    </row>
    <row r="44391">
      <c r="Y44391" s="372">
        <v>0.0</v>
      </c>
      <c r="Z44391" s="372">
        <v>0.0</v>
      </c>
    </row>
    <row r="44392">
      <c r="Y44392" s="372">
        <v>0.0</v>
      </c>
      <c r="Z44392" s="372">
        <v>0.0</v>
      </c>
    </row>
    <row r="44393">
      <c r="Y44393" s="372">
        <v>0.0</v>
      </c>
      <c r="Z44393" s="372">
        <v>0.0</v>
      </c>
    </row>
    <row r="44394">
      <c r="Y44394" s="372">
        <v>0.0</v>
      </c>
      <c r="Z44394" s="372">
        <v>0.0</v>
      </c>
    </row>
    <row r="44395">
      <c r="Y44395" s="372">
        <v>0.0</v>
      </c>
      <c r="Z44395" s="372">
        <v>0.0</v>
      </c>
    </row>
    <row r="44396">
      <c r="Y44396" s="372">
        <v>0.0</v>
      </c>
      <c r="Z44396" s="372">
        <v>0.0</v>
      </c>
    </row>
    <row r="44397">
      <c r="Y44397" s="372">
        <v>0.0</v>
      </c>
      <c r="Z44397" s="372">
        <v>0.0</v>
      </c>
    </row>
    <row r="44398">
      <c r="Y44398" s="372">
        <v>0.0</v>
      </c>
      <c r="Z44398" s="372">
        <v>0.0</v>
      </c>
    </row>
    <row r="44399">
      <c r="Y44399" s="372">
        <v>0.0</v>
      </c>
      <c r="Z44399" s="372">
        <v>0.0</v>
      </c>
    </row>
    <row r="44400">
      <c r="Y44400" s="372">
        <v>0.0</v>
      </c>
      <c r="Z44400" s="372">
        <v>0.0</v>
      </c>
    </row>
    <row r="44401">
      <c r="Y44401" s="372">
        <v>0.0</v>
      </c>
      <c r="Z44401" s="372">
        <v>0.0</v>
      </c>
    </row>
    <row r="44402">
      <c r="Y44402" s="372">
        <v>0.0</v>
      </c>
      <c r="Z44402" s="372">
        <v>0.0</v>
      </c>
    </row>
    <row r="44403">
      <c r="Y44403" s="372">
        <v>0.0</v>
      </c>
      <c r="Z44403" s="372">
        <v>0.0</v>
      </c>
    </row>
    <row r="44404">
      <c r="Y44404" s="372">
        <v>0.0</v>
      </c>
      <c r="Z44404" s="372">
        <v>0.0</v>
      </c>
    </row>
    <row r="44405">
      <c r="Y44405" s="372">
        <v>0.0</v>
      </c>
      <c r="Z44405" s="372">
        <v>0.0</v>
      </c>
    </row>
    <row r="44406">
      <c r="Y44406" s="372">
        <v>0.0</v>
      </c>
      <c r="Z44406" s="372">
        <v>0.0</v>
      </c>
    </row>
    <row r="44407">
      <c r="Y44407" s="372">
        <v>0.0</v>
      </c>
      <c r="Z44407" s="372">
        <v>0.0</v>
      </c>
    </row>
    <row r="44408">
      <c r="Y44408" s="372">
        <v>0.0</v>
      </c>
      <c r="Z44408" s="372">
        <v>0.0</v>
      </c>
    </row>
    <row r="44409">
      <c r="Y44409" s="372">
        <v>0.0</v>
      </c>
      <c r="Z44409" s="372">
        <v>0.0</v>
      </c>
    </row>
    <row r="44410">
      <c r="Y44410" s="372">
        <v>0.0</v>
      </c>
      <c r="Z44410" s="372">
        <v>0.0</v>
      </c>
    </row>
    <row r="44411">
      <c r="Y44411" s="372">
        <v>0.0</v>
      </c>
      <c r="Z44411" s="372">
        <v>0.0</v>
      </c>
    </row>
    <row r="44412">
      <c r="Y44412" s="372">
        <v>0.0</v>
      </c>
      <c r="Z44412" s="372">
        <v>0.0</v>
      </c>
    </row>
    <row r="44413">
      <c r="Y44413" s="372">
        <v>0.0</v>
      </c>
      <c r="Z44413" s="372">
        <v>0.0</v>
      </c>
    </row>
    <row r="44414">
      <c r="Y44414" s="372">
        <v>0.0</v>
      </c>
      <c r="Z44414" s="372">
        <v>0.0</v>
      </c>
    </row>
    <row r="44415">
      <c r="Y44415" s="372">
        <v>0.0</v>
      </c>
      <c r="Z44415" s="372">
        <v>0.0</v>
      </c>
    </row>
    <row r="44416">
      <c r="Y44416" s="372">
        <v>0.0</v>
      </c>
      <c r="Z44416" s="372">
        <v>0.0</v>
      </c>
    </row>
    <row r="44417">
      <c r="Y44417" s="372">
        <v>0.0</v>
      </c>
      <c r="Z44417" s="372">
        <v>0.0</v>
      </c>
    </row>
    <row r="44418">
      <c r="Y44418" s="372">
        <v>0.0</v>
      </c>
      <c r="Z44418" s="372">
        <v>0.0</v>
      </c>
    </row>
    <row r="44419">
      <c r="Y44419" s="372">
        <v>0.0</v>
      </c>
      <c r="Z44419" s="372">
        <v>0.0</v>
      </c>
    </row>
    <row r="44420">
      <c r="Y44420" s="372">
        <v>0.0</v>
      </c>
      <c r="Z44420" s="372">
        <v>0.0</v>
      </c>
    </row>
    <row r="44421">
      <c r="Y44421" s="372">
        <v>0.0</v>
      </c>
      <c r="Z44421" s="372">
        <v>0.0</v>
      </c>
    </row>
    <row r="44422">
      <c r="Y44422" s="372">
        <v>0.0</v>
      </c>
      <c r="Z44422" s="372">
        <v>0.0</v>
      </c>
    </row>
    <row r="44423">
      <c r="Y44423" s="372">
        <v>0.0</v>
      </c>
      <c r="Z44423" s="372">
        <v>0.0</v>
      </c>
    </row>
    <row r="44424">
      <c r="Y44424" s="372">
        <v>0.0</v>
      </c>
      <c r="Z44424" s="372">
        <v>0.0</v>
      </c>
    </row>
    <row r="44425">
      <c r="Y44425" s="372">
        <v>0.0</v>
      </c>
      <c r="Z44425" s="372">
        <v>0.0</v>
      </c>
    </row>
    <row r="44426">
      <c r="Y44426" s="372">
        <v>0.0</v>
      </c>
      <c r="Z44426" s="372">
        <v>0.0</v>
      </c>
    </row>
    <row r="44427">
      <c r="Y44427" s="372">
        <v>0.0</v>
      </c>
      <c r="Z44427" s="372">
        <v>0.0</v>
      </c>
    </row>
    <row r="44428">
      <c r="Y44428" s="372">
        <v>0.0</v>
      </c>
      <c r="Z44428" s="372">
        <v>0.0</v>
      </c>
    </row>
    <row r="44429">
      <c r="Y44429" s="372">
        <v>0.0</v>
      </c>
      <c r="Z44429" s="372">
        <v>0.0</v>
      </c>
    </row>
    <row r="44430">
      <c r="Y44430" s="372">
        <v>0.0</v>
      </c>
      <c r="Z44430" s="372">
        <v>0.0</v>
      </c>
    </row>
    <row r="44431">
      <c r="Y44431" s="372">
        <v>0.0</v>
      </c>
      <c r="Z44431" s="372">
        <v>0.0</v>
      </c>
    </row>
    <row r="44432">
      <c r="Y44432" s="372">
        <v>0.0</v>
      </c>
      <c r="Z44432" s="372">
        <v>0.0</v>
      </c>
    </row>
    <row r="44433">
      <c r="Y44433" s="372">
        <v>0.0</v>
      </c>
      <c r="Z44433" s="372">
        <v>0.0</v>
      </c>
    </row>
    <row r="44434">
      <c r="Y44434" s="372">
        <v>0.0</v>
      </c>
      <c r="Z44434" s="372">
        <v>0.0</v>
      </c>
    </row>
    <row r="44435">
      <c r="Y44435" s="372">
        <v>0.0</v>
      </c>
      <c r="Z44435" s="372">
        <v>0.0</v>
      </c>
    </row>
    <row r="44436">
      <c r="Y44436" s="372">
        <v>0.0</v>
      </c>
      <c r="Z44436" s="372">
        <v>0.0</v>
      </c>
    </row>
    <row r="44437">
      <c r="Y44437" s="372">
        <v>0.0</v>
      </c>
      <c r="Z44437" s="372">
        <v>0.0</v>
      </c>
    </row>
    <row r="44438">
      <c r="Y44438" s="372">
        <v>0.0</v>
      </c>
      <c r="Z44438" s="372">
        <v>0.0</v>
      </c>
    </row>
    <row r="44439">
      <c r="Y44439" s="372">
        <v>0.0</v>
      </c>
      <c r="Z44439" s="372">
        <v>0.0</v>
      </c>
    </row>
    <row r="44440">
      <c r="Y44440" s="372">
        <v>0.0</v>
      </c>
      <c r="Z44440" s="372">
        <v>0.0</v>
      </c>
    </row>
    <row r="44441">
      <c r="Y44441" s="372">
        <v>0.0</v>
      </c>
      <c r="Z44441" s="372">
        <v>0.0</v>
      </c>
    </row>
    <row r="44442">
      <c r="Y44442" s="372">
        <v>0.0</v>
      </c>
      <c r="Z44442" s="372">
        <v>0.0</v>
      </c>
    </row>
    <row r="44443">
      <c r="Y44443" s="372">
        <v>0.0</v>
      </c>
      <c r="Z44443" s="372">
        <v>0.0</v>
      </c>
    </row>
    <row r="44444">
      <c r="Y44444" s="372">
        <v>0.0</v>
      </c>
      <c r="Z44444" s="372">
        <v>0.0</v>
      </c>
    </row>
    <row r="44445">
      <c r="Y44445" s="372">
        <v>0.0</v>
      </c>
      <c r="Z44445" s="372">
        <v>0.0</v>
      </c>
    </row>
    <row r="44446">
      <c r="Y44446" s="372">
        <v>0.0</v>
      </c>
      <c r="Z44446" s="372">
        <v>0.0</v>
      </c>
    </row>
    <row r="44447">
      <c r="Y44447" s="372">
        <v>0.0</v>
      </c>
      <c r="Z44447" s="372">
        <v>0.0</v>
      </c>
    </row>
    <row r="44448">
      <c r="Y44448" s="372">
        <v>0.0</v>
      </c>
      <c r="Z44448" s="372">
        <v>0.0</v>
      </c>
    </row>
    <row r="44449">
      <c r="Y44449" s="372">
        <v>0.0</v>
      </c>
      <c r="Z44449" s="372">
        <v>0.0</v>
      </c>
    </row>
    <row r="44450">
      <c r="Y44450" s="372">
        <v>0.0</v>
      </c>
      <c r="Z44450" s="372">
        <v>0.0</v>
      </c>
    </row>
    <row r="44451">
      <c r="Y44451" s="372">
        <v>0.0</v>
      </c>
      <c r="Z44451" s="372">
        <v>0.0</v>
      </c>
    </row>
    <row r="44452">
      <c r="Y44452" s="372">
        <v>0.0</v>
      </c>
      <c r="Z44452" s="372">
        <v>0.0</v>
      </c>
    </row>
    <row r="44453">
      <c r="Y44453" s="372">
        <v>0.0</v>
      </c>
      <c r="Z44453" s="372">
        <v>0.0</v>
      </c>
    </row>
    <row r="44454">
      <c r="Y44454" s="372">
        <v>0.0</v>
      </c>
      <c r="Z44454" s="372">
        <v>0.0</v>
      </c>
    </row>
    <row r="44455">
      <c r="Y44455" s="372">
        <v>0.0</v>
      </c>
      <c r="Z44455" s="372">
        <v>0.0</v>
      </c>
    </row>
    <row r="44456">
      <c r="Y44456" s="372">
        <v>0.0</v>
      </c>
      <c r="Z44456" s="372">
        <v>0.0</v>
      </c>
    </row>
    <row r="44457">
      <c r="Y44457" s="372">
        <v>0.0</v>
      </c>
      <c r="Z44457" s="372">
        <v>0.0</v>
      </c>
    </row>
    <row r="44458">
      <c r="Y44458" s="372">
        <v>0.0</v>
      </c>
      <c r="Z44458" s="372">
        <v>0.0</v>
      </c>
    </row>
    <row r="44459">
      <c r="Y44459" s="372">
        <v>0.0</v>
      </c>
      <c r="Z44459" s="372">
        <v>0.0</v>
      </c>
    </row>
    <row r="44460">
      <c r="Y44460" s="372">
        <v>0.0</v>
      </c>
      <c r="Z44460" s="372">
        <v>0.0</v>
      </c>
    </row>
    <row r="44461">
      <c r="Y44461" s="372">
        <v>0.0</v>
      </c>
      <c r="Z44461" s="372">
        <v>0.0</v>
      </c>
    </row>
    <row r="44462">
      <c r="Y44462" s="372">
        <v>0.0</v>
      </c>
      <c r="Z44462" s="372">
        <v>0.0</v>
      </c>
    </row>
    <row r="44463">
      <c r="Y44463" s="372">
        <v>0.0</v>
      </c>
      <c r="Z44463" s="372">
        <v>0.0</v>
      </c>
    </row>
    <row r="44464">
      <c r="Y44464" s="372">
        <v>0.0</v>
      </c>
      <c r="Z44464" s="372">
        <v>0.0</v>
      </c>
    </row>
    <row r="44465">
      <c r="Y44465" s="372">
        <v>0.0</v>
      </c>
      <c r="Z44465" s="372">
        <v>0.0</v>
      </c>
    </row>
    <row r="44466">
      <c r="Y44466" s="372">
        <v>0.0</v>
      </c>
      <c r="Z44466" s="372">
        <v>0.0</v>
      </c>
    </row>
    <row r="44467">
      <c r="Y44467" s="372">
        <v>0.0</v>
      </c>
      <c r="Z44467" s="372">
        <v>0.0</v>
      </c>
    </row>
    <row r="44468">
      <c r="Y44468" s="372">
        <v>0.0</v>
      </c>
      <c r="Z44468" s="372">
        <v>0.0</v>
      </c>
    </row>
    <row r="44469">
      <c r="Y44469" s="372">
        <v>0.0</v>
      </c>
      <c r="Z44469" s="372">
        <v>0.0</v>
      </c>
    </row>
    <row r="44470">
      <c r="Y44470" s="372">
        <v>0.0</v>
      </c>
      <c r="Z44470" s="372">
        <v>0.0</v>
      </c>
    </row>
    <row r="44471">
      <c r="Y44471" s="372">
        <v>0.0</v>
      </c>
      <c r="Z44471" s="372">
        <v>0.0</v>
      </c>
    </row>
    <row r="44472">
      <c r="Y44472" s="372">
        <v>0.0</v>
      </c>
      <c r="Z44472" s="372">
        <v>0.0</v>
      </c>
    </row>
    <row r="44473">
      <c r="Y44473" s="372">
        <v>0.0</v>
      </c>
      <c r="Z44473" s="372">
        <v>0.0</v>
      </c>
    </row>
    <row r="44474">
      <c r="Y44474" s="372">
        <v>0.0</v>
      </c>
      <c r="Z44474" s="372">
        <v>0.0</v>
      </c>
    </row>
    <row r="44475">
      <c r="Y44475" s="372">
        <v>0.0</v>
      </c>
      <c r="Z44475" s="372">
        <v>0.0</v>
      </c>
    </row>
    <row r="44476">
      <c r="Y44476" s="372">
        <v>0.0</v>
      </c>
      <c r="Z44476" s="372">
        <v>0.0</v>
      </c>
    </row>
    <row r="44477">
      <c r="Y44477" s="372">
        <v>0.0</v>
      </c>
      <c r="Z44477" s="372">
        <v>0.0</v>
      </c>
    </row>
    <row r="44478">
      <c r="Y44478" s="372">
        <v>0.0</v>
      </c>
      <c r="Z44478" s="372">
        <v>0.0</v>
      </c>
    </row>
    <row r="44479">
      <c r="Y44479" s="372">
        <v>0.0</v>
      </c>
      <c r="Z44479" s="372">
        <v>0.0</v>
      </c>
    </row>
    <row r="44480">
      <c r="Y44480" s="372">
        <v>0.0</v>
      </c>
      <c r="Z44480" s="372">
        <v>0.0</v>
      </c>
    </row>
    <row r="44481">
      <c r="Y44481" s="372">
        <v>0.0</v>
      </c>
      <c r="Z44481" s="372">
        <v>0.0</v>
      </c>
    </row>
    <row r="44482">
      <c r="Y44482" s="372">
        <v>0.0</v>
      </c>
      <c r="Z44482" s="372">
        <v>0.0</v>
      </c>
    </row>
    <row r="44483">
      <c r="Y44483" s="372">
        <v>0.0</v>
      </c>
      <c r="Z44483" s="372">
        <v>0.0</v>
      </c>
    </row>
    <row r="44484">
      <c r="Y44484" s="372">
        <v>0.0</v>
      </c>
      <c r="Z44484" s="372">
        <v>0.0</v>
      </c>
    </row>
    <row r="44485">
      <c r="Y44485" s="372">
        <v>0.0</v>
      </c>
      <c r="Z44485" s="372">
        <v>0.0</v>
      </c>
    </row>
    <row r="44486">
      <c r="Y44486" s="372">
        <v>0.0</v>
      </c>
      <c r="Z44486" s="372">
        <v>0.0</v>
      </c>
    </row>
    <row r="44487">
      <c r="Y44487" s="372">
        <v>0.0</v>
      </c>
      <c r="Z44487" s="372">
        <v>0.0</v>
      </c>
    </row>
    <row r="44488">
      <c r="Y44488" s="372">
        <v>0.0</v>
      </c>
      <c r="Z44488" s="372">
        <v>0.0</v>
      </c>
    </row>
    <row r="44489">
      <c r="Y44489" s="372">
        <v>0.0</v>
      </c>
      <c r="Z44489" s="372">
        <v>0.0</v>
      </c>
    </row>
    <row r="44490">
      <c r="Y44490" s="372">
        <v>0.0</v>
      </c>
      <c r="Z44490" s="372">
        <v>0.0</v>
      </c>
    </row>
    <row r="44491">
      <c r="Y44491" s="372">
        <v>0.0</v>
      </c>
      <c r="Z44491" s="372">
        <v>0.0</v>
      </c>
    </row>
    <row r="44492">
      <c r="Y44492" s="372">
        <v>0.0</v>
      </c>
      <c r="Z44492" s="372">
        <v>0.0</v>
      </c>
    </row>
    <row r="44493">
      <c r="Y44493" s="372">
        <v>0.0</v>
      </c>
      <c r="Z44493" s="372">
        <v>0.0</v>
      </c>
    </row>
    <row r="44494">
      <c r="Y44494" s="372">
        <v>0.0</v>
      </c>
      <c r="Z44494" s="372">
        <v>0.0</v>
      </c>
    </row>
    <row r="44495">
      <c r="Y44495" s="372">
        <v>0.0</v>
      </c>
      <c r="Z44495" s="372">
        <v>0.0</v>
      </c>
    </row>
    <row r="44496">
      <c r="Y44496" s="372">
        <v>0.0</v>
      </c>
      <c r="Z44496" s="372">
        <v>0.0</v>
      </c>
    </row>
    <row r="44497">
      <c r="Y44497" s="372">
        <v>0.0</v>
      </c>
      <c r="Z44497" s="372">
        <v>0.0</v>
      </c>
    </row>
    <row r="44498">
      <c r="Y44498" s="372">
        <v>0.0</v>
      </c>
      <c r="Z44498" s="372">
        <v>0.0</v>
      </c>
    </row>
    <row r="44499">
      <c r="Y44499" s="372">
        <v>0.0</v>
      </c>
      <c r="Z44499" s="372">
        <v>0.0</v>
      </c>
    </row>
    <row r="44500">
      <c r="Y44500" s="372">
        <v>0.0</v>
      </c>
      <c r="Z44500" s="372">
        <v>0.0</v>
      </c>
    </row>
    <row r="44501">
      <c r="Y44501" s="372">
        <v>0.0</v>
      </c>
      <c r="Z44501" s="372">
        <v>0.0</v>
      </c>
    </row>
    <row r="44502">
      <c r="Y44502" s="372">
        <v>0.0</v>
      </c>
      <c r="Z44502" s="372">
        <v>0.0</v>
      </c>
    </row>
    <row r="44503">
      <c r="Y44503" s="372">
        <v>0.0</v>
      </c>
      <c r="Z44503" s="372">
        <v>0.0</v>
      </c>
    </row>
    <row r="44504">
      <c r="Y44504" s="372">
        <v>0.0</v>
      </c>
      <c r="Z44504" s="372">
        <v>0.0</v>
      </c>
    </row>
    <row r="44505">
      <c r="Y44505" s="372">
        <v>0.0</v>
      </c>
      <c r="Z44505" s="372">
        <v>0.0</v>
      </c>
    </row>
    <row r="44506">
      <c r="Y44506" s="372">
        <v>0.0</v>
      </c>
      <c r="Z44506" s="372">
        <v>0.0</v>
      </c>
    </row>
    <row r="44507">
      <c r="Y44507" s="372">
        <v>0.0</v>
      </c>
      <c r="Z44507" s="372">
        <v>0.0</v>
      </c>
    </row>
    <row r="44508">
      <c r="Y44508" s="372">
        <v>0.0</v>
      </c>
      <c r="Z44508" s="372">
        <v>0.0</v>
      </c>
    </row>
    <row r="44509">
      <c r="Y44509" s="372">
        <v>0.0</v>
      </c>
      <c r="Z44509" s="372">
        <v>0.0</v>
      </c>
    </row>
    <row r="44510">
      <c r="Y44510" s="372">
        <v>0.0</v>
      </c>
      <c r="Z44510" s="372">
        <v>0.0</v>
      </c>
    </row>
    <row r="44511">
      <c r="Y44511" s="372">
        <v>0.0</v>
      </c>
      <c r="Z44511" s="372">
        <v>0.0</v>
      </c>
    </row>
    <row r="44512">
      <c r="Y44512" s="372">
        <v>0.0</v>
      </c>
      <c r="Z44512" s="372">
        <v>0.0</v>
      </c>
    </row>
    <row r="44513">
      <c r="Y44513" s="372">
        <v>0.0</v>
      </c>
      <c r="Z44513" s="372">
        <v>0.0</v>
      </c>
    </row>
    <row r="44514">
      <c r="Y44514" s="372">
        <v>0.0</v>
      </c>
      <c r="Z44514" s="372">
        <v>0.0</v>
      </c>
    </row>
    <row r="44515">
      <c r="Y44515" s="372">
        <v>0.0</v>
      </c>
      <c r="Z44515" s="372">
        <v>0.0</v>
      </c>
    </row>
    <row r="44516">
      <c r="Y44516" s="372">
        <v>0.0</v>
      </c>
      <c r="Z44516" s="372">
        <v>0.0</v>
      </c>
    </row>
    <row r="44517">
      <c r="Y44517" s="372">
        <v>0.0</v>
      </c>
      <c r="Z44517" s="372">
        <v>0.0</v>
      </c>
    </row>
    <row r="44518">
      <c r="Y44518" s="372">
        <v>0.0</v>
      </c>
      <c r="Z44518" s="372">
        <v>0.0</v>
      </c>
    </row>
    <row r="44519">
      <c r="Y44519" s="372">
        <v>0.0</v>
      </c>
      <c r="Z44519" s="372">
        <v>0.0</v>
      </c>
    </row>
    <row r="44520">
      <c r="Y44520" s="372">
        <v>0.0</v>
      </c>
      <c r="Z44520" s="372">
        <v>0.0</v>
      </c>
    </row>
    <row r="44521">
      <c r="Y44521" s="372">
        <v>0.0</v>
      </c>
      <c r="Z44521" s="372">
        <v>0.0</v>
      </c>
    </row>
    <row r="44522">
      <c r="Y44522" s="372">
        <v>0.0</v>
      </c>
      <c r="Z44522" s="372">
        <v>0.0</v>
      </c>
    </row>
    <row r="44523">
      <c r="Y44523" s="372">
        <v>0.0</v>
      </c>
      <c r="Z44523" s="372">
        <v>0.0</v>
      </c>
    </row>
    <row r="44524">
      <c r="Y44524" s="372">
        <v>0.0</v>
      </c>
      <c r="Z44524" s="372">
        <v>0.0</v>
      </c>
    </row>
    <row r="44525">
      <c r="Y44525" s="372">
        <v>0.0</v>
      </c>
      <c r="Z44525" s="372">
        <v>0.0</v>
      </c>
    </row>
    <row r="44526">
      <c r="Y44526" s="372">
        <v>0.0</v>
      </c>
      <c r="Z44526" s="372">
        <v>0.0</v>
      </c>
    </row>
    <row r="44527">
      <c r="Y44527" s="372">
        <v>0.0</v>
      </c>
      <c r="Z44527" s="372">
        <v>0.0</v>
      </c>
    </row>
    <row r="44528">
      <c r="Y44528" s="372">
        <v>0.0</v>
      </c>
      <c r="Z44528" s="372">
        <v>0.0</v>
      </c>
    </row>
    <row r="44529">
      <c r="Y44529" s="372">
        <v>0.0</v>
      </c>
      <c r="Z44529" s="372">
        <v>0.0</v>
      </c>
    </row>
    <row r="44530">
      <c r="Y44530" s="372">
        <v>0.0</v>
      </c>
      <c r="Z44530" s="372">
        <v>0.0</v>
      </c>
    </row>
    <row r="44531">
      <c r="Y44531" s="372">
        <v>0.0</v>
      </c>
      <c r="Z44531" s="372">
        <v>0.0</v>
      </c>
    </row>
    <row r="44532">
      <c r="Y44532" s="372">
        <v>0.0</v>
      </c>
      <c r="Z44532" s="372">
        <v>0.0</v>
      </c>
    </row>
    <row r="44533">
      <c r="Y44533" s="372">
        <v>0.0</v>
      </c>
      <c r="Z44533" s="372">
        <v>0.0</v>
      </c>
    </row>
    <row r="44534">
      <c r="Y44534" s="372">
        <v>0.0</v>
      </c>
      <c r="Z44534" s="372">
        <v>0.0</v>
      </c>
    </row>
    <row r="44535">
      <c r="Y44535" s="372">
        <v>0.0</v>
      </c>
      <c r="Z44535" s="372">
        <v>0.0</v>
      </c>
    </row>
    <row r="44536">
      <c r="Y44536" s="372">
        <v>0.0</v>
      </c>
      <c r="Z44536" s="372">
        <v>0.0</v>
      </c>
    </row>
    <row r="44537">
      <c r="Y44537" s="372">
        <v>0.0</v>
      </c>
      <c r="Z44537" s="372">
        <v>0.0</v>
      </c>
    </row>
    <row r="44538">
      <c r="Y44538" s="372">
        <v>0.0</v>
      </c>
      <c r="Z44538" s="372">
        <v>0.0</v>
      </c>
    </row>
    <row r="44539">
      <c r="Y44539" s="372">
        <v>0.0</v>
      </c>
      <c r="Z44539" s="372">
        <v>0.0</v>
      </c>
    </row>
    <row r="44540">
      <c r="Y44540" s="372">
        <v>0.0</v>
      </c>
      <c r="Z44540" s="372">
        <v>0.0</v>
      </c>
    </row>
    <row r="44541">
      <c r="Y44541" s="372">
        <v>0.0</v>
      </c>
      <c r="Z44541" s="372">
        <v>0.0</v>
      </c>
    </row>
    <row r="44542">
      <c r="Y44542" s="372">
        <v>0.0</v>
      </c>
      <c r="Z44542" s="372">
        <v>0.0</v>
      </c>
    </row>
    <row r="44543">
      <c r="Y44543" s="372">
        <v>0.0</v>
      </c>
      <c r="Z44543" s="372">
        <v>0.0</v>
      </c>
    </row>
    <row r="44544">
      <c r="Y44544" s="372">
        <v>0.0</v>
      </c>
      <c r="Z44544" s="372">
        <v>0.0</v>
      </c>
    </row>
    <row r="44545">
      <c r="Y44545" s="372">
        <v>0.0</v>
      </c>
      <c r="Z44545" s="372">
        <v>0.0</v>
      </c>
    </row>
    <row r="44546">
      <c r="Y44546" s="372">
        <v>0.0</v>
      </c>
      <c r="Z44546" s="372">
        <v>0.0</v>
      </c>
    </row>
    <row r="44547">
      <c r="Y44547" s="372">
        <v>0.0</v>
      </c>
      <c r="Z44547" s="372">
        <v>0.0</v>
      </c>
    </row>
    <row r="44548">
      <c r="Y44548" s="372">
        <v>0.0</v>
      </c>
      <c r="Z44548" s="372">
        <v>0.0</v>
      </c>
    </row>
    <row r="44549">
      <c r="Y44549" s="372">
        <v>0.0</v>
      </c>
      <c r="Z44549" s="372">
        <v>0.0</v>
      </c>
    </row>
    <row r="44550">
      <c r="Y44550" s="372">
        <v>0.0</v>
      </c>
      <c r="Z44550" s="372">
        <v>0.0</v>
      </c>
    </row>
    <row r="44551">
      <c r="Y44551" s="372">
        <v>0.0</v>
      </c>
      <c r="Z44551" s="372">
        <v>0.0</v>
      </c>
    </row>
    <row r="44552">
      <c r="Y44552" s="372">
        <v>0.0</v>
      </c>
      <c r="Z44552" s="372">
        <v>0.0</v>
      </c>
    </row>
    <row r="44553">
      <c r="Y44553" s="372">
        <v>0.0</v>
      </c>
      <c r="Z44553" s="372">
        <v>0.0</v>
      </c>
    </row>
    <row r="44554">
      <c r="Y44554" s="372">
        <v>0.0</v>
      </c>
      <c r="Z44554" s="372">
        <v>0.0</v>
      </c>
    </row>
    <row r="44555">
      <c r="Y44555" s="372">
        <v>0.0</v>
      </c>
      <c r="Z44555" s="372">
        <v>0.0</v>
      </c>
    </row>
    <row r="44556">
      <c r="Y44556" s="372">
        <v>0.0</v>
      </c>
      <c r="Z44556" s="372">
        <v>0.0</v>
      </c>
    </row>
    <row r="44557">
      <c r="Y44557" s="372">
        <v>0.0</v>
      </c>
      <c r="Z44557" s="372">
        <v>0.0</v>
      </c>
    </row>
    <row r="44558">
      <c r="Y44558" s="372">
        <v>0.0</v>
      </c>
      <c r="Z44558" s="372">
        <v>0.0</v>
      </c>
    </row>
    <row r="44559">
      <c r="Y44559" s="372">
        <v>0.0</v>
      </c>
      <c r="Z44559" s="372">
        <v>0.0</v>
      </c>
    </row>
    <row r="44560">
      <c r="Y44560" s="372">
        <v>0.0</v>
      </c>
      <c r="Z44560" s="372">
        <v>0.0</v>
      </c>
    </row>
    <row r="44561">
      <c r="Y44561" s="372">
        <v>0.0</v>
      </c>
      <c r="Z44561" s="372">
        <v>0.0</v>
      </c>
    </row>
    <row r="44562">
      <c r="Y44562" s="372">
        <v>0.0</v>
      </c>
      <c r="Z44562" s="372">
        <v>0.0</v>
      </c>
    </row>
    <row r="44563">
      <c r="Y44563" s="372">
        <v>0.0</v>
      </c>
      <c r="Z44563" s="372">
        <v>0.0</v>
      </c>
    </row>
    <row r="44564">
      <c r="Y44564" s="372">
        <v>0.0</v>
      </c>
      <c r="Z44564" s="372">
        <v>0.0</v>
      </c>
    </row>
    <row r="44565">
      <c r="Y44565" s="372">
        <v>0.0</v>
      </c>
      <c r="Z44565" s="372">
        <v>0.0</v>
      </c>
    </row>
    <row r="44566">
      <c r="Y44566" s="372">
        <v>0.0</v>
      </c>
      <c r="Z44566" s="372">
        <v>0.0</v>
      </c>
    </row>
    <row r="44567">
      <c r="Y44567" s="372">
        <v>0.0</v>
      </c>
      <c r="Z44567" s="372">
        <v>0.0</v>
      </c>
    </row>
    <row r="44568">
      <c r="Y44568" s="372">
        <v>0.0</v>
      </c>
      <c r="Z44568" s="372">
        <v>0.0</v>
      </c>
    </row>
    <row r="44569">
      <c r="Y44569" s="372">
        <v>0.0</v>
      </c>
      <c r="Z44569" s="372">
        <v>0.0</v>
      </c>
    </row>
    <row r="44570">
      <c r="Y44570" s="372">
        <v>0.0</v>
      </c>
      <c r="Z44570" s="372">
        <v>0.0</v>
      </c>
    </row>
    <row r="44571">
      <c r="Y44571" s="372">
        <v>0.0</v>
      </c>
      <c r="Z44571" s="372">
        <v>0.0</v>
      </c>
    </row>
    <row r="44572">
      <c r="Y44572" s="372">
        <v>0.0</v>
      </c>
      <c r="Z44572" s="372">
        <v>0.0</v>
      </c>
    </row>
    <row r="44573">
      <c r="Y44573" s="372">
        <v>0.0</v>
      </c>
      <c r="Z44573" s="372">
        <v>0.0</v>
      </c>
    </row>
    <row r="44574">
      <c r="Y44574" s="372">
        <v>0.0</v>
      </c>
      <c r="Z44574" s="372">
        <v>0.0</v>
      </c>
    </row>
    <row r="44575">
      <c r="Y44575" s="372">
        <v>0.0</v>
      </c>
      <c r="Z44575" s="372">
        <v>0.0</v>
      </c>
    </row>
    <row r="44576">
      <c r="Y44576" s="372">
        <v>0.0</v>
      </c>
      <c r="Z44576" s="372">
        <v>0.0</v>
      </c>
    </row>
    <row r="44577">
      <c r="Y44577" s="372">
        <v>0.0</v>
      </c>
      <c r="Z44577" s="372">
        <v>0.0</v>
      </c>
    </row>
    <row r="44578">
      <c r="Y44578" s="372">
        <v>0.0</v>
      </c>
      <c r="Z44578" s="372">
        <v>0.0</v>
      </c>
    </row>
    <row r="44579">
      <c r="Y44579" s="372">
        <v>0.0</v>
      </c>
      <c r="Z44579" s="372">
        <v>0.0</v>
      </c>
    </row>
    <row r="44580">
      <c r="Y44580" s="372">
        <v>0.0</v>
      </c>
      <c r="Z44580" s="372">
        <v>0.0</v>
      </c>
    </row>
    <row r="44581">
      <c r="Y44581" s="372">
        <v>0.0</v>
      </c>
      <c r="Z44581" s="372">
        <v>0.0</v>
      </c>
    </row>
    <row r="44582">
      <c r="Y44582" s="372">
        <v>0.0</v>
      </c>
      <c r="Z44582" s="372">
        <v>0.0</v>
      </c>
    </row>
    <row r="44583">
      <c r="Y44583" s="372">
        <v>0.0</v>
      </c>
      <c r="Z44583" s="372">
        <v>0.0</v>
      </c>
    </row>
    <row r="44584">
      <c r="Y44584" s="372">
        <v>0.0</v>
      </c>
      <c r="Z44584" s="372">
        <v>0.0</v>
      </c>
    </row>
    <row r="44585">
      <c r="Y44585" s="372">
        <v>0.0</v>
      </c>
      <c r="Z44585" s="372">
        <v>0.0</v>
      </c>
    </row>
    <row r="44586">
      <c r="Y44586" s="372">
        <v>0.0</v>
      </c>
      <c r="Z44586" s="372">
        <v>0.0</v>
      </c>
    </row>
    <row r="44587">
      <c r="Y44587" s="372">
        <v>0.0</v>
      </c>
      <c r="Z44587" s="372">
        <v>0.0</v>
      </c>
    </row>
    <row r="44588">
      <c r="Y44588" s="372">
        <v>0.0</v>
      </c>
      <c r="Z44588" s="372">
        <v>0.0</v>
      </c>
    </row>
    <row r="44589">
      <c r="Y44589" s="372">
        <v>0.0</v>
      </c>
      <c r="Z44589" s="372">
        <v>0.0</v>
      </c>
    </row>
    <row r="44590">
      <c r="Y44590" s="372">
        <v>0.0</v>
      </c>
      <c r="Z44590" s="372">
        <v>0.0</v>
      </c>
    </row>
    <row r="44591">
      <c r="Y44591" s="372">
        <v>0.0</v>
      </c>
      <c r="Z44591" s="372">
        <v>0.0</v>
      </c>
    </row>
    <row r="44592">
      <c r="Y44592" s="372">
        <v>0.0</v>
      </c>
      <c r="Z44592" s="372">
        <v>0.0</v>
      </c>
    </row>
    <row r="44593">
      <c r="Y44593" s="372">
        <v>0.0</v>
      </c>
      <c r="Z44593" s="372">
        <v>0.0</v>
      </c>
    </row>
    <row r="44594">
      <c r="Y44594" s="372">
        <v>0.0</v>
      </c>
      <c r="Z44594" s="372">
        <v>0.0</v>
      </c>
    </row>
    <row r="44595">
      <c r="Y44595" s="372">
        <v>0.0</v>
      </c>
      <c r="Z44595" s="372">
        <v>0.0</v>
      </c>
    </row>
    <row r="44596">
      <c r="Y44596" s="372">
        <v>0.0</v>
      </c>
      <c r="Z44596" s="372">
        <v>0.0</v>
      </c>
    </row>
    <row r="44597">
      <c r="Y44597" s="372">
        <v>0.0</v>
      </c>
      <c r="Z44597" s="372">
        <v>0.0</v>
      </c>
    </row>
    <row r="44598">
      <c r="Y44598" s="372">
        <v>0.0</v>
      </c>
      <c r="Z44598" s="372">
        <v>0.0</v>
      </c>
    </row>
    <row r="44599">
      <c r="Y44599" s="372">
        <v>0.0</v>
      </c>
      <c r="Z44599" s="372">
        <v>0.0</v>
      </c>
    </row>
    <row r="44600">
      <c r="Y44600" s="372">
        <v>0.0</v>
      </c>
      <c r="Z44600" s="372">
        <v>0.0</v>
      </c>
    </row>
    <row r="44601">
      <c r="Y44601" s="372">
        <v>0.0</v>
      </c>
      <c r="Z44601" s="372">
        <v>0.0</v>
      </c>
    </row>
    <row r="44602">
      <c r="Y44602" s="372">
        <v>0.0</v>
      </c>
      <c r="Z44602" s="372">
        <v>0.0</v>
      </c>
    </row>
    <row r="44603">
      <c r="Y44603" s="372">
        <v>0.0</v>
      </c>
      <c r="Z44603" s="372">
        <v>0.0</v>
      </c>
    </row>
    <row r="44604">
      <c r="Y44604" s="372">
        <v>0.0</v>
      </c>
      <c r="Z44604" s="372">
        <v>0.0</v>
      </c>
    </row>
    <row r="44605">
      <c r="Y44605" s="372">
        <v>0.0</v>
      </c>
      <c r="Z44605" s="372">
        <v>0.0</v>
      </c>
    </row>
    <row r="44606">
      <c r="Y44606" s="372">
        <v>0.0</v>
      </c>
      <c r="Z44606" s="372">
        <v>0.0</v>
      </c>
    </row>
    <row r="44607">
      <c r="Y44607" s="372">
        <v>0.0</v>
      </c>
      <c r="Z44607" s="372">
        <v>0.0</v>
      </c>
    </row>
    <row r="44608">
      <c r="Y44608" s="372">
        <v>0.0</v>
      </c>
      <c r="Z44608" s="372">
        <v>0.0</v>
      </c>
    </row>
    <row r="44609">
      <c r="Y44609" s="372">
        <v>0.0</v>
      </c>
      <c r="Z44609" s="372">
        <v>0.0</v>
      </c>
    </row>
    <row r="44610">
      <c r="Y44610" s="372">
        <v>0.0</v>
      </c>
      <c r="Z44610" s="372">
        <v>0.0</v>
      </c>
    </row>
    <row r="44611">
      <c r="Y44611" s="372">
        <v>0.0</v>
      </c>
      <c r="Z44611" s="372">
        <v>0.0</v>
      </c>
    </row>
    <row r="44612">
      <c r="Y44612" s="372">
        <v>0.0</v>
      </c>
      <c r="Z44612" s="372">
        <v>0.0</v>
      </c>
    </row>
    <row r="44613">
      <c r="Y44613" s="372">
        <v>0.0</v>
      </c>
      <c r="Z44613" s="372">
        <v>0.0</v>
      </c>
    </row>
    <row r="44614">
      <c r="Y44614" s="372">
        <v>0.0</v>
      </c>
      <c r="Z44614" s="372">
        <v>0.0</v>
      </c>
    </row>
    <row r="44615">
      <c r="Y44615" s="372">
        <v>0.0</v>
      </c>
      <c r="Z44615" s="372">
        <v>0.0</v>
      </c>
    </row>
    <row r="44616">
      <c r="Y44616" s="372">
        <v>0.0</v>
      </c>
      <c r="Z44616" s="372">
        <v>0.0</v>
      </c>
    </row>
    <row r="44617">
      <c r="Y44617" s="372">
        <v>0.0</v>
      </c>
      <c r="Z44617" s="372">
        <v>0.0</v>
      </c>
    </row>
    <row r="44618">
      <c r="Y44618" s="372">
        <v>0.0</v>
      </c>
      <c r="Z44618" s="372">
        <v>0.0</v>
      </c>
    </row>
    <row r="44619">
      <c r="Y44619" s="372">
        <v>0.0</v>
      </c>
      <c r="Z44619" s="372">
        <v>0.0</v>
      </c>
    </row>
    <row r="44620">
      <c r="Y44620" s="372">
        <v>0.0</v>
      </c>
      <c r="Z44620" s="372">
        <v>0.0</v>
      </c>
    </row>
    <row r="44621">
      <c r="Y44621" s="372">
        <v>0.0</v>
      </c>
      <c r="Z44621" s="372">
        <v>0.0</v>
      </c>
    </row>
    <row r="44622">
      <c r="Y44622" s="372">
        <v>0.0</v>
      </c>
      <c r="Z44622" s="372">
        <v>0.0</v>
      </c>
    </row>
    <row r="44623">
      <c r="Y44623" s="372">
        <v>0.0</v>
      </c>
      <c r="Z44623" s="372">
        <v>0.0</v>
      </c>
    </row>
    <row r="44624">
      <c r="Y44624" s="372">
        <v>0.0</v>
      </c>
      <c r="Z44624" s="372">
        <v>0.0</v>
      </c>
    </row>
    <row r="44625">
      <c r="Y44625" s="372">
        <v>0.0</v>
      </c>
      <c r="Z44625" s="372">
        <v>0.0</v>
      </c>
    </row>
    <row r="44626">
      <c r="Y44626" s="372">
        <v>0.0</v>
      </c>
      <c r="Z44626" s="372">
        <v>0.0</v>
      </c>
    </row>
    <row r="44627">
      <c r="Y44627" s="372">
        <v>0.0</v>
      </c>
      <c r="Z44627" s="372">
        <v>0.0</v>
      </c>
    </row>
    <row r="44628">
      <c r="Y44628" s="372">
        <v>0.0</v>
      </c>
      <c r="Z44628" s="372">
        <v>0.0</v>
      </c>
    </row>
    <row r="44629">
      <c r="Y44629" s="372">
        <v>0.0</v>
      </c>
      <c r="Z44629" s="372">
        <v>0.0</v>
      </c>
    </row>
    <row r="44630">
      <c r="Y44630" s="372">
        <v>0.0</v>
      </c>
      <c r="Z44630" s="372">
        <v>0.0</v>
      </c>
    </row>
    <row r="44631">
      <c r="Y44631" s="372">
        <v>0.0</v>
      </c>
      <c r="Z44631" s="372">
        <v>0.0</v>
      </c>
    </row>
    <row r="44632">
      <c r="Y44632" s="372">
        <v>0.0</v>
      </c>
      <c r="Z44632" s="372">
        <v>0.0</v>
      </c>
    </row>
    <row r="44633">
      <c r="Y44633" s="372">
        <v>0.0</v>
      </c>
      <c r="Z44633" s="372">
        <v>0.0</v>
      </c>
    </row>
    <row r="44634">
      <c r="Y44634" s="372">
        <v>0.0</v>
      </c>
      <c r="Z44634" s="372">
        <v>0.0</v>
      </c>
    </row>
    <row r="44635">
      <c r="Y44635" s="372">
        <v>0.0</v>
      </c>
      <c r="Z44635" s="372">
        <v>0.0</v>
      </c>
    </row>
    <row r="44636">
      <c r="Y44636" s="372">
        <v>0.0</v>
      </c>
      <c r="Z44636" s="372">
        <v>0.0</v>
      </c>
    </row>
    <row r="44637">
      <c r="Y44637" s="372">
        <v>0.0</v>
      </c>
      <c r="Z44637" s="372">
        <v>0.0</v>
      </c>
    </row>
    <row r="44638">
      <c r="Y44638" s="372">
        <v>0.0</v>
      </c>
      <c r="Z44638" s="372">
        <v>0.0</v>
      </c>
    </row>
    <row r="44639">
      <c r="Y44639" s="372">
        <v>0.0</v>
      </c>
      <c r="Z44639" s="372">
        <v>0.0</v>
      </c>
    </row>
    <row r="44640">
      <c r="Y44640" s="372">
        <v>0.0</v>
      </c>
      <c r="Z44640" s="372">
        <v>0.0</v>
      </c>
    </row>
    <row r="44641">
      <c r="Y44641" s="372">
        <v>0.0</v>
      </c>
      <c r="Z44641" s="372">
        <v>0.0</v>
      </c>
    </row>
    <row r="44642">
      <c r="Y44642" s="372">
        <v>0.0</v>
      </c>
      <c r="Z44642" s="372">
        <v>0.0</v>
      </c>
    </row>
    <row r="44643">
      <c r="Y44643" s="372">
        <v>0.0</v>
      </c>
      <c r="Z44643" s="372">
        <v>0.0</v>
      </c>
    </row>
    <row r="44644">
      <c r="Y44644" s="372">
        <v>0.0</v>
      </c>
      <c r="Z44644" s="372">
        <v>0.0</v>
      </c>
    </row>
    <row r="44645">
      <c r="Y44645" s="372">
        <v>0.0</v>
      </c>
      <c r="Z44645" s="372">
        <v>0.0</v>
      </c>
    </row>
    <row r="44646">
      <c r="Y44646" s="372">
        <v>0.0</v>
      </c>
      <c r="Z44646" s="372">
        <v>0.0</v>
      </c>
    </row>
    <row r="44647">
      <c r="Y44647" s="372">
        <v>0.0</v>
      </c>
      <c r="Z44647" s="372">
        <v>0.0</v>
      </c>
    </row>
    <row r="44648">
      <c r="Y44648" s="372">
        <v>0.0</v>
      </c>
      <c r="Z44648" s="372">
        <v>0.0</v>
      </c>
    </row>
    <row r="44649">
      <c r="Y44649" s="372">
        <v>0.0</v>
      </c>
      <c r="Z44649" s="372">
        <v>0.0</v>
      </c>
    </row>
    <row r="44650">
      <c r="Y44650" s="372">
        <v>0.0</v>
      </c>
      <c r="Z44650" s="372">
        <v>0.0</v>
      </c>
    </row>
    <row r="44651">
      <c r="Y44651" s="372">
        <v>0.0</v>
      </c>
      <c r="Z44651" s="372">
        <v>0.0</v>
      </c>
    </row>
    <row r="44652">
      <c r="Y44652" s="372">
        <v>0.0</v>
      </c>
      <c r="Z44652" s="372">
        <v>0.0</v>
      </c>
    </row>
    <row r="44653">
      <c r="Y44653" s="372">
        <v>0.0</v>
      </c>
      <c r="Z44653" s="372">
        <v>0.0</v>
      </c>
    </row>
    <row r="44654">
      <c r="Y44654" s="372">
        <v>0.0</v>
      </c>
      <c r="Z44654" s="372">
        <v>0.0</v>
      </c>
    </row>
    <row r="44655">
      <c r="Y44655" s="372">
        <v>0.0</v>
      </c>
      <c r="Z44655" s="372">
        <v>0.0</v>
      </c>
    </row>
    <row r="44656">
      <c r="Y44656" s="372">
        <v>0.0</v>
      </c>
      <c r="Z44656" s="372">
        <v>0.0</v>
      </c>
    </row>
    <row r="44657">
      <c r="Y44657" s="372">
        <v>0.0</v>
      </c>
      <c r="Z44657" s="372">
        <v>0.0</v>
      </c>
    </row>
    <row r="44658">
      <c r="Y44658" s="372">
        <v>0.0</v>
      </c>
      <c r="Z44658" s="372">
        <v>0.0</v>
      </c>
    </row>
    <row r="44659">
      <c r="Y44659" s="372">
        <v>0.0</v>
      </c>
      <c r="Z44659" s="372">
        <v>0.0</v>
      </c>
    </row>
    <row r="44660">
      <c r="Y44660" s="372">
        <v>0.0</v>
      </c>
      <c r="Z44660" s="372">
        <v>0.0</v>
      </c>
    </row>
    <row r="44661">
      <c r="Y44661" s="372">
        <v>0.0</v>
      </c>
      <c r="Z44661" s="372">
        <v>0.0</v>
      </c>
    </row>
    <row r="44662">
      <c r="Y44662" s="372">
        <v>0.0</v>
      </c>
      <c r="Z44662" s="372">
        <v>0.0</v>
      </c>
    </row>
    <row r="44663">
      <c r="Y44663" s="372">
        <v>0.0</v>
      </c>
      <c r="Z44663" s="372">
        <v>0.0</v>
      </c>
    </row>
    <row r="44664">
      <c r="Y44664" s="372">
        <v>0.0</v>
      </c>
      <c r="Z44664" s="372">
        <v>0.0</v>
      </c>
    </row>
    <row r="44665">
      <c r="Y44665" s="372">
        <v>0.0</v>
      </c>
      <c r="Z44665" s="372">
        <v>0.0</v>
      </c>
    </row>
    <row r="44666">
      <c r="Y44666" s="372">
        <v>0.0</v>
      </c>
      <c r="Z44666" s="372">
        <v>0.0</v>
      </c>
    </row>
    <row r="44667">
      <c r="Y44667" s="372">
        <v>0.0</v>
      </c>
      <c r="Z44667" s="372">
        <v>0.0</v>
      </c>
    </row>
    <row r="44668">
      <c r="Y44668" s="372">
        <v>0.0</v>
      </c>
      <c r="Z44668" s="372">
        <v>0.0</v>
      </c>
    </row>
    <row r="44669">
      <c r="Y44669" s="372">
        <v>0.0</v>
      </c>
      <c r="Z44669" s="372">
        <v>0.0</v>
      </c>
    </row>
    <row r="44670">
      <c r="Y44670" s="372">
        <v>0.0</v>
      </c>
      <c r="Z44670" s="372">
        <v>0.0</v>
      </c>
    </row>
    <row r="44671">
      <c r="Y44671" s="372">
        <v>0.0</v>
      </c>
      <c r="Z44671" s="372">
        <v>0.0</v>
      </c>
    </row>
    <row r="44672">
      <c r="Y44672" s="372">
        <v>0.0</v>
      </c>
      <c r="Z44672" s="372">
        <v>0.0</v>
      </c>
    </row>
    <row r="44673">
      <c r="Y44673" s="372">
        <v>0.0</v>
      </c>
      <c r="Z44673" s="372">
        <v>0.0</v>
      </c>
    </row>
    <row r="44674">
      <c r="Y44674" s="372">
        <v>0.0</v>
      </c>
      <c r="Z44674" s="372">
        <v>0.0</v>
      </c>
    </row>
    <row r="44675">
      <c r="Y44675" s="372">
        <v>0.0</v>
      </c>
      <c r="Z44675" s="372">
        <v>0.0</v>
      </c>
    </row>
    <row r="44676">
      <c r="Y44676" s="372">
        <v>0.0</v>
      </c>
      <c r="Z44676" s="372">
        <v>0.0</v>
      </c>
    </row>
    <row r="44677">
      <c r="Y44677" s="372">
        <v>0.0</v>
      </c>
      <c r="Z44677" s="372">
        <v>0.0</v>
      </c>
    </row>
    <row r="44678">
      <c r="Y44678" s="372">
        <v>0.0</v>
      </c>
      <c r="Z44678" s="372">
        <v>0.0</v>
      </c>
    </row>
    <row r="44679">
      <c r="Y44679" s="372">
        <v>0.0</v>
      </c>
      <c r="Z44679" s="372">
        <v>0.0</v>
      </c>
    </row>
    <row r="44680">
      <c r="Y44680" s="372">
        <v>0.0</v>
      </c>
      <c r="Z44680" s="372">
        <v>0.0</v>
      </c>
    </row>
    <row r="44681">
      <c r="Y44681" s="372">
        <v>0.0</v>
      </c>
      <c r="Z44681" s="372">
        <v>0.0</v>
      </c>
    </row>
    <row r="44682">
      <c r="Y44682" s="372">
        <v>0.0</v>
      </c>
      <c r="Z44682" s="372">
        <v>0.0</v>
      </c>
    </row>
    <row r="44683">
      <c r="Y44683" s="372">
        <v>0.0</v>
      </c>
      <c r="Z44683" s="372">
        <v>0.0</v>
      </c>
    </row>
    <row r="44684">
      <c r="Y44684" s="372">
        <v>0.0</v>
      </c>
      <c r="Z44684" s="372">
        <v>0.0</v>
      </c>
    </row>
    <row r="44685">
      <c r="Y44685" s="372">
        <v>0.0</v>
      </c>
      <c r="Z44685" s="372">
        <v>0.0</v>
      </c>
    </row>
    <row r="44686">
      <c r="Y44686" s="372">
        <v>0.0</v>
      </c>
      <c r="Z44686" s="372">
        <v>0.0</v>
      </c>
    </row>
    <row r="44687">
      <c r="Y44687" s="372">
        <v>0.0</v>
      </c>
      <c r="Z44687" s="372">
        <v>0.0</v>
      </c>
    </row>
    <row r="44688">
      <c r="Y44688" s="372">
        <v>0.0</v>
      </c>
      <c r="Z44688" s="372">
        <v>0.0</v>
      </c>
    </row>
    <row r="44689">
      <c r="Y44689" s="372">
        <v>0.0</v>
      </c>
      <c r="Z44689" s="372">
        <v>0.0</v>
      </c>
    </row>
    <row r="44690">
      <c r="Y44690" s="372">
        <v>0.0</v>
      </c>
      <c r="Z44690" s="372">
        <v>0.0</v>
      </c>
    </row>
    <row r="44691">
      <c r="Y44691" s="372">
        <v>0.0</v>
      </c>
      <c r="Z44691" s="372">
        <v>0.0</v>
      </c>
    </row>
    <row r="44692">
      <c r="Y44692" s="372">
        <v>0.0</v>
      </c>
      <c r="Z44692" s="372">
        <v>0.0</v>
      </c>
    </row>
    <row r="44693">
      <c r="Y44693" s="372">
        <v>0.0</v>
      </c>
      <c r="Z44693" s="372">
        <v>0.0</v>
      </c>
    </row>
    <row r="44694">
      <c r="Y44694" s="372">
        <v>0.0</v>
      </c>
      <c r="Z44694" s="372">
        <v>0.0</v>
      </c>
    </row>
    <row r="44695">
      <c r="Y44695" s="372">
        <v>0.0</v>
      </c>
      <c r="Z44695" s="372">
        <v>0.0</v>
      </c>
    </row>
    <row r="44696">
      <c r="Y44696" s="372">
        <v>0.0</v>
      </c>
      <c r="Z44696" s="372">
        <v>0.0</v>
      </c>
    </row>
    <row r="44697">
      <c r="Y44697" s="372">
        <v>0.0</v>
      </c>
      <c r="Z44697" s="372">
        <v>0.0</v>
      </c>
    </row>
    <row r="44698">
      <c r="Y44698" s="372">
        <v>0.0</v>
      </c>
      <c r="Z44698" s="372">
        <v>0.0</v>
      </c>
    </row>
    <row r="44699">
      <c r="Y44699" s="372">
        <v>0.0</v>
      </c>
      <c r="Z44699" s="372">
        <v>0.0</v>
      </c>
    </row>
    <row r="44700">
      <c r="Y44700" s="372">
        <v>0.0</v>
      </c>
      <c r="Z44700" s="372">
        <v>0.0</v>
      </c>
    </row>
    <row r="44701">
      <c r="Y44701" s="372">
        <v>0.0</v>
      </c>
      <c r="Z44701" s="372">
        <v>0.0</v>
      </c>
    </row>
    <row r="44702">
      <c r="Y44702" s="372">
        <v>0.0</v>
      </c>
      <c r="Z44702" s="372">
        <v>0.0</v>
      </c>
    </row>
    <row r="44703">
      <c r="Y44703" s="372">
        <v>0.0</v>
      </c>
      <c r="Z44703" s="372">
        <v>0.0</v>
      </c>
    </row>
    <row r="44704">
      <c r="Y44704" s="372">
        <v>0.0</v>
      </c>
      <c r="Z44704" s="372">
        <v>0.0</v>
      </c>
    </row>
    <row r="44705">
      <c r="Y44705" s="372">
        <v>0.0</v>
      </c>
      <c r="Z44705" s="372">
        <v>0.0</v>
      </c>
    </row>
    <row r="44706">
      <c r="Y44706" s="372">
        <v>0.0</v>
      </c>
      <c r="Z44706" s="372">
        <v>0.0</v>
      </c>
    </row>
    <row r="44707">
      <c r="Y44707" s="372">
        <v>0.0</v>
      </c>
      <c r="Z44707" s="372">
        <v>0.0</v>
      </c>
    </row>
    <row r="44708">
      <c r="Y44708" s="372">
        <v>0.0</v>
      </c>
      <c r="Z44708" s="372">
        <v>0.0</v>
      </c>
    </row>
    <row r="44709">
      <c r="Y44709" s="372">
        <v>0.0</v>
      </c>
      <c r="Z44709" s="372">
        <v>0.0</v>
      </c>
    </row>
    <row r="44710">
      <c r="Y44710" s="372">
        <v>0.0</v>
      </c>
      <c r="Z44710" s="372">
        <v>0.0</v>
      </c>
    </row>
    <row r="44711">
      <c r="Y44711" s="372">
        <v>0.0</v>
      </c>
      <c r="Z44711" s="372">
        <v>0.0</v>
      </c>
    </row>
    <row r="44712">
      <c r="Y44712" s="372">
        <v>0.0</v>
      </c>
      <c r="Z44712" s="372">
        <v>0.0</v>
      </c>
    </row>
    <row r="44713">
      <c r="Y44713" s="372">
        <v>0.0</v>
      </c>
      <c r="Z44713" s="372">
        <v>0.0</v>
      </c>
    </row>
    <row r="44714">
      <c r="Y44714" s="372">
        <v>0.0</v>
      </c>
      <c r="Z44714" s="372">
        <v>0.0</v>
      </c>
    </row>
    <row r="44715">
      <c r="Y44715" s="372">
        <v>0.0</v>
      </c>
      <c r="Z44715" s="372">
        <v>0.0</v>
      </c>
    </row>
    <row r="44716">
      <c r="Y44716" s="372">
        <v>0.0</v>
      </c>
      <c r="Z44716" s="372">
        <v>0.0</v>
      </c>
    </row>
    <row r="44717">
      <c r="Y44717" s="372">
        <v>0.0</v>
      </c>
      <c r="Z44717" s="372">
        <v>0.0</v>
      </c>
    </row>
    <row r="44718">
      <c r="Y44718" s="372">
        <v>0.0</v>
      </c>
      <c r="Z44718" s="372">
        <v>0.0</v>
      </c>
    </row>
    <row r="44719">
      <c r="Y44719" s="372">
        <v>0.0</v>
      </c>
      <c r="Z44719" s="372">
        <v>0.0</v>
      </c>
    </row>
    <row r="44720">
      <c r="Y44720" s="372">
        <v>0.0</v>
      </c>
      <c r="Z44720" s="372">
        <v>0.0</v>
      </c>
    </row>
    <row r="44721">
      <c r="Y44721" s="372">
        <v>0.0</v>
      </c>
      <c r="Z44721" s="372">
        <v>0.0</v>
      </c>
    </row>
    <row r="44722">
      <c r="Y44722" s="372">
        <v>0.0</v>
      </c>
      <c r="Z44722" s="372">
        <v>0.0</v>
      </c>
    </row>
    <row r="44723">
      <c r="Y44723" s="372">
        <v>0.0</v>
      </c>
      <c r="Z44723" s="372">
        <v>0.0</v>
      </c>
    </row>
    <row r="44724">
      <c r="Y44724" s="372">
        <v>0.0</v>
      </c>
      <c r="Z44724" s="372">
        <v>0.0</v>
      </c>
    </row>
    <row r="44725">
      <c r="Y44725" s="372">
        <v>0.0</v>
      </c>
      <c r="Z44725" s="372">
        <v>0.0</v>
      </c>
    </row>
    <row r="44726">
      <c r="Y44726" s="372">
        <v>0.0</v>
      </c>
      <c r="Z44726" s="372">
        <v>0.0</v>
      </c>
    </row>
    <row r="44727">
      <c r="Y44727" s="372">
        <v>0.0</v>
      </c>
      <c r="Z44727" s="372">
        <v>0.0</v>
      </c>
    </row>
    <row r="44728">
      <c r="Y44728" s="372">
        <v>0.0</v>
      </c>
      <c r="Z44728" s="372">
        <v>0.0</v>
      </c>
    </row>
    <row r="44729">
      <c r="Y44729" s="372">
        <v>0.0</v>
      </c>
      <c r="Z44729" s="372">
        <v>0.0</v>
      </c>
    </row>
    <row r="44730">
      <c r="Y44730" s="372">
        <v>0.0</v>
      </c>
      <c r="Z44730" s="372">
        <v>0.0</v>
      </c>
    </row>
    <row r="44731">
      <c r="Y44731" s="372">
        <v>0.0</v>
      </c>
      <c r="Z44731" s="372">
        <v>0.0</v>
      </c>
    </row>
    <row r="44732">
      <c r="Y44732" s="372">
        <v>0.0</v>
      </c>
      <c r="Z44732" s="372">
        <v>0.0</v>
      </c>
    </row>
    <row r="44733">
      <c r="Y44733" s="372">
        <v>0.0</v>
      </c>
      <c r="Z44733" s="372">
        <v>0.0</v>
      </c>
    </row>
    <row r="44734">
      <c r="Y44734" s="372">
        <v>0.0</v>
      </c>
      <c r="Z44734" s="372">
        <v>0.0</v>
      </c>
    </row>
    <row r="44735">
      <c r="Y44735" s="372">
        <v>0.0</v>
      </c>
      <c r="Z44735" s="372">
        <v>0.0</v>
      </c>
    </row>
    <row r="44736">
      <c r="Y44736" s="372">
        <v>0.0</v>
      </c>
      <c r="Z44736" s="372">
        <v>0.0</v>
      </c>
    </row>
    <row r="44737">
      <c r="Y44737" s="372">
        <v>0.0</v>
      </c>
      <c r="Z44737" s="372">
        <v>0.0</v>
      </c>
    </row>
    <row r="44738">
      <c r="Y44738" s="372">
        <v>0.0</v>
      </c>
      <c r="Z44738" s="372">
        <v>0.0</v>
      </c>
    </row>
    <row r="44739">
      <c r="Y44739" s="372">
        <v>0.0</v>
      </c>
      <c r="Z44739" s="372">
        <v>0.0</v>
      </c>
    </row>
    <row r="44740">
      <c r="Y44740" s="372">
        <v>0.0</v>
      </c>
      <c r="Z44740" s="372">
        <v>0.0</v>
      </c>
    </row>
    <row r="44741">
      <c r="Y44741" s="372">
        <v>0.0</v>
      </c>
      <c r="Z44741" s="372">
        <v>0.0</v>
      </c>
    </row>
    <row r="44742">
      <c r="Y44742" s="372">
        <v>0.0</v>
      </c>
      <c r="Z44742" s="372">
        <v>0.0</v>
      </c>
    </row>
    <row r="44743">
      <c r="Y44743" s="372">
        <v>0.0</v>
      </c>
      <c r="Z44743" s="372">
        <v>0.0</v>
      </c>
    </row>
    <row r="44744">
      <c r="Y44744" s="372">
        <v>0.0</v>
      </c>
      <c r="Z44744" s="372">
        <v>0.0</v>
      </c>
    </row>
    <row r="44745">
      <c r="Y44745" s="372">
        <v>0.0</v>
      </c>
      <c r="Z44745" s="372">
        <v>0.0</v>
      </c>
    </row>
    <row r="44746">
      <c r="Y44746" s="372">
        <v>0.0</v>
      </c>
      <c r="Z44746" s="372">
        <v>0.0</v>
      </c>
    </row>
    <row r="44747">
      <c r="Y44747" s="372">
        <v>0.0</v>
      </c>
      <c r="Z44747" s="372">
        <v>0.0</v>
      </c>
    </row>
    <row r="44748">
      <c r="Y44748" s="372">
        <v>0.0</v>
      </c>
      <c r="Z44748" s="372">
        <v>0.0</v>
      </c>
    </row>
    <row r="44749">
      <c r="Y44749" s="372">
        <v>0.0</v>
      </c>
      <c r="Z44749" s="372">
        <v>0.0</v>
      </c>
    </row>
    <row r="44750">
      <c r="Y44750" s="372">
        <v>0.0</v>
      </c>
      <c r="Z44750" s="372">
        <v>0.0</v>
      </c>
    </row>
    <row r="44751">
      <c r="Y44751" s="372">
        <v>0.0</v>
      </c>
      <c r="Z44751" s="372">
        <v>0.0</v>
      </c>
    </row>
    <row r="44752">
      <c r="Y44752" s="372">
        <v>0.0</v>
      </c>
      <c r="Z44752" s="372">
        <v>0.0</v>
      </c>
    </row>
    <row r="44753">
      <c r="Y44753" s="372">
        <v>0.0</v>
      </c>
      <c r="Z44753" s="372">
        <v>0.0</v>
      </c>
    </row>
    <row r="44754">
      <c r="Y44754" s="372">
        <v>0.0</v>
      </c>
      <c r="Z44754" s="372">
        <v>0.0</v>
      </c>
    </row>
    <row r="44755">
      <c r="Y44755" s="372">
        <v>0.0</v>
      </c>
      <c r="Z44755" s="372">
        <v>0.0</v>
      </c>
    </row>
    <row r="44756">
      <c r="Y44756" s="372">
        <v>0.0</v>
      </c>
      <c r="Z44756" s="372">
        <v>0.0</v>
      </c>
    </row>
    <row r="44757">
      <c r="Y44757" s="372">
        <v>0.0</v>
      </c>
      <c r="Z44757" s="372">
        <v>0.0</v>
      </c>
    </row>
    <row r="44758">
      <c r="Y44758" s="372">
        <v>0.0</v>
      </c>
      <c r="Z44758" s="372">
        <v>0.0</v>
      </c>
    </row>
    <row r="44759">
      <c r="Y44759" s="372">
        <v>0.0</v>
      </c>
      <c r="Z44759" s="372">
        <v>0.0</v>
      </c>
    </row>
    <row r="44760">
      <c r="Y44760" s="372">
        <v>0.0</v>
      </c>
      <c r="Z44760" s="372">
        <v>0.0</v>
      </c>
    </row>
    <row r="44761">
      <c r="Y44761" s="372">
        <v>0.0</v>
      </c>
      <c r="Z44761" s="372">
        <v>0.0</v>
      </c>
    </row>
    <row r="44762">
      <c r="Y44762" s="372">
        <v>0.0</v>
      </c>
      <c r="Z44762" s="372">
        <v>0.0</v>
      </c>
    </row>
    <row r="44763">
      <c r="Y44763" s="372">
        <v>0.0</v>
      </c>
      <c r="Z44763" s="372">
        <v>0.0</v>
      </c>
    </row>
    <row r="44764">
      <c r="Y44764" s="372">
        <v>0.0</v>
      </c>
      <c r="Z44764" s="372">
        <v>0.0</v>
      </c>
    </row>
    <row r="44765">
      <c r="Y44765" s="372">
        <v>0.0</v>
      </c>
      <c r="Z44765" s="372">
        <v>0.0</v>
      </c>
    </row>
    <row r="44766">
      <c r="Y44766" s="372">
        <v>0.0</v>
      </c>
      <c r="Z44766" s="372">
        <v>0.0</v>
      </c>
    </row>
    <row r="44767">
      <c r="Y44767" s="372">
        <v>0.0</v>
      </c>
      <c r="Z44767" s="372">
        <v>0.0</v>
      </c>
    </row>
    <row r="44768">
      <c r="Y44768" s="372">
        <v>0.0</v>
      </c>
      <c r="Z44768" s="372">
        <v>0.0</v>
      </c>
    </row>
    <row r="44769">
      <c r="Y44769" s="372">
        <v>0.0</v>
      </c>
      <c r="Z44769" s="372">
        <v>0.0</v>
      </c>
    </row>
    <row r="44770">
      <c r="Y44770" s="372">
        <v>0.0</v>
      </c>
      <c r="Z44770" s="372">
        <v>0.0</v>
      </c>
    </row>
    <row r="44771">
      <c r="Y44771" s="372">
        <v>0.0</v>
      </c>
      <c r="Z44771" s="372">
        <v>0.0</v>
      </c>
    </row>
    <row r="44772">
      <c r="Y44772" s="372">
        <v>0.0</v>
      </c>
      <c r="Z44772" s="372">
        <v>0.0</v>
      </c>
    </row>
    <row r="44773">
      <c r="Y44773" s="372">
        <v>0.0</v>
      </c>
      <c r="Z44773" s="372">
        <v>0.0</v>
      </c>
    </row>
    <row r="44774">
      <c r="Y44774" s="372">
        <v>0.0</v>
      </c>
      <c r="Z44774" s="372">
        <v>0.0</v>
      </c>
    </row>
    <row r="44775">
      <c r="Y44775" s="372">
        <v>0.0</v>
      </c>
      <c r="Z44775" s="372">
        <v>0.0</v>
      </c>
    </row>
    <row r="44776">
      <c r="Y44776" s="372">
        <v>0.0</v>
      </c>
      <c r="Z44776" s="372">
        <v>0.0</v>
      </c>
    </row>
    <row r="44777">
      <c r="Y44777" s="372">
        <v>0.0</v>
      </c>
      <c r="Z44777" s="372">
        <v>0.0</v>
      </c>
    </row>
    <row r="44778">
      <c r="Y44778" s="372">
        <v>0.0</v>
      </c>
      <c r="Z44778" s="372">
        <v>0.0</v>
      </c>
    </row>
    <row r="44779">
      <c r="Y44779" s="372">
        <v>0.0</v>
      </c>
      <c r="Z44779" s="372">
        <v>0.0</v>
      </c>
    </row>
    <row r="44780">
      <c r="Y44780" s="372">
        <v>0.0</v>
      </c>
      <c r="Z44780" s="372">
        <v>0.0</v>
      </c>
    </row>
    <row r="44781">
      <c r="Y44781" s="372">
        <v>0.0</v>
      </c>
      <c r="Z44781" s="372">
        <v>0.0</v>
      </c>
    </row>
    <row r="44782">
      <c r="Y44782" s="372">
        <v>0.0</v>
      </c>
      <c r="Z44782" s="372">
        <v>0.0</v>
      </c>
    </row>
    <row r="44783">
      <c r="Y44783" s="372">
        <v>0.0</v>
      </c>
      <c r="Z44783" s="372">
        <v>0.0</v>
      </c>
    </row>
    <row r="44784">
      <c r="Y44784" s="372">
        <v>0.0</v>
      </c>
      <c r="Z44784" s="372">
        <v>0.0</v>
      </c>
    </row>
    <row r="44785">
      <c r="Y44785" s="372">
        <v>0.0</v>
      </c>
      <c r="Z44785" s="372">
        <v>0.0</v>
      </c>
    </row>
    <row r="44786">
      <c r="Y44786" s="372">
        <v>0.0</v>
      </c>
      <c r="Z44786" s="372">
        <v>0.0</v>
      </c>
    </row>
    <row r="44787">
      <c r="Y44787" s="372">
        <v>0.0</v>
      </c>
      <c r="Z44787" s="372">
        <v>0.0</v>
      </c>
    </row>
    <row r="44788">
      <c r="Y44788" s="372">
        <v>0.0</v>
      </c>
      <c r="Z44788" s="372">
        <v>0.0</v>
      </c>
    </row>
    <row r="44789">
      <c r="Y44789" s="372">
        <v>0.0</v>
      </c>
      <c r="Z44789" s="372">
        <v>0.0</v>
      </c>
    </row>
    <row r="44790">
      <c r="Y44790" s="372">
        <v>0.0</v>
      </c>
      <c r="Z44790" s="372">
        <v>0.0</v>
      </c>
    </row>
    <row r="44791">
      <c r="Y44791" s="372">
        <v>0.0</v>
      </c>
      <c r="Z44791" s="372">
        <v>0.0</v>
      </c>
    </row>
    <row r="44792">
      <c r="Y44792" s="372">
        <v>0.0</v>
      </c>
      <c r="Z44792" s="372">
        <v>0.0</v>
      </c>
    </row>
    <row r="44793">
      <c r="Y44793" s="372">
        <v>0.0</v>
      </c>
      <c r="Z44793" s="372">
        <v>0.0</v>
      </c>
    </row>
    <row r="44794">
      <c r="Y44794" s="372">
        <v>0.0</v>
      </c>
      <c r="Z44794" s="372">
        <v>0.0</v>
      </c>
    </row>
    <row r="44795">
      <c r="Y44795" s="372">
        <v>0.0</v>
      </c>
      <c r="Z44795" s="372">
        <v>0.0</v>
      </c>
    </row>
    <row r="44796">
      <c r="Y44796" s="372">
        <v>0.0</v>
      </c>
      <c r="Z44796" s="372">
        <v>0.0</v>
      </c>
    </row>
    <row r="44797">
      <c r="Y44797" s="372">
        <v>0.0</v>
      </c>
      <c r="Z44797" s="372">
        <v>0.0</v>
      </c>
    </row>
    <row r="44798">
      <c r="Y44798" s="372">
        <v>0.0</v>
      </c>
      <c r="Z44798" s="372">
        <v>0.0</v>
      </c>
    </row>
    <row r="44799">
      <c r="Y44799" s="372">
        <v>0.0</v>
      </c>
      <c r="Z44799" s="372">
        <v>0.0</v>
      </c>
    </row>
    <row r="44800">
      <c r="Y44800" s="372">
        <v>0.0</v>
      </c>
      <c r="Z44800" s="372">
        <v>0.0</v>
      </c>
    </row>
    <row r="44801">
      <c r="Y44801" s="372">
        <v>0.0</v>
      </c>
      <c r="Z44801" s="372">
        <v>0.0</v>
      </c>
    </row>
    <row r="44802">
      <c r="Y44802" s="372">
        <v>0.0</v>
      </c>
      <c r="Z44802" s="372">
        <v>0.0</v>
      </c>
    </row>
    <row r="44803">
      <c r="Y44803" s="372">
        <v>0.0</v>
      </c>
      <c r="Z44803" s="372">
        <v>0.0</v>
      </c>
    </row>
    <row r="44804">
      <c r="Y44804" s="372">
        <v>0.0</v>
      </c>
      <c r="Z44804" s="372">
        <v>0.0</v>
      </c>
    </row>
    <row r="44805">
      <c r="Y44805" s="372">
        <v>0.0</v>
      </c>
      <c r="Z44805" s="372">
        <v>0.0</v>
      </c>
    </row>
    <row r="44806">
      <c r="Y44806" s="372">
        <v>0.0</v>
      </c>
      <c r="Z44806" s="372">
        <v>0.0</v>
      </c>
    </row>
    <row r="44807">
      <c r="Y44807" s="372">
        <v>0.0</v>
      </c>
      <c r="Z44807" s="372">
        <v>0.0</v>
      </c>
    </row>
    <row r="44808">
      <c r="Y44808" s="372">
        <v>0.0</v>
      </c>
      <c r="Z44808" s="372">
        <v>0.0</v>
      </c>
    </row>
    <row r="44809">
      <c r="Y44809" s="372">
        <v>0.0</v>
      </c>
      <c r="Z44809" s="372">
        <v>0.0</v>
      </c>
    </row>
    <row r="44810">
      <c r="Y44810" s="372">
        <v>0.0</v>
      </c>
      <c r="Z44810" s="372">
        <v>0.0</v>
      </c>
    </row>
    <row r="44811">
      <c r="Y44811" s="372">
        <v>0.0</v>
      </c>
      <c r="Z44811" s="372">
        <v>0.0</v>
      </c>
    </row>
    <row r="44812">
      <c r="Y44812" s="372">
        <v>0.0</v>
      </c>
      <c r="Z44812" s="372">
        <v>0.0</v>
      </c>
    </row>
    <row r="44813">
      <c r="Y44813" s="372">
        <v>0.0</v>
      </c>
      <c r="Z44813" s="372">
        <v>0.0</v>
      </c>
    </row>
    <row r="44814">
      <c r="Y44814" s="372">
        <v>0.0</v>
      </c>
      <c r="Z44814" s="372">
        <v>0.0</v>
      </c>
    </row>
    <row r="44815">
      <c r="Y44815" s="372">
        <v>0.0</v>
      </c>
      <c r="Z44815" s="372">
        <v>0.0</v>
      </c>
    </row>
    <row r="44816">
      <c r="Y44816" s="372">
        <v>0.0</v>
      </c>
      <c r="Z44816" s="372">
        <v>0.0</v>
      </c>
    </row>
    <row r="44817">
      <c r="Y44817" s="372">
        <v>0.0</v>
      </c>
      <c r="Z44817" s="372">
        <v>0.0</v>
      </c>
    </row>
    <row r="44818">
      <c r="Y44818" s="372">
        <v>0.0</v>
      </c>
      <c r="Z44818" s="372">
        <v>0.0</v>
      </c>
    </row>
    <row r="44819">
      <c r="Y44819" s="372">
        <v>0.0</v>
      </c>
      <c r="Z44819" s="372">
        <v>0.0</v>
      </c>
    </row>
    <row r="44820">
      <c r="Y44820" s="372">
        <v>0.0</v>
      </c>
      <c r="Z44820" s="372">
        <v>0.0</v>
      </c>
    </row>
    <row r="44821">
      <c r="Y44821" s="372">
        <v>0.0</v>
      </c>
      <c r="Z44821" s="372">
        <v>0.0</v>
      </c>
    </row>
    <row r="44822">
      <c r="Y44822" s="372">
        <v>0.0</v>
      </c>
      <c r="Z44822" s="372">
        <v>0.0</v>
      </c>
    </row>
    <row r="44823">
      <c r="Y44823" s="372">
        <v>0.0</v>
      </c>
      <c r="Z44823" s="372">
        <v>0.0</v>
      </c>
    </row>
    <row r="44824">
      <c r="Y44824" s="372">
        <v>0.0</v>
      </c>
      <c r="Z44824" s="372">
        <v>0.0</v>
      </c>
    </row>
    <row r="44825">
      <c r="Y44825" s="372">
        <v>0.0</v>
      </c>
      <c r="Z44825" s="372">
        <v>0.0</v>
      </c>
    </row>
    <row r="44826">
      <c r="Y44826" s="372">
        <v>0.0</v>
      </c>
      <c r="Z44826" s="372">
        <v>0.0</v>
      </c>
    </row>
    <row r="44827">
      <c r="Y44827" s="372">
        <v>0.0</v>
      </c>
      <c r="Z44827" s="372">
        <v>0.0</v>
      </c>
    </row>
    <row r="44828">
      <c r="Y44828" s="372">
        <v>0.0</v>
      </c>
      <c r="Z44828" s="372">
        <v>0.0</v>
      </c>
    </row>
    <row r="44829">
      <c r="Y44829" s="372">
        <v>0.0</v>
      </c>
      <c r="Z44829" s="372">
        <v>0.0</v>
      </c>
    </row>
    <row r="44830">
      <c r="Y44830" s="372">
        <v>0.0</v>
      </c>
      <c r="Z44830" s="372">
        <v>0.0</v>
      </c>
    </row>
    <row r="44831">
      <c r="Y44831" s="372">
        <v>0.0</v>
      </c>
      <c r="Z44831" s="372">
        <v>0.0</v>
      </c>
    </row>
    <row r="44832">
      <c r="Y44832" s="372">
        <v>0.0</v>
      </c>
      <c r="Z44832" s="372">
        <v>0.0</v>
      </c>
    </row>
    <row r="44833">
      <c r="Y44833" s="372">
        <v>0.0</v>
      </c>
      <c r="Z44833" s="372">
        <v>0.0</v>
      </c>
    </row>
    <row r="44834">
      <c r="Y44834" s="372">
        <v>0.0</v>
      </c>
      <c r="Z44834" s="372">
        <v>0.0</v>
      </c>
    </row>
    <row r="44835">
      <c r="Y44835" s="372">
        <v>0.0</v>
      </c>
      <c r="Z44835" s="372">
        <v>0.0</v>
      </c>
    </row>
    <row r="44836">
      <c r="Y44836" s="372">
        <v>0.0</v>
      </c>
      <c r="Z44836" s="372">
        <v>0.0</v>
      </c>
    </row>
    <row r="44837">
      <c r="Y44837" s="372">
        <v>0.0</v>
      </c>
      <c r="Z44837" s="372">
        <v>0.0</v>
      </c>
    </row>
    <row r="44838">
      <c r="Y44838" s="372">
        <v>0.0</v>
      </c>
      <c r="Z44838" s="372">
        <v>0.0</v>
      </c>
    </row>
    <row r="44839">
      <c r="Y44839" s="372">
        <v>0.0</v>
      </c>
      <c r="Z44839" s="372">
        <v>0.0</v>
      </c>
    </row>
    <row r="44840">
      <c r="Y44840" s="372">
        <v>0.0</v>
      </c>
      <c r="Z44840" s="372">
        <v>0.0</v>
      </c>
    </row>
    <row r="44841">
      <c r="Y44841" s="372">
        <v>0.0</v>
      </c>
      <c r="Z44841" s="372">
        <v>0.0</v>
      </c>
    </row>
    <row r="44842">
      <c r="Y44842" s="372">
        <v>0.0</v>
      </c>
      <c r="Z44842" s="372">
        <v>0.0</v>
      </c>
    </row>
    <row r="44843">
      <c r="Y44843" s="372">
        <v>0.0</v>
      </c>
      <c r="Z44843" s="372">
        <v>0.0</v>
      </c>
    </row>
    <row r="44844">
      <c r="Y44844" s="372">
        <v>0.0</v>
      </c>
      <c r="Z44844" s="372">
        <v>0.0</v>
      </c>
    </row>
    <row r="44845">
      <c r="Y44845" s="372">
        <v>0.0</v>
      </c>
      <c r="Z44845" s="372">
        <v>0.0</v>
      </c>
    </row>
    <row r="44846">
      <c r="Y44846" s="372">
        <v>0.0</v>
      </c>
      <c r="Z44846" s="372">
        <v>0.0</v>
      </c>
    </row>
    <row r="44847">
      <c r="Y44847" s="372">
        <v>0.0</v>
      </c>
      <c r="Z44847" s="372">
        <v>0.0</v>
      </c>
    </row>
    <row r="44848">
      <c r="Y44848" s="372">
        <v>0.0</v>
      </c>
      <c r="Z44848" s="372">
        <v>0.0</v>
      </c>
    </row>
    <row r="44849">
      <c r="Y44849" s="372">
        <v>0.0</v>
      </c>
      <c r="Z44849" s="372">
        <v>0.0</v>
      </c>
    </row>
    <row r="44850">
      <c r="Y44850" s="372">
        <v>0.0</v>
      </c>
      <c r="Z44850" s="372">
        <v>0.0</v>
      </c>
    </row>
    <row r="44851">
      <c r="Y44851" s="372">
        <v>0.0</v>
      </c>
      <c r="Z44851" s="372">
        <v>0.0</v>
      </c>
    </row>
    <row r="44852">
      <c r="Y44852" s="372">
        <v>0.0</v>
      </c>
      <c r="Z44852" s="372">
        <v>0.0</v>
      </c>
    </row>
    <row r="44853">
      <c r="Y44853" s="372">
        <v>0.0</v>
      </c>
      <c r="Z44853" s="372">
        <v>0.0</v>
      </c>
    </row>
    <row r="44854">
      <c r="Y44854" s="372">
        <v>0.0</v>
      </c>
      <c r="Z44854" s="372">
        <v>0.0</v>
      </c>
    </row>
    <row r="44855">
      <c r="Y44855" s="372">
        <v>0.0</v>
      </c>
      <c r="Z44855" s="372">
        <v>0.0</v>
      </c>
    </row>
    <row r="44856">
      <c r="Y44856" s="372">
        <v>0.0</v>
      </c>
      <c r="Z44856" s="372">
        <v>0.0</v>
      </c>
    </row>
    <row r="44857">
      <c r="Y44857" s="372">
        <v>0.0</v>
      </c>
      <c r="Z44857" s="372">
        <v>0.0</v>
      </c>
    </row>
    <row r="44858">
      <c r="Y44858" s="372">
        <v>0.0</v>
      </c>
      <c r="Z44858" s="372">
        <v>0.0</v>
      </c>
    </row>
    <row r="44859">
      <c r="Y44859" s="372">
        <v>0.0</v>
      </c>
      <c r="Z44859" s="372">
        <v>0.0</v>
      </c>
    </row>
    <row r="44860">
      <c r="Y44860" s="372">
        <v>0.0</v>
      </c>
      <c r="Z44860" s="372">
        <v>0.0</v>
      </c>
    </row>
    <row r="44861">
      <c r="Y44861" s="372">
        <v>0.0</v>
      </c>
      <c r="Z44861" s="372">
        <v>0.0</v>
      </c>
    </row>
    <row r="44862">
      <c r="Y44862" s="372">
        <v>0.0</v>
      </c>
      <c r="Z44862" s="372">
        <v>0.0</v>
      </c>
    </row>
    <row r="44863">
      <c r="Y44863" s="372">
        <v>0.0</v>
      </c>
      <c r="Z44863" s="372">
        <v>0.0</v>
      </c>
    </row>
    <row r="44864">
      <c r="Y44864" s="372">
        <v>0.0</v>
      </c>
      <c r="Z44864" s="372">
        <v>0.0</v>
      </c>
    </row>
    <row r="44865">
      <c r="Y44865" s="372">
        <v>0.0</v>
      </c>
      <c r="Z44865" s="372">
        <v>0.0</v>
      </c>
    </row>
    <row r="44866">
      <c r="Y44866" s="372">
        <v>0.0</v>
      </c>
      <c r="Z44866" s="372">
        <v>0.0</v>
      </c>
    </row>
    <row r="44867">
      <c r="Y44867" s="372">
        <v>0.0</v>
      </c>
      <c r="Z44867" s="372">
        <v>0.0</v>
      </c>
    </row>
    <row r="44868">
      <c r="Y44868" s="372">
        <v>0.0</v>
      </c>
      <c r="Z44868" s="372">
        <v>0.0</v>
      </c>
    </row>
    <row r="44869">
      <c r="Y44869" s="372">
        <v>0.0</v>
      </c>
      <c r="Z44869" s="372">
        <v>0.0</v>
      </c>
    </row>
    <row r="44870">
      <c r="Y44870" s="372">
        <v>0.0</v>
      </c>
      <c r="Z44870" s="372">
        <v>0.0</v>
      </c>
    </row>
    <row r="44871">
      <c r="Y44871" s="372">
        <v>0.0</v>
      </c>
      <c r="Z44871" s="372">
        <v>0.0</v>
      </c>
    </row>
    <row r="44872">
      <c r="Y44872" s="372">
        <v>0.0</v>
      </c>
      <c r="Z44872" s="372">
        <v>0.0</v>
      </c>
    </row>
    <row r="44873">
      <c r="Y44873" s="372">
        <v>0.0</v>
      </c>
      <c r="Z44873" s="372">
        <v>0.0</v>
      </c>
    </row>
    <row r="44874">
      <c r="Y44874" s="372">
        <v>0.0</v>
      </c>
      <c r="Z44874" s="372">
        <v>0.0</v>
      </c>
    </row>
    <row r="44875">
      <c r="Y44875" s="372">
        <v>0.0</v>
      </c>
      <c r="Z44875" s="372">
        <v>0.0</v>
      </c>
    </row>
    <row r="44876">
      <c r="Y44876" s="372">
        <v>0.0</v>
      </c>
      <c r="Z44876" s="372">
        <v>0.0</v>
      </c>
    </row>
    <row r="44877">
      <c r="Y44877" s="372">
        <v>0.0</v>
      </c>
      <c r="Z44877" s="372">
        <v>0.0</v>
      </c>
    </row>
    <row r="44878">
      <c r="Y44878" s="372">
        <v>0.0</v>
      </c>
      <c r="Z44878" s="372">
        <v>0.0</v>
      </c>
    </row>
    <row r="44879">
      <c r="Y44879" s="372">
        <v>0.0</v>
      </c>
      <c r="Z44879" s="372">
        <v>0.0</v>
      </c>
    </row>
    <row r="44880">
      <c r="Y44880" s="372">
        <v>0.0</v>
      </c>
      <c r="Z44880" s="372">
        <v>0.0</v>
      </c>
    </row>
    <row r="44881">
      <c r="Y44881" s="372">
        <v>0.0</v>
      </c>
      <c r="Z44881" s="372">
        <v>0.0</v>
      </c>
    </row>
    <row r="44882">
      <c r="Y44882" s="372">
        <v>0.0</v>
      </c>
      <c r="Z44882" s="372">
        <v>0.0</v>
      </c>
    </row>
    <row r="44883">
      <c r="Y44883" s="372">
        <v>0.0</v>
      </c>
      <c r="Z44883" s="372">
        <v>0.0</v>
      </c>
    </row>
    <row r="44884">
      <c r="Y44884" s="372">
        <v>0.0</v>
      </c>
      <c r="Z44884" s="372">
        <v>0.0</v>
      </c>
    </row>
    <row r="44885">
      <c r="Y44885" s="372">
        <v>0.0</v>
      </c>
      <c r="Z44885" s="372">
        <v>0.0</v>
      </c>
    </row>
    <row r="44886">
      <c r="Y44886" s="372">
        <v>0.0</v>
      </c>
      <c r="Z44886" s="372">
        <v>0.0</v>
      </c>
    </row>
    <row r="44887">
      <c r="Y44887" s="372">
        <v>0.0</v>
      </c>
      <c r="Z44887" s="372">
        <v>0.0</v>
      </c>
    </row>
    <row r="44888">
      <c r="Y44888" s="372">
        <v>0.0</v>
      </c>
      <c r="Z44888" s="372">
        <v>0.0</v>
      </c>
    </row>
    <row r="44889">
      <c r="Y44889" s="372">
        <v>0.0</v>
      </c>
      <c r="Z44889" s="372">
        <v>0.0</v>
      </c>
    </row>
    <row r="44890">
      <c r="Y44890" s="372">
        <v>0.0</v>
      </c>
      <c r="Z44890" s="372">
        <v>0.0</v>
      </c>
    </row>
    <row r="44891">
      <c r="Y44891" s="372">
        <v>0.0</v>
      </c>
      <c r="Z44891" s="372">
        <v>0.0</v>
      </c>
    </row>
    <row r="44892">
      <c r="Y44892" s="372">
        <v>0.0</v>
      </c>
      <c r="Z44892" s="372">
        <v>0.0</v>
      </c>
    </row>
    <row r="44893">
      <c r="Y44893" s="372">
        <v>0.0</v>
      </c>
      <c r="Z44893" s="372">
        <v>0.0</v>
      </c>
    </row>
    <row r="44894">
      <c r="Y44894" s="372">
        <v>0.0</v>
      </c>
      <c r="Z44894" s="372">
        <v>0.0</v>
      </c>
    </row>
    <row r="44895">
      <c r="Y44895" s="372">
        <v>0.0</v>
      </c>
      <c r="Z44895" s="372">
        <v>0.0</v>
      </c>
    </row>
    <row r="44896">
      <c r="Y44896" s="372">
        <v>0.0</v>
      </c>
      <c r="Z44896" s="372">
        <v>0.0</v>
      </c>
    </row>
    <row r="44897">
      <c r="Y44897" s="372">
        <v>0.0</v>
      </c>
      <c r="Z44897" s="372">
        <v>0.0</v>
      </c>
    </row>
    <row r="44898">
      <c r="Y44898" s="372">
        <v>0.0</v>
      </c>
      <c r="Z44898" s="372">
        <v>0.0</v>
      </c>
    </row>
    <row r="44899">
      <c r="Y44899" s="372">
        <v>0.0</v>
      </c>
      <c r="Z44899" s="372">
        <v>0.0</v>
      </c>
    </row>
    <row r="44900">
      <c r="Y44900" s="372">
        <v>0.0</v>
      </c>
      <c r="Z44900" s="372">
        <v>0.0</v>
      </c>
    </row>
    <row r="44901">
      <c r="Y44901" s="372">
        <v>0.0</v>
      </c>
      <c r="Z44901" s="372">
        <v>0.0</v>
      </c>
    </row>
    <row r="44902">
      <c r="Y44902" s="372">
        <v>0.0</v>
      </c>
      <c r="Z44902" s="372">
        <v>0.0</v>
      </c>
    </row>
    <row r="44903">
      <c r="Y44903" s="372">
        <v>0.0</v>
      </c>
      <c r="Z44903" s="372">
        <v>0.0</v>
      </c>
    </row>
    <row r="44904">
      <c r="Y44904" s="372">
        <v>0.0</v>
      </c>
      <c r="Z44904" s="372">
        <v>0.0</v>
      </c>
    </row>
    <row r="44905">
      <c r="Y44905" s="372">
        <v>0.0</v>
      </c>
      <c r="Z44905" s="372">
        <v>0.0</v>
      </c>
    </row>
    <row r="44906">
      <c r="Y44906" s="372">
        <v>0.0</v>
      </c>
      <c r="Z44906" s="372">
        <v>0.0</v>
      </c>
    </row>
    <row r="44907">
      <c r="Y44907" s="372">
        <v>0.0</v>
      </c>
      <c r="Z44907" s="372">
        <v>0.0</v>
      </c>
    </row>
    <row r="44908">
      <c r="Y44908" s="372">
        <v>0.0</v>
      </c>
      <c r="Z44908" s="372">
        <v>0.0</v>
      </c>
    </row>
    <row r="44909">
      <c r="Y44909" s="372">
        <v>0.0</v>
      </c>
      <c r="Z44909" s="372">
        <v>0.0</v>
      </c>
    </row>
    <row r="44910">
      <c r="Y44910" s="372">
        <v>0.0</v>
      </c>
      <c r="Z44910" s="372">
        <v>0.0</v>
      </c>
    </row>
    <row r="44911">
      <c r="Y44911" s="372">
        <v>0.0</v>
      </c>
      <c r="Z44911" s="372">
        <v>0.0</v>
      </c>
    </row>
    <row r="44912">
      <c r="Y44912" s="372">
        <v>0.0</v>
      </c>
      <c r="Z44912" s="372">
        <v>0.0</v>
      </c>
    </row>
    <row r="44913">
      <c r="Y44913" s="372">
        <v>0.0</v>
      </c>
      <c r="Z44913" s="372">
        <v>0.0</v>
      </c>
    </row>
    <row r="44914">
      <c r="Y44914" s="372">
        <v>0.0</v>
      </c>
      <c r="Z44914" s="372">
        <v>0.0</v>
      </c>
    </row>
    <row r="44915">
      <c r="Y44915" s="372">
        <v>0.0</v>
      </c>
      <c r="Z44915" s="372">
        <v>0.0</v>
      </c>
    </row>
    <row r="44916">
      <c r="Y44916" s="372">
        <v>0.0</v>
      </c>
      <c r="Z44916" s="372">
        <v>0.0</v>
      </c>
    </row>
    <row r="44917">
      <c r="Y44917" s="372">
        <v>0.0</v>
      </c>
      <c r="Z44917" s="372">
        <v>0.0</v>
      </c>
    </row>
    <row r="44918">
      <c r="Y44918" s="372">
        <v>0.0</v>
      </c>
      <c r="Z44918" s="372">
        <v>0.0</v>
      </c>
    </row>
    <row r="44919">
      <c r="Y44919" s="372">
        <v>0.0</v>
      </c>
      <c r="Z44919" s="372">
        <v>0.0</v>
      </c>
    </row>
    <row r="44920">
      <c r="Y44920" s="372">
        <v>0.0</v>
      </c>
      <c r="Z44920" s="372">
        <v>0.0</v>
      </c>
    </row>
    <row r="44921">
      <c r="Y44921" s="372">
        <v>0.0</v>
      </c>
      <c r="Z44921" s="372">
        <v>0.0</v>
      </c>
    </row>
    <row r="44922">
      <c r="Y44922" s="372">
        <v>0.0</v>
      </c>
      <c r="Z44922" s="372">
        <v>0.0</v>
      </c>
    </row>
    <row r="44923">
      <c r="Y44923" s="372">
        <v>0.0</v>
      </c>
      <c r="Z44923" s="372">
        <v>0.0</v>
      </c>
    </row>
    <row r="44924">
      <c r="Y44924" s="372">
        <v>0.0</v>
      </c>
      <c r="Z44924" s="372">
        <v>0.0</v>
      </c>
    </row>
    <row r="44925">
      <c r="Y44925" s="372">
        <v>0.0</v>
      </c>
      <c r="Z44925" s="372">
        <v>0.0</v>
      </c>
    </row>
    <row r="44926">
      <c r="Y44926" s="372">
        <v>0.0</v>
      </c>
      <c r="Z44926" s="372">
        <v>0.0</v>
      </c>
    </row>
    <row r="44927">
      <c r="Y44927" s="372">
        <v>0.0</v>
      </c>
      <c r="Z44927" s="372">
        <v>0.0</v>
      </c>
    </row>
    <row r="44928">
      <c r="Y44928" s="372">
        <v>0.0</v>
      </c>
      <c r="Z44928" s="372">
        <v>0.0</v>
      </c>
    </row>
    <row r="44929">
      <c r="Y44929" s="372">
        <v>0.0</v>
      </c>
      <c r="Z44929" s="372">
        <v>0.0</v>
      </c>
    </row>
    <row r="44930">
      <c r="Y44930" s="372">
        <v>0.0</v>
      </c>
      <c r="Z44930" s="372">
        <v>0.0</v>
      </c>
    </row>
    <row r="44931">
      <c r="Y44931" s="372">
        <v>0.0</v>
      </c>
      <c r="Z44931" s="372">
        <v>0.0</v>
      </c>
    </row>
    <row r="44932">
      <c r="Y44932" s="372">
        <v>0.0</v>
      </c>
      <c r="Z44932" s="372">
        <v>0.0</v>
      </c>
    </row>
    <row r="44933">
      <c r="Y44933" s="372">
        <v>0.0</v>
      </c>
      <c r="Z44933" s="372">
        <v>0.0</v>
      </c>
    </row>
    <row r="44934">
      <c r="Y44934" s="372">
        <v>0.0</v>
      </c>
      <c r="Z44934" s="372">
        <v>0.0</v>
      </c>
    </row>
    <row r="44935">
      <c r="Y44935" s="372">
        <v>0.0</v>
      </c>
      <c r="Z44935" s="372">
        <v>0.0</v>
      </c>
    </row>
    <row r="44936">
      <c r="Y44936" s="372">
        <v>0.0</v>
      </c>
      <c r="Z44936" s="372">
        <v>0.0</v>
      </c>
    </row>
    <row r="44937">
      <c r="Y44937" s="372">
        <v>0.0</v>
      </c>
      <c r="Z44937" s="372">
        <v>0.0</v>
      </c>
    </row>
    <row r="44938">
      <c r="Y44938" s="372">
        <v>0.0</v>
      </c>
      <c r="Z44938" s="372">
        <v>0.0</v>
      </c>
    </row>
    <row r="44939">
      <c r="Y44939" s="372">
        <v>0.0</v>
      </c>
      <c r="Z44939" s="372">
        <v>0.0</v>
      </c>
    </row>
    <row r="44940">
      <c r="Y44940" s="372">
        <v>0.0</v>
      </c>
      <c r="Z44940" s="372">
        <v>0.0</v>
      </c>
    </row>
    <row r="44941">
      <c r="Y44941" s="372">
        <v>0.0</v>
      </c>
      <c r="Z44941" s="372">
        <v>0.0</v>
      </c>
    </row>
    <row r="44942">
      <c r="Y44942" s="372">
        <v>0.0</v>
      </c>
      <c r="Z44942" s="372">
        <v>0.0</v>
      </c>
    </row>
    <row r="44943">
      <c r="Y44943" s="372">
        <v>0.0</v>
      </c>
      <c r="Z44943" s="372">
        <v>0.0</v>
      </c>
    </row>
    <row r="44944">
      <c r="Y44944" s="372">
        <v>0.0</v>
      </c>
      <c r="Z44944" s="372">
        <v>0.0</v>
      </c>
    </row>
    <row r="44945">
      <c r="Y44945" s="372">
        <v>0.0</v>
      </c>
      <c r="Z44945" s="372">
        <v>0.0</v>
      </c>
    </row>
    <row r="44946">
      <c r="Y44946" s="372">
        <v>0.0</v>
      </c>
      <c r="Z44946" s="372">
        <v>0.0</v>
      </c>
    </row>
    <row r="44947">
      <c r="Y44947" s="372">
        <v>0.0</v>
      </c>
      <c r="Z44947" s="372">
        <v>0.0</v>
      </c>
    </row>
    <row r="44948">
      <c r="Y44948" s="372">
        <v>0.0</v>
      </c>
      <c r="Z44948" s="372">
        <v>0.0</v>
      </c>
    </row>
    <row r="44949">
      <c r="Y44949" s="372">
        <v>0.0</v>
      </c>
      <c r="Z44949" s="372">
        <v>0.0</v>
      </c>
    </row>
    <row r="44950">
      <c r="Y44950" s="372">
        <v>0.0</v>
      </c>
      <c r="Z44950" s="372">
        <v>0.0</v>
      </c>
    </row>
    <row r="44951">
      <c r="Y44951" s="372">
        <v>0.0</v>
      </c>
      <c r="Z44951" s="372">
        <v>0.0</v>
      </c>
    </row>
    <row r="44952">
      <c r="Y44952" s="372">
        <v>0.0</v>
      </c>
      <c r="Z44952" s="372">
        <v>0.0</v>
      </c>
    </row>
    <row r="44953">
      <c r="Y44953" s="372">
        <v>0.0</v>
      </c>
      <c r="Z44953" s="372">
        <v>0.0</v>
      </c>
    </row>
    <row r="44954">
      <c r="Y44954" s="372">
        <v>0.0</v>
      </c>
      <c r="Z44954" s="372">
        <v>0.0</v>
      </c>
    </row>
    <row r="44955">
      <c r="Y44955" s="372">
        <v>0.0</v>
      </c>
      <c r="Z44955" s="372">
        <v>0.0</v>
      </c>
    </row>
    <row r="44956">
      <c r="Y44956" s="372">
        <v>0.0</v>
      </c>
      <c r="Z44956" s="372">
        <v>0.0</v>
      </c>
    </row>
    <row r="44957">
      <c r="Y44957" s="372">
        <v>0.0</v>
      </c>
      <c r="Z44957" s="372">
        <v>0.0</v>
      </c>
    </row>
    <row r="44958">
      <c r="Y44958" s="372">
        <v>0.0</v>
      </c>
      <c r="Z44958" s="372">
        <v>0.0</v>
      </c>
    </row>
    <row r="44959">
      <c r="Y44959" s="372">
        <v>0.0</v>
      </c>
      <c r="Z44959" s="372">
        <v>0.0</v>
      </c>
    </row>
    <row r="44960">
      <c r="Y44960" s="372">
        <v>0.0</v>
      </c>
      <c r="Z44960" s="372">
        <v>0.0</v>
      </c>
    </row>
    <row r="44961">
      <c r="Y44961" s="372">
        <v>0.0</v>
      </c>
      <c r="Z44961" s="372">
        <v>0.0</v>
      </c>
    </row>
    <row r="44962">
      <c r="Y44962" s="372">
        <v>0.0</v>
      </c>
      <c r="Z44962" s="372">
        <v>0.0</v>
      </c>
    </row>
    <row r="44963">
      <c r="Y44963" s="372">
        <v>0.0</v>
      </c>
      <c r="Z44963" s="372">
        <v>0.0</v>
      </c>
    </row>
    <row r="44964">
      <c r="Y44964" s="372">
        <v>0.0</v>
      </c>
      <c r="Z44964" s="372">
        <v>0.0</v>
      </c>
    </row>
    <row r="44965">
      <c r="Y44965" s="372">
        <v>0.0</v>
      </c>
      <c r="Z44965" s="372">
        <v>0.0</v>
      </c>
    </row>
    <row r="44966">
      <c r="Y44966" s="372">
        <v>0.0</v>
      </c>
      <c r="Z44966" s="372">
        <v>0.0</v>
      </c>
    </row>
    <row r="44967">
      <c r="Y44967" s="372">
        <v>0.0</v>
      </c>
      <c r="Z44967" s="372">
        <v>0.0</v>
      </c>
    </row>
    <row r="44968">
      <c r="Y44968" s="372">
        <v>0.0</v>
      </c>
      <c r="Z44968" s="372">
        <v>0.0</v>
      </c>
    </row>
    <row r="44969">
      <c r="Y44969" s="372">
        <v>0.0</v>
      </c>
      <c r="Z44969" s="372">
        <v>0.0</v>
      </c>
    </row>
    <row r="44970">
      <c r="Y44970" s="372">
        <v>0.0</v>
      </c>
      <c r="Z44970" s="372">
        <v>0.0</v>
      </c>
    </row>
    <row r="44971">
      <c r="Y44971" s="372">
        <v>0.0</v>
      </c>
      <c r="Z44971" s="372">
        <v>0.0</v>
      </c>
    </row>
    <row r="44972">
      <c r="Y44972" s="372">
        <v>0.0</v>
      </c>
      <c r="Z44972" s="372">
        <v>0.0</v>
      </c>
    </row>
    <row r="44973">
      <c r="Y44973" s="372">
        <v>0.0</v>
      </c>
      <c r="Z44973" s="372">
        <v>0.0</v>
      </c>
    </row>
    <row r="44974">
      <c r="Y44974" s="372">
        <v>0.0</v>
      </c>
      <c r="Z44974" s="372">
        <v>0.0</v>
      </c>
    </row>
    <row r="44975">
      <c r="Y44975" s="372">
        <v>0.0</v>
      </c>
      <c r="Z44975" s="372">
        <v>0.0</v>
      </c>
    </row>
    <row r="44976">
      <c r="Y44976" s="372">
        <v>0.0</v>
      </c>
      <c r="Z44976" s="372">
        <v>0.0</v>
      </c>
    </row>
    <row r="44977">
      <c r="Y44977" s="372">
        <v>0.0</v>
      </c>
      <c r="Z44977" s="372">
        <v>0.0</v>
      </c>
    </row>
    <row r="44978">
      <c r="Y44978" s="372">
        <v>0.0</v>
      </c>
      <c r="Z44978" s="372">
        <v>0.0</v>
      </c>
    </row>
    <row r="44979">
      <c r="Y44979" s="372">
        <v>0.0</v>
      </c>
      <c r="Z44979" s="372">
        <v>0.0</v>
      </c>
    </row>
    <row r="44980">
      <c r="Y44980" s="372">
        <v>0.0</v>
      </c>
      <c r="Z44980" s="372">
        <v>0.0</v>
      </c>
    </row>
    <row r="44981">
      <c r="Y44981" s="372">
        <v>0.0</v>
      </c>
      <c r="Z44981" s="372">
        <v>0.0</v>
      </c>
    </row>
    <row r="44982">
      <c r="Y44982" s="372">
        <v>0.0</v>
      </c>
      <c r="Z44982" s="372">
        <v>0.0</v>
      </c>
    </row>
    <row r="44983">
      <c r="Y44983" s="372">
        <v>0.0</v>
      </c>
      <c r="Z44983" s="372">
        <v>0.0</v>
      </c>
    </row>
    <row r="44984">
      <c r="Y44984" s="372">
        <v>0.0</v>
      </c>
      <c r="Z44984" s="372">
        <v>0.0</v>
      </c>
    </row>
    <row r="44985">
      <c r="Y44985" s="372">
        <v>0.0</v>
      </c>
      <c r="Z44985" s="372">
        <v>0.0</v>
      </c>
    </row>
    <row r="44986">
      <c r="Y44986" s="372">
        <v>0.0</v>
      </c>
      <c r="Z44986" s="372">
        <v>0.0</v>
      </c>
    </row>
    <row r="44987">
      <c r="Y44987" s="372">
        <v>0.0</v>
      </c>
      <c r="Z44987" s="372">
        <v>0.0</v>
      </c>
    </row>
    <row r="44988">
      <c r="Y44988" s="372">
        <v>0.0</v>
      </c>
      <c r="Z44988" s="372">
        <v>0.0</v>
      </c>
    </row>
    <row r="44989">
      <c r="Y44989" s="372">
        <v>0.0</v>
      </c>
      <c r="Z44989" s="372">
        <v>0.0</v>
      </c>
    </row>
    <row r="44990">
      <c r="Y44990" s="372">
        <v>0.0</v>
      </c>
      <c r="Z44990" s="372">
        <v>0.0</v>
      </c>
    </row>
    <row r="44991">
      <c r="Y44991" s="372">
        <v>0.0</v>
      </c>
      <c r="Z44991" s="372">
        <v>0.0</v>
      </c>
    </row>
    <row r="44992">
      <c r="Y44992" s="372">
        <v>0.0</v>
      </c>
      <c r="Z44992" s="372">
        <v>0.0</v>
      </c>
    </row>
    <row r="44993">
      <c r="Y44993" s="372">
        <v>0.0</v>
      </c>
      <c r="Z44993" s="372">
        <v>0.0</v>
      </c>
    </row>
    <row r="44994">
      <c r="Y44994" s="372">
        <v>0.0</v>
      </c>
      <c r="Z44994" s="372">
        <v>0.0</v>
      </c>
    </row>
    <row r="44995">
      <c r="Y44995" s="372">
        <v>0.0</v>
      </c>
      <c r="Z44995" s="372">
        <v>0.0</v>
      </c>
    </row>
    <row r="44996">
      <c r="Y44996" s="372">
        <v>0.0</v>
      </c>
      <c r="Z44996" s="372">
        <v>0.0</v>
      </c>
    </row>
    <row r="44997">
      <c r="Y44997" s="372">
        <v>0.0</v>
      </c>
      <c r="Z44997" s="372">
        <v>0.0</v>
      </c>
    </row>
    <row r="44998">
      <c r="Y44998" s="372">
        <v>0.0</v>
      </c>
      <c r="Z44998" s="372">
        <v>0.0</v>
      </c>
    </row>
    <row r="44999">
      <c r="Y44999" s="372">
        <v>0.0</v>
      </c>
      <c r="Z44999" s="372">
        <v>0.0</v>
      </c>
    </row>
    <row r="45000">
      <c r="Y45000" s="372">
        <v>0.0</v>
      </c>
      <c r="Z45000" s="372">
        <v>0.0</v>
      </c>
    </row>
    <row r="45001">
      <c r="Y45001" s="372">
        <v>0.0</v>
      </c>
      <c r="Z45001" s="372">
        <v>0.0</v>
      </c>
    </row>
    <row r="45002">
      <c r="Y45002" s="372">
        <v>0.0</v>
      </c>
      <c r="Z45002" s="372">
        <v>0.0</v>
      </c>
    </row>
    <row r="45003">
      <c r="Y45003" s="372">
        <v>0.0</v>
      </c>
      <c r="Z45003" s="372">
        <v>0.0</v>
      </c>
    </row>
    <row r="45004">
      <c r="Y45004" s="372">
        <v>0.0</v>
      </c>
      <c r="Z45004" s="372">
        <v>0.0</v>
      </c>
    </row>
    <row r="45005">
      <c r="Y45005" s="372">
        <v>0.0</v>
      </c>
      <c r="Z45005" s="372">
        <v>0.0</v>
      </c>
    </row>
    <row r="45006">
      <c r="Y45006" s="372">
        <v>0.0</v>
      </c>
      <c r="Z45006" s="372">
        <v>0.0</v>
      </c>
    </row>
    <row r="45007">
      <c r="Y45007" s="372">
        <v>0.0</v>
      </c>
      <c r="Z45007" s="372">
        <v>0.0</v>
      </c>
    </row>
    <row r="45008">
      <c r="Y45008" s="372">
        <v>0.0</v>
      </c>
      <c r="Z45008" s="372">
        <v>0.0</v>
      </c>
    </row>
    <row r="45009">
      <c r="Y45009" s="372">
        <v>0.0</v>
      </c>
      <c r="Z45009" s="372">
        <v>0.0</v>
      </c>
    </row>
    <row r="45010">
      <c r="Y45010" s="372">
        <v>0.0</v>
      </c>
      <c r="Z45010" s="372">
        <v>0.0</v>
      </c>
    </row>
    <row r="45011">
      <c r="Y45011" s="372">
        <v>0.0</v>
      </c>
      <c r="Z45011" s="372">
        <v>0.0</v>
      </c>
    </row>
    <row r="45012">
      <c r="Y45012" s="372">
        <v>0.0</v>
      </c>
      <c r="Z45012" s="372">
        <v>0.0</v>
      </c>
    </row>
    <row r="45013">
      <c r="Y45013" s="372">
        <v>0.0</v>
      </c>
      <c r="Z45013" s="372">
        <v>0.0</v>
      </c>
    </row>
    <row r="45014">
      <c r="Y45014" s="372">
        <v>0.0</v>
      </c>
      <c r="Z45014" s="372">
        <v>0.0</v>
      </c>
    </row>
    <row r="45015">
      <c r="Y45015" s="372">
        <v>0.0</v>
      </c>
      <c r="Z45015" s="372">
        <v>0.0</v>
      </c>
    </row>
    <row r="45016">
      <c r="Y45016" s="372">
        <v>0.0</v>
      </c>
      <c r="Z45016" s="372">
        <v>0.0</v>
      </c>
    </row>
    <row r="45017">
      <c r="Y45017" s="372">
        <v>0.0</v>
      </c>
      <c r="Z45017" s="372">
        <v>0.0</v>
      </c>
    </row>
    <row r="45018">
      <c r="Y45018" s="372">
        <v>0.0</v>
      </c>
      <c r="Z45018" s="372">
        <v>0.0</v>
      </c>
    </row>
    <row r="45019">
      <c r="Y45019" s="372">
        <v>0.0</v>
      </c>
      <c r="Z45019" s="372">
        <v>0.0</v>
      </c>
    </row>
    <row r="45020">
      <c r="Y45020" s="372">
        <v>0.0</v>
      </c>
      <c r="Z45020" s="372">
        <v>0.0</v>
      </c>
    </row>
    <row r="45021">
      <c r="Y45021" s="372">
        <v>0.0</v>
      </c>
      <c r="Z45021" s="372">
        <v>0.0</v>
      </c>
    </row>
    <row r="45022">
      <c r="Y45022" s="372">
        <v>0.0</v>
      </c>
      <c r="Z45022" s="372">
        <v>0.0</v>
      </c>
    </row>
    <row r="45023">
      <c r="Y45023" s="372">
        <v>0.0</v>
      </c>
      <c r="Z45023" s="372">
        <v>0.0</v>
      </c>
    </row>
    <row r="45024">
      <c r="Y45024" s="372">
        <v>0.0</v>
      </c>
      <c r="Z45024" s="372">
        <v>0.0</v>
      </c>
    </row>
    <row r="45025">
      <c r="Y45025" s="372">
        <v>0.0</v>
      </c>
      <c r="Z45025" s="372">
        <v>0.0</v>
      </c>
    </row>
    <row r="45026">
      <c r="Y45026" s="372">
        <v>0.0</v>
      </c>
      <c r="Z45026" s="372">
        <v>0.0</v>
      </c>
    </row>
    <row r="45027">
      <c r="Y45027" s="372">
        <v>0.0</v>
      </c>
      <c r="Z45027" s="372">
        <v>0.0</v>
      </c>
    </row>
    <row r="45028">
      <c r="Y45028" s="372">
        <v>0.0</v>
      </c>
      <c r="Z45028" s="372">
        <v>0.0</v>
      </c>
    </row>
    <row r="45029">
      <c r="Y45029" s="372">
        <v>0.0</v>
      </c>
      <c r="Z45029" s="372">
        <v>0.0</v>
      </c>
    </row>
    <row r="45030">
      <c r="Y45030" s="372">
        <v>0.0</v>
      </c>
      <c r="Z45030" s="372">
        <v>0.0</v>
      </c>
    </row>
    <row r="45031">
      <c r="Y45031" s="372">
        <v>0.0</v>
      </c>
      <c r="Z45031" s="372">
        <v>0.0</v>
      </c>
    </row>
    <row r="45032">
      <c r="Y45032" s="372">
        <v>0.0</v>
      </c>
      <c r="Z45032" s="372">
        <v>0.0</v>
      </c>
    </row>
    <row r="45033">
      <c r="Y45033" s="372">
        <v>0.0</v>
      </c>
      <c r="Z45033" s="372">
        <v>0.0</v>
      </c>
    </row>
    <row r="45034">
      <c r="Y45034" s="372">
        <v>0.0</v>
      </c>
      <c r="Z45034" s="372">
        <v>0.0</v>
      </c>
    </row>
    <row r="45035">
      <c r="Y45035" s="372">
        <v>0.0</v>
      </c>
      <c r="Z45035" s="372">
        <v>0.0</v>
      </c>
    </row>
    <row r="45036">
      <c r="Y45036" s="372">
        <v>0.0</v>
      </c>
      <c r="Z45036" s="372">
        <v>0.0</v>
      </c>
    </row>
    <row r="45037">
      <c r="Y45037" s="372">
        <v>0.0</v>
      </c>
      <c r="Z45037" s="372">
        <v>0.0</v>
      </c>
    </row>
    <row r="45038">
      <c r="Y45038" s="372">
        <v>0.0</v>
      </c>
      <c r="Z45038" s="372">
        <v>0.0</v>
      </c>
    </row>
    <row r="45039">
      <c r="Y45039" s="372">
        <v>0.0</v>
      </c>
      <c r="Z45039" s="372">
        <v>0.0</v>
      </c>
    </row>
    <row r="45040">
      <c r="Y45040" s="372">
        <v>0.0</v>
      </c>
      <c r="Z45040" s="372">
        <v>0.0</v>
      </c>
    </row>
    <row r="45041">
      <c r="Y45041" s="372">
        <v>0.0</v>
      </c>
      <c r="Z45041" s="372">
        <v>0.0</v>
      </c>
    </row>
    <row r="45042">
      <c r="Y45042" s="372">
        <v>0.0</v>
      </c>
      <c r="Z45042" s="372">
        <v>0.0</v>
      </c>
    </row>
    <row r="45043">
      <c r="Y45043" s="372">
        <v>0.0</v>
      </c>
      <c r="Z45043" s="372">
        <v>0.0</v>
      </c>
    </row>
    <row r="45044">
      <c r="Y45044" s="372">
        <v>0.0</v>
      </c>
      <c r="Z45044" s="372">
        <v>0.0</v>
      </c>
    </row>
    <row r="45045">
      <c r="Y45045" s="372">
        <v>0.0</v>
      </c>
      <c r="Z45045" s="372">
        <v>0.0</v>
      </c>
    </row>
    <row r="45046">
      <c r="Y45046" s="372">
        <v>0.0</v>
      </c>
      <c r="Z45046" s="372">
        <v>0.0</v>
      </c>
    </row>
    <row r="45047">
      <c r="Y45047" s="372">
        <v>0.0</v>
      </c>
      <c r="Z45047" s="372">
        <v>0.0</v>
      </c>
    </row>
    <row r="45048">
      <c r="Y45048" s="372">
        <v>0.0</v>
      </c>
      <c r="Z45048" s="372">
        <v>0.0</v>
      </c>
    </row>
    <row r="45049">
      <c r="Y45049" s="372">
        <v>0.0</v>
      </c>
      <c r="Z45049" s="372">
        <v>0.0</v>
      </c>
    </row>
    <row r="45050">
      <c r="Y45050" s="372">
        <v>0.0</v>
      </c>
      <c r="Z45050" s="372">
        <v>0.0</v>
      </c>
    </row>
    <row r="45051">
      <c r="Y45051" s="372">
        <v>0.0</v>
      </c>
      <c r="Z45051" s="372">
        <v>0.0</v>
      </c>
    </row>
    <row r="45052">
      <c r="Y45052" s="372">
        <v>0.0</v>
      </c>
      <c r="Z45052" s="372">
        <v>0.0</v>
      </c>
    </row>
    <row r="45053">
      <c r="Y45053" s="372">
        <v>0.0</v>
      </c>
      <c r="Z45053" s="372">
        <v>0.0</v>
      </c>
    </row>
    <row r="45054">
      <c r="Y45054" s="372">
        <v>0.0</v>
      </c>
      <c r="Z45054" s="372">
        <v>0.0</v>
      </c>
    </row>
    <row r="45055">
      <c r="Y45055" s="372">
        <v>0.0</v>
      </c>
      <c r="Z45055" s="372">
        <v>0.0</v>
      </c>
    </row>
    <row r="45056">
      <c r="Y45056" s="372">
        <v>0.0</v>
      </c>
      <c r="Z45056" s="372">
        <v>0.0</v>
      </c>
    </row>
    <row r="45057">
      <c r="Y45057" s="372">
        <v>0.0</v>
      </c>
      <c r="Z45057" s="372">
        <v>0.0</v>
      </c>
    </row>
    <row r="45058">
      <c r="Y45058" s="372">
        <v>0.0</v>
      </c>
      <c r="Z45058" s="372">
        <v>0.0</v>
      </c>
    </row>
    <row r="45059">
      <c r="Y45059" s="372">
        <v>0.0</v>
      </c>
      <c r="Z45059" s="372">
        <v>0.0</v>
      </c>
    </row>
    <row r="45060">
      <c r="Y45060" s="372">
        <v>0.0</v>
      </c>
      <c r="Z45060" s="372">
        <v>0.0</v>
      </c>
    </row>
    <row r="45061">
      <c r="Y45061" s="372">
        <v>0.0</v>
      </c>
      <c r="Z45061" s="372">
        <v>0.0</v>
      </c>
    </row>
    <row r="45062">
      <c r="Y45062" s="372">
        <v>0.0</v>
      </c>
      <c r="Z45062" s="372">
        <v>0.0</v>
      </c>
    </row>
    <row r="45063">
      <c r="Y45063" s="372">
        <v>0.0</v>
      </c>
      <c r="Z45063" s="372">
        <v>0.0</v>
      </c>
    </row>
    <row r="45064">
      <c r="Y45064" s="372">
        <v>0.0</v>
      </c>
      <c r="Z45064" s="372">
        <v>0.0</v>
      </c>
    </row>
    <row r="45065">
      <c r="Y45065" s="372">
        <v>0.0</v>
      </c>
      <c r="Z45065" s="372">
        <v>0.0</v>
      </c>
    </row>
    <row r="45066">
      <c r="Y45066" s="372">
        <v>0.0</v>
      </c>
      <c r="Z45066" s="372">
        <v>0.0</v>
      </c>
    </row>
    <row r="45067">
      <c r="Y45067" s="372">
        <v>0.0</v>
      </c>
      <c r="Z45067" s="372">
        <v>0.0</v>
      </c>
    </row>
    <row r="45068">
      <c r="Y45068" s="372">
        <v>0.0</v>
      </c>
      <c r="Z45068" s="372">
        <v>0.0</v>
      </c>
    </row>
    <row r="45069">
      <c r="Y45069" s="372">
        <v>0.0</v>
      </c>
      <c r="Z45069" s="372">
        <v>0.0</v>
      </c>
    </row>
    <row r="45070">
      <c r="Y45070" s="372">
        <v>0.0</v>
      </c>
      <c r="Z45070" s="372">
        <v>0.0</v>
      </c>
    </row>
    <row r="45071">
      <c r="Y45071" s="372">
        <v>0.0</v>
      </c>
      <c r="Z45071" s="372">
        <v>0.0</v>
      </c>
    </row>
    <row r="45072">
      <c r="Y45072" s="372">
        <v>0.0</v>
      </c>
      <c r="Z45072" s="372">
        <v>0.0</v>
      </c>
    </row>
    <row r="45073">
      <c r="Y45073" s="372">
        <v>0.0</v>
      </c>
      <c r="Z45073" s="372">
        <v>0.0</v>
      </c>
    </row>
    <row r="45074">
      <c r="Y45074" s="372">
        <v>0.0</v>
      </c>
      <c r="Z45074" s="372">
        <v>0.0</v>
      </c>
    </row>
    <row r="45075">
      <c r="Y45075" s="372">
        <v>0.0</v>
      </c>
      <c r="Z45075" s="372">
        <v>0.0</v>
      </c>
    </row>
    <row r="45076">
      <c r="Y45076" s="372">
        <v>0.0</v>
      </c>
      <c r="Z45076" s="372">
        <v>0.0</v>
      </c>
    </row>
    <row r="45077">
      <c r="Y45077" s="372">
        <v>0.0</v>
      </c>
      <c r="Z45077" s="372">
        <v>0.0</v>
      </c>
    </row>
    <row r="45078">
      <c r="Y45078" s="372">
        <v>0.0</v>
      </c>
      <c r="Z45078" s="372">
        <v>0.0</v>
      </c>
    </row>
    <row r="45079">
      <c r="Y45079" s="372">
        <v>0.0</v>
      </c>
      <c r="Z45079" s="372">
        <v>0.0</v>
      </c>
    </row>
    <row r="45080">
      <c r="Y45080" s="372">
        <v>0.0</v>
      </c>
      <c r="Z45080" s="372">
        <v>0.0</v>
      </c>
    </row>
    <row r="45081">
      <c r="Y45081" s="372">
        <v>0.0</v>
      </c>
      <c r="Z45081" s="372">
        <v>0.0</v>
      </c>
    </row>
    <row r="45082">
      <c r="Y45082" s="372">
        <v>0.0</v>
      </c>
      <c r="Z45082" s="372">
        <v>0.0</v>
      </c>
    </row>
    <row r="45083">
      <c r="Y45083" s="372">
        <v>0.0</v>
      </c>
      <c r="Z45083" s="372">
        <v>0.0</v>
      </c>
    </row>
    <row r="45084">
      <c r="Y45084" s="372">
        <v>0.0</v>
      </c>
      <c r="Z45084" s="372">
        <v>0.0</v>
      </c>
    </row>
    <row r="45085">
      <c r="Y45085" s="372">
        <v>0.0</v>
      </c>
      <c r="Z45085" s="372">
        <v>0.0</v>
      </c>
    </row>
    <row r="45086">
      <c r="Y45086" s="372">
        <v>0.0</v>
      </c>
      <c r="Z45086" s="372">
        <v>0.0</v>
      </c>
    </row>
    <row r="45087">
      <c r="Y45087" s="372">
        <v>0.0</v>
      </c>
      <c r="Z45087" s="372">
        <v>0.0</v>
      </c>
    </row>
    <row r="45088">
      <c r="Y45088" s="372">
        <v>0.0</v>
      </c>
      <c r="Z45088" s="372">
        <v>0.0</v>
      </c>
    </row>
    <row r="45089">
      <c r="Y45089" s="372">
        <v>0.0</v>
      </c>
      <c r="Z45089" s="372">
        <v>0.0</v>
      </c>
    </row>
    <row r="45090">
      <c r="Y45090" s="372">
        <v>0.0</v>
      </c>
      <c r="Z45090" s="372">
        <v>0.0</v>
      </c>
    </row>
    <row r="45091">
      <c r="Y45091" s="372">
        <v>0.0</v>
      </c>
      <c r="Z45091" s="372">
        <v>0.0</v>
      </c>
    </row>
    <row r="45092">
      <c r="Y45092" s="372">
        <v>0.0</v>
      </c>
      <c r="Z45092" s="372">
        <v>0.0</v>
      </c>
    </row>
    <row r="45093">
      <c r="Y45093" s="372">
        <v>0.0</v>
      </c>
      <c r="Z45093" s="372">
        <v>0.0</v>
      </c>
    </row>
    <row r="45094">
      <c r="Y45094" s="372">
        <v>0.0</v>
      </c>
      <c r="Z45094" s="372">
        <v>0.0</v>
      </c>
    </row>
    <row r="45095">
      <c r="Y45095" s="372">
        <v>0.0</v>
      </c>
      <c r="Z45095" s="372">
        <v>0.0</v>
      </c>
    </row>
    <row r="45096">
      <c r="Y45096" s="372">
        <v>0.0</v>
      </c>
      <c r="Z45096" s="372">
        <v>0.0</v>
      </c>
    </row>
    <row r="45097">
      <c r="Y45097" s="372">
        <v>0.0</v>
      </c>
      <c r="Z45097" s="372">
        <v>0.0</v>
      </c>
    </row>
    <row r="45098">
      <c r="Y45098" s="372">
        <v>0.0</v>
      </c>
      <c r="Z45098" s="372">
        <v>0.0</v>
      </c>
    </row>
    <row r="45099">
      <c r="Y45099" s="372">
        <v>0.0</v>
      </c>
      <c r="Z45099" s="372">
        <v>0.0</v>
      </c>
    </row>
    <row r="45100">
      <c r="Y45100" s="372">
        <v>0.0</v>
      </c>
      <c r="Z45100" s="372">
        <v>0.0</v>
      </c>
    </row>
    <row r="45101">
      <c r="Y45101" s="372">
        <v>0.0</v>
      </c>
      <c r="Z45101" s="372">
        <v>0.0</v>
      </c>
    </row>
    <row r="45102">
      <c r="Y45102" s="372">
        <v>0.0</v>
      </c>
      <c r="Z45102" s="372">
        <v>0.0</v>
      </c>
    </row>
    <row r="45103">
      <c r="Y45103" s="372">
        <v>0.0</v>
      </c>
      <c r="Z45103" s="372">
        <v>0.0</v>
      </c>
    </row>
    <row r="45104">
      <c r="Y45104" s="372">
        <v>0.0</v>
      </c>
      <c r="Z45104" s="372">
        <v>0.0</v>
      </c>
    </row>
    <row r="45105">
      <c r="Y45105" s="372">
        <v>0.0</v>
      </c>
      <c r="Z45105" s="372">
        <v>0.0</v>
      </c>
    </row>
    <row r="45106">
      <c r="Y45106" s="372">
        <v>0.0</v>
      </c>
      <c r="Z45106" s="372">
        <v>0.0</v>
      </c>
    </row>
    <row r="45107">
      <c r="Y45107" s="372">
        <v>0.0</v>
      </c>
      <c r="Z45107" s="372">
        <v>0.0</v>
      </c>
    </row>
    <row r="45108">
      <c r="Y45108" s="372">
        <v>0.0</v>
      </c>
      <c r="Z45108" s="372">
        <v>0.0</v>
      </c>
    </row>
    <row r="45109">
      <c r="Y45109" s="372">
        <v>0.0</v>
      </c>
      <c r="Z45109" s="372">
        <v>0.0</v>
      </c>
    </row>
    <row r="45110">
      <c r="Y45110" s="372">
        <v>0.0</v>
      </c>
      <c r="Z45110" s="372">
        <v>0.0</v>
      </c>
    </row>
    <row r="45111">
      <c r="Y45111" s="372">
        <v>0.0</v>
      </c>
      <c r="Z45111" s="372">
        <v>0.0</v>
      </c>
    </row>
    <row r="45112">
      <c r="Y45112" s="372">
        <v>0.0</v>
      </c>
      <c r="Z45112" s="372">
        <v>0.0</v>
      </c>
    </row>
    <row r="45113">
      <c r="Y45113" s="372">
        <v>0.0</v>
      </c>
      <c r="Z45113" s="372">
        <v>0.0</v>
      </c>
    </row>
    <row r="45114">
      <c r="Y45114" s="372">
        <v>0.0</v>
      </c>
      <c r="Z45114" s="372">
        <v>0.0</v>
      </c>
    </row>
    <row r="45115">
      <c r="Y45115" s="372">
        <v>0.0</v>
      </c>
      <c r="Z45115" s="372">
        <v>0.0</v>
      </c>
    </row>
    <row r="45116">
      <c r="Y45116" s="372">
        <v>0.0</v>
      </c>
      <c r="Z45116" s="372">
        <v>0.0</v>
      </c>
    </row>
    <row r="45117">
      <c r="Y45117" s="372">
        <v>0.0</v>
      </c>
      <c r="Z45117" s="372">
        <v>0.0</v>
      </c>
    </row>
    <row r="45118">
      <c r="Y45118" s="372">
        <v>0.0</v>
      </c>
      <c r="Z45118" s="372">
        <v>0.0</v>
      </c>
    </row>
    <row r="45119">
      <c r="Y45119" s="372">
        <v>0.0</v>
      </c>
      <c r="Z45119" s="372">
        <v>0.0</v>
      </c>
    </row>
    <row r="45120">
      <c r="Y45120" s="372">
        <v>0.0</v>
      </c>
      <c r="Z45120" s="372">
        <v>0.0</v>
      </c>
    </row>
    <row r="45121">
      <c r="Y45121" s="372">
        <v>0.0</v>
      </c>
      <c r="Z45121" s="372">
        <v>0.0</v>
      </c>
    </row>
    <row r="45122">
      <c r="Y45122" s="372">
        <v>0.0</v>
      </c>
      <c r="Z45122" s="372">
        <v>0.0</v>
      </c>
    </row>
    <row r="45123">
      <c r="Y45123" s="372">
        <v>0.0</v>
      </c>
      <c r="Z45123" s="372">
        <v>0.0</v>
      </c>
    </row>
    <row r="45124">
      <c r="Y45124" s="372">
        <v>0.0</v>
      </c>
      <c r="Z45124" s="372">
        <v>0.0</v>
      </c>
    </row>
    <row r="45125">
      <c r="Y45125" s="372">
        <v>0.0</v>
      </c>
      <c r="Z45125" s="372">
        <v>0.0</v>
      </c>
    </row>
    <row r="45126">
      <c r="Y45126" s="372">
        <v>0.0</v>
      </c>
      <c r="Z45126" s="372">
        <v>0.0</v>
      </c>
    </row>
    <row r="45127">
      <c r="Y45127" s="372">
        <v>0.0</v>
      </c>
      <c r="Z45127" s="372">
        <v>0.0</v>
      </c>
    </row>
    <row r="45128">
      <c r="Y45128" s="372">
        <v>0.0</v>
      </c>
      <c r="Z45128" s="372">
        <v>0.0</v>
      </c>
    </row>
    <row r="45129">
      <c r="Y45129" s="372">
        <v>0.0</v>
      </c>
      <c r="Z45129" s="372">
        <v>0.0</v>
      </c>
    </row>
    <row r="45130">
      <c r="Y45130" s="372">
        <v>0.0</v>
      </c>
      <c r="Z45130" s="372">
        <v>0.0</v>
      </c>
    </row>
    <row r="45131">
      <c r="Y45131" s="372">
        <v>0.0</v>
      </c>
      <c r="Z45131" s="372">
        <v>0.0</v>
      </c>
    </row>
    <row r="45132">
      <c r="Y45132" s="372">
        <v>0.0</v>
      </c>
      <c r="Z45132" s="372">
        <v>0.0</v>
      </c>
    </row>
    <row r="45133">
      <c r="Y45133" s="372">
        <v>0.0</v>
      </c>
      <c r="Z45133" s="372">
        <v>0.0</v>
      </c>
    </row>
    <row r="45134">
      <c r="Y45134" s="372">
        <v>0.0</v>
      </c>
      <c r="Z45134" s="372">
        <v>0.0</v>
      </c>
    </row>
    <row r="45135">
      <c r="Y45135" s="372">
        <v>0.0</v>
      </c>
      <c r="Z45135" s="372">
        <v>0.0</v>
      </c>
    </row>
    <row r="45136">
      <c r="Y45136" s="372">
        <v>0.0</v>
      </c>
      <c r="Z45136" s="372">
        <v>0.0</v>
      </c>
    </row>
    <row r="45137">
      <c r="Y45137" s="372">
        <v>0.0</v>
      </c>
      <c r="Z45137" s="372">
        <v>0.0</v>
      </c>
    </row>
    <row r="45138">
      <c r="Y45138" s="372">
        <v>0.0</v>
      </c>
      <c r="Z45138" s="372">
        <v>0.0</v>
      </c>
    </row>
    <row r="45139">
      <c r="Y45139" s="372">
        <v>0.0</v>
      </c>
      <c r="Z45139" s="372">
        <v>0.0</v>
      </c>
    </row>
    <row r="45140">
      <c r="Y45140" s="372">
        <v>0.0</v>
      </c>
      <c r="Z45140" s="372">
        <v>0.0</v>
      </c>
    </row>
    <row r="45141">
      <c r="Y45141" s="372">
        <v>0.0</v>
      </c>
      <c r="Z45141" s="372">
        <v>0.0</v>
      </c>
    </row>
    <row r="45142">
      <c r="Y45142" s="372">
        <v>0.0</v>
      </c>
      <c r="Z45142" s="372">
        <v>0.0</v>
      </c>
    </row>
    <row r="45143">
      <c r="Y45143" s="372">
        <v>0.0</v>
      </c>
      <c r="Z45143" s="372">
        <v>0.0</v>
      </c>
    </row>
    <row r="45144">
      <c r="Y45144" s="372">
        <v>0.0</v>
      </c>
      <c r="Z45144" s="372">
        <v>0.0</v>
      </c>
    </row>
    <row r="45145">
      <c r="Y45145" s="372">
        <v>0.0</v>
      </c>
      <c r="Z45145" s="372">
        <v>0.0</v>
      </c>
    </row>
    <row r="45146">
      <c r="Y45146" s="372">
        <v>0.0</v>
      </c>
      <c r="Z45146" s="372">
        <v>0.0</v>
      </c>
    </row>
    <row r="45147">
      <c r="Y45147" s="372">
        <v>0.0</v>
      </c>
      <c r="Z45147" s="372">
        <v>0.0</v>
      </c>
    </row>
    <row r="45148">
      <c r="Y45148" s="372">
        <v>0.0</v>
      </c>
      <c r="Z45148" s="372">
        <v>0.0</v>
      </c>
    </row>
    <row r="45149">
      <c r="Y45149" s="372">
        <v>0.0</v>
      </c>
      <c r="Z45149" s="372">
        <v>0.0</v>
      </c>
    </row>
    <row r="45150">
      <c r="Y45150" s="372">
        <v>0.0</v>
      </c>
      <c r="Z45150" s="372">
        <v>0.0</v>
      </c>
    </row>
    <row r="45151">
      <c r="Y45151" s="372">
        <v>0.0</v>
      </c>
      <c r="Z45151" s="372">
        <v>0.0</v>
      </c>
    </row>
    <row r="45152">
      <c r="Y45152" s="372">
        <v>0.0</v>
      </c>
      <c r="Z45152" s="372">
        <v>0.0</v>
      </c>
    </row>
    <row r="45153">
      <c r="Y45153" s="372">
        <v>0.0</v>
      </c>
      <c r="Z45153" s="372">
        <v>0.0</v>
      </c>
    </row>
    <row r="45154">
      <c r="Y45154" s="372">
        <v>0.0</v>
      </c>
      <c r="Z45154" s="372">
        <v>0.0</v>
      </c>
    </row>
    <row r="45155">
      <c r="Y45155" s="372">
        <v>0.0</v>
      </c>
      <c r="Z45155" s="372">
        <v>0.0</v>
      </c>
    </row>
    <row r="45156">
      <c r="Y45156" s="372">
        <v>0.0</v>
      </c>
      <c r="Z45156" s="372">
        <v>0.0</v>
      </c>
    </row>
    <row r="45157">
      <c r="Y45157" s="372">
        <v>0.0</v>
      </c>
      <c r="Z45157" s="372">
        <v>0.0</v>
      </c>
    </row>
    <row r="45158">
      <c r="Y45158" s="372">
        <v>0.0</v>
      </c>
      <c r="Z45158" s="372">
        <v>0.0</v>
      </c>
    </row>
    <row r="45159">
      <c r="Y45159" s="372">
        <v>0.0</v>
      </c>
      <c r="Z45159" s="372">
        <v>0.0</v>
      </c>
    </row>
    <row r="45160">
      <c r="Y45160" s="372">
        <v>0.0</v>
      </c>
      <c r="Z45160" s="372">
        <v>0.0</v>
      </c>
    </row>
    <row r="45161">
      <c r="Y45161" s="372">
        <v>0.0</v>
      </c>
      <c r="Z45161" s="372">
        <v>0.0</v>
      </c>
    </row>
    <row r="45162">
      <c r="Y45162" s="372">
        <v>0.0</v>
      </c>
      <c r="Z45162" s="372">
        <v>0.0</v>
      </c>
    </row>
    <row r="45163">
      <c r="Y45163" s="372">
        <v>0.0</v>
      </c>
      <c r="Z45163" s="372">
        <v>0.0</v>
      </c>
    </row>
    <row r="45164">
      <c r="Y45164" s="372">
        <v>0.0</v>
      </c>
      <c r="Z45164" s="372">
        <v>0.0</v>
      </c>
    </row>
    <row r="45165">
      <c r="Y45165" s="372">
        <v>0.0</v>
      </c>
      <c r="Z45165" s="372">
        <v>0.0</v>
      </c>
    </row>
    <row r="45166">
      <c r="Y45166" s="372">
        <v>0.0</v>
      </c>
      <c r="Z45166" s="372">
        <v>0.0</v>
      </c>
    </row>
    <row r="45167">
      <c r="Y45167" s="372">
        <v>0.0</v>
      </c>
      <c r="Z45167" s="372">
        <v>0.0</v>
      </c>
    </row>
    <row r="45168">
      <c r="Y45168" s="372">
        <v>0.0</v>
      </c>
      <c r="Z45168" s="372">
        <v>0.0</v>
      </c>
    </row>
    <row r="45169">
      <c r="Y45169" s="372">
        <v>0.0</v>
      </c>
      <c r="Z45169" s="372">
        <v>0.0</v>
      </c>
    </row>
    <row r="45170">
      <c r="Y45170" s="372">
        <v>0.0</v>
      </c>
      <c r="Z45170" s="372">
        <v>0.0</v>
      </c>
    </row>
    <row r="45171">
      <c r="Y45171" s="372">
        <v>0.0</v>
      </c>
      <c r="Z45171" s="372">
        <v>0.0</v>
      </c>
    </row>
    <row r="45172">
      <c r="Y45172" s="372">
        <v>0.0</v>
      </c>
      <c r="Z45172" s="372">
        <v>0.0</v>
      </c>
    </row>
    <row r="45173">
      <c r="Y45173" s="372">
        <v>0.0</v>
      </c>
      <c r="Z45173" s="372">
        <v>0.0</v>
      </c>
    </row>
    <row r="45174">
      <c r="Y45174" s="372">
        <v>0.0</v>
      </c>
      <c r="Z45174" s="372">
        <v>0.0</v>
      </c>
    </row>
    <row r="45175">
      <c r="Y45175" s="372">
        <v>0.0</v>
      </c>
      <c r="Z45175" s="372">
        <v>0.0</v>
      </c>
    </row>
    <row r="45176">
      <c r="Y45176" s="372">
        <v>0.0</v>
      </c>
      <c r="Z45176" s="372">
        <v>0.0</v>
      </c>
    </row>
    <row r="45177">
      <c r="Y45177" s="372">
        <v>0.0</v>
      </c>
      <c r="Z45177" s="372">
        <v>0.0</v>
      </c>
    </row>
    <row r="45178">
      <c r="Y45178" s="372">
        <v>0.0</v>
      </c>
      <c r="Z45178" s="372">
        <v>0.0</v>
      </c>
    </row>
    <row r="45179">
      <c r="Y45179" s="372">
        <v>0.0</v>
      </c>
      <c r="Z45179" s="372">
        <v>0.0</v>
      </c>
    </row>
    <row r="45180">
      <c r="Y45180" s="372">
        <v>0.0</v>
      </c>
      <c r="Z45180" s="372">
        <v>0.0</v>
      </c>
    </row>
    <row r="45181">
      <c r="Y45181" s="372">
        <v>0.0</v>
      </c>
      <c r="Z45181" s="372">
        <v>0.0</v>
      </c>
    </row>
    <row r="45182">
      <c r="Y45182" s="372">
        <v>0.0</v>
      </c>
      <c r="Z45182" s="372">
        <v>0.0</v>
      </c>
    </row>
    <row r="45183">
      <c r="Y45183" s="372">
        <v>0.0</v>
      </c>
      <c r="Z45183" s="372">
        <v>0.0</v>
      </c>
    </row>
    <row r="45184">
      <c r="Y45184" s="372">
        <v>0.0</v>
      </c>
      <c r="Z45184" s="372">
        <v>0.0</v>
      </c>
    </row>
    <row r="45185">
      <c r="Y45185" s="372">
        <v>0.0</v>
      </c>
      <c r="Z45185" s="372">
        <v>0.0</v>
      </c>
    </row>
    <row r="45186">
      <c r="Y45186" s="372">
        <v>0.0</v>
      </c>
      <c r="Z45186" s="372">
        <v>0.0</v>
      </c>
    </row>
    <row r="45187">
      <c r="Y45187" s="372">
        <v>0.0</v>
      </c>
      <c r="Z45187" s="372">
        <v>0.0</v>
      </c>
    </row>
    <row r="45188">
      <c r="Y45188" s="372">
        <v>0.0</v>
      </c>
      <c r="Z45188" s="372">
        <v>0.0</v>
      </c>
    </row>
    <row r="45189">
      <c r="Y45189" s="372">
        <v>0.0</v>
      </c>
      <c r="Z45189" s="372">
        <v>0.0</v>
      </c>
    </row>
    <row r="45190">
      <c r="Y45190" s="372">
        <v>0.0</v>
      </c>
      <c r="Z45190" s="372">
        <v>0.0</v>
      </c>
    </row>
    <row r="45191">
      <c r="Y45191" s="372">
        <v>0.0</v>
      </c>
      <c r="Z45191" s="372">
        <v>0.0</v>
      </c>
    </row>
    <row r="45192">
      <c r="Y45192" s="372">
        <v>0.0</v>
      </c>
      <c r="Z45192" s="372">
        <v>0.0</v>
      </c>
    </row>
    <row r="45193">
      <c r="Y45193" s="372">
        <v>0.0</v>
      </c>
      <c r="Z45193" s="372">
        <v>0.0</v>
      </c>
    </row>
    <row r="45194">
      <c r="Y45194" s="372">
        <v>0.0</v>
      </c>
      <c r="Z45194" s="372">
        <v>0.0</v>
      </c>
    </row>
    <row r="45195">
      <c r="Y45195" s="372">
        <v>0.0</v>
      </c>
      <c r="Z45195" s="372">
        <v>0.0</v>
      </c>
    </row>
    <row r="45196">
      <c r="Y45196" s="372">
        <v>0.0</v>
      </c>
      <c r="Z45196" s="372">
        <v>0.0</v>
      </c>
    </row>
    <row r="45197">
      <c r="Y45197" s="372">
        <v>0.0</v>
      </c>
      <c r="Z45197" s="372">
        <v>0.0</v>
      </c>
    </row>
    <row r="45198">
      <c r="Y45198" s="372">
        <v>0.0</v>
      </c>
      <c r="Z45198" s="372">
        <v>0.0</v>
      </c>
    </row>
    <row r="45199">
      <c r="Y45199" s="372">
        <v>0.0</v>
      </c>
      <c r="Z45199" s="372">
        <v>0.0</v>
      </c>
    </row>
    <row r="45200">
      <c r="Y45200" s="372">
        <v>0.0</v>
      </c>
      <c r="Z45200" s="372">
        <v>0.0</v>
      </c>
    </row>
    <row r="45201">
      <c r="Y45201" s="372">
        <v>0.0</v>
      </c>
      <c r="Z45201" s="372">
        <v>0.0</v>
      </c>
    </row>
    <row r="45202">
      <c r="Y45202" s="372">
        <v>0.0</v>
      </c>
      <c r="Z45202" s="372">
        <v>0.0</v>
      </c>
    </row>
    <row r="45203">
      <c r="Y45203" s="372">
        <v>0.0</v>
      </c>
      <c r="Z45203" s="372">
        <v>0.0</v>
      </c>
    </row>
    <row r="45204">
      <c r="Y45204" s="372">
        <v>0.0</v>
      </c>
      <c r="Z45204" s="372">
        <v>0.0</v>
      </c>
    </row>
    <row r="45205">
      <c r="Y45205" s="372">
        <v>0.0</v>
      </c>
      <c r="Z45205" s="372">
        <v>0.0</v>
      </c>
    </row>
    <row r="45206">
      <c r="Y45206" s="372">
        <v>0.0</v>
      </c>
      <c r="Z45206" s="372">
        <v>0.0</v>
      </c>
    </row>
    <row r="45207">
      <c r="Y45207" s="372">
        <v>0.0</v>
      </c>
      <c r="Z45207" s="372">
        <v>0.0</v>
      </c>
    </row>
    <row r="45208">
      <c r="Y45208" s="372">
        <v>0.0</v>
      </c>
      <c r="Z45208" s="372">
        <v>0.0</v>
      </c>
    </row>
    <row r="45209">
      <c r="Y45209" s="372">
        <v>0.0</v>
      </c>
      <c r="Z45209" s="372">
        <v>0.0</v>
      </c>
    </row>
    <row r="45210">
      <c r="Y45210" s="372">
        <v>0.0</v>
      </c>
      <c r="Z45210" s="372">
        <v>0.0</v>
      </c>
    </row>
    <row r="45211">
      <c r="Y45211" s="372">
        <v>0.0</v>
      </c>
      <c r="Z45211" s="372">
        <v>0.0</v>
      </c>
    </row>
    <row r="45212">
      <c r="Y45212" s="372">
        <v>0.0</v>
      </c>
      <c r="Z45212" s="372">
        <v>0.0</v>
      </c>
    </row>
    <row r="45213">
      <c r="Y45213" s="372">
        <v>0.0</v>
      </c>
      <c r="Z45213" s="372">
        <v>0.0</v>
      </c>
    </row>
    <row r="45214">
      <c r="Y45214" s="372">
        <v>0.0</v>
      </c>
      <c r="Z45214" s="372">
        <v>0.0</v>
      </c>
    </row>
    <row r="45215">
      <c r="Y45215" s="372">
        <v>0.0</v>
      </c>
      <c r="Z45215" s="372">
        <v>0.0</v>
      </c>
    </row>
    <row r="45216">
      <c r="Y45216" s="372">
        <v>0.0</v>
      </c>
      <c r="Z45216" s="372">
        <v>0.0</v>
      </c>
    </row>
    <row r="45217">
      <c r="Y45217" s="372">
        <v>0.0</v>
      </c>
      <c r="Z45217" s="372">
        <v>0.0</v>
      </c>
    </row>
    <row r="45218">
      <c r="Y45218" s="372">
        <v>0.0</v>
      </c>
      <c r="Z45218" s="372">
        <v>0.0</v>
      </c>
    </row>
    <row r="45219">
      <c r="Y45219" s="372">
        <v>0.0</v>
      </c>
      <c r="Z45219" s="372">
        <v>0.0</v>
      </c>
    </row>
    <row r="45220">
      <c r="Y45220" s="372">
        <v>0.0</v>
      </c>
      <c r="Z45220" s="372">
        <v>0.0</v>
      </c>
    </row>
    <row r="45221">
      <c r="Y45221" s="372">
        <v>0.0</v>
      </c>
      <c r="Z45221" s="372">
        <v>0.0</v>
      </c>
    </row>
    <row r="45222">
      <c r="Y45222" s="372">
        <v>0.0</v>
      </c>
      <c r="Z45222" s="372">
        <v>0.0</v>
      </c>
    </row>
    <row r="45223">
      <c r="Y45223" s="372">
        <v>0.0</v>
      </c>
      <c r="Z45223" s="372">
        <v>0.0</v>
      </c>
    </row>
    <row r="45224">
      <c r="Y45224" s="372">
        <v>0.0</v>
      </c>
      <c r="Z45224" s="372">
        <v>0.0</v>
      </c>
    </row>
    <row r="45225">
      <c r="Y45225" s="372">
        <v>0.0</v>
      </c>
      <c r="Z45225" s="372">
        <v>0.0</v>
      </c>
    </row>
    <row r="45226">
      <c r="Y45226" s="372">
        <v>0.0</v>
      </c>
      <c r="Z45226" s="372">
        <v>0.0</v>
      </c>
    </row>
    <row r="45227">
      <c r="Y45227" s="372">
        <v>0.0</v>
      </c>
      <c r="Z45227" s="372">
        <v>0.0</v>
      </c>
    </row>
    <row r="45228">
      <c r="Y45228" s="372">
        <v>0.0</v>
      </c>
      <c r="Z45228" s="372">
        <v>0.0</v>
      </c>
    </row>
    <row r="45229">
      <c r="Y45229" s="372">
        <v>0.0</v>
      </c>
      <c r="Z45229" s="372">
        <v>0.0</v>
      </c>
    </row>
    <row r="45230">
      <c r="Y45230" s="372">
        <v>0.0</v>
      </c>
      <c r="Z45230" s="372">
        <v>0.0</v>
      </c>
    </row>
    <row r="45231">
      <c r="Y45231" s="372">
        <v>0.0</v>
      </c>
      <c r="Z45231" s="372">
        <v>0.0</v>
      </c>
    </row>
    <row r="45232">
      <c r="Y45232" s="372">
        <v>0.0</v>
      </c>
      <c r="Z45232" s="372">
        <v>0.0</v>
      </c>
    </row>
    <row r="45233">
      <c r="Y45233" s="372">
        <v>0.0</v>
      </c>
      <c r="Z45233" s="372">
        <v>0.0</v>
      </c>
    </row>
    <row r="45234">
      <c r="Y45234" s="372">
        <v>0.0</v>
      </c>
      <c r="Z45234" s="372">
        <v>0.0</v>
      </c>
    </row>
    <row r="45235">
      <c r="Y45235" s="372">
        <v>0.0</v>
      </c>
      <c r="Z45235" s="372">
        <v>0.0</v>
      </c>
    </row>
    <row r="45236">
      <c r="Y45236" s="372">
        <v>0.0</v>
      </c>
      <c r="Z45236" s="372">
        <v>0.0</v>
      </c>
    </row>
    <row r="45237">
      <c r="Y45237" s="372">
        <v>0.0</v>
      </c>
      <c r="Z45237" s="372">
        <v>0.0</v>
      </c>
    </row>
    <row r="45238">
      <c r="Y45238" s="372">
        <v>0.0</v>
      </c>
      <c r="Z45238" s="372">
        <v>0.0</v>
      </c>
    </row>
    <row r="45239">
      <c r="Y45239" s="372">
        <v>0.0</v>
      </c>
      <c r="Z45239" s="372">
        <v>0.0</v>
      </c>
    </row>
    <row r="45240">
      <c r="Y45240" s="372">
        <v>0.0</v>
      </c>
      <c r="Z45240" s="372">
        <v>0.0</v>
      </c>
    </row>
    <row r="45241">
      <c r="Y45241" s="372">
        <v>0.0</v>
      </c>
      <c r="Z45241" s="372">
        <v>0.0</v>
      </c>
    </row>
    <row r="45242">
      <c r="Y45242" s="372">
        <v>0.0</v>
      </c>
      <c r="Z45242" s="372">
        <v>0.0</v>
      </c>
    </row>
    <row r="45243">
      <c r="Y45243" s="372">
        <v>0.0</v>
      </c>
      <c r="Z45243" s="372">
        <v>0.0</v>
      </c>
    </row>
    <row r="45244">
      <c r="Y45244" s="372">
        <v>0.0</v>
      </c>
      <c r="Z45244" s="372">
        <v>0.0</v>
      </c>
    </row>
    <row r="45245">
      <c r="Y45245" s="372">
        <v>0.0</v>
      </c>
      <c r="Z45245" s="372">
        <v>0.0</v>
      </c>
    </row>
    <row r="45246">
      <c r="Y45246" s="372">
        <v>0.0</v>
      </c>
      <c r="Z45246" s="372">
        <v>0.0</v>
      </c>
    </row>
    <row r="45247">
      <c r="Y45247" s="372">
        <v>0.0</v>
      </c>
      <c r="Z45247" s="372">
        <v>0.0</v>
      </c>
    </row>
    <row r="45248">
      <c r="Y45248" s="372">
        <v>0.0</v>
      </c>
      <c r="Z45248" s="372">
        <v>0.0</v>
      </c>
    </row>
    <row r="45249">
      <c r="Y45249" s="372">
        <v>0.0</v>
      </c>
      <c r="Z45249" s="372">
        <v>0.0</v>
      </c>
    </row>
    <row r="45250">
      <c r="Y45250" s="372">
        <v>0.0</v>
      </c>
      <c r="Z45250" s="372">
        <v>0.0</v>
      </c>
    </row>
    <row r="45251">
      <c r="Y45251" s="372">
        <v>0.0</v>
      </c>
      <c r="Z45251" s="372">
        <v>0.0</v>
      </c>
    </row>
    <row r="45252">
      <c r="Y45252" s="372">
        <v>0.0</v>
      </c>
      <c r="Z45252" s="372">
        <v>0.0</v>
      </c>
    </row>
    <row r="45253">
      <c r="Y45253" s="372">
        <v>0.0</v>
      </c>
      <c r="Z45253" s="372">
        <v>0.0</v>
      </c>
    </row>
    <row r="45254">
      <c r="Y45254" s="372">
        <v>0.0</v>
      </c>
      <c r="Z45254" s="372">
        <v>0.0</v>
      </c>
    </row>
    <row r="45255">
      <c r="Y45255" s="372">
        <v>0.0</v>
      </c>
      <c r="Z45255" s="372">
        <v>0.0</v>
      </c>
    </row>
    <row r="45256">
      <c r="Y45256" s="372">
        <v>0.0</v>
      </c>
      <c r="Z45256" s="372">
        <v>0.0</v>
      </c>
    </row>
    <row r="45257">
      <c r="Y45257" s="372">
        <v>0.0</v>
      </c>
      <c r="Z45257" s="372">
        <v>0.0</v>
      </c>
    </row>
    <row r="45258">
      <c r="Y45258" s="372">
        <v>0.0</v>
      </c>
      <c r="Z45258" s="372">
        <v>0.0</v>
      </c>
    </row>
    <row r="45259">
      <c r="Y45259" s="372">
        <v>0.0</v>
      </c>
      <c r="Z45259" s="372">
        <v>0.0</v>
      </c>
    </row>
    <row r="45260">
      <c r="Y45260" s="372">
        <v>0.0</v>
      </c>
      <c r="Z45260" s="372">
        <v>0.0</v>
      </c>
    </row>
    <row r="45261">
      <c r="Y45261" s="372">
        <v>0.0</v>
      </c>
      <c r="Z45261" s="372">
        <v>0.0</v>
      </c>
    </row>
    <row r="45262">
      <c r="Y45262" s="372">
        <v>0.0</v>
      </c>
      <c r="Z45262" s="372">
        <v>0.0</v>
      </c>
    </row>
    <row r="45263">
      <c r="Y45263" s="372">
        <v>0.0</v>
      </c>
      <c r="Z45263" s="372">
        <v>0.0</v>
      </c>
    </row>
    <row r="45264">
      <c r="Y45264" s="372">
        <v>0.0</v>
      </c>
      <c r="Z45264" s="372">
        <v>0.0</v>
      </c>
    </row>
    <row r="45265">
      <c r="Y45265" s="372">
        <v>0.0</v>
      </c>
      <c r="Z45265" s="372">
        <v>0.0</v>
      </c>
    </row>
    <row r="45266">
      <c r="Y45266" s="372">
        <v>0.0</v>
      </c>
      <c r="Z45266" s="372">
        <v>0.0</v>
      </c>
    </row>
    <row r="45267">
      <c r="Y45267" s="372">
        <v>0.0</v>
      </c>
      <c r="Z45267" s="372">
        <v>0.0</v>
      </c>
    </row>
    <row r="45268">
      <c r="Y45268" s="372">
        <v>0.0</v>
      </c>
      <c r="Z45268" s="372">
        <v>0.0</v>
      </c>
    </row>
    <row r="45269">
      <c r="Y45269" s="372">
        <v>0.0</v>
      </c>
      <c r="Z45269" s="372">
        <v>0.0</v>
      </c>
    </row>
    <row r="45270">
      <c r="Y45270" s="372">
        <v>0.0</v>
      </c>
      <c r="Z45270" s="372">
        <v>0.0</v>
      </c>
    </row>
    <row r="45271">
      <c r="Y45271" s="372">
        <v>0.0</v>
      </c>
      <c r="Z45271" s="372">
        <v>0.0</v>
      </c>
    </row>
    <row r="45272">
      <c r="Y45272" s="372">
        <v>0.0</v>
      </c>
      <c r="Z45272" s="372">
        <v>0.0</v>
      </c>
    </row>
    <row r="45273">
      <c r="Y45273" s="372">
        <v>0.0</v>
      </c>
      <c r="Z45273" s="372">
        <v>0.0</v>
      </c>
    </row>
    <row r="45274">
      <c r="Y45274" s="372">
        <v>0.0</v>
      </c>
      <c r="Z45274" s="372">
        <v>0.0</v>
      </c>
    </row>
    <row r="45275">
      <c r="Y45275" s="372">
        <v>0.0</v>
      </c>
      <c r="Z45275" s="372">
        <v>0.0</v>
      </c>
    </row>
    <row r="45276">
      <c r="Y45276" s="372">
        <v>0.0</v>
      </c>
      <c r="Z45276" s="372">
        <v>0.0</v>
      </c>
    </row>
    <row r="45277">
      <c r="Y45277" s="372">
        <v>0.0</v>
      </c>
      <c r="Z45277" s="372">
        <v>0.0</v>
      </c>
    </row>
    <row r="45278">
      <c r="Y45278" s="372">
        <v>0.0</v>
      </c>
      <c r="Z45278" s="372">
        <v>0.0</v>
      </c>
    </row>
    <row r="45279">
      <c r="Y45279" s="372">
        <v>0.0</v>
      </c>
      <c r="Z45279" s="372">
        <v>0.0</v>
      </c>
    </row>
    <row r="45280">
      <c r="Y45280" s="372">
        <v>0.0</v>
      </c>
      <c r="Z45280" s="372">
        <v>0.0</v>
      </c>
    </row>
    <row r="45281">
      <c r="Y45281" s="372">
        <v>0.0</v>
      </c>
      <c r="Z45281" s="372">
        <v>0.0</v>
      </c>
    </row>
    <row r="45282">
      <c r="Y45282" s="372">
        <v>0.0</v>
      </c>
      <c r="Z45282" s="372">
        <v>0.0</v>
      </c>
    </row>
    <row r="45283">
      <c r="Y45283" s="372">
        <v>0.0</v>
      </c>
      <c r="Z45283" s="372">
        <v>0.0</v>
      </c>
    </row>
    <row r="45284">
      <c r="Y45284" s="372">
        <v>0.0</v>
      </c>
      <c r="Z45284" s="372">
        <v>0.0</v>
      </c>
    </row>
    <row r="45285">
      <c r="Y45285" s="372">
        <v>0.0</v>
      </c>
      <c r="Z45285" s="372">
        <v>0.0</v>
      </c>
    </row>
    <row r="45286">
      <c r="Y45286" s="372">
        <v>0.0</v>
      </c>
      <c r="Z45286" s="372">
        <v>0.0</v>
      </c>
    </row>
    <row r="45287">
      <c r="Y45287" s="372">
        <v>0.0</v>
      </c>
      <c r="Z45287" s="372">
        <v>0.0</v>
      </c>
    </row>
    <row r="45288">
      <c r="Y45288" s="372">
        <v>0.0</v>
      </c>
      <c r="Z45288" s="372">
        <v>0.0</v>
      </c>
    </row>
    <row r="45289">
      <c r="Y45289" s="372">
        <v>0.0</v>
      </c>
      <c r="Z45289" s="372">
        <v>0.0</v>
      </c>
    </row>
    <row r="45290">
      <c r="Y45290" s="372">
        <v>0.0</v>
      </c>
      <c r="Z45290" s="372">
        <v>0.0</v>
      </c>
    </row>
    <row r="45291">
      <c r="Y45291" s="372">
        <v>0.0</v>
      </c>
      <c r="Z45291" s="372">
        <v>0.0</v>
      </c>
    </row>
    <row r="45292">
      <c r="Y45292" s="372">
        <v>0.0</v>
      </c>
      <c r="Z45292" s="372">
        <v>0.0</v>
      </c>
    </row>
    <row r="45293">
      <c r="Y45293" s="372">
        <v>0.0</v>
      </c>
      <c r="Z45293" s="372">
        <v>0.0</v>
      </c>
    </row>
    <row r="45294">
      <c r="Y45294" s="372">
        <v>0.0</v>
      </c>
      <c r="Z45294" s="372">
        <v>0.0</v>
      </c>
    </row>
    <row r="45295">
      <c r="Y45295" s="372">
        <v>0.0</v>
      </c>
      <c r="Z45295" s="372">
        <v>0.0</v>
      </c>
    </row>
    <row r="45296">
      <c r="Y45296" s="372">
        <v>0.0</v>
      </c>
      <c r="Z45296" s="372">
        <v>0.0</v>
      </c>
    </row>
    <row r="45297">
      <c r="Y45297" s="372">
        <v>0.0</v>
      </c>
      <c r="Z45297" s="372">
        <v>0.0</v>
      </c>
    </row>
    <row r="45298">
      <c r="Y45298" s="372">
        <v>0.0</v>
      </c>
      <c r="Z45298" s="372">
        <v>0.0</v>
      </c>
    </row>
    <row r="45299">
      <c r="Y45299" s="372">
        <v>0.0</v>
      </c>
      <c r="Z45299" s="372">
        <v>0.0</v>
      </c>
    </row>
    <row r="45300">
      <c r="Y45300" s="372">
        <v>0.0</v>
      </c>
      <c r="Z45300" s="372">
        <v>0.0</v>
      </c>
    </row>
    <row r="45301">
      <c r="Y45301" s="372">
        <v>0.0</v>
      </c>
      <c r="Z45301" s="372">
        <v>0.0</v>
      </c>
    </row>
    <row r="45302">
      <c r="Y45302" s="372">
        <v>0.0</v>
      </c>
      <c r="Z45302" s="372">
        <v>0.0</v>
      </c>
    </row>
    <row r="45303">
      <c r="Y45303" s="372">
        <v>0.0</v>
      </c>
      <c r="Z45303" s="372">
        <v>0.0</v>
      </c>
    </row>
    <row r="45304">
      <c r="Y45304" s="372">
        <v>0.0</v>
      </c>
      <c r="Z45304" s="372">
        <v>0.0</v>
      </c>
    </row>
    <row r="45305">
      <c r="Y45305" s="372">
        <v>0.0</v>
      </c>
      <c r="Z45305" s="372">
        <v>0.0</v>
      </c>
    </row>
    <row r="45306">
      <c r="Y45306" s="372">
        <v>0.0</v>
      </c>
      <c r="Z45306" s="372">
        <v>0.0</v>
      </c>
    </row>
    <row r="45307">
      <c r="Y45307" s="372">
        <v>0.0</v>
      </c>
      <c r="Z45307" s="372">
        <v>0.0</v>
      </c>
    </row>
    <row r="45308">
      <c r="Y45308" s="372">
        <v>0.0</v>
      </c>
      <c r="Z45308" s="372">
        <v>0.0</v>
      </c>
    </row>
    <row r="45309">
      <c r="Y45309" s="372">
        <v>0.0</v>
      </c>
      <c r="Z45309" s="372">
        <v>0.0</v>
      </c>
    </row>
    <row r="45310">
      <c r="Y45310" s="372">
        <v>0.0</v>
      </c>
      <c r="Z45310" s="372">
        <v>0.0</v>
      </c>
    </row>
    <row r="45311">
      <c r="Y45311" s="372">
        <v>0.0</v>
      </c>
      <c r="Z45311" s="372">
        <v>0.0</v>
      </c>
    </row>
    <row r="45312">
      <c r="Y45312" s="372">
        <v>0.0</v>
      </c>
      <c r="Z45312" s="372">
        <v>0.0</v>
      </c>
    </row>
    <row r="45313">
      <c r="Y45313" s="372">
        <v>0.0</v>
      </c>
      <c r="Z45313" s="372">
        <v>0.0</v>
      </c>
    </row>
    <row r="45314">
      <c r="Y45314" s="372">
        <v>0.0</v>
      </c>
      <c r="Z45314" s="372">
        <v>0.0</v>
      </c>
    </row>
    <row r="45315">
      <c r="Y45315" s="372">
        <v>0.0</v>
      </c>
      <c r="Z45315" s="372">
        <v>0.0</v>
      </c>
    </row>
    <row r="45316">
      <c r="Y45316" s="372">
        <v>0.0</v>
      </c>
      <c r="Z45316" s="372">
        <v>0.0</v>
      </c>
    </row>
    <row r="45317">
      <c r="Y45317" s="372">
        <v>0.0</v>
      </c>
      <c r="Z45317" s="372">
        <v>0.0</v>
      </c>
    </row>
    <row r="45318">
      <c r="Y45318" s="372">
        <v>0.0</v>
      </c>
      <c r="Z45318" s="372">
        <v>0.0</v>
      </c>
    </row>
    <row r="45319">
      <c r="Y45319" s="372">
        <v>0.0</v>
      </c>
      <c r="Z45319" s="372">
        <v>0.0</v>
      </c>
    </row>
    <row r="45320">
      <c r="Y45320" s="372">
        <v>0.0</v>
      </c>
      <c r="Z45320" s="372">
        <v>0.0</v>
      </c>
    </row>
    <row r="45321">
      <c r="Y45321" s="372">
        <v>0.0</v>
      </c>
      <c r="Z45321" s="372">
        <v>0.0</v>
      </c>
    </row>
    <row r="45322">
      <c r="Y45322" s="372">
        <v>0.0</v>
      </c>
      <c r="Z45322" s="372">
        <v>0.0</v>
      </c>
    </row>
    <row r="45323">
      <c r="Y45323" s="372">
        <v>0.0</v>
      </c>
      <c r="Z45323" s="372">
        <v>0.0</v>
      </c>
    </row>
    <row r="45324">
      <c r="Y45324" s="372">
        <v>0.0</v>
      </c>
      <c r="Z45324" s="372">
        <v>0.0</v>
      </c>
    </row>
    <row r="45325">
      <c r="Y45325" s="372">
        <v>0.0</v>
      </c>
      <c r="Z45325" s="372">
        <v>0.0</v>
      </c>
    </row>
    <row r="45326">
      <c r="Y45326" s="372">
        <v>0.0</v>
      </c>
      <c r="Z45326" s="372">
        <v>0.0</v>
      </c>
    </row>
    <row r="45327">
      <c r="Y45327" s="372">
        <v>0.0</v>
      </c>
      <c r="Z45327" s="372">
        <v>0.0</v>
      </c>
    </row>
    <row r="45328">
      <c r="Y45328" s="372">
        <v>0.0</v>
      </c>
      <c r="Z45328" s="372">
        <v>0.0</v>
      </c>
    </row>
    <row r="45329">
      <c r="Y45329" s="372">
        <v>0.0</v>
      </c>
      <c r="Z45329" s="372">
        <v>0.0</v>
      </c>
    </row>
    <row r="45330">
      <c r="Y45330" s="372">
        <v>0.0</v>
      </c>
      <c r="Z45330" s="372">
        <v>0.0</v>
      </c>
    </row>
    <row r="45331">
      <c r="Y45331" s="372">
        <v>0.0</v>
      </c>
      <c r="Z45331" s="372">
        <v>0.0</v>
      </c>
    </row>
    <row r="45332">
      <c r="Y45332" s="372">
        <v>0.0</v>
      </c>
      <c r="Z45332" s="372">
        <v>0.0</v>
      </c>
    </row>
    <row r="45333">
      <c r="Y45333" s="372">
        <v>0.0</v>
      </c>
      <c r="Z45333" s="372">
        <v>0.0</v>
      </c>
    </row>
    <row r="45334">
      <c r="Y45334" s="372">
        <v>0.0</v>
      </c>
      <c r="Z45334" s="372">
        <v>0.0</v>
      </c>
    </row>
    <row r="45335">
      <c r="Y45335" s="372">
        <v>0.0</v>
      </c>
      <c r="Z45335" s="372">
        <v>0.0</v>
      </c>
    </row>
    <row r="45336">
      <c r="Y45336" s="372">
        <v>0.0</v>
      </c>
      <c r="Z45336" s="372">
        <v>0.0</v>
      </c>
    </row>
    <row r="45337">
      <c r="Y45337" s="372">
        <v>0.0</v>
      </c>
      <c r="Z45337" s="372">
        <v>0.0</v>
      </c>
    </row>
    <row r="45338">
      <c r="Y45338" s="372">
        <v>0.0</v>
      </c>
      <c r="Z45338" s="372">
        <v>0.0</v>
      </c>
    </row>
    <row r="45339">
      <c r="Y45339" s="372">
        <v>0.0</v>
      </c>
      <c r="Z45339" s="372">
        <v>0.0</v>
      </c>
    </row>
    <row r="45340">
      <c r="Y45340" s="372">
        <v>0.0</v>
      </c>
      <c r="Z45340" s="372">
        <v>0.0</v>
      </c>
    </row>
    <row r="45341">
      <c r="Y45341" s="372">
        <v>0.0</v>
      </c>
      <c r="Z45341" s="372">
        <v>0.0</v>
      </c>
    </row>
    <row r="45342">
      <c r="Y45342" s="372">
        <v>0.0</v>
      </c>
      <c r="Z45342" s="372">
        <v>0.0</v>
      </c>
    </row>
    <row r="45343">
      <c r="Y45343" s="372">
        <v>0.0</v>
      </c>
      <c r="Z45343" s="372">
        <v>0.0</v>
      </c>
    </row>
    <row r="45344">
      <c r="Y45344" s="372">
        <v>0.0</v>
      </c>
      <c r="Z45344" s="372">
        <v>0.0</v>
      </c>
    </row>
    <row r="45345">
      <c r="Y45345" s="372">
        <v>0.0</v>
      </c>
      <c r="Z45345" s="372">
        <v>0.0</v>
      </c>
    </row>
    <row r="45346">
      <c r="Y45346" s="372">
        <v>0.0</v>
      </c>
      <c r="Z45346" s="372">
        <v>0.0</v>
      </c>
    </row>
    <row r="45347">
      <c r="Y45347" s="372">
        <v>0.0</v>
      </c>
      <c r="Z45347" s="372">
        <v>0.0</v>
      </c>
    </row>
    <row r="45348">
      <c r="Y45348" s="372">
        <v>0.0</v>
      </c>
      <c r="Z45348" s="372">
        <v>0.0</v>
      </c>
    </row>
    <row r="45349">
      <c r="Y45349" s="372">
        <v>0.0</v>
      </c>
      <c r="Z45349" s="372">
        <v>0.0</v>
      </c>
    </row>
    <row r="45350">
      <c r="Y45350" s="372">
        <v>0.0</v>
      </c>
      <c r="Z45350" s="372">
        <v>0.0</v>
      </c>
    </row>
    <row r="45351">
      <c r="Y45351" s="372">
        <v>0.0</v>
      </c>
      <c r="Z45351" s="372">
        <v>0.0</v>
      </c>
    </row>
    <row r="45352">
      <c r="Y45352" s="372">
        <v>0.0</v>
      </c>
      <c r="Z45352" s="372">
        <v>0.0</v>
      </c>
    </row>
    <row r="45353">
      <c r="Y45353" s="372">
        <v>0.0</v>
      </c>
      <c r="Z45353" s="372">
        <v>0.0</v>
      </c>
    </row>
    <row r="45354">
      <c r="Y45354" s="372">
        <v>0.0</v>
      </c>
      <c r="Z45354" s="372">
        <v>0.0</v>
      </c>
    </row>
    <row r="45355">
      <c r="Y45355" s="372">
        <v>0.0</v>
      </c>
      <c r="Z45355" s="372">
        <v>0.0</v>
      </c>
    </row>
    <row r="45356">
      <c r="Y45356" s="372">
        <v>0.0</v>
      </c>
      <c r="Z45356" s="372">
        <v>0.0</v>
      </c>
    </row>
    <row r="45357">
      <c r="Y45357" s="372">
        <v>0.0</v>
      </c>
      <c r="Z45357" s="372">
        <v>0.0</v>
      </c>
    </row>
    <row r="45358">
      <c r="Y45358" s="372">
        <v>0.0</v>
      </c>
      <c r="Z45358" s="372">
        <v>0.0</v>
      </c>
    </row>
    <row r="45359">
      <c r="Y45359" s="372">
        <v>0.0</v>
      </c>
      <c r="Z45359" s="372">
        <v>0.0</v>
      </c>
    </row>
    <row r="45360">
      <c r="Y45360" s="372">
        <v>0.0</v>
      </c>
      <c r="Z45360" s="372">
        <v>0.0</v>
      </c>
    </row>
    <row r="45361">
      <c r="Y45361" s="372">
        <v>0.0</v>
      </c>
      <c r="Z45361" s="372">
        <v>0.0</v>
      </c>
    </row>
    <row r="45362">
      <c r="Y45362" s="372">
        <v>0.0</v>
      </c>
      <c r="Z45362" s="372">
        <v>0.0</v>
      </c>
    </row>
    <row r="45363">
      <c r="Y45363" s="372">
        <v>0.0</v>
      </c>
      <c r="Z45363" s="372">
        <v>0.0</v>
      </c>
    </row>
    <row r="45364">
      <c r="Y45364" s="372">
        <v>0.0</v>
      </c>
      <c r="Z45364" s="372">
        <v>0.0</v>
      </c>
    </row>
    <row r="45365">
      <c r="Y45365" s="372">
        <v>0.0</v>
      </c>
      <c r="Z45365" s="372">
        <v>0.0</v>
      </c>
    </row>
    <row r="45366">
      <c r="Y45366" s="372">
        <v>0.0</v>
      </c>
      <c r="Z45366" s="372">
        <v>0.0</v>
      </c>
    </row>
    <row r="45367">
      <c r="Y45367" s="372">
        <v>0.0</v>
      </c>
      <c r="Z45367" s="372">
        <v>0.0</v>
      </c>
    </row>
    <row r="45368">
      <c r="Y45368" s="372">
        <v>0.0</v>
      </c>
      <c r="Z45368" s="372">
        <v>0.0</v>
      </c>
    </row>
    <row r="45369">
      <c r="Y45369" s="372">
        <v>0.0</v>
      </c>
      <c r="Z45369" s="372">
        <v>0.0</v>
      </c>
    </row>
    <row r="45370">
      <c r="Y45370" s="372">
        <v>0.0</v>
      </c>
      <c r="Z45370" s="372">
        <v>0.0</v>
      </c>
    </row>
    <row r="45371">
      <c r="Y45371" s="372">
        <v>0.0</v>
      </c>
      <c r="Z45371" s="372">
        <v>0.0</v>
      </c>
    </row>
    <row r="45372">
      <c r="Y45372" s="372">
        <v>0.0</v>
      </c>
      <c r="Z45372" s="372">
        <v>0.0</v>
      </c>
    </row>
    <row r="45373">
      <c r="Y45373" s="372">
        <v>0.0</v>
      </c>
      <c r="Z45373" s="372">
        <v>0.0</v>
      </c>
    </row>
    <row r="45374">
      <c r="Y45374" s="372">
        <v>0.0</v>
      </c>
      <c r="Z45374" s="372">
        <v>0.0</v>
      </c>
    </row>
    <row r="45375">
      <c r="Y45375" s="372">
        <v>0.0</v>
      </c>
      <c r="Z45375" s="372">
        <v>0.0</v>
      </c>
    </row>
    <row r="45376">
      <c r="Y45376" s="372">
        <v>0.0</v>
      </c>
      <c r="Z45376" s="372">
        <v>0.0</v>
      </c>
    </row>
    <row r="45377">
      <c r="Y45377" s="372">
        <v>0.0</v>
      </c>
      <c r="Z45377" s="372">
        <v>0.0</v>
      </c>
    </row>
    <row r="45378">
      <c r="Y45378" s="372">
        <v>0.0</v>
      </c>
      <c r="Z45378" s="372">
        <v>0.0</v>
      </c>
    </row>
    <row r="45379">
      <c r="Y45379" s="372">
        <v>0.0</v>
      </c>
      <c r="Z45379" s="372">
        <v>0.0</v>
      </c>
    </row>
    <row r="45380">
      <c r="Y45380" s="372">
        <v>0.0</v>
      </c>
      <c r="Z45380" s="372">
        <v>0.0</v>
      </c>
    </row>
    <row r="45381">
      <c r="Y45381" s="372">
        <v>0.0</v>
      </c>
      <c r="Z45381" s="372">
        <v>0.0</v>
      </c>
    </row>
    <row r="45382">
      <c r="Y45382" s="372">
        <v>0.0</v>
      </c>
      <c r="Z45382" s="372">
        <v>0.0</v>
      </c>
    </row>
    <row r="45383">
      <c r="Y45383" s="372">
        <v>0.0</v>
      </c>
      <c r="Z45383" s="372">
        <v>0.0</v>
      </c>
    </row>
    <row r="45384">
      <c r="Y45384" s="372">
        <v>0.0</v>
      </c>
      <c r="Z45384" s="372">
        <v>0.0</v>
      </c>
    </row>
    <row r="45385">
      <c r="Y45385" s="372">
        <v>0.0</v>
      </c>
      <c r="Z45385" s="372">
        <v>0.0</v>
      </c>
    </row>
    <row r="45386">
      <c r="Y45386" s="372">
        <v>0.0</v>
      </c>
      <c r="Z45386" s="372">
        <v>0.0</v>
      </c>
    </row>
    <row r="45387">
      <c r="Y45387" s="372">
        <v>0.0</v>
      </c>
      <c r="Z45387" s="372">
        <v>0.0</v>
      </c>
    </row>
    <row r="45388">
      <c r="Y45388" s="372">
        <v>0.0</v>
      </c>
      <c r="Z45388" s="372">
        <v>0.0</v>
      </c>
    </row>
    <row r="45389">
      <c r="Y45389" s="372">
        <v>0.0</v>
      </c>
      <c r="Z45389" s="372">
        <v>0.0</v>
      </c>
    </row>
    <row r="45390">
      <c r="Y45390" s="372">
        <v>0.0</v>
      </c>
      <c r="Z45390" s="372">
        <v>0.0</v>
      </c>
    </row>
    <row r="45391">
      <c r="Y45391" s="372">
        <v>0.0</v>
      </c>
      <c r="Z45391" s="372">
        <v>0.0</v>
      </c>
    </row>
    <row r="45392">
      <c r="Y45392" s="372">
        <v>0.0</v>
      </c>
      <c r="Z45392" s="372">
        <v>0.0</v>
      </c>
    </row>
    <row r="45393">
      <c r="Y45393" s="372">
        <v>0.0</v>
      </c>
      <c r="Z45393" s="372">
        <v>0.0</v>
      </c>
    </row>
    <row r="45394">
      <c r="Y45394" s="372">
        <v>0.0</v>
      </c>
      <c r="Z45394" s="372">
        <v>0.0</v>
      </c>
    </row>
    <row r="45395">
      <c r="Y45395" s="372">
        <v>0.0</v>
      </c>
      <c r="Z45395" s="372">
        <v>0.0</v>
      </c>
    </row>
    <row r="45396">
      <c r="Y45396" s="372">
        <v>0.0</v>
      </c>
      <c r="Z45396" s="372">
        <v>0.0</v>
      </c>
    </row>
    <row r="45397">
      <c r="Y45397" s="372">
        <v>0.0</v>
      </c>
      <c r="Z45397" s="372">
        <v>0.0</v>
      </c>
    </row>
    <row r="45398">
      <c r="Y45398" s="372">
        <v>0.0</v>
      </c>
      <c r="Z45398" s="372">
        <v>0.0</v>
      </c>
    </row>
    <row r="45399">
      <c r="Y45399" s="372">
        <v>0.0</v>
      </c>
      <c r="Z45399" s="372">
        <v>0.0</v>
      </c>
    </row>
    <row r="45400">
      <c r="Y45400" s="372">
        <v>0.0</v>
      </c>
      <c r="Z45400" s="372">
        <v>0.0</v>
      </c>
    </row>
    <row r="45401">
      <c r="Y45401" s="372">
        <v>0.0</v>
      </c>
      <c r="Z45401" s="372">
        <v>0.0</v>
      </c>
    </row>
    <row r="45402">
      <c r="Y45402" s="372">
        <v>0.0</v>
      </c>
      <c r="Z45402" s="372">
        <v>0.0</v>
      </c>
    </row>
    <row r="45403">
      <c r="Y45403" s="372">
        <v>0.0</v>
      </c>
      <c r="Z45403" s="372">
        <v>0.0</v>
      </c>
    </row>
    <row r="45404">
      <c r="Y45404" s="372">
        <v>0.0</v>
      </c>
      <c r="Z45404" s="372">
        <v>0.0</v>
      </c>
    </row>
    <row r="45405">
      <c r="Y45405" s="372">
        <v>0.0</v>
      </c>
      <c r="Z45405" s="372">
        <v>0.0</v>
      </c>
    </row>
    <row r="45406">
      <c r="Y45406" s="372">
        <v>0.0</v>
      </c>
      <c r="Z45406" s="372">
        <v>0.0</v>
      </c>
    </row>
    <row r="45407">
      <c r="Y45407" s="372">
        <v>0.0</v>
      </c>
      <c r="Z45407" s="372">
        <v>0.0</v>
      </c>
    </row>
    <row r="45408">
      <c r="Y45408" s="372">
        <v>0.0</v>
      </c>
      <c r="Z45408" s="372">
        <v>0.0</v>
      </c>
    </row>
    <row r="45409">
      <c r="Y45409" s="372">
        <v>0.0</v>
      </c>
      <c r="Z45409" s="372">
        <v>0.0</v>
      </c>
    </row>
    <row r="45410">
      <c r="Y45410" s="372">
        <v>0.0</v>
      </c>
      <c r="Z45410" s="372">
        <v>0.0</v>
      </c>
    </row>
    <row r="45411">
      <c r="Y45411" s="372">
        <v>0.0</v>
      </c>
      <c r="Z45411" s="372">
        <v>0.0</v>
      </c>
    </row>
    <row r="45412">
      <c r="Y45412" s="372">
        <v>0.0</v>
      </c>
      <c r="Z45412" s="372">
        <v>0.0</v>
      </c>
    </row>
    <row r="45413">
      <c r="Y45413" s="372">
        <v>0.0</v>
      </c>
      <c r="Z45413" s="372">
        <v>0.0</v>
      </c>
    </row>
    <row r="45414">
      <c r="Y45414" s="372">
        <v>0.0</v>
      </c>
      <c r="Z45414" s="372">
        <v>0.0</v>
      </c>
    </row>
    <row r="45415">
      <c r="Y45415" s="372">
        <v>0.0</v>
      </c>
      <c r="Z45415" s="372">
        <v>0.0</v>
      </c>
    </row>
    <row r="45416">
      <c r="Y45416" s="372">
        <v>0.0</v>
      </c>
      <c r="Z45416" s="372">
        <v>0.0</v>
      </c>
    </row>
    <row r="45417">
      <c r="Y45417" s="372">
        <v>0.0</v>
      </c>
      <c r="Z45417" s="372">
        <v>0.0</v>
      </c>
    </row>
    <row r="45418">
      <c r="Y45418" s="372">
        <v>0.0</v>
      </c>
      <c r="Z45418" s="372">
        <v>0.0</v>
      </c>
    </row>
    <row r="45419">
      <c r="Y45419" s="372">
        <v>0.0</v>
      </c>
      <c r="Z45419" s="372">
        <v>0.0</v>
      </c>
    </row>
    <row r="45420">
      <c r="Y45420" s="372">
        <v>0.0</v>
      </c>
      <c r="Z45420" s="372">
        <v>0.0</v>
      </c>
    </row>
    <row r="45421">
      <c r="Y45421" s="372">
        <v>0.0</v>
      </c>
      <c r="Z45421" s="372">
        <v>0.0</v>
      </c>
    </row>
    <row r="45422">
      <c r="Y45422" s="372">
        <v>0.0</v>
      </c>
      <c r="Z45422" s="372">
        <v>0.0</v>
      </c>
    </row>
    <row r="45423">
      <c r="Y45423" s="372">
        <v>0.0</v>
      </c>
      <c r="Z45423" s="372">
        <v>0.0</v>
      </c>
    </row>
    <row r="45424">
      <c r="Y45424" s="372">
        <v>0.0</v>
      </c>
      <c r="Z45424" s="372">
        <v>0.0</v>
      </c>
    </row>
    <row r="45425">
      <c r="Y45425" s="372">
        <v>0.0</v>
      </c>
      <c r="Z45425" s="372">
        <v>0.0</v>
      </c>
    </row>
    <row r="45426">
      <c r="Y45426" s="372">
        <v>0.0</v>
      </c>
      <c r="Z45426" s="372">
        <v>0.0</v>
      </c>
    </row>
    <row r="45427">
      <c r="Y45427" s="372">
        <v>0.0</v>
      </c>
      <c r="Z45427" s="372">
        <v>0.0</v>
      </c>
    </row>
    <row r="45428">
      <c r="Y45428" s="372">
        <v>0.0</v>
      </c>
      <c r="Z45428" s="372">
        <v>0.0</v>
      </c>
    </row>
    <row r="45429">
      <c r="Y45429" s="372">
        <v>0.0</v>
      </c>
      <c r="Z45429" s="372">
        <v>0.0</v>
      </c>
    </row>
    <row r="45430">
      <c r="Y45430" s="372">
        <v>0.0</v>
      </c>
      <c r="Z45430" s="372">
        <v>0.0</v>
      </c>
    </row>
    <row r="45431">
      <c r="Y45431" s="372">
        <v>0.0</v>
      </c>
      <c r="Z45431" s="372">
        <v>0.0</v>
      </c>
    </row>
    <row r="45432">
      <c r="Y45432" s="372">
        <v>0.0</v>
      </c>
      <c r="Z45432" s="372">
        <v>0.0</v>
      </c>
    </row>
    <row r="45433">
      <c r="Y45433" s="372">
        <v>0.0</v>
      </c>
      <c r="Z45433" s="372">
        <v>0.0</v>
      </c>
    </row>
    <row r="45434">
      <c r="Y45434" s="372">
        <v>0.0</v>
      </c>
      <c r="Z45434" s="372">
        <v>0.0</v>
      </c>
    </row>
    <row r="45435">
      <c r="Y45435" s="372">
        <v>0.0</v>
      </c>
      <c r="Z45435" s="372">
        <v>0.0</v>
      </c>
    </row>
    <row r="45436">
      <c r="Y45436" s="372">
        <v>0.0</v>
      </c>
      <c r="Z45436" s="372">
        <v>0.0</v>
      </c>
    </row>
    <row r="45437">
      <c r="Y45437" s="372">
        <v>0.0</v>
      </c>
      <c r="Z45437" s="372">
        <v>0.0</v>
      </c>
    </row>
    <row r="45438">
      <c r="Y45438" s="372">
        <v>0.0</v>
      </c>
      <c r="Z45438" s="372">
        <v>0.0</v>
      </c>
    </row>
    <row r="45439">
      <c r="Y45439" s="372">
        <v>0.0</v>
      </c>
      <c r="Z45439" s="372">
        <v>0.0</v>
      </c>
    </row>
    <row r="45440">
      <c r="Y45440" s="372">
        <v>0.0</v>
      </c>
      <c r="Z45440" s="372">
        <v>0.0</v>
      </c>
    </row>
    <row r="45441">
      <c r="Y45441" s="372">
        <v>0.0</v>
      </c>
      <c r="Z45441" s="372">
        <v>0.0</v>
      </c>
    </row>
    <row r="45442">
      <c r="Y45442" s="372">
        <v>0.0</v>
      </c>
      <c r="Z45442" s="372">
        <v>0.0</v>
      </c>
    </row>
    <row r="45443">
      <c r="Y45443" s="372">
        <v>0.0</v>
      </c>
      <c r="Z45443" s="372">
        <v>0.0</v>
      </c>
    </row>
    <row r="45444">
      <c r="Y45444" s="372">
        <v>0.0</v>
      </c>
      <c r="Z45444" s="372">
        <v>0.0</v>
      </c>
    </row>
    <row r="45445">
      <c r="Y45445" s="372">
        <v>0.0</v>
      </c>
      <c r="Z45445" s="372">
        <v>0.0</v>
      </c>
    </row>
    <row r="45446">
      <c r="Y45446" s="372">
        <v>0.0</v>
      </c>
      <c r="Z45446" s="372">
        <v>0.0</v>
      </c>
    </row>
    <row r="45447">
      <c r="Y45447" s="372">
        <v>0.0</v>
      </c>
      <c r="Z45447" s="372">
        <v>0.0</v>
      </c>
    </row>
    <row r="45448">
      <c r="Y45448" s="372">
        <v>0.0</v>
      </c>
      <c r="Z45448" s="372">
        <v>0.0</v>
      </c>
    </row>
    <row r="45449">
      <c r="Y45449" s="372">
        <v>0.0</v>
      </c>
      <c r="Z45449" s="372">
        <v>0.0</v>
      </c>
    </row>
    <row r="45450">
      <c r="Y45450" s="372">
        <v>0.0</v>
      </c>
      <c r="Z45450" s="372">
        <v>0.0</v>
      </c>
    </row>
    <row r="45451">
      <c r="Y45451" s="372">
        <v>0.0</v>
      </c>
      <c r="Z45451" s="372">
        <v>0.0</v>
      </c>
    </row>
    <row r="45452">
      <c r="Y45452" s="372">
        <v>0.0</v>
      </c>
      <c r="Z45452" s="372">
        <v>0.0</v>
      </c>
    </row>
    <row r="45453">
      <c r="Y45453" s="372">
        <v>0.0</v>
      </c>
      <c r="Z45453" s="372">
        <v>0.0</v>
      </c>
    </row>
    <row r="45454">
      <c r="Y45454" s="372">
        <v>0.0</v>
      </c>
      <c r="Z45454" s="372">
        <v>0.0</v>
      </c>
    </row>
    <row r="45455">
      <c r="Y45455" s="372">
        <v>0.0</v>
      </c>
      <c r="Z45455" s="372">
        <v>0.0</v>
      </c>
    </row>
    <row r="45456">
      <c r="Y45456" s="372">
        <v>0.0</v>
      </c>
      <c r="Z45456" s="372">
        <v>0.0</v>
      </c>
    </row>
    <row r="45457">
      <c r="Y45457" s="372">
        <v>0.0</v>
      </c>
      <c r="Z45457" s="372">
        <v>0.0</v>
      </c>
    </row>
    <row r="45458">
      <c r="Y45458" s="372">
        <v>0.0</v>
      </c>
      <c r="Z45458" s="372">
        <v>0.0</v>
      </c>
    </row>
    <row r="45459">
      <c r="Y45459" s="372">
        <v>0.0</v>
      </c>
      <c r="Z45459" s="372">
        <v>0.0</v>
      </c>
    </row>
    <row r="45460">
      <c r="Y45460" s="372">
        <v>0.0</v>
      </c>
      <c r="Z45460" s="372">
        <v>0.0</v>
      </c>
    </row>
    <row r="45461">
      <c r="Y45461" s="372">
        <v>0.0</v>
      </c>
      <c r="Z45461" s="372">
        <v>0.0</v>
      </c>
    </row>
    <row r="45462">
      <c r="Y45462" s="372">
        <v>0.0</v>
      </c>
      <c r="Z45462" s="372">
        <v>0.0</v>
      </c>
    </row>
    <row r="45463">
      <c r="Y45463" s="372">
        <v>0.0</v>
      </c>
      <c r="Z45463" s="372">
        <v>0.0</v>
      </c>
    </row>
    <row r="45464">
      <c r="Y45464" s="372">
        <v>0.0</v>
      </c>
      <c r="Z45464" s="372">
        <v>0.0</v>
      </c>
    </row>
    <row r="45465">
      <c r="Y45465" s="372">
        <v>0.0</v>
      </c>
      <c r="Z45465" s="372">
        <v>0.0</v>
      </c>
    </row>
    <row r="45466">
      <c r="Y45466" s="372">
        <v>0.0</v>
      </c>
      <c r="Z45466" s="372">
        <v>0.0</v>
      </c>
    </row>
    <row r="45467">
      <c r="Y45467" s="372">
        <v>0.0</v>
      </c>
      <c r="Z45467" s="372">
        <v>0.0</v>
      </c>
    </row>
    <row r="45468">
      <c r="Y45468" s="372">
        <v>0.0</v>
      </c>
      <c r="Z45468" s="372">
        <v>0.0</v>
      </c>
    </row>
    <row r="45469">
      <c r="Y45469" s="372">
        <v>0.0</v>
      </c>
      <c r="Z45469" s="372">
        <v>0.0</v>
      </c>
    </row>
    <row r="45470">
      <c r="Y45470" s="372">
        <v>0.0</v>
      </c>
      <c r="Z45470" s="372">
        <v>0.0</v>
      </c>
    </row>
    <row r="45471">
      <c r="Y45471" s="372">
        <v>0.0</v>
      </c>
      <c r="Z45471" s="372">
        <v>0.0</v>
      </c>
    </row>
    <row r="45472">
      <c r="Y45472" s="372">
        <v>0.0</v>
      </c>
      <c r="Z45472" s="372">
        <v>0.0</v>
      </c>
    </row>
    <row r="45473">
      <c r="Y45473" s="372">
        <v>0.0</v>
      </c>
      <c r="Z45473" s="372">
        <v>0.0</v>
      </c>
    </row>
    <row r="45474">
      <c r="Y45474" s="372">
        <v>0.0</v>
      </c>
      <c r="Z45474" s="372">
        <v>0.0</v>
      </c>
    </row>
    <row r="45475">
      <c r="Y45475" s="372">
        <v>0.0</v>
      </c>
      <c r="Z45475" s="372">
        <v>0.0</v>
      </c>
    </row>
    <row r="45476">
      <c r="Y45476" s="372">
        <v>0.0</v>
      </c>
      <c r="Z45476" s="372">
        <v>0.0</v>
      </c>
    </row>
    <row r="45477">
      <c r="Y45477" s="372">
        <v>0.0</v>
      </c>
      <c r="Z45477" s="372">
        <v>0.0</v>
      </c>
    </row>
    <row r="45478">
      <c r="Y45478" s="372">
        <v>0.0</v>
      </c>
      <c r="Z45478" s="372">
        <v>0.0</v>
      </c>
    </row>
    <row r="45479">
      <c r="Y45479" s="372">
        <v>0.0</v>
      </c>
      <c r="Z45479" s="372">
        <v>0.0</v>
      </c>
    </row>
    <row r="45480">
      <c r="Y45480" s="372">
        <v>0.0</v>
      </c>
      <c r="Z45480" s="372">
        <v>0.0</v>
      </c>
    </row>
    <row r="45481">
      <c r="Y45481" s="372">
        <v>0.0</v>
      </c>
      <c r="Z45481" s="372">
        <v>0.0</v>
      </c>
    </row>
    <row r="45482">
      <c r="Y45482" s="372">
        <v>0.0</v>
      </c>
      <c r="Z45482" s="372">
        <v>0.0</v>
      </c>
    </row>
    <row r="45483">
      <c r="Y45483" s="372">
        <v>0.0</v>
      </c>
      <c r="Z45483" s="372">
        <v>0.0</v>
      </c>
    </row>
    <row r="45484">
      <c r="Y45484" s="372">
        <v>0.0</v>
      </c>
      <c r="Z45484" s="372">
        <v>0.0</v>
      </c>
    </row>
    <row r="45485">
      <c r="Y45485" s="372">
        <v>0.0</v>
      </c>
      <c r="Z45485" s="372">
        <v>0.0</v>
      </c>
    </row>
    <row r="45486">
      <c r="Y45486" s="372">
        <v>0.0</v>
      </c>
      <c r="Z45486" s="372">
        <v>0.0</v>
      </c>
    </row>
    <row r="45487">
      <c r="Y45487" s="372">
        <v>0.0</v>
      </c>
      <c r="Z45487" s="372">
        <v>0.0</v>
      </c>
    </row>
    <row r="45488">
      <c r="Y45488" s="372">
        <v>0.0</v>
      </c>
      <c r="Z45488" s="372">
        <v>0.0</v>
      </c>
    </row>
    <row r="45489">
      <c r="Y45489" s="372">
        <v>0.0</v>
      </c>
      <c r="Z45489" s="372">
        <v>0.0</v>
      </c>
    </row>
    <row r="45490">
      <c r="Y45490" s="372">
        <v>0.0</v>
      </c>
      <c r="Z45490" s="372">
        <v>0.0</v>
      </c>
    </row>
    <row r="45491">
      <c r="Y45491" s="372">
        <v>0.0</v>
      </c>
      <c r="Z45491" s="372">
        <v>0.0</v>
      </c>
    </row>
    <row r="45492">
      <c r="Y45492" s="372">
        <v>0.0</v>
      </c>
      <c r="Z45492" s="372">
        <v>0.0</v>
      </c>
    </row>
    <row r="45493">
      <c r="Y45493" s="372">
        <v>0.0</v>
      </c>
      <c r="Z45493" s="372">
        <v>0.0</v>
      </c>
    </row>
    <row r="45494">
      <c r="Y45494" s="372">
        <v>0.0</v>
      </c>
      <c r="Z45494" s="372">
        <v>0.0</v>
      </c>
    </row>
    <row r="45495">
      <c r="Y45495" s="372">
        <v>0.0</v>
      </c>
      <c r="Z45495" s="372">
        <v>0.0</v>
      </c>
    </row>
    <row r="45496">
      <c r="Y45496" s="372">
        <v>0.0</v>
      </c>
      <c r="Z45496" s="372">
        <v>0.0</v>
      </c>
    </row>
    <row r="45497">
      <c r="Y45497" s="372">
        <v>0.0</v>
      </c>
      <c r="Z45497" s="372">
        <v>0.0</v>
      </c>
    </row>
    <row r="45498">
      <c r="Y45498" s="372">
        <v>0.0</v>
      </c>
      <c r="Z45498" s="372">
        <v>0.0</v>
      </c>
    </row>
    <row r="45499">
      <c r="Y45499" s="372">
        <v>0.0</v>
      </c>
      <c r="Z45499" s="372">
        <v>0.0</v>
      </c>
    </row>
    <row r="45500">
      <c r="Y45500" s="372">
        <v>0.0</v>
      </c>
      <c r="Z45500" s="372">
        <v>0.0</v>
      </c>
    </row>
    <row r="45501">
      <c r="Y45501" s="372">
        <v>0.0</v>
      </c>
      <c r="Z45501" s="372">
        <v>0.0</v>
      </c>
    </row>
    <row r="45502">
      <c r="Y45502" s="372">
        <v>0.0</v>
      </c>
      <c r="Z45502" s="372">
        <v>0.0</v>
      </c>
    </row>
    <row r="45503">
      <c r="Y45503" s="372">
        <v>0.0</v>
      </c>
      <c r="Z45503" s="372">
        <v>0.0</v>
      </c>
    </row>
    <row r="45504">
      <c r="Y45504" s="372">
        <v>0.0</v>
      </c>
      <c r="Z45504" s="372">
        <v>0.0</v>
      </c>
    </row>
    <row r="45505">
      <c r="Y45505" s="372">
        <v>0.0</v>
      </c>
      <c r="Z45505" s="372">
        <v>0.0</v>
      </c>
    </row>
    <row r="45506">
      <c r="Y45506" s="372">
        <v>0.0</v>
      </c>
      <c r="Z45506" s="372">
        <v>0.0</v>
      </c>
    </row>
    <row r="45507">
      <c r="Y45507" s="372">
        <v>0.0</v>
      </c>
      <c r="Z45507" s="372">
        <v>0.0</v>
      </c>
    </row>
    <row r="45508">
      <c r="Y45508" s="372">
        <v>0.0</v>
      </c>
      <c r="Z45508" s="372">
        <v>0.0</v>
      </c>
    </row>
    <row r="45509">
      <c r="Y45509" s="372">
        <v>0.0</v>
      </c>
      <c r="Z45509" s="372">
        <v>0.0</v>
      </c>
    </row>
    <row r="45510">
      <c r="Y45510" s="372">
        <v>0.0</v>
      </c>
      <c r="Z45510" s="372">
        <v>0.0</v>
      </c>
    </row>
    <row r="45511">
      <c r="Y45511" s="372">
        <v>0.0</v>
      </c>
      <c r="Z45511" s="372">
        <v>0.0</v>
      </c>
    </row>
    <row r="45512">
      <c r="Y45512" s="372">
        <v>0.0</v>
      </c>
      <c r="Z45512" s="372">
        <v>0.0</v>
      </c>
    </row>
    <row r="45513">
      <c r="Y45513" s="372">
        <v>0.0</v>
      </c>
      <c r="Z45513" s="372">
        <v>0.0</v>
      </c>
    </row>
    <row r="45514">
      <c r="Y45514" s="372">
        <v>0.0</v>
      </c>
      <c r="Z45514" s="372">
        <v>0.0</v>
      </c>
    </row>
    <row r="45515">
      <c r="Y45515" s="372">
        <v>0.0</v>
      </c>
      <c r="Z45515" s="372">
        <v>0.0</v>
      </c>
    </row>
    <row r="45516">
      <c r="Y45516" s="372">
        <v>0.0</v>
      </c>
      <c r="Z45516" s="372">
        <v>0.0</v>
      </c>
    </row>
    <row r="45517">
      <c r="Y45517" s="372">
        <v>0.0</v>
      </c>
      <c r="Z45517" s="372">
        <v>0.0</v>
      </c>
    </row>
    <row r="45518">
      <c r="Y45518" s="372">
        <v>0.0</v>
      </c>
      <c r="Z45518" s="372">
        <v>0.0</v>
      </c>
    </row>
    <row r="45519">
      <c r="Y45519" s="372">
        <v>0.0</v>
      </c>
      <c r="Z45519" s="372">
        <v>0.0</v>
      </c>
    </row>
    <row r="45520">
      <c r="Y45520" s="372">
        <v>0.0</v>
      </c>
      <c r="Z45520" s="372">
        <v>0.0</v>
      </c>
    </row>
    <row r="45521">
      <c r="Y45521" s="372">
        <v>0.0</v>
      </c>
      <c r="Z45521" s="372">
        <v>0.0</v>
      </c>
    </row>
    <row r="45522">
      <c r="Y45522" s="372">
        <v>0.0</v>
      </c>
      <c r="Z45522" s="372">
        <v>0.0</v>
      </c>
    </row>
    <row r="45523">
      <c r="Y45523" s="372">
        <v>0.0</v>
      </c>
      <c r="Z45523" s="372">
        <v>0.0</v>
      </c>
    </row>
    <row r="45524">
      <c r="Y45524" s="372">
        <v>0.0</v>
      </c>
      <c r="Z45524" s="372">
        <v>0.0</v>
      </c>
    </row>
    <row r="45525">
      <c r="Y45525" s="372">
        <v>0.0</v>
      </c>
      <c r="Z45525" s="372">
        <v>0.0</v>
      </c>
    </row>
    <row r="45526">
      <c r="Y45526" s="372">
        <v>0.0</v>
      </c>
      <c r="Z45526" s="372">
        <v>0.0</v>
      </c>
    </row>
    <row r="45527">
      <c r="Y45527" s="372">
        <v>0.0</v>
      </c>
      <c r="Z45527" s="372">
        <v>0.0</v>
      </c>
    </row>
    <row r="45528">
      <c r="Y45528" s="372">
        <v>0.0</v>
      </c>
      <c r="Z45528" s="372">
        <v>0.0</v>
      </c>
    </row>
    <row r="45529">
      <c r="Y45529" s="372">
        <v>0.0</v>
      </c>
      <c r="Z45529" s="372">
        <v>0.0</v>
      </c>
    </row>
    <row r="45530">
      <c r="Y45530" s="372">
        <v>0.0</v>
      </c>
      <c r="Z45530" s="372">
        <v>0.0</v>
      </c>
    </row>
    <row r="45531">
      <c r="Y45531" s="372">
        <v>0.0</v>
      </c>
      <c r="Z45531" s="372">
        <v>0.0</v>
      </c>
    </row>
    <row r="45532">
      <c r="Y45532" s="372">
        <v>0.0</v>
      </c>
      <c r="Z45532" s="372">
        <v>0.0</v>
      </c>
    </row>
    <row r="45533">
      <c r="Y45533" s="372">
        <v>0.0</v>
      </c>
      <c r="Z45533" s="372">
        <v>0.0</v>
      </c>
    </row>
    <row r="45534">
      <c r="Y45534" s="372">
        <v>0.0</v>
      </c>
      <c r="Z45534" s="372">
        <v>0.0</v>
      </c>
    </row>
    <row r="45535">
      <c r="Y45535" s="372">
        <v>0.0</v>
      </c>
      <c r="Z45535" s="372">
        <v>0.0</v>
      </c>
    </row>
    <row r="45536">
      <c r="Y45536" s="372">
        <v>0.0</v>
      </c>
      <c r="Z45536" s="372">
        <v>0.0</v>
      </c>
    </row>
    <row r="45537">
      <c r="Y45537" s="372">
        <v>0.0</v>
      </c>
      <c r="Z45537" s="372">
        <v>0.0</v>
      </c>
    </row>
    <row r="45538">
      <c r="Y45538" s="372">
        <v>0.0</v>
      </c>
      <c r="Z45538" s="372">
        <v>0.0</v>
      </c>
    </row>
    <row r="45539">
      <c r="Y45539" s="372">
        <v>0.0</v>
      </c>
      <c r="Z45539" s="372">
        <v>0.0</v>
      </c>
    </row>
    <row r="45540">
      <c r="Y45540" s="372">
        <v>0.0</v>
      </c>
      <c r="Z45540" s="372">
        <v>0.0</v>
      </c>
    </row>
    <row r="45541">
      <c r="Y45541" s="372">
        <v>0.0</v>
      </c>
      <c r="Z45541" s="372">
        <v>0.0</v>
      </c>
    </row>
    <row r="45542">
      <c r="Y45542" s="372">
        <v>0.0</v>
      </c>
      <c r="Z45542" s="372">
        <v>0.0</v>
      </c>
    </row>
    <row r="45543">
      <c r="Y45543" s="372">
        <v>0.0</v>
      </c>
      <c r="Z45543" s="372">
        <v>0.0</v>
      </c>
    </row>
    <row r="45544">
      <c r="Y45544" s="372">
        <v>0.0</v>
      </c>
      <c r="Z45544" s="372">
        <v>0.0</v>
      </c>
    </row>
    <row r="45545">
      <c r="Y45545" s="372">
        <v>0.0</v>
      </c>
      <c r="Z45545" s="372">
        <v>0.0</v>
      </c>
    </row>
    <row r="45546">
      <c r="Y45546" s="372">
        <v>0.0</v>
      </c>
      <c r="Z45546" s="372">
        <v>0.0</v>
      </c>
    </row>
    <row r="45547">
      <c r="Y45547" s="372">
        <v>0.0</v>
      </c>
      <c r="Z45547" s="372">
        <v>0.0</v>
      </c>
    </row>
    <row r="45548">
      <c r="Y45548" s="372">
        <v>0.0</v>
      </c>
      <c r="Z45548" s="372">
        <v>0.0</v>
      </c>
    </row>
    <row r="45549">
      <c r="Y45549" s="372">
        <v>0.0</v>
      </c>
      <c r="Z45549" s="372">
        <v>0.0</v>
      </c>
    </row>
    <row r="45550">
      <c r="Y45550" s="372">
        <v>0.0</v>
      </c>
      <c r="Z45550" s="372">
        <v>0.0</v>
      </c>
    </row>
    <row r="45551">
      <c r="Y45551" s="372">
        <v>0.0</v>
      </c>
      <c r="Z45551" s="372">
        <v>0.0</v>
      </c>
    </row>
    <row r="45552">
      <c r="Y45552" s="372">
        <v>0.0</v>
      </c>
      <c r="Z45552" s="372">
        <v>0.0</v>
      </c>
    </row>
    <row r="45553">
      <c r="Y45553" s="372">
        <v>0.0</v>
      </c>
      <c r="Z45553" s="372">
        <v>0.0</v>
      </c>
    </row>
    <row r="45554">
      <c r="Y45554" s="372">
        <v>0.0</v>
      </c>
      <c r="Z45554" s="372">
        <v>0.0</v>
      </c>
    </row>
    <row r="45555">
      <c r="Y45555" s="372">
        <v>0.0</v>
      </c>
      <c r="Z45555" s="372">
        <v>0.0</v>
      </c>
    </row>
    <row r="45556">
      <c r="Y45556" s="372">
        <v>0.0</v>
      </c>
      <c r="Z45556" s="372">
        <v>0.0</v>
      </c>
    </row>
    <row r="45557">
      <c r="Y45557" s="372">
        <v>0.0</v>
      </c>
      <c r="Z45557" s="372">
        <v>0.0</v>
      </c>
    </row>
    <row r="45558">
      <c r="Y45558" s="372">
        <v>0.0</v>
      </c>
      <c r="Z45558" s="372">
        <v>0.0</v>
      </c>
    </row>
    <row r="45559">
      <c r="Y45559" s="372">
        <v>0.0</v>
      </c>
      <c r="Z45559" s="372">
        <v>0.0</v>
      </c>
    </row>
    <row r="45560">
      <c r="Y45560" s="372">
        <v>0.0</v>
      </c>
      <c r="Z45560" s="372">
        <v>0.0</v>
      </c>
    </row>
    <row r="45561">
      <c r="Y45561" s="372">
        <v>0.0</v>
      </c>
      <c r="Z45561" s="372">
        <v>0.0</v>
      </c>
    </row>
    <row r="45562">
      <c r="Y45562" s="372">
        <v>0.0</v>
      </c>
      <c r="Z45562" s="372">
        <v>0.0</v>
      </c>
    </row>
    <row r="45563">
      <c r="Y45563" s="372">
        <v>0.0</v>
      </c>
      <c r="Z45563" s="372">
        <v>0.0</v>
      </c>
    </row>
    <row r="45564">
      <c r="Y45564" s="372">
        <v>0.0</v>
      </c>
      <c r="Z45564" s="372">
        <v>0.0</v>
      </c>
    </row>
    <row r="45565">
      <c r="Y45565" s="372">
        <v>0.0</v>
      </c>
      <c r="Z45565" s="372">
        <v>0.0</v>
      </c>
    </row>
    <row r="45566">
      <c r="Y45566" s="372">
        <v>0.0</v>
      </c>
      <c r="Z45566" s="372">
        <v>0.0</v>
      </c>
    </row>
    <row r="45567">
      <c r="Y45567" s="372">
        <v>0.0</v>
      </c>
      <c r="Z45567" s="372">
        <v>0.0</v>
      </c>
    </row>
    <row r="45568">
      <c r="Y45568" s="372">
        <v>0.0</v>
      </c>
      <c r="Z45568" s="372">
        <v>0.0</v>
      </c>
    </row>
    <row r="45569">
      <c r="Y45569" s="372">
        <v>0.0</v>
      </c>
      <c r="Z45569" s="372">
        <v>0.0</v>
      </c>
    </row>
    <row r="45570">
      <c r="Y45570" s="372">
        <v>0.0</v>
      </c>
      <c r="Z45570" s="372">
        <v>0.0</v>
      </c>
    </row>
    <row r="45571">
      <c r="Y45571" s="372">
        <v>0.0</v>
      </c>
      <c r="Z45571" s="372">
        <v>0.0</v>
      </c>
    </row>
    <row r="45572">
      <c r="Y45572" s="372">
        <v>0.0</v>
      </c>
      <c r="Z45572" s="372">
        <v>0.0</v>
      </c>
    </row>
    <row r="45573">
      <c r="Y45573" s="372">
        <v>0.0</v>
      </c>
      <c r="Z45573" s="372">
        <v>0.0</v>
      </c>
    </row>
    <row r="45574">
      <c r="Y45574" s="372">
        <v>0.0</v>
      </c>
      <c r="Z45574" s="372">
        <v>0.0</v>
      </c>
    </row>
    <row r="45575">
      <c r="Y45575" s="372">
        <v>0.0</v>
      </c>
      <c r="Z45575" s="372">
        <v>0.0</v>
      </c>
    </row>
    <row r="45576">
      <c r="Y45576" s="372">
        <v>0.0</v>
      </c>
      <c r="Z45576" s="372">
        <v>0.0</v>
      </c>
    </row>
    <row r="45577">
      <c r="Y45577" s="372">
        <v>0.0</v>
      </c>
      <c r="Z45577" s="372">
        <v>0.0</v>
      </c>
    </row>
    <row r="45578">
      <c r="Y45578" s="372">
        <v>0.0</v>
      </c>
      <c r="Z45578" s="372">
        <v>0.0</v>
      </c>
    </row>
    <row r="45579">
      <c r="Y45579" s="372">
        <v>0.0</v>
      </c>
      <c r="Z45579" s="372">
        <v>0.0</v>
      </c>
    </row>
    <row r="45580">
      <c r="Y45580" s="372">
        <v>0.0</v>
      </c>
      <c r="Z45580" s="372">
        <v>0.0</v>
      </c>
    </row>
    <row r="45581">
      <c r="Y45581" s="372">
        <v>0.0</v>
      </c>
      <c r="Z45581" s="372">
        <v>0.0</v>
      </c>
    </row>
    <row r="45582">
      <c r="Y45582" s="372">
        <v>0.0</v>
      </c>
      <c r="Z45582" s="372">
        <v>0.0</v>
      </c>
    </row>
    <row r="45583">
      <c r="Y45583" s="372">
        <v>0.0</v>
      </c>
      <c r="Z45583" s="372">
        <v>0.0</v>
      </c>
    </row>
    <row r="45584">
      <c r="Y45584" s="372">
        <v>0.0</v>
      </c>
      <c r="Z45584" s="372">
        <v>0.0</v>
      </c>
    </row>
    <row r="45585">
      <c r="Y45585" s="372">
        <v>0.0</v>
      </c>
      <c r="Z45585" s="372">
        <v>0.0</v>
      </c>
    </row>
    <row r="45586">
      <c r="Y45586" s="372">
        <v>0.0</v>
      </c>
      <c r="Z45586" s="372">
        <v>0.0</v>
      </c>
    </row>
    <row r="45587">
      <c r="Y45587" s="372">
        <v>0.0</v>
      </c>
      <c r="Z45587" s="372">
        <v>0.0</v>
      </c>
    </row>
    <row r="45588">
      <c r="Y45588" s="372">
        <v>0.0</v>
      </c>
      <c r="Z45588" s="372">
        <v>0.0</v>
      </c>
    </row>
    <row r="45589">
      <c r="Y45589" s="372">
        <v>0.0</v>
      </c>
      <c r="Z45589" s="372">
        <v>0.0</v>
      </c>
    </row>
    <row r="45590">
      <c r="Y45590" s="372">
        <v>0.0</v>
      </c>
      <c r="Z45590" s="372">
        <v>0.0</v>
      </c>
    </row>
    <row r="45591">
      <c r="Y45591" s="372">
        <v>0.0</v>
      </c>
      <c r="Z45591" s="372">
        <v>0.0</v>
      </c>
    </row>
    <row r="45592">
      <c r="Y45592" s="372">
        <v>0.0</v>
      </c>
      <c r="Z45592" s="372">
        <v>0.0</v>
      </c>
    </row>
    <row r="45593">
      <c r="Y45593" s="372">
        <v>0.0</v>
      </c>
      <c r="Z45593" s="372">
        <v>0.0</v>
      </c>
    </row>
    <row r="45594">
      <c r="Y45594" s="372">
        <v>0.0</v>
      </c>
      <c r="Z45594" s="372">
        <v>0.0</v>
      </c>
    </row>
    <row r="45595">
      <c r="Y45595" s="372">
        <v>0.0</v>
      </c>
      <c r="Z45595" s="372">
        <v>0.0</v>
      </c>
    </row>
    <row r="45596">
      <c r="Y45596" s="372">
        <v>0.0</v>
      </c>
      <c r="Z45596" s="372">
        <v>0.0</v>
      </c>
    </row>
    <row r="45597">
      <c r="Y45597" s="372">
        <v>0.0</v>
      </c>
      <c r="Z45597" s="372">
        <v>0.0</v>
      </c>
    </row>
    <row r="45598">
      <c r="Y45598" s="372">
        <v>0.0</v>
      </c>
      <c r="Z45598" s="372">
        <v>0.0</v>
      </c>
    </row>
    <row r="45599">
      <c r="Y45599" s="372">
        <v>0.0</v>
      </c>
      <c r="Z45599" s="372">
        <v>0.0</v>
      </c>
    </row>
    <row r="45600">
      <c r="Y45600" s="372">
        <v>0.0</v>
      </c>
      <c r="Z45600" s="372">
        <v>0.0</v>
      </c>
    </row>
    <row r="45601">
      <c r="Y45601" s="372">
        <v>0.0</v>
      </c>
      <c r="Z45601" s="372">
        <v>0.0</v>
      </c>
    </row>
    <row r="45602">
      <c r="Y45602" s="372">
        <v>0.0</v>
      </c>
      <c r="Z45602" s="372">
        <v>0.0</v>
      </c>
    </row>
    <row r="45603">
      <c r="Y45603" s="372">
        <v>0.0</v>
      </c>
      <c r="Z45603" s="372">
        <v>0.0</v>
      </c>
    </row>
    <row r="45604">
      <c r="Y45604" s="372">
        <v>0.0</v>
      </c>
      <c r="Z45604" s="372">
        <v>0.0</v>
      </c>
    </row>
    <row r="45605">
      <c r="Y45605" s="372">
        <v>0.0</v>
      </c>
      <c r="Z45605" s="372">
        <v>0.0</v>
      </c>
    </row>
    <row r="45606">
      <c r="Y45606" s="372">
        <v>0.0</v>
      </c>
      <c r="Z45606" s="372">
        <v>0.0</v>
      </c>
    </row>
    <row r="45607">
      <c r="Y45607" s="372">
        <v>0.0</v>
      </c>
      <c r="Z45607" s="372">
        <v>0.0</v>
      </c>
    </row>
    <row r="45608">
      <c r="Y45608" s="372">
        <v>0.0</v>
      </c>
      <c r="Z45608" s="372">
        <v>0.0</v>
      </c>
    </row>
    <row r="45609">
      <c r="Y45609" s="372">
        <v>0.0</v>
      </c>
      <c r="Z45609" s="372">
        <v>0.0</v>
      </c>
    </row>
    <row r="45610">
      <c r="Y45610" s="372">
        <v>0.0</v>
      </c>
      <c r="Z45610" s="372">
        <v>0.0</v>
      </c>
    </row>
    <row r="45611">
      <c r="Y45611" s="372">
        <v>0.0</v>
      </c>
      <c r="Z45611" s="372">
        <v>0.0</v>
      </c>
    </row>
    <row r="45612">
      <c r="Y45612" s="372">
        <v>0.0</v>
      </c>
      <c r="Z45612" s="372">
        <v>0.0</v>
      </c>
    </row>
    <row r="45613">
      <c r="Y45613" s="372">
        <v>0.0</v>
      </c>
      <c r="Z45613" s="372">
        <v>0.0</v>
      </c>
    </row>
    <row r="45614">
      <c r="Y45614" s="372">
        <v>0.0</v>
      </c>
      <c r="Z45614" s="372">
        <v>0.0</v>
      </c>
    </row>
    <row r="45615">
      <c r="Y45615" s="372">
        <v>0.0</v>
      </c>
      <c r="Z45615" s="372">
        <v>0.0</v>
      </c>
    </row>
    <row r="45616">
      <c r="Y45616" s="372">
        <v>0.0</v>
      </c>
      <c r="Z45616" s="372">
        <v>0.0</v>
      </c>
    </row>
    <row r="45617">
      <c r="Y45617" s="372">
        <v>0.0</v>
      </c>
      <c r="Z45617" s="372">
        <v>0.0</v>
      </c>
    </row>
    <row r="45618">
      <c r="Y45618" s="372">
        <v>0.0</v>
      </c>
      <c r="Z45618" s="372">
        <v>0.0</v>
      </c>
    </row>
    <row r="45619">
      <c r="Y45619" s="372">
        <v>0.0</v>
      </c>
      <c r="Z45619" s="372">
        <v>0.0</v>
      </c>
    </row>
    <row r="45620">
      <c r="Y45620" s="372">
        <v>0.0</v>
      </c>
      <c r="Z45620" s="372">
        <v>0.0</v>
      </c>
    </row>
    <row r="45621">
      <c r="Y45621" s="372">
        <v>0.0</v>
      </c>
      <c r="Z45621" s="372">
        <v>0.0</v>
      </c>
    </row>
    <row r="45622">
      <c r="Y45622" s="372">
        <v>0.0</v>
      </c>
      <c r="Z45622" s="372">
        <v>0.0</v>
      </c>
    </row>
    <row r="45623">
      <c r="Y45623" s="372">
        <v>0.0</v>
      </c>
      <c r="Z45623" s="372">
        <v>0.0</v>
      </c>
    </row>
    <row r="45624">
      <c r="Y45624" s="372">
        <v>0.0</v>
      </c>
      <c r="Z45624" s="372">
        <v>0.0</v>
      </c>
    </row>
    <row r="45625">
      <c r="Y45625" s="372">
        <v>0.0</v>
      </c>
      <c r="Z45625" s="372">
        <v>0.0</v>
      </c>
    </row>
    <row r="45626">
      <c r="Y45626" s="372">
        <v>0.0</v>
      </c>
      <c r="Z45626" s="372">
        <v>0.0</v>
      </c>
    </row>
    <row r="45627">
      <c r="Y45627" s="372">
        <v>0.0</v>
      </c>
      <c r="Z45627" s="372">
        <v>0.0</v>
      </c>
    </row>
    <row r="45628">
      <c r="Y45628" s="372">
        <v>0.0</v>
      </c>
      <c r="Z45628" s="372">
        <v>0.0</v>
      </c>
    </row>
    <row r="45629">
      <c r="Y45629" s="372">
        <v>0.0</v>
      </c>
      <c r="Z45629" s="372">
        <v>0.0</v>
      </c>
    </row>
    <row r="45630">
      <c r="Y45630" s="372">
        <v>0.0</v>
      </c>
      <c r="Z45630" s="372">
        <v>0.0</v>
      </c>
    </row>
    <row r="45631">
      <c r="Y45631" s="372">
        <v>0.0</v>
      </c>
      <c r="Z45631" s="372">
        <v>0.0</v>
      </c>
    </row>
    <row r="45632">
      <c r="Y45632" s="372">
        <v>0.0</v>
      </c>
      <c r="Z45632" s="372">
        <v>0.0</v>
      </c>
    </row>
    <row r="45633">
      <c r="Y45633" s="372">
        <v>0.0</v>
      </c>
      <c r="Z45633" s="372">
        <v>0.0</v>
      </c>
    </row>
    <row r="45634">
      <c r="Y45634" s="372">
        <v>0.0</v>
      </c>
      <c r="Z45634" s="372">
        <v>0.0</v>
      </c>
    </row>
    <row r="45635">
      <c r="Y45635" s="372">
        <v>0.0</v>
      </c>
      <c r="Z45635" s="372">
        <v>0.0</v>
      </c>
    </row>
    <row r="45636">
      <c r="Y45636" s="372">
        <v>0.0</v>
      </c>
      <c r="Z45636" s="372">
        <v>0.0</v>
      </c>
    </row>
    <row r="45637">
      <c r="Y45637" s="372">
        <v>0.0</v>
      </c>
      <c r="Z45637" s="372">
        <v>0.0</v>
      </c>
    </row>
    <row r="45638">
      <c r="Y45638" s="372">
        <v>0.0</v>
      </c>
      <c r="Z45638" s="372">
        <v>0.0</v>
      </c>
    </row>
    <row r="45639">
      <c r="Y45639" s="372">
        <v>0.0</v>
      </c>
      <c r="Z45639" s="372">
        <v>0.0</v>
      </c>
    </row>
    <row r="45640">
      <c r="Y45640" s="372">
        <v>0.0</v>
      </c>
      <c r="Z45640" s="372">
        <v>0.0</v>
      </c>
    </row>
    <row r="45641">
      <c r="Y45641" s="372">
        <v>0.0</v>
      </c>
      <c r="Z45641" s="372">
        <v>0.0</v>
      </c>
    </row>
    <row r="45642">
      <c r="Y45642" s="372">
        <v>0.0</v>
      </c>
      <c r="Z45642" s="372">
        <v>0.0</v>
      </c>
    </row>
    <row r="45643">
      <c r="Y45643" s="372">
        <v>0.0</v>
      </c>
      <c r="Z45643" s="372">
        <v>0.0</v>
      </c>
    </row>
    <row r="45644">
      <c r="Y45644" s="372">
        <v>0.0</v>
      </c>
      <c r="Z45644" s="372">
        <v>0.0</v>
      </c>
    </row>
    <row r="45645">
      <c r="Y45645" s="372">
        <v>0.0</v>
      </c>
      <c r="Z45645" s="372">
        <v>0.0</v>
      </c>
    </row>
    <row r="45646">
      <c r="Y45646" s="372">
        <v>0.0</v>
      </c>
      <c r="Z45646" s="372">
        <v>0.0</v>
      </c>
    </row>
    <row r="45647">
      <c r="Y45647" s="372">
        <v>0.0</v>
      </c>
      <c r="Z45647" s="372">
        <v>0.0</v>
      </c>
    </row>
    <row r="45648">
      <c r="Y45648" s="372">
        <v>0.0</v>
      </c>
      <c r="Z45648" s="372">
        <v>0.0</v>
      </c>
    </row>
    <row r="45649">
      <c r="Y45649" s="372">
        <v>0.0</v>
      </c>
      <c r="Z45649" s="372">
        <v>0.0</v>
      </c>
    </row>
    <row r="45650">
      <c r="Y45650" s="372">
        <v>0.0</v>
      </c>
      <c r="Z45650" s="372">
        <v>0.0</v>
      </c>
    </row>
    <row r="45651">
      <c r="Y45651" s="372">
        <v>0.0</v>
      </c>
      <c r="Z45651" s="372">
        <v>0.0</v>
      </c>
    </row>
    <row r="45652">
      <c r="Y45652" s="372">
        <v>0.0</v>
      </c>
      <c r="Z45652" s="372">
        <v>0.0</v>
      </c>
    </row>
    <row r="45653">
      <c r="Y45653" s="372">
        <v>0.0</v>
      </c>
      <c r="Z45653" s="372">
        <v>0.0</v>
      </c>
    </row>
    <row r="45654">
      <c r="Y45654" s="372">
        <v>0.0</v>
      </c>
      <c r="Z45654" s="372">
        <v>0.0</v>
      </c>
    </row>
    <row r="45655">
      <c r="Y45655" s="372">
        <v>0.0</v>
      </c>
      <c r="Z45655" s="372">
        <v>0.0</v>
      </c>
    </row>
    <row r="45656">
      <c r="Y45656" s="372">
        <v>0.0</v>
      </c>
      <c r="Z45656" s="372">
        <v>0.0</v>
      </c>
    </row>
    <row r="45657">
      <c r="Y45657" s="372">
        <v>0.0</v>
      </c>
      <c r="Z45657" s="372">
        <v>0.0</v>
      </c>
    </row>
    <row r="45658">
      <c r="Y45658" s="372">
        <v>0.0</v>
      </c>
      <c r="Z45658" s="372">
        <v>0.0</v>
      </c>
    </row>
    <row r="45659">
      <c r="Y45659" s="372">
        <v>0.0</v>
      </c>
      <c r="Z45659" s="372">
        <v>0.0</v>
      </c>
    </row>
    <row r="45660">
      <c r="Y45660" s="372">
        <v>0.0</v>
      </c>
      <c r="Z45660" s="372">
        <v>0.0</v>
      </c>
    </row>
    <row r="45661">
      <c r="Y45661" s="372">
        <v>0.0</v>
      </c>
      <c r="Z45661" s="372">
        <v>0.0</v>
      </c>
    </row>
    <row r="45662">
      <c r="Y45662" s="372">
        <v>0.0</v>
      </c>
      <c r="Z45662" s="372">
        <v>0.0</v>
      </c>
    </row>
    <row r="45663">
      <c r="Y45663" s="372">
        <v>0.0</v>
      </c>
      <c r="Z45663" s="372">
        <v>0.0</v>
      </c>
    </row>
    <row r="45664">
      <c r="Y45664" s="372">
        <v>0.0</v>
      </c>
      <c r="Z45664" s="372">
        <v>0.0</v>
      </c>
    </row>
    <row r="45665">
      <c r="Y45665" s="372">
        <v>0.0</v>
      </c>
      <c r="Z45665" s="372">
        <v>0.0</v>
      </c>
    </row>
    <row r="45666">
      <c r="Y45666" s="372">
        <v>0.0</v>
      </c>
      <c r="Z45666" s="372">
        <v>0.0</v>
      </c>
    </row>
    <row r="45667">
      <c r="Y45667" s="372">
        <v>0.0</v>
      </c>
      <c r="Z45667" s="372">
        <v>0.0</v>
      </c>
    </row>
    <row r="45668">
      <c r="Y45668" s="372">
        <v>0.0</v>
      </c>
      <c r="Z45668" s="372">
        <v>0.0</v>
      </c>
    </row>
    <row r="45669">
      <c r="Y45669" s="372">
        <v>0.0</v>
      </c>
      <c r="Z45669" s="372">
        <v>0.0</v>
      </c>
    </row>
    <row r="45670">
      <c r="Y45670" s="372">
        <v>0.0</v>
      </c>
      <c r="Z45670" s="372">
        <v>0.0</v>
      </c>
    </row>
    <row r="45671">
      <c r="Y45671" s="372">
        <v>0.0</v>
      </c>
      <c r="Z45671" s="372">
        <v>0.0</v>
      </c>
    </row>
    <row r="45672">
      <c r="Y45672" s="372">
        <v>0.0</v>
      </c>
      <c r="Z45672" s="372">
        <v>0.0</v>
      </c>
    </row>
    <row r="45673">
      <c r="Y45673" s="372">
        <v>0.0</v>
      </c>
      <c r="Z45673" s="372">
        <v>0.0</v>
      </c>
    </row>
    <row r="45674">
      <c r="Y45674" s="372">
        <v>0.0</v>
      </c>
      <c r="Z45674" s="372">
        <v>0.0</v>
      </c>
    </row>
    <row r="45675">
      <c r="Y45675" s="372">
        <v>0.0</v>
      </c>
      <c r="Z45675" s="372">
        <v>0.0</v>
      </c>
    </row>
    <row r="45676">
      <c r="Y45676" s="372">
        <v>0.0</v>
      </c>
      <c r="Z45676" s="372">
        <v>0.0</v>
      </c>
    </row>
    <row r="45677">
      <c r="Y45677" s="372">
        <v>0.0</v>
      </c>
      <c r="Z45677" s="372">
        <v>0.0</v>
      </c>
    </row>
    <row r="45678">
      <c r="Y45678" s="372">
        <v>0.0</v>
      </c>
      <c r="Z45678" s="372">
        <v>0.0</v>
      </c>
    </row>
    <row r="45679">
      <c r="Y45679" s="372">
        <v>0.0</v>
      </c>
      <c r="Z45679" s="372">
        <v>0.0</v>
      </c>
    </row>
    <row r="45680">
      <c r="Y45680" s="372">
        <v>0.0</v>
      </c>
      <c r="Z45680" s="372">
        <v>0.0</v>
      </c>
    </row>
    <row r="45681">
      <c r="Y45681" s="372">
        <v>0.0</v>
      </c>
      <c r="Z45681" s="372">
        <v>0.0</v>
      </c>
    </row>
    <row r="45682">
      <c r="Y45682" s="372">
        <v>0.0</v>
      </c>
      <c r="Z45682" s="372">
        <v>0.0</v>
      </c>
    </row>
    <row r="45683">
      <c r="Y45683" s="372">
        <v>0.0</v>
      </c>
      <c r="Z45683" s="372">
        <v>0.0</v>
      </c>
    </row>
    <row r="45684">
      <c r="Y45684" s="372">
        <v>0.0</v>
      </c>
      <c r="Z45684" s="372">
        <v>0.0</v>
      </c>
    </row>
    <row r="45685">
      <c r="Y45685" s="372">
        <v>0.0</v>
      </c>
      <c r="Z45685" s="372">
        <v>0.0</v>
      </c>
    </row>
    <row r="45686">
      <c r="Y45686" s="372">
        <v>0.0</v>
      </c>
      <c r="Z45686" s="372">
        <v>0.0</v>
      </c>
    </row>
    <row r="45687">
      <c r="Y45687" s="372">
        <v>0.0</v>
      </c>
      <c r="Z45687" s="372">
        <v>0.0</v>
      </c>
    </row>
    <row r="45688">
      <c r="Y45688" s="372">
        <v>0.0</v>
      </c>
      <c r="Z45688" s="372">
        <v>0.0</v>
      </c>
    </row>
    <row r="45689">
      <c r="Y45689" s="372">
        <v>0.0</v>
      </c>
      <c r="Z45689" s="372">
        <v>0.0</v>
      </c>
    </row>
    <row r="45690">
      <c r="Y45690" s="372">
        <v>0.0</v>
      </c>
      <c r="Z45690" s="372">
        <v>0.0</v>
      </c>
    </row>
    <row r="45691">
      <c r="Y45691" s="372">
        <v>0.0</v>
      </c>
      <c r="Z45691" s="372">
        <v>0.0</v>
      </c>
    </row>
    <row r="45692">
      <c r="Y45692" s="372">
        <v>0.0</v>
      </c>
      <c r="Z45692" s="372">
        <v>0.0</v>
      </c>
    </row>
    <row r="45693">
      <c r="Y45693" s="372">
        <v>0.0</v>
      </c>
      <c r="Z45693" s="372">
        <v>0.0</v>
      </c>
    </row>
    <row r="45694">
      <c r="Y45694" s="372">
        <v>0.0</v>
      </c>
      <c r="Z45694" s="372">
        <v>0.0</v>
      </c>
    </row>
    <row r="45695">
      <c r="Y45695" s="372">
        <v>0.0</v>
      </c>
      <c r="Z45695" s="372">
        <v>0.0</v>
      </c>
    </row>
    <row r="45696">
      <c r="Y45696" s="372">
        <v>0.0</v>
      </c>
      <c r="Z45696" s="372">
        <v>0.0</v>
      </c>
    </row>
    <row r="45697">
      <c r="Y45697" s="372">
        <v>0.0</v>
      </c>
      <c r="Z45697" s="372">
        <v>0.0</v>
      </c>
    </row>
    <row r="45698">
      <c r="Y45698" s="372">
        <v>0.0</v>
      </c>
      <c r="Z45698" s="372">
        <v>0.0</v>
      </c>
    </row>
    <row r="45699">
      <c r="Y45699" s="372">
        <v>0.0</v>
      </c>
      <c r="Z45699" s="372">
        <v>0.0</v>
      </c>
    </row>
    <row r="45700">
      <c r="Y45700" s="372">
        <v>0.0</v>
      </c>
      <c r="Z45700" s="372">
        <v>0.0</v>
      </c>
    </row>
    <row r="45701">
      <c r="Y45701" s="372">
        <v>0.0</v>
      </c>
      <c r="Z45701" s="372">
        <v>0.0</v>
      </c>
    </row>
    <row r="45702">
      <c r="Y45702" s="372">
        <v>0.0</v>
      </c>
      <c r="Z45702" s="372">
        <v>0.0</v>
      </c>
    </row>
    <row r="45703">
      <c r="Y45703" s="372">
        <v>0.0</v>
      </c>
      <c r="Z45703" s="372">
        <v>0.0</v>
      </c>
    </row>
    <row r="45704">
      <c r="Y45704" s="372">
        <v>0.0</v>
      </c>
      <c r="Z45704" s="372">
        <v>0.0</v>
      </c>
    </row>
    <row r="45705">
      <c r="Y45705" s="372">
        <v>0.0</v>
      </c>
      <c r="Z45705" s="372">
        <v>0.0</v>
      </c>
    </row>
    <row r="45706">
      <c r="Y45706" s="372">
        <v>0.0</v>
      </c>
      <c r="Z45706" s="372">
        <v>0.0</v>
      </c>
    </row>
    <row r="45707">
      <c r="Y45707" s="372">
        <v>0.0</v>
      </c>
      <c r="Z45707" s="372">
        <v>0.0</v>
      </c>
    </row>
    <row r="45708">
      <c r="Y45708" s="372">
        <v>0.0</v>
      </c>
      <c r="Z45708" s="372">
        <v>0.0</v>
      </c>
    </row>
    <row r="45709">
      <c r="Y45709" s="372">
        <v>0.0</v>
      </c>
      <c r="Z45709" s="372">
        <v>0.0</v>
      </c>
    </row>
    <row r="45710">
      <c r="Y45710" s="372">
        <v>0.0</v>
      </c>
      <c r="Z45710" s="372">
        <v>0.0</v>
      </c>
    </row>
    <row r="45711">
      <c r="Y45711" s="372">
        <v>0.0</v>
      </c>
      <c r="Z45711" s="372">
        <v>0.0</v>
      </c>
    </row>
    <row r="45712">
      <c r="Y45712" s="372">
        <v>0.0</v>
      </c>
      <c r="Z45712" s="372">
        <v>0.0</v>
      </c>
    </row>
    <row r="45713">
      <c r="Y45713" s="372">
        <v>0.0</v>
      </c>
      <c r="Z45713" s="372">
        <v>0.0</v>
      </c>
    </row>
    <row r="45714">
      <c r="Y45714" s="372">
        <v>0.0</v>
      </c>
      <c r="Z45714" s="372">
        <v>0.0</v>
      </c>
    </row>
    <row r="45715">
      <c r="Y45715" s="372">
        <v>0.0</v>
      </c>
      <c r="Z45715" s="372">
        <v>0.0</v>
      </c>
    </row>
    <row r="45716">
      <c r="Y45716" s="372">
        <v>0.0</v>
      </c>
      <c r="Z45716" s="372">
        <v>0.0</v>
      </c>
    </row>
    <row r="45717">
      <c r="Y45717" s="372">
        <v>0.0</v>
      </c>
      <c r="Z45717" s="372">
        <v>0.0</v>
      </c>
    </row>
    <row r="45718">
      <c r="Y45718" s="372">
        <v>0.0</v>
      </c>
      <c r="Z45718" s="372">
        <v>0.0</v>
      </c>
    </row>
    <row r="45719">
      <c r="Y45719" s="372">
        <v>0.0</v>
      </c>
      <c r="Z45719" s="372">
        <v>0.0</v>
      </c>
    </row>
    <row r="45720">
      <c r="Y45720" s="372">
        <v>0.0</v>
      </c>
      <c r="Z45720" s="372">
        <v>0.0</v>
      </c>
    </row>
    <row r="45721">
      <c r="Y45721" s="372">
        <v>0.0</v>
      </c>
      <c r="Z45721" s="372">
        <v>0.0</v>
      </c>
    </row>
    <row r="45722">
      <c r="Y45722" s="372">
        <v>0.0</v>
      </c>
      <c r="Z45722" s="372">
        <v>0.0</v>
      </c>
    </row>
    <row r="45723">
      <c r="Y45723" s="372">
        <v>0.0</v>
      </c>
      <c r="Z45723" s="372">
        <v>0.0</v>
      </c>
    </row>
    <row r="45724">
      <c r="Y45724" s="372">
        <v>0.0</v>
      </c>
      <c r="Z45724" s="372">
        <v>0.0</v>
      </c>
    </row>
    <row r="45725">
      <c r="Y45725" s="372">
        <v>0.0</v>
      </c>
      <c r="Z45725" s="372">
        <v>0.0</v>
      </c>
    </row>
    <row r="45726">
      <c r="Y45726" s="372">
        <v>0.0</v>
      </c>
      <c r="Z45726" s="372">
        <v>0.0</v>
      </c>
    </row>
    <row r="45727">
      <c r="Y45727" s="372">
        <v>0.0</v>
      </c>
      <c r="Z45727" s="372">
        <v>0.0</v>
      </c>
    </row>
    <row r="45728">
      <c r="Y45728" s="372">
        <v>0.0</v>
      </c>
      <c r="Z45728" s="372">
        <v>0.0</v>
      </c>
    </row>
    <row r="45729">
      <c r="Y45729" s="372">
        <v>0.0</v>
      </c>
      <c r="Z45729" s="372">
        <v>0.0</v>
      </c>
    </row>
    <row r="45730">
      <c r="Y45730" s="372">
        <v>0.0</v>
      </c>
      <c r="Z45730" s="372">
        <v>0.0</v>
      </c>
    </row>
    <row r="45731">
      <c r="Y45731" s="372">
        <v>0.0</v>
      </c>
      <c r="Z45731" s="372">
        <v>0.0</v>
      </c>
    </row>
    <row r="45732">
      <c r="Y45732" s="372">
        <v>0.0</v>
      </c>
      <c r="Z45732" s="372">
        <v>0.0</v>
      </c>
    </row>
    <row r="45733">
      <c r="Y45733" s="372">
        <v>0.0</v>
      </c>
      <c r="Z45733" s="372">
        <v>0.0</v>
      </c>
    </row>
    <row r="45734">
      <c r="Y45734" s="372">
        <v>0.0</v>
      </c>
      <c r="Z45734" s="372">
        <v>0.0</v>
      </c>
    </row>
    <row r="45735">
      <c r="Y45735" s="372">
        <v>0.0</v>
      </c>
      <c r="Z45735" s="372">
        <v>0.0</v>
      </c>
    </row>
    <row r="45736">
      <c r="Y45736" s="372">
        <v>0.0</v>
      </c>
      <c r="Z45736" s="372">
        <v>0.0</v>
      </c>
    </row>
    <row r="45737">
      <c r="Y45737" s="372">
        <v>0.0</v>
      </c>
      <c r="Z45737" s="372">
        <v>0.0</v>
      </c>
    </row>
    <row r="45738">
      <c r="Y45738" s="372">
        <v>0.0</v>
      </c>
      <c r="Z45738" s="372">
        <v>0.0</v>
      </c>
    </row>
    <row r="45739">
      <c r="Y45739" s="372">
        <v>0.0</v>
      </c>
      <c r="Z45739" s="372">
        <v>0.0</v>
      </c>
    </row>
    <row r="45740">
      <c r="Y45740" s="372">
        <v>0.0</v>
      </c>
      <c r="Z45740" s="372">
        <v>0.0</v>
      </c>
    </row>
    <row r="45741">
      <c r="Y45741" s="372">
        <v>0.0</v>
      </c>
      <c r="Z45741" s="372">
        <v>0.0</v>
      </c>
    </row>
    <row r="45742">
      <c r="Y45742" s="372">
        <v>0.0</v>
      </c>
      <c r="Z45742" s="372">
        <v>0.0</v>
      </c>
    </row>
    <row r="45743">
      <c r="Y45743" s="372">
        <v>0.0</v>
      </c>
      <c r="Z45743" s="372">
        <v>0.0</v>
      </c>
    </row>
    <row r="45744">
      <c r="Y45744" s="372">
        <v>0.0</v>
      </c>
      <c r="Z45744" s="372">
        <v>0.0</v>
      </c>
    </row>
    <row r="45745">
      <c r="Y45745" s="372">
        <v>0.0</v>
      </c>
      <c r="Z45745" s="372">
        <v>0.0</v>
      </c>
    </row>
    <row r="45746">
      <c r="Y45746" s="372">
        <v>0.0</v>
      </c>
      <c r="Z45746" s="372">
        <v>0.0</v>
      </c>
    </row>
    <row r="45747">
      <c r="Y45747" s="372">
        <v>0.0</v>
      </c>
      <c r="Z45747" s="372">
        <v>0.0</v>
      </c>
    </row>
    <row r="45748">
      <c r="Y45748" s="372">
        <v>0.0</v>
      </c>
      <c r="Z45748" s="372">
        <v>0.0</v>
      </c>
    </row>
    <row r="45749">
      <c r="Y45749" s="372">
        <v>0.0</v>
      </c>
      <c r="Z45749" s="372">
        <v>0.0</v>
      </c>
    </row>
    <row r="45750">
      <c r="Y45750" s="372">
        <v>0.0</v>
      </c>
      <c r="Z45750" s="372">
        <v>0.0</v>
      </c>
    </row>
    <row r="45751">
      <c r="Y45751" s="372">
        <v>0.0</v>
      </c>
      <c r="Z45751" s="372">
        <v>0.0</v>
      </c>
    </row>
    <row r="45752">
      <c r="Y45752" s="372">
        <v>0.0</v>
      </c>
      <c r="Z45752" s="372">
        <v>0.0</v>
      </c>
    </row>
    <row r="45753">
      <c r="Y45753" s="372">
        <v>0.0</v>
      </c>
      <c r="Z45753" s="372">
        <v>0.0</v>
      </c>
    </row>
    <row r="45754">
      <c r="Y45754" s="372">
        <v>0.0</v>
      </c>
      <c r="Z45754" s="372">
        <v>0.0</v>
      </c>
    </row>
    <row r="45755">
      <c r="Y45755" s="372">
        <v>0.0</v>
      </c>
      <c r="Z45755" s="372">
        <v>0.0</v>
      </c>
    </row>
    <row r="45756">
      <c r="Y45756" s="372">
        <v>0.0</v>
      </c>
      <c r="Z45756" s="372">
        <v>0.0</v>
      </c>
    </row>
    <row r="45757">
      <c r="Y45757" s="372">
        <v>0.0</v>
      </c>
      <c r="Z45757" s="372">
        <v>0.0</v>
      </c>
    </row>
    <row r="45758">
      <c r="Y45758" s="372">
        <v>0.0</v>
      </c>
      <c r="Z45758" s="372">
        <v>0.0</v>
      </c>
    </row>
    <row r="45759">
      <c r="Y45759" s="372">
        <v>0.0</v>
      </c>
      <c r="Z45759" s="372">
        <v>0.0</v>
      </c>
    </row>
    <row r="45760">
      <c r="Y45760" s="372">
        <v>0.0</v>
      </c>
      <c r="Z45760" s="372">
        <v>0.0</v>
      </c>
    </row>
    <row r="45761">
      <c r="Y45761" s="372">
        <v>0.0</v>
      </c>
      <c r="Z45761" s="372">
        <v>0.0</v>
      </c>
    </row>
    <row r="45762">
      <c r="Y45762" s="372">
        <v>0.0</v>
      </c>
      <c r="Z45762" s="372">
        <v>0.0</v>
      </c>
    </row>
    <row r="45763">
      <c r="Y45763" s="372">
        <v>0.0</v>
      </c>
      <c r="Z45763" s="372">
        <v>0.0</v>
      </c>
    </row>
    <row r="45764">
      <c r="Y45764" s="372">
        <v>0.0</v>
      </c>
      <c r="Z45764" s="372">
        <v>0.0</v>
      </c>
    </row>
    <row r="45765">
      <c r="Y45765" s="372">
        <v>0.0</v>
      </c>
      <c r="Z45765" s="372">
        <v>0.0</v>
      </c>
    </row>
    <row r="45766">
      <c r="Y45766" s="372">
        <v>0.0</v>
      </c>
      <c r="Z45766" s="372">
        <v>0.0</v>
      </c>
    </row>
    <row r="45767">
      <c r="Y45767" s="372">
        <v>0.0</v>
      </c>
      <c r="Z45767" s="372">
        <v>0.0</v>
      </c>
    </row>
    <row r="45768">
      <c r="Y45768" s="372">
        <v>0.0</v>
      </c>
      <c r="Z45768" s="372">
        <v>0.0</v>
      </c>
    </row>
    <row r="45769">
      <c r="Y45769" s="372">
        <v>0.0</v>
      </c>
      <c r="Z45769" s="372">
        <v>0.0</v>
      </c>
    </row>
    <row r="45770">
      <c r="Y45770" s="372">
        <v>0.0</v>
      </c>
      <c r="Z45770" s="372">
        <v>0.0</v>
      </c>
    </row>
    <row r="45771">
      <c r="Y45771" s="372">
        <v>0.0</v>
      </c>
      <c r="Z45771" s="372">
        <v>0.0</v>
      </c>
    </row>
    <row r="45772">
      <c r="Y45772" s="372">
        <v>0.0</v>
      </c>
      <c r="Z45772" s="372">
        <v>0.0</v>
      </c>
    </row>
    <row r="45773">
      <c r="Y45773" s="372">
        <v>0.0</v>
      </c>
      <c r="Z45773" s="372">
        <v>0.0</v>
      </c>
    </row>
    <row r="45774">
      <c r="Y45774" s="372">
        <v>0.0</v>
      </c>
      <c r="Z45774" s="372">
        <v>0.0</v>
      </c>
    </row>
    <row r="45775">
      <c r="Y45775" s="372">
        <v>0.0</v>
      </c>
      <c r="Z45775" s="372">
        <v>0.0</v>
      </c>
    </row>
    <row r="45776">
      <c r="Y45776" s="372">
        <v>0.0</v>
      </c>
      <c r="Z45776" s="372">
        <v>0.0</v>
      </c>
    </row>
    <row r="45777">
      <c r="Y45777" s="372">
        <v>0.0</v>
      </c>
      <c r="Z45777" s="372">
        <v>0.0</v>
      </c>
    </row>
    <row r="45778">
      <c r="Y45778" s="372">
        <v>0.0</v>
      </c>
      <c r="Z45778" s="372">
        <v>0.0</v>
      </c>
    </row>
    <row r="45779">
      <c r="Y45779" s="372">
        <v>0.0</v>
      </c>
      <c r="Z45779" s="372">
        <v>0.0</v>
      </c>
    </row>
    <row r="45780">
      <c r="Y45780" s="372">
        <v>0.0</v>
      </c>
      <c r="Z45780" s="372">
        <v>0.0</v>
      </c>
    </row>
    <row r="45781">
      <c r="Y45781" s="372">
        <v>0.0</v>
      </c>
      <c r="Z45781" s="372">
        <v>0.0</v>
      </c>
    </row>
    <row r="45782">
      <c r="Y45782" s="372">
        <v>0.0</v>
      </c>
      <c r="Z45782" s="372">
        <v>0.0</v>
      </c>
    </row>
    <row r="45783">
      <c r="Y45783" s="372">
        <v>0.0</v>
      </c>
      <c r="Z45783" s="372">
        <v>0.0</v>
      </c>
    </row>
    <row r="45784">
      <c r="Y45784" s="372">
        <v>0.0</v>
      </c>
      <c r="Z45784" s="372">
        <v>0.0</v>
      </c>
    </row>
    <row r="45785">
      <c r="Y45785" s="372">
        <v>0.0</v>
      </c>
      <c r="Z45785" s="372">
        <v>0.0</v>
      </c>
    </row>
    <row r="45786">
      <c r="Y45786" s="372">
        <v>0.0</v>
      </c>
      <c r="Z45786" s="372">
        <v>0.0</v>
      </c>
    </row>
    <row r="45787">
      <c r="Y45787" s="372">
        <v>0.0</v>
      </c>
      <c r="Z45787" s="372">
        <v>0.0</v>
      </c>
    </row>
    <row r="45788">
      <c r="Y45788" s="372">
        <v>0.0</v>
      </c>
      <c r="Z45788" s="372">
        <v>0.0</v>
      </c>
    </row>
    <row r="45789">
      <c r="Y45789" s="372">
        <v>0.0</v>
      </c>
      <c r="Z45789" s="372">
        <v>0.0</v>
      </c>
    </row>
    <row r="45790">
      <c r="Y45790" s="372">
        <v>0.0</v>
      </c>
      <c r="Z45790" s="372">
        <v>0.0</v>
      </c>
    </row>
    <row r="45791">
      <c r="Y45791" s="372">
        <v>0.0</v>
      </c>
      <c r="Z45791" s="372">
        <v>0.0</v>
      </c>
    </row>
    <row r="45792">
      <c r="Y45792" s="372">
        <v>0.0</v>
      </c>
      <c r="Z45792" s="372">
        <v>0.0</v>
      </c>
    </row>
    <row r="45793">
      <c r="Y45793" s="372">
        <v>0.0</v>
      </c>
      <c r="Z45793" s="372">
        <v>0.0</v>
      </c>
    </row>
    <row r="45794">
      <c r="Y45794" s="372">
        <v>0.0</v>
      </c>
      <c r="Z45794" s="372">
        <v>0.0</v>
      </c>
    </row>
    <row r="45795">
      <c r="Y45795" s="372">
        <v>0.0</v>
      </c>
      <c r="Z45795" s="372">
        <v>0.0</v>
      </c>
    </row>
    <row r="45796">
      <c r="Y45796" s="372">
        <v>0.0</v>
      </c>
      <c r="Z45796" s="372">
        <v>0.0</v>
      </c>
    </row>
    <row r="45797">
      <c r="Y45797" s="372">
        <v>0.0</v>
      </c>
      <c r="Z45797" s="372">
        <v>0.0</v>
      </c>
    </row>
    <row r="45798">
      <c r="Y45798" s="372">
        <v>0.0</v>
      </c>
      <c r="Z45798" s="372">
        <v>0.0</v>
      </c>
    </row>
    <row r="45799">
      <c r="Y45799" s="372">
        <v>0.0</v>
      </c>
      <c r="Z45799" s="372">
        <v>0.0</v>
      </c>
    </row>
    <row r="45800">
      <c r="Y45800" s="372">
        <v>0.0</v>
      </c>
      <c r="Z45800" s="372">
        <v>0.0</v>
      </c>
    </row>
    <row r="45801">
      <c r="Y45801" s="372">
        <v>0.0</v>
      </c>
      <c r="Z45801" s="372">
        <v>0.0</v>
      </c>
    </row>
    <row r="45802">
      <c r="Y45802" s="372">
        <v>0.0</v>
      </c>
      <c r="Z45802" s="372">
        <v>0.0</v>
      </c>
    </row>
    <row r="45803">
      <c r="Y45803" s="372">
        <v>0.0</v>
      </c>
      <c r="Z45803" s="372">
        <v>0.0</v>
      </c>
    </row>
    <row r="45804">
      <c r="Y45804" s="372">
        <v>0.0</v>
      </c>
      <c r="Z45804" s="372">
        <v>0.0</v>
      </c>
    </row>
    <row r="45805">
      <c r="Y45805" s="372">
        <v>0.0</v>
      </c>
      <c r="Z45805" s="372">
        <v>0.0</v>
      </c>
    </row>
    <row r="45806">
      <c r="Y45806" s="372">
        <v>0.0</v>
      </c>
      <c r="Z45806" s="372">
        <v>0.0</v>
      </c>
    </row>
    <row r="45807">
      <c r="Y45807" s="372">
        <v>0.0</v>
      </c>
      <c r="Z45807" s="372">
        <v>0.0</v>
      </c>
    </row>
    <row r="45808">
      <c r="Y45808" s="372">
        <v>0.0</v>
      </c>
      <c r="Z45808" s="372">
        <v>0.0</v>
      </c>
    </row>
    <row r="45809">
      <c r="Y45809" s="372">
        <v>0.0</v>
      </c>
      <c r="Z45809" s="372">
        <v>0.0</v>
      </c>
    </row>
    <row r="45810">
      <c r="Y45810" s="372">
        <v>0.0</v>
      </c>
      <c r="Z45810" s="372">
        <v>0.0</v>
      </c>
    </row>
    <row r="45811">
      <c r="Y45811" s="372">
        <v>0.0</v>
      </c>
      <c r="Z45811" s="372">
        <v>0.0</v>
      </c>
    </row>
    <row r="45812">
      <c r="Y45812" s="372">
        <v>0.0</v>
      </c>
      <c r="Z45812" s="372">
        <v>0.0</v>
      </c>
    </row>
    <row r="45813">
      <c r="Y45813" s="372">
        <v>0.0</v>
      </c>
      <c r="Z45813" s="372">
        <v>0.0</v>
      </c>
    </row>
    <row r="45814">
      <c r="Y45814" s="372">
        <v>0.0</v>
      </c>
      <c r="Z45814" s="372">
        <v>0.0</v>
      </c>
    </row>
    <row r="45815">
      <c r="Y45815" s="372">
        <v>0.0</v>
      </c>
      <c r="Z45815" s="372">
        <v>0.0</v>
      </c>
    </row>
    <row r="45816">
      <c r="Y45816" s="372">
        <v>0.0</v>
      </c>
      <c r="Z45816" s="372">
        <v>0.0</v>
      </c>
    </row>
    <row r="45817">
      <c r="Y45817" s="372">
        <v>0.0</v>
      </c>
      <c r="Z45817" s="372">
        <v>0.0</v>
      </c>
    </row>
    <row r="45818">
      <c r="Y45818" s="372">
        <v>0.0</v>
      </c>
      <c r="Z45818" s="372">
        <v>0.0</v>
      </c>
    </row>
    <row r="45819">
      <c r="Y45819" s="372">
        <v>0.0</v>
      </c>
      <c r="Z45819" s="372">
        <v>0.0</v>
      </c>
    </row>
    <row r="45820">
      <c r="Y45820" s="372">
        <v>0.0</v>
      </c>
      <c r="Z45820" s="372">
        <v>0.0</v>
      </c>
    </row>
    <row r="45821">
      <c r="Y45821" s="372">
        <v>0.0</v>
      </c>
      <c r="Z45821" s="372">
        <v>0.0</v>
      </c>
    </row>
    <row r="45822">
      <c r="Y45822" s="372">
        <v>0.0</v>
      </c>
      <c r="Z45822" s="372">
        <v>0.0</v>
      </c>
    </row>
    <row r="45823">
      <c r="Y45823" s="372">
        <v>0.0</v>
      </c>
      <c r="Z45823" s="372">
        <v>0.0</v>
      </c>
    </row>
    <row r="45824">
      <c r="Y45824" s="372">
        <v>0.0</v>
      </c>
      <c r="Z45824" s="372">
        <v>0.0</v>
      </c>
    </row>
    <row r="45825">
      <c r="Y45825" s="372">
        <v>0.0</v>
      </c>
      <c r="Z45825" s="372">
        <v>0.0</v>
      </c>
    </row>
    <row r="45826">
      <c r="Y45826" s="372">
        <v>0.0</v>
      </c>
      <c r="Z45826" s="372">
        <v>0.0</v>
      </c>
    </row>
    <row r="45827">
      <c r="Y45827" s="372">
        <v>0.0</v>
      </c>
      <c r="Z45827" s="372">
        <v>0.0</v>
      </c>
    </row>
    <row r="45828">
      <c r="Y45828" s="372">
        <v>0.0</v>
      </c>
      <c r="Z45828" s="372">
        <v>0.0</v>
      </c>
    </row>
    <row r="45829">
      <c r="Y45829" s="372">
        <v>0.0</v>
      </c>
      <c r="Z45829" s="372">
        <v>0.0</v>
      </c>
    </row>
    <row r="45830">
      <c r="Y45830" s="372">
        <v>0.0</v>
      </c>
      <c r="Z45830" s="372">
        <v>0.0</v>
      </c>
    </row>
    <row r="45831">
      <c r="Y45831" s="372">
        <v>0.0</v>
      </c>
      <c r="Z45831" s="372">
        <v>0.0</v>
      </c>
    </row>
    <row r="45832">
      <c r="Y45832" s="372">
        <v>0.0</v>
      </c>
      <c r="Z45832" s="372">
        <v>0.0</v>
      </c>
    </row>
    <row r="45833">
      <c r="Y45833" s="372">
        <v>0.0</v>
      </c>
      <c r="Z45833" s="372">
        <v>0.0</v>
      </c>
    </row>
    <row r="45834">
      <c r="Y45834" s="372">
        <v>0.0</v>
      </c>
      <c r="Z45834" s="372">
        <v>0.0</v>
      </c>
    </row>
    <row r="45835">
      <c r="Y45835" s="372">
        <v>0.0</v>
      </c>
      <c r="Z45835" s="372">
        <v>0.0</v>
      </c>
    </row>
    <row r="45836">
      <c r="Y45836" s="372">
        <v>0.0</v>
      </c>
      <c r="Z45836" s="372">
        <v>0.0</v>
      </c>
    </row>
    <row r="45837">
      <c r="Y45837" s="372">
        <v>0.0</v>
      </c>
      <c r="Z45837" s="372">
        <v>0.0</v>
      </c>
    </row>
    <row r="45838">
      <c r="Y45838" s="372">
        <v>0.0</v>
      </c>
      <c r="Z45838" s="372">
        <v>0.0</v>
      </c>
    </row>
    <row r="45839">
      <c r="Y45839" s="372">
        <v>0.0</v>
      </c>
      <c r="Z45839" s="372">
        <v>0.0</v>
      </c>
    </row>
    <row r="45840">
      <c r="Y45840" s="372">
        <v>0.0</v>
      </c>
      <c r="Z45840" s="372">
        <v>0.0</v>
      </c>
    </row>
    <row r="45841">
      <c r="Y45841" s="372">
        <v>0.0</v>
      </c>
      <c r="Z45841" s="372">
        <v>0.0</v>
      </c>
    </row>
    <row r="45842">
      <c r="Y45842" s="372">
        <v>0.0</v>
      </c>
      <c r="Z45842" s="372">
        <v>0.0</v>
      </c>
    </row>
    <row r="45843">
      <c r="Y45843" s="372">
        <v>0.0</v>
      </c>
      <c r="Z45843" s="372">
        <v>0.0</v>
      </c>
    </row>
    <row r="45844">
      <c r="Y45844" s="372">
        <v>0.0</v>
      </c>
      <c r="Z45844" s="372">
        <v>0.0</v>
      </c>
    </row>
    <row r="45845">
      <c r="Y45845" s="372">
        <v>0.0</v>
      </c>
      <c r="Z45845" s="372">
        <v>0.0</v>
      </c>
    </row>
    <row r="45846">
      <c r="Y45846" s="372">
        <v>0.0</v>
      </c>
      <c r="Z45846" s="372">
        <v>0.0</v>
      </c>
    </row>
    <row r="45847">
      <c r="Y45847" s="372">
        <v>0.0</v>
      </c>
      <c r="Z45847" s="372">
        <v>0.0</v>
      </c>
    </row>
    <row r="45848">
      <c r="Y45848" s="372">
        <v>0.0</v>
      </c>
      <c r="Z45848" s="372">
        <v>0.0</v>
      </c>
    </row>
    <row r="45849">
      <c r="Y45849" s="372">
        <v>0.0</v>
      </c>
      <c r="Z45849" s="372">
        <v>0.0</v>
      </c>
    </row>
    <row r="45850">
      <c r="Y45850" s="372">
        <v>0.0</v>
      </c>
      <c r="Z45850" s="372">
        <v>0.0</v>
      </c>
    </row>
    <row r="45851">
      <c r="Y45851" s="372">
        <v>0.0</v>
      </c>
      <c r="Z45851" s="372">
        <v>0.0</v>
      </c>
    </row>
    <row r="45852">
      <c r="Y45852" s="372">
        <v>0.0</v>
      </c>
      <c r="Z45852" s="372">
        <v>0.0</v>
      </c>
    </row>
    <row r="45853">
      <c r="Y45853" s="372">
        <v>0.0</v>
      </c>
      <c r="Z45853" s="372">
        <v>0.0</v>
      </c>
    </row>
    <row r="45854">
      <c r="Y45854" s="372">
        <v>0.0</v>
      </c>
      <c r="Z45854" s="372">
        <v>0.0</v>
      </c>
    </row>
    <row r="45855">
      <c r="Y45855" s="372">
        <v>0.0</v>
      </c>
      <c r="Z45855" s="372">
        <v>0.0</v>
      </c>
    </row>
    <row r="45856">
      <c r="Y45856" s="372">
        <v>0.0</v>
      </c>
      <c r="Z45856" s="372">
        <v>0.0</v>
      </c>
    </row>
    <row r="45857">
      <c r="Y45857" s="372">
        <v>0.0</v>
      </c>
      <c r="Z45857" s="372">
        <v>0.0</v>
      </c>
    </row>
    <row r="45858">
      <c r="Y45858" s="372">
        <v>0.0</v>
      </c>
      <c r="Z45858" s="372">
        <v>0.0</v>
      </c>
    </row>
    <row r="45859">
      <c r="Y45859" s="372">
        <v>0.0</v>
      </c>
      <c r="Z45859" s="372">
        <v>0.0</v>
      </c>
    </row>
    <row r="45860">
      <c r="Y45860" s="372">
        <v>0.0</v>
      </c>
      <c r="Z45860" s="372">
        <v>0.0</v>
      </c>
    </row>
    <row r="45861">
      <c r="Y45861" s="372">
        <v>0.0</v>
      </c>
      <c r="Z45861" s="372">
        <v>0.0</v>
      </c>
    </row>
    <row r="45862">
      <c r="Y45862" s="372">
        <v>0.0</v>
      </c>
      <c r="Z45862" s="372">
        <v>0.0</v>
      </c>
    </row>
    <row r="45863">
      <c r="Y45863" s="372">
        <v>0.0</v>
      </c>
      <c r="Z45863" s="372">
        <v>0.0</v>
      </c>
    </row>
    <row r="45864">
      <c r="Y45864" s="372">
        <v>0.0</v>
      </c>
      <c r="Z45864" s="372">
        <v>0.0</v>
      </c>
    </row>
    <row r="45865">
      <c r="Y45865" s="372">
        <v>0.0</v>
      </c>
      <c r="Z45865" s="372">
        <v>0.0</v>
      </c>
    </row>
    <row r="45866">
      <c r="Y45866" s="372">
        <v>0.0</v>
      </c>
      <c r="Z45866" s="372">
        <v>0.0</v>
      </c>
    </row>
    <row r="45867">
      <c r="Y45867" s="372">
        <v>0.0</v>
      </c>
      <c r="Z45867" s="372">
        <v>0.0</v>
      </c>
    </row>
    <row r="45868">
      <c r="Y45868" s="372">
        <v>0.0</v>
      </c>
      <c r="Z45868" s="372">
        <v>0.0</v>
      </c>
    </row>
    <row r="45869">
      <c r="Y45869" s="372">
        <v>0.0</v>
      </c>
      <c r="Z45869" s="372">
        <v>0.0</v>
      </c>
    </row>
    <row r="45870">
      <c r="Y45870" s="372">
        <v>0.0</v>
      </c>
      <c r="Z45870" s="372">
        <v>0.0</v>
      </c>
    </row>
    <row r="45871">
      <c r="Y45871" s="372">
        <v>0.0</v>
      </c>
      <c r="Z45871" s="372">
        <v>0.0</v>
      </c>
    </row>
    <row r="45872">
      <c r="Y45872" s="372">
        <v>0.0</v>
      </c>
      <c r="Z45872" s="372">
        <v>0.0</v>
      </c>
    </row>
    <row r="45873">
      <c r="Y45873" s="372">
        <v>0.0</v>
      </c>
      <c r="Z45873" s="372">
        <v>0.0</v>
      </c>
    </row>
    <row r="45874">
      <c r="Y45874" s="372">
        <v>0.0</v>
      </c>
      <c r="Z45874" s="372">
        <v>0.0</v>
      </c>
    </row>
    <row r="45875">
      <c r="Y45875" s="372">
        <v>0.0</v>
      </c>
      <c r="Z45875" s="372">
        <v>0.0</v>
      </c>
    </row>
    <row r="45876">
      <c r="Y45876" s="372">
        <v>0.0</v>
      </c>
      <c r="Z45876" s="372">
        <v>0.0</v>
      </c>
    </row>
    <row r="45877">
      <c r="Y45877" s="372">
        <v>0.0</v>
      </c>
      <c r="Z45877" s="372">
        <v>0.0</v>
      </c>
    </row>
    <row r="45878">
      <c r="Y45878" s="372">
        <v>0.0</v>
      </c>
      <c r="Z45878" s="372">
        <v>0.0</v>
      </c>
    </row>
    <row r="45879">
      <c r="Y45879" s="372">
        <v>0.0</v>
      </c>
      <c r="Z45879" s="372">
        <v>0.0</v>
      </c>
    </row>
    <row r="45880">
      <c r="Y45880" s="372">
        <v>0.0</v>
      </c>
      <c r="Z45880" s="372">
        <v>0.0</v>
      </c>
    </row>
    <row r="45881">
      <c r="Y45881" s="372">
        <v>0.0</v>
      </c>
      <c r="Z45881" s="372">
        <v>0.0</v>
      </c>
    </row>
    <row r="45882">
      <c r="Y45882" s="372">
        <v>0.0</v>
      </c>
      <c r="Z45882" s="372">
        <v>0.0</v>
      </c>
    </row>
    <row r="45883">
      <c r="Y45883" s="372">
        <v>0.0</v>
      </c>
      <c r="Z45883" s="372">
        <v>0.0</v>
      </c>
    </row>
    <row r="45884">
      <c r="Y45884" s="372">
        <v>0.0</v>
      </c>
      <c r="Z45884" s="372">
        <v>0.0</v>
      </c>
    </row>
    <row r="45885">
      <c r="Y45885" s="372">
        <v>0.0</v>
      </c>
      <c r="Z45885" s="372">
        <v>0.0</v>
      </c>
    </row>
    <row r="45886">
      <c r="Y45886" s="372">
        <v>0.0</v>
      </c>
      <c r="Z45886" s="372">
        <v>0.0</v>
      </c>
    </row>
    <row r="45887">
      <c r="Y45887" s="372">
        <v>0.0</v>
      </c>
      <c r="Z45887" s="372">
        <v>0.0</v>
      </c>
    </row>
    <row r="45888">
      <c r="Y45888" s="372">
        <v>0.0</v>
      </c>
      <c r="Z45888" s="372">
        <v>0.0</v>
      </c>
    </row>
    <row r="45889">
      <c r="Y45889" s="372">
        <v>0.0</v>
      </c>
      <c r="Z45889" s="372">
        <v>0.0</v>
      </c>
    </row>
    <row r="45890">
      <c r="Y45890" s="372">
        <v>0.0</v>
      </c>
      <c r="Z45890" s="372">
        <v>0.0</v>
      </c>
    </row>
    <row r="45891">
      <c r="Y45891" s="372">
        <v>0.0</v>
      </c>
      <c r="Z45891" s="372">
        <v>0.0</v>
      </c>
    </row>
    <row r="45892">
      <c r="Y45892" s="372">
        <v>0.0</v>
      </c>
      <c r="Z45892" s="372">
        <v>0.0</v>
      </c>
    </row>
    <row r="45893">
      <c r="Y45893" s="372">
        <v>0.0</v>
      </c>
      <c r="Z45893" s="372">
        <v>0.0</v>
      </c>
    </row>
    <row r="45894">
      <c r="Y45894" s="372">
        <v>0.0</v>
      </c>
      <c r="Z45894" s="372">
        <v>0.0</v>
      </c>
    </row>
    <row r="45895">
      <c r="Y45895" s="372">
        <v>0.0</v>
      </c>
      <c r="Z45895" s="372">
        <v>0.0</v>
      </c>
    </row>
    <row r="45896">
      <c r="Y45896" s="372">
        <v>0.0</v>
      </c>
      <c r="Z45896" s="372">
        <v>0.0</v>
      </c>
    </row>
    <row r="45897">
      <c r="Y45897" s="372">
        <v>0.0</v>
      </c>
      <c r="Z45897" s="372">
        <v>0.0</v>
      </c>
    </row>
    <row r="45898">
      <c r="Y45898" s="372">
        <v>0.0</v>
      </c>
      <c r="Z45898" s="372">
        <v>0.0</v>
      </c>
    </row>
    <row r="45899">
      <c r="Y45899" s="372">
        <v>0.0</v>
      </c>
      <c r="Z45899" s="372">
        <v>0.0</v>
      </c>
    </row>
    <row r="45900">
      <c r="Y45900" s="372">
        <v>0.0</v>
      </c>
      <c r="Z45900" s="372">
        <v>0.0</v>
      </c>
    </row>
    <row r="45901">
      <c r="Y45901" s="372">
        <v>0.0</v>
      </c>
      <c r="Z45901" s="372">
        <v>0.0</v>
      </c>
    </row>
    <row r="45902">
      <c r="Y45902" s="372">
        <v>0.0</v>
      </c>
      <c r="Z45902" s="372">
        <v>0.0</v>
      </c>
    </row>
    <row r="45903">
      <c r="Y45903" s="372">
        <v>0.0</v>
      </c>
      <c r="Z45903" s="372">
        <v>0.0</v>
      </c>
    </row>
    <row r="45904">
      <c r="Y45904" s="372">
        <v>0.0</v>
      </c>
      <c r="Z45904" s="372">
        <v>0.0</v>
      </c>
    </row>
    <row r="45905">
      <c r="Y45905" s="372">
        <v>0.0</v>
      </c>
      <c r="Z45905" s="372">
        <v>0.0</v>
      </c>
    </row>
    <row r="45906">
      <c r="Y45906" s="372">
        <v>0.0</v>
      </c>
      <c r="Z45906" s="372">
        <v>0.0</v>
      </c>
    </row>
    <row r="45907">
      <c r="Y45907" s="372">
        <v>0.0</v>
      </c>
      <c r="Z45907" s="372">
        <v>0.0</v>
      </c>
    </row>
    <row r="45908">
      <c r="Y45908" s="372">
        <v>0.0</v>
      </c>
      <c r="Z45908" s="372">
        <v>0.0</v>
      </c>
    </row>
    <row r="45909">
      <c r="Y45909" s="372">
        <v>0.0</v>
      </c>
      <c r="Z45909" s="372">
        <v>0.0</v>
      </c>
    </row>
    <row r="45910">
      <c r="Y45910" s="372">
        <v>0.0</v>
      </c>
      <c r="Z45910" s="372">
        <v>0.0</v>
      </c>
    </row>
    <row r="45911">
      <c r="Y45911" s="372">
        <v>0.0</v>
      </c>
      <c r="Z45911" s="372">
        <v>0.0</v>
      </c>
    </row>
    <row r="45912">
      <c r="Y45912" s="372">
        <v>0.0</v>
      </c>
      <c r="Z45912" s="372">
        <v>0.0</v>
      </c>
    </row>
    <row r="45913">
      <c r="Y45913" s="372">
        <v>0.0</v>
      </c>
      <c r="Z45913" s="372">
        <v>0.0</v>
      </c>
    </row>
    <row r="45914">
      <c r="Y45914" s="372">
        <v>0.0</v>
      </c>
      <c r="Z45914" s="372">
        <v>0.0</v>
      </c>
    </row>
    <row r="45915">
      <c r="Y45915" s="372">
        <v>0.0</v>
      </c>
      <c r="Z45915" s="372">
        <v>0.0</v>
      </c>
    </row>
    <row r="45916">
      <c r="Y45916" s="372">
        <v>0.0</v>
      </c>
      <c r="Z45916" s="372">
        <v>0.0</v>
      </c>
    </row>
    <row r="45917">
      <c r="Y45917" s="372">
        <v>0.0</v>
      </c>
      <c r="Z45917" s="372">
        <v>0.0</v>
      </c>
    </row>
    <row r="45918">
      <c r="Y45918" s="372">
        <v>0.0</v>
      </c>
      <c r="Z45918" s="372">
        <v>0.0</v>
      </c>
    </row>
    <row r="45919">
      <c r="Y45919" s="372">
        <v>0.0</v>
      </c>
      <c r="Z45919" s="372">
        <v>0.0</v>
      </c>
    </row>
    <row r="45920">
      <c r="Y45920" s="372">
        <v>0.0</v>
      </c>
      <c r="Z45920" s="372">
        <v>0.0</v>
      </c>
    </row>
    <row r="45921">
      <c r="Y45921" s="372">
        <v>0.0</v>
      </c>
      <c r="Z45921" s="372">
        <v>0.0</v>
      </c>
    </row>
    <row r="45922">
      <c r="Y45922" s="372">
        <v>0.0</v>
      </c>
      <c r="Z45922" s="372">
        <v>0.0</v>
      </c>
    </row>
    <row r="45923">
      <c r="Y45923" s="372">
        <v>0.0</v>
      </c>
      <c r="Z45923" s="372">
        <v>0.0</v>
      </c>
    </row>
    <row r="45924">
      <c r="Y45924" s="372">
        <v>0.0</v>
      </c>
      <c r="Z45924" s="372">
        <v>0.0</v>
      </c>
    </row>
    <row r="45925">
      <c r="Y45925" s="372">
        <v>0.0</v>
      </c>
      <c r="Z45925" s="372">
        <v>0.0</v>
      </c>
    </row>
    <row r="45926">
      <c r="Y45926" s="372">
        <v>0.0</v>
      </c>
      <c r="Z45926" s="372">
        <v>0.0</v>
      </c>
    </row>
    <row r="45927">
      <c r="Y45927" s="372">
        <v>0.0</v>
      </c>
      <c r="Z45927" s="372">
        <v>0.0</v>
      </c>
    </row>
    <row r="45928">
      <c r="Y45928" s="372">
        <v>0.0</v>
      </c>
      <c r="Z45928" s="372">
        <v>0.0</v>
      </c>
    </row>
    <row r="45929">
      <c r="Y45929" s="372">
        <v>0.0</v>
      </c>
      <c r="Z45929" s="372">
        <v>0.0</v>
      </c>
    </row>
    <row r="45930">
      <c r="Y45930" s="372">
        <v>0.0</v>
      </c>
      <c r="Z45930" s="372">
        <v>0.0</v>
      </c>
    </row>
    <row r="45931">
      <c r="Y45931" s="372">
        <v>0.0</v>
      </c>
      <c r="Z45931" s="372">
        <v>0.0</v>
      </c>
    </row>
    <row r="45932">
      <c r="Y45932" s="372">
        <v>0.0</v>
      </c>
      <c r="Z45932" s="372">
        <v>0.0</v>
      </c>
    </row>
    <row r="45933">
      <c r="Y45933" s="372">
        <v>0.0</v>
      </c>
      <c r="Z45933" s="372">
        <v>0.0</v>
      </c>
    </row>
    <row r="45934">
      <c r="Y45934" s="372">
        <v>0.0</v>
      </c>
      <c r="Z45934" s="372">
        <v>0.0</v>
      </c>
    </row>
    <row r="45935">
      <c r="Y45935" s="372">
        <v>0.0</v>
      </c>
      <c r="Z45935" s="372">
        <v>0.0</v>
      </c>
    </row>
    <row r="45936">
      <c r="Y45936" s="372">
        <v>0.0</v>
      </c>
      <c r="Z45936" s="372">
        <v>0.0</v>
      </c>
    </row>
    <row r="45937">
      <c r="Y45937" s="372">
        <v>0.0</v>
      </c>
      <c r="Z45937" s="372">
        <v>0.0</v>
      </c>
    </row>
    <row r="45938">
      <c r="Y45938" s="372">
        <v>0.0</v>
      </c>
      <c r="Z45938" s="372">
        <v>0.0</v>
      </c>
    </row>
    <row r="45939">
      <c r="Y45939" s="372">
        <v>0.0</v>
      </c>
      <c r="Z45939" s="372">
        <v>0.0</v>
      </c>
    </row>
    <row r="45940">
      <c r="Y45940" s="372">
        <v>0.0</v>
      </c>
      <c r="Z45940" s="372">
        <v>0.0</v>
      </c>
    </row>
    <row r="45941">
      <c r="Y45941" s="372">
        <v>0.0</v>
      </c>
      <c r="Z45941" s="372">
        <v>0.0</v>
      </c>
    </row>
    <row r="45942">
      <c r="Y45942" s="372">
        <v>0.0</v>
      </c>
      <c r="Z45942" s="372">
        <v>0.0</v>
      </c>
    </row>
    <row r="45943">
      <c r="Y45943" s="372">
        <v>0.0</v>
      </c>
      <c r="Z45943" s="372">
        <v>0.0</v>
      </c>
    </row>
    <row r="45944">
      <c r="Y45944" s="372">
        <v>0.0</v>
      </c>
      <c r="Z45944" s="372">
        <v>0.0</v>
      </c>
    </row>
    <row r="45945">
      <c r="Y45945" s="372">
        <v>0.0</v>
      </c>
      <c r="Z45945" s="372">
        <v>0.0</v>
      </c>
    </row>
    <row r="45946">
      <c r="Y45946" s="372">
        <v>0.0</v>
      </c>
      <c r="Z45946" s="372">
        <v>0.0</v>
      </c>
    </row>
    <row r="45947">
      <c r="Y45947" s="372">
        <v>0.0</v>
      </c>
      <c r="Z45947" s="372">
        <v>0.0</v>
      </c>
    </row>
    <row r="45948">
      <c r="Y45948" s="372">
        <v>0.0</v>
      </c>
      <c r="Z45948" s="372">
        <v>0.0</v>
      </c>
    </row>
    <row r="45949">
      <c r="Y45949" s="372">
        <v>0.0</v>
      </c>
      <c r="Z45949" s="372">
        <v>0.0</v>
      </c>
    </row>
    <row r="45950">
      <c r="Y45950" s="372">
        <v>0.0</v>
      </c>
      <c r="Z45950" s="372">
        <v>0.0</v>
      </c>
    </row>
    <row r="45951">
      <c r="Y45951" s="372">
        <v>0.0</v>
      </c>
      <c r="Z45951" s="372">
        <v>0.0</v>
      </c>
    </row>
    <row r="45952">
      <c r="Y45952" s="372">
        <v>0.0</v>
      </c>
      <c r="Z45952" s="372">
        <v>0.0</v>
      </c>
    </row>
    <row r="45953">
      <c r="Y45953" s="372">
        <v>0.0</v>
      </c>
      <c r="Z45953" s="372">
        <v>0.0</v>
      </c>
    </row>
    <row r="45954">
      <c r="Y45954" s="372">
        <v>0.0</v>
      </c>
      <c r="Z45954" s="372">
        <v>0.0</v>
      </c>
    </row>
    <row r="45955">
      <c r="Y45955" s="372">
        <v>0.0</v>
      </c>
      <c r="Z45955" s="372">
        <v>0.0</v>
      </c>
    </row>
    <row r="45956">
      <c r="Y45956" s="372">
        <v>0.0</v>
      </c>
      <c r="Z45956" s="372">
        <v>0.0</v>
      </c>
    </row>
    <row r="45957">
      <c r="Y45957" s="372">
        <v>0.0</v>
      </c>
      <c r="Z45957" s="372">
        <v>0.0</v>
      </c>
    </row>
    <row r="45958">
      <c r="Y45958" s="372">
        <v>0.0</v>
      </c>
      <c r="Z45958" s="372">
        <v>0.0</v>
      </c>
    </row>
    <row r="45959">
      <c r="Y45959" s="372">
        <v>0.0</v>
      </c>
      <c r="Z45959" s="372">
        <v>0.0</v>
      </c>
    </row>
    <row r="45960">
      <c r="Y45960" s="372">
        <v>0.0</v>
      </c>
      <c r="Z45960" s="372">
        <v>0.0</v>
      </c>
    </row>
    <row r="45961">
      <c r="Y45961" s="372">
        <v>0.0</v>
      </c>
      <c r="Z45961" s="372">
        <v>0.0</v>
      </c>
    </row>
    <row r="45962">
      <c r="Y45962" s="372">
        <v>0.0</v>
      </c>
      <c r="Z45962" s="372">
        <v>0.0</v>
      </c>
    </row>
    <row r="45963">
      <c r="Y45963" s="372">
        <v>0.0</v>
      </c>
      <c r="Z45963" s="372">
        <v>0.0</v>
      </c>
    </row>
    <row r="45964">
      <c r="Y45964" s="372">
        <v>0.0</v>
      </c>
      <c r="Z45964" s="372">
        <v>0.0</v>
      </c>
    </row>
    <row r="45965">
      <c r="Y45965" s="372">
        <v>0.0</v>
      </c>
      <c r="Z45965" s="372">
        <v>0.0</v>
      </c>
    </row>
    <row r="45966">
      <c r="Y45966" s="372">
        <v>0.0</v>
      </c>
      <c r="Z45966" s="372">
        <v>0.0</v>
      </c>
    </row>
    <row r="45967">
      <c r="Y45967" s="372">
        <v>0.0</v>
      </c>
      <c r="Z45967" s="372">
        <v>0.0</v>
      </c>
    </row>
    <row r="45968">
      <c r="Y45968" s="372">
        <v>0.0</v>
      </c>
      <c r="Z45968" s="372">
        <v>0.0</v>
      </c>
    </row>
    <row r="45969">
      <c r="Y45969" s="372">
        <v>0.0</v>
      </c>
      <c r="Z45969" s="372">
        <v>0.0</v>
      </c>
    </row>
    <row r="45970">
      <c r="Y45970" s="372">
        <v>0.0</v>
      </c>
      <c r="Z45970" s="372">
        <v>0.0</v>
      </c>
    </row>
    <row r="45971">
      <c r="Y45971" s="372">
        <v>0.0</v>
      </c>
      <c r="Z45971" s="372">
        <v>0.0</v>
      </c>
    </row>
    <row r="45972">
      <c r="Y45972" s="372">
        <v>0.0</v>
      </c>
      <c r="Z45972" s="372">
        <v>0.0</v>
      </c>
    </row>
    <row r="45973">
      <c r="Y45973" s="372">
        <v>0.0</v>
      </c>
      <c r="Z45973" s="372">
        <v>0.0</v>
      </c>
    </row>
    <row r="45974">
      <c r="Y45974" s="372">
        <v>0.0</v>
      </c>
      <c r="Z45974" s="372">
        <v>0.0</v>
      </c>
    </row>
    <row r="45975">
      <c r="Y45975" s="372">
        <v>0.0</v>
      </c>
      <c r="Z45975" s="372">
        <v>0.0</v>
      </c>
    </row>
    <row r="45976">
      <c r="Y45976" s="372">
        <v>0.0</v>
      </c>
      <c r="Z45976" s="372">
        <v>0.0</v>
      </c>
    </row>
    <row r="45977">
      <c r="Y45977" s="372">
        <v>0.0</v>
      </c>
      <c r="Z45977" s="372">
        <v>0.0</v>
      </c>
    </row>
    <row r="45978">
      <c r="Y45978" s="372">
        <v>0.0</v>
      </c>
      <c r="Z45978" s="372">
        <v>0.0</v>
      </c>
    </row>
    <row r="45979">
      <c r="Y45979" s="372">
        <v>0.0</v>
      </c>
      <c r="Z45979" s="372">
        <v>0.0</v>
      </c>
    </row>
    <row r="45980">
      <c r="Y45980" s="372">
        <v>0.0</v>
      </c>
      <c r="Z45980" s="372">
        <v>0.0</v>
      </c>
    </row>
    <row r="45981">
      <c r="Y45981" s="372">
        <v>0.0</v>
      </c>
      <c r="Z45981" s="372">
        <v>0.0</v>
      </c>
    </row>
    <row r="45982">
      <c r="Y45982" s="372">
        <v>0.0</v>
      </c>
      <c r="Z45982" s="372">
        <v>0.0</v>
      </c>
    </row>
    <row r="45983">
      <c r="Y45983" s="372">
        <v>0.0</v>
      </c>
      <c r="Z45983" s="372">
        <v>0.0</v>
      </c>
    </row>
    <row r="45984">
      <c r="Y45984" s="372">
        <v>0.0</v>
      </c>
      <c r="Z45984" s="372">
        <v>0.0</v>
      </c>
    </row>
    <row r="45985">
      <c r="Y45985" s="372">
        <v>0.0</v>
      </c>
      <c r="Z45985" s="372">
        <v>0.0</v>
      </c>
    </row>
    <row r="45986">
      <c r="Y45986" s="372">
        <v>0.0</v>
      </c>
      <c r="Z45986" s="372">
        <v>0.0</v>
      </c>
    </row>
    <row r="45987">
      <c r="Y45987" s="372">
        <v>0.0</v>
      </c>
      <c r="Z45987" s="372">
        <v>0.0</v>
      </c>
    </row>
    <row r="45988">
      <c r="Y45988" s="372">
        <v>0.0</v>
      </c>
      <c r="Z45988" s="372">
        <v>0.0</v>
      </c>
    </row>
    <row r="45989">
      <c r="Y45989" s="372">
        <v>0.0</v>
      </c>
      <c r="Z45989" s="372">
        <v>0.0</v>
      </c>
    </row>
    <row r="45990">
      <c r="Y45990" s="372">
        <v>0.0</v>
      </c>
      <c r="Z45990" s="372">
        <v>0.0</v>
      </c>
    </row>
    <row r="45991">
      <c r="Y45991" s="372">
        <v>0.0</v>
      </c>
      <c r="Z45991" s="372">
        <v>0.0</v>
      </c>
    </row>
    <row r="45992">
      <c r="Y45992" s="372">
        <v>0.0</v>
      </c>
      <c r="Z45992" s="372">
        <v>0.0</v>
      </c>
    </row>
    <row r="45993">
      <c r="Y45993" s="372">
        <v>0.0</v>
      </c>
      <c r="Z45993" s="372">
        <v>0.0</v>
      </c>
    </row>
    <row r="45994">
      <c r="Y45994" s="372">
        <v>0.0</v>
      </c>
      <c r="Z45994" s="372">
        <v>0.0</v>
      </c>
    </row>
    <row r="45995">
      <c r="Y45995" s="372">
        <v>0.0</v>
      </c>
      <c r="Z45995" s="372">
        <v>0.0</v>
      </c>
    </row>
    <row r="45996">
      <c r="Y45996" s="372">
        <v>0.0</v>
      </c>
      <c r="Z45996" s="372">
        <v>0.0</v>
      </c>
    </row>
    <row r="45997">
      <c r="Y45997" s="372">
        <v>0.0</v>
      </c>
      <c r="Z45997" s="372">
        <v>0.0</v>
      </c>
    </row>
    <row r="45998">
      <c r="Y45998" s="372">
        <v>0.0</v>
      </c>
      <c r="Z45998" s="372">
        <v>0.0</v>
      </c>
    </row>
    <row r="45999">
      <c r="Y45999" s="372">
        <v>0.0</v>
      </c>
      <c r="Z45999" s="372">
        <v>0.0</v>
      </c>
    </row>
    <row r="46000">
      <c r="Y46000" s="372">
        <v>0.0</v>
      </c>
      <c r="Z46000" s="372">
        <v>0.0</v>
      </c>
    </row>
    <row r="46001">
      <c r="Y46001" s="372">
        <v>0.0</v>
      </c>
      <c r="Z46001" s="372">
        <v>0.0</v>
      </c>
    </row>
    <row r="46002">
      <c r="Y46002" s="372">
        <v>0.0</v>
      </c>
      <c r="Z46002" s="372">
        <v>0.0</v>
      </c>
    </row>
    <row r="46003">
      <c r="Y46003" s="372">
        <v>0.0</v>
      </c>
      <c r="Z46003" s="372">
        <v>0.0</v>
      </c>
    </row>
    <row r="46004">
      <c r="Y46004" s="372">
        <v>0.0</v>
      </c>
      <c r="Z46004" s="372">
        <v>0.0</v>
      </c>
    </row>
    <row r="46005">
      <c r="Y46005" s="372">
        <v>0.0</v>
      </c>
      <c r="Z46005" s="372">
        <v>0.0</v>
      </c>
    </row>
    <row r="46006">
      <c r="Y46006" s="372">
        <v>0.0</v>
      </c>
      <c r="Z46006" s="372">
        <v>0.0</v>
      </c>
    </row>
    <row r="46007">
      <c r="Y46007" s="372">
        <v>0.0</v>
      </c>
      <c r="Z46007" s="372">
        <v>0.0</v>
      </c>
    </row>
    <row r="46008">
      <c r="Y46008" s="372">
        <v>0.0</v>
      </c>
      <c r="Z46008" s="372">
        <v>0.0</v>
      </c>
    </row>
    <row r="46009">
      <c r="Y46009" s="372">
        <v>0.0</v>
      </c>
      <c r="Z46009" s="372">
        <v>0.0</v>
      </c>
    </row>
    <row r="46010">
      <c r="Y46010" s="372">
        <v>0.0</v>
      </c>
      <c r="Z46010" s="372">
        <v>0.0</v>
      </c>
    </row>
    <row r="46011">
      <c r="Y46011" s="372">
        <v>0.0</v>
      </c>
      <c r="Z46011" s="372">
        <v>0.0</v>
      </c>
    </row>
    <row r="46012">
      <c r="Y46012" s="372">
        <v>0.0</v>
      </c>
      <c r="Z46012" s="372">
        <v>0.0</v>
      </c>
    </row>
    <row r="46013">
      <c r="Y46013" s="372">
        <v>0.0</v>
      </c>
      <c r="Z46013" s="372">
        <v>0.0</v>
      </c>
    </row>
    <row r="46014">
      <c r="Y46014" s="372">
        <v>0.0</v>
      </c>
      <c r="Z46014" s="372">
        <v>0.0</v>
      </c>
    </row>
    <row r="46015">
      <c r="Y46015" s="372">
        <v>0.0</v>
      </c>
      <c r="Z46015" s="372">
        <v>0.0</v>
      </c>
    </row>
    <row r="46016">
      <c r="Y46016" s="372">
        <v>0.0</v>
      </c>
      <c r="Z46016" s="372">
        <v>0.0</v>
      </c>
    </row>
    <row r="46017">
      <c r="Y46017" s="372">
        <v>0.0</v>
      </c>
      <c r="Z46017" s="372">
        <v>0.0</v>
      </c>
    </row>
    <row r="46018">
      <c r="Y46018" s="372">
        <v>0.0</v>
      </c>
      <c r="Z46018" s="372">
        <v>0.0</v>
      </c>
    </row>
    <row r="46019">
      <c r="Y46019" s="372">
        <v>0.0</v>
      </c>
      <c r="Z46019" s="372">
        <v>0.0</v>
      </c>
    </row>
    <row r="46020">
      <c r="Y46020" s="372">
        <v>0.0</v>
      </c>
      <c r="Z46020" s="372">
        <v>0.0</v>
      </c>
    </row>
    <row r="46021">
      <c r="Y46021" s="372">
        <v>0.0</v>
      </c>
      <c r="Z46021" s="372">
        <v>0.0</v>
      </c>
    </row>
    <row r="46022">
      <c r="Y46022" s="372">
        <v>0.0</v>
      </c>
      <c r="Z46022" s="372">
        <v>0.0</v>
      </c>
    </row>
    <row r="46023">
      <c r="Y46023" s="372">
        <v>0.0</v>
      </c>
      <c r="Z46023" s="372">
        <v>0.0</v>
      </c>
    </row>
    <row r="46024">
      <c r="Y46024" s="372">
        <v>0.0</v>
      </c>
      <c r="Z46024" s="372">
        <v>0.0</v>
      </c>
    </row>
    <row r="46025">
      <c r="Y46025" s="372">
        <v>0.0</v>
      </c>
      <c r="Z46025" s="372">
        <v>0.0</v>
      </c>
    </row>
    <row r="46026">
      <c r="Y46026" s="372">
        <v>0.0</v>
      </c>
      <c r="Z46026" s="372">
        <v>0.0</v>
      </c>
    </row>
    <row r="46027">
      <c r="Y46027" s="372">
        <v>0.0</v>
      </c>
      <c r="Z46027" s="372">
        <v>0.0</v>
      </c>
    </row>
    <row r="46028">
      <c r="Y46028" s="372">
        <v>0.0</v>
      </c>
      <c r="Z46028" s="372">
        <v>0.0</v>
      </c>
    </row>
    <row r="46029">
      <c r="Y46029" s="372">
        <v>0.0</v>
      </c>
      <c r="Z46029" s="372">
        <v>0.0</v>
      </c>
    </row>
    <row r="46030">
      <c r="Y46030" s="372">
        <v>0.0</v>
      </c>
      <c r="Z46030" s="372">
        <v>0.0</v>
      </c>
    </row>
    <row r="46031">
      <c r="Y46031" s="372">
        <v>0.0</v>
      </c>
      <c r="Z46031" s="372">
        <v>0.0</v>
      </c>
    </row>
    <row r="46032">
      <c r="Y46032" s="372">
        <v>0.0</v>
      </c>
      <c r="Z46032" s="372">
        <v>0.0</v>
      </c>
    </row>
    <row r="46033">
      <c r="Y46033" s="372">
        <v>0.0</v>
      </c>
      <c r="Z46033" s="372">
        <v>0.0</v>
      </c>
    </row>
    <row r="46034">
      <c r="Y46034" s="372">
        <v>0.0</v>
      </c>
      <c r="Z46034" s="372">
        <v>0.0</v>
      </c>
    </row>
    <row r="46035">
      <c r="Y46035" s="372">
        <v>0.0</v>
      </c>
      <c r="Z46035" s="372">
        <v>0.0</v>
      </c>
    </row>
    <row r="46036">
      <c r="Y46036" s="372">
        <v>0.0</v>
      </c>
      <c r="Z46036" s="372">
        <v>0.0</v>
      </c>
    </row>
    <row r="46037">
      <c r="Y46037" s="372">
        <v>0.0</v>
      </c>
      <c r="Z46037" s="372">
        <v>0.0</v>
      </c>
    </row>
    <row r="46038">
      <c r="Y46038" s="372">
        <v>0.0</v>
      </c>
      <c r="Z46038" s="372">
        <v>0.0</v>
      </c>
    </row>
    <row r="46039">
      <c r="Y46039" s="372">
        <v>0.0</v>
      </c>
      <c r="Z46039" s="372">
        <v>0.0</v>
      </c>
    </row>
    <row r="46040">
      <c r="Y46040" s="372">
        <v>0.0</v>
      </c>
      <c r="Z46040" s="372">
        <v>0.0</v>
      </c>
    </row>
    <row r="46041">
      <c r="Y46041" s="372">
        <v>0.0</v>
      </c>
      <c r="Z46041" s="372">
        <v>0.0</v>
      </c>
    </row>
    <row r="46042">
      <c r="Y46042" s="372">
        <v>0.0</v>
      </c>
      <c r="Z46042" s="372">
        <v>0.0</v>
      </c>
    </row>
    <row r="46043">
      <c r="Y46043" s="372">
        <v>0.0</v>
      </c>
      <c r="Z46043" s="372">
        <v>0.0</v>
      </c>
    </row>
    <row r="46044">
      <c r="Y46044" s="372">
        <v>0.0</v>
      </c>
      <c r="Z46044" s="372">
        <v>0.0</v>
      </c>
    </row>
    <row r="46045">
      <c r="Y46045" s="372">
        <v>0.0</v>
      </c>
      <c r="Z46045" s="372">
        <v>0.0</v>
      </c>
    </row>
    <row r="46046">
      <c r="Y46046" s="372">
        <v>0.0</v>
      </c>
      <c r="Z46046" s="372">
        <v>0.0</v>
      </c>
    </row>
    <row r="46047">
      <c r="Y46047" s="372">
        <v>0.0</v>
      </c>
      <c r="Z46047" s="372">
        <v>0.0</v>
      </c>
    </row>
    <row r="46048">
      <c r="Y46048" s="372">
        <v>0.0</v>
      </c>
      <c r="Z46048" s="372">
        <v>0.0</v>
      </c>
    </row>
    <row r="46049">
      <c r="Y46049" s="372">
        <v>0.0</v>
      </c>
      <c r="Z46049" s="372">
        <v>0.0</v>
      </c>
    </row>
    <row r="46050">
      <c r="Y46050" s="372">
        <v>0.0</v>
      </c>
      <c r="Z46050" s="372">
        <v>0.0</v>
      </c>
    </row>
    <row r="46051">
      <c r="Y46051" s="372">
        <v>0.0</v>
      </c>
      <c r="Z46051" s="372">
        <v>0.0</v>
      </c>
    </row>
    <row r="46052">
      <c r="Y46052" s="372">
        <v>0.0</v>
      </c>
      <c r="Z46052" s="372">
        <v>0.0</v>
      </c>
    </row>
    <row r="46053">
      <c r="Y46053" s="372">
        <v>0.0</v>
      </c>
      <c r="Z46053" s="372">
        <v>0.0</v>
      </c>
    </row>
    <row r="46054">
      <c r="Y46054" s="372">
        <v>0.0</v>
      </c>
      <c r="Z46054" s="372">
        <v>0.0</v>
      </c>
    </row>
    <row r="46055">
      <c r="Y46055" s="372">
        <v>0.0</v>
      </c>
      <c r="Z46055" s="372">
        <v>0.0</v>
      </c>
    </row>
    <row r="46056">
      <c r="Y46056" s="372">
        <v>0.0</v>
      </c>
      <c r="Z46056" s="372">
        <v>0.0</v>
      </c>
    </row>
    <row r="46057">
      <c r="Y46057" s="372">
        <v>0.0</v>
      </c>
      <c r="Z46057" s="372">
        <v>0.0</v>
      </c>
    </row>
    <row r="46058">
      <c r="Y46058" s="372">
        <v>0.0</v>
      </c>
      <c r="Z46058" s="372">
        <v>0.0</v>
      </c>
    </row>
    <row r="46059">
      <c r="Y46059" s="372">
        <v>0.0</v>
      </c>
      <c r="Z46059" s="372">
        <v>0.0</v>
      </c>
    </row>
    <row r="46060">
      <c r="Y46060" s="372">
        <v>0.0</v>
      </c>
      <c r="Z46060" s="372">
        <v>0.0</v>
      </c>
    </row>
    <row r="46061">
      <c r="Y46061" s="372">
        <v>0.0</v>
      </c>
      <c r="Z46061" s="372">
        <v>0.0</v>
      </c>
    </row>
    <row r="46062">
      <c r="Y46062" s="372">
        <v>0.0</v>
      </c>
      <c r="Z46062" s="372">
        <v>0.0</v>
      </c>
    </row>
    <row r="46063">
      <c r="Y46063" s="372">
        <v>0.0</v>
      </c>
      <c r="Z46063" s="372">
        <v>0.0</v>
      </c>
    </row>
    <row r="46064">
      <c r="Y46064" s="372">
        <v>0.0</v>
      </c>
      <c r="Z46064" s="372">
        <v>0.0</v>
      </c>
    </row>
    <row r="46065">
      <c r="Y46065" s="372">
        <v>0.0</v>
      </c>
      <c r="Z46065" s="372">
        <v>0.0</v>
      </c>
    </row>
    <row r="46066">
      <c r="Y46066" s="372">
        <v>0.0</v>
      </c>
      <c r="Z46066" s="372">
        <v>0.0</v>
      </c>
    </row>
    <row r="46067">
      <c r="Y46067" s="372">
        <v>0.0</v>
      </c>
      <c r="Z46067" s="372">
        <v>0.0</v>
      </c>
    </row>
    <row r="46068">
      <c r="Y46068" s="372">
        <v>0.0</v>
      </c>
      <c r="Z46068" s="372">
        <v>0.0</v>
      </c>
    </row>
    <row r="46069">
      <c r="Y46069" s="372">
        <v>0.0</v>
      </c>
      <c r="Z46069" s="372">
        <v>0.0</v>
      </c>
    </row>
    <row r="46070">
      <c r="Y46070" s="372">
        <v>0.0</v>
      </c>
      <c r="Z46070" s="372">
        <v>0.0</v>
      </c>
    </row>
    <row r="46071">
      <c r="Y46071" s="372">
        <v>0.0</v>
      </c>
      <c r="Z46071" s="372">
        <v>0.0</v>
      </c>
    </row>
    <row r="46072">
      <c r="Y46072" s="372">
        <v>0.0</v>
      </c>
      <c r="Z46072" s="372">
        <v>0.0</v>
      </c>
    </row>
    <row r="46073">
      <c r="Y46073" s="372">
        <v>0.0</v>
      </c>
      <c r="Z46073" s="372">
        <v>0.0</v>
      </c>
    </row>
    <row r="46074">
      <c r="Y46074" s="372">
        <v>0.0</v>
      </c>
      <c r="Z46074" s="372">
        <v>0.0</v>
      </c>
    </row>
    <row r="46075">
      <c r="Y46075" s="372">
        <v>0.0</v>
      </c>
      <c r="Z46075" s="372">
        <v>0.0</v>
      </c>
    </row>
    <row r="46076">
      <c r="Y46076" s="372">
        <v>0.0</v>
      </c>
      <c r="Z46076" s="372">
        <v>0.0</v>
      </c>
    </row>
    <row r="46077">
      <c r="Y46077" s="372">
        <v>0.0</v>
      </c>
      <c r="Z46077" s="372">
        <v>0.0</v>
      </c>
    </row>
    <row r="46078">
      <c r="Y46078" s="372">
        <v>0.0</v>
      </c>
      <c r="Z46078" s="372">
        <v>0.0</v>
      </c>
    </row>
    <row r="46079">
      <c r="Y46079" s="372">
        <v>0.0</v>
      </c>
      <c r="Z46079" s="372">
        <v>0.0</v>
      </c>
    </row>
    <row r="46080">
      <c r="Y46080" s="372">
        <v>0.0</v>
      </c>
      <c r="Z46080" s="372">
        <v>0.0</v>
      </c>
    </row>
    <row r="46081">
      <c r="Y46081" s="372">
        <v>0.0</v>
      </c>
      <c r="Z46081" s="372">
        <v>0.0</v>
      </c>
    </row>
    <row r="46082">
      <c r="Y46082" s="372">
        <v>0.0</v>
      </c>
      <c r="Z46082" s="372">
        <v>0.0</v>
      </c>
    </row>
    <row r="46083">
      <c r="Y46083" s="372">
        <v>0.0</v>
      </c>
      <c r="Z46083" s="372">
        <v>0.0</v>
      </c>
    </row>
    <row r="46084">
      <c r="Y46084" s="372">
        <v>0.0</v>
      </c>
      <c r="Z46084" s="372">
        <v>0.0</v>
      </c>
    </row>
    <row r="46085">
      <c r="Y46085" s="372">
        <v>0.0</v>
      </c>
      <c r="Z46085" s="372">
        <v>0.0</v>
      </c>
    </row>
    <row r="46086">
      <c r="Y46086" s="372">
        <v>0.0</v>
      </c>
      <c r="Z46086" s="372">
        <v>0.0</v>
      </c>
    </row>
    <row r="46087">
      <c r="Y46087" s="372">
        <v>0.0</v>
      </c>
      <c r="Z46087" s="372">
        <v>0.0</v>
      </c>
    </row>
    <row r="46088">
      <c r="Y46088" s="372">
        <v>0.0</v>
      </c>
      <c r="Z46088" s="372">
        <v>0.0</v>
      </c>
    </row>
    <row r="46089">
      <c r="Y46089" s="372">
        <v>0.0</v>
      </c>
      <c r="Z46089" s="372">
        <v>0.0</v>
      </c>
    </row>
    <row r="46090">
      <c r="Y46090" s="372">
        <v>0.0</v>
      </c>
      <c r="Z46090" s="372">
        <v>0.0</v>
      </c>
    </row>
    <row r="46091">
      <c r="Y46091" s="372">
        <v>0.0</v>
      </c>
      <c r="Z46091" s="372">
        <v>0.0</v>
      </c>
    </row>
    <row r="46092">
      <c r="Y46092" s="372">
        <v>0.0</v>
      </c>
      <c r="Z46092" s="372">
        <v>0.0</v>
      </c>
    </row>
    <row r="46093">
      <c r="Y46093" s="372">
        <v>0.0</v>
      </c>
      <c r="Z46093" s="372">
        <v>0.0</v>
      </c>
    </row>
    <row r="46094">
      <c r="Y46094" s="372">
        <v>0.0</v>
      </c>
      <c r="Z46094" s="372">
        <v>0.0</v>
      </c>
    </row>
    <row r="46095">
      <c r="Y46095" s="372">
        <v>0.0</v>
      </c>
      <c r="Z46095" s="372">
        <v>0.0</v>
      </c>
    </row>
    <row r="46096">
      <c r="Y46096" s="372">
        <v>0.0</v>
      </c>
      <c r="Z46096" s="372">
        <v>0.0</v>
      </c>
    </row>
    <row r="46097">
      <c r="Y46097" s="372">
        <v>0.0</v>
      </c>
      <c r="Z46097" s="372">
        <v>0.0</v>
      </c>
    </row>
    <row r="46098">
      <c r="Y46098" s="372">
        <v>0.0</v>
      </c>
      <c r="Z46098" s="372">
        <v>0.0</v>
      </c>
    </row>
    <row r="46099">
      <c r="Y46099" s="372">
        <v>0.0</v>
      </c>
      <c r="Z46099" s="372">
        <v>0.0</v>
      </c>
    </row>
    <row r="46100">
      <c r="Y46100" s="372">
        <v>0.0</v>
      </c>
      <c r="Z46100" s="372">
        <v>0.0</v>
      </c>
    </row>
    <row r="46101">
      <c r="Y46101" s="372">
        <v>0.0</v>
      </c>
      <c r="Z46101" s="372">
        <v>0.0</v>
      </c>
    </row>
    <row r="46102">
      <c r="Y46102" s="372">
        <v>0.0</v>
      </c>
      <c r="Z46102" s="372">
        <v>0.0</v>
      </c>
    </row>
    <row r="46103">
      <c r="Y46103" s="372">
        <v>0.0</v>
      </c>
      <c r="Z46103" s="372">
        <v>0.0</v>
      </c>
    </row>
    <row r="46104">
      <c r="Y46104" s="372">
        <v>0.0</v>
      </c>
      <c r="Z46104" s="372">
        <v>0.0</v>
      </c>
    </row>
    <row r="46105">
      <c r="Y46105" s="372">
        <v>0.0</v>
      </c>
      <c r="Z46105" s="372">
        <v>0.0</v>
      </c>
    </row>
    <row r="46106">
      <c r="Y46106" s="372">
        <v>0.0</v>
      </c>
      <c r="Z46106" s="372">
        <v>0.0</v>
      </c>
    </row>
    <row r="46107">
      <c r="Y46107" s="372">
        <v>0.0</v>
      </c>
      <c r="Z46107" s="372">
        <v>0.0</v>
      </c>
    </row>
    <row r="46108">
      <c r="Y46108" s="372">
        <v>0.0</v>
      </c>
      <c r="Z46108" s="372">
        <v>0.0</v>
      </c>
    </row>
    <row r="46109">
      <c r="Y46109" s="372">
        <v>0.0</v>
      </c>
      <c r="Z46109" s="372">
        <v>0.0</v>
      </c>
    </row>
    <row r="46110">
      <c r="Y46110" s="372">
        <v>0.0</v>
      </c>
      <c r="Z46110" s="372">
        <v>0.0</v>
      </c>
    </row>
    <row r="46111">
      <c r="Y46111" s="372">
        <v>0.0</v>
      </c>
      <c r="Z46111" s="372">
        <v>0.0</v>
      </c>
    </row>
    <row r="46112">
      <c r="Y46112" s="372">
        <v>0.0</v>
      </c>
      <c r="Z46112" s="372">
        <v>0.0</v>
      </c>
    </row>
    <row r="46113">
      <c r="Y46113" s="372">
        <v>0.0</v>
      </c>
      <c r="Z46113" s="372">
        <v>0.0</v>
      </c>
    </row>
    <row r="46114">
      <c r="Y46114" s="372">
        <v>0.0</v>
      </c>
      <c r="Z46114" s="372">
        <v>0.0</v>
      </c>
    </row>
    <row r="46115">
      <c r="Y46115" s="372">
        <v>0.0</v>
      </c>
      <c r="Z46115" s="372">
        <v>0.0</v>
      </c>
    </row>
    <row r="46116">
      <c r="Y46116" s="372">
        <v>0.0</v>
      </c>
      <c r="Z46116" s="372">
        <v>0.0</v>
      </c>
    </row>
    <row r="46117">
      <c r="Y46117" s="372">
        <v>0.0</v>
      </c>
      <c r="Z46117" s="372">
        <v>0.0</v>
      </c>
    </row>
    <row r="46118">
      <c r="Y46118" s="372">
        <v>0.0</v>
      </c>
      <c r="Z46118" s="372">
        <v>0.0</v>
      </c>
    </row>
    <row r="46119">
      <c r="Y46119" s="372">
        <v>0.0</v>
      </c>
      <c r="Z46119" s="372">
        <v>0.0</v>
      </c>
    </row>
    <row r="46120">
      <c r="Y46120" s="372">
        <v>0.0</v>
      </c>
      <c r="Z46120" s="372">
        <v>0.0</v>
      </c>
    </row>
    <row r="46121">
      <c r="Y46121" s="372">
        <v>0.0</v>
      </c>
      <c r="Z46121" s="372">
        <v>0.0</v>
      </c>
    </row>
    <row r="46122">
      <c r="Y46122" s="372">
        <v>0.0</v>
      </c>
      <c r="Z46122" s="372">
        <v>0.0</v>
      </c>
    </row>
    <row r="46123">
      <c r="Y46123" s="372">
        <v>0.0</v>
      </c>
      <c r="Z46123" s="372">
        <v>0.0</v>
      </c>
    </row>
    <row r="46124">
      <c r="Y46124" s="372">
        <v>0.0</v>
      </c>
      <c r="Z46124" s="372">
        <v>0.0</v>
      </c>
    </row>
    <row r="46125">
      <c r="Y46125" s="372">
        <v>0.0</v>
      </c>
      <c r="Z46125" s="372">
        <v>0.0</v>
      </c>
    </row>
    <row r="46126">
      <c r="Y46126" s="372">
        <v>0.0</v>
      </c>
      <c r="Z46126" s="372">
        <v>0.0</v>
      </c>
    </row>
    <row r="46127">
      <c r="Y46127" s="372">
        <v>0.0</v>
      </c>
      <c r="Z46127" s="372">
        <v>0.0</v>
      </c>
    </row>
    <row r="46128">
      <c r="Y46128" s="372">
        <v>0.0</v>
      </c>
      <c r="Z46128" s="372">
        <v>0.0</v>
      </c>
    </row>
    <row r="46129">
      <c r="Y46129" s="372">
        <v>0.0</v>
      </c>
      <c r="Z46129" s="372">
        <v>0.0</v>
      </c>
    </row>
    <row r="46130">
      <c r="Y46130" s="372">
        <v>0.0</v>
      </c>
      <c r="Z46130" s="372">
        <v>0.0</v>
      </c>
    </row>
    <row r="46131">
      <c r="Y46131" s="372">
        <v>0.0</v>
      </c>
      <c r="Z46131" s="372">
        <v>0.0</v>
      </c>
    </row>
    <row r="46132">
      <c r="Y46132" s="372">
        <v>0.0</v>
      </c>
      <c r="Z46132" s="372">
        <v>0.0</v>
      </c>
    </row>
    <row r="46133">
      <c r="Y46133" s="372">
        <v>0.0</v>
      </c>
      <c r="Z46133" s="372">
        <v>0.0</v>
      </c>
    </row>
    <row r="46134">
      <c r="Y46134" s="372">
        <v>0.0</v>
      </c>
      <c r="Z46134" s="372">
        <v>0.0</v>
      </c>
    </row>
    <row r="46135">
      <c r="Y46135" s="372">
        <v>0.0</v>
      </c>
      <c r="Z46135" s="372">
        <v>0.0</v>
      </c>
    </row>
    <row r="46136">
      <c r="Y46136" s="372">
        <v>0.0</v>
      </c>
      <c r="Z46136" s="372">
        <v>0.0</v>
      </c>
    </row>
    <row r="46137">
      <c r="Y46137" s="372">
        <v>0.0</v>
      </c>
      <c r="Z46137" s="372">
        <v>0.0</v>
      </c>
    </row>
    <row r="46138">
      <c r="Y46138" s="372">
        <v>0.0</v>
      </c>
      <c r="Z46138" s="372">
        <v>0.0</v>
      </c>
    </row>
    <row r="46139">
      <c r="Y46139" s="372">
        <v>0.0</v>
      </c>
      <c r="Z46139" s="372">
        <v>0.0</v>
      </c>
    </row>
    <row r="46140">
      <c r="Y46140" s="372">
        <v>0.0</v>
      </c>
      <c r="Z46140" s="372">
        <v>0.0</v>
      </c>
    </row>
    <row r="46141">
      <c r="Y46141" s="372">
        <v>0.0</v>
      </c>
      <c r="Z46141" s="372">
        <v>0.0</v>
      </c>
    </row>
    <row r="46142">
      <c r="Y46142" s="372">
        <v>0.0</v>
      </c>
      <c r="Z46142" s="372">
        <v>0.0</v>
      </c>
    </row>
    <row r="46143">
      <c r="Y46143" s="372">
        <v>0.0</v>
      </c>
      <c r="Z46143" s="372">
        <v>0.0</v>
      </c>
    </row>
    <row r="46144">
      <c r="Y46144" s="372">
        <v>0.0</v>
      </c>
      <c r="Z46144" s="372">
        <v>0.0</v>
      </c>
    </row>
    <row r="46145">
      <c r="Y46145" s="372">
        <v>0.0</v>
      </c>
      <c r="Z46145" s="372">
        <v>0.0</v>
      </c>
    </row>
    <row r="46146">
      <c r="Y46146" s="372">
        <v>0.0</v>
      </c>
      <c r="Z46146" s="372">
        <v>0.0</v>
      </c>
    </row>
    <row r="46147">
      <c r="Y46147" s="372">
        <v>0.0</v>
      </c>
      <c r="Z46147" s="372">
        <v>0.0</v>
      </c>
    </row>
    <row r="46148">
      <c r="Y46148" s="372">
        <v>0.0</v>
      </c>
      <c r="Z46148" s="372">
        <v>0.0</v>
      </c>
    </row>
    <row r="46149">
      <c r="Y46149" s="372">
        <v>0.0</v>
      </c>
      <c r="Z46149" s="372">
        <v>0.0</v>
      </c>
    </row>
    <row r="46150">
      <c r="Y46150" s="372">
        <v>0.0</v>
      </c>
      <c r="Z46150" s="372">
        <v>0.0</v>
      </c>
    </row>
    <row r="46151">
      <c r="Y46151" s="372">
        <v>0.0</v>
      </c>
      <c r="Z46151" s="372">
        <v>0.0</v>
      </c>
    </row>
    <row r="46152">
      <c r="Y46152" s="372">
        <v>0.0</v>
      </c>
      <c r="Z46152" s="372">
        <v>0.0</v>
      </c>
    </row>
    <row r="46153">
      <c r="Y46153" s="372">
        <v>0.0</v>
      </c>
      <c r="Z46153" s="372">
        <v>0.0</v>
      </c>
    </row>
    <row r="46154">
      <c r="Y46154" s="372">
        <v>0.0</v>
      </c>
      <c r="Z46154" s="372">
        <v>0.0</v>
      </c>
    </row>
    <row r="46155">
      <c r="Y46155" s="372">
        <v>0.0</v>
      </c>
      <c r="Z46155" s="372">
        <v>0.0</v>
      </c>
    </row>
    <row r="46156">
      <c r="Y46156" s="372">
        <v>0.0</v>
      </c>
      <c r="Z46156" s="372">
        <v>0.0</v>
      </c>
    </row>
    <row r="46157">
      <c r="Y46157" s="372">
        <v>0.0</v>
      </c>
      <c r="Z46157" s="372">
        <v>0.0</v>
      </c>
    </row>
    <row r="46158">
      <c r="Y46158" s="372">
        <v>0.0</v>
      </c>
      <c r="Z46158" s="372">
        <v>0.0</v>
      </c>
    </row>
    <row r="46159">
      <c r="Y46159" s="372">
        <v>0.0</v>
      </c>
      <c r="Z46159" s="372">
        <v>0.0</v>
      </c>
    </row>
    <row r="46160">
      <c r="Y46160" s="372">
        <v>0.0</v>
      </c>
      <c r="Z46160" s="372">
        <v>0.0</v>
      </c>
    </row>
    <row r="46161">
      <c r="Y46161" s="372">
        <v>0.0</v>
      </c>
      <c r="Z46161" s="372">
        <v>0.0</v>
      </c>
    </row>
    <row r="46162">
      <c r="Y46162" s="372">
        <v>0.0</v>
      </c>
      <c r="Z46162" s="372">
        <v>0.0</v>
      </c>
    </row>
    <row r="46163">
      <c r="Y46163" s="372">
        <v>0.0</v>
      </c>
      <c r="Z46163" s="372">
        <v>0.0</v>
      </c>
    </row>
    <row r="46164">
      <c r="Y46164" s="372">
        <v>0.0</v>
      </c>
      <c r="Z46164" s="372">
        <v>0.0</v>
      </c>
    </row>
    <row r="46165">
      <c r="Y46165" s="372">
        <v>0.0</v>
      </c>
      <c r="Z46165" s="372">
        <v>0.0</v>
      </c>
    </row>
    <row r="46166">
      <c r="Y46166" s="372">
        <v>0.0</v>
      </c>
      <c r="Z46166" s="372">
        <v>0.0</v>
      </c>
    </row>
    <row r="46167">
      <c r="Y46167" s="372">
        <v>0.0</v>
      </c>
      <c r="Z46167" s="372">
        <v>0.0</v>
      </c>
    </row>
    <row r="46168">
      <c r="Y46168" s="372">
        <v>0.0</v>
      </c>
      <c r="Z46168" s="372">
        <v>0.0</v>
      </c>
    </row>
    <row r="46169">
      <c r="Y46169" s="372">
        <v>0.0</v>
      </c>
      <c r="Z46169" s="372">
        <v>0.0</v>
      </c>
    </row>
    <row r="46170">
      <c r="Y46170" s="372">
        <v>0.0</v>
      </c>
      <c r="Z46170" s="372">
        <v>0.0</v>
      </c>
    </row>
    <row r="46171">
      <c r="Y46171" s="372">
        <v>0.0</v>
      </c>
      <c r="Z46171" s="372">
        <v>0.0</v>
      </c>
    </row>
    <row r="46172">
      <c r="Y46172" s="372">
        <v>0.0</v>
      </c>
      <c r="Z46172" s="372">
        <v>0.0</v>
      </c>
    </row>
    <row r="46173">
      <c r="Y46173" s="372">
        <v>0.0</v>
      </c>
      <c r="Z46173" s="372">
        <v>0.0</v>
      </c>
    </row>
    <row r="46174">
      <c r="Y46174" s="372">
        <v>0.0</v>
      </c>
      <c r="Z46174" s="372">
        <v>0.0</v>
      </c>
    </row>
    <row r="46175">
      <c r="Y46175" s="372">
        <v>0.0</v>
      </c>
      <c r="Z46175" s="372">
        <v>0.0</v>
      </c>
    </row>
    <row r="46176">
      <c r="Y46176" s="372">
        <v>0.0</v>
      </c>
      <c r="Z46176" s="372">
        <v>0.0</v>
      </c>
    </row>
    <row r="46177">
      <c r="Y46177" s="372">
        <v>0.0</v>
      </c>
      <c r="Z46177" s="372">
        <v>0.0</v>
      </c>
    </row>
    <row r="46178">
      <c r="Y46178" s="372">
        <v>0.0</v>
      </c>
      <c r="Z46178" s="372">
        <v>0.0</v>
      </c>
    </row>
    <row r="46179">
      <c r="Y46179" s="372">
        <v>0.0</v>
      </c>
      <c r="Z46179" s="372">
        <v>0.0</v>
      </c>
    </row>
    <row r="46180">
      <c r="Y46180" s="372">
        <v>0.0</v>
      </c>
      <c r="Z46180" s="372">
        <v>0.0</v>
      </c>
    </row>
    <row r="46181">
      <c r="Y46181" s="372">
        <v>0.0</v>
      </c>
      <c r="Z46181" s="372">
        <v>0.0</v>
      </c>
    </row>
    <row r="46182">
      <c r="Y46182" s="372">
        <v>0.0</v>
      </c>
      <c r="Z46182" s="372">
        <v>0.0</v>
      </c>
    </row>
    <row r="46183">
      <c r="Y46183" s="372">
        <v>0.0</v>
      </c>
      <c r="Z46183" s="372">
        <v>0.0</v>
      </c>
    </row>
    <row r="46184">
      <c r="Y46184" s="372">
        <v>0.0</v>
      </c>
      <c r="Z46184" s="372">
        <v>0.0</v>
      </c>
    </row>
    <row r="46185">
      <c r="Y46185" s="372">
        <v>0.0</v>
      </c>
      <c r="Z46185" s="372">
        <v>0.0</v>
      </c>
    </row>
    <row r="46186">
      <c r="Y46186" s="372">
        <v>0.0</v>
      </c>
      <c r="Z46186" s="372">
        <v>0.0</v>
      </c>
    </row>
    <row r="46187">
      <c r="Y46187" s="372">
        <v>0.0</v>
      </c>
      <c r="Z46187" s="372">
        <v>0.0</v>
      </c>
    </row>
    <row r="46188">
      <c r="Y46188" s="372">
        <v>0.0</v>
      </c>
      <c r="Z46188" s="372">
        <v>0.0</v>
      </c>
    </row>
    <row r="46189">
      <c r="Y46189" s="372">
        <v>0.0</v>
      </c>
      <c r="Z46189" s="372">
        <v>0.0</v>
      </c>
    </row>
    <row r="46190">
      <c r="Y46190" s="372">
        <v>0.0</v>
      </c>
      <c r="Z46190" s="372">
        <v>0.0</v>
      </c>
    </row>
    <row r="46191">
      <c r="Y46191" s="372">
        <v>0.0</v>
      </c>
      <c r="Z46191" s="372">
        <v>0.0</v>
      </c>
    </row>
    <row r="46192">
      <c r="Y46192" s="372">
        <v>0.0</v>
      </c>
      <c r="Z46192" s="372">
        <v>0.0</v>
      </c>
    </row>
    <row r="46193">
      <c r="Y46193" s="372">
        <v>0.0</v>
      </c>
      <c r="Z46193" s="372">
        <v>0.0</v>
      </c>
    </row>
    <row r="46194">
      <c r="Y46194" s="372">
        <v>0.0</v>
      </c>
      <c r="Z46194" s="372">
        <v>0.0</v>
      </c>
    </row>
    <row r="46195">
      <c r="Y46195" s="372">
        <v>0.0</v>
      </c>
      <c r="Z46195" s="372">
        <v>0.0</v>
      </c>
    </row>
    <row r="46196">
      <c r="Y46196" s="372">
        <v>0.0</v>
      </c>
      <c r="Z46196" s="372">
        <v>0.0</v>
      </c>
    </row>
    <row r="46197">
      <c r="Y46197" s="372">
        <v>0.0</v>
      </c>
      <c r="Z46197" s="372">
        <v>0.0</v>
      </c>
    </row>
    <row r="46198">
      <c r="Y46198" s="372">
        <v>0.0</v>
      </c>
      <c r="Z46198" s="372">
        <v>0.0</v>
      </c>
    </row>
    <row r="46199">
      <c r="Y46199" s="372">
        <v>0.0</v>
      </c>
      <c r="Z46199" s="372">
        <v>0.0</v>
      </c>
    </row>
    <row r="46200">
      <c r="Y46200" s="372">
        <v>0.0</v>
      </c>
      <c r="Z46200" s="372">
        <v>0.0</v>
      </c>
    </row>
    <row r="46201">
      <c r="Y46201" s="372">
        <v>0.0</v>
      </c>
      <c r="Z46201" s="372">
        <v>0.0</v>
      </c>
    </row>
    <row r="46202">
      <c r="Y46202" s="372">
        <v>0.0</v>
      </c>
      <c r="Z46202" s="372">
        <v>0.0</v>
      </c>
    </row>
    <row r="46203">
      <c r="Y46203" s="372">
        <v>0.0</v>
      </c>
      <c r="Z46203" s="372">
        <v>0.0</v>
      </c>
    </row>
    <row r="46204">
      <c r="Y46204" s="372">
        <v>0.0</v>
      </c>
      <c r="Z46204" s="372">
        <v>0.0</v>
      </c>
    </row>
    <row r="46205">
      <c r="Y46205" s="372">
        <v>0.0</v>
      </c>
      <c r="Z46205" s="372">
        <v>0.0</v>
      </c>
    </row>
    <row r="46206">
      <c r="Y46206" s="372">
        <v>0.0</v>
      </c>
      <c r="Z46206" s="372">
        <v>0.0</v>
      </c>
    </row>
    <row r="46207">
      <c r="Y46207" s="372">
        <v>0.0</v>
      </c>
      <c r="Z46207" s="372">
        <v>0.0</v>
      </c>
    </row>
    <row r="46208">
      <c r="Y46208" s="372">
        <v>0.0</v>
      </c>
      <c r="Z46208" s="372">
        <v>0.0</v>
      </c>
    </row>
    <row r="46209">
      <c r="Y46209" s="372">
        <v>0.0</v>
      </c>
      <c r="Z46209" s="372">
        <v>0.0</v>
      </c>
    </row>
    <row r="46210">
      <c r="Y46210" s="372">
        <v>0.0</v>
      </c>
      <c r="Z46210" s="372">
        <v>0.0</v>
      </c>
    </row>
    <row r="46211">
      <c r="Y46211" s="372">
        <v>0.0</v>
      </c>
      <c r="Z46211" s="372">
        <v>0.0</v>
      </c>
    </row>
    <row r="46212">
      <c r="Y46212" s="372">
        <v>0.0</v>
      </c>
      <c r="Z46212" s="372">
        <v>0.0</v>
      </c>
    </row>
    <row r="46213">
      <c r="Y46213" s="372">
        <v>0.0</v>
      </c>
      <c r="Z46213" s="372">
        <v>0.0</v>
      </c>
    </row>
    <row r="46214">
      <c r="Y46214" s="372">
        <v>0.0</v>
      </c>
      <c r="Z46214" s="372">
        <v>0.0</v>
      </c>
    </row>
    <row r="46215">
      <c r="Y46215" s="372">
        <v>0.0</v>
      </c>
      <c r="Z46215" s="372">
        <v>0.0</v>
      </c>
    </row>
    <row r="46216">
      <c r="Y46216" s="372">
        <v>0.0</v>
      </c>
      <c r="Z46216" s="372">
        <v>0.0</v>
      </c>
    </row>
    <row r="46217">
      <c r="Y46217" s="372">
        <v>0.0</v>
      </c>
      <c r="Z46217" s="372">
        <v>0.0</v>
      </c>
    </row>
    <row r="46218">
      <c r="Y46218" s="372">
        <v>0.0</v>
      </c>
      <c r="Z46218" s="372">
        <v>0.0</v>
      </c>
    </row>
    <row r="46219">
      <c r="Y46219" s="372">
        <v>0.0</v>
      </c>
      <c r="Z46219" s="372">
        <v>0.0</v>
      </c>
    </row>
    <row r="46220">
      <c r="Y46220" s="372">
        <v>0.0</v>
      </c>
      <c r="Z46220" s="372">
        <v>0.0</v>
      </c>
    </row>
    <row r="46221">
      <c r="Y46221" s="372">
        <v>0.0</v>
      </c>
      <c r="Z46221" s="372">
        <v>0.0</v>
      </c>
    </row>
    <row r="46222">
      <c r="Y46222" s="372">
        <v>0.0</v>
      </c>
      <c r="Z46222" s="372">
        <v>0.0</v>
      </c>
    </row>
    <row r="46223">
      <c r="Y46223" s="372">
        <v>0.0</v>
      </c>
      <c r="Z46223" s="372">
        <v>0.0</v>
      </c>
    </row>
    <row r="46224">
      <c r="Y46224" s="372">
        <v>0.0</v>
      </c>
      <c r="Z46224" s="372">
        <v>0.0</v>
      </c>
    </row>
    <row r="46225">
      <c r="Y46225" s="372">
        <v>0.0</v>
      </c>
      <c r="Z46225" s="372">
        <v>0.0</v>
      </c>
    </row>
    <row r="46226">
      <c r="Y46226" s="372">
        <v>0.0</v>
      </c>
      <c r="Z46226" s="372">
        <v>0.0</v>
      </c>
    </row>
    <row r="46227">
      <c r="Y46227" s="372">
        <v>0.0</v>
      </c>
      <c r="Z46227" s="372">
        <v>0.0</v>
      </c>
    </row>
    <row r="46228">
      <c r="Y46228" s="372">
        <v>0.0</v>
      </c>
      <c r="Z46228" s="372">
        <v>0.0</v>
      </c>
    </row>
    <row r="46229">
      <c r="Y46229" s="372">
        <v>0.0</v>
      </c>
      <c r="Z46229" s="372">
        <v>0.0</v>
      </c>
    </row>
    <row r="46230">
      <c r="Y46230" s="372">
        <v>0.0</v>
      </c>
      <c r="Z46230" s="372">
        <v>0.0</v>
      </c>
    </row>
    <row r="46231">
      <c r="Y46231" s="372">
        <v>0.0</v>
      </c>
      <c r="Z46231" s="372">
        <v>0.0</v>
      </c>
    </row>
    <row r="46232">
      <c r="Y46232" s="372">
        <v>0.0</v>
      </c>
      <c r="Z46232" s="372">
        <v>0.0</v>
      </c>
    </row>
    <row r="46233">
      <c r="Y46233" s="372">
        <v>0.0</v>
      </c>
      <c r="Z46233" s="372">
        <v>0.0</v>
      </c>
    </row>
    <row r="46234">
      <c r="Y46234" s="372">
        <v>0.0</v>
      </c>
      <c r="Z46234" s="372">
        <v>0.0</v>
      </c>
    </row>
    <row r="46235">
      <c r="Y46235" s="372">
        <v>0.0</v>
      </c>
      <c r="Z46235" s="372">
        <v>0.0</v>
      </c>
    </row>
    <row r="46236">
      <c r="Y46236" s="372">
        <v>0.0</v>
      </c>
      <c r="Z46236" s="372">
        <v>0.0</v>
      </c>
    </row>
    <row r="46237">
      <c r="Y46237" s="372">
        <v>0.0</v>
      </c>
      <c r="Z46237" s="372">
        <v>0.0</v>
      </c>
    </row>
    <row r="46238">
      <c r="Y46238" s="372">
        <v>0.0</v>
      </c>
      <c r="Z46238" s="372">
        <v>0.0</v>
      </c>
    </row>
    <row r="46239">
      <c r="Y46239" s="372">
        <v>0.0</v>
      </c>
      <c r="Z46239" s="372">
        <v>0.0</v>
      </c>
    </row>
    <row r="46240">
      <c r="Y46240" s="372">
        <v>0.0</v>
      </c>
      <c r="Z46240" s="372">
        <v>0.0</v>
      </c>
    </row>
    <row r="46241">
      <c r="Y46241" s="372">
        <v>0.0</v>
      </c>
      <c r="Z46241" s="372">
        <v>0.0</v>
      </c>
    </row>
    <row r="46242">
      <c r="Y46242" s="372">
        <v>0.0</v>
      </c>
      <c r="Z46242" s="372">
        <v>0.0</v>
      </c>
    </row>
    <row r="46243">
      <c r="Y46243" s="372">
        <v>0.0</v>
      </c>
      <c r="Z46243" s="372">
        <v>0.0</v>
      </c>
    </row>
    <row r="46244">
      <c r="Y46244" s="372">
        <v>0.0</v>
      </c>
      <c r="Z46244" s="372">
        <v>0.0</v>
      </c>
    </row>
    <row r="46245">
      <c r="Y46245" s="372">
        <v>0.0</v>
      </c>
      <c r="Z46245" s="372">
        <v>0.0</v>
      </c>
    </row>
    <row r="46246">
      <c r="Y46246" s="372">
        <v>0.0</v>
      </c>
      <c r="Z46246" s="372">
        <v>0.0</v>
      </c>
    </row>
    <row r="46247">
      <c r="Y46247" s="372">
        <v>0.0</v>
      </c>
      <c r="Z46247" s="372">
        <v>0.0</v>
      </c>
    </row>
    <row r="46248">
      <c r="Y46248" s="372">
        <v>0.0</v>
      </c>
      <c r="Z46248" s="372">
        <v>0.0</v>
      </c>
    </row>
    <row r="46249">
      <c r="Y46249" s="372">
        <v>0.0</v>
      </c>
      <c r="Z46249" s="372">
        <v>0.0</v>
      </c>
    </row>
    <row r="46250">
      <c r="Y46250" s="372">
        <v>0.0</v>
      </c>
      <c r="Z46250" s="372">
        <v>0.0</v>
      </c>
    </row>
    <row r="46251">
      <c r="Y46251" s="372">
        <v>0.0</v>
      </c>
      <c r="Z46251" s="372">
        <v>0.0</v>
      </c>
    </row>
    <row r="46252">
      <c r="Y46252" s="372">
        <v>0.0</v>
      </c>
      <c r="Z46252" s="372">
        <v>0.0</v>
      </c>
    </row>
    <row r="46253">
      <c r="Y46253" s="372">
        <v>0.0</v>
      </c>
      <c r="Z46253" s="372">
        <v>0.0</v>
      </c>
    </row>
    <row r="46254">
      <c r="Y46254" s="372">
        <v>0.0</v>
      </c>
      <c r="Z46254" s="372">
        <v>0.0</v>
      </c>
    </row>
    <row r="46255">
      <c r="Y46255" s="372">
        <v>0.0</v>
      </c>
      <c r="Z46255" s="372">
        <v>0.0</v>
      </c>
    </row>
    <row r="46256">
      <c r="Y46256" s="372">
        <v>0.0</v>
      </c>
      <c r="Z46256" s="372">
        <v>0.0</v>
      </c>
    </row>
    <row r="46257">
      <c r="Y46257" s="372">
        <v>0.0</v>
      </c>
      <c r="Z46257" s="372">
        <v>0.0</v>
      </c>
    </row>
    <row r="46258">
      <c r="Y46258" s="372">
        <v>0.0</v>
      </c>
      <c r="Z46258" s="372">
        <v>0.0</v>
      </c>
    </row>
    <row r="46259">
      <c r="Y46259" s="372">
        <v>0.0</v>
      </c>
      <c r="Z46259" s="372">
        <v>0.0</v>
      </c>
    </row>
    <row r="46260">
      <c r="Y46260" s="372">
        <v>0.0</v>
      </c>
      <c r="Z46260" s="372">
        <v>0.0</v>
      </c>
    </row>
    <row r="46261">
      <c r="Y46261" s="372">
        <v>0.0</v>
      </c>
      <c r="Z46261" s="372">
        <v>0.0</v>
      </c>
    </row>
    <row r="46262">
      <c r="Y46262" s="372">
        <v>0.0</v>
      </c>
      <c r="Z46262" s="372">
        <v>0.0</v>
      </c>
    </row>
    <row r="46263">
      <c r="Y46263" s="372">
        <v>0.0</v>
      </c>
      <c r="Z46263" s="372">
        <v>0.0</v>
      </c>
    </row>
    <row r="46264">
      <c r="Y46264" s="372">
        <v>0.0</v>
      </c>
      <c r="Z46264" s="372">
        <v>0.0</v>
      </c>
    </row>
    <row r="46265">
      <c r="Y46265" s="372">
        <v>0.0</v>
      </c>
      <c r="Z46265" s="372">
        <v>0.0</v>
      </c>
    </row>
    <row r="46266">
      <c r="Y46266" s="372">
        <v>0.0</v>
      </c>
      <c r="Z46266" s="372">
        <v>0.0</v>
      </c>
    </row>
    <row r="46267">
      <c r="Y46267" s="372">
        <v>0.0</v>
      </c>
      <c r="Z46267" s="372">
        <v>0.0</v>
      </c>
    </row>
    <row r="46268">
      <c r="Y46268" s="372">
        <v>0.0</v>
      </c>
      <c r="Z46268" s="372">
        <v>0.0</v>
      </c>
    </row>
    <row r="46269">
      <c r="Y46269" s="372">
        <v>0.0</v>
      </c>
      <c r="Z46269" s="372">
        <v>0.0</v>
      </c>
    </row>
    <row r="46270">
      <c r="Y46270" s="372">
        <v>0.0</v>
      </c>
      <c r="Z46270" s="372">
        <v>0.0</v>
      </c>
    </row>
    <row r="46271">
      <c r="Y46271" s="372">
        <v>0.0</v>
      </c>
      <c r="Z46271" s="372">
        <v>0.0</v>
      </c>
    </row>
    <row r="46272">
      <c r="Y46272" s="372">
        <v>0.0</v>
      </c>
      <c r="Z46272" s="372">
        <v>0.0</v>
      </c>
    </row>
    <row r="46273">
      <c r="Y46273" s="372">
        <v>0.0</v>
      </c>
      <c r="Z46273" s="372">
        <v>0.0</v>
      </c>
    </row>
    <row r="46274">
      <c r="Y46274" s="372">
        <v>0.0</v>
      </c>
      <c r="Z46274" s="372">
        <v>0.0</v>
      </c>
    </row>
    <row r="46275">
      <c r="Y46275" s="372">
        <v>0.0</v>
      </c>
      <c r="Z46275" s="372">
        <v>0.0</v>
      </c>
    </row>
    <row r="46276">
      <c r="Y46276" s="372">
        <v>0.0</v>
      </c>
      <c r="Z46276" s="372">
        <v>0.0</v>
      </c>
    </row>
    <row r="46277">
      <c r="Y46277" s="372">
        <v>0.0</v>
      </c>
      <c r="Z46277" s="372">
        <v>0.0</v>
      </c>
    </row>
    <row r="46278">
      <c r="Y46278" s="372">
        <v>0.0</v>
      </c>
      <c r="Z46278" s="372">
        <v>0.0</v>
      </c>
    </row>
    <row r="46279">
      <c r="Y46279" s="372">
        <v>0.0</v>
      </c>
      <c r="Z46279" s="372">
        <v>0.0</v>
      </c>
    </row>
    <row r="46280">
      <c r="Y46280" s="372">
        <v>0.0</v>
      </c>
      <c r="Z46280" s="372">
        <v>0.0</v>
      </c>
    </row>
    <row r="46281">
      <c r="Y46281" s="372">
        <v>0.0</v>
      </c>
      <c r="Z46281" s="372">
        <v>0.0</v>
      </c>
    </row>
    <row r="46282">
      <c r="Y46282" s="372">
        <v>0.0</v>
      </c>
      <c r="Z46282" s="372">
        <v>0.0</v>
      </c>
    </row>
    <row r="46283">
      <c r="Y46283" s="372">
        <v>0.0</v>
      </c>
      <c r="Z46283" s="372">
        <v>0.0</v>
      </c>
    </row>
    <row r="46284">
      <c r="Y46284" s="372">
        <v>0.0</v>
      </c>
      <c r="Z46284" s="372">
        <v>0.0</v>
      </c>
    </row>
    <row r="46285">
      <c r="Y46285" s="372">
        <v>0.0</v>
      </c>
      <c r="Z46285" s="372">
        <v>0.0</v>
      </c>
    </row>
    <row r="46286">
      <c r="Y46286" s="372">
        <v>0.0</v>
      </c>
      <c r="Z46286" s="372">
        <v>0.0</v>
      </c>
    </row>
    <row r="46287">
      <c r="Y46287" s="372">
        <v>0.0</v>
      </c>
      <c r="Z46287" s="372">
        <v>0.0</v>
      </c>
    </row>
    <row r="46288">
      <c r="Y46288" s="372">
        <v>0.0</v>
      </c>
      <c r="Z46288" s="372">
        <v>0.0</v>
      </c>
    </row>
    <row r="46289">
      <c r="Y46289" s="372">
        <v>0.0</v>
      </c>
      <c r="Z46289" s="372">
        <v>0.0</v>
      </c>
    </row>
    <row r="46290">
      <c r="Y46290" s="372">
        <v>0.0</v>
      </c>
      <c r="Z46290" s="372">
        <v>0.0</v>
      </c>
    </row>
    <row r="46291">
      <c r="Y46291" s="372">
        <v>0.0</v>
      </c>
      <c r="Z46291" s="372">
        <v>0.0</v>
      </c>
    </row>
    <row r="46292">
      <c r="Y46292" s="372">
        <v>0.0</v>
      </c>
      <c r="Z46292" s="372">
        <v>0.0</v>
      </c>
    </row>
    <row r="46293">
      <c r="Y46293" s="372">
        <v>0.0</v>
      </c>
      <c r="Z46293" s="372">
        <v>0.0</v>
      </c>
    </row>
    <row r="46294">
      <c r="Y46294" s="372">
        <v>0.0</v>
      </c>
      <c r="Z46294" s="372">
        <v>0.0</v>
      </c>
    </row>
    <row r="46295">
      <c r="Y46295" s="372">
        <v>0.0</v>
      </c>
      <c r="Z46295" s="372">
        <v>0.0</v>
      </c>
    </row>
    <row r="46296">
      <c r="Y46296" s="372">
        <v>0.0</v>
      </c>
      <c r="Z46296" s="372">
        <v>0.0</v>
      </c>
    </row>
    <row r="46297">
      <c r="Y46297" s="372">
        <v>0.0</v>
      </c>
      <c r="Z46297" s="372">
        <v>0.0</v>
      </c>
    </row>
    <row r="46298">
      <c r="Y46298" s="372">
        <v>0.0</v>
      </c>
      <c r="Z46298" s="372">
        <v>0.0</v>
      </c>
    </row>
    <row r="46299">
      <c r="Y46299" s="372">
        <v>0.0</v>
      </c>
      <c r="Z46299" s="372">
        <v>0.0</v>
      </c>
    </row>
    <row r="46300">
      <c r="Y46300" s="372">
        <v>0.0</v>
      </c>
      <c r="Z46300" s="372">
        <v>0.0</v>
      </c>
    </row>
    <row r="46301">
      <c r="Y46301" s="372">
        <v>0.0</v>
      </c>
      <c r="Z46301" s="372">
        <v>0.0</v>
      </c>
    </row>
    <row r="46302">
      <c r="Y46302" s="372">
        <v>0.0</v>
      </c>
      <c r="Z46302" s="372">
        <v>0.0</v>
      </c>
    </row>
    <row r="46303">
      <c r="Y46303" s="372">
        <v>0.0</v>
      </c>
      <c r="Z46303" s="372">
        <v>0.0</v>
      </c>
    </row>
    <row r="46304">
      <c r="Y46304" s="372">
        <v>0.0</v>
      </c>
      <c r="Z46304" s="372">
        <v>0.0</v>
      </c>
    </row>
    <row r="46305">
      <c r="Y46305" s="372">
        <v>0.0</v>
      </c>
      <c r="Z46305" s="372">
        <v>0.0</v>
      </c>
    </row>
    <row r="46306">
      <c r="Y46306" s="372">
        <v>0.0</v>
      </c>
      <c r="Z46306" s="372">
        <v>0.0</v>
      </c>
    </row>
    <row r="46307">
      <c r="Y46307" s="372">
        <v>0.0</v>
      </c>
      <c r="Z46307" s="372">
        <v>0.0</v>
      </c>
    </row>
    <row r="46308">
      <c r="Y46308" s="372">
        <v>0.0</v>
      </c>
      <c r="Z46308" s="372">
        <v>0.0</v>
      </c>
    </row>
    <row r="46309">
      <c r="Y46309" s="372">
        <v>0.0</v>
      </c>
      <c r="Z46309" s="372">
        <v>0.0</v>
      </c>
    </row>
    <row r="46310">
      <c r="Y46310" s="372">
        <v>0.0</v>
      </c>
      <c r="Z46310" s="372">
        <v>0.0</v>
      </c>
    </row>
    <row r="46311">
      <c r="Y46311" s="372">
        <v>0.0</v>
      </c>
      <c r="Z46311" s="372">
        <v>0.0</v>
      </c>
    </row>
    <row r="46312">
      <c r="Y46312" s="372">
        <v>0.0</v>
      </c>
      <c r="Z46312" s="372">
        <v>0.0</v>
      </c>
    </row>
    <row r="46313">
      <c r="Y46313" s="372">
        <v>0.0</v>
      </c>
      <c r="Z46313" s="372">
        <v>0.0</v>
      </c>
    </row>
    <row r="46314">
      <c r="Y46314" s="372">
        <v>0.0</v>
      </c>
      <c r="Z46314" s="372">
        <v>0.0</v>
      </c>
    </row>
    <row r="46315">
      <c r="Y46315" s="372">
        <v>0.0</v>
      </c>
      <c r="Z46315" s="372">
        <v>0.0</v>
      </c>
    </row>
    <row r="46316">
      <c r="Y46316" s="372">
        <v>0.0</v>
      </c>
      <c r="Z46316" s="372">
        <v>0.0</v>
      </c>
    </row>
    <row r="46317">
      <c r="Y46317" s="372">
        <v>0.0</v>
      </c>
      <c r="Z46317" s="372">
        <v>0.0</v>
      </c>
    </row>
    <row r="46318">
      <c r="Y46318" s="372">
        <v>0.0</v>
      </c>
      <c r="Z46318" s="372">
        <v>0.0</v>
      </c>
    </row>
    <row r="46319">
      <c r="Y46319" s="372">
        <v>0.0</v>
      </c>
      <c r="Z46319" s="372">
        <v>0.0</v>
      </c>
    </row>
    <row r="46320">
      <c r="Y46320" s="372">
        <v>0.0</v>
      </c>
      <c r="Z46320" s="372">
        <v>0.0</v>
      </c>
    </row>
    <row r="46321">
      <c r="Y46321" s="372">
        <v>0.0</v>
      </c>
      <c r="Z46321" s="372">
        <v>0.0</v>
      </c>
    </row>
    <row r="46322">
      <c r="Y46322" s="372">
        <v>0.0</v>
      </c>
      <c r="Z46322" s="372">
        <v>0.0</v>
      </c>
    </row>
    <row r="46323">
      <c r="Y46323" s="372">
        <v>0.0</v>
      </c>
      <c r="Z46323" s="372">
        <v>0.0</v>
      </c>
    </row>
    <row r="46324">
      <c r="Y46324" s="372">
        <v>0.0</v>
      </c>
      <c r="Z46324" s="372">
        <v>0.0</v>
      </c>
    </row>
    <row r="46325">
      <c r="Y46325" s="372">
        <v>0.0</v>
      </c>
      <c r="Z46325" s="372">
        <v>0.0</v>
      </c>
    </row>
    <row r="46326">
      <c r="Y46326" s="372">
        <v>0.0</v>
      </c>
      <c r="Z46326" s="372">
        <v>0.0</v>
      </c>
    </row>
    <row r="46327">
      <c r="Y46327" s="372">
        <v>0.0</v>
      </c>
      <c r="Z46327" s="372">
        <v>0.0</v>
      </c>
    </row>
    <row r="46328">
      <c r="Y46328" s="372">
        <v>0.0</v>
      </c>
      <c r="Z46328" s="372">
        <v>0.0</v>
      </c>
    </row>
    <row r="46329">
      <c r="Y46329" s="372">
        <v>0.0</v>
      </c>
      <c r="Z46329" s="372">
        <v>0.0</v>
      </c>
    </row>
    <row r="46330">
      <c r="Y46330" s="372">
        <v>0.0</v>
      </c>
      <c r="Z46330" s="372">
        <v>0.0</v>
      </c>
    </row>
    <row r="46331">
      <c r="Y46331" s="372">
        <v>0.0</v>
      </c>
      <c r="Z46331" s="372">
        <v>0.0</v>
      </c>
    </row>
    <row r="46332">
      <c r="Y46332" s="372">
        <v>0.0</v>
      </c>
      <c r="Z46332" s="372">
        <v>0.0</v>
      </c>
    </row>
    <row r="46333">
      <c r="Y46333" s="372">
        <v>0.0</v>
      </c>
      <c r="Z46333" s="372">
        <v>0.0</v>
      </c>
    </row>
    <row r="46334">
      <c r="Y46334" s="372">
        <v>0.0</v>
      </c>
      <c r="Z46334" s="372">
        <v>0.0</v>
      </c>
    </row>
    <row r="46335">
      <c r="Y46335" s="372">
        <v>0.0</v>
      </c>
      <c r="Z46335" s="372">
        <v>0.0</v>
      </c>
    </row>
    <row r="46336">
      <c r="Y46336" s="372">
        <v>0.0</v>
      </c>
      <c r="Z46336" s="372">
        <v>0.0</v>
      </c>
    </row>
    <row r="46337">
      <c r="Y46337" s="372">
        <v>0.0</v>
      </c>
      <c r="Z46337" s="372">
        <v>0.0</v>
      </c>
    </row>
    <row r="46338">
      <c r="Y46338" s="372">
        <v>0.0</v>
      </c>
      <c r="Z46338" s="372">
        <v>0.0</v>
      </c>
    </row>
    <row r="46339">
      <c r="Y46339" s="372">
        <v>0.0</v>
      </c>
      <c r="Z46339" s="372">
        <v>0.0</v>
      </c>
    </row>
    <row r="46340">
      <c r="Y46340" s="372">
        <v>0.0</v>
      </c>
      <c r="Z46340" s="372">
        <v>0.0</v>
      </c>
    </row>
    <row r="46341">
      <c r="Y46341" s="372">
        <v>0.0</v>
      </c>
      <c r="Z46341" s="372">
        <v>0.0</v>
      </c>
    </row>
    <row r="46342">
      <c r="Y46342" s="372">
        <v>0.0</v>
      </c>
      <c r="Z46342" s="372">
        <v>0.0</v>
      </c>
    </row>
    <row r="46343">
      <c r="Y46343" s="372">
        <v>0.0</v>
      </c>
      <c r="Z46343" s="372">
        <v>0.0</v>
      </c>
    </row>
    <row r="46344">
      <c r="Y46344" s="372">
        <v>0.0</v>
      </c>
      <c r="Z46344" s="372">
        <v>0.0</v>
      </c>
    </row>
    <row r="46345">
      <c r="Y46345" s="372">
        <v>0.0</v>
      </c>
      <c r="Z46345" s="372">
        <v>0.0</v>
      </c>
    </row>
    <row r="46346">
      <c r="Y46346" s="372">
        <v>0.0</v>
      </c>
      <c r="Z46346" s="372">
        <v>0.0</v>
      </c>
    </row>
    <row r="46347">
      <c r="Y46347" s="372">
        <v>0.0</v>
      </c>
      <c r="Z46347" s="372">
        <v>0.0</v>
      </c>
    </row>
    <row r="46348">
      <c r="Y46348" s="372">
        <v>0.0</v>
      </c>
      <c r="Z46348" s="372">
        <v>0.0</v>
      </c>
    </row>
    <row r="46349">
      <c r="Y46349" s="372">
        <v>0.0</v>
      </c>
      <c r="Z46349" s="372">
        <v>0.0</v>
      </c>
    </row>
    <row r="46350">
      <c r="Y46350" s="372">
        <v>0.0</v>
      </c>
      <c r="Z46350" s="372">
        <v>0.0</v>
      </c>
    </row>
    <row r="46351">
      <c r="Y46351" s="372">
        <v>0.0</v>
      </c>
      <c r="Z46351" s="372">
        <v>0.0</v>
      </c>
    </row>
    <row r="46352">
      <c r="Y46352" s="372">
        <v>0.0</v>
      </c>
      <c r="Z46352" s="372">
        <v>0.0</v>
      </c>
    </row>
    <row r="46353">
      <c r="Y46353" s="372">
        <v>0.0</v>
      </c>
      <c r="Z46353" s="372">
        <v>0.0</v>
      </c>
    </row>
    <row r="46354">
      <c r="Y46354" s="372">
        <v>0.0</v>
      </c>
      <c r="Z46354" s="372">
        <v>0.0</v>
      </c>
    </row>
    <row r="46355">
      <c r="Y46355" s="372">
        <v>0.0</v>
      </c>
      <c r="Z46355" s="372">
        <v>0.0</v>
      </c>
    </row>
    <row r="46356">
      <c r="Y46356" s="372">
        <v>0.0</v>
      </c>
      <c r="Z46356" s="372">
        <v>0.0</v>
      </c>
    </row>
    <row r="46357">
      <c r="Y46357" s="372">
        <v>0.0</v>
      </c>
      <c r="Z46357" s="372">
        <v>0.0</v>
      </c>
    </row>
    <row r="46358">
      <c r="Y46358" s="372">
        <v>0.0</v>
      </c>
      <c r="Z46358" s="372">
        <v>0.0</v>
      </c>
    </row>
    <row r="46359">
      <c r="Y46359" s="372">
        <v>0.0</v>
      </c>
      <c r="Z46359" s="372">
        <v>0.0</v>
      </c>
    </row>
    <row r="46360">
      <c r="Y46360" s="372">
        <v>0.0</v>
      </c>
      <c r="Z46360" s="372">
        <v>0.0</v>
      </c>
    </row>
    <row r="46361">
      <c r="Y46361" s="372">
        <v>0.0</v>
      </c>
      <c r="Z46361" s="372">
        <v>0.0</v>
      </c>
    </row>
    <row r="46362">
      <c r="Y46362" s="372">
        <v>0.0</v>
      </c>
      <c r="Z46362" s="372">
        <v>0.0</v>
      </c>
    </row>
    <row r="46363">
      <c r="Y46363" s="372">
        <v>0.0</v>
      </c>
      <c r="Z46363" s="372">
        <v>0.0</v>
      </c>
    </row>
    <row r="46364">
      <c r="Y46364" s="372">
        <v>0.0</v>
      </c>
      <c r="Z46364" s="372">
        <v>0.0</v>
      </c>
    </row>
    <row r="46365">
      <c r="Y46365" s="372">
        <v>0.0</v>
      </c>
      <c r="Z46365" s="372">
        <v>0.0</v>
      </c>
    </row>
    <row r="46366">
      <c r="Y46366" s="372">
        <v>0.0</v>
      </c>
      <c r="Z46366" s="372">
        <v>0.0</v>
      </c>
    </row>
    <row r="46367">
      <c r="Y46367" s="372">
        <v>0.0</v>
      </c>
      <c r="Z46367" s="372">
        <v>0.0</v>
      </c>
    </row>
    <row r="46368">
      <c r="Y46368" s="372">
        <v>0.0</v>
      </c>
      <c r="Z46368" s="372">
        <v>0.0</v>
      </c>
    </row>
    <row r="46369">
      <c r="Y46369" s="372">
        <v>0.0</v>
      </c>
      <c r="Z46369" s="372">
        <v>0.0</v>
      </c>
    </row>
    <row r="46370">
      <c r="Y46370" s="372">
        <v>0.0</v>
      </c>
      <c r="Z46370" s="372">
        <v>0.0</v>
      </c>
    </row>
    <row r="46371">
      <c r="Y46371" s="372">
        <v>0.0</v>
      </c>
      <c r="Z46371" s="372">
        <v>0.0</v>
      </c>
    </row>
    <row r="46372">
      <c r="Y46372" s="372">
        <v>0.0</v>
      </c>
      <c r="Z46372" s="372">
        <v>0.0</v>
      </c>
    </row>
    <row r="46373">
      <c r="Y46373" s="372">
        <v>0.0</v>
      </c>
      <c r="Z46373" s="372">
        <v>0.0</v>
      </c>
    </row>
    <row r="46374">
      <c r="Y46374" s="372">
        <v>0.0</v>
      </c>
      <c r="Z46374" s="372">
        <v>0.0</v>
      </c>
    </row>
    <row r="46375">
      <c r="Y46375" s="372">
        <v>0.0</v>
      </c>
      <c r="Z46375" s="372">
        <v>0.0</v>
      </c>
    </row>
    <row r="46376">
      <c r="Y46376" s="372">
        <v>0.0</v>
      </c>
      <c r="Z46376" s="372">
        <v>0.0</v>
      </c>
    </row>
    <row r="46377">
      <c r="Y46377" s="372">
        <v>0.0</v>
      </c>
      <c r="Z46377" s="372">
        <v>0.0</v>
      </c>
    </row>
    <row r="46378">
      <c r="Y46378" s="372">
        <v>0.0</v>
      </c>
      <c r="Z46378" s="372">
        <v>0.0</v>
      </c>
    </row>
    <row r="46379">
      <c r="Y46379" s="372">
        <v>0.0</v>
      </c>
      <c r="Z46379" s="372">
        <v>0.0</v>
      </c>
    </row>
    <row r="46380">
      <c r="Y46380" s="372">
        <v>0.0</v>
      </c>
      <c r="Z46380" s="372">
        <v>0.0</v>
      </c>
    </row>
    <row r="46381">
      <c r="Y46381" s="372">
        <v>0.0</v>
      </c>
      <c r="Z46381" s="372">
        <v>0.0</v>
      </c>
    </row>
    <row r="46382">
      <c r="Y46382" s="372">
        <v>0.0</v>
      </c>
      <c r="Z46382" s="372">
        <v>0.0</v>
      </c>
    </row>
    <row r="46383">
      <c r="Y46383" s="372">
        <v>0.0</v>
      </c>
      <c r="Z46383" s="372">
        <v>0.0</v>
      </c>
    </row>
    <row r="46384">
      <c r="Y46384" s="372">
        <v>0.0</v>
      </c>
      <c r="Z46384" s="372">
        <v>0.0</v>
      </c>
    </row>
    <row r="46385">
      <c r="Y46385" s="372">
        <v>0.0</v>
      </c>
      <c r="Z46385" s="372">
        <v>0.0</v>
      </c>
    </row>
    <row r="46386">
      <c r="Y46386" s="372">
        <v>0.0</v>
      </c>
      <c r="Z46386" s="372">
        <v>0.0</v>
      </c>
    </row>
    <row r="46387">
      <c r="Y46387" s="372">
        <v>0.0</v>
      </c>
      <c r="Z46387" s="372">
        <v>0.0</v>
      </c>
    </row>
    <row r="46388">
      <c r="Y46388" s="372">
        <v>0.0</v>
      </c>
      <c r="Z46388" s="372">
        <v>0.0</v>
      </c>
    </row>
    <row r="46389">
      <c r="Y46389" s="372">
        <v>0.0</v>
      </c>
      <c r="Z46389" s="372">
        <v>0.0</v>
      </c>
    </row>
    <row r="46390">
      <c r="Y46390" s="372">
        <v>0.0</v>
      </c>
      <c r="Z46390" s="372">
        <v>0.0</v>
      </c>
    </row>
    <row r="46391">
      <c r="Y46391" s="372">
        <v>0.0</v>
      </c>
      <c r="Z46391" s="372">
        <v>0.0</v>
      </c>
    </row>
    <row r="46392">
      <c r="Y46392" s="372">
        <v>0.0</v>
      </c>
      <c r="Z46392" s="372">
        <v>0.0</v>
      </c>
    </row>
    <row r="46393">
      <c r="Y46393" s="372">
        <v>0.0</v>
      </c>
      <c r="Z46393" s="372">
        <v>0.0</v>
      </c>
    </row>
    <row r="46394">
      <c r="Y46394" s="372">
        <v>0.0</v>
      </c>
      <c r="Z46394" s="372">
        <v>0.0</v>
      </c>
    </row>
    <row r="46395">
      <c r="Y46395" s="372">
        <v>0.0</v>
      </c>
      <c r="Z46395" s="372">
        <v>0.0</v>
      </c>
    </row>
    <row r="46396">
      <c r="Y46396" s="372">
        <v>0.0</v>
      </c>
      <c r="Z46396" s="372">
        <v>0.0</v>
      </c>
    </row>
    <row r="46397">
      <c r="Y46397" s="372">
        <v>0.0</v>
      </c>
      <c r="Z46397" s="372">
        <v>0.0</v>
      </c>
    </row>
    <row r="46398">
      <c r="Y46398" s="372">
        <v>0.0</v>
      </c>
      <c r="Z46398" s="372">
        <v>0.0</v>
      </c>
    </row>
    <row r="46399">
      <c r="Y46399" s="372">
        <v>0.0</v>
      </c>
      <c r="Z46399" s="372">
        <v>0.0</v>
      </c>
    </row>
    <row r="46400">
      <c r="Y46400" s="372">
        <v>0.0</v>
      </c>
      <c r="Z46400" s="372">
        <v>0.0</v>
      </c>
    </row>
    <row r="46401">
      <c r="Y46401" s="372">
        <v>0.0</v>
      </c>
      <c r="Z46401" s="372">
        <v>0.0</v>
      </c>
    </row>
    <row r="46402">
      <c r="Y46402" s="372">
        <v>0.0</v>
      </c>
      <c r="Z46402" s="372">
        <v>0.0</v>
      </c>
    </row>
    <row r="46403">
      <c r="Y46403" s="372">
        <v>0.0</v>
      </c>
      <c r="Z46403" s="372">
        <v>0.0</v>
      </c>
    </row>
    <row r="46404">
      <c r="Y46404" s="372">
        <v>0.0</v>
      </c>
      <c r="Z46404" s="372">
        <v>0.0</v>
      </c>
    </row>
    <row r="46405">
      <c r="Y46405" s="372">
        <v>0.0</v>
      </c>
      <c r="Z46405" s="372">
        <v>0.0</v>
      </c>
    </row>
    <row r="46406">
      <c r="Y46406" s="372">
        <v>0.0</v>
      </c>
      <c r="Z46406" s="372">
        <v>0.0</v>
      </c>
    </row>
    <row r="46407">
      <c r="Y46407" s="372">
        <v>0.0</v>
      </c>
      <c r="Z46407" s="372">
        <v>0.0</v>
      </c>
    </row>
    <row r="46408">
      <c r="Y46408" s="372">
        <v>0.0</v>
      </c>
      <c r="Z46408" s="372">
        <v>0.0</v>
      </c>
    </row>
    <row r="46409">
      <c r="Y46409" s="372">
        <v>0.0</v>
      </c>
      <c r="Z46409" s="372">
        <v>0.0</v>
      </c>
    </row>
    <row r="46410">
      <c r="Y46410" s="372">
        <v>0.0</v>
      </c>
      <c r="Z46410" s="372">
        <v>0.0</v>
      </c>
    </row>
    <row r="46411">
      <c r="Y46411" s="372">
        <v>0.0</v>
      </c>
      <c r="Z46411" s="372">
        <v>0.0</v>
      </c>
    </row>
    <row r="46412">
      <c r="Y46412" s="372">
        <v>0.0</v>
      </c>
      <c r="Z46412" s="372">
        <v>0.0</v>
      </c>
    </row>
    <row r="46413">
      <c r="Y46413" s="372">
        <v>0.0</v>
      </c>
      <c r="Z46413" s="372">
        <v>0.0</v>
      </c>
    </row>
    <row r="46414">
      <c r="Y46414" s="372">
        <v>0.0</v>
      </c>
      <c r="Z46414" s="372">
        <v>0.0</v>
      </c>
    </row>
    <row r="46415">
      <c r="Y46415" s="372">
        <v>0.0</v>
      </c>
      <c r="Z46415" s="372">
        <v>0.0</v>
      </c>
    </row>
    <row r="46416">
      <c r="Y46416" s="372">
        <v>0.0</v>
      </c>
      <c r="Z46416" s="372">
        <v>0.0</v>
      </c>
    </row>
    <row r="46417">
      <c r="Y46417" s="372">
        <v>0.0</v>
      </c>
      <c r="Z46417" s="372">
        <v>0.0</v>
      </c>
    </row>
    <row r="46418">
      <c r="Y46418" s="372">
        <v>0.0</v>
      </c>
      <c r="Z46418" s="372">
        <v>0.0</v>
      </c>
    </row>
    <row r="46419">
      <c r="Y46419" s="372">
        <v>0.0</v>
      </c>
      <c r="Z46419" s="372">
        <v>0.0</v>
      </c>
    </row>
    <row r="46420">
      <c r="Y46420" s="372">
        <v>0.0</v>
      </c>
      <c r="Z46420" s="372">
        <v>0.0</v>
      </c>
    </row>
    <row r="46421">
      <c r="Y46421" s="372">
        <v>0.0</v>
      </c>
      <c r="Z46421" s="372">
        <v>0.0</v>
      </c>
    </row>
    <row r="46422">
      <c r="Y46422" s="372">
        <v>0.0</v>
      </c>
      <c r="Z46422" s="372">
        <v>0.0</v>
      </c>
    </row>
    <row r="46423">
      <c r="Y46423" s="372">
        <v>0.0</v>
      </c>
      <c r="Z46423" s="372">
        <v>0.0</v>
      </c>
    </row>
    <row r="46424">
      <c r="Y46424" s="372">
        <v>0.0</v>
      </c>
      <c r="Z46424" s="372">
        <v>0.0</v>
      </c>
    </row>
    <row r="46425">
      <c r="Y46425" s="372">
        <v>0.0</v>
      </c>
      <c r="Z46425" s="372">
        <v>0.0</v>
      </c>
    </row>
    <row r="46426">
      <c r="Y46426" s="372">
        <v>0.0</v>
      </c>
      <c r="Z46426" s="372">
        <v>0.0</v>
      </c>
    </row>
    <row r="46427">
      <c r="Y46427" s="372">
        <v>0.0</v>
      </c>
      <c r="Z46427" s="372">
        <v>0.0</v>
      </c>
    </row>
    <row r="46428">
      <c r="Y46428" s="372">
        <v>0.0</v>
      </c>
      <c r="Z46428" s="372">
        <v>0.0</v>
      </c>
    </row>
    <row r="46429">
      <c r="Y46429" s="372">
        <v>0.0</v>
      </c>
      <c r="Z46429" s="372">
        <v>0.0</v>
      </c>
    </row>
    <row r="46430">
      <c r="Y46430" s="372">
        <v>0.0</v>
      </c>
      <c r="Z46430" s="372">
        <v>0.0</v>
      </c>
    </row>
    <row r="46431">
      <c r="Y46431" s="372">
        <v>0.0</v>
      </c>
      <c r="Z46431" s="372">
        <v>0.0</v>
      </c>
    </row>
    <row r="46432">
      <c r="Y46432" s="372">
        <v>0.0</v>
      </c>
      <c r="Z46432" s="372">
        <v>0.0</v>
      </c>
    </row>
    <row r="46433">
      <c r="Y46433" s="372">
        <v>0.0</v>
      </c>
      <c r="Z46433" s="372">
        <v>0.0</v>
      </c>
    </row>
    <row r="46434">
      <c r="Y46434" s="372">
        <v>0.0</v>
      </c>
      <c r="Z46434" s="372">
        <v>0.0</v>
      </c>
    </row>
    <row r="46435">
      <c r="Y46435" s="372">
        <v>0.0</v>
      </c>
      <c r="Z46435" s="372">
        <v>0.0</v>
      </c>
    </row>
    <row r="46436">
      <c r="Y46436" s="372">
        <v>0.0</v>
      </c>
      <c r="Z46436" s="372">
        <v>0.0</v>
      </c>
    </row>
    <row r="46437">
      <c r="Y46437" s="372">
        <v>0.0</v>
      </c>
      <c r="Z46437" s="372">
        <v>0.0</v>
      </c>
    </row>
    <row r="46438">
      <c r="Y46438" s="372">
        <v>0.0</v>
      </c>
      <c r="Z46438" s="372">
        <v>0.0</v>
      </c>
    </row>
    <row r="46439">
      <c r="Y46439" s="372">
        <v>0.0</v>
      </c>
      <c r="Z46439" s="372">
        <v>0.0</v>
      </c>
    </row>
    <row r="46440">
      <c r="Y46440" s="372">
        <v>0.0</v>
      </c>
      <c r="Z46440" s="372">
        <v>0.0</v>
      </c>
    </row>
    <row r="46441">
      <c r="Y46441" s="372">
        <v>0.0</v>
      </c>
      <c r="Z46441" s="372">
        <v>0.0</v>
      </c>
    </row>
    <row r="46442">
      <c r="Y46442" s="372">
        <v>0.0</v>
      </c>
      <c r="Z46442" s="372">
        <v>0.0</v>
      </c>
    </row>
    <row r="46443">
      <c r="Y46443" s="372">
        <v>0.0</v>
      </c>
      <c r="Z46443" s="372">
        <v>0.0</v>
      </c>
    </row>
    <row r="46444">
      <c r="Y46444" s="372">
        <v>0.0</v>
      </c>
      <c r="Z46444" s="372">
        <v>0.0</v>
      </c>
    </row>
    <row r="46445">
      <c r="Y46445" s="372">
        <v>0.0</v>
      </c>
      <c r="Z46445" s="372">
        <v>0.0</v>
      </c>
    </row>
    <row r="46446">
      <c r="Y46446" s="372">
        <v>0.0</v>
      </c>
      <c r="Z46446" s="372">
        <v>0.0</v>
      </c>
    </row>
    <row r="46447">
      <c r="Y46447" s="372">
        <v>0.0</v>
      </c>
      <c r="Z46447" s="372">
        <v>0.0</v>
      </c>
    </row>
    <row r="46448">
      <c r="Y46448" s="372">
        <v>0.0</v>
      </c>
      <c r="Z46448" s="372">
        <v>0.0</v>
      </c>
    </row>
    <row r="46449">
      <c r="Y46449" s="372">
        <v>0.0</v>
      </c>
      <c r="Z46449" s="372">
        <v>0.0</v>
      </c>
    </row>
    <row r="46450">
      <c r="Y46450" s="372">
        <v>0.0</v>
      </c>
      <c r="Z46450" s="372">
        <v>0.0</v>
      </c>
    </row>
    <row r="46451">
      <c r="Y46451" s="372">
        <v>0.0</v>
      </c>
      <c r="Z46451" s="372">
        <v>0.0</v>
      </c>
    </row>
    <row r="46452">
      <c r="Y46452" s="372">
        <v>0.0</v>
      </c>
      <c r="Z46452" s="372">
        <v>0.0</v>
      </c>
    </row>
    <row r="46453">
      <c r="Y46453" s="372">
        <v>0.0</v>
      </c>
      <c r="Z46453" s="372">
        <v>0.0</v>
      </c>
    </row>
    <row r="46454">
      <c r="Y46454" s="372">
        <v>0.0</v>
      </c>
      <c r="Z46454" s="372">
        <v>0.0</v>
      </c>
    </row>
    <row r="46455">
      <c r="Y46455" s="372">
        <v>0.0</v>
      </c>
      <c r="Z46455" s="372">
        <v>0.0</v>
      </c>
    </row>
    <row r="46456">
      <c r="Y46456" s="372">
        <v>0.0</v>
      </c>
      <c r="Z46456" s="372">
        <v>0.0</v>
      </c>
    </row>
    <row r="46457">
      <c r="Y46457" s="372">
        <v>0.0</v>
      </c>
      <c r="Z46457" s="372">
        <v>0.0</v>
      </c>
    </row>
    <row r="46458">
      <c r="Y46458" s="372">
        <v>0.0</v>
      </c>
      <c r="Z46458" s="372">
        <v>0.0</v>
      </c>
    </row>
    <row r="46459">
      <c r="Y46459" s="372">
        <v>0.0</v>
      </c>
      <c r="Z46459" s="372">
        <v>0.0</v>
      </c>
    </row>
    <row r="46460">
      <c r="Y46460" s="372">
        <v>0.0</v>
      </c>
      <c r="Z46460" s="372">
        <v>0.0</v>
      </c>
    </row>
    <row r="46461">
      <c r="Y46461" s="372">
        <v>0.0</v>
      </c>
      <c r="Z46461" s="372">
        <v>0.0</v>
      </c>
    </row>
    <row r="46462">
      <c r="Y46462" s="372">
        <v>0.0</v>
      </c>
      <c r="Z46462" s="372">
        <v>0.0</v>
      </c>
    </row>
    <row r="46463">
      <c r="Y46463" s="372">
        <v>0.0</v>
      </c>
      <c r="Z46463" s="372">
        <v>0.0</v>
      </c>
    </row>
    <row r="46464">
      <c r="Y46464" s="372">
        <v>0.0</v>
      </c>
      <c r="Z46464" s="372">
        <v>0.0</v>
      </c>
    </row>
    <row r="46465">
      <c r="Y46465" s="372">
        <v>0.0</v>
      </c>
      <c r="Z46465" s="372">
        <v>0.0</v>
      </c>
    </row>
    <row r="46466">
      <c r="Y46466" s="372">
        <v>0.0</v>
      </c>
      <c r="Z46466" s="372">
        <v>0.0</v>
      </c>
    </row>
    <row r="46467">
      <c r="Y46467" s="372">
        <v>0.0</v>
      </c>
      <c r="Z46467" s="372">
        <v>0.0</v>
      </c>
    </row>
    <row r="46468">
      <c r="Y46468" s="372">
        <v>0.0</v>
      </c>
      <c r="Z46468" s="372">
        <v>0.0</v>
      </c>
    </row>
    <row r="46469">
      <c r="Y46469" s="372">
        <v>0.0</v>
      </c>
      <c r="Z46469" s="372">
        <v>0.0</v>
      </c>
    </row>
    <row r="46470">
      <c r="Y46470" s="372">
        <v>0.0</v>
      </c>
      <c r="Z46470" s="372">
        <v>0.0</v>
      </c>
    </row>
    <row r="46471">
      <c r="Y46471" s="372">
        <v>0.0</v>
      </c>
      <c r="Z46471" s="372">
        <v>0.0</v>
      </c>
    </row>
    <row r="46472">
      <c r="Y46472" s="372">
        <v>0.0</v>
      </c>
      <c r="Z46472" s="372">
        <v>0.0</v>
      </c>
    </row>
    <row r="46473">
      <c r="Y46473" s="372">
        <v>0.0</v>
      </c>
      <c r="Z46473" s="372">
        <v>0.0</v>
      </c>
    </row>
    <row r="46474">
      <c r="Y46474" s="372">
        <v>0.0</v>
      </c>
      <c r="Z46474" s="372">
        <v>0.0</v>
      </c>
    </row>
    <row r="46475">
      <c r="Y46475" s="372">
        <v>0.0</v>
      </c>
      <c r="Z46475" s="372">
        <v>0.0</v>
      </c>
    </row>
    <row r="46476">
      <c r="Y46476" s="372">
        <v>0.0</v>
      </c>
      <c r="Z46476" s="372">
        <v>0.0</v>
      </c>
    </row>
    <row r="46477">
      <c r="Y46477" s="372">
        <v>0.0</v>
      </c>
      <c r="Z46477" s="372">
        <v>0.0</v>
      </c>
    </row>
    <row r="46478">
      <c r="Y46478" s="372">
        <v>0.0</v>
      </c>
      <c r="Z46478" s="372">
        <v>0.0</v>
      </c>
    </row>
    <row r="46479">
      <c r="Y46479" s="372">
        <v>0.0</v>
      </c>
      <c r="Z46479" s="372">
        <v>0.0</v>
      </c>
    </row>
    <row r="46480">
      <c r="Y46480" s="372">
        <v>0.0</v>
      </c>
      <c r="Z46480" s="372">
        <v>0.0</v>
      </c>
    </row>
    <row r="46481">
      <c r="Y46481" s="372">
        <v>0.0</v>
      </c>
      <c r="Z46481" s="372">
        <v>0.0</v>
      </c>
    </row>
    <row r="46482">
      <c r="Y46482" s="372">
        <v>0.0</v>
      </c>
      <c r="Z46482" s="372">
        <v>0.0</v>
      </c>
    </row>
    <row r="46483">
      <c r="Y46483" s="372">
        <v>0.0</v>
      </c>
      <c r="Z46483" s="372">
        <v>0.0</v>
      </c>
    </row>
    <row r="46484">
      <c r="Y46484" s="372">
        <v>0.0</v>
      </c>
      <c r="Z46484" s="372">
        <v>0.0</v>
      </c>
    </row>
    <row r="46485">
      <c r="Y46485" s="372">
        <v>0.0</v>
      </c>
      <c r="Z46485" s="372">
        <v>0.0</v>
      </c>
    </row>
    <row r="46486">
      <c r="Y46486" s="372">
        <v>0.0</v>
      </c>
      <c r="Z46486" s="372">
        <v>0.0</v>
      </c>
    </row>
    <row r="46487">
      <c r="Y46487" s="372">
        <v>0.0</v>
      </c>
      <c r="Z46487" s="372">
        <v>0.0</v>
      </c>
    </row>
    <row r="46488">
      <c r="Y46488" s="372">
        <v>0.0</v>
      </c>
      <c r="Z46488" s="372">
        <v>0.0</v>
      </c>
    </row>
    <row r="46489">
      <c r="Y46489" s="372">
        <v>0.0</v>
      </c>
      <c r="Z46489" s="372">
        <v>0.0</v>
      </c>
    </row>
    <row r="46490">
      <c r="Y46490" s="372">
        <v>0.0</v>
      </c>
      <c r="Z46490" s="372">
        <v>0.0</v>
      </c>
    </row>
    <row r="46491">
      <c r="Y46491" s="372">
        <v>0.0</v>
      </c>
      <c r="Z46491" s="372">
        <v>0.0</v>
      </c>
    </row>
    <row r="46492">
      <c r="Y46492" s="372">
        <v>0.0</v>
      </c>
      <c r="Z46492" s="372">
        <v>0.0</v>
      </c>
    </row>
    <row r="46493">
      <c r="Y46493" s="372">
        <v>0.0</v>
      </c>
      <c r="Z46493" s="372">
        <v>0.0</v>
      </c>
    </row>
    <row r="46494">
      <c r="Y46494" s="372">
        <v>0.0</v>
      </c>
      <c r="Z46494" s="372">
        <v>0.0</v>
      </c>
    </row>
    <row r="46495">
      <c r="Y46495" s="372">
        <v>0.0</v>
      </c>
      <c r="Z46495" s="372">
        <v>0.0</v>
      </c>
    </row>
    <row r="46496">
      <c r="Y46496" s="372">
        <v>0.0</v>
      </c>
      <c r="Z46496" s="372">
        <v>0.0</v>
      </c>
    </row>
    <row r="46497">
      <c r="Y46497" s="372">
        <v>0.0</v>
      </c>
      <c r="Z46497" s="372">
        <v>0.0</v>
      </c>
    </row>
    <row r="46498">
      <c r="Y46498" s="372">
        <v>0.0</v>
      </c>
      <c r="Z46498" s="372">
        <v>0.0</v>
      </c>
    </row>
    <row r="46499">
      <c r="Y46499" s="372">
        <v>0.0</v>
      </c>
      <c r="Z46499" s="372">
        <v>0.0</v>
      </c>
    </row>
    <row r="46500">
      <c r="Y46500" s="372">
        <v>0.0</v>
      </c>
      <c r="Z46500" s="372">
        <v>0.0</v>
      </c>
    </row>
    <row r="46501">
      <c r="Y46501" s="372">
        <v>0.0</v>
      </c>
      <c r="Z46501" s="372">
        <v>0.0</v>
      </c>
    </row>
    <row r="46502">
      <c r="Y46502" s="372">
        <v>0.0</v>
      </c>
      <c r="Z46502" s="372">
        <v>0.0</v>
      </c>
    </row>
    <row r="46503">
      <c r="Y46503" s="372">
        <v>0.0</v>
      </c>
      <c r="Z46503" s="372">
        <v>0.0</v>
      </c>
    </row>
    <row r="46504">
      <c r="Y46504" s="372">
        <v>0.0</v>
      </c>
      <c r="Z46504" s="372">
        <v>0.0</v>
      </c>
    </row>
    <row r="46505">
      <c r="Y46505" s="372">
        <v>0.0</v>
      </c>
      <c r="Z46505" s="372">
        <v>0.0</v>
      </c>
    </row>
    <row r="46506">
      <c r="Y46506" s="372">
        <v>0.0</v>
      </c>
      <c r="Z46506" s="372">
        <v>0.0</v>
      </c>
    </row>
    <row r="46507">
      <c r="Y46507" s="372">
        <v>0.0</v>
      </c>
      <c r="Z46507" s="372">
        <v>0.0</v>
      </c>
    </row>
    <row r="46508">
      <c r="Y46508" s="372">
        <v>0.0</v>
      </c>
      <c r="Z46508" s="372">
        <v>0.0</v>
      </c>
    </row>
    <row r="46509">
      <c r="Y46509" s="372">
        <v>0.0</v>
      </c>
      <c r="Z46509" s="372">
        <v>0.0</v>
      </c>
    </row>
    <row r="46510">
      <c r="Y46510" s="372">
        <v>0.0</v>
      </c>
      <c r="Z46510" s="372">
        <v>0.0</v>
      </c>
    </row>
    <row r="46511">
      <c r="Y46511" s="372">
        <v>0.0</v>
      </c>
      <c r="Z46511" s="372">
        <v>0.0</v>
      </c>
    </row>
    <row r="46512">
      <c r="Y46512" s="372">
        <v>0.0</v>
      </c>
      <c r="Z46512" s="372">
        <v>0.0</v>
      </c>
    </row>
    <row r="46513">
      <c r="Y46513" s="372">
        <v>0.0</v>
      </c>
      <c r="Z46513" s="372">
        <v>0.0</v>
      </c>
    </row>
    <row r="46514">
      <c r="Y46514" s="372">
        <v>0.0</v>
      </c>
      <c r="Z46514" s="372">
        <v>0.0</v>
      </c>
    </row>
    <row r="46515">
      <c r="Y46515" s="372">
        <v>0.0</v>
      </c>
      <c r="Z46515" s="372">
        <v>0.0</v>
      </c>
    </row>
    <row r="46516">
      <c r="Y46516" s="372">
        <v>0.0</v>
      </c>
      <c r="Z46516" s="372">
        <v>0.0</v>
      </c>
    </row>
    <row r="46517">
      <c r="Y46517" s="372">
        <v>0.0</v>
      </c>
      <c r="Z46517" s="372">
        <v>0.0</v>
      </c>
    </row>
    <row r="46518">
      <c r="Y46518" s="372">
        <v>0.0</v>
      </c>
      <c r="Z46518" s="372">
        <v>0.0</v>
      </c>
    </row>
    <row r="46519">
      <c r="Y46519" s="372">
        <v>0.0</v>
      </c>
      <c r="Z46519" s="372">
        <v>0.0</v>
      </c>
    </row>
    <row r="46520">
      <c r="Y46520" s="372">
        <v>0.0</v>
      </c>
      <c r="Z46520" s="372">
        <v>0.0</v>
      </c>
    </row>
    <row r="46521">
      <c r="Y46521" s="372">
        <v>0.0</v>
      </c>
      <c r="Z46521" s="372">
        <v>0.0</v>
      </c>
    </row>
    <row r="46522">
      <c r="Y46522" s="372">
        <v>0.0</v>
      </c>
      <c r="Z46522" s="372">
        <v>0.0</v>
      </c>
    </row>
    <row r="46523">
      <c r="Y46523" s="372">
        <v>0.0</v>
      </c>
      <c r="Z46523" s="372">
        <v>0.0</v>
      </c>
    </row>
    <row r="46524">
      <c r="Y46524" s="372">
        <v>0.0</v>
      </c>
      <c r="Z46524" s="372">
        <v>0.0</v>
      </c>
    </row>
    <row r="46525">
      <c r="Y46525" s="372">
        <v>0.0</v>
      </c>
      <c r="Z46525" s="372">
        <v>0.0</v>
      </c>
    </row>
    <row r="46526">
      <c r="Y46526" s="372">
        <v>0.0</v>
      </c>
      <c r="Z46526" s="372">
        <v>0.0</v>
      </c>
    </row>
    <row r="46527">
      <c r="Y46527" s="372">
        <v>0.0</v>
      </c>
      <c r="Z46527" s="372">
        <v>0.0</v>
      </c>
    </row>
    <row r="46528">
      <c r="Y46528" s="372">
        <v>0.0</v>
      </c>
      <c r="Z46528" s="372">
        <v>0.0</v>
      </c>
    </row>
    <row r="46529">
      <c r="Y46529" s="372">
        <v>0.0</v>
      </c>
      <c r="Z46529" s="372">
        <v>0.0</v>
      </c>
    </row>
    <row r="46530">
      <c r="Y46530" s="372">
        <v>0.0</v>
      </c>
      <c r="Z46530" s="372">
        <v>0.0</v>
      </c>
    </row>
    <row r="46531">
      <c r="Y46531" s="372">
        <v>0.0</v>
      </c>
      <c r="Z46531" s="372">
        <v>0.0</v>
      </c>
    </row>
    <row r="46532">
      <c r="Y46532" s="372">
        <v>0.0</v>
      </c>
      <c r="Z46532" s="372">
        <v>0.0</v>
      </c>
    </row>
    <row r="46533">
      <c r="Y46533" s="372">
        <v>0.0</v>
      </c>
      <c r="Z46533" s="372">
        <v>0.0</v>
      </c>
    </row>
    <row r="46534">
      <c r="Y46534" s="372">
        <v>0.0</v>
      </c>
      <c r="Z46534" s="372">
        <v>0.0</v>
      </c>
    </row>
    <row r="46535">
      <c r="Y46535" s="372">
        <v>0.0</v>
      </c>
      <c r="Z46535" s="372">
        <v>0.0</v>
      </c>
    </row>
    <row r="46536">
      <c r="Y46536" s="372">
        <v>0.0</v>
      </c>
      <c r="Z46536" s="372">
        <v>0.0</v>
      </c>
    </row>
    <row r="46537">
      <c r="Y46537" s="372">
        <v>0.0</v>
      </c>
      <c r="Z46537" s="372">
        <v>0.0</v>
      </c>
    </row>
    <row r="46538">
      <c r="Y46538" s="372">
        <v>0.0</v>
      </c>
      <c r="Z46538" s="372">
        <v>0.0</v>
      </c>
    </row>
    <row r="46539">
      <c r="Y46539" s="372">
        <v>0.0</v>
      </c>
      <c r="Z46539" s="372">
        <v>0.0</v>
      </c>
    </row>
    <row r="46540">
      <c r="Y46540" s="372">
        <v>0.0</v>
      </c>
      <c r="Z46540" s="372">
        <v>0.0</v>
      </c>
    </row>
    <row r="46541">
      <c r="Y46541" s="372">
        <v>0.0</v>
      </c>
      <c r="Z46541" s="372">
        <v>0.0</v>
      </c>
    </row>
    <row r="46542">
      <c r="Y46542" s="372">
        <v>0.0</v>
      </c>
      <c r="Z46542" s="372">
        <v>0.0</v>
      </c>
    </row>
    <row r="46543">
      <c r="Y46543" s="372">
        <v>0.0</v>
      </c>
      <c r="Z46543" s="372">
        <v>0.0</v>
      </c>
    </row>
    <row r="46544">
      <c r="Y46544" s="372">
        <v>0.0</v>
      </c>
      <c r="Z46544" s="372">
        <v>0.0</v>
      </c>
    </row>
    <row r="46545">
      <c r="Y46545" s="372">
        <v>0.0</v>
      </c>
      <c r="Z46545" s="372">
        <v>0.0</v>
      </c>
    </row>
    <row r="46546">
      <c r="Y46546" s="372">
        <v>0.0</v>
      </c>
      <c r="Z46546" s="372">
        <v>0.0</v>
      </c>
    </row>
    <row r="46547">
      <c r="Y46547" s="372">
        <v>0.0</v>
      </c>
      <c r="Z46547" s="372">
        <v>0.0</v>
      </c>
    </row>
    <row r="46548">
      <c r="Y46548" s="372">
        <v>0.0</v>
      </c>
      <c r="Z46548" s="372">
        <v>0.0</v>
      </c>
    </row>
    <row r="46549">
      <c r="Y46549" s="372">
        <v>0.0</v>
      </c>
      <c r="Z46549" s="372">
        <v>0.0</v>
      </c>
    </row>
    <row r="46550">
      <c r="Y46550" s="372">
        <v>0.0</v>
      </c>
      <c r="Z46550" s="372">
        <v>0.0</v>
      </c>
    </row>
    <row r="46551">
      <c r="Y46551" s="372">
        <v>0.0</v>
      </c>
      <c r="Z46551" s="372">
        <v>0.0</v>
      </c>
    </row>
    <row r="46552">
      <c r="Y46552" s="372">
        <v>0.0</v>
      </c>
      <c r="Z46552" s="372">
        <v>0.0</v>
      </c>
    </row>
    <row r="46553">
      <c r="Y46553" s="372">
        <v>0.0</v>
      </c>
      <c r="Z46553" s="372">
        <v>0.0</v>
      </c>
    </row>
    <row r="46554">
      <c r="Y46554" s="372">
        <v>0.0</v>
      </c>
      <c r="Z46554" s="372">
        <v>0.0</v>
      </c>
    </row>
    <row r="46555">
      <c r="Y46555" s="372">
        <v>0.0</v>
      </c>
      <c r="Z46555" s="372">
        <v>0.0</v>
      </c>
    </row>
    <row r="46556">
      <c r="Y46556" s="372">
        <v>0.0</v>
      </c>
      <c r="Z46556" s="372">
        <v>0.0</v>
      </c>
    </row>
    <row r="46557">
      <c r="Y46557" s="372">
        <v>0.0</v>
      </c>
      <c r="Z46557" s="372">
        <v>0.0</v>
      </c>
    </row>
    <row r="46558">
      <c r="Y46558" s="372">
        <v>0.0</v>
      </c>
      <c r="Z46558" s="372">
        <v>0.0</v>
      </c>
    </row>
    <row r="46559">
      <c r="Y46559" s="372">
        <v>0.0</v>
      </c>
      <c r="Z46559" s="372">
        <v>0.0</v>
      </c>
    </row>
    <row r="46560">
      <c r="Y46560" s="372">
        <v>0.0</v>
      </c>
      <c r="Z46560" s="372">
        <v>0.0</v>
      </c>
    </row>
    <row r="46561">
      <c r="Y46561" s="372">
        <v>0.0</v>
      </c>
      <c r="Z46561" s="372">
        <v>0.0</v>
      </c>
    </row>
    <row r="46562">
      <c r="Y46562" s="372">
        <v>0.0</v>
      </c>
      <c r="Z46562" s="372">
        <v>0.0</v>
      </c>
    </row>
    <row r="46563">
      <c r="Y46563" s="372">
        <v>0.0</v>
      </c>
      <c r="Z46563" s="372">
        <v>0.0</v>
      </c>
    </row>
    <row r="46564">
      <c r="Y46564" s="372">
        <v>0.0</v>
      </c>
      <c r="Z46564" s="372">
        <v>0.0</v>
      </c>
    </row>
    <row r="46565">
      <c r="Y46565" s="372">
        <v>0.0</v>
      </c>
      <c r="Z46565" s="372">
        <v>0.0</v>
      </c>
    </row>
    <row r="46566">
      <c r="Y46566" s="372">
        <v>0.0</v>
      </c>
      <c r="Z46566" s="372">
        <v>0.0</v>
      </c>
    </row>
    <row r="46567">
      <c r="Y46567" s="372">
        <v>0.0</v>
      </c>
      <c r="Z46567" s="372">
        <v>0.0</v>
      </c>
    </row>
    <row r="46568">
      <c r="Y46568" s="372">
        <v>0.0</v>
      </c>
      <c r="Z46568" s="372">
        <v>0.0</v>
      </c>
    </row>
    <row r="46569">
      <c r="Y46569" s="372">
        <v>0.0</v>
      </c>
      <c r="Z46569" s="372">
        <v>0.0</v>
      </c>
    </row>
    <row r="46570">
      <c r="Y46570" s="372">
        <v>0.0</v>
      </c>
      <c r="Z46570" s="372">
        <v>0.0</v>
      </c>
    </row>
    <row r="46571">
      <c r="Y46571" s="372">
        <v>0.0</v>
      </c>
      <c r="Z46571" s="372">
        <v>0.0</v>
      </c>
    </row>
    <row r="46572">
      <c r="Y46572" s="372">
        <v>0.0</v>
      </c>
      <c r="Z46572" s="372">
        <v>0.0</v>
      </c>
    </row>
    <row r="46573">
      <c r="Y46573" s="372">
        <v>0.0</v>
      </c>
      <c r="Z46573" s="372">
        <v>0.0</v>
      </c>
    </row>
    <row r="46574">
      <c r="Y46574" s="372">
        <v>0.0</v>
      </c>
      <c r="Z46574" s="372">
        <v>0.0</v>
      </c>
    </row>
    <row r="46575">
      <c r="Y46575" s="372">
        <v>0.0</v>
      </c>
      <c r="Z46575" s="372">
        <v>0.0</v>
      </c>
    </row>
    <row r="46576">
      <c r="Y46576" s="372">
        <v>0.0</v>
      </c>
      <c r="Z46576" s="372">
        <v>0.0</v>
      </c>
    </row>
    <row r="46577">
      <c r="Y46577" s="372">
        <v>0.0</v>
      </c>
      <c r="Z46577" s="372">
        <v>0.0</v>
      </c>
    </row>
    <row r="46578">
      <c r="Y46578" s="372">
        <v>0.0</v>
      </c>
      <c r="Z46578" s="372">
        <v>0.0</v>
      </c>
    </row>
    <row r="46579">
      <c r="Y46579" s="372">
        <v>0.0</v>
      </c>
      <c r="Z46579" s="372">
        <v>0.0</v>
      </c>
    </row>
    <row r="46580">
      <c r="Y46580" s="372">
        <v>0.0</v>
      </c>
      <c r="Z46580" s="372">
        <v>0.0</v>
      </c>
    </row>
    <row r="46581">
      <c r="Y46581" s="372">
        <v>0.0</v>
      </c>
      <c r="Z46581" s="372">
        <v>0.0</v>
      </c>
    </row>
    <row r="46582">
      <c r="Y46582" s="372">
        <v>0.0</v>
      </c>
      <c r="Z46582" s="372">
        <v>0.0</v>
      </c>
    </row>
    <row r="46583">
      <c r="Y46583" s="372">
        <v>0.0</v>
      </c>
      <c r="Z46583" s="372">
        <v>0.0</v>
      </c>
    </row>
    <row r="46584">
      <c r="Y46584" s="372">
        <v>0.0</v>
      </c>
      <c r="Z46584" s="372">
        <v>0.0</v>
      </c>
    </row>
    <row r="46585">
      <c r="Y46585" s="372">
        <v>0.0</v>
      </c>
      <c r="Z46585" s="372">
        <v>0.0</v>
      </c>
    </row>
    <row r="46586">
      <c r="Y46586" s="372">
        <v>0.0</v>
      </c>
      <c r="Z46586" s="372">
        <v>0.0</v>
      </c>
    </row>
    <row r="46587">
      <c r="Y46587" s="372">
        <v>0.0</v>
      </c>
      <c r="Z46587" s="372">
        <v>0.0</v>
      </c>
    </row>
    <row r="46588">
      <c r="Y46588" s="372">
        <v>0.0</v>
      </c>
      <c r="Z46588" s="372">
        <v>0.0</v>
      </c>
    </row>
    <row r="46589">
      <c r="Y46589" s="372">
        <v>0.0</v>
      </c>
      <c r="Z46589" s="372">
        <v>0.0</v>
      </c>
    </row>
    <row r="46590">
      <c r="Y46590" s="372">
        <v>0.0</v>
      </c>
      <c r="Z46590" s="372">
        <v>0.0</v>
      </c>
    </row>
    <row r="46591">
      <c r="Y46591" s="372">
        <v>0.0</v>
      </c>
      <c r="Z46591" s="372">
        <v>0.0</v>
      </c>
    </row>
    <row r="46592">
      <c r="Y46592" s="372">
        <v>0.0</v>
      </c>
      <c r="Z46592" s="372">
        <v>0.0</v>
      </c>
    </row>
    <row r="46593">
      <c r="Y46593" s="372">
        <v>0.0</v>
      </c>
      <c r="Z46593" s="372">
        <v>0.0</v>
      </c>
    </row>
    <row r="46594">
      <c r="Y46594" s="372">
        <v>0.0</v>
      </c>
      <c r="Z46594" s="372">
        <v>0.0</v>
      </c>
    </row>
    <row r="46595">
      <c r="Y46595" s="372">
        <v>0.0</v>
      </c>
      <c r="Z46595" s="372">
        <v>0.0</v>
      </c>
    </row>
    <row r="46596">
      <c r="Y46596" s="372">
        <v>0.0</v>
      </c>
      <c r="Z46596" s="372">
        <v>0.0</v>
      </c>
    </row>
    <row r="46597">
      <c r="Y46597" s="372">
        <v>0.0</v>
      </c>
      <c r="Z46597" s="372">
        <v>0.0</v>
      </c>
    </row>
    <row r="46598">
      <c r="Y46598" s="372">
        <v>0.0</v>
      </c>
      <c r="Z46598" s="372">
        <v>0.0</v>
      </c>
    </row>
    <row r="46599">
      <c r="Y46599" s="372">
        <v>0.0</v>
      </c>
      <c r="Z46599" s="372">
        <v>0.0</v>
      </c>
    </row>
    <row r="46600">
      <c r="Y46600" s="372">
        <v>0.0</v>
      </c>
      <c r="Z46600" s="372">
        <v>0.0</v>
      </c>
    </row>
    <row r="46601">
      <c r="Y46601" s="372">
        <v>0.0</v>
      </c>
      <c r="Z46601" s="372">
        <v>0.0</v>
      </c>
    </row>
    <row r="46602">
      <c r="Y46602" s="372">
        <v>0.0</v>
      </c>
      <c r="Z46602" s="372">
        <v>0.0</v>
      </c>
    </row>
    <row r="46603">
      <c r="Y46603" s="372">
        <v>0.0</v>
      </c>
      <c r="Z46603" s="372">
        <v>0.0</v>
      </c>
    </row>
    <row r="46604">
      <c r="Y46604" s="372">
        <v>0.0</v>
      </c>
      <c r="Z46604" s="372">
        <v>0.0</v>
      </c>
    </row>
    <row r="46605">
      <c r="Y46605" s="372">
        <v>0.0</v>
      </c>
      <c r="Z46605" s="372">
        <v>0.0</v>
      </c>
    </row>
    <row r="46606">
      <c r="Y46606" s="372">
        <v>0.0</v>
      </c>
      <c r="Z46606" s="372">
        <v>0.0</v>
      </c>
    </row>
    <row r="46607">
      <c r="Y46607" s="372">
        <v>0.0</v>
      </c>
      <c r="Z46607" s="372">
        <v>0.0</v>
      </c>
    </row>
    <row r="46608">
      <c r="Y46608" s="372">
        <v>0.0</v>
      </c>
      <c r="Z46608" s="372">
        <v>0.0</v>
      </c>
    </row>
    <row r="46609">
      <c r="Y46609" s="372">
        <v>0.0</v>
      </c>
      <c r="Z46609" s="372">
        <v>0.0</v>
      </c>
    </row>
    <row r="46610">
      <c r="Y46610" s="372">
        <v>0.0</v>
      </c>
      <c r="Z46610" s="372">
        <v>0.0</v>
      </c>
    </row>
    <row r="46611">
      <c r="Y46611" s="372">
        <v>0.0</v>
      </c>
      <c r="Z46611" s="372">
        <v>0.0</v>
      </c>
    </row>
    <row r="46612">
      <c r="Y46612" s="372">
        <v>0.0</v>
      </c>
      <c r="Z46612" s="372">
        <v>0.0</v>
      </c>
    </row>
    <row r="46613">
      <c r="Y46613" s="372">
        <v>0.0</v>
      </c>
      <c r="Z46613" s="372">
        <v>0.0</v>
      </c>
    </row>
    <row r="46614">
      <c r="Y46614" s="372">
        <v>0.0</v>
      </c>
      <c r="Z46614" s="372">
        <v>0.0</v>
      </c>
    </row>
    <row r="46615">
      <c r="Y46615" s="372">
        <v>0.0</v>
      </c>
      <c r="Z46615" s="372">
        <v>0.0</v>
      </c>
    </row>
    <row r="46616">
      <c r="Y46616" s="372">
        <v>0.0</v>
      </c>
      <c r="Z46616" s="372">
        <v>0.0</v>
      </c>
    </row>
    <row r="46617">
      <c r="Y46617" s="372">
        <v>0.0</v>
      </c>
      <c r="Z46617" s="372">
        <v>0.0</v>
      </c>
    </row>
    <row r="46618">
      <c r="Y46618" s="372">
        <v>0.0</v>
      </c>
      <c r="Z46618" s="372">
        <v>0.0</v>
      </c>
    </row>
    <row r="46619">
      <c r="Y46619" s="372">
        <v>0.0</v>
      </c>
      <c r="Z46619" s="372">
        <v>0.0</v>
      </c>
    </row>
    <row r="46620">
      <c r="Y46620" s="372">
        <v>0.0</v>
      </c>
      <c r="Z46620" s="372">
        <v>0.0</v>
      </c>
    </row>
    <row r="46621">
      <c r="Y46621" s="372">
        <v>0.0</v>
      </c>
      <c r="Z46621" s="372">
        <v>0.0</v>
      </c>
    </row>
    <row r="46622">
      <c r="Y46622" s="372">
        <v>0.0</v>
      </c>
      <c r="Z46622" s="372">
        <v>0.0</v>
      </c>
    </row>
    <row r="46623">
      <c r="Y46623" s="372">
        <v>0.0</v>
      </c>
      <c r="Z46623" s="372">
        <v>0.0</v>
      </c>
    </row>
    <row r="46624">
      <c r="Y46624" s="372">
        <v>0.0</v>
      </c>
      <c r="Z46624" s="372">
        <v>0.0</v>
      </c>
    </row>
    <row r="46625">
      <c r="Y46625" s="372">
        <v>0.0</v>
      </c>
      <c r="Z46625" s="372">
        <v>0.0</v>
      </c>
    </row>
    <row r="46626">
      <c r="Y46626" s="372">
        <v>0.0</v>
      </c>
      <c r="Z46626" s="372">
        <v>0.0</v>
      </c>
    </row>
    <row r="46627">
      <c r="Y46627" s="372">
        <v>0.0</v>
      </c>
      <c r="Z46627" s="372">
        <v>0.0</v>
      </c>
    </row>
    <row r="46628">
      <c r="Y46628" s="372">
        <v>0.0</v>
      </c>
      <c r="Z46628" s="372">
        <v>0.0</v>
      </c>
    </row>
    <row r="46629">
      <c r="Y46629" s="372">
        <v>0.0</v>
      </c>
      <c r="Z46629" s="372">
        <v>0.0</v>
      </c>
    </row>
    <row r="46630">
      <c r="Y46630" s="372">
        <v>0.0</v>
      </c>
      <c r="Z46630" s="372">
        <v>0.0</v>
      </c>
    </row>
    <row r="46631">
      <c r="Y46631" s="372">
        <v>0.0</v>
      </c>
      <c r="Z46631" s="372">
        <v>0.0</v>
      </c>
    </row>
    <row r="46632">
      <c r="Y46632" s="372">
        <v>0.0</v>
      </c>
      <c r="Z46632" s="372">
        <v>0.0</v>
      </c>
    </row>
    <row r="46633">
      <c r="Y46633" s="372">
        <v>0.0</v>
      </c>
      <c r="Z46633" s="372">
        <v>0.0</v>
      </c>
    </row>
    <row r="46634">
      <c r="Y46634" s="372">
        <v>0.0</v>
      </c>
      <c r="Z46634" s="372">
        <v>0.0</v>
      </c>
    </row>
    <row r="46635">
      <c r="Y46635" s="372">
        <v>0.0</v>
      </c>
      <c r="Z46635" s="372">
        <v>0.0</v>
      </c>
    </row>
    <row r="46636">
      <c r="Y46636" s="372">
        <v>0.0</v>
      </c>
      <c r="Z46636" s="372">
        <v>0.0</v>
      </c>
    </row>
    <row r="46637">
      <c r="Y46637" s="372">
        <v>0.0</v>
      </c>
      <c r="Z46637" s="372">
        <v>0.0</v>
      </c>
    </row>
    <row r="46638">
      <c r="Y46638" s="372">
        <v>0.0</v>
      </c>
      <c r="Z46638" s="372">
        <v>0.0</v>
      </c>
    </row>
    <row r="46639">
      <c r="Y46639" s="372">
        <v>0.0</v>
      </c>
      <c r="Z46639" s="372">
        <v>0.0</v>
      </c>
    </row>
    <row r="46640">
      <c r="Y46640" s="372">
        <v>0.0</v>
      </c>
      <c r="Z46640" s="372">
        <v>0.0</v>
      </c>
    </row>
    <row r="46641">
      <c r="Y46641" s="372">
        <v>0.0</v>
      </c>
      <c r="Z46641" s="372">
        <v>0.0</v>
      </c>
    </row>
    <row r="46642">
      <c r="Y46642" s="372">
        <v>0.0</v>
      </c>
      <c r="Z46642" s="372">
        <v>0.0</v>
      </c>
    </row>
    <row r="46643">
      <c r="Y46643" s="372">
        <v>0.0</v>
      </c>
      <c r="Z46643" s="372">
        <v>0.0</v>
      </c>
    </row>
    <row r="46644">
      <c r="Y46644" s="372">
        <v>0.0</v>
      </c>
      <c r="Z46644" s="372">
        <v>0.0</v>
      </c>
    </row>
    <row r="46645">
      <c r="Y46645" s="372">
        <v>0.0</v>
      </c>
      <c r="Z46645" s="372">
        <v>0.0</v>
      </c>
    </row>
    <row r="46646">
      <c r="Y46646" s="372">
        <v>0.0</v>
      </c>
      <c r="Z46646" s="372">
        <v>0.0</v>
      </c>
    </row>
    <row r="46647">
      <c r="Y46647" s="372">
        <v>0.0</v>
      </c>
      <c r="Z46647" s="372">
        <v>0.0</v>
      </c>
    </row>
    <row r="46648">
      <c r="Y46648" s="372">
        <v>0.0</v>
      </c>
      <c r="Z46648" s="372">
        <v>0.0</v>
      </c>
    </row>
    <row r="46649">
      <c r="Y46649" s="372">
        <v>0.0</v>
      </c>
      <c r="Z46649" s="372">
        <v>0.0</v>
      </c>
    </row>
    <row r="46650">
      <c r="Y46650" s="372">
        <v>0.0</v>
      </c>
      <c r="Z46650" s="372">
        <v>0.0</v>
      </c>
    </row>
    <row r="46651">
      <c r="Y46651" s="372">
        <v>0.0</v>
      </c>
      <c r="Z46651" s="372">
        <v>0.0</v>
      </c>
    </row>
    <row r="46652">
      <c r="Y46652" s="372">
        <v>0.0</v>
      </c>
      <c r="Z46652" s="372">
        <v>0.0</v>
      </c>
    </row>
    <row r="46653">
      <c r="Y46653" s="372">
        <v>0.0</v>
      </c>
      <c r="Z46653" s="372">
        <v>0.0</v>
      </c>
    </row>
    <row r="46654">
      <c r="Y46654" s="372">
        <v>0.0</v>
      </c>
      <c r="Z46654" s="372">
        <v>0.0</v>
      </c>
    </row>
    <row r="46655">
      <c r="Y46655" s="372">
        <v>0.0</v>
      </c>
      <c r="Z46655" s="372">
        <v>0.0</v>
      </c>
    </row>
    <row r="46656">
      <c r="Y46656" s="372">
        <v>0.0</v>
      </c>
      <c r="Z46656" s="372">
        <v>0.0</v>
      </c>
    </row>
    <row r="46657">
      <c r="Y46657" s="372">
        <v>0.0</v>
      </c>
      <c r="Z46657" s="372">
        <v>0.0</v>
      </c>
    </row>
    <row r="46658">
      <c r="Y46658" s="372">
        <v>0.0</v>
      </c>
      <c r="Z46658" s="372">
        <v>0.0</v>
      </c>
    </row>
    <row r="46659">
      <c r="Y46659" s="372">
        <v>0.0</v>
      </c>
      <c r="Z46659" s="372">
        <v>0.0</v>
      </c>
    </row>
    <row r="46660">
      <c r="Y46660" s="372">
        <v>0.0</v>
      </c>
      <c r="Z46660" s="372">
        <v>0.0</v>
      </c>
    </row>
    <row r="46661">
      <c r="Y46661" s="372">
        <v>0.0</v>
      </c>
      <c r="Z46661" s="372">
        <v>0.0</v>
      </c>
    </row>
    <row r="46662">
      <c r="Y46662" s="372">
        <v>0.0</v>
      </c>
      <c r="Z46662" s="372">
        <v>0.0</v>
      </c>
    </row>
    <row r="46663">
      <c r="Y46663" s="372">
        <v>0.0</v>
      </c>
      <c r="Z46663" s="372">
        <v>0.0</v>
      </c>
    </row>
    <row r="46664">
      <c r="Y46664" s="372">
        <v>0.0</v>
      </c>
      <c r="Z46664" s="372">
        <v>0.0</v>
      </c>
    </row>
    <row r="46665">
      <c r="Y46665" s="372">
        <v>0.0</v>
      </c>
      <c r="Z46665" s="372">
        <v>0.0</v>
      </c>
    </row>
    <row r="46666">
      <c r="Y46666" s="372">
        <v>0.0</v>
      </c>
      <c r="Z46666" s="372">
        <v>0.0</v>
      </c>
    </row>
    <row r="46667">
      <c r="Y46667" s="372">
        <v>0.0</v>
      </c>
      <c r="Z46667" s="372">
        <v>0.0</v>
      </c>
    </row>
    <row r="46668">
      <c r="Y46668" s="372">
        <v>0.0</v>
      </c>
      <c r="Z46668" s="372">
        <v>0.0</v>
      </c>
    </row>
    <row r="46669">
      <c r="Y46669" s="372">
        <v>0.0</v>
      </c>
      <c r="Z46669" s="372">
        <v>0.0</v>
      </c>
    </row>
    <row r="46670">
      <c r="Y46670" s="372">
        <v>0.0</v>
      </c>
      <c r="Z46670" s="372">
        <v>0.0</v>
      </c>
    </row>
    <row r="46671">
      <c r="Y46671" s="372">
        <v>0.0</v>
      </c>
      <c r="Z46671" s="372">
        <v>0.0</v>
      </c>
    </row>
    <row r="46672">
      <c r="Y46672" s="372">
        <v>0.0</v>
      </c>
      <c r="Z46672" s="372">
        <v>0.0</v>
      </c>
    </row>
    <row r="46673">
      <c r="Y46673" s="372">
        <v>0.0</v>
      </c>
      <c r="Z46673" s="372">
        <v>0.0</v>
      </c>
    </row>
    <row r="46674">
      <c r="Y46674" s="372">
        <v>0.0</v>
      </c>
      <c r="Z46674" s="372">
        <v>0.0</v>
      </c>
    </row>
    <row r="46675">
      <c r="Y46675" s="372">
        <v>0.0</v>
      </c>
      <c r="Z46675" s="372">
        <v>0.0</v>
      </c>
    </row>
    <row r="46676">
      <c r="Y46676" s="372">
        <v>0.0</v>
      </c>
      <c r="Z46676" s="372">
        <v>0.0</v>
      </c>
    </row>
    <row r="46677">
      <c r="Y46677" s="372">
        <v>0.0</v>
      </c>
      <c r="Z46677" s="372">
        <v>0.0</v>
      </c>
    </row>
    <row r="46678">
      <c r="Y46678" s="372">
        <v>0.0</v>
      </c>
      <c r="Z46678" s="372">
        <v>0.0</v>
      </c>
    </row>
    <row r="46679">
      <c r="Y46679" s="372">
        <v>0.0</v>
      </c>
      <c r="Z46679" s="372">
        <v>0.0</v>
      </c>
    </row>
    <row r="46680">
      <c r="Y46680" s="372">
        <v>0.0</v>
      </c>
      <c r="Z46680" s="372">
        <v>0.0</v>
      </c>
    </row>
    <row r="46681">
      <c r="Y46681" s="372">
        <v>0.0</v>
      </c>
      <c r="Z46681" s="372">
        <v>0.0</v>
      </c>
    </row>
    <row r="46682">
      <c r="Y46682" s="372">
        <v>0.0</v>
      </c>
      <c r="Z46682" s="372">
        <v>0.0</v>
      </c>
    </row>
    <row r="46683">
      <c r="Y46683" s="372">
        <v>0.0</v>
      </c>
      <c r="Z46683" s="372">
        <v>0.0</v>
      </c>
    </row>
    <row r="46684">
      <c r="Y46684" s="372">
        <v>0.0</v>
      </c>
      <c r="Z46684" s="372">
        <v>0.0</v>
      </c>
    </row>
    <row r="46685">
      <c r="Y46685" s="372">
        <v>0.0</v>
      </c>
      <c r="Z46685" s="372">
        <v>0.0</v>
      </c>
    </row>
    <row r="46686">
      <c r="Y46686" s="372">
        <v>0.0</v>
      </c>
      <c r="Z46686" s="372">
        <v>0.0</v>
      </c>
    </row>
    <row r="46687">
      <c r="Y46687" s="372">
        <v>0.0</v>
      </c>
      <c r="Z46687" s="372">
        <v>0.0</v>
      </c>
    </row>
    <row r="46688">
      <c r="Y46688" s="372">
        <v>0.0</v>
      </c>
      <c r="Z46688" s="372">
        <v>0.0</v>
      </c>
    </row>
    <row r="46689">
      <c r="Y46689" s="372">
        <v>0.0</v>
      </c>
      <c r="Z46689" s="372">
        <v>0.0</v>
      </c>
    </row>
    <row r="46690">
      <c r="Y46690" s="372">
        <v>0.0</v>
      </c>
      <c r="Z46690" s="372">
        <v>0.0</v>
      </c>
    </row>
    <row r="46691">
      <c r="Y46691" s="372">
        <v>0.0</v>
      </c>
      <c r="Z46691" s="372">
        <v>0.0</v>
      </c>
    </row>
    <row r="46692">
      <c r="Y46692" s="372">
        <v>0.0</v>
      </c>
      <c r="Z46692" s="372">
        <v>0.0</v>
      </c>
    </row>
    <row r="46693">
      <c r="Y46693" s="372">
        <v>0.0</v>
      </c>
      <c r="Z46693" s="372">
        <v>0.0</v>
      </c>
    </row>
    <row r="46694">
      <c r="Y46694" s="372">
        <v>0.0</v>
      </c>
      <c r="Z46694" s="372">
        <v>0.0</v>
      </c>
    </row>
    <row r="46695">
      <c r="Y46695" s="372">
        <v>0.0</v>
      </c>
      <c r="Z46695" s="372">
        <v>0.0</v>
      </c>
    </row>
    <row r="46696">
      <c r="Y46696" s="372">
        <v>0.0</v>
      </c>
      <c r="Z46696" s="372">
        <v>0.0</v>
      </c>
    </row>
    <row r="46697">
      <c r="Y46697" s="372">
        <v>0.0</v>
      </c>
      <c r="Z46697" s="372">
        <v>0.0</v>
      </c>
    </row>
    <row r="46698">
      <c r="Y46698" s="372">
        <v>0.0</v>
      </c>
      <c r="Z46698" s="372">
        <v>0.0</v>
      </c>
    </row>
    <row r="46699">
      <c r="Y46699" s="372">
        <v>0.0</v>
      </c>
      <c r="Z46699" s="372">
        <v>0.0</v>
      </c>
    </row>
    <row r="46700">
      <c r="Y46700" s="372">
        <v>0.0</v>
      </c>
      <c r="Z46700" s="372">
        <v>0.0</v>
      </c>
    </row>
    <row r="46701">
      <c r="Y46701" s="372">
        <v>0.0</v>
      </c>
      <c r="Z46701" s="372">
        <v>0.0</v>
      </c>
    </row>
    <row r="46702">
      <c r="Y46702" s="372">
        <v>0.0</v>
      </c>
      <c r="Z46702" s="372">
        <v>0.0</v>
      </c>
    </row>
    <row r="46703">
      <c r="Y46703" s="372">
        <v>0.0</v>
      </c>
      <c r="Z46703" s="372">
        <v>0.0</v>
      </c>
    </row>
    <row r="46704">
      <c r="Y46704" s="372">
        <v>0.0</v>
      </c>
      <c r="Z46704" s="372">
        <v>0.0</v>
      </c>
    </row>
    <row r="46705">
      <c r="Y46705" s="372">
        <v>0.0</v>
      </c>
      <c r="Z46705" s="372">
        <v>0.0</v>
      </c>
    </row>
    <row r="46706">
      <c r="Y46706" s="372">
        <v>0.0</v>
      </c>
      <c r="Z46706" s="372">
        <v>0.0</v>
      </c>
    </row>
    <row r="46707">
      <c r="Y46707" s="372">
        <v>0.0</v>
      </c>
      <c r="Z46707" s="372">
        <v>0.0</v>
      </c>
    </row>
    <row r="46708">
      <c r="Y46708" s="372">
        <v>0.0</v>
      </c>
      <c r="Z46708" s="372">
        <v>0.0</v>
      </c>
    </row>
    <row r="46709">
      <c r="Y46709" s="372">
        <v>0.0</v>
      </c>
      <c r="Z46709" s="372">
        <v>0.0</v>
      </c>
    </row>
    <row r="46710">
      <c r="Y46710" s="372">
        <v>0.0</v>
      </c>
      <c r="Z46710" s="372">
        <v>0.0</v>
      </c>
    </row>
    <row r="46711">
      <c r="Y46711" s="372">
        <v>0.0</v>
      </c>
      <c r="Z46711" s="372">
        <v>0.0</v>
      </c>
    </row>
    <row r="46712">
      <c r="Y46712" s="372">
        <v>0.0</v>
      </c>
      <c r="Z46712" s="372">
        <v>0.0</v>
      </c>
    </row>
    <row r="46713">
      <c r="Y46713" s="372">
        <v>0.0</v>
      </c>
      <c r="Z46713" s="372">
        <v>0.0</v>
      </c>
    </row>
    <row r="46714">
      <c r="Y46714" s="372">
        <v>0.0</v>
      </c>
      <c r="Z46714" s="372">
        <v>0.0</v>
      </c>
    </row>
    <row r="46715">
      <c r="Y46715" s="372">
        <v>0.0</v>
      </c>
      <c r="Z46715" s="372">
        <v>0.0</v>
      </c>
    </row>
    <row r="46716">
      <c r="Y46716" s="372">
        <v>0.0</v>
      </c>
      <c r="Z46716" s="372">
        <v>0.0</v>
      </c>
    </row>
    <row r="46717">
      <c r="Y46717" s="372">
        <v>0.0</v>
      </c>
      <c r="Z46717" s="372">
        <v>0.0</v>
      </c>
    </row>
    <row r="46718">
      <c r="Y46718" s="372">
        <v>0.0</v>
      </c>
      <c r="Z46718" s="372">
        <v>0.0</v>
      </c>
    </row>
    <row r="46719">
      <c r="Y46719" s="372">
        <v>0.0</v>
      </c>
      <c r="Z46719" s="372">
        <v>0.0</v>
      </c>
    </row>
    <row r="46720">
      <c r="Y46720" s="372">
        <v>0.0</v>
      </c>
      <c r="Z46720" s="372">
        <v>0.0</v>
      </c>
    </row>
    <row r="46721">
      <c r="Y46721" s="372">
        <v>0.0</v>
      </c>
      <c r="Z46721" s="372">
        <v>0.0</v>
      </c>
    </row>
    <row r="46722">
      <c r="Y46722" s="372">
        <v>0.0</v>
      </c>
      <c r="Z46722" s="372">
        <v>0.0</v>
      </c>
    </row>
    <row r="46723">
      <c r="Y46723" s="372">
        <v>0.0</v>
      </c>
      <c r="Z46723" s="372">
        <v>0.0</v>
      </c>
    </row>
    <row r="46724">
      <c r="Y46724" s="372">
        <v>0.0</v>
      </c>
      <c r="Z46724" s="372">
        <v>0.0</v>
      </c>
    </row>
    <row r="46725">
      <c r="Y46725" s="372">
        <v>0.0</v>
      </c>
      <c r="Z46725" s="372">
        <v>0.0</v>
      </c>
    </row>
    <row r="46726">
      <c r="Y46726" s="372">
        <v>0.0</v>
      </c>
      <c r="Z46726" s="372">
        <v>0.0</v>
      </c>
    </row>
    <row r="46727">
      <c r="Y46727" s="372">
        <v>0.0</v>
      </c>
      <c r="Z46727" s="372">
        <v>0.0</v>
      </c>
    </row>
    <row r="46728">
      <c r="Y46728" s="372">
        <v>0.0</v>
      </c>
      <c r="Z46728" s="372">
        <v>0.0</v>
      </c>
    </row>
    <row r="46729">
      <c r="Y46729" s="372">
        <v>0.0</v>
      </c>
      <c r="Z46729" s="372">
        <v>0.0</v>
      </c>
    </row>
    <row r="46730">
      <c r="Y46730" s="372">
        <v>0.0</v>
      </c>
      <c r="Z46730" s="372">
        <v>0.0</v>
      </c>
    </row>
    <row r="46731">
      <c r="Y46731" s="372">
        <v>0.0</v>
      </c>
      <c r="Z46731" s="372">
        <v>0.0</v>
      </c>
    </row>
    <row r="46732">
      <c r="Y46732" s="372">
        <v>0.0</v>
      </c>
      <c r="Z46732" s="372">
        <v>0.0</v>
      </c>
    </row>
    <row r="46733">
      <c r="Y46733" s="372">
        <v>0.0</v>
      </c>
      <c r="Z46733" s="372">
        <v>0.0</v>
      </c>
    </row>
    <row r="46734">
      <c r="Y46734" s="372">
        <v>0.0</v>
      </c>
      <c r="Z46734" s="372">
        <v>0.0</v>
      </c>
    </row>
    <row r="46735">
      <c r="Y46735" s="372">
        <v>0.0</v>
      </c>
      <c r="Z46735" s="372">
        <v>0.0</v>
      </c>
    </row>
    <row r="46736">
      <c r="Y46736" s="372">
        <v>0.0</v>
      </c>
      <c r="Z46736" s="372">
        <v>0.0</v>
      </c>
    </row>
    <row r="46737">
      <c r="Y46737" s="372">
        <v>0.0</v>
      </c>
      <c r="Z46737" s="372">
        <v>0.0</v>
      </c>
    </row>
    <row r="46738">
      <c r="Y46738" s="372">
        <v>0.0</v>
      </c>
      <c r="Z46738" s="372">
        <v>0.0</v>
      </c>
    </row>
    <row r="46739">
      <c r="Y46739" s="372">
        <v>0.0</v>
      </c>
      <c r="Z46739" s="372">
        <v>0.0</v>
      </c>
    </row>
    <row r="46740">
      <c r="Y46740" s="372">
        <v>0.0</v>
      </c>
      <c r="Z46740" s="372">
        <v>0.0</v>
      </c>
    </row>
    <row r="46741">
      <c r="Y46741" s="372">
        <v>0.0</v>
      </c>
      <c r="Z46741" s="372">
        <v>0.0</v>
      </c>
    </row>
    <row r="46742">
      <c r="Y46742" s="372">
        <v>0.0</v>
      </c>
      <c r="Z46742" s="372">
        <v>0.0</v>
      </c>
    </row>
    <row r="46743">
      <c r="Y46743" s="372">
        <v>0.0</v>
      </c>
      <c r="Z46743" s="372">
        <v>0.0</v>
      </c>
    </row>
    <row r="46744">
      <c r="Y46744" s="372">
        <v>0.0</v>
      </c>
      <c r="Z46744" s="372">
        <v>0.0</v>
      </c>
    </row>
    <row r="46745">
      <c r="Y46745" s="372">
        <v>0.0</v>
      </c>
      <c r="Z46745" s="372">
        <v>0.0</v>
      </c>
    </row>
    <row r="46746">
      <c r="Y46746" s="372">
        <v>0.0</v>
      </c>
      <c r="Z46746" s="372">
        <v>0.0</v>
      </c>
    </row>
    <row r="46747">
      <c r="Y46747" s="372">
        <v>0.0</v>
      </c>
      <c r="Z46747" s="372">
        <v>0.0</v>
      </c>
    </row>
    <row r="46748">
      <c r="Y46748" s="372">
        <v>0.0</v>
      </c>
      <c r="Z46748" s="372">
        <v>0.0</v>
      </c>
    </row>
    <row r="46749">
      <c r="Y46749" s="372">
        <v>0.0</v>
      </c>
      <c r="Z46749" s="372">
        <v>0.0</v>
      </c>
    </row>
    <row r="46750">
      <c r="Y46750" s="372">
        <v>0.0</v>
      </c>
      <c r="Z46750" s="372">
        <v>0.0</v>
      </c>
    </row>
    <row r="46751">
      <c r="Y46751" s="372">
        <v>0.0</v>
      </c>
      <c r="Z46751" s="372">
        <v>0.0</v>
      </c>
    </row>
    <row r="46752">
      <c r="Y46752" s="372">
        <v>0.0</v>
      </c>
      <c r="Z46752" s="372">
        <v>0.0</v>
      </c>
    </row>
    <row r="46753">
      <c r="Y46753" s="372">
        <v>0.0</v>
      </c>
      <c r="Z46753" s="372">
        <v>0.0</v>
      </c>
    </row>
    <row r="46754">
      <c r="Y46754" s="372">
        <v>0.0</v>
      </c>
      <c r="Z46754" s="372">
        <v>0.0</v>
      </c>
    </row>
    <row r="46755">
      <c r="Y46755" s="372">
        <v>0.0</v>
      </c>
      <c r="Z46755" s="372">
        <v>0.0</v>
      </c>
    </row>
    <row r="46756">
      <c r="Y46756" s="372">
        <v>0.0</v>
      </c>
      <c r="Z46756" s="372">
        <v>0.0</v>
      </c>
    </row>
    <row r="46757">
      <c r="Y46757" s="372">
        <v>0.0</v>
      </c>
      <c r="Z46757" s="372">
        <v>0.0</v>
      </c>
    </row>
    <row r="46758">
      <c r="Y46758" s="372">
        <v>0.0</v>
      </c>
      <c r="Z46758" s="372">
        <v>0.0</v>
      </c>
    </row>
    <row r="46759">
      <c r="Y46759" s="372">
        <v>0.0</v>
      </c>
      <c r="Z46759" s="372">
        <v>0.0</v>
      </c>
    </row>
    <row r="46760">
      <c r="Y46760" s="372">
        <v>0.0</v>
      </c>
      <c r="Z46760" s="372">
        <v>0.0</v>
      </c>
    </row>
    <row r="46761">
      <c r="Y46761" s="372">
        <v>0.0</v>
      </c>
      <c r="Z46761" s="372">
        <v>0.0</v>
      </c>
    </row>
    <row r="46762">
      <c r="Y46762" s="372">
        <v>0.0</v>
      </c>
      <c r="Z46762" s="372">
        <v>0.0</v>
      </c>
    </row>
    <row r="46763">
      <c r="Y46763" s="372">
        <v>0.0</v>
      </c>
      <c r="Z46763" s="372">
        <v>0.0</v>
      </c>
    </row>
    <row r="46764">
      <c r="Y46764" s="372">
        <v>0.0</v>
      </c>
      <c r="Z46764" s="372">
        <v>0.0</v>
      </c>
    </row>
    <row r="46765">
      <c r="Y46765" s="372">
        <v>0.0</v>
      </c>
      <c r="Z46765" s="372">
        <v>0.0</v>
      </c>
    </row>
    <row r="46766">
      <c r="Y46766" s="372">
        <v>0.0</v>
      </c>
      <c r="Z46766" s="372">
        <v>0.0</v>
      </c>
    </row>
    <row r="46767">
      <c r="Y46767" s="372">
        <v>0.0</v>
      </c>
      <c r="Z46767" s="372">
        <v>0.0</v>
      </c>
    </row>
    <row r="46768">
      <c r="Y46768" s="372">
        <v>0.0</v>
      </c>
      <c r="Z46768" s="372">
        <v>0.0</v>
      </c>
    </row>
    <row r="46769">
      <c r="Y46769" s="372">
        <v>0.0</v>
      </c>
      <c r="Z46769" s="372">
        <v>0.0</v>
      </c>
    </row>
    <row r="46770">
      <c r="Y46770" s="372">
        <v>0.0</v>
      </c>
      <c r="Z46770" s="372">
        <v>0.0</v>
      </c>
    </row>
    <row r="46771">
      <c r="Y46771" s="372">
        <v>0.0</v>
      </c>
      <c r="Z46771" s="372">
        <v>0.0</v>
      </c>
    </row>
    <row r="46772">
      <c r="Y46772" s="372">
        <v>0.0</v>
      </c>
      <c r="Z46772" s="372">
        <v>0.0</v>
      </c>
    </row>
    <row r="46773">
      <c r="Y46773" s="372">
        <v>0.0</v>
      </c>
      <c r="Z46773" s="372">
        <v>0.0</v>
      </c>
    </row>
    <row r="46774">
      <c r="Y46774" s="372">
        <v>0.0</v>
      </c>
      <c r="Z46774" s="372">
        <v>0.0</v>
      </c>
    </row>
    <row r="46775">
      <c r="Y46775" s="372">
        <v>0.0</v>
      </c>
      <c r="Z46775" s="372">
        <v>0.0</v>
      </c>
    </row>
    <row r="46776">
      <c r="Y46776" s="372">
        <v>0.0</v>
      </c>
      <c r="Z46776" s="372">
        <v>0.0</v>
      </c>
    </row>
    <row r="46777">
      <c r="Y46777" s="372">
        <v>0.0</v>
      </c>
      <c r="Z46777" s="372">
        <v>0.0</v>
      </c>
    </row>
    <row r="46778">
      <c r="Y46778" s="372">
        <v>0.0</v>
      </c>
      <c r="Z46778" s="372">
        <v>0.0</v>
      </c>
    </row>
    <row r="46779">
      <c r="Y46779" s="372">
        <v>0.0</v>
      </c>
      <c r="Z46779" s="372">
        <v>0.0</v>
      </c>
    </row>
    <row r="46780">
      <c r="Y46780" s="372">
        <v>0.0</v>
      </c>
      <c r="Z46780" s="372">
        <v>0.0</v>
      </c>
    </row>
    <row r="46781">
      <c r="Y46781" s="372">
        <v>0.0</v>
      </c>
      <c r="Z46781" s="372">
        <v>0.0</v>
      </c>
    </row>
    <row r="46782">
      <c r="Y46782" s="372">
        <v>0.0</v>
      </c>
      <c r="Z46782" s="372">
        <v>0.0</v>
      </c>
    </row>
    <row r="46783">
      <c r="Y46783" s="372">
        <v>0.0</v>
      </c>
      <c r="Z46783" s="372">
        <v>0.0</v>
      </c>
    </row>
    <row r="46784">
      <c r="Y46784" s="372">
        <v>0.0</v>
      </c>
      <c r="Z46784" s="372">
        <v>0.0</v>
      </c>
    </row>
    <row r="46785">
      <c r="Y46785" s="372">
        <v>0.0</v>
      </c>
      <c r="Z46785" s="372">
        <v>0.0</v>
      </c>
    </row>
    <row r="46786">
      <c r="Y46786" s="372">
        <v>0.0</v>
      </c>
      <c r="Z46786" s="372">
        <v>0.0</v>
      </c>
    </row>
    <row r="46787">
      <c r="Y46787" s="372">
        <v>0.0</v>
      </c>
      <c r="Z46787" s="372">
        <v>0.0</v>
      </c>
    </row>
    <row r="46788">
      <c r="Y46788" s="372">
        <v>0.0</v>
      </c>
      <c r="Z46788" s="372">
        <v>0.0</v>
      </c>
    </row>
    <row r="46789">
      <c r="Y46789" s="372">
        <v>0.0</v>
      </c>
      <c r="Z46789" s="372">
        <v>0.0</v>
      </c>
    </row>
    <row r="46790">
      <c r="Y46790" s="372">
        <v>0.0</v>
      </c>
      <c r="Z46790" s="372">
        <v>0.0</v>
      </c>
    </row>
    <row r="46791">
      <c r="Y46791" s="372">
        <v>0.0</v>
      </c>
      <c r="Z46791" s="372">
        <v>0.0</v>
      </c>
    </row>
    <row r="46792">
      <c r="Y46792" s="372">
        <v>0.0</v>
      </c>
      <c r="Z46792" s="372">
        <v>0.0</v>
      </c>
    </row>
    <row r="46793">
      <c r="Y46793" s="372">
        <v>0.0</v>
      </c>
      <c r="Z46793" s="372">
        <v>0.0</v>
      </c>
    </row>
    <row r="46794">
      <c r="Y46794" s="372">
        <v>0.0</v>
      </c>
      <c r="Z46794" s="372">
        <v>0.0</v>
      </c>
    </row>
    <row r="46795">
      <c r="Y46795" s="372">
        <v>0.0</v>
      </c>
      <c r="Z46795" s="372">
        <v>0.0</v>
      </c>
    </row>
    <row r="46796">
      <c r="Y46796" s="372">
        <v>0.0</v>
      </c>
      <c r="Z46796" s="372">
        <v>0.0</v>
      </c>
    </row>
    <row r="46797">
      <c r="Y46797" s="372">
        <v>0.0</v>
      </c>
      <c r="Z46797" s="372">
        <v>0.0</v>
      </c>
    </row>
    <row r="46798">
      <c r="Y46798" s="372">
        <v>0.0</v>
      </c>
      <c r="Z46798" s="372">
        <v>0.0</v>
      </c>
    </row>
    <row r="46799">
      <c r="Y46799" s="372">
        <v>0.0</v>
      </c>
      <c r="Z46799" s="372">
        <v>0.0</v>
      </c>
    </row>
    <row r="46800">
      <c r="Y46800" s="372">
        <v>0.0</v>
      </c>
      <c r="Z46800" s="372">
        <v>0.0</v>
      </c>
    </row>
    <row r="46801">
      <c r="Y46801" s="372">
        <v>0.0</v>
      </c>
      <c r="Z46801" s="372">
        <v>0.0</v>
      </c>
    </row>
    <row r="46802">
      <c r="Y46802" s="372">
        <v>0.0</v>
      </c>
      <c r="Z46802" s="372">
        <v>0.0</v>
      </c>
    </row>
    <row r="46803">
      <c r="Y46803" s="372">
        <v>0.0</v>
      </c>
      <c r="Z46803" s="372">
        <v>0.0</v>
      </c>
    </row>
    <row r="46804">
      <c r="Y46804" s="372">
        <v>0.0</v>
      </c>
      <c r="Z46804" s="372">
        <v>0.0</v>
      </c>
    </row>
    <row r="46805">
      <c r="Y46805" s="372">
        <v>0.0</v>
      </c>
      <c r="Z46805" s="372">
        <v>0.0</v>
      </c>
    </row>
    <row r="46806">
      <c r="Y46806" s="372">
        <v>0.0</v>
      </c>
      <c r="Z46806" s="372">
        <v>0.0</v>
      </c>
    </row>
    <row r="46807">
      <c r="Y46807" s="372">
        <v>0.0</v>
      </c>
      <c r="Z46807" s="372">
        <v>0.0</v>
      </c>
    </row>
    <row r="46808">
      <c r="Y46808" s="372">
        <v>0.0</v>
      </c>
      <c r="Z46808" s="372">
        <v>0.0</v>
      </c>
    </row>
    <row r="46809">
      <c r="Y46809" s="372">
        <v>0.0</v>
      </c>
      <c r="Z46809" s="372">
        <v>0.0</v>
      </c>
    </row>
    <row r="46810">
      <c r="Y46810" s="372">
        <v>0.0</v>
      </c>
      <c r="Z46810" s="372">
        <v>0.0</v>
      </c>
    </row>
    <row r="46811">
      <c r="Y46811" s="372">
        <v>0.0</v>
      </c>
      <c r="Z46811" s="372">
        <v>0.0</v>
      </c>
    </row>
    <row r="46812">
      <c r="Y46812" s="372">
        <v>0.0</v>
      </c>
      <c r="Z46812" s="372">
        <v>0.0</v>
      </c>
    </row>
    <row r="46813">
      <c r="Y46813" s="372">
        <v>0.0</v>
      </c>
      <c r="Z46813" s="372">
        <v>0.0</v>
      </c>
    </row>
    <row r="46814">
      <c r="Y46814" s="372">
        <v>0.0</v>
      </c>
      <c r="Z46814" s="372">
        <v>0.0</v>
      </c>
    </row>
    <row r="46815">
      <c r="Y46815" s="372">
        <v>0.0</v>
      </c>
      <c r="Z46815" s="372">
        <v>0.0</v>
      </c>
    </row>
    <row r="46816">
      <c r="Y46816" s="372">
        <v>0.0</v>
      </c>
      <c r="Z46816" s="372">
        <v>0.0</v>
      </c>
    </row>
    <row r="46817">
      <c r="Y46817" s="372">
        <v>0.0</v>
      </c>
      <c r="Z46817" s="372">
        <v>0.0</v>
      </c>
    </row>
    <row r="46818">
      <c r="Y46818" s="372">
        <v>0.0</v>
      </c>
      <c r="Z46818" s="372">
        <v>0.0</v>
      </c>
    </row>
    <row r="46819">
      <c r="Y46819" s="372">
        <v>0.0</v>
      </c>
      <c r="Z46819" s="372">
        <v>0.0</v>
      </c>
    </row>
    <row r="46820">
      <c r="Y46820" s="372">
        <v>0.0</v>
      </c>
      <c r="Z46820" s="372">
        <v>0.0</v>
      </c>
    </row>
    <row r="46821">
      <c r="Y46821" s="372">
        <v>0.0</v>
      </c>
      <c r="Z46821" s="372">
        <v>0.0</v>
      </c>
    </row>
    <row r="46822">
      <c r="Y46822" s="372">
        <v>0.0</v>
      </c>
      <c r="Z46822" s="372">
        <v>0.0</v>
      </c>
    </row>
    <row r="46823">
      <c r="Y46823" s="372">
        <v>0.0</v>
      </c>
      <c r="Z46823" s="372">
        <v>0.0</v>
      </c>
    </row>
    <row r="46824">
      <c r="Y46824" s="372">
        <v>0.0</v>
      </c>
      <c r="Z46824" s="372">
        <v>0.0</v>
      </c>
    </row>
    <row r="46825">
      <c r="Y46825" s="372">
        <v>0.0</v>
      </c>
      <c r="Z46825" s="372">
        <v>0.0</v>
      </c>
    </row>
    <row r="46826">
      <c r="Y46826" s="372">
        <v>0.0</v>
      </c>
      <c r="Z46826" s="372">
        <v>0.0</v>
      </c>
    </row>
    <row r="46827">
      <c r="Y46827" s="372">
        <v>0.0</v>
      </c>
      <c r="Z46827" s="372">
        <v>0.0</v>
      </c>
    </row>
    <row r="46828">
      <c r="Y46828" s="372">
        <v>0.0</v>
      </c>
      <c r="Z46828" s="372">
        <v>0.0</v>
      </c>
    </row>
    <row r="46829">
      <c r="Y46829" s="372">
        <v>0.0</v>
      </c>
      <c r="Z46829" s="372">
        <v>0.0</v>
      </c>
    </row>
    <row r="46830">
      <c r="Y46830" s="372">
        <v>0.0</v>
      </c>
      <c r="Z46830" s="372">
        <v>0.0</v>
      </c>
    </row>
    <row r="46831">
      <c r="Y46831" s="372">
        <v>0.0</v>
      </c>
      <c r="Z46831" s="372">
        <v>0.0</v>
      </c>
    </row>
    <row r="46832">
      <c r="Y46832" s="372">
        <v>0.0</v>
      </c>
      <c r="Z46832" s="372">
        <v>0.0</v>
      </c>
    </row>
    <row r="46833">
      <c r="Y46833" s="372">
        <v>0.0</v>
      </c>
      <c r="Z46833" s="372">
        <v>0.0</v>
      </c>
    </row>
    <row r="46834">
      <c r="Y46834" s="372">
        <v>0.0</v>
      </c>
      <c r="Z46834" s="372">
        <v>0.0</v>
      </c>
    </row>
    <row r="46835">
      <c r="Y46835" s="372">
        <v>0.0</v>
      </c>
      <c r="Z46835" s="372">
        <v>0.0</v>
      </c>
    </row>
    <row r="46836">
      <c r="Y46836" s="372">
        <v>0.0</v>
      </c>
      <c r="Z46836" s="372">
        <v>0.0</v>
      </c>
    </row>
    <row r="46837">
      <c r="Y46837" s="372">
        <v>0.0</v>
      </c>
      <c r="Z46837" s="372">
        <v>0.0</v>
      </c>
    </row>
    <row r="46838">
      <c r="Y46838" s="372">
        <v>0.0</v>
      </c>
      <c r="Z46838" s="372">
        <v>0.0</v>
      </c>
    </row>
    <row r="46839">
      <c r="Y46839" s="372">
        <v>0.0</v>
      </c>
      <c r="Z46839" s="372">
        <v>0.0</v>
      </c>
    </row>
    <row r="46840">
      <c r="Y46840" s="372">
        <v>0.0</v>
      </c>
      <c r="Z46840" s="372">
        <v>0.0</v>
      </c>
    </row>
    <row r="46841">
      <c r="Y46841" s="372">
        <v>0.0</v>
      </c>
      <c r="Z46841" s="372">
        <v>0.0</v>
      </c>
    </row>
    <row r="46842">
      <c r="Y46842" s="372">
        <v>0.0</v>
      </c>
      <c r="Z46842" s="372">
        <v>0.0</v>
      </c>
    </row>
    <row r="46843">
      <c r="Y46843" s="372">
        <v>0.0</v>
      </c>
      <c r="Z46843" s="372">
        <v>0.0</v>
      </c>
    </row>
    <row r="46844">
      <c r="Y46844" s="372">
        <v>0.0</v>
      </c>
      <c r="Z46844" s="372">
        <v>0.0</v>
      </c>
    </row>
    <row r="46845">
      <c r="Y46845" s="372">
        <v>0.0</v>
      </c>
      <c r="Z46845" s="372">
        <v>0.0</v>
      </c>
    </row>
    <row r="46846">
      <c r="Y46846" s="372">
        <v>0.0</v>
      </c>
      <c r="Z46846" s="372">
        <v>0.0</v>
      </c>
    </row>
    <row r="46847">
      <c r="Y46847" s="372">
        <v>0.0</v>
      </c>
      <c r="Z46847" s="372">
        <v>0.0</v>
      </c>
    </row>
    <row r="46848">
      <c r="Y46848" s="372">
        <v>0.0</v>
      </c>
      <c r="Z46848" s="372">
        <v>0.0</v>
      </c>
    </row>
    <row r="46849">
      <c r="Y46849" s="372">
        <v>0.0</v>
      </c>
      <c r="Z46849" s="372">
        <v>0.0</v>
      </c>
    </row>
    <row r="46850">
      <c r="Y46850" s="372">
        <v>0.0</v>
      </c>
      <c r="Z46850" s="372">
        <v>0.0</v>
      </c>
    </row>
    <row r="46851">
      <c r="Y46851" s="372">
        <v>0.0</v>
      </c>
      <c r="Z46851" s="372">
        <v>0.0</v>
      </c>
    </row>
    <row r="46852">
      <c r="Y46852" s="372">
        <v>0.0</v>
      </c>
      <c r="Z46852" s="372">
        <v>0.0</v>
      </c>
    </row>
    <row r="46853">
      <c r="Y46853" s="372">
        <v>0.0</v>
      </c>
      <c r="Z46853" s="372">
        <v>0.0</v>
      </c>
    </row>
    <row r="46854">
      <c r="Y46854" s="372">
        <v>0.0</v>
      </c>
      <c r="Z46854" s="372">
        <v>0.0</v>
      </c>
    </row>
    <row r="46855">
      <c r="Y46855" s="372">
        <v>0.0</v>
      </c>
      <c r="Z46855" s="372">
        <v>0.0</v>
      </c>
    </row>
    <row r="46856">
      <c r="Y46856" s="372">
        <v>0.0</v>
      </c>
      <c r="Z46856" s="372">
        <v>0.0</v>
      </c>
    </row>
    <row r="46857">
      <c r="Y46857" s="372">
        <v>0.0</v>
      </c>
      <c r="Z46857" s="372">
        <v>0.0</v>
      </c>
    </row>
    <row r="46858">
      <c r="Y46858" s="372">
        <v>0.0</v>
      </c>
      <c r="Z46858" s="372">
        <v>0.0</v>
      </c>
    </row>
    <row r="46859">
      <c r="Y46859" s="372">
        <v>0.0</v>
      </c>
      <c r="Z46859" s="372">
        <v>0.0</v>
      </c>
    </row>
    <row r="46860">
      <c r="Y46860" s="372">
        <v>0.0</v>
      </c>
      <c r="Z46860" s="372">
        <v>0.0</v>
      </c>
    </row>
    <row r="46861">
      <c r="Y46861" s="372">
        <v>0.0</v>
      </c>
      <c r="Z46861" s="372">
        <v>0.0</v>
      </c>
    </row>
    <row r="46862">
      <c r="Y46862" s="372">
        <v>0.0</v>
      </c>
      <c r="Z46862" s="372">
        <v>0.0</v>
      </c>
    </row>
    <row r="46863">
      <c r="Y46863" s="372">
        <v>0.0</v>
      </c>
      <c r="Z46863" s="372">
        <v>0.0</v>
      </c>
    </row>
    <row r="46864">
      <c r="Y46864" s="372">
        <v>0.0</v>
      </c>
      <c r="Z46864" s="372">
        <v>0.0</v>
      </c>
    </row>
    <row r="46865">
      <c r="Y46865" s="372">
        <v>0.0</v>
      </c>
      <c r="Z46865" s="372">
        <v>0.0</v>
      </c>
    </row>
    <row r="46866">
      <c r="Y46866" s="372">
        <v>0.0</v>
      </c>
      <c r="Z46866" s="372">
        <v>0.0</v>
      </c>
    </row>
    <row r="46867">
      <c r="Y46867" s="372">
        <v>0.0</v>
      </c>
      <c r="Z46867" s="372">
        <v>0.0</v>
      </c>
    </row>
    <row r="46868">
      <c r="Y46868" s="372">
        <v>0.0</v>
      </c>
      <c r="Z46868" s="372">
        <v>0.0</v>
      </c>
    </row>
    <row r="46869">
      <c r="Y46869" s="372">
        <v>0.0</v>
      </c>
      <c r="Z46869" s="372">
        <v>0.0</v>
      </c>
    </row>
    <row r="46870">
      <c r="Y46870" s="372">
        <v>0.0</v>
      </c>
      <c r="Z46870" s="372">
        <v>0.0</v>
      </c>
    </row>
    <row r="46871">
      <c r="Y46871" s="372">
        <v>0.0</v>
      </c>
      <c r="Z46871" s="372">
        <v>0.0</v>
      </c>
    </row>
    <row r="46872">
      <c r="Y46872" s="372">
        <v>0.0</v>
      </c>
      <c r="Z46872" s="372">
        <v>0.0</v>
      </c>
    </row>
    <row r="46873">
      <c r="Y46873" s="372">
        <v>0.0</v>
      </c>
      <c r="Z46873" s="372">
        <v>0.0</v>
      </c>
    </row>
    <row r="46874">
      <c r="Y46874" s="372">
        <v>0.0</v>
      </c>
      <c r="Z46874" s="372">
        <v>0.0</v>
      </c>
    </row>
    <row r="46875">
      <c r="Y46875" s="372">
        <v>0.0</v>
      </c>
      <c r="Z46875" s="372">
        <v>0.0</v>
      </c>
    </row>
    <row r="46876">
      <c r="Y46876" s="372">
        <v>0.0</v>
      </c>
      <c r="Z46876" s="372">
        <v>0.0</v>
      </c>
    </row>
    <row r="46877">
      <c r="Y46877" s="372">
        <v>0.0</v>
      </c>
      <c r="Z46877" s="372">
        <v>0.0</v>
      </c>
    </row>
    <row r="46878">
      <c r="Y46878" s="372">
        <v>0.0</v>
      </c>
      <c r="Z46878" s="372">
        <v>0.0</v>
      </c>
    </row>
    <row r="46879">
      <c r="Y46879" s="372">
        <v>0.0</v>
      </c>
      <c r="Z46879" s="372">
        <v>0.0</v>
      </c>
    </row>
    <row r="46880">
      <c r="Y46880" s="372">
        <v>0.0</v>
      </c>
      <c r="Z46880" s="372">
        <v>0.0</v>
      </c>
    </row>
    <row r="46881">
      <c r="Y46881" s="372">
        <v>0.0</v>
      </c>
      <c r="Z46881" s="372">
        <v>0.0</v>
      </c>
    </row>
    <row r="46882">
      <c r="Y46882" s="372">
        <v>0.0</v>
      </c>
      <c r="Z46882" s="372">
        <v>0.0</v>
      </c>
    </row>
    <row r="46883">
      <c r="Y46883" s="372">
        <v>0.0</v>
      </c>
      <c r="Z46883" s="372">
        <v>0.0</v>
      </c>
    </row>
    <row r="46884">
      <c r="Y46884" s="372">
        <v>0.0</v>
      </c>
      <c r="Z46884" s="372">
        <v>0.0</v>
      </c>
    </row>
    <row r="46885">
      <c r="Y46885" s="372">
        <v>0.0</v>
      </c>
      <c r="Z46885" s="372">
        <v>0.0</v>
      </c>
    </row>
    <row r="46886">
      <c r="Y46886" s="372">
        <v>0.0</v>
      </c>
      <c r="Z46886" s="372">
        <v>0.0</v>
      </c>
    </row>
    <row r="46887">
      <c r="Y46887" s="372">
        <v>0.0</v>
      </c>
      <c r="Z46887" s="372">
        <v>0.0</v>
      </c>
    </row>
    <row r="46888">
      <c r="Y46888" s="372">
        <v>0.0</v>
      </c>
      <c r="Z46888" s="372">
        <v>0.0</v>
      </c>
    </row>
    <row r="46889">
      <c r="Y46889" s="372">
        <v>0.0</v>
      </c>
      <c r="Z46889" s="372">
        <v>0.0</v>
      </c>
    </row>
    <row r="46890">
      <c r="Y46890" s="372">
        <v>0.0</v>
      </c>
      <c r="Z46890" s="372">
        <v>0.0</v>
      </c>
    </row>
    <row r="46891">
      <c r="Y46891" s="372">
        <v>0.0</v>
      </c>
      <c r="Z46891" s="372">
        <v>0.0</v>
      </c>
    </row>
    <row r="46892">
      <c r="Y46892" s="372">
        <v>0.0</v>
      </c>
      <c r="Z46892" s="372">
        <v>0.0</v>
      </c>
    </row>
    <row r="46893">
      <c r="Y46893" s="372">
        <v>0.0</v>
      </c>
      <c r="Z46893" s="372">
        <v>0.0</v>
      </c>
    </row>
    <row r="46894">
      <c r="Y46894" s="372">
        <v>0.0</v>
      </c>
      <c r="Z46894" s="372">
        <v>0.0</v>
      </c>
    </row>
    <row r="46895">
      <c r="Y46895" s="372">
        <v>0.0</v>
      </c>
      <c r="Z46895" s="372">
        <v>0.0</v>
      </c>
    </row>
    <row r="46896">
      <c r="Y46896" s="372">
        <v>0.0</v>
      </c>
      <c r="Z46896" s="372">
        <v>0.0</v>
      </c>
    </row>
    <row r="46897">
      <c r="Y46897" s="372">
        <v>0.0</v>
      </c>
      <c r="Z46897" s="372">
        <v>0.0</v>
      </c>
    </row>
    <row r="46898">
      <c r="Y46898" s="372">
        <v>0.0</v>
      </c>
      <c r="Z46898" s="372">
        <v>0.0</v>
      </c>
    </row>
    <row r="46899">
      <c r="Y46899" s="372">
        <v>0.0</v>
      </c>
      <c r="Z46899" s="372">
        <v>0.0</v>
      </c>
    </row>
    <row r="46900">
      <c r="Y46900" s="372">
        <v>0.0</v>
      </c>
      <c r="Z46900" s="372">
        <v>0.0</v>
      </c>
    </row>
    <row r="46901">
      <c r="Y46901" s="372">
        <v>0.0</v>
      </c>
      <c r="Z46901" s="372">
        <v>0.0</v>
      </c>
    </row>
    <row r="46902">
      <c r="Y46902" s="372">
        <v>0.0</v>
      </c>
      <c r="Z46902" s="372">
        <v>0.0</v>
      </c>
    </row>
    <row r="46903">
      <c r="Y46903" s="372">
        <v>0.0</v>
      </c>
      <c r="Z46903" s="372">
        <v>0.0</v>
      </c>
    </row>
    <row r="46904">
      <c r="Y46904" s="372">
        <v>0.0</v>
      </c>
      <c r="Z46904" s="372">
        <v>0.0</v>
      </c>
    </row>
    <row r="46905">
      <c r="Y46905" s="372">
        <v>0.0</v>
      </c>
      <c r="Z46905" s="372">
        <v>0.0</v>
      </c>
    </row>
    <row r="46906">
      <c r="Y46906" s="372">
        <v>0.0</v>
      </c>
      <c r="Z46906" s="372">
        <v>0.0</v>
      </c>
    </row>
    <row r="46907">
      <c r="Y46907" s="372">
        <v>0.0</v>
      </c>
      <c r="Z46907" s="372">
        <v>0.0</v>
      </c>
    </row>
    <row r="46908">
      <c r="Y46908" s="372">
        <v>0.0</v>
      </c>
      <c r="Z46908" s="372">
        <v>0.0</v>
      </c>
    </row>
    <row r="46909">
      <c r="Y46909" s="372">
        <v>0.0</v>
      </c>
      <c r="Z46909" s="372">
        <v>0.0</v>
      </c>
    </row>
    <row r="46910">
      <c r="Y46910" s="372">
        <v>0.0</v>
      </c>
      <c r="Z46910" s="372">
        <v>0.0</v>
      </c>
    </row>
    <row r="46911">
      <c r="Y46911" s="372">
        <v>0.0</v>
      </c>
      <c r="Z46911" s="372">
        <v>0.0</v>
      </c>
    </row>
    <row r="46912">
      <c r="Y46912" s="372">
        <v>0.0</v>
      </c>
      <c r="Z46912" s="372">
        <v>0.0</v>
      </c>
    </row>
    <row r="46913">
      <c r="Y46913" s="372">
        <v>0.0</v>
      </c>
      <c r="Z46913" s="372">
        <v>0.0</v>
      </c>
    </row>
    <row r="46914">
      <c r="Y46914" s="372">
        <v>0.0</v>
      </c>
      <c r="Z46914" s="372">
        <v>0.0</v>
      </c>
    </row>
    <row r="46915">
      <c r="Y46915" s="372">
        <v>0.0</v>
      </c>
      <c r="Z46915" s="372">
        <v>0.0</v>
      </c>
    </row>
    <row r="46916">
      <c r="Y46916" s="372">
        <v>0.0</v>
      </c>
      <c r="Z46916" s="372">
        <v>0.0</v>
      </c>
    </row>
    <row r="46917">
      <c r="Y46917" s="372">
        <v>0.0</v>
      </c>
      <c r="Z46917" s="372">
        <v>0.0</v>
      </c>
    </row>
    <row r="46918">
      <c r="Y46918" s="372">
        <v>0.0</v>
      </c>
      <c r="Z46918" s="372">
        <v>0.0</v>
      </c>
    </row>
    <row r="46919">
      <c r="Y46919" s="372">
        <v>0.0</v>
      </c>
      <c r="Z46919" s="372">
        <v>0.0</v>
      </c>
    </row>
    <row r="46920">
      <c r="Y46920" s="372">
        <v>0.0</v>
      </c>
      <c r="Z46920" s="372">
        <v>0.0</v>
      </c>
    </row>
    <row r="46921">
      <c r="Y46921" s="372">
        <v>0.0</v>
      </c>
      <c r="Z46921" s="372">
        <v>0.0</v>
      </c>
    </row>
    <row r="46922">
      <c r="Y46922" s="372">
        <v>0.0</v>
      </c>
      <c r="Z46922" s="372">
        <v>0.0</v>
      </c>
    </row>
    <row r="46923">
      <c r="Y46923" s="372">
        <v>0.0</v>
      </c>
      <c r="Z46923" s="372">
        <v>0.0</v>
      </c>
    </row>
    <row r="46924">
      <c r="Y46924" s="372">
        <v>0.0</v>
      </c>
      <c r="Z46924" s="372">
        <v>0.0</v>
      </c>
    </row>
    <row r="46925">
      <c r="Y46925" s="372">
        <v>0.0</v>
      </c>
      <c r="Z46925" s="372">
        <v>0.0</v>
      </c>
    </row>
    <row r="46926">
      <c r="Y46926" s="372">
        <v>0.0</v>
      </c>
      <c r="Z46926" s="372">
        <v>0.0</v>
      </c>
    </row>
    <row r="46927">
      <c r="Y46927" s="372">
        <v>0.0</v>
      </c>
      <c r="Z46927" s="372">
        <v>0.0</v>
      </c>
    </row>
    <row r="46928">
      <c r="Y46928" s="372">
        <v>0.0</v>
      </c>
      <c r="Z46928" s="372">
        <v>0.0</v>
      </c>
    </row>
    <row r="46929">
      <c r="Y46929" s="372">
        <v>0.0</v>
      </c>
      <c r="Z46929" s="372">
        <v>0.0</v>
      </c>
    </row>
    <row r="46930">
      <c r="Y46930" s="372">
        <v>0.0</v>
      </c>
      <c r="Z46930" s="372">
        <v>0.0</v>
      </c>
    </row>
    <row r="46931">
      <c r="Y46931" s="372">
        <v>0.0</v>
      </c>
      <c r="Z46931" s="372">
        <v>0.0</v>
      </c>
    </row>
    <row r="46932">
      <c r="Y46932" s="372">
        <v>0.0</v>
      </c>
      <c r="Z46932" s="372">
        <v>0.0</v>
      </c>
    </row>
    <row r="46933">
      <c r="Y46933" s="372">
        <v>0.0</v>
      </c>
      <c r="Z46933" s="372">
        <v>0.0</v>
      </c>
    </row>
    <row r="46934">
      <c r="Y46934" s="372">
        <v>0.0</v>
      </c>
      <c r="Z46934" s="372">
        <v>0.0</v>
      </c>
    </row>
    <row r="46935">
      <c r="Y46935" s="372">
        <v>0.0</v>
      </c>
      <c r="Z46935" s="372">
        <v>0.0</v>
      </c>
    </row>
    <row r="46936">
      <c r="Y46936" s="372">
        <v>0.0</v>
      </c>
      <c r="Z46936" s="372">
        <v>0.0</v>
      </c>
    </row>
    <row r="46937">
      <c r="Y46937" s="372">
        <v>0.0</v>
      </c>
      <c r="Z46937" s="372">
        <v>0.0</v>
      </c>
    </row>
    <row r="46938">
      <c r="Y46938" s="372">
        <v>0.0</v>
      </c>
      <c r="Z46938" s="372">
        <v>0.0</v>
      </c>
    </row>
    <row r="46939">
      <c r="Y46939" s="372">
        <v>0.0</v>
      </c>
      <c r="Z46939" s="372">
        <v>0.0</v>
      </c>
    </row>
    <row r="46940">
      <c r="Y46940" s="372">
        <v>0.0</v>
      </c>
      <c r="Z46940" s="372">
        <v>0.0</v>
      </c>
    </row>
    <row r="46941">
      <c r="Y46941" s="372">
        <v>0.0</v>
      </c>
      <c r="Z46941" s="372">
        <v>0.0</v>
      </c>
    </row>
    <row r="46942">
      <c r="Y46942" s="372">
        <v>0.0</v>
      </c>
      <c r="Z46942" s="372">
        <v>0.0</v>
      </c>
    </row>
    <row r="46943">
      <c r="Y46943" s="372">
        <v>0.0</v>
      </c>
      <c r="Z46943" s="372">
        <v>0.0</v>
      </c>
    </row>
    <row r="46944">
      <c r="Y46944" s="372">
        <v>0.0</v>
      </c>
      <c r="Z46944" s="372">
        <v>0.0</v>
      </c>
    </row>
    <row r="46945">
      <c r="Y46945" s="372">
        <v>0.0</v>
      </c>
      <c r="Z46945" s="372">
        <v>0.0</v>
      </c>
    </row>
    <row r="46946">
      <c r="Y46946" s="372">
        <v>0.0</v>
      </c>
      <c r="Z46946" s="372">
        <v>0.0</v>
      </c>
    </row>
    <row r="46947">
      <c r="Y46947" s="372">
        <v>0.0</v>
      </c>
      <c r="Z46947" s="372">
        <v>0.0</v>
      </c>
    </row>
    <row r="46948">
      <c r="Y46948" s="372">
        <v>0.0</v>
      </c>
      <c r="Z46948" s="372">
        <v>0.0</v>
      </c>
    </row>
    <row r="46949">
      <c r="Y46949" s="372">
        <v>0.0</v>
      </c>
      <c r="Z46949" s="372">
        <v>0.0</v>
      </c>
    </row>
    <row r="46950">
      <c r="Y46950" s="372">
        <v>0.0</v>
      </c>
      <c r="Z46950" s="372">
        <v>0.0</v>
      </c>
    </row>
    <row r="46951">
      <c r="Y46951" s="372">
        <v>0.0</v>
      </c>
      <c r="Z46951" s="372">
        <v>0.0</v>
      </c>
    </row>
    <row r="46952">
      <c r="Y46952" s="372">
        <v>0.0</v>
      </c>
      <c r="Z46952" s="372">
        <v>0.0</v>
      </c>
    </row>
    <row r="46953">
      <c r="Y46953" s="372">
        <v>0.0</v>
      </c>
      <c r="Z46953" s="372">
        <v>0.0</v>
      </c>
    </row>
    <row r="46954">
      <c r="Y46954" s="372">
        <v>0.0</v>
      </c>
      <c r="Z46954" s="372">
        <v>0.0</v>
      </c>
    </row>
    <row r="46955">
      <c r="Y46955" s="372">
        <v>0.0</v>
      </c>
      <c r="Z46955" s="372">
        <v>0.0</v>
      </c>
    </row>
    <row r="46956">
      <c r="Y46956" s="372">
        <v>0.0</v>
      </c>
      <c r="Z46956" s="372">
        <v>0.0</v>
      </c>
    </row>
    <row r="46957">
      <c r="Y46957" s="372">
        <v>0.0</v>
      </c>
      <c r="Z46957" s="372">
        <v>0.0</v>
      </c>
    </row>
    <row r="46958">
      <c r="Y46958" s="372">
        <v>0.0</v>
      </c>
      <c r="Z46958" s="372">
        <v>0.0</v>
      </c>
    </row>
    <row r="46959">
      <c r="Y46959" s="372">
        <v>0.0</v>
      </c>
      <c r="Z46959" s="372">
        <v>0.0</v>
      </c>
    </row>
    <row r="46960">
      <c r="Y46960" s="372">
        <v>0.0</v>
      </c>
      <c r="Z46960" s="372">
        <v>0.0</v>
      </c>
    </row>
    <row r="46961">
      <c r="Y46961" s="372">
        <v>0.0</v>
      </c>
      <c r="Z46961" s="372">
        <v>0.0</v>
      </c>
    </row>
    <row r="46962">
      <c r="Y46962" s="372">
        <v>0.0</v>
      </c>
      <c r="Z46962" s="372">
        <v>0.0</v>
      </c>
    </row>
    <row r="46963">
      <c r="Y46963" s="372">
        <v>0.0</v>
      </c>
      <c r="Z46963" s="372">
        <v>0.0</v>
      </c>
    </row>
    <row r="46964">
      <c r="Y46964" s="372">
        <v>0.0</v>
      </c>
      <c r="Z46964" s="372">
        <v>0.0</v>
      </c>
    </row>
    <row r="46965">
      <c r="Y46965" s="372">
        <v>0.0</v>
      </c>
      <c r="Z46965" s="372">
        <v>0.0</v>
      </c>
    </row>
    <row r="46966">
      <c r="Y46966" s="372">
        <v>0.0</v>
      </c>
      <c r="Z46966" s="372">
        <v>0.0</v>
      </c>
    </row>
    <row r="46967">
      <c r="Y46967" s="372">
        <v>0.0</v>
      </c>
      <c r="Z46967" s="372">
        <v>0.0</v>
      </c>
    </row>
    <row r="46968">
      <c r="Y46968" s="372">
        <v>0.0</v>
      </c>
      <c r="Z46968" s="372">
        <v>0.0</v>
      </c>
    </row>
    <row r="46969">
      <c r="Y46969" s="372">
        <v>0.0</v>
      </c>
      <c r="Z46969" s="372">
        <v>0.0</v>
      </c>
    </row>
    <row r="46970">
      <c r="Y46970" s="372">
        <v>0.0</v>
      </c>
      <c r="Z46970" s="372">
        <v>0.0</v>
      </c>
    </row>
    <row r="46971">
      <c r="Y46971" s="372">
        <v>0.0</v>
      </c>
      <c r="Z46971" s="372">
        <v>0.0</v>
      </c>
    </row>
    <row r="46972">
      <c r="Y46972" s="372">
        <v>0.0</v>
      </c>
      <c r="Z46972" s="372">
        <v>0.0</v>
      </c>
    </row>
    <row r="46973">
      <c r="Y46973" s="372">
        <v>0.0</v>
      </c>
      <c r="Z46973" s="372">
        <v>0.0</v>
      </c>
    </row>
    <row r="46974">
      <c r="Y46974" s="372">
        <v>0.0</v>
      </c>
      <c r="Z46974" s="372">
        <v>0.0</v>
      </c>
    </row>
    <row r="46975">
      <c r="Y46975" s="372">
        <v>0.0</v>
      </c>
      <c r="Z46975" s="372">
        <v>0.0</v>
      </c>
    </row>
    <row r="46976">
      <c r="Y46976" s="372">
        <v>0.0</v>
      </c>
      <c r="Z46976" s="372">
        <v>0.0</v>
      </c>
    </row>
    <row r="46977">
      <c r="Y46977" s="372">
        <v>0.0</v>
      </c>
      <c r="Z46977" s="372">
        <v>0.0</v>
      </c>
    </row>
    <row r="46978">
      <c r="Y46978" s="372">
        <v>0.0</v>
      </c>
      <c r="Z46978" s="372">
        <v>0.0</v>
      </c>
    </row>
    <row r="46979">
      <c r="Y46979" s="372">
        <v>0.0</v>
      </c>
      <c r="Z46979" s="372">
        <v>0.0</v>
      </c>
    </row>
    <row r="46980">
      <c r="Y46980" s="372">
        <v>0.0</v>
      </c>
      <c r="Z46980" s="372">
        <v>0.0</v>
      </c>
    </row>
    <row r="46981">
      <c r="Y46981" s="372">
        <v>0.0</v>
      </c>
      <c r="Z46981" s="372">
        <v>0.0</v>
      </c>
    </row>
    <row r="46982">
      <c r="Y46982" s="372">
        <v>0.0</v>
      </c>
      <c r="Z46982" s="372">
        <v>0.0</v>
      </c>
    </row>
    <row r="46983">
      <c r="Y46983" s="372">
        <v>0.0</v>
      </c>
      <c r="Z46983" s="372">
        <v>0.0</v>
      </c>
    </row>
    <row r="46984">
      <c r="Y46984" s="372">
        <v>0.0</v>
      </c>
      <c r="Z46984" s="372">
        <v>0.0</v>
      </c>
    </row>
    <row r="46985">
      <c r="Y46985" s="372">
        <v>0.0</v>
      </c>
      <c r="Z46985" s="372">
        <v>0.0</v>
      </c>
    </row>
    <row r="46986">
      <c r="Y46986" s="372">
        <v>0.0</v>
      </c>
      <c r="Z46986" s="372">
        <v>0.0</v>
      </c>
    </row>
    <row r="46987">
      <c r="Y46987" s="372">
        <v>0.0</v>
      </c>
      <c r="Z46987" s="372">
        <v>0.0</v>
      </c>
    </row>
    <row r="46988">
      <c r="Y46988" s="372">
        <v>0.0</v>
      </c>
      <c r="Z46988" s="372">
        <v>0.0</v>
      </c>
    </row>
    <row r="46989">
      <c r="Y46989" s="372">
        <v>0.0</v>
      </c>
      <c r="Z46989" s="372">
        <v>0.0</v>
      </c>
    </row>
    <row r="46990">
      <c r="Y46990" s="372">
        <v>0.0</v>
      </c>
      <c r="Z46990" s="372">
        <v>0.0</v>
      </c>
    </row>
    <row r="46991">
      <c r="Y46991" s="372">
        <v>0.0</v>
      </c>
      <c r="Z46991" s="372">
        <v>0.0</v>
      </c>
    </row>
    <row r="46992">
      <c r="Y46992" s="372">
        <v>0.0</v>
      </c>
      <c r="Z46992" s="372">
        <v>0.0</v>
      </c>
    </row>
    <row r="46993">
      <c r="Y46993" s="372">
        <v>0.0</v>
      </c>
      <c r="Z46993" s="372">
        <v>0.0</v>
      </c>
    </row>
    <row r="46994">
      <c r="Y46994" s="372">
        <v>0.0</v>
      </c>
      <c r="Z46994" s="372">
        <v>0.0</v>
      </c>
    </row>
    <row r="46995">
      <c r="Y46995" s="372">
        <v>0.0</v>
      </c>
      <c r="Z46995" s="372">
        <v>0.0</v>
      </c>
    </row>
    <row r="46996">
      <c r="Y46996" s="372">
        <v>0.0</v>
      </c>
      <c r="Z46996" s="372">
        <v>0.0</v>
      </c>
    </row>
    <row r="46997">
      <c r="Y46997" s="372">
        <v>0.0</v>
      </c>
      <c r="Z46997" s="372">
        <v>0.0</v>
      </c>
    </row>
    <row r="46998">
      <c r="Y46998" s="372">
        <v>0.0</v>
      </c>
      <c r="Z46998" s="372">
        <v>0.0</v>
      </c>
    </row>
    <row r="46999">
      <c r="Y46999" s="372">
        <v>0.0</v>
      </c>
      <c r="Z46999" s="372">
        <v>0.0</v>
      </c>
    </row>
    <row r="47000">
      <c r="Y47000" s="372">
        <v>0.0</v>
      </c>
      <c r="Z47000" s="372">
        <v>0.0</v>
      </c>
    </row>
    <row r="47001">
      <c r="Y47001" s="372">
        <v>0.0</v>
      </c>
      <c r="Z47001" s="372">
        <v>0.0</v>
      </c>
    </row>
    <row r="47002">
      <c r="Y47002" s="372">
        <v>0.0</v>
      </c>
      <c r="Z47002" s="372">
        <v>0.0</v>
      </c>
    </row>
    <row r="47003">
      <c r="Y47003" s="372">
        <v>0.0</v>
      </c>
      <c r="Z47003" s="372">
        <v>0.0</v>
      </c>
    </row>
    <row r="47004">
      <c r="Y47004" s="372">
        <v>0.0</v>
      </c>
      <c r="Z47004" s="372">
        <v>0.0</v>
      </c>
    </row>
    <row r="47005">
      <c r="Y47005" s="372">
        <v>0.0</v>
      </c>
      <c r="Z47005" s="372">
        <v>0.0</v>
      </c>
    </row>
    <row r="47006">
      <c r="Y47006" s="372">
        <v>0.0</v>
      </c>
      <c r="Z47006" s="372">
        <v>0.0</v>
      </c>
    </row>
    <row r="47007">
      <c r="Y47007" s="372">
        <v>0.0</v>
      </c>
      <c r="Z47007" s="372">
        <v>0.0</v>
      </c>
    </row>
    <row r="47008">
      <c r="Y47008" s="372">
        <v>0.0</v>
      </c>
      <c r="Z47008" s="372">
        <v>0.0</v>
      </c>
    </row>
    <row r="47009">
      <c r="Y47009" s="372">
        <v>0.0</v>
      </c>
      <c r="Z47009" s="372">
        <v>0.0</v>
      </c>
    </row>
    <row r="47010">
      <c r="Y47010" s="372">
        <v>0.0</v>
      </c>
      <c r="Z47010" s="372">
        <v>0.0</v>
      </c>
    </row>
    <row r="47011">
      <c r="Y47011" s="372">
        <v>0.0</v>
      </c>
      <c r="Z47011" s="372">
        <v>0.0</v>
      </c>
    </row>
    <row r="47012">
      <c r="Y47012" s="372">
        <v>0.0</v>
      </c>
      <c r="Z47012" s="372">
        <v>0.0</v>
      </c>
    </row>
    <row r="47013">
      <c r="Y47013" s="372">
        <v>0.0</v>
      </c>
      <c r="Z47013" s="372">
        <v>0.0</v>
      </c>
    </row>
    <row r="47014">
      <c r="Y47014" s="372">
        <v>0.0</v>
      </c>
      <c r="Z47014" s="372">
        <v>0.0</v>
      </c>
    </row>
    <row r="47015">
      <c r="Y47015" s="372">
        <v>0.0</v>
      </c>
      <c r="Z47015" s="372">
        <v>0.0</v>
      </c>
    </row>
    <row r="47016">
      <c r="Y47016" s="372">
        <v>0.0</v>
      </c>
      <c r="Z47016" s="372">
        <v>0.0</v>
      </c>
    </row>
    <row r="47017">
      <c r="Y47017" s="372">
        <v>0.0</v>
      </c>
      <c r="Z47017" s="372">
        <v>0.0</v>
      </c>
    </row>
    <row r="47018">
      <c r="Y47018" s="372">
        <v>0.0</v>
      </c>
      <c r="Z47018" s="372">
        <v>0.0</v>
      </c>
    </row>
    <row r="47019">
      <c r="Y47019" s="372">
        <v>0.0</v>
      </c>
      <c r="Z47019" s="372">
        <v>0.0</v>
      </c>
    </row>
    <row r="47020">
      <c r="Y47020" s="372">
        <v>0.0</v>
      </c>
      <c r="Z47020" s="372">
        <v>0.0</v>
      </c>
    </row>
    <row r="47021">
      <c r="Y47021" s="372">
        <v>0.0</v>
      </c>
      <c r="Z47021" s="372">
        <v>0.0</v>
      </c>
    </row>
    <row r="47022">
      <c r="Y47022" s="372">
        <v>0.0</v>
      </c>
      <c r="Z47022" s="372">
        <v>0.0</v>
      </c>
    </row>
    <row r="47023">
      <c r="Y47023" s="372">
        <v>0.0</v>
      </c>
      <c r="Z47023" s="372">
        <v>0.0</v>
      </c>
    </row>
    <row r="47024">
      <c r="Y47024" s="372">
        <v>0.0</v>
      </c>
      <c r="Z47024" s="372">
        <v>0.0</v>
      </c>
    </row>
    <row r="47025">
      <c r="Y47025" s="372">
        <v>0.0</v>
      </c>
      <c r="Z47025" s="372">
        <v>0.0</v>
      </c>
    </row>
    <row r="47026">
      <c r="Y47026" s="372">
        <v>0.0</v>
      </c>
      <c r="Z47026" s="372">
        <v>0.0</v>
      </c>
    </row>
    <row r="47027">
      <c r="Y47027" s="372">
        <v>0.0</v>
      </c>
      <c r="Z47027" s="372">
        <v>0.0</v>
      </c>
    </row>
    <row r="47028">
      <c r="Y47028" s="372">
        <v>0.0</v>
      </c>
      <c r="Z47028" s="372">
        <v>0.0</v>
      </c>
    </row>
    <row r="47029">
      <c r="Y47029" s="372">
        <v>0.0</v>
      </c>
      <c r="Z47029" s="372">
        <v>0.0</v>
      </c>
    </row>
    <row r="47030">
      <c r="Y47030" s="372">
        <v>0.0</v>
      </c>
      <c r="Z47030" s="372">
        <v>0.0</v>
      </c>
    </row>
    <row r="47031">
      <c r="Y47031" s="372">
        <v>0.0</v>
      </c>
      <c r="Z47031" s="372">
        <v>0.0</v>
      </c>
    </row>
    <row r="47032">
      <c r="Y47032" s="372">
        <v>0.0</v>
      </c>
      <c r="Z47032" s="372">
        <v>0.0</v>
      </c>
    </row>
    <row r="47033">
      <c r="Y47033" s="372">
        <v>0.0</v>
      </c>
      <c r="Z47033" s="372">
        <v>0.0</v>
      </c>
    </row>
    <row r="47034">
      <c r="Y47034" s="372">
        <v>0.0</v>
      </c>
      <c r="Z47034" s="372">
        <v>0.0</v>
      </c>
    </row>
    <row r="47035">
      <c r="Y47035" s="372">
        <v>0.0</v>
      </c>
      <c r="Z47035" s="372">
        <v>0.0</v>
      </c>
    </row>
    <row r="47036">
      <c r="Y47036" s="372">
        <v>0.0</v>
      </c>
      <c r="Z47036" s="372">
        <v>0.0</v>
      </c>
    </row>
    <row r="47037">
      <c r="Y47037" s="372">
        <v>0.0</v>
      </c>
      <c r="Z47037" s="372">
        <v>0.0</v>
      </c>
    </row>
    <row r="47038">
      <c r="Y47038" s="372">
        <v>0.0</v>
      </c>
      <c r="Z47038" s="372">
        <v>0.0</v>
      </c>
    </row>
    <row r="47039">
      <c r="Y47039" s="372">
        <v>0.0</v>
      </c>
      <c r="Z47039" s="372">
        <v>0.0</v>
      </c>
    </row>
    <row r="47040">
      <c r="Y47040" s="372">
        <v>0.0</v>
      </c>
      <c r="Z47040" s="372">
        <v>0.0</v>
      </c>
    </row>
    <row r="47041">
      <c r="Y47041" s="372">
        <v>0.0</v>
      </c>
      <c r="Z47041" s="372">
        <v>0.0</v>
      </c>
    </row>
    <row r="47042">
      <c r="Y47042" s="372">
        <v>0.0</v>
      </c>
      <c r="Z47042" s="372">
        <v>0.0</v>
      </c>
    </row>
    <row r="47043">
      <c r="Y47043" s="372">
        <v>0.0</v>
      </c>
      <c r="Z47043" s="372">
        <v>0.0</v>
      </c>
    </row>
    <row r="47044">
      <c r="Y47044" s="372">
        <v>0.0</v>
      </c>
      <c r="Z47044" s="372">
        <v>0.0</v>
      </c>
    </row>
    <row r="47045">
      <c r="Y47045" s="372">
        <v>0.0</v>
      </c>
      <c r="Z47045" s="372">
        <v>0.0</v>
      </c>
    </row>
    <row r="47046">
      <c r="Y47046" s="372">
        <v>0.0</v>
      </c>
      <c r="Z47046" s="372">
        <v>0.0</v>
      </c>
    </row>
    <row r="47047">
      <c r="Y47047" s="372">
        <v>0.0</v>
      </c>
      <c r="Z47047" s="372">
        <v>0.0</v>
      </c>
    </row>
    <row r="47048">
      <c r="Y47048" s="372">
        <v>0.0</v>
      </c>
      <c r="Z47048" s="372">
        <v>0.0</v>
      </c>
    </row>
    <row r="47049">
      <c r="Y47049" s="372">
        <v>0.0</v>
      </c>
      <c r="Z47049" s="372">
        <v>0.0</v>
      </c>
    </row>
    <row r="47050">
      <c r="Y47050" s="372">
        <v>0.0</v>
      </c>
      <c r="Z47050" s="372">
        <v>0.0</v>
      </c>
    </row>
    <row r="47051">
      <c r="Y47051" s="372">
        <v>0.0</v>
      </c>
      <c r="Z47051" s="372">
        <v>0.0</v>
      </c>
    </row>
    <row r="47052">
      <c r="Y47052" s="372">
        <v>0.0</v>
      </c>
      <c r="Z47052" s="372">
        <v>0.0</v>
      </c>
    </row>
    <row r="47053">
      <c r="Y47053" s="372">
        <v>0.0</v>
      </c>
      <c r="Z47053" s="372">
        <v>0.0</v>
      </c>
    </row>
    <row r="47054">
      <c r="Y47054" s="372">
        <v>0.0</v>
      </c>
      <c r="Z47054" s="372">
        <v>0.0</v>
      </c>
    </row>
    <row r="47055">
      <c r="Y47055" s="372">
        <v>0.0</v>
      </c>
      <c r="Z47055" s="372">
        <v>0.0</v>
      </c>
    </row>
    <row r="47056">
      <c r="Y47056" s="372">
        <v>0.0</v>
      </c>
      <c r="Z47056" s="372">
        <v>0.0</v>
      </c>
    </row>
    <row r="47057">
      <c r="Y47057" s="372">
        <v>0.0</v>
      </c>
      <c r="Z47057" s="372">
        <v>0.0</v>
      </c>
    </row>
    <row r="47058">
      <c r="Y47058" s="372">
        <v>0.0</v>
      </c>
      <c r="Z47058" s="372">
        <v>0.0</v>
      </c>
    </row>
    <row r="47059">
      <c r="Y47059" s="372">
        <v>0.0</v>
      </c>
      <c r="Z47059" s="372">
        <v>0.0</v>
      </c>
    </row>
    <row r="47060">
      <c r="Y47060" s="372">
        <v>0.0</v>
      </c>
      <c r="Z47060" s="372">
        <v>0.0</v>
      </c>
    </row>
    <row r="47061">
      <c r="Y47061" s="372">
        <v>0.0</v>
      </c>
      <c r="Z47061" s="372">
        <v>0.0</v>
      </c>
    </row>
    <row r="47062">
      <c r="Y47062" s="372">
        <v>0.0</v>
      </c>
      <c r="Z47062" s="372">
        <v>0.0</v>
      </c>
    </row>
    <row r="47063">
      <c r="Y47063" s="372">
        <v>0.0</v>
      </c>
      <c r="Z47063" s="372">
        <v>0.0</v>
      </c>
    </row>
    <row r="47064">
      <c r="Y47064" s="372">
        <v>0.0</v>
      </c>
      <c r="Z47064" s="372">
        <v>0.0</v>
      </c>
    </row>
    <row r="47065">
      <c r="Y47065" s="372">
        <v>0.0</v>
      </c>
      <c r="Z47065" s="372">
        <v>0.0</v>
      </c>
    </row>
    <row r="47066">
      <c r="Y47066" s="372">
        <v>0.0</v>
      </c>
      <c r="Z47066" s="372">
        <v>0.0</v>
      </c>
    </row>
    <row r="47067">
      <c r="Y47067" s="372">
        <v>0.0</v>
      </c>
      <c r="Z47067" s="372">
        <v>0.0</v>
      </c>
    </row>
    <row r="47068">
      <c r="Y47068" s="372">
        <v>0.0</v>
      </c>
      <c r="Z47068" s="372">
        <v>0.0</v>
      </c>
    </row>
    <row r="47069">
      <c r="Y47069" s="372">
        <v>0.0</v>
      </c>
      <c r="Z47069" s="372">
        <v>0.0</v>
      </c>
    </row>
    <row r="47070">
      <c r="Y47070" s="372">
        <v>0.0</v>
      </c>
      <c r="Z47070" s="372">
        <v>0.0</v>
      </c>
    </row>
    <row r="47071">
      <c r="Y47071" s="372">
        <v>0.0</v>
      </c>
      <c r="Z47071" s="372">
        <v>0.0</v>
      </c>
    </row>
    <row r="47072">
      <c r="Y47072" s="372">
        <v>0.0</v>
      </c>
      <c r="Z47072" s="372">
        <v>0.0</v>
      </c>
    </row>
    <row r="47073">
      <c r="Y47073" s="372">
        <v>0.0</v>
      </c>
      <c r="Z47073" s="372">
        <v>0.0</v>
      </c>
    </row>
    <row r="47074">
      <c r="Y47074" s="372">
        <v>0.0</v>
      </c>
      <c r="Z47074" s="372">
        <v>0.0</v>
      </c>
    </row>
    <row r="47075">
      <c r="Y47075" s="372">
        <v>0.0</v>
      </c>
      <c r="Z47075" s="372">
        <v>0.0</v>
      </c>
    </row>
    <row r="47076">
      <c r="Y47076" s="372">
        <v>0.0</v>
      </c>
      <c r="Z47076" s="372">
        <v>0.0</v>
      </c>
    </row>
    <row r="47077">
      <c r="Y47077" s="372">
        <v>0.0</v>
      </c>
      <c r="Z47077" s="372">
        <v>0.0</v>
      </c>
    </row>
    <row r="47078">
      <c r="Y47078" s="372">
        <v>0.0</v>
      </c>
      <c r="Z47078" s="372">
        <v>0.0</v>
      </c>
    </row>
    <row r="47079">
      <c r="Y47079" s="372">
        <v>0.0</v>
      </c>
      <c r="Z47079" s="372">
        <v>0.0</v>
      </c>
    </row>
    <row r="47080">
      <c r="Y47080" s="372">
        <v>0.0</v>
      </c>
      <c r="Z47080" s="372">
        <v>0.0</v>
      </c>
    </row>
    <row r="47081">
      <c r="Y47081" s="372">
        <v>0.0</v>
      </c>
      <c r="Z47081" s="372">
        <v>0.0</v>
      </c>
    </row>
    <row r="47082">
      <c r="Y47082" s="372">
        <v>0.0</v>
      </c>
      <c r="Z47082" s="372">
        <v>0.0</v>
      </c>
    </row>
    <row r="47083">
      <c r="Y47083" s="372">
        <v>0.0</v>
      </c>
      <c r="Z47083" s="372">
        <v>0.0</v>
      </c>
    </row>
    <row r="47084">
      <c r="Y47084" s="372">
        <v>0.0</v>
      </c>
      <c r="Z47084" s="372">
        <v>0.0</v>
      </c>
    </row>
    <row r="47085">
      <c r="Y47085" s="372">
        <v>0.0</v>
      </c>
      <c r="Z47085" s="372">
        <v>0.0</v>
      </c>
    </row>
    <row r="47086">
      <c r="Y47086" s="372">
        <v>0.0</v>
      </c>
      <c r="Z47086" s="372">
        <v>0.0</v>
      </c>
    </row>
    <row r="47087">
      <c r="Y47087" s="372">
        <v>0.0</v>
      </c>
      <c r="Z47087" s="372">
        <v>0.0</v>
      </c>
    </row>
    <row r="47088">
      <c r="Y47088" s="372">
        <v>0.0</v>
      </c>
      <c r="Z47088" s="372">
        <v>0.0</v>
      </c>
    </row>
    <row r="47089">
      <c r="Y47089" s="372">
        <v>0.0</v>
      </c>
      <c r="Z47089" s="372">
        <v>0.0</v>
      </c>
    </row>
    <row r="47090">
      <c r="Y47090" s="372">
        <v>0.0</v>
      </c>
      <c r="Z47090" s="372">
        <v>0.0</v>
      </c>
    </row>
    <row r="47091">
      <c r="Y47091" s="372">
        <v>0.0</v>
      </c>
      <c r="Z47091" s="372">
        <v>0.0</v>
      </c>
    </row>
    <row r="47092">
      <c r="Y47092" s="372">
        <v>0.0</v>
      </c>
      <c r="Z47092" s="372">
        <v>0.0</v>
      </c>
    </row>
    <row r="47093">
      <c r="Y47093" s="372">
        <v>0.0</v>
      </c>
      <c r="Z47093" s="372">
        <v>0.0</v>
      </c>
    </row>
    <row r="47094">
      <c r="Y47094" s="372">
        <v>0.0</v>
      </c>
      <c r="Z47094" s="372">
        <v>0.0</v>
      </c>
    </row>
    <row r="47095">
      <c r="Y47095" s="372">
        <v>0.0</v>
      </c>
      <c r="Z47095" s="372">
        <v>0.0</v>
      </c>
    </row>
    <row r="47096">
      <c r="Y47096" s="372">
        <v>0.0</v>
      </c>
      <c r="Z47096" s="372">
        <v>0.0</v>
      </c>
    </row>
    <row r="47097">
      <c r="Y47097" s="372">
        <v>0.0</v>
      </c>
      <c r="Z47097" s="372">
        <v>0.0</v>
      </c>
    </row>
    <row r="47098">
      <c r="Y47098" s="372">
        <v>0.0</v>
      </c>
      <c r="Z47098" s="372">
        <v>0.0</v>
      </c>
    </row>
    <row r="47099">
      <c r="Y47099" s="372">
        <v>0.0</v>
      </c>
      <c r="Z47099" s="372">
        <v>0.0</v>
      </c>
    </row>
    <row r="47100">
      <c r="Y47100" s="372">
        <v>0.0</v>
      </c>
      <c r="Z47100" s="372">
        <v>0.0</v>
      </c>
    </row>
    <row r="47101">
      <c r="Y47101" s="372">
        <v>0.0</v>
      </c>
      <c r="Z47101" s="372">
        <v>0.0</v>
      </c>
    </row>
    <row r="47102">
      <c r="Y47102" s="372">
        <v>0.0</v>
      </c>
      <c r="Z47102" s="372">
        <v>0.0</v>
      </c>
    </row>
    <row r="47103">
      <c r="Y47103" s="372">
        <v>0.0</v>
      </c>
      <c r="Z47103" s="372">
        <v>0.0</v>
      </c>
    </row>
    <row r="47104">
      <c r="Y47104" s="372">
        <v>0.0</v>
      </c>
      <c r="Z47104" s="372">
        <v>0.0</v>
      </c>
    </row>
    <row r="47105">
      <c r="Y47105" s="372">
        <v>0.0</v>
      </c>
      <c r="Z47105" s="372">
        <v>0.0</v>
      </c>
    </row>
    <row r="47106">
      <c r="Y47106" s="372">
        <v>0.0</v>
      </c>
      <c r="Z47106" s="372">
        <v>0.0</v>
      </c>
    </row>
    <row r="47107">
      <c r="Y47107" s="372">
        <v>0.0</v>
      </c>
      <c r="Z47107" s="372">
        <v>0.0</v>
      </c>
    </row>
    <row r="47108">
      <c r="Y47108" s="372">
        <v>0.0</v>
      </c>
      <c r="Z47108" s="372">
        <v>0.0</v>
      </c>
    </row>
    <row r="47109">
      <c r="Y47109" s="372">
        <v>0.0</v>
      </c>
      <c r="Z47109" s="372">
        <v>0.0</v>
      </c>
    </row>
    <row r="47110">
      <c r="Y47110" s="372">
        <v>0.0</v>
      </c>
      <c r="Z47110" s="372">
        <v>0.0</v>
      </c>
    </row>
    <row r="47111">
      <c r="Y47111" s="372">
        <v>0.0</v>
      </c>
      <c r="Z47111" s="372">
        <v>0.0</v>
      </c>
    </row>
    <row r="47112">
      <c r="Y47112" s="372">
        <v>0.0</v>
      </c>
      <c r="Z47112" s="372">
        <v>0.0</v>
      </c>
    </row>
    <row r="47113">
      <c r="Y47113" s="372">
        <v>0.0</v>
      </c>
      <c r="Z47113" s="372">
        <v>0.0</v>
      </c>
    </row>
    <row r="47114">
      <c r="Y47114" s="372">
        <v>0.0</v>
      </c>
      <c r="Z47114" s="372">
        <v>0.0</v>
      </c>
    </row>
    <row r="47115">
      <c r="Y47115" s="372">
        <v>0.0</v>
      </c>
      <c r="Z47115" s="372">
        <v>0.0</v>
      </c>
    </row>
    <row r="47116">
      <c r="Y47116" s="372">
        <v>0.0</v>
      </c>
      <c r="Z47116" s="372">
        <v>0.0</v>
      </c>
    </row>
    <row r="47117">
      <c r="Y47117" s="372">
        <v>0.0</v>
      </c>
      <c r="Z47117" s="372">
        <v>0.0</v>
      </c>
    </row>
    <row r="47118">
      <c r="Y47118" s="372">
        <v>0.0</v>
      </c>
      <c r="Z47118" s="372">
        <v>0.0</v>
      </c>
    </row>
    <row r="47119">
      <c r="Y47119" s="372">
        <v>0.0</v>
      </c>
      <c r="Z47119" s="372">
        <v>0.0</v>
      </c>
    </row>
    <row r="47120">
      <c r="Y47120" s="372">
        <v>0.0</v>
      </c>
      <c r="Z47120" s="372">
        <v>0.0</v>
      </c>
    </row>
    <row r="47121">
      <c r="Y47121" s="372">
        <v>0.0</v>
      </c>
      <c r="Z47121" s="372">
        <v>0.0</v>
      </c>
    </row>
    <row r="47122">
      <c r="Y47122" s="372">
        <v>0.0</v>
      </c>
      <c r="Z47122" s="372">
        <v>0.0</v>
      </c>
    </row>
    <row r="47123">
      <c r="Y47123" s="372">
        <v>0.0</v>
      </c>
      <c r="Z47123" s="372">
        <v>0.0</v>
      </c>
    </row>
    <row r="47124">
      <c r="Y47124" s="372">
        <v>0.0</v>
      </c>
      <c r="Z47124" s="372">
        <v>0.0</v>
      </c>
    </row>
    <row r="47125">
      <c r="Y47125" s="372">
        <v>0.0</v>
      </c>
      <c r="Z47125" s="372">
        <v>0.0</v>
      </c>
    </row>
    <row r="47126">
      <c r="Y47126" s="372">
        <v>0.0</v>
      </c>
      <c r="Z47126" s="372">
        <v>0.0</v>
      </c>
    </row>
    <row r="47127">
      <c r="Y47127" s="372">
        <v>0.0</v>
      </c>
      <c r="Z47127" s="372">
        <v>0.0</v>
      </c>
    </row>
    <row r="47128">
      <c r="Y47128" s="372">
        <v>0.0</v>
      </c>
      <c r="Z47128" s="372">
        <v>0.0</v>
      </c>
    </row>
    <row r="47129">
      <c r="Y47129" s="372">
        <v>0.0</v>
      </c>
      <c r="Z47129" s="372">
        <v>0.0</v>
      </c>
    </row>
    <row r="47130">
      <c r="Y47130" s="372">
        <v>0.0</v>
      </c>
      <c r="Z47130" s="372">
        <v>0.0</v>
      </c>
    </row>
    <row r="47131">
      <c r="Y47131" s="372">
        <v>0.0</v>
      </c>
      <c r="Z47131" s="372">
        <v>0.0</v>
      </c>
    </row>
    <row r="47132">
      <c r="Y47132" s="372">
        <v>0.0</v>
      </c>
      <c r="Z47132" s="372">
        <v>0.0</v>
      </c>
    </row>
    <row r="47133">
      <c r="Y47133" s="372">
        <v>0.0</v>
      </c>
      <c r="Z47133" s="372">
        <v>0.0</v>
      </c>
    </row>
    <row r="47134">
      <c r="Y47134" s="372">
        <v>0.0</v>
      </c>
      <c r="Z47134" s="372">
        <v>0.0</v>
      </c>
    </row>
    <row r="47135">
      <c r="Y47135" s="372">
        <v>0.0</v>
      </c>
      <c r="Z47135" s="372">
        <v>0.0</v>
      </c>
    </row>
    <row r="47136">
      <c r="Y47136" s="372">
        <v>0.0</v>
      </c>
      <c r="Z47136" s="372">
        <v>0.0</v>
      </c>
    </row>
    <row r="47137">
      <c r="Y47137" s="372">
        <v>0.0</v>
      </c>
      <c r="Z47137" s="372">
        <v>0.0</v>
      </c>
    </row>
    <row r="47138">
      <c r="Y47138" s="372">
        <v>0.0</v>
      </c>
      <c r="Z47138" s="372">
        <v>0.0</v>
      </c>
    </row>
    <row r="47139">
      <c r="Y47139" s="372">
        <v>0.0</v>
      </c>
      <c r="Z47139" s="372">
        <v>0.0</v>
      </c>
    </row>
    <row r="47140">
      <c r="Y47140" s="372">
        <v>0.0</v>
      </c>
      <c r="Z47140" s="372">
        <v>0.0</v>
      </c>
    </row>
    <row r="47141">
      <c r="Y47141" s="372">
        <v>0.0</v>
      </c>
      <c r="Z47141" s="372">
        <v>0.0</v>
      </c>
    </row>
    <row r="47142">
      <c r="Y47142" s="372">
        <v>0.0</v>
      </c>
      <c r="Z47142" s="372">
        <v>0.0</v>
      </c>
    </row>
    <row r="47143">
      <c r="Y47143" s="372">
        <v>0.0</v>
      </c>
      <c r="Z47143" s="372">
        <v>0.0</v>
      </c>
    </row>
    <row r="47144">
      <c r="Y47144" s="372">
        <v>0.0</v>
      </c>
      <c r="Z47144" s="372">
        <v>0.0</v>
      </c>
    </row>
    <row r="47145">
      <c r="Y47145" s="372">
        <v>0.0</v>
      </c>
      <c r="Z47145" s="372">
        <v>0.0</v>
      </c>
    </row>
    <row r="47146">
      <c r="Y47146" s="372">
        <v>0.0</v>
      </c>
      <c r="Z47146" s="372">
        <v>0.0</v>
      </c>
    </row>
    <row r="47147">
      <c r="Y47147" s="372">
        <v>0.0</v>
      </c>
      <c r="Z47147" s="372">
        <v>0.0</v>
      </c>
    </row>
    <row r="47148">
      <c r="Y47148" s="372">
        <v>0.0</v>
      </c>
      <c r="Z47148" s="372">
        <v>0.0</v>
      </c>
    </row>
    <row r="47149">
      <c r="Y47149" s="372">
        <v>0.0</v>
      </c>
      <c r="Z47149" s="372">
        <v>0.0</v>
      </c>
    </row>
    <row r="47150">
      <c r="Y47150" s="372">
        <v>0.0</v>
      </c>
      <c r="Z47150" s="372">
        <v>0.0</v>
      </c>
    </row>
    <row r="47151">
      <c r="Y47151" s="372">
        <v>0.0</v>
      </c>
      <c r="Z47151" s="372">
        <v>0.0</v>
      </c>
    </row>
    <row r="47152">
      <c r="Y47152" s="372">
        <v>0.0</v>
      </c>
      <c r="Z47152" s="372">
        <v>0.0</v>
      </c>
    </row>
    <row r="47153">
      <c r="Y47153" s="372">
        <v>0.0</v>
      </c>
      <c r="Z47153" s="372">
        <v>0.0</v>
      </c>
    </row>
    <row r="47154">
      <c r="Y47154" s="372">
        <v>0.0</v>
      </c>
      <c r="Z47154" s="372">
        <v>0.0</v>
      </c>
    </row>
    <row r="47155">
      <c r="Y47155" s="372">
        <v>0.0</v>
      </c>
      <c r="Z47155" s="372">
        <v>0.0</v>
      </c>
    </row>
    <row r="47156">
      <c r="Y47156" s="372">
        <v>0.0</v>
      </c>
      <c r="Z47156" s="372">
        <v>0.0</v>
      </c>
    </row>
    <row r="47157">
      <c r="Y47157" s="372">
        <v>0.0</v>
      </c>
      <c r="Z47157" s="372">
        <v>0.0</v>
      </c>
    </row>
    <row r="47158">
      <c r="Y47158" s="372">
        <v>0.0</v>
      </c>
      <c r="Z47158" s="372">
        <v>0.0</v>
      </c>
    </row>
    <row r="47159">
      <c r="Y47159" s="372">
        <v>0.0</v>
      </c>
      <c r="Z47159" s="372">
        <v>0.0</v>
      </c>
    </row>
    <row r="47160">
      <c r="Y47160" s="372">
        <v>0.0</v>
      </c>
      <c r="Z47160" s="372">
        <v>0.0</v>
      </c>
    </row>
    <row r="47161">
      <c r="Y47161" s="372">
        <v>0.0</v>
      </c>
      <c r="Z47161" s="372">
        <v>0.0</v>
      </c>
    </row>
    <row r="47162">
      <c r="Y47162" s="372">
        <v>0.0</v>
      </c>
      <c r="Z47162" s="372">
        <v>0.0</v>
      </c>
    </row>
    <row r="47163">
      <c r="Y47163" s="372">
        <v>0.0</v>
      </c>
      <c r="Z47163" s="372">
        <v>0.0</v>
      </c>
    </row>
    <row r="47164">
      <c r="Y47164" s="372">
        <v>0.0</v>
      </c>
      <c r="Z47164" s="372">
        <v>0.0</v>
      </c>
    </row>
    <row r="47165">
      <c r="Y47165" s="372">
        <v>0.0</v>
      </c>
      <c r="Z47165" s="372">
        <v>0.0</v>
      </c>
    </row>
    <row r="47166">
      <c r="Y47166" s="372">
        <v>0.0</v>
      </c>
      <c r="Z47166" s="372">
        <v>0.0</v>
      </c>
    </row>
    <row r="47167">
      <c r="Y47167" s="372">
        <v>0.0</v>
      </c>
      <c r="Z47167" s="372">
        <v>0.0</v>
      </c>
    </row>
    <row r="47168">
      <c r="Y47168" s="372">
        <v>0.0</v>
      </c>
      <c r="Z47168" s="372">
        <v>0.0</v>
      </c>
    </row>
    <row r="47169">
      <c r="Y47169" s="372">
        <v>0.0</v>
      </c>
      <c r="Z47169" s="372">
        <v>0.0</v>
      </c>
    </row>
    <row r="47170">
      <c r="Y47170" s="372">
        <v>0.0</v>
      </c>
      <c r="Z47170" s="372">
        <v>0.0</v>
      </c>
    </row>
    <row r="47171">
      <c r="Y47171" s="372">
        <v>0.0</v>
      </c>
      <c r="Z47171" s="372">
        <v>0.0</v>
      </c>
    </row>
    <row r="47172">
      <c r="Y47172" s="372">
        <v>0.0</v>
      </c>
      <c r="Z47172" s="372">
        <v>0.0</v>
      </c>
    </row>
    <row r="47173">
      <c r="Y47173" s="372">
        <v>0.0</v>
      </c>
      <c r="Z47173" s="372">
        <v>0.0</v>
      </c>
    </row>
    <row r="47174">
      <c r="Y47174" s="372">
        <v>0.0</v>
      </c>
      <c r="Z47174" s="372">
        <v>0.0</v>
      </c>
    </row>
    <row r="47175">
      <c r="Y47175" s="372">
        <v>0.0</v>
      </c>
      <c r="Z47175" s="372">
        <v>0.0</v>
      </c>
    </row>
    <row r="47176">
      <c r="Y47176" s="372">
        <v>0.0</v>
      </c>
      <c r="Z47176" s="372">
        <v>0.0</v>
      </c>
    </row>
    <row r="47177">
      <c r="Y47177" s="372">
        <v>0.0</v>
      </c>
      <c r="Z47177" s="372">
        <v>0.0</v>
      </c>
    </row>
    <row r="47178">
      <c r="Y47178" s="372">
        <v>0.0</v>
      </c>
      <c r="Z47178" s="372">
        <v>0.0</v>
      </c>
    </row>
    <row r="47179">
      <c r="Y47179" s="372">
        <v>0.0</v>
      </c>
      <c r="Z47179" s="372">
        <v>0.0</v>
      </c>
    </row>
    <row r="47180">
      <c r="Y47180" s="372">
        <v>0.0</v>
      </c>
      <c r="Z47180" s="372">
        <v>0.0</v>
      </c>
    </row>
    <row r="47181">
      <c r="Y47181" s="372">
        <v>0.0</v>
      </c>
      <c r="Z47181" s="372">
        <v>0.0</v>
      </c>
    </row>
    <row r="47182">
      <c r="Y47182" s="372">
        <v>0.0</v>
      </c>
      <c r="Z47182" s="372">
        <v>0.0</v>
      </c>
    </row>
    <row r="47183">
      <c r="Y47183" s="372">
        <v>0.0</v>
      </c>
      <c r="Z47183" s="372">
        <v>0.0</v>
      </c>
    </row>
    <row r="47184">
      <c r="Y47184" s="372">
        <v>0.0</v>
      </c>
      <c r="Z47184" s="372">
        <v>0.0</v>
      </c>
    </row>
    <row r="47185">
      <c r="Y47185" s="372">
        <v>0.0</v>
      </c>
      <c r="Z47185" s="372">
        <v>0.0</v>
      </c>
    </row>
    <row r="47186">
      <c r="Y47186" s="372">
        <v>0.0</v>
      </c>
      <c r="Z47186" s="372">
        <v>0.0</v>
      </c>
    </row>
    <row r="47187">
      <c r="Y47187" s="372">
        <v>0.0</v>
      </c>
      <c r="Z47187" s="372">
        <v>0.0</v>
      </c>
    </row>
    <row r="47188">
      <c r="Y47188" s="372">
        <v>0.0</v>
      </c>
      <c r="Z47188" s="372">
        <v>0.0</v>
      </c>
    </row>
    <row r="47189">
      <c r="Y47189" s="372">
        <v>0.0</v>
      </c>
      <c r="Z47189" s="372">
        <v>0.0</v>
      </c>
    </row>
    <row r="47190">
      <c r="Y47190" s="372">
        <v>0.0</v>
      </c>
      <c r="Z47190" s="372">
        <v>0.0</v>
      </c>
    </row>
    <row r="47191">
      <c r="Y47191" s="372">
        <v>0.0</v>
      </c>
      <c r="Z47191" s="372">
        <v>0.0</v>
      </c>
    </row>
    <row r="47192">
      <c r="Y47192" s="372">
        <v>0.0</v>
      </c>
      <c r="Z47192" s="372">
        <v>0.0</v>
      </c>
    </row>
    <row r="47193">
      <c r="Y47193" s="372">
        <v>0.0</v>
      </c>
      <c r="Z47193" s="372">
        <v>0.0</v>
      </c>
    </row>
    <row r="47194">
      <c r="Y47194" s="372">
        <v>0.0</v>
      </c>
      <c r="Z47194" s="372">
        <v>0.0</v>
      </c>
    </row>
    <row r="47195">
      <c r="Y47195" s="372">
        <v>0.0</v>
      </c>
      <c r="Z47195" s="372">
        <v>0.0</v>
      </c>
    </row>
    <row r="47196">
      <c r="Y47196" s="372">
        <v>0.0</v>
      </c>
      <c r="Z47196" s="372">
        <v>0.0</v>
      </c>
    </row>
    <row r="47197">
      <c r="Y47197" s="372">
        <v>0.0</v>
      </c>
      <c r="Z47197" s="372">
        <v>0.0</v>
      </c>
    </row>
    <row r="47198">
      <c r="Y47198" s="372">
        <v>0.0</v>
      </c>
      <c r="Z47198" s="372">
        <v>0.0</v>
      </c>
    </row>
    <row r="47199">
      <c r="Y47199" s="372">
        <v>0.0</v>
      </c>
      <c r="Z47199" s="372">
        <v>0.0</v>
      </c>
    </row>
    <row r="47200">
      <c r="Y47200" s="372">
        <v>0.0</v>
      </c>
      <c r="Z47200" s="372">
        <v>0.0</v>
      </c>
    </row>
    <row r="47201">
      <c r="Y47201" s="372">
        <v>0.0</v>
      </c>
      <c r="Z47201" s="372">
        <v>0.0</v>
      </c>
    </row>
    <row r="47202">
      <c r="Y47202" s="372">
        <v>0.0</v>
      </c>
      <c r="Z47202" s="372">
        <v>0.0</v>
      </c>
    </row>
    <row r="47203">
      <c r="Y47203" s="372">
        <v>0.0</v>
      </c>
      <c r="Z47203" s="372">
        <v>0.0</v>
      </c>
    </row>
    <row r="47204">
      <c r="Y47204" s="372">
        <v>0.0</v>
      </c>
      <c r="Z47204" s="372">
        <v>0.0</v>
      </c>
    </row>
    <row r="47205">
      <c r="Y47205" s="372">
        <v>0.0</v>
      </c>
      <c r="Z47205" s="372">
        <v>0.0</v>
      </c>
    </row>
    <row r="47206">
      <c r="Y47206" s="372">
        <v>0.0</v>
      </c>
      <c r="Z47206" s="372">
        <v>0.0</v>
      </c>
    </row>
    <row r="47207">
      <c r="Y47207" s="372">
        <v>0.0</v>
      </c>
      <c r="Z47207" s="372">
        <v>0.0</v>
      </c>
    </row>
    <row r="47208">
      <c r="Y47208" s="372">
        <v>0.0</v>
      </c>
      <c r="Z47208" s="372">
        <v>0.0</v>
      </c>
    </row>
    <row r="47209">
      <c r="Y47209" s="372">
        <v>0.0</v>
      </c>
      <c r="Z47209" s="372">
        <v>0.0</v>
      </c>
    </row>
    <row r="47210">
      <c r="Y47210" s="372">
        <v>0.0</v>
      </c>
      <c r="Z47210" s="372">
        <v>0.0</v>
      </c>
    </row>
    <row r="47211">
      <c r="Y47211" s="372">
        <v>0.0</v>
      </c>
      <c r="Z47211" s="372">
        <v>0.0</v>
      </c>
    </row>
    <row r="47212">
      <c r="Y47212" s="372">
        <v>0.0</v>
      </c>
      <c r="Z47212" s="372">
        <v>0.0</v>
      </c>
    </row>
    <row r="47213">
      <c r="Y47213" s="372">
        <v>0.0</v>
      </c>
      <c r="Z47213" s="372">
        <v>0.0</v>
      </c>
    </row>
    <row r="47214">
      <c r="Y47214" s="372">
        <v>0.0</v>
      </c>
      <c r="Z47214" s="372">
        <v>0.0</v>
      </c>
    </row>
    <row r="47215">
      <c r="Y47215" s="372">
        <v>0.0</v>
      </c>
      <c r="Z47215" s="372">
        <v>0.0</v>
      </c>
    </row>
    <row r="47216">
      <c r="Y47216" s="372">
        <v>0.0</v>
      </c>
      <c r="Z47216" s="372">
        <v>0.0</v>
      </c>
    </row>
    <row r="47217">
      <c r="Y47217" s="372">
        <v>0.0</v>
      </c>
      <c r="Z47217" s="372">
        <v>0.0</v>
      </c>
    </row>
    <row r="47218">
      <c r="Y47218" s="372">
        <v>0.0</v>
      </c>
      <c r="Z47218" s="372">
        <v>0.0</v>
      </c>
    </row>
    <row r="47219">
      <c r="Y47219" s="372">
        <v>0.0</v>
      </c>
      <c r="Z47219" s="372">
        <v>0.0</v>
      </c>
    </row>
    <row r="47220">
      <c r="Y47220" s="372">
        <v>0.0</v>
      </c>
      <c r="Z47220" s="372">
        <v>0.0</v>
      </c>
    </row>
    <row r="47221">
      <c r="Y47221" s="372">
        <v>0.0</v>
      </c>
      <c r="Z47221" s="372">
        <v>0.0</v>
      </c>
    </row>
    <row r="47222">
      <c r="Y47222" s="372">
        <v>0.0</v>
      </c>
      <c r="Z47222" s="372">
        <v>0.0</v>
      </c>
    </row>
    <row r="47223">
      <c r="Y47223" s="372">
        <v>0.0</v>
      </c>
      <c r="Z47223" s="372">
        <v>0.0</v>
      </c>
    </row>
    <row r="47224">
      <c r="Y47224" s="372">
        <v>0.0</v>
      </c>
      <c r="Z47224" s="372">
        <v>0.0</v>
      </c>
    </row>
    <row r="47225">
      <c r="Y47225" s="372">
        <v>0.0</v>
      </c>
      <c r="Z47225" s="372">
        <v>0.0</v>
      </c>
    </row>
    <row r="47226">
      <c r="Y47226" s="372">
        <v>0.0</v>
      </c>
      <c r="Z47226" s="372">
        <v>0.0</v>
      </c>
    </row>
    <row r="47227">
      <c r="Y47227" s="372">
        <v>0.0</v>
      </c>
      <c r="Z47227" s="372">
        <v>0.0</v>
      </c>
    </row>
    <row r="47228">
      <c r="Y47228" s="372">
        <v>0.0</v>
      </c>
      <c r="Z47228" s="372">
        <v>0.0</v>
      </c>
    </row>
    <row r="47229">
      <c r="Y47229" s="372">
        <v>0.0</v>
      </c>
      <c r="Z47229" s="372">
        <v>0.0</v>
      </c>
    </row>
    <row r="47230">
      <c r="Y47230" s="372">
        <v>0.0</v>
      </c>
      <c r="Z47230" s="372">
        <v>0.0</v>
      </c>
    </row>
    <row r="47231">
      <c r="Y47231" s="372">
        <v>0.0</v>
      </c>
      <c r="Z47231" s="372">
        <v>0.0</v>
      </c>
    </row>
    <row r="47232">
      <c r="Y47232" s="372">
        <v>0.0</v>
      </c>
      <c r="Z47232" s="372">
        <v>0.0</v>
      </c>
    </row>
    <row r="47233">
      <c r="Y47233" s="372">
        <v>0.0</v>
      </c>
      <c r="Z47233" s="372">
        <v>0.0</v>
      </c>
    </row>
    <row r="47234">
      <c r="Y47234" s="372">
        <v>0.0</v>
      </c>
      <c r="Z47234" s="372">
        <v>0.0</v>
      </c>
    </row>
    <row r="47235">
      <c r="Y47235" s="372">
        <v>0.0</v>
      </c>
      <c r="Z47235" s="372">
        <v>0.0</v>
      </c>
    </row>
    <row r="47236">
      <c r="Y47236" s="372">
        <v>0.0</v>
      </c>
      <c r="Z47236" s="372">
        <v>0.0</v>
      </c>
    </row>
    <row r="47237">
      <c r="Y47237" s="372">
        <v>0.0</v>
      </c>
      <c r="Z47237" s="372">
        <v>0.0</v>
      </c>
    </row>
    <row r="47238">
      <c r="Y47238" s="372">
        <v>0.0</v>
      </c>
      <c r="Z47238" s="372">
        <v>0.0</v>
      </c>
    </row>
    <row r="47239">
      <c r="Y47239" s="372">
        <v>0.0</v>
      </c>
      <c r="Z47239" s="372">
        <v>0.0</v>
      </c>
    </row>
    <row r="47240">
      <c r="Y47240" s="372">
        <v>0.0</v>
      </c>
      <c r="Z47240" s="372">
        <v>0.0</v>
      </c>
    </row>
    <row r="47241">
      <c r="Y47241" s="372">
        <v>0.0</v>
      </c>
      <c r="Z47241" s="372">
        <v>0.0</v>
      </c>
    </row>
    <row r="47242">
      <c r="Y47242" s="372">
        <v>0.0</v>
      </c>
      <c r="Z47242" s="372">
        <v>0.0</v>
      </c>
    </row>
    <row r="47243">
      <c r="Y47243" s="372">
        <v>0.0</v>
      </c>
      <c r="Z47243" s="372">
        <v>0.0</v>
      </c>
    </row>
    <row r="47244">
      <c r="Y47244" s="372">
        <v>0.0</v>
      </c>
      <c r="Z47244" s="372">
        <v>0.0</v>
      </c>
    </row>
    <row r="47245">
      <c r="Y47245" s="372">
        <v>0.0</v>
      </c>
      <c r="Z47245" s="372">
        <v>0.0</v>
      </c>
    </row>
    <row r="47246">
      <c r="Y47246" s="372">
        <v>0.0</v>
      </c>
      <c r="Z47246" s="372">
        <v>0.0</v>
      </c>
    </row>
    <row r="47247">
      <c r="Y47247" s="372">
        <v>0.0</v>
      </c>
      <c r="Z47247" s="372">
        <v>0.0</v>
      </c>
    </row>
    <row r="47248">
      <c r="Y47248" s="372">
        <v>0.0</v>
      </c>
      <c r="Z47248" s="372">
        <v>0.0</v>
      </c>
    </row>
    <row r="47249">
      <c r="Y47249" s="372">
        <v>0.0</v>
      </c>
      <c r="Z47249" s="372">
        <v>0.0</v>
      </c>
    </row>
    <row r="47250">
      <c r="Y47250" s="372">
        <v>0.0</v>
      </c>
      <c r="Z47250" s="372">
        <v>0.0</v>
      </c>
    </row>
    <row r="47251">
      <c r="Y47251" s="372">
        <v>0.0</v>
      </c>
      <c r="Z47251" s="372">
        <v>0.0</v>
      </c>
    </row>
    <row r="47252">
      <c r="Y47252" s="372">
        <v>0.0</v>
      </c>
      <c r="Z47252" s="372">
        <v>0.0</v>
      </c>
    </row>
    <row r="47253">
      <c r="Y47253" s="372">
        <v>0.0</v>
      </c>
      <c r="Z47253" s="372">
        <v>0.0</v>
      </c>
    </row>
    <row r="47254">
      <c r="Y47254" s="372">
        <v>0.0</v>
      </c>
      <c r="Z47254" s="372">
        <v>0.0</v>
      </c>
    </row>
    <row r="47255">
      <c r="Y47255" s="372">
        <v>0.0</v>
      </c>
      <c r="Z47255" s="372">
        <v>0.0</v>
      </c>
    </row>
    <row r="47256">
      <c r="Y47256" s="372">
        <v>0.0</v>
      </c>
      <c r="Z47256" s="372">
        <v>0.0</v>
      </c>
    </row>
    <row r="47257">
      <c r="Y47257" s="372">
        <v>0.0</v>
      </c>
      <c r="Z47257" s="372">
        <v>0.0</v>
      </c>
    </row>
    <row r="47258">
      <c r="Y47258" s="372">
        <v>0.0</v>
      </c>
      <c r="Z47258" s="372">
        <v>0.0</v>
      </c>
    </row>
    <row r="47259">
      <c r="Y47259" s="372">
        <v>0.0</v>
      </c>
      <c r="Z47259" s="372">
        <v>0.0</v>
      </c>
    </row>
    <row r="47260">
      <c r="Y47260" s="372">
        <v>0.0</v>
      </c>
      <c r="Z47260" s="372">
        <v>0.0</v>
      </c>
    </row>
    <row r="47261">
      <c r="Y47261" s="372">
        <v>0.0</v>
      </c>
      <c r="Z47261" s="372">
        <v>0.0</v>
      </c>
    </row>
    <row r="47262">
      <c r="Y47262" s="372">
        <v>0.0</v>
      </c>
      <c r="Z47262" s="372">
        <v>0.0</v>
      </c>
    </row>
    <row r="47263">
      <c r="Y47263" s="372">
        <v>0.0</v>
      </c>
      <c r="Z47263" s="372">
        <v>0.0</v>
      </c>
    </row>
    <row r="47264">
      <c r="Y47264" s="372">
        <v>0.0</v>
      </c>
      <c r="Z47264" s="372">
        <v>0.0</v>
      </c>
    </row>
    <row r="47265">
      <c r="Y47265" s="372">
        <v>0.0</v>
      </c>
      <c r="Z47265" s="372">
        <v>0.0</v>
      </c>
    </row>
    <row r="47266">
      <c r="Y47266" s="372">
        <v>0.0</v>
      </c>
      <c r="Z47266" s="372">
        <v>0.0</v>
      </c>
    </row>
    <row r="47267">
      <c r="Y47267" s="372">
        <v>0.0</v>
      </c>
      <c r="Z47267" s="372">
        <v>0.0</v>
      </c>
    </row>
    <row r="47268">
      <c r="Y47268" s="372">
        <v>0.0</v>
      </c>
      <c r="Z47268" s="372">
        <v>0.0</v>
      </c>
    </row>
    <row r="47269">
      <c r="Y47269" s="372">
        <v>0.0</v>
      </c>
      <c r="Z47269" s="372">
        <v>0.0</v>
      </c>
    </row>
    <row r="47270">
      <c r="Y47270" s="372">
        <v>0.0</v>
      </c>
      <c r="Z47270" s="372">
        <v>0.0</v>
      </c>
    </row>
    <row r="47271">
      <c r="Y47271" s="372">
        <v>0.0</v>
      </c>
      <c r="Z47271" s="372">
        <v>0.0</v>
      </c>
    </row>
    <row r="47272">
      <c r="Y47272" s="372">
        <v>0.0</v>
      </c>
      <c r="Z47272" s="372">
        <v>0.0</v>
      </c>
    </row>
    <row r="47273">
      <c r="Y47273" s="372">
        <v>0.0</v>
      </c>
      <c r="Z47273" s="372">
        <v>0.0</v>
      </c>
    </row>
    <row r="47274">
      <c r="Y47274" s="372">
        <v>0.0</v>
      </c>
      <c r="Z47274" s="372">
        <v>0.0</v>
      </c>
    </row>
    <row r="47275">
      <c r="Y47275" s="372">
        <v>0.0</v>
      </c>
      <c r="Z47275" s="372">
        <v>0.0</v>
      </c>
    </row>
    <row r="47276">
      <c r="Y47276" s="372">
        <v>0.0</v>
      </c>
      <c r="Z47276" s="372">
        <v>0.0</v>
      </c>
    </row>
    <row r="47277">
      <c r="Y47277" s="372">
        <v>0.0</v>
      </c>
      <c r="Z47277" s="372">
        <v>0.0</v>
      </c>
    </row>
    <row r="47278">
      <c r="Y47278" s="372">
        <v>0.0</v>
      </c>
      <c r="Z47278" s="372">
        <v>0.0</v>
      </c>
    </row>
    <row r="47279">
      <c r="Y47279" s="372">
        <v>0.0</v>
      </c>
      <c r="Z47279" s="372">
        <v>0.0</v>
      </c>
    </row>
    <row r="47280">
      <c r="Y47280" s="372">
        <v>0.0</v>
      </c>
      <c r="Z47280" s="372">
        <v>0.0</v>
      </c>
    </row>
    <row r="47281">
      <c r="Y47281" s="372">
        <v>0.0</v>
      </c>
      <c r="Z47281" s="372">
        <v>0.0</v>
      </c>
    </row>
    <row r="47282">
      <c r="Y47282" s="372">
        <v>0.0</v>
      </c>
      <c r="Z47282" s="372">
        <v>0.0</v>
      </c>
    </row>
    <row r="47283">
      <c r="Y47283" s="372">
        <v>0.0</v>
      </c>
      <c r="Z47283" s="372">
        <v>0.0</v>
      </c>
    </row>
    <row r="47284">
      <c r="Y47284" s="372">
        <v>0.0</v>
      </c>
      <c r="Z47284" s="372">
        <v>0.0</v>
      </c>
    </row>
    <row r="47285">
      <c r="Y47285" s="372">
        <v>0.0</v>
      </c>
      <c r="Z47285" s="372">
        <v>0.0</v>
      </c>
    </row>
    <row r="47286">
      <c r="Y47286" s="372">
        <v>0.0</v>
      </c>
      <c r="Z47286" s="372">
        <v>0.0</v>
      </c>
    </row>
    <row r="47287">
      <c r="Y47287" s="372">
        <v>0.0</v>
      </c>
      <c r="Z47287" s="372">
        <v>0.0</v>
      </c>
    </row>
    <row r="47288">
      <c r="Y47288" s="372">
        <v>0.0</v>
      </c>
      <c r="Z47288" s="372">
        <v>0.0</v>
      </c>
    </row>
    <row r="47289">
      <c r="Y47289" s="372">
        <v>0.0</v>
      </c>
      <c r="Z47289" s="372">
        <v>0.0</v>
      </c>
    </row>
    <row r="47290">
      <c r="Y47290" s="372">
        <v>0.0</v>
      </c>
      <c r="Z47290" s="372">
        <v>0.0</v>
      </c>
    </row>
    <row r="47291">
      <c r="Y47291" s="372">
        <v>0.0</v>
      </c>
      <c r="Z47291" s="372">
        <v>0.0</v>
      </c>
    </row>
    <row r="47292">
      <c r="Y47292" s="372">
        <v>0.0</v>
      </c>
      <c r="Z47292" s="372">
        <v>0.0</v>
      </c>
    </row>
    <row r="47293">
      <c r="Y47293" s="372">
        <v>0.0</v>
      </c>
      <c r="Z47293" s="372">
        <v>0.0</v>
      </c>
    </row>
    <row r="47294">
      <c r="Y47294" s="372">
        <v>0.0</v>
      </c>
      <c r="Z47294" s="372">
        <v>0.0</v>
      </c>
    </row>
    <row r="47295">
      <c r="Y47295" s="372">
        <v>0.0</v>
      </c>
      <c r="Z47295" s="372">
        <v>0.0</v>
      </c>
    </row>
    <row r="47296">
      <c r="Y47296" s="372">
        <v>0.0</v>
      </c>
      <c r="Z47296" s="372">
        <v>0.0</v>
      </c>
    </row>
    <row r="47297">
      <c r="Y47297" s="372">
        <v>0.0</v>
      </c>
      <c r="Z47297" s="372">
        <v>0.0</v>
      </c>
    </row>
    <row r="47298">
      <c r="Y47298" s="372">
        <v>0.0</v>
      </c>
      <c r="Z47298" s="372">
        <v>0.0</v>
      </c>
    </row>
    <row r="47299">
      <c r="Y47299" s="372">
        <v>0.0</v>
      </c>
      <c r="Z47299" s="372">
        <v>0.0</v>
      </c>
    </row>
    <row r="47300">
      <c r="Y47300" s="372">
        <v>0.0</v>
      </c>
      <c r="Z47300" s="372">
        <v>0.0</v>
      </c>
    </row>
    <row r="47301">
      <c r="Y47301" s="372">
        <v>0.0</v>
      </c>
      <c r="Z47301" s="372">
        <v>0.0</v>
      </c>
    </row>
    <row r="47302">
      <c r="Y47302" s="372">
        <v>0.0</v>
      </c>
      <c r="Z47302" s="372">
        <v>0.0</v>
      </c>
    </row>
    <row r="47303">
      <c r="Y47303" s="372">
        <v>0.0</v>
      </c>
      <c r="Z47303" s="372">
        <v>0.0</v>
      </c>
    </row>
    <row r="47304">
      <c r="Y47304" s="372">
        <v>0.0</v>
      </c>
      <c r="Z47304" s="372">
        <v>0.0</v>
      </c>
    </row>
    <row r="47305">
      <c r="Y47305" s="372">
        <v>0.0</v>
      </c>
      <c r="Z47305" s="372">
        <v>0.0</v>
      </c>
    </row>
    <row r="47306">
      <c r="Y47306" s="372">
        <v>0.0</v>
      </c>
      <c r="Z47306" s="372">
        <v>0.0</v>
      </c>
    </row>
    <row r="47307">
      <c r="Y47307" s="372">
        <v>0.0</v>
      </c>
      <c r="Z47307" s="372">
        <v>0.0</v>
      </c>
    </row>
    <row r="47308">
      <c r="Y47308" s="372">
        <v>0.0</v>
      </c>
      <c r="Z47308" s="372">
        <v>0.0</v>
      </c>
    </row>
    <row r="47309">
      <c r="Y47309" s="372">
        <v>0.0</v>
      </c>
      <c r="Z47309" s="372">
        <v>0.0</v>
      </c>
    </row>
    <row r="47310">
      <c r="Y47310" s="372">
        <v>0.0</v>
      </c>
      <c r="Z47310" s="372">
        <v>0.0</v>
      </c>
    </row>
    <row r="47311">
      <c r="Y47311" s="372">
        <v>0.0</v>
      </c>
      <c r="Z47311" s="372">
        <v>0.0</v>
      </c>
    </row>
    <row r="47312">
      <c r="Y47312" s="372">
        <v>0.0</v>
      </c>
      <c r="Z47312" s="372">
        <v>0.0</v>
      </c>
    </row>
    <row r="47313">
      <c r="Y47313" s="372">
        <v>0.0</v>
      </c>
      <c r="Z47313" s="372">
        <v>0.0</v>
      </c>
    </row>
    <row r="47314">
      <c r="Y47314" s="372">
        <v>0.0</v>
      </c>
      <c r="Z47314" s="372">
        <v>0.0</v>
      </c>
    </row>
    <row r="47315">
      <c r="Y47315" s="372">
        <v>0.0</v>
      </c>
      <c r="Z47315" s="372">
        <v>0.0</v>
      </c>
    </row>
    <row r="47316">
      <c r="Y47316" s="372">
        <v>0.0</v>
      </c>
      <c r="Z47316" s="372">
        <v>0.0</v>
      </c>
    </row>
    <row r="47317">
      <c r="Y47317" s="372">
        <v>0.0</v>
      </c>
      <c r="Z47317" s="372">
        <v>0.0</v>
      </c>
    </row>
    <row r="47318">
      <c r="Y47318" s="372">
        <v>0.0</v>
      </c>
      <c r="Z47318" s="372">
        <v>0.0</v>
      </c>
    </row>
    <row r="47319">
      <c r="Y47319" s="372">
        <v>0.0</v>
      </c>
      <c r="Z47319" s="372">
        <v>0.0</v>
      </c>
    </row>
    <row r="47320">
      <c r="Y47320" s="372">
        <v>0.0</v>
      </c>
      <c r="Z47320" s="372">
        <v>0.0</v>
      </c>
    </row>
    <row r="47321">
      <c r="Y47321" s="372">
        <v>0.0</v>
      </c>
      <c r="Z47321" s="372">
        <v>0.0</v>
      </c>
    </row>
    <row r="47322">
      <c r="Y47322" s="372">
        <v>0.0</v>
      </c>
      <c r="Z47322" s="372">
        <v>0.0</v>
      </c>
    </row>
    <row r="47323">
      <c r="Y47323" s="372">
        <v>0.0</v>
      </c>
      <c r="Z47323" s="372">
        <v>0.0</v>
      </c>
    </row>
    <row r="47324">
      <c r="Y47324" s="372">
        <v>0.0</v>
      </c>
      <c r="Z47324" s="372">
        <v>0.0</v>
      </c>
    </row>
    <row r="47325">
      <c r="Y47325" s="372">
        <v>0.0</v>
      </c>
      <c r="Z47325" s="372">
        <v>0.0</v>
      </c>
    </row>
    <row r="47326">
      <c r="Y47326" s="372">
        <v>0.0</v>
      </c>
      <c r="Z47326" s="372">
        <v>0.0</v>
      </c>
    </row>
    <row r="47327">
      <c r="Y47327" s="372">
        <v>0.0</v>
      </c>
      <c r="Z47327" s="372">
        <v>0.0</v>
      </c>
    </row>
    <row r="47328">
      <c r="Y47328" s="372">
        <v>0.0</v>
      </c>
      <c r="Z47328" s="372">
        <v>0.0</v>
      </c>
    </row>
    <row r="47329">
      <c r="Y47329" s="372">
        <v>0.0</v>
      </c>
      <c r="Z47329" s="372">
        <v>0.0</v>
      </c>
    </row>
    <row r="47330">
      <c r="Y47330" s="372">
        <v>0.0</v>
      </c>
      <c r="Z47330" s="372">
        <v>0.0</v>
      </c>
    </row>
    <row r="47331">
      <c r="Y47331" s="372">
        <v>0.0</v>
      </c>
      <c r="Z47331" s="372">
        <v>0.0</v>
      </c>
    </row>
    <row r="47332">
      <c r="Y47332" s="372">
        <v>0.0</v>
      </c>
      <c r="Z47332" s="372">
        <v>0.0</v>
      </c>
    </row>
    <row r="47333">
      <c r="Y47333" s="372">
        <v>0.0</v>
      </c>
      <c r="Z47333" s="372">
        <v>0.0</v>
      </c>
    </row>
    <row r="47334">
      <c r="Y47334" s="372">
        <v>0.0</v>
      </c>
      <c r="Z47334" s="372">
        <v>0.0</v>
      </c>
    </row>
    <row r="47335">
      <c r="Y47335" s="372">
        <v>0.0</v>
      </c>
      <c r="Z47335" s="372">
        <v>0.0</v>
      </c>
    </row>
    <row r="47336">
      <c r="Y47336" s="372">
        <v>0.0</v>
      </c>
      <c r="Z47336" s="372">
        <v>0.0</v>
      </c>
    </row>
    <row r="47337">
      <c r="Y47337" s="372">
        <v>0.0</v>
      </c>
      <c r="Z47337" s="372">
        <v>0.0</v>
      </c>
    </row>
    <row r="47338">
      <c r="Y47338" s="372">
        <v>0.0</v>
      </c>
      <c r="Z47338" s="372">
        <v>0.0</v>
      </c>
    </row>
    <row r="47339">
      <c r="Y47339" s="372">
        <v>0.0</v>
      </c>
      <c r="Z47339" s="372">
        <v>0.0</v>
      </c>
    </row>
    <row r="47340">
      <c r="Y47340" s="372">
        <v>0.0</v>
      </c>
      <c r="Z47340" s="372">
        <v>0.0</v>
      </c>
    </row>
    <row r="47341">
      <c r="Y47341" s="372">
        <v>0.0</v>
      </c>
      <c r="Z47341" s="372">
        <v>0.0</v>
      </c>
    </row>
    <row r="47342">
      <c r="Y47342" s="372">
        <v>0.0</v>
      </c>
      <c r="Z47342" s="372">
        <v>0.0</v>
      </c>
    </row>
    <row r="47343">
      <c r="Y47343" s="372">
        <v>0.0</v>
      </c>
      <c r="Z47343" s="372">
        <v>0.0</v>
      </c>
    </row>
    <row r="47344">
      <c r="Y47344" s="372">
        <v>0.0</v>
      </c>
      <c r="Z47344" s="372">
        <v>0.0</v>
      </c>
    </row>
    <row r="47345">
      <c r="Y47345" s="372">
        <v>0.0</v>
      </c>
      <c r="Z47345" s="372">
        <v>0.0</v>
      </c>
    </row>
    <row r="47346">
      <c r="Y47346" s="372">
        <v>0.0</v>
      </c>
      <c r="Z47346" s="372">
        <v>0.0</v>
      </c>
    </row>
    <row r="47347">
      <c r="Y47347" s="372">
        <v>0.0</v>
      </c>
      <c r="Z47347" s="372">
        <v>0.0</v>
      </c>
    </row>
    <row r="47348">
      <c r="Y47348" s="372">
        <v>0.0</v>
      </c>
      <c r="Z47348" s="372">
        <v>0.0</v>
      </c>
    </row>
    <row r="47349">
      <c r="Y47349" s="372">
        <v>0.0</v>
      </c>
      <c r="Z47349" s="372">
        <v>0.0</v>
      </c>
    </row>
    <row r="47350">
      <c r="Y47350" s="372">
        <v>0.0</v>
      </c>
      <c r="Z47350" s="372">
        <v>0.0</v>
      </c>
    </row>
    <row r="47351">
      <c r="Y47351" s="372">
        <v>0.0</v>
      </c>
      <c r="Z47351" s="372">
        <v>0.0</v>
      </c>
    </row>
    <row r="47352">
      <c r="Y47352" s="372">
        <v>0.0</v>
      </c>
      <c r="Z47352" s="372">
        <v>0.0</v>
      </c>
    </row>
    <row r="47353">
      <c r="Y47353" s="372">
        <v>0.0</v>
      </c>
      <c r="Z47353" s="372">
        <v>0.0</v>
      </c>
    </row>
    <row r="47354">
      <c r="Y47354" s="372">
        <v>0.0</v>
      </c>
      <c r="Z47354" s="372">
        <v>0.0</v>
      </c>
    </row>
    <row r="47355">
      <c r="Y47355" s="372">
        <v>0.0</v>
      </c>
      <c r="Z47355" s="372">
        <v>0.0</v>
      </c>
    </row>
    <row r="47356">
      <c r="Y47356" s="372">
        <v>0.0</v>
      </c>
      <c r="Z47356" s="372">
        <v>0.0</v>
      </c>
    </row>
    <row r="47357">
      <c r="Y47357" s="372">
        <v>0.0</v>
      </c>
      <c r="Z47357" s="372">
        <v>0.0</v>
      </c>
    </row>
    <row r="47358">
      <c r="Y47358" s="372">
        <v>0.0</v>
      </c>
      <c r="Z47358" s="372">
        <v>0.0</v>
      </c>
    </row>
    <row r="47359">
      <c r="Y47359" s="372">
        <v>0.0</v>
      </c>
      <c r="Z47359" s="372">
        <v>0.0</v>
      </c>
    </row>
    <row r="47360">
      <c r="Y47360" s="372">
        <v>0.0</v>
      </c>
      <c r="Z47360" s="372">
        <v>0.0</v>
      </c>
    </row>
    <row r="47361">
      <c r="Y47361" s="372">
        <v>0.0</v>
      </c>
      <c r="Z47361" s="372">
        <v>0.0</v>
      </c>
    </row>
    <row r="47362">
      <c r="Y47362" s="372">
        <v>0.0</v>
      </c>
      <c r="Z47362" s="372">
        <v>0.0</v>
      </c>
    </row>
    <row r="47363">
      <c r="Y47363" s="372">
        <v>0.0</v>
      </c>
      <c r="Z47363" s="372">
        <v>0.0</v>
      </c>
    </row>
    <row r="47364">
      <c r="Y47364" s="372">
        <v>0.0</v>
      </c>
      <c r="Z47364" s="372">
        <v>0.0</v>
      </c>
    </row>
    <row r="47365">
      <c r="Y47365" s="372">
        <v>0.0</v>
      </c>
      <c r="Z47365" s="372">
        <v>0.0</v>
      </c>
    </row>
    <row r="47366">
      <c r="Y47366" s="372">
        <v>0.0</v>
      </c>
      <c r="Z47366" s="372">
        <v>0.0</v>
      </c>
    </row>
    <row r="47367">
      <c r="Y47367" s="372">
        <v>0.0</v>
      </c>
      <c r="Z47367" s="372">
        <v>0.0</v>
      </c>
    </row>
    <row r="47368">
      <c r="Y47368" s="372">
        <v>0.0</v>
      </c>
      <c r="Z47368" s="372">
        <v>0.0</v>
      </c>
    </row>
    <row r="47369">
      <c r="Y47369" s="372">
        <v>0.0</v>
      </c>
      <c r="Z47369" s="372">
        <v>0.0</v>
      </c>
    </row>
    <row r="47370">
      <c r="Y47370" s="372">
        <v>0.0</v>
      </c>
      <c r="Z47370" s="372">
        <v>0.0</v>
      </c>
    </row>
    <row r="47371">
      <c r="Y47371" s="372">
        <v>0.0</v>
      </c>
      <c r="Z47371" s="372">
        <v>0.0</v>
      </c>
    </row>
    <row r="47372">
      <c r="Y47372" s="372">
        <v>0.0</v>
      </c>
      <c r="Z47372" s="372">
        <v>0.0</v>
      </c>
    </row>
    <row r="47373">
      <c r="Y47373" s="372">
        <v>0.0</v>
      </c>
      <c r="Z47373" s="372">
        <v>0.0</v>
      </c>
    </row>
    <row r="47374">
      <c r="Y47374" s="372">
        <v>0.0</v>
      </c>
      <c r="Z47374" s="372">
        <v>0.0</v>
      </c>
    </row>
    <row r="47375">
      <c r="Y47375" s="372">
        <v>0.0</v>
      </c>
      <c r="Z47375" s="372">
        <v>0.0</v>
      </c>
    </row>
    <row r="47376">
      <c r="Y47376" s="372">
        <v>0.0</v>
      </c>
      <c r="Z47376" s="372">
        <v>0.0</v>
      </c>
    </row>
    <row r="47377">
      <c r="Y47377" s="372">
        <v>0.0</v>
      </c>
      <c r="Z47377" s="372">
        <v>0.0</v>
      </c>
    </row>
    <row r="47378">
      <c r="Y47378" s="372">
        <v>0.0</v>
      </c>
      <c r="Z47378" s="372">
        <v>0.0</v>
      </c>
    </row>
    <row r="47379">
      <c r="Y47379" s="372">
        <v>0.0</v>
      </c>
      <c r="Z47379" s="372">
        <v>0.0</v>
      </c>
    </row>
    <row r="47380">
      <c r="Y47380" s="372">
        <v>0.0</v>
      </c>
      <c r="Z47380" s="372">
        <v>0.0</v>
      </c>
    </row>
    <row r="47381">
      <c r="Y47381" s="372">
        <v>0.0</v>
      </c>
      <c r="Z47381" s="372">
        <v>0.0</v>
      </c>
    </row>
    <row r="47382">
      <c r="Y47382" s="372">
        <v>0.0</v>
      </c>
      <c r="Z47382" s="372">
        <v>0.0</v>
      </c>
    </row>
    <row r="47383">
      <c r="Y47383" s="372">
        <v>0.0</v>
      </c>
      <c r="Z47383" s="372">
        <v>0.0</v>
      </c>
    </row>
    <row r="47384">
      <c r="Y47384" s="372">
        <v>0.0</v>
      </c>
      <c r="Z47384" s="372">
        <v>0.0</v>
      </c>
    </row>
    <row r="47385">
      <c r="Y47385" s="372">
        <v>0.0</v>
      </c>
      <c r="Z47385" s="372">
        <v>0.0</v>
      </c>
    </row>
    <row r="47386">
      <c r="Y47386" s="372">
        <v>0.0</v>
      </c>
      <c r="Z47386" s="372">
        <v>0.0</v>
      </c>
    </row>
    <row r="47387">
      <c r="Y47387" s="372">
        <v>0.0</v>
      </c>
      <c r="Z47387" s="372">
        <v>0.0</v>
      </c>
    </row>
    <row r="47388">
      <c r="Y47388" s="372">
        <v>0.0</v>
      </c>
      <c r="Z47388" s="372">
        <v>0.0</v>
      </c>
    </row>
    <row r="47389">
      <c r="Y47389" s="372">
        <v>0.0</v>
      </c>
      <c r="Z47389" s="372">
        <v>0.0</v>
      </c>
    </row>
    <row r="47390">
      <c r="Y47390" s="372">
        <v>0.0</v>
      </c>
      <c r="Z47390" s="372">
        <v>0.0</v>
      </c>
    </row>
    <row r="47391">
      <c r="Y47391" s="372">
        <v>0.0</v>
      </c>
      <c r="Z47391" s="372">
        <v>0.0</v>
      </c>
    </row>
    <row r="47392">
      <c r="Y47392" s="372">
        <v>0.0</v>
      </c>
      <c r="Z47392" s="372">
        <v>0.0</v>
      </c>
    </row>
    <row r="47393">
      <c r="Y47393" s="372">
        <v>0.0</v>
      </c>
      <c r="Z47393" s="372">
        <v>0.0</v>
      </c>
    </row>
    <row r="47394">
      <c r="Y47394" s="372">
        <v>0.0</v>
      </c>
      <c r="Z47394" s="372">
        <v>0.0</v>
      </c>
    </row>
    <row r="47395">
      <c r="Y47395" s="372">
        <v>0.0</v>
      </c>
      <c r="Z47395" s="372">
        <v>0.0</v>
      </c>
    </row>
    <row r="47396">
      <c r="Y47396" s="372">
        <v>0.0</v>
      </c>
      <c r="Z47396" s="372">
        <v>0.0</v>
      </c>
    </row>
    <row r="47397">
      <c r="Y47397" s="372">
        <v>0.0</v>
      </c>
      <c r="Z47397" s="372">
        <v>0.0</v>
      </c>
    </row>
    <row r="47398">
      <c r="Y47398" s="372">
        <v>0.0</v>
      </c>
      <c r="Z47398" s="372">
        <v>0.0</v>
      </c>
    </row>
    <row r="47399">
      <c r="Y47399" s="372">
        <v>0.0</v>
      </c>
      <c r="Z47399" s="372">
        <v>0.0</v>
      </c>
    </row>
    <row r="47400">
      <c r="Y47400" s="372">
        <v>0.0</v>
      </c>
      <c r="Z47400" s="372">
        <v>0.0</v>
      </c>
    </row>
    <row r="47401">
      <c r="Y47401" s="372">
        <v>0.0</v>
      </c>
      <c r="Z47401" s="372">
        <v>0.0</v>
      </c>
    </row>
    <row r="47402">
      <c r="Y47402" s="372">
        <v>0.0</v>
      </c>
      <c r="Z47402" s="372">
        <v>0.0</v>
      </c>
    </row>
    <row r="47403">
      <c r="Y47403" s="372">
        <v>0.0</v>
      </c>
      <c r="Z47403" s="372">
        <v>0.0</v>
      </c>
    </row>
    <row r="47404">
      <c r="Y47404" s="372">
        <v>0.0</v>
      </c>
      <c r="Z47404" s="372">
        <v>0.0</v>
      </c>
    </row>
    <row r="47405">
      <c r="Y47405" s="372">
        <v>0.0</v>
      </c>
      <c r="Z47405" s="372">
        <v>0.0</v>
      </c>
    </row>
    <row r="47406">
      <c r="Y47406" s="372">
        <v>0.0</v>
      </c>
      <c r="Z47406" s="372">
        <v>0.0</v>
      </c>
    </row>
    <row r="47407">
      <c r="Y47407" s="372">
        <v>0.0</v>
      </c>
      <c r="Z47407" s="372">
        <v>0.0</v>
      </c>
    </row>
    <row r="47408">
      <c r="Y47408" s="372">
        <v>0.0</v>
      </c>
      <c r="Z47408" s="372">
        <v>0.0</v>
      </c>
    </row>
    <row r="47409">
      <c r="Y47409" s="372">
        <v>0.0</v>
      </c>
      <c r="Z47409" s="372">
        <v>0.0</v>
      </c>
    </row>
    <row r="47410">
      <c r="Y47410" s="372">
        <v>0.0</v>
      </c>
      <c r="Z47410" s="372">
        <v>0.0</v>
      </c>
    </row>
    <row r="47411">
      <c r="Y47411" s="372">
        <v>0.0</v>
      </c>
      <c r="Z47411" s="372">
        <v>0.0</v>
      </c>
    </row>
    <row r="47412">
      <c r="Y47412" s="372">
        <v>0.0</v>
      </c>
      <c r="Z47412" s="372">
        <v>0.0</v>
      </c>
    </row>
    <row r="47413">
      <c r="Y47413" s="372">
        <v>0.0</v>
      </c>
      <c r="Z47413" s="372">
        <v>0.0</v>
      </c>
    </row>
    <row r="47414">
      <c r="Y47414" s="372">
        <v>0.0</v>
      </c>
      <c r="Z47414" s="372">
        <v>0.0</v>
      </c>
    </row>
    <row r="47415">
      <c r="Y47415" s="372">
        <v>0.0</v>
      </c>
      <c r="Z47415" s="372">
        <v>0.0</v>
      </c>
    </row>
    <row r="47416">
      <c r="Y47416" s="372">
        <v>0.0</v>
      </c>
      <c r="Z47416" s="372">
        <v>0.0</v>
      </c>
    </row>
    <row r="47417">
      <c r="Y47417" s="372">
        <v>0.0</v>
      </c>
      <c r="Z47417" s="372">
        <v>0.0</v>
      </c>
    </row>
    <row r="47418">
      <c r="Y47418" s="372">
        <v>0.0</v>
      </c>
      <c r="Z47418" s="372">
        <v>0.0</v>
      </c>
    </row>
    <row r="47419">
      <c r="Y47419" s="372">
        <v>0.0</v>
      </c>
      <c r="Z47419" s="372">
        <v>0.0</v>
      </c>
    </row>
    <row r="47420">
      <c r="Y47420" s="372">
        <v>0.0</v>
      </c>
      <c r="Z47420" s="372">
        <v>0.0</v>
      </c>
    </row>
    <row r="47421">
      <c r="Y47421" s="372">
        <v>0.0</v>
      </c>
      <c r="Z47421" s="372">
        <v>0.0</v>
      </c>
    </row>
    <row r="47422">
      <c r="Y47422" s="372">
        <v>0.0</v>
      </c>
      <c r="Z47422" s="372">
        <v>0.0</v>
      </c>
    </row>
    <row r="47423">
      <c r="Y47423" s="372">
        <v>0.0</v>
      </c>
      <c r="Z47423" s="372">
        <v>0.0</v>
      </c>
    </row>
    <row r="47424">
      <c r="Y47424" s="372">
        <v>0.0</v>
      </c>
      <c r="Z47424" s="372">
        <v>0.0</v>
      </c>
    </row>
    <row r="47425">
      <c r="Y47425" s="372">
        <v>0.0</v>
      </c>
      <c r="Z47425" s="372">
        <v>0.0</v>
      </c>
    </row>
    <row r="47426">
      <c r="Y47426" s="372">
        <v>0.0</v>
      </c>
      <c r="Z47426" s="372">
        <v>0.0</v>
      </c>
    </row>
    <row r="47427">
      <c r="Y47427" s="372">
        <v>0.0</v>
      </c>
      <c r="Z47427" s="372">
        <v>0.0</v>
      </c>
    </row>
    <row r="47428">
      <c r="Y47428" s="372">
        <v>0.0</v>
      </c>
      <c r="Z47428" s="372">
        <v>0.0</v>
      </c>
    </row>
    <row r="47429">
      <c r="Y47429" s="372">
        <v>0.0</v>
      </c>
      <c r="Z47429" s="372">
        <v>0.0</v>
      </c>
    </row>
    <row r="47430">
      <c r="Y47430" s="372">
        <v>0.0</v>
      </c>
      <c r="Z47430" s="372">
        <v>0.0</v>
      </c>
    </row>
    <row r="47431">
      <c r="Y47431" s="372">
        <v>0.0</v>
      </c>
      <c r="Z47431" s="372">
        <v>0.0</v>
      </c>
    </row>
    <row r="47432">
      <c r="Y47432" s="372">
        <v>0.0</v>
      </c>
      <c r="Z47432" s="372">
        <v>0.0</v>
      </c>
    </row>
    <row r="47433">
      <c r="Y47433" s="372">
        <v>0.0</v>
      </c>
      <c r="Z47433" s="372">
        <v>0.0</v>
      </c>
    </row>
    <row r="47434">
      <c r="Y47434" s="372">
        <v>0.0</v>
      </c>
      <c r="Z47434" s="372">
        <v>0.0</v>
      </c>
    </row>
    <row r="47435">
      <c r="Y47435" s="372">
        <v>0.0</v>
      </c>
      <c r="Z47435" s="372">
        <v>0.0</v>
      </c>
    </row>
    <row r="47436">
      <c r="Y47436" s="372">
        <v>0.0</v>
      </c>
      <c r="Z47436" s="372">
        <v>0.0</v>
      </c>
    </row>
    <row r="47437">
      <c r="Y47437" s="372">
        <v>0.0</v>
      </c>
      <c r="Z47437" s="372">
        <v>0.0</v>
      </c>
    </row>
    <row r="47438">
      <c r="Y47438" s="372">
        <v>0.0</v>
      </c>
      <c r="Z47438" s="372">
        <v>0.0</v>
      </c>
    </row>
    <row r="47439">
      <c r="Y47439" s="372">
        <v>0.0</v>
      </c>
      <c r="Z47439" s="372">
        <v>0.0</v>
      </c>
    </row>
    <row r="47440">
      <c r="Y47440" s="372">
        <v>0.0</v>
      </c>
      <c r="Z47440" s="372">
        <v>0.0</v>
      </c>
    </row>
    <row r="47441">
      <c r="Y47441" s="372">
        <v>0.0</v>
      </c>
      <c r="Z47441" s="372">
        <v>0.0</v>
      </c>
    </row>
    <row r="47442">
      <c r="Y47442" s="372">
        <v>0.0</v>
      </c>
      <c r="Z47442" s="372">
        <v>0.0</v>
      </c>
    </row>
    <row r="47443">
      <c r="Y47443" s="372">
        <v>0.0</v>
      </c>
      <c r="Z47443" s="372">
        <v>0.0</v>
      </c>
    </row>
    <row r="47444">
      <c r="Y47444" s="372">
        <v>0.0</v>
      </c>
      <c r="Z47444" s="372">
        <v>0.0</v>
      </c>
    </row>
    <row r="47445">
      <c r="Y47445" s="372">
        <v>0.0</v>
      </c>
      <c r="Z47445" s="372">
        <v>0.0</v>
      </c>
    </row>
    <row r="47446">
      <c r="Y47446" s="372">
        <v>0.0</v>
      </c>
      <c r="Z47446" s="372">
        <v>0.0</v>
      </c>
    </row>
    <row r="47447">
      <c r="Y47447" s="372">
        <v>0.0</v>
      </c>
      <c r="Z47447" s="372">
        <v>0.0</v>
      </c>
    </row>
    <row r="47448">
      <c r="Y47448" s="372">
        <v>0.0</v>
      </c>
      <c r="Z47448" s="372">
        <v>0.0</v>
      </c>
    </row>
    <row r="47449">
      <c r="Y47449" s="372">
        <v>0.0</v>
      </c>
      <c r="Z47449" s="372">
        <v>0.0</v>
      </c>
    </row>
    <row r="47450">
      <c r="Y47450" s="372">
        <v>0.0</v>
      </c>
      <c r="Z47450" s="372">
        <v>0.0</v>
      </c>
    </row>
    <row r="47451">
      <c r="Y47451" s="372">
        <v>0.0</v>
      </c>
      <c r="Z47451" s="372">
        <v>0.0</v>
      </c>
    </row>
    <row r="47452">
      <c r="Y47452" s="372">
        <v>0.0</v>
      </c>
      <c r="Z47452" s="372">
        <v>0.0</v>
      </c>
    </row>
    <row r="47453">
      <c r="Y47453" s="372">
        <v>0.0</v>
      </c>
      <c r="Z47453" s="372">
        <v>0.0</v>
      </c>
    </row>
    <row r="47454">
      <c r="Y47454" s="372">
        <v>0.0</v>
      </c>
      <c r="Z47454" s="372">
        <v>0.0</v>
      </c>
    </row>
    <row r="47455">
      <c r="Y47455" s="372">
        <v>0.0</v>
      </c>
      <c r="Z47455" s="372">
        <v>0.0</v>
      </c>
    </row>
    <row r="47456">
      <c r="Y47456" s="372">
        <v>0.0</v>
      </c>
      <c r="Z47456" s="372">
        <v>0.0</v>
      </c>
    </row>
    <row r="47457">
      <c r="Y47457" s="372">
        <v>0.0</v>
      </c>
      <c r="Z47457" s="372">
        <v>0.0</v>
      </c>
    </row>
    <row r="47458">
      <c r="Y47458" s="372">
        <v>0.0</v>
      </c>
      <c r="Z47458" s="372">
        <v>0.0</v>
      </c>
    </row>
    <row r="47459">
      <c r="Y47459" s="372">
        <v>0.0</v>
      </c>
      <c r="Z47459" s="372">
        <v>0.0</v>
      </c>
    </row>
    <row r="47460">
      <c r="Y47460" s="372">
        <v>0.0</v>
      </c>
      <c r="Z47460" s="372">
        <v>0.0</v>
      </c>
    </row>
    <row r="47461">
      <c r="Y47461" s="372">
        <v>0.0</v>
      </c>
      <c r="Z47461" s="372">
        <v>0.0</v>
      </c>
    </row>
    <row r="47462">
      <c r="Y47462" s="372">
        <v>0.0</v>
      </c>
      <c r="Z47462" s="372">
        <v>0.0</v>
      </c>
    </row>
    <row r="47463">
      <c r="Y47463" s="372">
        <v>0.0</v>
      </c>
      <c r="Z47463" s="372">
        <v>0.0</v>
      </c>
    </row>
    <row r="47464">
      <c r="Y47464" s="372">
        <v>0.0</v>
      </c>
      <c r="Z47464" s="372">
        <v>0.0</v>
      </c>
    </row>
    <row r="47465">
      <c r="Y47465" s="372">
        <v>0.0</v>
      </c>
      <c r="Z47465" s="372">
        <v>0.0</v>
      </c>
    </row>
    <row r="47466">
      <c r="Y47466" s="372">
        <v>0.0</v>
      </c>
      <c r="Z47466" s="372">
        <v>0.0</v>
      </c>
    </row>
    <row r="47467">
      <c r="Y47467" s="372">
        <v>0.0</v>
      </c>
      <c r="Z47467" s="372">
        <v>0.0</v>
      </c>
    </row>
    <row r="47468">
      <c r="Y47468" s="372">
        <v>0.0</v>
      </c>
      <c r="Z47468" s="372">
        <v>0.0</v>
      </c>
    </row>
    <row r="47469">
      <c r="Y47469" s="372">
        <v>0.0</v>
      </c>
      <c r="Z47469" s="372">
        <v>0.0</v>
      </c>
    </row>
    <row r="47470">
      <c r="Y47470" s="372">
        <v>0.0</v>
      </c>
      <c r="Z47470" s="372">
        <v>0.0</v>
      </c>
    </row>
    <row r="47471">
      <c r="Y47471" s="372">
        <v>0.0</v>
      </c>
      <c r="Z47471" s="372">
        <v>0.0</v>
      </c>
    </row>
    <row r="47472">
      <c r="Y47472" s="372">
        <v>0.0</v>
      </c>
      <c r="Z47472" s="372">
        <v>0.0</v>
      </c>
    </row>
    <row r="47473">
      <c r="Y47473" s="372">
        <v>0.0</v>
      </c>
      <c r="Z47473" s="372">
        <v>0.0</v>
      </c>
    </row>
    <row r="47474">
      <c r="Y47474" s="372">
        <v>0.0</v>
      </c>
      <c r="Z47474" s="372">
        <v>0.0</v>
      </c>
    </row>
    <row r="47475">
      <c r="Y47475" s="372">
        <v>0.0</v>
      </c>
      <c r="Z47475" s="372">
        <v>0.0</v>
      </c>
    </row>
    <row r="47476">
      <c r="Y47476" s="372">
        <v>0.0</v>
      </c>
      <c r="Z47476" s="372">
        <v>0.0</v>
      </c>
    </row>
    <row r="47477">
      <c r="Y47477" s="372">
        <v>0.0</v>
      </c>
      <c r="Z47477" s="372">
        <v>0.0</v>
      </c>
    </row>
    <row r="47478">
      <c r="Y47478" s="372">
        <v>0.0</v>
      </c>
      <c r="Z47478" s="372">
        <v>0.0</v>
      </c>
    </row>
    <row r="47479">
      <c r="Y47479" s="372">
        <v>0.0</v>
      </c>
      <c r="Z47479" s="372">
        <v>0.0</v>
      </c>
    </row>
    <row r="47480">
      <c r="Y47480" s="372">
        <v>0.0</v>
      </c>
      <c r="Z47480" s="372">
        <v>0.0</v>
      </c>
    </row>
    <row r="47481">
      <c r="Y47481" s="372">
        <v>0.0</v>
      </c>
      <c r="Z47481" s="372">
        <v>0.0</v>
      </c>
    </row>
    <row r="47482">
      <c r="Y47482" s="372">
        <v>0.0</v>
      </c>
      <c r="Z47482" s="372">
        <v>0.0</v>
      </c>
    </row>
    <row r="47483">
      <c r="Y47483" s="372">
        <v>0.0</v>
      </c>
      <c r="Z47483" s="372">
        <v>0.0</v>
      </c>
    </row>
    <row r="47484">
      <c r="Y47484" s="372">
        <v>0.0</v>
      </c>
      <c r="Z47484" s="372">
        <v>0.0</v>
      </c>
    </row>
    <row r="47485">
      <c r="Y47485" s="372">
        <v>0.0</v>
      </c>
      <c r="Z47485" s="372">
        <v>0.0</v>
      </c>
    </row>
    <row r="47486">
      <c r="Y47486" s="372">
        <v>0.0</v>
      </c>
      <c r="Z47486" s="372">
        <v>0.0</v>
      </c>
    </row>
    <row r="47487">
      <c r="Y47487" s="372">
        <v>0.0</v>
      </c>
      <c r="Z47487" s="372">
        <v>0.0</v>
      </c>
    </row>
    <row r="47488">
      <c r="Y47488" s="372">
        <v>0.0</v>
      </c>
      <c r="Z47488" s="372">
        <v>0.0</v>
      </c>
    </row>
    <row r="47489">
      <c r="Y47489" s="372">
        <v>0.0</v>
      </c>
      <c r="Z47489" s="372">
        <v>0.0</v>
      </c>
    </row>
    <row r="47490">
      <c r="Y47490" s="372">
        <v>0.0</v>
      </c>
      <c r="Z47490" s="372">
        <v>0.0</v>
      </c>
    </row>
    <row r="47491">
      <c r="Y47491" s="372">
        <v>0.0</v>
      </c>
      <c r="Z47491" s="372">
        <v>0.0</v>
      </c>
    </row>
    <row r="47492">
      <c r="Y47492" s="372">
        <v>0.0</v>
      </c>
      <c r="Z47492" s="372">
        <v>0.0</v>
      </c>
    </row>
    <row r="47493">
      <c r="Y47493" s="372">
        <v>0.0</v>
      </c>
      <c r="Z47493" s="372">
        <v>0.0</v>
      </c>
    </row>
    <row r="47494">
      <c r="Y47494" s="372">
        <v>0.0</v>
      </c>
      <c r="Z47494" s="372">
        <v>0.0</v>
      </c>
    </row>
    <row r="47495">
      <c r="Y47495" s="372">
        <v>0.0</v>
      </c>
      <c r="Z47495" s="372">
        <v>0.0</v>
      </c>
    </row>
    <row r="47496">
      <c r="Y47496" s="372">
        <v>0.0</v>
      </c>
      <c r="Z47496" s="372">
        <v>0.0</v>
      </c>
    </row>
    <row r="47497">
      <c r="Y47497" s="372">
        <v>0.0</v>
      </c>
      <c r="Z47497" s="372">
        <v>0.0</v>
      </c>
    </row>
    <row r="47498">
      <c r="Y47498" s="372">
        <v>0.0</v>
      </c>
      <c r="Z47498" s="372">
        <v>0.0</v>
      </c>
    </row>
    <row r="47499">
      <c r="Y47499" s="372">
        <v>0.0</v>
      </c>
      <c r="Z47499" s="372">
        <v>0.0</v>
      </c>
    </row>
    <row r="47500">
      <c r="Y47500" s="372">
        <v>0.0</v>
      </c>
      <c r="Z47500" s="372">
        <v>0.0</v>
      </c>
    </row>
    <row r="47501">
      <c r="Y47501" s="372">
        <v>0.0</v>
      </c>
      <c r="Z47501" s="372">
        <v>0.0</v>
      </c>
    </row>
    <row r="47502">
      <c r="Y47502" s="372">
        <v>0.0</v>
      </c>
      <c r="Z47502" s="372">
        <v>0.0</v>
      </c>
    </row>
    <row r="47503">
      <c r="Y47503" s="372">
        <v>0.0</v>
      </c>
      <c r="Z47503" s="372">
        <v>0.0</v>
      </c>
    </row>
    <row r="47504">
      <c r="Y47504" s="372">
        <v>0.0</v>
      </c>
      <c r="Z47504" s="372">
        <v>0.0</v>
      </c>
    </row>
    <row r="47505">
      <c r="Y47505" s="372">
        <v>0.0</v>
      </c>
      <c r="Z47505" s="372">
        <v>0.0</v>
      </c>
    </row>
    <row r="47506">
      <c r="Y47506" s="372">
        <v>0.0</v>
      </c>
      <c r="Z47506" s="372">
        <v>0.0</v>
      </c>
    </row>
    <row r="47507">
      <c r="Y47507" s="372">
        <v>0.0</v>
      </c>
      <c r="Z47507" s="372">
        <v>0.0</v>
      </c>
    </row>
    <row r="47508">
      <c r="Y47508" s="372">
        <v>0.0</v>
      </c>
      <c r="Z47508" s="372">
        <v>0.0</v>
      </c>
    </row>
    <row r="47509">
      <c r="Y47509" s="372">
        <v>0.0</v>
      </c>
      <c r="Z47509" s="372">
        <v>0.0</v>
      </c>
    </row>
    <row r="47510">
      <c r="Y47510" s="372">
        <v>0.0</v>
      </c>
      <c r="Z47510" s="372">
        <v>0.0</v>
      </c>
    </row>
    <row r="47511">
      <c r="Y47511" s="372">
        <v>0.0</v>
      </c>
      <c r="Z47511" s="372">
        <v>0.0</v>
      </c>
    </row>
    <row r="47512">
      <c r="Y47512" s="372">
        <v>0.0</v>
      </c>
      <c r="Z47512" s="372">
        <v>0.0</v>
      </c>
    </row>
    <row r="47513">
      <c r="Y47513" s="372">
        <v>0.0</v>
      </c>
      <c r="Z47513" s="372">
        <v>0.0</v>
      </c>
    </row>
    <row r="47514">
      <c r="Y47514" s="372">
        <v>0.0</v>
      </c>
      <c r="Z47514" s="372">
        <v>0.0</v>
      </c>
    </row>
    <row r="47515">
      <c r="Y47515" s="372">
        <v>0.0</v>
      </c>
      <c r="Z47515" s="372">
        <v>0.0</v>
      </c>
    </row>
    <row r="47516">
      <c r="Y47516" s="372">
        <v>0.0</v>
      </c>
      <c r="Z47516" s="372">
        <v>0.0</v>
      </c>
    </row>
    <row r="47517">
      <c r="Y47517" s="372">
        <v>0.0</v>
      </c>
      <c r="Z47517" s="372">
        <v>0.0</v>
      </c>
    </row>
    <row r="47518">
      <c r="Y47518" s="372">
        <v>0.0</v>
      </c>
      <c r="Z47518" s="372">
        <v>0.0</v>
      </c>
    </row>
    <row r="47519">
      <c r="Y47519" s="372">
        <v>0.0</v>
      </c>
      <c r="Z47519" s="372">
        <v>0.0</v>
      </c>
    </row>
    <row r="47520">
      <c r="Y47520" s="372">
        <v>0.0</v>
      </c>
      <c r="Z47520" s="372">
        <v>0.0</v>
      </c>
    </row>
    <row r="47521">
      <c r="Y47521" s="372">
        <v>0.0</v>
      </c>
      <c r="Z47521" s="372">
        <v>0.0</v>
      </c>
    </row>
    <row r="47522">
      <c r="Y47522" s="372">
        <v>0.0</v>
      </c>
      <c r="Z47522" s="372">
        <v>0.0</v>
      </c>
    </row>
    <row r="47523">
      <c r="Y47523" s="372">
        <v>0.0</v>
      </c>
      <c r="Z47523" s="372">
        <v>0.0</v>
      </c>
    </row>
    <row r="47524">
      <c r="Y47524" s="372">
        <v>0.0</v>
      </c>
      <c r="Z47524" s="372">
        <v>0.0</v>
      </c>
    </row>
    <row r="47525">
      <c r="Y47525" s="372">
        <v>0.0</v>
      </c>
      <c r="Z47525" s="372">
        <v>0.0</v>
      </c>
    </row>
    <row r="47526">
      <c r="Y47526" s="372">
        <v>0.0</v>
      </c>
      <c r="Z47526" s="372">
        <v>0.0</v>
      </c>
    </row>
    <row r="47527">
      <c r="Y47527" s="372">
        <v>0.0</v>
      </c>
      <c r="Z47527" s="372">
        <v>0.0</v>
      </c>
    </row>
    <row r="47528">
      <c r="Y47528" s="372">
        <v>0.0</v>
      </c>
      <c r="Z47528" s="372">
        <v>0.0</v>
      </c>
    </row>
    <row r="47529">
      <c r="Y47529" s="372">
        <v>0.0</v>
      </c>
      <c r="Z47529" s="372">
        <v>0.0</v>
      </c>
    </row>
    <row r="47530">
      <c r="Y47530" s="372">
        <v>0.0</v>
      </c>
      <c r="Z47530" s="372">
        <v>0.0</v>
      </c>
    </row>
    <row r="47531">
      <c r="Y47531" s="372">
        <v>0.0</v>
      </c>
      <c r="Z47531" s="372">
        <v>0.0</v>
      </c>
    </row>
    <row r="47532">
      <c r="Y47532" s="372">
        <v>0.0</v>
      </c>
      <c r="Z47532" s="372">
        <v>0.0</v>
      </c>
    </row>
    <row r="47533">
      <c r="Y47533" s="372">
        <v>0.0</v>
      </c>
      <c r="Z47533" s="372">
        <v>0.0</v>
      </c>
    </row>
    <row r="47534">
      <c r="Y47534" s="372">
        <v>0.0</v>
      </c>
      <c r="Z47534" s="372">
        <v>0.0</v>
      </c>
    </row>
    <row r="47535">
      <c r="Y47535" s="372">
        <v>0.0</v>
      </c>
      <c r="Z47535" s="372">
        <v>0.0</v>
      </c>
    </row>
    <row r="47536">
      <c r="Y47536" s="372">
        <v>0.0</v>
      </c>
      <c r="Z47536" s="372">
        <v>0.0</v>
      </c>
    </row>
    <row r="47537">
      <c r="Y47537" s="372">
        <v>0.0</v>
      </c>
      <c r="Z47537" s="372">
        <v>0.0</v>
      </c>
    </row>
    <row r="47538">
      <c r="Y47538" s="372">
        <v>0.0</v>
      </c>
      <c r="Z47538" s="372">
        <v>0.0</v>
      </c>
    </row>
    <row r="47539">
      <c r="Y47539" s="372">
        <v>0.0</v>
      </c>
      <c r="Z47539" s="372">
        <v>0.0</v>
      </c>
    </row>
    <row r="47540">
      <c r="Y47540" s="372">
        <v>0.0</v>
      </c>
      <c r="Z47540" s="372">
        <v>0.0</v>
      </c>
    </row>
    <row r="47541">
      <c r="Y47541" s="372">
        <v>0.0</v>
      </c>
      <c r="Z47541" s="372">
        <v>0.0</v>
      </c>
    </row>
    <row r="47542">
      <c r="Y47542" s="372">
        <v>0.0</v>
      </c>
      <c r="Z47542" s="372">
        <v>0.0</v>
      </c>
    </row>
    <row r="47543">
      <c r="Y47543" s="372">
        <v>0.0</v>
      </c>
      <c r="Z47543" s="372">
        <v>0.0</v>
      </c>
    </row>
    <row r="47544">
      <c r="Y47544" s="372">
        <v>0.0</v>
      </c>
      <c r="Z47544" s="372">
        <v>0.0</v>
      </c>
    </row>
    <row r="47545">
      <c r="Y47545" s="372">
        <v>0.0</v>
      </c>
      <c r="Z47545" s="372">
        <v>0.0</v>
      </c>
    </row>
    <row r="47546">
      <c r="Y47546" s="372">
        <v>0.0</v>
      </c>
      <c r="Z47546" s="372">
        <v>0.0</v>
      </c>
    </row>
    <row r="47547">
      <c r="Y47547" s="372">
        <v>0.0</v>
      </c>
      <c r="Z47547" s="372">
        <v>0.0</v>
      </c>
    </row>
    <row r="47548">
      <c r="Y47548" s="372">
        <v>0.0</v>
      </c>
      <c r="Z47548" s="372">
        <v>0.0</v>
      </c>
    </row>
    <row r="47549">
      <c r="Y47549" s="372">
        <v>0.0</v>
      </c>
      <c r="Z47549" s="372">
        <v>0.0</v>
      </c>
    </row>
    <row r="47550">
      <c r="Y47550" s="372">
        <v>0.0</v>
      </c>
      <c r="Z47550" s="372">
        <v>0.0</v>
      </c>
    </row>
    <row r="47551">
      <c r="Y47551" s="372">
        <v>0.0</v>
      </c>
      <c r="Z47551" s="372">
        <v>0.0</v>
      </c>
    </row>
    <row r="47552">
      <c r="Y47552" s="372">
        <v>0.0</v>
      </c>
      <c r="Z47552" s="372">
        <v>0.0</v>
      </c>
    </row>
    <row r="47553">
      <c r="Y47553" s="372">
        <v>0.0</v>
      </c>
      <c r="Z47553" s="372">
        <v>0.0</v>
      </c>
    </row>
    <row r="47554">
      <c r="Y47554" s="372">
        <v>0.0</v>
      </c>
      <c r="Z47554" s="372">
        <v>0.0</v>
      </c>
    </row>
    <row r="47555">
      <c r="Y47555" s="372">
        <v>0.0</v>
      </c>
      <c r="Z47555" s="372">
        <v>0.0</v>
      </c>
    </row>
    <row r="47556">
      <c r="Y47556" s="372">
        <v>0.0</v>
      </c>
      <c r="Z47556" s="372">
        <v>0.0</v>
      </c>
    </row>
    <row r="47557">
      <c r="Y47557" s="372">
        <v>0.0</v>
      </c>
      <c r="Z47557" s="372">
        <v>0.0</v>
      </c>
    </row>
    <row r="47558">
      <c r="Y47558" s="372">
        <v>0.0</v>
      </c>
      <c r="Z47558" s="372">
        <v>0.0</v>
      </c>
    </row>
    <row r="47559">
      <c r="Y47559" s="372">
        <v>0.0</v>
      </c>
      <c r="Z47559" s="372">
        <v>0.0</v>
      </c>
    </row>
    <row r="47560">
      <c r="Y47560" s="372">
        <v>0.0</v>
      </c>
      <c r="Z47560" s="372">
        <v>0.0</v>
      </c>
    </row>
    <row r="47561">
      <c r="Y47561" s="372">
        <v>0.0</v>
      </c>
      <c r="Z47561" s="372">
        <v>0.0</v>
      </c>
    </row>
    <row r="47562">
      <c r="Y47562" s="372">
        <v>0.0</v>
      </c>
      <c r="Z47562" s="372">
        <v>0.0</v>
      </c>
    </row>
    <row r="47563">
      <c r="Y47563" s="372">
        <v>0.0</v>
      </c>
      <c r="Z47563" s="372">
        <v>0.0</v>
      </c>
    </row>
    <row r="47564">
      <c r="Y47564" s="372">
        <v>0.0</v>
      </c>
      <c r="Z47564" s="372">
        <v>0.0</v>
      </c>
    </row>
    <row r="47565">
      <c r="Y47565" s="372">
        <v>0.0</v>
      </c>
      <c r="Z47565" s="372">
        <v>0.0</v>
      </c>
    </row>
    <row r="47566">
      <c r="Y47566" s="372">
        <v>0.0</v>
      </c>
      <c r="Z47566" s="372">
        <v>0.0</v>
      </c>
    </row>
    <row r="47567">
      <c r="Y47567" s="372">
        <v>0.0</v>
      </c>
      <c r="Z47567" s="372">
        <v>0.0</v>
      </c>
    </row>
    <row r="47568">
      <c r="Y47568" s="372">
        <v>0.0</v>
      </c>
      <c r="Z47568" s="372">
        <v>0.0</v>
      </c>
    </row>
    <row r="47569">
      <c r="Y47569" s="372">
        <v>0.0</v>
      </c>
      <c r="Z47569" s="372">
        <v>0.0</v>
      </c>
    </row>
    <row r="47570">
      <c r="Y47570" s="372">
        <v>0.0</v>
      </c>
      <c r="Z47570" s="372">
        <v>0.0</v>
      </c>
    </row>
    <row r="47571">
      <c r="Y47571" s="372">
        <v>0.0</v>
      </c>
      <c r="Z47571" s="372">
        <v>0.0</v>
      </c>
    </row>
    <row r="47572">
      <c r="Y47572" s="372">
        <v>0.0</v>
      </c>
      <c r="Z47572" s="372">
        <v>0.0</v>
      </c>
    </row>
    <row r="47573">
      <c r="Y47573" s="372">
        <v>0.0</v>
      </c>
      <c r="Z47573" s="372">
        <v>0.0</v>
      </c>
    </row>
    <row r="47574">
      <c r="Y47574" s="372">
        <v>0.0</v>
      </c>
      <c r="Z47574" s="372">
        <v>0.0</v>
      </c>
    </row>
    <row r="47575">
      <c r="Y47575" s="372">
        <v>0.0</v>
      </c>
      <c r="Z47575" s="372">
        <v>0.0</v>
      </c>
    </row>
    <row r="47576">
      <c r="Y47576" s="372">
        <v>0.0</v>
      </c>
      <c r="Z47576" s="372">
        <v>0.0</v>
      </c>
    </row>
    <row r="47577">
      <c r="Y47577" s="372">
        <v>0.0</v>
      </c>
      <c r="Z47577" s="372">
        <v>0.0</v>
      </c>
    </row>
    <row r="47578">
      <c r="Y47578" s="372">
        <v>0.0</v>
      </c>
      <c r="Z47578" s="372">
        <v>0.0</v>
      </c>
    </row>
    <row r="47579">
      <c r="Y47579" s="372">
        <v>0.0</v>
      </c>
      <c r="Z47579" s="372">
        <v>0.0</v>
      </c>
    </row>
    <row r="47580">
      <c r="Y47580" s="372">
        <v>0.0</v>
      </c>
      <c r="Z47580" s="372">
        <v>0.0</v>
      </c>
    </row>
    <row r="47581">
      <c r="Y47581" s="372">
        <v>0.0</v>
      </c>
      <c r="Z47581" s="372">
        <v>0.0</v>
      </c>
    </row>
    <row r="47582">
      <c r="Y47582" s="372">
        <v>0.0</v>
      </c>
      <c r="Z47582" s="372">
        <v>0.0</v>
      </c>
    </row>
    <row r="47583">
      <c r="Y47583" s="372">
        <v>0.0</v>
      </c>
      <c r="Z47583" s="372">
        <v>0.0</v>
      </c>
    </row>
    <row r="47584">
      <c r="Y47584" s="372">
        <v>0.0</v>
      </c>
      <c r="Z47584" s="372">
        <v>0.0</v>
      </c>
    </row>
    <row r="47585">
      <c r="Y47585" s="372">
        <v>0.0</v>
      </c>
      <c r="Z47585" s="372">
        <v>0.0</v>
      </c>
    </row>
    <row r="47586">
      <c r="Y47586" s="372">
        <v>0.0</v>
      </c>
      <c r="Z47586" s="372">
        <v>0.0</v>
      </c>
    </row>
    <row r="47587">
      <c r="Y47587" s="372">
        <v>0.0</v>
      </c>
      <c r="Z47587" s="372">
        <v>0.0</v>
      </c>
    </row>
    <row r="47588">
      <c r="Y47588" s="372">
        <v>0.0</v>
      </c>
      <c r="Z47588" s="372">
        <v>0.0</v>
      </c>
    </row>
    <row r="47589">
      <c r="Y47589" s="372">
        <v>0.0</v>
      </c>
      <c r="Z47589" s="372">
        <v>0.0</v>
      </c>
    </row>
    <row r="47590">
      <c r="Y47590" s="372">
        <v>0.0</v>
      </c>
      <c r="Z47590" s="372">
        <v>0.0</v>
      </c>
    </row>
    <row r="47591">
      <c r="Y47591" s="372">
        <v>0.0</v>
      </c>
      <c r="Z47591" s="372">
        <v>0.0</v>
      </c>
    </row>
    <row r="47592">
      <c r="Y47592" s="372">
        <v>0.0</v>
      </c>
      <c r="Z47592" s="372">
        <v>0.0</v>
      </c>
    </row>
    <row r="47593">
      <c r="Y47593" s="372">
        <v>0.0</v>
      </c>
      <c r="Z47593" s="372">
        <v>0.0</v>
      </c>
    </row>
    <row r="47594">
      <c r="Y47594" s="372">
        <v>0.0</v>
      </c>
      <c r="Z47594" s="372">
        <v>0.0</v>
      </c>
    </row>
    <row r="47595">
      <c r="Y47595" s="372">
        <v>0.0</v>
      </c>
      <c r="Z47595" s="372">
        <v>0.0</v>
      </c>
    </row>
    <row r="47596">
      <c r="Y47596" s="372">
        <v>0.0</v>
      </c>
      <c r="Z47596" s="372">
        <v>0.0</v>
      </c>
    </row>
    <row r="47597">
      <c r="Y47597" s="372">
        <v>0.0</v>
      </c>
      <c r="Z47597" s="372">
        <v>0.0</v>
      </c>
    </row>
    <row r="47598">
      <c r="Y47598" s="372">
        <v>0.0</v>
      </c>
      <c r="Z47598" s="372">
        <v>0.0</v>
      </c>
    </row>
    <row r="47599">
      <c r="Y47599" s="372">
        <v>0.0</v>
      </c>
      <c r="Z47599" s="372">
        <v>0.0</v>
      </c>
    </row>
    <row r="47600">
      <c r="Y47600" s="372">
        <v>0.0</v>
      </c>
      <c r="Z47600" s="372">
        <v>0.0</v>
      </c>
    </row>
    <row r="47601">
      <c r="Y47601" s="372">
        <v>0.0</v>
      </c>
      <c r="Z47601" s="372">
        <v>0.0</v>
      </c>
    </row>
    <row r="47602">
      <c r="Y47602" s="372">
        <v>0.0</v>
      </c>
      <c r="Z47602" s="372">
        <v>0.0</v>
      </c>
    </row>
    <row r="47603">
      <c r="Y47603" s="372">
        <v>0.0</v>
      </c>
      <c r="Z47603" s="372">
        <v>0.0</v>
      </c>
    </row>
    <row r="47604">
      <c r="Y47604" s="372">
        <v>0.0</v>
      </c>
      <c r="Z47604" s="372">
        <v>0.0</v>
      </c>
    </row>
    <row r="47605">
      <c r="Y47605" s="372">
        <v>0.0</v>
      </c>
      <c r="Z47605" s="372">
        <v>0.0</v>
      </c>
    </row>
    <row r="47606">
      <c r="Y47606" s="372">
        <v>0.0</v>
      </c>
      <c r="Z47606" s="372">
        <v>0.0</v>
      </c>
    </row>
    <row r="47607">
      <c r="Y47607" s="372">
        <v>0.0</v>
      </c>
      <c r="Z47607" s="372">
        <v>0.0</v>
      </c>
    </row>
    <row r="47608">
      <c r="Y47608" s="372">
        <v>0.0</v>
      </c>
      <c r="Z47608" s="372">
        <v>0.0</v>
      </c>
    </row>
    <row r="47609">
      <c r="Y47609" s="372">
        <v>0.0</v>
      </c>
      <c r="Z47609" s="372">
        <v>0.0</v>
      </c>
    </row>
    <row r="47610">
      <c r="Y47610" s="372">
        <v>0.0</v>
      </c>
      <c r="Z47610" s="372">
        <v>0.0</v>
      </c>
    </row>
    <row r="47611">
      <c r="Y47611" s="372">
        <v>0.0</v>
      </c>
      <c r="Z47611" s="372">
        <v>0.0</v>
      </c>
    </row>
    <row r="47612">
      <c r="Y47612" s="372">
        <v>0.0</v>
      </c>
      <c r="Z47612" s="372">
        <v>0.0</v>
      </c>
    </row>
    <row r="47613">
      <c r="Y47613" s="372">
        <v>0.0</v>
      </c>
      <c r="Z47613" s="372">
        <v>0.0</v>
      </c>
    </row>
    <row r="47614">
      <c r="Y47614" s="372">
        <v>0.0</v>
      </c>
      <c r="Z47614" s="372">
        <v>0.0</v>
      </c>
    </row>
    <row r="47615">
      <c r="Y47615" s="372">
        <v>0.0</v>
      </c>
      <c r="Z47615" s="372">
        <v>0.0</v>
      </c>
    </row>
    <row r="47616">
      <c r="Y47616" s="372">
        <v>0.0</v>
      </c>
      <c r="Z47616" s="372">
        <v>0.0</v>
      </c>
    </row>
    <row r="47617">
      <c r="Y47617" s="372">
        <v>0.0</v>
      </c>
      <c r="Z47617" s="372">
        <v>0.0</v>
      </c>
    </row>
    <row r="47618">
      <c r="Y47618" s="372">
        <v>0.0</v>
      </c>
      <c r="Z47618" s="372">
        <v>0.0</v>
      </c>
    </row>
    <row r="47619">
      <c r="Y47619" s="372">
        <v>0.0</v>
      </c>
      <c r="Z47619" s="372">
        <v>0.0</v>
      </c>
    </row>
    <row r="47620">
      <c r="Y47620" s="372">
        <v>0.0</v>
      </c>
      <c r="Z47620" s="372">
        <v>0.0</v>
      </c>
    </row>
    <row r="47621">
      <c r="Y47621" s="372">
        <v>0.0</v>
      </c>
      <c r="Z47621" s="372">
        <v>0.0</v>
      </c>
    </row>
    <row r="47622">
      <c r="Y47622" s="372">
        <v>0.0</v>
      </c>
      <c r="Z47622" s="372">
        <v>0.0</v>
      </c>
    </row>
    <row r="47623">
      <c r="Y47623" s="372">
        <v>0.0</v>
      </c>
      <c r="Z47623" s="372">
        <v>0.0</v>
      </c>
    </row>
    <row r="47624">
      <c r="Y47624" s="372">
        <v>0.0</v>
      </c>
      <c r="Z47624" s="372">
        <v>0.0</v>
      </c>
    </row>
    <row r="47625">
      <c r="Y47625" s="372">
        <v>0.0</v>
      </c>
      <c r="Z47625" s="372">
        <v>0.0</v>
      </c>
    </row>
    <row r="47626">
      <c r="Y47626" s="372">
        <v>0.0</v>
      </c>
      <c r="Z47626" s="372">
        <v>0.0</v>
      </c>
    </row>
    <row r="47627">
      <c r="Y47627" s="372">
        <v>0.0</v>
      </c>
      <c r="Z47627" s="372">
        <v>0.0</v>
      </c>
    </row>
    <row r="47628">
      <c r="Y47628" s="372">
        <v>0.0</v>
      </c>
      <c r="Z47628" s="372">
        <v>0.0</v>
      </c>
    </row>
    <row r="47629">
      <c r="Y47629" s="372">
        <v>0.0</v>
      </c>
      <c r="Z47629" s="372">
        <v>0.0</v>
      </c>
    </row>
    <row r="47630">
      <c r="Y47630" s="372">
        <v>0.0</v>
      </c>
      <c r="Z47630" s="372">
        <v>0.0</v>
      </c>
    </row>
    <row r="47631">
      <c r="Y47631" s="372">
        <v>0.0</v>
      </c>
      <c r="Z47631" s="372">
        <v>0.0</v>
      </c>
    </row>
    <row r="47632">
      <c r="Y47632" s="372">
        <v>0.0</v>
      </c>
      <c r="Z47632" s="372">
        <v>0.0</v>
      </c>
    </row>
    <row r="47633">
      <c r="Y47633" s="372">
        <v>0.0</v>
      </c>
      <c r="Z47633" s="372">
        <v>0.0</v>
      </c>
    </row>
    <row r="47634">
      <c r="Y47634" s="372">
        <v>0.0</v>
      </c>
      <c r="Z47634" s="372">
        <v>0.0</v>
      </c>
    </row>
    <row r="47635">
      <c r="Y47635" s="372">
        <v>0.0</v>
      </c>
      <c r="Z47635" s="372">
        <v>0.0</v>
      </c>
    </row>
    <row r="47636">
      <c r="Y47636" s="372">
        <v>0.0</v>
      </c>
      <c r="Z47636" s="372">
        <v>0.0</v>
      </c>
    </row>
    <row r="47637">
      <c r="Y47637" s="372">
        <v>0.0</v>
      </c>
      <c r="Z47637" s="372">
        <v>0.0</v>
      </c>
    </row>
    <row r="47638">
      <c r="Y47638" s="372">
        <v>0.0</v>
      </c>
      <c r="Z47638" s="372">
        <v>0.0</v>
      </c>
    </row>
    <row r="47639">
      <c r="Y47639" s="372">
        <v>0.0</v>
      </c>
      <c r="Z47639" s="372">
        <v>0.0</v>
      </c>
    </row>
    <row r="47640">
      <c r="Y47640" s="372">
        <v>0.0</v>
      </c>
      <c r="Z47640" s="372">
        <v>0.0</v>
      </c>
    </row>
    <row r="47641">
      <c r="Y47641" s="372">
        <v>0.0</v>
      </c>
      <c r="Z47641" s="372">
        <v>0.0</v>
      </c>
    </row>
    <row r="47642">
      <c r="Y47642" s="372">
        <v>0.0</v>
      </c>
      <c r="Z47642" s="372">
        <v>0.0</v>
      </c>
    </row>
    <row r="47643">
      <c r="Y47643" s="372">
        <v>0.0</v>
      </c>
      <c r="Z47643" s="372">
        <v>0.0</v>
      </c>
    </row>
    <row r="47644">
      <c r="Y47644" s="372">
        <v>0.0</v>
      </c>
      <c r="Z47644" s="372">
        <v>0.0</v>
      </c>
    </row>
    <row r="47645">
      <c r="Y47645" s="372">
        <v>0.0</v>
      </c>
      <c r="Z47645" s="372">
        <v>0.0</v>
      </c>
    </row>
    <row r="47646">
      <c r="Y47646" s="372">
        <v>0.0</v>
      </c>
      <c r="Z47646" s="372">
        <v>0.0</v>
      </c>
    </row>
    <row r="47647">
      <c r="Y47647" s="372">
        <v>0.0</v>
      </c>
      <c r="Z47647" s="372">
        <v>0.0</v>
      </c>
    </row>
    <row r="47648">
      <c r="Y47648" s="372">
        <v>0.0</v>
      </c>
      <c r="Z47648" s="372">
        <v>0.0</v>
      </c>
    </row>
    <row r="47649">
      <c r="Y47649" s="372">
        <v>0.0</v>
      </c>
      <c r="Z47649" s="372">
        <v>0.0</v>
      </c>
    </row>
    <row r="47650">
      <c r="Y47650" s="372">
        <v>0.0</v>
      </c>
      <c r="Z47650" s="372">
        <v>0.0</v>
      </c>
    </row>
    <row r="47651">
      <c r="Y47651" s="372">
        <v>0.0</v>
      </c>
      <c r="Z47651" s="372">
        <v>0.0</v>
      </c>
    </row>
    <row r="47652">
      <c r="Y47652" s="372">
        <v>0.0</v>
      </c>
      <c r="Z47652" s="372">
        <v>0.0</v>
      </c>
    </row>
    <row r="47653">
      <c r="Y47653" s="372">
        <v>0.0</v>
      </c>
      <c r="Z47653" s="372">
        <v>0.0</v>
      </c>
    </row>
    <row r="47654">
      <c r="Y47654" s="372">
        <v>0.0</v>
      </c>
      <c r="Z47654" s="372">
        <v>0.0</v>
      </c>
    </row>
    <row r="47655">
      <c r="Y47655" s="372">
        <v>0.0</v>
      </c>
      <c r="Z47655" s="372">
        <v>0.0</v>
      </c>
    </row>
    <row r="47656">
      <c r="Y47656" s="372">
        <v>0.0</v>
      </c>
      <c r="Z47656" s="372">
        <v>0.0</v>
      </c>
    </row>
    <row r="47657">
      <c r="Y47657" s="372">
        <v>0.0</v>
      </c>
      <c r="Z47657" s="372">
        <v>0.0</v>
      </c>
    </row>
    <row r="47658">
      <c r="Y47658" s="372">
        <v>0.0</v>
      </c>
      <c r="Z47658" s="372">
        <v>0.0</v>
      </c>
    </row>
    <row r="47659">
      <c r="Y47659" s="372">
        <v>0.0</v>
      </c>
      <c r="Z47659" s="372">
        <v>0.0</v>
      </c>
    </row>
    <row r="47660">
      <c r="Y47660" s="372">
        <v>0.0</v>
      </c>
      <c r="Z47660" s="372">
        <v>0.0</v>
      </c>
    </row>
    <row r="47661">
      <c r="Y47661" s="372">
        <v>0.0</v>
      </c>
      <c r="Z47661" s="372">
        <v>0.0</v>
      </c>
    </row>
    <row r="47662">
      <c r="Y47662" s="372">
        <v>0.0</v>
      </c>
      <c r="Z47662" s="372">
        <v>0.0</v>
      </c>
    </row>
    <row r="47663">
      <c r="Y47663" s="372">
        <v>0.0</v>
      </c>
      <c r="Z47663" s="372">
        <v>0.0</v>
      </c>
    </row>
    <row r="47664">
      <c r="Y47664" s="372">
        <v>0.0</v>
      </c>
      <c r="Z47664" s="372">
        <v>0.0</v>
      </c>
    </row>
    <row r="47665">
      <c r="Y47665" s="372">
        <v>0.0</v>
      </c>
      <c r="Z47665" s="372">
        <v>0.0</v>
      </c>
    </row>
    <row r="47666">
      <c r="Y47666" s="372">
        <v>0.0</v>
      </c>
      <c r="Z47666" s="372">
        <v>0.0</v>
      </c>
    </row>
    <row r="47667">
      <c r="Y47667" s="372">
        <v>0.0</v>
      </c>
      <c r="Z47667" s="372">
        <v>0.0</v>
      </c>
    </row>
    <row r="47668">
      <c r="Y47668" s="372">
        <v>0.0</v>
      </c>
      <c r="Z47668" s="372">
        <v>0.0</v>
      </c>
    </row>
    <row r="47669">
      <c r="Y47669" s="372">
        <v>0.0</v>
      </c>
      <c r="Z47669" s="372">
        <v>0.0</v>
      </c>
    </row>
    <row r="47670">
      <c r="Y47670" s="372">
        <v>0.0</v>
      </c>
      <c r="Z47670" s="372">
        <v>0.0</v>
      </c>
    </row>
    <row r="47671">
      <c r="Y47671" s="372">
        <v>0.0</v>
      </c>
      <c r="Z47671" s="372">
        <v>0.0</v>
      </c>
    </row>
    <row r="47672">
      <c r="Y47672" s="372">
        <v>0.0</v>
      </c>
      <c r="Z47672" s="372">
        <v>0.0</v>
      </c>
    </row>
    <row r="47673">
      <c r="Y47673" s="372">
        <v>0.0</v>
      </c>
      <c r="Z47673" s="372">
        <v>0.0</v>
      </c>
    </row>
    <row r="47674">
      <c r="Y47674" s="372">
        <v>0.0</v>
      </c>
      <c r="Z47674" s="372">
        <v>0.0</v>
      </c>
    </row>
    <row r="47675">
      <c r="Y47675" s="372">
        <v>0.0</v>
      </c>
      <c r="Z47675" s="372">
        <v>0.0</v>
      </c>
    </row>
    <row r="47676">
      <c r="Y47676" s="372">
        <v>0.0</v>
      </c>
      <c r="Z47676" s="372">
        <v>0.0</v>
      </c>
    </row>
    <row r="47677">
      <c r="Y47677" s="372">
        <v>0.0</v>
      </c>
      <c r="Z47677" s="372">
        <v>0.0</v>
      </c>
    </row>
    <row r="47678">
      <c r="Y47678" s="372">
        <v>0.0</v>
      </c>
      <c r="Z47678" s="372">
        <v>0.0</v>
      </c>
    </row>
    <row r="47679">
      <c r="Y47679" s="372">
        <v>0.0</v>
      </c>
      <c r="Z47679" s="372">
        <v>0.0</v>
      </c>
    </row>
    <row r="47680">
      <c r="Y47680" s="372">
        <v>0.0</v>
      </c>
      <c r="Z47680" s="372">
        <v>0.0</v>
      </c>
    </row>
    <row r="47681">
      <c r="Y47681" s="372">
        <v>0.0</v>
      </c>
      <c r="Z47681" s="372">
        <v>0.0</v>
      </c>
    </row>
    <row r="47682">
      <c r="Y47682" s="372">
        <v>0.0</v>
      </c>
      <c r="Z47682" s="372">
        <v>0.0</v>
      </c>
    </row>
    <row r="47683">
      <c r="Y47683" s="372">
        <v>0.0</v>
      </c>
      <c r="Z47683" s="372">
        <v>0.0</v>
      </c>
    </row>
    <row r="47684">
      <c r="Y47684" s="372">
        <v>0.0</v>
      </c>
      <c r="Z47684" s="372">
        <v>0.0</v>
      </c>
    </row>
    <row r="47685">
      <c r="Y47685" s="372">
        <v>0.0</v>
      </c>
      <c r="Z47685" s="372">
        <v>0.0</v>
      </c>
    </row>
    <row r="47686">
      <c r="Y47686" s="372">
        <v>0.0</v>
      </c>
      <c r="Z47686" s="372">
        <v>0.0</v>
      </c>
    </row>
    <row r="47687">
      <c r="Y47687" s="372">
        <v>0.0</v>
      </c>
      <c r="Z47687" s="372">
        <v>0.0</v>
      </c>
    </row>
    <row r="47688">
      <c r="Y47688" s="372">
        <v>0.0</v>
      </c>
      <c r="Z47688" s="372">
        <v>0.0</v>
      </c>
    </row>
    <row r="47689">
      <c r="Y47689" s="372">
        <v>0.0</v>
      </c>
      <c r="Z47689" s="372">
        <v>0.0</v>
      </c>
    </row>
    <row r="47690">
      <c r="Y47690" s="372">
        <v>0.0</v>
      </c>
      <c r="Z47690" s="372">
        <v>0.0</v>
      </c>
    </row>
    <row r="47691">
      <c r="Y47691" s="372">
        <v>0.0</v>
      </c>
      <c r="Z47691" s="372">
        <v>0.0</v>
      </c>
    </row>
    <row r="47692">
      <c r="Y47692" s="372">
        <v>0.0</v>
      </c>
      <c r="Z47692" s="372">
        <v>0.0</v>
      </c>
    </row>
    <row r="47693">
      <c r="Y47693" s="372">
        <v>0.0</v>
      </c>
      <c r="Z47693" s="372">
        <v>0.0</v>
      </c>
    </row>
    <row r="47694">
      <c r="Y47694" s="372">
        <v>0.0</v>
      </c>
      <c r="Z47694" s="372">
        <v>0.0</v>
      </c>
    </row>
    <row r="47695">
      <c r="Y47695" s="372">
        <v>0.0</v>
      </c>
      <c r="Z47695" s="372">
        <v>0.0</v>
      </c>
    </row>
    <row r="47696">
      <c r="Y47696" s="372">
        <v>0.0</v>
      </c>
      <c r="Z47696" s="372">
        <v>0.0</v>
      </c>
    </row>
    <row r="47697">
      <c r="Y47697" s="372">
        <v>0.0</v>
      </c>
      <c r="Z47697" s="372">
        <v>0.0</v>
      </c>
    </row>
    <row r="47698">
      <c r="Y47698" s="372">
        <v>0.0</v>
      </c>
      <c r="Z47698" s="372">
        <v>0.0</v>
      </c>
    </row>
    <row r="47699">
      <c r="Y47699" s="372">
        <v>0.0</v>
      </c>
      <c r="Z47699" s="372">
        <v>0.0</v>
      </c>
    </row>
    <row r="47700">
      <c r="Y47700" s="372">
        <v>0.0</v>
      </c>
      <c r="Z47700" s="372">
        <v>0.0</v>
      </c>
    </row>
    <row r="47701">
      <c r="Y47701" s="372">
        <v>0.0</v>
      </c>
      <c r="Z47701" s="372">
        <v>0.0</v>
      </c>
    </row>
    <row r="47702">
      <c r="Y47702" s="372">
        <v>0.0</v>
      </c>
      <c r="Z47702" s="372">
        <v>0.0</v>
      </c>
    </row>
    <row r="47703">
      <c r="Y47703" s="372">
        <v>0.0</v>
      </c>
      <c r="Z47703" s="372">
        <v>0.0</v>
      </c>
    </row>
    <row r="47704">
      <c r="Y47704" s="372">
        <v>0.0</v>
      </c>
      <c r="Z47704" s="372">
        <v>0.0</v>
      </c>
    </row>
    <row r="47705">
      <c r="Y47705" s="372">
        <v>0.0</v>
      </c>
      <c r="Z47705" s="372">
        <v>0.0</v>
      </c>
    </row>
    <row r="47706">
      <c r="Y47706" s="372">
        <v>0.0</v>
      </c>
      <c r="Z47706" s="372">
        <v>0.0</v>
      </c>
    </row>
    <row r="47707">
      <c r="Y47707" s="372">
        <v>0.0</v>
      </c>
      <c r="Z47707" s="372">
        <v>0.0</v>
      </c>
    </row>
    <row r="47708">
      <c r="Y47708" s="372">
        <v>0.0</v>
      </c>
      <c r="Z47708" s="372">
        <v>0.0</v>
      </c>
    </row>
    <row r="47709">
      <c r="Y47709" s="372">
        <v>0.0</v>
      </c>
      <c r="Z47709" s="372">
        <v>0.0</v>
      </c>
    </row>
    <row r="47710">
      <c r="Y47710" s="372">
        <v>0.0</v>
      </c>
      <c r="Z47710" s="372">
        <v>0.0</v>
      </c>
    </row>
    <row r="47711">
      <c r="Y47711" s="372">
        <v>0.0</v>
      </c>
      <c r="Z47711" s="372">
        <v>0.0</v>
      </c>
    </row>
    <row r="47712">
      <c r="Y47712" s="372">
        <v>0.0</v>
      </c>
      <c r="Z47712" s="372">
        <v>0.0</v>
      </c>
    </row>
    <row r="47713">
      <c r="Y47713" s="372">
        <v>0.0</v>
      </c>
      <c r="Z47713" s="372">
        <v>0.0</v>
      </c>
    </row>
    <row r="47714">
      <c r="Y47714" s="372">
        <v>0.0</v>
      </c>
      <c r="Z47714" s="372">
        <v>0.0</v>
      </c>
    </row>
    <row r="47715">
      <c r="Y47715" s="372">
        <v>0.0</v>
      </c>
      <c r="Z47715" s="372">
        <v>0.0</v>
      </c>
    </row>
    <row r="47716">
      <c r="Y47716" s="372">
        <v>0.0</v>
      </c>
      <c r="Z47716" s="372">
        <v>0.0</v>
      </c>
    </row>
    <row r="47717">
      <c r="Y47717" s="372">
        <v>0.0</v>
      </c>
      <c r="Z47717" s="372">
        <v>0.0</v>
      </c>
    </row>
    <row r="47718">
      <c r="Y47718" s="372">
        <v>0.0</v>
      </c>
      <c r="Z47718" s="372">
        <v>0.0</v>
      </c>
    </row>
    <row r="47719">
      <c r="Y47719" s="372">
        <v>0.0</v>
      </c>
      <c r="Z47719" s="372">
        <v>0.0</v>
      </c>
    </row>
    <row r="47720">
      <c r="Y47720" s="372">
        <v>0.0</v>
      </c>
      <c r="Z47720" s="372">
        <v>0.0</v>
      </c>
    </row>
    <row r="47721">
      <c r="Y47721" s="372">
        <v>0.0</v>
      </c>
      <c r="Z47721" s="372">
        <v>0.0</v>
      </c>
    </row>
    <row r="47722">
      <c r="Y47722" s="372">
        <v>0.0</v>
      </c>
      <c r="Z47722" s="372">
        <v>0.0</v>
      </c>
    </row>
    <row r="47723">
      <c r="Y47723" s="372">
        <v>0.0</v>
      </c>
      <c r="Z47723" s="372">
        <v>0.0</v>
      </c>
    </row>
    <row r="47724">
      <c r="Y47724" s="372">
        <v>0.0</v>
      </c>
      <c r="Z47724" s="372">
        <v>0.0</v>
      </c>
    </row>
    <row r="47725">
      <c r="Y47725" s="372">
        <v>0.0</v>
      </c>
      <c r="Z47725" s="372">
        <v>0.0</v>
      </c>
    </row>
    <row r="47726">
      <c r="Y47726" s="372">
        <v>0.0</v>
      </c>
      <c r="Z47726" s="372">
        <v>0.0</v>
      </c>
    </row>
    <row r="47727">
      <c r="Y47727" s="372">
        <v>0.0</v>
      </c>
      <c r="Z47727" s="372">
        <v>0.0</v>
      </c>
    </row>
    <row r="47728">
      <c r="Y47728" s="372">
        <v>0.0</v>
      </c>
      <c r="Z47728" s="372">
        <v>0.0</v>
      </c>
    </row>
    <row r="47729">
      <c r="Y47729" s="372">
        <v>0.0</v>
      </c>
      <c r="Z47729" s="372">
        <v>0.0</v>
      </c>
    </row>
    <row r="47730">
      <c r="Y47730" s="372">
        <v>0.0</v>
      </c>
      <c r="Z47730" s="372">
        <v>0.0</v>
      </c>
    </row>
    <row r="47731">
      <c r="Y47731" s="372">
        <v>0.0</v>
      </c>
      <c r="Z47731" s="372">
        <v>0.0</v>
      </c>
    </row>
    <row r="47732">
      <c r="Y47732" s="372">
        <v>0.0</v>
      </c>
      <c r="Z47732" s="372">
        <v>0.0</v>
      </c>
    </row>
    <row r="47733">
      <c r="Y47733" s="372">
        <v>0.0</v>
      </c>
      <c r="Z47733" s="372">
        <v>0.0</v>
      </c>
    </row>
    <row r="47734">
      <c r="Y47734" s="372">
        <v>0.0</v>
      </c>
      <c r="Z47734" s="372">
        <v>0.0</v>
      </c>
    </row>
    <row r="47735">
      <c r="Y47735" s="372">
        <v>0.0</v>
      </c>
      <c r="Z47735" s="372">
        <v>0.0</v>
      </c>
    </row>
    <row r="47736">
      <c r="Y47736" s="372">
        <v>0.0</v>
      </c>
      <c r="Z47736" s="372">
        <v>0.0</v>
      </c>
    </row>
    <row r="47737">
      <c r="Y47737" s="372">
        <v>0.0</v>
      </c>
      <c r="Z47737" s="372">
        <v>0.0</v>
      </c>
    </row>
    <row r="47738">
      <c r="Y47738" s="372">
        <v>0.0</v>
      </c>
      <c r="Z47738" s="372">
        <v>0.0</v>
      </c>
    </row>
    <row r="47739">
      <c r="Y47739" s="372">
        <v>0.0</v>
      </c>
      <c r="Z47739" s="372">
        <v>0.0</v>
      </c>
    </row>
    <row r="47740">
      <c r="Y47740" s="372">
        <v>0.0</v>
      </c>
      <c r="Z47740" s="372">
        <v>0.0</v>
      </c>
    </row>
    <row r="47741">
      <c r="Y47741" s="372">
        <v>0.0</v>
      </c>
      <c r="Z47741" s="372">
        <v>0.0</v>
      </c>
    </row>
    <row r="47742">
      <c r="Y47742" s="372">
        <v>0.0</v>
      </c>
      <c r="Z47742" s="372">
        <v>0.0</v>
      </c>
    </row>
    <row r="47743">
      <c r="Y47743" s="372">
        <v>0.0</v>
      </c>
      <c r="Z47743" s="372">
        <v>0.0</v>
      </c>
    </row>
    <row r="47744">
      <c r="Y47744" s="372">
        <v>0.0</v>
      </c>
      <c r="Z47744" s="372">
        <v>0.0</v>
      </c>
    </row>
    <row r="47745">
      <c r="Y47745" s="372">
        <v>0.0</v>
      </c>
      <c r="Z47745" s="372">
        <v>0.0</v>
      </c>
    </row>
    <row r="47746">
      <c r="Y47746" s="372">
        <v>0.0</v>
      </c>
      <c r="Z47746" s="372">
        <v>0.0</v>
      </c>
    </row>
    <row r="47747">
      <c r="Y47747" s="372">
        <v>0.0</v>
      </c>
      <c r="Z47747" s="372">
        <v>0.0</v>
      </c>
    </row>
    <row r="47748">
      <c r="Y47748" s="372">
        <v>0.0</v>
      </c>
      <c r="Z47748" s="372">
        <v>0.0</v>
      </c>
    </row>
    <row r="47749">
      <c r="Y47749" s="372">
        <v>0.0</v>
      </c>
      <c r="Z47749" s="372">
        <v>0.0</v>
      </c>
    </row>
    <row r="47750">
      <c r="Y47750" s="372">
        <v>0.0</v>
      </c>
      <c r="Z47750" s="372">
        <v>0.0</v>
      </c>
    </row>
    <row r="47751">
      <c r="Y47751" s="372">
        <v>0.0</v>
      </c>
      <c r="Z47751" s="372">
        <v>0.0</v>
      </c>
    </row>
    <row r="47752">
      <c r="Y47752" s="372">
        <v>0.0</v>
      </c>
      <c r="Z47752" s="372">
        <v>0.0</v>
      </c>
    </row>
    <row r="47753">
      <c r="Y47753" s="372">
        <v>0.0</v>
      </c>
      <c r="Z47753" s="372">
        <v>0.0</v>
      </c>
    </row>
    <row r="47754">
      <c r="Y47754" s="372">
        <v>0.0</v>
      </c>
      <c r="Z47754" s="372">
        <v>0.0</v>
      </c>
    </row>
    <row r="47755">
      <c r="Y47755" s="372">
        <v>0.0</v>
      </c>
      <c r="Z47755" s="372">
        <v>0.0</v>
      </c>
    </row>
    <row r="47756">
      <c r="Y47756" s="372">
        <v>0.0</v>
      </c>
      <c r="Z47756" s="372">
        <v>0.0</v>
      </c>
    </row>
    <row r="47757">
      <c r="Y47757" s="372">
        <v>0.0</v>
      </c>
      <c r="Z47757" s="372">
        <v>0.0</v>
      </c>
    </row>
    <row r="47758">
      <c r="Y47758" s="372">
        <v>0.0</v>
      </c>
      <c r="Z47758" s="372">
        <v>0.0</v>
      </c>
    </row>
    <row r="47759">
      <c r="Y47759" s="372">
        <v>0.0</v>
      </c>
      <c r="Z47759" s="372">
        <v>0.0</v>
      </c>
    </row>
    <row r="47760">
      <c r="Y47760" s="372">
        <v>0.0</v>
      </c>
      <c r="Z47760" s="372">
        <v>0.0</v>
      </c>
    </row>
    <row r="47761">
      <c r="Y47761" s="372">
        <v>0.0</v>
      </c>
      <c r="Z47761" s="372">
        <v>0.0</v>
      </c>
    </row>
    <row r="47762">
      <c r="Y47762" s="372">
        <v>0.0</v>
      </c>
      <c r="Z47762" s="372">
        <v>0.0</v>
      </c>
    </row>
    <row r="47763">
      <c r="Y47763" s="372">
        <v>0.0</v>
      </c>
      <c r="Z47763" s="372">
        <v>0.0</v>
      </c>
    </row>
    <row r="47764">
      <c r="Y47764" s="372">
        <v>0.0</v>
      </c>
      <c r="Z47764" s="372">
        <v>0.0</v>
      </c>
    </row>
    <row r="47765">
      <c r="Y47765" s="372">
        <v>0.0</v>
      </c>
      <c r="Z47765" s="372">
        <v>0.0</v>
      </c>
    </row>
    <row r="47766">
      <c r="Y47766" s="372">
        <v>0.0</v>
      </c>
      <c r="Z47766" s="372">
        <v>0.0</v>
      </c>
    </row>
    <row r="47767">
      <c r="Y47767" s="372">
        <v>0.0</v>
      </c>
      <c r="Z47767" s="372">
        <v>0.0</v>
      </c>
    </row>
    <row r="47768">
      <c r="Y47768" s="372">
        <v>0.0</v>
      </c>
      <c r="Z47768" s="372">
        <v>0.0</v>
      </c>
    </row>
    <row r="47769">
      <c r="Y47769" s="372">
        <v>0.0</v>
      </c>
      <c r="Z47769" s="372">
        <v>0.0</v>
      </c>
    </row>
    <row r="47770">
      <c r="Y47770" s="372">
        <v>0.0</v>
      </c>
      <c r="Z47770" s="372">
        <v>0.0</v>
      </c>
    </row>
    <row r="47771">
      <c r="Y47771" s="372">
        <v>0.0</v>
      </c>
      <c r="Z47771" s="372">
        <v>0.0</v>
      </c>
    </row>
    <row r="47772">
      <c r="Y47772" s="372">
        <v>0.0</v>
      </c>
      <c r="Z47772" s="372">
        <v>0.0</v>
      </c>
    </row>
    <row r="47773">
      <c r="Y47773" s="372">
        <v>0.0</v>
      </c>
      <c r="Z47773" s="372">
        <v>0.0</v>
      </c>
    </row>
    <row r="47774">
      <c r="Y47774" s="372">
        <v>0.0</v>
      </c>
      <c r="Z47774" s="372">
        <v>0.0</v>
      </c>
    </row>
    <row r="47775">
      <c r="Y47775" s="372">
        <v>0.0</v>
      </c>
      <c r="Z47775" s="372">
        <v>0.0</v>
      </c>
    </row>
    <row r="47776">
      <c r="Y47776" s="372">
        <v>0.0</v>
      </c>
      <c r="Z47776" s="372">
        <v>0.0</v>
      </c>
    </row>
    <row r="47777">
      <c r="Y47777" s="372">
        <v>0.0</v>
      </c>
      <c r="Z47777" s="372">
        <v>0.0</v>
      </c>
    </row>
    <row r="47778">
      <c r="Y47778" s="372">
        <v>0.0</v>
      </c>
      <c r="Z47778" s="372">
        <v>0.0</v>
      </c>
    </row>
    <row r="47779">
      <c r="Y47779" s="372">
        <v>0.0</v>
      </c>
      <c r="Z47779" s="372">
        <v>0.0</v>
      </c>
    </row>
    <row r="47780">
      <c r="Y47780" s="372">
        <v>0.0</v>
      </c>
      <c r="Z47780" s="372">
        <v>0.0</v>
      </c>
    </row>
    <row r="47781">
      <c r="Y47781" s="372">
        <v>0.0</v>
      </c>
      <c r="Z47781" s="372">
        <v>0.0</v>
      </c>
    </row>
    <row r="47782">
      <c r="Y47782" s="372">
        <v>0.0</v>
      </c>
      <c r="Z47782" s="372">
        <v>0.0</v>
      </c>
    </row>
    <row r="47783">
      <c r="Y47783" s="372">
        <v>0.0</v>
      </c>
      <c r="Z47783" s="372">
        <v>0.0</v>
      </c>
    </row>
    <row r="47784">
      <c r="Y47784" s="372">
        <v>0.0</v>
      </c>
      <c r="Z47784" s="372">
        <v>0.0</v>
      </c>
    </row>
    <row r="47785">
      <c r="Y47785" s="372">
        <v>0.0</v>
      </c>
      <c r="Z47785" s="372">
        <v>0.0</v>
      </c>
    </row>
    <row r="47786">
      <c r="Y47786" s="372">
        <v>0.0</v>
      </c>
      <c r="Z47786" s="372">
        <v>0.0</v>
      </c>
    </row>
    <row r="47787">
      <c r="Y47787" s="372">
        <v>0.0</v>
      </c>
      <c r="Z47787" s="372">
        <v>0.0</v>
      </c>
    </row>
    <row r="47788">
      <c r="Y47788" s="372">
        <v>0.0</v>
      </c>
      <c r="Z47788" s="372">
        <v>0.0</v>
      </c>
    </row>
    <row r="47789">
      <c r="Y47789" s="372">
        <v>0.0</v>
      </c>
      <c r="Z47789" s="372">
        <v>0.0</v>
      </c>
    </row>
    <row r="47790">
      <c r="Y47790" s="372">
        <v>0.0</v>
      </c>
      <c r="Z47790" s="372">
        <v>0.0</v>
      </c>
    </row>
    <row r="47791">
      <c r="Y47791" s="372">
        <v>0.0</v>
      </c>
      <c r="Z47791" s="372">
        <v>0.0</v>
      </c>
    </row>
    <row r="47792">
      <c r="Y47792" s="372">
        <v>0.0</v>
      </c>
      <c r="Z47792" s="372">
        <v>0.0</v>
      </c>
    </row>
    <row r="47793">
      <c r="Y47793" s="372">
        <v>0.0</v>
      </c>
      <c r="Z47793" s="372">
        <v>0.0</v>
      </c>
    </row>
    <row r="47794">
      <c r="Y47794" s="372">
        <v>0.0</v>
      </c>
      <c r="Z47794" s="372">
        <v>0.0</v>
      </c>
    </row>
    <row r="47795">
      <c r="Y47795" s="372">
        <v>0.0</v>
      </c>
      <c r="Z47795" s="372">
        <v>0.0</v>
      </c>
    </row>
    <row r="47796">
      <c r="Y47796" s="372">
        <v>0.0</v>
      </c>
      <c r="Z47796" s="372">
        <v>0.0</v>
      </c>
    </row>
    <row r="47797">
      <c r="Y47797" s="372">
        <v>0.0</v>
      </c>
      <c r="Z47797" s="372">
        <v>0.0</v>
      </c>
    </row>
    <row r="47798">
      <c r="Y47798" s="372">
        <v>0.0</v>
      </c>
      <c r="Z47798" s="372">
        <v>0.0</v>
      </c>
    </row>
    <row r="47799">
      <c r="Y47799" s="372">
        <v>0.0</v>
      </c>
      <c r="Z47799" s="372">
        <v>0.0</v>
      </c>
    </row>
    <row r="47800">
      <c r="Y47800" s="372">
        <v>0.0</v>
      </c>
      <c r="Z47800" s="372">
        <v>0.0</v>
      </c>
    </row>
    <row r="47801">
      <c r="Y47801" s="372">
        <v>0.0</v>
      </c>
      <c r="Z47801" s="372">
        <v>0.0</v>
      </c>
    </row>
    <row r="47802">
      <c r="Y47802" s="372">
        <v>0.0</v>
      </c>
      <c r="Z47802" s="372">
        <v>0.0</v>
      </c>
    </row>
    <row r="47803">
      <c r="Y47803" s="372">
        <v>0.0</v>
      </c>
      <c r="Z47803" s="372">
        <v>0.0</v>
      </c>
    </row>
    <row r="47804">
      <c r="Y47804" s="372">
        <v>0.0</v>
      </c>
      <c r="Z47804" s="372">
        <v>0.0</v>
      </c>
    </row>
    <row r="47805">
      <c r="Y47805" s="372">
        <v>0.0</v>
      </c>
      <c r="Z47805" s="372">
        <v>0.0</v>
      </c>
    </row>
    <row r="47806">
      <c r="Y47806" s="372">
        <v>0.0</v>
      </c>
      <c r="Z47806" s="372">
        <v>0.0</v>
      </c>
    </row>
    <row r="47807">
      <c r="Y47807" s="372">
        <v>0.0</v>
      </c>
      <c r="Z47807" s="372">
        <v>0.0</v>
      </c>
    </row>
    <row r="47808">
      <c r="Y47808" s="372">
        <v>0.0</v>
      </c>
      <c r="Z47808" s="372">
        <v>0.0</v>
      </c>
    </row>
    <row r="47809">
      <c r="Y47809" s="372">
        <v>0.0</v>
      </c>
      <c r="Z47809" s="372">
        <v>0.0</v>
      </c>
    </row>
    <row r="47810">
      <c r="Y47810" s="372">
        <v>0.0</v>
      </c>
      <c r="Z47810" s="372">
        <v>0.0</v>
      </c>
    </row>
    <row r="47811">
      <c r="Y47811" s="372">
        <v>0.0</v>
      </c>
      <c r="Z47811" s="372">
        <v>0.0</v>
      </c>
    </row>
    <row r="47812">
      <c r="Y47812" s="372">
        <v>0.0</v>
      </c>
      <c r="Z47812" s="372">
        <v>0.0</v>
      </c>
    </row>
    <row r="47813">
      <c r="Y47813" s="372">
        <v>0.0</v>
      </c>
      <c r="Z47813" s="372">
        <v>0.0</v>
      </c>
    </row>
    <row r="47814">
      <c r="Y47814" s="372">
        <v>0.0</v>
      </c>
      <c r="Z47814" s="372">
        <v>0.0</v>
      </c>
    </row>
    <row r="47815">
      <c r="Y47815" s="372">
        <v>0.0</v>
      </c>
      <c r="Z47815" s="372">
        <v>0.0</v>
      </c>
    </row>
    <row r="47816">
      <c r="Y47816" s="372">
        <v>0.0</v>
      </c>
      <c r="Z47816" s="372">
        <v>0.0</v>
      </c>
    </row>
    <row r="47817">
      <c r="Y47817" s="372">
        <v>0.0</v>
      </c>
      <c r="Z47817" s="372">
        <v>0.0</v>
      </c>
    </row>
    <row r="47818">
      <c r="Y47818" s="372">
        <v>0.0</v>
      </c>
      <c r="Z47818" s="372">
        <v>0.0</v>
      </c>
    </row>
    <row r="47819">
      <c r="Y47819" s="372">
        <v>0.0</v>
      </c>
      <c r="Z47819" s="372">
        <v>0.0</v>
      </c>
    </row>
    <row r="47820">
      <c r="Y47820" s="372">
        <v>0.0</v>
      </c>
      <c r="Z47820" s="372">
        <v>0.0</v>
      </c>
    </row>
    <row r="47821">
      <c r="Y47821" s="372">
        <v>0.0</v>
      </c>
      <c r="Z47821" s="372">
        <v>0.0</v>
      </c>
    </row>
    <row r="47822">
      <c r="Y47822" s="372">
        <v>0.0</v>
      </c>
      <c r="Z47822" s="372">
        <v>0.0</v>
      </c>
    </row>
    <row r="47823">
      <c r="Y47823" s="372">
        <v>0.0</v>
      </c>
      <c r="Z47823" s="372">
        <v>0.0</v>
      </c>
    </row>
    <row r="47824">
      <c r="Y47824" s="372">
        <v>0.0</v>
      </c>
      <c r="Z47824" s="372">
        <v>0.0</v>
      </c>
    </row>
    <row r="47825">
      <c r="Y47825" s="372">
        <v>0.0</v>
      </c>
      <c r="Z47825" s="372">
        <v>0.0</v>
      </c>
    </row>
    <row r="47826">
      <c r="Y47826" s="372">
        <v>0.0</v>
      </c>
      <c r="Z47826" s="372">
        <v>0.0</v>
      </c>
    </row>
    <row r="47827">
      <c r="Y47827" s="372">
        <v>0.0</v>
      </c>
      <c r="Z47827" s="372">
        <v>0.0</v>
      </c>
    </row>
    <row r="47828">
      <c r="Y47828" s="372">
        <v>0.0</v>
      </c>
      <c r="Z47828" s="372">
        <v>0.0</v>
      </c>
    </row>
    <row r="47829">
      <c r="Y47829" s="372">
        <v>0.0</v>
      </c>
      <c r="Z47829" s="372">
        <v>0.0</v>
      </c>
    </row>
    <row r="47830">
      <c r="Y47830" s="372">
        <v>0.0</v>
      </c>
      <c r="Z47830" s="372">
        <v>0.0</v>
      </c>
    </row>
    <row r="47831">
      <c r="Y47831" s="372">
        <v>0.0</v>
      </c>
      <c r="Z47831" s="372">
        <v>0.0</v>
      </c>
    </row>
    <row r="47832">
      <c r="Y47832" s="372">
        <v>0.0</v>
      </c>
      <c r="Z47832" s="372">
        <v>0.0</v>
      </c>
    </row>
    <row r="47833">
      <c r="Y47833" s="372">
        <v>0.0</v>
      </c>
      <c r="Z47833" s="372">
        <v>0.0</v>
      </c>
    </row>
    <row r="47834">
      <c r="Y47834" s="372">
        <v>0.0</v>
      </c>
      <c r="Z47834" s="372">
        <v>0.0</v>
      </c>
    </row>
    <row r="47835">
      <c r="Y47835" s="372">
        <v>0.0</v>
      </c>
      <c r="Z47835" s="372">
        <v>0.0</v>
      </c>
    </row>
    <row r="47836">
      <c r="Y47836" s="372">
        <v>0.0</v>
      </c>
      <c r="Z47836" s="372">
        <v>0.0</v>
      </c>
    </row>
    <row r="47837">
      <c r="Y47837" s="372">
        <v>0.0</v>
      </c>
      <c r="Z47837" s="372">
        <v>0.0</v>
      </c>
    </row>
    <row r="47838">
      <c r="Y47838" s="372">
        <v>0.0</v>
      </c>
      <c r="Z47838" s="372">
        <v>0.0</v>
      </c>
    </row>
    <row r="47839">
      <c r="Y47839" s="372">
        <v>0.0</v>
      </c>
      <c r="Z47839" s="372">
        <v>0.0</v>
      </c>
    </row>
    <row r="47840">
      <c r="Y47840" s="372">
        <v>0.0</v>
      </c>
      <c r="Z47840" s="372">
        <v>0.0</v>
      </c>
    </row>
    <row r="47841">
      <c r="Y47841" s="372">
        <v>0.0</v>
      </c>
      <c r="Z47841" s="372">
        <v>0.0</v>
      </c>
    </row>
    <row r="47842">
      <c r="Y47842" s="372">
        <v>0.0</v>
      </c>
      <c r="Z47842" s="372">
        <v>0.0</v>
      </c>
    </row>
    <row r="47843">
      <c r="Y47843" s="372">
        <v>0.0</v>
      </c>
      <c r="Z47843" s="372">
        <v>0.0</v>
      </c>
    </row>
    <row r="47844">
      <c r="Y47844" s="372">
        <v>0.0</v>
      </c>
      <c r="Z47844" s="372">
        <v>0.0</v>
      </c>
    </row>
    <row r="47845">
      <c r="Y47845" s="372">
        <v>0.0</v>
      </c>
      <c r="Z47845" s="372">
        <v>0.0</v>
      </c>
    </row>
    <row r="47846">
      <c r="Y47846" s="372">
        <v>0.0</v>
      </c>
      <c r="Z47846" s="372">
        <v>0.0</v>
      </c>
    </row>
    <row r="47847">
      <c r="Y47847" s="372">
        <v>0.0</v>
      </c>
      <c r="Z47847" s="372">
        <v>0.0</v>
      </c>
    </row>
    <row r="47848">
      <c r="Y47848" s="372">
        <v>0.0</v>
      </c>
      <c r="Z47848" s="372">
        <v>0.0</v>
      </c>
    </row>
    <row r="47849">
      <c r="Y47849" s="372">
        <v>0.0</v>
      </c>
      <c r="Z47849" s="372">
        <v>0.0</v>
      </c>
    </row>
    <row r="47850">
      <c r="Y47850" s="372">
        <v>0.0</v>
      </c>
      <c r="Z47850" s="372">
        <v>0.0</v>
      </c>
    </row>
    <row r="47851">
      <c r="Y47851" s="372">
        <v>0.0</v>
      </c>
      <c r="Z47851" s="372">
        <v>0.0</v>
      </c>
    </row>
    <row r="47852">
      <c r="Y47852" s="372">
        <v>0.0</v>
      </c>
      <c r="Z47852" s="372">
        <v>0.0</v>
      </c>
    </row>
    <row r="47853">
      <c r="Y47853" s="372">
        <v>0.0</v>
      </c>
      <c r="Z47853" s="372">
        <v>0.0</v>
      </c>
    </row>
    <row r="47854">
      <c r="Y47854" s="372">
        <v>0.0</v>
      </c>
      <c r="Z47854" s="372">
        <v>0.0</v>
      </c>
    </row>
    <row r="47855">
      <c r="Y47855" s="372">
        <v>0.0</v>
      </c>
      <c r="Z47855" s="372">
        <v>0.0</v>
      </c>
    </row>
    <row r="47856">
      <c r="Y47856" s="372">
        <v>0.0</v>
      </c>
      <c r="Z47856" s="372">
        <v>0.0</v>
      </c>
    </row>
    <row r="47857">
      <c r="Y47857" s="372">
        <v>0.0</v>
      </c>
      <c r="Z47857" s="372">
        <v>0.0</v>
      </c>
    </row>
    <row r="47858">
      <c r="Y47858" s="372">
        <v>0.0</v>
      </c>
      <c r="Z47858" s="372">
        <v>0.0</v>
      </c>
    </row>
    <row r="47859">
      <c r="Y47859" s="372">
        <v>0.0</v>
      </c>
      <c r="Z47859" s="372">
        <v>0.0</v>
      </c>
    </row>
    <row r="47860">
      <c r="Y47860" s="372">
        <v>0.0</v>
      </c>
      <c r="Z47860" s="372">
        <v>0.0</v>
      </c>
    </row>
    <row r="47861">
      <c r="Y47861" s="372">
        <v>0.0</v>
      </c>
      <c r="Z47861" s="372">
        <v>0.0</v>
      </c>
    </row>
    <row r="47862">
      <c r="Y47862" s="372">
        <v>0.0</v>
      </c>
      <c r="Z47862" s="372">
        <v>0.0</v>
      </c>
    </row>
    <row r="47863">
      <c r="Y47863" s="372">
        <v>0.0</v>
      </c>
      <c r="Z47863" s="372">
        <v>0.0</v>
      </c>
    </row>
    <row r="47864">
      <c r="Y47864" s="372">
        <v>0.0</v>
      </c>
      <c r="Z47864" s="372">
        <v>0.0</v>
      </c>
    </row>
    <row r="47865">
      <c r="Y47865" s="372">
        <v>0.0</v>
      </c>
      <c r="Z47865" s="372">
        <v>0.0</v>
      </c>
    </row>
    <row r="47866">
      <c r="Y47866" s="372">
        <v>0.0</v>
      </c>
      <c r="Z47866" s="372">
        <v>0.0</v>
      </c>
    </row>
    <row r="47867">
      <c r="Y47867" s="372">
        <v>0.0</v>
      </c>
      <c r="Z47867" s="372">
        <v>0.0</v>
      </c>
    </row>
    <row r="47868">
      <c r="Y47868" s="372">
        <v>0.0</v>
      </c>
      <c r="Z47868" s="372">
        <v>0.0</v>
      </c>
    </row>
    <row r="47869">
      <c r="Y47869" s="372">
        <v>0.0</v>
      </c>
      <c r="Z47869" s="372">
        <v>0.0</v>
      </c>
    </row>
    <row r="47870">
      <c r="Y47870" s="372">
        <v>0.0</v>
      </c>
      <c r="Z47870" s="372">
        <v>0.0</v>
      </c>
    </row>
    <row r="47871">
      <c r="Y47871" s="372">
        <v>0.0</v>
      </c>
      <c r="Z47871" s="372">
        <v>0.0</v>
      </c>
    </row>
    <row r="47872">
      <c r="Y47872" s="372">
        <v>0.0</v>
      </c>
      <c r="Z47872" s="372">
        <v>0.0</v>
      </c>
    </row>
    <row r="47873">
      <c r="Y47873" s="372">
        <v>0.0</v>
      </c>
      <c r="Z47873" s="372">
        <v>0.0</v>
      </c>
    </row>
    <row r="47874">
      <c r="Y47874" s="372">
        <v>0.0</v>
      </c>
      <c r="Z47874" s="372">
        <v>0.0</v>
      </c>
    </row>
    <row r="47875">
      <c r="Y47875" s="372">
        <v>0.0</v>
      </c>
      <c r="Z47875" s="372">
        <v>0.0</v>
      </c>
    </row>
    <row r="47876">
      <c r="Y47876" s="372">
        <v>0.0</v>
      </c>
      <c r="Z47876" s="372">
        <v>0.0</v>
      </c>
    </row>
    <row r="47877">
      <c r="Y47877" s="372">
        <v>0.0</v>
      </c>
      <c r="Z47877" s="372">
        <v>0.0</v>
      </c>
    </row>
    <row r="47878">
      <c r="Y47878" s="372">
        <v>0.0</v>
      </c>
      <c r="Z47878" s="372">
        <v>0.0</v>
      </c>
    </row>
    <row r="47879">
      <c r="Y47879" s="372">
        <v>0.0</v>
      </c>
      <c r="Z47879" s="372">
        <v>0.0</v>
      </c>
    </row>
    <row r="47880">
      <c r="Y47880" s="372">
        <v>0.0</v>
      </c>
      <c r="Z47880" s="372">
        <v>0.0</v>
      </c>
    </row>
    <row r="47881">
      <c r="Y47881" s="372">
        <v>0.0</v>
      </c>
      <c r="Z47881" s="372">
        <v>0.0</v>
      </c>
    </row>
    <row r="47882">
      <c r="Y47882" s="372">
        <v>0.0</v>
      </c>
      <c r="Z47882" s="372">
        <v>0.0</v>
      </c>
    </row>
    <row r="47883">
      <c r="Y47883" s="372">
        <v>0.0</v>
      </c>
      <c r="Z47883" s="372">
        <v>0.0</v>
      </c>
    </row>
    <row r="47884">
      <c r="Y47884" s="372">
        <v>0.0</v>
      </c>
      <c r="Z47884" s="372">
        <v>0.0</v>
      </c>
    </row>
    <row r="47885">
      <c r="Y47885" s="372">
        <v>0.0</v>
      </c>
      <c r="Z47885" s="372">
        <v>0.0</v>
      </c>
    </row>
    <row r="47886">
      <c r="Y47886" s="372">
        <v>0.0</v>
      </c>
      <c r="Z47886" s="372">
        <v>0.0</v>
      </c>
    </row>
    <row r="47887">
      <c r="Y47887" s="372">
        <v>0.0</v>
      </c>
      <c r="Z47887" s="372">
        <v>0.0</v>
      </c>
    </row>
    <row r="47888">
      <c r="Y47888" s="372">
        <v>0.0</v>
      </c>
      <c r="Z47888" s="372">
        <v>0.0</v>
      </c>
    </row>
    <row r="47889">
      <c r="Y47889" s="372">
        <v>0.0</v>
      </c>
      <c r="Z47889" s="372">
        <v>0.0</v>
      </c>
    </row>
    <row r="47890">
      <c r="Y47890" s="372">
        <v>0.0</v>
      </c>
      <c r="Z47890" s="372">
        <v>0.0</v>
      </c>
    </row>
    <row r="47891">
      <c r="Y47891" s="372">
        <v>0.0</v>
      </c>
      <c r="Z47891" s="372">
        <v>0.0</v>
      </c>
    </row>
    <row r="47892">
      <c r="Y47892" s="372">
        <v>0.0</v>
      </c>
      <c r="Z47892" s="372">
        <v>0.0</v>
      </c>
    </row>
    <row r="47893">
      <c r="Y47893" s="372">
        <v>0.0</v>
      </c>
      <c r="Z47893" s="372">
        <v>0.0</v>
      </c>
    </row>
    <row r="47894">
      <c r="Y47894" s="372">
        <v>0.0</v>
      </c>
      <c r="Z47894" s="372">
        <v>0.0</v>
      </c>
    </row>
    <row r="47895">
      <c r="Y47895" s="372">
        <v>0.0</v>
      </c>
      <c r="Z47895" s="372">
        <v>0.0</v>
      </c>
    </row>
    <row r="47896">
      <c r="Y47896" s="372">
        <v>0.0</v>
      </c>
      <c r="Z47896" s="372">
        <v>0.0</v>
      </c>
    </row>
    <row r="47897">
      <c r="Y47897" s="372">
        <v>0.0</v>
      </c>
      <c r="Z47897" s="372">
        <v>0.0</v>
      </c>
    </row>
    <row r="47898">
      <c r="Y47898" s="372">
        <v>0.0</v>
      </c>
      <c r="Z47898" s="372">
        <v>0.0</v>
      </c>
    </row>
    <row r="47899">
      <c r="Y47899" s="372">
        <v>0.0</v>
      </c>
      <c r="Z47899" s="372">
        <v>0.0</v>
      </c>
    </row>
    <row r="47900">
      <c r="Y47900" s="372">
        <v>0.0</v>
      </c>
      <c r="Z47900" s="372">
        <v>0.0</v>
      </c>
    </row>
    <row r="47901">
      <c r="Y47901" s="372">
        <v>0.0</v>
      </c>
      <c r="Z47901" s="372">
        <v>0.0</v>
      </c>
    </row>
    <row r="47902">
      <c r="Y47902" s="372">
        <v>0.0</v>
      </c>
      <c r="Z47902" s="372">
        <v>0.0</v>
      </c>
    </row>
    <row r="47903">
      <c r="Y47903" s="372">
        <v>0.0</v>
      </c>
      <c r="Z47903" s="372">
        <v>0.0</v>
      </c>
    </row>
    <row r="47904">
      <c r="Y47904" s="372">
        <v>0.0</v>
      </c>
      <c r="Z47904" s="372">
        <v>0.0</v>
      </c>
    </row>
    <row r="47905">
      <c r="Y47905" s="372">
        <v>0.0</v>
      </c>
      <c r="Z47905" s="372">
        <v>0.0</v>
      </c>
    </row>
    <row r="47906">
      <c r="Y47906" s="372">
        <v>0.0</v>
      </c>
      <c r="Z47906" s="372">
        <v>0.0</v>
      </c>
    </row>
    <row r="47907">
      <c r="Y47907" s="372">
        <v>0.0</v>
      </c>
      <c r="Z47907" s="372">
        <v>0.0</v>
      </c>
    </row>
    <row r="47908">
      <c r="Y47908" s="372">
        <v>0.0</v>
      </c>
      <c r="Z47908" s="372">
        <v>0.0</v>
      </c>
    </row>
    <row r="47909">
      <c r="Y47909" s="372">
        <v>0.0</v>
      </c>
      <c r="Z47909" s="372">
        <v>0.0</v>
      </c>
    </row>
    <row r="47910">
      <c r="Y47910" s="372">
        <v>0.0</v>
      </c>
      <c r="Z47910" s="372">
        <v>0.0</v>
      </c>
    </row>
    <row r="47911">
      <c r="Y47911" s="372">
        <v>0.0</v>
      </c>
      <c r="Z47911" s="372">
        <v>0.0</v>
      </c>
    </row>
    <row r="47912">
      <c r="Y47912" s="372">
        <v>0.0</v>
      </c>
      <c r="Z47912" s="372">
        <v>0.0</v>
      </c>
    </row>
    <row r="47913">
      <c r="Y47913" s="372">
        <v>0.0</v>
      </c>
      <c r="Z47913" s="372">
        <v>0.0</v>
      </c>
    </row>
    <row r="47914">
      <c r="Y47914" s="372">
        <v>0.0</v>
      </c>
      <c r="Z47914" s="372">
        <v>0.0</v>
      </c>
    </row>
    <row r="47915">
      <c r="Y47915" s="372">
        <v>0.0</v>
      </c>
      <c r="Z47915" s="372">
        <v>0.0</v>
      </c>
    </row>
    <row r="47916">
      <c r="Y47916" s="372">
        <v>0.0</v>
      </c>
      <c r="Z47916" s="372">
        <v>0.0</v>
      </c>
    </row>
    <row r="47917">
      <c r="Y47917" s="372">
        <v>0.0</v>
      </c>
      <c r="Z47917" s="372">
        <v>0.0</v>
      </c>
    </row>
    <row r="47918">
      <c r="Y47918" s="372">
        <v>0.0</v>
      </c>
      <c r="Z47918" s="372">
        <v>0.0</v>
      </c>
    </row>
    <row r="47919">
      <c r="Y47919" s="372">
        <v>0.0</v>
      </c>
      <c r="Z47919" s="372">
        <v>0.0</v>
      </c>
    </row>
    <row r="47920">
      <c r="Y47920" s="372">
        <v>0.0</v>
      </c>
      <c r="Z47920" s="372">
        <v>0.0</v>
      </c>
    </row>
    <row r="47921">
      <c r="Y47921" s="372">
        <v>0.0</v>
      </c>
      <c r="Z47921" s="372">
        <v>0.0</v>
      </c>
    </row>
    <row r="47922">
      <c r="Y47922" s="372">
        <v>0.0</v>
      </c>
      <c r="Z47922" s="372">
        <v>0.0</v>
      </c>
    </row>
    <row r="47923">
      <c r="Y47923" s="372">
        <v>0.0</v>
      </c>
      <c r="Z47923" s="372">
        <v>0.0</v>
      </c>
    </row>
    <row r="47924">
      <c r="Y47924" s="372">
        <v>0.0</v>
      </c>
      <c r="Z47924" s="372">
        <v>0.0</v>
      </c>
    </row>
    <row r="47925">
      <c r="Y47925" s="372">
        <v>0.0</v>
      </c>
      <c r="Z47925" s="372">
        <v>0.0</v>
      </c>
    </row>
    <row r="47926">
      <c r="Y47926" s="372">
        <v>0.0</v>
      </c>
      <c r="Z47926" s="372">
        <v>0.0</v>
      </c>
    </row>
    <row r="47927">
      <c r="Y47927" s="372">
        <v>0.0</v>
      </c>
      <c r="Z47927" s="372">
        <v>0.0</v>
      </c>
    </row>
    <row r="47928">
      <c r="Y47928" s="372">
        <v>0.0</v>
      </c>
      <c r="Z47928" s="372">
        <v>0.0</v>
      </c>
    </row>
    <row r="47929">
      <c r="Y47929" s="372">
        <v>0.0</v>
      </c>
      <c r="Z47929" s="372">
        <v>0.0</v>
      </c>
    </row>
    <row r="47930">
      <c r="Y47930" s="372">
        <v>0.0</v>
      </c>
      <c r="Z47930" s="372">
        <v>0.0</v>
      </c>
    </row>
    <row r="47931">
      <c r="Y47931" s="372">
        <v>0.0</v>
      </c>
      <c r="Z47931" s="372">
        <v>0.0</v>
      </c>
    </row>
    <row r="47932">
      <c r="Y47932" s="372">
        <v>0.0</v>
      </c>
      <c r="Z47932" s="372">
        <v>0.0</v>
      </c>
    </row>
    <row r="47933">
      <c r="Y47933" s="372">
        <v>0.0</v>
      </c>
      <c r="Z47933" s="372">
        <v>0.0</v>
      </c>
    </row>
    <row r="47934">
      <c r="Y47934" s="372">
        <v>0.0</v>
      </c>
      <c r="Z47934" s="372">
        <v>0.0</v>
      </c>
    </row>
    <row r="47935">
      <c r="Y47935" s="372">
        <v>0.0</v>
      </c>
      <c r="Z47935" s="372">
        <v>0.0</v>
      </c>
    </row>
    <row r="47936">
      <c r="Y47936" s="372">
        <v>0.0</v>
      </c>
      <c r="Z47936" s="372">
        <v>0.0</v>
      </c>
    </row>
    <row r="47937">
      <c r="Y47937" s="372">
        <v>0.0</v>
      </c>
      <c r="Z47937" s="372">
        <v>0.0</v>
      </c>
    </row>
    <row r="47938">
      <c r="Y47938" s="372">
        <v>0.0</v>
      </c>
      <c r="Z47938" s="372">
        <v>0.0</v>
      </c>
    </row>
    <row r="47939">
      <c r="Y47939" s="372">
        <v>0.0</v>
      </c>
      <c r="Z47939" s="372">
        <v>0.0</v>
      </c>
    </row>
    <row r="47940">
      <c r="Y47940" s="372">
        <v>0.0</v>
      </c>
      <c r="Z47940" s="372">
        <v>0.0</v>
      </c>
    </row>
    <row r="47941">
      <c r="Y47941" s="372">
        <v>0.0</v>
      </c>
      <c r="Z47941" s="372">
        <v>0.0</v>
      </c>
    </row>
    <row r="47942">
      <c r="Y47942" s="372">
        <v>0.0</v>
      </c>
      <c r="Z47942" s="372">
        <v>0.0</v>
      </c>
    </row>
    <row r="47943">
      <c r="Y47943" s="372">
        <v>0.0</v>
      </c>
      <c r="Z47943" s="372">
        <v>0.0</v>
      </c>
    </row>
    <row r="47944">
      <c r="Y47944" s="372">
        <v>0.0</v>
      </c>
      <c r="Z47944" s="372">
        <v>0.0</v>
      </c>
    </row>
    <row r="47945">
      <c r="Y47945" s="372">
        <v>0.0</v>
      </c>
      <c r="Z47945" s="372">
        <v>0.0</v>
      </c>
    </row>
    <row r="47946">
      <c r="Y47946" s="372">
        <v>0.0</v>
      </c>
      <c r="Z47946" s="372">
        <v>0.0</v>
      </c>
    </row>
    <row r="47947">
      <c r="Y47947" s="372">
        <v>0.0</v>
      </c>
      <c r="Z47947" s="372">
        <v>0.0</v>
      </c>
    </row>
    <row r="47948">
      <c r="Y47948" s="372">
        <v>0.0</v>
      </c>
      <c r="Z47948" s="372">
        <v>0.0</v>
      </c>
    </row>
    <row r="47949">
      <c r="Y47949" s="372">
        <v>0.0</v>
      </c>
      <c r="Z47949" s="372">
        <v>0.0</v>
      </c>
    </row>
    <row r="47950">
      <c r="Y47950" s="372">
        <v>0.0</v>
      </c>
      <c r="Z47950" s="372">
        <v>0.0</v>
      </c>
    </row>
    <row r="47951">
      <c r="Y47951" s="372">
        <v>0.0</v>
      </c>
      <c r="Z47951" s="372">
        <v>0.0</v>
      </c>
    </row>
    <row r="47952">
      <c r="Y47952" s="372">
        <v>0.0</v>
      </c>
      <c r="Z47952" s="372">
        <v>0.0</v>
      </c>
    </row>
    <row r="47953">
      <c r="Y47953" s="372">
        <v>0.0</v>
      </c>
      <c r="Z47953" s="372">
        <v>0.0</v>
      </c>
    </row>
    <row r="47954">
      <c r="Y47954" s="372">
        <v>0.0</v>
      </c>
      <c r="Z47954" s="372">
        <v>0.0</v>
      </c>
    </row>
    <row r="47955">
      <c r="Y47955" s="372">
        <v>0.0</v>
      </c>
      <c r="Z47955" s="372">
        <v>0.0</v>
      </c>
    </row>
    <row r="47956">
      <c r="Y47956" s="372">
        <v>0.0</v>
      </c>
      <c r="Z47956" s="372">
        <v>0.0</v>
      </c>
    </row>
    <row r="47957">
      <c r="Y47957" s="372">
        <v>0.0</v>
      </c>
      <c r="Z47957" s="372">
        <v>0.0</v>
      </c>
    </row>
    <row r="47958">
      <c r="Y47958" s="372">
        <v>0.0</v>
      </c>
      <c r="Z47958" s="372">
        <v>0.0</v>
      </c>
    </row>
    <row r="47959">
      <c r="Y47959" s="372">
        <v>0.0</v>
      </c>
      <c r="Z47959" s="372">
        <v>0.0</v>
      </c>
    </row>
    <row r="47960">
      <c r="Y47960" s="372">
        <v>0.0</v>
      </c>
      <c r="Z47960" s="372">
        <v>0.0</v>
      </c>
    </row>
    <row r="47961">
      <c r="Y47961" s="372">
        <v>0.0</v>
      </c>
      <c r="Z47961" s="372">
        <v>0.0</v>
      </c>
    </row>
    <row r="47962">
      <c r="Y47962" s="372">
        <v>0.0</v>
      </c>
      <c r="Z47962" s="372">
        <v>0.0</v>
      </c>
    </row>
    <row r="47963">
      <c r="Y47963" s="372">
        <v>0.0</v>
      </c>
      <c r="Z47963" s="372">
        <v>0.0</v>
      </c>
    </row>
    <row r="47964">
      <c r="Y47964" s="372">
        <v>0.0</v>
      </c>
      <c r="Z47964" s="372">
        <v>0.0</v>
      </c>
    </row>
    <row r="47965">
      <c r="Y47965" s="372">
        <v>0.0</v>
      </c>
      <c r="Z47965" s="372">
        <v>0.0</v>
      </c>
    </row>
    <row r="47966">
      <c r="Y47966" s="372">
        <v>0.0</v>
      </c>
      <c r="Z47966" s="372">
        <v>0.0</v>
      </c>
    </row>
    <row r="47967">
      <c r="Y47967" s="372">
        <v>0.0</v>
      </c>
      <c r="Z47967" s="372">
        <v>0.0</v>
      </c>
    </row>
    <row r="47968">
      <c r="Y47968" s="372">
        <v>0.0</v>
      </c>
      <c r="Z47968" s="372">
        <v>0.0</v>
      </c>
    </row>
    <row r="47969">
      <c r="Y47969" s="372">
        <v>0.0</v>
      </c>
      <c r="Z47969" s="372">
        <v>0.0</v>
      </c>
    </row>
    <row r="47970">
      <c r="Y47970" s="372">
        <v>0.0</v>
      </c>
      <c r="Z47970" s="372">
        <v>0.0</v>
      </c>
    </row>
    <row r="47971">
      <c r="Y47971" s="372">
        <v>0.0</v>
      </c>
      <c r="Z47971" s="372">
        <v>0.0</v>
      </c>
    </row>
    <row r="47972">
      <c r="Y47972" s="372">
        <v>0.0</v>
      </c>
      <c r="Z47972" s="372">
        <v>0.0</v>
      </c>
    </row>
    <row r="47973">
      <c r="Y47973" s="372">
        <v>0.0</v>
      </c>
      <c r="Z47973" s="372">
        <v>0.0</v>
      </c>
    </row>
    <row r="47974">
      <c r="Y47974" s="372">
        <v>0.0</v>
      </c>
      <c r="Z47974" s="372">
        <v>0.0</v>
      </c>
    </row>
    <row r="47975">
      <c r="Y47975" s="372">
        <v>0.0</v>
      </c>
      <c r="Z47975" s="372">
        <v>0.0</v>
      </c>
    </row>
    <row r="47976">
      <c r="Y47976" s="372">
        <v>0.0</v>
      </c>
      <c r="Z47976" s="372">
        <v>0.0</v>
      </c>
    </row>
    <row r="47977">
      <c r="Y47977" s="372">
        <v>0.0</v>
      </c>
      <c r="Z47977" s="372">
        <v>0.0</v>
      </c>
    </row>
    <row r="47978">
      <c r="Y47978" s="372">
        <v>0.0</v>
      </c>
      <c r="Z47978" s="372">
        <v>0.0</v>
      </c>
    </row>
    <row r="47979">
      <c r="Y47979" s="372">
        <v>0.0</v>
      </c>
      <c r="Z47979" s="372">
        <v>0.0</v>
      </c>
    </row>
    <row r="47980">
      <c r="Y47980" s="372">
        <v>0.0</v>
      </c>
      <c r="Z47980" s="372">
        <v>0.0</v>
      </c>
    </row>
    <row r="47981">
      <c r="Y47981" s="372">
        <v>0.0</v>
      </c>
      <c r="Z47981" s="372">
        <v>0.0</v>
      </c>
    </row>
    <row r="47982">
      <c r="Y47982" s="372">
        <v>0.0</v>
      </c>
      <c r="Z47982" s="372">
        <v>0.0</v>
      </c>
    </row>
    <row r="47983">
      <c r="Y47983" s="372">
        <v>0.0</v>
      </c>
      <c r="Z47983" s="372">
        <v>0.0</v>
      </c>
    </row>
    <row r="47984">
      <c r="Y47984" s="372">
        <v>0.0</v>
      </c>
      <c r="Z47984" s="372">
        <v>0.0</v>
      </c>
    </row>
    <row r="47985">
      <c r="Y47985" s="372">
        <v>0.0</v>
      </c>
      <c r="Z47985" s="372">
        <v>0.0</v>
      </c>
    </row>
    <row r="47986">
      <c r="Y47986" s="372">
        <v>0.0</v>
      </c>
      <c r="Z47986" s="372">
        <v>0.0</v>
      </c>
    </row>
    <row r="47987">
      <c r="Y47987" s="372">
        <v>0.0</v>
      </c>
      <c r="Z47987" s="372">
        <v>0.0</v>
      </c>
    </row>
    <row r="47988">
      <c r="Y47988" s="372">
        <v>0.0</v>
      </c>
      <c r="Z47988" s="372">
        <v>0.0</v>
      </c>
    </row>
    <row r="47989">
      <c r="Y47989" s="372">
        <v>0.0</v>
      </c>
      <c r="Z47989" s="372">
        <v>0.0</v>
      </c>
    </row>
    <row r="47990">
      <c r="Y47990" s="372">
        <v>0.0</v>
      </c>
      <c r="Z47990" s="372">
        <v>0.0</v>
      </c>
    </row>
    <row r="47991">
      <c r="Y47991" s="372">
        <v>0.0</v>
      </c>
      <c r="Z47991" s="372">
        <v>0.0</v>
      </c>
    </row>
    <row r="47992">
      <c r="Y47992" s="372">
        <v>0.0</v>
      </c>
      <c r="Z47992" s="372">
        <v>0.0</v>
      </c>
    </row>
    <row r="47993">
      <c r="Y47993" s="372">
        <v>0.0</v>
      </c>
      <c r="Z47993" s="372">
        <v>0.0</v>
      </c>
    </row>
    <row r="47994">
      <c r="Y47994" s="372">
        <v>0.0</v>
      </c>
      <c r="Z47994" s="372">
        <v>0.0</v>
      </c>
    </row>
    <row r="47995">
      <c r="Y47995" s="372">
        <v>0.0</v>
      </c>
      <c r="Z47995" s="372">
        <v>0.0</v>
      </c>
    </row>
    <row r="47996">
      <c r="Y47996" s="372">
        <v>0.0</v>
      </c>
      <c r="Z47996" s="372">
        <v>0.0</v>
      </c>
    </row>
    <row r="47997">
      <c r="Y47997" s="372">
        <v>0.0</v>
      </c>
      <c r="Z47997" s="372">
        <v>0.0</v>
      </c>
    </row>
    <row r="47998">
      <c r="Y47998" s="372">
        <v>0.0</v>
      </c>
      <c r="Z47998" s="372">
        <v>0.0</v>
      </c>
    </row>
    <row r="47999">
      <c r="Y47999" s="372">
        <v>0.0</v>
      </c>
      <c r="Z47999" s="372">
        <v>0.0</v>
      </c>
    </row>
    <row r="48000">
      <c r="Y48000" s="372">
        <v>0.0</v>
      </c>
      <c r="Z48000" s="372">
        <v>0.0</v>
      </c>
    </row>
    <row r="48001">
      <c r="Y48001" s="372">
        <v>0.0</v>
      </c>
      <c r="Z48001" s="372">
        <v>0.0</v>
      </c>
    </row>
    <row r="48002">
      <c r="Y48002" s="372">
        <v>0.0</v>
      </c>
      <c r="Z48002" s="372">
        <v>0.0</v>
      </c>
    </row>
    <row r="48003">
      <c r="Y48003" s="372">
        <v>0.0</v>
      </c>
      <c r="Z48003" s="372">
        <v>0.0</v>
      </c>
    </row>
    <row r="48004">
      <c r="Y48004" s="372">
        <v>0.0</v>
      </c>
      <c r="Z48004" s="372">
        <v>0.0</v>
      </c>
    </row>
    <row r="48005">
      <c r="Y48005" s="372">
        <v>0.0</v>
      </c>
      <c r="Z48005" s="372">
        <v>0.0</v>
      </c>
    </row>
    <row r="48006">
      <c r="Y48006" s="372">
        <v>0.0</v>
      </c>
      <c r="Z48006" s="372">
        <v>0.0</v>
      </c>
    </row>
    <row r="48007">
      <c r="Y48007" s="372">
        <v>0.0</v>
      </c>
      <c r="Z48007" s="372">
        <v>0.0</v>
      </c>
    </row>
    <row r="48008">
      <c r="Y48008" s="372">
        <v>0.0</v>
      </c>
      <c r="Z48008" s="372">
        <v>0.0</v>
      </c>
    </row>
    <row r="48009">
      <c r="Y48009" s="372">
        <v>0.0</v>
      </c>
      <c r="Z48009" s="372">
        <v>0.0</v>
      </c>
    </row>
    <row r="48010">
      <c r="Y48010" s="372">
        <v>0.0</v>
      </c>
      <c r="Z48010" s="372">
        <v>0.0</v>
      </c>
    </row>
    <row r="48011">
      <c r="Y48011" s="372">
        <v>0.0</v>
      </c>
      <c r="Z48011" s="372">
        <v>0.0</v>
      </c>
    </row>
    <row r="48012">
      <c r="Y48012" s="372">
        <v>0.0</v>
      </c>
      <c r="Z48012" s="372">
        <v>0.0</v>
      </c>
    </row>
    <row r="48013">
      <c r="Y48013" s="372">
        <v>0.0</v>
      </c>
      <c r="Z48013" s="372">
        <v>0.0</v>
      </c>
    </row>
    <row r="48014">
      <c r="Y48014" s="372">
        <v>0.0</v>
      </c>
      <c r="Z48014" s="372">
        <v>0.0</v>
      </c>
    </row>
    <row r="48015">
      <c r="Y48015" s="372">
        <v>0.0</v>
      </c>
      <c r="Z48015" s="372">
        <v>0.0</v>
      </c>
    </row>
    <row r="48016">
      <c r="Y48016" s="372">
        <v>0.0</v>
      </c>
      <c r="Z48016" s="372">
        <v>0.0</v>
      </c>
    </row>
    <row r="48017">
      <c r="Y48017" s="372">
        <v>0.0</v>
      </c>
      <c r="Z48017" s="372">
        <v>0.0</v>
      </c>
    </row>
    <row r="48018">
      <c r="Y48018" s="372">
        <v>0.0</v>
      </c>
      <c r="Z48018" s="372">
        <v>0.0</v>
      </c>
    </row>
    <row r="48019">
      <c r="Y48019" s="372">
        <v>0.0</v>
      </c>
      <c r="Z48019" s="372">
        <v>0.0</v>
      </c>
    </row>
    <row r="48020">
      <c r="Y48020" s="372">
        <v>0.0</v>
      </c>
      <c r="Z48020" s="372">
        <v>0.0</v>
      </c>
    </row>
    <row r="48021">
      <c r="Y48021" s="372">
        <v>0.0</v>
      </c>
      <c r="Z48021" s="372">
        <v>0.0</v>
      </c>
    </row>
    <row r="48022">
      <c r="Y48022" s="372">
        <v>0.0</v>
      </c>
      <c r="Z48022" s="372">
        <v>0.0</v>
      </c>
    </row>
    <row r="48023">
      <c r="Y48023" s="372">
        <v>0.0</v>
      </c>
      <c r="Z48023" s="372">
        <v>0.0</v>
      </c>
    </row>
    <row r="48024">
      <c r="Y48024" s="372">
        <v>0.0</v>
      </c>
      <c r="Z48024" s="372">
        <v>0.0</v>
      </c>
    </row>
    <row r="48025">
      <c r="Y48025" s="372">
        <v>0.0</v>
      </c>
      <c r="Z48025" s="372">
        <v>0.0</v>
      </c>
    </row>
    <row r="48026">
      <c r="Y48026" s="372">
        <v>0.0</v>
      </c>
      <c r="Z48026" s="372">
        <v>0.0</v>
      </c>
    </row>
    <row r="48027">
      <c r="Y48027" s="372">
        <v>0.0</v>
      </c>
      <c r="Z48027" s="372">
        <v>0.0</v>
      </c>
    </row>
    <row r="48028">
      <c r="Y48028" s="372">
        <v>0.0</v>
      </c>
      <c r="Z48028" s="372">
        <v>0.0</v>
      </c>
    </row>
    <row r="48029">
      <c r="Y48029" s="372">
        <v>0.0</v>
      </c>
      <c r="Z48029" s="372">
        <v>0.0</v>
      </c>
    </row>
    <row r="48030">
      <c r="Y48030" s="372">
        <v>0.0</v>
      </c>
      <c r="Z48030" s="372">
        <v>0.0</v>
      </c>
    </row>
    <row r="48031">
      <c r="Y48031" s="372">
        <v>0.0</v>
      </c>
      <c r="Z48031" s="372">
        <v>0.0</v>
      </c>
    </row>
    <row r="48032">
      <c r="Y48032" s="372">
        <v>0.0</v>
      </c>
      <c r="Z48032" s="372">
        <v>0.0</v>
      </c>
    </row>
    <row r="48033">
      <c r="Y48033" s="372">
        <v>0.0</v>
      </c>
      <c r="Z48033" s="372">
        <v>0.0</v>
      </c>
    </row>
    <row r="48034">
      <c r="Y48034" s="372">
        <v>0.0</v>
      </c>
      <c r="Z48034" s="372">
        <v>0.0</v>
      </c>
    </row>
    <row r="48035">
      <c r="Y48035" s="372">
        <v>0.0</v>
      </c>
      <c r="Z48035" s="372">
        <v>0.0</v>
      </c>
    </row>
    <row r="48036">
      <c r="Y48036" s="372">
        <v>0.0</v>
      </c>
      <c r="Z48036" s="372">
        <v>0.0</v>
      </c>
    </row>
    <row r="48037">
      <c r="Y48037" s="372">
        <v>0.0</v>
      </c>
      <c r="Z48037" s="372">
        <v>0.0</v>
      </c>
    </row>
    <row r="48038">
      <c r="Y48038" s="372">
        <v>0.0</v>
      </c>
      <c r="Z48038" s="372">
        <v>0.0</v>
      </c>
    </row>
    <row r="48039">
      <c r="Y48039" s="372">
        <v>0.0</v>
      </c>
      <c r="Z48039" s="372">
        <v>0.0</v>
      </c>
    </row>
    <row r="48040">
      <c r="Y48040" s="372">
        <v>0.0</v>
      </c>
      <c r="Z48040" s="372">
        <v>0.0</v>
      </c>
    </row>
    <row r="48041">
      <c r="Y48041" s="372">
        <v>0.0</v>
      </c>
      <c r="Z48041" s="372">
        <v>0.0</v>
      </c>
    </row>
    <row r="48042">
      <c r="Y48042" s="372">
        <v>0.0</v>
      </c>
      <c r="Z48042" s="372">
        <v>0.0</v>
      </c>
    </row>
    <row r="48043">
      <c r="Y48043" s="372">
        <v>0.0</v>
      </c>
      <c r="Z48043" s="372">
        <v>0.0</v>
      </c>
    </row>
    <row r="48044">
      <c r="Y48044" s="372">
        <v>0.0</v>
      </c>
      <c r="Z48044" s="372">
        <v>0.0</v>
      </c>
    </row>
    <row r="48045">
      <c r="Y48045" s="372">
        <v>0.0</v>
      </c>
      <c r="Z48045" s="372">
        <v>0.0</v>
      </c>
    </row>
    <row r="48046">
      <c r="Y48046" s="372">
        <v>0.0</v>
      </c>
      <c r="Z48046" s="372">
        <v>0.0</v>
      </c>
    </row>
    <row r="48047">
      <c r="Y48047" s="372">
        <v>0.0</v>
      </c>
      <c r="Z48047" s="372">
        <v>0.0</v>
      </c>
    </row>
    <row r="48048">
      <c r="Y48048" s="372">
        <v>0.0</v>
      </c>
      <c r="Z48048" s="372">
        <v>0.0</v>
      </c>
    </row>
    <row r="48049">
      <c r="Y48049" s="372">
        <v>0.0</v>
      </c>
      <c r="Z48049" s="372">
        <v>0.0</v>
      </c>
    </row>
    <row r="48050">
      <c r="Y48050" s="372">
        <v>0.0</v>
      </c>
      <c r="Z48050" s="372">
        <v>0.0</v>
      </c>
    </row>
    <row r="48051">
      <c r="Y48051" s="372">
        <v>0.0</v>
      </c>
      <c r="Z48051" s="372">
        <v>0.0</v>
      </c>
    </row>
    <row r="48052">
      <c r="Y48052" s="372">
        <v>0.0</v>
      </c>
      <c r="Z48052" s="372">
        <v>0.0</v>
      </c>
    </row>
    <row r="48053">
      <c r="Y48053" s="372">
        <v>0.0</v>
      </c>
      <c r="Z48053" s="372">
        <v>0.0</v>
      </c>
    </row>
    <row r="48054">
      <c r="Y48054" s="372">
        <v>0.0</v>
      </c>
      <c r="Z48054" s="372">
        <v>0.0</v>
      </c>
    </row>
    <row r="48055">
      <c r="Y48055" s="372">
        <v>0.0</v>
      </c>
      <c r="Z48055" s="372">
        <v>0.0</v>
      </c>
    </row>
    <row r="48056">
      <c r="Y48056" s="372">
        <v>0.0</v>
      </c>
      <c r="Z48056" s="372">
        <v>0.0</v>
      </c>
    </row>
    <row r="48057">
      <c r="Y48057" s="372">
        <v>0.0</v>
      </c>
      <c r="Z48057" s="372">
        <v>0.0</v>
      </c>
    </row>
    <row r="48058">
      <c r="Y48058" s="372">
        <v>0.0</v>
      </c>
      <c r="Z48058" s="372">
        <v>0.0</v>
      </c>
    </row>
    <row r="48059">
      <c r="Y48059" s="372">
        <v>0.0</v>
      </c>
      <c r="Z48059" s="372">
        <v>0.0</v>
      </c>
    </row>
    <row r="48060">
      <c r="Y48060" s="372">
        <v>0.0</v>
      </c>
      <c r="Z48060" s="372">
        <v>0.0</v>
      </c>
    </row>
    <row r="48061">
      <c r="Y48061" s="372">
        <v>0.0</v>
      </c>
      <c r="Z48061" s="372">
        <v>0.0</v>
      </c>
    </row>
    <row r="48062">
      <c r="Y48062" s="372">
        <v>0.0</v>
      </c>
      <c r="Z48062" s="372">
        <v>0.0</v>
      </c>
    </row>
    <row r="48063">
      <c r="Y48063" s="372">
        <v>0.0</v>
      </c>
      <c r="Z48063" s="372">
        <v>0.0</v>
      </c>
    </row>
    <row r="48064">
      <c r="Y48064" s="372">
        <v>0.0</v>
      </c>
      <c r="Z48064" s="372">
        <v>0.0</v>
      </c>
    </row>
    <row r="48065">
      <c r="Y48065" s="372">
        <v>0.0</v>
      </c>
      <c r="Z48065" s="372">
        <v>0.0</v>
      </c>
    </row>
    <row r="48066">
      <c r="Y48066" s="372">
        <v>0.0</v>
      </c>
      <c r="Z48066" s="372">
        <v>0.0</v>
      </c>
    </row>
    <row r="48067">
      <c r="Y48067" s="372">
        <v>0.0</v>
      </c>
      <c r="Z48067" s="372">
        <v>0.0</v>
      </c>
    </row>
    <row r="48068">
      <c r="Y48068" s="372">
        <v>0.0</v>
      </c>
      <c r="Z48068" s="372">
        <v>0.0</v>
      </c>
    </row>
    <row r="48069">
      <c r="Y48069" s="372">
        <v>0.0</v>
      </c>
      <c r="Z48069" s="372">
        <v>0.0</v>
      </c>
    </row>
    <row r="48070">
      <c r="Y48070" s="372">
        <v>0.0</v>
      </c>
      <c r="Z48070" s="372">
        <v>0.0</v>
      </c>
    </row>
    <row r="48071">
      <c r="Y48071" s="372">
        <v>0.0</v>
      </c>
      <c r="Z48071" s="372">
        <v>0.0</v>
      </c>
    </row>
    <row r="48072">
      <c r="Y48072" s="372">
        <v>0.0</v>
      </c>
      <c r="Z48072" s="372">
        <v>0.0</v>
      </c>
    </row>
    <row r="48073">
      <c r="Y48073" s="372">
        <v>0.0</v>
      </c>
      <c r="Z48073" s="372">
        <v>0.0</v>
      </c>
    </row>
    <row r="48074">
      <c r="Y48074" s="372">
        <v>0.0</v>
      </c>
      <c r="Z48074" s="372">
        <v>0.0</v>
      </c>
    </row>
    <row r="48075">
      <c r="Y48075" s="372">
        <v>0.0</v>
      </c>
      <c r="Z48075" s="372">
        <v>0.0</v>
      </c>
    </row>
    <row r="48076">
      <c r="Y48076" s="372">
        <v>0.0</v>
      </c>
      <c r="Z48076" s="372">
        <v>0.0</v>
      </c>
    </row>
    <row r="48077">
      <c r="Y48077" s="372">
        <v>0.0</v>
      </c>
      <c r="Z48077" s="372">
        <v>0.0</v>
      </c>
    </row>
    <row r="48078">
      <c r="Y48078" s="372">
        <v>0.0</v>
      </c>
      <c r="Z48078" s="372">
        <v>0.0</v>
      </c>
    </row>
    <row r="48079">
      <c r="Y48079" s="372">
        <v>0.0</v>
      </c>
      <c r="Z48079" s="372">
        <v>0.0</v>
      </c>
    </row>
    <row r="48080">
      <c r="Y48080" s="372">
        <v>0.0</v>
      </c>
      <c r="Z48080" s="372">
        <v>0.0</v>
      </c>
    </row>
    <row r="48081">
      <c r="Y48081" s="372">
        <v>0.0</v>
      </c>
      <c r="Z48081" s="372">
        <v>0.0</v>
      </c>
    </row>
    <row r="48082">
      <c r="Y48082" s="372">
        <v>0.0</v>
      </c>
      <c r="Z48082" s="372">
        <v>0.0</v>
      </c>
    </row>
    <row r="48083">
      <c r="Y48083" s="372">
        <v>0.0</v>
      </c>
      <c r="Z48083" s="372">
        <v>0.0</v>
      </c>
    </row>
    <row r="48084">
      <c r="Y48084" s="372">
        <v>0.0</v>
      </c>
      <c r="Z48084" s="372">
        <v>0.0</v>
      </c>
    </row>
    <row r="48085">
      <c r="Y48085" s="372">
        <v>0.0</v>
      </c>
      <c r="Z48085" s="372">
        <v>0.0</v>
      </c>
    </row>
    <row r="48086">
      <c r="Y48086" s="372">
        <v>0.0</v>
      </c>
      <c r="Z48086" s="372">
        <v>0.0</v>
      </c>
    </row>
    <row r="48087">
      <c r="Y48087" s="372">
        <v>0.0</v>
      </c>
      <c r="Z48087" s="372">
        <v>0.0</v>
      </c>
    </row>
    <row r="48088">
      <c r="Y48088" s="372">
        <v>0.0</v>
      </c>
      <c r="Z48088" s="372">
        <v>0.0</v>
      </c>
    </row>
    <row r="48089">
      <c r="Y48089" s="372">
        <v>0.0</v>
      </c>
      <c r="Z48089" s="372">
        <v>0.0</v>
      </c>
    </row>
    <row r="48090">
      <c r="Y48090" s="372">
        <v>0.0</v>
      </c>
      <c r="Z48090" s="372">
        <v>0.0</v>
      </c>
    </row>
    <row r="48091">
      <c r="Y48091" s="372">
        <v>0.0</v>
      </c>
      <c r="Z48091" s="372">
        <v>0.0</v>
      </c>
    </row>
    <row r="48092">
      <c r="Y48092" s="372">
        <v>0.0</v>
      </c>
      <c r="Z48092" s="372">
        <v>0.0</v>
      </c>
    </row>
    <row r="48093">
      <c r="Y48093" s="372">
        <v>0.0</v>
      </c>
      <c r="Z48093" s="372">
        <v>0.0</v>
      </c>
    </row>
    <row r="48094">
      <c r="Y48094" s="372">
        <v>0.0</v>
      </c>
      <c r="Z48094" s="372">
        <v>0.0</v>
      </c>
    </row>
    <row r="48095">
      <c r="Y48095" s="372">
        <v>0.0</v>
      </c>
      <c r="Z48095" s="372">
        <v>0.0</v>
      </c>
    </row>
    <row r="48096">
      <c r="Y48096" s="372">
        <v>0.0</v>
      </c>
      <c r="Z48096" s="372">
        <v>0.0</v>
      </c>
    </row>
    <row r="48097">
      <c r="Y48097" s="372">
        <v>0.0</v>
      </c>
      <c r="Z48097" s="372">
        <v>0.0</v>
      </c>
    </row>
    <row r="48098">
      <c r="Y48098" s="372">
        <v>0.0</v>
      </c>
      <c r="Z48098" s="372">
        <v>0.0</v>
      </c>
    </row>
    <row r="48099">
      <c r="Y48099" s="372">
        <v>0.0</v>
      </c>
      <c r="Z48099" s="372">
        <v>0.0</v>
      </c>
    </row>
    <row r="48100">
      <c r="Y48100" s="372">
        <v>0.0</v>
      </c>
      <c r="Z48100" s="372">
        <v>0.0</v>
      </c>
    </row>
    <row r="48101">
      <c r="Y48101" s="372">
        <v>0.0</v>
      </c>
      <c r="Z48101" s="372">
        <v>0.0</v>
      </c>
    </row>
    <row r="48102">
      <c r="Y48102" s="372">
        <v>0.0</v>
      </c>
      <c r="Z48102" s="372">
        <v>0.0</v>
      </c>
    </row>
    <row r="48103">
      <c r="Y48103" s="372">
        <v>0.0</v>
      </c>
      <c r="Z48103" s="372">
        <v>0.0</v>
      </c>
    </row>
    <row r="48104">
      <c r="Y48104" s="372">
        <v>0.0</v>
      </c>
      <c r="Z48104" s="372">
        <v>0.0</v>
      </c>
    </row>
    <row r="48105">
      <c r="Y48105" s="372">
        <v>0.0</v>
      </c>
      <c r="Z48105" s="372">
        <v>0.0</v>
      </c>
    </row>
    <row r="48106">
      <c r="Y48106" s="372">
        <v>0.0</v>
      </c>
      <c r="Z48106" s="372">
        <v>0.0</v>
      </c>
    </row>
    <row r="48107">
      <c r="Y48107" s="372">
        <v>0.0</v>
      </c>
      <c r="Z48107" s="372">
        <v>0.0</v>
      </c>
    </row>
    <row r="48108">
      <c r="Y48108" s="372">
        <v>0.0</v>
      </c>
      <c r="Z48108" s="372">
        <v>0.0</v>
      </c>
    </row>
    <row r="48109">
      <c r="Y48109" s="372">
        <v>0.0</v>
      </c>
      <c r="Z48109" s="372">
        <v>0.0</v>
      </c>
    </row>
    <row r="48110">
      <c r="Y48110" s="372">
        <v>0.0</v>
      </c>
      <c r="Z48110" s="372">
        <v>0.0</v>
      </c>
    </row>
    <row r="48111">
      <c r="Y48111" s="372">
        <v>0.0</v>
      </c>
      <c r="Z48111" s="372">
        <v>0.0</v>
      </c>
    </row>
    <row r="48112">
      <c r="Y48112" s="372">
        <v>0.0</v>
      </c>
      <c r="Z48112" s="372">
        <v>0.0</v>
      </c>
    </row>
    <row r="48113">
      <c r="Y48113" s="372">
        <v>0.0</v>
      </c>
      <c r="Z48113" s="372">
        <v>0.0</v>
      </c>
    </row>
    <row r="48114">
      <c r="Y48114" s="372">
        <v>0.0</v>
      </c>
      <c r="Z48114" s="372">
        <v>0.0</v>
      </c>
    </row>
    <row r="48115">
      <c r="Y48115" s="372">
        <v>0.0</v>
      </c>
      <c r="Z48115" s="372">
        <v>0.0</v>
      </c>
    </row>
    <row r="48116">
      <c r="Y48116" s="372">
        <v>0.0</v>
      </c>
      <c r="Z48116" s="372">
        <v>0.0</v>
      </c>
    </row>
    <row r="48117">
      <c r="Y48117" s="372">
        <v>0.0</v>
      </c>
      <c r="Z48117" s="372">
        <v>0.0</v>
      </c>
    </row>
    <row r="48118">
      <c r="Y48118" s="372">
        <v>0.0</v>
      </c>
      <c r="Z48118" s="372">
        <v>0.0</v>
      </c>
    </row>
    <row r="48119">
      <c r="Y48119" s="372">
        <v>0.0</v>
      </c>
      <c r="Z48119" s="372">
        <v>0.0</v>
      </c>
    </row>
    <row r="48120">
      <c r="Y48120" s="372">
        <v>0.0</v>
      </c>
      <c r="Z48120" s="372">
        <v>0.0</v>
      </c>
    </row>
    <row r="48121">
      <c r="Y48121" s="372">
        <v>0.0</v>
      </c>
      <c r="Z48121" s="372">
        <v>0.0</v>
      </c>
    </row>
    <row r="48122">
      <c r="Y48122" s="372">
        <v>0.0</v>
      </c>
      <c r="Z48122" s="372">
        <v>0.0</v>
      </c>
    </row>
    <row r="48123">
      <c r="Y48123" s="372">
        <v>0.0</v>
      </c>
      <c r="Z48123" s="372">
        <v>0.0</v>
      </c>
    </row>
    <row r="48124">
      <c r="Y48124" s="372">
        <v>0.0</v>
      </c>
      <c r="Z48124" s="372">
        <v>0.0</v>
      </c>
    </row>
    <row r="48125">
      <c r="Y48125" s="372">
        <v>0.0</v>
      </c>
      <c r="Z48125" s="372">
        <v>0.0</v>
      </c>
    </row>
    <row r="48126">
      <c r="Y48126" s="372">
        <v>0.0</v>
      </c>
      <c r="Z48126" s="372">
        <v>0.0</v>
      </c>
    </row>
    <row r="48127">
      <c r="Y48127" s="372">
        <v>0.0</v>
      </c>
      <c r="Z48127" s="372">
        <v>0.0</v>
      </c>
    </row>
    <row r="48128">
      <c r="Y48128" s="372">
        <v>0.0</v>
      </c>
      <c r="Z48128" s="372">
        <v>0.0</v>
      </c>
    </row>
    <row r="48129">
      <c r="Y48129" s="372">
        <v>0.0</v>
      </c>
      <c r="Z48129" s="372">
        <v>0.0</v>
      </c>
    </row>
    <row r="48130">
      <c r="Y48130" s="372">
        <v>0.0</v>
      </c>
      <c r="Z48130" s="372">
        <v>0.0</v>
      </c>
    </row>
    <row r="48131">
      <c r="Y48131" s="372">
        <v>0.0</v>
      </c>
      <c r="Z48131" s="372">
        <v>0.0</v>
      </c>
    </row>
    <row r="48132">
      <c r="Y48132" s="372">
        <v>0.0</v>
      </c>
      <c r="Z48132" s="372">
        <v>0.0</v>
      </c>
    </row>
    <row r="48133">
      <c r="Y48133" s="372">
        <v>0.0</v>
      </c>
      <c r="Z48133" s="372">
        <v>0.0</v>
      </c>
    </row>
    <row r="48134">
      <c r="Y48134" s="372">
        <v>0.0</v>
      </c>
      <c r="Z48134" s="372">
        <v>0.0</v>
      </c>
    </row>
    <row r="48135">
      <c r="Y48135" s="372">
        <v>0.0</v>
      </c>
      <c r="Z48135" s="372">
        <v>0.0</v>
      </c>
    </row>
    <row r="48136">
      <c r="Y48136" s="372">
        <v>0.0</v>
      </c>
      <c r="Z48136" s="372">
        <v>0.0</v>
      </c>
    </row>
    <row r="48137">
      <c r="Y48137" s="372">
        <v>0.0</v>
      </c>
      <c r="Z48137" s="372">
        <v>0.0</v>
      </c>
    </row>
    <row r="48138">
      <c r="Y48138" s="372">
        <v>0.0</v>
      </c>
      <c r="Z48138" s="372">
        <v>0.0</v>
      </c>
    </row>
    <row r="48139">
      <c r="Y48139" s="372">
        <v>0.0</v>
      </c>
      <c r="Z48139" s="372">
        <v>0.0</v>
      </c>
    </row>
    <row r="48140">
      <c r="Y48140" s="372">
        <v>0.0</v>
      </c>
      <c r="Z48140" s="372">
        <v>0.0</v>
      </c>
    </row>
    <row r="48141">
      <c r="Y48141" s="372">
        <v>0.0</v>
      </c>
      <c r="Z48141" s="372">
        <v>0.0</v>
      </c>
    </row>
    <row r="48142">
      <c r="Y48142" s="372">
        <v>0.0</v>
      </c>
      <c r="Z48142" s="372">
        <v>0.0</v>
      </c>
    </row>
    <row r="48143">
      <c r="Y48143" s="372">
        <v>0.0</v>
      </c>
      <c r="Z48143" s="372">
        <v>0.0</v>
      </c>
    </row>
    <row r="48144">
      <c r="Y48144" s="372">
        <v>0.0</v>
      </c>
      <c r="Z48144" s="372">
        <v>0.0</v>
      </c>
    </row>
    <row r="48145">
      <c r="Y48145" s="372">
        <v>0.0</v>
      </c>
      <c r="Z48145" s="372">
        <v>0.0</v>
      </c>
    </row>
    <row r="48146">
      <c r="Y48146" s="372">
        <v>0.0</v>
      </c>
      <c r="Z48146" s="372">
        <v>0.0</v>
      </c>
    </row>
    <row r="48147">
      <c r="Y48147" s="372">
        <v>0.0</v>
      </c>
      <c r="Z48147" s="372">
        <v>0.0</v>
      </c>
    </row>
    <row r="48148">
      <c r="Y48148" s="372">
        <v>0.0</v>
      </c>
      <c r="Z48148" s="372">
        <v>0.0</v>
      </c>
    </row>
    <row r="48149">
      <c r="Y48149" s="372">
        <v>0.0</v>
      </c>
      <c r="Z48149" s="372">
        <v>0.0</v>
      </c>
    </row>
    <row r="48150">
      <c r="Y48150" s="372">
        <v>0.0</v>
      </c>
      <c r="Z48150" s="372">
        <v>0.0</v>
      </c>
    </row>
    <row r="48151">
      <c r="Y48151" s="372">
        <v>0.0</v>
      </c>
      <c r="Z48151" s="372">
        <v>0.0</v>
      </c>
    </row>
    <row r="48152">
      <c r="Y48152" s="372">
        <v>0.0</v>
      </c>
      <c r="Z48152" s="372">
        <v>0.0</v>
      </c>
    </row>
    <row r="48153">
      <c r="Y48153" s="372">
        <v>0.0</v>
      </c>
      <c r="Z48153" s="372">
        <v>0.0</v>
      </c>
    </row>
    <row r="48154">
      <c r="Y48154" s="372">
        <v>0.0</v>
      </c>
      <c r="Z48154" s="372">
        <v>0.0</v>
      </c>
    </row>
    <row r="48155">
      <c r="Y48155" s="372">
        <v>0.0</v>
      </c>
      <c r="Z48155" s="372">
        <v>0.0</v>
      </c>
    </row>
    <row r="48156">
      <c r="Y48156" s="372">
        <v>0.0</v>
      </c>
      <c r="Z48156" s="372">
        <v>0.0</v>
      </c>
    </row>
    <row r="48157">
      <c r="Y48157" s="372">
        <v>0.0</v>
      </c>
      <c r="Z48157" s="372">
        <v>0.0</v>
      </c>
    </row>
    <row r="48158">
      <c r="Y48158" s="372">
        <v>0.0</v>
      </c>
      <c r="Z48158" s="372">
        <v>0.0</v>
      </c>
    </row>
    <row r="48159">
      <c r="Y48159" s="372">
        <v>0.0</v>
      </c>
      <c r="Z48159" s="372">
        <v>0.0</v>
      </c>
    </row>
    <row r="48160">
      <c r="Y48160" s="372">
        <v>0.0</v>
      </c>
      <c r="Z48160" s="372">
        <v>0.0</v>
      </c>
    </row>
    <row r="48161">
      <c r="Y48161" s="372">
        <v>0.0</v>
      </c>
      <c r="Z48161" s="372">
        <v>0.0</v>
      </c>
    </row>
    <row r="48162">
      <c r="Y48162" s="372">
        <v>0.0</v>
      </c>
      <c r="Z48162" s="372">
        <v>0.0</v>
      </c>
    </row>
    <row r="48163">
      <c r="Y48163" s="372">
        <v>0.0</v>
      </c>
      <c r="Z48163" s="372">
        <v>0.0</v>
      </c>
    </row>
    <row r="48164">
      <c r="Y48164" s="372">
        <v>0.0</v>
      </c>
      <c r="Z48164" s="372">
        <v>0.0</v>
      </c>
    </row>
    <row r="48165">
      <c r="Y48165" s="372">
        <v>0.0</v>
      </c>
      <c r="Z48165" s="372">
        <v>0.0</v>
      </c>
    </row>
    <row r="48166">
      <c r="Y48166" s="372">
        <v>0.0</v>
      </c>
      <c r="Z48166" s="372">
        <v>0.0</v>
      </c>
    </row>
    <row r="48167">
      <c r="Y48167" s="372">
        <v>0.0</v>
      </c>
      <c r="Z48167" s="372">
        <v>0.0</v>
      </c>
    </row>
    <row r="48168">
      <c r="Y48168" s="372">
        <v>0.0</v>
      </c>
      <c r="Z48168" s="372">
        <v>0.0</v>
      </c>
    </row>
    <row r="48169">
      <c r="Y48169" s="372">
        <v>0.0</v>
      </c>
      <c r="Z48169" s="372">
        <v>0.0</v>
      </c>
    </row>
    <row r="48170">
      <c r="Y48170" s="372">
        <v>0.0</v>
      </c>
      <c r="Z48170" s="372">
        <v>0.0</v>
      </c>
    </row>
    <row r="48171">
      <c r="Y48171" s="372">
        <v>0.0</v>
      </c>
      <c r="Z48171" s="372">
        <v>0.0</v>
      </c>
    </row>
    <row r="48172">
      <c r="Y48172" s="372">
        <v>0.0</v>
      </c>
      <c r="Z48172" s="372">
        <v>0.0</v>
      </c>
    </row>
    <row r="48173">
      <c r="Y48173" s="372">
        <v>0.0</v>
      </c>
      <c r="Z48173" s="372">
        <v>0.0</v>
      </c>
    </row>
    <row r="48174">
      <c r="Y48174" s="372">
        <v>0.0</v>
      </c>
      <c r="Z48174" s="372">
        <v>0.0</v>
      </c>
    </row>
    <row r="48175">
      <c r="Y48175" s="372">
        <v>0.0</v>
      </c>
      <c r="Z48175" s="372">
        <v>0.0</v>
      </c>
    </row>
    <row r="48176">
      <c r="Y48176" s="372">
        <v>0.0</v>
      </c>
      <c r="Z48176" s="372">
        <v>0.0</v>
      </c>
    </row>
    <row r="48177">
      <c r="Y48177" s="372">
        <v>0.0</v>
      </c>
      <c r="Z48177" s="372">
        <v>0.0</v>
      </c>
    </row>
    <row r="48178">
      <c r="Y48178" s="372">
        <v>0.0</v>
      </c>
      <c r="Z48178" s="372">
        <v>0.0</v>
      </c>
    </row>
    <row r="48179">
      <c r="Y48179" s="372">
        <v>0.0</v>
      </c>
      <c r="Z48179" s="372">
        <v>0.0</v>
      </c>
    </row>
    <row r="48180">
      <c r="Y48180" s="372">
        <v>0.0</v>
      </c>
      <c r="Z48180" s="372">
        <v>0.0</v>
      </c>
    </row>
    <row r="48181">
      <c r="Y48181" s="372">
        <v>0.0</v>
      </c>
      <c r="Z48181" s="372">
        <v>0.0</v>
      </c>
    </row>
    <row r="48182">
      <c r="Y48182" s="372">
        <v>0.0</v>
      </c>
      <c r="Z48182" s="372">
        <v>0.0</v>
      </c>
    </row>
    <row r="48183">
      <c r="Y48183" s="372">
        <v>0.0</v>
      </c>
      <c r="Z48183" s="372">
        <v>0.0</v>
      </c>
    </row>
    <row r="48184">
      <c r="Y48184" s="372">
        <v>0.0</v>
      </c>
      <c r="Z48184" s="372">
        <v>0.0</v>
      </c>
    </row>
    <row r="48185">
      <c r="Y48185" s="372">
        <v>0.0</v>
      </c>
      <c r="Z48185" s="372">
        <v>0.0</v>
      </c>
    </row>
    <row r="48186">
      <c r="Y48186" s="372">
        <v>0.0</v>
      </c>
      <c r="Z48186" s="372">
        <v>0.0</v>
      </c>
    </row>
    <row r="48187">
      <c r="Y48187" s="372">
        <v>0.0</v>
      </c>
      <c r="Z48187" s="372">
        <v>0.0</v>
      </c>
    </row>
    <row r="48188">
      <c r="Y48188" s="372">
        <v>0.0</v>
      </c>
      <c r="Z48188" s="372">
        <v>0.0</v>
      </c>
    </row>
    <row r="48189">
      <c r="Y48189" s="372">
        <v>0.0</v>
      </c>
      <c r="Z48189" s="372">
        <v>0.0</v>
      </c>
    </row>
    <row r="48190">
      <c r="Y48190" s="372">
        <v>0.0</v>
      </c>
      <c r="Z48190" s="372">
        <v>0.0</v>
      </c>
    </row>
    <row r="48191">
      <c r="Y48191" s="372">
        <v>0.0</v>
      </c>
      <c r="Z48191" s="372">
        <v>0.0</v>
      </c>
    </row>
    <row r="48192">
      <c r="Y48192" s="372">
        <v>0.0</v>
      </c>
      <c r="Z48192" s="372">
        <v>0.0</v>
      </c>
    </row>
    <row r="48193">
      <c r="Y48193" s="372">
        <v>0.0</v>
      </c>
      <c r="Z48193" s="372">
        <v>0.0</v>
      </c>
    </row>
    <row r="48194">
      <c r="Y48194" s="372">
        <v>0.0</v>
      </c>
      <c r="Z48194" s="372">
        <v>0.0</v>
      </c>
    </row>
    <row r="48195">
      <c r="Y48195" s="372">
        <v>0.0</v>
      </c>
      <c r="Z48195" s="372">
        <v>0.0</v>
      </c>
    </row>
    <row r="48196">
      <c r="Y48196" s="372">
        <v>0.0</v>
      </c>
      <c r="Z48196" s="372">
        <v>0.0</v>
      </c>
    </row>
    <row r="48197">
      <c r="Y48197" s="372">
        <v>0.0</v>
      </c>
      <c r="Z48197" s="372">
        <v>0.0</v>
      </c>
    </row>
    <row r="48198">
      <c r="Y48198" s="372">
        <v>0.0</v>
      </c>
      <c r="Z48198" s="372">
        <v>0.0</v>
      </c>
    </row>
    <row r="48199">
      <c r="Y48199" s="372">
        <v>0.0</v>
      </c>
      <c r="Z48199" s="372">
        <v>0.0</v>
      </c>
    </row>
    <row r="48200">
      <c r="Y48200" s="372">
        <v>0.0</v>
      </c>
      <c r="Z48200" s="372">
        <v>0.0</v>
      </c>
    </row>
    <row r="48201">
      <c r="Y48201" s="372">
        <v>0.0</v>
      </c>
      <c r="Z48201" s="372">
        <v>0.0</v>
      </c>
    </row>
    <row r="48202">
      <c r="Y48202" s="372">
        <v>0.0</v>
      </c>
      <c r="Z48202" s="372">
        <v>0.0</v>
      </c>
    </row>
    <row r="48203">
      <c r="Y48203" s="372">
        <v>0.0</v>
      </c>
      <c r="Z48203" s="372">
        <v>0.0</v>
      </c>
    </row>
    <row r="48204">
      <c r="Y48204" s="372">
        <v>0.0</v>
      </c>
      <c r="Z48204" s="372">
        <v>0.0</v>
      </c>
    </row>
    <row r="48205">
      <c r="Y48205" s="372">
        <v>0.0</v>
      </c>
      <c r="Z48205" s="372">
        <v>0.0</v>
      </c>
    </row>
    <row r="48206">
      <c r="Y48206" s="372">
        <v>0.0</v>
      </c>
      <c r="Z48206" s="372">
        <v>0.0</v>
      </c>
    </row>
    <row r="48207">
      <c r="Y48207" s="372">
        <v>0.0</v>
      </c>
      <c r="Z48207" s="372">
        <v>0.0</v>
      </c>
    </row>
    <row r="48208">
      <c r="Y48208" s="372">
        <v>0.0</v>
      </c>
      <c r="Z48208" s="372">
        <v>0.0</v>
      </c>
    </row>
    <row r="48209">
      <c r="Y48209" s="372">
        <v>0.0</v>
      </c>
      <c r="Z48209" s="372">
        <v>0.0</v>
      </c>
    </row>
    <row r="48210">
      <c r="Y48210" s="372">
        <v>0.0</v>
      </c>
      <c r="Z48210" s="372">
        <v>0.0</v>
      </c>
    </row>
    <row r="48211">
      <c r="Y48211" s="372">
        <v>0.0</v>
      </c>
      <c r="Z48211" s="372">
        <v>0.0</v>
      </c>
    </row>
    <row r="48212">
      <c r="Y48212" s="372">
        <v>0.0</v>
      </c>
      <c r="Z48212" s="372">
        <v>0.0</v>
      </c>
    </row>
    <row r="48213">
      <c r="Y48213" s="372">
        <v>0.0</v>
      </c>
      <c r="Z48213" s="372">
        <v>0.0</v>
      </c>
    </row>
    <row r="48214">
      <c r="Y48214" s="372">
        <v>0.0</v>
      </c>
      <c r="Z48214" s="372">
        <v>0.0</v>
      </c>
    </row>
    <row r="48215">
      <c r="Y48215" s="372">
        <v>0.0</v>
      </c>
      <c r="Z48215" s="372">
        <v>0.0</v>
      </c>
    </row>
    <row r="48216">
      <c r="Y48216" s="372">
        <v>0.0</v>
      </c>
      <c r="Z48216" s="372">
        <v>0.0</v>
      </c>
    </row>
    <row r="48217">
      <c r="Y48217" s="372">
        <v>0.0</v>
      </c>
      <c r="Z48217" s="372">
        <v>0.0</v>
      </c>
    </row>
    <row r="48218">
      <c r="Y48218" s="372">
        <v>0.0</v>
      </c>
      <c r="Z48218" s="372">
        <v>0.0</v>
      </c>
    </row>
    <row r="48219">
      <c r="Y48219" s="372">
        <v>0.0</v>
      </c>
      <c r="Z48219" s="372">
        <v>0.0</v>
      </c>
    </row>
    <row r="48220">
      <c r="Y48220" s="372">
        <v>0.0</v>
      </c>
      <c r="Z48220" s="372">
        <v>0.0</v>
      </c>
    </row>
    <row r="48221">
      <c r="Y48221" s="372">
        <v>0.0</v>
      </c>
      <c r="Z48221" s="372">
        <v>0.0</v>
      </c>
    </row>
    <row r="48222">
      <c r="Y48222" s="372">
        <v>0.0</v>
      </c>
      <c r="Z48222" s="372">
        <v>0.0</v>
      </c>
    </row>
    <row r="48223">
      <c r="Y48223" s="372">
        <v>0.0</v>
      </c>
      <c r="Z48223" s="372">
        <v>0.0</v>
      </c>
    </row>
    <row r="48224">
      <c r="Y48224" s="372">
        <v>0.0</v>
      </c>
      <c r="Z48224" s="372">
        <v>0.0</v>
      </c>
    </row>
    <row r="48225">
      <c r="Y48225" s="372">
        <v>0.0</v>
      </c>
      <c r="Z48225" s="372">
        <v>0.0</v>
      </c>
    </row>
    <row r="48226">
      <c r="Y48226" s="372">
        <v>0.0</v>
      </c>
      <c r="Z48226" s="372">
        <v>0.0</v>
      </c>
    </row>
    <row r="48227">
      <c r="Y48227" s="372">
        <v>0.0</v>
      </c>
      <c r="Z48227" s="372">
        <v>0.0</v>
      </c>
    </row>
    <row r="48228">
      <c r="Y48228" s="372">
        <v>0.0</v>
      </c>
      <c r="Z48228" s="372">
        <v>0.0</v>
      </c>
    </row>
    <row r="48229">
      <c r="Y48229" s="372">
        <v>0.0</v>
      </c>
      <c r="Z48229" s="372">
        <v>0.0</v>
      </c>
    </row>
    <row r="48230">
      <c r="Y48230" s="372">
        <v>0.0</v>
      </c>
      <c r="Z48230" s="372">
        <v>0.0</v>
      </c>
    </row>
    <row r="48231">
      <c r="Y48231" s="372">
        <v>0.0</v>
      </c>
      <c r="Z48231" s="372">
        <v>0.0</v>
      </c>
    </row>
    <row r="48232">
      <c r="Y48232" s="372">
        <v>0.0</v>
      </c>
      <c r="Z48232" s="372">
        <v>0.0</v>
      </c>
    </row>
    <row r="48233">
      <c r="Y48233" s="372">
        <v>0.0</v>
      </c>
      <c r="Z48233" s="372">
        <v>0.0</v>
      </c>
    </row>
    <row r="48234">
      <c r="Y48234" s="372">
        <v>0.0</v>
      </c>
      <c r="Z48234" s="372">
        <v>0.0</v>
      </c>
    </row>
    <row r="48235">
      <c r="Y48235" s="372">
        <v>0.0</v>
      </c>
      <c r="Z48235" s="372">
        <v>0.0</v>
      </c>
    </row>
    <row r="48236">
      <c r="Y48236" s="372">
        <v>0.0</v>
      </c>
      <c r="Z48236" s="372">
        <v>0.0</v>
      </c>
    </row>
    <row r="48237">
      <c r="Y48237" s="372">
        <v>0.0</v>
      </c>
      <c r="Z48237" s="372">
        <v>0.0</v>
      </c>
    </row>
    <row r="48238">
      <c r="Y48238" s="372">
        <v>0.0</v>
      </c>
      <c r="Z48238" s="372">
        <v>0.0</v>
      </c>
    </row>
    <row r="48239">
      <c r="Y48239" s="372">
        <v>0.0</v>
      </c>
      <c r="Z48239" s="372">
        <v>0.0</v>
      </c>
    </row>
    <row r="48240">
      <c r="Y48240" s="372">
        <v>0.0</v>
      </c>
      <c r="Z48240" s="372">
        <v>0.0</v>
      </c>
    </row>
    <row r="48241">
      <c r="Y48241" s="372">
        <v>0.0</v>
      </c>
      <c r="Z48241" s="372">
        <v>0.0</v>
      </c>
    </row>
    <row r="48242">
      <c r="Y48242" s="372">
        <v>0.0</v>
      </c>
      <c r="Z48242" s="372">
        <v>0.0</v>
      </c>
    </row>
    <row r="48243">
      <c r="Y48243" s="372">
        <v>0.0</v>
      </c>
      <c r="Z48243" s="372">
        <v>0.0</v>
      </c>
    </row>
    <row r="48244">
      <c r="Y48244" s="372">
        <v>0.0</v>
      </c>
      <c r="Z48244" s="372">
        <v>0.0</v>
      </c>
    </row>
    <row r="48245">
      <c r="Y48245" s="372">
        <v>0.0</v>
      </c>
      <c r="Z48245" s="372">
        <v>0.0</v>
      </c>
    </row>
    <row r="48246">
      <c r="Y48246" s="372">
        <v>0.0</v>
      </c>
      <c r="Z48246" s="372">
        <v>0.0</v>
      </c>
    </row>
    <row r="48247">
      <c r="Y48247" s="372">
        <v>0.0</v>
      </c>
      <c r="Z48247" s="372">
        <v>0.0</v>
      </c>
    </row>
    <row r="48248">
      <c r="Y48248" s="372">
        <v>0.0</v>
      </c>
      <c r="Z48248" s="372">
        <v>0.0</v>
      </c>
    </row>
    <row r="48249">
      <c r="Y48249" s="372">
        <v>0.0</v>
      </c>
      <c r="Z48249" s="372">
        <v>0.0</v>
      </c>
    </row>
    <row r="48250">
      <c r="Y48250" s="372">
        <v>0.0</v>
      </c>
      <c r="Z48250" s="372">
        <v>0.0</v>
      </c>
    </row>
    <row r="48251">
      <c r="Y48251" s="372">
        <v>0.0</v>
      </c>
      <c r="Z48251" s="372">
        <v>0.0</v>
      </c>
    </row>
    <row r="48252">
      <c r="Y48252" s="372">
        <v>0.0</v>
      </c>
      <c r="Z48252" s="372">
        <v>0.0</v>
      </c>
    </row>
    <row r="48253">
      <c r="Y48253" s="372">
        <v>0.0</v>
      </c>
      <c r="Z48253" s="372">
        <v>0.0</v>
      </c>
    </row>
    <row r="48254">
      <c r="Y48254" s="372">
        <v>0.0</v>
      </c>
      <c r="Z48254" s="372">
        <v>0.0</v>
      </c>
    </row>
    <row r="48255">
      <c r="Y48255" s="372">
        <v>0.0</v>
      </c>
      <c r="Z48255" s="372">
        <v>0.0</v>
      </c>
    </row>
    <row r="48256">
      <c r="Y48256" s="372">
        <v>0.0</v>
      </c>
      <c r="Z48256" s="372">
        <v>0.0</v>
      </c>
    </row>
    <row r="48257">
      <c r="Y48257" s="372">
        <v>0.0</v>
      </c>
      <c r="Z48257" s="372">
        <v>0.0</v>
      </c>
    </row>
    <row r="48258">
      <c r="Y48258" s="372">
        <v>0.0</v>
      </c>
      <c r="Z48258" s="372">
        <v>0.0</v>
      </c>
    </row>
    <row r="48259">
      <c r="Y48259" s="372">
        <v>0.0</v>
      </c>
      <c r="Z48259" s="372">
        <v>0.0</v>
      </c>
    </row>
    <row r="48260">
      <c r="Y48260" s="372">
        <v>0.0</v>
      </c>
      <c r="Z48260" s="372">
        <v>0.0</v>
      </c>
    </row>
    <row r="48261">
      <c r="Y48261" s="372">
        <v>0.0</v>
      </c>
      <c r="Z48261" s="372">
        <v>0.0</v>
      </c>
    </row>
    <row r="48262">
      <c r="Y48262" s="372">
        <v>0.0</v>
      </c>
      <c r="Z48262" s="372">
        <v>0.0</v>
      </c>
    </row>
    <row r="48263">
      <c r="Y48263" s="372">
        <v>0.0</v>
      </c>
      <c r="Z48263" s="372">
        <v>0.0</v>
      </c>
    </row>
    <row r="48264">
      <c r="Y48264" s="372">
        <v>0.0</v>
      </c>
      <c r="Z48264" s="372">
        <v>0.0</v>
      </c>
    </row>
    <row r="48265">
      <c r="Y48265" s="372">
        <v>0.0</v>
      </c>
      <c r="Z48265" s="372">
        <v>0.0</v>
      </c>
    </row>
    <row r="48266">
      <c r="Y48266" s="372">
        <v>0.0</v>
      </c>
      <c r="Z48266" s="372">
        <v>0.0</v>
      </c>
    </row>
    <row r="48267">
      <c r="Y48267" s="372">
        <v>0.0</v>
      </c>
      <c r="Z48267" s="372">
        <v>0.0</v>
      </c>
    </row>
    <row r="48268">
      <c r="Y48268" s="372">
        <v>0.0</v>
      </c>
      <c r="Z48268" s="372">
        <v>0.0</v>
      </c>
    </row>
    <row r="48269">
      <c r="Y48269" s="372">
        <v>0.0</v>
      </c>
      <c r="Z48269" s="372">
        <v>0.0</v>
      </c>
    </row>
    <row r="48270">
      <c r="Y48270" s="372">
        <v>0.0</v>
      </c>
      <c r="Z48270" s="372">
        <v>0.0</v>
      </c>
    </row>
    <row r="48271">
      <c r="Y48271" s="372">
        <v>0.0</v>
      </c>
      <c r="Z48271" s="372">
        <v>0.0</v>
      </c>
    </row>
    <row r="48272">
      <c r="Y48272" s="372">
        <v>0.0</v>
      </c>
      <c r="Z48272" s="372">
        <v>0.0</v>
      </c>
    </row>
    <row r="48273">
      <c r="Y48273" s="372">
        <v>0.0</v>
      </c>
      <c r="Z48273" s="372">
        <v>0.0</v>
      </c>
    </row>
    <row r="48274">
      <c r="Y48274" s="372">
        <v>0.0</v>
      </c>
      <c r="Z48274" s="372">
        <v>0.0</v>
      </c>
    </row>
    <row r="48275">
      <c r="Y48275" s="372">
        <v>0.0</v>
      </c>
      <c r="Z48275" s="372">
        <v>0.0</v>
      </c>
    </row>
    <row r="48276">
      <c r="Y48276" s="372">
        <v>0.0</v>
      </c>
      <c r="Z48276" s="372">
        <v>0.0</v>
      </c>
    </row>
    <row r="48277">
      <c r="Y48277" s="372">
        <v>0.0</v>
      </c>
      <c r="Z48277" s="372">
        <v>0.0</v>
      </c>
    </row>
    <row r="48278">
      <c r="Y48278" s="372">
        <v>0.0</v>
      </c>
      <c r="Z48278" s="372">
        <v>0.0</v>
      </c>
    </row>
    <row r="48279">
      <c r="Y48279" s="372">
        <v>0.0</v>
      </c>
      <c r="Z48279" s="372">
        <v>0.0</v>
      </c>
    </row>
    <row r="48280">
      <c r="Y48280" s="372">
        <v>0.0</v>
      </c>
      <c r="Z48280" s="372">
        <v>0.0</v>
      </c>
    </row>
    <row r="48281">
      <c r="Y48281" s="372">
        <v>0.0</v>
      </c>
      <c r="Z48281" s="372">
        <v>0.0</v>
      </c>
    </row>
    <row r="48282">
      <c r="Y48282" s="372">
        <v>0.0</v>
      </c>
      <c r="Z48282" s="372">
        <v>0.0</v>
      </c>
    </row>
    <row r="48283">
      <c r="Y48283" s="372">
        <v>0.0</v>
      </c>
      <c r="Z48283" s="372">
        <v>0.0</v>
      </c>
    </row>
    <row r="48284">
      <c r="Y48284" s="372">
        <v>0.0</v>
      </c>
      <c r="Z48284" s="372">
        <v>0.0</v>
      </c>
    </row>
    <row r="48285">
      <c r="Y48285" s="372">
        <v>0.0</v>
      </c>
      <c r="Z48285" s="372">
        <v>0.0</v>
      </c>
    </row>
    <row r="48286">
      <c r="Y48286" s="372">
        <v>0.0</v>
      </c>
      <c r="Z48286" s="372">
        <v>0.0</v>
      </c>
    </row>
    <row r="48287">
      <c r="Y48287" s="372">
        <v>0.0</v>
      </c>
      <c r="Z48287" s="372">
        <v>0.0</v>
      </c>
    </row>
    <row r="48288">
      <c r="Y48288" s="372">
        <v>0.0</v>
      </c>
      <c r="Z48288" s="372">
        <v>0.0</v>
      </c>
    </row>
    <row r="48289">
      <c r="Y48289" s="372">
        <v>0.0</v>
      </c>
      <c r="Z48289" s="372">
        <v>0.0</v>
      </c>
    </row>
    <row r="48290">
      <c r="Y48290" s="372">
        <v>0.0</v>
      </c>
      <c r="Z48290" s="372">
        <v>0.0</v>
      </c>
    </row>
    <row r="48291">
      <c r="Y48291" s="372">
        <v>0.0</v>
      </c>
      <c r="Z48291" s="372">
        <v>0.0</v>
      </c>
    </row>
    <row r="48292">
      <c r="Y48292" s="372">
        <v>0.0</v>
      </c>
      <c r="Z48292" s="372">
        <v>0.0</v>
      </c>
    </row>
    <row r="48293">
      <c r="Y48293" s="372">
        <v>0.0</v>
      </c>
      <c r="Z48293" s="372">
        <v>0.0</v>
      </c>
    </row>
    <row r="48294">
      <c r="Y48294" s="372">
        <v>0.0</v>
      </c>
      <c r="Z48294" s="372">
        <v>0.0</v>
      </c>
    </row>
    <row r="48295">
      <c r="Y48295" s="372">
        <v>0.0</v>
      </c>
      <c r="Z48295" s="372">
        <v>0.0</v>
      </c>
    </row>
    <row r="48296">
      <c r="Y48296" s="372">
        <v>0.0</v>
      </c>
      <c r="Z48296" s="372">
        <v>0.0</v>
      </c>
    </row>
    <row r="48297">
      <c r="Y48297" s="372">
        <v>0.0</v>
      </c>
      <c r="Z48297" s="372">
        <v>0.0</v>
      </c>
    </row>
    <row r="48298">
      <c r="Y48298" s="372">
        <v>0.0</v>
      </c>
      <c r="Z48298" s="372">
        <v>0.0</v>
      </c>
    </row>
    <row r="48299">
      <c r="Y48299" s="372">
        <v>0.0</v>
      </c>
      <c r="Z48299" s="372">
        <v>0.0</v>
      </c>
    </row>
    <row r="48300">
      <c r="Y48300" s="372">
        <v>0.0</v>
      </c>
      <c r="Z48300" s="372">
        <v>0.0</v>
      </c>
    </row>
    <row r="48301">
      <c r="Y48301" s="372">
        <v>0.0</v>
      </c>
      <c r="Z48301" s="372">
        <v>0.0</v>
      </c>
    </row>
    <row r="48302">
      <c r="Y48302" s="372">
        <v>0.0</v>
      </c>
      <c r="Z48302" s="372">
        <v>0.0</v>
      </c>
    </row>
    <row r="48303">
      <c r="Y48303" s="372">
        <v>0.0</v>
      </c>
      <c r="Z48303" s="372">
        <v>0.0</v>
      </c>
    </row>
    <row r="48304">
      <c r="Y48304" s="372">
        <v>0.0</v>
      </c>
      <c r="Z48304" s="372">
        <v>0.0</v>
      </c>
    </row>
    <row r="48305">
      <c r="Y48305" s="372">
        <v>0.0</v>
      </c>
      <c r="Z48305" s="372">
        <v>0.0</v>
      </c>
    </row>
    <row r="48306">
      <c r="Y48306" s="372">
        <v>0.0</v>
      </c>
      <c r="Z48306" s="372">
        <v>0.0</v>
      </c>
    </row>
    <row r="48307">
      <c r="Y48307" s="372">
        <v>0.0</v>
      </c>
      <c r="Z48307" s="372">
        <v>0.0</v>
      </c>
    </row>
    <row r="48308">
      <c r="Y48308" s="372">
        <v>0.0</v>
      </c>
      <c r="Z48308" s="372">
        <v>0.0</v>
      </c>
    </row>
    <row r="48309">
      <c r="Y48309" s="372">
        <v>0.0</v>
      </c>
      <c r="Z48309" s="372">
        <v>0.0</v>
      </c>
    </row>
    <row r="48310">
      <c r="Y48310" s="372">
        <v>0.0</v>
      </c>
      <c r="Z48310" s="372">
        <v>0.0</v>
      </c>
    </row>
    <row r="48311">
      <c r="Y48311" s="372">
        <v>0.0</v>
      </c>
      <c r="Z48311" s="372">
        <v>0.0</v>
      </c>
    </row>
    <row r="48312">
      <c r="Y48312" s="372">
        <v>0.0</v>
      </c>
      <c r="Z48312" s="372">
        <v>0.0</v>
      </c>
    </row>
    <row r="48313">
      <c r="Y48313" s="372">
        <v>0.0</v>
      </c>
      <c r="Z48313" s="372">
        <v>0.0</v>
      </c>
    </row>
    <row r="48314">
      <c r="Y48314" s="372">
        <v>0.0</v>
      </c>
      <c r="Z48314" s="372">
        <v>0.0</v>
      </c>
    </row>
    <row r="48315">
      <c r="Y48315" s="372">
        <v>0.0</v>
      </c>
      <c r="Z48315" s="372">
        <v>0.0</v>
      </c>
    </row>
    <row r="48316">
      <c r="Y48316" s="372">
        <v>0.0</v>
      </c>
      <c r="Z48316" s="372">
        <v>0.0</v>
      </c>
    </row>
    <row r="48317">
      <c r="Y48317" s="372">
        <v>0.0</v>
      </c>
      <c r="Z48317" s="372">
        <v>0.0</v>
      </c>
    </row>
    <row r="48318">
      <c r="Y48318" s="372">
        <v>0.0</v>
      </c>
      <c r="Z48318" s="372">
        <v>0.0</v>
      </c>
    </row>
    <row r="48319">
      <c r="Y48319" s="372">
        <v>0.0</v>
      </c>
      <c r="Z48319" s="372">
        <v>0.0</v>
      </c>
    </row>
    <row r="48320">
      <c r="Y48320" s="372">
        <v>0.0</v>
      </c>
      <c r="Z48320" s="372">
        <v>0.0</v>
      </c>
    </row>
    <row r="48321">
      <c r="Y48321" s="372">
        <v>0.0</v>
      </c>
      <c r="Z48321" s="372">
        <v>0.0</v>
      </c>
    </row>
    <row r="48322">
      <c r="Y48322" s="372">
        <v>0.0</v>
      </c>
      <c r="Z48322" s="372">
        <v>0.0</v>
      </c>
    </row>
    <row r="48323">
      <c r="Y48323" s="372">
        <v>0.0</v>
      </c>
      <c r="Z48323" s="372">
        <v>0.0</v>
      </c>
    </row>
    <row r="48324">
      <c r="Y48324" s="372">
        <v>0.0</v>
      </c>
      <c r="Z48324" s="372">
        <v>0.0</v>
      </c>
    </row>
    <row r="48325">
      <c r="Y48325" s="372">
        <v>0.0</v>
      </c>
      <c r="Z48325" s="372">
        <v>0.0</v>
      </c>
    </row>
    <row r="48326">
      <c r="Y48326" s="372">
        <v>0.0</v>
      </c>
      <c r="Z48326" s="372">
        <v>0.0</v>
      </c>
    </row>
    <row r="48327">
      <c r="Y48327" s="372">
        <v>0.0</v>
      </c>
      <c r="Z48327" s="372">
        <v>0.0</v>
      </c>
    </row>
    <row r="48328">
      <c r="Y48328" s="372">
        <v>0.0</v>
      </c>
      <c r="Z48328" s="372">
        <v>0.0</v>
      </c>
    </row>
    <row r="48329">
      <c r="Y48329" s="372">
        <v>0.0</v>
      </c>
      <c r="Z48329" s="372">
        <v>0.0</v>
      </c>
    </row>
    <row r="48330">
      <c r="Y48330" s="372">
        <v>0.0</v>
      </c>
      <c r="Z48330" s="372">
        <v>0.0</v>
      </c>
    </row>
    <row r="48331">
      <c r="Y48331" s="372">
        <v>0.0</v>
      </c>
      <c r="Z48331" s="372">
        <v>0.0</v>
      </c>
    </row>
    <row r="48332">
      <c r="Y48332" s="372">
        <v>0.0</v>
      </c>
      <c r="Z48332" s="372">
        <v>0.0</v>
      </c>
    </row>
    <row r="48333">
      <c r="Y48333" s="372">
        <v>0.0</v>
      </c>
      <c r="Z48333" s="372">
        <v>0.0</v>
      </c>
    </row>
    <row r="48334">
      <c r="Y48334" s="372">
        <v>0.0</v>
      </c>
      <c r="Z48334" s="372">
        <v>0.0</v>
      </c>
    </row>
    <row r="48335">
      <c r="Y48335" s="372">
        <v>0.0</v>
      </c>
      <c r="Z48335" s="372">
        <v>0.0</v>
      </c>
    </row>
    <row r="48336">
      <c r="Y48336" s="372">
        <v>0.0</v>
      </c>
      <c r="Z48336" s="372">
        <v>0.0</v>
      </c>
    </row>
    <row r="48337">
      <c r="Y48337" s="372">
        <v>0.0</v>
      </c>
      <c r="Z48337" s="372">
        <v>0.0</v>
      </c>
    </row>
    <row r="48338">
      <c r="Y48338" s="372">
        <v>0.0</v>
      </c>
      <c r="Z48338" s="372">
        <v>0.0</v>
      </c>
    </row>
    <row r="48339">
      <c r="Y48339" s="372">
        <v>0.0</v>
      </c>
      <c r="Z48339" s="372">
        <v>0.0</v>
      </c>
    </row>
    <row r="48340">
      <c r="Y48340" s="372">
        <v>0.0</v>
      </c>
      <c r="Z48340" s="372">
        <v>0.0</v>
      </c>
    </row>
    <row r="48341">
      <c r="Y48341" s="372">
        <v>0.0</v>
      </c>
      <c r="Z48341" s="372">
        <v>0.0</v>
      </c>
    </row>
    <row r="48342">
      <c r="Y48342" s="372">
        <v>0.0</v>
      </c>
      <c r="Z48342" s="372">
        <v>0.0</v>
      </c>
    </row>
    <row r="48343">
      <c r="Y48343" s="372">
        <v>0.0</v>
      </c>
      <c r="Z48343" s="372">
        <v>0.0</v>
      </c>
    </row>
    <row r="48344">
      <c r="Y48344" s="372">
        <v>0.0</v>
      </c>
      <c r="Z48344" s="372">
        <v>0.0</v>
      </c>
    </row>
    <row r="48345">
      <c r="Y48345" s="372">
        <v>0.0</v>
      </c>
      <c r="Z48345" s="372">
        <v>0.0</v>
      </c>
    </row>
    <row r="48346">
      <c r="Y48346" s="372">
        <v>0.0</v>
      </c>
      <c r="Z48346" s="372">
        <v>0.0</v>
      </c>
    </row>
    <row r="48347">
      <c r="Y48347" s="372">
        <v>0.0</v>
      </c>
      <c r="Z48347" s="372">
        <v>0.0</v>
      </c>
    </row>
    <row r="48348">
      <c r="Y48348" s="372">
        <v>0.0</v>
      </c>
      <c r="Z48348" s="372">
        <v>0.0</v>
      </c>
    </row>
    <row r="48349">
      <c r="Y48349" s="372">
        <v>0.0</v>
      </c>
      <c r="Z48349" s="372">
        <v>0.0</v>
      </c>
    </row>
    <row r="48350">
      <c r="Y48350" s="372">
        <v>0.0</v>
      </c>
      <c r="Z48350" s="372">
        <v>0.0</v>
      </c>
    </row>
    <row r="48351">
      <c r="Y48351" s="372">
        <v>0.0</v>
      </c>
      <c r="Z48351" s="372">
        <v>0.0</v>
      </c>
    </row>
    <row r="48352">
      <c r="Y48352" s="372">
        <v>0.0</v>
      </c>
      <c r="Z48352" s="372">
        <v>0.0</v>
      </c>
    </row>
    <row r="48353">
      <c r="Y48353" s="372">
        <v>0.0</v>
      </c>
      <c r="Z48353" s="372">
        <v>0.0</v>
      </c>
    </row>
    <row r="48354">
      <c r="Y48354" s="372">
        <v>0.0</v>
      </c>
      <c r="Z48354" s="372">
        <v>0.0</v>
      </c>
    </row>
    <row r="48355">
      <c r="Y48355" s="372">
        <v>0.0</v>
      </c>
      <c r="Z48355" s="372">
        <v>0.0</v>
      </c>
    </row>
    <row r="48356">
      <c r="Y48356" s="372">
        <v>0.0</v>
      </c>
      <c r="Z48356" s="372">
        <v>0.0</v>
      </c>
    </row>
    <row r="48357">
      <c r="Y48357" s="372">
        <v>0.0</v>
      </c>
      <c r="Z48357" s="372">
        <v>0.0</v>
      </c>
    </row>
    <row r="48358">
      <c r="Y48358" s="372">
        <v>0.0</v>
      </c>
      <c r="Z48358" s="372">
        <v>0.0</v>
      </c>
    </row>
    <row r="48359">
      <c r="Y48359" s="372">
        <v>0.0</v>
      </c>
      <c r="Z48359" s="372">
        <v>0.0</v>
      </c>
    </row>
    <row r="48360">
      <c r="Y48360" s="372">
        <v>0.0</v>
      </c>
      <c r="Z48360" s="372">
        <v>0.0</v>
      </c>
    </row>
    <row r="48361">
      <c r="Y48361" s="372">
        <v>0.0</v>
      </c>
      <c r="Z48361" s="372">
        <v>0.0</v>
      </c>
    </row>
    <row r="48362">
      <c r="Y48362" s="372">
        <v>0.0</v>
      </c>
      <c r="Z48362" s="372">
        <v>0.0</v>
      </c>
    </row>
    <row r="48363">
      <c r="Y48363" s="372">
        <v>0.0</v>
      </c>
      <c r="Z48363" s="372">
        <v>0.0</v>
      </c>
    </row>
    <row r="48364">
      <c r="Y48364" s="372">
        <v>0.0</v>
      </c>
      <c r="Z48364" s="372">
        <v>0.0</v>
      </c>
    </row>
    <row r="48365">
      <c r="Y48365" s="372">
        <v>0.0</v>
      </c>
      <c r="Z48365" s="372">
        <v>0.0</v>
      </c>
    </row>
    <row r="48366">
      <c r="Y48366" s="372">
        <v>0.0</v>
      </c>
      <c r="Z48366" s="372">
        <v>0.0</v>
      </c>
    </row>
    <row r="48367">
      <c r="Y48367" s="372">
        <v>0.0</v>
      </c>
      <c r="Z48367" s="372">
        <v>0.0</v>
      </c>
    </row>
    <row r="48368">
      <c r="Y48368" s="372">
        <v>0.0</v>
      </c>
      <c r="Z48368" s="372">
        <v>0.0</v>
      </c>
    </row>
    <row r="48369">
      <c r="Y48369" s="372">
        <v>0.0</v>
      </c>
      <c r="Z48369" s="372">
        <v>0.0</v>
      </c>
    </row>
    <row r="48370">
      <c r="Y48370" s="372">
        <v>0.0</v>
      </c>
      <c r="Z48370" s="372">
        <v>0.0</v>
      </c>
    </row>
    <row r="48371">
      <c r="Y48371" s="372">
        <v>0.0</v>
      </c>
      <c r="Z48371" s="372">
        <v>0.0</v>
      </c>
    </row>
    <row r="48372">
      <c r="Y48372" s="372">
        <v>0.0</v>
      </c>
      <c r="Z48372" s="372">
        <v>0.0</v>
      </c>
    </row>
    <row r="48373">
      <c r="Y48373" s="372">
        <v>0.0</v>
      </c>
      <c r="Z48373" s="372">
        <v>0.0</v>
      </c>
    </row>
    <row r="48374">
      <c r="Y48374" s="372">
        <v>0.0</v>
      </c>
      <c r="Z48374" s="372">
        <v>0.0</v>
      </c>
    </row>
    <row r="48375">
      <c r="Y48375" s="372">
        <v>0.0</v>
      </c>
      <c r="Z48375" s="372">
        <v>0.0</v>
      </c>
    </row>
    <row r="48376">
      <c r="Y48376" s="372">
        <v>0.0</v>
      </c>
      <c r="Z48376" s="372">
        <v>0.0</v>
      </c>
    </row>
    <row r="48377">
      <c r="Y48377" s="372">
        <v>0.0</v>
      </c>
      <c r="Z48377" s="372">
        <v>0.0</v>
      </c>
    </row>
    <row r="48378">
      <c r="Y48378" s="372">
        <v>0.0</v>
      </c>
      <c r="Z48378" s="372">
        <v>0.0</v>
      </c>
    </row>
    <row r="48379">
      <c r="Y48379" s="372">
        <v>0.0</v>
      </c>
      <c r="Z48379" s="372">
        <v>0.0</v>
      </c>
    </row>
    <row r="48380">
      <c r="Y48380" s="372">
        <v>0.0</v>
      </c>
      <c r="Z48380" s="372">
        <v>0.0</v>
      </c>
    </row>
    <row r="48381">
      <c r="Y48381" s="372">
        <v>0.0</v>
      </c>
      <c r="Z48381" s="372">
        <v>0.0</v>
      </c>
    </row>
    <row r="48382">
      <c r="Y48382" s="372">
        <v>0.0</v>
      </c>
      <c r="Z48382" s="372">
        <v>0.0</v>
      </c>
    </row>
    <row r="48383">
      <c r="Y48383" s="372">
        <v>0.0</v>
      </c>
      <c r="Z48383" s="372">
        <v>0.0</v>
      </c>
    </row>
    <row r="48384">
      <c r="Y48384" s="372">
        <v>0.0</v>
      </c>
      <c r="Z48384" s="372">
        <v>0.0</v>
      </c>
    </row>
    <row r="48385">
      <c r="Y48385" s="372">
        <v>0.0</v>
      </c>
      <c r="Z48385" s="372">
        <v>0.0</v>
      </c>
    </row>
    <row r="48386">
      <c r="Y48386" s="372">
        <v>0.0</v>
      </c>
      <c r="Z48386" s="372">
        <v>0.0</v>
      </c>
    </row>
    <row r="48387">
      <c r="Y48387" s="372">
        <v>0.0</v>
      </c>
      <c r="Z48387" s="372">
        <v>0.0</v>
      </c>
    </row>
    <row r="48388">
      <c r="Y48388" s="372">
        <v>0.0</v>
      </c>
      <c r="Z48388" s="372">
        <v>0.0</v>
      </c>
    </row>
    <row r="48389">
      <c r="Y48389" s="372">
        <v>0.0</v>
      </c>
      <c r="Z48389" s="372">
        <v>0.0</v>
      </c>
    </row>
    <row r="48390">
      <c r="Y48390" s="372">
        <v>0.0</v>
      </c>
      <c r="Z48390" s="372">
        <v>0.0</v>
      </c>
    </row>
    <row r="48391">
      <c r="Y48391" s="372">
        <v>0.0</v>
      </c>
      <c r="Z48391" s="372">
        <v>0.0</v>
      </c>
    </row>
    <row r="48392">
      <c r="Y48392" s="372">
        <v>0.0</v>
      </c>
      <c r="Z48392" s="372">
        <v>0.0</v>
      </c>
    </row>
    <row r="48393">
      <c r="Y48393" s="372">
        <v>0.0</v>
      </c>
      <c r="Z48393" s="372">
        <v>0.0</v>
      </c>
    </row>
    <row r="48394">
      <c r="Y48394" s="372">
        <v>0.0</v>
      </c>
      <c r="Z48394" s="372">
        <v>0.0</v>
      </c>
    </row>
    <row r="48395">
      <c r="Y48395" s="372">
        <v>0.0</v>
      </c>
      <c r="Z48395" s="372">
        <v>0.0</v>
      </c>
    </row>
    <row r="48396">
      <c r="Y48396" s="372">
        <v>0.0</v>
      </c>
      <c r="Z48396" s="372">
        <v>0.0</v>
      </c>
    </row>
    <row r="48397">
      <c r="Y48397" s="372">
        <v>0.0</v>
      </c>
      <c r="Z48397" s="372">
        <v>0.0</v>
      </c>
    </row>
    <row r="48398">
      <c r="Y48398" s="372">
        <v>0.0</v>
      </c>
      <c r="Z48398" s="372">
        <v>0.0</v>
      </c>
    </row>
    <row r="48399">
      <c r="Y48399" s="372">
        <v>0.0</v>
      </c>
      <c r="Z48399" s="372">
        <v>0.0</v>
      </c>
    </row>
    <row r="48400">
      <c r="Y48400" s="372">
        <v>0.0</v>
      </c>
      <c r="Z48400" s="372">
        <v>0.0</v>
      </c>
    </row>
    <row r="48401">
      <c r="Y48401" s="372">
        <v>0.0</v>
      </c>
      <c r="Z48401" s="372">
        <v>0.0</v>
      </c>
    </row>
    <row r="48402">
      <c r="Y48402" s="372">
        <v>0.0</v>
      </c>
      <c r="Z48402" s="372">
        <v>0.0</v>
      </c>
    </row>
    <row r="48403">
      <c r="Y48403" s="372">
        <v>0.0</v>
      </c>
      <c r="Z48403" s="372">
        <v>0.0</v>
      </c>
    </row>
    <row r="48404">
      <c r="Y48404" s="372">
        <v>0.0</v>
      </c>
      <c r="Z48404" s="372">
        <v>0.0</v>
      </c>
    </row>
    <row r="48405">
      <c r="Y48405" s="372">
        <v>0.0</v>
      </c>
      <c r="Z48405" s="372">
        <v>0.0</v>
      </c>
    </row>
    <row r="48406">
      <c r="Y48406" s="372">
        <v>0.0</v>
      </c>
      <c r="Z48406" s="372">
        <v>0.0</v>
      </c>
    </row>
    <row r="48407">
      <c r="Y48407" s="372">
        <v>0.0</v>
      </c>
      <c r="Z48407" s="372">
        <v>0.0</v>
      </c>
    </row>
    <row r="48408">
      <c r="Y48408" s="372">
        <v>0.0</v>
      </c>
      <c r="Z48408" s="372">
        <v>0.0</v>
      </c>
    </row>
    <row r="48409">
      <c r="Y48409" s="372">
        <v>0.0</v>
      </c>
      <c r="Z48409" s="372">
        <v>0.0</v>
      </c>
    </row>
    <row r="48410">
      <c r="Y48410" s="372">
        <v>0.0</v>
      </c>
      <c r="Z48410" s="372">
        <v>0.0</v>
      </c>
    </row>
    <row r="48411">
      <c r="Y48411" s="372">
        <v>0.0</v>
      </c>
      <c r="Z48411" s="372">
        <v>0.0</v>
      </c>
    </row>
    <row r="48412">
      <c r="Y48412" s="372">
        <v>0.0</v>
      </c>
      <c r="Z48412" s="372">
        <v>0.0</v>
      </c>
    </row>
    <row r="48413">
      <c r="Y48413" s="372">
        <v>0.0</v>
      </c>
      <c r="Z48413" s="372">
        <v>0.0</v>
      </c>
    </row>
    <row r="48414">
      <c r="Y48414" s="372">
        <v>0.0</v>
      </c>
      <c r="Z48414" s="372">
        <v>0.0</v>
      </c>
    </row>
    <row r="48415">
      <c r="Y48415" s="372">
        <v>0.0</v>
      </c>
      <c r="Z48415" s="372">
        <v>0.0</v>
      </c>
    </row>
    <row r="48416">
      <c r="Y48416" s="372">
        <v>0.0</v>
      </c>
      <c r="Z48416" s="372">
        <v>0.0</v>
      </c>
    </row>
    <row r="48417">
      <c r="Y48417" s="372">
        <v>0.0</v>
      </c>
      <c r="Z48417" s="372">
        <v>0.0</v>
      </c>
    </row>
    <row r="48418">
      <c r="Y48418" s="372">
        <v>0.0</v>
      </c>
      <c r="Z48418" s="372">
        <v>0.0</v>
      </c>
    </row>
    <row r="48419">
      <c r="Y48419" s="372">
        <v>0.0</v>
      </c>
      <c r="Z48419" s="372">
        <v>0.0</v>
      </c>
    </row>
    <row r="48420">
      <c r="Y48420" s="372">
        <v>0.0</v>
      </c>
      <c r="Z48420" s="372">
        <v>0.0</v>
      </c>
    </row>
    <row r="48421">
      <c r="Y48421" s="372">
        <v>0.0</v>
      </c>
      <c r="Z48421" s="372">
        <v>0.0</v>
      </c>
    </row>
    <row r="48422">
      <c r="Y48422" s="372">
        <v>0.0</v>
      </c>
      <c r="Z48422" s="372">
        <v>0.0</v>
      </c>
    </row>
    <row r="48423">
      <c r="Y48423" s="372">
        <v>0.0</v>
      </c>
      <c r="Z48423" s="372">
        <v>0.0</v>
      </c>
    </row>
    <row r="48424">
      <c r="Y48424" s="372">
        <v>0.0</v>
      </c>
      <c r="Z48424" s="372">
        <v>0.0</v>
      </c>
    </row>
    <row r="48425">
      <c r="Y48425" s="372">
        <v>0.0</v>
      </c>
      <c r="Z48425" s="372">
        <v>0.0</v>
      </c>
    </row>
    <row r="48426">
      <c r="Y48426" s="372">
        <v>0.0</v>
      </c>
      <c r="Z48426" s="372">
        <v>0.0</v>
      </c>
    </row>
    <row r="48427">
      <c r="Y48427" s="372">
        <v>0.0</v>
      </c>
      <c r="Z48427" s="372">
        <v>0.0</v>
      </c>
    </row>
    <row r="48428">
      <c r="Y48428" s="372">
        <v>0.0</v>
      </c>
      <c r="Z48428" s="372">
        <v>0.0</v>
      </c>
    </row>
    <row r="48429">
      <c r="Y48429" s="372">
        <v>0.0</v>
      </c>
      <c r="Z48429" s="372">
        <v>0.0</v>
      </c>
    </row>
    <row r="48430">
      <c r="Y48430" s="372">
        <v>0.0</v>
      </c>
      <c r="Z48430" s="372">
        <v>0.0</v>
      </c>
    </row>
    <row r="48431">
      <c r="Y48431" s="372">
        <v>0.0</v>
      </c>
      <c r="Z48431" s="372">
        <v>0.0</v>
      </c>
    </row>
    <row r="48432">
      <c r="Y48432" s="372">
        <v>0.0</v>
      </c>
      <c r="Z48432" s="372">
        <v>0.0</v>
      </c>
    </row>
    <row r="48433">
      <c r="Y48433" s="372">
        <v>0.0</v>
      </c>
      <c r="Z48433" s="372">
        <v>0.0</v>
      </c>
    </row>
    <row r="48434">
      <c r="Y48434" s="372">
        <v>0.0</v>
      </c>
      <c r="Z48434" s="372">
        <v>0.0</v>
      </c>
    </row>
    <row r="48435">
      <c r="Y48435" s="372">
        <v>0.0</v>
      </c>
      <c r="Z48435" s="372">
        <v>0.0</v>
      </c>
    </row>
    <row r="48436">
      <c r="Y48436" s="372">
        <v>0.0</v>
      </c>
      <c r="Z48436" s="372">
        <v>0.0</v>
      </c>
    </row>
    <row r="48437">
      <c r="Y48437" s="372">
        <v>0.0</v>
      </c>
      <c r="Z48437" s="372">
        <v>0.0</v>
      </c>
    </row>
    <row r="48438">
      <c r="Y48438" s="372">
        <v>0.0</v>
      </c>
      <c r="Z48438" s="372">
        <v>0.0</v>
      </c>
    </row>
    <row r="48439">
      <c r="Y48439" s="372">
        <v>0.0</v>
      </c>
      <c r="Z48439" s="372">
        <v>0.0</v>
      </c>
    </row>
    <row r="48440">
      <c r="Y48440" s="372">
        <v>0.0</v>
      </c>
      <c r="Z48440" s="372">
        <v>0.0</v>
      </c>
    </row>
    <row r="48441">
      <c r="Y48441" s="372">
        <v>0.0</v>
      </c>
      <c r="Z48441" s="372">
        <v>0.0</v>
      </c>
    </row>
    <row r="48442">
      <c r="Y48442" s="372">
        <v>0.0</v>
      </c>
      <c r="Z48442" s="372">
        <v>0.0</v>
      </c>
    </row>
    <row r="48443">
      <c r="Y48443" s="372">
        <v>0.0</v>
      </c>
      <c r="Z48443" s="372">
        <v>0.0</v>
      </c>
    </row>
    <row r="48444">
      <c r="Y48444" s="372">
        <v>0.0</v>
      </c>
      <c r="Z48444" s="372">
        <v>0.0</v>
      </c>
    </row>
    <row r="48445">
      <c r="Y48445" s="372">
        <v>0.0</v>
      </c>
      <c r="Z48445" s="372">
        <v>0.0</v>
      </c>
    </row>
    <row r="48446">
      <c r="Y48446" s="372">
        <v>0.0</v>
      </c>
      <c r="Z48446" s="372">
        <v>0.0</v>
      </c>
    </row>
    <row r="48447">
      <c r="Y48447" s="372">
        <v>0.0</v>
      </c>
      <c r="Z48447" s="372">
        <v>0.0</v>
      </c>
    </row>
    <row r="48448">
      <c r="Y48448" s="372">
        <v>0.0</v>
      </c>
      <c r="Z48448" s="372">
        <v>0.0</v>
      </c>
    </row>
    <row r="48449">
      <c r="Y48449" s="372">
        <v>0.0</v>
      </c>
      <c r="Z48449" s="372">
        <v>0.0</v>
      </c>
    </row>
    <row r="48450">
      <c r="Y48450" s="372">
        <v>0.0</v>
      </c>
      <c r="Z48450" s="372">
        <v>0.0</v>
      </c>
    </row>
    <row r="48451">
      <c r="Y48451" s="372">
        <v>0.0</v>
      </c>
      <c r="Z48451" s="372">
        <v>0.0</v>
      </c>
    </row>
    <row r="48452">
      <c r="Y48452" s="372">
        <v>0.0</v>
      </c>
      <c r="Z48452" s="372">
        <v>0.0</v>
      </c>
    </row>
    <row r="48453">
      <c r="Y48453" s="372">
        <v>0.0</v>
      </c>
      <c r="Z48453" s="372">
        <v>0.0</v>
      </c>
    </row>
    <row r="48454">
      <c r="Y48454" s="372">
        <v>0.0</v>
      </c>
      <c r="Z48454" s="372">
        <v>0.0</v>
      </c>
    </row>
    <row r="48455">
      <c r="Y48455" s="372">
        <v>0.0</v>
      </c>
      <c r="Z48455" s="372">
        <v>0.0</v>
      </c>
    </row>
    <row r="48456">
      <c r="Y48456" s="372">
        <v>0.0</v>
      </c>
      <c r="Z48456" s="372">
        <v>0.0</v>
      </c>
    </row>
    <row r="48457">
      <c r="Y48457" s="372">
        <v>0.0</v>
      </c>
      <c r="Z48457" s="372">
        <v>0.0</v>
      </c>
    </row>
    <row r="48458">
      <c r="Y48458" s="372">
        <v>0.0</v>
      </c>
      <c r="Z48458" s="372">
        <v>0.0</v>
      </c>
    </row>
    <row r="48459">
      <c r="Y48459" s="372">
        <v>0.0</v>
      </c>
      <c r="Z48459" s="372">
        <v>0.0</v>
      </c>
    </row>
    <row r="48460">
      <c r="Y48460" s="372">
        <v>0.0</v>
      </c>
      <c r="Z48460" s="372">
        <v>0.0</v>
      </c>
    </row>
    <row r="48461">
      <c r="Y48461" s="372">
        <v>0.0</v>
      </c>
      <c r="Z48461" s="372">
        <v>0.0</v>
      </c>
    </row>
    <row r="48462">
      <c r="Y48462" s="372">
        <v>0.0</v>
      </c>
      <c r="Z48462" s="372">
        <v>0.0</v>
      </c>
    </row>
    <row r="48463">
      <c r="Y48463" s="372">
        <v>0.0</v>
      </c>
      <c r="Z48463" s="372">
        <v>0.0</v>
      </c>
    </row>
    <row r="48464">
      <c r="Y48464" s="372">
        <v>0.0</v>
      </c>
      <c r="Z48464" s="372">
        <v>0.0</v>
      </c>
    </row>
    <row r="48465">
      <c r="Y48465" s="372">
        <v>0.0</v>
      </c>
      <c r="Z48465" s="372">
        <v>0.0</v>
      </c>
    </row>
    <row r="48466">
      <c r="Y48466" s="372">
        <v>0.0</v>
      </c>
      <c r="Z48466" s="372">
        <v>0.0</v>
      </c>
    </row>
    <row r="48467">
      <c r="Y48467" s="372">
        <v>0.0</v>
      </c>
      <c r="Z48467" s="372">
        <v>0.0</v>
      </c>
    </row>
    <row r="48468">
      <c r="Y48468" s="372">
        <v>0.0</v>
      </c>
      <c r="Z48468" s="372">
        <v>0.0</v>
      </c>
    </row>
    <row r="48469">
      <c r="Y48469" s="372">
        <v>0.0</v>
      </c>
      <c r="Z48469" s="372">
        <v>0.0</v>
      </c>
    </row>
    <row r="48470">
      <c r="Y48470" s="372">
        <v>0.0</v>
      </c>
      <c r="Z48470" s="372">
        <v>0.0</v>
      </c>
    </row>
    <row r="48471">
      <c r="Y48471" s="372">
        <v>0.0</v>
      </c>
      <c r="Z48471" s="372">
        <v>0.0</v>
      </c>
    </row>
    <row r="48472">
      <c r="Y48472" s="372">
        <v>0.0</v>
      </c>
      <c r="Z48472" s="372">
        <v>0.0</v>
      </c>
    </row>
    <row r="48473">
      <c r="Y48473" s="372">
        <v>0.0</v>
      </c>
      <c r="Z48473" s="372">
        <v>0.0</v>
      </c>
    </row>
    <row r="48474">
      <c r="Y48474" s="372">
        <v>0.0</v>
      </c>
      <c r="Z48474" s="372">
        <v>0.0</v>
      </c>
    </row>
    <row r="48475">
      <c r="Y48475" s="372">
        <v>0.0</v>
      </c>
      <c r="Z48475" s="372">
        <v>0.0</v>
      </c>
    </row>
    <row r="48476">
      <c r="Y48476" s="372">
        <v>0.0</v>
      </c>
      <c r="Z48476" s="372">
        <v>0.0</v>
      </c>
    </row>
    <row r="48477">
      <c r="Y48477" s="372">
        <v>0.0</v>
      </c>
      <c r="Z48477" s="372">
        <v>0.0</v>
      </c>
    </row>
    <row r="48478">
      <c r="Y48478" s="372">
        <v>0.0</v>
      </c>
      <c r="Z48478" s="372">
        <v>0.0</v>
      </c>
    </row>
    <row r="48479">
      <c r="Y48479" s="372">
        <v>0.0</v>
      </c>
      <c r="Z48479" s="372">
        <v>0.0</v>
      </c>
    </row>
    <row r="48480">
      <c r="Y48480" s="372">
        <v>0.0</v>
      </c>
      <c r="Z48480" s="372">
        <v>0.0</v>
      </c>
    </row>
    <row r="48481">
      <c r="Y48481" s="372">
        <v>0.0</v>
      </c>
      <c r="Z48481" s="372">
        <v>0.0</v>
      </c>
    </row>
    <row r="48482">
      <c r="Y48482" s="372">
        <v>0.0</v>
      </c>
      <c r="Z48482" s="372">
        <v>0.0</v>
      </c>
    </row>
    <row r="48483">
      <c r="Y48483" s="372">
        <v>0.0</v>
      </c>
      <c r="Z48483" s="372">
        <v>0.0</v>
      </c>
    </row>
    <row r="48484">
      <c r="Y48484" s="372">
        <v>0.0</v>
      </c>
      <c r="Z48484" s="372">
        <v>0.0</v>
      </c>
    </row>
    <row r="48485">
      <c r="Y48485" s="372">
        <v>0.0</v>
      </c>
      <c r="Z48485" s="372">
        <v>0.0</v>
      </c>
    </row>
    <row r="48486">
      <c r="Y48486" s="372">
        <v>0.0</v>
      </c>
      <c r="Z48486" s="372">
        <v>0.0</v>
      </c>
    </row>
    <row r="48487">
      <c r="Y48487" s="372">
        <v>0.0</v>
      </c>
      <c r="Z48487" s="372">
        <v>0.0</v>
      </c>
    </row>
    <row r="48488">
      <c r="Y48488" s="372">
        <v>0.0</v>
      </c>
      <c r="Z48488" s="372">
        <v>0.0</v>
      </c>
    </row>
    <row r="48489">
      <c r="Y48489" s="372">
        <v>0.0</v>
      </c>
      <c r="Z48489" s="372">
        <v>0.0</v>
      </c>
    </row>
    <row r="48490">
      <c r="Y48490" s="372">
        <v>0.0</v>
      </c>
      <c r="Z48490" s="372">
        <v>0.0</v>
      </c>
    </row>
    <row r="48491">
      <c r="Y48491" s="372">
        <v>0.0</v>
      </c>
      <c r="Z48491" s="372">
        <v>0.0</v>
      </c>
    </row>
    <row r="48492">
      <c r="Y48492" s="372">
        <v>0.0</v>
      </c>
      <c r="Z48492" s="372">
        <v>0.0</v>
      </c>
    </row>
    <row r="48493">
      <c r="Y48493" s="372">
        <v>0.0</v>
      </c>
      <c r="Z48493" s="372">
        <v>0.0</v>
      </c>
    </row>
    <row r="48494">
      <c r="Y48494" s="372">
        <v>0.0</v>
      </c>
      <c r="Z48494" s="372">
        <v>0.0</v>
      </c>
    </row>
    <row r="48495">
      <c r="Y48495" s="372">
        <v>0.0</v>
      </c>
      <c r="Z48495" s="372">
        <v>0.0</v>
      </c>
    </row>
    <row r="48496">
      <c r="Y48496" s="372">
        <v>0.0</v>
      </c>
      <c r="Z48496" s="372">
        <v>0.0</v>
      </c>
    </row>
    <row r="48497">
      <c r="Y48497" s="372">
        <v>0.0</v>
      </c>
      <c r="Z48497" s="372">
        <v>0.0</v>
      </c>
    </row>
    <row r="48498">
      <c r="Y48498" s="372">
        <v>0.0</v>
      </c>
      <c r="Z48498" s="372">
        <v>0.0</v>
      </c>
    </row>
    <row r="48499">
      <c r="Y48499" s="372">
        <v>0.0</v>
      </c>
      <c r="Z48499" s="372">
        <v>0.0</v>
      </c>
    </row>
    <row r="48500">
      <c r="Y48500" s="372">
        <v>0.0</v>
      </c>
      <c r="Z48500" s="372">
        <v>0.0</v>
      </c>
    </row>
    <row r="48501">
      <c r="Y48501" s="372">
        <v>0.0</v>
      </c>
      <c r="Z48501" s="372">
        <v>0.0</v>
      </c>
    </row>
    <row r="48502">
      <c r="Y48502" s="372">
        <v>0.0</v>
      </c>
      <c r="Z48502" s="372">
        <v>0.0</v>
      </c>
    </row>
    <row r="48503">
      <c r="Y48503" s="372">
        <v>0.0</v>
      </c>
      <c r="Z48503" s="372">
        <v>0.0</v>
      </c>
    </row>
    <row r="48504">
      <c r="Y48504" s="372">
        <v>0.0</v>
      </c>
      <c r="Z48504" s="372">
        <v>0.0</v>
      </c>
    </row>
    <row r="48505">
      <c r="Y48505" s="372">
        <v>0.0</v>
      </c>
      <c r="Z48505" s="372">
        <v>0.0</v>
      </c>
    </row>
    <row r="48506">
      <c r="Y48506" s="372">
        <v>0.0</v>
      </c>
      <c r="Z48506" s="372">
        <v>0.0</v>
      </c>
    </row>
    <row r="48507">
      <c r="Y48507" s="372">
        <v>0.0</v>
      </c>
      <c r="Z48507" s="372">
        <v>0.0</v>
      </c>
    </row>
    <row r="48508">
      <c r="Y48508" s="372">
        <v>0.0</v>
      </c>
      <c r="Z48508" s="372">
        <v>0.0</v>
      </c>
    </row>
    <row r="48509">
      <c r="Y48509" s="372">
        <v>0.0</v>
      </c>
      <c r="Z48509" s="372">
        <v>0.0</v>
      </c>
    </row>
    <row r="48510">
      <c r="Y48510" s="372">
        <v>0.0</v>
      </c>
      <c r="Z48510" s="372">
        <v>0.0</v>
      </c>
    </row>
    <row r="48511">
      <c r="Y48511" s="372">
        <v>0.0</v>
      </c>
      <c r="Z48511" s="372">
        <v>0.0</v>
      </c>
    </row>
    <row r="48512">
      <c r="Y48512" s="372">
        <v>0.0</v>
      </c>
      <c r="Z48512" s="372">
        <v>0.0</v>
      </c>
    </row>
    <row r="48513">
      <c r="Y48513" s="372">
        <v>0.0</v>
      </c>
      <c r="Z48513" s="372">
        <v>0.0</v>
      </c>
    </row>
    <row r="48514">
      <c r="Y48514" s="372">
        <v>0.0</v>
      </c>
      <c r="Z48514" s="372">
        <v>0.0</v>
      </c>
    </row>
    <row r="48515">
      <c r="Y48515" s="372">
        <v>0.0</v>
      </c>
      <c r="Z48515" s="372">
        <v>0.0</v>
      </c>
    </row>
    <row r="48516">
      <c r="Y48516" s="372">
        <v>0.0</v>
      </c>
      <c r="Z48516" s="372">
        <v>0.0</v>
      </c>
    </row>
    <row r="48517">
      <c r="Y48517" s="372">
        <v>0.0</v>
      </c>
      <c r="Z48517" s="372">
        <v>0.0</v>
      </c>
    </row>
    <row r="48518">
      <c r="Y48518" s="372">
        <v>0.0</v>
      </c>
      <c r="Z48518" s="372">
        <v>0.0</v>
      </c>
    </row>
    <row r="48519">
      <c r="Y48519" s="372">
        <v>0.0</v>
      </c>
      <c r="Z48519" s="372">
        <v>0.0</v>
      </c>
    </row>
    <row r="48520">
      <c r="Y48520" s="372">
        <v>0.0</v>
      </c>
      <c r="Z48520" s="372">
        <v>0.0</v>
      </c>
    </row>
    <row r="48521">
      <c r="Y48521" s="372">
        <v>0.0</v>
      </c>
      <c r="Z48521" s="372">
        <v>0.0</v>
      </c>
    </row>
    <row r="48522">
      <c r="Y48522" s="372">
        <v>0.0</v>
      </c>
      <c r="Z48522" s="372">
        <v>0.0</v>
      </c>
    </row>
    <row r="48523">
      <c r="Y48523" s="372">
        <v>0.0</v>
      </c>
      <c r="Z48523" s="372">
        <v>0.0</v>
      </c>
    </row>
    <row r="48524">
      <c r="Y48524" s="372">
        <v>0.0</v>
      </c>
      <c r="Z48524" s="372">
        <v>0.0</v>
      </c>
    </row>
    <row r="48525">
      <c r="Y48525" s="372">
        <v>0.0</v>
      </c>
      <c r="Z48525" s="372">
        <v>0.0</v>
      </c>
    </row>
    <row r="48526">
      <c r="Y48526" s="372">
        <v>0.0</v>
      </c>
      <c r="Z48526" s="372">
        <v>0.0</v>
      </c>
    </row>
    <row r="48527">
      <c r="Y48527" s="372">
        <v>0.0</v>
      </c>
      <c r="Z48527" s="372">
        <v>0.0</v>
      </c>
    </row>
    <row r="48528">
      <c r="Y48528" s="372">
        <v>0.0</v>
      </c>
      <c r="Z48528" s="372">
        <v>0.0</v>
      </c>
    </row>
    <row r="48529">
      <c r="Y48529" s="372">
        <v>0.0</v>
      </c>
      <c r="Z48529" s="372">
        <v>0.0</v>
      </c>
    </row>
    <row r="48530">
      <c r="Y48530" s="372">
        <v>0.0</v>
      </c>
      <c r="Z48530" s="372">
        <v>0.0</v>
      </c>
    </row>
    <row r="48531">
      <c r="Y48531" s="372">
        <v>0.0</v>
      </c>
      <c r="Z48531" s="372">
        <v>0.0</v>
      </c>
    </row>
    <row r="48532">
      <c r="Y48532" s="372">
        <v>0.0</v>
      </c>
      <c r="Z48532" s="372">
        <v>0.0</v>
      </c>
    </row>
    <row r="48533">
      <c r="Y48533" s="372">
        <v>0.0</v>
      </c>
      <c r="Z48533" s="372">
        <v>0.0</v>
      </c>
    </row>
    <row r="48534">
      <c r="Y48534" s="372">
        <v>0.0</v>
      </c>
      <c r="Z48534" s="372">
        <v>0.0</v>
      </c>
    </row>
    <row r="48535">
      <c r="Y48535" s="372">
        <v>0.0</v>
      </c>
      <c r="Z48535" s="372">
        <v>0.0</v>
      </c>
    </row>
    <row r="48536">
      <c r="Y48536" s="372">
        <v>0.0</v>
      </c>
      <c r="Z48536" s="372">
        <v>0.0</v>
      </c>
    </row>
    <row r="48537">
      <c r="Y48537" s="372">
        <v>0.0</v>
      </c>
      <c r="Z48537" s="372">
        <v>0.0</v>
      </c>
    </row>
    <row r="48538">
      <c r="Y48538" s="372">
        <v>0.0</v>
      </c>
      <c r="Z48538" s="372">
        <v>0.0</v>
      </c>
    </row>
    <row r="48539">
      <c r="Y48539" s="372">
        <v>0.0</v>
      </c>
      <c r="Z48539" s="372">
        <v>0.0</v>
      </c>
    </row>
    <row r="48540">
      <c r="Y48540" s="372">
        <v>0.0</v>
      </c>
      <c r="Z48540" s="372">
        <v>0.0</v>
      </c>
    </row>
    <row r="48541">
      <c r="Y48541" s="372">
        <v>0.0</v>
      </c>
      <c r="Z48541" s="372">
        <v>0.0</v>
      </c>
    </row>
    <row r="48542">
      <c r="Y48542" s="372">
        <v>0.0</v>
      </c>
      <c r="Z48542" s="372">
        <v>0.0</v>
      </c>
    </row>
    <row r="48543">
      <c r="Y48543" s="372">
        <v>0.0</v>
      </c>
      <c r="Z48543" s="372">
        <v>0.0</v>
      </c>
    </row>
    <row r="48544">
      <c r="Y48544" s="372">
        <v>0.0</v>
      </c>
      <c r="Z48544" s="372">
        <v>0.0</v>
      </c>
    </row>
    <row r="48545">
      <c r="Y48545" s="372">
        <v>0.0</v>
      </c>
      <c r="Z48545" s="372">
        <v>0.0</v>
      </c>
    </row>
    <row r="48546">
      <c r="Y48546" s="372">
        <v>0.0</v>
      </c>
      <c r="Z48546" s="372">
        <v>0.0</v>
      </c>
    </row>
    <row r="48547">
      <c r="Y48547" s="372">
        <v>0.0</v>
      </c>
      <c r="Z48547" s="372">
        <v>0.0</v>
      </c>
    </row>
    <row r="48548">
      <c r="Y48548" s="372">
        <v>0.0</v>
      </c>
      <c r="Z48548" s="372">
        <v>0.0</v>
      </c>
    </row>
    <row r="48549">
      <c r="Y48549" s="372">
        <v>0.0</v>
      </c>
      <c r="Z48549" s="372">
        <v>0.0</v>
      </c>
    </row>
    <row r="48550">
      <c r="Y48550" s="372">
        <v>0.0</v>
      </c>
      <c r="Z48550" s="372">
        <v>0.0</v>
      </c>
    </row>
    <row r="48551">
      <c r="Y48551" s="372">
        <v>0.0</v>
      </c>
      <c r="Z48551" s="372">
        <v>0.0</v>
      </c>
    </row>
    <row r="48552">
      <c r="Y48552" s="372">
        <v>0.0</v>
      </c>
      <c r="Z48552" s="372">
        <v>0.0</v>
      </c>
    </row>
    <row r="48553">
      <c r="Y48553" s="372">
        <v>0.0</v>
      </c>
      <c r="Z48553" s="372">
        <v>0.0</v>
      </c>
    </row>
    <row r="48554">
      <c r="Y48554" s="372">
        <v>0.0</v>
      </c>
      <c r="Z48554" s="372">
        <v>0.0</v>
      </c>
    </row>
    <row r="48555">
      <c r="Y48555" s="372">
        <v>0.0</v>
      </c>
      <c r="Z48555" s="372">
        <v>0.0</v>
      </c>
    </row>
    <row r="48556">
      <c r="Y48556" s="372">
        <v>0.0</v>
      </c>
      <c r="Z48556" s="372">
        <v>0.0</v>
      </c>
    </row>
    <row r="48557">
      <c r="Y48557" s="372">
        <v>0.0</v>
      </c>
      <c r="Z48557" s="372">
        <v>0.0</v>
      </c>
    </row>
    <row r="48558">
      <c r="Y48558" s="372">
        <v>0.0</v>
      </c>
      <c r="Z48558" s="372">
        <v>0.0</v>
      </c>
    </row>
    <row r="48559">
      <c r="Y48559" s="372">
        <v>0.0</v>
      </c>
      <c r="Z48559" s="372">
        <v>0.0</v>
      </c>
    </row>
    <row r="48560">
      <c r="Y48560" s="372">
        <v>0.0</v>
      </c>
      <c r="Z48560" s="372">
        <v>0.0</v>
      </c>
    </row>
    <row r="48561">
      <c r="Y48561" s="372">
        <v>0.0</v>
      </c>
      <c r="Z48561" s="372">
        <v>0.0</v>
      </c>
    </row>
    <row r="48562">
      <c r="Y48562" s="372">
        <v>0.0</v>
      </c>
      <c r="Z48562" s="372">
        <v>0.0</v>
      </c>
    </row>
    <row r="48563">
      <c r="Y48563" s="372">
        <v>0.0</v>
      </c>
      <c r="Z48563" s="372">
        <v>0.0</v>
      </c>
    </row>
    <row r="48564">
      <c r="Y48564" s="372">
        <v>0.0</v>
      </c>
      <c r="Z48564" s="372">
        <v>0.0</v>
      </c>
    </row>
    <row r="48565">
      <c r="Y48565" s="372">
        <v>0.0</v>
      </c>
      <c r="Z48565" s="372">
        <v>0.0</v>
      </c>
    </row>
    <row r="48566">
      <c r="Y48566" s="372">
        <v>0.0</v>
      </c>
      <c r="Z48566" s="372">
        <v>0.0</v>
      </c>
    </row>
    <row r="48567">
      <c r="Y48567" s="372">
        <v>0.0</v>
      </c>
      <c r="Z48567" s="372">
        <v>0.0</v>
      </c>
    </row>
    <row r="48568">
      <c r="Y48568" s="372">
        <v>0.0</v>
      </c>
      <c r="Z48568" s="372">
        <v>0.0</v>
      </c>
    </row>
    <row r="48569">
      <c r="Y48569" s="372">
        <v>0.0</v>
      </c>
      <c r="Z48569" s="372">
        <v>0.0</v>
      </c>
    </row>
    <row r="48570">
      <c r="Y48570" s="372">
        <v>0.0</v>
      </c>
      <c r="Z48570" s="372">
        <v>0.0</v>
      </c>
    </row>
    <row r="48571">
      <c r="Y48571" s="372">
        <v>0.0</v>
      </c>
      <c r="Z48571" s="372">
        <v>0.0</v>
      </c>
    </row>
    <row r="48572">
      <c r="Y48572" s="372">
        <v>0.0</v>
      </c>
      <c r="Z48572" s="372">
        <v>0.0</v>
      </c>
    </row>
    <row r="48573">
      <c r="Y48573" s="372">
        <v>0.0</v>
      </c>
      <c r="Z48573" s="372">
        <v>0.0</v>
      </c>
    </row>
    <row r="48574">
      <c r="Y48574" s="372">
        <v>0.0</v>
      </c>
      <c r="Z48574" s="372">
        <v>0.0</v>
      </c>
    </row>
    <row r="48575">
      <c r="Y48575" s="372">
        <v>0.0</v>
      </c>
      <c r="Z48575" s="372">
        <v>0.0</v>
      </c>
    </row>
    <row r="48576">
      <c r="Y48576" s="372">
        <v>0.0</v>
      </c>
      <c r="Z48576" s="372">
        <v>0.0</v>
      </c>
    </row>
    <row r="48577">
      <c r="Y48577" s="372">
        <v>0.0</v>
      </c>
      <c r="Z48577" s="372">
        <v>0.0</v>
      </c>
    </row>
    <row r="48578">
      <c r="Y48578" s="372">
        <v>0.0</v>
      </c>
      <c r="Z48578" s="372">
        <v>0.0</v>
      </c>
    </row>
    <row r="48579">
      <c r="Y48579" s="372">
        <v>0.0</v>
      </c>
      <c r="Z48579" s="372">
        <v>0.0</v>
      </c>
    </row>
    <row r="48580">
      <c r="Y48580" s="372">
        <v>0.0</v>
      </c>
      <c r="Z48580" s="372">
        <v>0.0</v>
      </c>
    </row>
    <row r="48581">
      <c r="Y48581" s="372">
        <v>0.0</v>
      </c>
      <c r="Z48581" s="372">
        <v>0.0</v>
      </c>
    </row>
    <row r="48582">
      <c r="Y48582" s="372">
        <v>0.0</v>
      </c>
      <c r="Z48582" s="372">
        <v>0.0</v>
      </c>
    </row>
    <row r="48583">
      <c r="Y48583" s="372">
        <v>0.0</v>
      </c>
      <c r="Z48583" s="372">
        <v>0.0</v>
      </c>
    </row>
    <row r="48584">
      <c r="Y48584" s="372">
        <v>0.0</v>
      </c>
      <c r="Z48584" s="372">
        <v>0.0</v>
      </c>
    </row>
    <row r="48585">
      <c r="Y48585" s="372">
        <v>0.0</v>
      </c>
      <c r="Z48585" s="372">
        <v>0.0</v>
      </c>
    </row>
    <row r="48586">
      <c r="Y48586" s="372">
        <v>0.0</v>
      </c>
      <c r="Z48586" s="372">
        <v>0.0</v>
      </c>
    </row>
    <row r="48587">
      <c r="Y48587" s="372">
        <v>0.0</v>
      </c>
      <c r="Z48587" s="372">
        <v>0.0</v>
      </c>
    </row>
    <row r="48588">
      <c r="Y48588" s="372">
        <v>0.0</v>
      </c>
      <c r="Z48588" s="372">
        <v>0.0</v>
      </c>
    </row>
    <row r="48589">
      <c r="Y48589" s="372">
        <v>0.0</v>
      </c>
      <c r="Z48589" s="372">
        <v>0.0</v>
      </c>
    </row>
    <row r="48590">
      <c r="Y48590" s="372">
        <v>0.0</v>
      </c>
      <c r="Z48590" s="372">
        <v>0.0</v>
      </c>
    </row>
    <row r="48591">
      <c r="Y48591" s="372">
        <v>0.0</v>
      </c>
      <c r="Z48591" s="372">
        <v>0.0</v>
      </c>
    </row>
    <row r="48592">
      <c r="Y48592" s="372">
        <v>0.0</v>
      </c>
      <c r="Z48592" s="372">
        <v>0.0</v>
      </c>
    </row>
    <row r="48593">
      <c r="Y48593" s="372">
        <v>0.0</v>
      </c>
      <c r="Z48593" s="372">
        <v>0.0</v>
      </c>
    </row>
    <row r="48594">
      <c r="Y48594" s="372">
        <v>0.0</v>
      </c>
      <c r="Z48594" s="372">
        <v>0.0</v>
      </c>
    </row>
    <row r="48595">
      <c r="Y48595" s="372">
        <v>0.0</v>
      </c>
      <c r="Z48595" s="372">
        <v>0.0</v>
      </c>
    </row>
    <row r="48596">
      <c r="Y48596" s="372">
        <v>0.0</v>
      </c>
      <c r="Z48596" s="372">
        <v>0.0</v>
      </c>
    </row>
    <row r="48597">
      <c r="Y48597" s="372">
        <v>0.0</v>
      </c>
      <c r="Z48597" s="372">
        <v>0.0</v>
      </c>
    </row>
    <row r="48598">
      <c r="Y48598" s="372">
        <v>0.0</v>
      </c>
      <c r="Z48598" s="372">
        <v>0.0</v>
      </c>
    </row>
    <row r="48599">
      <c r="Y48599" s="372">
        <v>0.0</v>
      </c>
      <c r="Z48599" s="372">
        <v>0.0</v>
      </c>
    </row>
    <row r="48600">
      <c r="Y48600" s="372">
        <v>0.0</v>
      </c>
      <c r="Z48600" s="372">
        <v>0.0</v>
      </c>
    </row>
    <row r="48601">
      <c r="Y48601" s="372">
        <v>0.0</v>
      </c>
      <c r="Z48601" s="372">
        <v>0.0</v>
      </c>
    </row>
    <row r="48602">
      <c r="Y48602" s="372">
        <v>0.0</v>
      </c>
      <c r="Z48602" s="372">
        <v>0.0</v>
      </c>
    </row>
    <row r="48603">
      <c r="Y48603" s="372">
        <v>0.0</v>
      </c>
      <c r="Z48603" s="372">
        <v>0.0</v>
      </c>
    </row>
    <row r="48604">
      <c r="Y48604" s="372">
        <v>0.0</v>
      </c>
      <c r="Z48604" s="372">
        <v>0.0</v>
      </c>
    </row>
    <row r="48605">
      <c r="Y48605" s="372">
        <v>0.0</v>
      </c>
      <c r="Z48605" s="372">
        <v>0.0</v>
      </c>
    </row>
    <row r="48606">
      <c r="Y48606" s="372">
        <v>0.0</v>
      </c>
      <c r="Z48606" s="372">
        <v>0.0</v>
      </c>
    </row>
    <row r="48607">
      <c r="Y48607" s="372">
        <v>0.0</v>
      </c>
      <c r="Z48607" s="372">
        <v>0.0</v>
      </c>
    </row>
    <row r="48608">
      <c r="Y48608" s="372">
        <v>0.0</v>
      </c>
      <c r="Z48608" s="372">
        <v>0.0</v>
      </c>
    </row>
    <row r="48609">
      <c r="Y48609" s="372">
        <v>0.0</v>
      </c>
      <c r="Z48609" s="372">
        <v>0.0</v>
      </c>
    </row>
    <row r="48610">
      <c r="Y48610" s="372">
        <v>0.0</v>
      </c>
      <c r="Z48610" s="372">
        <v>0.0</v>
      </c>
    </row>
    <row r="48611">
      <c r="Y48611" s="372">
        <v>0.0</v>
      </c>
      <c r="Z48611" s="372">
        <v>0.0</v>
      </c>
    </row>
    <row r="48612">
      <c r="Y48612" s="372">
        <v>0.0</v>
      </c>
      <c r="Z48612" s="372">
        <v>0.0</v>
      </c>
    </row>
    <row r="48613">
      <c r="Y48613" s="372">
        <v>0.0</v>
      </c>
      <c r="Z48613" s="372">
        <v>0.0</v>
      </c>
    </row>
    <row r="48614">
      <c r="Y48614" s="372">
        <v>0.0</v>
      </c>
      <c r="Z48614" s="372">
        <v>0.0</v>
      </c>
    </row>
    <row r="48615">
      <c r="Y48615" s="372">
        <v>0.0</v>
      </c>
      <c r="Z48615" s="372">
        <v>0.0</v>
      </c>
    </row>
    <row r="48616">
      <c r="Y48616" s="372">
        <v>0.0</v>
      </c>
      <c r="Z48616" s="372">
        <v>0.0</v>
      </c>
    </row>
    <row r="48617">
      <c r="Y48617" s="372">
        <v>0.0</v>
      </c>
      <c r="Z48617" s="372">
        <v>0.0</v>
      </c>
    </row>
    <row r="48618">
      <c r="Y48618" s="372">
        <v>0.0</v>
      </c>
      <c r="Z48618" s="372">
        <v>0.0</v>
      </c>
    </row>
    <row r="48619">
      <c r="Y48619" s="372">
        <v>0.0</v>
      </c>
      <c r="Z48619" s="372">
        <v>0.0</v>
      </c>
    </row>
    <row r="48620">
      <c r="Y48620" s="372">
        <v>0.0</v>
      </c>
      <c r="Z48620" s="372">
        <v>0.0</v>
      </c>
    </row>
    <row r="48621">
      <c r="Y48621" s="372">
        <v>0.0</v>
      </c>
      <c r="Z48621" s="372">
        <v>0.0</v>
      </c>
    </row>
    <row r="48622">
      <c r="Y48622" s="372">
        <v>0.0</v>
      </c>
      <c r="Z48622" s="372">
        <v>0.0</v>
      </c>
    </row>
    <row r="48623">
      <c r="Y48623" s="372">
        <v>0.0</v>
      </c>
      <c r="Z48623" s="372">
        <v>0.0</v>
      </c>
    </row>
    <row r="48624">
      <c r="Y48624" s="372">
        <v>0.0</v>
      </c>
      <c r="Z48624" s="372">
        <v>0.0</v>
      </c>
    </row>
    <row r="48625">
      <c r="Y48625" s="372">
        <v>0.0</v>
      </c>
      <c r="Z48625" s="372">
        <v>0.0</v>
      </c>
    </row>
    <row r="48626">
      <c r="Y48626" s="372">
        <v>0.0</v>
      </c>
      <c r="Z48626" s="372">
        <v>0.0</v>
      </c>
    </row>
    <row r="48627">
      <c r="Y48627" s="372">
        <v>0.0</v>
      </c>
      <c r="Z48627" s="372">
        <v>0.0</v>
      </c>
    </row>
    <row r="48628">
      <c r="Y48628" s="372">
        <v>0.0</v>
      </c>
      <c r="Z48628" s="372">
        <v>0.0</v>
      </c>
    </row>
    <row r="48629">
      <c r="Y48629" s="372">
        <v>0.0</v>
      </c>
      <c r="Z48629" s="372">
        <v>0.0</v>
      </c>
    </row>
    <row r="48630">
      <c r="Y48630" s="372">
        <v>0.0</v>
      </c>
      <c r="Z48630" s="372">
        <v>0.0</v>
      </c>
    </row>
    <row r="48631">
      <c r="Y48631" s="372">
        <v>0.0</v>
      </c>
      <c r="Z48631" s="372">
        <v>0.0</v>
      </c>
    </row>
    <row r="48632">
      <c r="Y48632" s="372">
        <v>0.0</v>
      </c>
      <c r="Z48632" s="372">
        <v>0.0</v>
      </c>
    </row>
    <row r="48633">
      <c r="Y48633" s="372">
        <v>0.0</v>
      </c>
      <c r="Z48633" s="372">
        <v>0.0</v>
      </c>
    </row>
    <row r="48634">
      <c r="Y48634" s="372">
        <v>0.0</v>
      </c>
      <c r="Z48634" s="372">
        <v>0.0</v>
      </c>
    </row>
    <row r="48635">
      <c r="Y48635" s="372">
        <v>0.0</v>
      </c>
      <c r="Z48635" s="372">
        <v>0.0</v>
      </c>
    </row>
    <row r="48636">
      <c r="Y48636" s="372">
        <v>0.0</v>
      </c>
      <c r="Z48636" s="372">
        <v>0.0</v>
      </c>
    </row>
    <row r="48637">
      <c r="Y48637" s="372">
        <v>0.0</v>
      </c>
      <c r="Z48637" s="372">
        <v>0.0</v>
      </c>
    </row>
    <row r="48638">
      <c r="Y48638" s="372">
        <v>0.0</v>
      </c>
      <c r="Z48638" s="372">
        <v>0.0</v>
      </c>
    </row>
    <row r="48639">
      <c r="Y48639" s="372">
        <v>0.0</v>
      </c>
      <c r="Z48639" s="372">
        <v>0.0</v>
      </c>
    </row>
    <row r="48640">
      <c r="Y48640" s="372">
        <v>0.0</v>
      </c>
      <c r="Z48640" s="372">
        <v>0.0</v>
      </c>
    </row>
    <row r="48641">
      <c r="Y48641" s="372">
        <v>0.0</v>
      </c>
      <c r="Z48641" s="372">
        <v>0.0</v>
      </c>
    </row>
    <row r="48642">
      <c r="Y48642" s="372">
        <v>0.0</v>
      </c>
      <c r="Z48642" s="372">
        <v>0.0</v>
      </c>
    </row>
    <row r="48643">
      <c r="Y48643" s="372">
        <v>0.0</v>
      </c>
      <c r="Z48643" s="372">
        <v>0.0</v>
      </c>
    </row>
    <row r="48644">
      <c r="Y48644" s="372">
        <v>0.0</v>
      </c>
      <c r="Z48644" s="372">
        <v>0.0</v>
      </c>
    </row>
    <row r="48645">
      <c r="Y48645" s="372">
        <v>0.0</v>
      </c>
      <c r="Z48645" s="372">
        <v>0.0</v>
      </c>
    </row>
    <row r="48646">
      <c r="Y48646" s="372">
        <v>0.0</v>
      </c>
      <c r="Z48646" s="372">
        <v>0.0</v>
      </c>
    </row>
    <row r="48647">
      <c r="Y48647" s="372">
        <v>0.0</v>
      </c>
      <c r="Z48647" s="372">
        <v>0.0</v>
      </c>
    </row>
    <row r="48648">
      <c r="Y48648" s="372">
        <v>0.0</v>
      </c>
      <c r="Z48648" s="372">
        <v>0.0</v>
      </c>
    </row>
    <row r="48649">
      <c r="Y48649" s="372">
        <v>0.0</v>
      </c>
      <c r="Z48649" s="372">
        <v>0.0</v>
      </c>
    </row>
    <row r="48650">
      <c r="Y48650" s="372">
        <v>0.0</v>
      </c>
      <c r="Z48650" s="372">
        <v>0.0</v>
      </c>
    </row>
    <row r="48651">
      <c r="Y48651" s="372">
        <v>0.0</v>
      </c>
      <c r="Z48651" s="372">
        <v>0.0</v>
      </c>
    </row>
    <row r="48652">
      <c r="Y48652" s="372">
        <v>0.0</v>
      </c>
      <c r="Z48652" s="372">
        <v>0.0</v>
      </c>
    </row>
    <row r="48653">
      <c r="Y48653" s="372">
        <v>0.0</v>
      </c>
      <c r="Z48653" s="372">
        <v>0.0</v>
      </c>
    </row>
    <row r="48654">
      <c r="Y48654" s="372">
        <v>0.0</v>
      </c>
      <c r="Z48654" s="372">
        <v>0.0</v>
      </c>
    </row>
    <row r="48655">
      <c r="Y48655" s="372">
        <v>0.0</v>
      </c>
      <c r="Z48655" s="372">
        <v>0.0</v>
      </c>
    </row>
    <row r="48656">
      <c r="Y48656" s="372">
        <v>0.0</v>
      </c>
      <c r="Z48656" s="372">
        <v>0.0</v>
      </c>
    </row>
    <row r="48657">
      <c r="Y48657" s="372">
        <v>0.0</v>
      </c>
      <c r="Z48657" s="372">
        <v>0.0</v>
      </c>
    </row>
    <row r="48658">
      <c r="Y48658" s="372">
        <v>0.0</v>
      </c>
      <c r="Z48658" s="372">
        <v>0.0</v>
      </c>
    </row>
    <row r="48659">
      <c r="Y48659" s="372">
        <v>0.0</v>
      </c>
      <c r="Z48659" s="372">
        <v>0.0</v>
      </c>
    </row>
    <row r="48660">
      <c r="Y48660" s="372">
        <v>0.0</v>
      </c>
      <c r="Z48660" s="372">
        <v>0.0</v>
      </c>
    </row>
    <row r="48661">
      <c r="Y48661" s="372">
        <v>0.0</v>
      </c>
      <c r="Z48661" s="372">
        <v>0.0</v>
      </c>
    </row>
    <row r="48662">
      <c r="Y48662" s="372">
        <v>0.0</v>
      </c>
      <c r="Z48662" s="372">
        <v>0.0</v>
      </c>
    </row>
    <row r="48663">
      <c r="Y48663" s="372">
        <v>0.0</v>
      </c>
      <c r="Z48663" s="372">
        <v>0.0</v>
      </c>
    </row>
    <row r="48664">
      <c r="Y48664" s="372">
        <v>0.0</v>
      </c>
      <c r="Z48664" s="372">
        <v>0.0</v>
      </c>
    </row>
    <row r="48665">
      <c r="Y48665" s="372">
        <v>0.0</v>
      </c>
      <c r="Z48665" s="372">
        <v>0.0</v>
      </c>
    </row>
    <row r="48666">
      <c r="Y48666" s="372">
        <v>0.0</v>
      </c>
      <c r="Z48666" s="372">
        <v>0.0</v>
      </c>
    </row>
    <row r="48667">
      <c r="Y48667" s="372">
        <v>0.0</v>
      </c>
      <c r="Z48667" s="372">
        <v>0.0</v>
      </c>
    </row>
    <row r="48668">
      <c r="Y48668" s="372">
        <v>0.0</v>
      </c>
      <c r="Z48668" s="372">
        <v>0.0</v>
      </c>
    </row>
    <row r="48669">
      <c r="Y48669" s="372">
        <v>0.0</v>
      </c>
      <c r="Z48669" s="372">
        <v>0.0</v>
      </c>
    </row>
    <row r="48670">
      <c r="Y48670" s="372">
        <v>0.0</v>
      </c>
      <c r="Z48670" s="372">
        <v>0.0</v>
      </c>
    </row>
    <row r="48671">
      <c r="Y48671" s="372">
        <v>0.0</v>
      </c>
      <c r="Z48671" s="372">
        <v>0.0</v>
      </c>
    </row>
    <row r="48672">
      <c r="Y48672" s="372">
        <v>0.0</v>
      </c>
      <c r="Z48672" s="372">
        <v>0.0</v>
      </c>
    </row>
    <row r="48673">
      <c r="Y48673" s="372">
        <v>0.0</v>
      </c>
      <c r="Z48673" s="372">
        <v>0.0</v>
      </c>
    </row>
    <row r="48674">
      <c r="Y48674" s="372">
        <v>0.0</v>
      </c>
      <c r="Z48674" s="372">
        <v>0.0</v>
      </c>
    </row>
    <row r="48675">
      <c r="Y48675" s="372">
        <v>0.0</v>
      </c>
      <c r="Z48675" s="372">
        <v>0.0</v>
      </c>
    </row>
    <row r="48676">
      <c r="Y48676" s="372">
        <v>0.0</v>
      </c>
      <c r="Z48676" s="372">
        <v>0.0</v>
      </c>
    </row>
    <row r="48677">
      <c r="Y48677" s="372">
        <v>0.0</v>
      </c>
      <c r="Z48677" s="372">
        <v>0.0</v>
      </c>
    </row>
    <row r="48678">
      <c r="Y48678" s="372">
        <v>0.0</v>
      </c>
      <c r="Z48678" s="372">
        <v>0.0</v>
      </c>
    </row>
    <row r="48679">
      <c r="Y48679" s="372">
        <v>0.0</v>
      </c>
      <c r="Z48679" s="372">
        <v>0.0</v>
      </c>
    </row>
    <row r="48680">
      <c r="Y48680" s="372">
        <v>0.0</v>
      </c>
      <c r="Z48680" s="372">
        <v>0.0</v>
      </c>
    </row>
    <row r="48681">
      <c r="Y48681" s="372">
        <v>0.0</v>
      </c>
      <c r="Z48681" s="372">
        <v>0.0</v>
      </c>
    </row>
    <row r="48682">
      <c r="Y48682" s="372">
        <v>0.0</v>
      </c>
      <c r="Z48682" s="372">
        <v>0.0</v>
      </c>
    </row>
    <row r="48683">
      <c r="Y48683" s="372">
        <v>0.0</v>
      </c>
      <c r="Z48683" s="372">
        <v>0.0</v>
      </c>
    </row>
    <row r="48684">
      <c r="Y48684" s="372">
        <v>0.0</v>
      </c>
      <c r="Z48684" s="372">
        <v>0.0</v>
      </c>
    </row>
    <row r="48685">
      <c r="Y48685" s="372">
        <v>0.0</v>
      </c>
      <c r="Z48685" s="372">
        <v>0.0</v>
      </c>
    </row>
    <row r="48686">
      <c r="Y48686" s="372">
        <v>0.0</v>
      </c>
      <c r="Z48686" s="372">
        <v>0.0</v>
      </c>
    </row>
    <row r="48687">
      <c r="Y48687" s="372">
        <v>0.0</v>
      </c>
      <c r="Z48687" s="372">
        <v>0.0</v>
      </c>
    </row>
    <row r="48688">
      <c r="Y48688" s="372">
        <v>0.0</v>
      </c>
      <c r="Z48688" s="372">
        <v>0.0</v>
      </c>
    </row>
    <row r="48689">
      <c r="Y48689" s="372">
        <v>0.0</v>
      </c>
      <c r="Z48689" s="372">
        <v>0.0</v>
      </c>
    </row>
    <row r="48690">
      <c r="Y48690" s="372">
        <v>0.0</v>
      </c>
      <c r="Z48690" s="372">
        <v>0.0</v>
      </c>
    </row>
    <row r="48691">
      <c r="Y48691" s="372">
        <v>0.0</v>
      </c>
      <c r="Z48691" s="372">
        <v>0.0</v>
      </c>
    </row>
    <row r="48692">
      <c r="Y48692" s="372">
        <v>0.0</v>
      </c>
      <c r="Z48692" s="372">
        <v>0.0</v>
      </c>
    </row>
    <row r="48693">
      <c r="Y48693" s="372">
        <v>0.0</v>
      </c>
      <c r="Z48693" s="372">
        <v>0.0</v>
      </c>
    </row>
    <row r="48694">
      <c r="Y48694" s="372">
        <v>0.0</v>
      </c>
      <c r="Z48694" s="372">
        <v>0.0</v>
      </c>
    </row>
    <row r="48695">
      <c r="Y48695" s="372">
        <v>0.0</v>
      </c>
      <c r="Z48695" s="372">
        <v>0.0</v>
      </c>
    </row>
    <row r="48696">
      <c r="Y48696" s="372">
        <v>0.0</v>
      </c>
      <c r="Z48696" s="372">
        <v>0.0</v>
      </c>
    </row>
    <row r="48697">
      <c r="Y48697" s="372">
        <v>0.0</v>
      </c>
      <c r="Z48697" s="372">
        <v>0.0</v>
      </c>
    </row>
    <row r="48698">
      <c r="Y48698" s="372">
        <v>0.0</v>
      </c>
      <c r="Z48698" s="372">
        <v>0.0</v>
      </c>
    </row>
    <row r="48699">
      <c r="Y48699" s="372">
        <v>0.0</v>
      </c>
      <c r="Z48699" s="372">
        <v>0.0</v>
      </c>
    </row>
    <row r="48700">
      <c r="Y48700" s="372">
        <v>0.0</v>
      </c>
      <c r="Z48700" s="372">
        <v>0.0</v>
      </c>
    </row>
    <row r="48701">
      <c r="Y48701" s="372">
        <v>0.0</v>
      </c>
      <c r="Z48701" s="372">
        <v>0.0</v>
      </c>
    </row>
    <row r="48702">
      <c r="Y48702" s="372">
        <v>0.0</v>
      </c>
      <c r="Z48702" s="372">
        <v>0.0</v>
      </c>
    </row>
    <row r="48703">
      <c r="Y48703" s="372">
        <v>0.0</v>
      </c>
      <c r="Z48703" s="372">
        <v>0.0</v>
      </c>
    </row>
    <row r="48704">
      <c r="Y48704" s="372">
        <v>0.0</v>
      </c>
      <c r="Z48704" s="372">
        <v>0.0</v>
      </c>
    </row>
    <row r="48705">
      <c r="Y48705" s="372">
        <v>0.0</v>
      </c>
      <c r="Z48705" s="372">
        <v>0.0</v>
      </c>
    </row>
    <row r="48706">
      <c r="Y48706" s="372">
        <v>0.0</v>
      </c>
      <c r="Z48706" s="372">
        <v>0.0</v>
      </c>
    </row>
    <row r="48707">
      <c r="Y48707" s="372">
        <v>0.0</v>
      </c>
      <c r="Z48707" s="372">
        <v>0.0</v>
      </c>
    </row>
    <row r="48708">
      <c r="Y48708" s="372">
        <v>0.0</v>
      </c>
      <c r="Z48708" s="372">
        <v>0.0</v>
      </c>
    </row>
    <row r="48709">
      <c r="Y48709" s="372">
        <v>0.0</v>
      </c>
      <c r="Z48709" s="372">
        <v>0.0</v>
      </c>
    </row>
    <row r="48710">
      <c r="Y48710" s="372">
        <v>0.0</v>
      </c>
      <c r="Z48710" s="372">
        <v>0.0</v>
      </c>
    </row>
    <row r="48711">
      <c r="Y48711" s="372">
        <v>0.0</v>
      </c>
      <c r="Z48711" s="372">
        <v>0.0</v>
      </c>
    </row>
    <row r="48712">
      <c r="Y48712" s="372">
        <v>0.0</v>
      </c>
      <c r="Z48712" s="372">
        <v>0.0</v>
      </c>
    </row>
    <row r="48713">
      <c r="Y48713" s="372">
        <v>0.0</v>
      </c>
      <c r="Z48713" s="372">
        <v>0.0</v>
      </c>
    </row>
    <row r="48714">
      <c r="Y48714" s="372">
        <v>0.0</v>
      </c>
      <c r="Z48714" s="372">
        <v>0.0</v>
      </c>
    </row>
    <row r="48715">
      <c r="Y48715" s="372">
        <v>0.0</v>
      </c>
      <c r="Z48715" s="372">
        <v>0.0</v>
      </c>
    </row>
    <row r="48716">
      <c r="Y48716" s="372">
        <v>0.0</v>
      </c>
      <c r="Z48716" s="372">
        <v>0.0</v>
      </c>
    </row>
    <row r="48717">
      <c r="Y48717" s="372">
        <v>0.0</v>
      </c>
      <c r="Z48717" s="372">
        <v>0.0</v>
      </c>
    </row>
    <row r="48718">
      <c r="Y48718" s="372">
        <v>0.0</v>
      </c>
      <c r="Z48718" s="372">
        <v>0.0</v>
      </c>
    </row>
    <row r="48719">
      <c r="Y48719" s="372">
        <v>0.0</v>
      </c>
      <c r="Z48719" s="372">
        <v>0.0</v>
      </c>
    </row>
    <row r="48720">
      <c r="Y48720" s="372">
        <v>0.0</v>
      </c>
      <c r="Z48720" s="372">
        <v>0.0</v>
      </c>
    </row>
    <row r="48721">
      <c r="Y48721" s="372">
        <v>0.0</v>
      </c>
      <c r="Z48721" s="372">
        <v>0.0</v>
      </c>
    </row>
    <row r="48722">
      <c r="Y48722" s="372">
        <v>0.0</v>
      </c>
      <c r="Z48722" s="372">
        <v>0.0</v>
      </c>
    </row>
    <row r="48723">
      <c r="Y48723" s="372">
        <v>0.0</v>
      </c>
      <c r="Z48723" s="372">
        <v>0.0</v>
      </c>
    </row>
    <row r="48724">
      <c r="Y48724" s="372">
        <v>0.0</v>
      </c>
      <c r="Z48724" s="372">
        <v>0.0</v>
      </c>
    </row>
    <row r="48725">
      <c r="Y48725" s="372">
        <v>0.0</v>
      </c>
      <c r="Z48725" s="372">
        <v>0.0</v>
      </c>
    </row>
    <row r="48726">
      <c r="Y48726" s="372">
        <v>0.0</v>
      </c>
      <c r="Z48726" s="372">
        <v>0.0</v>
      </c>
    </row>
    <row r="48727">
      <c r="Y48727" s="372">
        <v>0.0</v>
      </c>
      <c r="Z48727" s="372">
        <v>0.0</v>
      </c>
    </row>
    <row r="48728">
      <c r="Y48728" s="372">
        <v>0.0</v>
      </c>
      <c r="Z48728" s="372">
        <v>0.0</v>
      </c>
    </row>
    <row r="48729">
      <c r="Y48729" s="372">
        <v>0.0</v>
      </c>
      <c r="Z48729" s="372">
        <v>0.0</v>
      </c>
    </row>
    <row r="48730">
      <c r="Y48730" s="372">
        <v>0.0</v>
      </c>
      <c r="Z48730" s="372">
        <v>0.0</v>
      </c>
    </row>
    <row r="48731">
      <c r="Y48731" s="372">
        <v>0.0</v>
      </c>
      <c r="Z48731" s="372">
        <v>0.0</v>
      </c>
    </row>
    <row r="48732">
      <c r="Y48732" s="372">
        <v>0.0</v>
      </c>
      <c r="Z48732" s="372">
        <v>0.0</v>
      </c>
    </row>
    <row r="48733">
      <c r="Y48733" s="372">
        <v>0.0</v>
      </c>
      <c r="Z48733" s="372">
        <v>0.0</v>
      </c>
    </row>
    <row r="48734">
      <c r="Y48734" s="372">
        <v>0.0</v>
      </c>
      <c r="Z48734" s="372">
        <v>0.0</v>
      </c>
    </row>
    <row r="48735">
      <c r="Y48735" s="372">
        <v>0.0</v>
      </c>
      <c r="Z48735" s="372">
        <v>0.0</v>
      </c>
    </row>
    <row r="48736">
      <c r="Y48736" s="372">
        <v>0.0</v>
      </c>
      <c r="Z48736" s="372">
        <v>0.0</v>
      </c>
    </row>
    <row r="48737">
      <c r="Y48737" s="372">
        <v>0.0</v>
      </c>
      <c r="Z48737" s="372">
        <v>0.0</v>
      </c>
    </row>
    <row r="48738">
      <c r="Y48738" s="372">
        <v>0.0</v>
      </c>
      <c r="Z48738" s="372">
        <v>0.0</v>
      </c>
    </row>
    <row r="48739">
      <c r="Y48739" s="372">
        <v>0.0</v>
      </c>
      <c r="Z48739" s="372">
        <v>0.0</v>
      </c>
    </row>
    <row r="48740">
      <c r="Y48740" s="372">
        <v>0.0</v>
      </c>
      <c r="Z48740" s="372">
        <v>0.0</v>
      </c>
    </row>
    <row r="48741">
      <c r="Y48741" s="372">
        <v>0.0</v>
      </c>
      <c r="Z48741" s="372">
        <v>0.0</v>
      </c>
    </row>
    <row r="48742">
      <c r="Y48742" s="372">
        <v>0.0</v>
      </c>
      <c r="Z48742" s="372">
        <v>0.0</v>
      </c>
    </row>
    <row r="48743">
      <c r="Y48743" s="372">
        <v>0.0</v>
      </c>
      <c r="Z48743" s="372">
        <v>0.0</v>
      </c>
    </row>
    <row r="48744">
      <c r="Y48744" s="372">
        <v>0.0</v>
      </c>
      <c r="Z48744" s="372">
        <v>0.0</v>
      </c>
    </row>
    <row r="48745">
      <c r="Y48745" s="372">
        <v>0.0</v>
      </c>
      <c r="Z48745" s="372">
        <v>0.0</v>
      </c>
    </row>
    <row r="48746">
      <c r="Y48746" s="372">
        <v>0.0</v>
      </c>
      <c r="Z48746" s="372">
        <v>0.0</v>
      </c>
    </row>
    <row r="48747">
      <c r="Y48747" s="372">
        <v>0.0</v>
      </c>
      <c r="Z48747" s="372">
        <v>0.0</v>
      </c>
    </row>
    <row r="48748">
      <c r="Y48748" s="372">
        <v>0.0</v>
      </c>
      <c r="Z48748" s="372">
        <v>0.0</v>
      </c>
    </row>
    <row r="48749">
      <c r="Y48749" s="372">
        <v>0.0</v>
      </c>
      <c r="Z48749" s="372">
        <v>0.0</v>
      </c>
    </row>
    <row r="48750">
      <c r="Y48750" s="372">
        <v>0.0</v>
      </c>
      <c r="Z48750" s="372">
        <v>0.0</v>
      </c>
    </row>
    <row r="48751">
      <c r="Y48751" s="372">
        <v>0.0</v>
      </c>
      <c r="Z48751" s="372">
        <v>0.0</v>
      </c>
    </row>
    <row r="48752">
      <c r="Y48752" s="372">
        <v>0.0</v>
      </c>
      <c r="Z48752" s="372">
        <v>0.0</v>
      </c>
    </row>
    <row r="48753">
      <c r="Y48753" s="372">
        <v>0.0</v>
      </c>
      <c r="Z48753" s="372">
        <v>0.0</v>
      </c>
    </row>
    <row r="48754">
      <c r="Y48754" s="372">
        <v>0.0</v>
      </c>
      <c r="Z48754" s="372">
        <v>0.0</v>
      </c>
    </row>
    <row r="48755">
      <c r="Y48755" s="372">
        <v>0.0</v>
      </c>
      <c r="Z48755" s="372">
        <v>0.0</v>
      </c>
    </row>
    <row r="48756">
      <c r="Y48756" s="372">
        <v>0.0</v>
      </c>
      <c r="Z48756" s="372">
        <v>0.0</v>
      </c>
    </row>
    <row r="48757">
      <c r="Y48757" s="372">
        <v>0.0</v>
      </c>
      <c r="Z48757" s="372">
        <v>0.0</v>
      </c>
    </row>
    <row r="48758">
      <c r="Y48758" s="372">
        <v>0.0</v>
      </c>
      <c r="Z48758" s="372">
        <v>0.0</v>
      </c>
    </row>
    <row r="48759">
      <c r="Y48759" s="372">
        <v>0.0</v>
      </c>
      <c r="Z48759" s="372">
        <v>0.0</v>
      </c>
    </row>
    <row r="48760">
      <c r="Y48760" s="372">
        <v>0.0</v>
      </c>
      <c r="Z48760" s="372">
        <v>0.0</v>
      </c>
    </row>
    <row r="48761">
      <c r="Y48761" s="372">
        <v>0.0</v>
      </c>
      <c r="Z48761" s="372">
        <v>0.0</v>
      </c>
    </row>
    <row r="48762">
      <c r="Y48762" s="372">
        <v>0.0</v>
      </c>
      <c r="Z48762" s="372">
        <v>0.0</v>
      </c>
    </row>
    <row r="48763">
      <c r="Y48763" s="372">
        <v>0.0</v>
      </c>
      <c r="Z48763" s="372">
        <v>0.0</v>
      </c>
    </row>
    <row r="48764">
      <c r="Y48764" s="372">
        <v>0.0</v>
      </c>
      <c r="Z48764" s="372">
        <v>0.0</v>
      </c>
    </row>
    <row r="48765">
      <c r="Y48765" s="372">
        <v>0.0</v>
      </c>
      <c r="Z48765" s="372">
        <v>0.0</v>
      </c>
    </row>
    <row r="48766">
      <c r="Y48766" s="372">
        <v>0.0</v>
      </c>
      <c r="Z48766" s="372">
        <v>0.0</v>
      </c>
    </row>
    <row r="48767">
      <c r="Y48767" s="372">
        <v>0.0</v>
      </c>
      <c r="Z48767" s="372">
        <v>0.0</v>
      </c>
    </row>
    <row r="48768">
      <c r="Y48768" s="372">
        <v>0.0</v>
      </c>
      <c r="Z48768" s="372">
        <v>0.0</v>
      </c>
    </row>
    <row r="48769">
      <c r="Y48769" s="372">
        <v>0.0</v>
      </c>
      <c r="Z48769" s="372">
        <v>0.0</v>
      </c>
    </row>
    <row r="48770">
      <c r="Y48770" s="372">
        <v>0.0</v>
      </c>
      <c r="Z48770" s="372">
        <v>0.0</v>
      </c>
    </row>
    <row r="48771">
      <c r="Y48771" s="372">
        <v>0.0</v>
      </c>
      <c r="Z48771" s="372">
        <v>0.0</v>
      </c>
    </row>
    <row r="48772">
      <c r="Y48772" s="372">
        <v>0.0</v>
      </c>
      <c r="Z48772" s="372">
        <v>0.0</v>
      </c>
    </row>
    <row r="48773">
      <c r="Y48773" s="372">
        <v>0.0</v>
      </c>
      <c r="Z48773" s="372">
        <v>0.0</v>
      </c>
    </row>
    <row r="48774">
      <c r="Y48774" s="372">
        <v>0.0</v>
      </c>
      <c r="Z48774" s="372">
        <v>0.0</v>
      </c>
    </row>
    <row r="48775">
      <c r="Y48775" s="372">
        <v>0.0</v>
      </c>
      <c r="Z48775" s="372">
        <v>0.0</v>
      </c>
    </row>
    <row r="48776">
      <c r="Y48776" s="372">
        <v>0.0</v>
      </c>
      <c r="Z48776" s="372">
        <v>0.0</v>
      </c>
    </row>
    <row r="48777">
      <c r="Y48777" s="372">
        <v>0.0</v>
      </c>
      <c r="Z48777" s="372">
        <v>0.0</v>
      </c>
    </row>
    <row r="48778">
      <c r="Y48778" s="372">
        <v>0.0</v>
      </c>
      <c r="Z48778" s="372">
        <v>0.0</v>
      </c>
    </row>
    <row r="48779">
      <c r="Y48779" s="372">
        <v>0.0</v>
      </c>
      <c r="Z48779" s="372">
        <v>0.0</v>
      </c>
    </row>
    <row r="48780">
      <c r="Y48780" s="372">
        <v>0.0</v>
      </c>
      <c r="Z48780" s="372">
        <v>0.0</v>
      </c>
    </row>
    <row r="48781">
      <c r="Y48781" s="372">
        <v>0.0</v>
      </c>
      <c r="Z48781" s="372">
        <v>0.0</v>
      </c>
    </row>
    <row r="48782">
      <c r="Y48782" s="372">
        <v>0.0</v>
      </c>
      <c r="Z48782" s="372">
        <v>0.0</v>
      </c>
    </row>
    <row r="48783">
      <c r="Y48783" s="372">
        <v>0.0</v>
      </c>
      <c r="Z48783" s="372">
        <v>0.0</v>
      </c>
    </row>
    <row r="48784">
      <c r="Y48784" s="372">
        <v>0.0</v>
      </c>
      <c r="Z48784" s="372">
        <v>0.0</v>
      </c>
    </row>
    <row r="48785">
      <c r="Y48785" s="372">
        <v>0.0</v>
      </c>
      <c r="Z48785" s="372">
        <v>0.0</v>
      </c>
    </row>
    <row r="48786">
      <c r="Y48786" s="372">
        <v>0.0</v>
      </c>
      <c r="Z48786" s="372">
        <v>0.0</v>
      </c>
    </row>
    <row r="48787">
      <c r="Y48787" s="372">
        <v>0.0</v>
      </c>
      <c r="Z48787" s="372">
        <v>0.0</v>
      </c>
    </row>
    <row r="48788">
      <c r="Y48788" s="372">
        <v>0.0</v>
      </c>
      <c r="Z48788" s="372">
        <v>0.0</v>
      </c>
    </row>
    <row r="48789">
      <c r="Y48789" s="372">
        <v>0.0</v>
      </c>
      <c r="Z48789" s="372">
        <v>0.0</v>
      </c>
    </row>
    <row r="48790">
      <c r="Y48790" s="372">
        <v>0.0</v>
      </c>
      <c r="Z48790" s="372">
        <v>0.0</v>
      </c>
    </row>
    <row r="48791">
      <c r="Y48791" s="372">
        <v>0.0</v>
      </c>
      <c r="Z48791" s="372">
        <v>0.0</v>
      </c>
    </row>
    <row r="48792">
      <c r="Y48792" s="372">
        <v>0.0</v>
      </c>
      <c r="Z48792" s="372">
        <v>0.0</v>
      </c>
    </row>
    <row r="48793">
      <c r="Y48793" s="372">
        <v>0.0</v>
      </c>
      <c r="Z48793" s="372">
        <v>0.0</v>
      </c>
    </row>
    <row r="48794">
      <c r="Y48794" s="372">
        <v>0.0</v>
      </c>
      <c r="Z48794" s="372">
        <v>0.0</v>
      </c>
    </row>
    <row r="48795">
      <c r="Y48795" s="372">
        <v>0.0</v>
      </c>
      <c r="Z48795" s="372">
        <v>0.0</v>
      </c>
    </row>
    <row r="48796">
      <c r="Y48796" s="372">
        <v>0.0</v>
      </c>
      <c r="Z48796" s="372">
        <v>0.0</v>
      </c>
    </row>
    <row r="48797">
      <c r="Y48797" s="372">
        <v>0.0</v>
      </c>
      <c r="Z48797" s="372">
        <v>0.0</v>
      </c>
    </row>
    <row r="48798">
      <c r="Y48798" s="372">
        <v>0.0</v>
      </c>
      <c r="Z48798" s="372">
        <v>0.0</v>
      </c>
    </row>
    <row r="48799">
      <c r="Y48799" s="372">
        <v>0.0</v>
      </c>
      <c r="Z48799" s="372">
        <v>0.0</v>
      </c>
    </row>
    <row r="48800">
      <c r="Y48800" s="372">
        <v>0.0</v>
      </c>
      <c r="Z48800" s="372">
        <v>0.0</v>
      </c>
    </row>
    <row r="48801">
      <c r="Y48801" s="372">
        <v>0.0</v>
      </c>
      <c r="Z48801" s="372">
        <v>0.0</v>
      </c>
    </row>
    <row r="48802">
      <c r="Y48802" s="372">
        <v>0.0</v>
      </c>
      <c r="Z48802" s="372">
        <v>0.0</v>
      </c>
    </row>
    <row r="48803">
      <c r="Y48803" s="372">
        <v>0.0</v>
      </c>
      <c r="Z48803" s="372">
        <v>0.0</v>
      </c>
    </row>
    <row r="48804">
      <c r="Y48804" s="372">
        <v>0.0</v>
      </c>
      <c r="Z48804" s="372">
        <v>0.0</v>
      </c>
    </row>
    <row r="48805">
      <c r="Y48805" s="372">
        <v>0.0</v>
      </c>
      <c r="Z48805" s="372">
        <v>0.0</v>
      </c>
    </row>
    <row r="48806">
      <c r="Y48806" s="372">
        <v>0.0</v>
      </c>
      <c r="Z48806" s="372">
        <v>0.0</v>
      </c>
    </row>
    <row r="48807">
      <c r="Y48807" s="372">
        <v>0.0</v>
      </c>
      <c r="Z48807" s="372">
        <v>0.0</v>
      </c>
    </row>
    <row r="48808">
      <c r="Y48808" s="372">
        <v>0.0</v>
      </c>
      <c r="Z48808" s="372">
        <v>0.0</v>
      </c>
    </row>
    <row r="48809">
      <c r="Y48809" s="372">
        <v>0.0</v>
      </c>
      <c r="Z48809" s="372">
        <v>0.0</v>
      </c>
    </row>
    <row r="48810">
      <c r="Y48810" s="372">
        <v>0.0</v>
      </c>
      <c r="Z48810" s="372">
        <v>0.0</v>
      </c>
    </row>
    <row r="48811">
      <c r="Y48811" s="372">
        <v>0.0</v>
      </c>
      <c r="Z48811" s="372">
        <v>0.0</v>
      </c>
    </row>
    <row r="48812">
      <c r="Y48812" s="372">
        <v>0.0</v>
      </c>
      <c r="Z48812" s="372">
        <v>0.0</v>
      </c>
    </row>
    <row r="48813">
      <c r="Y48813" s="372">
        <v>0.0</v>
      </c>
      <c r="Z48813" s="372">
        <v>0.0</v>
      </c>
    </row>
    <row r="48814">
      <c r="Y48814" s="372">
        <v>0.0</v>
      </c>
      <c r="Z48814" s="372">
        <v>0.0</v>
      </c>
    </row>
    <row r="48815">
      <c r="Y48815" s="372">
        <v>0.0</v>
      </c>
      <c r="Z48815" s="372">
        <v>0.0</v>
      </c>
    </row>
    <row r="48816">
      <c r="Y48816" s="372">
        <v>0.0</v>
      </c>
      <c r="Z48816" s="372">
        <v>0.0</v>
      </c>
    </row>
    <row r="48817">
      <c r="Y48817" s="372">
        <v>0.0</v>
      </c>
      <c r="Z48817" s="372">
        <v>0.0</v>
      </c>
    </row>
    <row r="48818">
      <c r="Y48818" s="372">
        <v>0.0</v>
      </c>
      <c r="Z48818" s="372">
        <v>0.0</v>
      </c>
    </row>
    <row r="48819">
      <c r="Y48819" s="372">
        <v>0.0</v>
      </c>
      <c r="Z48819" s="372">
        <v>0.0</v>
      </c>
    </row>
    <row r="48820">
      <c r="Y48820" s="372">
        <v>0.0</v>
      </c>
      <c r="Z48820" s="372">
        <v>0.0</v>
      </c>
    </row>
    <row r="48821">
      <c r="Y48821" s="372">
        <v>0.0</v>
      </c>
      <c r="Z48821" s="372">
        <v>0.0</v>
      </c>
    </row>
    <row r="48822">
      <c r="Y48822" s="372">
        <v>0.0</v>
      </c>
      <c r="Z48822" s="372">
        <v>0.0</v>
      </c>
    </row>
    <row r="48823">
      <c r="Y48823" s="372">
        <v>0.0</v>
      </c>
      <c r="Z48823" s="372">
        <v>0.0</v>
      </c>
    </row>
    <row r="48824">
      <c r="Y48824" s="372">
        <v>0.0</v>
      </c>
      <c r="Z48824" s="372">
        <v>0.0</v>
      </c>
    </row>
    <row r="48825">
      <c r="Y48825" s="372">
        <v>0.0</v>
      </c>
      <c r="Z48825" s="372">
        <v>0.0</v>
      </c>
    </row>
    <row r="48826">
      <c r="Y48826" s="372">
        <v>0.0</v>
      </c>
      <c r="Z48826" s="372">
        <v>0.0</v>
      </c>
    </row>
    <row r="48827">
      <c r="Y48827" s="372">
        <v>0.0</v>
      </c>
      <c r="Z48827" s="372">
        <v>0.0</v>
      </c>
    </row>
    <row r="48828">
      <c r="Y48828" s="372">
        <v>0.0</v>
      </c>
      <c r="Z48828" s="372">
        <v>0.0</v>
      </c>
    </row>
    <row r="48829">
      <c r="Y48829" s="372">
        <v>0.0</v>
      </c>
      <c r="Z48829" s="372">
        <v>0.0</v>
      </c>
    </row>
    <row r="48830">
      <c r="Y48830" s="372">
        <v>0.0</v>
      </c>
      <c r="Z48830" s="372">
        <v>0.0</v>
      </c>
    </row>
    <row r="48831">
      <c r="Y48831" s="372">
        <v>0.0</v>
      </c>
      <c r="Z48831" s="372">
        <v>0.0</v>
      </c>
    </row>
    <row r="48832">
      <c r="Y48832" s="372">
        <v>0.0</v>
      </c>
      <c r="Z48832" s="372">
        <v>0.0</v>
      </c>
    </row>
    <row r="48833">
      <c r="Y48833" s="372">
        <v>0.0</v>
      </c>
      <c r="Z48833" s="372">
        <v>0.0</v>
      </c>
    </row>
    <row r="48834">
      <c r="Y48834" s="372">
        <v>0.0</v>
      </c>
      <c r="Z48834" s="372">
        <v>0.0</v>
      </c>
    </row>
    <row r="48835">
      <c r="Y48835" s="372">
        <v>0.0</v>
      </c>
      <c r="Z48835" s="372">
        <v>0.0</v>
      </c>
    </row>
    <row r="48836">
      <c r="Y48836" s="372">
        <v>0.0</v>
      </c>
      <c r="Z48836" s="372">
        <v>0.0</v>
      </c>
    </row>
    <row r="48837">
      <c r="Y48837" s="372">
        <v>0.0</v>
      </c>
      <c r="Z48837" s="372">
        <v>0.0</v>
      </c>
    </row>
    <row r="48838">
      <c r="Y48838" s="372">
        <v>0.0</v>
      </c>
      <c r="Z48838" s="372">
        <v>0.0</v>
      </c>
    </row>
    <row r="48839">
      <c r="Y48839" s="372">
        <v>0.0</v>
      </c>
      <c r="Z48839" s="372">
        <v>0.0</v>
      </c>
    </row>
    <row r="48840">
      <c r="Y48840" s="372">
        <v>0.0</v>
      </c>
      <c r="Z48840" s="372">
        <v>0.0</v>
      </c>
    </row>
    <row r="48841">
      <c r="Y48841" s="372">
        <v>0.0</v>
      </c>
      <c r="Z48841" s="372">
        <v>0.0</v>
      </c>
    </row>
    <row r="48842">
      <c r="Y48842" s="372">
        <v>0.0</v>
      </c>
      <c r="Z48842" s="372">
        <v>0.0</v>
      </c>
    </row>
    <row r="48843">
      <c r="Y48843" s="372">
        <v>0.0</v>
      </c>
      <c r="Z48843" s="372">
        <v>0.0</v>
      </c>
    </row>
    <row r="48844">
      <c r="Y48844" s="372">
        <v>0.0</v>
      </c>
      <c r="Z48844" s="372">
        <v>0.0</v>
      </c>
    </row>
    <row r="48845">
      <c r="Y48845" s="372">
        <v>0.0</v>
      </c>
      <c r="Z48845" s="372">
        <v>0.0</v>
      </c>
    </row>
    <row r="48846">
      <c r="Y48846" s="372">
        <v>0.0</v>
      </c>
      <c r="Z48846" s="372">
        <v>0.0</v>
      </c>
    </row>
    <row r="48847">
      <c r="Y48847" s="372">
        <v>0.0</v>
      </c>
      <c r="Z48847" s="372">
        <v>0.0</v>
      </c>
    </row>
    <row r="48848">
      <c r="Y48848" s="372">
        <v>0.0</v>
      </c>
      <c r="Z48848" s="372">
        <v>0.0</v>
      </c>
    </row>
    <row r="48849">
      <c r="Y48849" s="372">
        <v>0.0</v>
      </c>
      <c r="Z48849" s="372">
        <v>0.0</v>
      </c>
    </row>
    <row r="48850">
      <c r="Y48850" s="372">
        <v>0.0</v>
      </c>
      <c r="Z48850" s="372">
        <v>0.0</v>
      </c>
    </row>
    <row r="48851">
      <c r="Y48851" s="372">
        <v>0.0</v>
      </c>
      <c r="Z48851" s="372">
        <v>0.0</v>
      </c>
    </row>
    <row r="48852">
      <c r="Y48852" s="372">
        <v>0.0</v>
      </c>
      <c r="Z48852" s="372">
        <v>0.0</v>
      </c>
    </row>
    <row r="48853">
      <c r="Y48853" s="372">
        <v>0.0</v>
      </c>
      <c r="Z48853" s="372">
        <v>0.0</v>
      </c>
    </row>
    <row r="48854">
      <c r="Y48854" s="372">
        <v>0.0</v>
      </c>
      <c r="Z48854" s="372">
        <v>0.0</v>
      </c>
    </row>
    <row r="48855">
      <c r="Y48855" s="372">
        <v>0.0</v>
      </c>
      <c r="Z48855" s="372">
        <v>0.0</v>
      </c>
    </row>
    <row r="48856">
      <c r="Y48856" s="372">
        <v>0.0</v>
      </c>
      <c r="Z48856" s="372">
        <v>0.0</v>
      </c>
    </row>
    <row r="48857">
      <c r="Y48857" s="372">
        <v>0.0</v>
      </c>
      <c r="Z48857" s="372">
        <v>0.0</v>
      </c>
    </row>
    <row r="48858">
      <c r="Y48858" s="372">
        <v>0.0</v>
      </c>
      <c r="Z48858" s="372">
        <v>0.0</v>
      </c>
    </row>
    <row r="48859">
      <c r="Y48859" s="372">
        <v>0.0</v>
      </c>
      <c r="Z48859" s="372">
        <v>0.0</v>
      </c>
    </row>
    <row r="48860">
      <c r="Y48860" s="372">
        <v>0.0</v>
      </c>
      <c r="Z48860" s="372">
        <v>0.0</v>
      </c>
    </row>
    <row r="48861">
      <c r="Y48861" s="372">
        <v>0.0</v>
      </c>
      <c r="Z48861" s="372">
        <v>0.0</v>
      </c>
    </row>
    <row r="48862">
      <c r="Y48862" s="372">
        <v>0.0</v>
      </c>
      <c r="Z48862" s="372">
        <v>0.0</v>
      </c>
    </row>
    <row r="48863">
      <c r="Y48863" s="372">
        <v>0.0</v>
      </c>
      <c r="Z48863" s="372">
        <v>0.0</v>
      </c>
    </row>
    <row r="48864">
      <c r="Y48864" s="372">
        <v>0.0</v>
      </c>
      <c r="Z48864" s="372">
        <v>0.0</v>
      </c>
    </row>
    <row r="48865">
      <c r="Y48865" s="372">
        <v>0.0</v>
      </c>
      <c r="Z48865" s="372">
        <v>0.0</v>
      </c>
    </row>
    <row r="48866">
      <c r="Y48866" s="372">
        <v>0.0</v>
      </c>
      <c r="Z48866" s="372">
        <v>0.0</v>
      </c>
    </row>
    <row r="48867">
      <c r="Y48867" s="372">
        <v>0.0</v>
      </c>
      <c r="Z48867" s="372">
        <v>0.0</v>
      </c>
    </row>
    <row r="48868">
      <c r="Y48868" s="372">
        <v>0.0</v>
      </c>
      <c r="Z48868" s="372">
        <v>0.0</v>
      </c>
    </row>
    <row r="48869">
      <c r="Y48869" s="372">
        <v>0.0</v>
      </c>
      <c r="Z48869" s="372">
        <v>0.0</v>
      </c>
    </row>
    <row r="48870">
      <c r="Y48870" s="372">
        <v>0.0</v>
      </c>
      <c r="Z48870" s="372">
        <v>0.0</v>
      </c>
    </row>
    <row r="48871">
      <c r="Y48871" s="372">
        <v>0.0</v>
      </c>
      <c r="Z48871" s="372">
        <v>0.0</v>
      </c>
    </row>
    <row r="48872">
      <c r="Y48872" s="372">
        <v>0.0</v>
      </c>
      <c r="Z48872" s="372">
        <v>0.0</v>
      </c>
    </row>
    <row r="48873">
      <c r="Y48873" s="372">
        <v>0.0</v>
      </c>
      <c r="Z48873" s="372">
        <v>0.0</v>
      </c>
    </row>
    <row r="48874">
      <c r="Y48874" s="372">
        <v>0.0</v>
      </c>
      <c r="Z48874" s="372">
        <v>0.0</v>
      </c>
    </row>
    <row r="48875">
      <c r="Y48875" s="372">
        <v>0.0</v>
      </c>
      <c r="Z48875" s="372">
        <v>0.0</v>
      </c>
    </row>
    <row r="48876">
      <c r="Y48876" s="372">
        <v>0.0</v>
      </c>
      <c r="Z48876" s="372">
        <v>0.0</v>
      </c>
    </row>
    <row r="48877">
      <c r="Y48877" s="372">
        <v>0.0</v>
      </c>
      <c r="Z48877" s="372">
        <v>0.0</v>
      </c>
    </row>
    <row r="48878">
      <c r="Y48878" s="372">
        <v>0.0</v>
      </c>
      <c r="Z48878" s="372">
        <v>0.0</v>
      </c>
    </row>
    <row r="48879">
      <c r="Y48879" s="372">
        <v>0.0</v>
      </c>
      <c r="Z48879" s="372">
        <v>0.0</v>
      </c>
    </row>
    <row r="48880">
      <c r="Y48880" s="372">
        <v>0.0</v>
      </c>
      <c r="Z48880" s="372">
        <v>0.0</v>
      </c>
    </row>
    <row r="48881">
      <c r="Y48881" s="372">
        <v>0.0</v>
      </c>
      <c r="Z48881" s="372">
        <v>0.0</v>
      </c>
    </row>
    <row r="48882">
      <c r="Y48882" s="372">
        <v>0.0</v>
      </c>
      <c r="Z48882" s="372">
        <v>0.0</v>
      </c>
    </row>
    <row r="48883">
      <c r="Y48883" s="372">
        <v>0.0</v>
      </c>
      <c r="Z48883" s="372">
        <v>0.0</v>
      </c>
    </row>
    <row r="48884">
      <c r="Y48884" s="372">
        <v>0.0</v>
      </c>
      <c r="Z48884" s="372">
        <v>0.0</v>
      </c>
    </row>
    <row r="48885">
      <c r="Y48885" s="372">
        <v>0.0</v>
      </c>
      <c r="Z48885" s="372">
        <v>0.0</v>
      </c>
    </row>
    <row r="48886">
      <c r="Y48886" s="372">
        <v>0.0</v>
      </c>
      <c r="Z48886" s="372">
        <v>0.0</v>
      </c>
    </row>
    <row r="48887">
      <c r="Y48887" s="372">
        <v>0.0</v>
      </c>
      <c r="Z48887" s="372">
        <v>0.0</v>
      </c>
    </row>
    <row r="48888">
      <c r="Y48888" s="372">
        <v>0.0</v>
      </c>
      <c r="Z48888" s="372">
        <v>0.0</v>
      </c>
    </row>
    <row r="48889">
      <c r="Y48889" s="372">
        <v>0.0</v>
      </c>
      <c r="Z48889" s="372">
        <v>0.0</v>
      </c>
    </row>
    <row r="48890">
      <c r="Y48890" s="372">
        <v>0.0</v>
      </c>
      <c r="Z48890" s="372">
        <v>0.0</v>
      </c>
    </row>
    <row r="48891">
      <c r="Y48891" s="372">
        <v>0.0</v>
      </c>
      <c r="Z48891" s="372">
        <v>0.0</v>
      </c>
    </row>
    <row r="48892">
      <c r="Y48892" s="372">
        <v>0.0</v>
      </c>
      <c r="Z48892" s="372">
        <v>0.0</v>
      </c>
    </row>
    <row r="48893">
      <c r="Y48893" s="372">
        <v>0.0</v>
      </c>
      <c r="Z48893" s="372">
        <v>0.0</v>
      </c>
    </row>
    <row r="48894">
      <c r="Y48894" s="372">
        <v>0.0</v>
      </c>
      <c r="Z48894" s="372">
        <v>0.0</v>
      </c>
    </row>
    <row r="48895">
      <c r="Y48895" s="372">
        <v>0.0</v>
      </c>
      <c r="Z48895" s="372">
        <v>0.0</v>
      </c>
    </row>
    <row r="48896">
      <c r="Y48896" s="372">
        <v>0.0</v>
      </c>
      <c r="Z48896" s="372">
        <v>0.0</v>
      </c>
    </row>
    <row r="48897">
      <c r="Y48897" s="372">
        <v>0.0</v>
      </c>
      <c r="Z48897" s="372">
        <v>0.0</v>
      </c>
    </row>
    <row r="48898">
      <c r="Y48898" s="372">
        <v>0.0</v>
      </c>
      <c r="Z48898" s="372">
        <v>0.0</v>
      </c>
    </row>
    <row r="48899">
      <c r="Y48899" s="372">
        <v>0.0</v>
      </c>
      <c r="Z48899" s="372">
        <v>0.0</v>
      </c>
    </row>
    <row r="48900">
      <c r="Y48900" s="372">
        <v>0.0</v>
      </c>
      <c r="Z48900" s="372">
        <v>0.0</v>
      </c>
    </row>
    <row r="48901">
      <c r="Y48901" s="372">
        <v>0.0</v>
      </c>
      <c r="Z48901" s="372">
        <v>0.0</v>
      </c>
    </row>
    <row r="48902">
      <c r="Y48902" s="372">
        <v>0.0</v>
      </c>
      <c r="Z48902" s="372">
        <v>0.0</v>
      </c>
    </row>
    <row r="48903">
      <c r="Y48903" s="372">
        <v>0.0</v>
      </c>
      <c r="Z48903" s="372">
        <v>0.0</v>
      </c>
    </row>
    <row r="48904">
      <c r="Y48904" s="372">
        <v>0.0</v>
      </c>
      <c r="Z48904" s="372">
        <v>0.0</v>
      </c>
    </row>
    <row r="48905">
      <c r="Y48905" s="372">
        <v>0.0</v>
      </c>
      <c r="Z48905" s="372">
        <v>0.0</v>
      </c>
    </row>
    <row r="48906">
      <c r="Y48906" s="372">
        <v>0.0</v>
      </c>
      <c r="Z48906" s="372">
        <v>0.0</v>
      </c>
    </row>
    <row r="48907">
      <c r="Y48907" s="372">
        <v>0.0</v>
      </c>
      <c r="Z48907" s="372">
        <v>0.0</v>
      </c>
    </row>
    <row r="48908">
      <c r="Y48908" s="372">
        <v>0.0</v>
      </c>
      <c r="Z48908" s="372">
        <v>0.0</v>
      </c>
    </row>
    <row r="48909">
      <c r="Y48909" s="372">
        <v>0.0</v>
      </c>
      <c r="Z48909" s="372">
        <v>0.0</v>
      </c>
    </row>
    <row r="48910">
      <c r="Y48910" s="372">
        <v>0.0</v>
      </c>
      <c r="Z48910" s="372">
        <v>0.0</v>
      </c>
    </row>
    <row r="48911">
      <c r="Y48911" s="372">
        <v>0.0</v>
      </c>
      <c r="Z48911" s="372">
        <v>0.0</v>
      </c>
    </row>
    <row r="48912">
      <c r="Y48912" s="372">
        <v>0.0</v>
      </c>
      <c r="Z48912" s="372">
        <v>0.0</v>
      </c>
    </row>
    <row r="48913">
      <c r="Y48913" s="372">
        <v>0.0</v>
      </c>
      <c r="Z48913" s="372">
        <v>0.0</v>
      </c>
    </row>
    <row r="48914">
      <c r="Y48914" s="372">
        <v>0.0</v>
      </c>
      <c r="Z48914" s="372">
        <v>0.0</v>
      </c>
    </row>
    <row r="48915">
      <c r="Y48915" s="372">
        <v>0.0</v>
      </c>
      <c r="Z48915" s="372">
        <v>0.0</v>
      </c>
    </row>
    <row r="48916">
      <c r="Y48916" s="372">
        <v>0.0</v>
      </c>
      <c r="Z48916" s="372">
        <v>0.0</v>
      </c>
    </row>
    <row r="48917">
      <c r="Y48917" s="372">
        <v>0.0</v>
      </c>
      <c r="Z48917" s="372">
        <v>0.0</v>
      </c>
    </row>
    <row r="48918">
      <c r="Y48918" s="372">
        <v>0.0</v>
      </c>
      <c r="Z48918" s="372">
        <v>0.0</v>
      </c>
    </row>
    <row r="48919">
      <c r="Y48919" s="372">
        <v>0.0</v>
      </c>
      <c r="Z48919" s="372">
        <v>0.0</v>
      </c>
    </row>
    <row r="48920">
      <c r="Y48920" s="372">
        <v>0.0</v>
      </c>
      <c r="Z48920" s="372">
        <v>0.0</v>
      </c>
    </row>
    <row r="48921">
      <c r="Y48921" s="372">
        <v>0.0</v>
      </c>
      <c r="Z48921" s="372">
        <v>0.0</v>
      </c>
    </row>
    <row r="48922">
      <c r="Y48922" s="372">
        <v>0.0</v>
      </c>
      <c r="Z48922" s="372">
        <v>0.0</v>
      </c>
    </row>
    <row r="48923">
      <c r="Y48923" s="372">
        <v>0.0</v>
      </c>
      <c r="Z48923" s="372">
        <v>0.0</v>
      </c>
    </row>
    <row r="48924">
      <c r="Y48924" s="372">
        <v>0.0</v>
      </c>
      <c r="Z48924" s="372">
        <v>0.0</v>
      </c>
    </row>
    <row r="48925">
      <c r="Y48925" s="372">
        <v>0.0</v>
      </c>
      <c r="Z48925" s="372">
        <v>0.0</v>
      </c>
    </row>
    <row r="48926">
      <c r="Y48926" s="372">
        <v>0.0</v>
      </c>
      <c r="Z48926" s="372">
        <v>0.0</v>
      </c>
    </row>
    <row r="48927">
      <c r="Y48927" s="372">
        <v>0.0</v>
      </c>
      <c r="Z48927" s="372">
        <v>0.0</v>
      </c>
    </row>
    <row r="48928">
      <c r="Y48928" s="372">
        <v>0.0</v>
      </c>
      <c r="Z48928" s="372">
        <v>0.0</v>
      </c>
    </row>
    <row r="48929">
      <c r="Y48929" s="372">
        <v>0.0</v>
      </c>
      <c r="Z48929" s="372">
        <v>0.0</v>
      </c>
    </row>
    <row r="48930">
      <c r="Y48930" s="372">
        <v>0.0</v>
      </c>
      <c r="Z48930" s="372">
        <v>0.0</v>
      </c>
    </row>
    <row r="48931">
      <c r="Y48931" s="372">
        <v>0.0</v>
      </c>
      <c r="Z48931" s="372">
        <v>0.0</v>
      </c>
    </row>
    <row r="48932">
      <c r="Y48932" s="372">
        <v>0.0</v>
      </c>
      <c r="Z48932" s="372">
        <v>0.0</v>
      </c>
    </row>
    <row r="48933">
      <c r="Y48933" s="372">
        <v>0.0</v>
      </c>
      <c r="Z48933" s="372">
        <v>0.0</v>
      </c>
    </row>
    <row r="48934">
      <c r="Y48934" s="372">
        <v>0.0</v>
      </c>
      <c r="Z48934" s="372">
        <v>0.0</v>
      </c>
    </row>
    <row r="48935">
      <c r="Y48935" s="372">
        <v>0.0</v>
      </c>
      <c r="Z48935" s="372">
        <v>0.0</v>
      </c>
    </row>
    <row r="48936">
      <c r="Y48936" s="372">
        <v>0.0</v>
      </c>
      <c r="Z48936" s="372">
        <v>0.0</v>
      </c>
    </row>
    <row r="48937">
      <c r="Y48937" s="372">
        <v>0.0</v>
      </c>
      <c r="Z48937" s="372">
        <v>0.0</v>
      </c>
    </row>
    <row r="48938">
      <c r="Y48938" s="372">
        <v>0.0</v>
      </c>
      <c r="Z48938" s="372">
        <v>0.0</v>
      </c>
    </row>
    <row r="48939">
      <c r="Y48939" s="372">
        <v>0.0</v>
      </c>
      <c r="Z48939" s="372">
        <v>0.0</v>
      </c>
    </row>
    <row r="48940">
      <c r="Y48940" s="372">
        <v>0.0</v>
      </c>
      <c r="Z48940" s="372">
        <v>0.0</v>
      </c>
    </row>
    <row r="48941">
      <c r="Y48941" s="372">
        <v>0.0</v>
      </c>
      <c r="Z48941" s="372">
        <v>0.0</v>
      </c>
    </row>
    <row r="48942">
      <c r="Y48942" s="372">
        <v>0.0</v>
      </c>
      <c r="Z48942" s="372">
        <v>0.0</v>
      </c>
    </row>
    <row r="48943">
      <c r="Y48943" s="372">
        <v>0.0</v>
      </c>
      <c r="Z48943" s="372">
        <v>0.0</v>
      </c>
    </row>
    <row r="48944">
      <c r="Y48944" s="372">
        <v>0.0</v>
      </c>
      <c r="Z48944" s="372">
        <v>0.0</v>
      </c>
    </row>
    <row r="48945">
      <c r="Y48945" s="372">
        <v>0.0</v>
      </c>
      <c r="Z48945" s="372">
        <v>0.0</v>
      </c>
    </row>
    <row r="48946">
      <c r="Y48946" s="372">
        <v>0.0</v>
      </c>
      <c r="Z48946" s="372">
        <v>0.0</v>
      </c>
    </row>
    <row r="48947">
      <c r="Y48947" s="372">
        <v>0.0</v>
      </c>
      <c r="Z48947" s="372">
        <v>0.0</v>
      </c>
    </row>
    <row r="48948">
      <c r="Y48948" s="372">
        <v>0.0</v>
      </c>
      <c r="Z48948" s="372">
        <v>0.0</v>
      </c>
    </row>
    <row r="48949">
      <c r="Y48949" s="372">
        <v>0.0</v>
      </c>
      <c r="Z48949" s="372">
        <v>0.0</v>
      </c>
    </row>
    <row r="48950">
      <c r="Y48950" s="372">
        <v>0.0</v>
      </c>
      <c r="Z48950" s="372">
        <v>0.0</v>
      </c>
    </row>
    <row r="48951">
      <c r="Y48951" s="372">
        <v>0.0</v>
      </c>
      <c r="Z48951" s="372">
        <v>0.0</v>
      </c>
    </row>
    <row r="48952">
      <c r="Y48952" s="372">
        <v>0.0</v>
      </c>
      <c r="Z48952" s="372">
        <v>0.0</v>
      </c>
    </row>
    <row r="48953">
      <c r="Y48953" s="372">
        <v>0.0</v>
      </c>
      <c r="Z48953" s="372">
        <v>0.0</v>
      </c>
    </row>
    <row r="48954">
      <c r="Y48954" s="372">
        <v>0.0</v>
      </c>
      <c r="Z48954" s="372">
        <v>0.0</v>
      </c>
    </row>
    <row r="48955">
      <c r="Y48955" s="372">
        <v>0.0</v>
      </c>
      <c r="Z48955" s="372">
        <v>0.0</v>
      </c>
    </row>
    <row r="48956">
      <c r="Y48956" s="372">
        <v>0.0</v>
      </c>
      <c r="Z48956" s="372">
        <v>0.0</v>
      </c>
    </row>
    <row r="48957">
      <c r="Y48957" s="372">
        <v>0.0</v>
      </c>
      <c r="Z48957" s="372">
        <v>0.0</v>
      </c>
    </row>
    <row r="48958">
      <c r="Y48958" s="372">
        <v>0.0</v>
      </c>
      <c r="Z48958" s="372">
        <v>0.0</v>
      </c>
    </row>
    <row r="48959">
      <c r="Y48959" s="372">
        <v>0.0</v>
      </c>
      <c r="Z48959" s="372">
        <v>0.0</v>
      </c>
    </row>
    <row r="48960">
      <c r="Y48960" s="372">
        <v>0.0</v>
      </c>
      <c r="Z48960" s="372">
        <v>0.0</v>
      </c>
    </row>
    <row r="48961">
      <c r="Y48961" s="372">
        <v>0.0</v>
      </c>
      <c r="Z48961" s="372">
        <v>0.0</v>
      </c>
    </row>
    <row r="48962">
      <c r="Y48962" s="372">
        <v>0.0</v>
      </c>
      <c r="Z48962" s="372">
        <v>0.0</v>
      </c>
    </row>
    <row r="48963">
      <c r="Y48963" s="372">
        <v>0.0</v>
      </c>
      <c r="Z48963" s="372">
        <v>0.0</v>
      </c>
    </row>
    <row r="48964">
      <c r="Y48964" s="372">
        <v>0.0</v>
      </c>
      <c r="Z48964" s="372">
        <v>0.0</v>
      </c>
    </row>
    <row r="48965">
      <c r="Y48965" s="372">
        <v>0.0</v>
      </c>
      <c r="Z48965" s="372">
        <v>0.0</v>
      </c>
    </row>
    <row r="48966">
      <c r="Y48966" s="372">
        <v>0.0</v>
      </c>
      <c r="Z48966" s="372">
        <v>0.0</v>
      </c>
    </row>
    <row r="48967">
      <c r="Y48967" s="372">
        <v>0.0</v>
      </c>
      <c r="Z48967" s="372">
        <v>0.0</v>
      </c>
    </row>
    <row r="48968">
      <c r="Y48968" s="372">
        <v>0.0</v>
      </c>
      <c r="Z48968" s="372">
        <v>0.0</v>
      </c>
    </row>
    <row r="48969">
      <c r="Y48969" s="372">
        <v>0.0</v>
      </c>
      <c r="Z48969" s="372">
        <v>0.0</v>
      </c>
    </row>
    <row r="48970">
      <c r="Y48970" s="372">
        <v>0.0</v>
      </c>
      <c r="Z48970" s="372">
        <v>0.0</v>
      </c>
    </row>
    <row r="48971">
      <c r="Y48971" s="372">
        <v>0.0</v>
      </c>
      <c r="Z48971" s="372">
        <v>0.0</v>
      </c>
    </row>
    <row r="48972">
      <c r="Y48972" s="372">
        <v>0.0</v>
      </c>
      <c r="Z48972" s="372">
        <v>0.0</v>
      </c>
    </row>
    <row r="48973">
      <c r="Y48973" s="372">
        <v>0.0</v>
      </c>
      <c r="Z48973" s="372">
        <v>0.0</v>
      </c>
    </row>
    <row r="48974">
      <c r="Y48974" s="372">
        <v>0.0</v>
      </c>
      <c r="Z48974" s="372">
        <v>0.0</v>
      </c>
    </row>
    <row r="48975">
      <c r="Y48975" s="372">
        <v>0.0</v>
      </c>
      <c r="Z48975" s="372">
        <v>0.0</v>
      </c>
    </row>
    <row r="48976">
      <c r="Y48976" s="372">
        <v>0.0</v>
      </c>
      <c r="Z48976" s="372">
        <v>0.0</v>
      </c>
    </row>
    <row r="48977">
      <c r="Y48977" s="372">
        <v>0.0</v>
      </c>
      <c r="Z48977" s="372">
        <v>0.0</v>
      </c>
    </row>
    <row r="48978">
      <c r="Y48978" s="372">
        <v>0.0</v>
      </c>
      <c r="Z48978" s="372">
        <v>0.0</v>
      </c>
    </row>
    <row r="48979">
      <c r="Y48979" s="372">
        <v>0.0</v>
      </c>
      <c r="Z48979" s="372">
        <v>0.0</v>
      </c>
    </row>
    <row r="48980">
      <c r="Y48980" s="372">
        <v>0.0</v>
      </c>
      <c r="Z48980" s="372">
        <v>0.0</v>
      </c>
    </row>
    <row r="48981">
      <c r="Y48981" s="372">
        <v>0.0</v>
      </c>
      <c r="Z48981" s="372">
        <v>0.0</v>
      </c>
    </row>
    <row r="48982">
      <c r="Y48982" s="372">
        <v>0.0</v>
      </c>
      <c r="Z48982" s="372">
        <v>0.0</v>
      </c>
    </row>
    <row r="48983">
      <c r="Y48983" s="372">
        <v>0.0</v>
      </c>
      <c r="Z48983" s="372">
        <v>0.0</v>
      </c>
    </row>
    <row r="48984">
      <c r="Y48984" s="372">
        <v>0.0</v>
      </c>
      <c r="Z48984" s="372">
        <v>0.0</v>
      </c>
    </row>
    <row r="48985">
      <c r="Y48985" s="372">
        <v>0.0</v>
      </c>
      <c r="Z48985" s="372">
        <v>0.0</v>
      </c>
    </row>
    <row r="48986">
      <c r="Y48986" s="372">
        <v>0.0</v>
      </c>
      <c r="Z48986" s="372">
        <v>0.0</v>
      </c>
    </row>
    <row r="48987">
      <c r="Y48987" s="372">
        <v>0.0</v>
      </c>
      <c r="Z48987" s="372">
        <v>0.0</v>
      </c>
    </row>
    <row r="48988">
      <c r="Y48988" s="372">
        <v>0.0</v>
      </c>
      <c r="Z48988" s="372">
        <v>0.0</v>
      </c>
    </row>
    <row r="48989">
      <c r="Y48989" s="372">
        <v>0.0</v>
      </c>
      <c r="Z48989" s="372">
        <v>0.0</v>
      </c>
    </row>
    <row r="48990">
      <c r="Y48990" s="372">
        <v>0.0</v>
      </c>
      <c r="Z48990" s="372">
        <v>0.0</v>
      </c>
    </row>
    <row r="48991">
      <c r="Y48991" s="372">
        <v>0.0</v>
      </c>
      <c r="Z48991" s="372">
        <v>0.0</v>
      </c>
    </row>
    <row r="48992">
      <c r="Y48992" s="372">
        <v>0.0</v>
      </c>
      <c r="Z48992" s="372">
        <v>0.0</v>
      </c>
    </row>
    <row r="48993">
      <c r="Y48993" s="372">
        <v>0.0</v>
      </c>
      <c r="Z48993" s="372">
        <v>0.0</v>
      </c>
    </row>
    <row r="48994">
      <c r="Y48994" s="372">
        <v>0.0</v>
      </c>
      <c r="Z48994" s="372">
        <v>0.0</v>
      </c>
    </row>
    <row r="48995">
      <c r="Y48995" s="372">
        <v>0.0</v>
      </c>
      <c r="Z48995" s="372">
        <v>0.0</v>
      </c>
    </row>
    <row r="48996">
      <c r="Y48996" s="372">
        <v>0.0</v>
      </c>
      <c r="Z48996" s="372">
        <v>0.0</v>
      </c>
    </row>
    <row r="48997">
      <c r="Y48997" s="372">
        <v>0.0</v>
      </c>
      <c r="Z48997" s="372">
        <v>0.0</v>
      </c>
    </row>
    <row r="48998">
      <c r="Y48998" s="372">
        <v>0.0</v>
      </c>
      <c r="Z48998" s="372">
        <v>0.0</v>
      </c>
    </row>
    <row r="48999">
      <c r="Y48999" s="372">
        <v>0.0</v>
      </c>
      <c r="Z48999" s="372">
        <v>0.0</v>
      </c>
    </row>
    <row r="49000">
      <c r="Y49000" s="372">
        <v>0.0</v>
      </c>
      <c r="Z49000" s="372">
        <v>0.0</v>
      </c>
    </row>
    <row r="49001">
      <c r="Y49001" s="372">
        <v>0.0</v>
      </c>
      <c r="Z49001" s="372">
        <v>0.0</v>
      </c>
    </row>
    <row r="49002">
      <c r="Y49002" s="372">
        <v>0.0</v>
      </c>
      <c r="Z49002" s="372">
        <v>0.0</v>
      </c>
    </row>
    <row r="49003">
      <c r="Y49003" s="372">
        <v>0.0</v>
      </c>
      <c r="Z49003" s="372">
        <v>0.0</v>
      </c>
    </row>
    <row r="49004">
      <c r="Y49004" s="372">
        <v>0.0</v>
      </c>
      <c r="Z49004" s="372">
        <v>0.0</v>
      </c>
    </row>
    <row r="49005">
      <c r="Y49005" s="372">
        <v>0.0</v>
      </c>
      <c r="Z49005" s="372">
        <v>0.0</v>
      </c>
    </row>
    <row r="49006">
      <c r="Y49006" s="372">
        <v>0.0</v>
      </c>
      <c r="Z49006" s="372">
        <v>0.0</v>
      </c>
    </row>
    <row r="49007">
      <c r="Y49007" s="372">
        <v>0.0</v>
      </c>
      <c r="Z49007" s="372">
        <v>0.0</v>
      </c>
    </row>
    <row r="49008">
      <c r="Y49008" s="372">
        <v>0.0</v>
      </c>
      <c r="Z49008" s="372">
        <v>0.0</v>
      </c>
    </row>
    <row r="49009">
      <c r="Y49009" s="372">
        <v>0.0</v>
      </c>
      <c r="Z49009" s="372">
        <v>0.0</v>
      </c>
    </row>
    <row r="49010">
      <c r="Y49010" s="372">
        <v>0.0</v>
      </c>
      <c r="Z49010" s="372">
        <v>0.0</v>
      </c>
    </row>
    <row r="49011">
      <c r="Y49011" s="372">
        <v>0.0</v>
      </c>
      <c r="Z49011" s="372">
        <v>0.0</v>
      </c>
    </row>
    <row r="49012">
      <c r="Y49012" s="372">
        <v>0.0</v>
      </c>
      <c r="Z49012" s="372">
        <v>0.0</v>
      </c>
    </row>
    <row r="49013">
      <c r="Y49013" s="372">
        <v>0.0</v>
      </c>
      <c r="Z49013" s="372">
        <v>0.0</v>
      </c>
    </row>
    <row r="49014">
      <c r="Y49014" s="372">
        <v>0.0</v>
      </c>
      <c r="Z49014" s="372">
        <v>0.0</v>
      </c>
    </row>
    <row r="49015">
      <c r="Y49015" s="372">
        <v>0.0</v>
      </c>
      <c r="Z49015" s="372">
        <v>0.0</v>
      </c>
    </row>
    <row r="49016">
      <c r="Y49016" s="372">
        <v>0.0</v>
      </c>
      <c r="Z49016" s="372">
        <v>0.0</v>
      </c>
    </row>
    <row r="49017">
      <c r="Y49017" s="372">
        <v>0.0</v>
      </c>
      <c r="Z49017" s="372">
        <v>0.0</v>
      </c>
    </row>
    <row r="49018">
      <c r="Y49018" s="372">
        <v>0.0</v>
      </c>
      <c r="Z49018" s="372">
        <v>0.0</v>
      </c>
    </row>
    <row r="49019">
      <c r="Y49019" s="372">
        <v>0.0</v>
      </c>
      <c r="Z49019" s="372">
        <v>0.0</v>
      </c>
    </row>
    <row r="49020">
      <c r="Y49020" s="372">
        <v>0.0</v>
      </c>
      <c r="Z49020" s="372">
        <v>0.0</v>
      </c>
    </row>
    <row r="49021">
      <c r="Y49021" s="372">
        <v>0.0</v>
      </c>
      <c r="Z49021" s="372">
        <v>0.0</v>
      </c>
    </row>
    <row r="49022">
      <c r="Y49022" s="372">
        <v>0.0</v>
      </c>
      <c r="Z49022" s="372">
        <v>0.0</v>
      </c>
    </row>
    <row r="49023">
      <c r="Y49023" s="372">
        <v>0.0</v>
      </c>
      <c r="Z49023" s="372">
        <v>0.0</v>
      </c>
    </row>
    <row r="49024">
      <c r="Y49024" s="372">
        <v>0.0</v>
      </c>
      <c r="Z49024" s="372">
        <v>0.0</v>
      </c>
    </row>
    <row r="49025">
      <c r="Y49025" s="372">
        <v>0.0</v>
      </c>
      <c r="Z49025" s="372">
        <v>0.0</v>
      </c>
    </row>
    <row r="49026">
      <c r="Y49026" s="372">
        <v>0.0</v>
      </c>
      <c r="Z49026" s="372">
        <v>0.0</v>
      </c>
    </row>
    <row r="49027">
      <c r="Y49027" s="372">
        <v>0.0</v>
      </c>
      <c r="Z49027" s="372">
        <v>0.0</v>
      </c>
    </row>
    <row r="49028">
      <c r="Y49028" s="372">
        <v>0.0</v>
      </c>
      <c r="Z49028" s="372">
        <v>0.0</v>
      </c>
    </row>
    <row r="49029">
      <c r="Y49029" s="372">
        <v>0.0</v>
      </c>
      <c r="Z49029" s="372">
        <v>0.0</v>
      </c>
    </row>
    <row r="49030">
      <c r="Y49030" s="372">
        <v>0.0</v>
      </c>
      <c r="Z49030" s="372">
        <v>0.0</v>
      </c>
    </row>
    <row r="49031">
      <c r="Y49031" s="372">
        <v>0.0</v>
      </c>
      <c r="Z49031" s="372">
        <v>0.0</v>
      </c>
    </row>
    <row r="49032">
      <c r="Y49032" s="372">
        <v>0.0</v>
      </c>
      <c r="Z49032" s="372">
        <v>0.0</v>
      </c>
    </row>
    <row r="49033">
      <c r="Y49033" s="372">
        <v>0.0</v>
      </c>
      <c r="Z49033" s="372">
        <v>0.0</v>
      </c>
    </row>
    <row r="49034">
      <c r="Y49034" s="372">
        <v>0.0</v>
      </c>
      <c r="Z49034" s="372">
        <v>0.0</v>
      </c>
    </row>
    <row r="49035">
      <c r="Y49035" s="372">
        <v>0.0</v>
      </c>
      <c r="Z49035" s="372">
        <v>0.0</v>
      </c>
    </row>
    <row r="49036">
      <c r="Y49036" s="372">
        <v>0.0</v>
      </c>
      <c r="Z49036" s="372">
        <v>0.0</v>
      </c>
    </row>
    <row r="49037">
      <c r="Y49037" s="372">
        <v>0.0</v>
      </c>
      <c r="Z49037" s="372">
        <v>0.0</v>
      </c>
    </row>
    <row r="49038">
      <c r="Y49038" s="372">
        <v>0.0</v>
      </c>
      <c r="Z49038" s="372">
        <v>0.0</v>
      </c>
    </row>
    <row r="49039">
      <c r="Y49039" s="372">
        <v>0.0</v>
      </c>
      <c r="Z49039" s="372">
        <v>0.0</v>
      </c>
    </row>
    <row r="49040">
      <c r="Y49040" s="372">
        <v>0.0</v>
      </c>
      <c r="Z49040" s="372">
        <v>0.0</v>
      </c>
    </row>
    <row r="49041">
      <c r="Y49041" s="372">
        <v>0.0</v>
      </c>
      <c r="Z49041" s="372">
        <v>0.0</v>
      </c>
    </row>
    <row r="49042">
      <c r="Y49042" s="372">
        <v>0.0</v>
      </c>
      <c r="Z49042" s="372">
        <v>0.0</v>
      </c>
    </row>
    <row r="49043">
      <c r="Y49043" s="372">
        <v>0.0</v>
      </c>
      <c r="Z49043" s="372">
        <v>0.0</v>
      </c>
    </row>
    <row r="49044">
      <c r="Y49044" s="372">
        <v>0.0</v>
      </c>
      <c r="Z49044" s="372">
        <v>0.0</v>
      </c>
    </row>
    <row r="49045">
      <c r="Y49045" s="372">
        <v>0.0</v>
      </c>
      <c r="Z49045" s="372">
        <v>0.0</v>
      </c>
    </row>
    <row r="49046">
      <c r="Y49046" s="372">
        <v>0.0</v>
      </c>
      <c r="Z49046" s="372">
        <v>0.0</v>
      </c>
    </row>
    <row r="49047">
      <c r="Y49047" s="372">
        <v>0.0</v>
      </c>
      <c r="Z49047" s="372">
        <v>0.0</v>
      </c>
    </row>
    <row r="49048">
      <c r="Y49048" s="372">
        <v>0.0</v>
      </c>
      <c r="Z49048" s="372">
        <v>0.0</v>
      </c>
    </row>
    <row r="49049">
      <c r="Y49049" s="372">
        <v>0.0</v>
      </c>
      <c r="Z49049" s="372">
        <v>0.0</v>
      </c>
    </row>
    <row r="49050">
      <c r="Y49050" s="372">
        <v>0.0</v>
      </c>
      <c r="Z49050" s="372">
        <v>0.0</v>
      </c>
    </row>
    <row r="49051">
      <c r="Y49051" s="372">
        <v>0.0</v>
      </c>
      <c r="Z49051" s="372">
        <v>0.0</v>
      </c>
    </row>
    <row r="49052">
      <c r="Y49052" s="372">
        <v>0.0</v>
      </c>
      <c r="Z49052" s="372">
        <v>0.0</v>
      </c>
    </row>
    <row r="49053">
      <c r="Y49053" s="372">
        <v>0.0</v>
      </c>
      <c r="Z49053" s="372">
        <v>0.0</v>
      </c>
    </row>
    <row r="49054">
      <c r="Y49054" s="372">
        <v>0.0</v>
      </c>
      <c r="Z49054" s="372">
        <v>0.0</v>
      </c>
    </row>
    <row r="49055">
      <c r="Y49055" s="372">
        <v>0.0</v>
      </c>
      <c r="Z49055" s="372">
        <v>0.0</v>
      </c>
    </row>
    <row r="49056">
      <c r="Y49056" s="372">
        <v>0.0</v>
      </c>
      <c r="Z49056" s="372">
        <v>0.0</v>
      </c>
    </row>
    <row r="49057">
      <c r="Y49057" s="372">
        <v>0.0</v>
      </c>
      <c r="Z49057" s="372">
        <v>0.0</v>
      </c>
    </row>
    <row r="49058">
      <c r="Y49058" s="372">
        <v>0.0</v>
      </c>
      <c r="Z49058" s="372">
        <v>0.0</v>
      </c>
    </row>
    <row r="49059">
      <c r="Y49059" s="372">
        <v>0.0</v>
      </c>
      <c r="Z49059" s="372">
        <v>0.0</v>
      </c>
    </row>
    <row r="49060">
      <c r="Y49060" s="372">
        <v>0.0</v>
      </c>
      <c r="Z49060" s="372">
        <v>0.0</v>
      </c>
    </row>
    <row r="49061">
      <c r="Y49061" s="372">
        <v>0.0</v>
      </c>
      <c r="Z49061" s="372">
        <v>0.0</v>
      </c>
    </row>
    <row r="49062">
      <c r="Y49062" s="372">
        <v>0.0</v>
      </c>
      <c r="Z49062" s="372">
        <v>0.0</v>
      </c>
    </row>
    <row r="49063">
      <c r="Y49063" s="372">
        <v>0.0</v>
      </c>
      <c r="Z49063" s="372">
        <v>0.0</v>
      </c>
    </row>
    <row r="49064">
      <c r="Y49064" s="372">
        <v>0.0</v>
      </c>
      <c r="Z49064" s="372">
        <v>0.0</v>
      </c>
    </row>
    <row r="49065">
      <c r="Y49065" s="372">
        <v>0.0</v>
      </c>
      <c r="Z49065" s="372">
        <v>0.0</v>
      </c>
    </row>
    <row r="49066">
      <c r="Y49066" s="372">
        <v>0.0</v>
      </c>
      <c r="Z49066" s="372">
        <v>0.0</v>
      </c>
    </row>
    <row r="49067">
      <c r="Y49067" s="372">
        <v>0.0</v>
      </c>
      <c r="Z49067" s="372">
        <v>0.0</v>
      </c>
    </row>
    <row r="49068">
      <c r="Y49068" s="372">
        <v>0.0</v>
      </c>
      <c r="Z49068" s="372">
        <v>0.0</v>
      </c>
    </row>
    <row r="49069">
      <c r="Y49069" s="372">
        <v>0.0</v>
      </c>
      <c r="Z49069" s="372">
        <v>0.0</v>
      </c>
    </row>
    <row r="49070">
      <c r="Y49070" s="372">
        <v>0.0</v>
      </c>
      <c r="Z49070" s="372">
        <v>0.0</v>
      </c>
    </row>
    <row r="49071">
      <c r="Y49071" s="372">
        <v>0.0</v>
      </c>
      <c r="Z49071" s="372">
        <v>0.0</v>
      </c>
    </row>
    <row r="49072">
      <c r="Y49072" s="372">
        <v>0.0</v>
      </c>
      <c r="Z49072" s="372">
        <v>0.0</v>
      </c>
    </row>
    <row r="49073">
      <c r="Y49073" s="372">
        <v>0.0</v>
      </c>
      <c r="Z49073" s="372">
        <v>0.0</v>
      </c>
    </row>
    <row r="49074">
      <c r="Y49074" s="372">
        <v>0.0</v>
      </c>
      <c r="Z49074" s="372">
        <v>0.0</v>
      </c>
    </row>
    <row r="49075">
      <c r="Y49075" s="372">
        <v>0.0</v>
      </c>
      <c r="Z49075" s="372">
        <v>0.0</v>
      </c>
    </row>
    <row r="49076">
      <c r="Y49076" s="372">
        <v>0.0</v>
      </c>
      <c r="Z49076" s="372">
        <v>0.0</v>
      </c>
    </row>
    <row r="49077">
      <c r="Y49077" s="372">
        <v>0.0</v>
      </c>
      <c r="Z49077" s="372">
        <v>0.0</v>
      </c>
    </row>
    <row r="49078">
      <c r="Y49078" s="372">
        <v>0.0</v>
      </c>
      <c r="Z49078" s="372">
        <v>0.0</v>
      </c>
    </row>
    <row r="49079">
      <c r="Y49079" s="372">
        <v>0.0</v>
      </c>
      <c r="Z49079" s="372">
        <v>0.0</v>
      </c>
    </row>
    <row r="49080">
      <c r="Y49080" s="372">
        <v>0.0</v>
      </c>
      <c r="Z49080" s="372">
        <v>0.0</v>
      </c>
    </row>
    <row r="49081">
      <c r="Y49081" s="372">
        <v>0.0</v>
      </c>
      <c r="Z49081" s="372">
        <v>0.0</v>
      </c>
    </row>
    <row r="49082">
      <c r="Y49082" s="372">
        <v>0.0</v>
      </c>
      <c r="Z49082" s="372">
        <v>0.0</v>
      </c>
    </row>
    <row r="49083">
      <c r="Y49083" s="372">
        <v>0.0</v>
      </c>
      <c r="Z49083" s="372">
        <v>0.0</v>
      </c>
    </row>
    <row r="49084">
      <c r="Y49084" s="372">
        <v>0.0</v>
      </c>
      <c r="Z49084" s="372">
        <v>0.0</v>
      </c>
    </row>
    <row r="49085">
      <c r="Y49085" s="372">
        <v>0.0</v>
      </c>
      <c r="Z49085" s="372">
        <v>0.0</v>
      </c>
    </row>
    <row r="49086">
      <c r="Y49086" s="372">
        <v>0.0</v>
      </c>
      <c r="Z49086" s="372">
        <v>0.0</v>
      </c>
    </row>
    <row r="49087">
      <c r="Y49087" s="372">
        <v>0.0</v>
      </c>
      <c r="Z49087" s="372">
        <v>0.0</v>
      </c>
    </row>
    <row r="49088">
      <c r="Y49088" s="372">
        <v>0.0</v>
      </c>
      <c r="Z49088" s="372">
        <v>0.0</v>
      </c>
    </row>
    <row r="49089">
      <c r="Y49089" s="372">
        <v>0.0</v>
      </c>
      <c r="Z49089" s="372">
        <v>0.0</v>
      </c>
    </row>
    <row r="49090">
      <c r="Y49090" s="372">
        <v>0.0</v>
      </c>
      <c r="Z49090" s="372">
        <v>0.0</v>
      </c>
    </row>
    <row r="49091">
      <c r="Y49091" s="372">
        <v>0.0</v>
      </c>
      <c r="Z49091" s="372">
        <v>0.0</v>
      </c>
    </row>
    <row r="49092">
      <c r="Y49092" s="372">
        <v>0.0</v>
      </c>
      <c r="Z49092" s="372">
        <v>0.0</v>
      </c>
    </row>
    <row r="49093">
      <c r="Y49093" s="372">
        <v>0.0</v>
      </c>
      <c r="Z49093" s="372">
        <v>0.0</v>
      </c>
    </row>
    <row r="49094">
      <c r="Y49094" s="372">
        <v>0.0</v>
      </c>
      <c r="Z49094" s="372">
        <v>0.0</v>
      </c>
    </row>
    <row r="49095">
      <c r="Y49095" s="372">
        <v>0.0</v>
      </c>
      <c r="Z49095" s="372">
        <v>0.0</v>
      </c>
    </row>
    <row r="49096">
      <c r="Y49096" s="372">
        <v>0.0</v>
      </c>
      <c r="Z49096" s="372">
        <v>0.0</v>
      </c>
    </row>
    <row r="49097">
      <c r="Y49097" s="372">
        <v>0.0</v>
      </c>
      <c r="Z49097" s="372">
        <v>0.0</v>
      </c>
    </row>
    <row r="49098">
      <c r="Y49098" s="372">
        <v>0.0</v>
      </c>
      <c r="Z49098" s="372">
        <v>0.0</v>
      </c>
    </row>
    <row r="49099">
      <c r="Y49099" s="372">
        <v>0.0</v>
      </c>
      <c r="Z49099" s="372">
        <v>0.0</v>
      </c>
    </row>
    <row r="49100">
      <c r="Y49100" s="372">
        <v>0.0</v>
      </c>
      <c r="Z49100" s="372">
        <v>0.0</v>
      </c>
    </row>
    <row r="49101">
      <c r="Y49101" s="372">
        <v>0.0</v>
      </c>
      <c r="Z49101" s="372">
        <v>0.0</v>
      </c>
    </row>
    <row r="49102">
      <c r="Y49102" s="372">
        <v>0.0</v>
      </c>
      <c r="Z49102" s="372">
        <v>0.0</v>
      </c>
    </row>
    <row r="49103">
      <c r="Y49103" s="372">
        <v>0.0</v>
      </c>
      <c r="Z49103" s="372">
        <v>0.0</v>
      </c>
    </row>
    <row r="49104">
      <c r="Y49104" s="372">
        <v>0.0</v>
      </c>
      <c r="Z49104" s="372">
        <v>0.0</v>
      </c>
    </row>
    <row r="49105">
      <c r="Y49105" s="372">
        <v>0.0</v>
      </c>
      <c r="Z49105" s="372">
        <v>0.0</v>
      </c>
    </row>
    <row r="49106">
      <c r="Y49106" s="372">
        <v>0.0</v>
      </c>
      <c r="Z49106" s="372">
        <v>0.0</v>
      </c>
    </row>
    <row r="49107">
      <c r="Y49107" s="372">
        <v>0.0</v>
      </c>
      <c r="Z49107" s="372">
        <v>0.0</v>
      </c>
    </row>
    <row r="49108">
      <c r="Y49108" s="372">
        <v>0.0</v>
      </c>
      <c r="Z49108" s="372">
        <v>0.0</v>
      </c>
    </row>
    <row r="49109">
      <c r="Y49109" s="372">
        <v>0.0</v>
      </c>
      <c r="Z49109" s="372">
        <v>0.0</v>
      </c>
    </row>
    <row r="49110">
      <c r="Y49110" s="372">
        <v>0.0</v>
      </c>
      <c r="Z49110" s="372">
        <v>0.0</v>
      </c>
    </row>
    <row r="49111">
      <c r="Y49111" s="372">
        <v>0.0</v>
      </c>
      <c r="Z49111" s="372">
        <v>0.0</v>
      </c>
    </row>
    <row r="49112">
      <c r="Y49112" s="372">
        <v>0.0</v>
      </c>
      <c r="Z49112" s="372">
        <v>0.0</v>
      </c>
    </row>
    <row r="49113">
      <c r="Y49113" s="372">
        <v>0.0</v>
      </c>
      <c r="Z49113" s="372">
        <v>0.0</v>
      </c>
    </row>
    <row r="49114">
      <c r="Y49114" s="372">
        <v>0.0</v>
      </c>
      <c r="Z49114" s="372">
        <v>0.0</v>
      </c>
    </row>
    <row r="49115">
      <c r="Y49115" s="372">
        <v>0.0</v>
      </c>
      <c r="Z49115" s="372">
        <v>0.0</v>
      </c>
    </row>
    <row r="49116">
      <c r="Y49116" s="372">
        <v>0.0</v>
      </c>
      <c r="Z49116" s="372">
        <v>0.0</v>
      </c>
    </row>
    <row r="49117">
      <c r="Y49117" s="372">
        <v>0.0</v>
      </c>
      <c r="Z49117" s="372">
        <v>0.0</v>
      </c>
    </row>
    <row r="49118">
      <c r="Y49118" s="372">
        <v>0.0</v>
      </c>
      <c r="Z49118" s="372">
        <v>0.0</v>
      </c>
    </row>
    <row r="49119">
      <c r="Y49119" s="372">
        <v>0.0</v>
      </c>
      <c r="Z49119" s="372">
        <v>0.0</v>
      </c>
    </row>
    <row r="49120">
      <c r="Y49120" s="372">
        <v>0.0</v>
      </c>
      <c r="Z49120" s="372">
        <v>0.0</v>
      </c>
    </row>
    <row r="49121">
      <c r="Y49121" s="372">
        <v>0.0</v>
      </c>
      <c r="Z49121" s="372">
        <v>0.0</v>
      </c>
    </row>
    <row r="49122">
      <c r="Y49122" s="372">
        <v>0.0</v>
      </c>
      <c r="Z49122" s="372">
        <v>0.0</v>
      </c>
    </row>
    <row r="49123">
      <c r="Y49123" s="372">
        <v>0.0</v>
      </c>
      <c r="Z49123" s="372">
        <v>0.0</v>
      </c>
    </row>
    <row r="49124">
      <c r="Y49124" s="372">
        <v>0.0</v>
      </c>
      <c r="Z49124" s="372">
        <v>0.0</v>
      </c>
    </row>
    <row r="49125">
      <c r="Y49125" s="372">
        <v>0.0</v>
      </c>
      <c r="Z49125" s="372">
        <v>0.0</v>
      </c>
    </row>
    <row r="49126">
      <c r="Y49126" s="372">
        <v>0.0</v>
      </c>
      <c r="Z49126" s="372">
        <v>0.0</v>
      </c>
    </row>
    <row r="49127">
      <c r="Y49127" s="372">
        <v>0.0</v>
      </c>
      <c r="Z49127" s="372">
        <v>0.0</v>
      </c>
    </row>
    <row r="49128">
      <c r="Y49128" s="372">
        <v>0.0</v>
      </c>
      <c r="Z49128" s="372">
        <v>0.0</v>
      </c>
    </row>
    <row r="49129">
      <c r="Y49129" s="372">
        <v>0.0</v>
      </c>
      <c r="Z49129" s="372">
        <v>0.0</v>
      </c>
    </row>
    <row r="49130">
      <c r="Y49130" s="372">
        <v>0.0</v>
      </c>
      <c r="Z49130" s="372">
        <v>0.0</v>
      </c>
    </row>
    <row r="49131">
      <c r="Y49131" s="372">
        <v>0.0</v>
      </c>
      <c r="Z49131" s="372">
        <v>0.0</v>
      </c>
    </row>
    <row r="49132">
      <c r="Y49132" s="372">
        <v>0.0</v>
      </c>
      <c r="Z49132" s="372">
        <v>0.0</v>
      </c>
    </row>
    <row r="49133">
      <c r="Y49133" s="372">
        <v>0.0</v>
      </c>
      <c r="Z49133" s="372">
        <v>0.0</v>
      </c>
    </row>
    <row r="49134">
      <c r="Y49134" s="372">
        <v>0.0</v>
      </c>
      <c r="Z49134" s="372">
        <v>0.0</v>
      </c>
    </row>
    <row r="49135">
      <c r="Y49135" s="372">
        <v>0.0</v>
      </c>
      <c r="Z49135" s="372">
        <v>0.0</v>
      </c>
    </row>
    <row r="49136">
      <c r="Y49136" s="372">
        <v>0.0</v>
      </c>
      <c r="Z49136" s="372">
        <v>0.0</v>
      </c>
    </row>
    <row r="49137">
      <c r="Y49137" s="372">
        <v>0.0</v>
      </c>
      <c r="Z49137" s="372">
        <v>0.0</v>
      </c>
    </row>
    <row r="49138">
      <c r="Y49138" s="372">
        <v>0.0</v>
      </c>
      <c r="Z49138" s="372">
        <v>0.0</v>
      </c>
    </row>
    <row r="49139">
      <c r="Y49139" s="372">
        <v>0.0</v>
      </c>
      <c r="Z49139" s="372">
        <v>0.0</v>
      </c>
    </row>
    <row r="49140">
      <c r="Y49140" s="372">
        <v>0.0</v>
      </c>
      <c r="Z49140" s="372">
        <v>0.0</v>
      </c>
    </row>
    <row r="49141">
      <c r="Y49141" s="372">
        <v>0.0</v>
      </c>
      <c r="Z49141" s="372">
        <v>0.0</v>
      </c>
    </row>
    <row r="49142">
      <c r="Y49142" s="372">
        <v>0.0</v>
      </c>
      <c r="Z49142" s="372">
        <v>0.0</v>
      </c>
    </row>
    <row r="49143">
      <c r="Y49143" s="372">
        <v>0.0</v>
      </c>
      <c r="Z49143" s="372">
        <v>0.0</v>
      </c>
    </row>
    <row r="49144">
      <c r="Y49144" s="372">
        <v>0.0</v>
      </c>
      <c r="Z49144" s="372">
        <v>0.0</v>
      </c>
    </row>
    <row r="49145">
      <c r="Y49145" s="372">
        <v>0.0</v>
      </c>
      <c r="Z49145" s="372">
        <v>0.0</v>
      </c>
    </row>
    <row r="49146">
      <c r="Y49146" s="372">
        <v>0.0</v>
      </c>
      <c r="Z49146" s="372">
        <v>0.0</v>
      </c>
    </row>
    <row r="49147">
      <c r="Y49147" s="372">
        <v>0.0</v>
      </c>
      <c r="Z49147" s="372">
        <v>0.0</v>
      </c>
    </row>
    <row r="49148">
      <c r="Y49148" s="372">
        <v>0.0</v>
      </c>
      <c r="Z49148" s="372">
        <v>0.0</v>
      </c>
    </row>
    <row r="49149">
      <c r="Y49149" s="372">
        <v>0.0</v>
      </c>
      <c r="Z49149" s="372">
        <v>0.0</v>
      </c>
    </row>
    <row r="49150">
      <c r="Y49150" s="372">
        <v>0.0</v>
      </c>
      <c r="Z49150" s="372">
        <v>0.0</v>
      </c>
    </row>
    <row r="49151">
      <c r="Y49151" s="372">
        <v>0.0</v>
      </c>
      <c r="Z49151" s="372">
        <v>0.0</v>
      </c>
    </row>
    <row r="49152">
      <c r="Y49152" s="372">
        <v>0.0</v>
      </c>
      <c r="Z49152" s="372">
        <v>0.0</v>
      </c>
    </row>
    <row r="49153">
      <c r="Y49153" s="372">
        <v>0.0</v>
      </c>
      <c r="Z49153" s="372">
        <v>0.0</v>
      </c>
    </row>
    <row r="49154">
      <c r="Y49154" s="372">
        <v>0.0</v>
      </c>
      <c r="Z49154" s="372">
        <v>0.0</v>
      </c>
    </row>
    <row r="49155">
      <c r="Y49155" s="372">
        <v>0.0</v>
      </c>
      <c r="Z49155" s="372">
        <v>0.0</v>
      </c>
    </row>
    <row r="49156">
      <c r="Y49156" s="372">
        <v>0.0</v>
      </c>
      <c r="Z49156" s="372">
        <v>0.0</v>
      </c>
    </row>
    <row r="49157">
      <c r="Y49157" s="372">
        <v>0.0</v>
      </c>
      <c r="Z49157" s="372">
        <v>0.0</v>
      </c>
    </row>
    <row r="49158">
      <c r="Y49158" s="372">
        <v>0.0</v>
      </c>
      <c r="Z49158" s="372">
        <v>0.0</v>
      </c>
    </row>
    <row r="49159">
      <c r="Y49159" s="372">
        <v>0.0</v>
      </c>
      <c r="Z49159" s="372">
        <v>0.0</v>
      </c>
    </row>
    <row r="49160">
      <c r="Y49160" s="372">
        <v>0.0</v>
      </c>
      <c r="Z49160" s="372">
        <v>0.0</v>
      </c>
    </row>
    <row r="49161">
      <c r="Y49161" s="372">
        <v>0.0</v>
      </c>
      <c r="Z49161" s="372">
        <v>0.0</v>
      </c>
    </row>
    <row r="49162">
      <c r="Y49162" s="372">
        <v>0.0</v>
      </c>
      <c r="Z49162" s="372">
        <v>0.0</v>
      </c>
    </row>
    <row r="49163">
      <c r="Y49163" s="372">
        <v>0.0</v>
      </c>
      <c r="Z49163" s="372">
        <v>0.0</v>
      </c>
    </row>
    <row r="49164">
      <c r="Y49164" s="372">
        <v>0.0</v>
      </c>
      <c r="Z49164" s="372">
        <v>0.0</v>
      </c>
    </row>
    <row r="49165">
      <c r="Y49165" s="372">
        <v>0.0</v>
      </c>
      <c r="Z49165" s="372">
        <v>0.0</v>
      </c>
    </row>
    <row r="49166">
      <c r="Y49166" s="372">
        <v>0.0</v>
      </c>
      <c r="Z49166" s="372">
        <v>0.0</v>
      </c>
    </row>
    <row r="49167">
      <c r="Y49167" s="372">
        <v>0.0</v>
      </c>
      <c r="Z49167" s="372">
        <v>0.0</v>
      </c>
    </row>
    <row r="49168">
      <c r="Y49168" s="372">
        <v>0.0</v>
      </c>
      <c r="Z49168" s="372">
        <v>0.0</v>
      </c>
    </row>
    <row r="49169">
      <c r="Y49169" s="372">
        <v>0.0</v>
      </c>
      <c r="Z49169" s="372">
        <v>0.0</v>
      </c>
    </row>
    <row r="49170">
      <c r="Y49170" s="372">
        <v>0.0</v>
      </c>
      <c r="Z49170" s="372">
        <v>0.0</v>
      </c>
    </row>
    <row r="49171">
      <c r="Y49171" s="372">
        <v>0.0</v>
      </c>
      <c r="Z49171" s="372">
        <v>0.0</v>
      </c>
    </row>
    <row r="49172">
      <c r="Y49172" s="372">
        <v>0.0</v>
      </c>
      <c r="Z49172" s="372">
        <v>0.0</v>
      </c>
    </row>
    <row r="49173">
      <c r="Y49173" s="372">
        <v>0.0</v>
      </c>
      <c r="Z49173" s="372">
        <v>0.0</v>
      </c>
    </row>
    <row r="49174">
      <c r="Y49174" s="372">
        <v>0.0</v>
      </c>
      <c r="Z49174" s="372">
        <v>0.0</v>
      </c>
    </row>
    <row r="49175">
      <c r="Y49175" s="372">
        <v>0.0</v>
      </c>
      <c r="Z49175" s="372">
        <v>0.0</v>
      </c>
    </row>
    <row r="49176">
      <c r="Y49176" s="372">
        <v>0.0</v>
      </c>
      <c r="Z49176" s="372">
        <v>0.0</v>
      </c>
    </row>
    <row r="49177">
      <c r="Y49177" s="372">
        <v>0.0</v>
      </c>
      <c r="Z49177" s="372">
        <v>0.0</v>
      </c>
    </row>
    <row r="49178">
      <c r="Y49178" s="372">
        <v>0.0</v>
      </c>
      <c r="Z49178" s="372">
        <v>0.0</v>
      </c>
    </row>
    <row r="49179">
      <c r="Y49179" s="372">
        <v>0.0</v>
      </c>
      <c r="Z49179" s="372">
        <v>0.0</v>
      </c>
    </row>
    <row r="49180">
      <c r="Y49180" s="372">
        <v>0.0</v>
      </c>
      <c r="Z49180" s="372">
        <v>0.0</v>
      </c>
    </row>
    <row r="49181">
      <c r="Y49181" s="372">
        <v>0.0</v>
      </c>
      <c r="Z49181" s="372">
        <v>0.0</v>
      </c>
    </row>
    <row r="49182">
      <c r="Y49182" s="372">
        <v>0.0</v>
      </c>
      <c r="Z49182" s="372">
        <v>0.0</v>
      </c>
    </row>
    <row r="49183">
      <c r="Y49183" s="372">
        <v>0.0</v>
      </c>
      <c r="Z49183" s="372">
        <v>0.0</v>
      </c>
    </row>
    <row r="49184">
      <c r="Y49184" s="372">
        <v>0.0</v>
      </c>
      <c r="Z49184" s="372">
        <v>0.0</v>
      </c>
    </row>
    <row r="49185">
      <c r="Y49185" s="372">
        <v>0.0</v>
      </c>
      <c r="Z49185" s="372">
        <v>0.0</v>
      </c>
    </row>
    <row r="49186">
      <c r="Y49186" s="372">
        <v>0.0</v>
      </c>
      <c r="Z49186" s="372">
        <v>0.0</v>
      </c>
    </row>
    <row r="49187">
      <c r="Y49187" s="372">
        <v>0.0</v>
      </c>
      <c r="Z49187" s="372">
        <v>0.0</v>
      </c>
    </row>
    <row r="49188">
      <c r="Y49188" s="372">
        <v>0.0</v>
      </c>
      <c r="Z49188" s="372">
        <v>0.0</v>
      </c>
    </row>
    <row r="49189">
      <c r="Y49189" s="372">
        <v>0.0</v>
      </c>
      <c r="Z49189" s="372">
        <v>0.0</v>
      </c>
    </row>
    <row r="49190">
      <c r="Y49190" s="372">
        <v>0.0</v>
      </c>
      <c r="Z49190" s="372">
        <v>0.0</v>
      </c>
    </row>
    <row r="49191">
      <c r="Y49191" s="372">
        <v>0.0</v>
      </c>
      <c r="Z49191" s="372">
        <v>0.0</v>
      </c>
    </row>
    <row r="49192">
      <c r="Y49192" s="372">
        <v>0.0</v>
      </c>
      <c r="Z49192" s="372">
        <v>0.0</v>
      </c>
    </row>
    <row r="49193">
      <c r="Y49193" s="372">
        <v>0.0</v>
      </c>
      <c r="Z49193" s="372">
        <v>0.0</v>
      </c>
    </row>
    <row r="49194">
      <c r="Y49194" s="372">
        <v>0.0</v>
      </c>
      <c r="Z49194" s="372">
        <v>0.0</v>
      </c>
    </row>
    <row r="49195">
      <c r="Y49195" s="372">
        <v>0.0</v>
      </c>
      <c r="Z49195" s="372">
        <v>0.0</v>
      </c>
    </row>
    <row r="49196">
      <c r="Y49196" s="372">
        <v>0.0</v>
      </c>
      <c r="Z49196" s="372">
        <v>0.0</v>
      </c>
    </row>
    <row r="49197">
      <c r="Y49197" s="372">
        <v>0.0</v>
      </c>
      <c r="Z49197" s="372">
        <v>0.0</v>
      </c>
    </row>
    <row r="49198">
      <c r="Y49198" s="372">
        <v>0.0</v>
      </c>
      <c r="Z49198" s="372">
        <v>0.0</v>
      </c>
    </row>
    <row r="49199">
      <c r="Y49199" s="372">
        <v>0.0</v>
      </c>
      <c r="Z49199" s="372">
        <v>0.0</v>
      </c>
    </row>
    <row r="49200">
      <c r="Y49200" s="372">
        <v>0.0</v>
      </c>
      <c r="Z49200" s="372">
        <v>0.0</v>
      </c>
    </row>
    <row r="49201">
      <c r="Y49201" s="372">
        <v>0.0</v>
      </c>
      <c r="Z49201" s="372">
        <v>0.0</v>
      </c>
    </row>
    <row r="49202">
      <c r="Y49202" s="372">
        <v>0.0</v>
      </c>
      <c r="Z49202" s="372">
        <v>0.0</v>
      </c>
    </row>
    <row r="49203">
      <c r="Y49203" s="372">
        <v>0.0</v>
      </c>
      <c r="Z49203" s="372">
        <v>0.0</v>
      </c>
    </row>
    <row r="49204">
      <c r="Y49204" s="372">
        <v>0.0</v>
      </c>
      <c r="Z49204" s="372">
        <v>0.0</v>
      </c>
    </row>
    <row r="49205">
      <c r="Y49205" s="372">
        <v>0.0</v>
      </c>
      <c r="Z49205" s="372">
        <v>0.0</v>
      </c>
    </row>
    <row r="49206">
      <c r="Y49206" s="372">
        <v>0.0</v>
      </c>
      <c r="Z49206" s="372">
        <v>0.0</v>
      </c>
    </row>
    <row r="49207">
      <c r="Y49207" s="372">
        <v>0.0</v>
      </c>
      <c r="Z49207" s="372">
        <v>0.0</v>
      </c>
    </row>
    <row r="49208">
      <c r="Y49208" s="372">
        <v>0.0</v>
      </c>
      <c r="Z49208" s="372">
        <v>0.0</v>
      </c>
    </row>
    <row r="49209">
      <c r="Y49209" s="372">
        <v>0.0</v>
      </c>
      <c r="Z49209" s="372">
        <v>0.0</v>
      </c>
    </row>
    <row r="49210">
      <c r="Y49210" s="372">
        <v>0.0</v>
      </c>
      <c r="Z49210" s="372">
        <v>0.0</v>
      </c>
    </row>
    <row r="49211">
      <c r="Y49211" s="372">
        <v>0.0</v>
      </c>
      <c r="Z49211" s="372">
        <v>0.0</v>
      </c>
    </row>
    <row r="49212">
      <c r="Y49212" s="372">
        <v>0.0</v>
      </c>
      <c r="Z49212" s="372">
        <v>0.0</v>
      </c>
    </row>
    <row r="49213">
      <c r="Y49213" s="372">
        <v>0.0</v>
      </c>
      <c r="Z49213" s="372">
        <v>0.0</v>
      </c>
    </row>
    <row r="49214">
      <c r="Y49214" s="372">
        <v>0.0</v>
      </c>
      <c r="Z49214" s="372">
        <v>0.0</v>
      </c>
    </row>
    <row r="49215">
      <c r="Y49215" s="372">
        <v>0.0</v>
      </c>
      <c r="Z49215" s="372">
        <v>0.0</v>
      </c>
    </row>
    <row r="49216">
      <c r="Y49216" s="372">
        <v>0.0</v>
      </c>
      <c r="Z49216" s="372">
        <v>0.0</v>
      </c>
    </row>
    <row r="49217">
      <c r="Y49217" s="372">
        <v>0.0</v>
      </c>
      <c r="Z49217" s="372">
        <v>0.0</v>
      </c>
    </row>
    <row r="49218">
      <c r="Y49218" s="372">
        <v>0.0</v>
      </c>
      <c r="Z49218" s="372">
        <v>0.0</v>
      </c>
    </row>
    <row r="49219">
      <c r="Y49219" s="372">
        <v>0.0</v>
      </c>
      <c r="Z49219" s="372">
        <v>0.0</v>
      </c>
    </row>
    <row r="49220">
      <c r="Y49220" s="372">
        <v>0.0</v>
      </c>
      <c r="Z49220" s="372">
        <v>0.0</v>
      </c>
    </row>
    <row r="49221">
      <c r="Y49221" s="372">
        <v>0.0</v>
      </c>
      <c r="Z49221" s="372">
        <v>0.0</v>
      </c>
    </row>
    <row r="49222">
      <c r="Y49222" s="372">
        <v>0.0</v>
      </c>
      <c r="Z49222" s="372">
        <v>0.0</v>
      </c>
    </row>
    <row r="49223">
      <c r="Y49223" s="372">
        <v>0.0</v>
      </c>
      <c r="Z49223" s="372">
        <v>0.0</v>
      </c>
    </row>
    <row r="49224">
      <c r="Y49224" s="372">
        <v>0.0</v>
      </c>
      <c r="Z49224" s="372">
        <v>0.0</v>
      </c>
    </row>
    <row r="49225">
      <c r="Y49225" s="372">
        <v>0.0</v>
      </c>
      <c r="Z49225" s="372">
        <v>0.0</v>
      </c>
    </row>
    <row r="49226">
      <c r="Y49226" s="372">
        <v>0.0</v>
      </c>
      <c r="Z49226" s="372">
        <v>0.0</v>
      </c>
    </row>
    <row r="49227">
      <c r="Y49227" s="372">
        <v>0.0</v>
      </c>
      <c r="Z49227" s="372">
        <v>0.0</v>
      </c>
    </row>
    <row r="49228">
      <c r="Y49228" s="372">
        <v>0.0</v>
      </c>
      <c r="Z49228" s="372">
        <v>0.0</v>
      </c>
    </row>
    <row r="49229">
      <c r="Y49229" s="372">
        <v>0.0</v>
      </c>
      <c r="Z49229" s="372">
        <v>0.0</v>
      </c>
    </row>
    <row r="49230">
      <c r="Y49230" s="372">
        <v>0.0</v>
      </c>
      <c r="Z49230" s="372">
        <v>0.0</v>
      </c>
    </row>
    <row r="49231">
      <c r="Y49231" s="372">
        <v>0.0</v>
      </c>
      <c r="Z49231" s="372">
        <v>0.0</v>
      </c>
    </row>
    <row r="49232">
      <c r="Y49232" s="372">
        <v>0.0</v>
      </c>
      <c r="Z49232" s="372">
        <v>0.0</v>
      </c>
    </row>
    <row r="49233">
      <c r="Y49233" s="372">
        <v>0.0</v>
      </c>
      <c r="Z49233" s="372">
        <v>0.0</v>
      </c>
    </row>
    <row r="49234">
      <c r="Y49234" s="372">
        <v>0.0</v>
      </c>
      <c r="Z49234" s="372">
        <v>0.0</v>
      </c>
    </row>
    <row r="49235">
      <c r="Y49235" s="372">
        <v>0.0</v>
      </c>
      <c r="Z49235" s="372">
        <v>0.0</v>
      </c>
    </row>
    <row r="49236">
      <c r="Y49236" s="372">
        <v>0.0</v>
      </c>
      <c r="Z49236" s="372">
        <v>0.0</v>
      </c>
    </row>
    <row r="49237">
      <c r="Y49237" s="372">
        <v>0.0</v>
      </c>
      <c r="Z49237" s="372">
        <v>0.0</v>
      </c>
    </row>
    <row r="49238">
      <c r="Y49238" s="372">
        <v>0.0</v>
      </c>
      <c r="Z49238" s="372">
        <v>0.0</v>
      </c>
    </row>
    <row r="49239">
      <c r="Y49239" s="372">
        <v>0.0</v>
      </c>
      <c r="Z49239" s="372">
        <v>0.0</v>
      </c>
    </row>
    <row r="49240">
      <c r="Y49240" s="372">
        <v>0.0</v>
      </c>
      <c r="Z49240" s="372">
        <v>0.0</v>
      </c>
    </row>
    <row r="49241">
      <c r="Y49241" s="372">
        <v>0.0</v>
      </c>
      <c r="Z49241" s="372">
        <v>0.0</v>
      </c>
    </row>
    <row r="49242">
      <c r="Y49242" s="372">
        <v>0.0</v>
      </c>
      <c r="Z49242" s="372">
        <v>0.0</v>
      </c>
    </row>
    <row r="49243">
      <c r="Y49243" s="372">
        <v>0.0</v>
      </c>
      <c r="Z49243" s="372">
        <v>0.0</v>
      </c>
    </row>
    <row r="49244">
      <c r="Y49244" s="372">
        <v>0.0</v>
      </c>
      <c r="Z49244" s="372">
        <v>0.0</v>
      </c>
    </row>
    <row r="49245">
      <c r="Y49245" s="372">
        <v>0.0</v>
      </c>
      <c r="Z49245" s="372">
        <v>0.0</v>
      </c>
    </row>
    <row r="49246">
      <c r="Y49246" s="372">
        <v>0.0</v>
      </c>
      <c r="Z49246" s="372">
        <v>0.0</v>
      </c>
    </row>
    <row r="49247">
      <c r="Y49247" s="372">
        <v>0.0</v>
      </c>
      <c r="Z49247" s="372">
        <v>0.0</v>
      </c>
    </row>
    <row r="49248">
      <c r="Y49248" s="372">
        <v>0.0</v>
      </c>
      <c r="Z49248" s="372">
        <v>0.0</v>
      </c>
    </row>
    <row r="49249">
      <c r="Y49249" s="372">
        <v>0.0</v>
      </c>
      <c r="Z49249" s="372">
        <v>0.0</v>
      </c>
    </row>
    <row r="49250">
      <c r="Y49250" s="372">
        <v>0.0</v>
      </c>
      <c r="Z49250" s="372">
        <v>0.0</v>
      </c>
    </row>
    <row r="49251">
      <c r="Y49251" s="372">
        <v>0.0</v>
      </c>
      <c r="Z49251" s="372">
        <v>0.0</v>
      </c>
    </row>
    <row r="49252">
      <c r="Y49252" s="372">
        <v>0.0</v>
      </c>
      <c r="Z49252" s="372">
        <v>0.0</v>
      </c>
    </row>
    <row r="49253">
      <c r="Y49253" s="372">
        <v>0.0</v>
      </c>
      <c r="Z49253" s="372">
        <v>0.0</v>
      </c>
    </row>
    <row r="49254">
      <c r="Y49254" s="372">
        <v>0.0</v>
      </c>
      <c r="Z49254" s="372">
        <v>0.0</v>
      </c>
    </row>
    <row r="49255">
      <c r="Y49255" s="372">
        <v>0.0</v>
      </c>
      <c r="Z49255" s="372">
        <v>0.0</v>
      </c>
    </row>
    <row r="49256">
      <c r="Y49256" s="372">
        <v>0.0</v>
      </c>
      <c r="Z49256" s="372">
        <v>0.0</v>
      </c>
    </row>
    <row r="49257">
      <c r="Y49257" s="372">
        <v>0.0</v>
      </c>
      <c r="Z49257" s="372">
        <v>0.0</v>
      </c>
    </row>
    <row r="49258">
      <c r="Y49258" s="372">
        <v>0.0</v>
      </c>
      <c r="Z49258" s="372">
        <v>0.0</v>
      </c>
    </row>
    <row r="49259">
      <c r="Y49259" s="372">
        <v>0.0</v>
      </c>
      <c r="Z49259" s="372">
        <v>0.0</v>
      </c>
    </row>
    <row r="49260">
      <c r="Y49260" s="372">
        <v>0.0</v>
      </c>
      <c r="Z49260" s="372">
        <v>0.0</v>
      </c>
    </row>
    <row r="49261">
      <c r="Y49261" s="372">
        <v>0.0</v>
      </c>
      <c r="Z49261" s="372">
        <v>0.0</v>
      </c>
    </row>
    <row r="49262">
      <c r="Y49262" s="372">
        <v>0.0</v>
      </c>
      <c r="Z49262" s="372">
        <v>0.0</v>
      </c>
    </row>
    <row r="49263">
      <c r="Y49263" s="372">
        <v>0.0</v>
      </c>
      <c r="Z49263" s="372">
        <v>0.0</v>
      </c>
    </row>
    <row r="49264">
      <c r="Y49264" s="372">
        <v>0.0</v>
      </c>
      <c r="Z49264" s="372">
        <v>0.0</v>
      </c>
    </row>
    <row r="49265">
      <c r="Y49265" s="372">
        <v>0.0</v>
      </c>
      <c r="Z49265" s="372">
        <v>0.0</v>
      </c>
    </row>
    <row r="49266">
      <c r="Y49266" s="372">
        <v>0.0</v>
      </c>
      <c r="Z49266" s="372">
        <v>0.0</v>
      </c>
    </row>
    <row r="49267">
      <c r="Y49267" s="372">
        <v>0.0</v>
      </c>
      <c r="Z49267" s="372">
        <v>0.0</v>
      </c>
    </row>
    <row r="49268">
      <c r="Y49268" s="372">
        <v>0.0</v>
      </c>
      <c r="Z49268" s="372">
        <v>0.0</v>
      </c>
    </row>
    <row r="49269">
      <c r="Y49269" s="372">
        <v>0.0</v>
      </c>
      <c r="Z49269" s="372">
        <v>0.0</v>
      </c>
    </row>
    <row r="49270">
      <c r="Y49270" s="372">
        <v>0.0</v>
      </c>
      <c r="Z49270" s="372">
        <v>0.0</v>
      </c>
    </row>
    <row r="49271">
      <c r="Y49271" s="372">
        <v>0.0</v>
      </c>
      <c r="Z49271" s="372">
        <v>0.0</v>
      </c>
    </row>
    <row r="49272">
      <c r="Y49272" s="372">
        <v>0.0</v>
      </c>
      <c r="Z49272" s="372">
        <v>0.0</v>
      </c>
    </row>
    <row r="49273">
      <c r="Y49273" s="372">
        <v>0.0</v>
      </c>
      <c r="Z49273" s="372">
        <v>0.0</v>
      </c>
    </row>
    <row r="49274">
      <c r="Y49274" s="372">
        <v>0.0</v>
      </c>
      <c r="Z49274" s="372">
        <v>0.0</v>
      </c>
    </row>
    <row r="49275">
      <c r="Y49275" s="372">
        <v>0.0</v>
      </c>
      <c r="Z49275" s="372">
        <v>0.0</v>
      </c>
    </row>
    <row r="49276">
      <c r="Y49276" s="372">
        <v>0.0</v>
      </c>
      <c r="Z49276" s="372">
        <v>0.0</v>
      </c>
    </row>
    <row r="49277">
      <c r="Y49277" s="372">
        <v>0.0</v>
      </c>
      <c r="Z49277" s="372">
        <v>0.0</v>
      </c>
    </row>
    <row r="49278">
      <c r="Y49278" s="372">
        <v>0.0</v>
      </c>
      <c r="Z49278" s="372">
        <v>0.0</v>
      </c>
    </row>
    <row r="49279">
      <c r="Y49279" s="372">
        <v>0.0</v>
      </c>
      <c r="Z49279" s="372">
        <v>0.0</v>
      </c>
    </row>
    <row r="49280">
      <c r="Y49280" s="372">
        <v>0.0</v>
      </c>
      <c r="Z49280" s="372">
        <v>0.0</v>
      </c>
    </row>
    <row r="49281">
      <c r="Y49281" s="372">
        <v>0.0</v>
      </c>
      <c r="Z49281" s="372">
        <v>0.0</v>
      </c>
    </row>
    <row r="49282">
      <c r="Y49282" s="372">
        <v>0.0</v>
      </c>
      <c r="Z49282" s="372">
        <v>0.0</v>
      </c>
    </row>
    <row r="49283">
      <c r="Y49283" s="372">
        <v>0.0</v>
      </c>
      <c r="Z49283" s="372">
        <v>0.0</v>
      </c>
    </row>
    <row r="49284">
      <c r="Y49284" s="372">
        <v>0.0</v>
      </c>
      <c r="Z49284" s="372">
        <v>0.0</v>
      </c>
    </row>
    <row r="49285">
      <c r="Y49285" s="372">
        <v>0.0</v>
      </c>
      <c r="Z49285" s="372">
        <v>0.0</v>
      </c>
    </row>
    <row r="49286">
      <c r="Y49286" s="372">
        <v>0.0</v>
      </c>
      <c r="Z49286" s="372">
        <v>0.0</v>
      </c>
    </row>
    <row r="49287">
      <c r="Y49287" s="372">
        <v>0.0</v>
      </c>
      <c r="Z49287" s="372">
        <v>0.0</v>
      </c>
    </row>
    <row r="49288">
      <c r="Y49288" s="372">
        <v>0.0</v>
      </c>
      <c r="Z49288" s="372">
        <v>0.0</v>
      </c>
    </row>
    <row r="49289">
      <c r="Y49289" s="372">
        <v>0.0</v>
      </c>
      <c r="Z49289" s="372">
        <v>0.0</v>
      </c>
    </row>
    <row r="49290">
      <c r="Y49290" s="372">
        <v>0.0</v>
      </c>
      <c r="Z49290" s="372">
        <v>0.0</v>
      </c>
    </row>
    <row r="49291">
      <c r="Y49291" s="372">
        <v>0.0</v>
      </c>
      <c r="Z49291" s="372">
        <v>0.0</v>
      </c>
    </row>
    <row r="49292">
      <c r="Y49292" s="372">
        <v>0.0</v>
      </c>
      <c r="Z49292" s="372">
        <v>0.0</v>
      </c>
    </row>
    <row r="49293">
      <c r="Y49293" s="372">
        <v>0.0</v>
      </c>
      <c r="Z49293" s="372">
        <v>0.0</v>
      </c>
    </row>
    <row r="49294">
      <c r="Y49294" s="372">
        <v>0.0</v>
      </c>
      <c r="Z49294" s="372">
        <v>0.0</v>
      </c>
    </row>
    <row r="49295">
      <c r="Y49295" s="372">
        <v>0.0</v>
      </c>
      <c r="Z49295" s="372">
        <v>0.0</v>
      </c>
    </row>
    <row r="49296">
      <c r="Y49296" s="372">
        <v>0.0</v>
      </c>
      <c r="Z49296" s="372">
        <v>0.0</v>
      </c>
    </row>
    <row r="49297">
      <c r="Y49297" s="372">
        <v>0.0</v>
      </c>
      <c r="Z49297" s="372">
        <v>0.0</v>
      </c>
    </row>
    <row r="49298">
      <c r="Y49298" s="372">
        <v>0.0</v>
      </c>
      <c r="Z49298" s="372">
        <v>0.0</v>
      </c>
    </row>
    <row r="49299">
      <c r="Y49299" s="372">
        <v>0.0</v>
      </c>
      <c r="Z49299" s="372">
        <v>0.0</v>
      </c>
    </row>
    <row r="49300">
      <c r="Y49300" s="372">
        <v>0.0</v>
      </c>
      <c r="Z49300" s="372">
        <v>0.0</v>
      </c>
    </row>
    <row r="49301">
      <c r="Y49301" s="372">
        <v>0.0</v>
      </c>
      <c r="Z49301" s="372">
        <v>0.0</v>
      </c>
    </row>
    <row r="49302">
      <c r="Y49302" s="372">
        <v>0.0</v>
      </c>
      <c r="Z49302" s="372">
        <v>0.0</v>
      </c>
    </row>
    <row r="49303">
      <c r="Y49303" s="372">
        <v>0.0</v>
      </c>
      <c r="Z49303" s="372">
        <v>0.0</v>
      </c>
    </row>
    <row r="49304">
      <c r="Y49304" s="372">
        <v>0.0</v>
      </c>
      <c r="Z49304" s="372">
        <v>0.0</v>
      </c>
    </row>
    <row r="49305">
      <c r="Y49305" s="372">
        <v>0.0</v>
      </c>
      <c r="Z49305" s="372">
        <v>0.0</v>
      </c>
    </row>
    <row r="49306">
      <c r="Y49306" s="372">
        <v>0.0</v>
      </c>
      <c r="Z49306" s="372">
        <v>0.0</v>
      </c>
    </row>
    <row r="49307">
      <c r="Y49307" s="372">
        <v>0.0</v>
      </c>
      <c r="Z49307" s="372">
        <v>0.0</v>
      </c>
    </row>
    <row r="49308">
      <c r="Y49308" s="372">
        <v>0.0</v>
      </c>
      <c r="Z49308" s="372">
        <v>0.0</v>
      </c>
    </row>
    <row r="49309">
      <c r="Y49309" s="372">
        <v>0.0</v>
      </c>
      <c r="Z49309" s="372">
        <v>0.0</v>
      </c>
    </row>
    <row r="49310">
      <c r="Y49310" s="372">
        <v>0.0</v>
      </c>
      <c r="Z49310" s="372">
        <v>0.0</v>
      </c>
    </row>
    <row r="49311">
      <c r="Y49311" s="372">
        <v>0.0</v>
      </c>
      <c r="Z49311" s="372">
        <v>0.0</v>
      </c>
    </row>
    <row r="49312">
      <c r="Y49312" s="372">
        <v>0.0</v>
      </c>
      <c r="Z49312" s="372">
        <v>0.0</v>
      </c>
    </row>
    <row r="49313">
      <c r="Y49313" s="372">
        <v>0.0</v>
      </c>
      <c r="Z49313" s="372">
        <v>0.0</v>
      </c>
    </row>
    <row r="49314">
      <c r="Y49314" s="372">
        <v>0.0</v>
      </c>
      <c r="Z49314" s="372">
        <v>0.0</v>
      </c>
    </row>
    <row r="49315">
      <c r="Y49315" s="372">
        <v>0.0</v>
      </c>
      <c r="Z49315" s="372">
        <v>0.0</v>
      </c>
    </row>
    <row r="49316">
      <c r="Y49316" s="372">
        <v>0.0</v>
      </c>
      <c r="Z49316" s="372">
        <v>0.0</v>
      </c>
    </row>
    <row r="49317">
      <c r="Y49317" s="372">
        <v>0.0</v>
      </c>
      <c r="Z49317" s="372">
        <v>0.0</v>
      </c>
    </row>
    <row r="49318">
      <c r="Y49318" s="372">
        <v>0.0</v>
      </c>
      <c r="Z49318" s="372">
        <v>0.0</v>
      </c>
    </row>
    <row r="49319">
      <c r="Y49319" s="372">
        <v>0.0</v>
      </c>
      <c r="Z49319" s="372">
        <v>0.0</v>
      </c>
    </row>
    <row r="49320">
      <c r="Y49320" s="372">
        <v>0.0</v>
      </c>
      <c r="Z49320" s="372">
        <v>0.0</v>
      </c>
    </row>
    <row r="49321">
      <c r="Y49321" s="372">
        <v>0.0</v>
      </c>
      <c r="Z49321" s="372">
        <v>0.0</v>
      </c>
    </row>
    <row r="49322">
      <c r="Y49322" s="372">
        <v>0.0</v>
      </c>
      <c r="Z49322" s="372">
        <v>0.0</v>
      </c>
    </row>
    <row r="49323">
      <c r="Y49323" s="372">
        <v>0.0</v>
      </c>
      <c r="Z49323" s="372">
        <v>0.0</v>
      </c>
    </row>
    <row r="49324">
      <c r="Y49324" s="372">
        <v>0.0</v>
      </c>
      <c r="Z49324" s="372">
        <v>0.0</v>
      </c>
    </row>
    <row r="49325">
      <c r="Y49325" s="372">
        <v>0.0</v>
      </c>
      <c r="Z49325" s="372">
        <v>0.0</v>
      </c>
    </row>
    <row r="49326">
      <c r="Y49326" s="372">
        <v>0.0</v>
      </c>
      <c r="Z49326" s="372">
        <v>0.0</v>
      </c>
    </row>
    <row r="49327">
      <c r="Y49327" s="372">
        <v>0.0</v>
      </c>
      <c r="Z49327" s="372">
        <v>0.0</v>
      </c>
    </row>
    <row r="49328">
      <c r="Y49328" s="372">
        <v>0.0</v>
      </c>
      <c r="Z49328" s="372">
        <v>0.0</v>
      </c>
    </row>
    <row r="49329">
      <c r="Y49329" s="372">
        <v>0.0</v>
      </c>
      <c r="Z49329" s="372">
        <v>0.0</v>
      </c>
    </row>
    <row r="49330">
      <c r="Y49330" s="372">
        <v>0.0</v>
      </c>
      <c r="Z49330" s="372">
        <v>0.0</v>
      </c>
    </row>
    <row r="49331">
      <c r="Y49331" s="372">
        <v>0.0</v>
      </c>
      <c r="Z49331" s="372">
        <v>0.0</v>
      </c>
    </row>
    <row r="49332">
      <c r="Y49332" s="372">
        <v>0.0</v>
      </c>
      <c r="Z49332" s="372">
        <v>0.0</v>
      </c>
    </row>
    <row r="49333">
      <c r="Y49333" s="372">
        <v>0.0</v>
      </c>
      <c r="Z49333" s="372">
        <v>0.0</v>
      </c>
    </row>
    <row r="49334">
      <c r="Y49334" s="372">
        <v>0.0</v>
      </c>
      <c r="Z49334" s="372">
        <v>0.0</v>
      </c>
    </row>
    <row r="49335">
      <c r="Y49335" s="372">
        <v>0.0</v>
      </c>
      <c r="Z49335" s="372">
        <v>0.0</v>
      </c>
    </row>
    <row r="49336">
      <c r="Y49336" s="372">
        <v>0.0</v>
      </c>
      <c r="Z49336" s="372">
        <v>0.0</v>
      </c>
    </row>
    <row r="49337">
      <c r="Y49337" s="372">
        <v>0.0</v>
      </c>
      <c r="Z49337" s="372">
        <v>0.0</v>
      </c>
    </row>
    <row r="49338">
      <c r="Y49338" s="372">
        <v>0.0</v>
      </c>
      <c r="Z49338" s="372">
        <v>0.0</v>
      </c>
    </row>
    <row r="49339">
      <c r="Y49339" s="372">
        <v>0.0</v>
      </c>
      <c r="Z49339" s="372">
        <v>0.0</v>
      </c>
    </row>
    <row r="49340">
      <c r="Y49340" s="372">
        <v>0.0</v>
      </c>
      <c r="Z49340" s="372">
        <v>0.0</v>
      </c>
    </row>
    <row r="49341">
      <c r="Y49341" s="372">
        <v>0.0</v>
      </c>
      <c r="Z49341" s="372">
        <v>0.0</v>
      </c>
    </row>
    <row r="49342">
      <c r="Y49342" s="372">
        <v>0.0</v>
      </c>
      <c r="Z49342" s="372">
        <v>0.0</v>
      </c>
    </row>
    <row r="49343">
      <c r="Y49343" s="372">
        <v>0.0</v>
      </c>
      <c r="Z49343" s="372">
        <v>0.0</v>
      </c>
    </row>
    <row r="49344">
      <c r="Y49344" s="372">
        <v>0.0</v>
      </c>
      <c r="Z49344" s="372">
        <v>0.0</v>
      </c>
    </row>
    <row r="49345">
      <c r="Y49345" s="372">
        <v>0.0</v>
      </c>
      <c r="Z49345" s="372">
        <v>0.0</v>
      </c>
    </row>
    <row r="49346">
      <c r="Y49346" s="372">
        <v>0.0</v>
      </c>
      <c r="Z49346" s="372">
        <v>0.0</v>
      </c>
    </row>
    <row r="49347">
      <c r="Y49347" s="372">
        <v>0.0</v>
      </c>
      <c r="Z49347" s="372">
        <v>0.0</v>
      </c>
    </row>
    <row r="49348">
      <c r="Y49348" s="372">
        <v>0.0</v>
      </c>
      <c r="Z49348" s="372">
        <v>0.0</v>
      </c>
    </row>
    <row r="49349">
      <c r="Y49349" s="372">
        <v>0.0</v>
      </c>
      <c r="Z49349" s="372">
        <v>0.0</v>
      </c>
    </row>
    <row r="49350">
      <c r="Y49350" s="372">
        <v>0.0</v>
      </c>
      <c r="Z49350" s="372">
        <v>0.0</v>
      </c>
    </row>
    <row r="49351">
      <c r="Y49351" s="372">
        <v>0.0</v>
      </c>
      <c r="Z49351" s="372">
        <v>0.0</v>
      </c>
    </row>
    <row r="49352">
      <c r="Y49352" s="372">
        <v>0.0</v>
      </c>
      <c r="Z49352" s="372">
        <v>0.0</v>
      </c>
    </row>
    <row r="49353">
      <c r="Y49353" s="372">
        <v>0.0</v>
      </c>
      <c r="Z49353" s="372">
        <v>0.0</v>
      </c>
    </row>
    <row r="49354">
      <c r="Y49354" s="372">
        <v>0.0</v>
      </c>
      <c r="Z49354" s="372">
        <v>0.0</v>
      </c>
    </row>
    <row r="49355">
      <c r="Y49355" s="372">
        <v>0.0</v>
      </c>
      <c r="Z49355" s="372">
        <v>0.0</v>
      </c>
    </row>
    <row r="49356">
      <c r="Y49356" s="372">
        <v>0.0</v>
      </c>
      <c r="Z49356" s="372">
        <v>0.0</v>
      </c>
    </row>
    <row r="49357">
      <c r="Y49357" s="372">
        <v>0.0</v>
      </c>
      <c r="Z49357" s="372">
        <v>0.0</v>
      </c>
    </row>
    <row r="49358">
      <c r="Y49358" s="372">
        <v>0.0</v>
      </c>
      <c r="Z49358" s="372">
        <v>0.0</v>
      </c>
    </row>
    <row r="49359">
      <c r="Y49359" s="372">
        <v>0.0</v>
      </c>
      <c r="Z49359" s="372">
        <v>0.0</v>
      </c>
    </row>
    <row r="49360">
      <c r="Y49360" s="372">
        <v>0.0</v>
      </c>
      <c r="Z49360" s="372">
        <v>0.0</v>
      </c>
    </row>
    <row r="49361">
      <c r="Y49361" s="372">
        <v>0.0</v>
      </c>
      <c r="Z49361" s="372">
        <v>0.0</v>
      </c>
    </row>
    <row r="49362">
      <c r="Y49362" s="372">
        <v>0.0</v>
      </c>
      <c r="Z49362" s="372">
        <v>0.0</v>
      </c>
    </row>
    <row r="49363">
      <c r="Y49363" s="372">
        <v>0.0</v>
      </c>
      <c r="Z49363" s="372">
        <v>0.0</v>
      </c>
    </row>
    <row r="49364">
      <c r="Y49364" s="372">
        <v>0.0</v>
      </c>
      <c r="Z49364" s="372">
        <v>0.0</v>
      </c>
    </row>
    <row r="49365">
      <c r="Y49365" s="372">
        <v>0.0</v>
      </c>
      <c r="Z49365" s="372">
        <v>0.0</v>
      </c>
    </row>
    <row r="49366">
      <c r="Y49366" s="372">
        <v>0.0</v>
      </c>
      <c r="Z49366" s="372">
        <v>0.0</v>
      </c>
    </row>
    <row r="49367">
      <c r="Y49367" s="372">
        <v>0.0</v>
      </c>
      <c r="Z49367" s="372">
        <v>0.0</v>
      </c>
    </row>
    <row r="49368">
      <c r="Y49368" s="372">
        <v>0.0</v>
      </c>
      <c r="Z49368" s="372">
        <v>0.0</v>
      </c>
    </row>
    <row r="49369">
      <c r="Y49369" s="372">
        <v>0.0</v>
      </c>
      <c r="Z49369" s="372">
        <v>0.0</v>
      </c>
    </row>
    <row r="49370">
      <c r="Y49370" s="372">
        <v>0.0</v>
      </c>
      <c r="Z49370" s="372">
        <v>0.0</v>
      </c>
    </row>
    <row r="49371">
      <c r="Y49371" s="372">
        <v>0.0</v>
      </c>
      <c r="Z49371" s="372">
        <v>0.0</v>
      </c>
    </row>
    <row r="49372">
      <c r="Y49372" s="372">
        <v>0.0</v>
      </c>
      <c r="Z49372" s="372">
        <v>0.0</v>
      </c>
    </row>
    <row r="49373">
      <c r="Y49373" s="372">
        <v>0.0</v>
      </c>
      <c r="Z49373" s="372">
        <v>0.0</v>
      </c>
    </row>
    <row r="49374">
      <c r="Y49374" s="372">
        <v>0.0</v>
      </c>
      <c r="Z49374" s="372">
        <v>0.0</v>
      </c>
    </row>
    <row r="49375">
      <c r="Y49375" s="372">
        <v>0.0</v>
      </c>
      <c r="Z49375" s="372">
        <v>0.0</v>
      </c>
    </row>
    <row r="49376">
      <c r="Y49376" s="372">
        <v>0.0</v>
      </c>
      <c r="Z49376" s="372">
        <v>0.0</v>
      </c>
    </row>
    <row r="49377">
      <c r="Y49377" s="372">
        <v>0.0</v>
      </c>
      <c r="Z49377" s="372">
        <v>0.0</v>
      </c>
    </row>
    <row r="49378">
      <c r="Y49378" s="372">
        <v>0.0</v>
      </c>
      <c r="Z49378" s="372">
        <v>0.0</v>
      </c>
    </row>
    <row r="49379">
      <c r="Y49379" s="372">
        <v>0.0</v>
      </c>
      <c r="Z49379" s="372">
        <v>0.0</v>
      </c>
    </row>
    <row r="49380">
      <c r="Y49380" s="372">
        <v>0.0</v>
      </c>
      <c r="Z49380" s="372">
        <v>0.0</v>
      </c>
    </row>
    <row r="49381">
      <c r="Y49381" s="372">
        <v>0.0</v>
      </c>
      <c r="Z49381" s="372">
        <v>0.0</v>
      </c>
    </row>
    <row r="49382">
      <c r="Y49382" s="372">
        <v>0.0</v>
      </c>
      <c r="Z49382" s="372">
        <v>0.0</v>
      </c>
    </row>
    <row r="49383">
      <c r="Y49383" s="372">
        <v>0.0</v>
      </c>
      <c r="Z49383" s="372">
        <v>0.0</v>
      </c>
    </row>
    <row r="49384">
      <c r="Y49384" s="372">
        <v>0.0</v>
      </c>
      <c r="Z49384" s="372">
        <v>0.0</v>
      </c>
    </row>
    <row r="49385">
      <c r="Y49385" s="372">
        <v>0.0</v>
      </c>
      <c r="Z49385" s="372">
        <v>0.0</v>
      </c>
    </row>
    <row r="49386">
      <c r="Y49386" s="372">
        <v>0.0</v>
      </c>
      <c r="Z49386" s="372">
        <v>0.0</v>
      </c>
    </row>
    <row r="49387">
      <c r="Y49387" s="372">
        <v>0.0</v>
      </c>
      <c r="Z49387" s="372">
        <v>0.0</v>
      </c>
    </row>
    <row r="49388">
      <c r="Y49388" s="372">
        <v>0.0</v>
      </c>
      <c r="Z49388" s="372">
        <v>0.0</v>
      </c>
    </row>
    <row r="49389">
      <c r="Y49389" s="372">
        <v>0.0</v>
      </c>
      <c r="Z49389" s="372">
        <v>0.0</v>
      </c>
    </row>
    <row r="49390">
      <c r="Y49390" s="372">
        <v>0.0</v>
      </c>
      <c r="Z49390" s="372">
        <v>0.0</v>
      </c>
    </row>
    <row r="49391">
      <c r="Y49391" s="372">
        <v>0.0</v>
      </c>
      <c r="Z49391" s="372">
        <v>0.0</v>
      </c>
    </row>
    <row r="49392">
      <c r="Y49392" s="372">
        <v>0.0</v>
      </c>
      <c r="Z49392" s="372">
        <v>0.0</v>
      </c>
    </row>
    <row r="49393">
      <c r="Y49393" s="372">
        <v>0.0</v>
      </c>
      <c r="Z49393" s="372">
        <v>0.0</v>
      </c>
    </row>
    <row r="49394">
      <c r="Y49394" s="372">
        <v>0.0</v>
      </c>
      <c r="Z49394" s="372">
        <v>0.0</v>
      </c>
    </row>
    <row r="49395">
      <c r="Y49395" s="372">
        <v>0.0</v>
      </c>
      <c r="Z49395" s="372">
        <v>0.0</v>
      </c>
    </row>
    <row r="49396">
      <c r="Y49396" s="372">
        <v>0.0</v>
      </c>
      <c r="Z49396" s="372">
        <v>0.0</v>
      </c>
    </row>
    <row r="49397">
      <c r="Y49397" s="372">
        <v>0.0</v>
      </c>
      <c r="Z49397" s="372">
        <v>0.0</v>
      </c>
    </row>
    <row r="49398">
      <c r="Y49398" s="372">
        <v>0.0</v>
      </c>
      <c r="Z49398" s="372">
        <v>0.0</v>
      </c>
    </row>
    <row r="49399">
      <c r="Y49399" s="372">
        <v>0.0</v>
      </c>
      <c r="Z49399" s="372">
        <v>0.0</v>
      </c>
    </row>
    <row r="49400">
      <c r="Y49400" s="372">
        <v>0.0</v>
      </c>
      <c r="Z49400" s="372">
        <v>0.0</v>
      </c>
    </row>
    <row r="49401">
      <c r="Y49401" s="372">
        <v>0.0</v>
      </c>
      <c r="Z49401" s="372">
        <v>0.0</v>
      </c>
    </row>
    <row r="49402">
      <c r="Y49402" s="372">
        <v>0.0</v>
      </c>
      <c r="Z49402" s="372">
        <v>0.0</v>
      </c>
    </row>
    <row r="49403">
      <c r="Y49403" s="372">
        <v>0.0</v>
      </c>
      <c r="Z49403" s="372">
        <v>0.0</v>
      </c>
    </row>
    <row r="49404">
      <c r="Y49404" s="372">
        <v>0.0</v>
      </c>
      <c r="Z49404" s="372">
        <v>0.0</v>
      </c>
    </row>
    <row r="49405">
      <c r="Y49405" s="372">
        <v>0.0</v>
      </c>
      <c r="Z49405" s="372">
        <v>0.0</v>
      </c>
    </row>
    <row r="49406">
      <c r="Y49406" s="372">
        <v>0.0</v>
      </c>
      <c r="Z49406" s="372">
        <v>0.0</v>
      </c>
    </row>
    <row r="49407">
      <c r="Y49407" s="372">
        <v>0.0</v>
      </c>
      <c r="Z49407" s="372">
        <v>0.0</v>
      </c>
    </row>
    <row r="49408">
      <c r="Y49408" s="372">
        <v>0.0</v>
      </c>
      <c r="Z49408" s="372">
        <v>0.0</v>
      </c>
    </row>
    <row r="49409">
      <c r="Y49409" s="372">
        <v>0.0</v>
      </c>
      <c r="Z49409" s="372">
        <v>0.0</v>
      </c>
    </row>
    <row r="49410">
      <c r="Y49410" s="372">
        <v>0.0</v>
      </c>
      <c r="Z49410" s="372">
        <v>0.0</v>
      </c>
    </row>
    <row r="49411">
      <c r="Y49411" s="372">
        <v>0.0</v>
      </c>
      <c r="Z49411" s="372">
        <v>0.0</v>
      </c>
    </row>
    <row r="49412">
      <c r="Y49412" s="372">
        <v>0.0</v>
      </c>
      <c r="Z49412" s="372">
        <v>0.0</v>
      </c>
    </row>
    <row r="49413">
      <c r="Y49413" s="372">
        <v>0.0</v>
      </c>
      <c r="Z49413" s="372">
        <v>0.0</v>
      </c>
    </row>
    <row r="49414">
      <c r="Y49414" s="372">
        <v>0.0</v>
      </c>
      <c r="Z49414" s="372">
        <v>0.0</v>
      </c>
    </row>
    <row r="49415">
      <c r="Y49415" s="372">
        <v>0.0</v>
      </c>
      <c r="Z49415" s="372">
        <v>0.0</v>
      </c>
    </row>
    <row r="49416">
      <c r="Y49416" s="372">
        <v>0.0</v>
      </c>
      <c r="Z49416" s="372">
        <v>0.0</v>
      </c>
    </row>
    <row r="49417">
      <c r="Y49417" s="372">
        <v>0.0</v>
      </c>
      <c r="Z49417" s="372">
        <v>0.0</v>
      </c>
    </row>
    <row r="49418">
      <c r="Y49418" s="372">
        <v>0.0</v>
      </c>
      <c r="Z49418" s="372">
        <v>0.0</v>
      </c>
    </row>
    <row r="49419">
      <c r="Y49419" s="372">
        <v>0.0</v>
      </c>
      <c r="Z49419" s="372">
        <v>0.0</v>
      </c>
    </row>
    <row r="49420">
      <c r="Y49420" s="372">
        <v>0.0</v>
      </c>
      <c r="Z49420" s="372">
        <v>0.0</v>
      </c>
    </row>
    <row r="49421">
      <c r="Y49421" s="372">
        <v>0.0</v>
      </c>
      <c r="Z49421" s="372">
        <v>0.0</v>
      </c>
    </row>
    <row r="49422">
      <c r="Y49422" s="372">
        <v>0.0</v>
      </c>
      <c r="Z49422" s="372">
        <v>0.0</v>
      </c>
    </row>
    <row r="49423">
      <c r="Y49423" s="372">
        <v>0.0</v>
      </c>
      <c r="Z49423" s="372">
        <v>0.0</v>
      </c>
    </row>
    <row r="49424">
      <c r="Y49424" s="372">
        <v>0.0</v>
      </c>
      <c r="Z49424" s="372">
        <v>0.0</v>
      </c>
    </row>
    <row r="49425">
      <c r="Y49425" s="372">
        <v>0.0</v>
      </c>
      <c r="Z49425" s="372">
        <v>0.0</v>
      </c>
    </row>
    <row r="49426">
      <c r="Y49426" s="372">
        <v>0.0</v>
      </c>
      <c r="Z49426" s="372">
        <v>0.0</v>
      </c>
    </row>
    <row r="49427">
      <c r="Y49427" s="372">
        <v>0.0</v>
      </c>
      <c r="Z49427" s="372">
        <v>0.0</v>
      </c>
    </row>
    <row r="49428">
      <c r="Y49428" s="372">
        <v>0.0</v>
      </c>
      <c r="Z49428" s="372">
        <v>0.0</v>
      </c>
    </row>
    <row r="49429">
      <c r="Y49429" s="372">
        <v>0.0</v>
      </c>
      <c r="Z49429" s="372">
        <v>0.0</v>
      </c>
    </row>
    <row r="49430">
      <c r="Y49430" s="372">
        <v>0.0</v>
      </c>
      <c r="Z49430" s="372">
        <v>0.0</v>
      </c>
    </row>
    <row r="49431">
      <c r="Y49431" s="372">
        <v>0.0</v>
      </c>
      <c r="Z49431" s="372">
        <v>0.0</v>
      </c>
    </row>
    <row r="49432">
      <c r="Y49432" s="372">
        <v>0.0</v>
      </c>
      <c r="Z49432" s="372">
        <v>0.0</v>
      </c>
    </row>
    <row r="49433">
      <c r="Y49433" s="372">
        <v>0.0</v>
      </c>
      <c r="Z49433" s="372">
        <v>0.0</v>
      </c>
    </row>
    <row r="49434">
      <c r="Y49434" s="372">
        <v>0.0</v>
      </c>
      <c r="Z49434" s="372">
        <v>0.0</v>
      </c>
    </row>
    <row r="49435">
      <c r="Y49435" s="372">
        <v>0.0</v>
      </c>
      <c r="Z49435" s="372">
        <v>0.0</v>
      </c>
    </row>
    <row r="49436">
      <c r="Y49436" s="372">
        <v>0.0</v>
      </c>
      <c r="Z49436" s="372">
        <v>0.0</v>
      </c>
    </row>
    <row r="49437">
      <c r="Y49437" s="372">
        <v>0.0</v>
      </c>
      <c r="Z49437" s="372">
        <v>0.0</v>
      </c>
    </row>
    <row r="49438">
      <c r="Y49438" s="372">
        <v>0.0</v>
      </c>
      <c r="Z49438" s="372">
        <v>0.0</v>
      </c>
    </row>
    <row r="49439">
      <c r="Y49439" s="372">
        <v>0.0</v>
      </c>
      <c r="Z49439" s="372">
        <v>0.0</v>
      </c>
    </row>
    <row r="49440">
      <c r="Y49440" s="372">
        <v>0.0</v>
      </c>
      <c r="Z49440" s="372">
        <v>0.0</v>
      </c>
    </row>
    <row r="49441">
      <c r="Y49441" s="372">
        <v>0.0</v>
      </c>
      <c r="Z49441" s="372">
        <v>0.0</v>
      </c>
    </row>
    <row r="49442">
      <c r="Y49442" s="372">
        <v>0.0</v>
      </c>
      <c r="Z49442" s="372">
        <v>0.0</v>
      </c>
    </row>
    <row r="49443">
      <c r="Y49443" s="372">
        <v>0.0</v>
      </c>
      <c r="Z49443" s="372">
        <v>0.0</v>
      </c>
    </row>
    <row r="49444">
      <c r="Y49444" s="372">
        <v>0.0</v>
      </c>
      <c r="Z49444" s="372">
        <v>0.0</v>
      </c>
    </row>
    <row r="49445">
      <c r="Y49445" s="372">
        <v>0.0</v>
      </c>
      <c r="Z49445" s="372">
        <v>0.0</v>
      </c>
    </row>
    <row r="49446">
      <c r="Y49446" s="372">
        <v>0.0</v>
      </c>
      <c r="Z49446" s="372">
        <v>0.0</v>
      </c>
    </row>
    <row r="49447">
      <c r="Y49447" s="372">
        <v>0.0</v>
      </c>
      <c r="Z49447" s="372">
        <v>0.0</v>
      </c>
    </row>
    <row r="49448">
      <c r="Y49448" s="372">
        <v>0.0</v>
      </c>
      <c r="Z49448" s="372">
        <v>0.0</v>
      </c>
    </row>
    <row r="49449">
      <c r="Y49449" s="372">
        <v>0.0</v>
      </c>
      <c r="Z49449" s="372">
        <v>0.0</v>
      </c>
    </row>
    <row r="49450">
      <c r="Y49450" s="372">
        <v>0.0</v>
      </c>
      <c r="Z49450" s="372">
        <v>0.0</v>
      </c>
    </row>
    <row r="49451">
      <c r="Y49451" s="372">
        <v>0.0</v>
      </c>
      <c r="Z49451" s="372">
        <v>0.0</v>
      </c>
    </row>
    <row r="49452">
      <c r="Y49452" s="372">
        <v>0.0</v>
      </c>
      <c r="Z49452" s="372">
        <v>0.0</v>
      </c>
    </row>
    <row r="49453">
      <c r="Y49453" s="372">
        <v>0.0</v>
      </c>
      <c r="Z49453" s="372">
        <v>0.0</v>
      </c>
    </row>
    <row r="49454">
      <c r="Y49454" s="372">
        <v>0.0</v>
      </c>
      <c r="Z49454" s="372">
        <v>0.0</v>
      </c>
    </row>
    <row r="49455">
      <c r="Y49455" s="372">
        <v>0.0</v>
      </c>
      <c r="Z49455" s="372">
        <v>0.0</v>
      </c>
    </row>
    <row r="49456">
      <c r="Y49456" s="372">
        <v>0.0</v>
      </c>
      <c r="Z49456" s="372">
        <v>0.0</v>
      </c>
    </row>
    <row r="49457">
      <c r="Y49457" s="372">
        <v>0.0</v>
      </c>
      <c r="Z49457" s="372">
        <v>0.0</v>
      </c>
    </row>
    <row r="49458">
      <c r="Y49458" s="372">
        <v>0.0</v>
      </c>
      <c r="Z49458" s="372">
        <v>0.0</v>
      </c>
    </row>
    <row r="49459">
      <c r="Y49459" s="372">
        <v>0.0</v>
      </c>
      <c r="Z49459" s="372">
        <v>0.0</v>
      </c>
    </row>
    <row r="49460">
      <c r="Y49460" s="372">
        <v>0.0</v>
      </c>
      <c r="Z49460" s="372">
        <v>0.0</v>
      </c>
    </row>
    <row r="49461">
      <c r="Y49461" s="372">
        <v>0.0</v>
      </c>
      <c r="Z49461" s="372">
        <v>0.0</v>
      </c>
    </row>
    <row r="49462">
      <c r="Y49462" s="372">
        <v>0.0</v>
      </c>
      <c r="Z49462" s="372">
        <v>0.0</v>
      </c>
    </row>
    <row r="49463">
      <c r="Y49463" s="372">
        <v>0.0</v>
      </c>
      <c r="Z49463" s="372">
        <v>0.0</v>
      </c>
    </row>
    <row r="49464">
      <c r="Y49464" s="372">
        <v>0.0</v>
      </c>
      <c r="Z49464" s="372">
        <v>0.0</v>
      </c>
    </row>
    <row r="49465">
      <c r="Y49465" s="372">
        <v>0.0</v>
      </c>
      <c r="Z49465" s="372">
        <v>0.0</v>
      </c>
    </row>
    <row r="49466">
      <c r="Y49466" s="372">
        <v>0.0</v>
      </c>
      <c r="Z49466" s="372">
        <v>0.0</v>
      </c>
    </row>
    <row r="49467">
      <c r="Y49467" s="372">
        <v>0.0</v>
      </c>
      <c r="Z49467" s="372">
        <v>0.0</v>
      </c>
    </row>
    <row r="49468">
      <c r="Y49468" s="372">
        <v>0.0</v>
      </c>
      <c r="Z49468" s="372">
        <v>0.0</v>
      </c>
    </row>
    <row r="49469">
      <c r="Y49469" s="372">
        <v>0.0</v>
      </c>
      <c r="Z49469" s="372">
        <v>0.0</v>
      </c>
    </row>
    <row r="49470">
      <c r="Y49470" s="372">
        <v>0.0</v>
      </c>
      <c r="Z49470" s="372">
        <v>0.0</v>
      </c>
    </row>
    <row r="49471">
      <c r="Y49471" s="372">
        <v>0.0</v>
      </c>
      <c r="Z49471" s="372">
        <v>0.0</v>
      </c>
    </row>
    <row r="49472">
      <c r="Y49472" s="372">
        <v>0.0</v>
      </c>
      <c r="Z49472" s="372">
        <v>0.0</v>
      </c>
    </row>
    <row r="49473">
      <c r="Y49473" s="372">
        <v>0.0</v>
      </c>
      <c r="Z49473" s="372">
        <v>0.0</v>
      </c>
    </row>
    <row r="49474">
      <c r="Y49474" s="372">
        <v>0.0</v>
      </c>
      <c r="Z49474" s="372">
        <v>0.0</v>
      </c>
    </row>
    <row r="49475">
      <c r="Y49475" s="372">
        <v>0.0</v>
      </c>
      <c r="Z49475" s="372">
        <v>0.0</v>
      </c>
    </row>
    <row r="49476">
      <c r="Y49476" s="372">
        <v>0.0</v>
      </c>
      <c r="Z49476" s="372">
        <v>0.0</v>
      </c>
    </row>
    <row r="49477">
      <c r="Y49477" s="372">
        <v>0.0</v>
      </c>
      <c r="Z49477" s="372">
        <v>0.0</v>
      </c>
    </row>
    <row r="49478">
      <c r="Y49478" s="372">
        <v>0.0</v>
      </c>
      <c r="Z49478" s="372">
        <v>0.0</v>
      </c>
    </row>
    <row r="49479">
      <c r="Y49479" s="372">
        <v>0.0</v>
      </c>
      <c r="Z49479" s="372">
        <v>0.0</v>
      </c>
    </row>
    <row r="49480">
      <c r="Y49480" s="372">
        <v>0.0</v>
      </c>
      <c r="Z49480" s="372">
        <v>0.0</v>
      </c>
    </row>
    <row r="49481">
      <c r="Y49481" s="372">
        <v>0.0</v>
      </c>
      <c r="Z49481" s="372">
        <v>0.0</v>
      </c>
    </row>
    <row r="49482">
      <c r="Y49482" s="372">
        <v>0.0</v>
      </c>
      <c r="Z49482" s="372">
        <v>0.0</v>
      </c>
    </row>
    <row r="49483">
      <c r="Y49483" s="372">
        <v>0.0</v>
      </c>
      <c r="Z49483" s="372">
        <v>0.0</v>
      </c>
    </row>
    <row r="49484">
      <c r="Y49484" s="372">
        <v>0.0</v>
      </c>
      <c r="Z49484" s="372">
        <v>0.0</v>
      </c>
    </row>
    <row r="49485">
      <c r="Y49485" s="372">
        <v>0.0</v>
      </c>
      <c r="Z49485" s="372">
        <v>0.0</v>
      </c>
    </row>
    <row r="49486">
      <c r="Y49486" s="372">
        <v>0.0</v>
      </c>
      <c r="Z49486" s="372">
        <v>0.0</v>
      </c>
    </row>
    <row r="49487">
      <c r="Y49487" s="372">
        <v>0.0</v>
      </c>
      <c r="Z49487" s="372">
        <v>0.0</v>
      </c>
    </row>
    <row r="49488">
      <c r="Y49488" s="372">
        <v>0.0</v>
      </c>
      <c r="Z49488" s="372">
        <v>0.0</v>
      </c>
    </row>
    <row r="49489">
      <c r="Y49489" s="372">
        <v>0.0</v>
      </c>
      <c r="Z49489" s="372">
        <v>0.0</v>
      </c>
    </row>
    <row r="49490">
      <c r="Y49490" s="372">
        <v>0.0</v>
      </c>
      <c r="Z49490" s="372">
        <v>0.0</v>
      </c>
    </row>
    <row r="49491">
      <c r="Y49491" s="372">
        <v>0.0</v>
      </c>
      <c r="Z49491" s="372">
        <v>0.0</v>
      </c>
    </row>
    <row r="49492">
      <c r="Y49492" s="372">
        <v>0.0</v>
      </c>
      <c r="Z49492" s="372">
        <v>0.0</v>
      </c>
    </row>
    <row r="49493">
      <c r="Y49493" s="372">
        <v>0.0</v>
      </c>
      <c r="Z49493" s="372">
        <v>0.0</v>
      </c>
    </row>
    <row r="49494">
      <c r="Y49494" s="372">
        <v>0.0</v>
      </c>
      <c r="Z49494" s="372">
        <v>0.0</v>
      </c>
    </row>
    <row r="49495">
      <c r="Y49495" s="372">
        <v>0.0</v>
      </c>
      <c r="Z49495" s="372">
        <v>0.0</v>
      </c>
    </row>
    <row r="49496">
      <c r="Y49496" s="372">
        <v>0.0</v>
      </c>
      <c r="Z49496" s="372">
        <v>0.0</v>
      </c>
    </row>
    <row r="49497">
      <c r="Y49497" s="372">
        <v>0.0</v>
      </c>
      <c r="Z49497" s="372">
        <v>0.0</v>
      </c>
    </row>
    <row r="49498">
      <c r="Y49498" s="372">
        <v>0.0</v>
      </c>
      <c r="Z49498" s="372">
        <v>0.0</v>
      </c>
    </row>
    <row r="49499">
      <c r="Y49499" s="372">
        <v>0.0</v>
      </c>
      <c r="Z49499" s="372">
        <v>0.0</v>
      </c>
    </row>
    <row r="49500">
      <c r="Y49500" s="372">
        <v>0.0</v>
      </c>
      <c r="Z49500" s="372">
        <v>0.0</v>
      </c>
    </row>
    <row r="49501">
      <c r="Y49501" s="372">
        <v>0.0</v>
      </c>
      <c r="Z49501" s="372">
        <v>0.0</v>
      </c>
    </row>
    <row r="49502">
      <c r="Y49502" s="372">
        <v>0.0</v>
      </c>
      <c r="Z49502" s="372">
        <v>0.0</v>
      </c>
    </row>
    <row r="49503">
      <c r="Y49503" s="372">
        <v>0.0</v>
      </c>
      <c r="Z49503" s="372">
        <v>0.0</v>
      </c>
    </row>
    <row r="49504">
      <c r="Y49504" s="372">
        <v>0.0</v>
      </c>
      <c r="Z49504" s="372">
        <v>0.0</v>
      </c>
    </row>
    <row r="49505">
      <c r="Y49505" s="372">
        <v>0.0</v>
      </c>
      <c r="Z49505" s="372">
        <v>0.0</v>
      </c>
    </row>
    <row r="49506">
      <c r="Y49506" s="372">
        <v>0.0</v>
      </c>
      <c r="Z49506" s="372">
        <v>0.0</v>
      </c>
    </row>
    <row r="49507">
      <c r="Y49507" s="372">
        <v>0.0</v>
      </c>
      <c r="Z49507" s="372">
        <v>0.0</v>
      </c>
    </row>
    <row r="49508">
      <c r="Y49508" s="372">
        <v>0.0</v>
      </c>
      <c r="Z49508" s="372">
        <v>0.0</v>
      </c>
    </row>
    <row r="49509">
      <c r="Y49509" s="372">
        <v>0.0</v>
      </c>
      <c r="Z49509" s="372">
        <v>0.0</v>
      </c>
    </row>
    <row r="49510">
      <c r="Y49510" s="372">
        <v>0.0</v>
      </c>
      <c r="Z49510" s="372">
        <v>0.0</v>
      </c>
    </row>
    <row r="49511">
      <c r="Y49511" s="372">
        <v>0.0</v>
      </c>
      <c r="Z49511" s="372">
        <v>0.0</v>
      </c>
    </row>
    <row r="49512">
      <c r="Y49512" s="372">
        <v>0.0</v>
      </c>
      <c r="Z49512" s="372">
        <v>0.0</v>
      </c>
    </row>
    <row r="49513">
      <c r="Y49513" s="372">
        <v>0.0</v>
      </c>
      <c r="Z49513" s="372">
        <v>0.0</v>
      </c>
    </row>
    <row r="49514">
      <c r="Y49514" s="372">
        <v>0.0</v>
      </c>
      <c r="Z49514" s="372">
        <v>0.0</v>
      </c>
    </row>
    <row r="49515">
      <c r="Y49515" s="372">
        <v>0.0</v>
      </c>
      <c r="Z49515" s="372">
        <v>0.0</v>
      </c>
    </row>
    <row r="49516">
      <c r="Y49516" s="372">
        <v>0.0</v>
      </c>
      <c r="Z49516" s="372">
        <v>0.0</v>
      </c>
    </row>
    <row r="49517">
      <c r="Y49517" s="372">
        <v>0.0</v>
      </c>
      <c r="Z49517" s="372">
        <v>0.0</v>
      </c>
    </row>
    <row r="49518">
      <c r="Y49518" s="372">
        <v>0.0</v>
      </c>
      <c r="Z49518" s="372">
        <v>0.0</v>
      </c>
    </row>
    <row r="49519">
      <c r="Y49519" s="372">
        <v>0.0</v>
      </c>
      <c r="Z49519" s="372">
        <v>0.0</v>
      </c>
    </row>
    <row r="49520">
      <c r="Y49520" s="372">
        <v>0.0</v>
      </c>
      <c r="Z49520" s="372">
        <v>0.0</v>
      </c>
    </row>
    <row r="49521">
      <c r="Y49521" s="372">
        <v>0.0</v>
      </c>
      <c r="Z49521" s="372">
        <v>0.0</v>
      </c>
    </row>
    <row r="49522">
      <c r="Y49522" s="372">
        <v>0.0</v>
      </c>
      <c r="Z49522" s="372">
        <v>0.0</v>
      </c>
    </row>
    <row r="49523">
      <c r="Y49523" s="372">
        <v>0.0</v>
      </c>
      <c r="Z49523" s="372">
        <v>0.0</v>
      </c>
    </row>
    <row r="49524">
      <c r="Y49524" s="372">
        <v>0.0</v>
      </c>
      <c r="Z49524" s="372">
        <v>0.0</v>
      </c>
    </row>
    <row r="49525">
      <c r="Y49525" s="372">
        <v>0.0</v>
      </c>
      <c r="Z49525" s="372">
        <v>0.0</v>
      </c>
    </row>
    <row r="49526">
      <c r="Y49526" s="372">
        <v>0.0</v>
      </c>
      <c r="Z49526" s="372">
        <v>0.0</v>
      </c>
    </row>
    <row r="49527">
      <c r="Y49527" s="372">
        <v>0.0</v>
      </c>
      <c r="Z49527" s="372">
        <v>0.0</v>
      </c>
    </row>
    <row r="49528">
      <c r="Y49528" s="372">
        <v>0.0</v>
      </c>
      <c r="Z49528" s="372">
        <v>0.0</v>
      </c>
    </row>
    <row r="49529">
      <c r="Y49529" s="372">
        <v>0.0</v>
      </c>
      <c r="Z49529" s="372">
        <v>0.0</v>
      </c>
    </row>
    <row r="49530">
      <c r="Y49530" s="372">
        <v>0.0</v>
      </c>
      <c r="Z49530" s="372">
        <v>0.0</v>
      </c>
    </row>
    <row r="49531">
      <c r="Y49531" s="372">
        <v>0.0</v>
      </c>
      <c r="Z49531" s="372">
        <v>0.0</v>
      </c>
    </row>
    <row r="49532">
      <c r="Y49532" s="372">
        <v>0.0</v>
      </c>
      <c r="Z49532" s="372">
        <v>0.0</v>
      </c>
    </row>
    <row r="49533">
      <c r="Y49533" s="372">
        <v>0.0</v>
      </c>
      <c r="Z49533" s="372">
        <v>0.0</v>
      </c>
    </row>
    <row r="49534">
      <c r="Y49534" s="372">
        <v>0.0</v>
      </c>
      <c r="Z49534" s="372">
        <v>0.0</v>
      </c>
    </row>
    <row r="49535">
      <c r="Y49535" s="372">
        <v>0.0</v>
      </c>
      <c r="Z49535" s="372">
        <v>0.0</v>
      </c>
    </row>
    <row r="49536">
      <c r="Y49536" s="372">
        <v>0.0</v>
      </c>
      <c r="Z49536" s="372">
        <v>0.0</v>
      </c>
    </row>
    <row r="49537">
      <c r="Y49537" s="372">
        <v>0.0</v>
      </c>
      <c r="Z49537" s="372">
        <v>0.0</v>
      </c>
    </row>
    <row r="49538">
      <c r="Y49538" s="372">
        <v>0.0</v>
      </c>
      <c r="Z49538" s="372">
        <v>0.0</v>
      </c>
    </row>
    <row r="49539">
      <c r="Y49539" s="372">
        <v>0.0</v>
      </c>
      <c r="Z49539" s="372">
        <v>0.0</v>
      </c>
    </row>
    <row r="49540">
      <c r="Y49540" s="372">
        <v>0.0</v>
      </c>
      <c r="Z49540" s="372">
        <v>0.0</v>
      </c>
    </row>
    <row r="49541">
      <c r="Y49541" s="372">
        <v>0.0</v>
      </c>
      <c r="Z49541" s="372">
        <v>0.0</v>
      </c>
    </row>
    <row r="49542">
      <c r="Y49542" s="372">
        <v>0.0</v>
      </c>
      <c r="Z49542" s="372">
        <v>0.0</v>
      </c>
    </row>
    <row r="49543">
      <c r="Y49543" s="372">
        <v>0.0</v>
      </c>
      <c r="Z49543" s="372">
        <v>0.0</v>
      </c>
    </row>
    <row r="49544">
      <c r="Y49544" s="372">
        <v>0.0</v>
      </c>
      <c r="Z49544" s="372">
        <v>0.0</v>
      </c>
    </row>
    <row r="49545">
      <c r="Y49545" s="372">
        <v>0.0</v>
      </c>
      <c r="Z49545" s="372">
        <v>0.0</v>
      </c>
    </row>
    <row r="49546">
      <c r="Y49546" s="372">
        <v>0.0</v>
      </c>
      <c r="Z49546" s="372">
        <v>0.0</v>
      </c>
    </row>
    <row r="49547">
      <c r="Y49547" s="372">
        <v>0.0</v>
      </c>
      <c r="Z49547" s="372">
        <v>0.0</v>
      </c>
    </row>
    <row r="49548">
      <c r="Y49548" s="372">
        <v>0.0</v>
      </c>
      <c r="Z49548" s="372">
        <v>0.0</v>
      </c>
    </row>
    <row r="49549">
      <c r="Y49549" s="372">
        <v>0.0</v>
      </c>
      <c r="Z49549" s="372">
        <v>0.0</v>
      </c>
    </row>
    <row r="49550">
      <c r="Y49550" s="372">
        <v>0.0</v>
      </c>
      <c r="Z49550" s="372">
        <v>0.0</v>
      </c>
    </row>
    <row r="49551">
      <c r="Y49551" s="372">
        <v>0.0</v>
      </c>
      <c r="Z49551" s="372">
        <v>0.0</v>
      </c>
    </row>
    <row r="49552">
      <c r="Y49552" s="372">
        <v>0.0</v>
      </c>
      <c r="Z49552" s="372">
        <v>0.0</v>
      </c>
    </row>
    <row r="49553">
      <c r="Y49553" s="372">
        <v>0.0</v>
      </c>
      <c r="Z49553" s="372">
        <v>0.0</v>
      </c>
    </row>
    <row r="49554">
      <c r="Y49554" s="372">
        <v>0.0</v>
      </c>
      <c r="Z49554" s="372">
        <v>0.0</v>
      </c>
    </row>
    <row r="49555">
      <c r="Y49555" s="372">
        <v>0.0</v>
      </c>
      <c r="Z49555" s="372">
        <v>0.0</v>
      </c>
    </row>
    <row r="49556">
      <c r="Y49556" s="372">
        <v>0.0</v>
      </c>
      <c r="Z49556" s="372">
        <v>0.0</v>
      </c>
    </row>
    <row r="49557">
      <c r="Y49557" s="372">
        <v>0.0</v>
      </c>
      <c r="Z49557" s="372">
        <v>0.0</v>
      </c>
    </row>
    <row r="49558">
      <c r="Y49558" s="372">
        <v>0.0</v>
      </c>
      <c r="Z49558" s="372">
        <v>0.0</v>
      </c>
    </row>
    <row r="49559">
      <c r="Y49559" s="372">
        <v>0.0</v>
      </c>
      <c r="Z49559" s="372">
        <v>0.0</v>
      </c>
    </row>
    <row r="49560">
      <c r="Y49560" s="372">
        <v>0.0</v>
      </c>
      <c r="Z49560" s="372">
        <v>0.0</v>
      </c>
    </row>
    <row r="49561">
      <c r="Y49561" s="372">
        <v>0.0</v>
      </c>
      <c r="Z49561" s="372">
        <v>0.0</v>
      </c>
    </row>
    <row r="49562">
      <c r="Y49562" s="372">
        <v>0.0</v>
      </c>
      <c r="Z49562" s="372">
        <v>0.0</v>
      </c>
    </row>
    <row r="49563">
      <c r="Y49563" s="372">
        <v>0.0</v>
      </c>
      <c r="Z49563" s="372">
        <v>0.0</v>
      </c>
    </row>
    <row r="49564">
      <c r="Y49564" s="372">
        <v>0.0</v>
      </c>
      <c r="Z49564" s="372">
        <v>0.0</v>
      </c>
    </row>
    <row r="49565">
      <c r="Y49565" s="372">
        <v>0.0</v>
      </c>
      <c r="Z49565" s="372">
        <v>0.0</v>
      </c>
    </row>
    <row r="49566">
      <c r="Y49566" s="372">
        <v>0.0</v>
      </c>
      <c r="Z49566" s="372">
        <v>0.0</v>
      </c>
    </row>
    <row r="49567">
      <c r="Y49567" s="372">
        <v>0.0</v>
      </c>
      <c r="Z49567" s="372">
        <v>0.0</v>
      </c>
    </row>
    <row r="49568">
      <c r="Y49568" s="372">
        <v>0.0</v>
      </c>
      <c r="Z49568" s="372">
        <v>0.0</v>
      </c>
    </row>
    <row r="49569">
      <c r="Y49569" s="372">
        <v>0.0</v>
      </c>
      <c r="Z49569" s="372">
        <v>0.0</v>
      </c>
    </row>
    <row r="49570">
      <c r="Y49570" s="372">
        <v>0.0</v>
      </c>
      <c r="Z49570" s="372">
        <v>0.0</v>
      </c>
    </row>
    <row r="49571">
      <c r="Y49571" s="372">
        <v>0.0</v>
      </c>
      <c r="Z49571" s="372">
        <v>0.0</v>
      </c>
    </row>
    <row r="49572">
      <c r="Y49572" s="372">
        <v>0.0</v>
      </c>
      <c r="Z49572" s="372">
        <v>0.0</v>
      </c>
    </row>
    <row r="49573">
      <c r="Y49573" s="372">
        <v>0.0</v>
      </c>
      <c r="Z49573" s="372">
        <v>0.0</v>
      </c>
    </row>
    <row r="49574">
      <c r="Y49574" s="372">
        <v>0.0</v>
      </c>
      <c r="Z49574" s="372">
        <v>0.0</v>
      </c>
    </row>
    <row r="49575">
      <c r="Y49575" s="372">
        <v>0.0</v>
      </c>
      <c r="Z49575" s="372">
        <v>0.0</v>
      </c>
    </row>
    <row r="49576">
      <c r="Y49576" s="372">
        <v>0.0</v>
      </c>
      <c r="Z49576" s="372">
        <v>0.0</v>
      </c>
    </row>
    <row r="49577">
      <c r="Y49577" s="372">
        <v>0.0</v>
      </c>
      <c r="Z49577" s="372">
        <v>0.0</v>
      </c>
    </row>
    <row r="49578">
      <c r="Y49578" s="372">
        <v>0.0</v>
      </c>
      <c r="Z49578" s="372">
        <v>0.0</v>
      </c>
    </row>
    <row r="49579">
      <c r="Y49579" s="372">
        <v>0.0</v>
      </c>
      <c r="Z49579" s="372">
        <v>0.0</v>
      </c>
    </row>
    <row r="49580">
      <c r="Y49580" s="372">
        <v>0.0</v>
      </c>
      <c r="Z49580" s="372">
        <v>0.0</v>
      </c>
    </row>
    <row r="49581">
      <c r="Y49581" s="372">
        <v>0.0</v>
      </c>
      <c r="Z49581" s="372">
        <v>0.0</v>
      </c>
    </row>
    <row r="49582">
      <c r="Y49582" s="372">
        <v>0.0</v>
      </c>
      <c r="Z49582" s="372">
        <v>0.0</v>
      </c>
    </row>
    <row r="49583">
      <c r="Y49583" s="372">
        <v>0.0</v>
      </c>
      <c r="Z49583" s="372">
        <v>0.0</v>
      </c>
    </row>
    <row r="49584">
      <c r="Y49584" s="372">
        <v>0.0</v>
      </c>
      <c r="Z49584" s="372">
        <v>0.0</v>
      </c>
    </row>
    <row r="49585">
      <c r="Y49585" s="372">
        <v>0.0</v>
      </c>
      <c r="Z49585" s="372">
        <v>0.0</v>
      </c>
    </row>
    <row r="49586">
      <c r="Y49586" s="372">
        <v>0.0</v>
      </c>
      <c r="Z49586" s="372">
        <v>0.0</v>
      </c>
    </row>
    <row r="49587">
      <c r="Y49587" s="372">
        <v>0.0</v>
      </c>
      <c r="Z49587" s="372">
        <v>0.0</v>
      </c>
    </row>
    <row r="49588">
      <c r="Y49588" s="372">
        <v>0.0</v>
      </c>
      <c r="Z49588" s="372">
        <v>0.0</v>
      </c>
    </row>
    <row r="49589">
      <c r="Y49589" s="372">
        <v>0.0</v>
      </c>
      <c r="Z49589" s="372">
        <v>0.0</v>
      </c>
    </row>
    <row r="49590">
      <c r="Y49590" s="372">
        <v>0.0</v>
      </c>
      <c r="Z49590" s="372">
        <v>0.0</v>
      </c>
    </row>
    <row r="49591">
      <c r="Y49591" s="372">
        <v>0.0</v>
      </c>
      <c r="Z49591" s="372">
        <v>0.0</v>
      </c>
    </row>
    <row r="49592">
      <c r="Y49592" s="372">
        <v>0.0</v>
      </c>
      <c r="Z49592" s="372">
        <v>0.0</v>
      </c>
    </row>
    <row r="49593">
      <c r="Y49593" s="372">
        <v>0.0</v>
      </c>
      <c r="Z49593" s="372">
        <v>0.0</v>
      </c>
    </row>
    <row r="49594">
      <c r="Y49594" s="372">
        <v>0.0</v>
      </c>
      <c r="Z49594" s="372">
        <v>0.0</v>
      </c>
    </row>
    <row r="49595">
      <c r="Y49595" s="372">
        <v>0.0</v>
      </c>
      <c r="Z49595" s="372">
        <v>0.0</v>
      </c>
    </row>
    <row r="49596">
      <c r="Y49596" s="372">
        <v>0.0</v>
      </c>
      <c r="Z49596" s="372">
        <v>0.0</v>
      </c>
    </row>
    <row r="49597">
      <c r="Y49597" s="372">
        <v>0.0</v>
      </c>
      <c r="Z49597" s="372">
        <v>0.0</v>
      </c>
    </row>
    <row r="49598">
      <c r="Y49598" s="372">
        <v>0.0</v>
      </c>
      <c r="Z49598" s="372">
        <v>0.0</v>
      </c>
    </row>
    <row r="49599">
      <c r="Y49599" s="372">
        <v>0.0</v>
      </c>
      <c r="Z49599" s="372">
        <v>0.0</v>
      </c>
    </row>
    <row r="49600">
      <c r="Y49600" s="372">
        <v>0.0</v>
      </c>
      <c r="Z49600" s="372">
        <v>0.0</v>
      </c>
    </row>
    <row r="49601">
      <c r="Y49601" s="372">
        <v>0.0</v>
      </c>
      <c r="Z49601" s="372">
        <v>0.0</v>
      </c>
    </row>
    <row r="49602">
      <c r="Y49602" s="372">
        <v>0.0</v>
      </c>
      <c r="Z49602" s="372">
        <v>0.0</v>
      </c>
    </row>
    <row r="49603">
      <c r="Y49603" s="372">
        <v>0.0</v>
      </c>
      <c r="Z49603" s="372">
        <v>0.0</v>
      </c>
    </row>
    <row r="49604">
      <c r="Y49604" s="372">
        <v>0.0</v>
      </c>
      <c r="Z49604" s="372">
        <v>0.0</v>
      </c>
    </row>
    <row r="49605">
      <c r="Y49605" s="372">
        <v>0.0</v>
      </c>
      <c r="Z49605" s="372">
        <v>0.0</v>
      </c>
    </row>
    <row r="49606">
      <c r="Y49606" s="372">
        <v>0.0</v>
      </c>
      <c r="Z49606" s="372">
        <v>0.0</v>
      </c>
    </row>
    <row r="49607">
      <c r="Y49607" s="372">
        <v>0.0</v>
      </c>
      <c r="Z49607" s="372">
        <v>0.0</v>
      </c>
    </row>
    <row r="49608">
      <c r="Y49608" s="372">
        <v>0.0</v>
      </c>
      <c r="Z49608" s="372">
        <v>0.0</v>
      </c>
    </row>
    <row r="49609">
      <c r="Y49609" s="372">
        <v>0.0</v>
      </c>
      <c r="Z49609" s="372">
        <v>0.0</v>
      </c>
    </row>
    <row r="49610">
      <c r="Y49610" s="372">
        <v>0.0</v>
      </c>
      <c r="Z49610" s="372">
        <v>0.0</v>
      </c>
    </row>
    <row r="49611">
      <c r="Y49611" s="372">
        <v>0.0</v>
      </c>
      <c r="Z49611" s="372">
        <v>0.0</v>
      </c>
    </row>
    <row r="49612">
      <c r="Y49612" s="372">
        <v>0.0</v>
      </c>
      <c r="Z49612" s="372">
        <v>0.0</v>
      </c>
    </row>
    <row r="49613">
      <c r="Y49613" s="372">
        <v>0.0</v>
      </c>
      <c r="Z49613" s="372">
        <v>0.0</v>
      </c>
    </row>
    <row r="49614">
      <c r="Y49614" s="372">
        <v>0.0</v>
      </c>
      <c r="Z49614" s="372">
        <v>0.0</v>
      </c>
    </row>
    <row r="49615">
      <c r="Y49615" s="372">
        <v>0.0</v>
      </c>
      <c r="Z49615" s="372">
        <v>0.0</v>
      </c>
    </row>
    <row r="49616">
      <c r="Y49616" s="372">
        <v>0.0</v>
      </c>
      <c r="Z49616" s="372">
        <v>0.0</v>
      </c>
    </row>
    <row r="49617">
      <c r="Y49617" s="372">
        <v>0.0</v>
      </c>
      <c r="Z49617" s="372">
        <v>0.0</v>
      </c>
    </row>
    <row r="49618">
      <c r="Y49618" s="372">
        <v>0.0</v>
      </c>
      <c r="Z49618" s="372">
        <v>0.0</v>
      </c>
    </row>
    <row r="49619">
      <c r="Y49619" s="372">
        <v>0.0</v>
      </c>
      <c r="Z49619" s="372">
        <v>0.0</v>
      </c>
    </row>
    <row r="49620">
      <c r="Y49620" s="372">
        <v>0.0</v>
      </c>
      <c r="Z49620" s="372">
        <v>0.0</v>
      </c>
    </row>
    <row r="49621">
      <c r="Y49621" s="372">
        <v>0.0</v>
      </c>
      <c r="Z49621" s="372">
        <v>0.0</v>
      </c>
    </row>
    <row r="49622">
      <c r="Y49622" s="372">
        <v>0.0</v>
      </c>
      <c r="Z49622" s="372">
        <v>0.0</v>
      </c>
    </row>
    <row r="49623">
      <c r="Y49623" s="372">
        <v>0.0</v>
      </c>
      <c r="Z49623" s="372">
        <v>0.0</v>
      </c>
    </row>
    <row r="49624">
      <c r="Y49624" s="372">
        <v>0.0</v>
      </c>
      <c r="Z49624" s="372">
        <v>0.0</v>
      </c>
    </row>
    <row r="49625">
      <c r="Y49625" s="372">
        <v>0.0</v>
      </c>
      <c r="Z49625" s="372">
        <v>0.0</v>
      </c>
    </row>
    <row r="49626">
      <c r="Y49626" s="372">
        <v>0.0</v>
      </c>
      <c r="Z49626" s="372">
        <v>0.0</v>
      </c>
    </row>
    <row r="49627">
      <c r="Y49627" s="372">
        <v>0.0</v>
      </c>
      <c r="Z49627" s="372">
        <v>0.0</v>
      </c>
    </row>
    <row r="49628">
      <c r="Y49628" s="372">
        <v>0.0</v>
      </c>
      <c r="Z49628" s="372">
        <v>0.0</v>
      </c>
    </row>
    <row r="49629">
      <c r="Y49629" s="372">
        <v>0.0</v>
      </c>
      <c r="Z49629" s="372">
        <v>0.0</v>
      </c>
    </row>
    <row r="49630">
      <c r="Y49630" s="372">
        <v>0.0</v>
      </c>
      <c r="Z49630" s="372">
        <v>0.0</v>
      </c>
    </row>
    <row r="49631">
      <c r="Y49631" s="372">
        <v>0.0</v>
      </c>
      <c r="Z49631" s="372">
        <v>0.0</v>
      </c>
    </row>
    <row r="49632">
      <c r="Y49632" s="372">
        <v>0.0</v>
      </c>
      <c r="Z49632" s="372">
        <v>0.0</v>
      </c>
    </row>
    <row r="49633">
      <c r="Y49633" s="372">
        <v>0.0</v>
      </c>
      <c r="Z49633" s="372">
        <v>0.0</v>
      </c>
    </row>
    <row r="49634">
      <c r="Y49634" s="372">
        <v>0.0</v>
      </c>
      <c r="Z49634" s="372">
        <v>0.0</v>
      </c>
    </row>
    <row r="49635">
      <c r="Y49635" s="372">
        <v>0.0</v>
      </c>
      <c r="Z49635" s="372">
        <v>0.0</v>
      </c>
    </row>
    <row r="49636">
      <c r="Y49636" s="372">
        <v>0.0</v>
      </c>
      <c r="Z49636" s="372">
        <v>0.0</v>
      </c>
    </row>
    <row r="49637">
      <c r="Y49637" s="372">
        <v>0.0</v>
      </c>
      <c r="Z49637" s="372">
        <v>0.0</v>
      </c>
    </row>
    <row r="49638">
      <c r="Y49638" s="372">
        <v>0.0</v>
      </c>
      <c r="Z49638" s="372">
        <v>0.0</v>
      </c>
    </row>
    <row r="49639">
      <c r="Y49639" s="372">
        <v>0.0</v>
      </c>
      <c r="Z49639" s="372">
        <v>0.0</v>
      </c>
    </row>
    <row r="49640">
      <c r="Y49640" s="372">
        <v>0.0</v>
      </c>
      <c r="Z49640" s="372">
        <v>0.0</v>
      </c>
    </row>
    <row r="49641">
      <c r="Y49641" s="372">
        <v>0.0</v>
      </c>
      <c r="Z49641" s="372">
        <v>0.0</v>
      </c>
    </row>
    <row r="49642">
      <c r="Y49642" s="372">
        <v>0.0</v>
      </c>
      <c r="Z49642" s="372">
        <v>0.0</v>
      </c>
    </row>
    <row r="49643">
      <c r="Y49643" s="372">
        <v>0.0</v>
      </c>
      <c r="Z49643" s="372">
        <v>0.0</v>
      </c>
    </row>
    <row r="49644">
      <c r="Y49644" s="372">
        <v>0.0</v>
      </c>
      <c r="Z49644" s="372">
        <v>0.0</v>
      </c>
    </row>
    <row r="49645">
      <c r="Y49645" s="372">
        <v>0.0</v>
      </c>
      <c r="Z49645" s="372">
        <v>0.0</v>
      </c>
    </row>
    <row r="49646">
      <c r="Y49646" s="372">
        <v>0.0</v>
      </c>
      <c r="Z49646" s="372">
        <v>0.0</v>
      </c>
    </row>
    <row r="49647">
      <c r="Y49647" s="372">
        <v>0.0</v>
      </c>
      <c r="Z49647" s="372">
        <v>0.0</v>
      </c>
    </row>
    <row r="49648">
      <c r="Y49648" s="372">
        <v>0.0</v>
      </c>
      <c r="Z49648" s="372">
        <v>0.0</v>
      </c>
    </row>
    <row r="49649">
      <c r="Y49649" s="372">
        <v>0.0</v>
      </c>
      <c r="Z49649" s="372">
        <v>0.0</v>
      </c>
    </row>
    <row r="49650">
      <c r="Y49650" s="372">
        <v>0.0</v>
      </c>
      <c r="Z49650" s="372">
        <v>0.0</v>
      </c>
    </row>
    <row r="49651">
      <c r="Y49651" s="372">
        <v>0.0</v>
      </c>
      <c r="Z49651" s="372">
        <v>0.0</v>
      </c>
    </row>
    <row r="49652">
      <c r="Y49652" s="372">
        <v>0.0</v>
      </c>
      <c r="Z49652" s="372">
        <v>0.0</v>
      </c>
    </row>
    <row r="49653">
      <c r="Y49653" s="372">
        <v>0.0</v>
      </c>
      <c r="Z49653" s="372">
        <v>0.0</v>
      </c>
    </row>
    <row r="49654">
      <c r="Y49654" s="372">
        <v>0.0</v>
      </c>
      <c r="Z49654" s="372">
        <v>0.0</v>
      </c>
    </row>
    <row r="49655">
      <c r="Y49655" s="372">
        <v>0.0</v>
      </c>
      <c r="Z49655" s="372">
        <v>0.0</v>
      </c>
    </row>
    <row r="49656">
      <c r="Y49656" s="372">
        <v>0.0</v>
      </c>
      <c r="Z49656" s="372">
        <v>0.0</v>
      </c>
    </row>
    <row r="49657">
      <c r="Y49657" s="372">
        <v>0.0</v>
      </c>
      <c r="Z49657" s="372">
        <v>0.0</v>
      </c>
    </row>
    <row r="49658">
      <c r="Y49658" s="372">
        <v>0.0</v>
      </c>
      <c r="Z49658" s="372">
        <v>0.0</v>
      </c>
    </row>
    <row r="49659">
      <c r="Y49659" s="372">
        <v>0.0</v>
      </c>
      <c r="Z49659" s="372">
        <v>0.0</v>
      </c>
    </row>
    <row r="49660">
      <c r="Y49660" s="372">
        <v>0.0</v>
      </c>
      <c r="Z49660" s="372">
        <v>0.0</v>
      </c>
    </row>
    <row r="49661">
      <c r="Y49661" s="372">
        <v>0.0</v>
      </c>
      <c r="Z49661" s="372">
        <v>0.0</v>
      </c>
    </row>
    <row r="49662">
      <c r="Y49662" s="372">
        <v>0.0</v>
      </c>
      <c r="Z49662" s="372">
        <v>0.0</v>
      </c>
    </row>
    <row r="49663">
      <c r="Y49663" s="372">
        <v>0.0</v>
      </c>
      <c r="Z49663" s="372">
        <v>0.0</v>
      </c>
    </row>
    <row r="49664">
      <c r="Y49664" s="372">
        <v>0.0</v>
      </c>
      <c r="Z49664" s="372">
        <v>0.0</v>
      </c>
    </row>
    <row r="49665">
      <c r="Y49665" s="372">
        <v>0.0</v>
      </c>
      <c r="Z49665" s="372">
        <v>0.0</v>
      </c>
    </row>
    <row r="49666">
      <c r="Y49666" s="372">
        <v>0.0</v>
      </c>
      <c r="Z49666" s="372">
        <v>0.0</v>
      </c>
    </row>
    <row r="49667">
      <c r="Y49667" s="372">
        <v>0.0</v>
      </c>
      <c r="Z49667" s="372">
        <v>0.0</v>
      </c>
    </row>
    <row r="49668">
      <c r="Y49668" s="372">
        <v>0.0</v>
      </c>
      <c r="Z49668" s="372">
        <v>0.0</v>
      </c>
    </row>
    <row r="49669">
      <c r="Y49669" s="372">
        <v>0.0</v>
      </c>
      <c r="Z49669" s="372">
        <v>0.0</v>
      </c>
    </row>
    <row r="49670">
      <c r="Y49670" s="372">
        <v>0.0</v>
      </c>
      <c r="Z49670" s="372">
        <v>0.0</v>
      </c>
    </row>
    <row r="49671">
      <c r="Y49671" s="372">
        <v>0.0</v>
      </c>
      <c r="Z49671" s="372">
        <v>0.0</v>
      </c>
    </row>
    <row r="49672">
      <c r="Y49672" s="372">
        <v>0.0</v>
      </c>
      <c r="Z49672" s="372">
        <v>0.0</v>
      </c>
    </row>
    <row r="49673">
      <c r="Y49673" s="372">
        <v>0.0</v>
      </c>
      <c r="Z49673" s="372">
        <v>0.0</v>
      </c>
    </row>
    <row r="49674">
      <c r="Y49674" s="372">
        <v>0.0</v>
      </c>
      <c r="Z49674" s="372">
        <v>0.0</v>
      </c>
    </row>
    <row r="49675">
      <c r="Y49675" s="372">
        <v>0.0</v>
      </c>
      <c r="Z49675" s="372">
        <v>0.0</v>
      </c>
    </row>
    <row r="49676">
      <c r="Y49676" s="372">
        <v>0.0</v>
      </c>
      <c r="Z49676" s="372">
        <v>0.0</v>
      </c>
    </row>
    <row r="49677">
      <c r="Y49677" s="372">
        <v>0.0</v>
      </c>
      <c r="Z49677" s="372">
        <v>0.0</v>
      </c>
    </row>
    <row r="49678">
      <c r="Y49678" s="372">
        <v>0.0</v>
      </c>
      <c r="Z49678" s="372">
        <v>0.0</v>
      </c>
    </row>
    <row r="49679">
      <c r="Y49679" s="372">
        <v>0.0</v>
      </c>
      <c r="Z49679" s="372">
        <v>0.0</v>
      </c>
    </row>
    <row r="49680">
      <c r="Y49680" s="372">
        <v>0.0</v>
      </c>
      <c r="Z49680" s="372">
        <v>0.0</v>
      </c>
    </row>
    <row r="49681">
      <c r="Y49681" s="372">
        <v>0.0</v>
      </c>
      <c r="Z49681" s="372">
        <v>0.0</v>
      </c>
    </row>
    <row r="49682">
      <c r="Y49682" s="372">
        <v>0.0</v>
      </c>
      <c r="Z49682" s="372">
        <v>0.0</v>
      </c>
    </row>
    <row r="49683">
      <c r="Y49683" s="372">
        <v>0.0</v>
      </c>
      <c r="Z49683" s="372">
        <v>0.0</v>
      </c>
    </row>
    <row r="49684">
      <c r="Y49684" s="372">
        <v>0.0</v>
      </c>
      <c r="Z49684" s="372">
        <v>0.0</v>
      </c>
    </row>
    <row r="49685">
      <c r="Y49685" s="372">
        <v>0.0</v>
      </c>
      <c r="Z49685" s="372">
        <v>0.0</v>
      </c>
    </row>
    <row r="49686">
      <c r="Y49686" s="372">
        <v>0.0</v>
      </c>
      <c r="Z49686" s="372">
        <v>0.0</v>
      </c>
    </row>
    <row r="49687">
      <c r="Y49687" s="372">
        <v>0.0</v>
      </c>
      <c r="Z49687" s="372">
        <v>0.0</v>
      </c>
    </row>
    <row r="49688">
      <c r="Y49688" s="372">
        <v>0.0</v>
      </c>
      <c r="Z49688" s="372">
        <v>0.0</v>
      </c>
    </row>
    <row r="49689">
      <c r="Y49689" s="372">
        <v>0.0</v>
      </c>
      <c r="Z49689" s="372">
        <v>0.0</v>
      </c>
    </row>
    <row r="49690">
      <c r="Y49690" s="372">
        <v>0.0</v>
      </c>
      <c r="Z49690" s="372">
        <v>0.0</v>
      </c>
    </row>
    <row r="49691">
      <c r="Y49691" s="372">
        <v>0.0</v>
      </c>
      <c r="Z49691" s="372">
        <v>0.0</v>
      </c>
    </row>
    <row r="49692">
      <c r="Y49692" s="372">
        <v>0.0</v>
      </c>
      <c r="Z49692" s="372">
        <v>0.0</v>
      </c>
    </row>
    <row r="49693">
      <c r="Y49693" s="372">
        <v>0.0</v>
      </c>
      <c r="Z49693" s="372">
        <v>0.0</v>
      </c>
    </row>
    <row r="49694">
      <c r="Y49694" s="372">
        <v>0.0</v>
      </c>
      <c r="Z49694" s="372">
        <v>0.0</v>
      </c>
    </row>
    <row r="49695">
      <c r="Y49695" s="372">
        <v>0.0</v>
      </c>
      <c r="Z49695" s="372">
        <v>0.0</v>
      </c>
    </row>
    <row r="49696">
      <c r="Y49696" s="372">
        <v>0.0</v>
      </c>
      <c r="Z49696" s="372">
        <v>0.0</v>
      </c>
    </row>
    <row r="49697">
      <c r="Y49697" s="372">
        <v>0.0</v>
      </c>
      <c r="Z49697" s="372">
        <v>0.0</v>
      </c>
    </row>
    <row r="49698">
      <c r="Y49698" s="372">
        <v>0.0</v>
      </c>
      <c r="Z49698" s="372">
        <v>0.0</v>
      </c>
    </row>
    <row r="49699">
      <c r="Y49699" s="372">
        <v>0.0</v>
      </c>
      <c r="Z49699" s="372">
        <v>0.0</v>
      </c>
    </row>
    <row r="49700">
      <c r="Y49700" s="372">
        <v>0.0</v>
      </c>
      <c r="Z49700" s="372">
        <v>0.0</v>
      </c>
    </row>
    <row r="49701">
      <c r="Y49701" s="372">
        <v>0.0</v>
      </c>
      <c r="Z49701" s="372">
        <v>0.0</v>
      </c>
    </row>
    <row r="49702">
      <c r="Y49702" s="372">
        <v>0.0</v>
      </c>
      <c r="Z49702" s="372">
        <v>0.0</v>
      </c>
    </row>
    <row r="49703">
      <c r="Y49703" s="372">
        <v>0.0</v>
      </c>
      <c r="Z49703" s="372">
        <v>0.0</v>
      </c>
    </row>
    <row r="49704">
      <c r="Y49704" s="372">
        <v>0.0</v>
      </c>
      <c r="Z49704" s="372">
        <v>0.0</v>
      </c>
    </row>
    <row r="49705">
      <c r="Y49705" s="372">
        <v>0.0</v>
      </c>
      <c r="Z49705" s="372">
        <v>0.0</v>
      </c>
    </row>
    <row r="49706">
      <c r="Y49706" s="372">
        <v>0.0</v>
      </c>
      <c r="Z49706" s="372">
        <v>0.0</v>
      </c>
    </row>
    <row r="49707">
      <c r="Y49707" s="372">
        <v>0.0</v>
      </c>
      <c r="Z49707" s="372">
        <v>0.0</v>
      </c>
    </row>
    <row r="49708">
      <c r="Y49708" s="372">
        <v>0.0</v>
      </c>
      <c r="Z49708" s="372">
        <v>0.0</v>
      </c>
    </row>
    <row r="49709">
      <c r="Y49709" s="372">
        <v>0.0</v>
      </c>
      <c r="Z49709" s="372">
        <v>0.0</v>
      </c>
    </row>
    <row r="49710">
      <c r="Y49710" s="372">
        <v>0.0</v>
      </c>
      <c r="Z49710" s="372">
        <v>0.0</v>
      </c>
    </row>
    <row r="49711">
      <c r="Y49711" s="372">
        <v>0.0</v>
      </c>
      <c r="Z49711" s="372">
        <v>0.0</v>
      </c>
    </row>
    <row r="49712">
      <c r="Y49712" s="372">
        <v>0.0</v>
      </c>
      <c r="Z49712" s="372">
        <v>0.0</v>
      </c>
    </row>
    <row r="49713">
      <c r="Y49713" s="372">
        <v>0.0</v>
      </c>
      <c r="Z49713" s="372">
        <v>0.0</v>
      </c>
    </row>
    <row r="49714">
      <c r="Y49714" s="372">
        <v>0.0</v>
      </c>
      <c r="Z49714" s="372">
        <v>0.0</v>
      </c>
    </row>
    <row r="49715">
      <c r="Y49715" s="372">
        <v>0.0</v>
      </c>
      <c r="Z49715" s="372">
        <v>0.0</v>
      </c>
    </row>
    <row r="49716">
      <c r="Y49716" s="372">
        <v>0.0</v>
      </c>
      <c r="Z49716" s="372">
        <v>0.0</v>
      </c>
    </row>
    <row r="49717">
      <c r="Y49717" s="372">
        <v>0.0</v>
      </c>
      <c r="Z49717" s="372">
        <v>0.0</v>
      </c>
    </row>
    <row r="49718">
      <c r="Y49718" s="372">
        <v>0.0</v>
      </c>
      <c r="Z49718" s="372">
        <v>0.0</v>
      </c>
    </row>
    <row r="49719">
      <c r="Y49719" s="372">
        <v>0.0</v>
      </c>
      <c r="Z49719" s="372">
        <v>0.0</v>
      </c>
    </row>
    <row r="49720">
      <c r="Y49720" s="372">
        <v>0.0</v>
      </c>
      <c r="Z49720" s="372">
        <v>0.0</v>
      </c>
    </row>
    <row r="49721">
      <c r="Y49721" s="372">
        <v>0.0</v>
      </c>
      <c r="Z49721" s="372">
        <v>0.0</v>
      </c>
    </row>
    <row r="49722">
      <c r="Y49722" s="372">
        <v>0.0</v>
      </c>
      <c r="Z49722" s="372">
        <v>0.0</v>
      </c>
    </row>
    <row r="49723">
      <c r="Y49723" s="372">
        <v>0.0</v>
      </c>
      <c r="Z49723" s="372">
        <v>0.0</v>
      </c>
    </row>
    <row r="49724">
      <c r="Y49724" s="372">
        <v>0.0</v>
      </c>
      <c r="Z49724" s="372">
        <v>0.0</v>
      </c>
    </row>
    <row r="49725">
      <c r="Y49725" s="372">
        <v>0.0</v>
      </c>
      <c r="Z49725" s="372">
        <v>0.0</v>
      </c>
    </row>
    <row r="49726">
      <c r="Y49726" s="372">
        <v>0.0</v>
      </c>
      <c r="Z49726" s="372">
        <v>0.0</v>
      </c>
    </row>
    <row r="49727">
      <c r="Y49727" s="372">
        <v>0.0</v>
      </c>
      <c r="Z49727" s="372">
        <v>0.0</v>
      </c>
    </row>
    <row r="49728">
      <c r="Y49728" s="372">
        <v>0.0</v>
      </c>
      <c r="Z49728" s="372">
        <v>0.0</v>
      </c>
    </row>
    <row r="49729">
      <c r="Y49729" s="372">
        <v>0.0</v>
      </c>
      <c r="Z49729" s="372">
        <v>0.0</v>
      </c>
    </row>
    <row r="49730">
      <c r="Y49730" s="372">
        <v>0.0</v>
      </c>
      <c r="Z49730" s="372">
        <v>0.0</v>
      </c>
    </row>
    <row r="49731">
      <c r="Y49731" s="372">
        <v>0.0</v>
      </c>
      <c r="Z49731" s="372">
        <v>0.0</v>
      </c>
    </row>
    <row r="49732">
      <c r="Y49732" s="372">
        <v>0.0</v>
      </c>
      <c r="Z49732" s="372">
        <v>0.0</v>
      </c>
    </row>
    <row r="49733">
      <c r="Y49733" s="372">
        <v>0.0</v>
      </c>
      <c r="Z49733" s="372">
        <v>0.0</v>
      </c>
    </row>
    <row r="49734">
      <c r="Y49734" s="372">
        <v>0.0</v>
      </c>
      <c r="Z49734" s="372">
        <v>0.0</v>
      </c>
    </row>
    <row r="49735">
      <c r="Y49735" s="372">
        <v>0.0</v>
      </c>
      <c r="Z49735" s="372">
        <v>0.0</v>
      </c>
    </row>
    <row r="49736">
      <c r="Y49736" s="372">
        <v>0.0</v>
      </c>
      <c r="Z49736" s="372">
        <v>0.0</v>
      </c>
    </row>
    <row r="49737">
      <c r="Y49737" s="372">
        <v>0.0</v>
      </c>
      <c r="Z49737" s="372">
        <v>0.0</v>
      </c>
    </row>
    <row r="49738">
      <c r="Y49738" s="372">
        <v>0.0</v>
      </c>
      <c r="Z49738" s="372">
        <v>0.0</v>
      </c>
    </row>
    <row r="49739">
      <c r="Y49739" s="372">
        <v>0.0</v>
      </c>
      <c r="Z49739" s="372">
        <v>0.0</v>
      </c>
    </row>
    <row r="49740">
      <c r="Y49740" s="372">
        <v>0.0</v>
      </c>
      <c r="Z49740" s="372">
        <v>0.0</v>
      </c>
    </row>
    <row r="49741">
      <c r="Y49741" s="372">
        <v>0.0</v>
      </c>
      <c r="Z49741" s="372">
        <v>0.0</v>
      </c>
    </row>
    <row r="49742">
      <c r="Y49742" s="372">
        <v>0.0</v>
      </c>
      <c r="Z49742" s="372">
        <v>0.0</v>
      </c>
    </row>
    <row r="49743">
      <c r="Y49743" s="372">
        <v>0.0</v>
      </c>
      <c r="Z49743" s="372">
        <v>0.0</v>
      </c>
    </row>
    <row r="49744">
      <c r="Y49744" s="372">
        <v>0.0</v>
      </c>
      <c r="Z49744" s="372">
        <v>0.0</v>
      </c>
    </row>
    <row r="49745">
      <c r="Y49745" s="372">
        <v>0.0</v>
      </c>
      <c r="Z49745" s="372">
        <v>0.0</v>
      </c>
    </row>
    <row r="49746">
      <c r="Y49746" s="372">
        <v>0.0</v>
      </c>
      <c r="Z49746" s="372">
        <v>0.0</v>
      </c>
    </row>
    <row r="49747">
      <c r="Y49747" s="372">
        <v>0.0</v>
      </c>
      <c r="Z49747" s="372">
        <v>0.0</v>
      </c>
    </row>
    <row r="49748">
      <c r="Y49748" s="372">
        <v>0.0</v>
      </c>
      <c r="Z49748" s="372">
        <v>0.0</v>
      </c>
    </row>
    <row r="49749">
      <c r="Y49749" s="372">
        <v>0.0</v>
      </c>
      <c r="Z49749" s="372">
        <v>0.0</v>
      </c>
    </row>
    <row r="49750">
      <c r="Y49750" s="372">
        <v>0.0</v>
      </c>
      <c r="Z49750" s="372">
        <v>0.0</v>
      </c>
    </row>
    <row r="49751">
      <c r="Y49751" s="372">
        <v>0.0</v>
      </c>
      <c r="Z49751" s="372">
        <v>0.0</v>
      </c>
    </row>
    <row r="49752">
      <c r="Y49752" s="372">
        <v>0.0</v>
      </c>
      <c r="Z49752" s="372">
        <v>0.0</v>
      </c>
    </row>
    <row r="49753">
      <c r="Y49753" s="372">
        <v>0.0</v>
      </c>
      <c r="Z49753" s="372">
        <v>0.0</v>
      </c>
    </row>
    <row r="49754">
      <c r="Y49754" s="372">
        <v>0.0</v>
      </c>
      <c r="Z49754" s="372">
        <v>0.0</v>
      </c>
    </row>
    <row r="49755">
      <c r="Y49755" s="372">
        <v>0.0</v>
      </c>
      <c r="Z49755" s="372">
        <v>0.0</v>
      </c>
    </row>
    <row r="49756">
      <c r="Y49756" s="372">
        <v>0.0</v>
      </c>
      <c r="Z49756" s="372">
        <v>0.0</v>
      </c>
    </row>
    <row r="49757">
      <c r="Y49757" s="372">
        <v>0.0</v>
      </c>
      <c r="Z49757" s="372">
        <v>0.0</v>
      </c>
    </row>
    <row r="49758">
      <c r="Y49758" s="372">
        <v>0.0</v>
      </c>
      <c r="Z49758" s="372">
        <v>0.0</v>
      </c>
    </row>
    <row r="49759">
      <c r="Y49759" s="372">
        <v>0.0</v>
      </c>
      <c r="Z49759" s="372">
        <v>0.0</v>
      </c>
    </row>
    <row r="49760">
      <c r="Y49760" s="372">
        <v>0.0</v>
      </c>
      <c r="Z49760" s="372">
        <v>0.0</v>
      </c>
    </row>
    <row r="49761">
      <c r="Y49761" s="372">
        <v>0.0</v>
      </c>
      <c r="Z49761" s="372">
        <v>0.0</v>
      </c>
    </row>
    <row r="49762">
      <c r="Y49762" s="372">
        <v>0.0</v>
      </c>
      <c r="Z49762" s="372">
        <v>0.0</v>
      </c>
    </row>
    <row r="49763">
      <c r="Y49763" s="372">
        <v>0.0</v>
      </c>
      <c r="Z49763" s="372">
        <v>0.0</v>
      </c>
    </row>
    <row r="49764">
      <c r="Y49764" s="372">
        <v>0.0</v>
      </c>
      <c r="Z49764" s="372">
        <v>0.0</v>
      </c>
    </row>
    <row r="49765">
      <c r="Y49765" s="372">
        <v>0.0</v>
      </c>
      <c r="Z49765" s="372">
        <v>0.0</v>
      </c>
    </row>
    <row r="49766">
      <c r="Y49766" s="372">
        <v>0.0</v>
      </c>
      <c r="Z49766" s="372">
        <v>0.0</v>
      </c>
    </row>
    <row r="49767">
      <c r="Y49767" s="372">
        <v>0.0</v>
      </c>
      <c r="Z49767" s="372">
        <v>0.0</v>
      </c>
    </row>
    <row r="49768">
      <c r="Y49768" s="372">
        <v>0.0</v>
      </c>
      <c r="Z49768" s="372">
        <v>0.0</v>
      </c>
    </row>
    <row r="49769">
      <c r="Y49769" s="372">
        <v>0.0</v>
      </c>
      <c r="Z49769" s="372">
        <v>0.0</v>
      </c>
    </row>
    <row r="49770">
      <c r="Y49770" s="372">
        <v>0.0</v>
      </c>
      <c r="Z49770" s="372">
        <v>0.0</v>
      </c>
    </row>
    <row r="49771">
      <c r="Y49771" s="372">
        <v>0.0</v>
      </c>
      <c r="Z49771" s="372">
        <v>0.0</v>
      </c>
    </row>
    <row r="49772">
      <c r="Y49772" s="372">
        <v>0.0</v>
      </c>
      <c r="Z49772" s="372">
        <v>0.0</v>
      </c>
    </row>
    <row r="49773">
      <c r="Y49773" s="372">
        <v>0.0</v>
      </c>
      <c r="Z49773" s="372">
        <v>0.0</v>
      </c>
    </row>
    <row r="49774">
      <c r="Y49774" s="372">
        <v>0.0</v>
      </c>
      <c r="Z49774" s="372">
        <v>0.0</v>
      </c>
    </row>
    <row r="49775">
      <c r="Y49775" s="372">
        <v>0.0</v>
      </c>
      <c r="Z49775" s="372">
        <v>0.0</v>
      </c>
    </row>
    <row r="49776">
      <c r="Y49776" s="372">
        <v>0.0</v>
      </c>
      <c r="Z49776" s="372">
        <v>0.0</v>
      </c>
    </row>
    <row r="49777">
      <c r="Y49777" s="372">
        <v>0.0</v>
      </c>
      <c r="Z49777" s="372">
        <v>0.0</v>
      </c>
    </row>
    <row r="49778">
      <c r="Y49778" s="372">
        <v>0.0</v>
      </c>
      <c r="Z49778" s="372">
        <v>0.0</v>
      </c>
    </row>
    <row r="49779">
      <c r="Y49779" s="372">
        <v>0.0</v>
      </c>
      <c r="Z49779" s="372">
        <v>0.0</v>
      </c>
    </row>
    <row r="49780">
      <c r="Y49780" s="372">
        <v>0.0</v>
      </c>
      <c r="Z49780" s="372">
        <v>0.0</v>
      </c>
    </row>
    <row r="49781">
      <c r="Y49781" s="372">
        <v>0.0</v>
      </c>
      <c r="Z49781" s="372">
        <v>0.0</v>
      </c>
    </row>
    <row r="49782">
      <c r="Y49782" s="372">
        <v>0.0</v>
      </c>
      <c r="Z49782" s="372">
        <v>0.0</v>
      </c>
    </row>
    <row r="49783">
      <c r="Y49783" s="372">
        <v>0.0</v>
      </c>
      <c r="Z49783" s="372">
        <v>0.0</v>
      </c>
    </row>
    <row r="49784">
      <c r="Y49784" s="372">
        <v>0.0</v>
      </c>
      <c r="Z49784" s="372">
        <v>0.0</v>
      </c>
    </row>
    <row r="49785">
      <c r="Y49785" s="372">
        <v>0.0</v>
      </c>
      <c r="Z49785" s="372">
        <v>0.0</v>
      </c>
    </row>
    <row r="49786">
      <c r="Y49786" s="372">
        <v>0.0</v>
      </c>
      <c r="Z49786" s="372">
        <v>0.0</v>
      </c>
    </row>
    <row r="49787">
      <c r="Y49787" s="372">
        <v>0.0</v>
      </c>
      <c r="Z49787" s="372">
        <v>0.0</v>
      </c>
    </row>
    <row r="49788">
      <c r="Y49788" s="372">
        <v>0.0</v>
      </c>
      <c r="Z49788" s="372">
        <v>0.0</v>
      </c>
    </row>
    <row r="49789">
      <c r="Y49789" s="372">
        <v>0.0</v>
      </c>
      <c r="Z49789" s="372">
        <v>0.0</v>
      </c>
    </row>
    <row r="49790">
      <c r="Y49790" s="372">
        <v>0.0</v>
      </c>
      <c r="Z49790" s="372">
        <v>0.0</v>
      </c>
    </row>
    <row r="49791">
      <c r="Y49791" s="372">
        <v>0.0</v>
      </c>
      <c r="Z49791" s="372">
        <v>0.0</v>
      </c>
    </row>
    <row r="49792">
      <c r="Y49792" s="372">
        <v>0.0</v>
      </c>
      <c r="Z49792" s="372">
        <v>0.0</v>
      </c>
    </row>
    <row r="49793">
      <c r="Y49793" s="372">
        <v>0.0</v>
      </c>
      <c r="Z49793" s="372">
        <v>0.0</v>
      </c>
    </row>
    <row r="49794">
      <c r="Y49794" s="372">
        <v>0.0</v>
      </c>
      <c r="Z49794" s="372">
        <v>0.0</v>
      </c>
    </row>
    <row r="49795">
      <c r="Y49795" s="372">
        <v>0.0</v>
      </c>
      <c r="Z49795" s="372">
        <v>0.0</v>
      </c>
    </row>
    <row r="49796">
      <c r="Y49796" s="372">
        <v>0.0</v>
      </c>
      <c r="Z49796" s="372">
        <v>0.0</v>
      </c>
    </row>
    <row r="49797">
      <c r="Y49797" s="372">
        <v>0.0</v>
      </c>
      <c r="Z49797" s="372">
        <v>0.0</v>
      </c>
    </row>
    <row r="49798">
      <c r="Y49798" s="372">
        <v>0.0</v>
      </c>
      <c r="Z49798" s="372">
        <v>0.0</v>
      </c>
    </row>
    <row r="49799">
      <c r="Y49799" s="372">
        <v>0.0</v>
      </c>
      <c r="Z49799" s="372">
        <v>0.0</v>
      </c>
    </row>
    <row r="49800">
      <c r="Y49800" s="372">
        <v>0.0</v>
      </c>
      <c r="Z49800" s="372">
        <v>0.0</v>
      </c>
    </row>
    <row r="49801">
      <c r="Y49801" s="372">
        <v>0.0</v>
      </c>
      <c r="Z49801" s="372">
        <v>0.0</v>
      </c>
    </row>
    <row r="49802">
      <c r="Y49802" s="372">
        <v>0.0</v>
      </c>
      <c r="Z49802" s="372">
        <v>0.0</v>
      </c>
    </row>
    <row r="49803">
      <c r="Y49803" s="372">
        <v>0.0</v>
      </c>
      <c r="Z49803" s="372">
        <v>0.0</v>
      </c>
    </row>
    <row r="49804">
      <c r="Y49804" s="372">
        <v>0.0</v>
      </c>
      <c r="Z49804" s="372">
        <v>0.0</v>
      </c>
    </row>
    <row r="49805">
      <c r="Y49805" s="372">
        <v>0.0</v>
      </c>
      <c r="Z49805" s="372">
        <v>0.0</v>
      </c>
    </row>
    <row r="49806">
      <c r="Y49806" s="372">
        <v>0.0</v>
      </c>
      <c r="Z49806" s="372">
        <v>0.0</v>
      </c>
    </row>
    <row r="49807">
      <c r="Y49807" s="372">
        <v>0.0</v>
      </c>
      <c r="Z49807" s="372">
        <v>0.0</v>
      </c>
    </row>
    <row r="49808">
      <c r="Y49808" s="372">
        <v>0.0</v>
      </c>
      <c r="Z49808" s="372">
        <v>0.0</v>
      </c>
    </row>
    <row r="49809">
      <c r="Y49809" s="372">
        <v>0.0</v>
      </c>
      <c r="Z49809" s="372">
        <v>0.0</v>
      </c>
    </row>
    <row r="49810">
      <c r="Y49810" s="372">
        <v>0.0</v>
      </c>
      <c r="Z49810" s="372">
        <v>0.0</v>
      </c>
    </row>
    <row r="49811">
      <c r="Y49811" s="372">
        <v>0.0</v>
      </c>
      <c r="Z49811" s="372">
        <v>0.0</v>
      </c>
    </row>
    <row r="49812">
      <c r="Y49812" s="372">
        <v>0.0</v>
      </c>
      <c r="Z49812" s="372">
        <v>0.0</v>
      </c>
    </row>
    <row r="49813">
      <c r="Y49813" s="372">
        <v>0.0</v>
      </c>
      <c r="Z49813" s="372">
        <v>0.0</v>
      </c>
    </row>
    <row r="49814">
      <c r="Y49814" s="372">
        <v>0.0</v>
      </c>
      <c r="Z49814" s="372">
        <v>0.0</v>
      </c>
    </row>
    <row r="49815">
      <c r="Y49815" s="372">
        <v>0.0</v>
      </c>
      <c r="Z49815" s="372">
        <v>0.0</v>
      </c>
    </row>
    <row r="49816">
      <c r="Y49816" s="372">
        <v>0.0</v>
      </c>
      <c r="Z49816" s="372">
        <v>0.0</v>
      </c>
    </row>
    <row r="49817">
      <c r="Y49817" s="372">
        <v>0.0</v>
      </c>
      <c r="Z49817" s="372">
        <v>0.0</v>
      </c>
    </row>
    <row r="49818">
      <c r="Y49818" s="372">
        <v>0.0</v>
      </c>
      <c r="Z49818" s="372">
        <v>0.0</v>
      </c>
    </row>
    <row r="49819">
      <c r="Y49819" s="372">
        <v>0.0</v>
      </c>
      <c r="Z49819" s="372">
        <v>0.0</v>
      </c>
    </row>
    <row r="49820">
      <c r="Y49820" s="372">
        <v>0.0</v>
      </c>
      <c r="Z49820" s="372">
        <v>0.0</v>
      </c>
    </row>
    <row r="49821">
      <c r="Y49821" s="372">
        <v>0.0</v>
      </c>
      <c r="Z49821" s="372">
        <v>0.0</v>
      </c>
    </row>
    <row r="49822">
      <c r="Y49822" s="372">
        <v>0.0</v>
      </c>
      <c r="Z49822" s="372">
        <v>0.0</v>
      </c>
    </row>
    <row r="49823">
      <c r="Y49823" s="372">
        <v>0.0</v>
      </c>
      <c r="Z49823" s="372">
        <v>0.0</v>
      </c>
    </row>
    <row r="49824">
      <c r="Y49824" s="372">
        <v>0.0</v>
      </c>
      <c r="Z49824" s="372">
        <v>0.0</v>
      </c>
    </row>
    <row r="49825">
      <c r="Y49825" s="372">
        <v>0.0</v>
      </c>
      <c r="Z49825" s="372">
        <v>0.0</v>
      </c>
    </row>
    <row r="49826">
      <c r="Y49826" s="372">
        <v>0.0</v>
      </c>
      <c r="Z49826" s="372">
        <v>0.0</v>
      </c>
    </row>
    <row r="49827">
      <c r="Y49827" s="372">
        <v>0.0</v>
      </c>
      <c r="Z49827" s="372">
        <v>0.0</v>
      </c>
    </row>
    <row r="49828">
      <c r="Y49828" s="372">
        <v>0.0</v>
      </c>
      <c r="Z49828" s="372">
        <v>0.0</v>
      </c>
    </row>
    <row r="49829">
      <c r="Y49829" s="372">
        <v>0.0</v>
      </c>
      <c r="Z49829" s="372">
        <v>0.0</v>
      </c>
    </row>
    <row r="49830">
      <c r="Y49830" s="372">
        <v>0.0</v>
      </c>
      <c r="Z49830" s="372">
        <v>0.0</v>
      </c>
    </row>
    <row r="49831">
      <c r="Y49831" s="372">
        <v>0.0</v>
      </c>
      <c r="Z49831" s="372">
        <v>0.0</v>
      </c>
    </row>
    <row r="49832">
      <c r="Y49832" s="372">
        <v>0.0</v>
      </c>
      <c r="Z49832" s="372">
        <v>0.0</v>
      </c>
    </row>
    <row r="49833">
      <c r="Y49833" s="372">
        <v>0.0</v>
      </c>
      <c r="Z49833" s="372">
        <v>0.0</v>
      </c>
    </row>
    <row r="49834">
      <c r="Y49834" s="372">
        <v>0.0</v>
      </c>
      <c r="Z49834" s="372">
        <v>0.0</v>
      </c>
    </row>
    <row r="49835">
      <c r="Y49835" s="372">
        <v>0.0</v>
      </c>
      <c r="Z49835" s="372">
        <v>0.0</v>
      </c>
    </row>
    <row r="49836">
      <c r="Y49836" s="372">
        <v>0.0</v>
      </c>
      <c r="Z49836" s="372">
        <v>0.0</v>
      </c>
    </row>
    <row r="49837">
      <c r="Y49837" s="372">
        <v>0.0</v>
      </c>
      <c r="Z49837" s="372">
        <v>0.0</v>
      </c>
    </row>
    <row r="49838">
      <c r="Y49838" s="372">
        <v>0.0</v>
      </c>
      <c r="Z49838" s="372">
        <v>0.0</v>
      </c>
    </row>
    <row r="49839">
      <c r="Y49839" s="372">
        <v>0.0</v>
      </c>
      <c r="Z49839" s="372">
        <v>0.0</v>
      </c>
    </row>
    <row r="49840">
      <c r="Y49840" s="372">
        <v>0.0</v>
      </c>
      <c r="Z49840" s="372">
        <v>0.0</v>
      </c>
    </row>
    <row r="49841">
      <c r="Y49841" s="372">
        <v>0.0</v>
      </c>
      <c r="Z49841" s="372">
        <v>0.0</v>
      </c>
    </row>
    <row r="49842">
      <c r="Y49842" s="372">
        <v>0.0</v>
      </c>
      <c r="Z49842" s="372">
        <v>0.0</v>
      </c>
    </row>
    <row r="49843">
      <c r="Y49843" s="372">
        <v>0.0</v>
      </c>
      <c r="Z49843" s="372">
        <v>0.0</v>
      </c>
    </row>
    <row r="49844">
      <c r="Y49844" s="372">
        <v>0.0</v>
      </c>
      <c r="Z49844" s="372">
        <v>0.0</v>
      </c>
    </row>
    <row r="49845">
      <c r="Y49845" s="372">
        <v>0.0</v>
      </c>
      <c r="Z49845" s="372">
        <v>0.0</v>
      </c>
    </row>
    <row r="49846">
      <c r="Y49846" s="372">
        <v>0.0</v>
      </c>
      <c r="Z49846" s="372">
        <v>0.0</v>
      </c>
    </row>
    <row r="49847">
      <c r="Y49847" s="372">
        <v>0.0</v>
      </c>
      <c r="Z49847" s="372">
        <v>0.0</v>
      </c>
    </row>
    <row r="49848">
      <c r="Y49848" s="372">
        <v>0.0</v>
      </c>
      <c r="Z49848" s="372">
        <v>0.0</v>
      </c>
    </row>
    <row r="49849">
      <c r="Y49849" s="372">
        <v>0.0</v>
      </c>
      <c r="Z49849" s="372">
        <v>0.0</v>
      </c>
    </row>
    <row r="49850">
      <c r="Y49850" s="372">
        <v>0.0</v>
      </c>
      <c r="Z49850" s="372">
        <v>0.0</v>
      </c>
    </row>
    <row r="49851">
      <c r="Y49851" s="372">
        <v>0.0</v>
      </c>
      <c r="Z49851" s="372">
        <v>0.0</v>
      </c>
    </row>
    <row r="49852">
      <c r="Y49852" s="372">
        <v>0.0</v>
      </c>
      <c r="Z49852" s="372">
        <v>0.0</v>
      </c>
    </row>
    <row r="49853">
      <c r="Y49853" s="372">
        <v>0.0</v>
      </c>
      <c r="Z49853" s="372">
        <v>0.0</v>
      </c>
    </row>
    <row r="49854">
      <c r="Y49854" s="372">
        <v>0.0</v>
      </c>
      <c r="Z49854" s="372">
        <v>0.0</v>
      </c>
    </row>
    <row r="49855">
      <c r="Y49855" s="372">
        <v>0.0</v>
      </c>
      <c r="Z49855" s="372">
        <v>0.0</v>
      </c>
    </row>
    <row r="49856">
      <c r="Y49856" s="372">
        <v>0.0</v>
      </c>
      <c r="Z49856" s="372">
        <v>0.0</v>
      </c>
    </row>
    <row r="49857">
      <c r="Y49857" s="372">
        <v>0.0</v>
      </c>
      <c r="Z49857" s="372">
        <v>0.0</v>
      </c>
    </row>
    <row r="49858">
      <c r="Y49858" s="372">
        <v>0.0</v>
      </c>
      <c r="Z49858" s="372">
        <v>0.0</v>
      </c>
    </row>
    <row r="49859">
      <c r="Y49859" s="372">
        <v>0.0</v>
      </c>
      <c r="Z49859" s="372">
        <v>0.0</v>
      </c>
    </row>
    <row r="49860">
      <c r="Y49860" s="372">
        <v>0.0</v>
      </c>
      <c r="Z49860" s="372">
        <v>0.0</v>
      </c>
    </row>
    <row r="49861">
      <c r="Y49861" s="372">
        <v>0.0</v>
      </c>
      <c r="Z49861" s="372">
        <v>0.0</v>
      </c>
    </row>
    <row r="49862">
      <c r="Y49862" s="372">
        <v>0.0</v>
      </c>
      <c r="Z49862" s="372">
        <v>0.0</v>
      </c>
    </row>
    <row r="49863">
      <c r="Y49863" s="372">
        <v>0.0</v>
      </c>
      <c r="Z49863" s="372">
        <v>0.0</v>
      </c>
    </row>
    <row r="49864">
      <c r="Y49864" s="372">
        <v>0.0</v>
      </c>
      <c r="Z49864" s="372">
        <v>0.0</v>
      </c>
    </row>
    <row r="49865">
      <c r="Y49865" s="372">
        <v>0.0</v>
      </c>
      <c r="Z49865" s="372">
        <v>0.0</v>
      </c>
    </row>
    <row r="49866">
      <c r="Y49866" s="372">
        <v>0.0</v>
      </c>
      <c r="Z49866" s="372">
        <v>0.0</v>
      </c>
    </row>
    <row r="49867">
      <c r="Y49867" s="372">
        <v>0.0</v>
      </c>
      <c r="Z49867" s="372">
        <v>0.0</v>
      </c>
    </row>
    <row r="49868">
      <c r="Y49868" s="372">
        <v>0.0</v>
      </c>
      <c r="Z49868" s="372">
        <v>0.0</v>
      </c>
    </row>
    <row r="49869">
      <c r="Y49869" s="372">
        <v>0.0</v>
      </c>
      <c r="Z49869" s="372">
        <v>0.0</v>
      </c>
    </row>
    <row r="49870">
      <c r="Y49870" s="372">
        <v>0.0</v>
      </c>
      <c r="Z49870" s="372">
        <v>0.0</v>
      </c>
    </row>
    <row r="49871">
      <c r="Y49871" s="372">
        <v>0.0</v>
      </c>
      <c r="Z49871" s="372">
        <v>0.0</v>
      </c>
    </row>
    <row r="49872">
      <c r="Y49872" s="372">
        <v>0.0</v>
      </c>
      <c r="Z49872" s="372">
        <v>0.0</v>
      </c>
    </row>
    <row r="49873">
      <c r="Y49873" s="372">
        <v>0.0</v>
      </c>
      <c r="Z49873" s="372">
        <v>0.0</v>
      </c>
    </row>
    <row r="49874">
      <c r="Y49874" s="372">
        <v>0.0</v>
      </c>
      <c r="Z49874" s="372">
        <v>0.0</v>
      </c>
    </row>
    <row r="49875">
      <c r="Y49875" s="372">
        <v>0.0</v>
      </c>
      <c r="Z49875" s="372">
        <v>0.0</v>
      </c>
    </row>
    <row r="49876">
      <c r="Y49876" s="372">
        <v>0.0</v>
      </c>
      <c r="Z49876" s="372">
        <v>0.0</v>
      </c>
    </row>
    <row r="49877">
      <c r="Y49877" s="372">
        <v>0.0</v>
      </c>
      <c r="Z49877" s="372">
        <v>0.0</v>
      </c>
    </row>
    <row r="49878">
      <c r="Y49878" s="372">
        <v>0.0</v>
      </c>
      <c r="Z49878" s="372">
        <v>0.0</v>
      </c>
    </row>
    <row r="49879">
      <c r="Y49879" s="372">
        <v>0.0</v>
      </c>
      <c r="Z49879" s="372">
        <v>0.0</v>
      </c>
    </row>
    <row r="49880">
      <c r="Y49880" s="372">
        <v>0.0</v>
      </c>
      <c r="Z49880" s="372">
        <v>0.0</v>
      </c>
    </row>
    <row r="49881">
      <c r="Y49881" s="372">
        <v>0.0</v>
      </c>
      <c r="Z49881" s="372">
        <v>0.0</v>
      </c>
    </row>
    <row r="49882">
      <c r="Y49882" s="372">
        <v>0.0</v>
      </c>
      <c r="Z49882" s="372">
        <v>0.0</v>
      </c>
    </row>
    <row r="49883">
      <c r="Y49883" s="372">
        <v>0.0</v>
      </c>
      <c r="Z49883" s="372">
        <v>0.0</v>
      </c>
    </row>
    <row r="49884">
      <c r="Y49884" s="372">
        <v>0.0</v>
      </c>
      <c r="Z49884" s="372">
        <v>0.0</v>
      </c>
    </row>
    <row r="49885">
      <c r="Y49885" s="372">
        <v>0.0</v>
      </c>
      <c r="Z49885" s="372">
        <v>0.0</v>
      </c>
    </row>
    <row r="49886">
      <c r="Y49886" s="372">
        <v>0.0</v>
      </c>
      <c r="Z49886" s="372">
        <v>0.0</v>
      </c>
    </row>
    <row r="49887">
      <c r="Y49887" s="372">
        <v>0.0</v>
      </c>
      <c r="Z49887" s="372">
        <v>0.0</v>
      </c>
    </row>
    <row r="49888">
      <c r="Y49888" s="372">
        <v>0.0</v>
      </c>
      <c r="Z49888" s="372">
        <v>0.0</v>
      </c>
    </row>
    <row r="49889">
      <c r="Y49889" s="372">
        <v>0.0</v>
      </c>
      <c r="Z49889" s="372">
        <v>0.0</v>
      </c>
    </row>
    <row r="49890">
      <c r="Y49890" s="372">
        <v>0.0</v>
      </c>
      <c r="Z49890" s="372">
        <v>0.0</v>
      </c>
    </row>
    <row r="49891">
      <c r="Y49891" s="372">
        <v>0.0</v>
      </c>
      <c r="Z49891" s="372">
        <v>0.0</v>
      </c>
    </row>
    <row r="49892">
      <c r="Y49892" s="372">
        <v>0.0</v>
      </c>
      <c r="Z49892" s="372">
        <v>0.0</v>
      </c>
    </row>
    <row r="49893">
      <c r="Y49893" s="372">
        <v>0.0</v>
      </c>
      <c r="Z49893" s="372">
        <v>0.0</v>
      </c>
    </row>
    <row r="49894">
      <c r="Y49894" s="372">
        <v>0.0</v>
      </c>
      <c r="Z49894" s="372">
        <v>0.0</v>
      </c>
    </row>
    <row r="49895">
      <c r="Y49895" s="372">
        <v>0.0</v>
      </c>
      <c r="Z49895" s="372">
        <v>0.0</v>
      </c>
    </row>
    <row r="49896">
      <c r="Y49896" s="372">
        <v>0.0</v>
      </c>
      <c r="Z49896" s="372">
        <v>0.0</v>
      </c>
    </row>
    <row r="49897">
      <c r="Y49897" s="372">
        <v>0.0</v>
      </c>
      <c r="Z49897" s="372">
        <v>0.0</v>
      </c>
    </row>
    <row r="49898">
      <c r="Y49898" s="372">
        <v>0.0</v>
      </c>
      <c r="Z49898" s="372">
        <v>0.0</v>
      </c>
    </row>
    <row r="49899">
      <c r="Y49899" s="372">
        <v>0.0</v>
      </c>
      <c r="Z49899" s="372">
        <v>0.0</v>
      </c>
    </row>
    <row r="49900">
      <c r="Y49900" s="372">
        <v>0.0</v>
      </c>
      <c r="Z49900" s="372">
        <v>0.0</v>
      </c>
    </row>
    <row r="49901">
      <c r="Y49901" s="372">
        <v>0.0</v>
      </c>
      <c r="Z49901" s="372">
        <v>0.0</v>
      </c>
    </row>
    <row r="49902">
      <c r="Y49902" s="372">
        <v>0.0</v>
      </c>
      <c r="Z49902" s="372">
        <v>0.0</v>
      </c>
    </row>
    <row r="49903">
      <c r="Y49903" s="372">
        <v>0.0</v>
      </c>
      <c r="Z49903" s="372">
        <v>0.0</v>
      </c>
    </row>
    <row r="49904">
      <c r="Y49904" s="372">
        <v>0.0</v>
      </c>
      <c r="Z49904" s="372">
        <v>0.0</v>
      </c>
    </row>
    <row r="49905">
      <c r="Y49905" s="372">
        <v>0.0</v>
      </c>
      <c r="Z49905" s="372">
        <v>0.0</v>
      </c>
    </row>
    <row r="49906">
      <c r="Y49906" s="372">
        <v>0.0</v>
      </c>
      <c r="Z49906" s="372">
        <v>0.0</v>
      </c>
    </row>
    <row r="49907">
      <c r="Y49907" s="372">
        <v>0.0</v>
      </c>
      <c r="Z49907" s="372">
        <v>0.0</v>
      </c>
    </row>
    <row r="49908">
      <c r="Y49908" s="372">
        <v>0.0</v>
      </c>
      <c r="Z49908" s="372">
        <v>0.0</v>
      </c>
    </row>
    <row r="49909">
      <c r="Y49909" s="372">
        <v>0.0</v>
      </c>
      <c r="Z49909" s="372">
        <v>0.0</v>
      </c>
    </row>
    <row r="49910">
      <c r="Y49910" s="372">
        <v>0.0</v>
      </c>
      <c r="Z49910" s="372">
        <v>0.0</v>
      </c>
    </row>
    <row r="49911">
      <c r="Y49911" s="372">
        <v>0.0</v>
      </c>
      <c r="Z49911" s="372">
        <v>0.0</v>
      </c>
    </row>
    <row r="49912">
      <c r="Y49912" s="372">
        <v>0.0</v>
      </c>
      <c r="Z49912" s="372">
        <v>0.0</v>
      </c>
    </row>
    <row r="49913">
      <c r="Y49913" s="372">
        <v>0.0</v>
      </c>
      <c r="Z49913" s="372">
        <v>0.0</v>
      </c>
    </row>
    <row r="49914">
      <c r="Y49914" s="372">
        <v>0.0</v>
      </c>
      <c r="Z49914" s="372">
        <v>0.0</v>
      </c>
    </row>
    <row r="49915">
      <c r="Y49915" s="372">
        <v>0.0</v>
      </c>
      <c r="Z49915" s="372">
        <v>0.0</v>
      </c>
    </row>
    <row r="49916">
      <c r="Y49916" s="372">
        <v>0.0</v>
      </c>
      <c r="Z49916" s="372">
        <v>0.0</v>
      </c>
    </row>
    <row r="49917">
      <c r="Y49917" s="372">
        <v>0.0</v>
      </c>
      <c r="Z49917" s="372">
        <v>0.0</v>
      </c>
    </row>
    <row r="49918">
      <c r="Y49918" s="372">
        <v>0.0</v>
      </c>
      <c r="Z49918" s="372">
        <v>0.0</v>
      </c>
    </row>
    <row r="49919">
      <c r="Y49919" s="372">
        <v>0.0</v>
      </c>
      <c r="Z49919" s="372">
        <v>0.0</v>
      </c>
    </row>
    <row r="49920">
      <c r="Y49920" s="372">
        <v>0.0</v>
      </c>
      <c r="Z49920" s="372">
        <v>0.0</v>
      </c>
    </row>
    <row r="49921">
      <c r="Y49921" s="372">
        <v>0.0</v>
      </c>
      <c r="Z49921" s="372">
        <v>0.0</v>
      </c>
    </row>
    <row r="49922">
      <c r="Y49922" s="372">
        <v>0.0</v>
      </c>
      <c r="Z49922" s="372">
        <v>0.0</v>
      </c>
    </row>
    <row r="49923">
      <c r="Y49923" s="372">
        <v>0.0</v>
      </c>
      <c r="Z49923" s="372">
        <v>0.0</v>
      </c>
    </row>
    <row r="49924">
      <c r="Y49924" s="372">
        <v>0.0</v>
      </c>
      <c r="Z49924" s="372">
        <v>0.0</v>
      </c>
    </row>
    <row r="49925">
      <c r="Y49925" s="372">
        <v>0.0</v>
      </c>
      <c r="Z49925" s="372">
        <v>0.0</v>
      </c>
    </row>
    <row r="49926">
      <c r="Y49926" s="372">
        <v>0.0</v>
      </c>
      <c r="Z49926" s="372">
        <v>0.0</v>
      </c>
    </row>
    <row r="49927">
      <c r="Y49927" s="372">
        <v>0.0</v>
      </c>
      <c r="Z49927" s="372">
        <v>0.0</v>
      </c>
    </row>
    <row r="49928">
      <c r="Y49928" s="372">
        <v>0.0</v>
      </c>
      <c r="Z49928" s="372">
        <v>0.0</v>
      </c>
    </row>
    <row r="49929">
      <c r="Y49929" s="372">
        <v>0.0</v>
      </c>
      <c r="Z49929" s="372">
        <v>0.0</v>
      </c>
    </row>
    <row r="49930">
      <c r="Y49930" s="372">
        <v>0.0</v>
      </c>
      <c r="Z49930" s="372">
        <v>0.0</v>
      </c>
    </row>
    <row r="49931">
      <c r="Y49931" s="372">
        <v>0.0</v>
      </c>
      <c r="Z49931" s="372">
        <v>0.0</v>
      </c>
    </row>
    <row r="49932">
      <c r="Y49932" s="372">
        <v>0.0</v>
      </c>
      <c r="Z49932" s="372">
        <v>0.0</v>
      </c>
    </row>
    <row r="49933">
      <c r="Y49933" s="372">
        <v>0.0</v>
      </c>
      <c r="Z49933" s="372">
        <v>0.0</v>
      </c>
    </row>
    <row r="49934">
      <c r="Y49934" s="372">
        <v>0.0</v>
      </c>
      <c r="Z49934" s="372">
        <v>0.0</v>
      </c>
    </row>
    <row r="49935">
      <c r="Y49935" s="372">
        <v>0.0</v>
      </c>
      <c r="Z49935" s="372">
        <v>0.0</v>
      </c>
    </row>
    <row r="49936">
      <c r="Y49936" s="372">
        <v>0.0</v>
      </c>
      <c r="Z49936" s="372">
        <v>0.0</v>
      </c>
    </row>
    <row r="49937">
      <c r="Y49937" s="372">
        <v>0.0</v>
      </c>
      <c r="Z49937" s="372">
        <v>0.0</v>
      </c>
    </row>
    <row r="49938">
      <c r="Y49938" s="372">
        <v>0.0</v>
      </c>
      <c r="Z49938" s="372">
        <v>0.0</v>
      </c>
    </row>
    <row r="49939">
      <c r="Y49939" s="372">
        <v>0.0</v>
      </c>
      <c r="Z49939" s="372">
        <v>0.0</v>
      </c>
    </row>
    <row r="49940">
      <c r="Y49940" s="372">
        <v>0.0</v>
      </c>
      <c r="Z49940" s="372">
        <v>0.0</v>
      </c>
    </row>
    <row r="49941">
      <c r="Y49941" s="372">
        <v>0.0</v>
      </c>
      <c r="Z49941" s="372">
        <v>0.0</v>
      </c>
    </row>
    <row r="49942">
      <c r="Y49942" s="372">
        <v>0.0</v>
      </c>
      <c r="Z49942" s="372">
        <v>0.0</v>
      </c>
    </row>
    <row r="49943">
      <c r="Y49943" s="372">
        <v>0.0</v>
      </c>
      <c r="Z49943" s="372">
        <v>0.0</v>
      </c>
    </row>
    <row r="49944">
      <c r="Y49944" s="372">
        <v>0.0</v>
      </c>
      <c r="Z49944" s="372">
        <v>0.0</v>
      </c>
    </row>
    <row r="49945">
      <c r="Y49945" s="372">
        <v>0.0</v>
      </c>
      <c r="Z49945" s="372">
        <v>0.0</v>
      </c>
    </row>
    <row r="49946">
      <c r="Y49946" s="372">
        <v>0.0</v>
      </c>
      <c r="Z49946" s="372">
        <v>0.0</v>
      </c>
    </row>
    <row r="49947">
      <c r="Y49947" s="372">
        <v>0.0</v>
      </c>
      <c r="Z49947" s="372">
        <v>0.0</v>
      </c>
    </row>
    <row r="49948">
      <c r="Y49948" s="372">
        <v>0.0</v>
      </c>
      <c r="Z49948" s="372">
        <v>0.0</v>
      </c>
    </row>
    <row r="49949">
      <c r="Y49949" s="372">
        <v>0.0</v>
      </c>
      <c r="Z49949" s="372">
        <v>0.0</v>
      </c>
    </row>
    <row r="49950">
      <c r="Y49950" s="372">
        <v>0.0</v>
      </c>
      <c r="Z49950" s="372">
        <v>0.0</v>
      </c>
    </row>
    <row r="49951">
      <c r="Y49951" s="372">
        <v>0.0</v>
      </c>
      <c r="Z49951" s="372">
        <v>0.0</v>
      </c>
    </row>
    <row r="49952">
      <c r="Y49952" s="372">
        <v>0.0</v>
      </c>
      <c r="Z49952" s="372">
        <v>0.0</v>
      </c>
    </row>
    <row r="49953">
      <c r="Y49953" s="372">
        <v>0.0</v>
      </c>
      <c r="Z49953" s="372">
        <v>0.0</v>
      </c>
    </row>
    <row r="49954">
      <c r="Y49954" s="372">
        <v>0.0</v>
      </c>
      <c r="Z49954" s="372">
        <v>0.0</v>
      </c>
    </row>
    <row r="49955">
      <c r="Y49955" s="372">
        <v>0.0</v>
      </c>
      <c r="Z49955" s="372">
        <v>0.0</v>
      </c>
    </row>
    <row r="49956">
      <c r="Y49956" s="372">
        <v>0.0</v>
      </c>
      <c r="Z49956" s="372">
        <v>0.0</v>
      </c>
    </row>
    <row r="49957">
      <c r="Y49957" s="372">
        <v>0.0</v>
      </c>
      <c r="Z49957" s="372">
        <v>0.0</v>
      </c>
    </row>
    <row r="49958">
      <c r="Y49958" s="372">
        <v>0.0</v>
      </c>
      <c r="Z49958" s="372">
        <v>0.0</v>
      </c>
    </row>
    <row r="49959">
      <c r="Y49959" s="372">
        <v>0.0</v>
      </c>
      <c r="Z49959" s="372">
        <v>0.0</v>
      </c>
    </row>
    <row r="49960">
      <c r="Y49960" s="372">
        <v>0.0</v>
      </c>
      <c r="Z49960" s="372">
        <v>0.0</v>
      </c>
    </row>
    <row r="49961">
      <c r="Y49961" s="372">
        <v>0.0</v>
      </c>
      <c r="Z49961" s="372">
        <v>0.0</v>
      </c>
    </row>
    <row r="49962">
      <c r="Y49962" s="372">
        <v>0.0</v>
      </c>
      <c r="Z49962" s="372">
        <v>0.0</v>
      </c>
    </row>
    <row r="49963">
      <c r="Y49963" s="372">
        <v>0.0</v>
      </c>
      <c r="Z49963" s="372">
        <v>0.0</v>
      </c>
    </row>
    <row r="49964">
      <c r="Y49964" s="372">
        <v>0.0</v>
      </c>
      <c r="Z49964" s="372">
        <v>0.0</v>
      </c>
    </row>
    <row r="49965">
      <c r="Y49965" s="372">
        <v>0.0</v>
      </c>
      <c r="Z49965" s="372">
        <v>0.0</v>
      </c>
    </row>
    <row r="49966">
      <c r="Y49966" s="372">
        <v>0.0</v>
      </c>
      <c r="Z49966" s="372">
        <v>0.0</v>
      </c>
    </row>
    <row r="49967">
      <c r="Y49967" s="372">
        <v>0.0</v>
      </c>
      <c r="Z49967" s="372">
        <v>0.0</v>
      </c>
    </row>
    <row r="49968">
      <c r="Y49968" s="372">
        <v>0.0</v>
      </c>
      <c r="Z49968" s="372">
        <v>0.0</v>
      </c>
    </row>
    <row r="49969">
      <c r="Y49969" s="372">
        <v>0.0</v>
      </c>
      <c r="Z49969" s="372">
        <v>0.0</v>
      </c>
    </row>
    <row r="49970">
      <c r="Y49970" s="372">
        <v>0.0</v>
      </c>
      <c r="Z49970" s="372">
        <v>0.0</v>
      </c>
    </row>
    <row r="49971">
      <c r="Y49971" s="372">
        <v>0.0</v>
      </c>
      <c r="Z49971" s="372">
        <v>0.0</v>
      </c>
    </row>
    <row r="49972">
      <c r="Y49972" s="372">
        <v>0.0</v>
      </c>
      <c r="Z49972" s="372">
        <v>0.0</v>
      </c>
    </row>
    <row r="49973">
      <c r="Y49973" s="372">
        <v>0.0</v>
      </c>
      <c r="Z49973" s="372">
        <v>0.0</v>
      </c>
    </row>
    <row r="49974">
      <c r="Y49974" s="372">
        <v>0.0</v>
      </c>
      <c r="Z49974" s="372">
        <v>0.0</v>
      </c>
    </row>
    <row r="49975">
      <c r="Y49975" s="372">
        <v>0.0</v>
      </c>
      <c r="Z49975" s="372">
        <v>0.0</v>
      </c>
    </row>
    <row r="49976">
      <c r="Y49976" s="372">
        <v>0.0</v>
      </c>
      <c r="Z49976" s="372">
        <v>0.0</v>
      </c>
    </row>
    <row r="49977">
      <c r="Y49977" s="372">
        <v>0.0</v>
      </c>
      <c r="Z49977" s="372">
        <v>0.0</v>
      </c>
    </row>
    <row r="49978">
      <c r="Y49978" s="372">
        <v>0.0</v>
      </c>
      <c r="Z49978" s="372">
        <v>0.0</v>
      </c>
    </row>
    <row r="49979">
      <c r="Y49979" s="372">
        <v>0.0</v>
      </c>
      <c r="Z49979" s="372">
        <v>0.0</v>
      </c>
    </row>
    <row r="49980">
      <c r="Y49980" s="372">
        <v>0.0</v>
      </c>
      <c r="Z49980" s="372">
        <v>0.0</v>
      </c>
    </row>
    <row r="49981">
      <c r="Y49981" s="372">
        <v>0.0</v>
      </c>
      <c r="Z49981" s="372">
        <v>0.0</v>
      </c>
    </row>
    <row r="49982">
      <c r="Y49982" s="372">
        <v>0.0</v>
      </c>
      <c r="Z49982" s="372">
        <v>0.0</v>
      </c>
    </row>
    <row r="49983">
      <c r="Y49983" s="372">
        <v>0.0</v>
      </c>
      <c r="Z49983" s="372">
        <v>0.0</v>
      </c>
    </row>
    <row r="49984">
      <c r="Y49984" s="372">
        <v>0.0</v>
      </c>
      <c r="Z49984" s="372">
        <v>0.0</v>
      </c>
    </row>
    <row r="49985">
      <c r="Y49985" s="372">
        <v>0.0</v>
      </c>
      <c r="Z49985" s="372">
        <v>0.0</v>
      </c>
    </row>
    <row r="49986">
      <c r="Y49986" s="372">
        <v>0.0</v>
      </c>
      <c r="Z49986" s="372">
        <v>0.0</v>
      </c>
    </row>
    <row r="49987">
      <c r="Y49987" s="372">
        <v>0.0</v>
      </c>
      <c r="Z49987" s="372">
        <v>0.0</v>
      </c>
    </row>
    <row r="49988">
      <c r="Y49988" s="372">
        <v>0.0</v>
      </c>
      <c r="Z49988" s="372">
        <v>0.0</v>
      </c>
    </row>
    <row r="49989">
      <c r="Y49989" s="372">
        <v>0.0</v>
      </c>
      <c r="Z49989" s="372">
        <v>0.0</v>
      </c>
    </row>
    <row r="49990">
      <c r="Y49990" s="372">
        <v>0.0</v>
      </c>
      <c r="Z49990" s="372">
        <v>0.0</v>
      </c>
    </row>
    <row r="49991">
      <c r="Y49991" s="372">
        <v>0.0</v>
      </c>
      <c r="Z49991" s="372">
        <v>0.0</v>
      </c>
    </row>
    <row r="49992">
      <c r="Y49992" s="372">
        <v>0.0</v>
      </c>
      <c r="Z49992" s="372">
        <v>0.0</v>
      </c>
    </row>
    <row r="49993">
      <c r="Y49993" s="372">
        <v>0.0</v>
      </c>
      <c r="Z49993" s="372">
        <v>0.0</v>
      </c>
    </row>
    <row r="49994">
      <c r="Y49994" s="372">
        <v>0.0</v>
      </c>
      <c r="Z49994" s="372">
        <v>0.0</v>
      </c>
    </row>
    <row r="49995">
      <c r="Y49995" s="372">
        <v>0.0</v>
      </c>
      <c r="Z49995" s="372">
        <v>0.0</v>
      </c>
    </row>
    <row r="49996">
      <c r="Y49996" s="372">
        <v>0.0</v>
      </c>
      <c r="Z49996" s="372">
        <v>0.0</v>
      </c>
    </row>
    <row r="49997">
      <c r="Y49997" s="372">
        <v>0.0</v>
      </c>
      <c r="Z49997" s="372">
        <v>0.0</v>
      </c>
    </row>
    <row r="49998">
      <c r="Y49998" s="372">
        <v>0.0</v>
      </c>
      <c r="Z49998" s="372">
        <v>0.0</v>
      </c>
    </row>
    <row r="49999">
      <c r="Y49999" s="372">
        <v>0.0</v>
      </c>
      <c r="Z49999" s="372">
        <v>0.0</v>
      </c>
    </row>
    <row r="50000">
      <c r="Y50000" s="372">
        <v>0.0</v>
      </c>
      <c r="Z50000" s="372">
        <v>0.0</v>
      </c>
    </row>
    <row r="50001">
      <c r="Y50001" s="372">
        <v>0.0</v>
      </c>
      <c r="Z50001" s="372">
        <v>0.0</v>
      </c>
    </row>
    <row r="50002">
      <c r="Y50002" s="372">
        <v>0.0</v>
      </c>
      <c r="Z50002" s="372">
        <v>0.0</v>
      </c>
    </row>
    <row r="50003">
      <c r="Y50003" s="372">
        <v>0.0</v>
      </c>
      <c r="Z50003" s="372">
        <v>0.0</v>
      </c>
    </row>
    <row r="50004">
      <c r="Y50004" s="372">
        <v>0.0</v>
      </c>
      <c r="Z50004" s="372">
        <v>0.0</v>
      </c>
    </row>
    <row r="50005">
      <c r="Y50005" s="372">
        <v>0.0</v>
      </c>
      <c r="Z50005" s="372">
        <v>0.0</v>
      </c>
    </row>
    <row r="50006">
      <c r="Y50006" s="372">
        <v>0.0</v>
      </c>
      <c r="Z50006" s="372">
        <v>0.0</v>
      </c>
    </row>
    <row r="50007">
      <c r="Y50007" s="372">
        <v>0.0</v>
      </c>
      <c r="Z50007" s="372">
        <v>0.0</v>
      </c>
    </row>
    <row r="50008">
      <c r="Y50008" s="372">
        <v>0.0</v>
      </c>
      <c r="Z50008" s="372">
        <v>0.0</v>
      </c>
    </row>
    <row r="50009">
      <c r="Y50009" s="372">
        <v>0.0</v>
      </c>
      <c r="Z50009" s="372">
        <v>0.0</v>
      </c>
    </row>
    <row r="50010">
      <c r="Y50010" s="372">
        <v>0.0</v>
      </c>
      <c r="Z50010" s="372">
        <v>0.0</v>
      </c>
    </row>
    <row r="50011">
      <c r="Y50011" s="372">
        <v>0.0</v>
      </c>
      <c r="Z50011" s="372">
        <v>0.0</v>
      </c>
    </row>
    <row r="50012">
      <c r="Y50012" s="372">
        <v>0.0</v>
      </c>
      <c r="Z50012" s="372">
        <v>0.0</v>
      </c>
    </row>
    <row r="50013">
      <c r="Y50013" s="372">
        <v>0.0</v>
      </c>
      <c r="Z50013" s="372">
        <v>0.0</v>
      </c>
    </row>
    <row r="50014">
      <c r="Y50014" s="372">
        <v>0.0</v>
      </c>
      <c r="Z50014" s="372">
        <v>0.0</v>
      </c>
    </row>
    <row r="50015">
      <c r="Y50015" s="372">
        <v>0.0</v>
      </c>
      <c r="Z50015" s="372">
        <v>0.0</v>
      </c>
    </row>
    <row r="50016">
      <c r="Y50016" s="372">
        <v>0.0</v>
      </c>
      <c r="Z50016" s="372">
        <v>0.0</v>
      </c>
    </row>
    <row r="50017">
      <c r="Y50017" s="372">
        <v>0.0</v>
      </c>
      <c r="Z50017" s="372">
        <v>0.0</v>
      </c>
    </row>
    <row r="50018">
      <c r="Y50018" s="372">
        <v>0.0</v>
      </c>
      <c r="Z50018" s="372">
        <v>0.0</v>
      </c>
    </row>
    <row r="50019">
      <c r="Y50019" s="372">
        <v>0.0</v>
      </c>
      <c r="Z50019" s="372">
        <v>0.0</v>
      </c>
    </row>
    <row r="50020">
      <c r="Y50020" s="372">
        <v>0.0</v>
      </c>
      <c r="Z50020" s="372">
        <v>0.0</v>
      </c>
    </row>
    <row r="50021">
      <c r="Y50021" s="372">
        <v>0.0</v>
      </c>
      <c r="Z50021" s="372">
        <v>0.0</v>
      </c>
    </row>
    <row r="50022">
      <c r="Y50022" s="372">
        <v>0.0</v>
      </c>
      <c r="Z50022" s="372">
        <v>0.0</v>
      </c>
    </row>
    <row r="50023">
      <c r="Y50023" s="372">
        <v>0.0</v>
      </c>
      <c r="Z50023" s="372">
        <v>0.0</v>
      </c>
    </row>
    <row r="50024">
      <c r="Y50024" s="372">
        <v>0.0</v>
      </c>
      <c r="Z50024" s="372">
        <v>0.0</v>
      </c>
    </row>
    <row r="50025">
      <c r="Y50025" s="372">
        <v>0.0</v>
      </c>
      <c r="Z50025" s="372">
        <v>0.0</v>
      </c>
    </row>
    <row r="50026">
      <c r="Y50026" s="372">
        <v>0.0</v>
      </c>
      <c r="Z50026" s="372">
        <v>0.0</v>
      </c>
    </row>
    <row r="50027">
      <c r="Y50027" s="372">
        <v>0.0</v>
      </c>
      <c r="Z50027" s="372">
        <v>0.0</v>
      </c>
    </row>
    <row r="50028">
      <c r="Y50028" s="372">
        <v>0.0</v>
      </c>
      <c r="Z50028" s="372">
        <v>0.0</v>
      </c>
    </row>
    <row r="50029">
      <c r="Y50029" s="372">
        <v>0.0</v>
      </c>
      <c r="Z50029" s="372">
        <v>0.0</v>
      </c>
    </row>
    <row r="50030">
      <c r="Y50030" s="372">
        <v>0.0</v>
      </c>
      <c r="Z50030" s="372">
        <v>0.0</v>
      </c>
    </row>
    <row r="50031">
      <c r="Y50031" s="372">
        <v>0.0</v>
      </c>
      <c r="Z50031" s="372">
        <v>0.0</v>
      </c>
    </row>
    <row r="50032">
      <c r="Y50032" s="372">
        <v>0.0</v>
      </c>
      <c r="Z50032" s="372">
        <v>0.0</v>
      </c>
    </row>
    <row r="50033">
      <c r="Y50033" s="372">
        <v>0.0</v>
      </c>
      <c r="Z50033" s="372">
        <v>0.0</v>
      </c>
    </row>
    <row r="50034">
      <c r="Y50034" s="372">
        <v>0.0</v>
      </c>
      <c r="Z50034" s="372">
        <v>0.0</v>
      </c>
    </row>
    <row r="50035">
      <c r="Y50035" s="372">
        <v>0.0</v>
      </c>
      <c r="Z50035" s="372">
        <v>0.0</v>
      </c>
    </row>
    <row r="50036">
      <c r="Y50036" s="372">
        <v>0.0</v>
      </c>
      <c r="Z50036" s="372">
        <v>0.0</v>
      </c>
    </row>
    <row r="50037">
      <c r="Y50037" s="372">
        <v>0.0</v>
      </c>
      <c r="Z50037" s="372">
        <v>0.0</v>
      </c>
    </row>
    <row r="50038">
      <c r="Y50038" s="372">
        <v>0.0</v>
      </c>
      <c r="Z50038" s="372">
        <v>0.0</v>
      </c>
    </row>
    <row r="50039">
      <c r="Y50039" s="372">
        <v>0.0</v>
      </c>
      <c r="Z50039" s="372">
        <v>0.0</v>
      </c>
    </row>
    <row r="50040">
      <c r="Y50040" s="372">
        <v>0.0</v>
      </c>
      <c r="Z50040" s="372">
        <v>0.0</v>
      </c>
    </row>
    <row r="50041">
      <c r="Y50041" s="372">
        <v>0.0</v>
      </c>
      <c r="Z50041" s="372">
        <v>0.0</v>
      </c>
    </row>
    <row r="50042">
      <c r="Y50042" s="372">
        <v>0.0</v>
      </c>
      <c r="Z50042" s="372">
        <v>0.0</v>
      </c>
    </row>
    <row r="50043">
      <c r="Y50043" s="372">
        <v>0.0</v>
      </c>
      <c r="Z50043" s="372">
        <v>0.0</v>
      </c>
    </row>
    <row r="50044">
      <c r="Y50044" s="372">
        <v>0.0</v>
      </c>
      <c r="Z50044" s="372">
        <v>0.0</v>
      </c>
    </row>
    <row r="50045">
      <c r="Y50045" s="372">
        <v>0.0</v>
      </c>
      <c r="Z50045" s="372">
        <v>0.0</v>
      </c>
    </row>
    <row r="50046">
      <c r="Y50046" s="372">
        <v>0.0</v>
      </c>
      <c r="Z50046" s="372">
        <v>0.0</v>
      </c>
    </row>
    <row r="50047">
      <c r="Y50047" s="372">
        <v>0.0</v>
      </c>
      <c r="Z50047" s="372">
        <v>0.0</v>
      </c>
    </row>
    <row r="50048">
      <c r="Y50048" s="372">
        <v>0.0</v>
      </c>
      <c r="Z50048" s="372">
        <v>0.0</v>
      </c>
    </row>
    <row r="50049">
      <c r="Y50049" s="372">
        <v>0.0</v>
      </c>
      <c r="Z50049" s="372">
        <v>0.0</v>
      </c>
    </row>
    <row r="50050">
      <c r="Y50050" s="372">
        <v>0.0</v>
      </c>
      <c r="Z50050" s="372">
        <v>0.0</v>
      </c>
    </row>
    <row r="50051">
      <c r="Y50051" s="372">
        <v>0.0</v>
      </c>
      <c r="Z50051" s="372">
        <v>0.0</v>
      </c>
    </row>
    <row r="50052">
      <c r="Y50052" s="372">
        <v>0.0</v>
      </c>
      <c r="Z50052" s="372">
        <v>0.0</v>
      </c>
    </row>
    <row r="50053">
      <c r="Y50053" s="372">
        <v>0.0</v>
      </c>
      <c r="Z50053" s="372">
        <v>0.0</v>
      </c>
    </row>
    <row r="50054">
      <c r="Y50054" s="372">
        <v>0.0</v>
      </c>
      <c r="Z50054" s="372">
        <v>0.0</v>
      </c>
    </row>
    <row r="50055">
      <c r="Y50055" s="372">
        <v>0.0</v>
      </c>
      <c r="Z50055" s="372">
        <v>0.0</v>
      </c>
    </row>
    <row r="50056">
      <c r="Y50056" s="372">
        <v>0.0</v>
      </c>
      <c r="Z50056" s="372">
        <v>0.0</v>
      </c>
    </row>
    <row r="50057">
      <c r="Y50057" s="372">
        <v>0.0</v>
      </c>
      <c r="Z50057" s="372">
        <v>0.0</v>
      </c>
    </row>
    <row r="50058">
      <c r="Y50058" s="372">
        <v>0.0</v>
      </c>
      <c r="Z50058" s="372">
        <v>0.0</v>
      </c>
    </row>
    <row r="50059">
      <c r="Y50059" s="372">
        <v>0.0</v>
      </c>
      <c r="Z50059" s="372">
        <v>0.0</v>
      </c>
    </row>
    <row r="50060">
      <c r="Y50060" s="372">
        <v>0.0</v>
      </c>
      <c r="Z50060" s="372">
        <v>0.0</v>
      </c>
    </row>
    <row r="50061">
      <c r="Y50061" s="372">
        <v>0.0</v>
      </c>
      <c r="Z50061" s="372">
        <v>0.0</v>
      </c>
    </row>
    <row r="50062">
      <c r="Y50062" s="372">
        <v>0.0</v>
      </c>
      <c r="Z50062" s="372">
        <v>0.0</v>
      </c>
    </row>
    <row r="50063">
      <c r="Y50063" s="372">
        <v>0.0</v>
      </c>
      <c r="Z50063" s="372">
        <v>0.0</v>
      </c>
    </row>
    <row r="50064">
      <c r="Y50064" s="372">
        <v>0.0</v>
      </c>
      <c r="Z50064" s="372">
        <v>0.0</v>
      </c>
    </row>
    <row r="50065">
      <c r="Y50065" s="372">
        <v>0.0</v>
      </c>
      <c r="Z50065" s="372">
        <v>0.0</v>
      </c>
    </row>
    <row r="50066">
      <c r="Y50066" s="372">
        <v>0.0</v>
      </c>
      <c r="Z50066" s="372">
        <v>0.0</v>
      </c>
    </row>
    <row r="50067">
      <c r="Y50067" s="372">
        <v>0.0</v>
      </c>
      <c r="Z50067" s="372">
        <v>0.0</v>
      </c>
    </row>
    <row r="50068">
      <c r="Y50068" s="372">
        <v>0.0</v>
      </c>
      <c r="Z50068" s="372">
        <v>0.0</v>
      </c>
    </row>
    <row r="50069">
      <c r="Y50069" s="372">
        <v>0.0</v>
      </c>
      <c r="Z50069" s="372">
        <v>0.0</v>
      </c>
    </row>
    <row r="50070">
      <c r="Y50070" s="372">
        <v>0.0</v>
      </c>
      <c r="Z50070" s="372">
        <v>0.0</v>
      </c>
    </row>
    <row r="50071">
      <c r="Y50071" s="372">
        <v>0.0</v>
      </c>
      <c r="Z50071" s="372">
        <v>0.0</v>
      </c>
    </row>
    <row r="50072">
      <c r="Y50072" s="372">
        <v>0.0</v>
      </c>
      <c r="Z50072" s="372">
        <v>0.0</v>
      </c>
    </row>
    <row r="50073">
      <c r="Y50073" s="372">
        <v>0.0</v>
      </c>
      <c r="Z50073" s="372">
        <v>0.0</v>
      </c>
    </row>
    <row r="50074">
      <c r="Y50074" s="372">
        <v>0.0</v>
      </c>
      <c r="Z50074" s="372">
        <v>0.0</v>
      </c>
    </row>
    <row r="50075">
      <c r="Y50075" s="372">
        <v>0.0</v>
      </c>
      <c r="Z50075" s="372">
        <v>0.0</v>
      </c>
    </row>
    <row r="50076">
      <c r="Y50076" s="372">
        <v>0.0</v>
      </c>
      <c r="Z50076" s="372">
        <v>0.0</v>
      </c>
    </row>
    <row r="50077">
      <c r="Y50077" s="372">
        <v>0.0</v>
      </c>
      <c r="Z50077" s="372">
        <v>0.0</v>
      </c>
    </row>
    <row r="50078">
      <c r="Y50078" s="372">
        <v>0.0</v>
      </c>
      <c r="Z50078" s="372">
        <v>0.0</v>
      </c>
    </row>
    <row r="50079">
      <c r="Y50079" s="372">
        <v>0.0</v>
      </c>
      <c r="Z50079" s="372">
        <v>0.0</v>
      </c>
    </row>
    <row r="50080">
      <c r="Y50080" s="372">
        <v>0.0</v>
      </c>
      <c r="Z50080" s="372">
        <v>0.0</v>
      </c>
    </row>
    <row r="50081">
      <c r="Y50081" s="372">
        <v>0.0</v>
      </c>
      <c r="Z50081" s="372">
        <v>0.0</v>
      </c>
    </row>
    <row r="50082">
      <c r="Y50082" s="372">
        <v>0.0</v>
      </c>
      <c r="Z50082" s="372">
        <v>0.0</v>
      </c>
    </row>
    <row r="50083">
      <c r="Y50083" s="372">
        <v>0.0</v>
      </c>
      <c r="Z50083" s="372">
        <v>0.0</v>
      </c>
    </row>
    <row r="50084">
      <c r="Y50084" s="372">
        <v>0.0</v>
      </c>
      <c r="Z50084" s="372">
        <v>0.0</v>
      </c>
    </row>
    <row r="50085">
      <c r="Y50085" s="372">
        <v>0.0</v>
      </c>
      <c r="Z50085" s="372">
        <v>0.0</v>
      </c>
    </row>
    <row r="50086">
      <c r="Y50086" s="372">
        <v>0.0</v>
      </c>
      <c r="Z50086" s="372">
        <v>0.0</v>
      </c>
    </row>
    <row r="50087">
      <c r="Y50087" s="372">
        <v>0.0</v>
      </c>
      <c r="Z50087" s="372">
        <v>0.0</v>
      </c>
    </row>
    <row r="50088">
      <c r="Y50088" s="372">
        <v>0.0</v>
      </c>
      <c r="Z50088" s="372">
        <v>0.0</v>
      </c>
    </row>
    <row r="50089">
      <c r="Y50089" s="372">
        <v>0.0</v>
      </c>
      <c r="Z50089" s="372">
        <v>0.0</v>
      </c>
    </row>
    <row r="50090">
      <c r="Y50090" s="372">
        <v>0.0</v>
      </c>
      <c r="Z50090" s="372">
        <v>0.0</v>
      </c>
    </row>
    <row r="50091">
      <c r="Y50091" s="372">
        <v>0.0</v>
      </c>
      <c r="Z50091" s="372">
        <v>0.0</v>
      </c>
    </row>
    <row r="50092">
      <c r="Y50092" s="372">
        <v>0.0</v>
      </c>
      <c r="Z50092" s="372">
        <v>0.0</v>
      </c>
    </row>
    <row r="50093">
      <c r="Y50093" s="372">
        <v>0.0</v>
      </c>
      <c r="Z50093" s="372">
        <v>0.0</v>
      </c>
    </row>
    <row r="50094">
      <c r="Y50094" s="372">
        <v>0.0</v>
      </c>
      <c r="Z50094" s="372">
        <v>0.0</v>
      </c>
    </row>
    <row r="50095">
      <c r="Y50095" s="372">
        <v>0.0</v>
      </c>
      <c r="Z50095" s="372">
        <v>0.0</v>
      </c>
    </row>
    <row r="50096">
      <c r="Y50096" s="372">
        <v>0.0</v>
      </c>
      <c r="Z50096" s="372">
        <v>0.0</v>
      </c>
    </row>
    <row r="50097">
      <c r="Y50097" s="372">
        <v>0.0</v>
      </c>
      <c r="Z50097" s="372">
        <v>0.0</v>
      </c>
    </row>
    <row r="50098">
      <c r="Y50098" s="372">
        <v>0.0</v>
      </c>
      <c r="Z50098" s="372">
        <v>0.0</v>
      </c>
    </row>
    <row r="50099">
      <c r="Y50099" s="372">
        <v>0.0</v>
      </c>
      <c r="Z50099" s="372">
        <v>0.0</v>
      </c>
    </row>
    <row r="50100">
      <c r="Y50100" s="372">
        <v>0.0</v>
      </c>
      <c r="Z50100" s="372">
        <v>0.0</v>
      </c>
    </row>
    <row r="50101">
      <c r="Y50101" s="372">
        <v>0.0</v>
      </c>
      <c r="Z50101" s="372">
        <v>0.0</v>
      </c>
    </row>
    <row r="50102">
      <c r="Y50102" s="372">
        <v>0.0</v>
      </c>
      <c r="Z50102" s="372">
        <v>0.0</v>
      </c>
    </row>
    <row r="50103">
      <c r="Y50103" s="372">
        <v>0.0</v>
      </c>
      <c r="Z50103" s="372">
        <v>0.0</v>
      </c>
    </row>
    <row r="50104">
      <c r="Y50104" s="372">
        <v>0.0</v>
      </c>
      <c r="Z50104" s="372">
        <v>0.0</v>
      </c>
    </row>
    <row r="50105">
      <c r="Y50105" s="372">
        <v>0.0</v>
      </c>
      <c r="Z50105" s="372">
        <v>0.0</v>
      </c>
    </row>
    <row r="50106">
      <c r="Y50106" s="372">
        <v>0.0</v>
      </c>
      <c r="Z50106" s="372">
        <v>0.0</v>
      </c>
    </row>
    <row r="50107">
      <c r="Y50107" s="372">
        <v>0.0</v>
      </c>
      <c r="Z50107" s="372">
        <v>0.0</v>
      </c>
    </row>
    <row r="50108">
      <c r="Y50108" s="372">
        <v>0.0</v>
      </c>
      <c r="Z50108" s="372">
        <v>0.0</v>
      </c>
    </row>
    <row r="50109">
      <c r="Y50109" s="372">
        <v>0.0</v>
      </c>
      <c r="Z50109" s="372">
        <v>0.0</v>
      </c>
    </row>
    <row r="50110">
      <c r="Y50110" s="372">
        <v>0.0</v>
      </c>
      <c r="Z50110" s="372">
        <v>0.0</v>
      </c>
    </row>
    <row r="50111">
      <c r="Y50111" s="372">
        <v>0.0</v>
      </c>
      <c r="Z50111" s="372">
        <v>0.0</v>
      </c>
    </row>
    <row r="50112">
      <c r="Y50112" s="372">
        <v>0.0</v>
      </c>
      <c r="Z50112" s="372">
        <v>0.0</v>
      </c>
    </row>
    <row r="50113">
      <c r="Y50113" s="372">
        <v>0.0</v>
      </c>
      <c r="Z50113" s="372">
        <v>0.0</v>
      </c>
    </row>
    <row r="50114">
      <c r="Y50114" s="372">
        <v>0.0</v>
      </c>
      <c r="Z50114" s="372">
        <v>0.0</v>
      </c>
    </row>
    <row r="50115">
      <c r="Y50115" s="372">
        <v>0.0</v>
      </c>
      <c r="Z50115" s="372">
        <v>0.0</v>
      </c>
    </row>
    <row r="50116">
      <c r="Y50116" s="372">
        <v>0.0</v>
      </c>
      <c r="Z50116" s="372">
        <v>0.0</v>
      </c>
    </row>
    <row r="50117">
      <c r="Y50117" s="372">
        <v>0.0</v>
      </c>
      <c r="Z50117" s="372">
        <v>0.0</v>
      </c>
    </row>
    <row r="50118">
      <c r="Y50118" s="372">
        <v>0.0</v>
      </c>
      <c r="Z50118" s="372">
        <v>0.0</v>
      </c>
    </row>
    <row r="50119">
      <c r="Y50119" s="372">
        <v>0.0</v>
      </c>
      <c r="Z50119" s="372">
        <v>0.0</v>
      </c>
    </row>
    <row r="50120">
      <c r="Y50120" s="372">
        <v>0.0</v>
      </c>
      <c r="Z50120" s="372">
        <v>0.0</v>
      </c>
    </row>
    <row r="50121">
      <c r="Y50121" s="372">
        <v>0.0</v>
      </c>
      <c r="Z50121" s="372">
        <v>0.0</v>
      </c>
    </row>
    <row r="50122">
      <c r="Y50122" s="372">
        <v>0.0</v>
      </c>
      <c r="Z50122" s="372">
        <v>0.0</v>
      </c>
    </row>
    <row r="50123">
      <c r="Y50123" s="372">
        <v>0.0</v>
      </c>
      <c r="Z50123" s="372">
        <v>0.0</v>
      </c>
    </row>
    <row r="50124">
      <c r="Y50124" s="372">
        <v>0.0</v>
      </c>
      <c r="Z50124" s="372">
        <v>0.0</v>
      </c>
    </row>
    <row r="50125">
      <c r="Y50125" s="372">
        <v>0.0</v>
      </c>
      <c r="Z50125" s="372">
        <v>0.0</v>
      </c>
    </row>
    <row r="50126">
      <c r="Y50126" s="372">
        <v>0.0</v>
      </c>
      <c r="Z50126" s="372">
        <v>0.0</v>
      </c>
    </row>
    <row r="50127">
      <c r="Y50127" s="372">
        <v>0.0</v>
      </c>
      <c r="Z50127" s="372">
        <v>0.0</v>
      </c>
    </row>
    <row r="50128">
      <c r="Y50128" s="372">
        <v>0.0</v>
      </c>
      <c r="Z50128" s="372">
        <v>0.0</v>
      </c>
    </row>
    <row r="50129">
      <c r="Y50129" s="372">
        <v>0.0</v>
      </c>
      <c r="Z50129" s="372">
        <v>0.0</v>
      </c>
    </row>
    <row r="50130">
      <c r="Y50130" s="372">
        <v>0.0</v>
      </c>
      <c r="Z50130" s="372">
        <v>0.0</v>
      </c>
    </row>
    <row r="50131">
      <c r="Y50131" s="372">
        <v>0.0</v>
      </c>
      <c r="Z50131" s="372">
        <v>0.0</v>
      </c>
    </row>
    <row r="50132">
      <c r="Y50132" s="372">
        <v>0.0</v>
      </c>
      <c r="Z50132" s="372">
        <v>0.0</v>
      </c>
    </row>
    <row r="50133">
      <c r="Y50133" s="372">
        <v>0.0</v>
      </c>
      <c r="Z50133" s="372">
        <v>0.0</v>
      </c>
    </row>
    <row r="50134">
      <c r="Y50134" s="372">
        <v>0.0</v>
      </c>
      <c r="Z50134" s="372">
        <v>0.0</v>
      </c>
    </row>
    <row r="50135">
      <c r="Y50135" s="372">
        <v>0.0</v>
      </c>
      <c r="Z50135" s="372">
        <v>0.0</v>
      </c>
    </row>
    <row r="50136">
      <c r="Y50136" s="372">
        <v>0.0</v>
      </c>
      <c r="Z50136" s="372">
        <v>0.0</v>
      </c>
    </row>
    <row r="50137">
      <c r="Y50137" s="372">
        <v>0.0</v>
      </c>
      <c r="Z50137" s="372">
        <v>0.0</v>
      </c>
    </row>
    <row r="50138">
      <c r="Y50138" s="372">
        <v>0.0</v>
      </c>
      <c r="Z50138" s="372">
        <v>0.0</v>
      </c>
    </row>
    <row r="50139">
      <c r="Y50139" s="372">
        <v>0.0</v>
      </c>
      <c r="Z50139" s="372">
        <v>0.0</v>
      </c>
    </row>
    <row r="50140">
      <c r="Y50140" s="372">
        <v>0.0</v>
      </c>
      <c r="Z50140" s="372">
        <v>0.0</v>
      </c>
    </row>
    <row r="50141">
      <c r="Y50141" s="372">
        <v>0.0</v>
      </c>
      <c r="Z50141" s="372">
        <v>0.0</v>
      </c>
    </row>
    <row r="50142">
      <c r="Y50142" s="372">
        <v>0.0</v>
      </c>
      <c r="Z50142" s="372">
        <v>0.0</v>
      </c>
    </row>
    <row r="50143">
      <c r="Y50143" s="372">
        <v>0.0</v>
      </c>
      <c r="Z50143" s="372">
        <v>0.0</v>
      </c>
    </row>
    <row r="50144">
      <c r="Y50144" s="372">
        <v>0.0</v>
      </c>
      <c r="Z50144" s="372">
        <v>0.0</v>
      </c>
    </row>
    <row r="50145">
      <c r="Y50145" s="372">
        <v>0.0</v>
      </c>
      <c r="Z50145" s="372">
        <v>0.0</v>
      </c>
    </row>
    <row r="50146">
      <c r="Y50146" s="372">
        <v>0.0</v>
      </c>
      <c r="Z50146" s="372">
        <v>0.0</v>
      </c>
    </row>
    <row r="50147">
      <c r="Y50147" s="372">
        <v>0.0</v>
      </c>
      <c r="Z50147" s="372">
        <v>0.0</v>
      </c>
    </row>
    <row r="50148">
      <c r="Y50148" s="372">
        <v>0.0</v>
      </c>
      <c r="Z50148" s="372">
        <v>0.0</v>
      </c>
    </row>
    <row r="50149">
      <c r="Y50149" s="372">
        <v>0.0</v>
      </c>
      <c r="Z50149" s="372">
        <v>0.0</v>
      </c>
    </row>
    <row r="50150">
      <c r="Y50150" s="372">
        <v>0.0</v>
      </c>
      <c r="Z50150" s="372">
        <v>0.0</v>
      </c>
    </row>
    <row r="50151">
      <c r="Y50151" s="372">
        <v>0.0</v>
      </c>
      <c r="Z50151" s="372">
        <v>0.0</v>
      </c>
    </row>
    <row r="50152">
      <c r="Y50152" s="372">
        <v>0.0</v>
      </c>
      <c r="Z50152" s="372">
        <v>0.0</v>
      </c>
    </row>
    <row r="50153">
      <c r="Y50153" s="372">
        <v>0.0</v>
      </c>
      <c r="Z50153" s="372">
        <v>0.0</v>
      </c>
    </row>
    <row r="50154">
      <c r="Y50154" s="372">
        <v>0.0</v>
      </c>
      <c r="Z50154" s="372">
        <v>0.0</v>
      </c>
    </row>
    <row r="50155">
      <c r="Y50155" s="372">
        <v>0.0</v>
      </c>
      <c r="Z50155" s="372">
        <v>0.0</v>
      </c>
    </row>
    <row r="50156">
      <c r="Y50156" s="372">
        <v>0.0</v>
      </c>
      <c r="Z50156" s="372">
        <v>0.0</v>
      </c>
    </row>
    <row r="50157">
      <c r="Y50157" s="372">
        <v>0.0</v>
      </c>
      <c r="Z50157" s="372">
        <v>0.0</v>
      </c>
    </row>
    <row r="50158">
      <c r="Y50158" s="372">
        <v>0.0</v>
      </c>
      <c r="Z50158" s="372">
        <v>0.0</v>
      </c>
    </row>
    <row r="50159">
      <c r="Y50159" s="372">
        <v>0.0</v>
      </c>
      <c r="Z50159" s="372">
        <v>0.0</v>
      </c>
    </row>
    <row r="50160">
      <c r="Y50160" s="372">
        <v>0.0</v>
      </c>
      <c r="Z50160" s="372">
        <v>0.0</v>
      </c>
    </row>
    <row r="50161">
      <c r="Y50161" s="372">
        <v>0.0</v>
      </c>
      <c r="Z50161" s="372">
        <v>0.0</v>
      </c>
    </row>
    <row r="50162">
      <c r="Y50162" s="372">
        <v>0.0</v>
      </c>
      <c r="Z50162" s="372">
        <v>0.0</v>
      </c>
    </row>
    <row r="50163">
      <c r="Y50163" s="372">
        <v>0.0</v>
      </c>
      <c r="Z50163" s="372">
        <v>0.0</v>
      </c>
    </row>
    <row r="50164">
      <c r="Y50164" s="372">
        <v>0.0</v>
      </c>
      <c r="Z50164" s="372">
        <v>0.0</v>
      </c>
    </row>
    <row r="50165">
      <c r="Y50165" s="372">
        <v>0.0</v>
      </c>
      <c r="Z50165" s="372">
        <v>0.0</v>
      </c>
    </row>
    <row r="50166">
      <c r="Y50166" s="372">
        <v>0.0</v>
      </c>
      <c r="Z50166" s="372">
        <v>0.0</v>
      </c>
    </row>
    <row r="50167">
      <c r="Y50167" s="372">
        <v>0.0</v>
      </c>
      <c r="Z50167" s="372">
        <v>0.0</v>
      </c>
    </row>
    <row r="50168">
      <c r="Y50168" s="372">
        <v>0.0</v>
      </c>
      <c r="Z50168" s="372">
        <v>0.0</v>
      </c>
    </row>
    <row r="50169">
      <c r="Y50169" s="372">
        <v>0.0</v>
      </c>
      <c r="Z50169" s="372">
        <v>0.0</v>
      </c>
    </row>
    <row r="50170">
      <c r="Y50170" s="372">
        <v>0.0</v>
      </c>
      <c r="Z50170" s="372">
        <v>0.0</v>
      </c>
    </row>
    <row r="50171">
      <c r="Y50171" s="372">
        <v>0.0</v>
      </c>
      <c r="Z50171" s="372">
        <v>0.0</v>
      </c>
    </row>
    <row r="50172">
      <c r="Y50172" s="372">
        <v>0.0</v>
      </c>
      <c r="Z50172" s="372">
        <v>0.0</v>
      </c>
    </row>
    <row r="50173">
      <c r="Y50173" s="372">
        <v>0.0</v>
      </c>
      <c r="Z50173" s="372">
        <v>0.0</v>
      </c>
    </row>
    <row r="50174">
      <c r="Y50174" s="372">
        <v>0.0</v>
      </c>
      <c r="Z50174" s="372">
        <v>0.0</v>
      </c>
    </row>
    <row r="50175">
      <c r="Y50175" s="372">
        <v>0.0</v>
      </c>
      <c r="Z50175" s="372">
        <v>0.0</v>
      </c>
    </row>
    <row r="50176">
      <c r="Y50176" s="372">
        <v>0.0</v>
      </c>
      <c r="Z50176" s="372">
        <v>0.0</v>
      </c>
    </row>
    <row r="50177">
      <c r="Y50177" s="372">
        <v>0.0</v>
      </c>
      <c r="Z50177" s="372">
        <v>0.0</v>
      </c>
    </row>
    <row r="50178">
      <c r="Y50178" s="372">
        <v>0.0</v>
      </c>
      <c r="Z50178" s="372">
        <v>0.0</v>
      </c>
    </row>
    <row r="50179">
      <c r="Y50179" s="372">
        <v>0.0</v>
      </c>
      <c r="Z50179" s="372">
        <v>0.0</v>
      </c>
    </row>
    <row r="50180">
      <c r="Y50180" s="372">
        <v>0.0</v>
      </c>
      <c r="Z50180" s="372">
        <v>0.0</v>
      </c>
    </row>
    <row r="50181">
      <c r="Y50181" s="372">
        <v>0.0</v>
      </c>
      <c r="Z50181" s="372">
        <v>0.0</v>
      </c>
    </row>
    <row r="50182">
      <c r="Y50182" s="372">
        <v>0.0</v>
      </c>
      <c r="Z50182" s="372">
        <v>0.0</v>
      </c>
    </row>
    <row r="50183">
      <c r="Y50183" s="372">
        <v>0.0</v>
      </c>
      <c r="Z50183" s="372">
        <v>0.0</v>
      </c>
    </row>
    <row r="50184">
      <c r="Y50184" s="372">
        <v>0.0</v>
      </c>
      <c r="Z50184" s="372">
        <v>0.0</v>
      </c>
    </row>
    <row r="50185">
      <c r="Y50185" s="372">
        <v>0.0</v>
      </c>
      <c r="Z50185" s="372">
        <v>0.0</v>
      </c>
    </row>
    <row r="50186">
      <c r="Y50186" s="372">
        <v>0.0</v>
      </c>
      <c r="Z50186" s="372">
        <v>0.0</v>
      </c>
    </row>
    <row r="50187">
      <c r="Y50187" s="372">
        <v>0.0</v>
      </c>
      <c r="Z50187" s="372">
        <v>0.0</v>
      </c>
    </row>
    <row r="50188">
      <c r="Y50188" s="372">
        <v>0.0</v>
      </c>
      <c r="Z50188" s="372">
        <v>0.0</v>
      </c>
    </row>
    <row r="50189">
      <c r="Y50189" s="372">
        <v>0.0</v>
      </c>
      <c r="Z50189" s="372">
        <v>0.0</v>
      </c>
    </row>
    <row r="50190">
      <c r="Y50190" s="372">
        <v>0.0</v>
      </c>
      <c r="Z50190" s="372">
        <v>0.0</v>
      </c>
    </row>
    <row r="50191">
      <c r="Y50191" s="372">
        <v>0.0</v>
      </c>
      <c r="Z50191" s="372">
        <v>0.0</v>
      </c>
    </row>
    <row r="50192">
      <c r="Y50192" s="372">
        <v>0.0</v>
      </c>
      <c r="Z50192" s="372">
        <v>0.0</v>
      </c>
    </row>
    <row r="50193">
      <c r="Y50193" s="372">
        <v>0.0</v>
      </c>
      <c r="Z50193" s="372">
        <v>0.0</v>
      </c>
    </row>
    <row r="50194">
      <c r="Y50194" s="372">
        <v>0.0</v>
      </c>
      <c r="Z50194" s="372">
        <v>0.0</v>
      </c>
    </row>
    <row r="50195">
      <c r="Y50195" s="372">
        <v>0.0</v>
      </c>
      <c r="Z50195" s="372">
        <v>0.0</v>
      </c>
    </row>
    <row r="50196">
      <c r="Y50196" s="372">
        <v>0.0</v>
      </c>
      <c r="Z50196" s="372">
        <v>0.0</v>
      </c>
    </row>
    <row r="50197">
      <c r="Y50197" s="372">
        <v>0.0</v>
      </c>
      <c r="Z50197" s="372">
        <v>0.0</v>
      </c>
    </row>
    <row r="50198">
      <c r="Y50198" s="372">
        <v>0.0</v>
      </c>
      <c r="Z50198" s="372">
        <v>0.0</v>
      </c>
    </row>
    <row r="50199">
      <c r="Y50199" s="372">
        <v>0.0</v>
      </c>
      <c r="Z50199" s="372">
        <v>0.0</v>
      </c>
    </row>
    <row r="50200">
      <c r="Y50200" s="372">
        <v>0.0</v>
      </c>
      <c r="Z50200" s="372">
        <v>0.0</v>
      </c>
    </row>
    <row r="50201">
      <c r="Y50201" s="372">
        <v>0.0</v>
      </c>
      <c r="Z50201" s="372">
        <v>0.0</v>
      </c>
    </row>
    <row r="50202">
      <c r="Y50202" s="372">
        <v>0.0</v>
      </c>
      <c r="Z50202" s="372">
        <v>0.0</v>
      </c>
    </row>
    <row r="50203">
      <c r="Y50203" s="372">
        <v>0.0</v>
      </c>
      <c r="Z50203" s="372">
        <v>0.0</v>
      </c>
    </row>
    <row r="50204">
      <c r="Y50204" s="372">
        <v>0.0</v>
      </c>
      <c r="Z50204" s="372">
        <v>0.0</v>
      </c>
    </row>
    <row r="50205">
      <c r="Y50205" s="372">
        <v>0.0</v>
      </c>
      <c r="Z50205" s="372">
        <v>0.0</v>
      </c>
    </row>
    <row r="50206">
      <c r="Y50206" s="372">
        <v>0.0</v>
      </c>
      <c r="Z50206" s="372">
        <v>0.0</v>
      </c>
    </row>
    <row r="50207">
      <c r="Y50207" s="372">
        <v>0.0</v>
      </c>
      <c r="Z50207" s="372">
        <v>0.0</v>
      </c>
    </row>
    <row r="50208">
      <c r="Y50208" s="372">
        <v>0.0</v>
      </c>
      <c r="Z50208" s="372">
        <v>0.0</v>
      </c>
    </row>
    <row r="50209">
      <c r="Y50209" s="372">
        <v>0.0</v>
      </c>
      <c r="Z50209" s="372">
        <v>0.0</v>
      </c>
    </row>
    <row r="50210">
      <c r="Y50210" s="372">
        <v>0.0</v>
      </c>
      <c r="Z50210" s="372">
        <v>0.0</v>
      </c>
    </row>
    <row r="50211">
      <c r="Y50211" s="372">
        <v>0.0</v>
      </c>
      <c r="Z50211" s="372">
        <v>0.0</v>
      </c>
    </row>
    <row r="50212">
      <c r="Y50212" s="372">
        <v>0.0</v>
      </c>
      <c r="Z50212" s="372">
        <v>0.0</v>
      </c>
    </row>
    <row r="50213">
      <c r="Y50213" s="372">
        <v>0.0</v>
      </c>
      <c r="Z50213" s="372">
        <v>0.0</v>
      </c>
    </row>
    <row r="50214">
      <c r="Y50214" s="372">
        <v>0.0</v>
      </c>
      <c r="Z50214" s="372">
        <v>0.0</v>
      </c>
    </row>
    <row r="50215">
      <c r="Y50215" s="372">
        <v>0.0</v>
      </c>
      <c r="Z50215" s="372">
        <v>0.0</v>
      </c>
    </row>
    <row r="50216">
      <c r="Y50216" s="372">
        <v>0.0</v>
      </c>
      <c r="Z50216" s="372">
        <v>0.0</v>
      </c>
    </row>
    <row r="50217">
      <c r="Y50217" s="372">
        <v>0.0</v>
      </c>
      <c r="Z50217" s="372">
        <v>0.0</v>
      </c>
    </row>
    <row r="50218">
      <c r="Y50218" s="372">
        <v>0.0</v>
      </c>
      <c r="Z50218" s="372">
        <v>0.0</v>
      </c>
    </row>
    <row r="50219">
      <c r="Y50219" s="372">
        <v>0.0</v>
      </c>
      <c r="Z50219" s="372">
        <v>0.0</v>
      </c>
    </row>
    <row r="50220">
      <c r="Y50220" s="372">
        <v>0.0</v>
      </c>
      <c r="Z50220" s="372">
        <v>0.0</v>
      </c>
    </row>
    <row r="50221">
      <c r="Y50221" s="372">
        <v>0.0</v>
      </c>
      <c r="Z50221" s="372">
        <v>0.0</v>
      </c>
    </row>
    <row r="50222">
      <c r="Y50222" s="372">
        <v>0.0</v>
      </c>
      <c r="Z50222" s="372">
        <v>0.0</v>
      </c>
    </row>
    <row r="50223">
      <c r="Y50223" s="372">
        <v>0.0</v>
      </c>
      <c r="Z50223" s="372">
        <v>0.0</v>
      </c>
    </row>
    <row r="50224">
      <c r="Y50224" s="372">
        <v>0.0</v>
      </c>
      <c r="Z50224" s="372">
        <v>0.0</v>
      </c>
    </row>
    <row r="50225">
      <c r="Y50225" s="372">
        <v>0.0</v>
      </c>
      <c r="Z50225" s="372">
        <v>0.0</v>
      </c>
    </row>
    <row r="50226">
      <c r="Y50226" s="372">
        <v>0.0</v>
      </c>
      <c r="Z50226" s="372">
        <v>0.0</v>
      </c>
    </row>
    <row r="50227">
      <c r="Y50227" s="372">
        <v>0.0</v>
      </c>
      <c r="Z50227" s="372">
        <v>0.0</v>
      </c>
    </row>
    <row r="50228">
      <c r="Y50228" s="372">
        <v>0.0</v>
      </c>
      <c r="Z50228" s="372">
        <v>0.0</v>
      </c>
    </row>
    <row r="50229">
      <c r="Y50229" s="372">
        <v>0.0</v>
      </c>
      <c r="Z50229" s="372">
        <v>0.0</v>
      </c>
    </row>
    <row r="50230">
      <c r="Y50230" s="372">
        <v>0.0</v>
      </c>
      <c r="Z50230" s="372">
        <v>0.0</v>
      </c>
    </row>
    <row r="50231">
      <c r="Y50231" s="372">
        <v>0.0</v>
      </c>
      <c r="Z50231" s="372">
        <v>0.0</v>
      </c>
    </row>
    <row r="50232">
      <c r="Y50232" s="372">
        <v>0.0</v>
      </c>
      <c r="Z50232" s="372">
        <v>0.0</v>
      </c>
    </row>
    <row r="50233">
      <c r="Y50233" s="372">
        <v>0.0</v>
      </c>
      <c r="Z50233" s="372">
        <v>0.0</v>
      </c>
    </row>
    <row r="50234">
      <c r="Y50234" s="372">
        <v>0.0</v>
      </c>
      <c r="Z50234" s="372">
        <v>0.0</v>
      </c>
    </row>
    <row r="50235">
      <c r="Y50235" s="372">
        <v>0.0</v>
      </c>
      <c r="Z50235" s="372">
        <v>0.0</v>
      </c>
    </row>
    <row r="50236">
      <c r="Y50236" s="372">
        <v>0.0</v>
      </c>
      <c r="Z50236" s="372">
        <v>0.0</v>
      </c>
    </row>
    <row r="50237">
      <c r="Y50237" s="372">
        <v>0.0</v>
      </c>
      <c r="Z50237" s="372">
        <v>0.0</v>
      </c>
    </row>
    <row r="50238">
      <c r="Y50238" s="372">
        <v>0.0</v>
      </c>
      <c r="Z50238" s="372">
        <v>0.0</v>
      </c>
    </row>
    <row r="50239">
      <c r="Y50239" s="372">
        <v>0.0</v>
      </c>
      <c r="Z50239" s="372">
        <v>0.0</v>
      </c>
    </row>
    <row r="50240">
      <c r="Y50240" s="372">
        <v>0.0</v>
      </c>
      <c r="Z50240" s="372">
        <v>0.0</v>
      </c>
    </row>
    <row r="50241">
      <c r="Y50241" s="372">
        <v>0.0</v>
      </c>
      <c r="Z50241" s="372">
        <v>0.0</v>
      </c>
    </row>
    <row r="50242">
      <c r="Y50242" s="372">
        <v>0.0</v>
      </c>
      <c r="Z50242" s="372">
        <v>0.0</v>
      </c>
    </row>
    <row r="50243">
      <c r="Y50243" s="372">
        <v>0.0</v>
      </c>
      <c r="Z50243" s="372">
        <v>0.0</v>
      </c>
    </row>
    <row r="50244">
      <c r="Y50244" s="372">
        <v>0.0</v>
      </c>
      <c r="Z50244" s="372">
        <v>0.0</v>
      </c>
    </row>
    <row r="50245">
      <c r="Y50245" s="372">
        <v>0.0</v>
      </c>
      <c r="Z50245" s="372">
        <v>0.0</v>
      </c>
    </row>
    <row r="50246">
      <c r="Y50246" s="372">
        <v>0.0</v>
      </c>
      <c r="Z50246" s="372">
        <v>0.0</v>
      </c>
    </row>
    <row r="50247">
      <c r="Y50247" s="372">
        <v>0.0</v>
      </c>
      <c r="Z50247" s="372">
        <v>0.0</v>
      </c>
    </row>
    <row r="50248">
      <c r="Y50248" s="372">
        <v>0.0</v>
      </c>
      <c r="Z50248" s="372">
        <v>0.0</v>
      </c>
    </row>
    <row r="50249">
      <c r="Y50249" s="372">
        <v>0.0</v>
      </c>
      <c r="Z50249" s="372">
        <v>0.0</v>
      </c>
    </row>
    <row r="50250">
      <c r="Y50250" s="372">
        <v>0.0</v>
      </c>
      <c r="Z50250" s="372">
        <v>0.0</v>
      </c>
    </row>
    <row r="50251">
      <c r="Y50251" s="372">
        <v>0.0</v>
      </c>
      <c r="Z50251" s="372">
        <v>0.0</v>
      </c>
    </row>
    <row r="50252">
      <c r="Y50252" s="372">
        <v>0.0</v>
      </c>
      <c r="Z50252" s="372">
        <v>0.0</v>
      </c>
    </row>
    <row r="50253">
      <c r="Y50253" s="372">
        <v>0.0</v>
      </c>
      <c r="Z50253" s="372">
        <v>0.0</v>
      </c>
    </row>
    <row r="50254">
      <c r="Y50254" s="372">
        <v>0.0</v>
      </c>
      <c r="Z50254" s="372">
        <v>0.0</v>
      </c>
    </row>
    <row r="50255">
      <c r="Y50255" s="372">
        <v>0.0</v>
      </c>
      <c r="Z50255" s="372">
        <v>0.0</v>
      </c>
    </row>
    <row r="50256">
      <c r="Y50256" s="372">
        <v>0.0</v>
      </c>
      <c r="Z50256" s="372">
        <v>0.0</v>
      </c>
    </row>
    <row r="50257">
      <c r="Y50257" s="372">
        <v>0.0</v>
      </c>
      <c r="Z50257" s="372">
        <v>0.0</v>
      </c>
    </row>
    <row r="50258">
      <c r="Y50258" s="372">
        <v>0.0</v>
      </c>
      <c r="Z50258" s="372">
        <v>0.0</v>
      </c>
    </row>
    <row r="50259">
      <c r="Y50259" s="372">
        <v>0.0</v>
      </c>
      <c r="Z50259" s="372">
        <v>0.0</v>
      </c>
    </row>
    <row r="50260">
      <c r="Y50260" s="372">
        <v>0.0</v>
      </c>
      <c r="Z50260" s="372">
        <v>0.0</v>
      </c>
    </row>
    <row r="50261">
      <c r="Y50261" s="372">
        <v>0.0</v>
      </c>
      <c r="Z50261" s="372">
        <v>0.0</v>
      </c>
    </row>
    <row r="50262">
      <c r="Y50262" s="372">
        <v>0.0</v>
      </c>
      <c r="Z50262" s="372">
        <v>0.0</v>
      </c>
    </row>
    <row r="50263">
      <c r="Y50263" s="372">
        <v>0.0</v>
      </c>
      <c r="Z50263" s="372">
        <v>0.0</v>
      </c>
    </row>
    <row r="50264">
      <c r="Y50264" s="372">
        <v>0.0</v>
      </c>
      <c r="Z50264" s="372">
        <v>0.0</v>
      </c>
    </row>
    <row r="50265">
      <c r="Y50265" s="372">
        <v>0.0</v>
      </c>
      <c r="Z50265" s="372">
        <v>0.0</v>
      </c>
    </row>
    <row r="50266">
      <c r="Y50266" s="372">
        <v>0.0</v>
      </c>
      <c r="Z50266" s="372">
        <v>0.0</v>
      </c>
    </row>
    <row r="50267">
      <c r="Y50267" s="372">
        <v>0.0</v>
      </c>
      <c r="Z50267" s="372">
        <v>0.0</v>
      </c>
    </row>
    <row r="50268">
      <c r="Y50268" s="372">
        <v>0.0</v>
      </c>
      <c r="Z50268" s="372">
        <v>0.0</v>
      </c>
    </row>
    <row r="50269">
      <c r="Y50269" s="372">
        <v>0.0</v>
      </c>
      <c r="Z50269" s="372">
        <v>0.0</v>
      </c>
    </row>
    <row r="50270">
      <c r="Y50270" s="372">
        <v>0.0</v>
      </c>
      <c r="Z50270" s="372">
        <v>0.0</v>
      </c>
    </row>
    <row r="50271">
      <c r="Y50271" s="372">
        <v>0.0</v>
      </c>
      <c r="Z50271" s="372">
        <v>0.0</v>
      </c>
    </row>
    <row r="50272">
      <c r="Y50272" s="372">
        <v>0.0</v>
      </c>
      <c r="Z50272" s="372">
        <v>0.0</v>
      </c>
    </row>
    <row r="50273">
      <c r="Y50273" s="372">
        <v>0.0</v>
      </c>
      <c r="Z50273" s="372">
        <v>0.0</v>
      </c>
    </row>
    <row r="50274">
      <c r="Y50274" s="372">
        <v>0.0</v>
      </c>
      <c r="Z50274" s="372">
        <v>0.0</v>
      </c>
    </row>
    <row r="50275">
      <c r="Y50275" s="372">
        <v>0.0</v>
      </c>
      <c r="Z50275" s="372">
        <v>0.0</v>
      </c>
    </row>
    <row r="50276">
      <c r="Y50276" s="372">
        <v>0.0</v>
      </c>
      <c r="Z50276" s="372">
        <v>0.0</v>
      </c>
    </row>
    <row r="50277">
      <c r="Y50277" s="372">
        <v>0.0</v>
      </c>
      <c r="Z50277" s="372">
        <v>0.0</v>
      </c>
    </row>
    <row r="50278">
      <c r="Y50278" s="372">
        <v>0.0</v>
      </c>
      <c r="Z50278" s="372">
        <v>0.0</v>
      </c>
    </row>
    <row r="50279">
      <c r="Y50279" s="372">
        <v>0.0</v>
      </c>
      <c r="Z50279" s="372">
        <v>0.0</v>
      </c>
    </row>
    <row r="50280">
      <c r="Y50280" s="372">
        <v>0.0</v>
      </c>
      <c r="Z50280" s="372">
        <v>0.0</v>
      </c>
    </row>
    <row r="50281">
      <c r="Y50281" s="372">
        <v>0.0</v>
      </c>
      <c r="Z50281" s="372">
        <v>0.0</v>
      </c>
    </row>
    <row r="50282">
      <c r="Y50282" s="372">
        <v>0.0</v>
      </c>
      <c r="Z50282" s="372">
        <v>0.0</v>
      </c>
    </row>
    <row r="50283">
      <c r="Y50283" s="372">
        <v>0.0</v>
      </c>
      <c r="Z50283" s="372">
        <v>0.0</v>
      </c>
    </row>
    <row r="50284">
      <c r="Y50284" s="372">
        <v>0.0</v>
      </c>
      <c r="Z50284" s="372">
        <v>0.0</v>
      </c>
    </row>
    <row r="50285">
      <c r="Y50285" s="372">
        <v>0.0</v>
      </c>
      <c r="Z50285" s="372">
        <v>0.0</v>
      </c>
    </row>
    <row r="50286">
      <c r="Y50286" s="372">
        <v>0.0</v>
      </c>
      <c r="Z50286" s="372">
        <v>0.0</v>
      </c>
    </row>
    <row r="50287">
      <c r="Y50287" s="372">
        <v>0.0</v>
      </c>
      <c r="Z50287" s="372">
        <v>0.0</v>
      </c>
    </row>
    <row r="50288">
      <c r="Y50288" s="372">
        <v>0.0</v>
      </c>
      <c r="Z50288" s="372">
        <v>0.0</v>
      </c>
    </row>
    <row r="50289">
      <c r="Y50289" s="372">
        <v>0.0</v>
      </c>
      <c r="Z50289" s="372">
        <v>0.0</v>
      </c>
    </row>
    <row r="50290">
      <c r="Y50290" s="372">
        <v>0.0</v>
      </c>
      <c r="Z50290" s="372">
        <v>0.0</v>
      </c>
    </row>
    <row r="50291">
      <c r="Y50291" s="372">
        <v>0.0</v>
      </c>
      <c r="Z50291" s="372">
        <v>0.0</v>
      </c>
    </row>
    <row r="50292">
      <c r="Y50292" s="372">
        <v>0.0</v>
      </c>
      <c r="Z50292" s="372">
        <v>0.0</v>
      </c>
    </row>
    <row r="50293">
      <c r="Y50293" s="372">
        <v>0.0</v>
      </c>
      <c r="Z50293" s="372">
        <v>0.0</v>
      </c>
    </row>
    <row r="50294">
      <c r="Y50294" s="372">
        <v>0.0</v>
      </c>
      <c r="Z50294" s="372">
        <v>0.0</v>
      </c>
    </row>
    <row r="50295">
      <c r="Y50295" s="372">
        <v>0.0</v>
      </c>
      <c r="Z50295" s="372">
        <v>0.0</v>
      </c>
    </row>
    <row r="50296">
      <c r="Y50296" s="372">
        <v>0.0</v>
      </c>
      <c r="Z50296" s="372">
        <v>0.0</v>
      </c>
    </row>
    <row r="50297">
      <c r="Y50297" s="372">
        <v>0.0</v>
      </c>
      <c r="Z50297" s="372">
        <v>0.0</v>
      </c>
    </row>
    <row r="50298">
      <c r="Y50298" s="372">
        <v>0.0</v>
      </c>
      <c r="Z50298" s="372">
        <v>0.0</v>
      </c>
    </row>
    <row r="50299">
      <c r="Y50299" s="372">
        <v>0.0</v>
      </c>
      <c r="Z50299" s="372">
        <v>0.0</v>
      </c>
    </row>
    <row r="50300">
      <c r="Y50300" s="372">
        <v>0.0</v>
      </c>
      <c r="Z50300" s="372">
        <v>0.0</v>
      </c>
    </row>
    <row r="50301">
      <c r="Y50301" s="372">
        <v>0.0</v>
      </c>
      <c r="Z50301" s="372">
        <v>0.0</v>
      </c>
    </row>
    <row r="50302">
      <c r="Y50302" s="372">
        <v>0.0</v>
      </c>
      <c r="Z50302" s="372">
        <v>0.0</v>
      </c>
    </row>
    <row r="50303">
      <c r="Y50303" s="372">
        <v>0.0</v>
      </c>
      <c r="Z50303" s="372">
        <v>0.0</v>
      </c>
    </row>
    <row r="50304">
      <c r="Y50304" s="372">
        <v>0.0</v>
      </c>
      <c r="Z50304" s="372">
        <v>0.0</v>
      </c>
    </row>
    <row r="50305">
      <c r="Y50305" s="372">
        <v>0.0</v>
      </c>
      <c r="Z50305" s="372">
        <v>0.0</v>
      </c>
    </row>
    <row r="50306">
      <c r="Y50306" s="372">
        <v>0.0</v>
      </c>
      <c r="Z50306" s="372">
        <v>0.0</v>
      </c>
    </row>
    <row r="50307">
      <c r="Y50307" s="372">
        <v>0.0</v>
      </c>
      <c r="Z50307" s="372">
        <v>0.0</v>
      </c>
    </row>
    <row r="50308">
      <c r="Y50308" s="372">
        <v>0.0</v>
      </c>
      <c r="Z50308" s="372">
        <v>0.0</v>
      </c>
    </row>
    <row r="50309">
      <c r="Y50309" s="372">
        <v>0.0</v>
      </c>
      <c r="Z50309" s="372">
        <v>0.0</v>
      </c>
    </row>
    <row r="50310">
      <c r="Y50310" s="372">
        <v>0.0</v>
      </c>
      <c r="Z50310" s="372">
        <v>0.0</v>
      </c>
    </row>
    <row r="50311">
      <c r="Y50311" s="372">
        <v>0.0</v>
      </c>
      <c r="Z50311" s="372">
        <v>0.0</v>
      </c>
    </row>
    <row r="50312">
      <c r="Y50312" s="372">
        <v>0.0</v>
      </c>
      <c r="Z50312" s="372">
        <v>0.0</v>
      </c>
    </row>
    <row r="50313">
      <c r="Y50313" s="372">
        <v>0.0</v>
      </c>
      <c r="Z50313" s="372">
        <v>0.0</v>
      </c>
    </row>
    <row r="50314">
      <c r="Y50314" s="372">
        <v>0.0</v>
      </c>
      <c r="Z50314" s="372">
        <v>0.0</v>
      </c>
    </row>
    <row r="50315">
      <c r="Y50315" s="372">
        <v>0.0</v>
      </c>
      <c r="Z50315" s="372">
        <v>0.0</v>
      </c>
    </row>
    <row r="50316">
      <c r="Y50316" s="372">
        <v>0.0</v>
      </c>
      <c r="Z50316" s="372">
        <v>0.0</v>
      </c>
    </row>
    <row r="50317">
      <c r="Y50317" s="372">
        <v>0.0</v>
      </c>
      <c r="Z50317" s="372">
        <v>0.0</v>
      </c>
    </row>
    <row r="50318">
      <c r="Y50318" s="372">
        <v>0.0</v>
      </c>
      <c r="Z50318" s="372">
        <v>0.0</v>
      </c>
    </row>
    <row r="50319">
      <c r="Y50319" s="372">
        <v>0.0</v>
      </c>
      <c r="Z50319" s="372">
        <v>0.0</v>
      </c>
    </row>
    <row r="50320">
      <c r="Y50320" s="372">
        <v>0.0</v>
      </c>
      <c r="Z50320" s="372">
        <v>0.0</v>
      </c>
    </row>
    <row r="50321">
      <c r="Y50321" s="372">
        <v>0.0</v>
      </c>
      <c r="Z50321" s="372">
        <v>0.0</v>
      </c>
    </row>
    <row r="50322">
      <c r="Y50322" s="372">
        <v>0.0</v>
      </c>
      <c r="Z50322" s="372">
        <v>0.0</v>
      </c>
    </row>
    <row r="50323">
      <c r="Y50323" s="372">
        <v>0.0</v>
      </c>
      <c r="Z50323" s="372">
        <v>0.0</v>
      </c>
    </row>
    <row r="50324">
      <c r="Y50324" s="372">
        <v>0.0</v>
      </c>
      <c r="Z50324" s="372">
        <v>0.0</v>
      </c>
    </row>
    <row r="50325">
      <c r="Y50325" s="372">
        <v>0.0</v>
      </c>
      <c r="Z50325" s="372">
        <v>0.0</v>
      </c>
    </row>
    <row r="50326">
      <c r="Y50326" s="372">
        <v>0.0</v>
      </c>
      <c r="Z50326" s="372">
        <v>0.0</v>
      </c>
    </row>
    <row r="50327">
      <c r="Y50327" s="372">
        <v>0.0</v>
      </c>
      <c r="Z50327" s="372">
        <v>0.0</v>
      </c>
    </row>
    <row r="50328">
      <c r="Y50328" s="372">
        <v>0.0</v>
      </c>
      <c r="Z50328" s="372">
        <v>0.0</v>
      </c>
    </row>
    <row r="50329">
      <c r="Y50329" s="372">
        <v>0.0</v>
      </c>
      <c r="Z50329" s="372">
        <v>0.0</v>
      </c>
    </row>
    <row r="50330">
      <c r="Y50330" s="372">
        <v>0.0</v>
      </c>
      <c r="Z50330" s="372">
        <v>0.0</v>
      </c>
    </row>
    <row r="50331">
      <c r="Y50331" s="372">
        <v>0.0</v>
      </c>
      <c r="Z50331" s="372">
        <v>0.0</v>
      </c>
    </row>
    <row r="50332">
      <c r="Y50332" s="372">
        <v>0.0</v>
      </c>
      <c r="Z50332" s="372">
        <v>0.0</v>
      </c>
    </row>
    <row r="50333">
      <c r="Y50333" s="372">
        <v>0.0</v>
      </c>
      <c r="Z50333" s="372">
        <v>0.0</v>
      </c>
    </row>
    <row r="50334">
      <c r="Y50334" s="372">
        <v>0.0</v>
      </c>
      <c r="Z50334" s="372">
        <v>0.0</v>
      </c>
    </row>
    <row r="50335">
      <c r="Y50335" s="372">
        <v>0.0</v>
      </c>
      <c r="Z50335" s="372">
        <v>0.0</v>
      </c>
    </row>
    <row r="50336">
      <c r="Y50336" s="372">
        <v>0.0</v>
      </c>
      <c r="Z50336" s="372">
        <v>0.0</v>
      </c>
    </row>
    <row r="50337">
      <c r="Y50337" s="372">
        <v>0.0</v>
      </c>
      <c r="Z50337" s="372">
        <v>0.0</v>
      </c>
    </row>
    <row r="50338">
      <c r="Y50338" s="372">
        <v>0.0</v>
      </c>
      <c r="Z50338" s="372">
        <v>0.0</v>
      </c>
    </row>
    <row r="50339">
      <c r="Y50339" s="372">
        <v>0.0</v>
      </c>
      <c r="Z50339" s="372">
        <v>0.0</v>
      </c>
    </row>
    <row r="50340">
      <c r="Y50340" s="372">
        <v>0.0</v>
      </c>
      <c r="Z50340" s="372">
        <v>0.0</v>
      </c>
    </row>
    <row r="50341">
      <c r="Y50341" s="372">
        <v>0.0</v>
      </c>
      <c r="Z50341" s="372">
        <v>0.0</v>
      </c>
    </row>
    <row r="50342">
      <c r="Y50342" s="372">
        <v>0.0</v>
      </c>
      <c r="Z50342" s="372">
        <v>0.0</v>
      </c>
    </row>
    <row r="50343">
      <c r="Y50343" s="372">
        <v>0.0</v>
      </c>
      <c r="Z50343" s="372">
        <v>0.0</v>
      </c>
    </row>
    <row r="50344">
      <c r="Y50344" s="372">
        <v>0.0</v>
      </c>
      <c r="Z50344" s="372">
        <v>0.0</v>
      </c>
    </row>
    <row r="50345">
      <c r="Y50345" s="372">
        <v>0.0</v>
      </c>
      <c r="Z50345" s="372">
        <v>0.0</v>
      </c>
    </row>
    <row r="50346">
      <c r="Y50346" s="372">
        <v>0.0</v>
      </c>
      <c r="Z50346" s="372">
        <v>0.0</v>
      </c>
    </row>
    <row r="50347">
      <c r="Y50347" s="372">
        <v>0.0</v>
      </c>
      <c r="Z50347" s="372">
        <v>0.0</v>
      </c>
    </row>
    <row r="50348">
      <c r="Y50348" s="372">
        <v>0.0</v>
      </c>
      <c r="Z50348" s="372">
        <v>0.0</v>
      </c>
    </row>
    <row r="50349">
      <c r="Y50349" s="372">
        <v>0.0</v>
      </c>
      <c r="Z50349" s="372">
        <v>0.0</v>
      </c>
    </row>
    <row r="50350">
      <c r="Y50350" s="372">
        <v>0.0</v>
      </c>
      <c r="Z50350" s="372">
        <v>0.0</v>
      </c>
    </row>
    <row r="50351">
      <c r="Y50351" s="372">
        <v>0.0</v>
      </c>
      <c r="Z50351" s="372">
        <v>0.0</v>
      </c>
    </row>
    <row r="50352">
      <c r="Y50352" s="372">
        <v>0.0</v>
      </c>
      <c r="Z50352" s="372">
        <v>0.0</v>
      </c>
    </row>
    <row r="50353">
      <c r="Y50353" s="372">
        <v>0.0</v>
      </c>
      <c r="Z50353" s="372">
        <v>0.0</v>
      </c>
    </row>
    <row r="50354">
      <c r="Y50354" s="372">
        <v>0.0</v>
      </c>
      <c r="Z50354" s="372">
        <v>0.0</v>
      </c>
    </row>
    <row r="50355">
      <c r="Y50355" s="372">
        <v>0.0</v>
      </c>
      <c r="Z50355" s="372">
        <v>0.0</v>
      </c>
    </row>
    <row r="50356">
      <c r="Y50356" s="372">
        <v>0.0</v>
      </c>
      <c r="Z50356" s="372">
        <v>0.0</v>
      </c>
    </row>
    <row r="50357">
      <c r="Y50357" s="372">
        <v>0.0</v>
      </c>
      <c r="Z50357" s="372">
        <v>0.0</v>
      </c>
    </row>
    <row r="50358">
      <c r="Y50358" s="372">
        <v>0.0</v>
      </c>
      <c r="Z50358" s="372">
        <v>0.0</v>
      </c>
    </row>
    <row r="50359">
      <c r="Y50359" s="372">
        <v>0.0</v>
      </c>
      <c r="Z50359" s="372">
        <v>0.0</v>
      </c>
    </row>
    <row r="50360">
      <c r="Y50360" s="372">
        <v>0.0</v>
      </c>
      <c r="Z50360" s="372">
        <v>0.0</v>
      </c>
    </row>
    <row r="50361">
      <c r="Y50361" s="372">
        <v>0.0</v>
      </c>
      <c r="Z50361" s="372">
        <v>0.0</v>
      </c>
    </row>
    <row r="50362">
      <c r="Y50362" s="372">
        <v>0.0</v>
      </c>
      <c r="Z50362" s="372">
        <v>0.0</v>
      </c>
    </row>
    <row r="50363">
      <c r="Y50363" s="372">
        <v>0.0</v>
      </c>
      <c r="Z50363" s="372">
        <v>0.0</v>
      </c>
    </row>
    <row r="50364">
      <c r="Y50364" s="372">
        <v>0.0</v>
      </c>
      <c r="Z50364" s="372">
        <v>0.0</v>
      </c>
    </row>
    <row r="50365">
      <c r="Y50365" s="372">
        <v>0.0</v>
      </c>
      <c r="Z50365" s="372">
        <v>0.0</v>
      </c>
    </row>
    <row r="50366">
      <c r="Y50366" s="372">
        <v>0.0</v>
      </c>
      <c r="Z50366" s="372">
        <v>0.0</v>
      </c>
    </row>
    <row r="50367">
      <c r="Y50367" s="372">
        <v>0.0</v>
      </c>
      <c r="Z50367" s="372">
        <v>0.0</v>
      </c>
    </row>
    <row r="50368">
      <c r="Y50368" s="372">
        <v>0.0</v>
      </c>
      <c r="Z50368" s="372">
        <v>0.0</v>
      </c>
    </row>
    <row r="50369">
      <c r="Y50369" s="372">
        <v>0.0</v>
      </c>
      <c r="Z50369" s="372">
        <v>0.0</v>
      </c>
    </row>
    <row r="50370">
      <c r="Y50370" s="372">
        <v>0.0</v>
      </c>
      <c r="Z50370" s="372">
        <v>0.0</v>
      </c>
    </row>
    <row r="50371">
      <c r="Y50371" s="372">
        <v>0.0</v>
      </c>
      <c r="Z50371" s="372">
        <v>0.0</v>
      </c>
    </row>
    <row r="50372">
      <c r="Y50372" s="372">
        <v>0.0</v>
      </c>
      <c r="Z50372" s="372">
        <v>0.0</v>
      </c>
    </row>
    <row r="50373">
      <c r="Y50373" s="372">
        <v>0.0</v>
      </c>
      <c r="Z50373" s="372">
        <v>0.0</v>
      </c>
    </row>
    <row r="50374">
      <c r="Y50374" s="372">
        <v>0.0</v>
      </c>
      <c r="Z50374" s="372">
        <v>0.0</v>
      </c>
    </row>
    <row r="50375">
      <c r="Y50375" s="372">
        <v>0.0</v>
      </c>
      <c r="Z50375" s="372">
        <v>0.0</v>
      </c>
    </row>
    <row r="50376">
      <c r="Y50376" s="372">
        <v>0.0</v>
      </c>
      <c r="Z50376" s="372">
        <v>0.0</v>
      </c>
    </row>
    <row r="50377">
      <c r="Y50377" s="372">
        <v>0.0</v>
      </c>
      <c r="Z50377" s="372">
        <v>0.0</v>
      </c>
    </row>
    <row r="50378">
      <c r="Y50378" s="372">
        <v>0.0</v>
      </c>
      <c r="Z50378" s="372">
        <v>0.0</v>
      </c>
    </row>
    <row r="50379">
      <c r="Y50379" s="372">
        <v>0.0</v>
      </c>
      <c r="Z50379" s="372">
        <v>0.0</v>
      </c>
    </row>
    <row r="50380">
      <c r="Y50380" s="372">
        <v>0.0</v>
      </c>
      <c r="Z50380" s="372">
        <v>0.0</v>
      </c>
    </row>
    <row r="50381">
      <c r="Y50381" s="372">
        <v>0.0</v>
      </c>
      <c r="Z50381" s="372">
        <v>0.0</v>
      </c>
    </row>
    <row r="50382">
      <c r="Y50382" s="372">
        <v>0.0</v>
      </c>
      <c r="Z50382" s="372">
        <v>0.0</v>
      </c>
    </row>
    <row r="50383">
      <c r="Y50383" s="372">
        <v>0.0</v>
      </c>
      <c r="Z50383" s="372">
        <v>0.0</v>
      </c>
    </row>
    <row r="50384">
      <c r="Y50384" s="372">
        <v>0.0</v>
      </c>
      <c r="Z50384" s="372">
        <v>0.0</v>
      </c>
    </row>
    <row r="50385">
      <c r="Y50385" s="372">
        <v>0.0</v>
      </c>
      <c r="Z50385" s="372">
        <v>0.0</v>
      </c>
    </row>
    <row r="50386">
      <c r="Y50386" s="372">
        <v>0.0</v>
      </c>
      <c r="Z50386" s="372">
        <v>0.0</v>
      </c>
    </row>
    <row r="50387">
      <c r="Y50387" s="372">
        <v>0.0</v>
      </c>
      <c r="Z50387" s="372">
        <v>0.0</v>
      </c>
    </row>
    <row r="50388">
      <c r="Y50388" s="372">
        <v>0.0</v>
      </c>
      <c r="Z50388" s="372">
        <v>0.0</v>
      </c>
    </row>
    <row r="50389">
      <c r="Y50389" s="372">
        <v>0.0</v>
      </c>
      <c r="Z50389" s="372">
        <v>0.0</v>
      </c>
    </row>
    <row r="50390">
      <c r="Y50390" s="372">
        <v>0.0</v>
      </c>
      <c r="Z50390" s="372">
        <v>0.0</v>
      </c>
    </row>
    <row r="50391">
      <c r="Y50391" s="372">
        <v>0.0</v>
      </c>
      <c r="Z50391" s="372">
        <v>0.0</v>
      </c>
    </row>
    <row r="50392">
      <c r="Y50392" s="372">
        <v>0.0</v>
      </c>
      <c r="Z50392" s="372">
        <v>0.0</v>
      </c>
    </row>
    <row r="50393">
      <c r="Y50393" s="372">
        <v>0.0</v>
      </c>
      <c r="Z50393" s="372">
        <v>0.0</v>
      </c>
    </row>
    <row r="50394">
      <c r="Y50394" s="372">
        <v>0.0</v>
      </c>
      <c r="Z50394" s="372">
        <v>0.0</v>
      </c>
    </row>
    <row r="50395">
      <c r="Y50395" s="372">
        <v>0.0</v>
      </c>
      <c r="Z50395" s="372">
        <v>0.0</v>
      </c>
    </row>
    <row r="50396">
      <c r="Y50396" s="372">
        <v>0.0</v>
      </c>
      <c r="Z50396" s="372">
        <v>0.0</v>
      </c>
    </row>
    <row r="50397">
      <c r="Y50397" s="372">
        <v>0.0</v>
      </c>
      <c r="Z50397" s="372">
        <v>0.0</v>
      </c>
    </row>
    <row r="50398">
      <c r="Y50398" s="372">
        <v>0.0</v>
      </c>
      <c r="Z50398" s="372">
        <v>0.0</v>
      </c>
    </row>
    <row r="50399">
      <c r="Y50399" s="372">
        <v>0.0</v>
      </c>
      <c r="Z50399" s="372">
        <v>0.0</v>
      </c>
    </row>
    <row r="50400">
      <c r="Y50400" s="372">
        <v>0.0</v>
      </c>
      <c r="Z50400" s="372">
        <v>0.0</v>
      </c>
    </row>
    <row r="50401">
      <c r="Y50401" s="372">
        <v>0.0</v>
      </c>
      <c r="Z50401" s="372">
        <v>0.0</v>
      </c>
    </row>
    <row r="50402">
      <c r="Y50402" s="372">
        <v>0.0</v>
      </c>
      <c r="Z50402" s="372">
        <v>0.0</v>
      </c>
    </row>
    <row r="50403">
      <c r="Y50403" s="372">
        <v>0.0</v>
      </c>
      <c r="Z50403" s="372">
        <v>0.0</v>
      </c>
    </row>
    <row r="50404">
      <c r="Y50404" s="372">
        <v>0.0</v>
      </c>
      <c r="Z50404" s="372">
        <v>0.0</v>
      </c>
    </row>
    <row r="50405">
      <c r="Y50405" s="372">
        <v>0.0</v>
      </c>
      <c r="Z50405" s="372">
        <v>0.0</v>
      </c>
    </row>
    <row r="50406">
      <c r="Y50406" s="372">
        <v>0.0</v>
      </c>
      <c r="Z50406" s="372">
        <v>0.0</v>
      </c>
    </row>
    <row r="50407">
      <c r="Y50407" s="372">
        <v>0.0</v>
      </c>
      <c r="Z50407" s="372">
        <v>0.0</v>
      </c>
    </row>
    <row r="50408">
      <c r="Y50408" s="372">
        <v>0.0</v>
      </c>
      <c r="Z50408" s="372">
        <v>0.0</v>
      </c>
    </row>
    <row r="50409">
      <c r="Y50409" s="372">
        <v>0.0</v>
      </c>
      <c r="Z50409" s="372">
        <v>0.0</v>
      </c>
    </row>
    <row r="50410">
      <c r="Y50410" s="372">
        <v>0.0</v>
      </c>
      <c r="Z50410" s="372">
        <v>0.0</v>
      </c>
    </row>
    <row r="50411">
      <c r="Y50411" s="372">
        <v>0.0</v>
      </c>
      <c r="Z50411" s="372">
        <v>0.0</v>
      </c>
    </row>
    <row r="50412">
      <c r="Y50412" s="372">
        <v>0.0</v>
      </c>
      <c r="Z50412" s="372">
        <v>0.0</v>
      </c>
    </row>
    <row r="50413">
      <c r="Y50413" s="372">
        <v>0.0</v>
      </c>
      <c r="Z50413" s="372">
        <v>0.0</v>
      </c>
    </row>
    <row r="50414">
      <c r="Y50414" s="372">
        <v>0.0</v>
      </c>
      <c r="Z50414" s="372">
        <v>0.0</v>
      </c>
    </row>
    <row r="50415">
      <c r="Y50415" s="372">
        <v>0.0</v>
      </c>
      <c r="Z50415" s="372">
        <v>0.0</v>
      </c>
    </row>
    <row r="50416">
      <c r="Y50416" s="372">
        <v>0.0</v>
      </c>
      <c r="Z50416" s="372">
        <v>0.0</v>
      </c>
    </row>
    <row r="50417">
      <c r="Y50417" s="372">
        <v>0.0</v>
      </c>
      <c r="Z50417" s="372">
        <v>0.0</v>
      </c>
    </row>
    <row r="50418">
      <c r="Y50418" s="372">
        <v>0.0</v>
      </c>
      <c r="Z50418" s="372">
        <v>0.0</v>
      </c>
    </row>
    <row r="50419">
      <c r="Y50419" s="372">
        <v>0.0</v>
      </c>
      <c r="Z50419" s="372">
        <v>0.0</v>
      </c>
    </row>
    <row r="50420">
      <c r="Y50420" s="372">
        <v>0.0</v>
      </c>
      <c r="Z50420" s="372">
        <v>0.0</v>
      </c>
    </row>
    <row r="50421">
      <c r="Y50421" s="372">
        <v>0.0</v>
      </c>
      <c r="Z50421" s="372">
        <v>0.0</v>
      </c>
    </row>
    <row r="50422">
      <c r="Y50422" s="372">
        <v>0.0</v>
      </c>
      <c r="Z50422" s="372">
        <v>0.0</v>
      </c>
    </row>
    <row r="50423">
      <c r="Y50423" s="372">
        <v>0.0</v>
      </c>
      <c r="Z50423" s="372">
        <v>0.0</v>
      </c>
    </row>
    <row r="50424">
      <c r="Y50424" s="372">
        <v>0.0</v>
      </c>
      <c r="Z50424" s="372">
        <v>0.0</v>
      </c>
    </row>
    <row r="50425">
      <c r="Y50425" s="372">
        <v>0.0</v>
      </c>
      <c r="Z50425" s="372">
        <v>0.0</v>
      </c>
    </row>
    <row r="50426">
      <c r="Y50426" s="372">
        <v>0.0</v>
      </c>
      <c r="Z50426" s="372">
        <v>0.0</v>
      </c>
    </row>
    <row r="50427">
      <c r="Y50427" s="372">
        <v>0.0</v>
      </c>
      <c r="Z50427" s="372">
        <v>0.0</v>
      </c>
    </row>
    <row r="50428">
      <c r="Y50428" s="372">
        <v>0.0</v>
      </c>
      <c r="Z50428" s="372">
        <v>0.0</v>
      </c>
    </row>
    <row r="50429">
      <c r="Y50429" s="372">
        <v>0.0</v>
      </c>
      <c r="Z50429" s="372">
        <v>0.0</v>
      </c>
    </row>
    <row r="50430">
      <c r="Y50430" s="372">
        <v>0.0</v>
      </c>
      <c r="Z50430" s="372">
        <v>0.0</v>
      </c>
    </row>
    <row r="50431">
      <c r="Y50431" s="372">
        <v>0.0</v>
      </c>
      <c r="Z50431" s="372">
        <v>0.0</v>
      </c>
    </row>
    <row r="50432">
      <c r="Y50432" s="372">
        <v>0.0</v>
      </c>
      <c r="Z50432" s="372">
        <v>0.0</v>
      </c>
    </row>
    <row r="50433">
      <c r="Y50433" s="372">
        <v>0.0</v>
      </c>
      <c r="Z50433" s="372">
        <v>0.0</v>
      </c>
    </row>
    <row r="50434">
      <c r="Y50434" s="372">
        <v>0.0</v>
      </c>
      <c r="Z50434" s="372">
        <v>0.0</v>
      </c>
    </row>
    <row r="50435">
      <c r="Y50435" s="372">
        <v>0.0</v>
      </c>
      <c r="Z50435" s="372">
        <v>0.0</v>
      </c>
    </row>
    <row r="50436">
      <c r="Y50436" s="372">
        <v>0.0</v>
      </c>
      <c r="Z50436" s="372">
        <v>0.0</v>
      </c>
    </row>
    <row r="50437">
      <c r="Y50437" s="372">
        <v>0.0</v>
      </c>
      <c r="Z50437" s="372">
        <v>0.0</v>
      </c>
    </row>
    <row r="50438">
      <c r="Y50438" s="372">
        <v>0.0</v>
      </c>
      <c r="Z50438" s="372">
        <v>0.0</v>
      </c>
    </row>
    <row r="50439">
      <c r="Y50439" s="372">
        <v>0.0</v>
      </c>
      <c r="Z50439" s="372">
        <v>0.0</v>
      </c>
    </row>
    <row r="50440">
      <c r="Y50440" s="372">
        <v>0.0</v>
      </c>
      <c r="Z50440" s="372">
        <v>0.0</v>
      </c>
    </row>
    <row r="50441">
      <c r="Y50441" s="372">
        <v>0.0</v>
      </c>
      <c r="Z50441" s="372">
        <v>0.0</v>
      </c>
    </row>
    <row r="50442">
      <c r="Y50442" s="372">
        <v>0.0</v>
      </c>
      <c r="Z50442" s="372">
        <v>0.0</v>
      </c>
    </row>
    <row r="50443">
      <c r="Y50443" s="372">
        <v>0.0</v>
      </c>
      <c r="Z50443" s="372">
        <v>0.0</v>
      </c>
    </row>
    <row r="50444">
      <c r="Y50444" s="372">
        <v>0.0</v>
      </c>
      <c r="Z50444" s="372">
        <v>0.0</v>
      </c>
    </row>
    <row r="50445">
      <c r="Y50445" s="372">
        <v>0.0</v>
      </c>
      <c r="Z50445" s="372">
        <v>0.0</v>
      </c>
    </row>
    <row r="50446">
      <c r="Y50446" s="372">
        <v>0.0</v>
      </c>
      <c r="Z50446" s="372">
        <v>0.0</v>
      </c>
    </row>
    <row r="50447">
      <c r="Y50447" s="372">
        <v>0.0</v>
      </c>
      <c r="Z50447" s="372">
        <v>0.0</v>
      </c>
    </row>
    <row r="50448">
      <c r="Y50448" s="372">
        <v>0.0</v>
      </c>
      <c r="Z50448" s="372">
        <v>0.0</v>
      </c>
    </row>
    <row r="50449">
      <c r="Y50449" s="372">
        <v>0.0</v>
      </c>
      <c r="Z50449" s="372">
        <v>0.0</v>
      </c>
    </row>
    <row r="50450">
      <c r="Y50450" s="372">
        <v>0.0</v>
      </c>
      <c r="Z50450" s="372">
        <v>0.0</v>
      </c>
    </row>
    <row r="50451">
      <c r="Y50451" s="372">
        <v>0.0</v>
      </c>
      <c r="Z50451" s="372">
        <v>0.0</v>
      </c>
    </row>
    <row r="50452">
      <c r="Y50452" s="372">
        <v>0.0</v>
      </c>
      <c r="Z50452" s="372">
        <v>0.0</v>
      </c>
    </row>
    <row r="50453">
      <c r="Y50453" s="372">
        <v>0.0</v>
      </c>
      <c r="Z50453" s="372">
        <v>0.0</v>
      </c>
    </row>
    <row r="50454">
      <c r="Y50454" s="372">
        <v>0.0</v>
      </c>
      <c r="Z50454" s="372">
        <v>0.0</v>
      </c>
    </row>
    <row r="50455">
      <c r="Y50455" s="372">
        <v>0.0</v>
      </c>
      <c r="Z50455" s="372">
        <v>0.0</v>
      </c>
    </row>
    <row r="50456">
      <c r="Y50456" s="372">
        <v>0.0</v>
      </c>
      <c r="Z50456" s="372">
        <v>0.0</v>
      </c>
    </row>
    <row r="50457">
      <c r="Y50457" s="372">
        <v>0.0</v>
      </c>
      <c r="Z50457" s="372">
        <v>0.0</v>
      </c>
    </row>
    <row r="50458">
      <c r="Y50458" s="372">
        <v>0.0</v>
      </c>
      <c r="Z50458" s="372">
        <v>0.0</v>
      </c>
    </row>
    <row r="50459">
      <c r="Y50459" s="372">
        <v>0.0</v>
      </c>
      <c r="Z50459" s="372">
        <v>0.0</v>
      </c>
    </row>
    <row r="50460">
      <c r="Y50460" s="372">
        <v>0.0</v>
      </c>
      <c r="Z50460" s="372">
        <v>0.0</v>
      </c>
    </row>
    <row r="50461">
      <c r="Y50461" s="372">
        <v>0.0</v>
      </c>
      <c r="Z50461" s="372">
        <v>0.0</v>
      </c>
    </row>
    <row r="50462">
      <c r="Y50462" s="372">
        <v>0.0</v>
      </c>
      <c r="Z50462" s="372">
        <v>0.0</v>
      </c>
    </row>
    <row r="50463">
      <c r="Y50463" s="372">
        <v>0.0</v>
      </c>
      <c r="Z50463" s="372">
        <v>0.0</v>
      </c>
    </row>
    <row r="50464">
      <c r="Y50464" s="372">
        <v>0.0</v>
      </c>
      <c r="Z50464" s="372">
        <v>0.0</v>
      </c>
    </row>
    <row r="50465">
      <c r="Y50465" s="372">
        <v>0.0</v>
      </c>
      <c r="Z50465" s="372">
        <v>0.0</v>
      </c>
    </row>
    <row r="50466">
      <c r="Y50466" s="372">
        <v>0.0</v>
      </c>
      <c r="Z50466" s="372">
        <v>0.0</v>
      </c>
    </row>
    <row r="50467">
      <c r="Y50467" s="372">
        <v>0.0</v>
      </c>
      <c r="Z50467" s="372">
        <v>0.0</v>
      </c>
    </row>
    <row r="50468">
      <c r="Y50468" s="372">
        <v>0.0</v>
      </c>
      <c r="Z50468" s="372">
        <v>0.0</v>
      </c>
    </row>
    <row r="50469">
      <c r="Y50469" s="372">
        <v>0.0</v>
      </c>
      <c r="Z50469" s="372">
        <v>0.0</v>
      </c>
    </row>
    <row r="50470">
      <c r="Y50470" s="372">
        <v>0.0</v>
      </c>
      <c r="Z50470" s="372">
        <v>0.0</v>
      </c>
    </row>
    <row r="50471">
      <c r="Y50471" s="372">
        <v>0.0</v>
      </c>
      <c r="Z50471" s="372">
        <v>0.0</v>
      </c>
    </row>
    <row r="50472">
      <c r="Y50472" s="372">
        <v>0.0</v>
      </c>
      <c r="Z50472" s="372">
        <v>0.0</v>
      </c>
    </row>
    <row r="50473">
      <c r="Y50473" s="372">
        <v>0.0</v>
      </c>
      <c r="Z50473" s="372">
        <v>0.0</v>
      </c>
    </row>
    <row r="50474">
      <c r="Y50474" s="372">
        <v>0.0</v>
      </c>
      <c r="Z50474" s="372">
        <v>0.0</v>
      </c>
    </row>
    <row r="50475">
      <c r="Y50475" s="372">
        <v>0.0</v>
      </c>
      <c r="Z50475" s="372">
        <v>0.0</v>
      </c>
    </row>
    <row r="50476">
      <c r="Y50476" s="372">
        <v>0.0</v>
      </c>
      <c r="Z50476" s="372">
        <v>0.0</v>
      </c>
    </row>
    <row r="50477">
      <c r="Y50477" s="372">
        <v>0.0</v>
      </c>
      <c r="Z50477" s="372">
        <v>0.0</v>
      </c>
    </row>
    <row r="50478">
      <c r="Y50478" s="372">
        <v>0.0</v>
      </c>
      <c r="Z50478" s="372">
        <v>0.0</v>
      </c>
    </row>
    <row r="50479">
      <c r="Y50479" s="372">
        <v>0.0</v>
      </c>
      <c r="Z50479" s="372">
        <v>0.0</v>
      </c>
    </row>
    <row r="50480">
      <c r="Y50480" s="372">
        <v>0.0</v>
      </c>
      <c r="Z50480" s="372">
        <v>0.0</v>
      </c>
    </row>
    <row r="50481">
      <c r="Y50481" s="372">
        <v>0.0</v>
      </c>
      <c r="Z50481" s="372">
        <v>0.0</v>
      </c>
    </row>
    <row r="50482">
      <c r="Y50482" s="372">
        <v>0.0</v>
      </c>
      <c r="Z50482" s="372">
        <v>0.0</v>
      </c>
    </row>
    <row r="50483">
      <c r="Y50483" s="372">
        <v>0.0</v>
      </c>
      <c r="Z50483" s="372">
        <v>0.0</v>
      </c>
    </row>
    <row r="50484">
      <c r="Y50484" s="372">
        <v>0.0</v>
      </c>
      <c r="Z50484" s="372">
        <v>0.0</v>
      </c>
    </row>
    <row r="50485">
      <c r="Y50485" s="372">
        <v>0.0</v>
      </c>
      <c r="Z50485" s="372">
        <v>0.0</v>
      </c>
    </row>
    <row r="50486">
      <c r="Y50486" s="372">
        <v>0.0</v>
      </c>
      <c r="Z50486" s="372">
        <v>0.0</v>
      </c>
    </row>
    <row r="50487">
      <c r="Y50487" s="372">
        <v>0.0</v>
      </c>
      <c r="Z50487" s="372">
        <v>0.0</v>
      </c>
    </row>
    <row r="50488">
      <c r="Y50488" s="372">
        <v>0.0</v>
      </c>
      <c r="Z50488" s="372">
        <v>0.0</v>
      </c>
    </row>
    <row r="50489">
      <c r="Y50489" s="372">
        <v>0.0</v>
      </c>
      <c r="Z50489" s="372">
        <v>0.0</v>
      </c>
    </row>
    <row r="50490">
      <c r="Y50490" s="372">
        <v>0.0</v>
      </c>
      <c r="Z50490" s="372">
        <v>0.0</v>
      </c>
    </row>
    <row r="50491">
      <c r="Y50491" s="372">
        <v>0.0</v>
      </c>
      <c r="Z50491" s="372">
        <v>0.0</v>
      </c>
    </row>
    <row r="50492">
      <c r="Y50492" s="372">
        <v>0.0</v>
      </c>
      <c r="Z50492" s="372">
        <v>0.0</v>
      </c>
    </row>
    <row r="50493">
      <c r="Y50493" s="372">
        <v>0.0</v>
      </c>
      <c r="Z50493" s="372">
        <v>0.0</v>
      </c>
    </row>
    <row r="50494">
      <c r="Y50494" s="372">
        <v>0.0</v>
      </c>
      <c r="Z50494" s="372">
        <v>0.0</v>
      </c>
    </row>
    <row r="50495">
      <c r="Y50495" s="372">
        <v>0.0</v>
      </c>
      <c r="Z50495" s="372">
        <v>0.0</v>
      </c>
    </row>
    <row r="50496">
      <c r="Y50496" s="372">
        <v>0.0</v>
      </c>
      <c r="Z50496" s="372">
        <v>0.0</v>
      </c>
    </row>
    <row r="50497">
      <c r="Y50497" s="372">
        <v>0.0</v>
      </c>
      <c r="Z50497" s="372">
        <v>0.0</v>
      </c>
    </row>
    <row r="50498">
      <c r="Y50498" s="372">
        <v>0.0</v>
      </c>
      <c r="Z50498" s="372">
        <v>0.0</v>
      </c>
    </row>
    <row r="50499">
      <c r="Y50499" s="372">
        <v>0.0</v>
      </c>
      <c r="Z50499" s="372">
        <v>0.0</v>
      </c>
    </row>
    <row r="50500">
      <c r="Y50500" s="372">
        <v>0.0</v>
      </c>
      <c r="Z50500" s="372">
        <v>0.0</v>
      </c>
    </row>
    <row r="50501">
      <c r="Y50501" s="372">
        <v>0.0</v>
      </c>
      <c r="Z50501" s="372">
        <v>0.0</v>
      </c>
    </row>
    <row r="50502">
      <c r="Y50502" s="372">
        <v>0.0</v>
      </c>
      <c r="Z50502" s="372">
        <v>0.0</v>
      </c>
    </row>
    <row r="50503">
      <c r="Y50503" s="372">
        <v>0.0</v>
      </c>
      <c r="Z50503" s="372">
        <v>0.0</v>
      </c>
    </row>
    <row r="50504">
      <c r="Y50504" s="372">
        <v>0.0</v>
      </c>
      <c r="Z50504" s="372">
        <v>0.0</v>
      </c>
    </row>
    <row r="50505">
      <c r="Y50505" s="372">
        <v>0.0</v>
      </c>
      <c r="Z50505" s="372">
        <v>0.0</v>
      </c>
    </row>
    <row r="50506">
      <c r="Y50506" s="372">
        <v>0.0</v>
      </c>
      <c r="Z50506" s="372">
        <v>0.0</v>
      </c>
    </row>
    <row r="50507">
      <c r="Y50507" s="372">
        <v>0.0</v>
      </c>
      <c r="Z50507" s="372">
        <v>0.0</v>
      </c>
    </row>
    <row r="50508">
      <c r="Y50508" s="372">
        <v>0.0</v>
      </c>
      <c r="Z50508" s="372">
        <v>0.0</v>
      </c>
    </row>
    <row r="50509">
      <c r="Y50509" s="372">
        <v>0.0</v>
      </c>
      <c r="Z50509" s="372">
        <v>0.0</v>
      </c>
    </row>
    <row r="50510">
      <c r="Y50510" s="372">
        <v>0.0</v>
      </c>
      <c r="Z50510" s="372">
        <v>0.0</v>
      </c>
    </row>
    <row r="50511">
      <c r="Y50511" s="372">
        <v>0.0</v>
      </c>
      <c r="Z50511" s="372">
        <v>0.0</v>
      </c>
    </row>
    <row r="50512">
      <c r="Y50512" s="372">
        <v>0.0</v>
      </c>
      <c r="Z50512" s="372">
        <v>0.0</v>
      </c>
    </row>
    <row r="50513">
      <c r="Y50513" s="372">
        <v>0.0</v>
      </c>
      <c r="Z50513" s="372">
        <v>0.0</v>
      </c>
    </row>
    <row r="50514">
      <c r="Y50514" s="372">
        <v>0.0</v>
      </c>
      <c r="Z50514" s="372">
        <v>0.0</v>
      </c>
    </row>
    <row r="50515">
      <c r="Y50515" s="372">
        <v>0.0</v>
      </c>
      <c r="Z50515" s="372">
        <v>0.0</v>
      </c>
    </row>
    <row r="50516">
      <c r="Y50516" s="372">
        <v>0.0</v>
      </c>
      <c r="Z50516" s="372">
        <v>0.0</v>
      </c>
    </row>
    <row r="50517">
      <c r="Y50517" s="372">
        <v>0.0</v>
      </c>
      <c r="Z50517" s="372">
        <v>0.0</v>
      </c>
    </row>
    <row r="50518">
      <c r="Y50518" s="372">
        <v>0.0</v>
      </c>
      <c r="Z50518" s="372">
        <v>0.0</v>
      </c>
    </row>
    <row r="50519">
      <c r="Y50519" s="372">
        <v>0.0</v>
      </c>
      <c r="Z50519" s="372">
        <v>0.0</v>
      </c>
    </row>
    <row r="50520">
      <c r="Y50520" s="372">
        <v>0.0</v>
      </c>
      <c r="Z50520" s="372">
        <v>0.0</v>
      </c>
    </row>
    <row r="50521">
      <c r="Y50521" s="372">
        <v>0.0</v>
      </c>
      <c r="Z50521" s="372">
        <v>0.0</v>
      </c>
    </row>
    <row r="50522">
      <c r="Y50522" s="372">
        <v>0.0</v>
      </c>
      <c r="Z50522" s="372">
        <v>0.0</v>
      </c>
    </row>
    <row r="50523">
      <c r="Y50523" s="372">
        <v>0.0</v>
      </c>
      <c r="Z50523" s="372">
        <v>0.0</v>
      </c>
    </row>
    <row r="50524">
      <c r="Y50524" s="372">
        <v>0.0</v>
      </c>
      <c r="Z50524" s="372">
        <v>0.0</v>
      </c>
    </row>
    <row r="50525">
      <c r="Y50525" s="372">
        <v>0.0</v>
      </c>
      <c r="Z50525" s="372">
        <v>0.0</v>
      </c>
    </row>
    <row r="50526">
      <c r="Y50526" s="372">
        <v>0.0</v>
      </c>
      <c r="Z50526" s="372">
        <v>0.0</v>
      </c>
    </row>
    <row r="50527">
      <c r="Y50527" s="372">
        <v>0.0</v>
      </c>
      <c r="Z50527" s="372">
        <v>0.0</v>
      </c>
    </row>
    <row r="50528">
      <c r="Y50528" s="372">
        <v>0.0</v>
      </c>
      <c r="Z50528" s="372">
        <v>0.0</v>
      </c>
    </row>
    <row r="50529">
      <c r="Y50529" s="372">
        <v>0.0</v>
      </c>
      <c r="Z50529" s="372">
        <v>0.0</v>
      </c>
    </row>
    <row r="50530">
      <c r="Y50530" s="372">
        <v>0.0</v>
      </c>
      <c r="Z50530" s="372">
        <v>0.0</v>
      </c>
    </row>
    <row r="50531">
      <c r="Y50531" s="372">
        <v>0.0</v>
      </c>
      <c r="Z50531" s="372">
        <v>0.0</v>
      </c>
    </row>
    <row r="50532">
      <c r="Y50532" s="372">
        <v>0.0</v>
      </c>
      <c r="Z50532" s="372">
        <v>0.0</v>
      </c>
    </row>
    <row r="50533">
      <c r="Y50533" s="372">
        <v>0.0</v>
      </c>
      <c r="Z50533" s="372">
        <v>0.0</v>
      </c>
    </row>
    <row r="50534">
      <c r="Y50534" s="372">
        <v>0.0</v>
      </c>
      <c r="Z50534" s="372">
        <v>0.0</v>
      </c>
    </row>
    <row r="50535">
      <c r="Y50535" s="372">
        <v>0.0</v>
      </c>
      <c r="Z50535" s="372">
        <v>0.0</v>
      </c>
    </row>
    <row r="50536">
      <c r="Y50536" s="372">
        <v>0.0</v>
      </c>
      <c r="Z50536" s="372">
        <v>0.0</v>
      </c>
    </row>
    <row r="50537">
      <c r="Y50537" s="372">
        <v>0.0</v>
      </c>
      <c r="Z50537" s="372">
        <v>0.0</v>
      </c>
    </row>
    <row r="50538">
      <c r="Y50538" s="372">
        <v>0.0</v>
      </c>
      <c r="Z50538" s="372">
        <v>0.0</v>
      </c>
    </row>
    <row r="50539">
      <c r="Y50539" s="372">
        <v>0.0</v>
      </c>
      <c r="Z50539" s="372">
        <v>0.0</v>
      </c>
    </row>
    <row r="50540">
      <c r="Y50540" s="372">
        <v>0.0</v>
      </c>
      <c r="Z50540" s="372">
        <v>0.0</v>
      </c>
    </row>
    <row r="50541">
      <c r="Y50541" s="372">
        <v>0.0</v>
      </c>
      <c r="Z50541" s="372">
        <v>0.0</v>
      </c>
    </row>
    <row r="50542">
      <c r="Y50542" s="372">
        <v>0.0</v>
      </c>
      <c r="Z50542" s="372">
        <v>0.0</v>
      </c>
    </row>
    <row r="50543">
      <c r="Y50543" s="372">
        <v>0.0</v>
      </c>
      <c r="Z50543" s="372">
        <v>0.0</v>
      </c>
    </row>
    <row r="50544">
      <c r="Y50544" s="372">
        <v>0.0</v>
      </c>
      <c r="Z50544" s="372">
        <v>0.0</v>
      </c>
    </row>
    <row r="50545">
      <c r="Y50545" s="372">
        <v>0.0</v>
      </c>
      <c r="Z50545" s="372">
        <v>0.0</v>
      </c>
    </row>
    <row r="50546">
      <c r="Y50546" s="372">
        <v>0.0</v>
      </c>
      <c r="Z50546" s="372">
        <v>0.0</v>
      </c>
    </row>
    <row r="50547">
      <c r="Y50547" s="372">
        <v>0.0</v>
      </c>
      <c r="Z50547" s="372">
        <v>0.0</v>
      </c>
    </row>
    <row r="50548">
      <c r="Y50548" s="372">
        <v>0.0</v>
      </c>
      <c r="Z50548" s="372">
        <v>0.0</v>
      </c>
    </row>
    <row r="50549">
      <c r="Y50549" s="372">
        <v>0.0</v>
      </c>
      <c r="Z50549" s="372">
        <v>0.0</v>
      </c>
    </row>
    <row r="50550">
      <c r="Y50550" s="372">
        <v>0.0</v>
      </c>
      <c r="Z50550" s="372">
        <v>0.0</v>
      </c>
    </row>
    <row r="50551">
      <c r="Y50551" s="372">
        <v>0.0</v>
      </c>
      <c r="Z50551" s="372">
        <v>0.0</v>
      </c>
    </row>
    <row r="50552">
      <c r="Y50552" s="372">
        <v>0.0</v>
      </c>
      <c r="Z50552" s="372">
        <v>0.0</v>
      </c>
    </row>
    <row r="50553">
      <c r="Y50553" s="372">
        <v>0.0</v>
      </c>
      <c r="Z50553" s="372">
        <v>0.0</v>
      </c>
    </row>
    <row r="50554">
      <c r="Y50554" s="372">
        <v>0.0</v>
      </c>
      <c r="Z50554" s="372">
        <v>0.0</v>
      </c>
    </row>
    <row r="50555">
      <c r="Y50555" s="372">
        <v>0.0</v>
      </c>
      <c r="Z50555" s="372">
        <v>0.0</v>
      </c>
    </row>
    <row r="50556">
      <c r="Y50556" s="372">
        <v>0.0</v>
      </c>
      <c r="Z50556" s="372">
        <v>0.0</v>
      </c>
    </row>
    <row r="50557">
      <c r="Y50557" s="372">
        <v>0.0</v>
      </c>
      <c r="Z50557" s="372">
        <v>0.0</v>
      </c>
    </row>
    <row r="50558">
      <c r="Y50558" s="372">
        <v>0.0</v>
      </c>
      <c r="Z50558" s="372">
        <v>0.0</v>
      </c>
    </row>
    <row r="50559">
      <c r="Y50559" s="372">
        <v>0.0</v>
      </c>
      <c r="Z50559" s="372">
        <v>0.0</v>
      </c>
    </row>
    <row r="50560">
      <c r="Y50560" s="372">
        <v>0.0</v>
      </c>
      <c r="Z50560" s="372">
        <v>0.0</v>
      </c>
    </row>
    <row r="50561">
      <c r="Y50561" s="372">
        <v>0.0</v>
      </c>
      <c r="Z50561" s="372">
        <v>0.0</v>
      </c>
    </row>
    <row r="50562">
      <c r="Y50562" s="372">
        <v>0.0</v>
      </c>
      <c r="Z50562" s="372">
        <v>0.0</v>
      </c>
    </row>
    <row r="50563">
      <c r="Y50563" s="372">
        <v>0.0</v>
      </c>
      <c r="Z50563" s="372">
        <v>0.0</v>
      </c>
    </row>
    <row r="50564">
      <c r="Y50564" s="372">
        <v>0.0</v>
      </c>
      <c r="Z50564" s="372">
        <v>0.0</v>
      </c>
    </row>
    <row r="50565">
      <c r="Y50565" s="372">
        <v>0.0</v>
      </c>
      <c r="Z50565" s="372">
        <v>0.0</v>
      </c>
    </row>
    <row r="50566">
      <c r="Y50566" s="372">
        <v>0.0</v>
      </c>
      <c r="Z50566" s="372">
        <v>0.0</v>
      </c>
    </row>
    <row r="50567">
      <c r="Y50567" s="372">
        <v>0.0</v>
      </c>
      <c r="Z50567" s="372">
        <v>0.0</v>
      </c>
    </row>
    <row r="50568">
      <c r="Y50568" s="372">
        <v>0.0</v>
      </c>
      <c r="Z50568" s="372">
        <v>0.0</v>
      </c>
    </row>
    <row r="50569">
      <c r="Y50569" s="372">
        <v>0.0</v>
      </c>
      <c r="Z50569" s="372">
        <v>0.0</v>
      </c>
    </row>
    <row r="50570">
      <c r="Y50570" s="372">
        <v>0.0</v>
      </c>
      <c r="Z50570" s="372">
        <v>0.0</v>
      </c>
    </row>
    <row r="50571">
      <c r="Y50571" s="372">
        <v>0.0</v>
      </c>
      <c r="Z50571" s="372">
        <v>0.0</v>
      </c>
    </row>
    <row r="50572">
      <c r="Y50572" s="372">
        <v>0.0</v>
      </c>
      <c r="Z50572" s="372">
        <v>0.0</v>
      </c>
    </row>
    <row r="50573">
      <c r="Y50573" s="372">
        <v>0.0</v>
      </c>
      <c r="Z50573" s="372">
        <v>0.0</v>
      </c>
    </row>
    <row r="50574">
      <c r="Y50574" s="372">
        <v>0.0</v>
      </c>
      <c r="Z50574" s="372">
        <v>0.0</v>
      </c>
    </row>
    <row r="50575">
      <c r="Y50575" s="372">
        <v>0.0</v>
      </c>
      <c r="Z50575" s="372">
        <v>0.0</v>
      </c>
    </row>
    <row r="50576">
      <c r="Y50576" s="372">
        <v>0.0</v>
      </c>
      <c r="Z50576" s="372">
        <v>0.0</v>
      </c>
    </row>
    <row r="50577">
      <c r="Y50577" s="372">
        <v>0.0</v>
      </c>
      <c r="Z50577" s="372">
        <v>0.0</v>
      </c>
    </row>
    <row r="50578">
      <c r="Y50578" s="372">
        <v>0.0</v>
      </c>
      <c r="Z50578" s="372">
        <v>0.0</v>
      </c>
    </row>
    <row r="50579">
      <c r="Y50579" s="372">
        <v>0.0</v>
      </c>
      <c r="Z50579" s="372">
        <v>0.0</v>
      </c>
    </row>
    <row r="50580">
      <c r="Y50580" s="372">
        <v>0.0</v>
      </c>
      <c r="Z50580" s="372">
        <v>0.0</v>
      </c>
    </row>
    <row r="50581">
      <c r="Y50581" s="372">
        <v>0.0</v>
      </c>
      <c r="Z50581" s="372">
        <v>0.0</v>
      </c>
    </row>
    <row r="50582">
      <c r="Y50582" s="372">
        <v>0.0</v>
      </c>
      <c r="Z50582" s="372">
        <v>0.0</v>
      </c>
    </row>
    <row r="50583">
      <c r="Y50583" s="372">
        <v>0.0</v>
      </c>
      <c r="Z50583" s="372">
        <v>0.0</v>
      </c>
    </row>
    <row r="50584">
      <c r="Y50584" s="372">
        <v>0.0</v>
      </c>
      <c r="Z50584" s="372">
        <v>0.0</v>
      </c>
    </row>
    <row r="50585">
      <c r="Y50585" s="372">
        <v>0.0</v>
      </c>
      <c r="Z50585" s="372">
        <v>0.0</v>
      </c>
    </row>
    <row r="50586">
      <c r="Y50586" s="372">
        <v>0.0</v>
      </c>
      <c r="Z50586" s="372">
        <v>0.0</v>
      </c>
    </row>
    <row r="50587">
      <c r="Y50587" s="372">
        <v>0.0</v>
      </c>
      <c r="Z50587" s="372">
        <v>0.0</v>
      </c>
    </row>
    <row r="50588">
      <c r="Y50588" s="372">
        <v>0.0</v>
      </c>
      <c r="Z50588" s="372">
        <v>0.0</v>
      </c>
    </row>
    <row r="50589">
      <c r="Y50589" s="372">
        <v>0.0</v>
      </c>
      <c r="Z50589" s="372">
        <v>0.0</v>
      </c>
    </row>
    <row r="50590">
      <c r="Y50590" s="372">
        <v>0.0</v>
      </c>
      <c r="Z50590" s="372">
        <v>0.0</v>
      </c>
    </row>
    <row r="50591">
      <c r="Y50591" s="372">
        <v>0.0</v>
      </c>
      <c r="Z50591" s="372">
        <v>0.0</v>
      </c>
    </row>
    <row r="50592">
      <c r="Y50592" s="372">
        <v>0.0</v>
      </c>
      <c r="Z50592" s="372">
        <v>0.0</v>
      </c>
    </row>
    <row r="50593">
      <c r="Y50593" s="372">
        <v>0.0</v>
      </c>
      <c r="Z50593" s="372">
        <v>0.0</v>
      </c>
    </row>
    <row r="50594">
      <c r="Y50594" s="372">
        <v>0.0</v>
      </c>
      <c r="Z50594" s="372">
        <v>0.0</v>
      </c>
    </row>
    <row r="50595">
      <c r="Y50595" s="372">
        <v>0.0</v>
      </c>
      <c r="Z50595" s="372">
        <v>0.0</v>
      </c>
    </row>
    <row r="50596">
      <c r="Y50596" s="372">
        <v>0.0</v>
      </c>
      <c r="Z50596" s="372">
        <v>0.0</v>
      </c>
    </row>
    <row r="50597">
      <c r="Y50597" s="372">
        <v>0.0</v>
      </c>
      <c r="Z50597" s="372">
        <v>0.0</v>
      </c>
    </row>
    <row r="50598">
      <c r="Y50598" s="372">
        <v>0.0</v>
      </c>
      <c r="Z50598" s="372">
        <v>0.0</v>
      </c>
    </row>
    <row r="50599">
      <c r="Y50599" s="372">
        <v>0.0</v>
      </c>
      <c r="Z50599" s="372">
        <v>0.0</v>
      </c>
    </row>
    <row r="50600">
      <c r="Y50600" s="372">
        <v>0.0</v>
      </c>
      <c r="Z50600" s="372">
        <v>0.0</v>
      </c>
    </row>
    <row r="50601">
      <c r="Y50601" s="372">
        <v>0.0</v>
      </c>
      <c r="Z50601" s="372">
        <v>0.0</v>
      </c>
    </row>
    <row r="50602">
      <c r="Y50602" s="372">
        <v>0.0</v>
      </c>
      <c r="Z50602" s="372">
        <v>0.0</v>
      </c>
    </row>
    <row r="50603">
      <c r="Y50603" s="372">
        <v>0.0</v>
      </c>
      <c r="Z50603" s="372">
        <v>0.0</v>
      </c>
    </row>
    <row r="50604">
      <c r="Y50604" s="372">
        <v>0.0</v>
      </c>
      <c r="Z50604" s="372">
        <v>0.0</v>
      </c>
    </row>
    <row r="50605">
      <c r="Y50605" s="372">
        <v>0.0</v>
      </c>
      <c r="Z50605" s="372">
        <v>0.0</v>
      </c>
    </row>
    <row r="50606">
      <c r="Y50606" s="372">
        <v>0.0</v>
      </c>
      <c r="Z50606" s="372">
        <v>0.0</v>
      </c>
    </row>
    <row r="50607">
      <c r="Y50607" s="372">
        <v>0.0</v>
      </c>
      <c r="Z50607" s="372">
        <v>0.0</v>
      </c>
    </row>
    <row r="50608">
      <c r="Y50608" s="372">
        <v>0.0</v>
      </c>
      <c r="Z50608" s="372">
        <v>0.0</v>
      </c>
    </row>
    <row r="50609">
      <c r="Y50609" s="372">
        <v>0.0</v>
      </c>
      <c r="Z50609" s="372">
        <v>0.0</v>
      </c>
    </row>
    <row r="50610">
      <c r="Y50610" s="372">
        <v>0.0</v>
      </c>
      <c r="Z50610" s="372">
        <v>0.0</v>
      </c>
    </row>
    <row r="50611">
      <c r="Y50611" s="372">
        <v>0.0</v>
      </c>
      <c r="Z50611" s="372">
        <v>0.0</v>
      </c>
    </row>
    <row r="50612">
      <c r="Y50612" s="372">
        <v>0.0</v>
      </c>
      <c r="Z50612" s="372">
        <v>0.0</v>
      </c>
    </row>
    <row r="50613">
      <c r="Y50613" s="372">
        <v>0.0</v>
      </c>
      <c r="Z50613" s="372">
        <v>0.0</v>
      </c>
    </row>
    <row r="50614">
      <c r="Y50614" s="372">
        <v>0.0</v>
      </c>
      <c r="Z50614" s="372">
        <v>0.0</v>
      </c>
    </row>
    <row r="50615">
      <c r="Y50615" s="372">
        <v>0.0</v>
      </c>
      <c r="Z50615" s="372">
        <v>0.0</v>
      </c>
    </row>
    <row r="50616">
      <c r="Y50616" s="372">
        <v>0.0</v>
      </c>
      <c r="Z50616" s="372">
        <v>0.0</v>
      </c>
    </row>
    <row r="50617">
      <c r="Y50617" s="372">
        <v>0.0</v>
      </c>
      <c r="Z50617" s="372">
        <v>0.0</v>
      </c>
    </row>
    <row r="50618">
      <c r="Y50618" s="372">
        <v>0.0</v>
      </c>
      <c r="Z50618" s="372">
        <v>0.0</v>
      </c>
    </row>
    <row r="50619">
      <c r="Y50619" s="372">
        <v>0.0</v>
      </c>
      <c r="Z50619" s="372">
        <v>0.0</v>
      </c>
    </row>
    <row r="50620">
      <c r="Y50620" s="372">
        <v>0.0</v>
      </c>
      <c r="Z50620" s="372">
        <v>0.0</v>
      </c>
    </row>
    <row r="50621">
      <c r="Y50621" s="372">
        <v>0.0</v>
      </c>
      <c r="Z50621" s="372">
        <v>0.0</v>
      </c>
    </row>
    <row r="50622">
      <c r="Y50622" s="372">
        <v>0.0</v>
      </c>
      <c r="Z50622" s="372">
        <v>0.0</v>
      </c>
    </row>
    <row r="50623">
      <c r="Y50623" s="372">
        <v>0.0</v>
      </c>
      <c r="Z50623" s="372">
        <v>0.0</v>
      </c>
    </row>
    <row r="50624">
      <c r="Y50624" s="372">
        <v>0.0</v>
      </c>
      <c r="Z50624" s="372">
        <v>0.0</v>
      </c>
    </row>
    <row r="50625">
      <c r="Y50625" s="372">
        <v>0.0</v>
      </c>
      <c r="Z50625" s="372">
        <v>0.0</v>
      </c>
    </row>
    <row r="50626">
      <c r="Y50626" s="372">
        <v>0.0</v>
      </c>
      <c r="Z50626" s="372">
        <v>0.0</v>
      </c>
    </row>
    <row r="50627">
      <c r="Y50627" s="372">
        <v>0.0</v>
      </c>
      <c r="Z50627" s="372">
        <v>0.0</v>
      </c>
    </row>
    <row r="50628">
      <c r="Y50628" s="372">
        <v>0.0</v>
      </c>
      <c r="Z50628" s="372">
        <v>0.0</v>
      </c>
    </row>
    <row r="50629">
      <c r="Y50629" s="372">
        <v>0.0</v>
      </c>
      <c r="Z50629" s="372">
        <v>0.0</v>
      </c>
    </row>
    <row r="50630">
      <c r="Y50630" s="372">
        <v>0.0</v>
      </c>
      <c r="Z50630" s="372">
        <v>0.0</v>
      </c>
    </row>
    <row r="50631">
      <c r="Y50631" s="372">
        <v>0.0</v>
      </c>
      <c r="Z50631" s="372">
        <v>0.0</v>
      </c>
    </row>
    <row r="50632">
      <c r="Y50632" s="372">
        <v>0.0</v>
      </c>
      <c r="Z50632" s="372">
        <v>0.0</v>
      </c>
    </row>
    <row r="50633">
      <c r="Y50633" s="372">
        <v>0.0</v>
      </c>
      <c r="Z50633" s="372">
        <v>0.0</v>
      </c>
    </row>
    <row r="50634">
      <c r="Y50634" s="372">
        <v>0.0</v>
      </c>
      <c r="Z50634" s="372">
        <v>0.0</v>
      </c>
    </row>
    <row r="50635">
      <c r="Y50635" s="372">
        <v>0.0</v>
      </c>
      <c r="Z50635" s="372">
        <v>0.0</v>
      </c>
    </row>
    <row r="50636">
      <c r="Y50636" s="372">
        <v>0.0</v>
      </c>
      <c r="Z50636" s="372">
        <v>0.0</v>
      </c>
    </row>
    <row r="50637">
      <c r="Y50637" s="372">
        <v>0.0</v>
      </c>
      <c r="Z50637" s="372">
        <v>0.0</v>
      </c>
    </row>
    <row r="50638">
      <c r="Y50638" s="372">
        <v>0.0</v>
      </c>
      <c r="Z50638" s="372">
        <v>0.0</v>
      </c>
    </row>
    <row r="50639">
      <c r="Y50639" s="372">
        <v>0.0</v>
      </c>
      <c r="Z50639" s="372">
        <v>0.0</v>
      </c>
    </row>
    <row r="50640">
      <c r="Y50640" s="372">
        <v>0.0</v>
      </c>
      <c r="Z50640" s="372">
        <v>0.0</v>
      </c>
    </row>
    <row r="50641">
      <c r="Y50641" s="372">
        <v>0.0</v>
      </c>
      <c r="Z50641" s="372">
        <v>0.0</v>
      </c>
    </row>
    <row r="50642">
      <c r="Y50642" s="372">
        <v>0.0</v>
      </c>
      <c r="Z50642" s="372">
        <v>0.0</v>
      </c>
    </row>
    <row r="50643">
      <c r="Y50643" s="372">
        <v>0.0</v>
      </c>
      <c r="Z50643" s="372">
        <v>0.0</v>
      </c>
    </row>
    <row r="50644">
      <c r="Y50644" s="372">
        <v>0.0</v>
      </c>
      <c r="Z50644" s="372">
        <v>0.0</v>
      </c>
    </row>
    <row r="50645">
      <c r="Y50645" s="372">
        <v>0.0</v>
      </c>
      <c r="Z50645" s="372">
        <v>0.0</v>
      </c>
    </row>
    <row r="50646">
      <c r="Y50646" s="372">
        <v>0.0</v>
      </c>
      <c r="Z50646" s="372">
        <v>0.0</v>
      </c>
    </row>
    <row r="50647">
      <c r="Y50647" s="372">
        <v>0.0</v>
      </c>
      <c r="Z50647" s="372">
        <v>0.0</v>
      </c>
    </row>
    <row r="50648">
      <c r="Y50648" s="372">
        <v>0.0</v>
      </c>
      <c r="Z50648" s="372">
        <v>0.0</v>
      </c>
    </row>
    <row r="50649">
      <c r="Y50649" s="372">
        <v>0.0</v>
      </c>
      <c r="Z50649" s="372">
        <v>0.0</v>
      </c>
    </row>
    <row r="50650">
      <c r="Y50650" s="372">
        <v>0.0</v>
      </c>
      <c r="Z50650" s="372">
        <v>0.0</v>
      </c>
    </row>
    <row r="50651">
      <c r="Y50651" s="372">
        <v>0.0</v>
      </c>
      <c r="Z50651" s="372">
        <v>0.0</v>
      </c>
    </row>
    <row r="50652">
      <c r="Y50652" s="372">
        <v>0.0</v>
      </c>
      <c r="Z50652" s="372">
        <v>0.0</v>
      </c>
    </row>
    <row r="50653">
      <c r="Y50653" s="372">
        <v>0.0</v>
      </c>
      <c r="Z50653" s="372">
        <v>0.0</v>
      </c>
    </row>
    <row r="50654">
      <c r="Y50654" s="372">
        <v>0.0</v>
      </c>
      <c r="Z50654" s="372">
        <v>0.0</v>
      </c>
    </row>
    <row r="50655">
      <c r="Y50655" s="372">
        <v>0.0</v>
      </c>
      <c r="Z50655" s="372">
        <v>0.0</v>
      </c>
    </row>
    <row r="50656">
      <c r="Y50656" s="372">
        <v>0.0</v>
      </c>
      <c r="Z50656" s="372">
        <v>0.0</v>
      </c>
    </row>
    <row r="50657">
      <c r="Y50657" s="372">
        <v>0.0</v>
      </c>
      <c r="Z50657" s="372">
        <v>0.0</v>
      </c>
    </row>
    <row r="50658">
      <c r="Y50658" s="372">
        <v>0.0</v>
      </c>
      <c r="Z50658" s="372">
        <v>0.0</v>
      </c>
    </row>
    <row r="50659">
      <c r="Y50659" s="372">
        <v>0.0</v>
      </c>
      <c r="Z50659" s="372">
        <v>0.0</v>
      </c>
    </row>
    <row r="50660">
      <c r="Y50660" s="372">
        <v>0.0</v>
      </c>
      <c r="Z50660" s="372">
        <v>0.0</v>
      </c>
    </row>
    <row r="50661">
      <c r="Y50661" s="372">
        <v>0.0</v>
      </c>
      <c r="Z50661" s="372">
        <v>0.0</v>
      </c>
    </row>
    <row r="50662">
      <c r="Y50662" s="372">
        <v>0.0</v>
      </c>
      <c r="Z50662" s="372">
        <v>0.0</v>
      </c>
    </row>
    <row r="50663">
      <c r="Y50663" s="372">
        <v>0.0</v>
      </c>
      <c r="Z50663" s="372">
        <v>0.0</v>
      </c>
    </row>
    <row r="50664">
      <c r="Y50664" s="372">
        <v>0.0</v>
      </c>
      <c r="Z50664" s="372">
        <v>0.0</v>
      </c>
    </row>
    <row r="50665">
      <c r="Y50665" s="372">
        <v>0.0</v>
      </c>
      <c r="Z50665" s="372">
        <v>0.0</v>
      </c>
    </row>
    <row r="50666">
      <c r="Y50666" s="372">
        <v>0.0</v>
      </c>
      <c r="Z50666" s="372">
        <v>0.0</v>
      </c>
    </row>
    <row r="50667">
      <c r="Y50667" s="372">
        <v>0.0</v>
      </c>
      <c r="Z50667" s="372">
        <v>0.0</v>
      </c>
    </row>
    <row r="50668">
      <c r="Y50668" s="372">
        <v>0.0</v>
      </c>
      <c r="Z50668" s="372">
        <v>0.0</v>
      </c>
    </row>
    <row r="50669">
      <c r="Y50669" s="372">
        <v>0.0</v>
      </c>
      <c r="Z50669" s="372">
        <v>0.0</v>
      </c>
    </row>
    <row r="50670">
      <c r="Y50670" s="372">
        <v>0.0</v>
      </c>
      <c r="Z50670" s="372">
        <v>0.0</v>
      </c>
    </row>
    <row r="50671">
      <c r="Y50671" s="372">
        <v>0.0</v>
      </c>
      <c r="Z50671" s="372">
        <v>0.0</v>
      </c>
    </row>
    <row r="50672">
      <c r="Y50672" s="372">
        <v>0.0</v>
      </c>
      <c r="Z50672" s="372">
        <v>0.0</v>
      </c>
    </row>
    <row r="50673">
      <c r="Y50673" s="372">
        <v>0.0</v>
      </c>
      <c r="Z50673" s="372">
        <v>0.0</v>
      </c>
    </row>
    <row r="50674">
      <c r="Y50674" s="372">
        <v>0.0</v>
      </c>
      <c r="Z50674" s="372">
        <v>0.0</v>
      </c>
    </row>
    <row r="50675">
      <c r="Y50675" s="372">
        <v>0.0</v>
      </c>
      <c r="Z50675" s="372">
        <v>0.0</v>
      </c>
    </row>
    <row r="50676">
      <c r="Y50676" s="372">
        <v>0.0</v>
      </c>
      <c r="Z50676" s="372">
        <v>0.0</v>
      </c>
    </row>
    <row r="50677">
      <c r="Y50677" s="372">
        <v>0.0</v>
      </c>
      <c r="Z50677" s="372">
        <v>0.0</v>
      </c>
    </row>
    <row r="50678">
      <c r="Y50678" s="372">
        <v>0.0</v>
      </c>
      <c r="Z50678" s="372">
        <v>0.0</v>
      </c>
    </row>
    <row r="50679">
      <c r="Y50679" s="372">
        <v>0.0</v>
      </c>
      <c r="Z50679" s="372">
        <v>0.0</v>
      </c>
    </row>
    <row r="50680">
      <c r="Y50680" s="372">
        <v>0.0</v>
      </c>
      <c r="Z50680" s="372">
        <v>0.0</v>
      </c>
    </row>
    <row r="50681">
      <c r="Y50681" s="372">
        <v>0.0</v>
      </c>
      <c r="Z50681" s="372">
        <v>0.0</v>
      </c>
    </row>
    <row r="50682">
      <c r="Y50682" s="372">
        <v>0.0</v>
      </c>
      <c r="Z50682" s="372">
        <v>0.0</v>
      </c>
    </row>
    <row r="50683">
      <c r="Y50683" s="372">
        <v>0.0</v>
      </c>
      <c r="Z50683" s="372">
        <v>0.0</v>
      </c>
    </row>
    <row r="50684">
      <c r="Y50684" s="372">
        <v>0.0</v>
      </c>
      <c r="Z50684" s="372">
        <v>0.0</v>
      </c>
    </row>
    <row r="50685">
      <c r="Y50685" s="372">
        <v>0.0</v>
      </c>
      <c r="Z50685" s="372">
        <v>0.0</v>
      </c>
    </row>
    <row r="50686">
      <c r="Y50686" s="372">
        <v>0.0</v>
      </c>
      <c r="Z50686" s="372">
        <v>0.0</v>
      </c>
    </row>
    <row r="50687">
      <c r="Y50687" s="372">
        <v>0.0</v>
      </c>
      <c r="Z50687" s="372">
        <v>0.0</v>
      </c>
    </row>
    <row r="50688">
      <c r="Y50688" s="372">
        <v>0.0</v>
      </c>
      <c r="Z50688" s="372">
        <v>0.0</v>
      </c>
    </row>
    <row r="50689">
      <c r="Y50689" s="372">
        <v>0.0</v>
      </c>
      <c r="Z50689" s="372">
        <v>0.0</v>
      </c>
    </row>
    <row r="50690">
      <c r="Y50690" s="372">
        <v>0.0</v>
      </c>
      <c r="Z50690" s="372">
        <v>0.0</v>
      </c>
    </row>
    <row r="50691">
      <c r="Y50691" s="372">
        <v>0.0</v>
      </c>
      <c r="Z50691" s="372">
        <v>0.0</v>
      </c>
    </row>
    <row r="50692">
      <c r="Y50692" s="372">
        <v>0.0</v>
      </c>
      <c r="Z50692" s="372">
        <v>0.0</v>
      </c>
    </row>
    <row r="50693">
      <c r="Y50693" s="372">
        <v>0.0</v>
      </c>
      <c r="Z50693" s="372">
        <v>0.0</v>
      </c>
    </row>
    <row r="50694">
      <c r="Y50694" s="372">
        <v>0.0</v>
      </c>
      <c r="Z50694" s="372">
        <v>0.0</v>
      </c>
    </row>
    <row r="50695">
      <c r="Y50695" s="372">
        <v>0.0</v>
      </c>
      <c r="Z50695" s="372">
        <v>0.0</v>
      </c>
    </row>
    <row r="50696">
      <c r="Y50696" s="372">
        <v>0.0</v>
      </c>
      <c r="Z50696" s="372">
        <v>0.0</v>
      </c>
    </row>
    <row r="50697">
      <c r="Y50697" s="372">
        <v>0.0</v>
      </c>
      <c r="Z50697" s="372">
        <v>0.0</v>
      </c>
    </row>
    <row r="50698">
      <c r="Y50698" s="372">
        <v>0.0</v>
      </c>
      <c r="Z50698" s="372">
        <v>0.0</v>
      </c>
    </row>
    <row r="50699">
      <c r="Y50699" s="372">
        <v>0.0</v>
      </c>
      <c r="Z50699" s="372">
        <v>0.0</v>
      </c>
    </row>
    <row r="50700">
      <c r="Y50700" s="372">
        <v>0.0</v>
      </c>
      <c r="Z50700" s="372">
        <v>0.0</v>
      </c>
    </row>
    <row r="50701">
      <c r="Y50701" s="372">
        <v>0.0</v>
      </c>
      <c r="Z50701" s="372">
        <v>0.0</v>
      </c>
    </row>
    <row r="50702">
      <c r="Y50702" s="372">
        <v>0.0</v>
      </c>
      <c r="Z50702" s="372">
        <v>0.0</v>
      </c>
    </row>
    <row r="50703">
      <c r="Y50703" s="372">
        <v>0.0</v>
      </c>
      <c r="Z50703" s="372">
        <v>0.0</v>
      </c>
    </row>
    <row r="50704">
      <c r="Y50704" s="372">
        <v>0.0</v>
      </c>
      <c r="Z50704" s="372">
        <v>0.0</v>
      </c>
    </row>
    <row r="50705">
      <c r="Y50705" s="372">
        <v>0.0</v>
      </c>
      <c r="Z50705" s="372">
        <v>0.0</v>
      </c>
    </row>
    <row r="50706">
      <c r="Y50706" s="372">
        <v>0.0</v>
      </c>
      <c r="Z50706" s="372">
        <v>0.0</v>
      </c>
    </row>
    <row r="50707">
      <c r="Y50707" s="372">
        <v>0.0</v>
      </c>
      <c r="Z50707" s="372">
        <v>0.0</v>
      </c>
    </row>
    <row r="50708">
      <c r="Y50708" s="372">
        <v>0.0</v>
      </c>
      <c r="Z50708" s="372">
        <v>0.0</v>
      </c>
    </row>
    <row r="50709">
      <c r="Y50709" s="372">
        <v>0.0</v>
      </c>
      <c r="Z50709" s="372">
        <v>0.0</v>
      </c>
    </row>
    <row r="50710">
      <c r="Y50710" s="372">
        <v>0.0</v>
      </c>
      <c r="Z50710" s="372">
        <v>0.0</v>
      </c>
    </row>
    <row r="50711">
      <c r="Y50711" s="372">
        <v>0.0</v>
      </c>
      <c r="Z50711" s="372">
        <v>0.0</v>
      </c>
    </row>
    <row r="50712">
      <c r="Y50712" s="372">
        <v>0.0</v>
      </c>
      <c r="Z50712" s="372">
        <v>0.0</v>
      </c>
    </row>
    <row r="50713">
      <c r="Y50713" s="372">
        <v>0.0</v>
      </c>
      <c r="Z50713" s="372">
        <v>0.0</v>
      </c>
    </row>
    <row r="50714">
      <c r="Y50714" s="372">
        <v>0.0</v>
      </c>
      <c r="Z50714" s="372">
        <v>0.0</v>
      </c>
    </row>
    <row r="50715">
      <c r="Y50715" s="372">
        <v>0.0</v>
      </c>
      <c r="Z50715" s="372">
        <v>0.0</v>
      </c>
    </row>
    <row r="50716">
      <c r="Y50716" s="372">
        <v>0.0</v>
      </c>
      <c r="Z50716" s="372">
        <v>0.0</v>
      </c>
    </row>
    <row r="50717">
      <c r="Y50717" s="372">
        <v>0.0</v>
      </c>
      <c r="Z50717" s="372">
        <v>0.0</v>
      </c>
    </row>
    <row r="50718">
      <c r="Y50718" s="372">
        <v>0.0</v>
      </c>
      <c r="Z50718" s="372">
        <v>0.0</v>
      </c>
    </row>
    <row r="50719">
      <c r="Y50719" s="372">
        <v>0.0</v>
      </c>
      <c r="Z50719" s="372">
        <v>0.0</v>
      </c>
    </row>
    <row r="50720">
      <c r="Y50720" s="372">
        <v>0.0</v>
      </c>
      <c r="Z50720" s="372">
        <v>0.0</v>
      </c>
    </row>
    <row r="50721">
      <c r="Y50721" s="372">
        <v>0.0</v>
      </c>
      <c r="Z50721" s="372">
        <v>0.0</v>
      </c>
    </row>
    <row r="50722">
      <c r="Y50722" s="372">
        <v>0.0</v>
      </c>
      <c r="Z50722" s="372">
        <v>0.0</v>
      </c>
    </row>
    <row r="50723">
      <c r="Y50723" s="372">
        <v>0.0</v>
      </c>
      <c r="Z50723" s="372">
        <v>0.0</v>
      </c>
    </row>
    <row r="50724">
      <c r="Y50724" s="372">
        <v>0.0</v>
      </c>
      <c r="Z50724" s="372">
        <v>0.0</v>
      </c>
    </row>
    <row r="50725">
      <c r="Y50725" s="372">
        <v>0.0</v>
      </c>
      <c r="Z50725" s="372">
        <v>0.0</v>
      </c>
    </row>
    <row r="50726">
      <c r="Y50726" s="372">
        <v>0.0</v>
      </c>
      <c r="Z50726" s="372">
        <v>0.0</v>
      </c>
    </row>
    <row r="50727">
      <c r="Y50727" s="372">
        <v>0.0</v>
      </c>
      <c r="Z50727" s="372">
        <v>0.0</v>
      </c>
    </row>
    <row r="50728">
      <c r="Y50728" s="372">
        <v>0.0</v>
      </c>
      <c r="Z50728" s="372">
        <v>0.0</v>
      </c>
    </row>
    <row r="50729">
      <c r="Y50729" s="372">
        <v>0.0</v>
      </c>
      <c r="Z50729" s="372">
        <v>0.0</v>
      </c>
    </row>
    <row r="50730">
      <c r="Y50730" s="372">
        <v>0.0</v>
      </c>
      <c r="Z50730" s="372">
        <v>0.0</v>
      </c>
    </row>
    <row r="50731">
      <c r="Y50731" s="372">
        <v>0.0</v>
      </c>
      <c r="Z50731" s="372">
        <v>0.0</v>
      </c>
    </row>
    <row r="50732">
      <c r="Y50732" s="372">
        <v>0.0</v>
      </c>
      <c r="Z50732" s="372">
        <v>0.0</v>
      </c>
    </row>
    <row r="50733">
      <c r="Y50733" s="372">
        <v>0.0</v>
      </c>
      <c r="Z50733" s="372">
        <v>0.0</v>
      </c>
    </row>
    <row r="50734">
      <c r="Y50734" s="372">
        <v>0.0</v>
      </c>
      <c r="Z50734" s="372">
        <v>0.0</v>
      </c>
    </row>
    <row r="50735">
      <c r="Y50735" s="372">
        <v>0.0</v>
      </c>
      <c r="Z50735" s="372">
        <v>0.0</v>
      </c>
    </row>
    <row r="50736">
      <c r="Y50736" s="372">
        <v>0.0</v>
      </c>
      <c r="Z50736" s="372">
        <v>0.0</v>
      </c>
    </row>
    <row r="50737">
      <c r="Y50737" s="372">
        <v>0.0</v>
      </c>
      <c r="Z50737" s="372">
        <v>0.0</v>
      </c>
    </row>
    <row r="50738">
      <c r="Y50738" s="372">
        <v>0.0</v>
      </c>
      <c r="Z50738" s="372">
        <v>0.0</v>
      </c>
    </row>
    <row r="50739">
      <c r="Y50739" s="372">
        <v>0.0</v>
      </c>
      <c r="Z50739" s="372">
        <v>0.0</v>
      </c>
    </row>
    <row r="50740">
      <c r="Y50740" s="372">
        <v>0.0</v>
      </c>
      <c r="Z50740" s="372">
        <v>0.0</v>
      </c>
    </row>
    <row r="50741">
      <c r="Y50741" s="372">
        <v>0.0</v>
      </c>
      <c r="Z50741" s="372">
        <v>0.0</v>
      </c>
    </row>
    <row r="50742">
      <c r="Y50742" s="372">
        <v>0.0</v>
      </c>
      <c r="Z50742" s="372">
        <v>0.0</v>
      </c>
    </row>
    <row r="50743">
      <c r="Y50743" s="372">
        <v>0.0</v>
      </c>
      <c r="Z50743" s="372">
        <v>0.0</v>
      </c>
    </row>
    <row r="50744">
      <c r="Y50744" s="372">
        <v>0.0</v>
      </c>
      <c r="Z50744" s="372">
        <v>0.0</v>
      </c>
    </row>
    <row r="50745">
      <c r="Y50745" s="372">
        <v>0.0</v>
      </c>
      <c r="Z50745" s="372">
        <v>0.0</v>
      </c>
    </row>
    <row r="50746">
      <c r="Y50746" s="372">
        <v>0.0</v>
      </c>
      <c r="Z50746" s="372">
        <v>0.0</v>
      </c>
    </row>
    <row r="50747">
      <c r="Y50747" s="372">
        <v>0.0</v>
      </c>
      <c r="Z50747" s="372">
        <v>0.0</v>
      </c>
    </row>
    <row r="50748">
      <c r="Y50748" s="372">
        <v>0.0</v>
      </c>
      <c r="Z50748" s="372">
        <v>0.0</v>
      </c>
    </row>
    <row r="50749">
      <c r="Y50749" s="372">
        <v>0.0</v>
      </c>
      <c r="Z50749" s="372">
        <v>0.0</v>
      </c>
    </row>
    <row r="50750">
      <c r="Y50750" s="372">
        <v>0.0</v>
      </c>
      <c r="Z50750" s="372">
        <v>0.0</v>
      </c>
    </row>
    <row r="50751">
      <c r="Y50751" s="372">
        <v>0.0</v>
      </c>
      <c r="Z50751" s="372">
        <v>0.0</v>
      </c>
    </row>
    <row r="50752">
      <c r="Y50752" s="372">
        <v>0.0</v>
      </c>
      <c r="Z50752" s="372">
        <v>0.0</v>
      </c>
    </row>
    <row r="50753">
      <c r="Y50753" s="372">
        <v>0.0</v>
      </c>
      <c r="Z50753" s="372">
        <v>0.0</v>
      </c>
    </row>
    <row r="50754">
      <c r="Y50754" s="372">
        <v>0.0</v>
      </c>
      <c r="Z50754" s="372">
        <v>0.0</v>
      </c>
    </row>
    <row r="50755">
      <c r="Y50755" s="372">
        <v>0.0</v>
      </c>
      <c r="Z50755" s="372">
        <v>0.0</v>
      </c>
    </row>
    <row r="50756">
      <c r="Y50756" s="372">
        <v>0.0</v>
      </c>
      <c r="Z50756" s="372">
        <v>0.0</v>
      </c>
    </row>
    <row r="50757">
      <c r="Y50757" s="372">
        <v>0.0</v>
      </c>
      <c r="Z50757" s="372">
        <v>0.0</v>
      </c>
    </row>
    <row r="50758">
      <c r="Y50758" s="372">
        <v>0.0</v>
      </c>
      <c r="Z50758" s="372">
        <v>0.0</v>
      </c>
    </row>
    <row r="50759">
      <c r="Y50759" s="372">
        <v>0.0</v>
      </c>
      <c r="Z50759" s="372">
        <v>0.0</v>
      </c>
    </row>
    <row r="50760">
      <c r="Y50760" s="372">
        <v>0.0</v>
      </c>
      <c r="Z50760" s="372">
        <v>0.0</v>
      </c>
    </row>
    <row r="50761">
      <c r="Y50761" s="372">
        <v>0.0</v>
      </c>
      <c r="Z50761" s="372">
        <v>0.0</v>
      </c>
    </row>
    <row r="50762">
      <c r="Y50762" s="372">
        <v>0.0</v>
      </c>
      <c r="Z50762" s="372">
        <v>0.0</v>
      </c>
    </row>
    <row r="50763">
      <c r="Y50763" s="372">
        <v>0.0</v>
      </c>
      <c r="Z50763" s="372">
        <v>0.0</v>
      </c>
    </row>
    <row r="50764">
      <c r="Y50764" s="372">
        <v>0.0</v>
      </c>
      <c r="Z50764" s="372">
        <v>0.0</v>
      </c>
    </row>
    <row r="50765">
      <c r="Y50765" s="372">
        <v>0.0</v>
      </c>
      <c r="Z50765" s="372">
        <v>0.0</v>
      </c>
    </row>
    <row r="50766">
      <c r="Y50766" s="372">
        <v>0.0</v>
      </c>
      <c r="Z50766" s="372">
        <v>0.0</v>
      </c>
    </row>
    <row r="50767">
      <c r="Y50767" s="372">
        <v>0.0</v>
      </c>
      <c r="Z50767" s="372">
        <v>0.0</v>
      </c>
    </row>
    <row r="50768">
      <c r="Y50768" s="372">
        <v>0.0</v>
      </c>
      <c r="Z50768" s="372">
        <v>0.0</v>
      </c>
    </row>
    <row r="50769">
      <c r="Y50769" s="372">
        <v>0.0</v>
      </c>
      <c r="Z50769" s="372">
        <v>0.0</v>
      </c>
    </row>
    <row r="50770">
      <c r="Y50770" s="372">
        <v>0.0</v>
      </c>
      <c r="Z50770" s="372">
        <v>0.0</v>
      </c>
    </row>
    <row r="50771">
      <c r="Y50771" s="372">
        <v>0.0</v>
      </c>
      <c r="Z50771" s="372">
        <v>0.0</v>
      </c>
    </row>
    <row r="50772">
      <c r="Y50772" s="372">
        <v>0.0</v>
      </c>
      <c r="Z50772" s="372">
        <v>0.0</v>
      </c>
    </row>
    <row r="50773">
      <c r="Y50773" s="372">
        <v>0.0</v>
      </c>
      <c r="Z50773" s="372">
        <v>0.0</v>
      </c>
    </row>
    <row r="50774">
      <c r="Y50774" s="372">
        <v>0.0</v>
      </c>
      <c r="Z50774" s="372">
        <v>0.0</v>
      </c>
    </row>
    <row r="50775">
      <c r="Y50775" s="372">
        <v>0.0</v>
      </c>
      <c r="Z50775" s="372">
        <v>0.0</v>
      </c>
    </row>
    <row r="50776">
      <c r="Y50776" s="372">
        <v>0.0</v>
      </c>
      <c r="Z50776" s="372">
        <v>0.0</v>
      </c>
    </row>
    <row r="50777">
      <c r="Y50777" s="372">
        <v>0.0</v>
      </c>
      <c r="Z50777" s="372">
        <v>0.0</v>
      </c>
    </row>
    <row r="50778">
      <c r="Y50778" s="372">
        <v>0.0</v>
      </c>
      <c r="Z50778" s="372">
        <v>0.0</v>
      </c>
    </row>
    <row r="50779">
      <c r="Y50779" s="372">
        <v>0.0</v>
      </c>
      <c r="Z50779" s="372">
        <v>0.0</v>
      </c>
    </row>
    <row r="50780">
      <c r="Y50780" s="372">
        <v>0.0</v>
      </c>
      <c r="Z50780" s="372">
        <v>0.0</v>
      </c>
    </row>
    <row r="50781">
      <c r="Y50781" s="372">
        <v>0.0</v>
      </c>
      <c r="Z50781" s="372">
        <v>0.0</v>
      </c>
    </row>
    <row r="50782">
      <c r="Y50782" s="372">
        <v>0.0</v>
      </c>
      <c r="Z50782" s="372">
        <v>0.0</v>
      </c>
    </row>
    <row r="50783">
      <c r="Y50783" s="372">
        <v>0.0</v>
      </c>
      <c r="Z50783" s="372">
        <v>0.0</v>
      </c>
    </row>
    <row r="50784">
      <c r="Y50784" s="372">
        <v>0.0</v>
      </c>
      <c r="Z50784" s="372">
        <v>0.0</v>
      </c>
    </row>
    <row r="50785">
      <c r="Y50785" s="372">
        <v>0.0</v>
      </c>
      <c r="Z50785" s="372">
        <v>0.0</v>
      </c>
    </row>
    <row r="50786">
      <c r="Y50786" s="372">
        <v>0.0</v>
      </c>
      <c r="Z50786" s="372">
        <v>0.0</v>
      </c>
    </row>
    <row r="50787">
      <c r="Y50787" s="372">
        <v>0.0</v>
      </c>
      <c r="Z50787" s="372">
        <v>0.0</v>
      </c>
    </row>
    <row r="50788">
      <c r="Y50788" s="372">
        <v>0.0</v>
      </c>
      <c r="Z50788" s="372">
        <v>0.0</v>
      </c>
    </row>
    <row r="50789">
      <c r="Y50789" s="372">
        <v>0.0</v>
      </c>
      <c r="Z50789" s="372">
        <v>0.0</v>
      </c>
    </row>
    <row r="50790">
      <c r="Y50790" s="372">
        <v>0.0</v>
      </c>
      <c r="Z50790" s="372">
        <v>0.0</v>
      </c>
    </row>
    <row r="50791">
      <c r="Y50791" s="372">
        <v>0.0</v>
      </c>
      <c r="Z50791" s="372">
        <v>0.0</v>
      </c>
    </row>
    <row r="50792">
      <c r="Y50792" s="372">
        <v>0.0</v>
      </c>
      <c r="Z50792" s="372">
        <v>0.0</v>
      </c>
    </row>
    <row r="50793">
      <c r="Y50793" s="372">
        <v>0.0</v>
      </c>
      <c r="Z50793" s="372">
        <v>0.0</v>
      </c>
    </row>
    <row r="50794">
      <c r="Y50794" s="372">
        <v>0.0</v>
      </c>
      <c r="Z50794" s="372">
        <v>0.0</v>
      </c>
    </row>
    <row r="50795">
      <c r="Y50795" s="372">
        <v>0.0</v>
      </c>
      <c r="Z50795" s="372">
        <v>0.0</v>
      </c>
    </row>
    <row r="50796">
      <c r="Y50796" s="372">
        <v>0.0</v>
      </c>
      <c r="Z50796" s="372">
        <v>0.0</v>
      </c>
    </row>
    <row r="50797">
      <c r="Y50797" s="372">
        <v>0.0</v>
      </c>
      <c r="Z50797" s="372">
        <v>0.0</v>
      </c>
    </row>
    <row r="50798">
      <c r="Y50798" s="372">
        <v>0.0</v>
      </c>
      <c r="Z50798" s="372">
        <v>0.0</v>
      </c>
    </row>
    <row r="50799">
      <c r="Y50799" s="372">
        <v>0.0</v>
      </c>
      <c r="Z50799" s="372">
        <v>0.0</v>
      </c>
    </row>
    <row r="50800">
      <c r="Y50800" s="372">
        <v>0.0</v>
      </c>
      <c r="Z50800" s="372">
        <v>0.0</v>
      </c>
    </row>
    <row r="50801">
      <c r="Y50801" s="372">
        <v>0.0</v>
      </c>
      <c r="Z50801" s="372">
        <v>0.0</v>
      </c>
    </row>
    <row r="50802">
      <c r="Y50802" s="372">
        <v>0.0</v>
      </c>
      <c r="Z50802" s="372">
        <v>0.0</v>
      </c>
    </row>
    <row r="50803">
      <c r="Y50803" s="372">
        <v>0.0</v>
      </c>
      <c r="Z50803" s="372">
        <v>0.0</v>
      </c>
    </row>
    <row r="50804">
      <c r="Y50804" s="372">
        <v>0.0</v>
      </c>
      <c r="Z50804" s="372">
        <v>0.0</v>
      </c>
    </row>
    <row r="50805">
      <c r="Y50805" s="372">
        <v>0.0</v>
      </c>
      <c r="Z50805" s="372">
        <v>0.0</v>
      </c>
    </row>
    <row r="50806">
      <c r="Y50806" s="372">
        <v>0.0</v>
      </c>
      <c r="Z50806" s="372">
        <v>0.0</v>
      </c>
    </row>
    <row r="50807">
      <c r="Y50807" s="372">
        <v>0.0</v>
      </c>
      <c r="Z50807" s="372">
        <v>0.0</v>
      </c>
    </row>
    <row r="50808">
      <c r="Y50808" s="372">
        <v>0.0</v>
      </c>
      <c r="Z50808" s="372">
        <v>0.0</v>
      </c>
    </row>
    <row r="50809">
      <c r="Y50809" s="372">
        <v>0.0</v>
      </c>
      <c r="Z50809" s="372">
        <v>0.0</v>
      </c>
    </row>
    <row r="50810">
      <c r="Y50810" s="372">
        <v>0.0</v>
      </c>
      <c r="Z50810" s="372">
        <v>0.0</v>
      </c>
    </row>
    <row r="50811">
      <c r="Y50811" s="372">
        <v>0.0</v>
      </c>
      <c r="Z50811" s="372">
        <v>0.0</v>
      </c>
    </row>
    <row r="50812">
      <c r="Y50812" s="372">
        <v>0.0</v>
      </c>
      <c r="Z50812" s="372">
        <v>0.0</v>
      </c>
    </row>
    <row r="50813">
      <c r="Y50813" s="372">
        <v>0.0</v>
      </c>
      <c r="Z50813" s="372">
        <v>0.0</v>
      </c>
    </row>
    <row r="50814">
      <c r="Y50814" s="372">
        <v>0.0</v>
      </c>
      <c r="Z50814" s="372">
        <v>0.0</v>
      </c>
    </row>
    <row r="50815">
      <c r="Y50815" s="372">
        <v>0.0</v>
      </c>
      <c r="Z50815" s="372">
        <v>0.0</v>
      </c>
    </row>
    <row r="50816">
      <c r="Y50816" s="372">
        <v>0.0</v>
      </c>
      <c r="Z50816" s="372">
        <v>0.0</v>
      </c>
    </row>
    <row r="50817">
      <c r="Y50817" s="372">
        <v>0.0</v>
      </c>
      <c r="Z50817" s="372">
        <v>0.0</v>
      </c>
    </row>
    <row r="50818">
      <c r="Y50818" s="372">
        <v>0.0</v>
      </c>
      <c r="Z50818" s="372">
        <v>0.0</v>
      </c>
    </row>
    <row r="50819">
      <c r="Y50819" s="372">
        <v>0.0</v>
      </c>
      <c r="Z50819" s="372">
        <v>0.0</v>
      </c>
    </row>
    <row r="50820">
      <c r="Y50820" s="372">
        <v>0.0</v>
      </c>
      <c r="Z50820" s="372">
        <v>0.0</v>
      </c>
    </row>
    <row r="50821">
      <c r="Y50821" s="372">
        <v>0.0</v>
      </c>
      <c r="Z50821" s="372">
        <v>0.0</v>
      </c>
    </row>
    <row r="50822">
      <c r="Y50822" s="372">
        <v>0.0</v>
      </c>
      <c r="Z50822" s="372">
        <v>0.0</v>
      </c>
    </row>
    <row r="50823">
      <c r="Y50823" s="372">
        <v>0.0</v>
      </c>
      <c r="Z50823" s="372">
        <v>0.0</v>
      </c>
    </row>
    <row r="50824">
      <c r="Y50824" s="372">
        <v>0.0</v>
      </c>
      <c r="Z50824" s="372">
        <v>0.0</v>
      </c>
    </row>
    <row r="50825">
      <c r="Y50825" s="372">
        <v>0.0</v>
      </c>
      <c r="Z50825" s="372">
        <v>0.0</v>
      </c>
    </row>
    <row r="50826">
      <c r="Y50826" s="372">
        <v>0.0</v>
      </c>
      <c r="Z50826" s="372">
        <v>0.0</v>
      </c>
    </row>
    <row r="50827">
      <c r="Y50827" s="372">
        <v>0.0</v>
      </c>
      <c r="Z50827" s="372">
        <v>0.0</v>
      </c>
    </row>
    <row r="50828">
      <c r="Y50828" s="372">
        <v>0.0</v>
      </c>
      <c r="Z50828" s="372">
        <v>0.0</v>
      </c>
    </row>
    <row r="50829">
      <c r="Y50829" s="372">
        <v>0.0</v>
      </c>
      <c r="Z50829" s="372">
        <v>0.0</v>
      </c>
    </row>
    <row r="50830">
      <c r="Y50830" s="372">
        <v>0.0</v>
      </c>
      <c r="Z50830" s="372">
        <v>0.0</v>
      </c>
    </row>
    <row r="50831">
      <c r="Y50831" s="372">
        <v>0.0</v>
      </c>
      <c r="Z50831" s="372">
        <v>0.0</v>
      </c>
    </row>
    <row r="50832">
      <c r="Y50832" s="372">
        <v>0.0</v>
      </c>
      <c r="Z50832" s="372">
        <v>0.0</v>
      </c>
    </row>
    <row r="50833">
      <c r="Y50833" s="372">
        <v>0.0</v>
      </c>
      <c r="Z50833" s="372">
        <v>0.0</v>
      </c>
    </row>
    <row r="50834">
      <c r="Y50834" s="372">
        <v>0.0</v>
      </c>
      <c r="Z50834" s="372">
        <v>0.0</v>
      </c>
    </row>
    <row r="50835">
      <c r="Y50835" s="372">
        <v>0.0</v>
      </c>
      <c r="Z50835" s="372">
        <v>0.0</v>
      </c>
    </row>
    <row r="50836">
      <c r="Y50836" s="372">
        <v>0.0</v>
      </c>
      <c r="Z50836" s="372">
        <v>0.0</v>
      </c>
    </row>
    <row r="50837">
      <c r="Y50837" s="372">
        <v>0.0</v>
      </c>
      <c r="Z50837" s="372">
        <v>0.0</v>
      </c>
    </row>
    <row r="50838">
      <c r="Y50838" s="372">
        <v>0.0</v>
      </c>
      <c r="Z50838" s="372">
        <v>0.0</v>
      </c>
    </row>
    <row r="50839">
      <c r="Y50839" s="372">
        <v>0.0</v>
      </c>
      <c r="Z50839" s="372">
        <v>0.0</v>
      </c>
    </row>
    <row r="50840">
      <c r="Y50840" s="372">
        <v>0.0</v>
      </c>
      <c r="Z50840" s="372">
        <v>0.0</v>
      </c>
    </row>
    <row r="50841">
      <c r="Y50841" s="372">
        <v>0.0</v>
      </c>
      <c r="Z50841" s="372">
        <v>0.0</v>
      </c>
    </row>
    <row r="50842">
      <c r="Y50842" s="372">
        <v>0.0</v>
      </c>
      <c r="Z50842" s="372">
        <v>0.0</v>
      </c>
    </row>
    <row r="50843">
      <c r="Y50843" s="372">
        <v>0.0</v>
      </c>
      <c r="Z50843" s="372">
        <v>0.0</v>
      </c>
    </row>
    <row r="50844">
      <c r="Y50844" s="372">
        <v>0.0</v>
      </c>
      <c r="Z50844" s="372">
        <v>0.0</v>
      </c>
    </row>
    <row r="50845">
      <c r="Y50845" s="372">
        <v>0.0</v>
      </c>
      <c r="Z50845" s="372">
        <v>0.0</v>
      </c>
    </row>
    <row r="50846">
      <c r="Y50846" s="372">
        <v>0.0</v>
      </c>
      <c r="Z50846" s="372">
        <v>0.0</v>
      </c>
    </row>
    <row r="50847">
      <c r="Y50847" s="372">
        <v>0.0</v>
      </c>
      <c r="Z50847" s="372">
        <v>0.0</v>
      </c>
    </row>
    <row r="50848">
      <c r="Y50848" s="372">
        <v>0.0</v>
      </c>
      <c r="Z50848" s="372">
        <v>0.0</v>
      </c>
    </row>
    <row r="50849">
      <c r="Y50849" s="372">
        <v>0.0</v>
      </c>
      <c r="Z50849" s="372">
        <v>0.0</v>
      </c>
    </row>
    <row r="50850">
      <c r="Y50850" s="372">
        <v>0.0</v>
      </c>
      <c r="Z50850" s="372">
        <v>0.0</v>
      </c>
    </row>
    <row r="50851">
      <c r="Y50851" s="372">
        <v>0.0</v>
      </c>
      <c r="Z50851" s="372">
        <v>0.0</v>
      </c>
    </row>
    <row r="50852">
      <c r="Y50852" s="372">
        <v>0.0</v>
      </c>
      <c r="Z50852" s="372">
        <v>0.0</v>
      </c>
    </row>
    <row r="50853">
      <c r="Y50853" s="372">
        <v>0.0</v>
      </c>
      <c r="Z50853" s="372">
        <v>0.0</v>
      </c>
    </row>
    <row r="50854">
      <c r="Y50854" s="372">
        <v>0.0</v>
      </c>
      <c r="Z50854" s="372">
        <v>0.0</v>
      </c>
    </row>
    <row r="50855">
      <c r="Y50855" s="372">
        <v>0.0</v>
      </c>
      <c r="Z50855" s="372">
        <v>0.0</v>
      </c>
    </row>
    <row r="50856">
      <c r="Y50856" s="372">
        <v>0.0</v>
      </c>
      <c r="Z50856" s="372">
        <v>0.0</v>
      </c>
    </row>
    <row r="50857">
      <c r="Y50857" s="372">
        <v>0.0</v>
      </c>
      <c r="Z50857" s="372">
        <v>0.0</v>
      </c>
    </row>
    <row r="50858">
      <c r="Y50858" s="372">
        <v>0.0</v>
      </c>
      <c r="Z50858" s="372">
        <v>0.0</v>
      </c>
    </row>
    <row r="50859">
      <c r="Y50859" s="372">
        <v>0.0</v>
      </c>
      <c r="Z50859" s="372">
        <v>0.0</v>
      </c>
    </row>
    <row r="50860">
      <c r="Y50860" s="372">
        <v>0.0</v>
      </c>
      <c r="Z50860" s="372">
        <v>0.0</v>
      </c>
    </row>
    <row r="50861">
      <c r="Y50861" s="372">
        <v>0.0</v>
      </c>
      <c r="Z50861" s="372">
        <v>0.0</v>
      </c>
    </row>
    <row r="50862">
      <c r="Y50862" s="372">
        <v>0.0</v>
      </c>
      <c r="Z50862" s="372">
        <v>0.0</v>
      </c>
    </row>
    <row r="50863">
      <c r="Y50863" s="372">
        <v>0.0</v>
      </c>
      <c r="Z50863" s="372">
        <v>0.0</v>
      </c>
    </row>
    <row r="50864">
      <c r="Y50864" s="372">
        <v>0.0</v>
      </c>
      <c r="Z50864" s="372">
        <v>0.0</v>
      </c>
    </row>
    <row r="50865">
      <c r="Y50865" s="372">
        <v>0.0</v>
      </c>
      <c r="Z50865" s="372">
        <v>0.0</v>
      </c>
    </row>
    <row r="50866">
      <c r="Y50866" s="372">
        <v>0.0</v>
      </c>
      <c r="Z50866" s="372">
        <v>0.0</v>
      </c>
    </row>
    <row r="50867">
      <c r="Y50867" s="372">
        <v>0.0</v>
      </c>
      <c r="Z50867" s="372">
        <v>0.0</v>
      </c>
    </row>
    <row r="50868">
      <c r="Y50868" s="372">
        <v>0.0</v>
      </c>
      <c r="Z50868" s="372">
        <v>0.0</v>
      </c>
    </row>
    <row r="50869">
      <c r="Y50869" s="372">
        <v>0.0</v>
      </c>
      <c r="Z50869" s="372">
        <v>0.0</v>
      </c>
    </row>
    <row r="50870">
      <c r="Y50870" s="372">
        <v>0.0</v>
      </c>
      <c r="Z50870" s="372">
        <v>0.0</v>
      </c>
    </row>
    <row r="50871">
      <c r="Y50871" s="372">
        <v>0.0</v>
      </c>
      <c r="Z50871" s="372">
        <v>0.0</v>
      </c>
    </row>
    <row r="50872">
      <c r="Y50872" s="372">
        <v>0.0</v>
      </c>
      <c r="Z50872" s="372">
        <v>0.0</v>
      </c>
    </row>
    <row r="50873">
      <c r="Y50873" s="372">
        <v>0.0</v>
      </c>
      <c r="Z50873" s="372">
        <v>0.0</v>
      </c>
    </row>
    <row r="50874">
      <c r="Y50874" s="372">
        <v>0.0</v>
      </c>
      <c r="Z50874" s="372">
        <v>0.0</v>
      </c>
    </row>
    <row r="50875">
      <c r="Y50875" s="372">
        <v>0.0</v>
      </c>
      <c r="Z50875" s="372">
        <v>0.0</v>
      </c>
    </row>
    <row r="50876">
      <c r="Y50876" s="372">
        <v>0.0</v>
      </c>
      <c r="Z50876" s="372">
        <v>0.0</v>
      </c>
    </row>
    <row r="50877">
      <c r="Y50877" s="372">
        <v>0.0</v>
      </c>
      <c r="Z50877" s="372">
        <v>0.0</v>
      </c>
    </row>
    <row r="50878">
      <c r="Y50878" s="372">
        <v>0.0</v>
      </c>
      <c r="Z50878" s="372">
        <v>0.0</v>
      </c>
    </row>
    <row r="50879">
      <c r="Y50879" s="372">
        <v>0.0</v>
      </c>
      <c r="Z50879" s="372">
        <v>0.0</v>
      </c>
    </row>
    <row r="50880">
      <c r="Y50880" s="372">
        <v>0.0</v>
      </c>
      <c r="Z50880" s="372">
        <v>0.0</v>
      </c>
    </row>
    <row r="50881">
      <c r="Y50881" s="372">
        <v>0.0</v>
      </c>
      <c r="Z50881" s="372">
        <v>0.0</v>
      </c>
    </row>
    <row r="50882">
      <c r="Y50882" s="372">
        <v>0.0</v>
      </c>
      <c r="Z50882" s="372">
        <v>0.0</v>
      </c>
    </row>
    <row r="50883">
      <c r="Y50883" s="372">
        <v>0.0</v>
      </c>
      <c r="Z50883" s="372">
        <v>0.0</v>
      </c>
    </row>
    <row r="50884">
      <c r="Y50884" s="372">
        <v>0.0</v>
      </c>
      <c r="Z50884" s="372">
        <v>0.0</v>
      </c>
    </row>
    <row r="50885">
      <c r="Y50885" s="372">
        <v>0.0</v>
      </c>
      <c r="Z50885" s="372">
        <v>0.0</v>
      </c>
    </row>
    <row r="50886">
      <c r="Y50886" s="372">
        <v>0.0</v>
      </c>
      <c r="Z50886" s="372">
        <v>0.0</v>
      </c>
    </row>
    <row r="50887">
      <c r="Y50887" s="372">
        <v>0.0</v>
      </c>
      <c r="Z50887" s="372">
        <v>0.0</v>
      </c>
    </row>
    <row r="50888">
      <c r="Y50888" s="372">
        <v>0.0</v>
      </c>
      <c r="Z50888" s="372">
        <v>0.0</v>
      </c>
    </row>
    <row r="50889">
      <c r="Y50889" s="372">
        <v>0.0</v>
      </c>
      <c r="Z50889" s="372">
        <v>0.0</v>
      </c>
    </row>
    <row r="50890">
      <c r="Y50890" s="372">
        <v>0.0</v>
      </c>
      <c r="Z50890" s="372">
        <v>0.0</v>
      </c>
    </row>
    <row r="50891">
      <c r="Y50891" s="372">
        <v>0.0</v>
      </c>
      <c r="Z50891" s="372">
        <v>0.0</v>
      </c>
    </row>
    <row r="50892">
      <c r="Y50892" s="372">
        <v>0.0</v>
      </c>
      <c r="Z50892" s="372">
        <v>0.0</v>
      </c>
    </row>
    <row r="50893">
      <c r="Y50893" s="372">
        <v>0.0</v>
      </c>
      <c r="Z50893" s="372">
        <v>0.0</v>
      </c>
    </row>
    <row r="50894">
      <c r="Y50894" s="372">
        <v>0.0</v>
      </c>
      <c r="Z50894" s="372">
        <v>0.0</v>
      </c>
    </row>
    <row r="50895">
      <c r="Y50895" s="372">
        <v>0.0</v>
      </c>
      <c r="Z50895" s="372">
        <v>0.0</v>
      </c>
    </row>
    <row r="50896">
      <c r="Y50896" s="372">
        <v>0.0</v>
      </c>
      <c r="Z50896" s="372">
        <v>0.0</v>
      </c>
    </row>
    <row r="50897">
      <c r="Y50897" s="372">
        <v>0.0</v>
      </c>
      <c r="Z50897" s="372">
        <v>0.0</v>
      </c>
    </row>
    <row r="50898">
      <c r="Y50898" s="372">
        <v>0.0</v>
      </c>
      <c r="Z50898" s="372">
        <v>0.0</v>
      </c>
    </row>
    <row r="50899">
      <c r="Y50899" s="372">
        <v>0.0</v>
      </c>
      <c r="Z50899" s="372">
        <v>0.0</v>
      </c>
    </row>
    <row r="50900">
      <c r="Y50900" s="372">
        <v>0.0</v>
      </c>
      <c r="Z50900" s="372">
        <v>0.0</v>
      </c>
    </row>
    <row r="50901">
      <c r="Y50901" s="372">
        <v>0.0</v>
      </c>
      <c r="Z50901" s="372">
        <v>0.0</v>
      </c>
    </row>
    <row r="50902">
      <c r="Y50902" s="372">
        <v>0.0</v>
      </c>
      <c r="Z50902" s="372">
        <v>0.0</v>
      </c>
    </row>
    <row r="50903">
      <c r="Y50903" s="372">
        <v>0.0</v>
      </c>
      <c r="Z50903" s="372">
        <v>0.0</v>
      </c>
    </row>
    <row r="50904">
      <c r="Y50904" s="372">
        <v>0.0</v>
      </c>
      <c r="Z50904" s="372">
        <v>0.0</v>
      </c>
    </row>
    <row r="50905">
      <c r="Y50905" s="372">
        <v>0.0</v>
      </c>
      <c r="Z50905" s="372">
        <v>0.0</v>
      </c>
    </row>
    <row r="50906">
      <c r="Y50906" s="372">
        <v>0.0</v>
      </c>
      <c r="Z50906" s="372">
        <v>0.0</v>
      </c>
    </row>
    <row r="50907">
      <c r="Y50907" s="372">
        <v>0.0</v>
      </c>
      <c r="Z50907" s="372">
        <v>0.0</v>
      </c>
    </row>
    <row r="50908">
      <c r="Y50908" s="372">
        <v>0.0</v>
      </c>
      <c r="Z50908" s="372">
        <v>0.0</v>
      </c>
    </row>
    <row r="50909">
      <c r="Y50909" s="372">
        <v>0.0</v>
      </c>
      <c r="Z50909" s="372">
        <v>0.0</v>
      </c>
    </row>
    <row r="50910">
      <c r="Y50910" s="372">
        <v>0.0</v>
      </c>
      <c r="Z50910" s="372">
        <v>0.0</v>
      </c>
    </row>
    <row r="50911">
      <c r="Y50911" s="372">
        <v>0.0</v>
      </c>
      <c r="Z50911" s="372">
        <v>0.0</v>
      </c>
    </row>
    <row r="50912">
      <c r="Y50912" s="372">
        <v>0.0</v>
      </c>
      <c r="Z50912" s="372">
        <v>0.0</v>
      </c>
    </row>
    <row r="50913">
      <c r="Y50913" s="372">
        <v>0.0</v>
      </c>
      <c r="Z50913" s="372">
        <v>0.0</v>
      </c>
    </row>
    <row r="50914">
      <c r="Y50914" s="372">
        <v>0.0</v>
      </c>
      <c r="Z50914" s="372">
        <v>0.0</v>
      </c>
    </row>
    <row r="50915">
      <c r="Y50915" s="372">
        <v>0.0</v>
      </c>
      <c r="Z50915" s="372">
        <v>0.0</v>
      </c>
    </row>
    <row r="50916">
      <c r="Y50916" s="372">
        <v>0.0</v>
      </c>
      <c r="Z50916" s="372">
        <v>0.0</v>
      </c>
    </row>
    <row r="50917">
      <c r="Y50917" s="372">
        <v>0.0</v>
      </c>
      <c r="Z50917" s="372">
        <v>0.0</v>
      </c>
    </row>
    <row r="50918">
      <c r="Y50918" s="372">
        <v>0.0</v>
      </c>
      <c r="Z50918" s="372">
        <v>0.0</v>
      </c>
    </row>
    <row r="50919">
      <c r="Y50919" s="372">
        <v>0.0</v>
      </c>
      <c r="Z50919" s="372">
        <v>0.0</v>
      </c>
    </row>
    <row r="50920">
      <c r="Y50920" s="372">
        <v>0.0</v>
      </c>
      <c r="Z50920" s="372">
        <v>0.0</v>
      </c>
    </row>
    <row r="50921">
      <c r="Y50921" s="372">
        <v>0.0</v>
      </c>
      <c r="Z50921" s="372">
        <v>0.0</v>
      </c>
    </row>
    <row r="50922">
      <c r="Y50922" s="372">
        <v>0.0</v>
      </c>
      <c r="Z50922" s="372">
        <v>0.0</v>
      </c>
    </row>
    <row r="50923">
      <c r="Y50923" s="372">
        <v>0.0</v>
      </c>
      <c r="Z50923" s="372">
        <v>0.0</v>
      </c>
    </row>
    <row r="50924">
      <c r="Y50924" s="372">
        <v>0.0</v>
      </c>
      <c r="Z50924" s="372">
        <v>0.0</v>
      </c>
    </row>
    <row r="50925">
      <c r="Y50925" s="372">
        <v>0.0</v>
      </c>
      <c r="Z50925" s="372">
        <v>0.0</v>
      </c>
    </row>
    <row r="50926">
      <c r="Y50926" s="372">
        <v>0.0</v>
      </c>
      <c r="Z50926" s="372">
        <v>0.0</v>
      </c>
    </row>
    <row r="50927">
      <c r="Y50927" s="372">
        <v>0.0</v>
      </c>
      <c r="Z50927" s="372">
        <v>0.0</v>
      </c>
    </row>
    <row r="50928">
      <c r="Y50928" s="372">
        <v>0.0</v>
      </c>
      <c r="Z50928" s="372">
        <v>0.0</v>
      </c>
    </row>
    <row r="50929">
      <c r="Y50929" s="372">
        <v>0.0</v>
      </c>
      <c r="Z50929" s="372">
        <v>0.0</v>
      </c>
    </row>
    <row r="50930">
      <c r="Y50930" s="372">
        <v>0.0</v>
      </c>
      <c r="Z50930" s="372">
        <v>0.0</v>
      </c>
    </row>
    <row r="50931">
      <c r="Y50931" s="372">
        <v>0.0</v>
      </c>
      <c r="Z50931" s="372">
        <v>0.0</v>
      </c>
    </row>
    <row r="50932">
      <c r="Y50932" s="372">
        <v>0.0</v>
      </c>
      <c r="Z50932" s="372">
        <v>0.0</v>
      </c>
    </row>
    <row r="50933">
      <c r="Y50933" s="372">
        <v>0.0</v>
      </c>
      <c r="Z50933" s="372">
        <v>0.0</v>
      </c>
    </row>
    <row r="50934">
      <c r="Y50934" s="372">
        <v>0.0</v>
      </c>
      <c r="Z50934" s="372">
        <v>0.0</v>
      </c>
    </row>
    <row r="50935">
      <c r="Y50935" s="372">
        <v>0.0</v>
      </c>
      <c r="Z50935" s="372">
        <v>0.0</v>
      </c>
    </row>
    <row r="50936">
      <c r="Y50936" s="372">
        <v>0.0</v>
      </c>
      <c r="Z50936" s="372">
        <v>0.0</v>
      </c>
    </row>
    <row r="50937">
      <c r="Y50937" s="372">
        <v>0.0</v>
      </c>
      <c r="Z50937" s="372">
        <v>0.0</v>
      </c>
    </row>
    <row r="50938">
      <c r="Y50938" s="372">
        <v>0.0</v>
      </c>
      <c r="Z50938" s="372">
        <v>0.0</v>
      </c>
    </row>
    <row r="50939">
      <c r="Y50939" s="372">
        <v>0.0</v>
      </c>
      <c r="Z50939" s="372">
        <v>0.0</v>
      </c>
    </row>
    <row r="50940">
      <c r="Y50940" s="372">
        <v>0.0</v>
      </c>
      <c r="Z50940" s="372">
        <v>0.0</v>
      </c>
    </row>
    <row r="50941">
      <c r="Y50941" s="372">
        <v>0.0</v>
      </c>
      <c r="Z50941" s="372">
        <v>0.0</v>
      </c>
    </row>
    <row r="50942">
      <c r="Y50942" s="372">
        <v>0.0</v>
      </c>
      <c r="Z50942" s="372">
        <v>0.0</v>
      </c>
    </row>
    <row r="50943">
      <c r="Y50943" s="372">
        <v>0.0</v>
      </c>
      <c r="Z50943" s="372">
        <v>0.0</v>
      </c>
    </row>
    <row r="50944">
      <c r="Y50944" s="372">
        <v>0.0</v>
      </c>
      <c r="Z50944" s="372">
        <v>0.0</v>
      </c>
    </row>
    <row r="50945">
      <c r="Y50945" s="372">
        <v>0.0</v>
      </c>
      <c r="Z50945" s="372">
        <v>0.0</v>
      </c>
    </row>
    <row r="50946">
      <c r="Y50946" s="372">
        <v>0.0</v>
      </c>
      <c r="Z50946" s="372">
        <v>0.0</v>
      </c>
    </row>
    <row r="50947">
      <c r="Y50947" s="372">
        <v>0.0</v>
      </c>
      <c r="Z50947" s="372">
        <v>0.0</v>
      </c>
    </row>
    <row r="50948">
      <c r="Y50948" s="372">
        <v>0.0</v>
      </c>
      <c r="Z50948" s="372">
        <v>0.0</v>
      </c>
    </row>
    <row r="50949">
      <c r="Y50949" s="372">
        <v>0.0</v>
      </c>
      <c r="Z50949" s="372">
        <v>0.0</v>
      </c>
    </row>
    <row r="50950">
      <c r="Y50950" s="372">
        <v>0.0</v>
      </c>
      <c r="Z50950" s="372">
        <v>0.0</v>
      </c>
    </row>
    <row r="50951">
      <c r="Y50951" s="372">
        <v>0.0</v>
      </c>
      <c r="Z50951" s="372">
        <v>0.0</v>
      </c>
    </row>
    <row r="50952">
      <c r="Y50952" s="372">
        <v>0.0</v>
      </c>
      <c r="Z50952" s="372">
        <v>0.0</v>
      </c>
    </row>
    <row r="50953">
      <c r="Y50953" s="372">
        <v>0.0</v>
      </c>
      <c r="Z50953" s="372">
        <v>0.0</v>
      </c>
    </row>
    <row r="50954">
      <c r="Y50954" s="372">
        <v>0.0</v>
      </c>
      <c r="Z50954" s="372">
        <v>0.0</v>
      </c>
    </row>
    <row r="50955">
      <c r="Y50955" s="372">
        <v>0.0</v>
      </c>
      <c r="Z50955" s="372">
        <v>0.0</v>
      </c>
    </row>
    <row r="50956">
      <c r="Y50956" s="372">
        <v>0.0</v>
      </c>
      <c r="Z50956" s="372">
        <v>0.0</v>
      </c>
    </row>
    <row r="50957">
      <c r="Y50957" s="372">
        <v>0.0</v>
      </c>
      <c r="Z50957" s="372">
        <v>0.0</v>
      </c>
    </row>
    <row r="50958">
      <c r="Y50958" s="372">
        <v>0.0</v>
      </c>
      <c r="Z50958" s="372">
        <v>0.0</v>
      </c>
    </row>
    <row r="50959">
      <c r="Y50959" s="372">
        <v>0.0</v>
      </c>
      <c r="Z50959" s="372">
        <v>0.0</v>
      </c>
    </row>
    <row r="50960">
      <c r="Y50960" s="372">
        <v>0.0</v>
      </c>
      <c r="Z50960" s="372">
        <v>0.0</v>
      </c>
    </row>
    <row r="50961">
      <c r="Y50961" s="372">
        <v>0.0</v>
      </c>
      <c r="Z50961" s="372">
        <v>0.0</v>
      </c>
    </row>
    <row r="50962">
      <c r="Y50962" s="372">
        <v>0.0</v>
      </c>
      <c r="Z50962" s="372">
        <v>0.0</v>
      </c>
    </row>
    <row r="50963">
      <c r="Y50963" s="372">
        <v>0.0</v>
      </c>
      <c r="Z50963" s="372">
        <v>0.0</v>
      </c>
    </row>
    <row r="50964">
      <c r="Y50964" s="372">
        <v>0.0</v>
      </c>
      <c r="Z50964" s="372">
        <v>0.0</v>
      </c>
    </row>
    <row r="50965">
      <c r="Y50965" s="372">
        <v>0.0</v>
      </c>
      <c r="Z50965" s="372">
        <v>0.0</v>
      </c>
    </row>
    <row r="50966">
      <c r="Y50966" s="372">
        <v>0.0</v>
      </c>
      <c r="Z50966" s="372">
        <v>0.0</v>
      </c>
    </row>
    <row r="50967">
      <c r="Y50967" s="372">
        <v>0.0</v>
      </c>
      <c r="Z50967" s="372">
        <v>0.0</v>
      </c>
    </row>
    <row r="50968">
      <c r="Y50968" s="372">
        <v>0.0</v>
      </c>
      <c r="Z50968" s="372">
        <v>0.0</v>
      </c>
    </row>
    <row r="50969">
      <c r="Y50969" s="372">
        <v>0.0</v>
      </c>
      <c r="Z50969" s="372">
        <v>0.0</v>
      </c>
    </row>
    <row r="50970">
      <c r="Y50970" s="372">
        <v>0.0</v>
      </c>
      <c r="Z50970" s="372">
        <v>0.0</v>
      </c>
    </row>
    <row r="50971">
      <c r="Y50971" s="372">
        <v>0.0</v>
      </c>
      <c r="Z50971" s="372">
        <v>0.0</v>
      </c>
    </row>
    <row r="50972">
      <c r="Y50972" s="372">
        <v>0.0</v>
      </c>
      <c r="Z50972" s="372">
        <v>0.0</v>
      </c>
    </row>
    <row r="50973">
      <c r="Y50973" s="372">
        <v>0.0</v>
      </c>
      <c r="Z50973" s="372">
        <v>0.0</v>
      </c>
    </row>
    <row r="50974">
      <c r="Y50974" s="372">
        <v>0.0</v>
      </c>
      <c r="Z50974" s="372">
        <v>0.0</v>
      </c>
    </row>
    <row r="50975">
      <c r="Y50975" s="372">
        <v>0.0</v>
      </c>
      <c r="Z50975" s="372">
        <v>0.0</v>
      </c>
    </row>
    <row r="50976">
      <c r="Y50976" s="372">
        <v>0.0</v>
      </c>
      <c r="Z50976" s="372">
        <v>0.0</v>
      </c>
    </row>
    <row r="50977">
      <c r="Y50977" s="372">
        <v>0.0</v>
      </c>
      <c r="Z50977" s="372">
        <v>0.0</v>
      </c>
    </row>
    <row r="50978">
      <c r="Y50978" s="372">
        <v>0.0</v>
      </c>
      <c r="Z50978" s="372">
        <v>0.0</v>
      </c>
    </row>
    <row r="50979">
      <c r="Y50979" s="372">
        <v>0.0</v>
      </c>
      <c r="Z50979" s="372">
        <v>0.0</v>
      </c>
    </row>
    <row r="50980">
      <c r="Y50980" s="372">
        <v>0.0</v>
      </c>
      <c r="Z50980" s="372">
        <v>0.0</v>
      </c>
    </row>
    <row r="50981">
      <c r="Y50981" s="372">
        <v>0.0</v>
      </c>
      <c r="Z50981" s="372">
        <v>0.0</v>
      </c>
    </row>
    <row r="50982">
      <c r="Y50982" s="372">
        <v>0.0</v>
      </c>
      <c r="Z50982" s="372">
        <v>0.0</v>
      </c>
    </row>
    <row r="50983">
      <c r="Y50983" s="372">
        <v>0.0</v>
      </c>
      <c r="Z50983" s="372">
        <v>0.0</v>
      </c>
    </row>
    <row r="50984">
      <c r="Y50984" s="372">
        <v>0.0</v>
      </c>
      <c r="Z50984" s="372">
        <v>0.0</v>
      </c>
    </row>
    <row r="50985">
      <c r="Y50985" s="372">
        <v>0.0</v>
      </c>
      <c r="Z50985" s="372">
        <v>0.0</v>
      </c>
    </row>
    <row r="50986">
      <c r="Y50986" s="372">
        <v>0.0</v>
      </c>
      <c r="Z50986" s="372">
        <v>0.0</v>
      </c>
    </row>
    <row r="50987">
      <c r="Y50987" s="372">
        <v>0.0</v>
      </c>
      <c r="Z50987" s="372">
        <v>0.0</v>
      </c>
    </row>
    <row r="50988">
      <c r="Y50988" s="372">
        <v>0.0</v>
      </c>
      <c r="Z50988" s="372">
        <v>0.0</v>
      </c>
    </row>
    <row r="50989">
      <c r="Y50989" s="372">
        <v>0.0</v>
      </c>
      <c r="Z50989" s="372">
        <v>0.0</v>
      </c>
    </row>
    <row r="50990">
      <c r="Y50990" s="372">
        <v>0.0</v>
      </c>
      <c r="Z50990" s="372">
        <v>0.0</v>
      </c>
    </row>
    <row r="50991">
      <c r="Y50991" s="372">
        <v>0.0</v>
      </c>
      <c r="Z50991" s="372">
        <v>0.0</v>
      </c>
    </row>
    <row r="50992">
      <c r="Y50992" s="372">
        <v>0.0</v>
      </c>
      <c r="Z50992" s="372">
        <v>0.0</v>
      </c>
    </row>
    <row r="50993">
      <c r="Y50993" s="372">
        <v>0.0</v>
      </c>
      <c r="Z50993" s="372">
        <v>0.0</v>
      </c>
    </row>
    <row r="50994">
      <c r="Y50994" s="372">
        <v>0.0</v>
      </c>
      <c r="Z50994" s="372">
        <v>0.0</v>
      </c>
    </row>
    <row r="50995">
      <c r="Y50995" s="372">
        <v>0.0</v>
      </c>
      <c r="Z50995" s="372">
        <v>0.0</v>
      </c>
    </row>
    <row r="50996">
      <c r="Y50996" s="372">
        <v>0.0</v>
      </c>
      <c r="Z50996" s="372">
        <v>0.0</v>
      </c>
    </row>
    <row r="50997">
      <c r="Y50997" s="372">
        <v>0.0</v>
      </c>
      <c r="Z50997" s="372">
        <v>0.0</v>
      </c>
    </row>
    <row r="50998">
      <c r="Y50998" s="372">
        <v>0.0</v>
      </c>
      <c r="Z50998" s="372">
        <v>0.0</v>
      </c>
    </row>
    <row r="50999">
      <c r="Y50999" s="372">
        <v>0.0</v>
      </c>
      <c r="Z50999" s="372">
        <v>0.0</v>
      </c>
    </row>
    <row r="51000">
      <c r="Y51000" s="372">
        <v>0.0</v>
      </c>
      <c r="Z51000" s="372">
        <v>0.0</v>
      </c>
    </row>
  </sheetData>
  <drawing r:id="rId1"/>
</worksheet>
</file>